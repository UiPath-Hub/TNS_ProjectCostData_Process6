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i_Robot1\Documents\UiPath\Project Cost Data (Dev)\Process 6 - Insert Temporary Transaction Process\Validation Files\"/>
    </mc:Choice>
  </mc:AlternateContent>
  <xr:revisionPtr revIDLastSave="0" documentId="13_ncr:1_{3171C7A7-71E1-4513-A0D6-D2830E300B60}" xr6:coauthVersionLast="47" xr6:coauthVersionMax="47" xr10:uidLastSave="{00000000-0000-0000-0000-000000000000}"/>
  <bookViews>
    <workbookView xWindow="-120" yWindow="-120" windowWidth="29040" windowHeight="15720" tabRatio="682" activeTab="5" xr2:uid="{E62ED3AB-165A-4566-AE8D-FA0995BDA05A}"/>
  </bookViews>
  <sheets>
    <sheet name="Raw Data" sheetId="3" r:id="rId1"/>
    <sheet name="Validate_Empty" sheetId="6" r:id="rId2"/>
    <sheet name="Validate_Value" sheetId="8" r:id="rId3"/>
    <sheet name="Validate_Condition" sheetId="10" r:id="rId4"/>
    <sheet name="Condition1" sheetId="11" r:id="rId5"/>
    <sheet name="Condition2" sheetId="12" r:id="rId6"/>
    <sheet name="Configuration" sheetId="9" r:id="rId7"/>
    <sheet name="Validate_Type" sheetId="7" state="hidden" r:id="rId8"/>
  </sheets>
  <definedNames>
    <definedName name="_xlnm._FilterDatabase" localSheetId="4" hidden="1">Condition1!$B$10:$Y$3501</definedName>
    <definedName name="_xlnm._FilterDatabase" localSheetId="5" hidden="1">Condition2!$B$10:$K$3501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8" l="1" a="1"/>
  <c r="F22" i="8" s="1"/>
  <c r="F20" i="8" a="1"/>
  <c r="F20" i="8" s="1"/>
  <c r="F19" i="8" a="1"/>
  <c r="F19" i="8" s="1"/>
  <c r="F18" i="8" a="1"/>
  <c r="F18" i="8" s="1"/>
  <c r="F16" i="8" a="1"/>
  <c r="F16" i="8" s="1"/>
  <c r="F15" i="8" a="1"/>
  <c r="F15" i="8" s="1"/>
  <c r="F14" i="8" a="1"/>
  <c r="F14" i="8" s="1"/>
  <c r="F12" i="8" a="1"/>
  <c r="F12" i="8" s="1"/>
  <c r="E12" i="8" a="1"/>
  <c r="E12" i="8" s="1"/>
  <c r="E12" i="10" s="1" a="1"/>
  <c r="E12" i="10" s="1"/>
  <c r="E16" i="8" a="1"/>
  <c r="E16" i="8" s="1"/>
  <c r="E13" i="8" a="1"/>
  <c r="E13" i="8" s="1"/>
  <c r="B13" i="8" a="1"/>
  <c r="B13" i="8" s="1"/>
  <c r="C13" i="8" a="1"/>
  <c r="C13" i="8" s="1"/>
  <c r="B14" i="8" a="1"/>
  <c r="B14" i="8" s="1"/>
  <c r="C14" i="8" a="1"/>
  <c r="C14" i="8" s="1"/>
  <c r="B15" i="8" a="1"/>
  <c r="B15" i="8" s="1"/>
  <c r="C15" i="8" a="1"/>
  <c r="C15" i="8" s="1"/>
  <c r="B16" i="8" a="1"/>
  <c r="B16" i="8" s="1"/>
  <c r="C16" i="8" a="1"/>
  <c r="C16" i="8" s="1"/>
  <c r="B17" i="8" a="1"/>
  <c r="B17" i="8" s="1"/>
  <c r="C17" i="8" a="1"/>
  <c r="C17" i="8" s="1"/>
  <c r="B18" i="8" a="1"/>
  <c r="B18" i="8" s="1"/>
  <c r="C18" i="8" a="1"/>
  <c r="C18" i="8" s="1"/>
  <c r="B19" i="8" a="1"/>
  <c r="B19" i="8" s="1"/>
  <c r="C19" i="8" a="1"/>
  <c r="C19" i="8" s="1"/>
  <c r="B20" i="8" a="1"/>
  <c r="B20" i="8" s="1"/>
  <c r="C20" i="8" a="1"/>
  <c r="C20" i="8" s="1"/>
  <c r="B21" i="8" a="1"/>
  <c r="B21" i="8" s="1"/>
  <c r="C21" i="8" a="1"/>
  <c r="C21" i="8" s="1"/>
  <c r="B22" i="8" a="1"/>
  <c r="B22" i="8" s="1"/>
  <c r="C22" i="8" a="1"/>
  <c r="C22" i="8" s="1"/>
  <c r="B23" i="8" a="1"/>
  <c r="B23" i="8" s="1"/>
  <c r="C23" i="8" a="1"/>
  <c r="C23" i="8" s="1"/>
  <c r="B24" i="8" a="1"/>
  <c r="B24" i="8" s="1"/>
  <c r="C24" i="8" a="1"/>
  <c r="C24" i="8" s="1"/>
  <c r="B25" i="8" a="1"/>
  <c r="B25" i="8" s="1"/>
  <c r="C25" i="8" a="1"/>
  <c r="C25" i="8" s="1"/>
  <c r="B26" i="8" a="1"/>
  <c r="B26" i="8" s="1"/>
  <c r="C26" i="8" a="1"/>
  <c r="C26" i="8" s="1"/>
  <c r="B27" i="8" a="1"/>
  <c r="B27" i="8" s="1"/>
  <c r="C27" i="8" a="1"/>
  <c r="C27" i="8" s="1"/>
  <c r="B28" i="8" a="1"/>
  <c r="B28" i="8" s="1"/>
  <c r="C28" i="8" a="1"/>
  <c r="C28" i="8" s="1"/>
  <c r="B29" i="8" a="1"/>
  <c r="B29" i="8" s="1"/>
  <c r="C29" i="8" a="1"/>
  <c r="C29" i="8" s="1"/>
  <c r="B30" i="8" a="1"/>
  <c r="B30" i="8" s="1"/>
  <c r="C30" i="8" a="1"/>
  <c r="C30" i="8" s="1"/>
  <c r="B31" i="8" a="1"/>
  <c r="B31" i="8" s="1"/>
  <c r="C31" i="8" a="1"/>
  <c r="C31" i="8" s="1"/>
  <c r="B32" i="8" a="1"/>
  <c r="B32" i="8" s="1"/>
  <c r="C32" i="8" a="1"/>
  <c r="C32" i="8" s="1"/>
  <c r="B33" i="8" a="1"/>
  <c r="B33" i="8" s="1"/>
  <c r="C33" i="8" a="1"/>
  <c r="C33" i="8" s="1"/>
  <c r="B34" i="8" a="1"/>
  <c r="B34" i="8" s="1"/>
  <c r="C34" i="8" a="1"/>
  <c r="C34" i="8" s="1"/>
  <c r="B35" i="8" a="1"/>
  <c r="B35" i="8" s="1"/>
  <c r="C35" i="8" a="1"/>
  <c r="C35" i="8" s="1"/>
  <c r="B36" i="8" a="1"/>
  <c r="B36" i="8" s="1"/>
  <c r="C36" i="8" a="1"/>
  <c r="C36" i="8" s="1"/>
  <c r="B37" i="8" a="1"/>
  <c r="B37" i="8" s="1"/>
  <c r="C37" i="8" a="1"/>
  <c r="C37" i="8" s="1"/>
  <c r="B38" i="8" a="1"/>
  <c r="B38" i="8" s="1"/>
  <c r="C38" i="8" a="1"/>
  <c r="C38" i="8" s="1"/>
  <c r="B39" i="8" a="1"/>
  <c r="B39" i="8" s="1"/>
  <c r="C39" i="8" a="1"/>
  <c r="C39" i="8" s="1"/>
  <c r="B40" i="8" a="1"/>
  <c r="B40" i="8" s="1"/>
  <c r="C40" i="8" a="1"/>
  <c r="C40" i="8" s="1"/>
  <c r="B41" i="8" a="1"/>
  <c r="B41" i="8" s="1"/>
  <c r="C41" i="8" a="1"/>
  <c r="C41" i="8" s="1"/>
  <c r="B42" i="8" a="1"/>
  <c r="B42" i="8" s="1"/>
  <c r="C42" i="8" a="1"/>
  <c r="C42" i="8" s="1"/>
  <c r="B43" i="8" a="1"/>
  <c r="B43" i="8" s="1"/>
  <c r="C43" i="8" a="1"/>
  <c r="C43" i="8" s="1"/>
  <c r="B44" i="8" a="1"/>
  <c r="B44" i="8" s="1"/>
  <c r="C44" i="8" a="1"/>
  <c r="C44" i="8" s="1"/>
  <c r="B45" i="8" a="1"/>
  <c r="B45" i="8" s="1"/>
  <c r="C45" i="8" a="1"/>
  <c r="C45" i="8" s="1"/>
  <c r="B46" i="8" a="1"/>
  <c r="B46" i="8" s="1"/>
  <c r="C46" i="8" a="1"/>
  <c r="C46" i="8" s="1"/>
  <c r="B47" i="8" a="1"/>
  <c r="B47" i="8" s="1"/>
  <c r="C47" i="8" a="1"/>
  <c r="C47" i="8" s="1"/>
  <c r="B48" i="8" a="1"/>
  <c r="B48" i="8" s="1"/>
  <c r="C48" i="8" a="1"/>
  <c r="C48" i="8" s="1"/>
  <c r="B49" i="8" a="1"/>
  <c r="B49" i="8" s="1"/>
  <c r="C49" i="8" a="1"/>
  <c r="C49" i="8" s="1"/>
  <c r="B50" i="8" a="1"/>
  <c r="B50" i="8" s="1"/>
  <c r="C50" i="8" a="1"/>
  <c r="C50" i="8" s="1"/>
  <c r="B51" i="8" a="1"/>
  <c r="B51" i="8" s="1"/>
  <c r="C51" i="8" a="1"/>
  <c r="C51" i="8" s="1"/>
  <c r="B52" i="8" a="1"/>
  <c r="B52" i="8" s="1"/>
  <c r="C52" i="8" a="1"/>
  <c r="C52" i="8" s="1"/>
  <c r="B53" i="8" a="1"/>
  <c r="B53" i="8" s="1"/>
  <c r="C53" i="8" a="1"/>
  <c r="C53" i="8" s="1"/>
  <c r="B54" i="8" a="1"/>
  <c r="B54" i="8" s="1"/>
  <c r="C54" i="8" a="1"/>
  <c r="C54" i="8" s="1"/>
  <c r="B55" i="8" a="1"/>
  <c r="B55" i="8" s="1"/>
  <c r="C55" i="8" a="1"/>
  <c r="C55" i="8" s="1"/>
  <c r="B56" i="8" a="1"/>
  <c r="B56" i="8" s="1"/>
  <c r="C56" i="8" a="1"/>
  <c r="C56" i="8" s="1"/>
  <c r="B57" i="8" a="1"/>
  <c r="B57" i="8" s="1"/>
  <c r="C57" i="8" a="1"/>
  <c r="C57" i="8" s="1"/>
  <c r="B58" i="8" a="1"/>
  <c r="B58" i="8" s="1"/>
  <c r="C58" i="8" a="1"/>
  <c r="C58" i="8" s="1"/>
  <c r="B59" i="8" a="1"/>
  <c r="B59" i="8" s="1"/>
  <c r="C59" i="8" a="1"/>
  <c r="C59" i="8" s="1"/>
  <c r="B60" i="8" a="1"/>
  <c r="B60" i="8" s="1"/>
  <c r="C60" i="8" a="1"/>
  <c r="C60" i="8" s="1"/>
  <c r="B61" i="8" a="1"/>
  <c r="B61" i="8" s="1"/>
  <c r="C61" i="8" a="1"/>
  <c r="C61" i="8" s="1"/>
  <c r="B62" i="8" a="1"/>
  <c r="B62" i="8" s="1"/>
  <c r="C62" i="8" a="1"/>
  <c r="C62" i="8" s="1"/>
  <c r="B63" i="8" a="1"/>
  <c r="B63" i="8" s="1"/>
  <c r="C63" i="8" a="1"/>
  <c r="C63" i="8" s="1"/>
  <c r="B64" i="8" a="1"/>
  <c r="B64" i="8" s="1"/>
  <c r="C64" i="8" a="1"/>
  <c r="C64" i="8" s="1"/>
  <c r="B65" i="8" a="1"/>
  <c r="B65" i="8" s="1"/>
  <c r="C65" i="8" a="1"/>
  <c r="C65" i="8" s="1"/>
  <c r="B66" i="8" a="1"/>
  <c r="B66" i="8" s="1"/>
  <c r="C66" i="8" a="1"/>
  <c r="C66" i="8" s="1"/>
  <c r="B67" i="8" a="1"/>
  <c r="B67" i="8" s="1"/>
  <c r="C67" i="8" a="1"/>
  <c r="C67" i="8" s="1"/>
  <c r="B68" i="8" a="1"/>
  <c r="B68" i="8" s="1"/>
  <c r="C68" i="8" a="1"/>
  <c r="C68" i="8" s="1"/>
  <c r="B69" i="8" a="1"/>
  <c r="B69" i="8" s="1"/>
  <c r="C69" i="8" a="1"/>
  <c r="C69" i="8" s="1"/>
  <c r="B70" i="8" a="1"/>
  <c r="B70" i="8" s="1"/>
  <c r="C70" i="8" a="1"/>
  <c r="C70" i="8" s="1"/>
  <c r="B71" i="8" a="1"/>
  <c r="B71" i="8" s="1"/>
  <c r="C71" i="8" a="1"/>
  <c r="C71" i="8" s="1"/>
  <c r="B72" i="8" a="1"/>
  <c r="B72" i="8" s="1"/>
  <c r="C72" i="8" a="1"/>
  <c r="C72" i="8" s="1"/>
  <c r="B73" i="8" a="1"/>
  <c r="B73" i="8" s="1"/>
  <c r="C73" i="8" a="1"/>
  <c r="C73" i="8" s="1"/>
  <c r="B74" i="8" a="1"/>
  <c r="B74" i="8" s="1"/>
  <c r="C74" i="8" a="1"/>
  <c r="C74" i="8" s="1"/>
  <c r="B75" i="8" a="1"/>
  <c r="B75" i="8" s="1"/>
  <c r="C75" i="8" a="1"/>
  <c r="C75" i="8" s="1"/>
  <c r="B76" i="8" a="1"/>
  <c r="B76" i="8" s="1"/>
  <c r="C76" i="8" a="1"/>
  <c r="C76" i="8" s="1"/>
  <c r="B77" i="8" a="1"/>
  <c r="B77" i="8" s="1"/>
  <c r="C77" i="8" a="1"/>
  <c r="C77" i="8" s="1"/>
  <c r="B78" i="8" a="1"/>
  <c r="B78" i="8" s="1"/>
  <c r="C78" i="8" a="1"/>
  <c r="C78" i="8" s="1"/>
  <c r="B79" i="8" a="1"/>
  <c r="B79" i="8" s="1"/>
  <c r="C79" i="8" a="1"/>
  <c r="C79" i="8" s="1"/>
  <c r="B80" i="8" a="1"/>
  <c r="B80" i="8" s="1"/>
  <c r="C80" i="8" a="1"/>
  <c r="C80" i="8" s="1"/>
  <c r="B81" i="8" a="1"/>
  <c r="B81" i="8" s="1"/>
  <c r="C81" i="8" a="1"/>
  <c r="C81" i="8" s="1"/>
  <c r="B82" i="8" a="1"/>
  <c r="B82" i="8" s="1"/>
  <c r="C82" i="8" a="1"/>
  <c r="C82" i="8" s="1"/>
  <c r="B83" i="8" a="1"/>
  <c r="B83" i="8" s="1"/>
  <c r="C83" i="8" a="1"/>
  <c r="C83" i="8" s="1"/>
  <c r="B84" i="8" a="1"/>
  <c r="B84" i="8" s="1"/>
  <c r="C84" i="8" a="1"/>
  <c r="C84" i="8" s="1"/>
  <c r="B85" i="8" a="1"/>
  <c r="B85" i="8" s="1"/>
  <c r="C85" i="8" a="1"/>
  <c r="C85" i="8" s="1"/>
  <c r="B86" i="8" a="1"/>
  <c r="B86" i="8" s="1"/>
  <c r="C86" i="8" a="1"/>
  <c r="C86" i="8" s="1"/>
  <c r="B87" i="8" a="1"/>
  <c r="B87" i="8" s="1"/>
  <c r="C87" i="8" a="1"/>
  <c r="C87" i="8" s="1"/>
  <c r="B88" i="8" a="1"/>
  <c r="B88" i="8" s="1"/>
  <c r="C88" i="8" a="1"/>
  <c r="C88" i="8" s="1"/>
  <c r="B89" i="8" a="1"/>
  <c r="B89" i="8" s="1"/>
  <c r="C89" i="8" a="1"/>
  <c r="C89" i="8" s="1"/>
  <c r="B90" i="8" a="1"/>
  <c r="B90" i="8" s="1"/>
  <c r="C90" i="8" a="1"/>
  <c r="C90" i="8" s="1"/>
  <c r="B91" i="8" a="1"/>
  <c r="B91" i="8" s="1"/>
  <c r="C91" i="8" a="1"/>
  <c r="C91" i="8" s="1"/>
  <c r="B92" i="8" a="1"/>
  <c r="B92" i="8" s="1"/>
  <c r="C92" i="8" a="1"/>
  <c r="C92" i="8" s="1"/>
  <c r="B93" i="8" a="1"/>
  <c r="B93" i="8" s="1"/>
  <c r="C93" i="8" a="1"/>
  <c r="C93" i="8" s="1"/>
  <c r="B94" i="8" a="1"/>
  <c r="B94" i="8" s="1"/>
  <c r="C94" i="8" a="1"/>
  <c r="C94" i="8" s="1"/>
  <c r="B95" i="8" a="1"/>
  <c r="B95" i="8" s="1"/>
  <c r="C95" i="8" a="1"/>
  <c r="C95" i="8" s="1"/>
  <c r="B96" i="8" a="1"/>
  <c r="B96" i="8" s="1"/>
  <c r="C96" i="8" a="1"/>
  <c r="C96" i="8" s="1"/>
  <c r="B97" i="8" a="1"/>
  <c r="B97" i="8" s="1"/>
  <c r="C97" i="8" a="1"/>
  <c r="C97" i="8" s="1"/>
  <c r="B98" i="8" a="1"/>
  <c r="B98" i="8" s="1"/>
  <c r="C98" i="8" a="1"/>
  <c r="C98" i="8" s="1"/>
  <c r="B99" i="8" a="1"/>
  <c r="B99" i="8" s="1"/>
  <c r="C99" i="8" a="1"/>
  <c r="C99" i="8" s="1"/>
  <c r="B100" i="8" a="1"/>
  <c r="B100" i="8" s="1"/>
  <c r="C100" i="8" a="1"/>
  <c r="C100" i="8" s="1"/>
  <c r="B101" i="8" a="1"/>
  <c r="B101" i="8" s="1"/>
  <c r="C101" i="8" a="1"/>
  <c r="C101" i="8" s="1"/>
  <c r="B102" i="8" a="1"/>
  <c r="B102" i="8" s="1"/>
  <c r="C102" i="8" a="1"/>
  <c r="C102" i="8" s="1"/>
  <c r="B103" i="8" a="1"/>
  <c r="B103" i="8" s="1"/>
  <c r="C103" i="8" a="1"/>
  <c r="C103" i="8" s="1"/>
  <c r="B104" i="8" a="1"/>
  <c r="B104" i="8" s="1"/>
  <c r="C104" i="8" a="1"/>
  <c r="C104" i="8" s="1"/>
  <c r="B105" i="8" a="1"/>
  <c r="B105" i="8" s="1"/>
  <c r="C105" i="8" a="1"/>
  <c r="C105" i="8" s="1"/>
  <c r="B106" i="8" a="1"/>
  <c r="B106" i="8" s="1"/>
  <c r="C106" i="8" a="1"/>
  <c r="C106" i="8" s="1"/>
  <c r="B107" i="8" a="1"/>
  <c r="B107" i="8" s="1"/>
  <c r="C107" i="8" a="1"/>
  <c r="C107" i="8" s="1"/>
  <c r="B108" i="8" a="1"/>
  <c r="B108" i="8" s="1"/>
  <c r="C108" i="8" a="1"/>
  <c r="C108" i="8" s="1"/>
  <c r="B109" i="8" a="1"/>
  <c r="B109" i="8" s="1"/>
  <c r="C109" i="8" a="1"/>
  <c r="C109" i="8" s="1"/>
  <c r="B110" i="8" a="1"/>
  <c r="B110" i="8" s="1"/>
  <c r="C110" i="8" a="1"/>
  <c r="C110" i="8" s="1"/>
  <c r="B111" i="8" a="1"/>
  <c r="B111" i="8" s="1"/>
  <c r="C111" i="8" a="1"/>
  <c r="C111" i="8" s="1"/>
  <c r="B112" i="8" a="1"/>
  <c r="B112" i="8" s="1"/>
  <c r="C112" i="8" a="1"/>
  <c r="C112" i="8" s="1"/>
  <c r="B113" i="8" a="1"/>
  <c r="B113" i="8" s="1"/>
  <c r="C113" i="8" a="1"/>
  <c r="C113" i="8" s="1"/>
  <c r="B114" i="8" a="1"/>
  <c r="B114" i="8" s="1"/>
  <c r="C114" i="8" a="1"/>
  <c r="C114" i="8" s="1"/>
  <c r="B115" i="8" a="1"/>
  <c r="B115" i="8" s="1"/>
  <c r="C115" i="8" a="1"/>
  <c r="C115" i="8" s="1"/>
  <c r="B116" i="8" a="1"/>
  <c r="B116" i="8" s="1"/>
  <c r="C116" i="8" a="1"/>
  <c r="C116" i="8" s="1"/>
  <c r="B117" i="8" a="1"/>
  <c r="B117" i="8" s="1"/>
  <c r="C117" i="8" a="1"/>
  <c r="C117" i="8" s="1"/>
  <c r="B118" i="8" a="1"/>
  <c r="B118" i="8" s="1"/>
  <c r="C118" i="8" a="1"/>
  <c r="C118" i="8" s="1"/>
  <c r="B119" i="8" a="1"/>
  <c r="B119" i="8" s="1"/>
  <c r="C119" i="8" a="1"/>
  <c r="C119" i="8" s="1"/>
  <c r="B120" i="8" a="1"/>
  <c r="B120" i="8" s="1"/>
  <c r="C120" i="8" a="1"/>
  <c r="C120" i="8" s="1"/>
  <c r="B121" i="8" a="1"/>
  <c r="B121" i="8" s="1"/>
  <c r="C121" i="8" a="1"/>
  <c r="C121" i="8" s="1"/>
  <c r="B122" i="8" a="1"/>
  <c r="B122" i="8" s="1"/>
  <c r="C122" i="8" a="1"/>
  <c r="C122" i="8" s="1"/>
  <c r="B123" i="8" a="1"/>
  <c r="B123" i="8" s="1"/>
  <c r="C123" i="8" a="1"/>
  <c r="C123" i="8" s="1"/>
  <c r="B124" i="8" a="1"/>
  <c r="B124" i="8" s="1"/>
  <c r="C124" i="8" a="1"/>
  <c r="C124" i="8" s="1"/>
  <c r="B125" i="8" a="1"/>
  <c r="B125" i="8" s="1"/>
  <c r="C125" i="8" a="1"/>
  <c r="C125" i="8" s="1"/>
  <c r="B126" i="8" a="1"/>
  <c r="B126" i="8" s="1"/>
  <c r="C126" i="8" a="1"/>
  <c r="C126" i="8" s="1"/>
  <c r="B127" i="8" a="1"/>
  <c r="B127" i="8" s="1"/>
  <c r="C127" i="8" a="1"/>
  <c r="C127" i="8" s="1"/>
  <c r="B128" i="8" a="1"/>
  <c r="B128" i="8" s="1"/>
  <c r="C128" i="8" a="1"/>
  <c r="C128" i="8" s="1"/>
  <c r="B129" i="8" a="1"/>
  <c r="B129" i="8" s="1"/>
  <c r="C129" i="8" a="1"/>
  <c r="C129" i="8" s="1"/>
  <c r="B130" i="8" a="1"/>
  <c r="B130" i="8" s="1"/>
  <c r="C130" i="8" a="1"/>
  <c r="C130" i="8" s="1"/>
  <c r="B131" i="8" a="1"/>
  <c r="B131" i="8" s="1"/>
  <c r="C131" i="8" a="1"/>
  <c r="C131" i="8" s="1"/>
  <c r="B132" i="8" a="1"/>
  <c r="B132" i="8" s="1"/>
  <c r="C132" i="8" a="1"/>
  <c r="C132" i="8" s="1"/>
  <c r="B133" i="8" a="1"/>
  <c r="B133" i="8" s="1"/>
  <c r="C133" i="8" a="1"/>
  <c r="C133" i="8" s="1"/>
  <c r="B134" i="8" a="1"/>
  <c r="B134" i="8" s="1"/>
  <c r="C134" i="8" a="1"/>
  <c r="C134" i="8" s="1"/>
  <c r="B135" i="8" a="1"/>
  <c r="B135" i="8" s="1"/>
  <c r="C135" i="8" a="1"/>
  <c r="C135" i="8" s="1"/>
  <c r="B136" i="8" a="1"/>
  <c r="B136" i="8" s="1"/>
  <c r="C136" i="8" a="1"/>
  <c r="C136" i="8" s="1"/>
  <c r="B137" i="8" a="1"/>
  <c r="B137" i="8" s="1"/>
  <c r="C137" i="8" a="1"/>
  <c r="C137" i="8" s="1"/>
  <c r="B138" i="8" a="1"/>
  <c r="B138" i="8" s="1"/>
  <c r="C138" i="8" a="1"/>
  <c r="C138" i="8" s="1"/>
  <c r="B139" i="8" a="1"/>
  <c r="B139" i="8" s="1"/>
  <c r="C139" i="8" a="1"/>
  <c r="C139" i="8" s="1"/>
  <c r="B140" i="8" a="1"/>
  <c r="B140" i="8" s="1"/>
  <c r="C140" i="8" a="1"/>
  <c r="C140" i="8" s="1"/>
  <c r="B141" i="8" a="1"/>
  <c r="B141" i="8" s="1"/>
  <c r="C141" i="8" a="1"/>
  <c r="C141" i="8" s="1"/>
  <c r="B142" i="8" a="1"/>
  <c r="B142" i="8" s="1"/>
  <c r="C142" i="8" a="1"/>
  <c r="C142" i="8" s="1"/>
  <c r="B143" i="8" a="1"/>
  <c r="B143" i="8" s="1"/>
  <c r="C143" i="8" a="1"/>
  <c r="C143" i="8" s="1"/>
  <c r="B144" i="8" a="1"/>
  <c r="B144" i="8" s="1"/>
  <c r="C144" i="8" a="1"/>
  <c r="C144" i="8" s="1"/>
  <c r="B145" i="8" a="1"/>
  <c r="B145" i="8" s="1"/>
  <c r="C145" i="8" a="1"/>
  <c r="C145" i="8" s="1"/>
  <c r="B146" i="8" a="1"/>
  <c r="B146" i="8" s="1"/>
  <c r="C146" i="8" a="1"/>
  <c r="C146" i="8" s="1"/>
  <c r="B147" i="8" a="1"/>
  <c r="B147" i="8" s="1"/>
  <c r="C147" i="8" a="1"/>
  <c r="C147" i="8" s="1"/>
  <c r="B148" i="8" a="1"/>
  <c r="B148" i="8" s="1"/>
  <c r="C148" i="8" a="1"/>
  <c r="C148" i="8" s="1"/>
  <c r="B149" i="8" a="1"/>
  <c r="B149" i="8" s="1"/>
  <c r="C149" i="8" a="1"/>
  <c r="C149" i="8" s="1"/>
  <c r="B150" i="8" a="1"/>
  <c r="B150" i="8" s="1"/>
  <c r="C150" i="8" a="1"/>
  <c r="C150" i="8" s="1"/>
  <c r="B151" i="8" a="1"/>
  <c r="B151" i="8" s="1"/>
  <c r="C151" i="8" a="1"/>
  <c r="C151" i="8" s="1"/>
  <c r="B152" i="8" a="1"/>
  <c r="B152" i="8" s="1"/>
  <c r="C152" i="8" a="1"/>
  <c r="C152" i="8" s="1"/>
  <c r="B153" i="8" a="1"/>
  <c r="B153" i="8" s="1"/>
  <c r="C153" i="8" a="1"/>
  <c r="C153" i="8" s="1"/>
  <c r="B154" i="8" a="1"/>
  <c r="B154" i="8" s="1"/>
  <c r="C154" i="8" a="1"/>
  <c r="C154" i="8" s="1"/>
  <c r="B155" i="8" a="1"/>
  <c r="B155" i="8" s="1"/>
  <c r="C155" i="8" a="1"/>
  <c r="C155" i="8" s="1"/>
  <c r="B156" i="8" a="1"/>
  <c r="B156" i="8" s="1"/>
  <c r="C156" i="8" a="1"/>
  <c r="C156" i="8" s="1"/>
  <c r="B157" i="8" a="1"/>
  <c r="B157" i="8" s="1"/>
  <c r="C157" i="8" a="1"/>
  <c r="C157" i="8" s="1"/>
  <c r="B158" i="8" a="1"/>
  <c r="B158" i="8" s="1"/>
  <c r="C158" i="8" a="1"/>
  <c r="C158" i="8" s="1"/>
  <c r="B159" i="8" a="1"/>
  <c r="B159" i="8" s="1"/>
  <c r="C159" i="8" a="1"/>
  <c r="C159" i="8" s="1"/>
  <c r="B160" i="8" a="1"/>
  <c r="B160" i="8" s="1"/>
  <c r="C160" i="8" a="1"/>
  <c r="C160" i="8" s="1"/>
  <c r="B161" i="8" a="1"/>
  <c r="B161" i="8" s="1"/>
  <c r="C161" i="8" a="1"/>
  <c r="C161" i="8" s="1"/>
  <c r="B162" i="8" a="1"/>
  <c r="B162" i="8" s="1"/>
  <c r="C162" i="8" a="1"/>
  <c r="C162" i="8" s="1"/>
  <c r="B163" i="8" a="1"/>
  <c r="B163" i="8" s="1"/>
  <c r="C163" i="8" a="1"/>
  <c r="C163" i="8" s="1"/>
  <c r="B164" i="8" a="1"/>
  <c r="B164" i="8" s="1"/>
  <c r="C164" i="8" a="1"/>
  <c r="C164" i="8" s="1"/>
  <c r="B165" i="8" a="1"/>
  <c r="B165" i="8" s="1"/>
  <c r="C165" i="8" a="1"/>
  <c r="C165" i="8" s="1"/>
  <c r="B166" i="8" a="1"/>
  <c r="B166" i="8" s="1"/>
  <c r="C166" i="8" a="1"/>
  <c r="C166" i="8" s="1"/>
  <c r="B167" i="8" a="1"/>
  <c r="B167" i="8" s="1"/>
  <c r="C167" i="8" a="1"/>
  <c r="C167" i="8" s="1"/>
  <c r="B168" i="8" a="1"/>
  <c r="B168" i="8" s="1"/>
  <c r="C168" i="8" a="1"/>
  <c r="C168" i="8" s="1"/>
  <c r="B169" i="8" a="1"/>
  <c r="B169" i="8" s="1"/>
  <c r="C169" i="8" a="1"/>
  <c r="C169" i="8" s="1"/>
  <c r="B170" i="8" a="1"/>
  <c r="B170" i="8" s="1"/>
  <c r="C170" i="8" a="1"/>
  <c r="C170" i="8" s="1"/>
  <c r="B171" i="8" a="1"/>
  <c r="B171" i="8" s="1"/>
  <c r="C171" i="8" a="1"/>
  <c r="C171" i="8" s="1"/>
  <c r="B172" i="8" a="1"/>
  <c r="B172" i="8" s="1"/>
  <c r="C172" i="8" a="1"/>
  <c r="C172" i="8" s="1"/>
  <c r="B173" i="8" a="1"/>
  <c r="B173" i="8" s="1"/>
  <c r="C173" i="8" a="1"/>
  <c r="C173" i="8" s="1"/>
  <c r="B174" i="8" a="1"/>
  <c r="B174" i="8" s="1"/>
  <c r="C174" i="8" a="1"/>
  <c r="C174" i="8" s="1"/>
  <c r="B175" i="8" a="1"/>
  <c r="B175" i="8" s="1"/>
  <c r="C175" i="8" a="1"/>
  <c r="C175" i="8" s="1"/>
  <c r="B176" i="8" a="1"/>
  <c r="B176" i="8" s="1"/>
  <c r="C176" i="8" a="1"/>
  <c r="C176" i="8" s="1"/>
  <c r="B177" i="8" a="1"/>
  <c r="B177" i="8" s="1"/>
  <c r="C177" i="8" a="1"/>
  <c r="C177" i="8" s="1"/>
  <c r="B178" i="8" a="1"/>
  <c r="B178" i="8" s="1"/>
  <c r="C178" i="8" a="1"/>
  <c r="C178" i="8" s="1"/>
  <c r="B179" i="8" a="1"/>
  <c r="B179" i="8" s="1"/>
  <c r="C179" i="8" a="1"/>
  <c r="C179" i="8" s="1"/>
  <c r="B180" i="8" a="1"/>
  <c r="B180" i="8" s="1"/>
  <c r="C180" i="8" a="1"/>
  <c r="C180" i="8" s="1"/>
  <c r="B181" i="8" a="1"/>
  <c r="B181" i="8" s="1"/>
  <c r="C181" i="8" a="1"/>
  <c r="C181" i="8" s="1"/>
  <c r="B182" i="8" a="1"/>
  <c r="B182" i="8" s="1"/>
  <c r="C182" i="8" a="1"/>
  <c r="C182" i="8" s="1"/>
  <c r="B183" i="8" a="1"/>
  <c r="B183" i="8" s="1"/>
  <c r="C183" i="8" a="1"/>
  <c r="C183" i="8" s="1"/>
  <c r="B184" i="8" a="1"/>
  <c r="B184" i="8" s="1"/>
  <c r="C184" i="8" a="1"/>
  <c r="C184" i="8" s="1"/>
  <c r="B185" i="8" a="1"/>
  <c r="B185" i="8" s="1"/>
  <c r="C185" i="8" a="1"/>
  <c r="C185" i="8" s="1"/>
  <c r="B186" i="8" a="1"/>
  <c r="B186" i="8" s="1"/>
  <c r="C186" i="8" a="1"/>
  <c r="C186" i="8" s="1"/>
  <c r="B187" i="8" a="1"/>
  <c r="B187" i="8" s="1"/>
  <c r="C187" i="8" a="1"/>
  <c r="C187" i="8" s="1"/>
  <c r="B188" i="8" a="1"/>
  <c r="B188" i="8" s="1"/>
  <c r="C188" i="8" a="1"/>
  <c r="C188" i="8" s="1"/>
  <c r="B189" i="8" a="1"/>
  <c r="B189" i="8" s="1"/>
  <c r="C189" i="8" a="1"/>
  <c r="C189" i="8" s="1"/>
  <c r="B190" i="8" a="1"/>
  <c r="B190" i="8" s="1"/>
  <c r="C190" i="8" a="1"/>
  <c r="C190" i="8" s="1"/>
  <c r="B191" i="8" a="1"/>
  <c r="B191" i="8" s="1"/>
  <c r="C191" i="8" a="1"/>
  <c r="C191" i="8" s="1"/>
  <c r="B192" i="8" a="1"/>
  <c r="B192" i="8" s="1"/>
  <c r="C192" i="8" a="1"/>
  <c r="C192" i="8" s="1"/>
  <c r="B193" i="8" a="1"/>
  <c r="B193" i="8" s="1"/>
  <c r="C193" i="8" a="1"/>
  <c r="C193" i="8" s="1"/>
  <c r="B194" i="8" a="1"/>
  <c r="B194" i="8" s="1"/>
  <c r="C194" i="8" a="1"/>
  <c r="C194" i="8" s="1"/>
  <c r="B195" i="8" a="1"/>
  <c r="B195" i="8" s="1"/>
  <c r="C195" i="8" a="1"/>
  <c r="C195" i="8" s="1"/>
  <c r="B196" i="8" a="1"/>
  <c r="B196" i="8" s="1"/>
  <c r="C196" i="8" a="1"/>
  <c r="C196" i="8" s="1"/>
  <c r="B197" i="8" a="1"/>
  <c r="B197" i="8" s="1"/>
  <c r="C197" i="8" a="1"/>
  <c r="C197" i="8" s="1"/>
  <c r="B198" i="8" a="1"/>
  <c r="B198" i="8" s="1"/>
  <c r="C198" i="8" a="1"/>
  <c r="C198" i="8" s="1"/>
  <c r="B199" i="8" a="1"/>
  <c r="B199" i="8" s="1"/>
  <c r="C199" i="8" a="1"/>
  <c r="C199" i="8" s="1"/>
  <c r="B200" i="8" a="1"/>
  <c r="B200" i="8" s="1"/>
  <c r="C200" i="8" a="1"/>
  <c r="C200" i="8" s="1"/>
  <c r="B201" i="8" a="1"/>
  <c r="B201" i="8" s="1"/>
  <c r="C201" i="8" a="1"/>
  <c r="C201" i="8" s="1"/>
  <c r="B202" i="8" a="1"/>
  <c r="B202" i="8" s="1"/>
  <c r="C202" i="8" a="1"/>
  <c r="C202" i="8" s="1"/>
  <c r="B203" i="8" a="1"/>
  <c r="B203" i="8" s="1"/>
  <c r="C203" i="8" a="1"/>
  <c r="C203" i="8" s="1"/>
  <c r="B204" i="8" a="1"/>
  <c r="B204" i="8" s="1"/>
  <c r="C204" i="8" a="1"/>
  <c r="C204" i="8" s="1"/>
  <c r="B205" i="8" a="1"/>
  <c r="B205" i="8" s="1"/>
  <c r="C205" i="8" a="1"/>
  <c r="C205" i="8" s="1"/>
  <c r="B206" i="8" a="1"/>
  <c r="B206" i="8" s="1"/>
  <c r="C206" i="8" a="1"/>
  <c r="C206" i="8" s="1"/>
  <c r="B207" i="8" a="1"/>
  <c r="B207" i="8" s="1"/>
  <c r="C207" i="8" a="1"/>
  <c r="C207" i="8" s="1"/>
  <c r="B208" i="8" a="1"/>
  <c r="B208" i="8" s="1"/>
  <c r="C208" i="8" a="1"/>
  <c r="C208" i="8" s="1"/>
  <c r="B209" i="8" a="1"/>
  <c r="B209" i="8" s="1"/>
  <c r="C209" i="8" a="1"/>
  <c r="C209" i="8" s="1"/>
  <c r="B210" i="8" a="1"/>
  <c r="B210" i="8" s="1"/>
  <c r="C210" i="8" a="1"/>
  <c r="C210" i="8" s="1"/>
  <c r="B211" i="8" a="1"/>
  <c r="B211" i="8" s="1"/>
  <c r="C211" i="8" a="1"/>
  <c r="C211" i="8" s="1"/>
  <c r="B212" i="8" a="1"/>
  <c r="B212" i="8" s="1"/>
  <c r="C212" i="8" a="1"/>
  <c r="C212" i="8" s="1"/>
  <c r="B213" i="8" a="1"/>
  <c r="B213" i="8" s="1"/>
  <c r="C213" i="8" a="1"/>
  <c r="C213" i="8" s="1"/>
  <c r="B214" i="8" a="1"/>
  <c r="B214" i="8" s="1"/>
  <c r="C214" i="8" a="1"/>
  <c r="C214" i="8" s="1"/>
  <c r="B215" i="8" a="1"/>
  <c r="B215" i="8" s="1"/>
  <c r="C215" i="8" a="1"/>
  <c r="C215" i="8" s="1"/>
  <c r="B216" i="8" a="1"/>
  <c r="B216" i="8" s="1"/>
  <c r="C216" i="8" a="1"/>
  <c r="C216" i="8" s="1"/>
  <c r="B217" i="8" a="1"/>
  <c r="B217" i="8" s="1"/>
  <c r="C217" i="8" a="1"/>
  <c r="C217" i="8" s="1"/>
  <c r="B218" i="8" a="1"/>
  <c r="B218" i="8" s="1"/>
  <c r="C218" i="8" a="1"/>
  <c r="C218" i="8" s="1"/>
  <c r="B219" i="8" a="1"/>
  <c r="B219" i="8" s="1"/>
  <c r="C219" i="8" a="1"/>
  <c r="C219" i="8" s="1"/>
  <c r="B220" i="8" a="1"/>
  <c r="B220" i="8" s="1"/>
  <c r="C220" i="8" a="1"/>
  <c r="C220" i="8" s="1"/>
  <c r="B221" i="8" a="1"/>
  <c r="B221" i="8" s="1"/>
  <c r="C221" i="8" a="1"/>
  <c r="C221" i="8" s="1"/>
  <c r="B222" i="8" a="1"/>
  <c r="B222" i="8" s="1"/>
  <c r="C222" i="8" a="1"/>
  <c r="C222" i="8" s="1"/>
  <c r="B223" i="8" a="1"/>
  <c r="B223" i="8" s="1"/>
  <c r="C223" i="8" a="1"/>
  <c r="C223" i="8" s="1"/>
  <c r="B224" i="8" a="1"/>
  <c r="B224" i="8" s="1"/>
  <c r="C224" i="8" a="1"/>
  <c r="C224" i="8" s="1"/>
  <c r="B225" i="8" a="1"/>
  <c r="B225" i="8" s="1"/>
  <c r="C225" i="8" a="1"/>
  <c r="C225" i="8" s="1"/>
  <c r="B226" i="8" a="1"/>
  <c r="B226" i="8" s="1"/>
  <c r="C226" i="8" a="1"/>
  <c r="C226" i="8" s="1"/>
  <c r="B227" i="8" a="1"/>
  <c r="B227" i="8" s="1"/>
  <c r="C227" i="8" a="1"/>
  <c r="C227" i="8" s="1"/>
  <c r="B228" i="8" a="1"/>
  <c r="B228" i="8" s="1"/>
  <c r="C228" i="8" a="1"/>
  <c r="C228" i="8" s="1"/>
  <c r="B229" i="8" a="1"/>
  <c r="B229" i="8" s="1"/>
  <c r="C229" i="8" a="1"/>
  <c r="C229" i="8" s="1"/>
  <c r="B230" i="8" a="1"/>
  <c r="B230" i="8" s="1"/>
  <c r="C230" i="8" a="1"/>
  <c r="C230" i="8" s="1"/>
  <c r="B231" i="8" a="1"/>
  <c r="B231" i="8" s="1"/>
  <c r="C231" i="8" a="1"/>
  <c r="C231" i="8" s="1"/>
  <c r="B232" i="8" a="1"/>
  <c r="B232" i="8" s="1"/>
  <c r="C232" i="8" a="1"/>
  <c r="C232" i="8" s="1"/>
  <c r="B233" i="8" a="1"/>
  <c r="B233" i="8" s="1"/>
  <c r="C233" i="8" a="1"/>
  <c r="C233" i="8" s="1"/>
  <c r="B234" i="8" a="1"/>
  <c r="B234" i="8" s="1"/>
  <c r="C234" i="8" a="1"/>
  <c r="C234" i="8" s="1"/>
  <c r="B235" i="8" a="1"/>
  <c r="B235" i="8" s="1"/>
  <c r="C235" i="8" a="1"/>
  <c r="C235" i="8" s="1"/>
  <c r="B236" i="8" a="1"/>
  <c r="B236" i="8" s="1"/>
  <c r="C236" i="8" a="1"/>
  <c r="C236" i="8" s="1"/>
  <c r="B237" i="8" a="1"/>
  <c r="B237" i="8" s="1"/>
  <c r="C237" i="8" a="1"/>
  <c r="C237" i="8" s="1"/>
  <c r="B238" i="8" a="1"/>
  <c r="B238" i="8" s="1"/>
  <c r="C238" i="8" a="1"/>
  <c r="C238" i="8" s="1"/>
  <c r="B239" i="8" a="1"/>
  <c r="B239" i="8" s="1"/>
  <c r="C239" i="8" a="1"/>
  <c r="C239" i="8" s="1"/>
  <c r="B240" i="8" a="1"/>
  <c r="B240" i="8" s="1"/>
  <c r="C240" i="8" a="1"/>
  <c r="C240" i="8" s="1"/>
  <c r="B241" i="8" a="1"/>
  <c r="B241" i="8" s="1"/>
  <c r="C241" i="8" a="1"/>
  <c r="C241" i="8" s="1"/>
  <c r="B242" i="8" a="1"/>
  <c r="B242" i="8" s="1"/>
  <c r="C242" i="8" a="1"/>
  <c r="C242" i="8" s="1"/>
  <c r="B243" i="8" a="1"/>
  <c r="B243" i="8" s="1"/>
  <c r="C243" i="8" a="1"/>
  <c r="C243" i="8" s="1"/>
  <c r="B244" i="8" a="1"/>
  <c r="B244" i="8" s="1"/>
  <c r="C244" i="8" a="1"/>
  <c r="C244" i="8" s="1"/>
  <c r="B245" i="8" a="1"/>
  <c r="B245" i="8" s="1"/>
  <c r="C245" i="8" a="1"/>
  <c r="C245" i="8" s="1"/>
  <c r="B246" i="8" a="1"/>
  <c r="B246" i="8" s="1"/>
  <c r="C246" i="8" a="1"/>
  <c r="C246" i="8" s="1"/>
  <c r="B247" i="8" a="1"/>
  <c r="B247" i="8" s="1"/>
  <c r="C247" i="8" a="1"/>
  <c r="C247" i="8" s="1"/>
  <c r="B248" i="8" a="1"/>
  <c r="B248" i="8" s="1"/>
  <c r="C248" i="8" a="1"/>
  <c r="C248" i="8" s="1"/>
  <c r="B249" i="8" a="1"/>
  <c r="B249" i="8" s="1"/>
  <c r="C249" i="8" a="1"/>
  <c r="C249" i="8" s="1"/>
  <c r="B250" i="8" a="1"/>
  <c r="B250" i="8" s="1"/>
  <c r="C250" i="8" a="1"/>
  <c r="C250" i="8" s="1"/>
  <c r="B251" i="8" a="1"/>
  <c r="B251" i="8" s="1"/>
  <c r="C251" i="8" a="1"/>
  <c r="C251" i="8" s="1"/>
  <c r="C12" i="8" a="1"/>
  <c r="C12" i="8" s="1"/>
  <c r="B12" i="8" a="1"/>
  <c r="B12" i="8" s="1"/>
  <c r="F21" i="8" a="1"/>
  <c r="F21" i="8" s="1"/>
  <c r="E20" i="8" a="1"/>
  <c r="E20" i="8" s="1"/>
  <c r="F17" i="8" a="1"/>
  <c r="F17" i="8" s="1"/>
  <c r="E14" i="8" a="1"/>
  <c r="E14" i="8" s="1"/>
  <c r="G13" i="8" a="1"/>
  <c r="G13" i="8" s="1"/>
  <c r="D14" i="8" a="1"/>
  <c r="D14" i="8" s="1"/>
  <c r="D14" i="10" s="1" a="1"/>
  <c r="D14" i="10" s="1"/>
  <c r="G14" i="8" a="1"/>
  <c r="G14" i="8" s="1"/>
  <c r="E15" i="8" a="1"/>
  <c r="E15" i="8" s="1"/>
  <c r="E15" i="10" s="1" a="1"/>
  <c r="E15" i="10" s="1"/>
  <c r="G15" i="8" a="1"/>
  <c r="G15" i="8" s="1"/>
  <c r="D16" i="8" a="1"/>
  <c r="D16" i="8" s="1"/>
  <c r="D16" i="10" s="1" a="1"/>
  <c r="D16" i="10" s="1"/>
  <c r="G16" i="8" a="1"/>
  <c r="G16" i="8" s="1"/>
  <c r="D17" i="8" a="1"/>
  <c r="D17" i="8" s="1"/>
  <c r="D17" i="10" s="1" a="1"/>
  <c r="D17" i="10" s="1"/>
  <c r="E17" i="8" a="1"/>
  <c r="E17" i="8" s="1"/>
  <c r="G17" i="8" a="1"/>
  <c r="G17" i="8" s="1"/>
  <c r="D18" i="8" a="1"/>
  <c r="D18" i="8" s="1"/>
  <c r="D18" i="10" s="1" a="1"/>
  <c r="D18" i="10" s="1"/>
  <c r="E18" i="8" a="1"/>
  <c r="E18" i="8" s="1"/>
  <c r="E18" i="10" s="1" a="1"/>
  <c r="E18" i="10" s="1"/>
  <c r="G18" i="8" a="1"/>
  <c r="G18" i="8" s="1"/>
  <c r="D19" i="8" a="1"/>
  <c r="D19" i="8" s="1"/>
  <c r="D19" i="10" s="1" a="1"/>
  <c r="D19" i="10" s="1"/>
  <c r="E19" i="8" a="1"/>
  <c r="E19" i="8" s="1"/>
  <c r="E19" i="10" s="1" a="1"/>
  <c r="E19" i="10" s="1"/>
  <c r="G19" i="8" a="1"/>
  <c r="G19" i="8" s="1"/>
  <c r="D20" i="8" a="1"/>
  <c r="D20" i="8" s="1"/>
  <c r="D20" i="10" s="1" a="1"/>
  <c r="D20" i="10" s="1"/>
  <c r="G20" i="8" a="1"/>
  <c r="G20" i="8" s="1"/>
  <c r="D21" i="8" a="1"/>
  <c r="D21" i="8" s="1"/>
  <c r="D21" i="10" s="1" a="1"/>
  <c r="D21" i="10" s="1"/>
  <c r="E21" i="8" a="1"/>
  <c r="E21" i="8" s="1"/>
  <c r="E21" i="10" s="1" a="1"/>
  <c r="E21" i="10" s="1"/>
  <c r="G21" i="8" a="1"/>
  <c r="G21" i="8" s="1"/>
  <c r="D22" i="8" a="1"/>
  <c r="D22" i="8" s="1"/>
  <c r="D22" i="10" s="1" a="1"/>
  <c r="D22" i="10" s="1"/>
  <c r="E22" i="8" a="1"/>
  <c r="E22" i="8" s="1"/>
  <c r="E22" i="10" s="1" a="1"/>
  <c r="E22" i="10" s="1"/>
  <c r="G22" i="8" a="1"/>
  <c r="G22" i="8" s="1"/>
  <c r="D23" i="8" a="1"/>
  <c r="D23" i="8" s="1"/>
  <c r="D23" i="10" s="1" a="1"/>
  <c r="D23" i="10" s="1"/>
  <c r="E23" i="8" a="1"/>
  <c r="E23" i="8" s="1"/>
  <c r="E23" i="10" s="1" a="1"/>
  <c r="E23" i="10" s="1"/>
  <c r="F23" i="8" a="1"/>
  <c r="F23" i="8" s="1"/>
  <c r="G23" i="8" a="1"/>
  <c r="G23" i="8" s="1"/>
  <c r="D24" i="8" a="1"/>
  <c r="D24" i="8" s="1"/>
  <c r="D24" i="10" s="1" a="1"/>
  <c r="D24" i="10" s="1"/>
  <c r="E24" i="8" a="1"/>
  <c r="E24" i="8" s="1"/>
  <c r="E24" i="10" s="1" a="1"/>
  <c r="E24" i="10" s="1"/>
  <c r="F24" i="8" a="1"/>
  <c r="F24" i="8" s="1"/>
  <c r="G24" i="8" a="1"/>
  <c r="G24" i="8" s="1"/>
  <c r="D25" i="8" a="1"/>
  <c r="D25" i="8" s="1"/>
  <c r="D25" i="10" s="1" a="1"/>
  <c r="D25" i="10" s="1"/>
  <c r="E25" i="8" a="1"/>
  <c r="E25" i="8" s="1"/>
  <c r="E25" i="10" s="1" a="1"/>
  <c r="E25" i="10" s="1"/>
  <c r="F25" i="8" a="1"/>
  <c r="F25" i="8" s="1"/>
  <c r="G25" i="8" a="1"/>
  <c r="G25" i="8" s="1"/>
  <c r="D26" i="8" a="1"/>
  <c r="D26" i="8" s="1"/>
  <c r="D26" i="10" s="1" a="1"/>
  <c r="D26" i="10" s="1"/>
  <c r="E26" i="8" a="1"/>
  <c r="E26" i="8" s="1"/>
  <c r="E26" i="10" s="1" a="1"/>
  <c r="E26" i="10" s="1"/>
  <c r="F26" i="8" a="1"/>
  <c r="F26" i="8" s="1"/>
  <c r="G26" i="8" a="1"/>
  <c r="G26" i="8" s="1"/>
  <c r="D27" i="8" a="1"/>
  <c r="D27" i="8" s="1"/>
  <c r="D27" i="10" s="1" a="1"/>
  <c r="D27" i="10" s="1"/>
  <c r="E27" i="8" a="1"/>
  <c r="E27" i="8" s="1"/>
  <c r="E27" i="10" s="1" a="1"/>
  <c r="E27" i="10" s="1"/>
  <c r="F27" i="8" a="1"/>
  <c r="F27" i="8" s="1"/>
  <c r="G27" i="8" a="1"/>
  <c r="G27" i="8" s="1"/>
  <c r="D28" i="8" a="1"/>
  <c r="D28" i="8" s="1"/>
  <c r="D28" i="10" s="1" a="1"/>
  <c r="D28" i="10" s="1"/>
  <c r="E28" i="8" a="1"/>
  <c r="E28" i="8" s="1"/>
  <c r="E28" i="10" s="1" a="1"/>
  <c r="E28" i="10" s="1"/>
  <c r="F28" i="8" a="1"/>
  <c r="F28" i="8" s="1"/>
  <c r="G28" i="8" a="1"/>
  <c r="G28" i="8" s="1"/>
  <c r="D29" i="8" a="1"/>
  <c r="D29" i="8" s="1"/>
  <c r="D29" i="10" s="1" a="1"/>
  <c r="D29" i="10" s="1"/>
  <c r="E29" i="8" a="1"/>
  <c r="E29" i="8" s="1"/>
  <c r="E29" i="10" s="1" a="1"/>
  <c r="E29" i="10" s="1"/>
  <c r="F29" i="8" a="1"/>
  <c r="F29" i="8" s="1"/>
  <c r="G29" i="8" a="1"/>
  <c r="G29" i="8" s="1"/>
  <c r="D30" i="8" a="1"/>
  <c r="D30" i="8" s="1"/>
  <c r="D30" i="10" s="1" a="1"/>
  <c r="D30" i="10" s="1"/>
  <c r="E30" i="8" a="1"/>
  <c r="E30" i="8" s="1"/>
  <c r="E30" i="10" s="1" a="1"/>
  <c r="E30" i="10" s="1"/>
  <c r="F30" i="8" a="1"/>
  <c r="F30" i="8" s="1"/>
  <c r="G30" i="8" a="1"/>
  <c r="G30" i="8" s="1"/>
  <c r="D31" i="8" a="1"/>
  <c r="D31" i="8" s="1"/>
  <c r="D31" i="10" s="1" a="1"/>
  <c r="D31" i="10" s="1"/>
  <c r="E31" i="8" a="1"/>
  <c r="E31" i="8" s="1"/>
  <c r="E31" i="10" s="1" a="1"/>
  <c r="E31" i="10" s="1"/>
  <c r="F31" i="8" a="1"/>
  <c r="F31" i="8" s="1"/>
  <c r="G31" i="8" a="1"/>
  <c r="G31" i="8" s="1"/>
  <c r="D32" i="8" a="1"/>
  <c r="D32" i="8" s="1"/>
  <c r="D32" i="10" s="1" a="1"/>
  <c r="D32" i="10" s="1"/>
  <c r="E32" i="8" a="1"/>
  <c r="E32" i="8" s="1"/>
  <c r="E32" i="10" s="1" a="1"/>
  <c r="E32" i="10" s="1"/>
  <c r="F32" i="8" a="1"/>
  <c r="F32" i="8" s="1"/>
  <c r="G32" i="8" a="1"/>
  <c r="G32" i="8" s="1"/>
  <c r="D33" i="8" a="1"/>
  <c r="D33" i="8" s="1"/>
  <c r="D33" i="10" s="1" a="1"/>
  <c r="D33" i="10" s="1"/>
  <c r="E33" i="8" a="1"/>
  <c r="E33" i="8" s="1"/>
  <c r="E33" i="10" s="1" a="1"/>
  <c r="E33" i="10" s="1"/>
  <c r="F33" i="8" a="1"/>
  <c r="F33" i="8" s="1"/>
  <c r="G33" i="8" a="1"/>
  <c r="G33" i="8" s="1"/>
  <c r="D34" i="8" a="1"/>
  <c r="D34" i="8" s="1"/>
  <c r="D34" i="10" s="1" a="1"/>
  <c r="D34" i="10" s="1"/>
  <c r="E34" i="8" a="1"/>
  <c r="E34" i="8" s="1"/>
  <c r="E34" i="10" s="1" a="1"/>
  <c r="E34" i="10" s="1"/>
  <c r="F34" i="8" a="1"/>
  <c r="F34" i="8" s="1"/>
  <c r="G34" i="8" a="1"/>
  <c r="G34" i="8" s="1"/>
  <c r="D35" i="8" a="1"/>
  <c r="D35" i="8" s="1"/>
  <c r="D35" i="10" s="1" a="1"/>
  <c r="D35" i="10" s="1"/>
  <c r="E35" i="8" a="1"/>
  <c r="E35" i="8" s="1"/>
  <c r="E35" i="10" s="1" a="1"/>
  <c r="E35" i="10" s="1"/>
  <c r="F35" i="8" a="1"/>
  <c r="F35" i="8" s="1"/>
  <c r="G35" i="8" a="1"/>
  <c r="G35" i="8" s="1"/>
  <c r="D36" i="8" a="1"/>
  <c r="D36" i="8" s="1"/>
  <c r="D36" i="10" s="1" a="1"/>
  <c r="D36" i="10" s="1"/>
  <c r="E36" i="8" a="1"/>
  <c r="E36" i="8" s="1"/>
  <c r="E36" i="10" s="1" a="1"/>
  <c r="E36" i="10" s="1"/>
  <c r="F36" i="8" a="1"/>
  <c r="F36" i="8" s="1"/>
  <c r="G36" i="8" a="1"/>
  <c r="G36" i="8" s="1"/>
  <c r="D37" i="8" a="1"/>
  <c r="D37" i="8" s="1"/>
  <c r="D37" i="10" s="1" a="1"/>
  <c r="D37" i="10" s="1"/>
  <c r="E37" i="8" a="1"/>
  <c r="E37" i="8" s="1"/>
  <c r="E37" i="10" s="1" a="1"/>
  <c r="E37" i="10" s="1"/>
  <c r="F37" i="8" a="1"/>
  <c r="F37" i="8" s="1"/>
  <c r="G37" i="8" a="1"/>
  <c r="G37" i="8" s="1"/>
  <c r="D38" i="8" a="1"/>
  <c r="D38" i="8" s="1"/>
  <c r="D38" i="10" s="1" a="1"/>
  <c r="D38" i="10" s="1"/>
  <c r="E38" i="8" a="1"/>
  <c r="E38" i="8" s="1"/>
  <c r="E38" i="10" s="1" a="1"/>
  <c r="E38" i="10" s="1"/>
  <c r="F38" i="8" a="1"/>
  <c r="F38" i="8" s="1"/>
  <c r="G38" i="8" a="1"/>
  <c r="G38" i="8" s="1"/>
  <c r="D39" i="8" a="1"/>
  <c r="D39" i="8" s="1"/>
  <c r="D39" i="10" s="1" a="1"/>
  <c r="D39" i="10" s="1"/>
  <c r="E39" i="8" a="1"/>
  <c r="E39" i="8" s="1"/>
  <c r="E39" i="10" s="1" a="1"/>
  <c r="E39" i="10" s="1"/>
  <c r="F39" i="8" a="1"/>
  <c r="F39" i="8" s="1"/>
  <c r="G39" i="8" a="1"/>
  <c r="G39" i="8" s="1"/>
  <c r="D40" i="8" a="1"/>
  <c r="D40" i="8" s="1"/>
  <c r="D40" i="10" s="1" a="1"/>
  <c r="D40" i="10" s="1"/>
  <c r="E40" i="8" a="1"/>
  <c r="E40" i="8" s="1"/>
  <c r="E40" i="10" s="1" a="1"/>
  <c r="E40" i="10" s="1"/>
  <c r="F40" i="8" a="1"/>
  <c r="F40" i="8" s="1"/>
  <c r="G40" i="8" a="1"/>
  <c r="G40" i="8" s="1"/>
  <c r="D41" i="8" a="1"/>
  <c r="D41" i="8" s="1"/>
  <c r="D41" i="10" s="1" a="1"/>
  <c r="D41" i="10" s="1"/>
  <c r="E41" i="8" a="1"/>
  <c r="E41" i="8" s="1"/>
  <c r="E41" i="10" s="1" a="1"/>
  <c r="E41" i="10" s="1"/>
  <c r="F41" i="8" a="1"/>
  <c r="F41" i="8" s="1"/>
  <c r="G41" i="8" a="1"/>
  <c r="G41" i="8" s="1"/>
  <c r="D42" i="8" a="1"/>
  <c r="D42" i="8" s="1"/>
  <c r="D42" i="10" s="1" a="1"/>
  <c r="D42" i="10" s="1"/>
  <c r="E42" i="8" a="1"/>
  <c r="E42" i="8" s="1"/>
  <c r="E42" i="10" s="1" a="1"/>
  <c r="E42" i="10" s="1"/>
  <c r="F42" i="8" a="1"/>
  <c r="F42" i="8" s="1"/>
  <c r="G42" i="8" a="1"/>
  <c r="G42" i="8" s="1"/>
  <c r="D43" i="8" a="1"/>
  <c r="D43" i="8" s="1"/>
  <c r="D43" i="10" s="1" a="1"/>
  <c r="D43" i="10" s="1"/>
  <c r="E43" i="8" a="1"/>
  <c r="E43" i="8" s="1"/>
  <c r="E43" i="10" s="1" a="1"/>
  <c r="E43" i="10" s="1"/>
  <c r="F43" i="8" a="1"/>
  <c r="F43" i="8" s="1"/>
  <c r="G43" i="8" a="1"/>
  <c r="G43" i="8" s="1"/>
  <c r="D44" i="8" a="1"/>
  <c r="D44" i="8" s="1"/>
  <c r="D44" i="10" s="1" a="1"/>
  <c r="D44" i="10" s="1"/>
  <c r="E44" i="8" a="1"/>
  <c r="E44" i="8" s="1"/>
  <c r="E44" i="10" s="1" a="1"/>
  <c r="E44" i="10" s="1"/>
  <c r="F44" i="8" a="1"/>
  <c r="F44" i="8" s="1"/>
  <c r="G44" i="8" a="1"/>
  <c r="G44" i="8" s="1"/>
  <c r="D45" i="8" a="1"/>
  <c r="D45" i="8" s="1"/>
  <c r="D45" i="10" s="1" a="1"/>
  <c r="D45" i="10" s="1"/>
  <c r="E45" i="8" a="1"/>
  <c r="E45" i="8" s="1"/>
  <c r="E45" i="10" s="1" a="1"/>
  <c r="E45" i="10" s="1"/>
  <c r="F45" i="8" a="1"/>
  <c r="F45" i="8" s="1"/>
  <c r="G45" i="8" a="1"/>
  <c r="G45" i="8" s="1"/>
  <c r="D46" i="8" a="1"/>
  <c r="D46" i="8" s="1"/>
  <c r="D46" i="10" s="1" a="1"/>
  <c r="D46" i="10" s="1"/>
  <c r="E46" i="8" a="1"/>
  <c r="E46" i="8" s="1"/>
  <c r="E46" i="10" s="1" a="1"/>
  <c r="E46" i="10" s="1"/>
  <c r="F46" i="8" a="1"/>
  <c r="F46" i="8" s="1"/>
  <c r="G46" i="8" a="1"/>
  <c r="G46" i="8" s="1"/>
  <c r="D47" i="8" a="1"/>
  <c r="D47" i="8" s="1"/>
  <c r="D47" i="10" s="1" a="1"/>
  <c r="D47" i="10" s="1"/>
  <c r="E47" i="8" a="1"/>
  <c r="E47" i="8" s="1"/>
  <c r="E47" i="10" s="1" a="1"/>
  <c r="E47" i="10" s="1"/>
  <c r="F47" i="8" a="1"/>
  <c r="F47" i="8" s="1"/>
  <c r="G47" i="8" a="1"/>
  <c r="G47" i="8" s="1"/>
  <c r="D48" i="8" a="1"/>
  <c r="D48" i="8" s="1"/>
  <c r="D48" i="10" s="1" a="1"/>
  <c r="D48" i="10" s="1"/>
  <c r="E48" i="8" a="1"/>
  <c r="E48" i="8" s="1"/>
  <c r="E48" i="10" s="1" a="1"/>
  <c r="E48" i="10" s="1"/>
  <c r="F48" i="8" a="1"/>
  <c r="F48" i="8" s="1"/>
  <c r="G48" i="8" a="1"/>
  <c r="G48" i="8" s="1"/>
  <c r="D49" i="8" a="1"/>
  <c r="D49" i="8" s="1"/>
  <c r="D49" i="10" s="1" a="1"/>
  <c r="D49" i="10" s="1"/>
  <c r="E49" i="8" a="1"/>
  <c r="E49" i="8" s="1"/>
  <c r="E49" i="10" s="1" a="1"/>
  <c r="E49" i="10" s="1"/>
  <c r="F49" i="8" a="1"/>
  <c r="F49" i="8" s="1"/>
  <c r="G49" i="8" a="1"/>
  <c r="G49" i="8" s="1"/>
  <c r="D50" i="8" a="1"/>
  <c r="D50" i="8" s="1"/>
  <c r="D50" i="10" s="1" a="1"/>
  <c r="D50" i="10" s="1"/>
  <c r="E50" i="8" a="1"/>
  <c r="E50" i="8" s="1"/>
  <c r="E50" i="10" s="1" a="1"/>
  <c r="E50" i="10" s="1"/>
  <c r="F50" i="8" a="1"/>
  <c r="F50" i="8" s="1"/>
  <c r="G50" i="8" a="1"/>
  <c r="G50" i="8" s="1"/>
  <c r="D51" i="8" a="1"/>
  <c r="D51" i="8" s="1"/>
  <c r="D51" i="10" s="1" a="1"/>
  <c r="D51" i="10" s="1"/>
  <c r="E51" i="8" a="1"/>
  <c r="E51" i="8" s="1"/>
  <c r="E51" i="10" s="1" a="1"/>
  <c r="E51" i="10" s="1"/>
  <c r="F51" i="8" a="1"/>
  <c r="F51" i="8" s="1"/>
  <c r="G51" i="8" a="1"/>
  <c r="G51" i="8" s="1"/>
  <c r="D52" i="8" a="1"/>
  <c r="D52" i="8" s="1"/>
  <c r="D52" i="10" s="1" a="1"/>
  <c r="D52" i="10" s="1"/>
  <c r="E52" i="8" a="1"/>
  <c r="E52" i="8" s="1"/>
  <c r="E52" i="10" s="1" a="1"/>
  <c r="E52" i="10" s="1"/>
  <c r="F52" i="8" a="1"/>
  <c r="F52" i="8" s="1"/>
  <c r="G52" i="8" a="1"/>
  <c r="G52" i="8" s="1"/>
  <c r="D53" i="8" a="1"/>
  <c r="D53" i="8" s="1"/>
  <c r="D53" i="10" s="1" a="1"/>
  <c r="D53" i="10" s="1"/>
  <c r="E53" i="8" a="1"/>
  <c r="E53" i="8" s="1"/>
  <c r="E53" i="10" s="1" a="1"/>
  <c r="E53" i="10" s="1"/>
  <c r="F53" i="8" a="1"/>
  <c r="F53" i="8" s="1"/>
  <c r="G53" i="8" a="1"/>
  <c r="G53" i="8" s="1"/>
  <c r="D54" i="8" a="1"/>
  <c r="D54" i="8" s="1"/>
  <c r="D54" i="10" s="1" a="1"/>
  <c r="D54" i="10" s="1"/>
  <c r="E54" i="8" a="1"/>
  <c r="E54" i="8" s="1"/>
  <c r="E54" i="10" s="1" a="1"/>
  <c r="E54" i="10" s="1"/>
  <c r="F54" i="8" a="1"/>
  <c r="F54" i="8" s="1"/>
  <c r="G54" i="8" a="1"/>
  <c r="G54" i="8" s="1"/>
  <c r="D55" i="8" a="1"/>
  <c r="D55" i="8" s="1"/>
  <c r="D55" i="10" s="1" a="1"/>
  <c r="D55" i="10" s="1"/>
  <c r="E55" i="8" a="1"/>
  <c r="E55" i="8" s="1"/>
  <c r="E55" i="10" s="1" a="1"/>
  <c r="E55" i="10" s="1"/>
  <c r="F55" i="8" a="1"/>
  <c r="F55" i="8" s="1"/>
  <c r="G55" i="8" a="1"/>
  <c r="G55" i="8" s="1"/>
  <c r="D56" i="8" a="1"/>
  <c r="D56" i="8" s="1"/>
  <c r="D56" i="10" s="1" a="1"/>
  <c r="D56" i="10" s="1"/>
  <c r="E56" i="8" a="1"/>
  <c r="E56" i="8" s="1"/>
  <c r="E56" i="10" s="1" a="1"/>
  <c r="E56" i="10" s="1"/>
  <c r="F56" i="8" a="1"/>
  <c r="F56" i="8" s="1"/>
  <c r="G56" i="8" a="1"/>
  <c r="G56" i="8" s="1"/>
  <c r="D57" i="8" a="1"/>
  <c r="D57" i="8" s="1"/>
  <c r="D57" i="10" s="1" a="1"/>
  <c r="D57" i="10" s="1"/>
  <c r="E57" i="8" a="1"/>
  <c r="E57" i="8" s="1"/>
  <c r="E57" i="10" s="1" a="1"/>
  <c r="E57" i="10" s="1"/>
  <c r="F57" i="8" a="1"/>
  <c r="F57" i="8" s="1"/>
  <c r="G57" i="8" a="1"/>
  <c r="G57" i="8" s="1"/>
  <c r="D58" i="8" a="1"/>
  <c r="D58" i="8" s="1"/>
  <c r="D58" i="10" s="1" a="1"/>
  <c r="D58" i="10" s="1"/>
  <c r="E58" i="8" a="1"/>
  <c r="E58" i="8" s="1"/>
  <c r="E58" i="10" s="1" a="1"/>
  <c r="E58" i="10" s="1"/>
  <c r="F58" i="8" a="1"/>
  <c r="F58" i="8" s="1"/>
  <c r="G58" i="8" a="1"/>
  <c r="G58" i="8" s="1"/>
  <c r="D59" i="8" a="1"/>
  <c r="D59" i="8" s="1"/>
  <c r="D59" i="10" s="1" a="1"/>
  <c r="D59" i="10" s="1"/>
  <c r="E59" i="8" a="1"/>
  <c r="E59" i="8" s="1"/>
  <c r="E59" i="10" s="1" a="1"/>
  <c r="E59" i="10" s="1"/>
  <c r="F59" i="8" a="1"/>
  <c r="F59" i="8" s="1"/>
  <c r="G59" i="8" a="1"/>
  <c r="G59" i="8" s="1"/>
  <c r="D60" i="8" a="1"/>
  <c r="D60" i="8" s="1"/>
  <c r="D60" i="10" s="1" a="1"/>
  <c r="D60" i="10" s="1"/>
  <c r="E60" i="8" a="1"/>
  <c r="E60" i="8" s="1"/>
  <c r="E60" i="10" s="1" a="1"/>
  <c r="E60" i="10" s="1"/>
  <c r="F60" i="8" a="1"/>
  <c r="F60" i="8" s="1"/>
  <c r="G60" i="8" a="1"/>
  <c r="G60" i="8" s="1"/>
  <c r="D61" i="8" a="1"/>
  <c r="D61" i="8" s="1"/>
  <c r="D61" i="10" s="1" a="1"/>
  <c r="D61" i="10" s="1"/>
  <c r="E61" i="8" a="1"/>
  <c r="E61" i="8" s="1"/>
  <c r="E61" i="10" s="1" a="1"/>
  <c r="E61" i="10" s="1"/>
  <c r="F61" i="8" a="1"/>
  <c r="F61" i="8" s="1"/>
  <c r="G61" i="8" a="1"/>
  <c r="G61" i="8" s="1"/>
  <c r="D62" i="8" a="1"/>
  <c r="D62" i="8" s="1"/>
  <c r="D62" i="10" s="1" a="1"/>
  <c r="D62" i="10" s="1"/>
  <c r="E62" i="8" a="1"/>
  <c r="E62" i="8" s="1"/>
  <c r="E62" i="10" s="1" a="1"/>
  <c r="E62" i="10" s="1"/>
  <c r="F62" i="8" a="1"/>
  <c r="F62" i="8" s="1"/>
  <c r="G62" i="8" a="1"/>
  <c r="G62" i="8" s="1"/>
  <c r="D63" i="8" a="1"/>
  <c r="D63" i="8" s="1"/>
  <c r="D63" i="10" s="1" a="1"/>
  <c r="D63" i="10" s="1"/>
  <c r="E63" i="8" a="1"/>
  <c r="E63" i="8" s="1"/>
  <c r="E63" i="10" s="1" a="1"/>
  <c r="E63" i="10" s="1"/>
  <c r="F63" i="8" a="1"/>
  <c r="F63" i="8" s="1"/>
  <c r="G63" i="8" a="1"/>
  <c r="G63" i="8" s="1"/>
  <c r="D64" i="8" a="1"/>
  <c r="D64" i="8" s="1"/>
  <c r="D64" i="10" s="1" a="1"/>
  <c r="D64" i="10" s="1"/>
  <c r="E64" i="8" a="1"/>
  <c r="E64" i="8" s="1"/>
  <c r="E64" i="10" s="1" a="1"/>
  <c r="E64" i="10" s="1"/>
  <c r="F64" i="8" a="1"/>
  <c r="F64" i="8" s="1"/>
  <c r="G64" i="8" a="1"/>
  <c r="G64" i="8" s="1"/>
  <c r="D65" i="8" a="1"/>
  <c r="D65" i="8" s="1"/>
  <c r="D65" i="10" s="1" a="1"/>
  <c r="D65" i="10" s="1"/>
  <c r="E65" i="8" a="1"/>
  <c r="E65" i="8" s="1"/>
  <c r="E65" i="10" s="1" a="1"/>
  <c r="E65" i="10" s="1"/>
  <c r="F65" i="8" a="1"/>
  <c r="F65" i="8" s="1"/>
  <c r="G65" i="8" a="1"/>
  <c r="G65" i="8" s="1"/>
  <c r="D66" i="8" a="1"/>
  <c r="D66" i="8" s="1"/>
  <c r="D66" i="10" s="1" a="1"/>
  <c r="D66" i="10" s="1"/>
  <c r="E66" i="8" a="1"/>
  <c r="E66" i="8" s="1"/>
  <c r="E66" i="10" s="1" a="1"/>
  <c r="E66" i="10" s="1"/>
  <c r="F66" i="8" a="1"/>
  <c r="F66" i="8" s="1"/>
  <c r="G66" i="8" a="1"/>
  <c r="G66" i="8" s="1"/>
  <c r="D67" i="8" a="1"/>
  <c r="D67" i="8" s="1"/>
  <c r="D67" i="10" s="1" a="1"/>
  <c r="D67" i="10" s="1"/>
  <c r="E67" i="8" a="1"/>
  <c r="E67" i="8" s="1"/>
  <c r="E67" i="10" s="1" a="1"/>
  <c r="E67" i="10" s="1"/>
  <c r="F67" i="8" a="1"/>
  <c r="F67" i="8" s="1"/>
  <c r="G67" i="8" a="1"/>
  <c r="G67" i="8" s="1"/>
  <c r="D68" i="8" a="1"/>
  <c r="D68" i="8" s="1"/>
  <c r="D68" i="10" s="1" a="1"/>
  <c r="D68" i="10" s="1"/>
  <c r="E68" i="8" a="1"/>
  <c r="E68" i="8" s="1"/>
  <c r="E68" i="10" s="1" a="1"/>
  <c r="E68" i="10" s="1"/>
  <c r="F68" i="8" a="1"/>
  <c r="F68" i="8" s="1"/>
  <c r="G68" i="8" a="1"/>
  <c r="G68" i="8" s="1"/>
  <c r="D69" i="8" a="1"/>
  <c r="D69" i="8" s="1"/>
  <c r="D69" i="10" s="1" a="1"/>
  <c r="D69" i="10" s="1"/>
  <c r="E69" i="8" a="1"/>
  <c r="E69" i="8" s="1"/>
  <c r="E69" i="10" s="1" a="1"/>
  <c r="E69" i="10" s="1"/>
  <c r="F69" i="8" a="1"/>
  <c r="F69" i="8" s="1"/>
  <c r="G69" i="8" a="1"/>
  <c r="G69" i="8" s="1"/>
  <c r="D70" i="8" a="1"/>
  <c r="D70" i="8" s="1"/>
  <c r="D70" i="10" s="1" a="1"/>
  <c r="D70" i="10" s="1"/>
  <c r="E70" i="8" a="1"/>
  <c r="E70" i="8" s="1"/>
  <c r="E70" i="10" s="1" a="1"/>
  <c r="E70" i="10" s="1"/>
  <c r="F70" i="8" a="1"/>
  <c r="F70" i="8" s="1"/>
  <c r="G70" i="8" a="1"/>
  <c r="G70" i="8" s="1"/>
  <c r="D71" i="8" a="1"/>
  <c r="D71" i="8" s="1"/>
  <c r="D71" i="10" s="1" a="1"/>
  <c r="D71" i="10" s="1"/>
  <c r="E71" i="8" a="1"/>
  <c r="E71" i="8" s="1"/>
  <c r="E71" i="10" s="1" a="1"/>
  <c r="E71" i="10" s="1"/>
  <c r="F71" i="8" a="1"/>
  <c r="F71" i="8" s="1"/>
  <c r="G71" i="8" a="1"/>
  <c r="G71" i="8" s="1"/>
  <c r="D72" i="8" a="1"/>
  <c r="D72" i="8" s="1"/>
  <c r="D72" i="10" s="1" a="1"/>
  <c r="D72" i="10" s="1"/>
  <c r="E72" i="8" a="1"/>
  <c r="E72" i="8" s="1"/>
  <c r="E72" i="10" s="1" a="1"/>
  <c r="E72" i="10" s="1"/>
  <c r="F72" i="8" a="1"/>
  <c r="F72" i="8" s="1"/>
  <c r="G72" i="8" a="1"/>
  <c r="G72" i="8" s="1"/>
  <c r="D73" i="8" a="1"/>
  <c r="D73" i="8" s="1"/>
  <c r="D73" i="10" s="1" a="1"/>
  <c r="D73" i="10" s="1"/>
  <c r="E73" i="8" a="1"/>
  <c r="E73" i="8" s="1"/>
  <c r="E73" i="10" s="1" a="1"/>
  <c r="E73" i="10" s="1"/>
  <c r="F73" i="8" a="1"/>
  <c r="F73" i="8" s="1"/>
  <c r="G73" i="8" a="1"/>
  <c r="G73" i="8" s="1"/>
  <c r="D74" i="8" a="1"/>
  <c r="D74" i="8" s="1"/>
  <c r="D74" i="10" s="1" a="1"/>
  <c r="D74" i="10" s="1"/>
  <c r="E74" i="8" a="1"/>
  <c r="E74" i="8" s="1"/>
  <c r="E74" i="10" s="1" a="1"/>
  <c r="E74" i="10" s="1"/>
  <c r="F74" i="8" a="1"/>
  <c r="F74" i="8" s="1"/>
  <c r="G74" i="8" a="1"/>
  <c r="G74" i="8" s="1"/>
  <c r="D75" i="8" a="1"/>
  <c r="D75" i="8" s="1"/>
  <c r="D75" i="10" s="1" a="1"/>
  <c r="D75" i="10" s="1"/>
  <c r="E75" i="8" a="1"/>
  <c r="E75" i="8" s="1"/>
  <c r="E75" i="10" s="1" a="1"/>
  <c r="E75" i="10" s="1"/>
  <c r="F75" i="8" a="1"/>
  <c r="F75" i="8" s="1"/>
  <c r="G75" i="8" a="1"/>
  <c r="G75" i="8" s="1"/>
  <c r="D76" i="8" a="1"/>
  <c r="D76" i="8" s="1"/>
  <c r="D76" i="10" s="1" a="1"/>
  <c r="D76" i="10" s="1"/>
  <c r="E76" i="8" a="1"/>
  <c r="E76" i="8" s="1"/>
  <c r="E76" i="10" s="1" a="1"/>
  <c r="E76" i="10" s="1"/>
  <c r="F76" i="8" a="1"/>
  <c r="F76" i="8" s="1"/>
  <c r="G76" i="8" a="1"/>
  <c r="G76" i="8" s="1"/>
  <c r="D77" i="8" a="1"/>
  <c r="D77" i="8" s="1"/>
  <c r="D77" i="10" s="1" a="1"/>
  <c r="D77" i="10" s="1"/>
  <c r="E77" i="8" a="1"/>
  <c r="E77" i="8" s="1"/>
  <c r="E77" i="10" s="1" a="1"/>
  <c r="E77" i="10" s="1"/>
  <c r="F77" i="8" a="1"/>
  <c r="F77" i="8" s="1"/>
  <c r="G77" i="8" a="1"/>
  <c r="G77" i="8" s="1"/>
  <c r="D78" i="8" a="1"/>
  <c r="D78" i="8" s="1"/>
  <c r="D78" i="10" s="1" a="1"/>
  <c r="D78" i="10" s="1"/>
  <c r="E78" i="8" a="1"/>
  <c r="E78" i="8" s="1"/>
  <c r="E78" i="10" s="1" a="1"/>
  <c r="E78" i="10" s="1"/>
  <c r="F78" i="8" a="1"/>
  <c r="F78" i="8" s="1"/>
  <c r="G78" i="8" a="1"/>
  <c r="G78" i="8" s="1"/>
  <c r="D79" i="8" a="1"/>
  <c r="D79" i="8" s="1"/>
  <c r="D79" i="10" s="1" a="1"/>
  <c r="D79" i="10" s="1"/>
  <c r="E79" i="8" a="1"/>
  <c r="E79" i="8" s="1"/>
  <c r="E79" i="10" s="1" a="1"/>
  <c r="E79" i="10" s="1"/>
  <c r="F79" i="8" a="1"/>
  <c r="F79" i="8" s="1"/>
  <c r="G79" i="8" a="1"/>
  <c r="G79" i="8" s="1"/>
  <c r="D80" i="8" a="1"/>
  <c r="D80" i="8" s="1"/>
  <c r="D80" i="10" s="1" a="1"/>
  <c r="D80" i="10" s="1"/>
  <c r="E80" i="8" a="1"/>
  <c r="E80" i="8" s="1"/>
  <c r="E80" i="10" s="1" a="1"/>
  <c r="E80" i="10" s="1"/>
  <c r="F80" i="8" a="1"/>
  <c r="F80" i="8" s="1"/>
  <c r="G80" i="8" a="1"/>
  <c r="G80" i="8" s="1"/>
  <c r="D81" i="8" a="1"/>
  <c r="D81" i="8" s="1"/>
  <c r="D81" i="10" s="1" a="1"/>
  <c r="D81" i="10" s="1"/>
  <c r="E81" i="8" a="1"/>
  <c r="E81" i="8" s="1"/>
  <c r="E81" i="10" s="1" a="1"/>
  <c r="E81" i="10" s="1"/>
  <c r="F81" i="8" a="1"/>
  <c r="F81" i="8" s="1"/>
  <c r="G81" i="8" a="1"/>
  <c r="G81" i="8" s="1"/>
  <c r="D82" i="8" a="1"/>
  <c r="D82" i="8" s="1"/>
  <c r="D82" i="10" s="1" a="1"/>
  <c r="D82" i="10" s="1"/>
  <c r="E82" i="8" a="1"/>
  <c r="E82" i="8" s="1"/>
  <c r="E82" i="10" s="1" a="1"/>
  <c r="E82" i="10" s="1"/>
  <c r="F82" i="8" a="1"/>
  <c r="F82" i="8" s="1"/>
  <c r="G82" i="8" a="1"/>
  <c r="G82" i="8" s="1"/>
  <c r="D83" i="8" a="1"/>
  <c r="D83" i="8" s="1"/>
  <c r="D83" i="10" s="1" a="1"/>
  <c r="D83" i="10" s="1"/>
  <c r="E83" i="8" a="1"/>
  <c r="E83" i="8" s="1"/>
  <c r="E83" i="10" s="1" a="1"/>
  <c r="E83" i="10" s="1"/>
  <c r="F83" i="8" a="1"/>
  <c r="F83" i="8" s="1"/>
  <c r="G83" i="8" a="1"/>
  <c r="G83" i="8" s="1"/>
  <c r="D84" i="8" a="1"/>
  <c r="D84" i="8" s="1"/>
  <c r="D84" i="10" s="1" a="1"/>
  <c r="D84" i="10" s="1"/>
  <c r="E84" i="8" a="1"/>
  <c r="E84" i="8" s="1"/>
  <c r="E84" i="10" s="1" a="1"/>
  <c r="E84" i="10" s="1"/>
  <c r="F84" i="8" a="1"/>
  <c r="F84" i="8" s="1"/>
  <c r="G84" i="8" a="1"/>
  <c r="G84" i="8" s="1"/>
  <c r="D85" i="8" a="1"/>
  <c r="D85" i="8" s="1"/>
  <c r="D85" i="10" s="1" a="1"/>
  <c r="D85" i="10" s="1"/>
  <c r="E85" i="8" a="1"/>
  <c r="E85" i="8" s="1"/>
  <c r="E85" i="10" s="1" a="1"/>
  <c r="E85" i="10" s="1"/>
  <c r="F85" i="8" a="1"/>
  <c r="F85" i="8" s="1"/>
  <c r="G85" i="8" a="1"/>
  <c r="G85" i="8" s="1"/>
  <c r="D86" i="8" a="1"/>
  <c r="D86" i="8" s="1"/>
  <c r="D86" i="10" s="1" a="1"/>
  <c r="D86" i="10" s="1"/>
  <c r="E86" i="8" a="1"/>
  <c r="E86" i="8" s="1"/>
  <c r="E86" i="10" s="1" a="1"/>
  <c r="E86" i="10" s="1"/>
  <c r="F86" i="8" a="1"/>
  <c r="F86" i="8" s="1"/>
  <c r="G86" i="8" a="1"/>
  <c r="G86" i="8" s="1"/>
  <c r="D87" i="8" a="1"/>
  <c r="D87" i="8" s="1"/>
  <c r="D87" i="10" s="1" a="1"/>
  <c r="D87" i="10" s="1"/>
  <c r="E87" i="8" a="1"/>
  <c r="E87" i="8" s="1"/>
  <c r="E87" i="10" s="1" a="1"/>
  <c r="E87" i="10" s="1"/>
  <c r="F87" i="8" a="1"/>
  <c r="F87" i="8" s="1"/>
  <c r="G87" i="8" a="1"/>
  <c r="G87" i="8" s="1"/>
  <c r="D88" i="8" a="1"/>
  <c r="D88" i="8" s="1"/>
  <c r="D88" i="10" s="1" a="1"/>
  <c r="D88" i="10" s="1"/>
  <c r="E88" i="8" a="1"/>
  <c r="E88" i="8" s="1"/>
  <c r="E88" i="10" s="1" a="1"/>
  <c r="E88" i="10" s="1"/>
  <c r="F88" i="8" a="1"/>
  <c r="F88" i="8" s="1"/>
  <c r="G88" i="8" a="1"/>
  <c r="G88" i="8" s="1"/>
  <c r="D89" i="8" a="1"/>
  <c r="D89" i="8" s="1"/>
  <c r="D89" i="10" s="1" a="1"/>
  <c r="D89" i="10" s="1"/>
  <c r="E89" i="8" a="1"/>
  <c r="E89" i="8" s="1"/>
  <c r="E89" i="10" s="1" a="1"/>
  <c r="E89" i="10" s="1"/>
  <c r="F89" i="8" a="1"/>
  <c r="F89" i="8" s="1"/>
  <c r="G89" i="8" a="1"/>
  <c r="G89" i="8" s="1"/>
  <c r="D90" i="8" a="1"/>
  <c r="D90" i="8" s="1"/>
  <c r="D90" i="10" s="1" a="1"/>
  <c r="D90" i="10" s="1"/>
  <c r="E90" i="8" a="1"/>
  <c r="E90" i="8" s="1"/>
  <c r="E90" i="10" s="1" a="1"/>
  <c r="E90" i="10" s="1"/>
  <c r="F90" i="8" a="1"/>
  <c r="F90" i="8" s="1"/>
  <c r="G90" i="8" a="1"/>
  <c r="G90" i="8" s="1"/>
  <c r="D91" i="8" a="1"/>
  <c r="D91" i="8" s="1"/>
  <c r="D91" i="10" s="1" a="1"/>
  <c r="D91" i="10" s="1"/>
  <c r="E91" i="8" a="1"/>
  <c r="E91" i="8" s="1"/>
  <c r="E91" i="10" s="1" a="1"/>
  <c r="E91" i="10" s="1"/>
  <c r="F91" i="8" a="1"/>
  <c r="F91" i="8" s="1"/>
  <c r="G91" i="8" a="1"/>
  <c r="G91" i="8" s="1"/>
  <c r="D92" i="8" a="1"/>
  <c r="D92" i="8" s="1"/>
  <c r="D92" i="10" s="1" a="1"/>
  <c r="D92" i="10" s="1"/>
  <c r="E92" i="8" a="1"/>
  <c r="E92" i="8" s="1"/>
  <c r="E92" i="10" s="1" a="1"/>
  <c r="E92" i="10" s="1"/>
  <c r="F92" i="8" a="1"/>
  <c r="F92" i="8" s="1"/>
  <c r="G92" i="8" a="1"/>
  <c r="G92" i="8" s="1"/>
  <c r="D93" i="8" a="1"/>
  <c r="D93" i="8" s="1"/>
  <c r="D93" i="10" s="1" a="1"/>
  <c r="D93" i="10" s="1"/>
  <c r="E93" i="8" a="1"/>
  <c r="E93" i="8" s="1"/>
  <c r="E93" i="10" s="1" a="1"/>
  <c r="E93" i="10" s="1"/>
  <c r="F93" i="8" a="1"/>
  <c r="F93" i="8" s="1"/>
  <c r="G93" i="8" a="1"/>
  <c r="G93" i="8" s="1"/>
  <c r="D94" i="8" a="1"/>
  <c r="D94" i="8" s="1"/>
  <c r="D94" i="10" s="1" a="1"/>
  <c r="D94" i="10" s="1"/>
  <c r="E94" i="8" a="1"/>
  <c r="E94" i="8" s="1"/>
  <c r="E94" i="10" s="1" a="1"/>
  <c r="E94" i="10" s="1"/>
  <c r="F94" i="8" a="1"/>
  <c r="F94" i="8" s="1"/>
  <c r="G94" i="8" a="1"/>
  <c r="G94" i="8" s="1"/>
  <c r="D95" i="8" a="1"/>
  <c r="D95" i="8" s="1"/>
  <c r="D95" i="10" s="1" a="1"/>
  <c r="D95" i="10" s="1"/>
  <c r="E95" i="8" a="1"/>
  <c r="E95" i="8" s="1"/>
  <c r="E95" i="10" s="1" a="1"/>
  <c r="E95" i="10" s="1"/>
  <c r="F95" i="8" a="1"/>
  <c r="F95" i="8" s="1"/>
  <c r="G95" i="8" a="1"/>
  <c r="G95" i="8" s="1"/>
  <c r="D96" i="8" a="1"/>
  <c r="D96" i="8" s="1"/>
  <c r="D96" i="10" s="1" a="1"/>
  <c r="D96" i="10" s="1"/>
  <c r="E96" i="8" a="1"/>
  <c r="E96" i="8" s="1"/>
  <c r="E96" i="10" s="1" a="1"/>
  <c r="E96" i="10" s="1"/>
  <c r="F96" i="8" a="1"/>
  <c r="F96" i="8" s="1"/>
  <c r="G96" i="8" a="1"/>
  <c r="G96" i="8" s="1"/>
  <c r="D97" i="8" a="1"/>
  <c r="D97" i="8" s="1"/>
  <c r="D97" i="10" s="1" a="1"/>
  <c r="D97" i="10" s="1"/>
  <c r="E97" i="8" a="1"/>
  <c r="E97" i="8" s="1"/>
  <c r="E97" i="10" s="1" a="1"/>
  <c r="E97" i="10" s="1"/>
  <c r="F97" i="8" a="1"/>
  <c r="F97" i="8" s="1"/>
  <c r="G97" i="8" a="1"/>
  <c r="G97" i="8" s="1"/>
  <c r="D98" i="8" a="1"/>
  <c r="D98" i="8" s="1"/>
  <c r="D98" i="10" s="1" a="1"/>
  <c r="D98" i="10" s="1"/>
  <c r="E98" i="8" a="1"/>
  <c r="E98" i="8" s="1"/>
  <c r="E98" i="10" s="1" a="1"/>
  <c r="E98" i="10" s="1"/>
  <c r="F98" i="8" a="1"/>
  <c r="F98" i="8" s="1"/>
  <c r="G98" i="8" a="1"/>
  <c r="G98" i="8" s="1"/>
  <c r="D99" i="8" a="1"/>
  <c r="D99" i="8" s="1"/>
  <c r="D99" i="10" s="1" a="1"/>
  <c r="D99" i="10" s="1"/>
  <c r="E99" i="8" a="1"/>
  <c r="E99" i="8" s="1"/>
  <c r="E99" i="10" s="1" a="1"/>
  <c r="E99" i="10" s="1"/>
  <c r="F99" i="8" a="1"/>
  <c r="F99" i="8" s="1"/>
  <c r="G99" i="8" a="1"/>
  <c r="G99" i="8" s="1"/>
  <c r="D100" i="8" a="1"/>
  <c r="D100" i="8" s="1"/>
  <c r="D100" i="10" s="1" a="1"/>
  <c r="D100" i="10" s="1"/>
  <c r="E100" i="8" a="1"/>
  <c r="E100" i="8" s="1"/>
  <c r="E100" i="10" s="1" a="1"/>
  <c r="E100" i="10" s="1"/>
  <c r="F100" i="8" a="1"/>
  <c r="F100" i="8" s="1"/>
  <c r="G100" i="8" a="1"/>
  <c r="G100" i="8" s="1"/>
  <c r="D101" i="8" a="1"/>
  <c r="D101" i="8" s="1"/>
  <c r="E101" i="8" a="1"/>
  <c r="E101" i="8" s="1"/>
  <c r="F101" i="8" a="1"/>
  <c r="F101" i="8" s="1"/>
  <c r="G101" i="8" a="1"/>
  <c r="G101" i="8" s="1"/>
  <c r="D102" i="8" a="1"/>
  <c r="D102" i="8" s="1"/>
  <c r="E102" i="8" a="1"/>
  <c r="E102" i="8" s="1"/>
  <c r="F102" i="8" a="1"/>
  <c r="F102" i="8" s="1"/>
  <c r="G102" i="8" a="1"/>
  <c r="G102" i="8" s="1"/>
  <c r="D103" i="8" a="1"/>
  <c r="D103" i="8" s="1"/>
  <c r="E103" i="8" a="1"/>
  <c r="E103" i="8" s="1"/>
  <c r="F103" i="8" a="1"/>
  <c r="F103" i="8" s="1"/>
  <c r="G103" i="8" a="1"/>
  <c r="G103" i="8" s="1"/>
  <c r="D104" i="8" a="1"/>
  <c r="D104" i="8" s="1"/>
  <c r="E104" i="8" a="1"/>
  <c r="E104" i="8" s="1"/>
  <c r="F104" i="8" a="1"/>
  <c r="F104" i="8" s="1"/>
  <c r="G104" i="8" a="1"/>
  <c r="G104" i="8" s="1"/>
  <c r="D105" i="8" a="1"/>
  <c r="D105" i="8" s="1"/>
  <c r="E105" i="8" a="1"/>
  <c r="E105" i="8" s="1"/>
  <c r="F105" i="8" a="1"/>
  <c r="F105" i="8" s="1"/>
  <c r="G105" i="8" a="1"/>
  <c r="G105" i="8" s="1"/>
  <c r="D106" i="8" a="1"/>
  <c r="D106" i="8" s="1"/>
  <c r="E106" i="8" a="1"/>
  <c r="E106" i="8" s="1"/>
  <c r="F106" i="8" a="1"/>
  <c r="F106" i="8" s="1"/>
  <c r="G106" i="8" a="1"/>
  <c r="G106" i="8" s="1"/>
  <c r="D107" i="8" a="1"/>
  <c r="D107" i="8" s="1"/>
  <c r="E107" i="8" a="1"/>
  <c r="E107" i="8" s="1"/>
  <c r="F107" i="8" a="1"/>
  <c r="F107" i="8" s="1"/>
  <c r="G107" i="8" a="1"/>
  <c r="G107" i="8" s="1"/>
  <c r="D108" i="8" a="1"/>
  <c r="D108" i="8" s="1"/>
  <c r="E108" i="8" a="1"/>
  <c r="E108" i="8" s="1"/>
  <c r="F108" i="8" a="1"/>
  <c r="F108" i="8" s="1"/>
  <c r="G108" i="8" a="1"/>
  <c r="G108" i="8" s="1"/>
  <c r="D109" i="8" a="1"/>
  <c r="D109" i="8" s="1"/>
  <c r="E109" i="8" a="1"/>
  <c r="E109" i="8" s="1"/>
  <c r="F109" i="8" a="1"/>
  <c r="F109" i="8" s="1"/>
  <c r="G109" i="8" a="1"/>
  <c r="G109" i="8" s="1"/>
  <c r="D110" i="8" a="1"/>
  <c r="D110" i="8" s="1"/>
  <c r="E110" i="8" a="1"/>
  <c r="E110" i="8" s="1"/>
  <c r="F110" i="8" a="1"/>
  <c r="F110" i="8" s="1"/>
  <c r="G110" i="8" a="1"/>
  <c r="G110" i="8" s="1"/>
  <c r="D111" i="8" a="1"/>
  <c r="D111" i="8" s="1"/>
  <c r="E111" i="8" a="1"/>
  <c r="E111" i="8" s="1"/>
  <c r="F111" i="8" a="1"/>
  <c r="F111" i="8" s="1"/>
  <c r="G111" i="8" a="1"/>
  <c r="G111" i="8" s="1"/>
  <c r="D112" i="8" a="1"/>
  <c r="D112" i="8" s="1"/>
  <c r="E112" i="8" a="1"/>
  <c r="E112" i="8" s="1"/>
  <c r="F112" i="8" a="1"/>
  <c r="F112" i="8" s="1"/>
  <c r="G112" i="8" a="1"/>
  <c r="G112" i="8" s="1"/>
  <c r="D113" i="8" a="1"/>
  <c r="D113" i="8" s="1"/>
  <c r="E113" i="8" a="1"/>
  <c r="E113" i="8" s="1"/>
  <c r="F113" i="8" a="1"/>
  <c r="F113" i="8" s="1"/>
  <c r="G113" i="8" a="1"/>
  <c r="G113" i="8" s="1"/>
  <c r="D114" i="8" a="1"/>
  <c r="D114" i="8" s="1"/>
  <c r="E114" i="8" a="1"/>
  <c r="E114" i="8" s="1"/>
  <c r="F114" i="8" a="1"/>
  <c r="F114" i="8" s="1"/>
  <c r="G114" i="8" a="1"/>
  <c r="G114" i="8" s="1"/>
  <c r="D115" i="8" a="1"/>
  <c r="D115" i="8" s="1"/>
  <c r="E115" i="8" a="1"/>
  <c r="E115" i="8" s="1"/>
  <c r="F115" i="8" a="1"/>
  <c r="F115" i="8" s="1"/>
  <c r="G115" i="8" a="1"/>
  <c r="G115" i="8" s="1"/>
  <c r="D116" i="8" a="1"/>
  <c r="D116" i="8" s="1"/>
  <c r="E116" i="8" a="1"/>
  <c r="E116" i="8" s="1"/>
  <c r="F116" i="8" a="1"/>
  <c r="F116" i="8" s="1"/>
  <c r="G116" i="8" a="1"/>
  <c r="G116" i="8" s="1"/>
  <c r="D117" i="8" a="1"/>
  <c r="D117" i="8" s="1"/>
  <c r="E117" i="8" a="1"/>
  <c r="E117" i="8" s="1"/>
  <c r="F117" i="8" a="1"/>
  <c r="F117" i="8" s="1"/>
  <c r="G117" i="8" a="1"/>
  <c r="G117" i="8" s="1"/>
  <c r="D118" i="8" a="1"/>
  <c r="D118" i="8" s="1"/>
  <c r="E118" i="8" a="1"/>
  <c r="E118" i="8" s="1"/>
  <c r="F118" i="8" a="1"/>
  <c r="F118" i="8" s="1"/>
  <c r="G118" i="8" a="1"/>
  <c r="G118" i="8" s="1"/>
  <c r="D119" i="8" a="1"/>
  <c r="D119" i="8" s="1"/>
  <c r="E119" i="8" a="1"/>
  <c r="E119" i="8" s="1"/>
  <c r="F119" i="8" a="1"/>
  <c r="F119" i="8" s="1"/>
  <c r="G119" i="8" a="1"/>
  <c r="G119" i="8" s="1"/>
  <c r="D120" i="8" a="1"/>
  <c r="D120" i="8" s="1"/>
  <c r="E120" i="8" a="1"/>
  <c r="E120" i="8" s="1"/>
  <c r="F120" i="8" a="1"/>
  <c r="F120" i="8" s="1"/>
  <c r="G120" i="8" a="1"/>
  <c r="G120" i="8" s="1"/>
  <c r="D121" i="8" a="1"/>
  <c r="D121" i="8" s="1"/>
  <c r="E121" i="8" a="1"/>
  <c r="E121" i="8" s="1"/>
  <c r="F121" i="8" a="1"/>
  <c r="F121" i="8" s="1"/>
  <c r="G121" i="8" a="1"/>
  <c r="G121" i="8" s="1"/>
  <c r="D122" i="8" a="1"/>
  <c r="D122" i="8" s="1"/>
  <c r="E122" i="8" a="1"/>
  <c r="E122" i="8" s="1"/>
  <c r="F122" i="8" a="1"/>
  <c r="F122" i="8" s="1"/>
  <c r="G122" i="8" a="1"/>
  <c r="G122" i="8" s="1"/>
  <c r="D123" i="8" a="1"/>
  <c r="D123" i="8" s="1"/>
  <c r="E123" i="8" a="1"/>
  <c r="E123" i="8" s="1"/>
  <c r="F123" i="8" a="1"/>
  <c r="F123" i="8" s="1"/>
  <c r="G123" i="8" a="1"/>
  <c r="G123" i="8" s="1"/>
  <c r="D124" i="8" a="1"/>
  <c r="D124" i="8" s="1"/>
  <c r="E124" i="8" a="1"/>
  <c r="E124" i="8" s="1"/>
  <c r="F124" i="8" a="1"/>
  <c r="F124" i="8" s="1"/>
  <c r="G124" i="8" a="1"/>
  <c r="G124" i="8" s="1"/>
  <c r="D125" i="8" a="1"/>
  <c r="D125" i="8" s="1"/>
  <c r="E125" i="8" a="1"/>
  <c r="E125" i="8" s="1"/>
  <c r="F125" i="8" a="1"/>
  <c r="F125" i="8" s="1"/>
  <c r="G125" i="8" a="1"/>
  <c r="G125" i="8" s="1"/>
  <c r="D126" i="8" a="1"/>
  <c r="D126" i="8" s="1"/>
  <c r="E126" i="8" a="1"/>
  <c r="E126" i="8" s="1"/>
  <c r="F126" i="8" a="1"/>
  <c r="F126" i="8" s="1"/>
  <c r="G126" i="8" a="1"/>
  <c r="G126" i="8" s="1"/>
  <c r="D127" i="8" a="1"/>
  <c r="D127" i="8" s="1"/>
  <c r="E127" i="8" a="1"/>
  <c r="E127" i="8" s="1"/>
  <c r="F127" i="8" a="1"/>
  <c r="F127" i="8" s="1"/>
  <c r="G127" i="8" a="1"/>
  <c r="G127" i="8" s="1"/>
  <c r="D128" i="8" a="1"/>
  <c r="D128" i="8" s="1"/>
  <c r="E128" i="8" a="1"/>
  <c r="E128" i="8" s="1"/>
  <c r="F128" i="8" a="1"/>
  <c r="F128" i="8" s="1"/>
  <c r="G128" i="8" a="1"/>
  <c r="G128" i="8" s="1"/>
  <c r="D129" i="8" a="1"/>
  <c r="D129" i="8" s="1"/>
  <c r="E129" i="8" a="1"/>
  <c r="E129" i="8" s="1"/>
  <c r="F129" i="8" a="1"/>
  <c r="F129" i="8" s="1"/>
  <c r="G129" i="8" a="1"/>
  <c r="G129" i="8" s="1"/>
  <c r="D130" i="8" a="1"/>
  <c r="D130" i="8" s="1"/>
  <c r="E130" i="8" a="1"/>
  <c r="E130" i="8" s="1"/>
  <c r="F130" i="8" a="1"/>
  <c r="F130" i="8" s="1"/>
  <c r="G130" i="8" a="1"/>
  <c r="G130" i="8" s="1"/>
  <c r="D131" i="8" a="1"/>
  <c r="D131" i="8" s="1"/>
  <c r="E131" i="8" a="1"/>
  <c r="E131" i="8" s="1"/>
  <c r="F131" i="8" a="1"/>
  <c r="F131" i="8" s="1"/>
  <c r="G131" i="8" a="1"/>
  <c r="G131" i="8" s="1"/>
  <c r="D132" i="8" a="1"/>
  <c r="D132" i="8" s="1"/>
  <c r="E132" i="8" a="1"/>
  <c r="E132" i="8" s="1"/>
  <c r="F132" i="8" a="1"/>
  <c r="F132" i="8" s="1"/>
  <c r="G132" i="8" a="1"/>
  <c r="G132" i="8" s="1"/>
  <c r="D133" i="8" a="1"/>
  <c r="D133" i="8" s="1"/>
  <c r="E133" i="8" a="1"/>
  <c r="E133" i="8" s="1"/>
  <c r="F133" i="8" a="1"/>
  <c r="F133" i="8" s="1"/>
  <c r="G133" i="8" a="1"/>
  <c r="G133" i="8" s="1"/>
  <c r="D134" i="8" a="1"/>
  <c r="D134" i="8" s="1"/>
  <c r="E134" i="8" a="1"/>
  <c r="E134" i="8" s="1"/>
  <c r="F134" i="8" a="1"/>
  <c r="F134" i="8" s="1"/>
  <c r="G134" i="8" a="1"/>
  <c r="G134" i="8" s="1"/>
  <c r="D135" i="8" a="1"/>
  <c r="D135" i="8" s="1"/>
  <c r="E135" i="8" a="1"/>
  <c r="E135" i="8" s="1"/>
  <c r="F135" i="8" a="1"/>
  <c r="F135" i="8" s="1"/>
  <c r="G135" i="8" a="1"/>
  <c r="G135" i="8" s="1"/>
  <c r="D136" i="8" a="1"/>
  <c r="D136" i="8" s="1"/>
  <c r="E136" i="8" a="1"/>
  <c r="E136" i="8" s="1"/>
  <c r="F136" i="8" a="1"/>
  <c r="F136" i="8" s="1"/>
  <c r="G136" i="8" a="1"/>
  <c r="G136" i="8" s="1"/>
  <c r="D137" i="8" a="1"/>
  <c r="D137" i="8" s="1"/>
  <c r="E137" i="8" a="1"/>
  <c r="E137" i="8" s="1"/>
  <c r="F137" i="8" a="1"/>
  <c r="F137" i="8" s="1"/>
  <c r="G137" i="8" a="1"/>
  <c r="G137" i="8" s="1"/>
  <c r="D138" i="8" a="1"/>
  <c r="D138" i="8" s="1"/>
  <c r="E138" i="8" a="1"/>
  <c r="E138" i="8" s="1"/>
  <c r="F138" i="8" a="1"/>
  <c r="F138" i="8" s="1"/>
  <c r="G138" i="8" a="1"/>
  <c r="G138" i="8" s="1"/>
  <c r="D139" i="8" a="1"/>
  <c r="D139" i="8" s="1"/>
  <c r="E139" i="8" a="1"/>
  <c r="E139" i="8" s="1"/>
  <c r="F139" i="8" a="1"/>
  <c r="F139" i="8" s="1"/>
  <c r="G139" i="8" a="1"/>
  <c r="G139" i="8" s="1"/>
  <c r="D140" i="8" a="1"/>
  <c r="D140" i="8" s="1"/>
  <c r="E140" i="8" a="1"/>
  <c r="E140" i="8" s="1"/>
  <c r="F140" i="8" a="1"/>
  <c r="F140" i="8" s="1"/>
  <c r="G140" i="8" a="1"/>
  <c r="G140" i="8" s="1"/>
  <c r="D141" i="8" a="1"/>
  <c r="D141" i="8" s="1"/>
  <c r="E141" i="8" a="1"/>
  <c r="E141" i="8" s="1"/>
  <c r="F141" i="8" a="1"/>
  <c r="F141" i="8" s="1"/>
  <c r="G141" i="8" a="1"/>
  <c r="G141" i="8" s="1"/>
  <c r="D142" i="8" a="1"/>
  <c r="D142" i="8" s="1"/>
  <c r="E142" i="8" a="1"/>
  <c r="E142" i="8" s="1"/>
  <c r="F142" i="8" a="1"/>
  <c r="F142" i="8" s="1"/>
  <c r="G142" i="8" a="1"/>
  <c r="G142" i="8" s="1"/>
  <c r="D143" i="8" a="1"/>
  <c r="D143" i="8" s="1"/>
  <c r="E143" i="8" a="1"/>
  <c r="E143" i="8" s="1"/>
  <c r="F143" i="8" a="1"/>
  <c r="F143" i="8" s="1"/>
  <c r="G143" i="8" a="1"/>
  <c r="G143" i="8" s="1"/>
  <c r="D144" i="8" a="1"/>
  <c r="D144" i="8" s="1"/>
  <c r="E144" i="8" a="1"/>
  <c r="E144" i="8" s="1"/>
  <c r="F144" i="8" a="1"/>
  <c r="F144" i="8" s="1"/>
  <c r="G144" i="8" a="1"/>
  <c r="G144" i="8" s="1"/>
  <c r="D145" i="8" a="1"/>
  <c r="D145" i="8" s="1"/>
  <c r="E145" i="8" a="1"/>
  <c r="E145" i="8" s="1"/>
  <c r="F145" i="8" a="1"/>
  <c r="F145" i="8" s="1"/>
  <c r="G145" i="8" a="1"/>
  <c r="G145" i="8" s="1"/>
  <c r="D146" i="8" a="1"/>
  <c r="D146" i="8" s="1"/>
  <c r="E146" i="8" a="1"/>
  <c r="E146" i="8" s="1"/>
  <c r="F146" i="8" a="1"/>
  <c r="F146" i="8" s="1"/>
  <c r="G146" i="8" a="1"/>
  <c r="G146" i="8" s="1"/>
  <c r="D147" i="8" a="1"/>
  <c r="D147" i="8" s="1"/>
  <c r="E147" i="8" a="1"/>
  <c r="E147" i="8" s="1"/>
  <c r="F147" i="8" a="1"/>
  <c r="F147" i="8" s="1"/>
  <c r="G147" i="8" a="1"/>
  <c r="G147" i="8" s="1"/>
  <c r="D148" i="8" a="1"/>
  <c r="D148" i="8" s="1"/>
  <c r="E148" i="8" a="1"/>
  <c r="E148" i="8" s="1"/>
  <c r="F148" i="8" a="1"/>
  <c r="F148" i="8" s="1"/>
  <c r="G148" i="8" a="1"/>
  <c r="G148" i="8" s="1"/>
  <c r="D149" i="8" a="1"/>
  <c r="D149" i="8" s="1"/>
  <c r="E149" i="8" a="1"/>
  <c r="E149" i="8" s="1"/>
  <c r="F149" i="8" a="1"/>
  <c r="F149" i="8" s="1"/>
  <c r="G149" i="8" a="1"/>
  <c r="G149" i="8" s="1"/>
  <c r="D150" i="8" a="1"/>
  <c r="D150" i="8" s="1"/>
  <c r="E150" i="8" a="1"/>
  <c r="E150" i="8" s="1"/>
  <c r="F150" i="8" a="1"/>
  <c r="F150" i="8" s="1"/>
  <c r="G150" i="8" a="1"/>
  <c r="G150" i="8" s="1"/>
  <c r="D151" i="8" a="1"/>
  <c r="D151" i="8" s="1"/>
  <c r="E151" i="8" a="1"/>
  <c r="E151" i="8" s="1"/>
  <c r="F151" i="8" a="1"/>
  <c r="F151" i="8" s="1"/>
  <c r="G151" i="8" a="1"/>
  <c r="G151" i="8" s="1"/>
  <c r="D152" i="8" a="1"/>
  <c r="D152" i="8" s="1"/>
  <c r="E152" i="8" a="1"/>
  <c r="E152" i="8" s="1"/>
  <c r="F152" i="8" a="1"/>
  <c r="F152" i="8" s="1"/>
  <c r="G152" i="8" a="1"/>
  <c r="G152" i="8" s="1"/>
  <c r="D153" i="8" a="1"/>
  <c r="D153" i="8" s="1"/>
  <c r="E153" i="8" a="1"/>
  <c r="E153" i="8" s="1"/>
  <c r="F153" i="8" a="1"/>
  <c r="F153" i="8" s="1"/>
  <c r="G153" i="8" a="1"/>
  <c r="G153" i="8" s="1"/>
  <c r="D154" i="8" a="1"/>
  <c r="D154" i="8" s="1"/>
  <c r="E154" i="8" a="1"/>
  <c r="E154" i="8" s="1"/>
  <c r="F154" i="8" a="1"/>
  <c r="F154" i="8" s="1"/>
  <c r="G154" i="8" a="1"/>
  <c r="G154" i="8" s="1"/>
  <c r="D155" i="8" a="1"/>
  <c r="D155" i="8" s="1"/>
  <c r="E155" i="8" a="1"/>
  <c r="E155" i="8" s="1"/>
  <c r="F155" i="8" a="1"/>
  <c r="F155" i="8" s="1"/>
  <c r="G155" i="8" a="1"/>
  <c r="G155" i="8" s="1"/>
  <c r="D156" i="8" a="1"/>
  <c r="D156" i="8" s="1"/>
  <c r="E156" i="8" a="1"/>
  <c r="E156" i="8" s="1"/>
  <c r="F156" i="8" a="1"/>
  <c r="F156" i="8" s="1"/>
  <c r="G156" i="8" a="1"/>
  <c r="G156" i="8" s="1"/>
  <c r="D157" i="8" a="1"/>
  <c r="D157" i="8" s="1"/>
  <c r="E157" i="8" a="1"/>
  <c r="E157" i="8" s="1"/>
  <c r="F157" i="8" a="1"/>
  <c r="F157" i="8" s="1"/>
  <c r="G157" i="8" a="1"/>
  <c r="G157" i="8" s="1"/>
  <c r="D158" i="8" a="1"/>
  <c r="D158" i="8" s="1"/>
  <c r="E158" i="8" a="1"/>
  <c r="E158" i="8" s="1"/>
  <c r="F158" i="8" a="1"/>
  <c r="F158" i="8" s="1"/>
  <c r="G158" i="8" a="1"/>
  <c r="G158" i="8" s="1"/>
  <c r="D159" i="8" a="1"/>
  <c r="D159" i="8" s="1"/>
  <c r="E159" i="8" a="1"/>
  <c r="E159" i="8" s="1"/>
  <c r="F159" i="8" a="1"/>
  <c r="F159" i="8" s="1"/>
  <c r="G159" i="8" a="1"/>
  <c r="G159" i="8" s="1"/>
  <c r="D160" i="8" a="1"/>
  <c r="D160" i="8" s="1"/>
  <c r="E160" i="8" a="1"/>
  <c r="E160" i="8" s="1"/>
  <c r="F160" i="8" a="1"/>
  <c r="F160" i="8" s="1"/>
  <c r="G160" i="8" a="1"/>
  <c r="G160" i="8" s="1"/>
  <c r="D161" i="8" a="1"/>
  <c r="D161" i="8" s="1"/>
  <c r="E161" i="8" a="1"/>
  <c r="E161" i="8" s="1"/>
  <c r="F161" i="8" a="1"/>
  <c r="F161" i="8" s="1"/>
  <c r="G161" i="8" a="1"/>
  <c r="G161" i="8" s="1"/>
  <c r="D162" i="8" a="1"/>
  <c r="D162" i="8" s="1"/>
  <c r="E162" i="8" a="1"/>
  <c r="E162" i="8" s="1"/>
  <c r="F162" i="8" a="1"/>
  <c r="F162" i="8" s="1"/>
  <c r="G162" i="8" a="1"/>
  <c r="G162" i="8" s="1"/>
  <c r="D163" i="8" a="1"/>
  <c r="D163" i="8" s="1"/>
  <c r="E163" i="8" a="1"/>
  <c r="E163" i="8" s="1"/>
  <c r="F163" i="8" a="1"/>
  <c r="F163" i="8" s="1"/>
  <c r="G163" i="8" a="1"/>
  <c r="G163" i="8" s="1"/>
  <c r="D164" i="8" a="1"/>
  <c r="D164" i="8" s="1"/>
  <c r="E164" i="8" a="1"/>
  <c r="E164" i="8" s="1"/>
  <c r="F164" i="8" a="1"/>
  <c r="F164" i="8" s="1"/>
  <c r="G164" i="8" a="1"/>
  <c r="G164" i="8" s="1"/>
  <c r="D165" i="8" a="1"/>
  <c r="D165" i="8" s="1"/>
  <c r="E165" i="8" a="1"/>
  <c r="E165" i="8" s="1"/>
  <c r="F165" i="8" a="1"/>
  <c r="F165" i="8" s="1"/>
  <c r="G165" i="8" a="1"/>
  <c r="G165" i="8" s="1"/>
  <c r="D166" i="8" a="1"/>
  <c r="D166" i="8" s="1"/>
  <c r="E166" i="8" a="1"/>
  <c r="E166" i="8" s="1"/>
  <c r="F166" i="8" a="1"/>
  <c r="F166" i="8" s="1"/>
  <c r="G166" i="8" a="1"/>
  <c r="G166" i="8" s="1"/>
  <c r="D167" i="8" a="1"/>
  <c r="D167" i="8" s="1"/>
  <c r="E167" i="8" a="1"/>
  <c r="E167" i="8" s="1"/>
  <c r="F167" i="8" a="1"/>
  <c r="F167" i="8" s="1"/>
  <c r="G167" i="8" a="1"/>
  <c r="G167" i="8" s="1"/>
  <c r="D168" i="8" a="1"/>
  <c r="D168" i="8" s="1"/>
  <c r="E168" i="8" a="1"/>
  <c r="E168" i="8" s="1"/>
  <c r="F168" i="8" a="1"/>
  <c r="F168" i="8" s="1"/>
  <c r="G168" i="8" a="1"/>
  <c r="G168" i="8" s="1"/>
  <c r="D169" i="8" a="1"/>
  <c r="D169" i="8" s="1"/>
  <c r="E169" i="8" a="1"/>
  <c r="E169" i="8" s="1"/>
  <c r="F169" i="8" a="1"/>
  <c r="F169" i="8" s="1"/>
  <c r="G169" i="8" a="1"/>
  <c r="G169" i="8" s="1"/>
  <c r="D170" i="8" a="1"/>
  <c r="D170" i="8" s="1"/>
  <c r="E170" i="8" a="1"/>
  <c r="E170" i="8" s="1"/>
  <c r="F170" i="8" a="1"/>
  <c r="F170" i="8" s="1"/>
  <c r="G170" i="8" a="1"/>
  <c r="G170" i="8" s="1"/>
  <c r="D171" i="8" a="1"/>
  <c r="D171" i="8" s="1"/>
  <c r="E171" i="8" a="1"/>
  <c r="E171" i="8" s="1"/>
  <c r="F171" i="8" a="1"/>
  <c r="F171" i="8" s="1"/>
  <c r="G171" i="8" a="1"/>
  <c r="G171" i="8" s="1"/>
  <c r="D172" i="8" a="1"/>
  <c r="D172" i="8" s="1"/>
  <c r="E172" i="8" a="1"/>
  <c r="E172" i="8" s="1"/>
  <c r="F172" i="8" a="1"/>
  <c r="F172" i="8" s="1"/>
  <c r="G172" i="8" a="1"/>
  <c r="G172" i="8" s="1"/>
  <c r="D173" i="8" a="1"/>
  <c r="D173" i="8" s="1"/>
  <c r="E173" i="8" a="1"/>
  <c r="E173" i="8" s="1"/>
  <c r="F173" i="8" a="1"/>
  <c r="F173" i="8" s="1"/>
  <c r="G173" i="8" a="1"/>
  <c r="G173" i="8" s="1"/>
  <c r="D174" i="8" a="1"/>
  <c r="D174" i="8" s="1"/>
  <c r="E174" i="8" a="1"/>
  <c r="E174" i="8" s="1"/>
  <c r="F174" i="8" a="1"/>
  <c r="F174" i="8" s="1"/>
  <c r="G174" i="8" a="1"/>
  <c r="G174" i="8" s="1"/>
  <c r="D175" i="8" a="1"/>
  <c r="D175" i="8" s="1"/>
  <c r="E175" i="8" a="1"/>
  <c r="E175" i="8" s="1"/>
  <c r="F175" i="8" a="1"/>
  <c r="F175" i="8" s="1"/>
  <c r="G175" i="8" a="1"/>
  <c r="G175" i="8" s="1"/>
  <c r="D176" i="8" a="1"/>
  <c r="D176" i="8" s="1"/>
  <c r="E176" i="8" a="1"/>
  <c r="E176" i="8" s="1"/>
  <c r="F176" i="8" a="1"/>
  <c r="F176" i="8" s="1"/>
  <c r="G176" i="8" a="1"/>
  <c r="G176" i="8" s="1"/>
  <c r="D177" i="8" a="1"/>
  <c r="D177" i="8" s="1"/>
  <c r="E177" i="8" a="1"/>
  <c r="E177" i="8" s="1"/>
  <c r="F177" i="8" a="1"/>
  <c r="F177" i="8" s="1"/>
  <c r="G177" i="8" a="1"/>
  <c r="G177" i="8" s="1"/>
  <c r="D178" i="8" a="1"/>
  <c r="D178" i="8" s="1"/>
  <c r="E178" i="8" a="1"/>
  <c r="E178" i="8" s="1"/>
  <c r="F178" i="8" a="1"/>
  <c r="F178" i="8" s="1"/>
  <c r="G178" i="8" a="1"/>
  <c r="G178" i="8" s="1"/>
  <c r="D179" i="8" a="1"/>
  <c r="D179" i="8" s="1"/>
  <c r="E179" i="8" a="1"/>
  <c r="E179" i="8" s="1"/>
  <c r="F179" i="8" a="1"/>
  <c r="F179" i="8" s="1"/>
  <c r="G179" i="8" a="1"/>
  <c r="G179" i="8" s="1"/>
  <c r="D180" i="8" a="1"/>
  <c r="D180" i="8" s="1"/>
  <c r="E180" i="8" a="1"/>
  <c r="E180" i="8" s="1"/>
  <c r="F180" i="8" a="1"/>
  <c r="F180" i="8" s="1"/>
  <c r="G180" i="8" a="1"/>
  <c r="G180" i="8" s="1"/>
  <c r="D181" i="8" a="1"/>
  <c r="D181" i="8" s="1"/>
  <c r="E181" i="8" a="1"/>
  <c r="E181" i="8" s="1"/>
  <c r="F181" i="8" a="1"/>
  <c r="F181" i="8" s="1"/>
  <c r="G181" i="8" a="1"/>
  <c r="G181" i="8" s="1"/>
  <c r="D182" i="8" a="1"/>
  <c r="D182" i="8" s="1"/>
  <c r="E182" i="8" a="1"/>
  <c r="E182" i="8" s="1"/>
  <c r="F182" i="8" a="1"/>
  <c r="F182" i="8" s="1"/>
  <c r="G182" i="8" a="1"/>
  <c r="G182" i="8" s="1"/>
  <c r="D183" i="8" a="1"/>
  <c r="D183" i="8" s="1"/>
  <c r="E183" i="8" a="1"/>
  <c r="E183" i="8" s="1"/>
  <c r="F183" i="8" a="1"/>
  <c r="F183" i="8" s="1"/>
  <c r="G183" i="8" a="1"/>
  <c r="G183" i="8" s="1"/>
  <c r="D184" i="8" a="1"/>
  <c r="D184" i="8" s="1"/>
  <c r="E184" i="8" a="1"/>
  <c r="E184" i="8" s="1"/>
  <c r="F184" i="8" a="1"/>
  <c r="F184" i="8" s="1"/>
  <c r="G184" i="8" a="1"/>
  <c r="G184" i="8" s="1"/>
  <c r="D185" i="8" a="1"/>
  <c r="D185" i="8" s="1"/>
  <c r="E185" i="8" a="1"/>
  <c r="E185" i="8" s="1"/>
  <c r="F185" i="8" a="1"/>
  <c r="F185" i="8" s="1"/>
  <c r="G185" i="8" a="1"/>
  <c r="G185" i="8" s="1"/>
  <c r="D186" i="8" a="1"/>
  <c r="D186" i="8" s="1"/>
  <c r="E186" i="8" a="1"/>
  <c r="E186" i="8" s="1"/>
  <c r="F186" i="8" a="1"/>
  <c r="F186" i="8" s="1"/>
  <c r="G186" i="8" a="1"/>
  <c r="G186" i="8" s="1"/>
  <c r="D187" i="8" a="1"/>
  <c r="D187" i="8" s="1"/>
  <c r="E187" i="8" a="1"/>
  <c r="E187" i="8" s="1"/>
  <c r="F187" i="8" a="1"/>
  <c r="F187" i="8" s="1"/>
  <c r="G187" i="8" a="1"/>
  <c r="G187" i="8" s="1"/>
  <c r="D188" i="8" a="1"/>
  <c r="D188" i="8" s="1"/>
  <c r="E188" i="8" a="1"/>
  <c r="E188" i="8" s="1"/>
  <c r="F188" i="8" a="1"/>
  <c r="F188" i="8" s="1"/>
  <c r="G188" i="8" a="1"/>
  <c r="G188" i="8" s="1"/>
  <c r="D189" i="8" a="1"/>
  <c r="D189" i="8" s="1"/>
  <c r="E189" i="8" a="1"/>
  <c r="E189" i="8" s="1"/>
  <c r="F189" i="8" a="1"/>
  <c r="F189" i="8" s="1"/>
  <c r="G189" i="8" a="1"/>
  <c r="G189" i="8" s="1"/>
  <c r="D190" i="8" a="1"/>
  <c r="D190" i="8" s="1"/>
  <c r="E190" i="8" a="1"/>
  <c r="E190" i="8" s="1"/>
  <c r="F190" i="8" a="1"/>
  <c r="F190" i="8" s="1"/>
  <c r="G190" i="8" a="1"/>
  <c r="G190" i="8" s="1"/>
  <c r="D191" i="8" a="1"/>
  <c r="D191" i="8" s="1"/>
  <c r="E191" i="8" a="1"/>
  <c r="E191" i="8" s="1"/>
  <c r="F191" i="8" a="1"/>
  <c r="F191" i="8" s="1"/>
  <c r="G191" i="8" a="1"/>
  <c r="G191" i="8" s="1"/>
  <c r="D192" i="8" a="1"/>
  <c r="D192" i="8" s="1"/>
  <c r="E192" i="8" a="1"/>
  <c r="E192" i="8" s="1"/>
  <c r="F192" i="8" a="1"/>
  <c r="F192" i="8" s="1"/>
  <c r="G192" i="8" a="1"/>
  <c r="G192" i="8" s="1"/>
  <c r="D193" i="8" a="1"/>
  <c r="D193" i="8" s="1"/>
  <c r="E193" i="8" a="1"/>
  <c r="E193" i="8" s="1"/>
  <c r="F193" i="8" a="1"/>
  <c r="F193" i="8" s="1"/>
  <c r="G193" i="8" a="1"/>
  <c r="G193" i="8" s="1"/>
  <c r="D194" i="8" a="1"/>
  <c r="D194" i="8" s="1"/>
  <c r="E194" i="8" a="1"/>
  <c r="E194" i="8" s="1"/>
  <c r="F194" i="8" a="1"/>
  <c r="F194" i="8" s="1"/>
  <c r="G194" i="8" a="1"/>
  <c r="G194" i="8" s="1"/>
  <c r="D195" i="8" a="1"/>
  <c r="D195" i="8" s="1"/>
  <c r="E195" i="8" a="1"/>
  <c r="E195" i="8" s="1"/>
  <c r="F195" i="8" a="1"/>
  <c r="F195" i="8" s="1"/>
  <c r="G195" i="8" a="1"/>
  <c r="G195" i="8" s="1"/>
  <c r="D196" i="8" a="1"/>
  <c r="D196" i="8" s="1"/>
  <c r="E196" i="8" a="1"/>
  <c r="E196" i="8" s="1"/>
  <c r="F196" i="8" a="1"/>
  <c r="F196" i="8" s="1"/>
  <c r="G196" i="8" a="1"/>
  <c r="G196" i="8" s="1"/>
  <c r="D197" i="8" a="1"/>
  <c r="D197" i="8" s="1"/>
  <c r="E197" i="8" a="1"/>
  <c r="E197" i="8" s="1"/>
  <c r="F197" i="8" a="1"/>
  <c r="F197" i="8" s="1"/>
  <c r="G197" i="8" a="1"/>
  <c r="G197" i="8" s="1"/>
  <c r="D198" i="8" a="1"/>
  <c r="D198" i="8" s="1"/>
  <c r="E198" i="8" a="1"/>
  <c r="E198" i="8" s="1"/>
  <c r="F198" i="8" a="1"/>
  <c r="F198" i="8" s="1"/>
  <c r="G198" i="8" a="1"/>
  <c r="G198" i="8" s="1"/>
  <c r="D199" i="8" a="1"/>
  <c r="D199" i="8" s="1"/>
  <c r="E199" i="8" a="1"/>
  <c r="E199" i="8" s="1"/>
  <c r="F199" i="8" a="1"/>
  <c r="F199" i="8" s="1"/>
  <c r="G199" i="8" a="1"/>
  <c r="G199" i="8" s="1"/>
  <c r="D200" i="8" a="1"/>
  <c r="D200" i="8" s="1"/>
  <c r="E200" i="8" a="1"/>
  <c r="E200" i="8" s="1"/>
  <c r="F200" i="8" a="1"/>
  <c r="F200" i="8" s="1"/>
  <c r="G200" i="8" a="1"/>
  <c r="G200" i="8" s="1"/>
  <c r="D201" i="8" a="1"/>
  <c r="D201" i="8" s="1"/>
  <c r="E201" i="8" a="1"/>
  <c r="E201" i="8" s="1"/>
  <c r="F201" i="8" a="1"/>
  <c r="F201" i="8" s="1"/>
  <c r="G201" i="8" a="1"/>
  <c r="G201" i="8" s="1"/>
  <c r="D202" i="8" a="1"/>
  <c r="D202" i="8" s="1"/>
  <c r="E202" i="8" a="1"/>
  <c r="E202" i="8" s="1"/>
  <c r="F202" i="8" a="1"/>
  <c r="F202" i="8" s="1"/>
  <c r="G202" i="8" a="1"/>
  <c r="G202" i="8" s="1"/>
  <c r="D203" i="8" a="1"/>
  <c r="D203" i="8" s="1"/>
  <c r="E203" i="8" a="1"/>
  <c r="E203" i="8" s="1"/>
  <c r="F203" i="8" a="1"/>
  <c r="F203" i="8" s="1"/>
  <c r="G203" i="8" a="1"/>
  <c r="G203" i="8" s="1"/>
  <c r="D204" i="8" a="1"/>
  <c r="D204" i="8" s="1"/>
  <c r="E204" i="8" a="1"/>
  <c r="E204" i="8" s="1"/>
  <c r="F204" i="8" a="1"/>
  <c r="F204" i="8" s="1"/>
  <c r="G204" i="8" a="1"/>
  <c r="G204" i="8" s="1"/>
  <c r="D205" i="8" a="1"/>
  <c r="D205" i="8" s="1"/>
  <c r="E205" i="8" a="1"/>
  <c r="E205" i="8" s="1"/>
  <c r="F205" i="8" a="1"/>
  <c r="F205" i="8" s="1"/>
  <c r="G205" i="8" a="1"/>
  <c r="G205" i="8" s="1"/>
  <c r="D206" i="8" a="1"/>
  <c r="D206" i="8" s="1"/>
  <c r="E206" i="8" a="1"/>
  <c r="E206" i="8" s="1"/>
  <c r="F206" i="8" a="1"/>
  <c r="F206" i="8" s="1"/>
  <c r="G206" i="8" a="1"/>
  <c r="G206" i="8" s="1"/>
  <c r="D207" i="8" a="1"/>
  <c r="D207" i="8" s="1"/>
  <c r="E207" i="8" a="1"/>
  <c r="E207" i="8" s="1"/>
  <c r="F207" i="8" a="1"/>
  <c r="F207" i="8" s="1"/>
  <c r="G207" i="8" a="1"/>
  <c r="G207" i="8" s="1"/>
  <c r="D208" i="8" a="1"/>
  <c r="D208" i="8" s="1"/>
  <c r="E208" i="8" a="1"/>
  <c r="E208" i="8" s="1"/>
  <c r="F208" i="8" a="1"/>
  <c r="F208" i="8" s="1"/>
  <c r="G208" i="8" a="1"/>
  <c r="G208" i="8" s="1"/>
  <c r="D209" i="8" a="1"/>
  <c r="D209" i="8" s="1"/>
  <c r="E209" i="8" a="1"/>
  <c r="E209" i="8" s="1"/>
  <c r="F209" i="8" a="1"/>
  <c r="F209" i="8" s="1"/>
  <c r="G209" i="8" a="1"/>
  <c r="G209" i="8" s="1"/>
  <c r="D210" i="8" a="1"/>
  <c r="D210" i="8" s="1"/>
  <c r="E210" i="8" a="1"/>
  <c r="E210" i="8" s="1"/>
  <c r="F210" i="8" a="1"/>
  <c r="F210" i="8" s="1"/>
  <c r="G210" i="8" a="1"/>
  <c r="G210" i="8" s="1"/>
  <c r="D211" i="8" a="1"/>
  <c r="D211" i="8" s="1"/>
  <c r="E211" i="8" a="1"/>
  <c r="E211" i="8" s="1"/>
  <c r="F211" i="8" a="1"/>
  <c r="F211" i="8" s="1"/>
  <c r="G211" i="8" a="1"/>
  <c r="G211" i="8" s="1"/>
  <c r="D212" i="8" a="1"/>
  <c r="D212" i="8" s="1"/>
  <c r="E212" i="8" a="1"/>
  <c r="E212" i="8" s="1"/>
  <c r="F212" i="8" a="1"/>
  <c r="F212" i="8" s="1"/>
  <c r="G212" i="8" a="1"/>
  <c r="G212" i="8" s="1"/>
  <c r="D213" i="8" a="1"/>
  <c r="D213" i="8" s="1"/>
  <c r="E213" i="8" a="1"/>
  <c r="E213" i="8" s="1"/>
  <c r="F213" i="8" a="1"/>
  <c r="F213" i="8" s="1"/>
  <c r="G213" i="8" a="1"/>
  <c r="G213" i="8" s="1"/>
  <c r="D214" i="8" a="1"/>
  <c r="D214" i="8" s="1"/>
  <c r="E214" i="8" a="1"/>
  <c r="E214" i="8" s="1"/>
  <c r="F214" i="8" a="1"/>
  <c r="F214" i="8" s="1"/>
  <c r="G214" i="8" a="1"/>
  <c r="G214" i="8" s="1"/>
  <c r="D215" i="8" a="1"/>
  <c r="D215" i="8" s="1"/>
  <c r="E215" i="8" a="1"/>
  <c r="E215" i="8" s="1"/>
  <c r="F215" i="8" a="1"/>
  <c r="F215" i="8" s="1"/>
  <c r="G215" i="8" a="1"/>
  <c r="G215" i="8" s="1"/>
  <c r="D216" i="8" a="1"/>
  <c r="D216" i="8" s="1"/>
  <c r="E216" i="8" a="1"/>
  <c r="E216" i="8" s="1"/>
  <c r="F216" i="8" a="1"/>
  <c r="F216" i="8" s="1"/>
  <c r="G216" i="8" a="1"/>
  <c r="G216" i="8" s="1"/>
  <c r="D217" i="8" a="1"/>
  <c r="D217" i="8" s="1"/>
  <c r="E217" i="8" a="1"/>
  <c r="E217" i="8" s="1"/>
  <c r="F217" i="8" a="1"/>
  <c r="F217" i="8" s="1"/>
  <c r="G217" i="8" a="1"/>
  <c r="G217" i="8" s="1"/>
  <c r="D218" i="8" a="1"/>
  <c r="D218" i="8" s="1"/>
  <c r="E218" i="8" a="1"/>
  <c r="E218" i="8" s="1"/>
  <c r="F218" i="8" a="1"/>
  <c r="F218" i="8" s="1"/>
  <c r="G218" i="8" a="1"/>
  <c r="G218" i="8" s="1"/>
  <c r="D219" i="8" a="1"/>
  <c r="D219" i="8" s="1"/>
  <c r="E219" i="8" a="1"/>
  <c r="E219" i="8" s="1"/>
  <c r="F219" i="8" a="1"/>
  <c r="F219" i="8" s="1"/>
  <c r="G219" i="8" a="1"/>
  <c r="G219" i="8" s="1"/>
  <c r="D220" i="8" a="1"/>
  <c r="D220" i="8" s="1"/>
  <c r="E220" i="8" a="1"/>
  <c r="E220" i="8" s="1"/>
  <c r="F220" i="8" a="1"/>
  <c r="F220" i="8" s="1"/>
  <c r="G220" i="8" a="1"/>
  <c r="G220" i="8" s="1"/>
  <c r="D221" i="8" a="1"/>
  <c r="D221" i="8" s="1"/>
  <c r="E221" i="8" a="1"/>
  <c r="E221" i="8" s="1"/>
  <c r="F221" i="8" a="1"/>
  <c r="F221" i="8" s="1"/>
  <c r="G221" i="8" a="1"/>
  <c r="G221" i="8" s="1"/>
  <c r="D222" i="8" a="1"/>
  <c r="D222" i="8" s="1"/>
  <c r="E222" i="8" a="1"/>
  <c r="E222" i="8" s="1"/>
  <c r="F222" i="8" a="1"/>
  <c r="F222" i="8" s="1"/>
  <c r="G222" i="8" a="1"/>
  <c r="G222" i="8" s="1"/>
  <c r="D223" i="8" a="1"/>
  <c r="D223" i="8" s="1"/>
  <c r="E223" i="8" a="1"/>
  <c r="E223" i="8" s="1"/>
  <c r="F223" i="8" a="1"/>
  <c r="F223" i="8" s="1"/>
  <c r="G223" i="8" a="1"/>
  <c r="G223" i="8" s="1"/>
  <c r="D224" i="8" a="1"/>
  <c r="D224" i="8" s="1"/>
  <c r="E224" i="8" a="1"/>
  <c r="E224" i="8" s="1"/>
  <c r="F224" i="8" a="1"/>
  <c r="F224" i="8" s="1"/>
  <c r="G224" i="8" a="1"/>
  <c r="G224" i="8" s="1"/>
  <c r="D225" i="8" a="1"/>
  <c r="D225" i="8" s="1"/>
  <c r="E225" i="8" a="1"/>
  <c r="E225" i="8" s="1"/>
  <c r="F225" i="8" a="1"/>
  <c r="F225" i="8" s="1"/>
  <c r="G225" i="8" a="1"/>
  <c r="G225" i="8" s="1"/>
  <c r="D226" i="8" a="1"/>
  <c r="D226" i="8" s="1"/>
  <c r="E226" i="8" a="1"/>
  <c r="E226" i="8" s="1"/>
  <c r="F226" i="8" a="1"/>
  <c r="F226" i="8" s="1"/>
  <c r="G226" i="8" a="1"/>
  <c r="G226" i="8" s="1"/>
  <c r="D227" i="8" a="1"/>
  <c r="D227" i="8" s="1"/>
  <c r="E227" i="8" a="1"/>
  <c r="E227" i="8" s="1"/>
  <c r="F227" i="8" a="1"/>
  <c r="F227" i="8" s="1"/>
  <c r="G227" i="8" a="1"/>
  <c r="G227" i="8" s="1"/>
  <c r="D228" i="8" a="1"/>
  <c r="D228" i="8" s="1"/>
  <c r="E228" i="8" a="1"/>
  <c r="E228" i="8" s="1"/>
  <c r="F228" i="8" a="1"/>
  <c r="F228" i="8" s="1"/>
  <c r="G228" i="8" a="1"/>
  <c r="G228" i="8" s="1"/>
  <c r="D229" i="8" a="1"/>
  <c r="D229" i="8" s="1"/>
  <c r="E229" i="8" a="1"/>
  <c r="E229" i="8" s="1"/>
  <c r="F229" i="8" a="1"/>
  <c r="F229" i="8" s="1"/>
  <c r="G229" i="8" a="1"/>
  <c r="G229" i="8" s="1"/>
  <c r="D230" i="8" a="1"/>
  <c r="D230" i="8" s="1"/>
  <c r="E230" i="8" a="1"/>
  <c r="E230" i="8" s="1"/>
  <c r="F230" i="8" a="1"/>
  <c r="F230" i="8" s="1"/>
  <c r="G230" i="8" a="1"/>
  <c r="G230" i="8" s="1"/>
  <c r="D231" i="8" a="1"/>
  <c r="D231" i="8" s="1"/>
  <c r="E231" i="8" a="1"/>
  <c r="E231" i="8" s="1"/>
  <c r="F231" i="8" a="1"/>
  <c r="F231" i="8" s="1"/>
  <c r="G231" i="8" a="1"/>
  <c r="G231" i="8" s="1"/>
  <c r="D232" i="8" a="1"/>
  <c r="D232" i="8" s="1"/>
  <c r="E232" i="8" a="1"/>
  <c r="E232" i="8" s="1"/>
  <c r="F232" i="8" a="1"/>
  <c r="F232" i="8" s="1"/>
  <c r="G232" i="8" a="1"/>
  <c r="G232" i="8" s="1"/>
  <c r="D233" i="8" a="1"/>
  <c r="D233" i="8" s="1"/>
  <c r="E233" i="8" a="1"/>
  <c r="E233" i="8" s="1"/>
  <c r="F233" i="8" a="1"/>
  <c r="F233" i="8" s="1"/>
  <c r="G233" i="8" a="1"/>
  <c r="G233" i="8" s="1"/>
  <c r="D234" i="8" a="1"/>
  <c r="D234" i="8" s="1"/>
  <c r="E234" i="8" a="1"/>
  <c r="E234" i="8" s="1"/>
  <c r="F234" i="8" a="1"/>
  <c r="F234" i="8" s="1"/>
  <c r="G234" i="8" a="1"/>
  <c r="G234" i="8" s="1"/>
  <c r="D235" i="8" a="1"/>
  <c r="D235" i="8" s="1"/>
  <c r="E235" i="8" a="1"/>
  <c r="E235" i="8" s="1"/>
  <c r="F235" i="8" a="1"/>
  <c r="F235" i="8" s="1"/>
  <c r="G235" i="8" a="1"/>
  <c r="G235" i="8" s="1"/>
  <c r="D236" i="8" a="1"/>
  <c r="D236" i="8" s="1"/>
  <c r="E236" i="8" a="1"/>
  <c r="E236" i="8" s="1"/>
  <c r="F236" i="8" a="1"/>
  <c r="F236" i="8" s="1"/>
  <c r="G236" i="8" a="1"/>
  <c r="G236" i="8" s="1"/>
  <c r="D237" i="8" a="1"/>
  <c r="D237" i="8" s="1"/>
  <c r="E237" i="8" a="1"/>
  <c r="E237" i="8" s="1"/>
  <c r="F237" i="8" a="1"/>
  <c r="F237" i="8" s="1"/>
  <c r="G237" i="8" a="1"/>
  <c r="G237" i="8" s="1"/>
  <c r="D238" i="8" a="1"/>
  <c r="D238" i="8" s="1"/>
  <c r="E238" i="8" a="1"/>
  <c r="E238" i="8" s="1"/>
  <c r="F238" i="8" a="1"/>
  <c r="F238" i="8" s="1"/>
  <c r="G238" i="8" a="1"/>
  <c r="G238" i="8" s="1"/>
  <c r="D239" i="8" a="1"/>
  <c r="D239" i="8" s="1"/>
  <c r="E239" i="8" a="1"/>
  <c r="E239" i="8" s="1"/>
  <c r="F239" i="8" a="1"/>
  <c r="F239" i="8" s="1"/>
  <c r="G239" i="8" a="1"/>
  <c r="G239" i="8" s="1"/>
  <c r="D240" i="8" a="1"/>
  <c r="D240" i="8" s="1"/>
  <c r="E240" i="8" a="1"/>
  <c r="E240" i="8" s="1"/>
  <c r="F240" i="8" a="1"/>
  <c r="F240" i="8" s="1"/>
  <c r="G240" i="8" a="1"/>
  <c r="G240" i="8" s="1"/>
  <c r="D241" i="8" a="1"/>
  <c r="D241" i="8" s="1"/>
  <c r="E241" i="8" a="1"/>
  <c r="E241" i="8" s="1"/>
  <c r="F241" i="8" a="1"/>
  <c r="F241" i="8" s="1"/>
  <c r="G241" i="8" a="1"/>
  <c r="G241" i="8" s="1"/>
  <c r="D242" i="8" a="1"/>
  <c r="D242" i="8" s="1"/>
  <c r="E242" i="8" a="1"/>
  <c r="E242" i="8" s="1"/>
  <c r="F242" i="8" a="1"/>
  <c r="F242" i="8" s="1"/>
  <c r="G242" i="8" a="1"/>
  <c r="G242" i="8" s="1"/>
  <c r="D243" i="8" a="1"/>
  <c r="D243" i="8" s="1"/>
  <c r="E243" i="8" a="1"/>
  <c r="E243" i="8" s="1"/>
  <c r="F243" i="8" a="1"/>
  <c r="F243" i="8" s="1"/>
  <c r="G243" i="8" a="1"/>
  <c r="G243" i="8" s="1"/>
  <c r="D244" i="8" a="1"/>
  <c r="D244" i="8" s="1"/>
  <c r="E244" i="8" a="1"/>
  <c r="E244" i="8" s="1"/>
  <c r="F244" i="8" a="1"/>
  <c r="F244" i="8" s="1"/>
  <c r="G244" i="8" a="1"/>
  <c r="G244" i="8" s="1"/>
  <c r="D245" i="8" a="1"/>
  <c r="D245" i="8" s="1"/>
  <c r="E245" i="8" a="1"/>
  <c r="E245" i="8" s="1"/>
  <c r="F245" i="8" a="1"/>
  <c r="F245" i="8" s="1"/>
  <c r="G245" i="8" a="1"/>
  <c r="G245" i="8" s="1"/>
  <c r="D246" i="8" a="1"/>
  <c r="D246" i="8" s="1"/>
  <c r="E246" i="8" a="1"/>
  <c r="E246" i="8" s="1"/>
  <c r="F246" i="8" a="1"/>
  <c r="F246" i="8" s="1"/>
  <c r="G246" i="8" a="1"/>
  <c r="G246" i="8" s="1"/>
  <c r="D247" i="8" a="1"/>
  <c r="D247" i="8" s="1"/>
  <c r="E247" i="8" a="1"/>
  <c r="E247" i="8" s="1"/>
  <c r="F247" i="8" a="1"/>
  <c r="F247" i="8" s="1"/>
  <c r="G247" i="8" a="1"/>
  <c r="G247" i="8" s="1"/>
  <c r="D248" i="8" a="1"/>
  <c r="D248" i="8" s="1"/>
  <c r="E248" i="8" a="1"/>
  <c r="E248" i="8" s="1"/>
  <c r="F248" i="8" a="1"/>
  <c r="F248" i="8" s="1"/>
  <c r="G248" i="8" a="1"/>
  <c r="G248" i="8" s="1"/>
  <c r="D249" i="8" a="1"/>
  <c r="D249" i="8" s="1"/>
  <c r="E249" i="8" a="1"/>
  <c r="E249" i="8" s="1"/>
  <c r="F249" i="8" a="1"/>
  <c r="F249" i="8" s="1"/>
  <c r="G249" i="8" a="1"/>
  <c r="G249" i="8" s="1"/>
  <c r="D250" i="8" a="1"/>
  <c r="D250" i="8" s="1"/>
  <c r="E250" i="8" a="1"/>
  <c r="E250" i="8" s="1"/>
  <c r="F250" i="8" a="1"/>
  <c r="F250" i="8" s="1"/>
  <c r="G250" i="8" a="1"/>
  <c r="G250" i="8" s="1"/>
  <c r="D251" i="8" a="1"/>
  <c r="D251" i="8" s="1"/>
  <c r="E251" i="8" a="1"/>
  <c r="E251" i="8" s="1"/>
  <c r="F251" i="8" a="1"/>
  <c r="F251" i="8" s="1"/>
  <c r="G251" i="8" a="1"/>
  <c r="G251" i="8" s="1"/>
  <c r="G12" i="8" a="1"/>
  <c r="G12" i="8" s="1"/>
  <c r="D12" i="8" a="1"/>
  <c r="D12" i="8" s="1"/>
  <c r="D12" i="10" s="1" a="1"/>
  <c r="D12" i="10" s="1"/>
  <c r="E14" i="10" l="1" a="1"/>
  <c r="E14" i="10" s="1"/>
  <c r="E13" i="10" a="1"/>
  <c r="E13" i="10" s="1"/>
  <c r="E16" i="10" a="1"/>
  <c r="E16" i="10" s="1"/>
  <c r="E17" i="10" a="1"/>
  <c r="E17" i="10" s="1"/>
  <c r="E20" i="10" a="1"/>
  <c r="E20" i="10" s="1"/>
  <c r="F13" i="8" a="1"/>
  <c r="F13" i="8" s="1"/>
  <c r="D15" i="8" a="1"/>
  <c r="D15" i="8" s="1"/>
  <c r="D15" i="10" s="1" a="1"/>
  <c r="D15" i="10" s="1"/>
  <c r="D13" i="8" a="1"/>
  <c r="D13" i="8" s="1"/>
  <c r="D13" i="10" s="1" a="1"/>
  <c r="D13" i="10" s="1"/>
  <c r="G16" i="7" a="1"/>
  <c r="G15" i="7" a="1"/>
  <c r="G14" i="7" a="1"/>
  <c r="G12" i="7" a="1"/>
  <c r="G10" i="7" a="1"/>
  <c r="G13" i="7" a="1"/>
  <c r="G11" i="7" a="1"/>
  <c r="I10" i="7" a="1"/>
  <c r="E11" i="7" a="1"/>
  <c r="B13" i="7" a="1"/>
  <c r="E12" i="7" a="1"/>
  <c r="F14" i="7" a="1"/>
  <c r="C13" i="7" a="1"/>
  <c r="C12" i="7" a="1"/>
  <c r="B10" i="7" a="1"/>
  <c r="C10" i="7" a="1"/>
  <c r="E14" i="7" a="1"/>
  <c r="F12" i="7" a="1"/>
  <c r="D11" i="7" a="1"/>
  <c r="C14" i="7" a="1"/>
  <c r="D10" i="7" a="1"/>
  <c r="C16" i="7" a="1"/>
  <c r="B11" i="7" a="1"/>
  <c r="F16" i="7" a="1"/>
  <c r="D16" i="7" a="1"/>
  <c r="E10" i="7" a="1"/>
  <c r="B14" i="7" a="1"/>
  <c r="C15" i="7" a="1"/>
  <c r="D14" i="7" a="1"/>
  <c r="F13" i="7" a="1"/>
  <c r="E15" i="7" a="1"/>
  <c r="F11" i="7" a="1"/>
  <c r="E13" i="7" a="1"/>
  <c r="E16" i="7" a="1"/>
  <c r="B16" i="7" a="1"/>
  <c r="F10" i="7" a="1"/>
  <c r="B12" i="7" a="1"/>
  <c r="B15" i="7" a="1"/>
  <c r="D15" i="7" a="1"/>
  <c r="F15" i="7" a="1"/>
  <c r="H11" i="7" a="1"/>
  <c r="H14" i="7" a="1"/>
  <c r="H10" i="7" a="1"/>
  <c r="H15" i="7" a="1"/>
  <c r="H12" i="7" a="1"/>
  <c r="H16" i="7" a="1"/>
  <c r="H13" i="7" a="1"/>
  <c r="E12" i="7" l="1"/>
  <c r="B15" i="7"/>
  <c r="D10" i="7"/>
  <c r="E11" i="7"/>
  <c r="G12" i="7"/>
  <c r="B14" i="7"/>
  <c r="C15" i="7"/>
  <c r="D16" i="7"/>
  <c r="G13" i="7"/>
  <c r="E10" i="7"/>
  <c r="F11" i="7"/>
  <c r="H12" i="7"/>
  <c r="C14" i="7"/>
  <c r="D15" i="7"/>
  <c r="E16" i="7"/>
  <c r="C16" i="7"/>
  <c r="F10" i="7"/>
  <c r="G11" i="7"/>
  <c r="B13" i="7"/>
  <c r="D14" i="7"/>
  <c r="E15" i="7"/>
  <c r="F16" i="7"/>
  <c r="B11" i="7"/>
  <c r="C10" i="7"/>
  <c r="F12" i="7"/>
  <c r="G10" i="7"/>
  <c r="H11" i="7"/>
  <c r="C13" i="7"/>
  <c r="E14" i="7"/>
  <c r="F15" i="7"/>
  <c r="G16" i="7"/>
  <c r="B16" i="7"/>
  <c r="D11" i="7"/>
  <c r="H10" i="7"/>
  <c r="B12" i="7"/>
  <c r="E13" i="7"/>
  <c r="F14" i="7"/>
  <c r="G15" i="7"/>
  <c r="H16" i="7"/>
  <c r="B10" i="7"/>
  <c r="H14" i="7"/>
  <c r="H13" i="7"/>
  <c r="I10" i="7"/>
  <c r="C12" i="7"/>
  <c r="F13" i="7"/>
  <c r="G14" i="7"/>
  <c r="H15" i="7"/>
  <c r="G9" i="7" a="1"/>
  <c r="B9" i="7" a="1"/>
  <c r="C9" i="7" a="1"/>
  <c r="D9" i="7" a="1"/>
  <c r="F9" i="7" a="1"/>
  <c r="E9" i="7" a="1"/>
  <c r="H9" i="7" a="1"/>
  <c r="I9" i="7" a="1"/>
  <c r="C11" i="7" a="1"/>
  <c r="D13" i="7" a="1"/>
  <c r="C11" i="7" l="1"/>
  <c r="C9" i="7"/>
  <c r="I9" i="7"/>
  <c r="H9" i="7"/>
  <c r="D13" i="7"/>
  <c r="B9" i="7"/>
  <c r="E9" i="7"/>
  <c r="G9" i="7"/>
  <c r="D9" i="7"/>
  <c r="F9" i="7"/>
  <c r="G156" i="7" l="1" a="1"/>
  <c r="G266" i="7" a="1"/>
  <c r="G114" i="7" a="1"/>
  <c r="G192" i="7" a="1"/>
  <c r="G264" i="7" a="1"/>
  <c r="G116" i="7" a="1"/>
  <c r="G210" i="7" a="1"/>
  <c r="G135" i="7" a="1"/>
  <c r="G283" i="7" a="1"/>
  <c r="G157" i="7" a="1"/>
  <c r="G17" i="7" a="1"/>
  <c r="G217" i="7" a="1"/>
  <c r="G175" i="7" a="1"/>
  <c r="G288" i="7" a="1"/>
  <c r="G148" i="7" a="1"/>
  <c r="G38" i="7" a="1"/>
  <c r="G289" i="7" a="1"/>
  <c r="G269" i="7" a="1"/>
  <c r="G293" i="7" a="1"/>
  <c r="G36" i="7" a="1"/>
  <c r="G129" i="7" a="1"/>
  <c r="G138" i="7" a="1"/>
  <c r="G286" i="7" a="1"/>
  <c r="G52" i="7" a="1"/>
  <c r="G19" i="7" a="1"/>
  <c r="G117" i="7" a="1"/>
  <c r="G170" i="7" a="1"/>
  <c r="G278" i="7" a="1"/>
  <c r="G94" i="7" a="1"/>
  <c r="G57" i="7" a="1"/>
  <c r="G133" i="7" a="1"/>
  <c r="G89" i="7" a="1"/>
  <c r="G43" i="7" a="1"/>
  <c r="G8" i="7" a="1"/>
  <c r="G184" i="7" a="1"/>
  <c r="G253" i="7" a="1"/>
  <c r="G71" i="7" a="1"/>
  <c r="G244" i="7" a="1"/>
  <c r="G20" i="7" a="1"/>
  <c r="G128" i="7" a="1"/>
  <c r="G23" i="7" a="1"/>
  <c r="G93" i="7" a="1"/>
  <c r="G193" i="7" a="1"/>
  <c r="G70" i="7" a="1"/>
  <c r="G173" i="7" a="1"/>
  <c r="G298" i="7" a="1"/>
  <c r="G127" i="7" a="1"/>
  <c r="G84" i="7" a="1"/>
  <c r="G146" i="7" a="1"/>
  <c r="G137" i="7" a="1"/>
  <c r="G262" i="7" a="1"/>
  <c r="G26" i="7" a="1"/>
  <c r="G145" i="7" a="1"/>
  <c r="G96" i="7" a="1"/>
  <c r="G287" i="7" a="1"/>
  <c r="G224" i="7" a="1"/>
  <c r="G203" i="7" a="1"/>
  <c r="G227" i="7" a="1"/>
  <c r="G241" i="7" a="1"/>
  <c r="G249" i="7" a="1"/>
  <c r="G126" i="7" a="1"/>
  <c r="G83" i="7" a="1"/>
  <c r="G191" i="7" a="1"/>
  <c r="G99" i="7" a="1"/>
  <c r="G206" i="7" a="1"/>
  <c r="G101" i="7" a="1"/>
  <c r="G255" i="7" a="1"/>
  <c r="G291" i="7" a="1"/>
  <c r="G222" i="7" a="1"/>
  <c r="G230" i="7" a="1"/>
  <c r="G248" i="7" a="1"/>
  <c r="G107" i="7" a="1"/>
  <c r="G28" i="7" a="1"/>
  <c r="G161" i="7" a="1"/>
  <c r="G120" i="7" a="1"/>
  <c r="G179" i="7" a="1"/>
  <c r="G263" i="7" a="1"/>
  <c r="G281" i="7" a="1"/>
  <c r="G141" i="7" a="1"/>
  <c r="G102" i="7" a="1"/>
  <c r="G282" i="7" a="1"/>
  <c r="G140" i="7" a="1"/>
  <c r="G237" i="7" a="1"/>
  <c r="G155" i="7" a="1"/>
  <c r="G139" i="7" a="1"/>
  <c r="G87" i="7" a="1"/>
  <c r="G271" i="7" a="1"/>
  <c r="G273" i="7" a="1"/>
  <c r="G50" i="7" a="1"/>
  <c r="G221" i="7" a="1"/>
  <c r="G197" i="7" a="1"/>
  <c r="G134" i="7" a="1"/>
  <c r="G80" i="7" a="1"/>
  <c r="G204" i="7" a="1"/>
  <c r="G79" i="7" a="1"/>
  <c r="G64" i="7" a="1"/>
  <c r="G112" i="7" a="1"/>
  <c r="G59" i="7" a="1"/>
  <c r="G219" i="7" a="1"/>
  <c r="G160" i="7" a="1"/>
  <c r="G198" i="7" a="1"/>
  <c r="G187" i="7" a="1"/>
  <c r="G73" i="7" a="1"/>
  <c r="G195" i="7" a="1"/>
  <c r="G105" i="7" a="1"/>
  <c r="G18" i="7" a="1"/>
  <c r="G90" i="7" a="1"/>
  <c r="G75" i="7" a="1"/>
  <c r="G62" i="7" a="1"/>
  <c r="G34" i="7" a="1"/>
  <c r="G213" i="7" a="1"/>
  <c r="G243" i="7" a="1"/>
  <c r="G211" i="7" a="1"/>
  <c r="G299" i="7" a="1"/>
  <c r="G297" i="7" a="1"/>
  <c r="G214" i="7" a="1"/>
  <c r="G259" i="7" a="1"/>
  <c r="G7" i="7" a="1"/>
  <c r="G190" i="7" a="1"/>
  <c r="G31" i="7" a="1"/>
  <c r="G229" i="7" a="1"/>
  <c r="G104" i="7" a="1"/>
  <c r="G207" i="7" a="1"/>
  <c r="G124" i="7" a="1"/>
  <c r="G205" i="7" a="1"/>
  <c r="G97" i="7" a="1"/>
  <c r="G200" i="7" a="1"/>
  <c r="G49" i="7" a="1"/>
  <c r="G233" i="7" a="1"/>
  <c r="G69" i="7" a="1"/>
  <c r="G39" i="7" a="1"/>
  <c r="G189" i="7" a="1"/>
  <c r="G177" i="7" a="1"/>
  <c r="G143" i="7" a="1"/>
  <c r="G92" i="7" a="1"/>
  <c r="G201" i="7" a="1"/>
  <c r="G208" i="7" a="1"/>
  <c r="G165" i="7" a="1"/>
  <c r="G144" i="7" a="1"/>
  <c r="G181" i="7" a="1"/>
  <c r="G215" i="7" a="1"/>
  <c r="G123" i="7" a="1"/>
  <c r="G106" i="7" a="1"/>
  <c r="G65" i="7" a="1"/>
  <c r="G284" i="7" a="1"/>
  <c r="G152" i="7" a="1"/>
  <c r="G223" i="7" a="1"/>
  <c r="G261" i="7" a="1"/>
  <c r="G168" i="7" a="1"/>
  <c r="G100" i="7" a="1"/>
  <c r="G51" i="7" a="1"/>
  <c r="G250" i="7" a="1"/>
  <c r="G226" i="7" a="1"/>
  <c r="G186" i="7" a="1"/>
  <c r="G268" i="7" a="1"/>
  <c r="G180" i="7" a="1"/>
  <c r="G68" i="7" a="1"/>
  <c r="G245" i="7" a="1"/>
  <c r="G109" i="7" a="1"/>
  <c r="G60" i="7" a="1"/>
  <c r="G169" i="7" a="1"/>
  <c r="G33" i="7" a="1"/>
  <c r="G166" i="7" a="1"/>
  <c r="G61" i="7" a="1"/>
  <c r="G58" i="7" a="1"/>
  <c r="G63" i="7" a="1"/>
  <c r="G294" i="7" a="1"/>
  <c r="G3" i="7" a="1"/>
  <c r="G78" i="7" a="1"/>
  <c r="G131" i="7" a="1"/>
  <c r="G272" i="7" a="1"/>
  <c r="G45" i="7" a="1"/>
  <c r="G108" i="7" a="1"/>
  <c r="G46" i="7" a="1"/>
  <c r="G22" i="7" a="1"/>
  <c r="G164" i="7" a="1"/>
  <c r="G292" i="7" a="1"/>
  <c r="G55" i="7" a="1"/>
  <c r="G130" i="7" a="1"/>
  <c r="G159" i="7" a="1"/>
  <c r="G115" i="7" a="1"/>
  <c r="G270" i="7" a="1"/>
  <c r="G257" i="7" a="1"/>
  <c r="G2" i="7" a="1"/>
  <c r="G171" i="7" a="1"/>
  <c r="G185" i="7" a="1"/>
  <c r="G280" i="7" a="1"/>
  <c r="G183" i="7" a="1"/>
  <c r="G254" i="7" a="1"/>
  <c r="G296" i="7" a="1"/>
  <c r="G151" i="7" a="1"/>
  <c r="G240" i="7" a="1"/>
  <c r="G267" i="7" a="1"/>
  <c r="G228" i="7" a="1"/>
  <c r="G86" i="7" a="1"/>
  <c r="G300" i="7" a="1"/>
  <c r="G188" i="7" a="1"/>
  <c r="G6" i="7" a="1"/>
  <c r="G232" i="7" a="1"/>
  <c r="G66" i="7" a="1"/>
  <c r="G74" i="7" a="1"/>
  <c r="G4" i="7" a="1"/>
  <c r="G209" i="7" a="1"/>
  <c r="G162" i="7" a="1"/>
  <c r="G72" i="7" a="1"/>
  <c r="G239" i="7" a="1"/>
  <c r="G202" i="7" a="1"/>
  <c r="G234" i="7" a="1"/>
  <c r="G163" i="7" a="1"/>
  <c r="G199" i="7" a="1"/>
  <c r="G256" i="7" a="1"/>
  <c r="G242" i="7" a="1"/>
  <c r="G111" i="7" a="1"/>
  <c r="G172" i="7" a="1"/>
  <c r="G77" i="7" a="1"/>
  <c r="G290" i="7" a="1"/>
  <c r="G32" i="7" a="1"/>
  <c r="G220" i="7" a="1"/>
  <c r="G279" i="7" a="1"/>
  <c r="G265" i="7" a="1"/>
  <c r="G85" i="7" a="1"/>
  <c r="G150" i="7" a="1"/>
  <c r="G81" i="7" a="1"/>
  <c r="G275" i="7" a="1"/>
  <c r="G153" i="7" a="1"/>
  <c r="G285" i="7" a="1"/>
  <c r="G121" i="7" a="1"/>
  <c r="G277" i="7" a="1"/>
  <c r="G218" i="7" a="1"/>
  <c r="G176" i="7" a="1"/>
  <c r="G25" i="7" a="1"/>
  <c r="G35" i="7" a="1"/>
  <c r="G91" i="7" a="1"/>
  <c r="G103" i="7" a="1"/>
  <c r="G158" i="7" a="1"/>
  <c r="G236" i="7" a="1"/>
  <c r="G295" i="7" a="1"/>
  <c r="G88" i="7" a="1"/>
  <c r="G30" i="7" a="1"/>
  <c r="G119" i="7" a="1"/>
  <c r="G136" i="7" a="1"/>
  <c r="G21" i="7" a="1"/>
  <c r="G82" i="7" a="1"/>
  <c r="G118" i="7" a="1"/>
  <c r="G247" i="7" a="1"/>
  <c r="G238" i="7" a="1"/>
  <c r="G174" i="7" a="1"/>
  <c r="G216" i="7" a="1"/>
  <c r="G132" i="7" a="1"/>
  <c r="G142" i="7" a="1"/>
  <c r="G252" i="7" a="1"/>
  <c r="G24" i="7" a="1"/>
  <c r="G274" i="7" a="1"/>
  <c r="G231" i="7" a="1"/>
  <c r="G47" i="7" a="1"/>
  <c r="G110" i="7" a="1"/>
  <c r="G154" i="7" a="1"/>
  <c r="G235" i="7" a="1"/>
  <c r="G98" i="7" a="1"/>
  <c r="G246" i="7" a="1"/>
  <c r="G42" i="7" a="1"/>
  <c r="G44" i="7" a="1"/>
  <c r="G95" i="7" a="1"/>
  <c r="G37" i="7" a="1"/>
  <c r="G29" i="7" a="1"/>
  <c r="G182" i="7" a="1"/>
  <c r="G27" i="7" a="1"/>
  <c r="G56" i="7" a="1"/>
  <c r="G212" i="7" a="1"/>
  <c r="G147" i="7" a="1"/>
  <c r="G54" i="7" a="1"/>
  <c r="G67" i="7" a="1"/>
  <c r="G251" i="7" a="1"/>
  <c r="G113" i="7" a="1"/>
  <c r="G5" i="7" a="1"/>
  <c r="G149" i="7" a="1"/>
  <c r="G53" i="7" a="1"/>
  <c r="G125" i="7" a="1"/>
  <c r="G276" i="7" a="1"/>
  <c r="G167" i="7" a="1"/>
  <c r="G260" i="7" a="1"/>
  <c r="G48" i="7" a="1"/>
  <c r="G178" i="7" a="1"/>
  <c r="G258" i="7" a="1"/>
  <c r="G196" i="7" a="1"/>
  <c r="G76" i="7" a="1"/>
  <c r="G40" i="7" a="1"/>
  <c r="G41" i="7" a="1"/>
  <c r="G225" i="7" a="1"/>
  <c r="G122" i="7" a="1"/>
  <c r="G194" i="7" a="1"/>
  <c r="C8" i="7" a="1"/>
  <c r="I8" i="7" a="1"/>
  <c r="F8" i="7" a="1"/>
  <c r="E8" i="7" a="1"/>
  <c r="H8" i="7" a="1"/>
  <c r="B8" i="7" a="1"/>
  <c r="D8" i="7" a="1"/>
  <c r="G194" i="7" l="1"/>
  <c r="I8" i="7"/>
  <c r="G122" i="7"/>
  <c r="G225" i="7"/>
  <c r="G41" i="7"/>
  <c r="G40" i="7"/>
  <c r="G76" i="7"/>
  <c r="G196" i="7"/>
  <c r="G258" i="7"/>
  <c r="G178" i="7"/>
  <c r="G48" i="7"/>
  <c r="G260" i="7"/>
  <c r="G167" i="7"/>
  <c r="G276" i="7"/>
  <c r="G125" i="7"/>
  <c r="G53" i="7"/>
  <c r="G149" i="7"/>
  <c r="G5" i="7"/>
  <c r="G113" i="7"/>
  <c r="G251" i="7"/>
  <c r="G67" i="7"/>
  <c r="G54" i="7"/>
  <c r="G147" i="7"/>
  <c r="G212" i="7"/>
  <c r="G56" i="7"/>
  <c r="G27" i="7"/>
  <c r="G182" i="7"/>
  <c r="G29" i="7"/>
  <c r="G37" i="7"/>
  <c r="G95" i="7"/>
  <c r="G44" i="7"/>
  <c r="G42" i="7"/>
  <c r="G246" i="7"/>
  <c r="G98" i="7"/>
  <c r="G235" i="7"/>
  <c r="G154" i="7"/>
  <c r="G110" i="7"/>
  <c r="G47" i="7"/>
  <c r="G231" i="7"/>
  <c r="G274" i="7"/>
  <c r="G24" i="7"/>
  <c r="G252" i="7"/>
  <c r="G142" i="7"/>
  <c r="B8" i="7"/>
  <c r="G132" i="7"/>
  <c r="G216" i="7"/>
  <c r="G174" i="7"/>
  <c r="G238" i="7"/>
  <c r="G247" i="7"/>
  <c r="G118" i="7"/>
  <c r="G82" i="7"/>
  <c r="G21" i="7"/>
  <c r="G136" i="7"/>
  <c r="G119" i="7"/>
  <c r="G30" i="7"/>
  <c r="G88" i="7"/>
  <c r="G295" i="7"/>
  <c r="G236" i="7"/>
  <c r="G158" i="7"/>
  <c r="G103" i="7"/>
  <c r="G91" i="7"/>
  <c r="G35" i="7"/>
  <c r="G25" i="7"/>
  <c r="G176" i="7"/>
  <c r="G218" i="7"/>
  <c r="G277" i="7"/>
  <c r="G121" i="7"/>
  <c r="G285" i="7"/>
  <c r="G153" i="7"/>
  <c r="C8" i="7"/>
  <c r="G275" i="7"/>
  <c r="G81" i="7"/>
  <c r="G150" i="7"/>
  <c r="G85" i="7"/>
  <c r="G265" i="7"/>
  <c r="G279" i="7"/>
  <c r="G220" i="7"/>
  <c r="G32" i="7"/>
  <c r="G290" i="7"/>
  <c r="G77" i="7"/>
  <c r="G172" i="7"/>
  <c r="G111" i="7"/>
  <c r="G242" i="7"/>
  <c r="G256" i="7"/>
  <c r="G199" i="7"/>
  <c r="G163" i="7"/>
  <c r="G234" i="7"/>
  <c r="H8" i="7"/>
  <c r="E8" i="7"/>
  <c r="G202" i="7"/>
  <c r="G239" i="7"/>
  <c r="G72" i="7"/>
  <c r="G162" i="7"/>
  <c r="G209" i="7"/>
  <c r="G4" i="7"/>
  <c r="G74" i="7"/>
  <c r="G66" i="7"/>
  <c r="G232" i="7"/>
  <c r="G6" i="7"/>
  <c r="G188" i="7"/>
  <c r="G300" i="7"/>
  <c r="G86" i="7"/>
  <c r="G228" i="7"/>
  <c r="G267" i="7"/>
  <c r="G240" i="7"/>
  <c r="G151" i="7"/>
  <c r="G296" i="7"/>
  <c r="G254" i="7"/>
  <c r="G183" i="7"/>
  <c r="G280" i="7"/>
  <c r="G185" i="7"/>
  <c r="G171" i="7"/>
  <c r="G2" i="7"/>
  <c r="G257" i="7"/>
  <c r="G270" i="7"/>
  <c r="G115" i="7"/>
  <c r="G159" i="7"/>
  <c r="G130" i="7"/>
  <c r="G55" i="7"/>
  <c r="G292" i="7"/>
  <c r="G164" i="7"/>
  <c r="G22" i="7"/>
  <c r="G46" i="7"/>
  <c r="G108" i="7"/>
  <c r="G45" i="7"/>
  <c r="G272" i="7"/>
  <c r="G131" i="7"/>
  <c r="G78" i="7"/>
  <c r="G3" i="7"/>
  <c r="G294" i="7"/>
  <c r="G63" i="7"/>
  <c r="G58" i="7"/>
  <c r="G61" i="7"/>
  <c r="G166" i="7"/>
  <c r="G33" i="7"/>
  <c r="G169" i="7"/>
  <c r="G60" i="7"/>
  <c r="G109" i="7"/>
  <c r="G245" i="7"/>
  <c r="G68" i="7"/>
  <c r="G180" i="7"/>
  <c r="G268" i="7"/>
  <c r="G186" i="7"/>
  <c r="G226" i="7"/>
  <c r="G250" i="7"/>
  <c r="D8" i="7"/>
  <c r="G51" i="7"/>
  <c r="G100" i="7"/>
  <c r="G168" i="7"/>
  <c r="G261" i="7"/>
  <c r="G223" i="7"/>
  <c r="G152" i="7"/>
  <c r="G284" i="7"/>
  <c r="G65" i="7"/>
  <c r="G106" i="7"/>
  <c r="G123" i="7"/>
  <c r="G215" i="7"/>
  <c r="G181" i="7"/>
  <c r="G144" i="7"/>
  <c r="G165" i="7"/>
  <c r="G208" i="7"/>
  <c r="G201" i="7"/>
  <c r="G92" i="7"/>
  <c r="G143" i="7"/>
  <c r="G177" i="7"/>
  <c r="G189" i="7"/>
  <c r="G39" i="7"/>
  <c r="G69" i="7"/>
  <c r="G233" i="7"/>
  <c r="G49" i="7"/>
  <c r="G200" i="7"/>
  <c r="G97" i="7"/>
  <c r="G205" i="7"/>
  <c r="G124" i="7"/>
  <c r="G207" i="7"/>
  <c r="G104" i="7"/>
  <c r="G229" i="7"/>
  <c r="G31" i="7"/>
  <c r="G190" i="7"/>
  <c r="G7" i="7"/>
  <c r="G259" i="7"/>
  <c r="G214" i="7"/>
  <c r="G297" i="7"/>
  <c r="G299" i="7"/>
  <c r="G211" i="7"/>
  <c r="G243" i="7"/>
  <c r="G213" i="7"/>
  <c r="G34" i="7"/>
  <c r="G62" i="7"/>
  <c r="G75" i="7"/>
  <c r="G90" i="7"/>
  <c r="G18" i="7"/>
  <c r="G105" i="7"/>
  <c r="G195" i="7"/>
  <c r="G73" i="7"/>
  <c r="G187" i="7"/>
  <c r="G198" i="7"/>
  <c r="G160" i="7"/>
  <c r="G219" i="7"/>
  <c r="G59" i="7"/>
  <c r="G112" i="7"/>
  <c r="G64" i="7"/>
  <c r="G79" i="7"/>
  <c r="G204" i="7"/>
  <c r="G80" i="7"/>
  <c r="G134" i="7"/>
  <c r="G197" i="7"/>
  <c r="G221" i="7"/>
  <c r="G50" i="7"/>
  <c r="G273" i="7"/>
  <c r="G271" i="7"/>
  <c r="G87" i="7"/>
  <c r="G139" i="7"/>
  <c r="G155" i="7"/>
  <c r="G237" i="7"/>
  <c r="G140" i="7"/>
  <c r="G282" i="7"/>
  <c r="G102" i="7"/>
  <c r="G141" i="7"/>
  <c r="G281" i="7"/>
  <c r="G263" i="7"/>
  <c r="G179" i="7"/>
  <c r="G120" i="7"/>
  <c r="G161" i="7"/>
  <c r="G28" i="7"/>
  <c r="G107" i="7"/>
  <c r="G248" i="7"/>
  <c r="G230" i="7"/>
  <c r="G222" i="7"/>
  <c r="G291" i="7"/>
  <c r="G255" i="7"/>
  <c r="G101" i="7"/>
  <c r="F8" i="7"/>
  <c r="G206" i="7"/>
  <c r="G99" i="7"/>
  <c r="G191" i="7"/>
  <c r="G83" i="7"/>
  <c r="G126" i="7"/>
  <c r="G249" i="7"/>
  <c r="G241" i="7"/>
  <c r="G227" i="7"/>
  <c r="G203" i="7"/>
  <c r="G224" i="7"/>
  <c r="G287" i="7"/>
  <c r="G96" i="7"/>
  <c r="G145" i="7"/>
  <c r="G26" i="7"/>
  <c r="G262" i="7"/>
  <c r="G137" i="7"/>
  <c r="G146" i="7"/>
  <c r="G84" i="7"/>
  <c r="G127" i="7"/>
  <c r="G298" i="7"/>
  <c r="G173" i="7"/>
  <c r="G70" i="7"/>
  <c r="G193" i="7"/>
  <c r="G93" i="7"/>
  <c r="G23" i="7"/>
  <c r="G128" i="7"/>
  <c r="G20" i="7"/>
  <c r="G244" i="7"/>
  <c r="G71" i="7"/>
  <c r="G253" i="7"/>
  <c r="G184" i="7"/>
  <c r="G8" i="7"/>
  <c r="G43" i="7"/>
  <c r="G89" i="7"/>
  <c r="G133" i="7"/>
  <c r="G57" i="7"/>
  <c r="G94" i="7"/>
  <c r="G278" i="7"/>
  <c r="G170" i="7"/>
  <c r="G117" i="7"/>
  <c r="G19" i="7"/>
  <c r="G52" i="7"/>
  <c r="G286" i="7"/>
  <c r="G138" i="7"/>
  <c r="G129" i="7"/>
  <c r="G36" i="7"/>
  <c r="G293" i="7"/>
  <c r="G269" i="7"/>
  <c r="G289" i="7"/>
  <c r="G38" i="7"/>
  <c r="G148" i="7"/>
  <c r="G288" i="7"/>
  <c r="G175" i="7"/>
  <c r="G217" i="7"/>
  <c r="G17" i="7"/>
  <c r="G157" i="7"/>
  <c r="G283" i="7"/>
  <c r="G135" i="7"/>
  <c r="G210" i="7"/>
  <c r="G116" i="7"/>
  <c r="G264" i="7"/>
  <c r="G192" i="7"/>
  <c r="G114" i="7"/>
  <c r="G266" i="7"/>
  <c r="G156" i="7"/>
  <c r="I74" i="7" a="1"/>
  <c r="I51" i="7" a="1"/>
  <c r="I251" i="7" a="1"/>
  <c r="I184" i="7" a="1"/>
  <c r="I29" i="7" a="1"/>
  <c r="I102" i="7" a="1"/>
  <c r="I218" i="7" a="1"/>
  <c r="I26" i="7" a="1"/>
  <c r="I261" i="7" a="1"/>
  <c r="I160" i="7" a="1"/>
  <c r="I54" i="7" a="1"/>
  <c r="I257" i="7" a="1"/>
  <c r="I110" i="7" a="1"/>
  <c r="I98" i="7" a="1"/>
  <c r="I296" i="7" a="1"/>
  <c r="I20" i="7" a="1"/>
  <c r="I114" i="7" a="1"/>
  <c r="I13" i="7" a="1"/>
  <c r="I47" i="7" a="1"/>
  <c r="I285" i="7" a="1"/>
  <c r="I141" i="7" a="1"/>
  <c r="I109" i="7" a="1"/>
  <c r="I265" i="7" a="1"/>
  <c r="I256" i="7" a="1"/>
  <c r="I231" i="7" a="1"/>
  <c r="I7" i="7" a="1"/>
  <c r="I286" i="7" a="1"/>
  <c r="I62" i="7" a="1"/>
  <c r="I267" i="7" a="1"/>
  <c r="I36" i="7" a="1"/>
  <c r="I197" i="7" a="1"/>
  <c r="I5" i="7" a="1"/>
  <c r="I31" i="7" a="1"/>
  <c r="I241" i="7" a="1"/>
  <c r="I145" i="7" a="1"/>
  <c r="I171" i="7" a="1"/>
  <c r="I230" i="7" a="1"/>
  <c r="I266" i="7" a="1"/>
  <c r="I126" i="7" a="1"/>
  <c r="I228" i="7" a="1"/>
  <c r="I143" i="7" a="1"/>
  <c r="I238" i="7" a="1"/>
  <c r="I175" i="7" a="1"/>
  <c r="I30" i="7" a="1"/>
  <c r="I144" i="7" a="1"/>
  <c r="I179" i="7" a="1"/>
  <c r="I96" i="7" a="1"/>
  <c r="I95" i="7" a="1"/>
  <c r="I18" i="7" a="1"/>
  <c r="I217" i="7" a="1"/>
  <c r="I148" i="7" a="1"/>
  <c r="I253" i="7" a="1"/>
  <c r="I42" i="7" a="1"/>
  <c r="I11" i="7" a="1"/>
  <c r="I142" i="7" a="1"/>
  <c r="I76" i="7" a="1"/>
  <c r="I186" i="7" a="1"/>
  <c r="I280" i="7" a="1"/>
  <c r="I189" i="7" a="1"/>
  <c r="I99" i="7" a="1"/>
  <c r="I164" i="7" a="1"/>
  <c r="I44" i="7" a="1"/>
  <c r="I167" i="7" a="1"/>
  <c r="I123" i="7" a="1"/>
  <c r="I48" i="7" a="1"/>
  <c r="I183" i="7" a="1"/>
  <c r="I82" i="7" a="1"/>
  <c r="I49" i="7" a="1"/>
  <c r="I259" i="7" a="1"/>
  <c r="I25" i="7" a="1"/>
  <c r="I275" i="7" a="1"/>
  <c r="I78" i="7" a="1"/>
  <c r="I73" i="7" a="1"/>
  <c r="I119" i="7" a="1"/>
  <c r="I83" i="7" a="1"/>
  <c r="I258" i="7" a="1"/>
  <c r="I152" i="7" a="1"/>
  <c r="I204" i="7" a="1"/>
  <c r="I56" i="7" a="1"/>
  <c r="I252" i="7" a="1"/>
  <c r="I121" i="7" a="1"/>
  <c r="I40" i="7" a="1"/>
  <c r="I67" i="7" a="1"/>
  <c r="I194" i="7" a="1"/>
  <c r="I242" i="7" a="1"/>
  <c r="I215" i="7" a="1"/>
  <c r="I135" i="7" a="1"/>
  <c r="I120" i="7" a="1"/>
  <c r="I208" i="7" a="1"/>
  <c r="I131" i="7" a="1"/>
  <c r="I4" i="7" a="1"/>
  <c r="I263" i="7" a="1"/>
  <c r="I199" i="7" a="1"/>
  <c r="I39" i="7" a="1"/>
  <c r="I193" i="7" a="1"/>
  <c r="I136" i="7" a="1"/>
  <c r="I22" i="7" a="1"/>
  <c r="I53" i="7" a="1"/>
  <c r="I71" i="7" a="1"/>
  <c r="I205" i="7" a="1"/>
  <c r="I3" i="7" a="1"/>
  <c r="I6" i="7" a="1"/>
  <c r="I190" i="7" a="1"/>
  <c r="I113" i="7" a="1"/>
  <c r="I105" i="7" a="1"/>
  <c r="I294" i="7" a="1"/>
  <c r="I290" i="7" a="1"/>
  <c r="I210" i="7" a="1"/>
  <c r="I149" i="7" a="1"/>
  <c r="I88" i="7" a="1"/>
  <c r="I166" i="7" a="1"/>
  <c r="I35" i="7" a="1"/>
  <c r="I133" i="7" a="1"/>
  <c r="I125" i="7" a="1"/>
  <c r="I212" i="7" a="1"/>
  <c r="I177" i="7" a="1"/>
  <c r="I209" i="7" a="1"/>
  <c r="I176" i="7" a="1"/>
  <c r="I195" i="7" a="1"/>
  <c r="I87" i="7" a="1"/>
  <c r="I151" i="7" a="1"/>
  <c r="I91" i="7" a="1"/>
  <c r="I260" i="7" a="1"/>
  <c r="I159" i="7" a="1"/>
  <c r="I64" i="7" a="1"/>
  <c r="I162" i="7" a="1"/>
  <c r="I206" i="7" a="1"/>
  <c r="I216" i="7" a="1"/>
  <c r="I299" i="7" a="1"/>
  <c r="I220" i="7" a="1"/>
  <c r="I201" i="7" a="1"/>
  <c r="I41" i="7" a="1"/>
  <c r="I232" i="7" a="1"/>
  <c r="I298" i="7" a="1"/>
  <c r="I297" i="7" a="1"/>
  <c r="I254" i="7" a="1"/>
  <c r="I75" i="7" a="1"/>
  <c r="I211" i="7" a="1"/>
  <c r="I17" i="7" a="1"/>
  <c r="I293" i="7" a="1"/>
  <c r="I85" i="7" a="1"/>
  <c r="I72" i="7" a="1"/>
  <c r="I2" i="7" a="1"/>
  <c r="I250" i="7" a="1"/>
  <c r="I191" i="7" a="1"/>
  <c r="I92" i="7" a="1"/>
  <c r="I33" i="7" a="1"/>
  <c r="I196" i="7" a="1"/>
  <c r="I79" i="7" a="1"/>
  <c r="I245" i="7" a="1"/>
  <c r="I21" i="7" a="1"/>
  <c r="I16" i="7" a="1"/>
  <c r="I192" i="7" a="1"/>
  <c r="I187" i="7" a="1"/>
  <c r="I19" i="7" a="1"/>
  <c r="I269" i="7" a="1"/>
  <c r="I158" i="7" a="1"/>
  <c r="I200" i="7" a="1"/>
  <c r="I128" i="7" a="1"/>
  <c r="I103" i="7" a="1"/>
  <c r="I130" i="7" a="1"/>
  <c r="I63" i="7" a="1"/>
  <c r="I157" i="7" a="1"/>
  <c r="I127" i="7" a="1"/>
  <c r="I84" i="7" a="1"/>
  <c r="I178" i="7" a="1"/>
  <c r="I248" i="7" a="1"/>
  <c r="I185" i="7" a="1"/>
  <c r="I52" i="7" a="1"/>
  <c r="I61" i="7" a="1"/>
  <c r="I129" i="7" a="1"/>
  <c r="I115" i="7" a="1"/>
  <c r="I300" i="7" a="1"/>
  <c r="I65" i="7" a="1"/>
  <c r="I118" i="7" a="1"/>
  <c r="I12" i="7" a="1"/>
  <c r="I272" i="7" a="1"/>
  <c r="I233" i="7" a="1"/>
  <c r="I137" i="7" a="1"/>
  <c r="I223" i="7" a="1"/>
  <c r="I146" i="7" a="1"/>
  <c r="I264" i="7" a="1"/>
  <c r="I27" i="7" a="1"/>
  <c r="I225" i="7" a="1"/>
  <c r="I23" i="7" a="1"/>
  <c r="I155" i="7" a="1"/>
  <c r="I270" i="7" a="1"/>
  <c r="I46" i="7" a="1"/>
  <c r="I163" i="7" a="1"/>
  <c r="I240" i="7" a="1"/>
  <c r="I172" i="7" a="1"/>
  <c r="I68" i="7" a="1"/>
  <c r="I224" i="7" a="1"/>
  <c r="I289" i="7" a="1"/>
  <c r="I70" i="7" a="1"/>
  <c r="I244" i="7" a="1"/>
  <c r="I100" i="7" a="1"/>
  <c r="I38" i="7" a="1"/>
  <c r="I188" i="7" a="1"/>
  <c r="I274" i="7" a="1"/>
  <c r="I93" i="7" a="1"/>
  <c r="I277" i="7" a="1"/>
  <c r="I173" i="7" a="1"/>
  <c r="I15" i="7" a="1"/>
  <c r="I229" i="7" a="1"/>
  <c r="I59" i="7" a="1"/>
  <c r="I156" i="7" a="1"/>
  <c r="I236" i="7" a="1"/>
  <c r="I150" i="7" a="1"/>
  <c r="I122" i="7" a="1"/>
  <c r="I203" i="7" a="1"/>
  <c r="I174" i="7" a="1"/>
  <c r="I124" i="7" a="1"/>
  <c r="I24" i="7" a="1"/>
  <c r="I287" i="7" a="1"/>
  <c r="I221" i="7" a="1"/>
  <c r="I81" i="7" a="1"/>
  <c r="I239" i="7" a="1"/>
  <c r="I292" i="7" a="1"/>
  <c r="I77" i="7" a="1"/>
  <c r="I180" i="7" a="1"/>
  <c r="I139" i="7" a="1"/>
  <c r="I202" i="7" a="1"/>
  <c r="I147" i="7" a="1"/>
  <c r="I291" i="7" a="1"/>
  <c r="I182" i="7" a="1"/>
  <c r="I169" i="7" a="1"/>
  <c r="I165" i="7" a="1"/>
  <c r="I90" i="7" a="1"/>
  <c r="I154" i="7" a="1"/>
  <c r="I116" i="7" a="1"/>
  <c r="I58" i="7" a="1"/>
  <c r="I284" i="7" a="1"/>
  <c r="I249" i="7" a="1"/>
  <c r="I237" i="7" a="1"/>
  <c r="I246" i="7" a="1"/>
  <c r="I94" i="7" a="1"/>
  <c r="I57" i="7" a="1"/>
  <c r="I50" i="7" a="1"/>
  <c r="I181" i="7" a="1"/>
  <c r="I219" i="7" a="1"/>
  <c r="I288" i="7" a="1"/>
  <c r="I107" i="7" a="1"/>
  <c r="I138" i="7" a="1"/>
  <c r="I112" i="7" a="1"/>
  <c r="I226" i="7" a="1"/>
  <c r="I43" i="7" a="1"/>
  <c r="I235" i="7" a="1"/>
  <c r="I34" i="7" a="1"/>
  <c r="I295" i="7" a="1"/>
  <c r="I97" i="7" a="1"/>
  <c r="I60" i="7" a="1"/>
  <c r="I198" i="7" a="1"/>
  <c r="I69" i="7" a="1"/>
  <c r="I268" i="7" a="1"/>
  <c r="I117" i="7" a="1"/>
  <c r="I279" i="7" a="1"/>
  <c r="I262" i="7" a="1"/>
  <c r="I37" i="7" a="1"/>
  <c r="I101" i="7" a="1"/>
  <c r="I55" i="7" a="1"/>
  <c r="I14" i="7" a="1"/>
  <c r="I271" i="7" a="1"/>
  <c r="I222" i="7" a="1"/>
  <c r="I80" i="7" a="1"/>
  <c r="I89" i="7" a="1"/>
  <c r="I168" i="7" a="1"/>
  <c r="I111" i="7" a="1"/>
  <c r="I45" i="7" a="1"/>
  <c r="I276" i="7" a="1"/>
  <c r="I213" i="7" a="1"/>
  <c r="I234" i="7" a="1"/>
  <c r="I153" i="7" a="1"/>
  <c r="I278" i="7" a="1"/>
  <c r="I243" i="7" a="1"/>
  <c r="I106" i="7" a="1"/>
  <c r="I86" i="7" a="1"/>
  <c r="I273" i="7" a="1"/>
  <c r="I247" i="7" a="1"/>
  <c r="I207" i="7" a="1"/>
  <c r="I132" i="7" a="1"/>
  <c r="I28" i="7" a="1"/>
  <c r="I161" i="7" a="1"/>
  <c r="I134" i="7" a="1"/>
  <c r="I282" i="7" a="1"/>
  <c r="I281" i="7" a="1"/>
  <c r="I104" i="7" a="1"/>
  <c r="I32" i="7" a="1"/>
  <c r="I140" i="7" a="1"/>
  <c r="I170" i="7" a="1"/>
  <c r="I214" i="7" a="1"/>
  <c r="I255" i="7" a="1"/>
  <c r="I66" i="7" a="1"/>
  <c r="I283" i="7" a="1"/>
  <c r="I227" i="7" a="1"/>
  <c r="I108" i="7" a="1"/>
  <c r="E20" i="7" a="1"/>
  <c r="B18" i="7" a="1"/>
  <c r="F17" i="7" a="1"/>
  <c r="E18" i="7" a="1"/>
  <c r="E19" i="7" a="1"/>
  <c r="F18" i="7" a="1"/>
  <c r="C19" i="7" a="1"/>
  <c r="D20" i="7" a="1"/>
  <c r="C20" i="7" a="1"/>
  <c r="C17" i="7" a="1"/>
  <c r="F19" i="7" a="1"/>
  <c r="D18" i="7" a="1"/>
  <c r="D17" i="7" a="1"/>
  <c r="C18" i="7" a="1"/>
  <c r="B20" i="7" a="1"/>
  <c r="E17" i="7" a="1"/>
  <c r="B19" i="7" a="1"/>
  <c r="B17" i="7" a="1"/>
  <c r="D12" i="7" a="1"/>
  <c r="D19" i="7" a="1"/>
  <c r="F20" i="7" a="1"/>
  <c r="D12" i="7" l="1"/>
  <c r="I108" i="7"/>
  <c r="I227" i="7"/>
  <c r="I283" i="7"/>
  <c r="I66" i="7"/>
  <c r="I255" i="7"/>
  <c r="I214" i="7"/>
  <c r="I170" i="7"/>
  <c r="I140" i="7"/>
  <c r="I32" i="7"/>
  <c r="I104" i="7"/>
  <c r="I281" i="7"/>
  <c r="I282" i="7"/>
  <c r="I134" i="7"/>
  <c r="I161" i="7"/>
  <c r="I28" i="7"/>
  <c r="I132" i="7"/>
  <c r="I207" i="7"/>
  <c r="E18" i="7"/>
  <c r="I247" i="7"/>
  <c r="I273" i="7"/>
  <c r="I86" i="7"/>
  <c r="I106" i="7"/>
  <c r="I243" i="7"/>
  <c r="I278" i="7"/>
  <c r="I153" i="7"/>
  <c r="I234" i="7"/>
  <c r="I213" i="7"/>
  <c r="I276" i="7"/>
  <c r="I45" i="7"/>
  <c r="I111" i="7"/>
  <c r="D17" i="7"/>
  <c r="I168" i="7"/>
  <c r="I89" i="7"/>
  <c r="I80" i="7"/>
  <c r="I222" i="7"/>
  <c r="I271" i="7"/>
  <c r="I14" i="7"/>
  <c r="I55" i="7"/>
  <c r="I101" i="7"/>
  <c r="I37" i="7"/>
  <c r="I262" i="7"/>
  <c r="I279" i="7"/>
  <c r="I117" i="7"/>
  <c r="I268" i="7"/>
  <c r="C19" i="7"/>
  <c r="I69" i="7"/>
  <c r="C17" i="7"/>
  <c r="I198" i="7"/>
  <c r="I60" i="7"/>
  <c r="I97" i="7"/>
  <c r="I295" i="7"/>
  <c r="I34" i="7"/>
  <c r="I235" i="7"/>
  <c r="C20" i="7"/>
  <c r="I43" i="7"/>
  <c r="I226" i="7"/>
  <c r="I112" i="7"/>
  <c r="I138" i="7"/>
  <c r="I107" i="7"/>
  <c r="I288" i="7"/>
  <c r="I219" i="7"/>
  <c r="I181" i="7"/>
  <c r="I50" i="7"/>
  <c r="I57" i="7"/>
  <c r="I94" i="7"/>
  <c r="I246" i="7"/>
  <c r="I237" i="7"/>
  <c r="I249" i="7"/>
  <c r="I284" i="7"/>
  <c r="I58" i="7"/>
  <c r="I116" i="7"/>
  <c r="I154" i="7"/>
  <c r="I90" i="7"/>
  <c r="I165" i="7"/>
  <c r="I169" i="7"/>
  <c r="I182" i="7"/>
  <c r="I291" i="7"/>
  <c r="I147" i="7"/>
  <c r="I202" i="7"/>
  <c r="I139" i="7"/>
  <c r="I180" i="7"/>
  <c r="I77" i="7"/>
  <c r="I292" i="7"/>
  <c r="I239" i="7"/>
  <c r="I81" i="7"/>
  <c r="I221" i="7"/>
  <c r="I287" i="7"/>
  <c r="I24" i="7"/>
  <c r="I124" i="7"/>
  <c r="I174" i="7"/>
  <c r="I203" i="7"/>
  <c r="I122" i="7"/>
  <c r="I150" i="7"/>
  <c r="I236" i="7"/>
  <c r="I156" i="7"/>
  <c r="I59" i="7"/>
  <c r="I229" i="7"/>
  <c r="I15" i="7"/>
  <c r="I173" i="7"/>
  <c r="I277" i="7"/>
  <c r="I93" i="7"/>
  <c r="I274" i="7"/>
  <c r="I188" i="7"/>
  <c r="I38" i="7"/>
  <c r="I100" i="7"/>
  <c r="I244" i="7"/>
  <c r="I70" i="7"/>
  <c r="I289" i="7"/>
  <c r="I224" i="7"/>
  <c r="I68" i="7"/>
  <c r="I172" i="7"/>
  <c r="D18" i="7"/>
  <c r="I240" i="7"/>
  <c r="I163" i="7"/>
  <c r="I46" i="7"/>
  <c r="I270" i="7"/>
  <c r="I155" i="7"/>
  <c r="C18" i="7"/>
  <c r="I23" i="7"/>
  <c r="I225" i="7"/>
  <c r="I27" i="7"/>
  <c r="I264" i="7"/>
  <c r="I146" i="7"/>
  <c r="I223" i="7"/>
  <c r="I137" i="7"/>
  <c r="I233" i="7"/>
  <c r="I272" i="7"/>
  <c r="I12" i="7"/>
  <c r="I118" i="7"/>
  <c r="F20" i="7"/>
  <c r="I65" i="7"/>
  <c r="I300" i="7"/>
  <c r="I115" i="7"/>
  <c r="I129" i="7"/>
  <c r="I61" i="7"/>
  <c r="I52" i="7"/>
  <c r="I185" i="7"/>
  <c r="I248" i="7"/>
  <c r="I178" i="7"/>
  <c r="I84" i="7"/>
  <c r="I127" i="7"/>
  <c r="I157" i="7"/>
  <c r="I63" i="7"/>
  <c r="I130" i="7"/>
  <c r="F19" i="7"/>
  <c r="E17" i="7"/>
  <c r="I103" i="7"/>
  <c r="I128" i="7"/>
  <c r="I200" i="7"/>
  <c r="B20" i="7"/>
  <c r="I158" i="7"/>
  <c r="I269" i="7"/>
  <c r="I19" i="7"/>
  <c r="I187" i="7"/>
  <c r="I192" i="7"/>
  <c r="E19" i="7"/>
  <c r="I16" i="7"/>
  <c r="I21" i="7"/>
  <c r="I245" i="7"/>
  <c r="I79" i="7"/>
  <c r="I196" i="7"/>
  <c r="I33" i="7"/>
  <c r="I92" i="7"/>
  <c r="I191" i="7"/>
  <c r="I250" i="7"/>
  <c r="I2" i="7"/>
  <c r="I72" i="7"/>
  <c r="I85" i="7"/>
  <c r="I293" i="7"/>
  <c r="I17" i="7"/>
  <c r="I211" i="7"/>
  <c r="I75" i="7"/>
  <c r="I254" i="7"/>
  <c r="I297" i="7"/>
  <c r="I298" i="7"/>
  <c r="I232" i="7"/>
  <c r="I41" i="7"/>
  <c r="I201" i="7"/>
  <c r="I220" i="7"/>
  <c r="I299" i="7"/>
  <c r="I216" i="7"/>
  <c r="B17" i="7"/>
  <c r="I206" i="7"/>
  <c r="I162" i="7"/>
  <c r="I64" i="7"/>
  <c r="I159" i="7"/>
  <c r="I260" i="7"/>
  <c r="I91" i="7"/>
  <c r="I151" i="7"/>
  <c r="I87" i="7"/>
  <c r="I195" i="7"/>
  <c r="I176" i="7"/>
  <c r="I209" i="7"/>
  <c r="I177" i="7"/>
  <c r="I212" i="7"/>
  <c r="I125" i="7"/>
  <c r="I133" i="7"/>
  <c r="I35" i="7"/>
  <c r="I166" i="7"/>
  <c r="I88" i="7"/>
  <c r="I149" i="7"/>
  <c r="I210" i="7"/>
  <c r="I290" i="7"/>
  <c r="I294" i="7"/>
  <c r="I105" i="7"/>
  <c r="I113" i="7"/>
  <c r="I190" i="7"/>
  <c r="I6" i="7"/>
  <c r="I3" i="7"/>
  <c r="I205" i="7"/>
  <c r="I71" i="7"/>
  <c r="B19" i="7"/>
  <c r="I53" i="7"/>
  <c r="I22" i="7"/>
  <c r="I136" i="7"/>
  <c r="I193" i="7"/>
  <c r="I39" i="7"/>
  <c r="I199" i="7"/>
  <c r="I263" i="7"/>
  <c r="I4" i="7"/>
  <c r="I131" i="7"/>
  <c r="I208" i="7"/>
  <c r="I120" i="7"/>
  <c r="I135" i="7"/>
  <c r="I215" i="7"/>
  <c r="I242" i="7"/>
  <c r="I194" i="7"/>
  <c r="I67" i="7"/>
  <c r="I40" i="7"/>
  <c r="I121" i="7"/>
  <c r="I252" i="7"/>
  <c r="I56" i="7"/>
  <c r="I204" i="7"/>
  <c r="I152" i="7"/>
  <c r="I258" i="7"/>
  <c r="I83" i="7"/>
  <c r="I119" i="7"/>
  <c r="I73" i="7"/>
  <c r="I78" i="7"/>
  <c r="I275" i="7"/>
  <c r="I25" i="7"/>
  <c r="I259" i="7"/>
  <c r="I49" i="7"/>
  <c r="I82" i="7"/>
  <c r="I183" i="7"/>
  <c r="I48" i="7"/>
  <c r="I123" i="7"/>
  <c r="I167" i="7"/>
  <c r="I44" i="7"/>
  <c r="I164" i="7"/>
  <c r="I99" i="7"/>
  <c r="I189" i="7"/>
  <c r="I280" i="7"/>
  <c r="I186" i="7"/>
  <c r="I76" i="7"/>
  <c r="I142" i="7"/>
  <c r="I11" i="7"/>
  <c r="I42" i="7"/>
  <c r="I253" i="7"/>
  <c r="I148" i="7"/>
  <c r="I217" i="7"/>
  <c r="I18" i="7"/>
  <c r="I95" i="7"/>
  <c r="I96" i="7"/>
  <c r="I179" i="7"/>
  <c r="I144" i="7"/>
  <c r="I30" i="7"/>
  <c r="I175" i="7"/>
  <c r="D19" i="7"/>
  <c r="E20" i="7"/>
  <c r="I238" i="7"/>
  <c r="I143" i="7"/>
  <c r="I228" i="7"/>
  <c r="I126" i="7"/>
  <c r="I266" i="7"/>
  <c r="I230" i="7"/>
  <c r="I171" i="7"/>
  <c r="I145" i="7"/>
  <c r="I241" i="7"/>
  <c r="I31" i="7"/>
  <c r="I5" i="7"/>
  <c r="I197" i="7"/>
  <c r="I36" i="7"/>
  <c r="I267" i="7"/>
  <c r="F17" i="7"/>
  <c r="I62" i="7"/>
  <c r="I286" i="7"/>
  <c r="I7" i="7"/>
  <c r="I231" i="7"/>
  <c r="I256" i="7"/>
  <c r="I265" i="7"/>
  <c r="I109" i="7"/>
  <c r="I141" i="7"/>
  <c r="I285" i="7"/>
  <c r="I47" i="7"/>
  <c r="I13" i="7"/>
  <c r="I114" i="7"/>
  <c r="D20" i="7"/>
  <c r="F18" i="7"/>
  <c r="I20" i="7"/>
  <c r="I296" i="7"/>
  <c r="I98" i="7"/>
  <c r="I110" i="7"/>
  <c r="I257" i="7"/>
  <c r="I54" i="7"/>
  <c r="I160" i="7"/>
  <c r="I261" i="7"/>
  <c r="I26" i="7"/>
  <c r="I218" i="7"/>
  <c r="I102" i="7"/>
  <c r="I29" i="7"/>
  <c r="I184" i="7"/>
  <c r="B18" i="7"/>
  <c r="I251" i="7"/>
  <c r="I51" i="7"/>
  <c r="I74" i="7"/>
  <c r="B284" i="7" l="1" a="1"/>
  <c r="F50" i="7" a="1"/>
  <c r="F160" i="7" a="1"/>
  <c r="E213" i="7" a="1"/>
  <c r="H171" i="7" a="1"/>
  <c r="D271" i="7" a="1"/>
  <c r="C280" i="7" a="1"/>
  <c r="C124" i="7" a="1"/>
  <c r="D166" i="7" a="1"/>
  <c r="C81" i="7" a="1"/>
  <c r="C128" i="7" a="1"/>
  <c r="C116" i="7" a="1"/>
  <c r="B199" i="7" a="1"/>
  <c r="H190" i="7" a="1"/>
  <c r="D3" i="7" a="1"/>
  <c r="F176" i="7" a="1"/>
  <c r="F260" i="7" a="1"/>
  <c r="D284" i="7" a="1"/>
  <c r="D142" i="7" a="1"/>
  <c r="B223" i="7" a="1"/>
  <c r="F111" i="7" a="1"/>
  <c r="F90" i="7" a="1"/>
  <c r="B37" i="7" a="1"/>
  <c r="E192" i="7" a="1"/>
  <c r="D273" i="7" a="1"/>
  <c r="H198" i="7" a="1"/>
  <c r="H300" i="7" a="1"/>
  <c r="B279" i="7" a="1"/>
  <c r="B253" i="7" a="1"/>
  <c r="F187" i="7" a="1"/>
  <c r="B126" i="7" a="1"/>
  <c r="F72" i="7" a="1"/>
  <c r="F266" i="7" a="1"/>
  <c r="F27" i="7" a="1"/>
  <c r="F172" i="7" a="1"/>
  <c r="F168" i="7" a="1"/>
  <c r="E77" i="7" a="1"/>
  <c r="C154" i="7" a="1"/>
  <c r="E285" i="7" a="1"/>
  <c r="H240" i="7" a="1"/>
  <c r="B190" i="7" a="1"/>
  <c r="F35" i="7" a="1"/>
  <c r="E117" i="7" a="1"/>
  <c r="C153" i="7" a="1"/>
  <c r="D274" i="7" a="1"/>
  <c r="D278" i="7" a="1"/>
  <c r="D85" i="7" a="1"/>
  <c r="C258" i="7" a="1"/>
  <c r="D207" i="7" a="1"/>
  <c r="F69" i="7" a="1"/>
  <c r="B217" i="7" a="1"/>
  <c r="E195" i="7" a="1"/>
  <c r="C141" i="7" a="1"/>
  <c r="H94" i="7" a="1"/>
  <c r="B231" i="7" a="1"/>
  <c r="H6" i="7" a="1"/>
  <c r="B262" i="7" a="1"/>
  <c r="E206" i="7" a="1"/>
  <c r="H216" i="7" a="1"/>
  <c r="H170" i="7" a="1"/>
  <c r="D116" i="7" a="1"/>
  <c r="D7" i="7" a="1"/>
  <c r="B232" i="7" a="1"/>
  <c r="E203" i="7" a="1"/>
  <c r="B107" i="7" a="1"/>
  <c r="H182" i="7" a="1"/>
  <c r="H232" i="7" a="1"/>
  <c r="C49" i="7" a="1"/>
  <c r="F79" i="7" a="1"/>
  <c r="E113" i="7" a="1"/>
  <c r="C119" i="7" a="1"/>
  <c r="E200" i="7" a="1"/>
  <c r="E215" i="7" a="1"/>
  <c r="D199" i="7" a="1"/>
  <c r="D279" i="7" a="1"/>
  <c r="B192" i="7" a="1"/>
  <c r="H264" i="7" a="1"/>
  <c r="D94" i="7" a="1"/>
  <c r="D289" i="7" a="1"/>
  <c r="H280" i="7" a="1"/>
  <c r="H75" i="7" a="1"/>
  <c r="B258" i="7" a="1"/>
  <c r="F65" i="7" a="1"/>
  <c r="D162" i="7" a="1"/>
  <c r="E57" i="7" a="1"/>
  <c r="F92" i="7" a="1"/>
  <c r="B271" i="7" a="1"/>
  <c r="E28" i="7" a="1"/>
  <c r="B136" i="7" a="1"/>
  <c r="B102" i="7" a="1"/>
  <c r="E169" i="7" a="1"/>
  <c r="C204" i="7" a="1"/>
  <c r="E259" i="7" a="1"/>
  <c r="F205" i="7" a="1"/>
  <c r="H118" i="7" a="1"/>
  <c r="H111" i="7" a="1"/>
  <c r="C56" i="7" a="1"/>
  <c r="C125" i="7" a="1"/>
  <c r="F68" i="7" a="1"/>
  <c r="H91" i="7" a="1"/>
  <c r="E135" i="7" a="1"/>
  <c r="F271" i="7" a="1"/>
  <c r="C139" i="7" a="1"/>
  <c r="H175" i="7" a="1"/>
  <c r="D37" i="7" a="1"/>
  <c r="E139" i="7" a="1"/>
  <c r="F300" i="7" a="1"/>
  <c r="D267" i="7" a="1"/>
  <c r="E170" i="7" a="1"/>
  <c r="B98" i="7" a="1"/>
  <c r="F118" i="7" a="1"/>
  <c r="B183" i="7" a="1"/>
  <c r="B281" i="7" a="1"/>
  <c r="E262" i="7" a="1"/>
  <c r="B267" i="7" a="1"/>
  <c r="E141" i="7" a="1"/>
  <c r="D32" i="7" a="1"/>
  <c r="F274" i="7" a="1"/>
  <c r="F196" i="7" a="1"/>
  <c r="H236" i="7" a="1"/>
  <c r="E163" i="7" a="1"/>
  <c r="F191" i="7" a="1"/>
  <c r="E129" i="7" a="1"/>
  <c r="E173" i="7" a="1"/>
  <c r="F174" i="7" a="1"/>
  <c r="F164" i="7" a="1"/>
  <c r="D55" i="7" a="1"/>
  <c r="H151" i="7" a="1"/>
  <c r="E234" i="7" a="1"/>
  <c r="F45" i="7" a="1"/>
  <c r="H274" i="7" a="1"/>
  <c r="B82" i="7" a="1"/>
  <c r="D145" i="7" a="1"/>
  <c r="C219" i="7" a="1"/>
  <c r="H159" i="7" a="1"/>
  <c r="C74" i="7" a="1"/>
  <c r="H158" i="7" a="1"/>
  <c r="C268" i="7" a="1"/>
  <c r="H44" i="7" a="1"/>
  <c r="E46" i="7" a="1"/>
  <c r="E236" i="7" a="1"/>
  <c r="B174" i="7" a="1"/>
  <c r="F286" i="7" a="1"/>
  <c r="F84" i="7" a="1"/>
  <c r="H106" i="7" a="1"/>
  <c r="F269" i="7" a="1"/>
  <c r="E292" i="7" a="1"/>
  <c r="C244" i="7" a="1"/>
  <c r="H254" i="7" a="1"/>
  <c r="H48" i="7" a="1"/>
  <c r="D261" i="7" a="1"/>
  <c r="E112" i="7" a="1"/>
  <c r="H194" i="7" a="1"/>
  <c r="C111" i="7" a="1"/>
  <c r="H233" i="7" a="1"/>
  <c r="H130" i="7" a="1"/>
  <c r="F123" i="7" a="1"/>
  <c r="H148" i="7" a="1"/>
  <c r="E232" i="7" a="1"/>
  <c r="D245" i="7" a="1"/>
  <c r="H154" i="7" a="1"/>
  <c r="D182" i="7" a="1"/>
  <c r="C27" i="7" a="1"/>
  <c r="F147" i="7" a="1"/>
  <c r="B32" i="7" a="1"/>
  <c r="C51" i="7" a="1"/>
  <c r="H27" i="7" a="1"/>
  <c r="F75" i="7" a="1"/>
  <c r="D286" i="7" a="1"/>
  <c r="D65" i="7" a="1"/>
  <c r="F96" i="7" a="1"/>
  <c r="E205" i="7" a="1"/>
  <c r="H54" i="7" a="1"/>
  <c r="F89" i="7" a="1"/>
  <c r="C76" i="7" a="1"/>
  <c r="C44" i="7" a="1"/>
  <c r="C170" i="7" a="1"/>
  <c r="E245" i="7" a="1"/>
  <c r="D102" i="7" a="1"/>
  <c r="B51" i="7" a="1"/>
  <c r="D172" i="7" a="1"/>
  <c r="E211" i="7" a="1"/>
  <c r="H28" i="7" a="1"/>
  <c r="B251" i="7" a="1"/>
  <c r="C47" i="7" a="1"/>
  <c r="B242" i="7" a="1"/>
  <c r="E293" i="7" a="1"/>
  <c r="H199" i="7" a="1"/>
  <c r="B122" i="7" a="1"/>
  <c r="D53" i="7" a="1"/>
  <c r="E86" i="7" a="1"/>
  <c r="H192" i="7" a="1"/>
  <c r="E3" i="7" a="1"/>
  <c r="H155" i="7" a="1"/>
  <c r="H238" i="7" a="1"/>
  <c r="B239" i="7" a="1"/>
  <c r="C63" i="7" a="1"/>
  <c r="C284" i="7" a="1"/>
  <c r="F262" i="7" a="1"/>
  <c r="E225" i="7" a="1"/>
  <c r="E114" i="7" a="1"/>
  <c r="B205" i="7" a="1"/>
  <c r="H172" i="7" a="1"/>
  <c r="D167" i="7" a="1"/>
  <c r="B282" i="7" a="1"/>
  <c r="C166" i="7" a="1"/>
  <c r="E177" i="7" a="1"/>
  <c r="B128" i="7" a="1"/>
  <c r="H74" i="7" a="1"/>
  <c r="E40" i="7" a="1"/>
  <c r="H117" i="7" a="1"/>
  <c r="B54" i="7" a="1"/>
  <c r="F175" i="7" a="1"/>
  <c r="H123" i="7" a="1"/>
  <c r="C263" i="7" a="1"/>
  <c r="C273" i="7" a="1"/>
  <c r="C191" i="7" a="1"/>
  <c r="E277" i="7" a="1"/>
  <c r="H249" i="7" a="1"/>
  <c r="D277" i="7" a="1"/>
  <c r="H18" i="7" a="1"/>
  <c r="E82" i="7" a="1"/>
  <c r="H258" i="7" a="1"/>
  <c r="H41" i="7" a="1"/>
  <c r="H103" i="7" a="1"/>
  <c r="D38" i="7" a="1"/>
  <c r="D256" i="7" a="1"/>
  <c r="F296" i="7" a="1"/>
  <c r="F126" i="7" a="1"/>
  <c r="H87" i="7" a="1"/>
  <c r="D177" i="7" a="1"/>
  <c r="E5" i="7" a="1"/>
  <c r="E33" i="7" a="1"/>
  <c r="H7" i="7" a="1"/>
  <c r="F24" i="7" a="1"/>
  <c r="D4" i="7" a="1"/>
  <c r="F138" i="7" a="1"/>
  <c r="C60" i="7" a="1"/>
  <c r="D130" i="7" a="1"/>
  <c r="D28" i="7" a="1"/>
  <c r="F155" i="7" a="1"/>
  <c r="F66" i="7" a="1"/>
  <c r="D74" i="7" a="1"/>
  <c r="C151" i="7" a="1"/>
  <c r="E299" i="7" a="1"/>
  <c r="B159" i="7" a="1"/>
  <c r="C121" i="7" a="1"/>
  <c r="F140" i="7" a="1"/>
  <c r="D147" i="7" a="1"/>
  <c r="H137" i="7" a="1"/>
  <c r="H282" i="7" a="1"/>
  <c r="F276" i="7" a="1"/>
  <c r="B163" i="7" a="1"/>
  <c r="C264" i="7" a="1"/>
  <c r="B151" i="7" a="1"/>
  <c r="F73" i="7" a="1"/>
  <c r="B33" i="7" a="1"/>
  <c r="F223" i="7" a="1"/>
  <c r="D288" i="7" a="1"/>
  <c r="H102" i="7" a="1"/>
  <c r="C238" i="7" a="1"/>
  <c r="C71" i="7" a="1"/>
  <c r="F233" i="7" a="1"/>
  <c r="B260" i="7" a="1"/>
  <c r="D209" i="7" a="1"/>
  <c r="C69" i="7" a="1"/>
  <c r="D255" i="7" a="1"/>
  <c r="F214" i="7" a="1"/>
  <c r="E79" i="7" a="1"/>
  <c r="D106" i="7" a="1"/>
  <c r="B67" i="7" a="1"/>
  <c r="E240" i="7" a="1"/>
  <c r="E48" i="7" a="1"/>
  <c r="D46" i="7" a="1"/>
  <c r="E164" i="7" a="1"/>
  <c r="C231" i="7" a="1"/>
  <c r="F283" i="7" a="1"/>
  <c r="D64" i="7" a="1"/>
  <c r="D295" i="7" a="1"/>
  <c r="H268" i="7" a="1"/>
  <c r="E300" i="7" a="1"/>
  <c r="D208" i="7" a="1"/>
  <c r="D136" i="7" a="1"/>
  <c r="H176" i="7" a="1"/>
  <c r="H245" i="7" a="1"/>
  <c r="D191" i="7" a="1"/>
  <c r="B120" i="7" a="1"/>
  <c r="D169" i="7" a="1"/>
  <c r="H207" i="7" a="1"/>
  <c r="E85" i="7" a="1"/>
  <c r="C222" i="7" a="1"/>
  <c r="E263" i="7" a="1"/>
  <c r="E244" i="7" a="1"/>
  <c r="C179" i="7" a="1"/>
  <c r="C73" i="7" a="1"/>
  <c r="H220" i="7" a="1"/>
  <c r="C113" i="7" a="1"/>
  <c r="B72" i="7" a="1"/>
  <c r="F98" i="7" a="1"/>
  <c r="E179" i="7" a="1"/>
  <c r="E229" i="7" a="1"/>
  <c r="D241" i="7" a="1"/>
  <c r="D66" i="7" a="1"/>
  <c r="H128" i="7" a="1"/>
  <c r="F224" i="7" a="1"/>
  <c r="H82" i="7" a="1"/>
  <c r="F93" i="7" a="1"/>
  <c r="E238" i="7" a="1"/>
  <c r="H33" i="7" a="1"/>
  <c r="C291" i="7" a="1"/>
  <c r="H246" i="7" a="1"/>
  <c r="C127" i="7" a="1"/>
  <c r="E168" i="7" a="1"/>
  <c r="H127" i="7" a="1"/>
  <c r="F30" i="7" a="1"/>
  <c r="F2" i="7" a="1"/>
  <c r="F25" i="7" a="1"/>
  <c r="E70" i="7" a="1"/>
  <c r="E6" i="7" a="1"/>
  <c r="C281" i="7" a="1"/>
  <c r="D220" i="7" a="1"/>
  <c r="H196" i="7" a="1"/>
  <c r="D263" i="7" a="1"/>
  <c r="H93" i="7" a="1"/>
  <c r="D226" i="7" a="1"/>
  <c r="E146" i="7" a="1"/>
  <c r="B193" i="7" a="1"/>
  <c r="E96" i="7" a="1"/>
  <c r="E255" i="7" a="1"/>
  <c r="E249" i="7" a="1"/>
  <c r="B34" i="7" a="1"/>
  <c r="B184" i="7" a="1"/>
  <c r="F226" i="7" a="1"/>
  <c r="H39" i="7" a="1"/>
  <c r="E71" i="7" a="1"/>
  <c r="B156" i="7" a="1"/>
  <c r="C43" i="7" a="1"/>
  <c r="H293" i="7" a="1"/>
  <c r="F34" i="7" a="1"/>
  <c r="F40" i="7" a="1"/>
  <c r="C106" i="7" a="1"/>
  <c r="H165" i="7" a="1"/>
  <c r="H110" i="7" a="1"/>
  <c r="B127" i="7" a="1"/>
  <c r="C130" i="7" a="1"/>
  <c r="D282" i="7" a="1"/>
  <c r="F149" i="7" a="1"/>
  <c r="B69" i="7" a="1"/>
  <c r="F81" i="7" a="1"/>
  <c r="H119" i="7" a="1"/>
  <c r="B202" i="7" a="1"/>
  <c r="F281" i="7" a="1"/>
  <c r="D143" i="7" a="1"/>
  <c r="C202" i="7" a="1"/>
  <c r="C28" i="7" a="1"/>
  <c r="E181" i="7" a="1"/>
  <c r="F21" i="7" a="1"/>
  <c r="F184" i="7" a="1"/>
  <c r="C34" i="7" a="1"/>
  <c r="D229" i="7" a="1"/>
  <c r="B276" i="7" a="1"/>
  <c r="D23" i="7" a="1"/>
  <c r="F178" i="7" a="1"/>
  <c r="H86" i="7" a="1"/>
  <c r="C298" i="7" a="1"/>
  <c r="H55" i="7" a="1"/>
  <c r="F85" i="7" a="1"/>
  <c r="B78" i="7" a="1"/>
  <c r="C266" i="7" a="1"/>
  <c r="C239" i="7" a="1"/>
  <c r="D129" i="7" a="1"/>
  <c r="D117" i="7" a="1"/>
  <c r="H126" i="7" a="1"/>
  <c r="H169" i="7" a="1"/>
  <c r="C278" i="7" a="1"/>
  <c r="C164" i="7" a="1"/>
  <c r="E37" i="7" a="1"/>
  <c r="B74" i="7" a="1"/>
  <c r="E63" i="7" a="1"/>
  <c r="B194" i="7" a="1"/>
  <c r="E148" i="7" a="1"/>
  <c r="F103" i="7" a="1"/>
  <c r="H291" i="7" a="1"/>
  <c r="D107" i="7" a="1"/>
  <c r="B296" i="7" a="1"/>
  <c r="F193" i="7" a="1"/>
  <c r="D165" i="7" a="1"/>
  <c r="F57" i="7" a="1"/>
  <c r="E35" i="7" a="1"/>
  <c r="H166" i="7" a="1"/>
  <c r="B275" i="7" a="1"/>
  <c r="B187" i="7" a="1"/>
  <c r="D300" i="7" a="1"/>
  <c r="B197" i="7" a="1"/>
  <c r="F169" i="7" a="1"/>
  <c r="D118" i="7" a="1"/>
  <c r="D133" i="7" a="1"/>
  <c r="E239" i="7" a="1"/>
  <c r="D42" i="7" a="1"/>
  <c r="F249" i="7" a="1"/>
  <c r="H70" i="7" a="1"/>
  <c r="H229" i="7" a="1"/>
  <c r="D242" i="7" a="1"/>
  <c r="F279" i="7" a="1"/>
  <c r="F299" i="7" a="1"/>
  <c r="D163" i="7" a="1"/>
  <c r="D217" i="7" a="1"/>
  <c r="F46" i="7" a="1"/>
  <c r="E294" i="7" a="1"/>
  <c r="F28" i="7" a="1"/>
  <c r="B175" i="7" a="1"/>
  <c r="C174" i="7" a="1"/>
  <c r="D291" i="7" a="1"/>
  <c r="E217" i="7" a="1"/>
  <c r="E276" i="7" a="1"/>
  <c r="C228" i="7" a="1"/>
  <c r="B273" i="7" a="1"/>
  <c r="C212" i="7" a="1"/>
  <c r="F251" i="7" a="1"/>
  <c r="F227" i="7" a="1"/>
  <c r="D131" i="7" a="1"/>
  <c r="E67" i="7" a="1"/>
  <c r="C254" i="7" a="1"/>
  <c r="D231" i="7" a="1"/>
  <c r="F275" i="7" a="1"/>
  <c r="B277" i="7" a="1"/>
  <c r="C96" i="7" a="1"/>
  <c r="F252" i="7" a="1"/>
  <c r="B35" i="7" a="1"/>
  <c r="H104" i="7" a="1"/>
  <c r="C251" i="7" a="1"/>
  <c r="E209" i="7" a="1"/>
  <c r="E147" i="7" a="1"/>
  <c r="B154" i="7" a="1"/>
  <c r="E115" i="7" a="1"/>
  <c r="H180" i="7" a="1"/>
  <c r="E53" i="7" a="1"/>
  <c r="B234" i="7" a="1"/>
  <c r="D41" i="7" a="1"/>
  <c r="C213" i="7" a="1"/>
  <c r="E257" i="7" a="1"/>
  <c r="E110" i="7" a="1"/>
  <c r="B235" i="7" a="1"/>
  <c r="H105" i="7" a="1"/>
  <c r="D113" i="7" a="1"/>
  <c r="H97" i="7" a="1"/>
  <c r="C296" i="7" a="1"/>
  <c r="C190" i="7" a="1"/>
  <c r="H114" i="7" a="1"/>
  <c r="E199" i="7" a="1"/>
  <c r="D247" i="7" a="1"/>
  <c r="E78" i="7" a="1"/>
  <c r="D122" i="7" a="1"/>
  <c r="C237" i="7" a="1"/>
  <c r="F190" i="7" a="1"/>
  <c r="B66" i="7" a="1"/>
  <c r="E167" i="7" a="1"/>
  <c r="E220" i="7" a="1"/>
  <c r="D203" i="7" a="1"/>
  <c r="C227" i="7" a="1"/>
  <c r="B70" i="7" a="1"/>
  <c r="C7" i="7" a="1"/>
  <c r="E56" i="7" a="1"/>
  <c r="B134" i="7" a="1"/>
  <c r="E81" i="7" a="1"/>
  <c r="H92" i="7" a="1"/>
  <c r="F94" i="7" a="1"/>
  <c r="D230" i="7" a="1"/>
  <c r="C68" i="7" a="1"/>
  <c r="E2" i="7" a="1"/>
  <c r="D22" i="7" a="1"/>
  <c r="B191" i="7" a="1"/>
  <c r="H35" i="7" a="1"/>
  <c r="C192" i="7" a="1"/>
  <c r="B55" i="7" a="1"/>
  <c r="D170" i="7" a="1"/>
  <c r="D224" i="7" a="1"/>
  <c r="E108" i="7" a="1"/>
  <c r="F198" i="7" a="1"/>
  <c r="H47" i="7" a="1"/>
  <c r="H56" i="7" a="1"/>
  <c r="C109" i="7" a="1"/>
  <c r="F250" i="7" a="1"/>
  <c r="F120" i="7" a="1"/>
  <c r="D44" i="7" a="1"/>
  <c r="E30" i="7" a="1"/>
  <c r="C220" i="7" a="1"/>
  <c r="C193" i="7" a="1"/>
  <c r="F180" i="7" a="1"/>
  <c r="B285" i="7" a="1"/>
  <c r="C185" i="7" a="1"/>
  <c r="H72" i="7" a="1"/>
  <c r="D205" i="7" a="1"/>
  <c r="E26" i="7" a="1"/>
  <c r="B75" i="7" a="1"/>
  <c r="H223" i="7" a="1"/>
  <c r="F287" i="7" a="1"/>
  <c r="B188" i="7" a="1"/>
  <c r="F206" i="7" a="1"/>
  <c r="H297" i="7" a="1"/>
  <c r="F246" i="7" a="1"/>
  <c r="F74" i="7" a="1"/>
  <c r="B280" i="7" a="1"/>
  <c r="B243" i="7" a="1"/>
  <c r="E104" i="7" a="1"/>
  <c r="E175" i="7" a="1"/>
  <c r="F38" i="7" a="1"/>
  <c r="H29" i="7" a="1"/>
  <c r="E51" i="7" a="1"/>
  <c r="B29" i="7" a="1"/>
  <c r="H88" i="7" a="1"/>
  <c r="B265" i="7" a="1"/>
  <c r="D287" i="7" a="1"/>
  <c r="H129" i="7" a="1"/>
  <c r="H36" i="7" a="1"/>
  <c r="F236" i="7" a="1"/>
  <c r="C93" i="7" a="1"/>
  <c r="D57" i="7" a="1"/>
  <c r="E271" i="7" a="1"/>
  <c r="H278" i="7" a="1"/>
  <c r="H31" i="7" a="1"/>
  <c r="E279" i="7" a="1"/>
  <c r="F82" i="7" a="1"/>
  <c r="E122" i="7" a="1"/>
  <c r="H295" i="7" a="1"/>
  <c r="D178" i="7" a="1"/>
  <c r="C241" i="7" a="1"/>
  <c r="C118" i="7" a="1"/>
  <c r="C240" i="7" a="1"/>
  <c r="H227" i="7" a="1"/>
  <c r="F208" i="7" a="1"/>
  <c r="B172" i="7" a="1"/>
  <c r="H147" i="7" a="1"/>
  <c r="E258" i="7" a="1"/>
  <c r="C194" i="7" a="1"/>
  <c r="E142" i="7" a="1"/>
  <c r="F113" i="7" a="1"/>
  <c r="D200" i="7" a="1"/>
  <c r="H34" i="7" a="1"/>
  <c r="F284" i="7" a="1"/>
  <c r="F166" i="7" a="1"/>
  <c r="B123" i="7" a="1"/>
  <c r="D246" i="7" a="1"/>
  <c r="B112" i="7" a="1"/>
  <c r="D76" i="7" a="1"/>
  <c r="E261" i="7" a="1"/>
  <c r="C140" i="7" a="1"/>
  <c r="C115" i="7" a="1"/>
  <c r="F129" i="7" a="1"/>
  <c r="H162" i="7" a="1"/>
  <c r="C48" i="7" a="1"/>
  <c r="H234" i="7" a="1"/>
  <c r="D216" i="7" a="1"/>
  <c r="C177" i="7" a="1"/>
  <c r="E58" i="7" a="1"/>
  <c r="B203" i="7" a="1"/>
  <c r="D262" i="7" a="1"/>
  <c r="H78" i="7" a="1"/>
  <c r="E191" i="7" a="1"/>
  <c r="B189" i="7" a="1"/>
  <c r="D69" i="7" a="1"/>
  <c r="B226" i="7" a="1"/>
  <c r="C199" i="7" a="1"/>
  <c r="E188" i="7" a="1"/>
  <c r="H146" i="7" a="1"/>
  <c r="B244" i="7" a="1"/>
  <c r="F217" i="7" a="1"/>
  <c r="C286" i="7" a="1"/>
  <c r="E84" i="7" a="1"/>
  <c r="E281" i="7" a="1"/>
  <c r="E194" i="7" a="1"/>
  <c r="B257" i="7" a="1"/>
  <c r="D49" i="7" a="1"/>
  <c r="H157" i="7" a="1"/>
  <c r="E60" i="7" a="1"/>
  <c r="D138" i="7" a="1"/>
  <c r="D171" i="7" a="1"/>
  <c r="F104" i="7" a="1"/>
  <c r="D204" i="7" a="1"/>
  <c r="D223" i="7" a="1"/>
  <c r="F37" i="7" a="1"/>
  <c r="H122" i="7" a="1"/>
  <c r="H57" i="7" a="1"/>
  <c r="D293" i="7" a="1"/>
  <c r="C184" i="7" a="1"/>
  <c r="D206" i="7" a="1"/>
  <c r="D99" i="7" a="1"/>
  <c r="H61" i="7" a="1"/>
  <c r="H226" i="7" a="1"/>
  <c r="D264" i="7" a="1"/>
  <c r="E193" i="7" a="1"/>
  <c r="H237" i="7" a="1"/>
  <c r="D78" i="7" a="1"/>
  <c r="H43" i="7" a="1"/>
  <c r="E224" i="7" a="1"/>
  <c r="F228" i="7" a="1"/>
  <c r="B81" i="7" a="1"/>
  <c r="D88" i="7" a="1"/>
  <c r="C270" i="7" a="1"/>
  <c r="H219" i="7" a="1"/>
  <c r="B283" i="7" a="1"/>
  <c r="H235" i="7" a="1"/>
  <c r="D59" i="7" a="1"/>
  <c r="C6" i="7" a="1"/>
  <c r="C88" i="7" a="1"/>
  <c r="B227" i="7" a="1"/>
  <c r="C145" i="7" a="1"/>
  <c r="D126" i="7" a="1"/>
  <c r="D33" i="7" a="1"/>
  <c r="H270" i="7" a="1"/>
  <c r="E186" i="7" a="1"/>
  <c r="E92" i="7" a="1"/>
  <c r="E297" i="7" a="1"/>
  <c r="D228" i="7" a="1"/>
  <c r="F53" i="7" a="1"/>
  <c r="C165" i="7" a="1"/>
  <c r="F106" i="7" a="1"/>
  <c r="E27" i="7" a="1"/>
  <c r="B101" i="7" a="1"/>
  <c r="B94" i="7" a="1"/>
  <c r="F209" i="7" a="1"/>
  <c r="C147" i="7" a="1"/>
  <c r="B53" i="7" a="1"/>
  <c r="E182" i="7" a="1"/>
  <c r="D139" i="7" a="1"/>
  <c r="F49" i="7" a="1"/>
  <c r="C249" i="7" a="1"/>
  <c r="F133" i="7" a="1"/>
  <c r="H132" i="7" a="1"/>
  <c r="C57" i="7" a="1"/>
  <c r="E107" i="7" a="1"/>
  <c r="C79" i="7" a="1"/>
  <c r="C86" i="7" a="1"/>
  <c r="C95" i="7" a="1"/>
  <c r="C198" i="7" a="1"/>
  <c r="C172" i="7" a="1"/>
  <c r="C5" i="7" a="1"/>
  <c r="H63" i="7" a="1"/>
  <c r="H52" i="7" a="1"/>
  <c r="F26" i="7" a="1"/>
  <c r="F23" i="7" a="1"/>
  <c r="B236" i="7" a="1"/>
  <c r="E207" i="7" a="1"/>
  <c r="B114" i="7" a="1"/>
  <c r="B149" i="7" a="1"/>
  <c r="B177" i="7" a="1"/>
  <c r="H71" i="7" a="1"/>
  <c r="D137" i="7" a="1"/>
  <c r="C3" i="7" a="1"/>
  <c r="F154" i="7" a="1"/>
  <c r="B60" i="7" a="1"/>
  <c r="B207" i="7" a="1"/>
  <c r="E75" i="7" a="1"/>
  <c r="D275" i="7" a="1"/>
  <c r="F225" i="7" a="1"/>
  <c r="F195" i="7" a="1"/>
  <c r="B47" i="7" a="1"/>
  <c r="F152" i="7" a="1"/>
  <c r="E89" i="7" a="1"/>
  <c r="E116" i="7" a="1"/>
  <c r="B45" i="7" a="1"/>
  <c r="H19" i="7" a="1"/>
  <c r="E50" i="7" a="1"/>
  <c r="F62" i="7" a="1"/>
  <c r="B56" i="7" a="1"/>
  <c r="D84" i="7" a="1"/>
  <c r="C33" i="7" a="1"/>
  <c r="F181" i="7" a="1"/>
  <c r="H294" i="7" a="1"/>
  <c r="B150" i="7" a="1"/>
  <c r="E127" i="7" a="1"/>
  <c r="D62" i="7" a="1"/>
  <c r="B83" i="7" a="1"/>
  <c r="B25" i="7" a="1"/>
  <c r="D79" i="7" a="1"/>
  <c r="E97" i="7" a="1"/>
  <c r="H262" i="7" a="1"/>
  <c r="H115" i="7" a="1"/>
  <c r="F135" i="7" a="1"/>
  <c r="F119" i="7" a="1"/>
  <c r="F29" i="7" a="1"/>
  <c r="F163" i="7" a="1"/>
  <c r="H49" i="7" a="1"/>
  <c r="B204" i="7" a="1"/>
  <c r="B77" i="7" a="1"/>
  <c r="F51" i="7" a="1"/>
  <c r="F86" i="7" a="1"/>
  <c r="D43" i="7" a="1"/>
  <c r="C83" i="7" a="1"/>
  <c r="C156" i="7" a="1"/>
  <c r="B298" i="7" a="1"/>
  <c r="H188" i="7" a="1"/>
  <c r="C29" i="7" a="1"/>
  <c r="C122" i="7" a="1"/>
  <c r="H160" i="7" a="1"/>
  <c r="B212" i="7" a="1"/>
  <c r="C173" i="7" a="1"/>
  <c r="D188" i="7" a="1"/>
  <c r="F288" i="7" a="1"/>
  <c r="E38" i="7" a="1"/>
  <c r="D211" i="7" a="1"/>
  <c r="D36" i="7" a="1"/>
  <c r="F161" i="7" a="1"/>
  <c r="C256" i="7" a="1"/>
  <c r="B238" i="7" a="1"/>
  <c r="E216" i="7" a="1"/>
  <c r="B100" i="7" a="1"/>
  <c r="B28" i="7" a="1"/>
  <c r="E73" i="7" a="1"/>
  <c r="F124" i="7" a="1"/>
  <c r="B228" i="7" a="1"/>
  <c r="H59" i="7" a="1"/>
  <c r="B22" i="7" a="1"/>
  <c r="H20" i="7" a="1"/>
  <c r="C247" i="7" a="1"/>
  <c r="D92" i="7" a="1"/>
  <c r="B137" i="7" a="1"/>
  <c r="B110" i="7" a="1"/>
  <c r="B196" i="7" a="1"/>
  <c r="D114" i="7" a="1"/>
  <c r="B211" i="7" a="1"/>
  <c r="C104" i="7" a="1"/>
  <c r="D270" i="7" a="1"/>
  <c r="E242" i="7" a="1"/>
  <c r="F136" i="7" a="1"/>
  <c r="H224" i="7" a="1"/>
  <c r="F293" i="7" a="1"/>
  <c r="H230" i="7" a="1"/>
  <c r="C70" i="7" a="1"/>
  <c r="E143" i="7" a="1"/>
  <c r="C84" i="7" a="1"/>
  <c r="H272" i="7" a="1"/>
  <c r="H225" i="7" a="1"/>
  <c r="C201" i="7" a="1"/>
  <c r="B173" i="7" a="1"/>
  <c r="F204" i="7" a="1"/>
  <c r="C54" i="7" a="1"/>
  <c r="H205" i="7" a="1"/>
  <c r="D140" i="7" a="1"/>
  <c r="D132" i="7" a="1"/>
  <c r="D56" i="7" a="1"/>
  <c r="C37" i="7" a="1"/>
  <c r="H277" i="7" a="1"/>
  <c r="C129" i="7" a="1"/>
  <c r="D96" i="7" a="1"/>
  <c r="B249" i="7" a="1"/>
  <c r="C134" i="7" a="1"/>
  <c r="D25" i="7" a="1"/>
  <c r="C226" i="7" a="1"/>
  <c r="F291" i="7" a="1"/>
  <c r="F170" i="7" a="1"/>
  <c r="D269" i="7" a="1"/>
  <c r="E178" i="7" a="1"/>
  <c r="F263" i="7" a="1"/>
  <c r="F256" i="7" a="1"/>
  <c r="H109" i="7" a="1"/>
  <c r="F141" i="7" a="1"/>
  <c r="H150" i="7" a="1"/>
  <c r="H85" i="7" a="1"/>
  <c r="H231" i="7" a="1"/>
  <c r="B155" i="7" a="1"/>
  <c r="C289" i="7" a="1"/>
  <c r="F47" i="7" a="1"/>
  <c r="E21" i="7" a="1"/>
  <c r="D30" i="7" a="1"/>
  <c r="D290" i="7" a="1"/>
  <c r="B140" i="7" a="1"/>
  <c r="C4" i="7" a="1"/>
  <c r="F237" i="7" a="1"/>
  <c r="C30" i="7" a="1"/>
  <c r="H215" i="7" a="1"/>
  <c r="B246" i="7" a="1"/>
  <c r="F121" i="7" a="1"/>
  <c r="E204" i="7" a="1"/>
  <c r="H23" i="7" a="1"/>
  <c r="C196" i="7" a="1"/>
  <c r="H98" i="7" a="1"/>
  <c r="E74" i="7" a="1"/>
  <c r="C182" i="7" a="1"/>
  <c r="H265" i="7" a="1"/>
  <c r="H189" i="7" a="1"/>
  <c r="C297" i="7" a="1"/>
  <c r="F182" i="7" a="1"/>
  <c r="F6" i="7" a="1"/>
  <c r="E93" i="7" a="1"/>
  <c r="C148" i="7" a="1"/>
  <c r="B95" i="7" a="1"/>
  <c r="E134" i="7" a="1"/>
  <c r="B76" i="7" a="1"/>
  <c r="B214" i="7" a="1"/>
  <c r="B164" i="7" a="1"/>
  <c r="E202" i="7" a="1"/>
  <c r="H247" i="7" a="1"/>
  <c r="H73" i="7" a="1"/>
  <c r="C21" i="7" a="1"/>
  <c r="D265" i="7" a="1"/>
  <c r="B248" i="7" a="1"/>
  <c r="H259" i="7" a="1"/>
  <c r="C155" i="7" a="1"/>
  <c r="B87" i="7" a="1"/>
  <c r="B27" i="7" a="1"/>
  <c r="F144" i="7" a="1"/>
  <c r="D156" i="7" a="1"/>
  <c r="B3" i="7" a="1"/>
  <c r="B129" i="7" a="1"/>
  <c r="H252" i="7" a="1"/>
  <c r="C108" i="7" a="1"/>
  <c r="B73" i="7" a="1"/>
  <c r="B299" i="7" a="1"/>
  <c r="F55" i="7" a="1"/>
  <c r="D154" i="7" a="1"/>
  <c r="D127" i="7" a="1"/>
  <c r="B88" i="7" a="1"/>
  <c r="B245" i="7" a="1"/>
  <c r="F3" i="7" a="1"/>
  <c r="D159" i="7" a="1"/>
  <c r="D83" i="7" a="1"/>
  <c r="B52" i="7" a="1"/>
  <c r="B121" i="7" a="1"/>
  <c r="D27" i="7" a="1"/>
  <c r="H138" i="7" a="1"/>
  <c r="B92" i="7" a="1"/>
  <c r="F218" i="7" a="1"/>
  <c r="E7" i="7" a="1"/>
  <c r="B38" i="7" a="1"/>
  <c r="C232" i="7" a="1"/>
  <c r="D26" i="7" a="1"/>
  <c r="C75" i="7" a="1"/>
  <c r="C114" i="7" a="1"/>
  <c r="D86" i="7" a="1"/>
  <c r="E243" i="7" a="1"/>
  <c r="E180" i="7" a="1"/>
  <c r="F100" i="7" a="1"/>
  <c r="F64" i="7" a="1"/>
  <c r="B210" i="7" a="1"/>
  <c r="D298" i="7" a="1"/>
  <c r="H84" i="7" a="1"/>
  <c r="C41" i="7" a="1"/>
  <c r="C180" i="7" a="1"/>
  <c r="B269" i="7" a="1"/>
  <c r="F213" i="7" a="1"/>
  <c r="B158" i="7" a="1"/>
  <c r="H100" i="7" a="1"/>
  <c r="H139" i="7" a="1"/>
  <c r="F59" i="7" a="1"/>
  <c r="C187" i="7" a="1"/>
  <c r="B145" i="7" a="1"/>
  <c r="B130" i="7" a="1"/>
  <c r="B50" i="7" a="1"/>
  <c r="B292" i="7" a="1"/>
  <c r="D125" i="7" a="1"/>
  <c r="B186" i="7" a="1"/>
  <c r="D219" i="7" a="1"/>
  <c r="F254" i="7" a="1"/>
  <c r="F188" i="7" a="1"/>
  <c r="F297" i="7" a="1"/>
  <c r="D100" i="7" a="1"/>
  <c r="F255" i="7" a="1"/>
  <c r="H204" i="7" a="1"/>
  <c r="H134" i="7" a="1"/>
  <c r="B57" i="7" a="1"/>
  <c r="H3" i="7" a="1"/>
  <c r="E101" i="7" a="1"/>
  <c r="B135" i="7" a="1"/>
  <c r="C243" i="7" a="1"/>
  <c r="E76" i="7" a="1"/>
  <c r="B171" i="7" a="1"/>
  <c r="F219" i="7" a="1"/>
  <c r="E250" i="7" a="1"/>
  <c r="C53" i="7" a="1"/>
  <c r="B89" i="7" a="1"/>
  <c r="E62" i="7" a="1"/>
  <c r="B40" i="7" a="1"/>
  <c r="B142" i="7" a="1"/>
  <c r="H108" i="7" a="1"/>
  <c r="E103" i="7" a="1"/>
  <c r="F150" i="7" a="1"/>
  <c r="C178" i="7" a="1"/>
  <c r="H210" i="7" a="1"/>
  <c r="D155" i="7" a="1"/>
  <c r="C62" i="7" a="1"/>
  <c r="H69" i="7" a="1"/>
  <c r="D29" i="7" a="1"/>
  <c r="C135" i="7" a="1"/>
  <c r="E109" i="7" a="1"/>
  <c r="E95" i="7" a="1"/>
  <c r="C97" i="7" a="1"/>
  <c r="C143" i="7" a="1"/>
  <c r="H201" i="7" a="1"/>
  <c r="E241" i="7" a="1"/>
  <c r="H62" i="7" a="1"/>
  <c r="B295" i="7" a="1"/>
  <c r="D164" i="7" a="1"/>
  <c r="D222" i="7" a="1"/>
  <c r="E31" i="7" a="1"/>
  <c r="E230" i="7" a="1"/>
  <c r="C77" i="7" a="1"/>
  <c r="B99" i="7" a="1"/>
  <c r="E144" i="7" a="1"/>
  <c r="H288" i="7" a="1"/>
  <c r="F54" i="7" a="1"/>
  <c r="C144" i="7" a="1"/>
  <c r="D153" i="7" a="1"/>
  <c r="D184" i="7" a="1"/>
  <c r="D266" i="7" a="1"/>
  <c r="E106" i="7" a="1"/>
  <c r="B5" i="7" a="1"/>
  <c r="E131" i="7" a="1"/>
  <c r="E83" i="7" a="1"/>
  <c r="F159" i="7" a="1"/>
  <c r="C160" i="7" a="1"/>
  <c r="E185" i="7" a="1"/>
  <c r="C120" i="7" a="1"/>
  <c r="C294" i="7" a="1"/>
  <c r="C176" i="7" a="1"/>
  <c r="C59" i="7" a="1"/>
  <c r="E123" i="7" a="1"/>
  <c r="D299" i="7" a="1"/>
  <c r="D21" i="7" a="1"/>
  <c r="D212" i="7" a="1"/>
  <c r="E98" i="7" a="1"/>
  <c r="B170" i="7" a="1"/>
  <c r="B255" i="7" a="1"/>
  <c r="B91" i="7" a="1"/>
  <c r="F294" i="7" a="1"/>
  <c r="F7" i="7" a="1"/>
  <c r="B222" i="7" a="1"/>
  <c r="F207" i="7" a="1"/>
  <c r="F221" i="7" a="1"/>
  <c r="H173" i="7" a="1"/>
  <c r="E23" i="7" a="1"/>
  <c r="E268" i="7" a="1"/>
  <c r="F58" i="7" a="1"/>
  <c r="E59" i="7" a="1"/>
  <c r="E29" i="7" a="1"/>
  <c r="D123" i="7" a="1"/>
  <c r="D254" i="7" a="1"/>
  <c r="D259" i="7" a="1"/>
  <c r="H212" i="7" a="1"/>
  <c r="C168" i="7" a="1"/>
  <c r="H125" i="7" a="1"/>
  <c r="H120" i="7" a="1"/>
  <c r="E190" i="7" a="1"/>
  <c r="F186" i="7" a="1"/>
  <c r="F238" i="7" a="1"/>
  <c r="E201" i="7" a="1"/>
  <c r="D190" i="7" a="1"/>
  <c r="H133" i="7" a="1"/>
  <c r="D2" i="7" a="1"/>
  <c r="E47" i="7" a="1"/>
  <c r="C295" i="7" a="1"/>
  <c r="H149" i="7" a="1"/>
  <c r="B169" i="7" a="1"/>
  <c r="F77" i="7" a="1"/>
  <c r="D236" i="7" a="1"/>
  <c r="E42" i="7" a="1"/>
  <c r="E157" i="7" a="1"/>
  <c r="H113" i="7" a="1"/>
  <c r="C274" i="7" a="1"/>
  <c r="E154" i="7" a="1"/>
  <c r="C82" i="7" a="1"/>
  <c r="E4" i="7" a="1"/>
  <c r="E155" i="7" a="1"/>
  <c r="F265" i="7" a="1"/>
  <c r="E102" i="7" a="1"/>
  <c r="F4" i="7" a="1"/>
  <c r="F151" i="7" a="1"/>
  <c r="D67" i="7" a="1"/>
  <c r="H26" i="7" a="1"/>
  <c r="H68" i="7" a="1"/>
  <c r="B176" i="7" a="1"/>
  <c r="F235" i="7" a="1"/>
  <c r="H153" i="7" a="1"/>
  <c r="E137" i="7" a="1"/>
  <c r="C195" i="7" a="1"/>
  <c r="E22" i="7" a="1"/>
  <c r="C218" i="7" a="1"/>
  <c r="H177" i="7" a="1"/>
  <c r="D58" i="7" a="1"/>
  <c r="H217" i="7" a="1"/>
  <c r="E197" i="7" a="1"/>
  <c r="H289" i="7" a="1"/>
  <c r="D187" i="7" a="1"/>
  <c r="D45" i="7" a="1"/>
  <c r="E218" i="7" a="1"/>
  <c r="D257" i="7" a="1"/>
  <c r="D63" i="7" a="1"/>
  <c r="H206" i="7" a="1"/>
  <c r="H186" i="7" a="1"/>
  <c r="B46" i="7" a="1"/>
  <c r="C267" i="7" a="1"/>
  <c r="B287" i="7" a="1"/>
  <c r="C50" i="7" a="1"/>
  <c r="B61" i="7" a="1"/>
  <c r="C253" i="7" a="1"/>
  <c r="H60" i="7" a="1"/>
  <c r="F39" i="7" a="1"/>
  <c r="E226" i="7" a="1"/>
  <c r="F173" i="7" a="1"/>
  <c r="D109" i="7" a="1"/>
  <c r="D89" i="7" a="1"/>
  <c r="B144" i="7" a="1"/>
  <c r="F189" i="7" a="1"/>
  <c r="C272" i="7" a="1"/>
  <c r="F162" i="7" a="1"/>
  <c r="C22" i="7" a="1"/>
  <c r="F242" i="7" a="1"/>
  <c r="B68" i="7" a="1"/>
  <c r="F109" i="7" a="1"/>
  <c r="B84" i="7" a="1"/>
  <c r="D233" i="7" a="1"/>
  <c r="D297" i="7" a="1"/>
  <c r="H250" i="7" a="1"/>
  <c r="B148" i="7" a="1"/>
  <c r="D50" i="7" a="1"/>
  <c r="B225" i="7" a="1"/>
  <c r="B213" i="7" a="1"/>
  <c r="C138" i="7" a="1"/>
  <c r="F153" i="7" a="1"/>
  <c r="C287" i="7" a="1"/>
  <c r="C123" i="7" a="1"/>
  <c r="B48" i="7" a="1"/>
  <c r="B270" i="7" a="1"/>
  <c r="B198" i="7" a="1"/>
  <c r="B63" i="7" a="1"/>
  <c r="D71" i="7" a="1"/>
  <c r="F240" i="7" a="1"/>
  <c r="E150" i="7" a="1"/>
  <c r="D95" i="7" a="1"/>
  <c r="D134" i="7" a="1"/>
  <c r="C197" i="7" a="1"/>
  <c r="F137" i="7" a="1"/>
  <c r="H242" i="7" a="1"/>
  <c r="F56" i="7" a="1"/>
  <c r="F127" i="7" a="1"/>
  <c r="C133" i="7" a="1"/>
  <c r="B124" i="7" a="1"/>
  <c r="C23" i="7" a="1"/>
  <c r="H89" i="7" a="1"/>
  <c r="E72" i="7" a="1"/>
  <c r="F108" i="7" a="1"/>
  <c r="H292" i="7" a="1"/>
  <c r="D193" i="7" a="1"/>
  <c r="D6" i="7" a="1"/>
  <c r="C279" i="7" a="1"/>
  <c r="E272" i="7" a="1"/>
  <c r="B143" i="7" a="1"/>
  <c r="D152" i="7" a="1"/>
  <c r="E126" i="7" a="1"/>
  <c r="F185" i="7" a="1"/>
  <c r="B71" i="7" a="1"/>
  <c r="H253" i="7" a="1"/>
  <c r="F41" i="7" a="1"/>
  <c r="B209" i="7" a="1"/>
  <c r="H163" i="7" a="1"/>
  <c r="D119" i="7" a="1"/>
  <c r="H267" i="7" a="1"/>
  <c r="D158" i="7" a="1"/>
  <c r="C214" i="7" a="1"/>
  <c r="F201" i="7" a="1"/>
  <c r="E233" i="7" a="1"/>
  <c r="B233" i="7" a="1"/>
  <c r="E149" i="7" a="1"/>
  <c r="H112" i="7" a="1"/>
  <c r="H195" i="7" a="1"/>
  <c r="F117" i="7" a="1"/>
  <c r="C246" i="7" a="1"/>
  <c r="F268" i="7" a="1"/>
  <c r="F148" i="7" a="1"/>
  <c r="H263" i="7" a="1"/>
  <c r="F264" i="7" a="1"/>
  <c r="B109" i="7" a="1"/>
  <c r="B85" i="7" a="1"/>
  <c r="D243" i="7" a="1"/>
  <c r="C225" i="7" a="1"/>
  <c r="C299" i="7" a="1"/>
  <c r="H203" i="7" a="1"/>
  <c r="E43" i="7" a="1"/>
  <c r="E284" i="7" a="1"/>
  <c r="B278" i="7" a="1"/>
  <c r="B146" i="7" a="1"/>
  <c r="C38" i="7" a="1"/>
  <c r="F258" i="7" a="1"/>
  <c r="H261" i="7" a="1"/>
  <c r="E69" i="7" a="1"/>
  <c r="H46" i="7" a="1"/>
  <c r="H241" i="7" a="1"/>
  <c r="F32" i="7" a="1"/>
  <c r="F139" i="7" a="1"/>
  <c r="F282" i="7" a="1"/>
  <c r="B105" i="7" a="1"/>
  <c r="H5" i="7" a="1"/>
  <c r="E156" i="7" a="1"/>
  <c r="F231" i="7" a="1"/>
  <c r="B221" i="7" a="1"/>
  <c r="D39" i="7" a="1"/>
  <c r="C40" i="7" a="1"/>
  <c r="B97" i="7" a="1"/>
  <c r="C100" i="7" a="1"/>
  <c r="F197" i="7" a="1"/>
  <c r="D168" i="7" a="1"/>
  <c r="E265" i="7" a="1"/>
  <c r="B220" i="7" a="1"/>
  <c r="H181" i="7" a="1"/>
  <c r="B104" i="7" a="1"/>
  <c r="D294" i="7" a="1"/>
  <c r="B291" i="7" a="1"/>
  <c r="C271" i="7" a="1"/>
  <c r="H255" i="7" a="1"/>
  <c r="D97" i="7" a="1"/>
  <c r="B261" i="7" a="1"/>
  <c r="E183" i="7" a="1"/>
  <c r="E100" i="7" a="1"/>
  <c r="B289" i="7" a="1"/>
  <c r="F295" i="7" a="1"/>
  <c r="D35" i="7" a="1"/>
  <c r="C223" i="7" a="1"/>
  <c r="H257" i="7" a="1"/>
  <c r="E91" i="7" a="1"/>
  <c r="H79" i="7" a="1"/>
  <c r="F80" i="7" a="1"/>
  <c r="H284" i="7" a="1"/>
  <c r="H45" i="7" a="1"/>
  <c r="H209" i="7" a="1"/>
  <c r="H290" i="7" a="1"/>
  <c r="B200" i="7" a="1"/>
  <c r="B64" i="7" a="1"/>
  <c r="F171" i="7" a="1"/>
  <c r="B179" i="7" a="1"/>
  <c r="F134" i="7" a="1"/>
  <c r="B180" i="7" a="1"/>
  <c r="H161" i="7" a="1"/>
  <c r="D232" i="7" a="1"/>
  <c r="D108" i="7" a="1"/>
  <c r="D104" i="7" a="1"/>
  <c r="D141" i="7" a="1"/>
  <c r="C58" i="7" a="1"/>
  <c r="D72" i="7" a="1"/>
  <c r="D90" i="7" a="1"/>
  <c r="F212" i="7" a="1"/>
  <c r="C207" i="7" a="1"/>
  <c r="C288" i="7" a="1"/>
  <c r="C205" i="7" a="1"/>
  <c r="C242" i="7" a="1"/>
  <c r="H243" i="7" a="1"/>
  <c r="F67" i="7" a="1"/>
  <c r="H17" i="7" a="1"/>
  <c r="F292" i="7" a="1"/>
  <c r="C80" i="7" a="1"/>
  <c r="F243" i="7" a="1"/>
  <c r="F200" i="7" a="1"/>
  <c r="E264" i="7" a="1"/>
  <c r="B256" i="7" a="1"/>
  <c r="E214" i="7" a="1"/>
  <c r="D157" i="7" a="1"/>
  <c r="E161" i="7" a="1"/>
  <c r="F259" i="7" a="1"/>
  <c r="C132" i="7" a="1"/>
  <c r="C300" i="7" a="1"/>
  <c r="D292" i="7" a="1"/>
  <c r="F70" i="7" a="1"/>
  <c r="E210" i="7" a="1"/>
  <c r="B115" i="7" a="1"/>
  <c r="E269" i="7" a="1"/>
  <c r="C224" i="7" a="1"/>
  <c r="F216" i="7" a="1"/>
  <c r="H244" i="7" a="1"/>
  <c r="C45" i="7" a="1"/>
  <c r="B215" i="7" a="1"/>
  <c r="H107" i="7" a="1"/>
  <c r="F211" i="7" a="1"/>
  <c r="D251" i="7" a="1"/>
  <c r="F83" i="7" a="1"/>
  <c r="H152" i="7" a="1"/>
  <c r="E94" i="7" a="1"/>
  <c r="B49" i="7" a="1"/>
  <c r="C175" i="7" a="1"/>
  <c r="F167" i="7" a="1"/>
  <c r="H164" i="7" a="1"/>
  <c r="D115" i="7" a="1"/>
  <c r="H239" i="7" a="1"/>
  <c r="C39" i="7" a="1"/>
  <c r="B24" i="7" a="1"/>
  <c r="C275" i="7" a="1"/>
  <c r="H131" i="7" a="1"/>
  <c r="C78" i="7" a="1"/>
  <c r="D192" i="7" a="1"/>
  <c r="H25" i="7" a="1"/>
  <c r="C137" i="7" a="1"/>
  <c r="D194" i="7" a="1"/>
  <c r="E138" i="7" a="1"/>
  <c r="E119" i="7" a="1"/>
  <c r="F270" i="7" a="1"/>
  <c r="B250" i="7" a="1"/>
  <c r="H2" i="7" a="1"/>
  <c r="H197" i="7" a="1"/>
  <c r="H208" i="7" a="1"/>
  <c r="B133" i="7" a="1"/>
  <c r="B162" i="7" a="1"/>
  <c r="B201" i="7" a="1"/>
  <c r="C261" i="7" a="1"/>
  <c r="D120" i="7" a="1"/>
  <c r="B208" i="7" a="1"/>
  <c r="E295" i="7" a="1"/>
  <c r="F115" i="7" a="1"/>
  <c r="B293" i="7" a="1"/>
  <c r="B2" i="7" a="1"/>
  <c r="H135" i="7" a="1"/>
  <c r="C236" i="7" a="1"/>
  <c r="C211" i="7" a="1"/>
  <c r="D81" i="7" a="1"/>
  <c r="C259" i="7" a="1"/>
  <c r="C186" i="7" a="1"/>
  <c r="C157" i="7" a="1"/>
  <c r="E176" i="7" a="1"/>
  <c r="D189" i="7" a="1"/>
  <c r="D150" i="7" a="1"/>
  <c r="C117" i="7" a="1"/>
  <c r="E166" i="7" a="1"/>
  <c r="B294" i="7" a="1"/>
  <c r="E189" i="7" a="1"/>
  <c r="F277" i="7" a="1"/>
  <c r="B300" i="7" a="1"/>
  <c r="E237" i="7" a="1"/>
  <c r="F116" i="7" a="1"/>
  <c r="F112" i="7" a="1"/>
  <c r="F239" i="7" a="1"/>
  <c r="B266" i="7" a="1"/>
  <c r="F105" i="7" a="1"/>
  <c r="E187" i="7" a="1"/>
  <c r="C2" i="7" a="1"/>
  <c r="C169" i="7" a="1"/>
  <c r="F110" i="7" a="1"/>
  <c r="D201" i="7" a="1"/>
  <c r="F87" i="7" a="1"/>
  <c r="H287" i="7" a="1"/>
  <c r="E68" i="7" a="1"/>
  <c r="B131" i="7" a="1"/>
  <c r="D82" i="7" a="1"/>
  <c r="H30" i="7" a="1"/>
  <c r="B86" i="7" a="1"/>
  <c r="C152" i="7" a="1"/>
  <c r="D227" i="7" a="1"/>
  <c r="B96" i="7" a="1"/>
  <c r="C283" i="7" a="1"/>
  <c r="D173" i="7" a="1"/>
  <c r="B161" i="7" a="1"/>
  <c r="D175" i="7" a="1"/>
  <c r="F61" i="7" a="1"/>
  <c r="H273" i="7" a="1"/>
  <c r="E222" i="7" a="1"/>
  <c r="B286" i="7" a="1"/>
  <c r="F114" i="7" a="1"/>
  <c r="D225" i="7" a="1"/>
  <c r="C25" i="7" a="1"/>
  <c r="B116" i="7" a="1"/>
  <c r="E274" i="7" a="1"/>
  <c r="C103" i="7" a="1"/>
  <c r="E275" i="7" a="1"/>
  <c r="D281" i="7" a="1"/>
  <c r="B113" i="7" a="1"/>
  <c r="C235" i="7" a="1"/>
  <c r="C72" i="7" a="1"/>
  <c r="E128" i="7" a="1"/>
  <c r="F33" i="7" a="1"/>
  <c r="D276" i="7" a="1"/>
  <c r="D144" i="7" a="1"/>
  <c r="B138" i="7" a="1"/>
  <c r="D135" i="7" a="1"/>
  <c r="B268" i="7" a="1"/>
  <c r="H256" i="7" a="1"/>
  <c r="F289" i="7" a="1"/>
  <c r="C102" i="7" a="1"/>
  <c r="E159" i="7" a="1"/>
  <c r="E88" i="7" a="1"/>
  <c r="C217" i="7" a="1"/>
  <c r="D75" i="7" a="1"/>
  <c r="B147" i="7" a="1"/>
  <c r="B264" i="7" a="1"/>
  <c r="C91" i="7" a="1"/>
  <c r="F36" i="7" a="1"/>
  <c r="F229" i="7" a="1"/>
  <c r="H124" i="7" a="1"/>
  <c r="C234" i="7" a="1"/>
  <c r="E145" i="7" a="1"/>
  <c r="E52" i="7" a="1"/>
  <c r="B41" i="7" a="1"/>
  <c r="E267" i="7" a="1"/>
  <c r="H67" i="7" a="1"/>
  <c r="F130" i="7" a="1"/>
  <c r="F122" i="7" a="1"/>
  <c r="H266" i="7" a="1"/>
  <c r="H211" i="7" a="1"/>
  <c r="D124" i="7" a="1"/>
  <c r="B153" i="7" a="1"/>
  <c r="D202" i="7" a="1"/>
  <c r="D60" i="7" a="1"/>
  <c r="B21" i="7" a="1"/>
  <c r="E151" i="7" a="1"/>
  <c r="E228" i="7" a="1"/>
  <c r="C200" i="7" a="1"/>
  <c r="F99" i="7" a="1"/>
  <c r="C142" i="7" a="1"/>
  <c r="C98" i="7" a="1"/>
  <c r="H260" i="7" a="1"/>
  <c r="E80" i="7" a="1"/>
  <c r="C146" i="7" a="1"/>
  <c r="C161" i="7" a="1"/>
  <c r="B117" i="7" a="1"/>
  <c r="E125" i="7" a="1"/>
  <c r="C94" i="7" a="1"/>
  <c r="C92" i="7" a="1"/>
  <c r="C99" i="7" a="1"/>
  <c r="D272" i="7" a="1"/>
  <c r="H191" i="7" a="1"/>
  <c r="B237" i="7" a="1"/>
  <c r="F71" i="7" a="1"/>
  <c r="H65" i="7" a="1"/>
  <c r="F202" i="7" a="1"/>
  <c r="H276" i="7" a="1"/>
  <c r="H193" i="7" a="1"/>
  <c r="F177" i="7" a="1"/>
  <c r="D252" i="7" a="1"/>
  <c r="D218" i="7" a="1"/>
  <c r="H222" i="7" a="1"/>
  <c r="H279" i="7" a="1"/>
  <c r="D296" i="7" a="1"/>
  <c r="C131" i="7" a="1"/>
  <c r="D161" i="7" a="1"/>
  <c r="C292" i="7" a="1"/>
  <c r="E227" i="7" a="1"/>
  <c r="H221" i="7" a="1"/>
  <c r="C277" i="7" a="1"/>
  <c r="D80" i="7" a="1"/>
  <c r="C229" i="7" a="1"/>
  <c r="F102" i="7" a="1"/>
  <c r="H144" i="7" a="1"/>
  <c r="B125" i="7" a="1"/>
  <c r="E172" i="7" a="1"/>
  <c r="H251" i="7" a="1"/>
  <c r="E223" i="7" a="1"/>
  <c r="E198" i="7" a="1"/>
  <c r="H143" i="7" a="1"/>
  <c r="D121" i="7" a="1"/>
  <c r="E278" i="7" a="1"/>
  <c r="C42" i="7" a="1"/>
  <c r="E254" i="7" a="1"/>
  <c r="C245" i="7" a="1"/>
  <c r="F253" i="7" a="1"/>
  <c r="E246" i="7" a="1"/>
  <c r="C136" i="7" a="1"/>
  <c r="F222" i="7" a="1"/>
  <c r="D70" i="7" a="1"/>
  <c r="D253" i="7" a="1"/>
  <c r="C215" i="7" a="1"/>
  <c r="E24" i="7" a="1"/>
  <c r="D235" i="7" a="1"/>
  <c r="C248" i="7" a="1"/>
  <c r="B274" i="7" a="1"/>
  <c r="E296" i="7" a="1"/>
  <c r="B181" i="7" a="1"/>
  <c r="D180" i="7" a="1"/>
  <c r="E221" i="7" a="1"/>
  <c r="B106" i="7" a="1"/>
  <c r="F60" i="7" a="1"/>
  <c r="H50" i="7" a="1"/>
  <c r="E39" i="7" a="1"/>
  <c r="B216" i="7" a="1"/>
  <c r="D105" i="7" a="1"/>
  <c r="H24" i="7" a="1"/>
  <c r="C210" i="7" a="1"/>
  <c r="D185" i="7" a="1"/>
  <c r="D215" i="7" a="1"/>
  <c r="F278" i="7" a="1"/>
  <c r="F298" i="7" a="1"/>
  <c r="F97" i="7" a="1"/>
  <c r="C221" i="7" a="1"/>
  <c r="F210" i="7" a="1"/>
  <c r="B247" i="7" a="1"/>
  <c r="C269" i="7" a="1"/>
  <c r="E41" i="7" a="1"/>
  <c r="E235" i="7" a="1"/>
  <c r="D111" i="7" a="1"/>
  <c r="C183" i="7" a="1"/>
  <c r="B219" i="7" a="1"/>
  <c r="B297" i="7" a="1"/>
  <c r="E212" i="7" a="1"/>
  <c r="F128" i="7" a="1"/>
  <c r="F280" i="7" a="1"/>
  <c r="F101" i="7" a="1"/>
  <c r="D237" i="7" a="1"/>
  <c r="B218" i="7" a="1"/>
  <c r="H185" i="7" a="1"/>
  <c r="D103" i="7" a="1"/>
  <c r="C293" i="7" a="1"/>
  <c r="B132" i="7" a="1"/>
  <c r="E64" i="7" a="1"/>
  <c r="B206" i="7" a="1"/>
  <c r="H218" i="7" a="1"/>
  <c r="C67" i="7" a="1"/>
  <c r="F158" i="7" a="1"/>
  <c r="D87" i="7" a="1"/>
  <c r="C206" i="7" a="1"/>
  <c r="E219" i="7" a="1"/>
  <c r="F95" i="7" a="1"/>
  <c r="C65" i="7" a="1"/>
  <c r="E291" i="7" a="1"/>
  <c r="E171" i="7" a="1"/>
  <c r="D98" i="7" a="1"/>
  <c r="E118" i="7" a="1"/>
  <c r="C35" i="7" a="1"/>
  <c r="D110" i="7" a="1"/>
  <c r="D101" i="7" a="1"/>
  <c r="C171" i="7" a="1"/>
  <c r="F247" i="7" a="1"/>
  <c r="F220" i="7" a="1"/>
  <c r="C55" i="7" a="1"/>
  <c r="H116" i="7" a="1"/>
  <c r="H167" i="7" a="1"/>
  <c r="B166" i="7" a="1"/>
  <c r="B160" i="7" a="1"/>
  <c r="H66" i="7" a="1"/>
  <c r="E160" i="7" a="1"/>
  <c r="E111" i="7" a="1"/>
  <c r="C90" i="7" a="1"/>
  <c r="E231" i="7" a="1"/>
  <c r="H228" i="7" a="1"/>
  <c r="H200" i="7" a="1"/>
  <c r="E49" i="7" a="1"/>
  <c r="H298" i="7" a="1"/>
  <c r="F241" i="7" a="1"/>
  <c r="D176" i="7" a="1"/>
  <c r="E289" i="7" a="1"/>
  <c r="F232" i="7" a="1"/>
  <c r="H145" i="7" a="1"/>
  <c r="B167" i="7" a="1"/>
  <c r="B90" i="7" a="1"/>
  <c r="D239" i="7" a="1"/>
  <c r="C167" i="7" a="1"/>
  <c r="D240" i="7" a="1"/>
  <c r="F107" i="7" a="1"/>
  <c r="C233" i="7" a="1"/>
  <c r="D77" i="7" a="1"/>
  <c r="B80" i="7" a="1"/>
  <c r="H90" i="7" a="1"/>
  <c r="D31" i="7" a="1"/>
  <c r="D213" i="7" a="1"/>
  <c r="B58" i="7" a="1"/>
  <c r="B263" i="7" a="1"/>
  <c r="C260" i="7" a="1"/>
  <c r="H83" i="7" a="1"/>
  <c r="F5" i="7" a="1"/>
  <c r="B252" i="7" a="1"/>
  <c r="B26" i="7" a="1"/>
  <c r="H156" i="7" a="1"/>
  <c r="B157" i="7" a="1"/>
  <c r="B119" i="7" a="1"/>
  <c r="F230" i="7" a="1"/>
  <c r="H101" i="7" a="1"/>
  <c r="H4" i="7" a="1"/>
  <c r="D244" i="7" a="1"/>
  <c r="B65" i="7" a="1"/>
  <c r="H178" i="7" a="1"/>
  <c r="E290" i="7" a="1"/>
  <c r="B118" i="7" a="1"/>
  <c r="E120" i="7" a="1"/>
  <c r="C150" i="7" a="1"/>
  <c r="E25" i="7" a="1"/>
  <c r="E99" i="7" a="1"/>
  <c r="F215" i="7" a="1"/>
  <c r="B59" i="7" a="1"/>
  <c r="H77" i="7" a="1"/>
  <c r="D283" i="7" a="1"/>
  <c r="B36" i="7" a="1"/>
  <c r="D151" i="7" a="1"/>
  <c r="B6" i="7" a="1"/>
  <c r="C159" i="7" a="1"/>
  <c r="B165" i="7" a="1"/>
  <c r="D73" i="7" a="1"/>
  <c r="C276" i="7" a="1"/>
  <c r="H214" i="7" a="1"/>
  <c r="C282" i="7" a="1"/>
  <c r="D112" i="7" a="1"/>
  <c r="D183" i="7" a="1"/>
  <c r="D146" i="7" a="1"/>
  <c r="F273" i="7" a="1"/>
  <c r="F290" i="7" a="1"/>
  <c r="E61" i="7" a="1"/>
  <c r="F285" i="7" a="1"/>
  <c r="C66" i="7" a="1"/>
  <c r="B141" i="7" a="1"/>
  <c r="C262" i="7" a="1"/>
  <c r="D34" i="7" a="1"/>
  <c r="B139" i="7" a="1"/>
  <c r="H21" i="7" a="1"/>
  <c r="E280" i="7" a="1"/>
  <c r="C208" i="7" a="1"/>
  <c r="D128" i="7" a="1"/>
  <c r="C158" i="7" a="1"/>
  <c r="E90" i="7" a="1"/>
  <c r="C36" i="7" a="1"/>
  <c r="H51" i="7" a="1"/>
  <c r="H53" i="7" a="1"/>
  <c r="D93" i="7" a="1"/>
  <c r="H183" i="7" a="1"/>
  <c r="F125" i="7" a="1"/>
  <c r="C209" i="7" a="1"/>
  <c r="E208" i="7" a="1"/>
  <c r="E124" i="7" a="1"/>
  <c r="E45" i="7" a="1"/>
  <c r="C87" i="7" a="1"/>
  <c r="C230" i="7" a="1"/>
  <c r="C46" i="7" a="1"/>
  <c r="H213" i="7" a="1"/>
  <c r="E253" i="7" a="1"/>
  <c r="F245" i="7" a="1"/>
  <c r="F199" i="7" a="1"/>
  <c r="B79" i="7" a="1"/>
  <c r="E184" i="7" a="1"/>
  <c r="C257" i="7" a="1"/>
  <c r="B30" i="7" a="1"/>
  <c r="H80" i="7" a="1"/>
  <c r="H168" i="7" a="1"/>
  <c r="D221" i="7" a="1"/>
  <c r="F146" i="7" a="1"/>
  <c r="E252" i="7" a="1"/>
  <c r="D47" i="7" a="1"/>
  <c r="F272" i="7" a="1"/>
  <c r="E158" i="7" a="1"/>
  <c r="H142" i="7" a="1"/>
  <c r="D198" i="7" a="1"/>
  <c r="F156" i="7" a="1"/>
  <c r="F78" i="7" a="1"/>
  <c r="H64" i="7" a="1"/>
  <c r="C255" i="7" a="1"/>
  <c r="C290" i="7" a="1"/>
  <c r="B182" i="7" a="1"/>
  <c r="B103" i="7" a="1"/>
  <c r="H76" i="7" a="1"/>
  <c r="C189" i="7" a="1"/>
  <c r="E298" i="7" a="1"/>
  <c r="H32" i="7" a="1"/>
  <c r="E136" i="7" a="1"/>
  <c r="F22" i="7" a="1"/>
  <c r="B290" i="7" a="1"/>
  <c r="B241" i="7" a="1"/>
  <c r="B195" i="7" a="1"/>
  <c r="C101" i="7" a="1"/>
  <c r="F88" i="7" a="1"/>
  <c r="B168" i="7" a="1"/>
  <c r="B39" i="7" a="1"/>
  <c r="E32" i="7" a="1"/>
  <c r="E34" i="7" a="1"/>
  <c r="F194" i="7" a="1"/>
  <c r="H283" i="7" a="1"/>
  <c r="B272" i="7" a="1"/>
  <c r="D51" i="7" a="1"/>
  <c r="F157" i="7" a="1"/>
  <c r="C216" i="7" a="1"/>
  <c r="H58" i="7" a="1"/>
  <c r="B111" i="7" a="1"/>
  <c r="D210" i="7" a="1"/>
  <c r="E152" i="7" a="1"/>
  <c r="H202" i="7" a="1"/>
  <c r="C26" i="7" a="1"/>
  <c r="D285" i="7" a="1"/>
  <c r="H42" i="7" a="1"/>
  <c r="C52" i="7" a="1"/>
  <c r="C31" i="7" a="1"/>
  <c r="E36" i="7" a="1"/>
  <c r="C149" i="7" a="1"/>
  <c r="B43" i="7" a="1"/>
  <c r="E270" i="7" a="1"/>
  <c r="F48" i="7" a="1"/>
  <c r="H22" i="7" a="1"/>
  <c r="D40" i="7" a="1"/>
  <c r="B229" i="7" a="1"/>
  <c r="H285" i="7" a="1"/>
  <c r="B185" i="7" a="1"/>
  <c r="H81" i="7" a="1"/>
  <c r="F63" i="7" a="1"/>
  <c r="E288" i="7" a="1"/>
  <c r="H38" i="7" a="1"/>
  <c r="E165" i="7" a="1"/>
  <c r="H179" i="7" a="1"/>
  <c r="H281" i="7" a="1"/>
  <c r="F43" i="7" a="1"/>
  <c r="H296" i="7" a="1"/>
  <c r="E174" i="7" a="1"/>
  <c r="C85" i="7" a="1"/>
  <c r="H121" i="7" a="1"/>
  <c r="F257" i="7" a="1"/>
  <c r="D148" i="7" a="1"/>
  <c r="D258" i="7" a="1"/>
  <c r="F132" i="7" a="1"/>
  <c r="C252" i="7" a="1"/>
  <c r="F42" i="7" a="1"/>
  <c r="F179" i="7" a="1"/>
  <c r="D250" i="7" a="1"/>
  <c r="F76" i="7" a="1"/>
  <c r="E130" i="7" a="1"/>
  <c r="B23" i="7" a="1"/>
  <c r="D197" i="7" a="1"/>
  <c r="E66" i="7" a="1"/>
  <c r="C105" i="7" a="1"/>
  <c r="B288" i="7" a="1"/>
  <c r="E132" i="7" a="1"/>
  <c r="D186" i="7" a="1"/>
  <c r="F244" i="7" a="1"/>
  <c r="H37" i="7" a="1"/>
  <c r="D280" i="7" a="1"/>
  <c r="B108" i="7" a="1"/>
  <c r="H275" i="7" a="1"/>
  <c r="F145" i="7" a="1"/>
  <c r="C162" i="7" a="1"/>
  <c r="D160" i="7" a="1"/>
  <c r="C107" i="7" a="1"/>
  <c r="C89" i="7" a="1"/>
  <c r="F142" i="7" a="1"/>
  <c r="H96" i="7" a="1"/>
  <c r="E260" i="7" a="1"/>
  <c r="D196" i="7" a="1"/>
  <c r="D149" i="7" a="1"/>
  <c r="D260" i="7" a="1"/>
  <c r="E44" i="7" a="1"/>
  <c r="D238" i="7" a="1"/>
  <c r="D214" i="7" a="1"/>
  <c r="H136" i="7" a="1"/>
  <c r="C163" i="7" a="1"/>
  <c r="E162" i="7" a="1"/>
  <c r="D61" i="7" a="1"/>
  <c r="B42" i="7" a="1"/>
  <c r="E54" i="7" a="1"/>
  <c r="F234" i="7" a="1"/>
  <c r="D48" i="7" a="1"/>
  <c r="D24" i="7" a="1"/>
  <c r="E87" i="7" a="1"/>
  <c r="B230" i="7" a="1"/>
  <c r="F131" i="7" a="1"/>
  <c r="B178" i="7" a="1"/>
  <c r="E105" i="7" a="1"/>
  <c r="D68" i="7" a="1"/>
  <c r="H99" i="7" a="1"/>
  <c r="C64" i="7" a="1"/>
  <c r="B240" i="7" a="1"/>
  <c r="C110" i="7" a="1"/>
  <c r="E287" i="7" a="1"/>
  <c r="C61" i="7" a="1"/>
  <c r="F91" i="7" a="1"/>
  <c r="E248" i="7" a="1"/>
  <c r="B44" i="7" a="1"/>
  <c r="D5" i="7" a="1"/>
  <c r="H95" i="7" a="1"/>
  <c r="E282" i="7" a="1"/>
  <c r="C126" i="7" a="1"/>
  <c r="E55" i="7" a="1"/>
  <c r="H187" i="7" a="1"/>
  <c r="E273" i="7" a="1"/>
  <c r="B62" i="7" a="1"/>
  <c r="E247" i="7" a="1"/>
  <c r="B152" i="7" a="1"/>
  <c r="H184" i="7" a="1"/>
  <c r="D248" i="7" a="1"/>
  <c r="C250" i="7" a="1"/>
  <c r="D268" i="7" a="1"/>
  <c r="B254" i="7" a="1"/>
  <c r="E65" i="7" a="1"/>
  <c r="H140" i="7" a="1"/>
  <c r="C112" i="7" a="1"/>
  <c r="E133" i="7" a="1"/>
  <c r="C32" i="7" a="1"/>
  <c r="E256" i="7" a="1"/>
  <c r="E286" i="7" a="1"/>
  <c r="E251" i="7" a="1"/>
  <c r="H248" i="7" a="1"/>
  <c r="D181" i="7" a="1"/>
  <c r="B93" i="7" a="1"/>
  <c r="D174" i="7" a="1"/>
  <c r="F31" i="7" a="1"/>
  <c r="E266" i="7" a="1"/>
  <c r="D195" i="7" a="1"/>
  <c r="D234" i="7" a="1"/>
  <c r="C285" i="7" a="1"/>
  <c r="B7" i="7" a="1"/>
  <c r="F192" i="7" a="1"/>
  <c r="E121" i="7" a="1"/>
  <c r="H174" i="7" a="1"/>
  <c r="E196" i="7" a="1"/>
  <c r="F203" i="7" a="1"/>
  <c r="F267" i="7" a="1"/>
  <c r="B4" i="7" a="1"/>
  <c r="D249" i="7" a="1"/>
  <c r="H141" i="7" a="1"/>
  <c r="H40" i="7" a="1"/>
  <c r="E140" i="7" a="1"/>
  <c r="H286" i="7" a="1"/>
  <c r="H271" i="7" a="1"/>
  <c r="C203" i="7" a="1"/>
  <c r="B31" i="7" a="1"/>
  <c r="D54" i="7" a="1"/>
  <c r="C24" i="7" a="1"/>
  <c r="F143" i="7" a="1"/>
  <c r="F44" i="7" a="1"/>
  <c r="E153" i="7" a="1"/>
  <c r="F165" i="7" a="1"/>
  <c r="B259" i="7" a="1"/>
  <c r="D179" i="7" a="1"/>
  <c r="C188" i="7" a="1"/>
  <c r="B224" i="7" a="1"/>
  <c r="H299" i="7" a="1"/>
  <c r="H269" i="7" a="1"/>
  <c r="E283" i="7" a="1"/>
  <c r="F261" i="7" a="1"/>
  <c r="F52" i="7" a="1"/>
  <c r="C181" i="7" a="1"/>
  <c r="F248" i="7" a="1"/>
  <c r="F183" i="7" a="1"/>
  <c r="D52" i="7" a="1"/>
  <c r="C265" i="7" a="1"/>
  <c r="D91" i="7" a="1"/>
  <c r="D91" i="7" l="1"/>
  <c r="C265" i="7"/>
  <c r="D52" i="7"/>
  <c r="F183" i="7"/>
  <c r="F248" i="7"/>
  <c r="C181" i="7"/>
  <c r="F52" i="7"/>
  <c r="F261" i="7"/>
  <c r="E283" i="7"/>
  <c r="H269" i="7"/>
  <c r="H299" i="7"/>
  <c r="B224" i="7"/>
  <c r="C188" i="7"/>
  <c r="D179" i="7"/>
  <c r="B259" i="7"/>
  <c r="F165" i="7"/>
  <c r="E153" i="7"/>
  <c r="F44" i="7"/>
  <c r="F143" i="7"/>
  <c r="C24" i="7"/>
  <c r="D54" i="7"/>
  <c r="B31" i="7"/>
  <c r="C203" i="7"/>
  <c r="H271" i="7"/>
  <c r="H286" i="7"/>
  <c r="E140" i="7"/>
  <c r="H40" i="7"/>
  <c r="H141" i="7"/>
  <c r="D249" i="7"/>
  <c r="B4" i="7"/>
  <c r="F267" i="7"/>
  <c r="F203" i="7"/>
  <c r="E196" i="7"/>
  <c r="H174" i="7"/>
  <c r="E121" i="7"/>
  <c r="F192" i="7"/>
  <c r="B7" i="7"/>
  <c r="C285" i="7"/>
  <c r="D234" i="7"/>
  <c r="D195" i="7"/>
  <c r="E266" i="7"/>
  <c r="F31" i="7"/>
  <c r="D174" i="7"/>
  <c r="B93" i="7"/>
  <c r="D181" i="7"/>
  <c r="H248" i="7"/>
  <c r="E251" i="7"/>
  <c r="E286" i="7"/>
  <c r="E256" i="7"/>
  <c r="C32" i="7"/>
  <c r="E133" i="7"/>
  <c r="C112" i="7"/>
  <c r="H140" i="7"/>
  <c r="E65" i="7"/>
  <c r="B254" i="7"/>
  <c r="D268" i="7"/>
  <c r="C250" i="7"/>
  <c r="D248" i="7"/>
  <c r="H184" i="7"/>
  <c r="B152" i="7"/>
  <c r="E247" i="7"/>
  <c r="B62" i="7"/>
  <c r="E273" i="7"/>
  <c r="H187" i="7"/>
  <c r="E55" i="7"/>
  <c r="C126" i="7"/>
  <c r="E282" i="7"/>
  <c r="H95" i="7"/>
  <c r="D5" i="7"/>
  <c r="B44" i="7"/>
  <c r="E248" i="7"/>
  <c r="F91" i="7"/>
  <c r="C61" i="7"/>
  <c r="E287" i="7"/>
  <c r="C110" i="7"/>
  <c r="B240" i="7"/>
  <c r="C64" i="7"/>
  <c r="H99" i="7"/>
  <c r="D68" i="7"/>
  <c r="E105" i="7"/>
  <c r="B178" i="7"/>
  <c r="F131" i="7"/>
  <c r="B230" i="7"/>
  <c r="E87" i="7"/>
  <c r="D24" i="7"/>
  <c r="D48" i="7"/>
  <c r="F234" i="7"/>
  <c r="E54" i="7"/>
  <c r="B42" i="7"/>
  <c r="D61" i="7"/>
  <c r="E162" i="7"/>
  <c r="C163" i="7"/>
  <c r="H136" i="7"/>
  <c r="D214" i="7"/>
  <c r="D238" i="7"/>
  <c r="E44" i="7"/>
  <c r="D260" i="7"/>
  <c r="D149" i="7"/>
  <c r="D196" i="7"/>
  <c r="E260" i="7"/>
  <c r="H96" i="7"/>
  <c r="F142" i="7"/>
  <c r="C89" i="7"/>
  <c r="C107" i="7"/>
  <c r="D160" i="7"/>
  <c r="C162" i="7"/>
  <c r="F145" i="7"/>
  <c r="H275" i="7"/>
  <c r="B108" i="7"/>
  <c r="D280" i="7"/>
  <c r="H37" i="7"/>
  <c r="F244" i="7"/>
  <c r="D186" i="7"/>
  <c r="E132" i="7"/>
  <c r="B288" i="7"/>
  <c r="C105" i="7"/>
  <c r="E66" i="7"/>
  <c r="D197" i="7"/>
  <c r="B23" i="7"/>
  <c r="E130" i="7"/>
  <c r="F76" i="7"/>
  <c r="D250" i="7"/>
  <c r="F179" i="7"/>
  <c r="F42" i="7"/>
  <c r="C252" i="7"/>
  <c r="F132" i="7"/>
  <c r="D258" i="7"/>
  <c r="D148" i="7"/>
  <c r="F257" i="7"/>
  <c r="H121" i="7"/>
  <c r="C85" i="7"/>
  <c r="E174" i="7"/>
  <c r="H296" i="7"/>
  <c r="F43" i="7"/>
  <c r="H281" i="7"/>
  <c r="H179" i="7"/>
  <c r="E165" i="7"/>
  <c r="H38" i="7"/>
  <c r="E288" i="7"/>
  <c r="F63" i="7"/>
  <c r="H81" i="7"/>
  <c r="B185" i="7"/>
  <c r="H285" i="7"/>
  <c r="B229" i="7"/>
  <c r="D40" i="7"/>
  <c r="H22" i="7"/>
  <c r="F48" i="7"/>
  <c r="E270" i="7"/>
  <c r="B43" i="7"/>
  <c r="C149" i="7"/>
  <c r="E36" i="7"/>
  <c r="C31" i="7"/>
  <c r="C52" i="7"/>
  <c r="H42" i="7"/>
  <c r="D285" i="7"/>
  <c r="C26" i="7"/>
  <c r="H202" i="7"/>
  <c r="E152" i="7"/>
  <c r="D210" i="7"/>
  <c r="B111" i="7"/>
  <c r="H58" i="7"/>
  <c r="C216" i="7"/>
  <c r="F157" i="7"/>
  <c r="D51" i="7"/>
  <c r="B272" i="7"/>
  <c r="H283" i="7"/>
  <c r="F194" i="7"/>
  <c r="E34" i="7"/>
  <c r="E32" i="7"/>
  <c r="B39" i="7"/>
  <c r="B168" i="7"/>
  <c r="F88" i="7"/>
  <c r="C101" i="7"/>
  <c r="B195" i="7"/>
  <c r="B241" i="7"/>
  <c r="B290" i="7"/>
  <c r="F22" i="7"/>
  <c r="E136" i="7"/>
  <c r="H32" i="7"/>
  <c r="E298" i="7"/>
  <c r="C189" i="7"/>
  <c r="H76" i="7"/>
  <c r="B103" i="7"/>
  <c r="B182" i="7"/>
  <c r="C290" i="7"/>
  <c r="C255" i="7"/>
  <c r="H64" i="7"/>
  <c r="F78" i="7"/>
  <c r="F156" i="7"/>
  <c r="D198" i="7"/>
  <c r="H142" i="7"/>
  <c r="E158" i="7"/>
  <c r="F272" i="7"/>
  <c r="D47" i="7"/>
  <c r="E252" i="7"/>
  <c r="F146" i="7"/>
  <c r="D221" i="7"/>
  <c r="H168" i="7"/>
  <c r="H80" i="7"/>
  <c r="B30" i="7"/>
  <c r="C257" i="7"/>
  <c r="E184" i="7"/>
  <c r="B79" i="7"/>
  <c r="F199" i="7"/>
  <c r="F245" i="7"/>
  <c r="E253" i="7"/>
  <c r="H213" i="7"/>
  <c r="C46" i="7"/>
  <c r="C230" i="7"/>
  <c r="C87" i="7"/>
  <c r="E45" i="7"/>
  <c r="E124" i="7"/>
  <c r="E208" i="7"/>
  <c r="C209" i="7"/>
  <c r="F125" i="7"/>
  <c r="H183" i="7"/>
  <c r="D93" i="7"/>
  <c r="H53" i="7"/>
  <c r="H51" i="7"/>
  <c r="C36" i="7"/>
  <c r="E90" i="7"/>
  <c r="C158" i="7"/>
  <c r="D128" i="7"/>
  <c r="C208" i="7"/>
  <c r="E280" i="7"/>
  <c r="H21" i="7"/>
  <c r="B139" i="7"/>
  <c r="D34" i="7"/>
  <c r="C262" i="7"/>
  <c r="B141" i="7"/>
  <c r="C66" i="7"/>
  <c r="F285" i="7"/>
  <c r="E61" i="7"/>
  <c r="F290" i="7"/>
  <c r="F273" i="7"/>
  <c r="D146" i="7"/>
  <c r="D183" i="7"/>
  <c r="D112" i="7"/>
  <c r="C282" i="7"/>
  <c r="H214" i="7"/>
  <c r="C276" i="7"/>
  <c r="D73" i="7"/>
  <c r="B165" i="7"/>
  <c r="C159" i="7"/>
  <c r="B6" i="7"/>
  <c r="D151" i="7"/>
  <c r="B36" i="7"/>
  <c r="D283" i="7"/>
  <c r="H77" i="7"/>
  <c r="B59" i="7"/>
  <c r="F215" i="7"/>
  <c r="E99" i="7"/>
  <c r="E25" i="7"/>
  <c r="C150" i="7"/>
  <c r="E120" i="7"/>
  <c r="B118" i="7"/>
  <c r="E290" i="7"/>
  <c r="H178" i="7"/>
  <c r="B65" i="7"/>
  <c r="D244" i="7"/>
  <c r="H4" i="7"/>
  <c r="H101" i="7"/>
  <c r="F230" i="7"/>
  <c r="B119" i="7"/>
  <c r="B157" i="7"/>
  <c r="H156" i="7"/>
  <c r="B26" i="7"/>
  <c r="B252" i="7"/>
  <c r="F5" i="7"/>
  <c r="H83" i="7"/>
  <c r="C260" i="7"/>
  <c r="B263" i="7"/>
  <c r="B58" i="7"/>
  <c r="D213" i="7"/>
  <c r="D31" i="7"/>
  <c r="H90" i="7"/>
  <c r="B80" i="7"/>
  <c r="D77" i="7"/>
  <c r="C233" i="7"/>
  <c r="F107" i="7"/>
  <c r="D240" i="7"/>
  <c r="C167" i="7"/>
  <c r="D239" i="7"/>
  <c r="B90" i="7"/>
  <c r="B167" i="7"/>
  <c r="H145" i="7"/>
  <c r="F232" i="7"/>
  <c r="E289" i="7"/>
  <c r="D176" i="7"/>
  <c r="F241" i="7"/>
  <c r="H298" i="7"/>
  <c r="E49" i="7"/>
  <c r="H200" i="7"/>
  <c r="H228" i="7"/>
  <c r="E231" i="7"/>
  <c r="C90" i="7"/>
  <c r="E111" i="7"/>
  <c r="E160" i="7"/>
  <c r="H66" i="7"/>
  <c r="B160" i="7"/>
  <c r="B166" i="7"/>
  <c r="H167" i="7"/>
  <c r="H116" i="7"/>
  <c r="C55" i="7"/>
  <c r="F220" i="7"/>
  <c r="F247" i="7"/>
  <c r="C171" i="7"/>
  <c r="D101" i="7"/>
  <c r="D110" i="7"/>
  <c r="C35" i="7"/>
  <c r="E118" i="7"/>
  <c r="D98" i="7"/>
  <c r="E171" i="7"/>
  <c r="E291" i="7"/>
  <c r="C65" i="7"/>
  <c r="F95" i="7"/>
  <c r="E219" i="7"/>
  <c r="C206" i="7"/>
  <c r="D87" i="7"/>
  <c r="F158" i="7"/>
  <c r="C67" i="7"/>
  <c r="H218" i="7"/>
  <c r="B206" i="7"/>
  <c r="E64" i="7"/>
  <c r="B132" i="7"/>
  <c r="C293" i="7"/>
  <c r="D103" i="7"/>
  <c r="H185" i="7"/>
  <c r="B218" i="7"/>
  <c r="D237" i="7"/>
  <c r="F101" i="7"/>
  <c r="F280" i="7"/>
  <c r="F128" i="7"/>
  <c r="E212" i="7"/>
  <c r="B297" i="7"/>
  <c r="B219" i="7"/>
  <c r="C183" i="7"/>
  <c r="D111" i="7"/>
  <c r="E235" i="7"/>
  <c r="E41" i="7"/>
  <c r="C269" i="7"/>
  <c r="B247" i="7"/>
  <c r="F210" i="7"/>
  <c r="C221" i="7"/>
  <c r="F97" i="7"/>
  <c r="F298" i="7"/>
  <c r="F278" i="7"/>
  <c r="D215" i="7"/>
  <c r="D185" i="7"/>
  <c r="C210" i="7"/>
  <c r="H24" i="7"/>
  <c r="D105" i="7"/>
  <c r="B216" i="7"/>
  <c r="E39" i="7"/>
  <c r="H50" i="7"/>
  <c r="F60" i="7"/>
  <c r="B106" i="7"/>
  <c r="E221" i="7"/>
  <c r="D180" i="7"/>
  <c r="B181" i="7"/>
  <c r="E296" i="7"/>
  <c r="B274" i="7"/>
  <c r="C248" i="7"/>
  <c r="D235" i="7"/>
  <c r="E24" i="7"/>
  <c r="C215" i="7"/>
  <c r="D253" i="7"/>
  <c r="D70" i="7"/>
  <c r="F222" i="7"/>
  <c r="C136" i="7"/>
  <c r="E246" i="7"/>
  <c r="F253" i="7"/>
  <c r="C245" i="7"/>
  <c r="E254" i="7"/>
  <c r="C42" i="7"/>
  <c r="E278" i="7"/>
  <c r="D121" i="7"/>
  <c r="H143" i="7"/>
  <c r="E198" i="7"/>
  <c r="E223" i="7"/>
  <c r="H251" i="7"/>
  <c r="E172" i="7"/>
  <c r="B125" i="7"/>
  <c r="H144" i="7"/>
  <c r="F102" i="7"/>
  <c r="C229" i="7"/>
  <c r="D80" i="7"/>
  <c r="C277" i="7"/>
  <c r="H221" i="7"/>
  <c r="E227" i="7"/>
  <c r="C292" i="7"/>
  <c r="D161" i="7"/>
  <c r="C131" i="7"/>
  <c r="D296" i="7"/>
  <c r="H279" i="7"/>
  <c r="H222" i="7"/>
  <c r="D218" i="7"/>
  <c r="D252" i="7"/>
  <c r="F177" i="7"/>
  <c r="H193" i="7"/>
  <c r="H276" i="7"/>
  <c r="F202" i="7"/>
  <c r="H65" i="7"/>
  <c r="F71" i="7"/>
  <c r="B237" i="7"/>
  <c r="H191" i="7"/>
  <c r="D272" i="7"/>
  <c r="C99" i="7"/>
  <c r="C92" i="7"/>
  <c r="C94" i="7"/>
  <c r="E125" i="7"/>
  <c r="B117" i="7"/>
  <c r="C161" i="7"/>
  <c r="C146" i="7"/>
  <c r="E80" i="7"/>
  <c r="H260" i="7"/>
  <c r="C98" i="7"/>
  <c r="C142" i="7"/>
  <c r="F99" i="7"/>
  <c r="C200" i="7"/>
  <c r="E228" i="7"/>
  <c r="E151" i="7"/>
  <c r="B21" i="7"/>
  <c r="D60" i="7"/>
  <c r="D202" i="7"/>
  <c r="B153" i="7"/>
  <c r="D124" i="7"/>
  <c r="H211" i="7"/>
  <c r="H266" i="7"/>
  <c r="F122" i="7"/>
  <c r="F130" i="7"/>
  <c r="H67" i="7"/>
  <c r="E267" i="7"/>
  <c r="B41" i="7"/>
  <c r="E52" i="7"/>
  <c r="E145" i="7"/>
  <c r="C234" i="7"/>
  <c r="H124" i="7"/>
  <c r="F229" i="7"/>
  <c r="F36" i="7"/>
  <c r="C91" i="7"/>
  <c r="B264" i="7"/>
  <c r="B147" i="7"/>
  <c r="D75" i="7"/>
  <c r="C217" i="7"/>
  <c r="E88" i="7"/>
  <c r="E159" i="7"/>
  <c r="C102" i="7"/>
  <c r="F289" i="7"/>
  <c r="H256" i="7"/>
  <c r="B268" i="7"/>
  <c r="D135" i="7"/>
  <c r="B138" i="7"/>
  <c r="D144" i="7"/>
  <c r="D276" i="7"/>
  <c r="F33" i="7"/>
  <c r="E128" i="7"/>
  <c r="C72" i="7"/>
  <c r="C235" i="7"/>
  <c r="B113" i="7"/>
  <c r="D281" i="7"/>
  <c r="E275" i="7"/>
  <c r="C103" i="7"/>
  <c r="E274" i="7"/>
  <c r="B116" i="7"/>
  <c r="C25" i="7"/>
  <c r="D225" i="7"/>
  <c r="F114" i="7"/>
  <c r="B286" i="7"/>
  <c r="E222" i="7"/>
  <c r="H273" i="7"/>
  <c r="F61" i="7"/>
  <c r="D175" i="7"/>
  <c r="B161" i="7"/>
  <c r="D173" i="7"/>
  <c r="C283" i="7"/>
  <c r="B96" i="7"/>
  <c r="D227" i="7"/>
  <c r="C152" i="7"/>
  <c r="B86" i="7"/>
  <c r="H30" i="7"/>
  <c r="D82" i="7"/>
  <c r="B131" i="7"/>
  <c r="E68" i="7"/>
  <c r="H287" i="7"/>
  <c r="F87" i="7"/>
  <c r="D201" i="7"/>
  <c r="F110" i="7"/>
  <c r="C169" i="7"/>
  <c r="C2" i="7"/>
  <c r="E187" i="7"/>
  <c r="F105" i="7"/>
  <c r="B266" i="7"/>
  <c r="F239" i="7"/>
  <c r="F112" i="7"/>
  <c r="F116" i="7"/>
  <c r="E237" i="7"/>
  <c r="B300" i="7"/>
  <c r="F277" i="7"/>
  <c r="E189" i="7"/>
  <c r="B294" i="7"/>
  <c r="E166" i="7"/>
  <c r="C117" i="7"/>
  <c r="D150" i="7"/>
  <c r="D189" i="7"/>
  <c r="E176" i="7"/>
  <c r="C157" i="7"/>
  <c r="C186" i="7"/>
  <c r="C259" i="7"/>
  <c r="D81" i="7"/>
  <c r="C211" i="7"/>
  <c r="C236" i="7"/>
  <c r="H135" i="7"/>
  <c r="B2" i="7"/>
  <c r="B293" i="7"/>
  <c r="F115" i="7"/>
  <c r="E295" i="7"/>
  <c r="B208" i="7"/>
  <c r="D120" i="7"/>
  <c r="C261" i="7"/>
  <c r="B201" i="7"/>
  <c r="B162" i="7"/>
  <c r="B133" i="7"/>
  <c r="H208" i="7"/>
  <c r="H197" i="7"/>
  <c r="H2" i="7"/>
  <c r="B250" i="7"/>
  <c r="F270" i="7"/>
  <c r="E119" i="7"/>
  <c r="E138" i="7"/>
  <c r="D194" i="7"/>
  <c r="C137" i="7"/>
  <c r="H25" i="7"/>
  <c r="D192" i="7"/>
  <c r="C78" i="7"/>
  <c r="H131" i="7"/>
  <c r="C275" i="7"/>
  <c r="B24" i="7"/>
  <c r="C39" i="7"/>
  <c r="H239" i="7"/>
  <c r="D115" i="7"/>
  <c r="H164" i="7"/>
  <c r="F167" i="7"/>
  <c r="C175" i="7"/>
  <c r="B49" i="7"/>
  <c r="E94" i="7"/>
  <c r="H152" i="7"/>
  <c r="F83" i="7"/>
  <c r="D251" i="7"/>
  <c r="F211" i="7"/>
  <c r="H107" i="7"/>
  <c r="B215" i="7"/>
  <c r="C45" i="7"/>
  <c r="H244" i="7"/>
  <c r="F216" i="7"/>
  <c r="C224" i="7"/>
  <c r="E269" i="7"/>
  <c r="B115" i="7"/>
  <c r="E210" i="7"/>
  <c r="F70" i="7"/>
  <c r="D292" i="7"/>
  <c r="C300" i="7"/>
  <c r="C132" i="7"/>
  <c r="F259" i="7"/>
  <c r="E161" i="7"/>
  <c r="D157" i="7"/>
  <c r="E214" i="7"/>
  <c r="B256" i="7"/>
  <c r="E264" i="7"/>
  <c r="F200" i="7"/>
  <c r="F243" i="7"/>
  <c r="C80" i="7"/>
  <c r="F292" i="7"/>
  <c r="H17" i="7"/>
  <c r="F67" i="7"/>
  <c r="H243" i="7"/>
  <c r="C242" i="7"/>
  <c r="C205" i="7"/>
  <c r="C288" i="7"/>
  <c r="C207" i="7"/>
  <c r="F212" i="7"/>
  <c r="D90" i="7"/>
  <c r="D72" i="7"/>
  <c r="C58" i="7"/>
  <c r="D141" i="7"/>
  <c r="D104" i="7"/>
  <c r="D108" i="7"/>
  <c r="D232" i="7"/>
  <c r="H161" i="7"/>
  <c r="B180" i="7"/>
  <c r="F134" i="7"/>
  <c r="B179" i="7"/>
  <c r="F171" i="7"/>
  <c r="B64" i="7"/>
  <c r="B200" i="7"/>
  <c r="H290" i="7"/>
  <c r="H209" i="7"/>
  <c r="H45" i="7"/>
  <c r="H284" i="7"/>
  <c r="F80" i="7"/>
  <c r="H79" i="7"/>
  <c r="E91" i="7"/>
  <c r="H257" i="7"/>
  <c r="C223" i="7"/>
  <c r="D35" i="7"/>
  <c r="F295" i="7"/>
  <c r="B289" i="7"/>
  <c r="E100" i="7"/>
  <c r="E183" i="7"/>
  <c r="B261" i="7"/>
  <c r="D97" i="7"/>
  <c r="H255" i="7"/>
  <c r="C271" i="7"/>
  <c r="B291" i="7"/>
  <c r="D294" i="7"/>
  <c r="B104" i="7"/>
  <c r="H181" i="7"/>
  <c r="B220" i="7"/>
  <c r="E265" i="7"/>
  <c r="D168" i="7"/>
  <c r="F197" i="7"/>
  <c r="C100" i="7"/>
  <c r="B97" i="7"/>
  <c r="C40" i="7"/>
  <c r="D39" i="7"/>
  <c r="B221" i="7"/>
  <c r="F231" i="7"/>
  <c r="E156" i="7"/>
  <c r="H5" i="7"/>
  <c r="B105" i="7"/>
  <c r="F282" i="7"/>
  <c r="F139" i="7"/>
  <c r="F32" i="7"/>
  <c r="H241" i="7"/>
  <c r="H46" i="7"/>
  <c r="E69" i="7"/>
  <c r="H261" i="7"/>
  <c r="F258" i="7"/>
  <c r="C38" i="7"/>
  <c r="B146" i="7"/>
  <c r="B278" i="7"/>
  <c r="E284" i="7"/>
  <c r="E43" i="7"/>
  <c r="H203" i="7"/>
  <c r="C299" i="7"/>
  <c r="C225" i="7"/>
  <c r="D243" i="7"/>
  <c r="B85" i="7"/>
  <c r="B109" i="7"/>
  <c r="F264" i="7"/>
  <c r="H263" i="7"/>
  <c r="F148" i="7"/>
  <c r="F268" i="7"/>
  <c r="C246" i="7"/>
  <c r="F117" i="7"/>
  <c r="H195" i="7"/>
  <c r="H112" i="7"/>
  <c r="E149" i="7"/>
  <c r="B233" i="7"/>
  <c r="E233" i="7"/>
  <c r="F201" i="7"/>
  <c r="C214" i="7"/>
  <c r="D158" i="7"/>
  <c r="H267" i="7"/>
  <c r="D119" i="7"/>
  <c r="H163" i="7"/>
  <c r="B209" i="7"/>
  <c r="F41" i="7"/>
  <c r="H253" i="7"/>
  <c r="B71" i="7"/>
  <c r="F185" i="7"/>
  <c r="E126" i="7"/>
  <c r="D152" i="7"/>
  <c r="B143" i="7"/>
  <c r="E272" i="7"/>
  <c r="C279" i="7"/>
  <c r="D6" i="7"/>
  <c r="D193" i="7"/>
  <c r="H292" i="7"/>
  <c r="F108" i="7"/>
  <c r="E72" i="7"/>
  <c r="H89" i="7"/>
  <c r="C23" i="7"/>
  <c r="B124" i="7"/>
  <c r="C133" i="7"/>
  <c r="F127" i="7"/>
  <c r="F56" i="7"/>
  <c r="H242" i="7"/>
  <c r="F137" i="7"/>
  <c r="C197" i="7"/>
  <c r="D134" i="7"/>
  <c r="D95" i="7"/>
  <c r="E150" i="7"/>
  <c r="F240" i="7"/>
  <c r="D71" i="7"/>
  <c r="B63" i="7"/>
  <c r="B198" i="7"/>
  <c r="B270" i="7"/>
  <c r="B48" i="7"/>
  <c r="C123" i="7"/>
  <c r="C287" i="7"/>
  <c r="F153" i="7"/>
  <c r="C138" i="7"/>
  <c r="B213" i="7"/>
  <c r="B225" i="7"/>
  <c r="D50" i="7"/>
  <c r="B148" i="7"/>
  <c r="H250" i="7"/>
  <c r="D297" i="7"/>
  <c r="D233" i="7"/>
  <c r="B84" i="7"/>
  <c r="F109" i="7"/>
  <c r="B68" i="7"/>
  <c r="F242" i="7"/>
  <c r="C22" i="7"/>
  <c r="F162" i="7"/>
  <c r="C272" i="7"/>
  <c r="F189" i="7"/>
  <c r="B144" i="7"/>
  <c r="D89" i="7"/>
  <c r="D109" i="7"/>
  <c r="F173" i="7"/>
  <c r="E226" i="7"/>
  <c r="F39" i="7"/>
  <c r="H60" i="7"/>
  <c r="C253" i="7"/>
  <c r="B61" i="7"/>
  <c r="C50" i="7"/>
  <c r="B287" i="7"/>
  <c r="C267" i="7"/>
  <c r="B46" i="7"/>
  <c r="H186" i="7"/>
  <c r="H206" i="7"/>
  <c r="D63" i="7"/>
  <c r="D257" i="7"/>
  <c r="E218" i="7"/>
  <c r="D45" i="7"/>
  <c r="D187" i="7"/>
  <c r="H289" i="7"/>
  <c r="E197" i="7"/>
  <c r="H217" i="7"/>
  <c r="D58" i="7"/>
  <c r="H177" i="7"/>
  <c r="C218" i="7"/>
  <c r="E22" i="7"/>
  <c r="C195" i="7"/>
  <c r="E137" i="7"/>
  <c r="H153" i="7"/>
  <c r="F235" i="7"/>
  <c r="B176" i="7"/>
  <c r="H68" i="7"/>
  <c r="H26" i="7"/>
  <c r="D67" i="7"/>
  <c r="F151" i="7"/>
  <c r="F4" i="7"/>
  <c r="E102" i="7"/>
  <c r="F265" i="7"/>
  <c r="E155" i="7"/>
  <c r="E4" i="7"/>
  <c r="C82" i="7"/>
  <c r="E154" i="7"/>
  <c r="C274" i="7"/>
  <c r="H113" i="7"/>
  <c r="E157" i="7"/>
  <c r="E42" i="7"/>
  <c r="D236" i="7"/>
  <c r="F77" i="7"/>
  <c r="B169" i="7"/>
  <c r="H149" i="7"/>
  <c r="C295" i="7"/>
  <c r="E47" i="7"/>
  <c r="D2" i="7"/>
  <c r="H133" i="7"/>
  <c r="D190" i="7"/>
  <c r="E201" i="7"/>
  <c r="F238" i="7"/>
  <c r="F186" i="7"/>
  <c r="E190" i="7"/>
  <c r="H120" i="7"/>
  <c r="H125" i="7"/>
  <c r="C168" i="7"/>
  <c r="H212" i="7"/>
  <c r="D259" i="7"/>
  <c r="D254" i="7"/>
  <c r="D123" i="7"/>
  <c r="E29" i="7"/>
  <c r="E59" i="7"/>
  <c r="F58" i="7"/>
  <c r="E268" i="7"/>
  <c r="E23" i="7"/>
  <c r="H173" i="7"/>
  <c r="F221" i="7"/>
  <c r="F207" i="7"/>
  <c r="B222" i="7"/>
  <c r="F7" i="7"/>
  <c r="F294" i="7"/>
  <c r="B91" i="7"/>
  <c r="B255" i="7"/>
  <c r="B170" i="7"/>
  <c r="E98" i="7"/>
  <c r="D212" i="7"/>
  <c r="D21" i="7"/>
  <c r="D299" i="7"/>
  <c r="E123" i="7"/>
  <c r="C59" i="7"/>
  <c r="C176" i="7"/>
  <c r="C294" i="7"/>
  <c r="C120" i="7"/>
  <c r="E185" i="7"/>
  <c r="C160" i="7"/>
  <c r="F159" i="7"/>
  <c r="E83" i="7"/>
  <c r="E131" i="7"/>
  <c r="B5" i="7"/>
  <c r="E106" i="7"/>
  <c r="D266" i="7"/>
  <c r="D184" i="7"/>
  <c r="D153" i="7"/>
  <c r="C144" i="7"/>
  <c r="F54" i="7"/>
  <c r="H288" i="7"/>
  <c r="E144" i="7"/>
  <c r="B99" i="7"/>
  <c r="C77" i="7"/>
  <c r="E230" i="7"/>
  <c r="E31" i="7"/>
  <c r="D222" i="7"/>
  <c r="D164" i="7"/>
  <c r="B295" i="7"/>
  <c r="H62" i="7"/>
  <c r="E241" i="7"/>
  <c r="H201" i="7"/>
  <c r="C143" i="7"/>
  <c r="C97" i="7"/>
  <c r="E95" i="7"/>
  <c r="E109" i="7"/>
  <c r="C135" i="7"/>
  <c r="D29" i="7"/>
  <c r="H69" i="7"/>
  <c r="C62" i="7"/>
  <c r="D155" i="7"/>
  <c r="H210" i="7"/>
  <c r="C178" i="7"/>
  <c r="F150" i="7"/>
  <c r="E103" i="7"/>
  <c r="H108" i="7"/>
  <c r="B142" i="7"/>
  <c r="B40" i="7"/>
  <c r="E62" i="7"/>
  <c r="B89" i="7"/>
  <c r="C53" i="7"/>
  <c r="E250" i="7"/>
  <c r="F219" i="7"/>
  <c r="B171" i="7"/>
  <c r="E76" i="7"/>
  <c r="C243" i="7"/>
  <c r="B135" i="7"/>
  <c r="E101" i="7"/>
  <c r="H3" i="7"/>
  <c r="B57" i="7"/>
  <c r="H134" i="7"/>
  <c r="H204" i="7"/>
  <c r="F255" i="7"/>
  <c r="D100" i="7"/>
  <c r="F297" i="7"/>
  <c r="F188" i="7"/>
  <c r="F254" i="7"/>
  <c r="D219" i="7"/>
  <c r="B186" i="7"/>
  <c r="D125" i="7"/>
  <c r="B292" i="7"/>
  <c r="B50" i="7"/>
  <c r="B130" i="7"/>
  <c r="B145" i="7"/>
  <c r="C187" i="7"/>
  <c r="F59" i="7"/>
  <c r="H139" i="7"/>
  <c r="H100" i="7"/>
  <c r="B158" i="7"/>
  <c r="F213" i="7"/>
  <c r="B269" i="7"/>
  <c r="C180" i="7"/>
  <c r="C41" i="7"/>
  <c r="H84" i="7"/>
  <c r="D298" i="7"/>
  <c r="B210" i="7"/>
  <c r="F64" i="7"/>
  <c r="F100" i="7"/>
  <c r="E180" i="7"/>
  <c r="E243" i="7"/>
  <c r="D86" i="7"/>
  <c r="C114" i="7"/>
  <c r="C75" i="7"/>
  <c r="D26" i="7"/>
  <c r="C232" i="7"/>
  <c r="B38" i="7"/>
  <c r="E7" i="7"/>
  <c r="F218" i="7"/>
  <c r="B92" i="7"/>
  <c r="H138" i="7"/>
  <c r="D27" i="7"/>
  <c r="B121" i="7"/>
  <c r="B52" i="7"/>
  <c r="D83" i="7"/>
  <c r="D159" i="7"/>
  <c r="F3" i="7"/>
  <c r="B245" i="7"/>
  <c r="B88" i="7"/>
  <c r="D127" i="7"/>
  <c r="D154" i="7"/>
  <c r="F55" i="7"/>
  <c r="B299" i="7"/>
  <c r="B73" i="7"/>
  <c r="C108" i="7"/>
  <c r="H252" i="7"/>
  <c r="B129" i="7"/>
  <c r="B3" i="7"/>
  <c r="D156" i="7"/>
  <c r="F144" i="7"/>
  <c r="B27" i="7"/>
  <c r="B87" i="7"/>
  <c r="C155" i="7"/>
  <c r="H259" i="7"/>
  <c r="B248" i="7"/>
  <c r="D265" i="7"/>
  <c r="C21" i="7"/>
  <c r="H73" i="7"/>
  <c r="H247" i="7"/>
  <c r="E202" i="7"/>
  <c r="B164" i="7"/>
  <c r="B214" i="7"/>
  <c r="B76" i="7"/>
  <c r="E134" i="7"/>
  <c r="B95" i="7"/>
  <c r="C148" i="7"/>
  <c r="E93" i="7"/>
  <c r="F6" i="7"/>
  <c r="F182" i="7"/>
  <c r="C297" i="7"/>
  <c r="H189" i="7"/>
  <c r="H265" i="7"/>
  <c r="C182" i="7"/>
  <c r="E74" i="7"/>
  <c r="H98" i="7"/>
  <c r="C196" i="7"/>
  <c r="H23" i="7"/>
  <c r="E204" i="7"/>
  <c r="F121" i="7"/>
  <c r="B246" i="7"/>
  <c r="H215" i="7"/>
  <c r="C30" i="7"/>
  <c r="F237" i="7"/>
  <c r="C4" i="7"/>
  <c r="B140" i="7"/>
  <c r="D290" i="7"/>
  <c r="D30" i="7"/>
  <c r="E21" i="7"/>
  <c r="F47" i="7"/>
  <c r="C289" i="7"/>
  <c r="B155" i="7"/>
  <c r="H231" i="7"/>
  <c r="H85" i="7"/>
  <c r="H150" i="7"/>
  <c r="F141" i="7"/>
  <c r="H109" i="7"/>
  <c r="F256" i="7"/>
  <c r="F263" i="7"/>
  <c r="E178" i="7"/>
  <c r="D269" i="7"/>
  <c r="F170" i="7"/>
  <c r="F291" i="7"/>
  <c r="C226" i="7"/>
  <c r="D25" i="7"/>
  <c r="C134" i="7"/>
  <c r="B249" i="7"/>
  <c r="D96" i="7"/>
  <c r="C129" i="7"/>
  <c r="H277" i="7"/>
  <c r="C37" i="7"/>
  <c r="D56" i="7"/>
  <c r="D132" i="7"/>
  <c r="D140" i="7"/>
  <c r="H205" i="7"/>
  <c r="C54" i="7"/>
  <c r="F204" i="7"/>
  <c r="B173" i="7"/>
  <c r="C201" i="7"/>
  <c r="H225" i="7"/>
  <c r="H272" i="7"/>
  <c r="C84" i="7"/>
  <c r="E143" i="7"/>
  <c r="C70" i="7"/>
  <c r="H230" i="7"/>
  <c r="F293" i="7"/>
  <c r="H224" i="7"/>
  <c r="F136" i="7"/>
  <c r="E242" i="7"/>
  <c r="D270" i="7"/>
  <c r="C104" i="7"/>
  <c r="B211" i="7"/>
  <c r="D114" i="7"/>
  <c r="B196" i="7"/>
  <c r="B110" i="7"/>
  <c r="B137" i="7"/>
  <c r="D92" i="7"/>
  <c r="C247" i="7"/>
  <c r="H20" i="7"/>
  <c r="B22" i="7"/>
  <c r="H59" i="7"/>
  <c r="B228" i="7"/>
  <c r="F124" i="7"/>
  <c r="E73" i="7"/>
  <c r="B28" i="7"/>
  <c r="B100" i="7"/>
  <c r="E216" i="7"/>
  <c r="B238" i="7"/>
  <c r="C256" i="7"/>
  <c r="F161" i="7"/>
  <c r="D36" i="7"/>
  <c r="D211" i="7"/>
  <c r="E38" i="7"/>
  <c r="F288" i="7"/>
  <c r="D188" i="7"/>
  <c r="C173" i="7"/>
  <c r="B212" i="7"/>
  <c r="H160" i="7"/>
  <c r="C122" i="7"/>
  <c r="C29" i="7"/>
  <c r="H188" i="7"/>
  <c r="B298" i="7"/>
  <c r="C156" i="7"/>
  <c r="C83" i="7"/>
  <c r="D43" i="7"/>
  <c r="F86" i="7"/>
  <c r="F51" i="7"/>
  <c r="B77" i="7"/>
  <c r="B204" i="7"/>
  <c r="H49" i="7"/>
  <c r="F163" i="7"/>
  <c r="F29" i="7"/>
  <c r="F119" i="7"/>
  <c r="F135" i="7"/>
  <c r="H115" i="7"/>
  <c r="H262" i="7"/>
  <c r="E97" i="7"/>
  <c r="D79" i="7"/>
  <c r="B25" i="7"/>
  <c r="B83" i="7"/>
  <c r="D62" i="7"/>
  <c r="E127" i="7"/>
  <c r="B150" i="7"/>
  <c r="H294" i="7"/>
  <c r="F181" i="7"/>
  <c r="C33" i="7"/>
  <c r="D84" i="7"/>
  <c r="B56" i="7"/>
  <c r="F62" i="7"/>
  <c r="E50" i="7"/>
  <c r="H19" i="7"/>
  <c r="B45" i="7"/>
  <c r="E116" i="7"/>
  <c r="E89" i="7"/>
  <c r="F152" i="7"/>
  <c r="B47" i="7"/>
  <c r="F195" i="7"/>
  <c r="F225" i="7"/>
  <c r="D275" i="7"/>
  <c r="E75" i="7"/>
  <c r="B207" i="7"/>
  <c r="B60" i="7"/>
  <c r="F154" i="7"/>
  <c r="C3" i="7"/>
  <c r="D137" i="7"/>
  <c r="H71" i="7"/>
  <c r="B177" i="7"/>
  <c r="B149" i="7"/>
  <c r="B114" i="7"/>
  <c r="E207" i="7"/>
  <c r="B236" i="7"/>
  <c r="F23" i="7"/>
  <c r="F26" i="7"/>
  <c r="H52" i="7"/>
  <c r="H63" i="7"/>
  <c r="C5" i="7"/>
  <c r="C172" i="7"/>
  <c r="C198" i="7"/>
  <c r="C95" i="7"/>
  <c r="C86" i="7"/>
  <c r="C79" i="7"/>
  <c r="E107" i="7"/>
  <c r="C57" i="7"/>
  <c r="H132" i="7"/>
  <c r="F133" i="7"/>
  <c r="C249" i="7"/>
  <c r="F49" i="7"/>
  <c r="D139" i="7"/>
  <c r="E182" i="7"/>
  <c r="B53" i="7"/>
  <c r="C147" i="7"/>
  <c r="F209" i="7"/>
  <c r="B94" i="7"/>
  <c r="B101" i="7"/>
  <c r="E27" i="7"/>
  <c r="F106" i="7"/>
  <c r="C165" i="7"/>
  <c r="F53" i="7"/>
  <c r="D228" i="7"/>
  <c r="E297" i="7"/>
  <c r="E92" i="7"/>
  <c r="E186" i="7"/>
  <c r="H270" i="7"/>
  <c r="D33" i="7"/>
  <c r="D126" i="7"/>
  <c r="C145" i="7"/>
  <c r="B227" i="7"/>
  <c r="C88" i="7"/>
  <c r="C6" i="7"/>
  <c r="D59" i="7"/>
  <c r="H235" i="7"/>
  <c r="B283" i="7"/>
  <c r="H219" i="7"/>
  <c r="C270" i="7"/>
  <c r="D88" i="7"/>
  <c r="B81" i="7"/>
  <c r="F228" i="7"/>
  <c r="E224" i="7"/>
  <c r="H43" i="7"/>
  <c r="D78" i="7"/>
  <c r="H237" i="7"/>
  <c r="E193" i="7"/>
  <c r="D264" i="7"/>
  <c r="H226" i="7"/>
  <c r="H61" i="7"/>
  <c r="D99" i="7"/>
  <c r="D206" i="7"/>
  <c r="C184" i="7"/>
  <c r="D293" i="7"/>
  <c r="H57" i="7"/>
  <c r="H122" i="7"/>
  <c r="F37" i="7"/>
  <c r="D223" i="7"/>
  <c r="D204" i="7"/>
  <c r="F104" i="7"/>
  <c r="D171" i="7"/>
  <c r="D138" i="7"/>
  <c r="E60" i="7"/>
  <c r="H157" i="7"/>
  <c r="D49" i="7"/>
  <c r="B257" i="7"/>
  <c r="E194" i="7"/>
  <c r="E281" i="7"/>
  <c r="E84" i="7"/>
  <c r="C286" i="7"/>
  <c r="F217" i="7"/>
  <c r="B244" i="7"/>
  <c r="H146" i="7"/>
  <c r="E188" i="7"/>
  <c r="C199" i="7"/>
  <c r="B226" i="7"/>
  <c r="D69" i="7"/>
  <c r="B189" i="7"/>
  <c r="E191" i="7"/>
  <c r="H78" i="7"/>
  <c r="D262" i="7"/>
  <c r="B203" i="7"/>
  <c r="E58" i="7"/>
  <c r="C177" i="7"/>
  <c r="D216" i="7"/>
  <c r="H234" i="7"/>
  <c r="C48" i="7"/>
  <c r="H162" i="7"/>
  <c r="F129" i="7"/>
  <c r="C115" i="7"/>
  <c r="C140" i="7"/>
  <c r="E261" i="7"/>
  <c r="D76" i="7"/>
  <c r="B112" i="7"/>
  <c r="D246" i="7"/>
  <c r="B123" i="7"/>
  <c r="F166" i="7"/>
  <c r="F284" i="7"/>
  <c r="H34" i="7"/>
  <c r="D200" i="7"/>
  <c r="F113" i="7"/>
  <c r="E142" i="7"/>
  <c r="C194" i="7"/>
  <c r="E258" i="7"/>
  <c r="H147" i="7"/>
  <c r="B172" i="7"/>
  <c r="F208" i="7"/>
  <c r="H227" i="7"/>
  <c r="C240" i="7"/>
  <c r="C118" i="7"/>
  <c r="C241" i="7"/>
  <c r="D178" i="7"/>
  <c r="H295" i="7"/>
  <c r="E122" i="7"/>
  <c r="F82" i="7"/>
  <c r="E279" i="7"/>
  <c r="H31" i="7"/>
  <c r="H278" i="7"/>
  <c r="E271" i="7"/>
  <c r="D57" i="7"/>
  <c r="C93" i="7"/>
  <c r="F236" i="7"/>
  <c r="H36" i="7"/>
  <c r="H129" i="7"/>
  <c r="D287" i="7"/>
  <c r="B265" i="7"/>
  <c r="H88" i="7"/>
  <c r="B29" i="7"/>
  <c r="E51" i="7"/>
  <c r="H29" i="7"/>
  <c r="F38" i="7"/>
  <c r="E175" i="7"/>
  <c r="E104" i="7"/>
  <c r="B243" i="7"/>
  <c r="B280" i="7"/>
  <c r="F74" i="7"/>
  <c r="F246" i="7"/>
  <c r="H297" i="7"/>
  <c r="F206" i="7"/>
  <c r="B188" i="7"/>
  <c r="F287" i="7"/>
  <c r="H223" i="7"/>
  <c r="B75" i="7"/>
  <c r="E26" i="7"/>
  <c r="D205" i="7"/>
  <c r="H72" i="7"/>
  <c r="C185" i="7"/>
  <c r="B285" i="7"/>
  <c r="F180" i="7"/>
  <c r="C193" i="7"/>
  <c r="C220" i="7"/>
  <c r="E30" i="7"/>
  <c r="D44" i="7"/>
  <c r="F120" i="7"/>
  <c r="F250" i="7"/>
  <c r="C109" i="7"/>
  <c r="H56" i="7"/>
  <c r="H47" i="7"/>
  <c r="F198" i="7"/>
  <c r="E108" i="7"/>
  <c r="D224" i="7"/>
  <c r="D170" i="7"/>
  <c r="B55" i="7"/>
  <c r="C192" i="7"/>
  <c r="H35" i="7"/>
  <c r="B191" i="7"/>
  <c r="D22" i="7"/>
  <c r="E2" i="7"/>
  <c r="C68" i="7"/>
  <c r="D230" i="7"/>
  <c r="F94" i="7"/>
  <c r="H92" i="7"/>
  <c r="E81" i="7"/>
  <c r="B134" i="7"/>
  <c r="E56" i="7"/>
  <c r="C7" i="7"/>
  <c r="B70" i="7"/>
  <c r="C227" i="7"/>
  <c r="D203" i="7"/>
  <c r="E220" i="7"/>
  <c r="E167" i="7"/>
  <c r="B66" i="7"/>
  <c r="F190" i="7"/>
  <c r="C237" i="7"/>
  <c r="D122" i="7"/>
  <c r="E78" i="7"/>
  <c r="D247" i="7"/>
  <c r="E199" i="7"/>
  <c r="H114" i="7"/>
  <c r="C190" i="7"/>
  <c r="C296" i="7"/>
  <c r="H97" i="7"/>
  <c r="D113" i="7"/>
  <c r="H105" i="7"/>
  <c r="B235" i="7"/>
  <c r="E110" i="7"/>
  <c r="E257" i="7"/>
  <c r="C213" i="7"/>
  <c r="D41" i="7"/>
  <c r="B234" i="7"/>
  <c r="E53" i="7"/>
  <c r="H180" i="7"/>
  <c r="E115" i="7"/>
  <c r="B154" i="7"/>
  <c r="E147" i="7"/>
  <c r="E209" i="7"/>
  <c r="C251" i="7"/>
  <c r="H104" i="7"/>
  <c r="B35" i="7"/>
  <c r="F252" i="7"/>
  <c r="C96" i="7"/>
  <c r="B277" i="7"/>
  <c r="F275" i="7"/>
  <c r="D231" i="7"/>
  <c r="C254" i="7"/>
  <c r="E67" i="7"/>
  <c r="D131" i="7"/>
  <c r="F227" i="7"/>
  <c r="F251" i="7"/>
  <c r="C212" i="7"/>
  <c r="B273" i="7"/>
  <c r="C228" i="7"/>
  <c r="E276" i="7"/>
  <c r="E217" i="7"/>
  <c r="D291" i="7"/>
  <c r="C174" i="7"/>
  <c r="B175" i="7"/>
  <c r="F28" i="7"/>
  <c r="E294" i="7"/>
  <c r="F46" i="7"/>
  <c r="D217" i="7"/>
  <c r="D163" i="7"/>
  <c r="F299" i="7"/>
  <c r="F279" i="7"/>
  <c r="D242" i="7"/>
  <c r="H229" i="7"/>
  <c r="H70" i="7"/>
  <c r="F249" i="7"/>
  <c r="D42" i="7"/>
  <c r="E239" i="7"/>
  <c r="D133" i="7"/>
  <c r="D118" i="7"/>
  <c r="F169" i="7"/>
  <c r="B197" i="7"/>
  <c r="D300" i="7"/>
  <c r="B187" i="7"/>
  <c r="B275" i="7"/>
  <c r="H166" i="7"/>
  <c r="E35" i="7"/>
  <c r="F57" i="7"/>
  <c r="D165" i="7"/>
  <c r="F193" i="7"/>
  <c r="B296" i="7"/>
  <c r="D107" i="7"/>
  <c r="H291" i="7"/>
  <c r="F103" i="7"/>
  <c r="E148" i="7"/>
  <c r="B194" i="7"/>
  <c r="E63" i="7"/>
  <c r="B74" i="7"/>
  <c r="E37" i="7"/>
  <c r="C164" i="7"/>
  <c r="C278" i="7"/>
  <c r="H169" i="7"/>
  <c r="H126" i="7"/>
  <c r="D117" i="7"/>
  <c r="D129" i="7"/>
  <c r="C239" i="7"/>
  <c r="C266" i="7"/>
  <c r="B78" i="7"/>
  <c r="F85" i="7"/>
  <c r="H55" i="7"/>
  <c r="C298" i="7"/>
  <c r="H86" i="7"/>
  <c r="F178" i="7"/>
  <c r="D23" i="7"/>
  <c r="B276" i="7"/>
  <c r="D229" i="7"/>
  <c r="C34" i="7"/>
  <c r="F184" i="7"/>
  <c r="F21" i="7"/>
  <c r="E181" i="7"/>
  <c r="C28" i="7"/>
  <c r="C202" i="7"/>
  <c r="D143" i="7"/>
  <c r="F281" i="7"/>
  <c r="B202" i="7"/>
  <c r="H119" i="7"/>
  <c r="F81" i="7"/>
  <c r="B69" i="7"/>
  <c r="F149" i="7"/>
  <c r="D282" i="7"/>
  <c r="C130" i="7"/>
  <c r="B127" i="7"/>
  <c r="H110" i="7"/>
  <c r="H165" i="7"/>
  <c r="C106" i="7"/>
  <c r="F40" i="7"/>
  <c r="F34" i="7"/>
  <c r="H293" i="7"/>
  <c r="C43" i="7"/>
  <c r="B156" i="7"/>
  <c r="E71" i="7"/>
  <c r="H39" i="7"/>
  <c r="F226" i="7"/>
  <c r="B184" i="7"/>
  <c r="B34" i="7"/>
  <c r="E249" i="7"/>
  <c r="E255" i="7"/>
  <c r="E96" i="7"/>
  <c r="B193" i="7"/>
  <c r="E146" i="7"/>
  <c r="D226" i="7"/>
  <c r="H93" i="7"/>
  <c r="D263" i="7"/>
  <c r="H196" i="7"/>
  <c r="D220" i="7"/>
  <c r="C281" i="7"/>
  <c r="E6" i="7"/>
  <c r="E70" i="7"/>
  <c r="F25" i="7"/>
  <c r="F2" i="7"/>
  <c r="F30" i="7"/>
  <c r="H127" i="7"/>
  <c r="E168" i="7"/>
  <c r="C127" i="7"/>
  <c r="H246" i="7"/>
  <c r="C291" i="7"/>
  <c r="H33" i="7"/>
  <c r="E238" i="7"/>
  <c r="F93" i="7"/>
  <c r="H82" i="7"/>
  <c r="F224" i="7"/>
  <c r="H128" i="7"/>
  <c r="D66" i="7"/>
  <c r="D241" i="7"/>
  <c r="E229" i="7"/>
  <c r="E179" i="7"/>
  <c r="F98" i="7"/>
  <c r="B72" i="7"/>
  <c r="C113" i="7"/>
  <c r="H220" i="7"/>
  <c r="C73" i="7"/>
  <c r="C179" i="7"/>
  <c r="E244" i="7"/>
  <c r="E263" i="7"/>
  <c r="C222" i="7"/>
  <c r="E85" i="7"/>
  <c r="H207" i="7"/>
  <c r="D169" i="7"/>
  <c r="B120" i="7"/>
  <c r="D191" i="7"/>
  <c r="H245" i="7"/>
  <c r="H176" i="7"/>
  <c r="D136" i="7"/>
  <c r="D208" i="7"/>
  <c r="E300" i="7"/>
  <c r="H268" i="7"/>
  <c r="D295" i="7"/>
  <c r="D64" i="7"/>
  <c r="F283" i="7"/>
  <c r="C231" i="7"/>
  <c r="E164" i="7"/>
  <c r="D46" i="7"/>
  <c r="E48" i="7"/>
  <c r="E240" i="7"/>
  <c r="B67" i="7"/>
  <c r="D106" i="7"/>
  <c r="E79" i="7"/>
  <c r="F214" i="7"/>
  <c r="D255" i="7"/>
  <c r="C69" i="7"/>
  <c r="D209" i="7"/>
  <c r="B260" i="7"/>
  <c r="F233" i="7"/>
  <c r="C71" i="7"/>
  <c r="C238" i="7"/>
  <c r="H102" i="7"/>
  <c r="D288" i="7"/>
  <c r="F223" i="7"/>
  <c r="B33" i="7"/>
  <c r="F73" i="7"/>
  <c r="B151" i="7"/>
  <c r="C264" i="7"/>
  <c r="B163" i="7"/>
  <c r="F276" i="7"/>
  <c r="H282" i="7"/>
  <c r="H137" i="7"/>
  <c r="D147" i="7"/>
  <c r="F140" i="7"/>
  <c r="C121" i="7"/>
  <c r="B159" i="7"/>
  <c r="E299" i="7"/>
  <c r="C151" i="7"/>
  <c r="D74" i="7"/>
  <c r="F66" i="7"/>
  <c r="F155" i="7"/>
  <c r="D28" i="7"/>
  <c r="D130" i="7"/>
  <c r="C60" i="7"/>
  <c r="F138" i="7"/>
  <c r="D4" i="7"/>
  <c r="F24" i="7"/>
  <c r="H7" i="7"/>
  <c r="E33" i="7"/>
  <c r="E5" i="7"/>
  <c r="D177" i="7"/>
  <c r="H87" i="7"/>
  <c r="F126" i="7"/>
  <c r="F296" i="7"/>
  <c r="D256" i="7"/>
  <c r="D38" i="7"/>
  <c r="H103" i="7"/>
  <c r="H41" i="7"/>
  <c r="H258" i="7"/>
  <c r="E82" i="7"/>
  <c r="H18" i="7"/>
  <c r="D277" i="7"/>
  <c r="H249" i="7"/>
  <c r="E277" i="7"/>
  <c r="C191" i="7"/>
  <c r="C273" i="7"/>
  <c r="C263" i="7"/>
  <c r="H123" i="7"/>
  <c r="F175" i="7"/>
  <c r="B54" i="7"/>
  <c r="H117" i="7"/>
  <c r="E40" i="7"/>
  <c r="H74" i="7"/>
  <c r="B128" i="7"/>
  <c r="E177" i="7"/>
  <c r="C166" i="7"/>
  <c r="B282" i="7"/>
  <c r="D167" i="7"/>
  <c r="H172" i="7"/>
  <c r="B205" i="7"/>
  <c r="E114" i="7"/>
  <c r="E225" i="7"/>
  <c r="F262" i="7"/>
  <c r="C284" i="7"/>
  <c r="C63" i="7"/>
  <c r="B239" i="7"/>
  <c r="H238" i="7"/>
  <c r="H155" i="7"/>
  <c r="E3" i="7"/>
  <c r="H192" i="7"/>
  <c r="E86" i="7"/>
  <c r="D53" i="7"/>
  <c r="B122" i="7"/>
  <c r="H199" i="7"/>
  <c r="E293" i="7"/>
  <c r="B242" i="7"/>
  <c r="C47" i="7"/>
  <c r="B251" i="7"/>
  <c r="H28" i="7"/>
  <c r="E211" i="7"/>
  <c r="D172" i="7"/>
  <c r="B51" i="7"/>
  <c r="D102" i="7"/>
  <c r="E245" i="7"/>
  <c r="C170" i="7"/>
  <c r="C44" i="7"/>
  <c r="C76" i="7"/>
  <c r="F89" i="7"/>
  <c r="H54" i="7"/>
  <c r="E205" i="7"/>
  <c r="F96" i="7"/>
  <c r="D65" i="7"/>
  <c r="D286" i="7"/>
  <c r="F75" i="7"/>
  <c r="H27" i="7"/>
  <c r="C51" i="7"/>
  <c r="B32" i="7"/>
  <c r="F147" i="7"/>
  <c r="C27" i="7"/>
  <c r="D182" i="7"/>
  <c r="H154" i="7"/>
  <c r="D245" i="7"/>
  <c r="E232" i="7"/>
  <c r="H148" i="7"/>
  <c r="F123" i="7"/>
  <c r="H130" i="7"/>
  <c r="H233" i="7"/>
  <c r="C111" i="7"/>
  <c r="H194" i="7"/>
  <c r="E112" i="7"/>
  <c r="D261" i="7"/>
  <c r="H48" i="7"/>
  <c r="H254" i="7"/>
  <c r="C244" i="7"/>
  <c r="E292" i="7"/>
  <c r="F269" i="7"/>
  <c r="H106" i="7"/>
  <c r="F84" i="7"/>
  <c r="F286" i="7"/>
  <c r="B174" i="7"/>
  <c r="E236" i="7"/>
  <c r="E46" i="7"/>
  <c r="H44" i="7"/>
  <c r="C268" i="7"/>
  <c r="H158" i="7"/>
  <c r="C74" i="7"/>
  <c r="H159" i="7"/>
  <c r="C219" i="7"/>
  <c r="D145" i="7"/>
  <c r="B82" i="7"/>
  <c r="H274" i="7"/>
  <c r="F45" i="7"/>
  <c r="E234" i="7"/>
  <c r="H151" i="7"/>
  <c r="D55" i="7"/>
  <c r="F164" i="7"/>
  <c r="F174" i="7"/>
  <c r="E173" i="7"/>
  <c r="E129" i="7"/>
  <c r="F191" i="7"/>
  <c r="E163" i="7"/>
  <c r="H236" i="7"/>
  <c r="F196" i="7"/>
  <c r="F274" i="7"/>
  <c r="D32" i="7"/>
  <c r="E141" i="7"/>
  <c r="B267" i="7"/>
  <c r="E262" i="7"/>
  <c r="B281" i="7"/>
  <c r="B183" i="7"/>
  <c r="F118" i="7"/>
  <c r="B98" i="7"/>
  <c r="E170" i="7"/>
  <c r="D267" i="7"/>
  <c r="F300" i="7"/>
  <c r="E139" i="7"/>
  <c r="D37" i="7"/>
  <c r="H175" i="7"/>
  <c r="C139" i="7"/>
  <c r="F271" i="7"/>
  <c r="E135" i="7"/>
  <c r="H91" i="7"/>
  <c r="F68" i="7"/>
  <c r="C125" i="7"/>
  <c r="C56" i="7"/>
  <c r="H111" i="7"/>
  <c r="H118" i="7"/>
  <c r="F205" i="7"/>
  <c r="E259" i="7"/>
  <c r="C204" i="7"/>
  <c r="E169" i="7"/>
  <c r="B102" i="7"/>
  <c r="B136" i="7"/>
  <c r="E28" i="7"/>
  <c r="B271" i="7"/>
  <c r="F92" i="7"/>
  <c r="E57" i="7"/>
  <c r="D162" i="7"/>
  <c r="F65" i="7"/>
  <c r="B258" i="7"/>
  <c r="H75" i="7"/>
  <c r="H280" i="7"/>
  <c r="D289" i="7"/>
  <c r="D94" i="7"/>
  <c r="H264" i="7"/>
  <c r="B192" i="7"/>
  <c r="D279" i="7"/>
  <c r="D199" i="7"/>
  <c r="E215" i="7"/>
  <c r="E200" i="7"/>
  <c r="C119" i="7"/>
  <c r="E113" i="7"/>
  <c r="F79" i="7"/>
  <c r="C49" i="7"/>
  <c r="H232" i="7"/>
  <c r="H182" i="7"/>
  <c r="B107" i="7"/>
  <c r="E203" i="7"/>
  <c r="B232" i="7"/>
  <c r="D7" i="7"/>
  <c r="D116" i="7"/>
  <c r="H170" i="7"/>
  <c r="H216" i="7"/>
  <c r="E206" i="7"/>
  <c r="B262" i="7"/>
  <c r="H6" i="7"/>
  <c r="B231" i="7"/>
  <c r="H94" i="7"/>
  <c r="C141" i="7"/>
  <c r="E195" i="7"/>
  <c r="B217" i="7"/>
  <c r="F69" i="7"/>
  <c r="D207" i="7"/>
  <c r="C258" i="7"/>
  <c r="D85" i="7"/>
  <c r="D278" i="7"/>
  <c r="D274" i="7"/>
  <c r="C153" i="7"/>
  <c r="E117" i="7"/>
  <c r="F35" i="7"/>
  <c r="B190" i="7"/>
  <c r="H240" i="7"/>
  <c r="E285" i="7"/>
  <c r="C154" i="7"/>
  <c r="E77" i="7"/>
  <c r="F168" i="7"/>
  <c r="F172" i="7"/>
  <c r="F27" i="7"/>
  <c r="F266" i="7"/>
  <c r="F72" i="7"/>
  <c r="B126" i="7"/>
  <c r="F187" i="7"/>
  <c r="B253" i="7"/>
  <c r="B279" i="7"/>
  <c r="H300" i="7"/>
  <c r="H198" i="7"/>
  <c r="D273" i="7"/>
  <c r="E192" i="7"/>
  <c r="B37" i="7"/>
  <c r="F90" i="7"/>
  <c r="F111" i="7"/>
  <c r="B223" i="7"/>
  <c r="D142" i="7"/>
  <c r="D284" i="7"/>
  <c r="F260" i="7"/>
  <c r="F176" i="7"/>
  <c r="D3" i="7"/>
  <c r="H190" i="7"/>
  <c r="B199" i="7"/>
  <c r="C116" i="7"/>
  <c r="C128" i="7"/>
  <c r="C81" i="7"/>
  <c r="D166" i="7"/>
  <c r="C124" i="7"/>
  <c r="C280" i="7"/>
  <c r="D271" i="7"/>
  <c r="H171" i="7"/>
  <c r="E213" i="7"/>
  <c r="F160" i="7"/>
  <c r="F50" i="7"/>
  <c r="B28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<sst xmlns="http://schemas.openxmlformats.org/spreadsheetml/2006/main" count="42392" uniqueCount="342">
  <si>
    <t>C1</t>
  </si>
  <si>
    <t>C2</t>
  </si>
  <si>
    <t>C3</t>
  </si>
  <si>
    <t>C4</t>
  </si>
  <si>
    <t>C5</t>
  </si>
  <si>
    <t>C6</t>
  </si>
  <si>
    <t>N/A</t>
  </si>
  <si>
    <t>HUC</t>
  </si>
  <si>
    <t>Overall</t>
  </si>
  <si>
    <t>NVARCHAR(20)</t>
  </si>
  <si>
    <t>NVARCHAR(255)</t>
  </si>
  <si>
    <t>DECIMAL(13,2)</t>
  </si>
  <si>
    <t>NVARCHAR(MAX)</t>
  </si>
  <si>
    <t>Yes</t>
  </si>
  <si>
    <t>11.3 EBAC &amp; Current EAC</t>
  </si>
  <si>
    <t>C7</t>
  </si>
  <si>
    <t>C8</t>
  </si>
  <si>
    <t>C9</t>
  </si>
  <si>
    <t>C10</t>
  </si>
  <si>
    <t>Bidding Stage</t>
  </si>
  <si>
    <t>Insurance premium - Property (Project)</t>
  </si>
  <si>
    <t>Direct Cost</t>
  </si>
  <si>
    <t>Expense</t>
  </si>
  <si>
    <t>General Expense</t>
  </si>
  <si>
    <t>Stamp Duty &amp; BG</t>
  </si>
  <si>
    <t>Unit rate allocation (MH * Standard unit rate) provided by FA</t>
  </si>
  <si>
    <t>Indirect Cost</t>
  </si>
  <si>
    <t>TNS Labor</t>
  </si>
  <si>
    <t>TNS Labor Indirect</t>
  </si>
  <si>
    <t>706700-F/M&amp;Below</t>
  </si>
  <si>
    <t>Unit rate allocation (Only Construction)</t>
  </si>
  <si>
    <t>TNS Labor Direct</t>
  </si>
  <si>
    <t>706700-S/V&amp;Above</t>
  </si>
  <si>
    <t>Unit rate allocation</t>
  </si>
  <si>
    <t>Allowance - Indirect</t>
  </si>
  <si>
    <t>Indirect Allowance</t>
  </si>
  <si>
    <t>Allowance</t>
  </si>
  <si>
    <t>Contingency - Direct</t>
  </si>
  <si>
    <t>Direct Contingency</t>
  </si>
  <si>
    <t>Contingency</t>
  </si>
  <si>
    <t>Contingency - Indirect</t>
  </si>
  <si>
    <t>Indirect Contingency</t>
  </si>
  <si>
    <t>Cost Impact - Direct</t>
  </si>
  <si>
    <t>Direct Cost Impact</t>
  </si>
  <si>
    <t>Cost Impact</t>
  </si>
  <si>
    <t>Cost Impact - Indirect</t>
  </si>
  <si>
    <t>Indirect Cost Impact</t>
  </si>
  <si>
    <t>Other - Indirect</t>
  </si>
  <si>
    <t>Indirect Other</t>
  </si>
  <si>
    <t>Other</t>
  </si>
  <si>
    <t>Construction</t>
  </si>
  <si>
    <t>Material Cost</t>
  </si>
  <si>
    <t>Materials</t>
  </si>
  <si>
    <t>Permanent Material</t>
  </si>
  <si>
    <t>Procurement contingency for Materials</t>
  </si>
  <si>
    <t>Project Safety Equipment, Architectural per drawing</t>
  </si>
  <si>
    <t>Seafastenning material, Skidding Support, Rigging P/F</t>
  </si>
  <si>
    <t>Temporary Material</t>
  </si>
  <si>
    <t>Steel ( Not include NSC )</t>
  </si>
  <si>
    <t>Structure Procurement</t>
  </si>
  <si>
    <t>Electrode for Structure</t>
  </si>
  <si>
    <t>Consumables</t>
  </si>
  <si>
    <t>Welding Electrode</t>
  </si>
  <si>
    <t>Painting material</t>
  </si>
  <si>
    <t>Painting Material</t>
  </si>
  <si>
    <t>Piping Procurement</t>
  </si>
  <si>
    <t>Electrical Procurement</t>
  </si>
  <si>
    <t>Packing Material &amp; Pre rigging ( Tenchnical )</t>
  </si>
  <si>
    <t>General Consumable</t>
  </si>
  <si>
    <t>Other Consumable for Structure</t>
  </si>
  <si>
    <t>Test &amp; Inspection for NDE</t>
  </si>
  <si>
    <t>Service Work &amp; Supply</t>
  </si>
  <si>
    <t>For WPQT, WQT, Inspection &amp; NDE4</t>
  </si>
  <si>
    <t>Instrument Procurement</t>
  </si>
  <si>
    <t>Fuel &amp; Gasoline</t>
  </si>
  <si>
    <t>Spare part</t>
  </si>
  <si>
    <t>Equipment and Tools</t>
  </si>
  <si>
    <t>General Tool</t>
  </si>
  <si>
    <t>Loose tool Safety</t>
  </si>
  <si>
    <t>Safety and PPE</t>
  </si>
  <si>
    <t>Abrasive Material for Blast &amp; Paint</t>
  </si>
  <si>
    <t>Machining, Bending , Gavanizing, Drilling &amp; Tap for Structure</t>
  </si>
  <si>
    <t>Machining, Bending , Gavanizing, Drilling &amp; Tap and PWHT</t>
  </si>
  <si>
    <t>Welding Cable and Other Accessory</t>
  </si>
  <si>
    <t>Loose tool - Technical</t>
  </si>
  <si>
    <t>Structure Consumable</t>
  </si>
  <si>
    <t>Other Consumable for Blast &amp; Paint</t>
  </si>
  <si>
    <t>Process Testing for Process Piping &amp; Mechanical</t>
  </si>
  <si>
    <t>General Service</t>
  </si>
  <si>
    <t>Factory Instrument Calibration</t>
  </si>
  <si>
    <t>Mechanical Procurement ( for Direct to the Project)</t>
  </si>
  <si>
    <t>Scaffolding Material &amp; Maintenance Cost</t>
  </si>
  <si>
    <t>Other Consumable for Vessel</t>
  </si>
  <si>
    <t>PFP FIRE PROOF MATERIALS</t>
  </si>
  <si>
    <t>Electrode for WPQT, WQT</t>
  </si>
  <si>
    <t>Final Document</t>
  </si>
  <si>
    <t>Third Party Inspection</t>
  </si>
  <si>
    <t>Third party Expediting</t>
  </si>
  <si>
    <t>Work order cost related to Material/Equipment</t>
  </si>
  <si>
    <t>Transportation cost between vendor premise and Thai port</t>
  </si>
  <si>
    <t>Loose Tool - Structure</t>
  </si>
  <si>
    <t>Electrode for Piping &amp; Mechanical</t>
  </si>
  <si>
    <t>Electrode for Vessel</t>
  </si>
  <si>
    <t>Electrode for E&amp;I</t>
  </si>
  <si>
    <t>Loose Tool - Process</t>
  </si>
  <si>
    <t>X</t>
  </si>
  <si>
    <t>Loose Tools - E/I</t>
  </si>
  <si>
    <t>Loose Tools Inspection (NDE)</t>
  </si>
  <si>
    <t>For WPQT, WQT, Inspection &amp; NDE2</t>
  </si>
  <si>
    <t>Loose Tool Matecon</t>
  </si>
  <si>
    <t>Loos tool Shop design</t>
  </si>
  <si>
    <t>Loose tool for General purpose</t>
  </si>
  <si>
    <t>Loose tool-All Discipline</t>
  </si>
  <si>
    <t>Welding Electrode for Project - All Discipline</t>
  </si>
  <si>
    <t>Visa &amp; Passport</t>
  </si>
  <si>
    <t>Staff Expense</t>
  </si>
  <si>
    <t>Welfare expenses - Welfare facilities</t>
  </si>
  <si>
    <t>Medical expenses</t>
  </si>
  <si>
    <t>Welfare expenses - Uniform</t>
  </si>
  <si>
    <t>Welfare expenses - Subsidy on meal</t>
  </si>
  <si>
    <t>Welfare expenses - Cafeteria</t>
  </si>
  <si>
    <t>Staff Insurance - Accident &amp; Health</t>
  </si>
  <si>
    <t>Apartment Rental &amp; Service</t>
  </si>
  <si>
    <t>Postage and Courier charges</t>
  </si>
  <si>
    <t>Expenses - Others</t>
  </si>
  <si>
    <t>Maintenance &amp; Repairs - Building office</t>
  </si>
  <si>
    <t>Maintenance Equipment</t>
  </si>
  <si>
    <t>Maintenance Tool</t>
  </si>
  <si>
    <t>Maintenance &amp; Repairs - Car</t>
  </si>
  <si>
    <t>Maintenance Yard Facility</t>
  </si>
  <si>
    <t>Maintenance Blast Painting</t>
  </si>
  <si>
    <t>Maintenance Yard Facility and Other Facility (Include Blast Painting and for all production yard facility)</t>
  </si>
  <si>
    <t>Maintenance &amp; Repairs - Computer &amp; Software</t>
  </si>
  <si>
    <t>Maintenance Others</t>
  </si>
  <si>
    <t>WPQT WQT Production Test &amp; SSCC Test</t>
  </si>
  <si>
    <t>For WPQT, WQT, Inspection &amp; NDE3</t>
  </si>
  <si>
    <t>Manpower Supply for Structure Welder</t>
  </si>
  <si>
    <t xml:space="preserve">MPS Labor </t>
  </si>
  <si>
    <t>MPS Labor Direct</t>
  </si>
  <si>
    <t>Manpower Supply for Blast &amp; Paint</t>
  </si>
  <si>
    <t>Manpower Supply for QA/QC/Welding</t>
  </si>
  <si>
    <t>MPS Labor Indirect</t>
  </si>
  <si>
    <t>Riser and Field joint coating</t>
  </si>
  <si>
    <t>E &amp; I Galvanizing</t>
  </si>
  <si>
    <t>Machining, Bending , Gavanizing, Drilling &amp; Tap and PWHT for Piping &amp; Mechanical</t>
  </si>
  <si>
    <t>Manpower Supply for Structure Fitter &amp; Other</t>
  </si>
  <si>
    <t>Lump Sum Sub-Contract for Piping &amp; Mechanical</t>
  </si>
  <si>
    <t>LS Subcontract</t>
  </si>
  <si>
    <t>Lump Sum for Dredging, Load Out for Technical</t>
  </si>
  <si>
    <t>Lump Sum Sub-Contract for E&amp;I</t>
  </si>
  <si>
    <t>Manpower Supply for Factory Service / Maintenance</t>
  </si>
  <si>
    <t>Lump Sum Sub-Contract for Structure</t>
  </si>
  <si>
    <t>Transportation (Barge&amp;Tug included fuel)</t>
  </si>
  <si>
    <t>Transportation Rental</t>
  </si>
  <si>
    <t>Rental Truck , Trailer, Forklift, JCB</t>
  </si>
  <si>
    <t>Rental Crane</t>
  </si>
  <si>
    <t>Other Heavy equipment (Heavy Crane )</t>
  </si>
  <si>
    <t>Forwarding expenses (included duty examption fee,</t>
  </si>
  <si>
    <t>Piping Consumable except electrode incl. Gas</t>
  </si>
  <si>
    <t>Preservation and Storage for Material Control</t>
  </si>
  <si>
    <t>Other Consumable for E&amp;I</t>
  </si>
  <si>
    <t>Manpower Supply for Engineer</t>
  </si>
  <si>
    <t>Manpower Supply for Material Control &amp; Store</t>
  </si>
  <si>
    <t>M/P for service to Company</t>
  </si>
  <si>
    <t>PFP &amp; Actuator</t>
  </si>
  <si>
    <t>Manpower Supply for Piping &amp; Mechanical (including Vessel)</t>
  </si>
  <si>
    <t>Manpower Supply for Field Service</t>
  </si>
  <si>
    <t>Manpower Supply for E&amp;I</t>
  </si>
  <si>
    <t>Manpower Supply for HSE</t>
  </si>
  <si>
    <t>Lump Sum Sub-Contract for Blast &amp; Paint</t>
  </si>
  <si>
    <t>Machining, Bending , Gavanizing, Drilling &amp; Tap and PWHT for Vessel</t>
  </si>
  <si>
    <t>Equipment Rental</t>
  </si>
  <si>
    <t>Base Salary + Overtime for Expat Agency</t>
  </si>
  <si>
    <t>Allowance for Expat Agency</t>
  </si>
  <si>
    <t>Travelling Expense for Expat Agency</t>
  </si>
  <si>
    <t>Room Rental for Expat Agency</t>
  </si>
  <si>
    <t>Other Expenses for Expat Agency</t>
  </si>
  <si>
    <t>Severance Pay-Sub contractor</t>
  </si>
  <si>
    <t>Bonus - Sub contractor</t>
  </si>
  <si>
    <t>Additional for Recovery Plan - Heavy Crane and Equipment</t>
  </si>
  <si>
    <t>Additional for Recovery Plan - Manpower Cost, Special Allowance, Incentive</t>
  </si>
  <si>
    <t>Additional for Recovery Plan - Other Cost</t>
  </si>
  <si>
    <t>Offshore Holiday Outside project</t>
  </si>
  <si>
    <t>All Training / Seminar (Both of Internal &amp; External)</t>
  </si>
  <si>
    <t>All Stand By (Include all) Management reason , Real stand-by and no job)</t>
  </si>
  <si>
    <t>Lump Sum Sub-Contract for QA / QC / Welding</t>
  </si>
  <si>
    <t>For WPQT, WQT, Inspection &amp; NDE5</t>
  </si>
  <si>
    <t>Lump Sum Sub-Contract for Material Control</t>
  </si>
  <si>
    <t>Lump Sum Sub-Contract for Vessel</t>
  </si>
  <si>
    <t>Lump Sum Sub-Contractor for HSE</t>
  </si>
  <si>
    <t>Design &amp; Drawing for S/D section</t>
  </si>
  <si>
    <t>Business trip cost for engineering ,Inspection and offshore</t>
  </si>
  <si>
    <t>Common Expensed for Data &amp; Document Center</t>
  </si>
  <si>
    <t>Lump Sum Sub-Contractor for Yard Facility &amp; Maintenance</t>
  </si>
  <si>
    <t>Civil Structure &amp; Architecture Work</t>
  </si>
  <si>
    <t>Manpower Supply for Pre-commissioning/commissioning</t>
  </si>
  <si>
    <t>Loose tool &amp; Consu.order for Piping Sub-cont (back charge)</t>
  </si>
  <si>
    <t>Loose tool &amp; Consu.order for Structure/Technical Sub-cont (back charge</t>
  </si>
  <si>
    <t>Loose tool &amp; Consu.order for E&amp;I Sub-cont (back charge)</t>
  </si>
  <si>
    <t>Other Consumable for PCC</t>
  </si>
  <si>
    <t>Electricity</t>
  </si>
  <si>
    <t>Loose tool for project specific purpose &amp; outside (technical)</t>
  </si>
  <si>
    <t>Tool &amp; Equipment for Structure</t>
  </si>
  <si>
    <t>Tool &amp; Equipment for Piping &amp; Mechanical</t>
  </si>
  <si>
    <t>Tool &amp; Equipment for E&amp;I</t>
  </si>
  <si>
    <t>Tool &amp; Equipment for QA/QC</t>
  </si>
  <si>
    <t>Tool &amp; Equipment for Material Control &amp; Store</t>
  </si>
  <si>
    <t>Tool &amp; Equipment for Vessel</t>
  </si>
  <si>
    <t>Scaffolding Work</t>
  </si>
  <si>
    <t>Scaffolding Rental / Maintenance</t>
  </si>
  <si>
    <t>Tool &amp; Equipment for Safety and PPE</t>
  </si>
  <si>
    <t>WPQT, WQT, Production Test and SSCC Test</t>
  </si>
  <si>
    <t>Project maintenace - Equipment</t>
  </si>
  <si>
    <t>Project maintenance - Tool</t>
  </si>
  <si>
    <t>Project maintenance - Car</t>
  </si>
  <si>
    <t>Project maintenance - Yard facility/ Foundation</t>
  </si>
  <si>
    <t>Project maintenance - Blast/Painting</t>
  </si>
  <si>
    <t>Project maintenance - Others</t>
  </si>
  <si>
    <t>Tool &amp; Equipment for Blast &amp; Paint</t>
  </si>
  <si>
    <t>PMT Expense</t>
  </si>
  <si>
    <t>Training and Seminar (Project) - (Public_Course fee)</t>
  </si>
  <si>
    <t>Water expense</t>
  </si>
  <si>
    <t>Consumable fixtures</t>
  </si>
  <si>
    <t>Stationary &amp; Supplies</t>
  </si>
  <si>
    <t>QA Yearly expense - QON, IQA Award and Other expense</t>
  </si>
  <si>
    <t>ITEM Card awarding.</t>
  </si>
  <si>
    <t>Book &amp; Printing</t>
  </si>
  <si>
    <t>Book &amp; Printing for Engineering</t>
  </si>
  <si>
    <t>Copy Machine &amp; Consumable</t>
  </si>
  <si>
    <t>Tax &amp; Public dues exp. - Oversea source</t>
  </si>
  <si>
    <t>Tax &amp; Public dues exp. - Domestic source</t>
  </si>
  <si>
    <t>Vessel - Rental Equipment</t>
  </si>
  <si>
    <t>Rental Equipment / Software</t>
  </si>
  <si>
    <t>Rental Equipment for generator and Air Compressor</t>
  </si>
  <si>
    <t>MGO for Vessel</t>
  </si>
  <si>
    <t>Lease &amp; Rent - Vehicle</t>
  </si>
  <si>
    <t>Rental - Tools, Instrument</t>
  </si>
  <si>
    <t>Land Rental</t>
  </si>
  <si>
    <t>Rental Tool &amp; Equipment for Blast &amp; Paint</t>
  </si>
  <si>
    <t>Rental Tool &amp; Equipment for Piping &amp; Mechanical</t>
  </si>
  <si>
    <t>Rental Tool &amp; Equipment for E&amp;I</t>
  </si>
  <si>
    <t>Provision to Project Certify Authority (CA)</t>
  </si>
  <si>
    <t>Warranty Claim/Major punch list clearance</t>
  </si>
  <si>
    <t>Marine Vessel ( Vessel Charter)</t>
  </si>
  <si>
    <t>HMC / VSAT / E-mail System</t>
  </si>
  <si>
    <t>Vessel Survey &amp; Inspection</t>
  </si>
  <si>
    <t>Marine Engineering ( Anchor Pattern, Mooring Analysis etc)</t>
  </si>
  <si>
    <t>Vessel Clearance</t>
  </si>
  <si>
    <t>Barge Managerment System</t>
  </si>
  <si>
    <t>Catering</t>
  </si>
  <si>
    <t>Material Packing , Storage &amp; Transportation</t>
  </si>
  <si>
    <t>Coverall and Safety equipment</t>
  </si>
  <si>
    <t>CCU for offshore including transportation</t>
  </si>
  <si>
    <t>Expense for Vendor assistance of Equipment package,</t>
  </si>
  <si>
    <t>Project Waste Disposal</t>
  </si>
  <si>
    <t>Project No LTI Award, BBS Card award and Optional</t>
  </si>
  <si>
    <t>ECC Room Equipment</t>
  </si>
  <si>
    <t>FMT Expense</t>
  </si>
  <si>
    <t>Third Party Service</t>
  </si>
  <si>
    <t>Special Expenses for Project Execution</t>
  </si>
  <si>
    <t>Expenditure made for intro of technique</t>
  </si>
  <si>
    <t>Travelling expenses - Airfare, Accom &amp; others</t>
  </si>
  <si>
    <t>Bus and Micro Bus</t>
  </si>
  <si>
    <t>Car Care Expenses</t>
  </si>
  <si>
    <t>Fuel &amp; Lubricant</t>
  </si>
  <si>
    <t>Express way &amp; Parking fee</t>
  </si>
  <si>
    <t>Transportation Expense (Btw AMR-BNO-BPK, Taxi for drivers)</t>
  </si>
  <si>
    <t>Telephone, Internet and Fax</t>
  </si>
  <si>
    <t>Entertainment expenses for Project</t>
  </si>
  <si>
    <t>Lease &amp; Rent Computer / Software</t>
  </si>
  <si>
    <t>Entertainment</t>
  </si>
  <si>
    <t>Donation</t>
  </si>
  <si>
    <t>Training and Seminar (Common) - (Public_Course fee)</t>
  </si>
  <si>
    <t>Training and Seminar (Common) - (In-House_All expenses )</t>
  </si>
  <si>
    <t>Training and Seminar (Common) - (Other expenses)</t>
  </si>
  <si>
    <t>Training and Seminar (Project) - (In-House_All expenses )</t>
  </si>
  <si>
    <t>Training and Seminar (Project) - (Other expenses)</t>
  </si>
  <si>
    <t>Training expenses for Employees</t>
  </si>
  <si>
    <t>Security &amp; Guard</t>
  </si>
  <si>
    <t>Amortization of long term prepaid - Manu</t>
  </si>
  <si>
    <t>Amortization of License</t>
  </si>
  <si>
    <t>Service to Company ( other than M/P )</t>
  </si>
  <si>
    <t>Ministerial Cooperation, Professional and Legal fee</t>
  </si>
  <si>
    <t>Stamp Duty, Financial Guarantees (BG, Warranty &amp; Performance Bond) and Bank Charges</t>
  </si>
  <si>
    <t>Recruiting expenses</t>
  </si>
  <si>
    <t>O.T. Meal (Included Night Shift)</t>
  </si>
  <si>
    <t>Commuting Extra Bus/Van Cost for Specific Project</t>
  </si>
  <si>
    <t>Ministerial expenses - Bidding Project</t>
  </si>
  <si>
    <t>GAJAH BARU ( CPP+WHP) - NISCONI</t>
  </si>
  <si>
    <t>GAJAH BARU ( CPP+WHP) - NSB</t>
  </si>
  <si>
    <t>Ministerial expenses - Others</t>
  </si>
  <si>
    <t>Miscellaneous expenses</t>
  </si>
  <si>
    <t>Stockiest Preservation</t>
  </si>
  <si>
    <t>Lease &amp; Rent - for Office</t>
  </si>
  <si>
    <t>Miscellaneous income</t>
  </si>
  <si>
    <t>Sales Scrap</t>
  </si>
  <si>
    <t>Other expenses (non deductible expenses)</t>
  </si>
  <si>
    <t>Escalation - Direct</t>
  </si>
  <si>
    <t>Indirect Escalation</t>
  </si>
  <si>
    <t>Escalation</t>
  </si>
  <si>
    <t>Escalation - Indirect</t>
  </si>
  <si>
    <t>Direct Escalation</t>
  </si>
  <si>
    <t>Engineering</t>
  </si>
  <si>
    <t>Procurement</t>
  </si>
  <si>
    <t>Project Management</t>
  </si>
  <si>
    <t>Offshore Carried Over Punch List Rectification</t>
  </si>
  <si>
    <t>Services To NSE</t>
  </si>
  <si>
    <t>Warranty Claim - Engineering</t>
  </si>
  <si>
    <t>Warranty Claim - Procurement</t>
  </si>
  <si>
    <t>Warranty Claim - Construction</t>
  </si>
  <si>
    <t>Warranty Claim - Project Management</t>
  </si>
  <si>
    <t>Warranty Claim - HUC</t>
  </si>
  <si>
    <t>Installation Campaign Deferment Recovery</t>
  </si>
  <si>
    <t>Subcontract Work to NSE</t>
  </si>
  <si>
    <t>range_start</t>
  </si>
  <si>
    <t>range_stop</t>
  </si>
  <si>
    <t>project_active_start</t>
  </si>
  <si>
    <t>project_inactive_end</t>
  </si>
  <si>
    <t>relate_document</t>
  </si>
  <si>
    <t>B12</t>
  </si>
  <si>
    <t>G?</t>
  </si>
  <si>
    <t>11.4 Current EAC &amp; VA</t>
  </si>
  <si>
    <t>11. Budget &amp; Variance Analysis</t>
  </si>
  <si>
    <t>relate_range_start_11.3</t>
  </si>
  <si>
    <t>relate_range_stop_11.3</t>
  </si>
  <si>
    <t>relate_range_start_11.4</t>
  </si>
  <si>
    <t>relate_range_stop_11.4</t>
  </si>
  <si>
    <t>B11</t>
  </si>
  <si>
    <t>J?</t>
  </si>
  <si>
    <t>K?</t>
  </si>
  <si>
    <t>col_number</t>
  </si>
  <si>
    <t xml:space="preserve">Construction </t>
  </si>
  <si>
    <t xml:space="preserve">Engineering </t>
  </si>
  <si>
    <t xml:space="preserve">Procurement </t>
  </si>
  <si>
    <t xml:space="preserve">Project Management </t>
  </si>
  <si>
    <t>11.3 EBAC &amp; Current EAC-Edited</t>
  </si>
  <si>
    <t>11.4 LasCurrent EAC-Edtied</t>
  </si>
  <si>
    <t>QAC001</t>
  </si>
  <si>
    <t>QAE001</t>
  </si>
  <si>
    <t>QAP001</t>
  </si>
  <si>
    <t>QA001-Bidding</t>
  </si>
  <si>
    <t>QAM001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</si>
</sst>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/yy;@"/>
    <numFmt numFmtId="165" formatCode="0.00000000000000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name val="Arial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quotePrefix="1"/>
    <xf numFmtId="14" fontId="1" fillId="2" borderId="1" xfId="0" applyNumberFormat="1" applyFont="1" applyFill="1" applyBorder="1" applyAlignment="1">
      <alignment horizontal="center" vertical="top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3" xfId="0" applyFont="1" applyFill="1" applyBorder="1" applyAlignment="1" applyProtection="1">
      <alignment horizontal="center" vertical="top" wrapText="1"/>
      <protection locked="0"/>
    </xf>
    <xf numFmtId="0" fontId="5" fillId="2" borderId="3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6" fillId="0" borderId="0" xfId="0" applyFont="1" applyAlignment="1">
      <alignment horizontal="center"/>
    </xf>
    <xf numFmtId="2" fontId="0" fillId="0" borderId="0" xfId="0" applyNumberFormat="1"/>
    <xf numFmtId="165" fontId="0" fillId="0" borderId="0" xfId="0" applyNumberFormat="1"/>
    <xf numFmtId="43" fontId="0" fillId="0" borderId="0" xfId="1" applyFont="1"/>
    <xf numFmtId="1" fontId="0" fillId="0" borderId="0" xfId="0" applyNumberFormat="1"/>
    <xf numFmtId="0" fontId="5" fillId="3" borderId="4" xfId="0" applyFont="1" applyFill="1" applyBorder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 applyProtection="1">
      <alignment horizontal="center" vertical="top" wrapText="1"/>
      <protection locked="0"/>
    </xf>
    <xf numFmtId="0" fontId="5" fillId="3" borderId="5" xfId="0" applyFont="1" applyFill="1" applyBorder="1" applyAlignment="1" applyProtection="1">
      <alignment horizontal="center" vertical="top"/>
      <protection locked="0"/>
    </xf>
    <xf numFmtId="0" fontId="0" fillId="3" borderId="0" xfId="0" applyFill="1"/>
  </cellXfs>
  <cellStyles count="4">
    <cellStyle name="Comma" xfId="1" builtinId="3"/>
    <cellStyle name="Comma 2 3" xfId="2" xr:uid="{902E92DD-3110-4647-A98A-7D202CCAEE6A}"/>
    <cellStyle name="Normal" xfId="0" builtinId="0"/>
    <cellStyle name="Normal 2" xfId="3" xr:uid="{46F721A4-244C-4DC2-A975-8DF9B1D60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6C2C-D7B3-421E-80A9-28EC1B6B6FDF}">
  <sheetPr codeName="Sheet1"/>
  <dimension ref="B1:J139"/>
  <sheetViews>
    <sheetView topLeftCell="A4" zoomScaleNormal="100" workbookViewId="0">
      <selection activeCell="I13" sqref="I13"/>
    </sheetView>
  </sheetViews>
  <sheetFormatPr defaultRowHeight="15" x14ac:dyDescent="0.25"/>
  <cols>
    <col min="2" max="2" width="10.42578125" bestFit="1" customWidth="1"/>
    <col min="3" max="3" width="19.42578125" bestFit="1" customWidth="1"/>
    <col min="4" max="4" width="12" style="3" bestFit="1" customWidth="1"/>
    <col min="5" max="5" width="25" bestFit="1" customWidth="1"/>
    <col min="6" max="6" width="12.140625" bestFit="1" customWidth="1"/>
    <col min="8" max="8" width="12.5703125" bestFit="1" customWidth="1"/>
    <col min="10" max="10" width="20.85546875" customWidth="1"/>
  </cols>
  <sheetData>
    <row r="1" spans="2:10" x14ac:dyDescent="0.25">
      <c r="G1" s="5"/>
    </row>
    <row r="9" spans="2:10" x14ac:dyDescent="0.25">
      <c r="D9" s="10"/>
    </row>
    <row r="11" spans="2:10" x14ac:dyDescent="0.25">
      <c r="B11" s="1" t="s">
        <v>0</v>
      </c>
      <c r="C11" s="1" t="s">
        <v>1</v>
      </c>
      <c r="D11" s="11" t="s">
        <v>2</v>
      </c>
      <c r="E11" s="1" t="s">
        <v>3</v>
      </c>
      <c r="F11" s="1" t="s">
        <v>4</v>
      </c>
      <c r="G11" s="11" t="s">
        <v>5</v>
      </c>
    </row>
    <row r="12" spans="2:10" x14ac:dyDescent="0.25">
      <c r="B12" t="s">
        <v>337</v>
      </c>
      <c r="C12" s="9" t="s">
        <v>331</v>
      </c>
      <c r="D12" s="10">
        <v>47417565.180000007</v>
      </c>
      <c r="E12" s="2">
        <v>47417565.18</v>
      </c>
      <c r="F12" s="17">
        <v>0</v>
      </c>
      <c r="H12" s="19"/>
      <c r="J12" s="18"/>
    </row>
    <row r="13" spans="2:10" x14ac:dyDescent="0.25">
      <c r="B13" t="s">
        <v>338</v>
      </c>
      <c r="C13" s="9" t="s">
        <v>332</v>
      </c>
      <c r="D13" s="10">
        <v>2851940.2</v>
      </c>
      <c r="E13" s="2">
        <v>2851940.2</v>
      </c>
      <c r="F13" s="17">
        <v>0</v>
      </c>
      <c r="G13" s="17"/>
      <c r="J13" s="18"/>
    </row>
    <row r="14" spans="2:10" x14ac:dyDescent="0.25">
      <c r="B14" t="s">
        <v>339</v>
      </c>
      <c r="C14" s="9" t="s">
        <v>333</v>
      </c>
      <c r="D14" s="10">
        <v>36462971.479999997</v>
      </c>
      <c r="E14" s="2">
        <v>36462971.479999997</v>
      </c>
      <c r="F14" s="17">
        <v>0</v>
      </c>
      <c r="G14" s="17"/>
      <c r="J14" s="18"/>
    </row>
    <row r="15" spans="2:10" x14ac:dyDescent="0.25">
      <c r="B15" t="s">
        <v>341</v>
      </c>
      <c r="C15" s="9" t="s">
        <v>304</v>
      </c>
      <c r="D15" s="10">
        <v>5526428.5499999998</v>
      </c>
      <c r="E15" s="2">
        <v>5526428.5499999998</v>
      </c>
      <c r="F15" s="17">
        <v>0</v>
      </c>
      <c r="G15" s="17"/>
      <c r="J15" s="18"/>
    </row>
    <row r="16" spans="2:10" x14ac:dyDescent="0.25">
      <c r="B16" t="s">
        <v>6</v>
      </c>
      <c r="C16" s="9" t="s">
        <v>7</v>
      </c>
      <c r="D16" s="10">
        <v>0</v>
      </c>
      <c r="E16" s="2">
        <v>0</v>
      </c>
      <c r="F16" s="17">
        <v>0</v>
      </c>
      <c r="G16" s="17"/>
      <c r="J16" s="18"/>
    </row>
    <row r="17" spans="2:7" x14ac:dyDescent="0.25">
      <c r="B17" t="s">
        <v>6</v>
      </c>
      <c r="C17" s="9" t="s">
        <v>331</v>
      </c>
      <c r="D17" s="10">
        <v>0</v>
      </c>
      <c r="E17" s="2">
        <v>0</v>
      </c>
      <c r="F17" s="17">
        <v>0</v>
      </c>
      <c r="G17" s="17"/>
    </row>
    <row r="18" spans="2:7" x14ac:dyDescent="0.25">
      <c r="B18" t="s">
        <v>6</v>
      </c>
      <c r="C18" s="9" t="s">
        <v>332</v>
      </c>
      <c r="D18" s="10">
        <v>0</v>
      </c>
      <c r="E18" s="2">
        <v>0</v>
      </c>
      <c r="F18" s="17">
        <v>0</v>
      </c>
      <c r="G18" s="17"/>
    </row>
    <row r="19" spans="2:7" x14ac:dyDescent="0.25">
      <c r="B19" t="s">
        <v>6</v>
      </c>
      <c r="C19" s="9" t="s">
        <v>333</v>
      </c>
      <c r="D19" s="10">
        <v>0</v>
      </c>
      <c r="E19" s="2">
        <v>0</v>
      </c>
      <c r="F19" s="17">
        <v>0</v>
      </c>
      <c r="G19" s="17"/>
    </row>
    <row r="20" spans="2:7" x14ac:dyDescent="0.25">
      <c r="B20" t="s">
        <v>6</v>
      </c>
      <c r="C20" s="9" t="s">
        <v>334</v>
      </c>
      <c r="D20" s="10">
        <v>0</v>
      </c>
      <c r="E20" s="2">
        <v>0</v>
      </c>
      <c r="F20" s="17">
        <v>0</v>
      </c>
      <c r="G20" s="17"/>
    </row>
    <row r="21" spans="2:7" x14ac:dyDescent="0.25">
      <c r="B21" t="s">
        <v>6</v>
      </c>
      <c r="C21" s="9" t="s">
        <v>7</v>
      </c>
      <c r="D21" s="10">
        <v>0</v>
      </c>
      <c r="E21" s="2">
        <v>0</v>
      </c>
      <c r="F21" s="17">
        <v>0</v>
      </c>
      <c r="G21" s="17"/>
    </row>
    <row r="22" spans="2:7" x14ac:dyDescent="0.25">
      <c r="B22" t="s">
        <v>6</v>
      </c>
      <c r="C22" s="9" t="s">
        <v>8</v>
      </c>
      <c r="D22" s="10">
        <v>0</v>
      </c>
      <c r="E22" s="2">
        <v>0</v>
      </c>
      <c r="F22" s="17">
        <v>0</v>
      </c>
      <c r="G22" s="17"/>
    </row>
    <row r="23" spans="2:7" x14ac:dyDescent="0.25">
      <c r="C23" s="9"/>
      <c r="D23" s="10"/>
      <c r="E23" s="2"/>
    </row>
    <row r="24" spans="2:7" x14ac:dyDescent="0.25">
      <c r="C24" s="9"/>
      <c r="D24" s="10"/>
      <c r="E24" s="2"/>
    </row>
    <row r="25" spans="2:7" x14ac:dyDescent="0.25">
      <c r="C25" s="9"/>
      <c r="D25" s="10"/>
      <c r="E25" s="2"/>
    </row>
    <row r="26" spans="2:7" x14ac:dyDescent="0.25">
      <c r="C26" s="9"/>
      <c r="D26" s="10"/>
      <c r="E26" s="2"/>
    </row>
    <row r="27" spans="2:7" x14ac:dyDescent="0.25">
      <c r="C27" s="9"/>
      <c r="D27" s="10"/>
      <c r="E27" s="2"/>
    </row>
    <row r="28" spans="2:7" x14ac:dyDescent="0.25">
      <c r="C28" s="9"/>
      <c r="D28" s="10"/>
      <c r="E28" s="2"/>
    </row>
    <row r="29" spans="2:7" x14ac:dyDescent="0.25">
      <c r="C29" s="9"/>
      <c r="D29" s="10"/>
      <c r="E29" s="2"/>
    </row>
    <row r="30" spans="2:7" x14ac:dyDescent="0.25">
      <c r="C30" s="9"/>
      <c r="D30" s="10"/>
      <c r="E30" s="2"/>
    </row>
    <row r="31" spans="2:7" x14ac:dyDescent="0.25">
      <c r="C31" s="9"/>
      <c r="D31" s="10"/>
      <c r="E31" s="2"/>
    </row>
    <row r="32" spans="2:7" x14ac:dyDescent="0.25">
      <c r="C32" s="9"/>
      <c r="D32" s="10"/>
      <c r="E32" s="2"/>
    </row>
    <row r="33" spans="3:5" x14ac:dyDescent="0.25">
      <c r="C33" s="9"/>
      <c r="D33" s="10"/>
      <c r="E33" s="2"/>
    </row>
    <row r="34" spans="3:5" x14ac:dyDescent="0.25">
      <c r="C34" s="9"/>
      <c r="D34" s="10"/>
      <c r="E34" s="2"/>
    </row>
    <row r="35" spans="3:5" x14ac:dyDescent="0.25">
      <c r="C35" s="9"/>
      <c r="D35" s="10"/>
      <c r="E35" s="2"/>
    </row>
    <row r="36" spans="3:5" x14ac:dyDescent="0.25">
      <c r="C36" s="9"/>
      <c r="D36" s="10"/>
      <c r="E36" s="2"/>
    </row>
    <row r="37" spans="3:5" x14ac:dyDescent="0.25">
      <c r="C37" s="9"/>
      <c r="D37" s="10"/>
      <c r="E37" s="2"/>
    </row>
    <row r="38" spans="3:5" x14ac:dyDescent="0.25">
      <c r="C38" s="9"/>
      <c r="D38" s="10"/>
      <c r="E38" s="2"/>
    </row>
    <row r="39" spans="3:5" x14ac:dyDescent="0.25">
      <c r="C39" s="9"/>
      <c r="D39" s="10"/>
      <c r="E39" s="2"/>
    </row>
    <row r="40" spans="3:5" x14ac:dyDescent="0.25">
      <c r="C40" s="9"/>
      <c r="D40" s="10"/>
      <c r="E40" s="2"/>
    </row>
    <row r="41" spans="3:5" x14ac:dyDescent="0.25">
      <c r="C41" s="9"/>
      <c r="D41" s="10"/>
      <c r="E41" s="2"/>
    </row>
    <row r="42" spans="3:5" x14ac:dyDescent="0.25">
      <c r="C42" s="9"/>
      <c r="D42" s="10"/>
      <c r="E42" s="2"/>
    </row>
    <row r="43" spans="3:5" x14ac:dyDescent="0.25">
      <c r="C43" s="9"/>
      <c r="D43" s="10"/>
      <c r="E43" s="2"/>
    </row>
    <row r="44" spans="3:5" x14ac:dyDescent="0.25">
      <c r="C44" s="9"/>
      <c r="D44" s="10"/>
      <c r="E44" s="2"/>
    </row>
    <row r="45" spans="3:5" x14ac:dyDescent="0.25">
      <c r="C45" s="9"/>
      <c r="D45" s="10"/>
      <c r="E45" s="2"/>
    </row>
    <row r="46" spans="3:5" x14ac:dyDescent="0.25">
      <c r="C46" s="9"/>
      <c r="D46" s="10"/>
      <c r="E46" s="2"/>
    </row>
    <row r="47" spans="3:5" x14ac:dyDescent="0.25">
      <c r="C47" s="9"/>
      <c r="D47" s="10"/>
      <c r="E47" s="2"/>
    </row>
    <row r="48" spans="3:5" x14ac:dyDescent="0.25">
      <c r="C48" s="9"/>
      <c r="D48" s="10"/>
      <c r="E48" s="2"/>
    </row>
    <row r="49" spans="3:5" x14ac:dyDescent="0.25">
      <c r="C49" s="9"/>
      <c r="D49" s="10"/>
      <c r="E49" s="2"/>
    </row>
    <row r="50" spans="3:5" x14ac:dyDescent="0.25">
      <c r="C50" s="9"/>
      <c r="D50" s="10"/>
      <c r="E50" s="2"/>
    </row>
    <row r="51" spans="3:5" x14ac:dyDescent="0.25">
      <c r="C51" s="9"/>
      <c r="D51" s="10"/>
      <c r="E51" s="2"/>
    </row>
    <row r="52" spans="3:5" x14ac:dyDescent="0.25">
      <c r="C52" s="9"/>
      <c r="D52" s="10"/>
      <c r="E52" s="2"/>
    </row>
    <row r="53" spans="3:5" x14ac:dyDescent="0.25">
      <c r="C53" s="9"/>
      <c r="D53" s="10"/>
      <c r="E53" s="2"/>
    </row>
    <row r="54" spans="3:5" x14ac:dyDescent="0.25">
      <c r="C54" s="9"/>
      <c r="D54" s="10"/>
      <c r="E54" s="2"/>
    </row>
    <row r="55" spans="3:5" x14ac:dyDescent="0.25">
      <c r="C55" s="9"/>
      <c r="D55" s="10"/>
      <c r="E55" s="2"/>
    </row>
    <row r="56" spans="3:5" x14ac:dyDescent="0.25">
      <c r="C56" s="9"/>
      <c r="D56" s="10"/>
      <c r="E56" s="2"/>
    </row>
    <row r="57" spans="3:5" x14ac:dyDescent="0.25">
      <c r="C57" s="9"/>
      <c r="D57" s="10"/>
      <c r="E57" s="2"/>
    </row>
    <row r="58" spans="3:5" x14ac:dyDescent="0.25">
      <c r="C58" s="9"/>
      <c r="D58" s="10"/>
      <c r="E58" s="2"/>
    </row>
    <row r="59" spans="3:5" x14ac:dyDescent="0.25">
      <c r="C59" s="9"/>
      <c r="D59" s="10"/>
      <c r="E59" s="2"/>
    </row>
    <row r="60" spans="3:5" x14ac:dyDescent="0.25">
      <c r="C60" s="9"/>
      <c r="D60" s="10"/>
      <c r="E60" s="2"/>
    </row>
    <row r="61" spans="3:5" x14ac:dyDescent="0.25">
      <c r="C61" s="9"/>
      <c r="D61" s="10"/>
      <c r="E61" s="2"/>
    </row>
    <row r="62" spans="3:5" x14ac:dyDescent="0.25">
      <c r="C62" s="9"/>
      <c r="D62" s="10"/>
      <c r="E62" s="2"/>
    </row>
    <row r="63" spans="3:5" x14ac:dyDescent="0.25">
      <c r="C63" s="9"/>
      <c r="D63" s="10"/>
      <c r="E63" s="2"/>
    </row>
    <row r="64" spans="3:5" x14ac:dyDescent="0.25">
      <c r="C64" s="9"/>
      <c r="D64" s="10"/>
      <c r="E64" s="2"/>
    </row>
    <row r="65" spans="3:5" x14ac:dyDescent="0.25">
      <c r="C65" s="9"/>
      <c r="D65" s="10"/>
      <c r="E65" s="2"/>
    </row>
    <row r="66" spans="3:5" x14ac:dyDescent="0.25">
      <c r="C66" s="9"/>
      <c r="D66" s="10"/>
      <c r="E66" s="2"/>
    </row>
    <row r="67" spans="3:5" x14ac:dyDescent="0.25">
      <c r="C67" s="9"/>
      <c r="D67" s="10"/>
      <c r="E67" s="2"/>
    </row>
    <row r="68" spans="3:5" x14ac:dyDescent="0.25">
      <c r="C68" s="9"/>
      <c r="D68" s="10"/>
      <c r="E68" s="2"/>
    </row>
    <row r="69" spans="3:5" x14ac:dyDescent="0.25">
      <c r="C69" s="9"/>
      <c r="D69" s="10"/>
      <c r="E69" s="2"/>
    </row>
    <row r="70" spans="3:5" x14ac:dyDescent="0.25">
      <c r="C70" s="9"/>
      <c r="D70" s="10"/>
      <c r="E70" s="2"/>
    </row>
    <row r="71" spans="3:5" x14ac:dyDescent="0.25">
      <c r="C71" s="9"/>
      <c r="D71" s="10"/>
      <c r="E71" s="2"/>
    </row>
    <row r="72" spans="3:5" x14ac:dyDescent="0.25">
      <c r="C72" s="9"/>
      <c r="D72" s="10"/>
      <c r="E72" s="2"/>
    </row>
    <row r="73" spans="3:5" x14ac:dyDescent="0.25">
      <c r="C73" s="9"/>
      <c r="D73" s="10"/>
      <c r="E73" s="2"/>
    </row>
    <row r="74" spans="3:5" x14ac:dyDescent="0.25">
      <c r="C74" s="9"/>
      <c r="D74" s="10"/>
      <c r="E74" s="2"/>
    </row>
    <row r="75" spans="3:5" x14ac:dyDescent="0.25">
      <c r="C75" s="9"/>
      <c r="D75" s="10"/>
      <c r="E75" s="2"/>
    </row>
    <row r="76" spans="3:5" x14ac:dyDescent="0.25">
      <c r="C76" s="9"/>
      <c r="D76" s="10"/>
      <c r="E76" s="2"/>
    </row>
    <row r="77" spans="3:5" x14ac:dyDescent="0.25">
      <c r="C77" s="9"/>
      <c r="D77" s="10"/>
      <c r="E77" s="2"/>
    </row>
    <row r="78" spans="3:5" x14ac:dyDescent="0.25">
      <c r="C78" s="9"/>
      <c r="D78" s="10"/>
      <c r="E78" s="2"/>
    </row>
    <row r="79" spans="3:5" x14ac:dyDescent="0.25">
      <c r="C79" s="9"/>
      <c r="D79" s="10"/>
      <c r="E79" s="2"/>
    </row>
    <row r="80" spans="3:5" x14ac:dyDescent="0.25">
      <c r="C80" s="9"/>
      <c r="D80" s="10"/>
      <c r="E80" s="2"/>
    </row>
    <row r="81" spans="3:5" x14ac:dyDescent="0.25">
      <c r="C81" s="9"/>
      <c r="D81" s="10"/>
      <c r="E81" s="2"/>
    </row>
    <row r="82" spans="3:5" x14ac:dyDescent="0.25">
      <c r="C82" s="9"/>
      <c r="D82" s="10"/>
      <c r="E82" s="2"/>
    </row>
    <row r="83" spans="3:5" x14ac:dyDescent="0.25">
      <c r="C83" s="9"/>
      <c r="D83" s="10"/>
      <c r="E83" s="2"/>
    </row>
    <row r="84" spans="3:5" x14ac:dyDescent="0.25">
      <c r="C84" s="9"/>
      <c r="D84" s="10"/>
      <c r="E84" s="2"/>
    </row>
    <row r="85" spans="3:5" x14ac:dyDescent="0.25">
      <c r="C85" s="9"/>
      <c r="D85" s="10"/>
      <c r="E85" s="2"/>
    </row>
    <row r="86" spans="3:5" x14ac:dyDescent="0.25">
      <c r="C86" s="9"/>
      <c r="D86" s="10"/>
      <c r="E86" s="2"/>
    </row>
    <row r="87" spans="3:5" x14ac:dyDescent="0.25">
      <c r="C87" s="9"/>
      <c r="D87" s="10"/>
      <c r="E87" s="2"/>
    </row>
    <row r="88" spans="3:5" x14ac:dyDescent="0.25">
      <c r="C88" s="9"/>
      <c r="D88" s="10"/>
      <c r="E88" s="2"/>
    </row>
    <row r="89" spans="3:5" x14ac:dyDescent="0.25">
      <c r="C89" s="9"/>
      <c r="D89" s="10"/>
      <c r="E89" s="2"/>
    </row>
    <row r="90" spans="3:5" x14ac:dyDescent="0.25">
      <c r="C90" s="9"/>
      <c r="D90" s="10"/>
      <c r="E90" s="2"/>
    </row>
    <row r="91" spans="3:5" x14ac:dyDescent="0.25">
      <c r="C91" s="9"/>
      <c r="D91" s="10"/>
      <c r="E91" s="2"/>
    </row>
    <row r="92" spans="3:5" x14ac:dyDescent="0.25">
      <c r="C92" s="9"/>
      <c r="D92" s="10"/>
      <c r="E92" s="2"/>
    </row>
    <row r="93" spans="3:5" x14ac:dyDescent="0.25">
      <c r="C93" s="9"/>
      <c r="D93" s="10"/>
      <c r="E93" s="2"/>
    </row>
    <row r="94" spans="3:5" x14ac:dyDescent="0.25">
      <c r="C94" s="9"/>
      <c r="D94" s="10"/>
      <c r="E94" s="2"/>
    </row>
    <row r="95" spans="3:5" x14ac:dyDescent="0.25">
      <c r="C95" s="9"/>
      <c r="D95" s="10"/>
      <c r="E95" s="2"/>
    </row>
    <row r="96" spans="3:5" x14ac:dyDescent="0.25">
      <c r="C96" s="9"/>
      <c r="D96" s="10"/>
      <c r="E96" s="2"/>
    </row>
    <row r="97" spans="3:5" x14ac:dyDescent="0.25">
      <c r="C97" s="9"/>
      <c r="D97" s="10"/>
      <c r="E97" s="2"/>
    </row>
    <row r="98" spans="3:5" x14ac:dyDescent="0.25">
      <c r="C98" s="9"/>
      <c r="D98" s="10"/>
      <c r="E98" s="2"/>
    </row>
    <row r="99" spans="3:5" x14ac:dyDescent="0.25">
      <c r="C99" s="9"/>
      <c r="D99" s="10"/>
      <c r="E99" s="2"/>
    </row>
    <row r="100" spans="3:5" x14ac:dyDescent="0.25">
      <c r="C100" s="9"/>
      <c r="D100" s="10"/>
      <c r="E100" s="2"/>
    </row>
    <row r="101" spans="3:5" x14ac:dyDescent="0.25">
      <c r="C101" s="9"/>
      <c r="D101" s="10"/>
      <c r="E101" s="2"/>
    </row>
    <row r="102" spans="3:5" x14ac:dyDescent="0.25">
      <c r="C102" s="9"/>
      <c r="D102" s="10"/>
      <c r="E102" s="2"/>
    </row>
    <row r="103" spans="3:5" x14ac:dyDescent="0.25">
      <c r="C103" s="9"/>
      <c r="D103" s="10"/>
      <c r="E103" s="2"/>
    </row>
    <row r="104" spans="3:5" x14ac:dyDescent="0.25">
      <c r="C104" s="9"/>
      <c r="D104" s="10"/>
      <c r="E104" s="2"/>
    </row>
    <row r="105" spans="3:5" x14ac:dyDescent="0.25">
      <c r="C105" s="9"/>
      <c r="D105" s="10"/>
      <c r="E105" s="2"/>
    </row>
    <row r="106" spans="3:5" x14ac:dyDescent="0.25">
      <c r="C106" s="9"/>
      <c r="D106" s="10"/>
      <c r="E106" s="2"/>
    </row>
    <row r="107" spans="3:5" x14ac:dyDescent="0.25">
      <c r="C107" s="9"/>
      <c r="D107" s="10"/>
      <c r="E107" s="2"/>
    </row>
    <row r="108" spans="3:5" x14ac:dyDescent="0.25">
      <c r="C108" s="9"/>
      <c r="D108" s="10"/>
      <c r="E108" s="2"/>
    </row>
    <row r="109" spans="3:5" x14ac:dyDescent="0.25">
      <c r="C109" s="9"/>
      <c r="D109" s="10"/>
      <c r="E109" s="2"/>
    </row>
    <row r="110" spans="3:5" x14ac:dyDescent="0.25">
      <c r="C110" s="9"/>
      <c r="D110" s="10"/>
      <c r="E110" s="2"/>
    </row>
    <row r="111" spans="3:5" x14ac:dyDescent="0.25">
      <c r="C111" s="9"/>
      <c r="D111" s="10"/>
      <c r="E111" s="2"/>
    </row>
    <row r="112" spans="3:5" x14ac:dyDescent="0.25">
      <c r="C112" s="9"/>
      <c r="D112" s="10"/>
      <c r="E112" s="2"/>
    </row>
    <row r="113" spans="3:5" x14ac:dyDescent="0.25">
      <c r="C113" s="9"/>
      <c r="D113" s="10"/>
      <c r="E113" s="2"/>
    </row>
    <row r="114" spans="3:5" x14ac:dyDescent="0.25">
      <c r="C114" s="9"/>
      <c r="D114" s="10"/>
      <c r="E114" s="2"/>
    </row>
    <row r="115" spans="3:5" x14ac:dyDescent="0.25">
      <c r="C115" s="9"/>
      <c r="D115" s="10"/>
      <c r="E115" s="2"/>
    </row>
    <row r="116" spans="3:5" x14ac:dyDescent="0.25">
      <c r="C116" s="9"/>
      <c r="D116" s="10"/>
      <c r="E116" s="2"/>
    </row>
    <row r="117" spans="3:5" x14ac:dyDescent="0.25">
      <c r="C117" s="9"/>
      <c r="D117" s="10"/>
      <c r="E117" s="2"/>
    </row>
    <row r="118" spans="3:5" x14ac:dyDescent="0.25">
      <c r="C118" s="9"/>
      <c r="D118" s="10"/>
      <c r="E118" s="2"/>
    </row>
    <row r="119" spans="3:5" x14ac:dyDescent="0.25">
      <c r="C119" s="9"/>
      <c r="D119" s="10"/>
      <c r="E119" s="2"/>
    </row>
    <row r="120" spans="3:5" x14ac:dyDescent="0.25">
      <c r="C120" s="9"/>
      <c r="D120" s="10"/>
      <c r="E120" s="2"/>
    </row>
    <row r="121" spans="3:5" x14ac:dyDescent="0.25">
      <c r="C121" s="9"/>
      <c r="D121" s="10"/>
      <c r="E121" s="2"/>
    </row>
    <row r="122" spans="3:5" x14ac:dyDescent="0.25">
      <c r="C122" s="9"/>
      <c r="D122" s="10"/>
      <c r="E122" s="2"/>
    </row>
    <row r="123" spans="3:5" x14ac:dyDescent="0.25">
      <c r="C123" s="9"/>
      <c r="D123" s="10"/>
      <c r="E123" s="2"/>
    </row>
    <row r="124" spans="3:5" x14ac:dyDescent="0.25">
      <c r="C124" s="9"/>
      <c r="D124" s="10"/>
      <c r="E124" s="2"/>
    </row>
    <row r="125" spans="3:5" x14ac:dyDescent="0.25">
      <c r="C125" s="9"/>
      <c r="D125" s="10"/>
      <c r="E125" s="2"/>
    </row>
    <row r="126" spans="3:5" x14ac:dyDescent="0.25">
      <c r="C126" s="9"/>
      <c r="D126" s="10"/>
      <c r="E126" s="2"/>
    </row>
    <row r="127" spans="3:5" x14ac:dyDescent="0.25">
      <c r="C127" s="9"/>
      <c r="D127" s="10"/>
      <c r="E127" s="2"/>
    </row>
    <row r="128" spans="3:5" x14ac:dyDescent="0.25">
      <c r="C128" s="9"/>
      <c r="D128" s="10"/>
      <c r="E128" s="2"/>
    </row>
    <row r="129" spans="3:5" x14ac:dyDescent="0.25">
      <c r="C129" s="9"/>
      <c r="D129" s="10"/>
      <c r="E129" s="2"/>
    </row>
    <row r="130" spans="3:5" x14ac:dyDescent="0.25">
      <c r="C130" s="9"/>
      <c r="D130" s="10"/>
      <c r="E130" s="2"/>
    </row>
    <row r="131" spans="3:5" x14ac:dyDescent="0.25">
      <c r="C131" s="9"/>
      <c r="D131" s="10"/>
      <c r="E131" s="2"/>
    </row>
    <row r="132" spans="3:5" x14ac:dyDescent="0.25">
      <c r="C132" s="9"/>
      <c r="D132" s="10"/>
      <c r="E132" s="2"/>
    </row>
    <row r="133" spans="3:5" x14ac:dyDescent="0.25">
      <c r="C133" s="9"/>
      <c r="D133" s="10"/>
      <c r="E133" s="2"/>
    </row>
    <row r="134" spans="3:5" x14ac:dyDescent="0.25">
      <c r="C134" s="9"/>
      <c r="D134" s="10"/>
      <c r="E134" s="2"/>
    </row>
    <row r="135" spans="3:5" x14ac:dyDescent="0.25">
      <c r="C135" s="9"/>
      <c r="D135" s="10"/>
      <c r="E135" s="2"/>
    </row>
    <row r="136" spans="3:5" x14ac:dyDescent="0.25">
      <c r="C136" s="9"/>
      <c r="D136" s="10"/>
      <c r="E136" s="2"/>
    </row>
    <row r="137" spans="3:5" x14ac:dyDescent="0.25">
      <c r="C137" s="9"/>
      <c r="D137" s="10"/>
      <c r="E137" s="2"/>
    </row>
    <row r="138" spans="3:5" x14ac:dyDescent="0.25">
      <c r="C138" s="9"/>
      <c r="D138" s="10"/>
      <c r="E138" s="2"/>
    </row>
    <row r="139" spans="3:5" x14ac:dyDescent="0.25">
      <c r="C139" s="9"/>
      <c r="D139" s="10"/>
      <c r="E139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1D95-26CE-43F7-841E-F601B36516B5}">
  <sheetPr codeName="Sheet2"/>
  <dimension ref="B10:G926"/>
  <sheetViews>
    <sheetView topLeftCell="A37" zoomScale="70" zoomScaleNormal="70" workbookViewId="0">
      <selection activeCell="B12" sqref="B12"/>
    </sheetView>
  </sheetViews>
  <sheetFormatPr defaultRowHeight="15" x14ac:dyDescent="0.25"/>
  <sheetData>
    <row r="10" spans="2:7" x14ac:dyDescent="0.25">
      <c r="B10" s="12" t="b">
        <v>0</v>
      </c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</row>
    <row r="11" spans="2:7" x14ac:dyDescent="0.25">
      <c r="B11" s="1" t="s">
        <v>0</v>
      </c>
      <c r="C11" s="1" t="s">
        <v>1</v>
      </c>
      <c r="D11" s="11" t="s">
        <v>2</v>
      </c>
      <c r="E11" s="1" t="s">
        <v>3</v>
      </c>
      <c r="F11" s="1" t="s">
        <v>4</v>
      </c>
      <c r="G11" s="11" t="s">
        <v>5</v>
      </c>
    </row>
    <row r="12" spans="2:7" x14ac:dyDescent="0.25">
      <c r="B12" s="6"/>
      <c r="C12" s="6"/>
      <c r="D12" s="6"/>
      <c r="E12" s="6"/>
      <c r="F12" s="6"/>
      <c r="G12" s="6"/>
    </row>
    <row r="13" spans="2:7" x14ac:dyDescent="0.25">
      <c r="B13" s="6"/>
      <c r="C13" s="6"/>
      <c r="D13" s="6"/>
      <c r="E13" s="6"/>
      <c r="F13" s="6"/>
      <c r="G13" s="6"/>
    </row>
    <row r="14" spans="2:7" x14ac:dyDescent="0.25">
      <c r="B14" s="6"/>
      <c r="C14" s="6"/>
      <c r="D14" s="6"/>
      <c r="E14" s="6"/>
      <c r="F14" s="6"/>
      <c r="G14" s="6"/>
    </row>
    <row r="15" spans="2:7" x14ac:dyDescent="0.25">
      <c r="B15" s="6"/>
      <c r="C15" s="6"/>
      <c r="D15" s="6"/>
      <c r="E15" s="6"/>
      <c r="F15" s="6"/>
      <c r="G15" s="6"/>
    </row>
    <row r="16" spans="2:7" x14ac:dyDescent="0.25">
      <c r="B16" s="6"/>
      <c r="C16" s="6"/>
      <c r="D16" s="6"/>
      <c r="E16" s="6"/>
      <c r="F16" s="6"/>
      <c r="G16" s="6"/>
    </row>
    <row r="17" spans="2:7" x14ac:dyDescent="0.25">
      <c r="B17" s="6"/>
      <c r="C17" s="6"/>
      <c r="D17" s="6"/>
      <c r="E17" s="6"/>
      <c r="F17" s="6"/>
      <c r="G17" s="6"/>
    </row>
    <row r="18" spans="2:7" x14ac:dyDescent="0.25">
      <c r="B18" s="6"/>
      <c r="C18" s="6"/>
      <c r="D18" s="6"/>
      <c r="E18" s="6"/>
      <c r="F18" s="6"/>
      <c r="G18" s="6"/>
    </row>
    <row r="19" spans="2:7" x14ac:dyDescent="0.25">
      <c r="B19" s="6"/>
      <c r="C19" s="6"/>
      <c r="D19" s="6"/>
      <c r="E19" s="6"/>
      <c r="F19" s="6"/>
      <c r="G19" s="6"/>
    </row>
    <row r="20" spans="2:7" x14ac:dyDescent="0.25">
      <c r="B20" s="6"/>
      <c r="C20" s="6"/>
      <c r="D20" s="6"/>
      <c r="E20" s="6"/>
      <c r="F20" s="6"/>
      <c r="G20" s="6"/>
    </row>
    <row r="21" spans="2:7" x14ac:dyDescent="0.25">
      <c r="B21" s="6"/>
      <c r="C21" s="6"/>
      <c r="D21" s="6"/>
      <c r="E21" s="6"/>
      <c r="F21" s="6"/>
      <c r="G21" s="6"/>
    </row>
    <row r="22" spans="2:7" x14ac:dyDescent="0.25">
      <c r="B22" s="6"/>
      <c r="C22" s="6"/>
      <c r="D22" s="6"/>
      <c r="E22" s="6"/>
      <c r="F22" s="6"/>
      <c r="G22" s="6"/>
    </row>
    <row r="23" spans="2:7" x14ac:dyDescent="0.25">
      <c r="B23" s="6"/>
      <c r="C23" s="6"/>
      <c r="D23" s="6"/>
      <c r="E23" s="6"/>
      <c r="F23" s="6"/>
      <c r="G23" s="6"/>
    </row>
    <row r="24" spans="2:7" x14ac:dyDescent="0.25">
      <c r="B24" s="6"/>
      <c r="C24" s="6"/>
      <c r="D24" s="6"/>
      <c r="E24" s="6"/>
      <c r="F24" s="6"/>
      <c r="G24" s="6"/>
    </row>
    <row r="25" spans="2:7" x14ac:dyDescent="0.25">
      <c r="B25" s="6"/>
      <c r="C25" s="6"/>
      <c r="D25" s="6"/>
      <c r="E25" s="6"/>
      <c r="F25" s="6"/>
      <c r="G25" s="6"/>
    </row>
    <row r="26" spans="2:7" x14ac:dyDescent="0.25">
      <c r="B26" s="6"/>
      <c r="C26" s="6"/>
      <c r="D26" s="6"/>
      <c r="E26" s="6"/>
      <c r="F26" s="6"/>
      <c r="G26" s="6"/>
    </row>
    <row r="27" spans="2:7" x14ac:dyDescent="0.25">
      <c r="B27" s="6"/>
      <c r="C27" s="6"/>
      <c r="D27" s="6"/>
      <c r="E27" s="6"/>
      <c r="F27" s="6"/>
      <c r="G27" s="6"/>
    </row>
    <row r="28" spans="2:7" x14ac:dyDescent="0.25">
      <c r="B28" s="6"/>
      <c r="C28" s="6"/>
      <c r="D28" s="6"/>
      <c r="E28" s="6"/>
      <c r="F28" s="6"/>
      <c r="G28" s="6"/>
    </row>
    <row r="29" spans="2:7" x14ac:dyDescent="0.25">
      <c r="B29" s="6"/>
      <c r="C29" s="6"/>
      <c r="D29" s="6"/>
      <c r="E29" s="6"/>
      <c r="F29" s="6"/>
      <c r="G29" s="6"/>
    </row>
    <row r="30" spans="2:7" x14ac:dyDescent="0.25">
      <c r="B30" s="6"/>
      <c r="C30" s="6"/>
      <c r="D30" s="6"/>
      <c r="E30" s="6"/>
      <c r="F30" s="6"/>
      <c r="G30" s="6"/>
    </row>
    <row r="31" spans="2:7" x14ac:dyDescent="0.25">
      <c r="B31" s="6"/>
      <c r="C31" s="6"/>
      <c r="D31" s="6"/>
      <c r="E31" s="6"/>
      <c r="F31" s="6"/>
      <c r="G31" s="6"/>
    </row>
    <row r="32" spans="2:7" x14ac:dyDescent="0.25">
      <c r="B32" s="6"/>
      <c r="C32" s="6"/>
      <c r="D32" s="6"/>
      <c r="E32" s="6"/>
      <c r="F32" s="6"/>
      <c r="G32" s="6"/>
    </row>
    <row r="33" spans="2:7" x14ac:dyDescent="0.25">
      <c r="B33" s="6"/>
      <c r="C33" s="6"/>
      <c r="D33" s="6"/>
      <c r="E33" s="6"/>
      <c r="F33" s="6"/>
      <c r="G33" s="6"/>
    </row>
    <row r="34" spans="2:7" x14ac:dyDescent="0.25">
      <c r="B34" s="6"/>
      <c r="C34" s="6"/>
      <c r="D34" s="6"/>
      <c r="E34" s="6"/>
      <c r="F34" s="6"/>
      <c r="G34" s="6"/>
    </row>
    <row r="35" spans="2:7" x14ac:dyDescent="0.25">
      <c r="B35" s="6"/>
      <c r="C35" s="6"/>
      <c r="D35" s="6"/>
      <c r="E35" s="6"/>
      <c r="F35" s="6"/>
      <c r="G35" s="6"/>
    </row>
    <row r="36" spans="2:7" x14ac:dyDescent="0.25">
      <c r="B36" s="6"/>
      <c r="C36" s="6"/>
      <c r="D36" s="6"/>
      <c r="E36" s="6"/>
      <c r="F36" s="6"/>
      <c r="G36" s="6"/>
    </row>
    <row r="37" spans="2:7" x14ac:dyDescent="0.25">
      <c r="B37" s="6"/>
      <c r="C37" s="6"/>
      <c r="D37" s="6"/>
      <c r="E37" s="6"/>
      <c r="F37" s="6"/>
      <c r="G37" s="6"/>
    </row>
    <row r="38" spans="2:7" x14ac:dyDescent="0.25">
      <c r="B38" s="6"/>
      <c r="C38" s="6"/>
      <c r="D38" s="6"/>
      <c r="E38" s="6"/>
      <c r="F38" s="6"/>
      <c r="G38" s="6"/>
    </row>
    <row r="39" spans="2:7" x14ac:dyDescent="0.25">
      <c r="B39" s="6"/>
      <c r="C39" s="6"/>
      <c r="D39" s="6"/>
      <c r="E39" s="6"/>
      <c r="F39" s="6"/>
      <c r="G39" s="6"/>
    </row>
    <row r="40" spans="2:7" x14ac:dyDescent="0.25">
      <c r="B40" s="6"/>
      <c r="C40" s="6"/>
      <c r="D40" s="6"/>
      <c r="E40" s="6"/>
      <c r="F40" s="6"/>
      <c r="G40" s="6"/>
    </row>
    <row r="41" spans="2:7" x14ac:dyDescent="0.25">
      <c r="B41" s="6"/>
      <c r="C41" s="6"/>
      <c r="D41" s="6"/>
      <c r="E41" s="6"/>
      <c r="F41" s="6"/>
      <c r="G41" s="6"/>
    </row>
    <row r="42" spans="2:7" x14ac:dyDescent="0.25">
      <c r="B42" s="6"/>
      <c r="C42" s="6"/>
      <c r="D42" s="6"/>
      <c r="E42" s="6"/>
      <c r="F42" s="6"/>
      <c r="G42" s="6"/>
    </row>
    <row r="43" spans="2:7" x14ac:dyDescent="0.25">
      <c r="B43" s="6"/>
      <c r="C43" s="6"/>
      <c r="D43" s="6"/>
      <c r="E43" s="6"/>
      <c r="F43" s="6"/>
      <c r="G43" s="6"/>
    </row>
    <row r="44" spans="2:7" x14ac:dyDescent="0.25">
      <c r="B44" s="6"/>
      <c r="C44" s="6"/>
      <c r="D44" s="6"/>
      <c r="E44" s="6"/>
      <c r="F44" s="6"/>
      <c r="G44" s="6"/>
    </row>
    <row r="45" spans="2:7" x14ac:dyDescent="0.25">
      <c r="B45" s="6"/>
      <c r="C45" s="6"/>
      <c r="D45" s="6"/>
      <c r="E45" s="6"/>
      <c r="F45" s="6"/>
      <c r="G45" s="6"/>
    </row>
    <row r="46" spans="2:7" x14ac:dyDescent="0.25">
      <c r="B46" s="6"/>
      <c r="C46" s="6"/>
      <c r="D46" s="6"/>
      <c r="E46" s="6"/>
      <c r="F46" s="6"/>
      <c r="G46" s="6"/>
    </row>
    <row r="47" spans="2:7" x14ac:dyDescent="0.25">
      <c r="B47" s="6"/>
      <c r="C47" s="6"/>
      <c r="D47" s="6"/>
      <c r="E47" s="6"/>
      <c r="F47" s="6"/>
      <c r="G47" s="6"/>
    </row>
    <row r="48" spans="2:7" x14ac:dyDescent="0.25">
      <c r="B48" s="6"/>
      <c r="C48" s="6"/>
      <c r="D48" s="6"/>
      <c r="E48" s="6"/>
      <c r="F48" s="6"/>
      <c r="G48" s="6"/>
    </row>
    <row r="49" spans="2:7" x14ac:dyDescent="0.25">
      <c r="B49" s="6"/>
      <c r="C49" s="6"/>
      <c r="D49" s="6"/>
      <c r="E49" s="6"/>
      <c r="F49" s="6"/>
      <c r="G49" s="6"/>
    </row>
    <row r="50" spans="2:7" x14ac:dyDescent="0.25">
      <c r="B50" s="6"/>
      <c r="C50" s="6"/>
      <c r="D50" s="6"/>
      <c r="E50" s="6"/>
      <c r="F50" s="6"/>
      <c r="G50" s="6"/>
    </row>
    <row r="51" spans="2:7" x14ac:dyDescent="0.25">
      <c r="B51" s="6"/>
      <c r="C51" s="6"/>
      <c r="D51" s="6"/>
      <c r="E51" s="6"/>
      <c r="F51" s="6"/>
      <c r="G51" s="6"/>
    </row>
    <row r="52" spans="2:7" x14ac:dyDescent="0.25">
      <c r="B52" s="6"/>
      <c r="C52" s="6"/>
      <c r="D52" s="6"/>
      <c r="E52" s="6"/>
      <c r="F52" s="6"/>
      <c r="G52" s="6"/>
    </row>
    <row r="53" spans="2:7" x14ac:dyDescent="0.25">
      <c r="B53" s="6"/>
      <c r="C53" s="6"/>
      <c r="D53" s="6"/>
      <c r="E53" s="6"/>
      <c r="F53" s="6"/>
      <c r="G53" s="6"/>
    </row>
    <row r="54" spans="2:7" x14ac:dyDescent="0.25">
      <c r="B54" s="6"/>
      <c r="C54" s="6"/>
      <c r="D54" s="6"/>
      <c r="E54" s="6"/>
      <c r="F54" s="6"/>
      <c r="G54" s="6"/>
    </row>
    <row r="55" spans="2:7" x14ac:dyDescent="0.25">
      <c r="B55" s="6"/>
      <c r="C55" s="6"/>
      <c r="D55" s="6"/>
      <c r="E55" s="6"/>
      <c r="F55" s="6"/>
      <c r="G55" s="6"/>
    </row>
    <row r="56" spans="2:7" x14ac:dyDescent="0.25">
      <c r="B56" s="6"/>
      <c r="C56" s="6"/>
      <c r="D56" s="6"/>
      <c r="E56" s="6"/>
      <c r="F56" s="6"/>
      <c r="G56" s="6"/>
    </row>
    <row r="57" spans="2:7" x14ac:dyDescent="0.25">
      <c r="B57" s="6"/>
      <c r="C57" s="6"/>
      <c r="D57" s="6"/>
      <c r="E57" s="6"/>
      <c r="F57" s="6"/>
      <c r="G57" s="6"/>
    </row>
    <row r="58" spans="2:7" x14ac:dyDescent="0.25">
      <c r="B58" s="6"/>
      <c r="C58" s="6"/>
      <c r="D58" s="6"/>
      <c r="E58" s="6"/>
      <c r="F58" s="6"/>
      <c r="G58" s="6"/>
    </row>
    <row r="59" spans="2:7" x14ac:dyDescent="0.25">
      <c r="B59" s="6"/>
      <c r="C59" s="6"/>
      <c r="D59" s="6"/>
      <c r="E59" s="6"/>
      <c r="F59" s="6"/>
      <c r="G59" s="6"/>
    </row>
    <row r="60" spans="2:7" x14ac:dyDescent="0.25">
      <c r="B60" s="6"/>
      <c r="C60" s="6"/>
      <c r="D60" s="6"/>
      <c r="E60" s="6"/>
      <c r="F60" s="6"/>
      <c r="G60" s="6"/>
    </row>
    <row r="61" spans="2:7" x14ac:dyDescent="0.25">
      <c r="B61" s="6"/>
      <c r="C61" s="6"/>
      <c r="D61" s="6"/>
      <c r="E61" s="6"/>
      <c r="F61" s="6"/>
      <c r="G61" s="6"/>
    </row>
    <row r="62" spans="2:7" x14ac:dyDescent="0.25">
      <c r="B62" s="6"/>
      <c r="C62" s="6"/>
      <c r="D62" s="6"/>
      <c r="E62" s="6"/>
      <c r="F62" s="6"/>
      <c r="G62" s="6"/>
    </row>
    <row r="63" spans="2:7" x14ac:dyDescent="0.25">
      <c r="B63" s="6"/>
      <c r="C63" s="6"/>
      <c r="D63" s="6"/>
      <c r="E63" s="6"/>
      <c r="F63" s="6"/>
      <c r="G63" s="6"/>
    </row>
    <row r="64" spans="2:7" x14ac:dyDescent="0.25">
      <c r="B64" s="6"/>
      <c r="C64" s="6"/>
      <c r="D64" s="6"/>
      <c r="E64" s="6"/>
      <c r="F64" s="6"/>
      <c r="G64" s="6"/>
    </row>
    <row r="65" spans="2:7" x14ac:dyDescent="0.25">
      <c r="B65" s="6"/>
      <c r="C65" s="6"/>
      <c r="D65" s="6"/>
      <c r="E65" s="6"/>
      <c r="F65" s="6"/>
      <c r="G65" s="6"/>
    </row>
    <row r="66" spans="2:7" x14ac:dyDescent="0.25">
      <c r="B66" s="6"/>
      <c r="C66" s="6"/>
      <c r="D66" s="6"/>
      <c r="E66" s="6"/>
      <c r="F66" s="6"/>
      <c r="G66" s="6"/>
    </row>
    <row r="67" spans="2:7" x14ac:dyDescent="0.25">
      <c r="B67" s="6"/>
      <c r="C67" s="6"/>
      <c r="D67" s="6"/>
      <c r="E67" s="6"/>
      <c r="F67" s="6"/>
      <c r="G67" s="6"/>
    </row>
    <row r="68" spans="2:7" x14ac:dyDescent="0.25">
      <c r="B68" s="6"/>
      <c r="C68" s="6"/>
      <c r="D68" s="6"/>
      <c r="E68" s="6"/>
      <c r="F68" s="6"/>
      <c r="G68" s="6"/>
    </row>
    <row r="69" spans="2:7" x14ac:dyDescent="0.25">
      <c r="B69" s="6"/>
      <c r="C69" s="6"/>
      <c r="D69" s="6"/>
      <c r="E69" s="6"/>
      <c r="F69" s="6"/>
      <c r="G69" s="6"/>
    </row>
    <row r="70" spans="2:7" x14ac:dyDescent="0.25">
      <c r="B70" s="6"/>
      <c r="C70" s="6"/>
      <c r="D70" s="6"/>
      <c r="E70" s="6"/>
      <c r="F70" s="6"/>
      <c r="G70" s="6"/>
    </row>
    <row r="71" spans="2:7" x14ac:dyDescent="0.25">
      <c r="B71" s="6"/>
      <c r="C71" s="6"/>
      <c r="D71" s="6"/>
      <c r="E71" s="6"/>
      <c r="F71" s="6"/>
      <c r="G71" s="6"/>
    </row>
    <row r="72" spans="2:7" x14ac:dyDescent="0.25">
      <c r="B72" s="6"/>
      <c r="C72" s="6"/>
      <c r="D72" s="6"/>
      <c r="E72" s="6"/>
      <c r="F72" s="6"/>
      <c r="G72" s="6"/>
    </row>
    <row r="73" spans="2:7" x14ac:dyDescent="0.25">
      <c r="B73" s="6"/>
      <c r="C73" s="6"/>
      <c r="D73" s="6"/>
      <c r="E73" s="6"/>
      <c r="F73" s="6"/>
      <c r="G73" s="6"/>
    </row>
    <row r="74" spans="2:7" x14ac:dyDescent="0.25">
      <c r="B74" s="6"/>
      <c r="C74" s="6"/>
      <c r="D74" s="6"/>
      <c r="E74" s="6"/>
      <c r="F74" s="6"/>
      <c r="G74" s="6"/>
    </row>
    <row r="75" spans="2:7" x14ac:dyDescent="0.25">
      <c r="B75" s="6"/>
      <c r="C75" s="6"/>
      <c r="D75" s="6"/>
      <c r="E75" s="6"/>
      <c r="F75" s="6"/>
      <c r="G75" s="6"/>
    </row>
    <row r="76" spans="2:7" x14ac:dyDescent="0.25">
      <c r="B76" s="6"/>
      <c r="C76" s="6"/>
      <c r="D76" s="6"/>
      <c r="E76" s="6"/>
      <c r="F76" s="6"/>
      <c r="G76" s="6"/>
    </row>
    <row r="77" spans="2:7" x14ac:dyDescent="0.25">
      <c r="B77" s="6"/>
      <c r="C77" s="6"/>
      <c r="D77" s="6"/>
      <c r="E77" s="6"/>
      <c r="F77" s="6"/>
      <c r="G77" s="6"/>
    </row>
    <row r="78" spans="2:7" x14ac:dyDescent="0.25">
      <c r="B78" s="6"/>
      <c r="C78" s="6"/>
      <c r="D78" s="6"/>
      <c r="E78" s="6"/>
      <c r="F78" s="6"/>
      <c r="G78" s="6"/>
    </row>
    <row r="79" spans="2:7" x14ac:dyDescent="0.25">
      <c r="B79" s="6"/>
      <c r="C79" s="6"/>
      <c r="D79" s="6"/>
      <c r="E79" s="6"/>
      <c r="F79" s="6"/>
      <c r="G79" s="6"/>
    </row>
    <row r="80" spans="2:7" x14ac:dyDescent="0.25">
      <c r="B80" s="6"/>
      <c r="C80" s="6"/>
      <c r="D80" s="6"/>
      <c r="E80" s="6"/>
      <c r="F80" s="6"/>
      <c r="G80" s="6"/>
    </row>
    <row r="81" spans="2:7" x14ac:dyDescent="0.25">
      <c r="B81" s="6"/>
      <c r="C81" s="6"/>
      <c r="D81" s="6"/>
      <c r="E81" s="6"/>
      <c r="F81" s="6"/>
      <c r="G81" s="6"/>
    </row>
    <row r="82" spans="2:7" x14ac:dyDescent="0.25">
      <c r="B82" s="6"/>
      <c r="C82" s="6"/>
      <c r="D82" s="6"/>
      <c r="E82" s="6"/>
      <c r="F82" s="6"/>
      <c r="G82" s="6"/>
    </row>
    <row r="83" spans="2:7" x14ac:dyDescent="0.25">
      <c r="B83" s="6"/>
      <c r="C83" s="6"/>
      <c r="D83" s="6"/>
      <c r="E83" s="6"/>
      <c r="F83" s="6"/>
      <c r="G83" s="6"/>
    </row>
    <row r="84" spans="2:7" x14ac:dyDescent="0.25">
      <c r="B84" s="6"/>
      <c r="C84" s="6"/>
      <c r="D84" s="6"/>
      <c r="E84" s="6"/>
      <c r="F84" s="6"/>
      <c r="G84" s="6"/>
    </row>
    <row r="85" spans="2:7" x14ac:dyDescent="0.25">
      <c r="B85" s="6"/>
      <c r="C85" s="6"/>
      <c r="D85" s="6"/>
      <c r="E85" s="6"/>
      <c r="F85" s="6"/>
      <c r="G85" s="6"/>
    </row>
    <row r="86" spans="2:7" x14ac:dyDescent="0.25">
      <c r="B86" s="6"/>
      <c r="C86" s="6"/>
      <c r="D86" s="6"/>
      <c r="E86" s="6"/>
      <c r="F86" s="6"/>
      <c r="G86" s="6"/>
    </row>
    <row r="87" spans="2:7" x14ac:dyDescent="0.25">
      <c r="B87" s="6"/>
      <c r="C87" s="6"/>
      <c r="D87" s="6"/>
      <c r="E87" s="6"/>
      <c r="F87" s="6"/>
      <c r="G87" s="6"/>
    </row>
    <row r="88" spans="2:7" x14ac:dyDescent="0.25">
      <c r="B88" s="6"/>
      <c r="C88" s="6"/>
      <c r="D88" s="6"/>
      <c r="E88" s="6"/>
      <c r="F88" s="6"/>
      <c r="G88" s="6"/>
    </row>
    <row r="89" spans="2:7" x14ac:dyDescent="0.25">
      <c r="B89" s="6"/>
      <c r="C89" s="6"/>
      <c r="D89" s="6"/>
      <c r="E89" s="6"/>
      <c r="F89" s="6"/>
      <c r="G89" s="6"/>
    </row>
    <row r="90" spans="2:7" x14ac:dyDescent="0.25">
      <c r="B90" s="6"/>
      <c r="C90" s="6"/>
      <c r="D90" s="6"/>
      <c r="E90" s="6"/>
      <c r="F90" s="6"/>
      <c r="G90" s="6"/>
    </row>
    <row r="91" spans="2:7" x14ac:dyDescent="0.25">
      <c r="B91" s="6"/>
      <c r="C91" s="6"/>
      <c r="D91" s="6"/>
      <c r="E91" s="6"/>
      <c r="F91" s="6"/>
      <c r="G91" s="6"/>
    </row>
    <row r="92" spans="2:7" x14ac:dyDescent="0.25">
      <c r="B92" s="6"/>
      <c r="C92" s="6"/>
      <c r="D92" s="6"/>
      <c r="E92" s="6"/>
      <c r="F92" s="6"/>
      <c r="G92" s="6"/>
    </row>
    <row r="93" spans="2:7" x14ac:dyDescent="0.25">
      <c r="B93" s="6"/>
      <c r="C93" s="6"/>
      <c r="D93" s="6"/>
      <c r="E93" s="6"/>
      <c r="F93" s="6"/>
      <c r="G93" s="6"/>
    </row>
    <row r="94" spans="2:7" x14ac:dyDescent="0.25">
      <c r="B94" s="6"/>
      <c r="C94" s="6"/>
      <c r="D94" s="6"/>
      <c r="E94" s="6"/>
      <c r="F94" s="6"/>
      <c r="G94" s="6"/>
    </row>
    <row r="95" spans="2:7" x14ac:dyDescent="0.25">
      <c r="B95" s="6"/>
      <c r="C95" s="6"/>
      <c r="D95" s="6"/>
      <c r="E95" s="6"/>
      <c r="F95" s="6"/>
      <c r="G95" s="6"/>
    </row>
    <row r="96" spans="2:7" x14ac:dyDescent="0.25">
      <c r="B96" s="6"/>
      <c r="C96" s="6"/>
      <c r="D96" s="6"/>
      <c r="E96" s="6"/>
      <c r="F96" s="6"/>
      <c r="G96" s="6"/>
    </row>
    <row r="97" spans="2:7" x14ac:dyDescent="0.25">
      <c r="B97" s="6"/>
      <c r="C97" s="6"/>
      <c r="D97" s="6"/>
      <c r="E97" s="6"/>
      <c r="F97" s="6"/>
      <c r="G97" s="6"/>
    </row>
    <row r="98" spans="2:7" x14ac:dyDescent="0.25">
      <c r="B98" s="6"/>
      <c r="C98" s="6"/>
      <c r="D98" s="6"/>
      <c r="E98" s="6"/>
      <c r="F98" s="6"/>
      <c r="G98" s="6"/>
    </row>
    <row r="99" spans="2:7" x14ac:dyDescent="0.25">
      <c r="B99" s="6"/>
      <c r="C99" s="6"/>
      <c r="D99" s="6"/>
      <c r="E99" s="6"/>
      <c r="F99" s="6"/>
      <c r="G99" s="6"/>
    </row>
    <row r="100" spans="2:7" x14ac:dyDescent="0.25">
      <c r="B100" s="6"/>
      <c r="C100" s="6"/>
      <c r="D100" s="6"/>
      <c r="E100" s="6"/>
      <c r="F100" s="6"/>
      <c r="G100" s="6"/>
    </row>
    <row r="101" spans="2:7" x14ac:dyDescent="0.25">
      <c r="B101" s="6"/>
      <c r="C101" s="6"/>
      <c r="D101" s="6"/>
      <c r="E101" s="6"/>
      <c r="F101" s="6"/>
      <c r="G101" s="6"/>
    </row>
    <row r="102" spans="2:7" x14ac:dyDescent="0.25">
      <c r="B102" s="6"/>
      <c r="C102" s="6"/>
      <c r="D102" s="6"/>
      <c r="E102" s="6"/>
      <c r="F102" s="6"/>
      <c r="G102" s="6"/>
    </row>
    <row r="103" spans="2:7" x14ac:dyDescent="0.25">
      <c r="B103" s="6"/>
      <c r="C103" s="6"/>
      <c r="D103" s="6"/>
      <c r="E103" s="6"/>
      <c r="F103" s="6"/>
      <c r="G103" s="6"/>
    </row>
    <row r="104" spans="2:7" x14ac:dyDescent="0.25">
      <c r="B104" s="6"/>
      <c r="C104" s="6"/>
      <c r="D104" s="6"/>
      <c r="E104" s="6"/>
      <c r="F104" s="6"/>
      <c r="G104" s="6"/>
    </row>
    <row r="105" spans="2:7" x14ac:dyDescent="0.25">
      <c r="B105" s="6"/>
      <c r="C105" s="6"/>
      <c r="D105" s="6"/>
      <c r="E105" s="6"/>
      <c r="F105" s="6"/>
      <c r="G105" s="6"/>
    </row>
    <row r="106" spans="2:7" x14ac:dyDescent="0.25">
      <c r="B106" s="6"/>
      <c r="C106" s="6"/>
      <c r="D106" s="6"/>
      <c r="E106" s="6"/>
      <c r="F106" s="6"/>
      <c r="G106" s="6"/>
    </row>
    <row r="107" spans="2:7" x14ac:dyDescent="0.25">
      <c r="B107" s="6"/>
      <c r="C107" s="6"/>
      <c r="D107" s="6"/>
      <c r="E107" s="6"/>
      <c r="F107" s="6"/>
      <c r="G107" s="6"/>
    </row>
    <row r="108" spans="2:7" x14ac:dyDescent="0.25">
      <c r="B108" s="6"/>
      <c r="C108" s="6"/>
      <c r="D108" s="6"/>
      <c r="E108" s="6"/>
      <c r="F108" s="6"/>
      <c r="G108" s="6"/>
    </row>
    <row r="109" spans="2:7" x14ac:dyDescent="0.25">
      <c r="B109" s="6"/>
      <c r="C109" s="6"/>
      <c r="D109" s="6"/>
      <c r="E109" s="6"/>
      <c r="F109" s="6"/>
      <c r="G109" s="6"/>
    </row>
    <row r="110" spans="2:7" x14ac:dyDescent="0.25">
      <c r="B110" s="6"/>
      <c r="C110" s="6"/>
      <c r="D110" s="6"/>
      <c r="E110" s="6"/>
      <c r="F110" s="6"/>
      <c r="G110" s="6"/>
    </row>
    <row r="111" spans="2:7" x14ac:dyDescent="0.25">
      <c r="B111" s="6"/>
      <c r="C111" s="6"/>
      <c r="D111" s="6"/>
      <c r="E111" s="6"/>
      <c r="F111" s="6"/>
      <c r="G111" s="6"/>
    </row>
    <row r="112" spans="2:7" x14ac:dyDescent="0.25">
      <c r="B112" s="6"/>
      <c r="C112" s="6"/>
      <c r="D112" s="6"/>
      <c r="E112" s="6"/>
      <c r="F112" s="6"/>
      <c r="G112" s="6"/>
    </row>
    <row r="113" spans="2:7" x14ac:dyDescent="0.25">
      <c r="B113" s="6"/>
      <c r="C113" s="6"/>
      <c r="D113" s="6"/>
      <c r="E113" s="6"/>
      <c r="F113" s="6"/>
      <c r="G113" s="6"/>
    </row>
    <row r="114" spans="2:7" x14ac:dyDescent="0.25">
      <c r="B114" s="6"/>
      <c r="C114" s="6"/>
      <c r="D114" s="6"/>
      <c r="E114" s="6"/>
      <c r="F114" s="6"/>
      <c r="G114" s="6"/>
    </row>
    <row r="115" spans="2:7" x14ac:dyDescent="0.25">
      <c r="B115" s="6"/>
      <c r="C115" s="6"/>
      <c r="D115" s="6"/>
      <c r="E115" s="6"/>
      <c r="F115" s="6"/>
      <c r="G115" s="6"/>
    </row>
    <row r="116" spans="2:7" x14ac:dyDescent="0.25">
      <c r="B116" s="6"/>
      <c r="C116" s="6"/>
      <c r="D116" s="6"/>
      <c r="E116" s="6"/>
      <c r="F116" s="6"/>
      <c r="G116" s="6"/>
    </row>
    <row r="117" spans="2:7" x14ac:dyDescent="0.25">
      <c r="B117" s="6"/>
      <c r="C117" s="6"/>
      <c r="D117" s="6"/>
      <c r="E117" s="6"/>
      <c r="F117" s="6"/>
      <c r="G117" s="6"/>
    </row>
    <row r="118" spans="2:7" x14ac:dyDescent="0.25">
      <c r="B118" s="6"/>
      <c r="C118" s="6"/>
      <c r="D118" s="6"/>
      <c r="E118" s="6"/>
      <c r="F118" s="6"/>
      <c r="G118" s="6"/>
    </row>
    <row r="119" spans="2:7" x14ac:dyDescent="0.25">
      <c r="B119" s="6"/>
      <c r="C119" s="6"/>
      <c r="D119" s="6"/>
      <c r="E119" s="6"/>
      <c r="F119" s="6"/>
      <c r="G119" s="6"/>
    </row>
    <row r="120" spans="2:7" x14ac:dyDescent="0.25">
      <c r="B120" s="6"/>
      <c r="C120" s="6"/>
      <c r="D120" s="6"/>
      <c r="E120" s="6"/>
      <c r="F120" s="6"/>
      <c r="G120" s="6"/>
    </row>
    <row r="121" spans="2:7" x14ac:dyDescent="0.25">
      <c r="B121" s="6"/>
      <c r="C121" s="6"/>
      <c r="D121" s="6"/>
      <c r="E121" s="6"/>
      <c r="F121" s="6"/>
      <c r="G121" s="6"/>
    </row>
    <row r="122" spans="2:7" x14ac:dyDescent="0.25">
      <c r="B122" s="6"/>
      <c r="C122" s="6"/>
      <c r="D122" s="6"/>
      <c r="E122" s="6"/>
      <c r="F122" s="6"/>
      <c r="G122" s="6"/>
    </row>
    <row r="123" spans="2:7" x14ac:dyDescent="0.25">
      <c r="B123" s="6"/>
      <c r="C123" s="6"/>
      <c r="D123" s="6"/>
      <c r="E123" s="6"/>
      <c r="F123" s="6"/>
      <c r="G123" s="6"/>
    </row>
    <row r="124" spans="2:7" x14ac:dyDescent="0.25">
      <c r="B124" s="6"/>
      <c r="C124" s="6"/>
      <c r="D124" s="6"/>
      <c r="E124" s="6"/>
      <c r="F124" s="6"/>
      <c r="G124" s="6"/>
    </row>
    <row r="125" spans="2:7" x14ac:dyDescent="0.25">
      <c r="B125" s="6"/>
      <c r="C125" s="6"/>
      <c r="D125" s="6"/>
      <c r="E125" s="6"/>
      <c r="F125" s="6"/>
      <c r="G125" s="6"/>
    </row>
    <row r="126" spans="2:7" x14ac:dyDescent="0.25">
      <c r="B126" s="6"/>
      <c r="C126" s="6"/>
      <c r="D126" s="6"/>
      <c r="E126" s="6"/>
      <c r="F126" s="6"/>
      <c r="G126" s="6"/>
    </row>
    <row r="127" spans="2:7" x14ac:dyDescent="0.25">
      <c r="B127" s="6"/>
      <c r="C127" s="6"/>
      <c r="D127" s="6"/>
      <c r="E127" s="6"/>
      <c r="F127" s="6"/>
      <c r="G127" s="6"/>
    </row>
    <row r="128" spans="2:7" x14ac:dyDescent="0.25">
      <c r="B128" s="6"/>
      <c r="C128" s="6"/>
      <c r="D128" s="6"/>
      <c r="E128" s="6"/>
      <c r="F128" s="6"/>
      <c r="G128" s="6"/>
    </row>
    <row r="129" spans="2:7" x14ac:dyDescent="0.25">
      <c r="B129" s="6"/>
      <c r="C129" s="6"/>
      <c r="D129" s="6"/>
      <c r="E129" s="6"/>
      <c r="F129" s="6"/>
      <c r="G129" s="6"/>
    </row>
    <row r="130" spans="2:7" x14ac:dyDescent="0.25">
      <c r="B130" s="6"/>
      <c r="C130" s="6"/>
      <c r="D130" s="6"/>
      <c r="E130" s="6"/>
      <c r="F130" s="6"/>
      <c r="G130" s="6"/>
    </row>
    <row r="131" spans="2:7" x14ac:dyDescent="0.25">
      <c r="B131" s="6"/>
      <c r="C131" s="6"/>
      <c r="D131" s="6"/>
      <c r="E131" s="6"/>
      <c r="F131" s="6"/>
      <c r="G131" s="6"/>
    </row>
    <row r="132" spans="2:7" x14ac:dyDescent="0.25">
      <c r="B132" s="6"/>
      <c r="C132" s="6"/>
      <c r="D132" s="6"/>
      <c r="E132" s="6"/>
      <c r="F132" s="6"/>
      <c r="G132" s="6"/>
    </row>
    <row r="133" spans="2:7" x14ac:dyDescent="0.25">
      <c r="B133" s="6"/>
      <c r="C133" s="6"/>
      <c r="D133" s="6"/>
      <c r="E133" s="6"/>
      <c r="F133" s="6"/>
      <c r="G133" s="6"/>
    </row>
    <row r="134" spans="2:7" x14ac:dyDescent="0.25">
      <c r="B134" s="6"/>
      <c r="C134" s="6"/>
      <c r="D134" s="6"/>
      <c r="E134" s="6"/>
      <c r="F134" s="6"/>
      <c r="G134" s="6"/>
    </row>
    <row r="135" spans="2:7" x14ac:dyDescent="0.25">
      <c r="B135" s="6"/>
      <c r="C135" s="6"/>
      <c r="D135" s="6"/>
      <c r="E135" s="6"/>
      <c r="F135" s="6"/>
      <c r="G135" s="6"/>
    </row>
    <row r="136" spans="2:7" x14ac:dyDescent="0.25">
      <c r="B136" s="6"/>
      <c r="C136" s="6"/>
      <c r="D136" s="6"/>
      <c r="E136" s="6"/>
      <c r="F136" s="6"/>
      <c r="G136" s="6"/>
    </row>
    <row r="137" spans="2:7" x14ac:dyDescent="0.25">
      <c r="B137" s="6"/>
      <c r="C137" s="6"/>
      <c r="D137" s="6"/>
      <c r="E137" s="6"/>
      <c r="F137" s="6"/>
      <c r="G137" s="6"/>
    </row>
    <row r="138" spans="2:7" x14ac:dyDescent="0.25">
      <c r="B138" s="6"/>
      <c r="C138" s="6"/>
      <c r="D138" s="6"/>
      <c r="E138" s="6"/>
      <c r="F138" s="6"/>
      <c r="G138" s="6"/>
    </row>
    <row r="139" spans="2:7" x14ac:dyDescent="0.25">
      <c r="B139" s="6"/>
      <c r="C139" s="6"/>
      <c r="D139" s="6"/>
      <c r="E139" s="6"/>
      <c r="F139" s="6"/>
      <c r="G139" s="6"/>
    </row>
    <row r="140" spans="2:7" x14ac:dyDescent="0.25">
      <c r="B140" s="6"/>
      <c r="C140" s="6"/>
      <c r="D140" s="6"/>
      <c r="E140" s="6"/>
      <c r="F140" s="6"/>
      <c r="G140" s="6"/>
    </row>
    <row r="141" spans="2:7" x14ac:dyDescent="0.25">
      <c r="B141" s="6"/>
      <c r="C141" s="6"/>
      <c r="D141" s="6"/>
      <c r="E141" s="6"/>
      <c r="F141" s="6"/>
      <c r="G141" s="6"/>
    </row>
    <row r="142" spans="2:7" x14ac:dyDescent="0.25">
      <c r="B142" s="6"/>
      <c r="C142" s="6"/>
      <c r="D142" s="6"/>
      <c r="E142" s="6"/>
      <c r="F142" s="6"/>
      <c r="G142" s="6"/>
    </row>
    <row r="143" spans="2:7" x14ac:dyDescent="0.25">
      <c r="B143" s="6"/>
      <c r="C143" s="6"/>
      <c r="D143" s="6"/>
      <c r="E143" s="6"/>
      <c r="F143" s="6"/>
      <c r="G143" s="6"/>
    </row>
    <row r="144" spans="2:7" x14ac:dyDescent="0.25">
      <c r="B144" s="6"/>
      <c r="C144" s="6"/>
      <c r="D144" s="6"/>
      <c r="E144" s="6"/>
      <c r="F144" s="6"/>
      <c r="G144" s="6"/>
    </row>
    <row r="145" spans="2:7" x14ac:dyDescent="0.25">
      <c r="B145" s="6"/>
      <c r="C145" s="6"/>
      <c r="D145" s="6"/>
      <c r="E145" s="6"/>
      <c r="F145" s="6"/>
      <c r="G145" s="6"/>
    </row>
    <row r="146" spans="2:7" x14ac:dyDescent="0.25">
      <c r="B146" s="6"/>
      <c r="C146" s="6"/>
      <c r="D146" s="6"/>
      <c r="E146" s="6"/>
      <c r="F146" s="6"/>
      <c r="G146" s="6"/>
    </row>
    <row r="147" spans="2:7" x14ac:dyDescent="0.25">
      <c r="B147" s="6"/>
      <c r="C147" s="6"/>
      <c r="D147" s="6"/>
      <c r="E147" s="6"/>
      <c r="F147" s="6"/>
      <c r="G147" s="6"/>
    </row>
    <row r="148" spans="2:7" x14ac:dyDescent="0.25">
      <c r="B148" s="6"/>
      <c r="C148" s="6"/>
      <c r="D148" s="6"/>
      <c r="E148" s="6"/>
      <c r="F148" s="6"/>
      <c r="G148" s="6"/>
    </row>
    <row r="149" spans="2:7" x14ac:dyDescent="0.25">
      <c r="B149" s="6"/>
      <c r="C149" s="6"/>
      <c r="D149" s="6"/>
      <c r="E149" s="6"/>
      <c r="F149" s="6"/>
      <c r="G149" s="6"/>
    </row>
    <row r="150" spans="2:7" x14ac:dyDescent="0.25">
      <c r="B150" s="6"/>
      <c r="C150" s="6"/>
      <c r="D150" s="6"/>
      <c r="E150" s="6"/>
      <c r="F150" s="6"/>
      <c r="G150" s="6"/>
    </row>
    <row r="151" spans="2:7" x14ac:dyDescent="0.25">
      <c r="B151" s="6"/>
      <c r="C151" s="6"/>
      <c r="D151" s="6"/>
      <c r="E151" s="6"/>
      <c r="F151" s="6"/>
      <c r="G151" s="6"/>
    </row>
    <row r="152" spans="2:7" x14ac:dyDescent="0.25">
      <c r="B152" s="6"/>
      <c r="C152" s="6"/>
      <c r="D152" s="6"/>
      <c r="E152" s="6"/>
      <c r="F152" s="6"/>
      <c r="G152" s="6"/>
    </row>
    <row r="153" spans="2:7" x14ac:dyDescent="0.25">
      <c r="B153" s="6"/>
      <c r="C153" s="6"/>
      <c r="D153" s="6"/>
      <c r="E153" s="6"/>
      <c r="F153" s="6"/>
      <c r="G153" s="6"/>
    </row>
    <row r="154" spans="2:7" x14ac:dyDescent="0.25">
      <c r="B154" s="6"/>
      <c r="C154" s="6"/>
      <c r="D154" s="6"/>
      <c r="E154" s="6"/>
      <c r="F154" s="6"/>
      <c r="G154" s="6"/>
    </row>
    <row r="155" spans="2:7" x14ac:dyDescent="0.25">
      <c r="B155" s="6"/>
      <c r="C155" s="6"/>
      <c r="D155" s="6"/>
      <c r="E155" s="6"/>
      <c r="F155" s="6"/>
      <c r="G155" s="6"/>
    </row>
    <row r="156" spans="2:7" x14ac:dyDescent="0.25">
      <c r="B156" s="6"/>
      <c r="C156" s="6"/>
      <c r="D156" s="6"/>
      <c r="E156" s="6"/>
      <c r="F156" s="6"/>
      <c r="G156" s="6"/>
    </row>
    <row r="157" spans="2:7" x14ac:dyDescent="0.25">
      <c r="B157" s="6"/>
      <c r="C157" s="6"/>
      <c r="D157" s="6"/>
      <c r="E157" s="6"/>
      <c r="F157" s="6"/>
      <c r="G157" s="6"/>
    </row>
    <row r="158" spans="2:7" x14ac:dyDescent="0.25">
      <c r="B158" s="6"/>
      <c r="C158" s="6"/>
      <c r="D158" s="6"/>
      <c r="E158" s="6"/>
      <c r="F158" s="6"/>
      <c r="G158" s="6"/>
    </row>
    <row r="159" spans="2:7" x14ac:dyDescent="0.25">
      <c r="B159" s="6"/>
      <c r="C159" s="6"/>
      <c r="D159" s="6"/>
      <c r="E159" s="6"/>
      <c r="F159" s="6"/>
      <c r="G159" s="6"/>
    </row>
    <row r="160" spans="2:7" x14ac:dyDescent="0.25">
      <c r="B160" s="6"/>
      <c r="C160" s="6"/>
      <c r="D160" s="6"/>
      <c r="E160" s="6"/>
      <c r="F160" s="6"/>
      <c r="G160" s="6"/>
    </row>
    <row r="161" spans="2:7" x14ac:dyDescent="0.25">
      <c r="B161" s="6"/>
      <c r="C161" s="6"/>
      <c r="D161" s="6"/>
      <c r="E161" s="6"/>
      <c r="F161" s="6"/>
      <c r="G161" s="6"/>
    </row>
    <row r="162" spans="2:7" x14ac:dyDescent="0.25">
      <c r="B162" s="6"/>
      <c r="C162" s="6"/>
      <c r="D162" s="6"/>
      <c r="E162" s="6"/>
      <c r="F162" s="6"/>
      <c r="G162" s="6"/>
    </row>
    <row r="163" spans="2:7" x14ac:dyDescent="0.25">
      <c r="B163" s="6"/>
      <c r="C163" s="6"/>
      <c r="D163" s="6"/>
      <c r="E163" s="6"/>
      <c r="F163" s="6"/>
      <c r="G163" s="6"/>
    </row>
    <row r="164" spans="2:7" x14ac:dyDescent="0.25">
      <c r="B164" s="6"/>
      <c r="C164" s="6"/>
      <c r="D164" s="6"/>
      <c r="E164" s="6"/>
      <c r="F164" s="6"/>
      <c r="G164" s="6"/>
    </row>
    <row r="165" spans="2:7" x14ac:dyDescent="0.25">
      <c r="B165" s="6"/>
      <c r="C165" s="6"/>
      <c r="D165" s="6"/>
      <c r="E165" s="6"/>
      <c r="F165" s="6"/>
      <c r="G165" s="6"/>
    </row>
    <row r="166" spans="2:7" x14ac:dyDescent="0.25">
      <c r="B166" s="6"/>
      <c r="C166" s="6"/>
      <c r="D166" s="6"/>
      <c r="E166" s="6"/>
      <c r="F166" s="6"/>
      <c r="G166" s="6"/>
    </row>
    <row r="167" spans="2:7" x14ac:dyDescent="0.25">
      <c r="B167" s="6"/>
      <c r="C167" s="6"/>
      <c r="D167" s="6"/>
      <c r="E167" s="6"/>
      <c r="F167" s="6"/>
      <c r="G167" s="6"/>
    </row>
    <row r="168" spans="2:7" x14ac:dyDescent="0.25">
      <c r="B168" s="6"/>
      <c r="C168" s="6"/>
      <c r="D168" s="6"/>
      <c r="E168" s="6"/>
      <c r="F168" s="6"/>
      <c r="G168" s="6"/>
    </row>
    <row r="169" spans="2:7" x14ac:dyDescent="0.25">
      <c r="B169" s="6"/>
      <c r="C169" s="6"/>
      <c r="D169" s="6"/>
      <c r="E169" s="6"/>
      <c r="F169" s="6"/>
      <c r="G169" s="6"/>
    </row>
    <row r="170" spans="2:7" x14ac:dyDescent="0.25">
      <c r="B170" s="6"/>
      <c r="C170" s="6"/>
      <c r="D170" s="6"/>
      <c r="E170" s="6"/>
      <c r="F170" s="6"/>
      <c r="G170" s="6"/>
    </row>
    <row r="171" spans="2:7" x14ac:dyDescent="0.25">
      <c r="B171" s="6"/>
      <c r="C171" s="6"/>
      <c r="D171" s="6"/>
      <c r="E171" s="6"/>
      <c r="F171" s="6"/>
      <c r="G171" s="6"/>
    </row>
    <row r="172" spans="2:7" x14ac:dyDescent="0.25">
      <c r="B172" s="6"/>
      <c r="C172" s="6"/>
      <c r="D172" s="6"/>
      <c r="E172" s="6"/>
      <c r="F172" s="6"/>
      <c r="G172" s="6"/>
    </row>
    <row r="173" spans="2:7" x14ac:dyDescent="0.25">
      <c r="B173" s="6"/>
      <c r="C173" s="6"/>
      <c r="D173" s="6"/>
      <c r="E173" s="6"/>
      <c r="F173" s="6"/>
      <c r="G173" s="6"/>
    </row>
    <row r="174" spans="2:7" x14ac:dyDescent="0.25">
      <c r="B174" s="6"/>
      <c r="C174" s="6"/>
      <c r="D174" s="6"/>
      <c r="E174" s="6"/>
      <c r="F174" s="6"/>
      <c r="G174" s="6"/>
    </row>
    <row r="175" spans="2:7" x14ac:dyDescent="0.25">
      <c r="B175" s="6"/>
      <c r="C175" s="6"/>
      <c r="D175" s="6"/>
      <c r="E175" s="6"/>
      <c r="F175" s="6"/>
      <c r="G175" s="6"/>
    </row>
    <row r="176" spans="2:7" x14ac:dyDescent="0.25">
      <c r="B176" s="6"/>
      <c r="C176" s="6"/>
      <c r="D176" s="6"/>
      <c r="E176" s="6"/>
      <c r="F176" s="6"/>
      <c r="G176" s="6"/>
    </row>
    <row r="177" spans="2:7" x14ac:dyDescent="0.25">
      <c r="B177" s="6"/>
      <c r="C177" s="6"/>
      <c r="D177" s="6"/>
      <c r="E177" s="6"/>
      <c r="F177" s="6"/>
      <c r="G177" s="6"/>
    </row>
    <row r="178" spans="2:7" x14ac:dyDescent="0.25">
      <c r="B178" s="6"/>
      <c r="C178" s="6"/>
      <c r="D178" s="6"/>
      <c r="E178" s="6"/>
      <c r="F178" s="6"/>
      <c r="G178" s="6"/>
    </row>
    <row r="179" spans="2:7" x14ac:dyDescent="0.25">
      <c r="B179" s="6"/>
      <c r="C179" s="6"/>
      <c r="D179" s="6"/>
      <c r="E179" s="6"/>
      <c r="F179" s="6"/>
      <c r="G179" s="6"/>
    </row>
    <row r="180" spans="2:7" x14ac:dyDescent="0.25">
      <c r="B180" s="6"/>
      <c r="C180" s="6"/>
      <c r="D180" s="6"/>
      <c r="E180" s="6"/>
      <c r="F180" s="6"/>
      <c r="G180" s="6"/>
    </row>
    <row r="181" spans="2:7" x14ac:dyDescent="0.25">
      <c r="B181" s="6"/>
      <c r="C181" s="6"/>
      <c r="D181" s="6"/>
      <c r="E181" s="6"/>
      <c r="F181" s="6"/>
      <c r="G181" s="6"/>
    </row>
    <row r="182" spans="2:7" x14ac:dyDescent="0.25">
      <c r="B182" s="6"/>
      <c r="C182" s="6"/>
      <c r="D182" s="6"/>
      <c r="E182" s="6"/>
      <c r="F182" s="6"/>
      <c r="G182" s="6"/>
    </row>
    <row r="183" spans="2:7" x14ac:dyDescent="0.25">
      <c r="B183" s="6"/>
      <c r="C183" s="6"/>
      <c r="D183" s="6"/>
      <c r="E183" s="6"/>
      <c r="F183" s="6"/>
      <c r="G183" s="6"/>
    </row>
    <row r="184" spans="2:7" x14ac:dyDescent="0.25">
      <c r="B184" s="6"/>
      <c r="C184" s="6"/>
      <c r="D184" s="6"/>
      <c r="E184" s="6"/>
      <c r="F184" s="6"/>
      <c r="G184" s="6"/>
    </row>
    <row r="185" spans="2:7" x14ac:dyDescent="0.25">
      <c r="B185" s="6"/>
      <c r="C185" s="6"/>
      <c r="D185" s="6"/>
      <c r="E185" s="6"/>
      <c r="F185" s="6"/>
      <c r="G185" s="6"/>
    </row>
    <row r="186" spans="2:7" x14ac:dyDescent="0.25">
      <c r="B186" s="6"/>
      <c r="C186" s="6"/>
      <c r="D186" s="6"/>
      <c r="E186" s="6"/>
      <c r="F186" s="6"/>
      <c r="G186" s="6"/>
    </row>
    <row r="187" spans="2:7" x14ac:dyDescent="0.25">
      <c r="B187" s="6"/>
      <c r="C187" s="6"/>
      <c r="D187" s="6"/>
      <c r="E187" s="6"/>
      <c r="F187" s="6"/>
      <c r="G187" s="6"/>
    </row>
    <row r="188" spans="2:7" x14ac:dyDescent="0.25">
      <c r="B188" s="6"/>
      <c r="C188" s="6"/>
      <c r="D188" s="6"/>
      <c r="E188" s="6"/>
      <c r="F188" s="6"/>
      <c r="G188" s="6"/>
    </row>
    <row r="189" spans="2:7" x14ac:dyDescent="0.25">
      <c r="B189" s="6"/>
      <c r="C189" s="6"/>
      <c r="D189" s="6"/>
      <c r="E189" s="6"/>
      <c r="F189" s="6"/>
      <c r="G189" s="6"/>
    </row>
    <row r="190" spans="2:7" x14ac:dyDescent="0.25">
      <c r="B190" s="6"/>
      <c r="C190" s="6"/>
      <c r="D190" s="6"/>
      <c r="E190" s="6"/>
      <c r="F190" s="6"/>
      <c r="G190" s="6"/>
    </row>
    <row r="191" spans="2:7" x14ac:dyDescent="0.25">
      <c r="B191" s="6"/>
      <c r="C191" s="6"/>
      <c r="D191" s="6"/>
      <c r="E191" s="6"/>
      <c r="F191" s="6"/>
      <c r="G191" s="6"/>
    </row>
    <row r="192" spans="2:7" x14ac:dyDescent="0.25">
      <c r="B192" s="6"/>
      <c r="C192" s="6"/>
      <c r="D192" s="6"/>
      <c r="E192" s="6"/>
      <c r="F192" s="6"/>
      <c r="G192" s="6"/>
    </row>
    <row r="193" spans="2:7" x14ac:dyDescent="0.25">
      <c r="B193" s="6"/>
      <c r="C193" s="6"/>
      <c r="D193" s="6"/>
      <c r="E193" s="6"/>
      <c r="F193" s="6"/>
      <c r="G193" s="6"/>
    </row>
    <row r="194" spans="2:7" x14ac:dyDescent="0.25">
      <c r="B194" s="6"/>
      <c r="C194" s="6"/>
      <c r="D194" s="6"/>
      <c r="E194" s="6"/>
      <c r="F194" s="6"/>
      <c r="G194" s="6"/>
    </row>
    <row r="195" spans="2:7" x14ac:dyDescent="0.25">
      <c r="B195" s="6"/>
      <c r="C195" s="6"/>
      <c r="D195" s="6"/>
      <c r="E195" s="6"/>
      <c r="F195" s="6"/>
      <c r="G195" s="6"/>
    </row>
    <row r="196" spans="2:7" x14ac:dyDescent="0.25">
      <c r="B196" s="6"/>
      <c r="C196" s="6"/>
      <c r="D196" s="6"/>
      <c r="E196" s="6"/>
      <c r="F196" s="6"/>
      <c r="G196" s="6"/>
    </row>
    <row r="197" spans="2:7" x14ac:dyDescent="0.25">
      <c r="B197" s="6"/>
      <c r="C197" s="6"/>
      <c r="D197" s="6"/>
      <c r="E197" s="6"/>
      <c r="F197" s="6"/>
      <c r="G197" s="6"/>
    </row>
    <row r="198" spans="2:7" x14ac:dyDescent="0.25">
      <c r="B198" s="6"/>
      <c r="C198" s="6"/>
      <c r="D198" s="6"/>
      <c r="E198" s="6"/>
      <c r="F198" s="6"/>
      <c r="G198" s="6"/>
    </row>
    <row r="199" spans="2:7" x14ac:dyDescent="0.25">
      <c r="B199" s="6"/>
      <c r="C199" s="6"/>
      <c r="D199" s="6"/>
      <c r="E199" s="6"/>
      <c r="F199" s="6"/>
      <c r="G199" s="6"/>
    </row>
    <row r="200" spans="2:7" x14ac:dyDescent="0.25">
      <c r="B200" s="6"/>
      <c r="C200" s="6"/>
      <c r="D200" s="6"/>
      <c r="E200" s="6"/>
      <c r="F200" s="6"/>
      <c r="G200" s="6"/>
    </row>
    <row r="201" spans="2:7" x14ac:dyDescent="0.25">
      <c r="B201" s="6"/>
      <c r="C201" s="6"/>
      <c r="D201" s="6"/>
      <c r="E201" s="6"/>
      <c r="F201" s="6"/>
      <c r="G201" s="6"/>
    </row>
    <row r="202" spans="2:7" x14ac:dyDescent="0.25">
      <c r="B202" s="6"/>
      <c r="C202" s="6"/>
      <c r="D202" s="6"/>
      <c r="E202" s="6"/>
      <c r="F202" s="6"/>
      <c r="G202" s="6"/>
    </row>
    <row r="203" spans="2:7" x14ac:dyDescent="0.25">
      <c r="B203" s="6"/>
      <c r="C203" s="6"/>
      <c r="D203" s="6"/>
      <c r="E203" s="6"/>
      <c r="F203" s="6"/>
      <c r="G203" s="6"/>
    </row>
    <row r="204" spans="2:7" x14ac:dyDescent="0.25">
      <c r="B204" s="6"/>
      <c r="C204" s="6"/>
      <c r="D204" s="6"/>
      <c r="E204" s="6"/>
      <c r="F204" s="6"/>
      <c r="G204" s="6"/>
    </row>
    <row r="205" spans="2:7" x14ac:dyDescent="0.25">
      <c r="B205" s="6"/>
      <c r="C205" s="6"/>
      <c r="D205" s="6"/>
      <c r="E205" s="6"/>
      <c r="F205" s="6"/>
      <c r="G205" s="6"/>
    </row>
    <row r="206" spans="2:7" x14ac:dyDescent="0.25">
      <c r="B206" s="6"/>
      <c r="C206" s="6"/>
      <c r="D206" s="6"/>
      <c r="E206" s="6"/>
      <c r="F206" s="6"/>
      <c r="G206" s="6"/>
    </row>
    <row r="207" spans="2:7" x14ac:dyDescent="0.25">
      <c r="B207" s="6"/>
      <c r="C207" s="6"/>
      <c r="D207" s="6"/>
      <c r="E207" s="6"/>
      <c r="F207" s="6"/>
      <c r="G207" s="6"/>
    </row>
    <row r="208" spans="2:7" x14ac:dyDescent="0.25">
      <c r="B208" s="6"/>
      <c r="C208" s="6"/>
      <c r="D208" s="6"/>
      <c r="E208" s="6"/>
      <c r="F208" s="6"/>
      <c r="G208" s="6"/>
    </row>
    <row r="209" spans="2:7" x14ac:dyDescent="0.25">
      <c r="B209" s="6"/>
      <c r="C209" s="6"/>
      <c r="D209" s="6"/>
      <c r="E209" s="6"/>
      <c r="F209" s="6"/>
      <c r="G209" s="6"/>
    </row>
    <row r="210" spans="2:7" x14ac:dyDescent="0.25">
      <c r="B210" s="6"/>
      <c r="C210" s="6"/>
      <c r="D210" s="6"/>
      <c r="E210" s="6"/>
      <c r="F210" s="6"/>
      <c r="G210" s="6"/>
    </row>
    <row r="211" spans="2:7" x14ac:dyDescent="0.25">
      <c r="B211" s="6"/>
      <c r="C211" s="6"/>
      <c r="D211" s="6"/>
      <c r="E211" s="6"/>
      <c r="F211" s="6"/>
      <c r="G211" s="6"/>
    </row>
    <row r="212" spans="2:7" x14ac:dyDescent="0.25">
      <c r="B212" s="6"/>
      <c r="C212" s="6"/>
      <c r="D212" s="6"/>
      <c r="E212" s="6"/>
      <c r="F212" s="6"/>
      <c r="G212" s="6"/>
    </row>
    <row r="213" spans="2:7" x14ac:dyDescent="0.25">
      <c r="B213" s="6"/>
      <c r="C213" s="6"/>
      <c r="D213" s="6"/>
      <c r="E213" s="6"/>
      <c r="F213" s="6"/>
      <c r="G213" s="6"/>
    </row>
    <row r="214" spans="2:7" x14ac:dyDescent="0.25">
      <c r="B214" s="6"/>
      <c r="C214" s="6"/>
      <c r="D214" s="6"/>
      <c r="E214" s="6"/>
      <c r="F214" s="6"/>
      <c r="G214" s="6"/>
    </row>
    <row r="215" spans="2:7" x14ac:dyDescent="0.25">
      <c r="B215" s="6"/>
      <c r="C215" s="6"/>
      <c r="D215" s="6"/>
      <c r="E215" s="6"/>
      <c r="F215" s="6"/>
      <c r="G215" s="6"/>
    </row>
    <row r="216" spans="2:7" x14ac:dyDescent="0.25">
      <c r="B216" s="6"/>
      <c r="C216" s="6"/>
      <c r="D216" s="6"/>
      <c r="E216" s="6"/>
      <c r="F216" s="6"/>
      <c r="G216" s="6"/>
    </row>
    <row r="217" spans="2:7" x14ac:dyDescent="0.25">
      <c r="B217" s="6"/>
      <c r="C217" s="6"/>
      <c r="D217" s="6"/>
      <c r="E217" s="6"/>
      <c r="F217" s="6"/>
      <c r="G217" s="6"/>
    </row>
    <row r="218" spans="2:7" x14ac:dyDescent="0.25">
      <c r="B218" s="6"/>
      <c r="C218" s="6"/>
      <c r="D218" s="6"/>
      <c r="E218" s="6"/>
      <c r="F218" s="6"/>
      <c r="G218" s="6"/>
    </row>
    <row r="219" spans="2:7" x14ac:dyDescent="0.25">
      <c r="B219" s="6"/>
      <c r="C219" s="6"/>
      <c r="D219" s="6"/>
      <c r="E219" s="6"/>
      <c r="F219" s="6"/>
      <c r="G219" s="6"/>
    </row>
    <row r="220" spans="2:7" x14ac:dyDescent="0.25">
      <c r="B220" s="6"/>
      <c r="C220" s="6"/>
      <c r="D220" s="6"/>
      <c r="E220" s="6"/>
      <c r="F220" s="6"/>
      <c r="G220" s="6"/>
    </row>
    <row r="221" spans="2:7" x14ac:dyDescent="0.25">
      <c r="B221" s="6"/>
      <c r="C221" s="6"/>
      <c r="D221" s="6"/>
      <c r="E221" s="6"/>
      <c r="F221" s="6"/>
      <c r="G221" s="6"/>
    </row>
    <row r="222" spans="2:7" x14ac:dyDescent="0.25">
      <c r="B222" s="6"/>
      <c r="C222" s="6"/>
      <c r="D222" s="6"/>
      <c r="E222" s="6"/>
      <c r="F222" s="6"/>
      <c r="G222" s="6"/>
    </row>
    <row r="223" spans="2:7" x14ac:dyDescent="0.25">
      <c r="B223" s="6"/>
      <c r="C223" s="6"/>
      <c r="D223" s="6"/>
      <c r="E223" s="6"/>
      <c r="F223" s="6"/>
      <c r="G223" s="6"/>
    </row>
    <row r="224" spans="2:7" x14ac:dyDescent="0.25">
      <c r="B224" s="6"/>
      <c r="C224" s="6"/>
      <c r="D224" s="6"/>
      <c r="E224" s="6"/>
      <c r="F224" s="6"/>
      <c r="G224" s="6"/>
    </row>
    <row r="225" spans="2:7" x14ac:dyDescent="0.25">
      <c r="B225" s="6"/>
      <c r="C225" s="6"/>
      <c r="D225" s="6"/>
      <c r="E225" s="6"/>
      <c r="F225" s="6"/>
      <c r="G225" s="6"/>
    </row>
    <row r="226" spans="2:7" x14ac:dyDescent="0.25">
      <c r="B226" s="6"/>
      <c r="C226" s="6"/>
      <c r="D226" s="6"/>
      <c r="E226" s="6"/>
      <c r="F226" s="6"/>
      <c r="G226" s="6"/>
    </row>
    <row r="227" spans="2:7" x14ac:dyDescent="0.25">
      <c r="B227" s="6"/>
      <c r="C227" s="6"/>
      <c r="D227" s="6"/>
      <c r="E227" s="6"/>
      <c r="F227" s="6"/>
      <c r="G227" s="6"/>
    </row>
    <row r="228" spans="2:7" x14ac:dyDescent="0.25">
      <c r="B228" s="6"/>
      <c r="C228" s="6"/>
      <c r="D228" s="6"/>
      <c r="E228" s="6"/>
      <c r="F228" s="6"/>
      <c r="G228" s="6"/>
    </row>
    <row r="229" spans="2:7" x14ac:dyDescent="0.25">
      <c r="B229" s="6"/>
      <c r="C229" s="6"/>
      <c r="D229" s="6"/>
      <c r="E229" s="6"/>
      <c r="F229" s="6"/>
      <c r="G229" s="6"/>
    </row>
    <row r="230" spans="2:7" x14ac:dyDescent="0.25">
      <c r="B230" s="6"/>
      <c r="C230" s="6"/>
      <c r="D230" s="6"/>
      <c r="E230" s="6"/>
      <c r="F230" s="6"/>
      <c r="G230" s="6"/>
    </row>
    <row r="231" spans="2:7" x14ac:dyDescent="0.25">
      <c r="B231" s="6"/>
      <c r="C231" s="6"/>
      <c r="D231" s="6"/>
      <c r="E231" s="6"/>
      <c r="F231" s="6"/>
      <c r="G231" s="6"/>
    </row>
    <row r="232" spans="2:7" x14ac:dyDescent="0.25">
      <c r="B232" s="6"/>
      <c r="C232" s="6"/>
      <c r="D232" s="6"/>
      <c r="E232" s="6"/>
      <c r="F232" s="6"/>
      <c r="G232" s="6"/>
    </row>
    <row r="233" spans="2:7" x14ac:dyDescent="0.25">
      <c r="B233" s="6"/>
      <c r="C233" s="6"/>
      <c r="D233" s="6"/>
      <c r="E233" s="6"/>
      <c r="F233" s="6"/>
      <c r="G233" s="6"/>
    </row>
    <row r="234" spans="2:7" x14ac:dyDescent="0.25">
      <c r="B234" s="6"/>
      <c r="C234" s="6"/>
      <c r="D234" s="6"/>
      <c r="E234" s="6"/>
      <c r="F234" s="6"/>
      <c r="G234" s="6"/>
    </row>
    <row r="235" spans="2:7" x14ac:dyDescent="0.25">
      <c r="B235" s="6"/>
      <c r="C235" s="6"/>
      <c r="D235" s="6"/>
      <c r="E235" s="6"/>
      <c r="F235" s="6"/>
      <c r="G235" s="6"/>
    </row>
    <row r="236" spans="2:7" x14ac:dyDescent="0.25">
      <c r="B236" s="6"/>
      <c r="C236" s="6"/>
      <c r="D236" s="6"/>
      <c r="E236" s="6"/>
      <c r="F236" s="6"/>
      <c r="G236" s="6"/>
    </row>
    <row r="237" spans="2:7" x14ac:dyDescent="0.25">
      <c r="B237" s="6"/>
      <c r="C237" s="6"/>
      <c r="D237" s="6"/>
      <c r="E237" s="6"/>
      <c r="F237" s="6"/>
      <c r="G237" s="6"/>
    </row>
    <row r="238" spans="2:7" x14ac:dyDescent="0.25">
      <c r="B238" s="6"/>
      <c r="C238" s="6"/>
      <c r="D238" s="6"/>
      <c r="E238" s="6"/>
      <c r="F238" s="6"/>
      <c r="G238" s="6"/>
    </row>
    <row r="239" spans="2:7" x14ac:dyDescent="0.25">
      <c r="B239" s="6"/>
      <c r="C239" s="6"/>
      <c r="D239" s="6"/>
      <c r="E239" s="6"/>
      <c r="F239" s="6"/>
      <c r="G239" s="6"/>
    </row>
    <row r="240" spans="2:7" x14ac:dyDescent="0.25">
      <c r="B240" s="6"/>
      <c r="C240" s="6"/>
      <c r="D240" s="6"/>
      <c r="E240" s="6"/>
      <c r="F240" s="6"/>
      <c r="G240" s="6"/>
    </row>
    <row r="241" spans="2:7" x14ac:dyDescent="0.25">
      <c r="B241" s="6"/>
      <c r="C241" s="6"/>
      <c r="D241" s="6"/>
      <c r="E241" s="6"/>
      <c r="F241" s="6"/>
      <c r="G241" s="6"/>
    </row>
    <row r="242" spans="2:7" x14ac:dyDescent="0.25">
      <c r="B242" s="6"/>
      <c r="C242" s="6"/>
      <c r="D242" s="6"/>
      <c r="E242" s="6"/>
      <c r="F242" s="6"/>
      <c r="G242" s="6"/>
    </row>
    <row r="243" spans="2:7" x14ac:dyDescent="0.25">
      <c r="B243" s="6"/>
      <c r="C243" s="6"/>
      <c r="D243" s="6"/>
      <c r="E243" s="6"/>
      <c r="F243" s="6"/>
      <c r="G243" s="6"/>
    </row>
    <row r="244" spans="2:7" x14ac:dyDescent="0.25">
      <c r="B244" s="6"/>
      <c r="C244" s="6"/>
      <c r="D244" s="6"/>
      <c r="E244" s="6"/>
      <c r="F244" s="6"/>
      <c r="G244" s="6"/>
    </row>
    <row r="245" spans="2:7" x14ac:dyDescent="0.25">
      <c r="B245" s="6"/>
      <c r="C245" s="6"/>
      <c r="D245" s="6"/>
      <c r="E245" s="6"/>
      <c r="F245" s="6"/>
      <c r="G245" s="6"/>
    </row>
    <row r="246" spans="2:7" x14ac:dyDescent="0.25">
      <c r="B246" s="6"/>
      <c r="C246" s="6"/>
      <c r="D246" s="6"/>
      <c r="E246" s="6"/>
      <c r="F246" s="6"/>
      <c r="G246" s="6"/>
    </row>
    <row r="247" spans="2:7" x14ac:dyDescent="0.25">
      <c r="B247" s="6"/>
      <c r="C247" s="6"/>
      <c r="D247" s="6"/>
      <c r="E247" s="6"/>
      <c r="F247" s="6"/>
      <c r="G247" s="6"/>
    </row>
    <row r="248" spans="2:7" x14ac:dyDescent="0.25">
      <c r="B248" s="6"/>
      <c r="C248" s="6"/>
      <c r="D248" s="6"/>
      <c r="E248" s="6"/>
      <c r="F248" s="6"/>
      <c r="G248" s="6"/>
    </row>
    <row r="249" spans="2:7" x14ac:dyDescent="0.25">
      <c r="B249" s="6"/>
      <c r="C249" s="6"/>
      <c r="D249" s="6"/>
      <c r="E249" s="6"/>
      <c r="F249" s="6"/>
      <c r="G249" s="6"/>
    </row>
    <row r="250" spans="2:7" x14ac:dyDescent="0.25">
      <c r="B250" s="6"/>
      <c r="C250" s="6"/>
      <c r="D250" s="6"/>
      <c r="E250" s="6"/>
      <c r="F250" s="6"/>
      <c r="G250" s="6"/>
    </row>
    <row r="251" spans="2:7" x14ac:dyDescent="0.25">
      <c r="B251" s="6"/>
      <c r="C251" s="6"/>
      <c r="D251" s="6"/>
      <c r="E251" s="6"/>
      <c r="F251" s="6"/>
      <c r="G251" s="6"/>
    </row>
    <row r="252" spans="2:7" x14ac:dyDescent="0.25">
      <c r="B252" s="6"/>
      <c r="C252" s="6"/>
      <c r="D252" s="6"/>
      <c r="E252" s="6"/>
      <c r="F252" s="6"/>
    </row>
    <row r="253" spans="2:7" x14ac:dyDescent="0.25">
      <c r="B253" s="6"/>
      <c r="C253" s="6"/>
      <c r="D253" s="6"/>
      <c r="E253" s="6"/>
      <c r="F253" s="6"/>
    </row>
    <row r="254" spans="2:7" x14ac:dyDescent="0.25">
      <c r="B254" s="6"/>
      <c r="C254" s="6"/>
      <c r="D254" s="6"/>
      <c r="E254" s="6"/>
      <c r="F254" s="6"/>
    </row>
    <row r="255" spans="2:7" x14ac:dyDescent="0.25">
      <c r="B255" s="6"/>
      <c r="C255" s="6"/>
      <c r="D255" s="6"/>
      <c r="E255" s="6"/>
      <c r="F255" s="6"/>
    </row>
    <row r="256" spans="2:7" x14ac:dyDescent="0.25">
      <c r="B256" s="6"/>
      <c r="C256" s="6"/>
      <c r="D256" s="6"/>
      <c r="E256" s="6"/>
      <c r="F256" s="6"/>
    </row>
    <row r="257" spans="2:6" x14ac:dyDescent="0.25">
      <c r="B257" s="6"/>
      <c r="C257" s="6"/>
      <c r="D257" s="6"/>
      <c r="E257" s="6"/>
      <c r="F257" s="6"/>
    </row>
    <row r="258" spans="2:6" x14ac:dyDescent="0.25">
      <c r="B258" s="6"/>
      <c r="C258" s="6"/>
      <c r="D258" s="6"/>
      <c r="E258" s="6"/>
      <c r="F258" s="6"/>
    </row>
    <row r="259" spans="2:6" x14ac:dyDescent="0.25">
      <c r="B259" s="6"/>
      <c r="C259" s="6"/>
      <c r="D259" s="6"/>
      <c r="E259" s="6"/>
      <c r="F259" s="6"/>
    </row>
    <row r="260" spans="2:6" x14ac:dyDescent="0.25">
      <c r="B260" s="6"/>
      <c r="C260" s="6"/>
      <c r="D260" s="6"/>
      <c r="E260" s="6"/>
      <c r="F260" s="6"/>
    </row>
    <row r="261" spans="2:6" x14ac:dyDescent="0.25">
      <c r="B261" s="6"/>
      <c r="C261" s="6"/>
      <c r="D261" s="6"/>
      <c r="E261" s="6"/>
      <c r="F261" s="6"/>
    </row>
    <row r="262" spans="2:6" x14ac:dyDescent="0.25">
      <c r="B262" s="6"/>
      <c r="C262" s="6"/>
      <c r="D262" s="6"/>
      <c r="E262" s="6"/>
      <c r="F262" s="6"/>
    </row>
    <row r="263" spans="2:6" x14ac:dyDescent="0.25">
      <c r="B263" s="6"/>
      <c r="C263" s="6"/>
      <c r="D263" s="6"/>
      <c r="E263" s="6"/>
      <c r="F263" s="6"/>
    </row>
    <row r="264" spans="2:6" x14ac:dyDescent="0.25">
      <c r="B264" s="6"/>
      <c r="C264" s="6"/>
      <c r="D264" s="6"/>
      <c r="E264" s="6"/>
      <c r="F264" s="6"/>
    </row>
    <row r="265" spans="2:6" x14ac:dyDescent="0.25">
      <c r="B265" s="6"/>
      <c r="C265" s="6"/>
      <c r="D265" s="6"/>
      <c r="E265" s="6"/>
      <c r="F265" s="6"/>
    </row>
    <row r="266" spans="2:6" x14ac:dyDescent="0.25">
      <c r="B266" s="6"/>
      <c r="C266" s="6"/>
      <c r="D266" s="6"/>
      <c r="E266" s="6"/>
      <c r="F266" s="6"/>
    </row>
    <row r="267" spans="2:6" x14ac:dyDescent="0.25">
      <c r="B267" s="6"/>
      <c r="C267" s="6"/>
      <c r="D267" s="6"/>
      <c r="E267" s="6"/>
      <c r="F267" s="6"/>
    </row>
    <row r="268" spans="2:6" x14ac:dyDescent="0.25">
      <c r="B268" s="6"/>
      <c r="C268" s="6"/>
      <c r="D268" s="6"/>
      <c r="E268" s="6"/>
      <c r="F268" s="6"/>
    </row>
    <row r="269" spans="2:6" x14ac:dyDescent="0.25">
      <c r="B269" s="6"/>
      <c r="C269" s="6"/>
      <c r="D269" s="6"/>
      <c r="E269" s="6"/>
      <c r="F269" s="6"/>
    </row>
    <row r="270" spans="2:6" x14ac:dyDescent="0.25">
      <c r="B270" s="6"/>
      <c r="C270" s="6"/>
      <c r="D270" s="6"/>
      <c r="E270" s="6"/>
      <c r="F270" s="6"/>
    </row>
    <row r="271" spans="2:6" x14ac:dyDescent="0.25">
      <c r="B271" s="6"/>
      <c r="C271" s="6"/>
      <c r="D271" s="6"/>
      <c r="E271" s="6"/>
      <c r="F271" s="6"/>
    </row>
    <row r="272" spans="2:6" x14ac:dyDescent="0.25">
      <c r="B272" s="6"/>
      <c r="C272" s="6"/>
      <c r="D272" s="6"/>
      <c r="E272" s="6"/>
      <c r="F272" s="6"/>
    </row>
    <row r="273" spans="2:6" x14ac:dyDescent="0.25">
      <c r="B273" s="6"/>
      <c r="C273" s="6"/>
      <c r="D273" s="6"/>
      <c r="E273" s="6"/>
      <c r="F273" s="6"/>
    </row>
    <row r="274" spans="2:6" x14ac:dyDescent="0.25">
      <c r="B274" s="6"/>
      <c r="C274" s="6"/>
      <c r="D274" s="6"/>
      <c r="E274" s="6"/>
      <c r="F274" s="6"/>
    </row>
    <row r="275" spans="2:6" x14ac:dyDescent="0.25">
      <c r="B275" s="6"/>
      <c r="C275" s="6"/>
      <c r="D275" s="6"/>
      <c r="E275" s="6"/>
      <c r="F275" s="6"/>
    </row>
    <row r="276" spans="2:6" x14ac:dyDescent="0.25">
      <c r="B276" s="6"/>
      <c r="C276" s="6"/>
      <c r="D276" s="6"/>
      <c r="E276" s="6"/>
      <c r="F276" s="6"/>
    </row>
    <row r="277" spans="2:6" x14ac:dyDescent="0.25">
      <c r="B277" s="6"/>
      <c r="C277" s="6"/>
      <c r="D277" s="6"/>
      <c r="E277" s="6"/>
      <c r="F277" s="6"/>
    </row>
    <row r="278" spans="2:6" x14ac:dyDescent="0.25">
      <c r="B278" s="6"/>
      <c r="C278" s="6"/>
      <c r="D278" s="6"/>
      <c r="E278" s="6"/>
      <c r="F278" s="6"/>
    </row>
    <row r="279" spans="2:6" x14ac:dyDescent="0.25">
      <c r="B279" s="6"/>
      <c r="C279" s="6"/>
      <c r="D279" s="6"/>
      <c r="E279" s="6"/>
      <c r="F279" s="6"/>
    </row>
    <row r="280" spans="2:6" x14ac:dyDescent="0.25">
      <c r="B280" s="6"/>
      <c r="C280" s="6"/>
      <c r="D280" s="6"/>
      <c r="E280" s="6"/>
      <c r="F280" s="6"/>
    </row>
    <row r="281" spans="2:6" x14ac:dyDescent="0.25">
      <c r="B281" s="6"/>
      <c r="C281" s="6"/>
      <c r="D281" s="6"/>
      <c r="E281" s="6"/>
      <c r="F281" s="6"/>
    </row>
    <row r="282" spans="2:6" x14ac:dyDescent="0.25">
      <c r="B282" s="6"/>
      <c r="C282" s="6"/>
      <c r="D282" s="6"/>
      <c r="E282" s="6"/>
      <c r="F282" s="6"/>
    </row>
    <row r="283" spans="2:6" x14ac:dyDescent="0.25">
      <c r="B283" s="6"/>
      <c r="C283" s="6"/>
      <c r="D283" s="6"/>
      <c r="E283" s="6"/>
      <c r="F283" s="6"/>
    </row>
    <row r="284" spans="2:6" x14ac:dyDescent="0.25">
      <c r="B284" s="6"/>
      <c r="C284" s="6"/>
      <c r="D284" s="6"/>
      <c r="E284" s="6"/>
      <c r="F284" s="6"/>
    </row>
    <row r="285" spans="2:6" x14ac:dyDescent="0.25">
      <c r="B285" s="6"/>
      <c r="C285" s="6"/>
      <c r="D285" s="6"/>
      <c r="E285" s="6"/>
      <c r="F285" s="6"/>
    </row>
    <row r="286" spans="2:6" x14ac:dyDescent="0.25">
      <c r="B286" s="6"/>
      <c r="C286" s="6"/>
      <c r="D286" s="6"/>
      <c r="E286" s="6"/>
      <c r="F286" s="6"/>
    </row>
    <row r="287" spans="2:6" x14ac:dyDescent="0.25">
      <c r="B287" s="6"/>
      <c r="C287" s="6"/>
      <c r="D287" s="6"/>
      <c r="E287" s="6"/>
      <c r="F287" s="6"/>
    </row>
    <row r="288" spans="2:6" x14ac:dyDescent="0.25">
      <c r="B288" s="6"/>
      <c r="C288" s="6"/>
      <c r="D288" s="6"/>
      <c r="E288" s="6"/>
      <c r="F288" s="6"/>
    </row>
    <row r="289" spans="2:6" x14ac:dyDescent="0.25">
      <c r="B289" s="6"/>
      <c r="C289" s="6"/>
      <c r="D289" s="6"/>
      <c r="E289" s="6"/>
      <c r="F289" s="6"/>
    </row>
    <row r="290" spans="2:6" x14ac:dyDescent="0.25">
      <c r="B290" s="6"/>
      <c r="C290" s="6"/>
      <c r="D290" s="6"/>
      <c r="E290" s="6"/>
      <c r="F290" s="6"/>
    </row>
    <row r="291" spans="2:6" x14ac:dyDescent="0.25">
      <c r="B291" s="6"/>
      <c r="C291" s="6"/>
      <c r="D291" s="6"/>
      <c r="E291" s="6"/>
      <c r="F291" s="6"/>
    </row>
    <row r="292" spans="2:6" x14ac:dyDescent="0.25">
      <c r="B292" s="6"/>
      <c r="C292" s="6"/>
      <c r="D292" s="6"/>
      <c r="E292" s="6"/>
      <c r="F292" s="6"/>
    </row>
    <row r="293" spans="2:6" x14ac:dyDescent="0.25">
      <c r="B293" s="6"/>
      <c r="C293" s="6"/>
      <c r="D293" s="6"/>
      <c r="E293" s="6"/>
      <c r="F293" s="6"/>
    </row>
    <row r="294" spans="2:6" x14ac:dyDescent="0.25">
      <c r="B294" s="6"/>
      <c r="C294" s="6"/>
      <c r="D294" s="6"/>
      <c r="E294" s="6"/>
      <c r="F294" s="6"/>
    </row>
    <row r="295" spans="2:6" x14ac:dyDescent="0.25">
      <c r="B295" s="6"/>
      <c r="C295" s="6"/>
      <c r="D295" s="6"/>
      <c r="E295" s="6"/>
      <c r="F295" s="6"/>
    </row>
    <row r="296" spans="2:6" x14ac:dyDescent="0.25">
      <c r="B296" s="6"/>
      <c r="C296" s="6"/>
      <c r="D296" s="6"/>
      <c r="E296" s="6"/>
      <c r="F296" s="6"/>
    </row>
    <row r="297" spans="2:6" x14ac:dyDescent="0.25">
      <c r="B297" s="6"/>
      <c r="C297" s="6"/>
      <c r="D297" s="6"/>
      <c r="E297" s="6"/>
      <c r="F297" s="6"/>
    </row>
    <row r="298" spans="2:6" x14ac:dyDescent="0.25">
      <c r="B298" s="6"/>
      <c r="C298" s="6"/>
      <c r="D298" s="6"/>
      <c r="E298" s="6"/>
      <c r="F298" s="6"/>
    </row>
    <row r="299" spans="2:6" x14ac:dyDescent="0.25">
      <c r="B299" s="6"/>
      <c r="C299" s="6"/>
      <c r="D299" s="6"/>
      <c r="E299" s="6"/>
      <c r="F299" s="6"/>
    </row>
    <row r="300" spans="2:6" x14ac:dyDescent="0.25">
      <c r="B300" s="6"/>
      <c r="C300" s="6"/>
      <c r="D300" s="6"/>
      <c r="E300" s="6"/>
      <c r="F300" s="6"/>
    </row>
    <row r="301" spans="2:6" x14ac:dyDescent="0.25">
      <c r="B301" s="6"/>
      <c r="C301" s="6"/>
      <c r="D301" s="6"/>
      <c r="E301" s="6"/>
      <c r="F301" s="6"/>
    </row>
    <row r="302" spans="2:6" x14ac:dyDescent="0.25">
      <c r="B302" s="6"/>
      <c r="C302" s="6"/>
      <c r="D302" s="6"/>
      <c r="E302" s="6"/>
      <c r="F302" s="6"/>
    </row>
    <row r="303" spans="2:6" x14ac:dyDescent="0.25">
      <c r="B303" s="6"/>
      <c r="C303" s="6"/>
      <c r="D303" s="6"/>
      <c r="E303" s="6"/>
      <c r="F303" s="6"/>
    </row>
    <row r="304" spans="2:6" x14ac:dyDescent="0.25">
      <c r="B304" s="6"/>
      <c r="C304" s="6"/>
      <c r="D304" s="6"/>
      <c r="E304" s="6"/>
      <c r="F304" s="6"/>
    </row>
    <row r="305" spans="2:6" x14ac:dyDescent="0.25">
      <c r="B305" s="6"/>
      <c r="C305" s="6"/>
      <c r="D305" s="6"/>
      <c r="E305" s="6"/>
      <c r="F305" s="6"/>
    </row>
    <row r="306" spans="2:6" x14ac:dyDescent="0.25">
      <c r="B306" s="6"/>
      <c r="C306" s="6"/>
      <c r="D306" s="6"/>
      <c r="E306" s="6"/>
      <c r="F306" s="6"/>
    </row>
    <row r="307" spans="2:6" x14ac:dyDescent="0.25">
      <c r="B307" s="6"/>
      <c r="C307" s="6"/>
      <c r="D307" s="6"/>
      <c r="E307" s="6"/>
      <c r="F307" s="6"/>
    </row>
    <row r="308" spans="2:6" x14ac:dyDescent="0.25">
      <c r="B308" s="6"/>
      <c r="C308" s="6"/>
      <c r="D308" s="6"/>
      <c r="E308" s="6"/>
      <c r="F308" s="6"/>
    </row>
    <row r="309" spans="2:6" x14ac:dyDescent="0.25">
      <c r="B309" s="6"/>
      <c r="C309" s="6"/>
      <c r="D309" s="6"/>
      <c r="E309" s="6"/>
      <c r="F309" s="6"/>
    </row>
    <row r="310" spans="2:6" x14ac:dyDescent="0.25">
      <c r="B310" s="6"/>
      <c r="C310" s="6"/>
      <c r="D310" s="6"/>
      <c r="E310" s="6"/>
      <c r="F310" s="6"/>
    </row>
    <row r="311" spans="2:6" x14ac:dyDescent="0.25">
      <c r="B311" s="6"/>
      <c r="C311" s="6"/>
      <c r="D311" s="6"/>
      <c r="E311" s="6"/>
      <c r="F311" s="6"/>
    </row>
    <row r="312" spans="2:6" x14ac:dyDescent="0.25">
      <c r="B312" s="6"/>
      <c r="C312" s="6"/>
      <c r="D312" s="6"/>
      <c r="E312" s="6"/>
      <c r="F312" s="6"/>
    </row>
    <row r="313" spans="2:6" x14ac:dyDescent="0.25">
      <c r="B313" s="6"/>
      <c r="C313" s="6"/>
      <c r="D313" s="6"/>
      <c r="E313" s="6"/>
      <c r="F313" s="6"/>
    </row>
    <row r="314" spans="2:6" x14ac:dyDescent="0.25">
      <c r="B314" s="6"/>
      <c r="C314" s="6"/>
      <c r="D314" s="6"/>
      <c r="E314" s="6"/>
      <c r="F314" s="6"/>
    </row>
    <row r="315" spans="2:6" x14ac:dyDescent="0.25">
      <c r="B315" s="6"/>
      <c r="C315" s="6"/>
      <c r="D315" s="6"/>
      <c r="E315" s="6"/>
      <c r="F315" s="6"/>
    </row>
    <row r="316" spans="2:6" x14ac:dyDescent="0.25">
      <c r="B316" s="6"/>
      <c r="C316" s="6"/>
      <c r="D316" s="6"/>
      <c r="E316" s="6"/>
      <c r="F316" s="6"/>
    </row>
    <row r="317" spans="2:6" x14ac:dyDescent="0.25">
      <c r="B317" s="6"/>
      <c r="C317" s="6"/>
      <c r="D317" s="6"/>
      <c r="E317" s="6"/>
      <c r="F317" s="6"/>
    </row>
    <row r="318" spans="2:6" x14ac:dyDescent="0.25">
      <c r="B318" s="6"/>
      <c r="C318" s="6"/>
      <c r="D318" s="6"/>
      <c r="E318" s="6"/>
      <c r="F318" s="6"/>
    </row>
    <row r="319" spans="2:6" x14ac:dyDescent="0.25">
      <c r="B319" s="6"/>
      <c r="C319" s="6"/>
      <c r="D319" s="6"/>
      <c r="E319" s="6"/>
      <c r="F319" s="6"/>
    </row>
    <row r="320" spans="2:6" x14ac:dyDescent="0.25">
      <c r="B320" s="6"/>
      <c r="C320" s="6"/>
      <c r="D320" s="6"/>
      <c r="E320" s="6"/>
      <c r="F320" s="6"/>
    </row>
    <row r="321" spans="2:6" x14ac:dyDescent="0.25">
      <c r="B321" s="6"/>
      <c r="C321" s="6"/>
      <c r="D321" s="6"/>
      <c r="E321" s="6"/>
      <c r="F321" s="6"/>
    </row>
    <row r="322" spans="2:6" x14ac:dyDescent="0.25">
      <c r="B322" s="6"/>
      <c r="C322" s="6"/>
      <c r="D322" s="6"/>
      <c r="E322" s="6"/>
      <c r="F322" s="6"/>
    </row>
    <row r="323" spans="2:6" x14ac:dyDescent="0.25">
      <c r="B323" s="6"/>
      <c r="C323" s="6"/>
      <c r="D323" s="6"/>
      <c r="E323" s="6"/>
      <c r="F323" s="6"/>
    </row>
    <row r="324" spans="2:6" x14ac:dyDescent="0.25">
      <c r="B324" s="6"/>
      <c r="C324" s="6"/>
      <c r="D324" s="6"/>
      <c r="E324" s="6"/>
      <c r="F324" s="6"/>
    </row>
    <row r="325" spans="2:6" x14ac:dyDescent="0.25">
      <c r="B325" s="6"/>
      <c r="C325" s="6"/>
      <c r="D325" s="6"/>
      <c r="E325" s="6"/>
      <c r="F325" s="6"/>
    </row>
    <row r="326" spans="2:6" x14ac:dyDescent="0.25">
      <c r="B326" s="6"/>
      <c r="C326" s="6"/>
      <c r="D326" s="6"/>
      <c r="E326" s="6"/>
      <c r="F326" s="6"/>
    </row>
    <row r="327" spans="2:6" x14ac:dyDescent="0.25">
      <c r="B327" s="6"/>
      <c r="C327" s="6"/>
      <c r="D327" s="6"/>
      <c r="E327" s="6"/>
      <c r="F327" s="6"/>
    </row>
    <row r="328" spans="2:6" x14ac:dyDescent="0.25">
      <c r="B328" s="6"/>
      <c r="C328" s="6"/>
      <c r="D328" s="6"/>
      <c r="E328" s="6"/>
      <c r="F328" s="6"/>
    </row>
    <row r="329" spans="2:6" x14ac:dyDescent="0.25">
      <c r="B329" s="6"/>
      <c r="C329" s="6"/>
      <c r="D329" s="6"/>
      <c r="E329" s="6"/>
      <c r="F329" s="6"/>
    </row>
    <row r="330" spans="2:6" x14ac:dyDescent="0.25">
      <c r="B330" s="6"/>
      <c r="C330" s="6"/>
      <c r="D330" s="6"/>
      <c r="E330" s="6"/>
      <c r="F330" s="6"/>
    </row>
    <row r="331" spans="2:6" x14ac:dyDescent="0.25">
      <c r="B331" s="6"/>
      <c r="C331" s="6"/>
      <c r="D331" s="6"/>
      <c r="E331" s="6"/>
      <c r="F331" s="6"/>
    </row>
    <row r="332" spans="2:6" x14ac:dyDescent="0.25">
      <c r="B332" s="6"/>
      <c r="C332" s="6"/>
      <c r="D332" s="6"/>
      <c r="E332" s="6"/>
      <c r="F332" s="6"/>
    </row>
    <row r="333" spans="2:6" x14ac:dyDescent="0.25">
      <c r="B333" s="6"/>
      <c r="C333" s="6"/>
      <c r="D333" s="6"/>
      <c r="E333" s="6"/>
      <c r="F333" s="6"/>
    </row>
    <row r="334" spans="2:6" x14ac:dyDescent="0.25">
      <c r="B334" s="6"/>
      <c r="C334" s="6"/>
      <c r="D334" s="6"/>
      <c r="E334" s="6"/>
      <c r="F334" s="6"/>
    </row>
    <row r="335" spans="2:6" x14ac:dyDescent="0.25">
      <c r="B335" s="6"/>
      <c r="C335" s="6"/>
      <c r="D335" s="6"/>
      <c r="E335" s="6"/>
      <c r="F335" s="6"/>
    </row>
    <row r="336" spans="2:6" x14ac:dyDescent="0.25">
      <c r="B336" s="6"/>
      <c r="C336" s="6"/>
      <c r="D336" s="6"/>
      <c r="E336" s="6"/>
      <c r="F336" s="6"/>
    </row>
    <row r="337" spans="2:6" x14ac:dyDescent="0.25">
      <c r="B337" s="6"/>
      <c r="C337" s="6"/>
      <c r="D337" s="6"/>
      <c r="E337" s="6"/>
      <c r="F337" s="6"/>
    </row>
    <row r="338" spans="2:6" x14ac:dyDescent="0.25">
      <c r="B338" s="6"/>
      <c r="C338" s="6"/>
      <c r="D338" s="6"/>
      <c r="E338" s="6"/>
      <c r="F338" s="6"/>
    </row>
    <row r="339" spans="2:6" x14ac:dyDescent="0.25">
      <c r="B339" s="6"/>
      <c r="C339" s="6"/>
      <c r="D339" s="6"/>
      <c r="E339" s="6"/>
      <c r="F339" s="6"/>
    </row>
    <row r="340" spans="2:6" x14ac:dyDescent="0.25">
      <c r="B340" s="6"/>
      <c r="C340" s="6"/>
      <c r="D340" s="6"/>
      <c r="E340" s="6"/>
      <c r="F340" s="6"/>
    </row>
    <row r="341" spans="2:6" x14ac:dyDescent="0.25">
      <c r="B341" s="6"/>
      <c r="C341" s="6"/>
      <c r="D341" s="6"/>
      <c r="E341" s="6"/>
      <c r="F341" s="6"/>
    </row>
    <row r="342" spans="2:6" x14ac:dyDescent="0.25">
      <c r="B342" s="6"/>
      <c r="C342" s="6"/>
      <c r="D342" s="6"/>
      <c r="E342" s="6"/>
      <c r="F342" s="6"/>
    </row>
    <row r="343" spans="2:6" x14ac:dyDescent="0.25">
      <c r="B343" s="6"/>
      <c r="C343" s="6"/>
      <c r="D343" s="6"/>
      <c r="E343" s="6"/>
      <c r="F343" s="6"/>
    </row>
    <row r="344" spans="2:6" x14ac:dyDescent="0.25">
      <c r="B344" s="6"/>
      <c r="C344" s="6"/>
      <c r="D344" s="6"/>
      <c r="E344" s="6"/>
      <c r="F344" s="6"/>
    </row>
    <row r="345" spans="2:6" x14ac:dyDescent="0.25">
      <c r="B345" s="6"/>
      <c r="C345" s="6"/>
      <c r="D345" s="6"/>
      <c r="E345" s="6"/>
      <c r="F345" s="6"/>
    </row>
    <row r="346" spans="2:6" x14ac:dyDescent="0.25">
      <c r="B346" s="6"/>
      <c r="C346" s="6"/>
      <c r="D346" s="6"/>
      <c r="E346" s="6"/>
      <c r="F346" s="6"/>
    </row>
    <row r="347" spans="2:6" x14ac:dyDescent="0.25">
      <c r="B347" s="6"/>
      <c r="C347" s="6"/>
      <c r="D347" s="6"/>
      <c r="E347" s="6"/>
      <c r="F347" s="6"/>
    </row>
    <row r="348" spans="2:6" x14ac:dyDescent="0.25">
      <c r="B348" s="6"/>
      <c r="C348" s="6"/>
      <c r="D348" s="6"/>
      <c r="E348" s="6"/>
      <c r="F348" s="6"/>
    </row>
    <row r="349" spans="2:6" x14ac:dyDescent="0.25">
      <c r="B349" s="6"/>
      <c r="C349" s="6"/>
      <c r="D349" s="6"/>
      <c r="E349" s="6"/>
      <c r="F349" s="6"/>
    </row>
    <row r="350" spans="2:6" x14ac:dyDescent="0.25">
      <c r="B350" s="6"/>
      <c r="C350" s="6"/>
      <c r="D350" s="6"/>
      <c r="E350" s="6"/>
      <c r="F350" s="6"/>
    </row>
    <row r="351" spans="2:6" x14ac:dyDescent="0.25">
      <c r="B351" s="6"/>
      <c r="C351" s="6"/>
      <c r="D351" s="6"/>
      <c r="E351" s="6"/>
      <c r="F351" s="6"/>
    </row>
    <row r="352" spans="2:6" x14ac:dyDescent="0.25">
      <c r="B352" s="6"/>
      <c r="C352" s="6"/>
      <c r="D352" s="6"/>
      <c r="E352" s="6"/>
      <c r="F352" s="6"/>
    </row>
    <row r="353" spans="2:6" x14ac:dyDescent="0.25">
      <c r="B353" s="6"/>
      <c r="C353" s="6"/>
      <c r="D353" s="6"/>
      <c r="E353" s="6"/>
      <c r="F353" s="6"/>
    </row>
    <row r="354" spans="2:6" x14ac:dyDescent="0.25">
      <c r="B354" s="6"/>
      <c r="C354" s="6"/>
      <c r="D354" s="6"/>
      <c r="E354" s="6"/>
      <c r="F354" s="6"/>
    </row>
    <row r="355" spans="2:6" x14ac:dyDescent="0.25">
      <c r="B355" s="6"/>
      <c r="C355" s="6"/>
      <c r="D355" s="6"/>
      <c r="E355" s="6"/>
      <c r="F355" s="6"/>
    </row>
    <row r="356" spans="2:6" x14ac:dyDescent="0.25">
      <c r="B356" s="6"/>
      <c r="C356" s="6"/>
      <c r="D356" s="6"/>
      <c r="E356" s="6"/>
      <c r="F356" s="6"/>
    </row>
    <row r="357" spans="2:6" x14ac:dyDescent="0.25">
      <c r="B357" s="6"/>
      <c r="C357" s="6"/>
      <c r="D357" s="6"/>
      <c r="E357" s="6"/>
      <c r="F357" s="6"/>
    </row>
    <row r="358" spans="2:6" x14ac:dyDescent="0.25">
      <c r="B358" s="6"/>
      <c r="C358" s="6"/>
      <c r="D358" s="6"/>
      <c r="E358" s="6"/>
      <c r="F358" s="6"/>
    </row>
    <row r="359" spans="2:6" x14ac:dyDescent="0.25">
      <c r="B359" s="6"/>
      <c r="C359" s="6"/>
      <c r="D359" s="6"/>
      <c r="E359" s="6"/>
      <c r="F359" s="6"/>
    </row>
    <row r="360" spans="2:6" x14ac:dyDescent="0.25">
      <c r="B360" s="6"/>
      <c r="C360" s="6"/>
      <c r="D360" s="6"/>
      <c r="E360" s="6"/>
      <c r="F360" s="6"/>
    </row>
    <row r="361" spans="2:6" x14ac:dyDescent="0.25">
      <c r="B361" s="6"/>
      <c r="C361" s="6"/>
      <c r="D361" s="6"/>
      <c r="E361" s="6"/>
      <c r="F361" s="6"/>
    </row>
    <row r="362" spans="2:6" x14ac:dyDescent="0.25">
      <c r="B362" s="6"/>
      <c r="C362" s="6"/>
      <c r="D362" s="6"/>
      <c r="E362" s="6"/>
      <c r="F362" s="6"/>
    </row>
    <row r="363" spans="2:6" x14ac:dyDescent="0.25">
      <c r="B363" s="6"/>
      <c r="C363" s="6"/>
      <c r="D363" s="6"/>
      <c r="E363" s="6"/>
      <c r="F363" s="6"/>
    </row>
    <row r="364" spans="2:6" x14ac:dyDescent="0.25">
      <c r="B364" s="6"/>
      <c r="C364" s="6"/>
      <c r="D364" s="6"/>
      <c r="E364" s="6"/>
      <c r="F364" s="6"/>
    </row>
    <row r="365" spans="2:6" x14ac:dyDescent="0.25">
      <c r="B365" s="6"/>
      <c r="C365" s="6"/>
      <c r="D365" s="6"/>
      <c r="E365" s="6"/>
      <c r="F365" s="6"/>
    </row>
    <row r="366" spans="2:6" x14ac:dyDescent="0.25">
      <c r="B366" s="6"/>
      <c r="C366" s="6"/>
      <c r="D366" s="6"/>
      <c r="E366" s="6"/>
      <c r="F366" s="6"/>
    </row>
    <row r="367" spans="2:6" x14ac:dyDescent="0.25">
      <c r="B367" s="6"/>
      <c r="C367" s="6"/>
      <c r="D367" s="6"/>
      <c r="E367" s="6"/>
      <c r="F367" s="6"/>
    </row>
    <row r="368" spans="2:6" x14ac:dyDescent="0.25">
      <c r="B368" s="6"/>
      <c r="C368" s="6"/>
      <c r="D368" s="6"/>
      <c r="E368" s="6"/>
      <c r="F368" s="6"/>
    </row>
    <row r="369" spans="2:6" x14ac:dyDescent="0.25">
      <c r="B369" s="6"/>
      <c r="C369" s="6"/>
      <c r="D369" s="6"/>
      <c r="E369" s="6"/>
      <c r="F369" s="6"/>
    </row>
    <row r="370" spans="2:6" x14ac:dyDescent="0.25">
      <c r="B370" s="6"/>
      <c r="C370" s="6"/>
      <c r="D370" s="6"/>
      <c r="E370" s="6"/>
      <c r="F370" s="6"/>
    </row>
    <row r="371" spans="2:6" x14ac:dyDescent="0.25">
      <c r="B371" s="6"/>
      <c r="C371" s="6"/>
      <c r="D371" s="6"/>
      <c r="E371" s="6"/>
      <c r="F371" s="6"/>
    </row>
    <row r="372" spans="2:6" x14ac:dyDescent="0.25">
      <c r="B372" s="6"/>
      <c r="C372" s="6"/>
      <c r="D372" s="6"/>
      <c r="E372" s="6"/>
      <c r="F372" s="6"/>
    </row>
    <row r="373" spans="2:6" x14ac:dyDescent="0.25">
      <c r="B373" s="6"/>
      <c r="C373" s="6"/>
      <c r="D373" s="6"/>
      <c r="E373" s="6"/>
      <c r="F373" s="6"/>
    </row>
    <row r="374" spans="2:6" x14ac:dyDescent="0.25">
      <c r="B374" s="6"/>
      <c r="C374" s="6"/>
      <c r="D374" s="6"/>
      <c r="E374" s="6"/>
      <c r="F374" s="6"/>
    </row>
    <row r="375" spans="2:6" x14ac:dyDescent="0.25">
      <c r="B375" s="6"/>
      <c r="C375" s="6"/>
      <c r="D375" s="6"/>
      <c r="E375" s="6"/>
      <c r="F375" s="6"/>
    </row>
    <row r="376" spans="2:6" x14ac:dyDescent="0.25">
      <c r="B376" s="6"/>
      <c r="C376" s="6"/>
      <c r="D376" s="6"/>
      <c r="E376" s="6"/>
      <c r="F376" s="6"/>
    </row>
    <row r="377" spans="2:6" x14ac:dyDescent="0.25">
      <c r="B377" s="6"/>
      <c r="C377" s="6"/>
      <c r="D377" s="6"/>
      <c r="E377" s="6"/>
      <c r="F377" s="6"/>
    </row>
    <row r="378" spans="2:6" x14ac:dyDescent="0.25">
      <c r="B378" s="6"/>
      <c r="C378" s="6"/>
      <c r="D378" s="6"/>
      <c r="E378" s="6"/>
      <c r="F378" s="6"/>
    </row>
    <row r="379" spans="2:6" x14ac:dyDescent="0.25">
      <c r="B379" s="6"/>
      <c r="C379" s="6"/>
      <c r="D379" s="6"/>
      <c r="E379" s="6"/>
      <c r="F379" s="6"/>
    </row>
    <row r="380" spans="2:6" x14ac:dyDescent="0.25">
      <c r="B380" s="6"/>
      <c r="C380" s="6"/>
      <c r="D380" s="6"/>
      <c r="E380" s="6"/>
      <c r="F380" s="6"/>
    </row>
    <row r="381" spans="2:6" x14ac:dyDescent="0.25">
      <c r="B381" s="6"/>
      <c r="C381" s="6"/>
      <c r="D381" s="6"/>
      <c r="E381" s="6"/>
      <c r="F381" s="6"/>
    </row>
    <row r="382" spans="2:6" x14ac:dyDescent="0.25">
      <c r="B382" s="6"/>
      <c r="C382" s="6"/>
      <c r="D382" s="6"/>
      <c r="E382" s="6"/>
      <c r="F382" s="6"/>
    </row>
    <row r="383" spans="2:6" x14ac:dyDescent="0.25">
      <c r="B383" s="6"/>
      <c r="C383" s="6"/>
      <c r="D383" s="6"/>
      <c r="E383" s="6"/>
      <c r="F383" s="6"/>
    </row>
    <row r="384" spans="2:6" x14ac:dyDescent="0.25">
      <c r="B384" s="6"/>
      <c r="C384" s="6"/>
      <c r="D384" s="6"/>
      <c r="E384" s="6"/>
      <c r="F384" s="6"/>
    </row>
    <row r="385" spans="2:6" x14ac:dyDescent="0.25">
      <c r="B385" s="6"/>
      <c r="C385" s="6"/>
      <c r="D385" s="6"/>
      <c r="E385" s="6"/>
      <c r="F385" s="6"/>
    </row>
    <row r="386" spans="2:6" x14ac:dyDescent="0.25">
      <c r="B386" s="6"/>
      <c r="C386" s="6"/>
      <c r="D386" s="6"/>
      <c r="E386" s="6"/>
      <c r="F386" s="6"/>
    </row>
    <row r="387" spans="2:6" x14ac:dyDescent="0.25">
      <c r="B387" s="6"/>
      <c r="C387" s="6"/>
      <c r="D387" s="6"/>
      <c r="E387" s="6"/>
      <c r="F387" s="6"/>
    </row>
    <row r="388" spans="2:6" x14ac:dyDescent="0.25">
      <c r="B388" s="6"/>
      <c r="C388" s="6"/>
      <c r="D388" s="6"/>
      <c r="E388" s="6"/>
      <c r="F388" s="6"/>
    </row>
    <row r="389" spans="2:6" x14ac:dyDescent="0.25">
      <c r="B389" s="6"/>
      <c r="C389" s="6"/>
      <c r="D389" s="6"/>
      <c r="E389" s="6"/>
      <c r="F389" s="6"/>
    </row>
    <row r="390" spans="2:6" x14ac:dyDescent="0.25">
      <c r="B390" s="6"/>
      <c r="C390" s="6"/>
      <c r="D390" s="6"/>
      <c r="E390" s="6"/>
      <c r="F390" s="6"/>
    </row>
    <row r="391" spans="2:6" x14ac:dyDescent="0.25">
      <c r="B391" s="6"/>
      <c r="C391" s="6"/>
      <c r="D391" s="6"/>
      <c r="E391" s="6"/>
      <c r="F391" s="6"/>
    </row>
    <row r="392" spans="2:6" x14ac:dyDescent="0.25">
      <c r="B392" s="6"/>
      <c r="C392" s="6"/>
      <c r="D392" s="6"/>
      <c r="E392" s="6"/>
      <c r="F392" s="6"/>
    </row>
    <row r="393" spans="2:6" x14ac:dyDescent="0.25">
      <c r="B393" s="6"/>
      <c r="C393" s="6"/>
      <c r="D393" s="6"/>
      <c r="E393" s="6"/>
      <c r="F393" s="6"/>
    </row>
    <row r="394" spans="2:6" x14ac:dyDescent="0.25">
      <c r="B394" s="6"/>
      <c r="C394" s="6"/>
      <c r="D394" s="6"/>
      <c r="E394" s="6"/>
      <c r="F394" s="6"/>
    </row>
    <row r="395" spans="2:6" x14ac:dyDescent="0.25">
      <c r="B395" s="6"/>
      <c r="C395" s="6"/>
      <c r="D395" s="6"/>
      <c r="E395" s="6"/>
      <c r="F395" s="6"/>
    </row>
    <row r="396" spans="2:6" x14ac:dyDescent="0.25">
      <c r="B396" s="6"/>
      <c r="C396" s="6"/>
      <c r="D396" s="6"/>
      <c r="E396" s="6"/>
      <c r="F396" s="6"/>
    </row>
    <row r="397" spans="2:6" x14ac:dyDescent="0.25">
      <c r="B397" s="6"/>
      <c r="C397" s="6"/>
      <c r="D397" s="6"/>
      <c r="E397" s="6"/>
      <c r="F397" s="6"/>
    </row>
    <row r="398" spans="2:6" x14ac:dyDescent="0.25">
      <c r="B398" s="6"/>
      <c r="C398" s="6"/>
      <c r="D398" s="6"/>
      <c r="E398" s="6"/>
      <c r="F398" s="6"/>
    </row>
    <row r="399" spans="2:6" x14ac:dyDescent="0.25">
      <c r="B399" s="6"/>
      <c r="C399" s="6"/>
      <c r="D399" s="6"/>
      <c r="E399" s="6"/>
      <c r="F399" s="6"/>
    </row>
    <row r="400" spans="2:6" x14ac:dyDescent="0.25">
      <c r="B400" s="6"/>
      <c r="C400" s="6"/>
      <c r="D400" s="6"/>
      <c r="E400" s="6"/>
      <c r="F400" s="6"/>
    </row>
    <row r="401" spans="2:6" x14ac:dyDescent="0.25">
      <c r="B401" s="6"/>
      <c r="C401" s="6"/>
      <c r="D401" s="6"/>
      <c r="E401" s="6"/>
      <c r="F401" s="6"/>
    </row>
    <row r="402" spans="2:6" x14ac:dyDescent="0.25">
      <c r="B402" s="6"/>
      <c r="C402" s="6"/>
      <c r="D402" s="6"/>
      <c r="E402" s="6"/>
      <c r="F402" s="6"/>
    </row>
    <row r="403" spans="2:6" x14ac:dyDescent="0.25">
      <c r="B403" s="6"/>
      <c r="C403" s="6"/>
      <c r="D403" s="6"/>
      <c r="E403" s="6"/>
      <c r="F403" s="6"/>
    </row>
    <row r="404" spans="2:6" x14ac:dyDescent="0.25">
      <c r="B404" s="6"/>
      <c r="C404" s="6"/>
      <c r="D404" s="6"/>
      <c r="E404" s="6"/>
      <c r="F404" s="6"/>
    </row>
    <row r="405" spans="2:6" x14ac:dyDescent="0.25">
      <c r="B405" s="6"/>
      <c r="C405" s="6"/>
      <c r="D405" s="6"/>
      <c r="E405" s="6"/>
      <c r="F405" s="6"/>
    </row>
    <row r="406" spans="2:6" x14ac:dyDescent="0.25">
      <c r="B406" s="6"/>
      <c r="C406" s="6"/>
      <c r="D406" s="6"/>
      <c r="E406" s="6"/>
      <c r="F406" s="6"/>
    </row>
    <row r="407" spans="2:6" x14ac:dyDescent="0.25">
      <c r="B407" s="6"/>
      <c r="C407" s="6"/>
      <c r="D407" s="6"/>
      <c r="E407" s="6"/>
      <c r="F407" s="6"/>
    </row>
    <row r="408" spans="2:6" x14ac:dyDescent="0.25">
      <c r="B408" s="6"/>
      <c r="C408" s="6"/>
      <c r="D408" s="6"/>
      <c r="E408" s="6"/>
      <c r="F408" s="6"/>
    </row>
    <row r="409" spans="2:6" x14ac:dyDescent="0.25">
      <c r="B409" s="6"/>
      <c r="C409" s="6"/>
      <c r="D409" s="6"/>
      <c r="E409" s="6"/>
      <c r="F409" s="6"/>
    </row>
    <row r="410" spans="2:6" x14ac:dyDescent="0.25">
      <c r="B410" s="6"/>
      <c r="C410" s="6"/>
      <c r="D410" s="6"/>
      <c r="E410" s="6"/>
      <c r="F410" s="6"/>
    </row>
    <row r="411" spans="2:6" x14ac:dyDescent="0.25">
      <c r="B411" s="6"/>
      <c r="C411" s="6"/>
      <c r="D411" s="6"/>
      <c r="E411" s="6"/>
      <c r="F411" s="6"/>
    </row>
    <row r="412" spans="2:6" x14ac:dyDescent="0.25">
      <c r="B412" s="6"/>
      <c r="C412" s="6"/>
      <c r="D412" s="6"/>
      <c r="E412" s="6"/>
      <c r="F412" s="6"/>
    </row>
    <row r="413" spans="2:6" x14ac:dyDescent="0.25">
      <c r="B413" s="6"/>
      <c r="C413" s="6"/>
      <c r="D413" s="6"/>
      <c r="E413" s="6"/>
      <c r="F413" s="6"/>
    </row>
    <row r="414" spans="2:6" x14ac:dyDescent="0.25">
      <c r="B414" s="6"/>
      <c r="C414" s="6"/>
      <c r="D414" s="6"/>
      <c r="E414" s="6"/>
      <c r="F414" s="6"/>
    </row>
    <row r="415" spans="2:6" x14ac:dyDescent="0.25">
      <c r="B415" s="6"/>
      <c r="C415" s="6"/>
      <c r="D415" s="6"/>
      <c r="E415" s="6"/>
      <c r="F415" s="6"/>
    </row>
    <row r="416" spans="2:6" x14ac:dyDescent="0.25">
      <c r="B416" s="6"/>
      <c r="C416" s="6"/>
      <c r="D416" s="6"/>
      <c r="E416" s="6"/>
      <c r="F416" s="6"/>
    </row>
    <row r="417" spans="2:6" x14ac:dyDescent="0.25">
      <c r="B417" s="6"/>
      <c r="C417" s="6"/>
      <c r="D417" s="6"/>
      <c r="E417" s="6"/>
      <c r="F417" s="6"/>
    </row>
    <row r="418" spans="2:6" x14ac:dyDescent="0.25">
      <c r="B418" s="6"/>
      <c r="C418" s="6"/>
      <c r="D418" s="6"/>
      <c r="E418" s="6"/>
      <c r="F418" s="6"/>
    </row>
    <row r="419" spans="2:6" x14ac:dyDescent="0.25">
      <c r="B419" s="6"/>
      <c r="C419" s="6"/>
      <c r="D419" s="6"/>
      <c r="E419" s="6"/>
      <c r="F419" s="6"/>
    </row>
    <row r="420" spans="2:6" x14ac:dyDescent="0.25">
      <c r="B420" s="6"/>
      <c r="C420" s="6"/>
      <c r="D420" s="6"/>
      <c r="E420" s="6"/>
      <c r="F420" s="6"/>
    </row>
    <row r="421" spans="2:6" x14ac:dyDescent="0.25">
      <c r="B421" s="6"/>
      <c r="C421" s="6"/>
      <c r="D421" s="6"/>
      <c r="E421" s="6"/>
      <c r="F421" s="6"/>
    </row>
    <row r="422" spans="2:6" x14ac:dyDescent="0.25">
      <c r="B422" s="6"/>
      <c r="C422" s="6"/>
      <c r="D422" s="6"/>
      <c r="E422" s="6"/>
      <c r="F422" s="6"/>
    </row>
    <row r="423" spans="2:6" x14ac:dyDescent="0.25">
      <c r="B423" s="6"/>
      <c r="C423" s="6"/>
      <c r="D423" s="6"/>
      <c r="E423" s="6"/>
      <c r="F423" s="6"/>
    </row>
    <row r="424" spans="2:6" x14ac:dyDescent="0.25">
      <c r="B424" s="6"/>
      <c r="C424" s="6"/>
      <c r="D424" s="6"/>
      <c r="E424" s="6"/>
      <c r="F424" s="6"/>
    </row>
    <row r="425" spans="2:6" x14ac:dyDescent="0.25">
      <c r="B425" s="6"/>
      <c r="C425" s="6"/>
      <c r="D425" s="6"/>
      <c r="E425" s="6"/>
      <c r="F425" s="6"/>
    </row>
    <row r="426" spans="2:6" x14ac:dyDescent="0.25">
      <c r="B426" s="6"/>
      <c r="C426" s="6"/>
      <c r="D426" s="6"/>
      <c r="E426" s="6"/>
      <c r="F426" s="6"/>
    </row>
    <row r="427" spans="2:6" x14ac:dyDescent="0.25">
      <c r="B427" s="6"/>
      <c r="C427" s="6"/>
      <c r="D427" s="6"/>
      <c r="E427" s="6"/>
      <c r="F427" s="6"/>
    </row>
    <row r="428" spans="2:6" x14ac:dyDescent="0.25">
      <c r="B428" s="6"/>
      <c r="C428" s="6"/>
      <c r="D428" s="6"/>
      <c r="E428" s="6"/>
      <c r="F428" s="6"/>
    </row>
    <row r="429" spans="2:6" x14ac:dyDescent="0.25">
      <c r="B429" s="6"/>
      <c r="C429" s="6"/>
      <c r="D429" s="6"/>
      <c r="E429" s="6"/>
      <c r="F429" s="6"/>
    </row>
    <row r="430" spans="2:6" x14ac:dyDescent="0.25">
      <c r="B430" s="6"/>
      <c r="C430" s="6"/>
      <c r="D430" s="6"/>
      <c r="E430" s="6"/>
      <c r="F430" s="6"/>
    </row>
    <row r="431" spans="2:6" x14ac:dyDescent="0.25">
      <c r="B431" s="6"/>
      <c r="C431" s="6"/>
      <c r="D431" s="6"/>
      <c r="E431" s="6"/>
      <c r="F431" s="6"/>
    </row>
    <row r="432" spans="2:6" x14ac:dyDescent="0.25">
      <c r="B432" s="6"/>
      <c r="C432" s="6"/>
      <c r="D432" s="6"/>
      <c r="E432" s="6"/>
      <c r="F432" s="6"/>
    </row>
    <row r="433" spans="2:6" x14ac:dyDescent="0.25">
      <c r="B433" s="6"/>
      <c r="C433" s="6"/>
      <c r="D433" s="6"/>
      <c r="E433" s="6"/>
      <c r="F433" s="6"/>
    </row>
    <row r="434" spans="2:6" x14ac:dyDescent="0.25">
      <c r="B434" s="6"/>
      <c r="C434" s="6"/>
      <c r="D434" s="6"/>
      <c r="E434" s="6"/>
      <c r="F434" s="6"/>
    </row>
    <row r="435" spans="2:6" x14ac:dyDescent="0.25">
      <c r="B435" s="6"/>
      <c r="C435" s="6"/>
      <c r="D435" s="6"/>
      <c r="E435" s="6"/>
      <c r="F435" s="6"/>
    </row>
    <row r="436" spans="2:6" x14ac:dyDescent="0.25">
      <c r="B436" s="6"/>
      <c r="C436" s="6"/>
      <c r="D436" s="6"/>
      <c r="E436" s="6"/>
      <c r="F436" s="6"/>
    </row>
    <row r="437" spans="2:6" x14ac:dyDescent="0.25">
      <c r="B437" s="6"/>
      <c r="C437" s="6"/>
      <c r="D437" s="6"/>
      <c r="E437" s="6"/>
      <c r="F437" s="6"/>
    </row>
    <row r="438" spans="2:6" x14ac:dyDescent="0.25">
      <c r="B438" s="6"/>
      <c r="C438" s="6"/>
      <c r="D438" s="6"/>
      <c r="E438" s="6"/>
      <c r="F438" s="6"/>
    </row>
    <row r="439" spans="2:6" x14ac:dyDescent="0.25">
      <c r="B439" s="6"/>
      <c r="C439" s="6"/>
      <c r="D439" s="6"/>
      <c r="E439" s="6"/>
      <c r="F439" s="6"/>
    </row>
    <row r="440" spans="2:6" x14ac:dyDescent="0.25">
      <c r="B440" s="6"/>
      <c r="C440" s="6"/>
      <c r="D440" s="6"/>
      <c r="E440" s="6"/>
      <c r="F440" s="6"/>
    </row>
    <row r="441" spans="2:6" x14ac:dyDescent="0.25">
      <c r="B441" s="6"/>
      <c r="C441" s="6"/>
      <c r="D441" s="6"/>
      <c r="E441" s="6"/>
      <c r="F441" s="6"/>
    </row>
    <row r="442" spans="2:6" x14ac:dyDescent="0.25">
      <c r="B442" s="6"/>
      <c r="C442" s="6"/>
      <c r="D442" s="6"/>
      <c r="E442" s="6"/>
      <c r="F442" s="6"/>
    </row>
    <row r="443" spans="2:6" x14ac:dyDescent="0.25">
      <c r="B443" s="6"/>
      <c r="C443" s="6"/>
      <c r="D443" s="6"/>
      <c r="E443" s="6"/>
      <c r="F443" s="6"/>
    </row>
    <row r="444" spans="2:6" x14ac:dyDescent="0.25">
      <c r="B444" s="6"/>
      <c r="C444" s="6"/>
      <c r="D444" s="6"/>
      <c r="E444" s="6"/>
      <c r="F444" s="6"/>
    </row>
    <row r="445" spans="2:6" x14ac:dyDescent="0.25">
      <c r="B445" s="6"/>
      <c r="C445" s="6"/>
      <c r="D445" s="6"/>
      <c r="E445" s="6"/>
      <c r="F445" s="6"/>
    </row>
    <row r="446" spans="2:6" x14ac:dyDescent="0.25">
      <c r="B446" s="6"/>
      <c r="C446" s="6"/>
      <c r="D446" s="6"/>
      <c r="E446" s="6"/>
      <c r="F446" s="6"/>
    </row>
    <row r="447" spans="2:6" x14ac:dyDescent="0.25">
      <c r="B447" s="6"/>
      <c r="C447" s="6"/>
      <c r="D447" s="6"/>
      <c r="E447" s="6"/>
      <c r="F447" s="6"/>
    </row>
    <row r="448" spans="2:6" x14ac:dyDescent="0.25">
      <c r="B448" s="6"/>
      <c r="C448" s="6"/>
      <c r="D448" s="6"/>
      <c r="E448" s="6"/>
      <c r="F448" s="6"/>
    </row>
    <row r="449" spans="2:6" x14ac:dyDescent="0.25">
      <c r="B449" s="6"/>
      <c r="C449" s="6"/>
      <c r="D449" s="6"/>
      <c r="E449" s="6"/>
      <c r="F449" s="6"/>
    </row>
    <row r="450" spans="2:6" x14ac:dyDescent="0.25">
      <c r="B450" s="6"/>
      <c r="C450" s="6"/>
      <c r="D450" s="6"/>
      <c r="E450" s="6"/>
      <c r="F450" s="6"/>
    </row>
    <row r="451" spans="2:6" x14ac:dyDescent="0.25">
      <c r="B451" s="6"/>
      <c r="C451" s="6"/>
      <c r="D451" s="6"/>
      <c r="E451" s="6"/>
      <c r="F451" s="6"/>
    </row>
    <row r="452" spans="2:6" x14ac:dyDescent="0.25">
      <c r="B452" s="6"/>
      <c r="C452" s="6"/>
      <c r="D452" s="6"/>
      <c r="E452" s="6"/>
      <c r="F452" s="6"/>
    </row>
    <row r="453" spans="2:6" x14ac:dyDescent="0.25">
      <c r="B453" s="6"/>
      <c r="C453" s="6"/>
      <c r="D453" s="6"/>
      <c r="E453" s="6"/>
      <c r="F453" s="6"/>
    </row>
    <row r="454" spans="2:6" x14ac:dyDescent="0.25">
      <c r="B454" s="6"/>
      <c r="C454" s="6"/>
      <c r="D454" s="6"/>
      <c r="E454" s="6"/>
      <c r="F454" s="6"/>
    </row>
    <row r="455" spans="2:6" x14ac:dyDescent="0.25">
      <c r="B455" s="6"/>
      <c r="C455" s="6"/>
      <c r="D455" s="6"/>
      <c r="E455" s="6"/>
      <c r="F455" s="6"/>
    </row>
    <row r="456" spans="2:6" x14ac:dyDescent="0.25">
      <c r="B456" s="6"/>
      <c r="C456" s="6"/>
      <c r="D456" s="6"/>
      <c r="E456" s="6"/>
      <c r="F456" s="6"/>
    </row>
    <row r="457" spans="2:6" x14ac:dyDescent="0.25">
      <c r="B457" s="6"/>
      <c r="C457" s="6"/>
      <c r="D457" s="6"/>
      <c r="E457" s="6"/>
      <c r="F457" s="6"/>
    </row>
    <row r="458" spans="2:6" x14ac:dyDescent="0.25">
      <c r="B458" s="6"/>
      <c r="C458" s="6"/>
      <c r="D458" s="6"/>
      <c r="E458" s="6"/>
      <c r="F458" s="6"/>
    </row>
    <row r="459" spans="2:6" x14ac:dyDescent="0.25">
      <c r="B459" s="6"/>
      <c r="C459" s="6"/>
      <c r="D459" s="6"/>
      <c r="E459" s="6"/>
      <c r="F459" s="6"/>
    </row>
    <row r="460" spans="2:6" x14ac:dyDescent="0.25">
      <c r="B460" s="6"/>
      <c r="C460" s="6"/>
      <c r="D460" s="6"/>
      <c r="E460" s="6"/>
      <c r="F460" s="6"/>
    </row>
    <row r="461" spans="2:6" x14ac:dyDescent="0.25">
      <c r="B461" s="6"/>
      <c r="C461" s="6"/>
      <c r="D461" s="6"/>
      <c r="E461" s="6"/>
      <c r="F461" s="6"/>
    </row>
    <row r="462" spans="2:6" x14ac:dyDescent="0.25">
      <c r="B462" s="6"/>
      <c r="C462" s="6"/>
      <c r="D462" s="6"/>
      <c r="E462" s="6"/>
      <c r="F462" s="6"/>
    </row>
    <row r="463" spans="2:6" x14ac:dyDescent="0.25">
      <c r="B463" s="6"/>
      <c r="C463" s="6"/>
      <c r="D463" s="6"/>
      <c r="E463" s="6"/>
      <c r="F463" s="6"/>
    </row>
    <row r="464" spans="2:6" x14ac:dyDescent="0.25">
      <c r="B464" s="6"/>
      <c r="C464" s="6"/>
      <c r="D464" s="6"/>
      <c r="E464" s="6"/>
      <c r="F464" s="6"/>
    </row>
    <row r="465" spans="2:6" x14ac:dyDescent="0.25">
      <c r="B465" s="6"/>
      <c r="C465" s="6"/>
      <c r="D465" s="6"/>
      <c r="E465" s="6"/>
      <c r="F465" s="6"/>
    </row>
    <row r="466" spans="2:6" x14ac:dyDescent="0.25">
      <c r="B466" s="6"/>
      <c r="C466" s="6"/>
      <c r="D466" s="6"/>
      <c r="E466" s="6"/>
      <c r="F466" s="6"/>
    </row>
    <row r="467" spans="2:6" x14ac:dyDescent="0.25">
      <c r="B467" s="6"/>
      <c r="C467" s="6"/>
      <c r="D467" s="6"/>
      <c r="E467" s="6"/>
      <c r="F467" s="6"/>
    </row>
    <row r="468" spans="2:6" x14ac:dyDescent="0.25">
      <c r="B468" s="6"/>
      <c r="C468" s="6"/>
      <c r="D468" s="6"/>
      <c r="E468" s="6"/>
      <c r="F468" s="6"/>
    </row>
    <row r="469" spans="2:6" x14ac:dyDescent="0.25">
      <c r="B469" s="6"/>
      <c r="C469" s="6"/>
      <c r="D469" s="6"/>
      <c r="E469" s="6"/>
      <c r="F469" s="6"/>
    </row>
    <row r="470" spans="2:6" x14ac:dyDescent="0.25">
      <c r="B470" s="6"/>
      <c r="C470" s="6"/>
      <c r="D470" s="6"/>
      <c r="E470" s="6"/>
      <c r="F470" s="6"/>
    </row>
    <row r="471" spans="2:6" x14ac:dyDescent="0.25">
      <c r="B471" s="6"/>
      <c r="C471" s="6"/>
      <c r="D471" s="6"/>
      <c r="E471" s="6"/>
      <c r="F471" s="6"/>
    </row>
    <row r="472" spans="2:6" x14ac:dyDescent="0.25">
      <c r="B472" s="6"/>
      <c r="C472" s="6"/>
      <c r="D472" s="6"/>
      <c r="E472" s="6"/>
      <c r="F472" s="6"/>
    </row>
    <row r="473" spans="2:6" x14ac:dyDescent="0.25">
      <c r="B473" s="6"/>
      <c r="C473" s="6"/>
      <c r="D473" s="6"/>
      <c r="E473" s="6"/>
      <c r="F473" s="6"/>
    </row>
    <row r="474" spans="2:6" x14ac:dyDescent="0.25">
      <c r="B474" s="6"/>
      <c r="C474" s="6"/>
      <c r="D474" s="6"/>
      <c r="E474" s="6"/>
      <c r="F474" s="6"/>
    </row>
    <row r="475" spans="2:6" x14ac:dyDescent="0.25">
      <c r="B475" s="6"/>
      <c r="C475" s="6"/>
      <c r="D475" s="6"/>
      <c r="E475" s="6"/>
      <c r="F475" s="6"/>
    </row>
    <row r="476" spans="2:6" x14ac:dyDescent="0.25">
      <c r="B476" s="6"/>
      <c r="C476" s="6"/>
      <c r="D476" s="6"/>
      <c r="E476" s="6"/>
      <c r="F476" s="6"/>
    </row>
    <row r="477" spans="2:6" x14ac:dyDescent="0.25">
      <c r="B477" s="6"/>
      <c r="C477" s="6"/>
      <c r="D477" s="6"/>
      <c r="E477" s="6"/>
      <c r="F477" s="6"/>
    </row>
    <row r="478" spans="2:6" x14ac:dyDescent="0.25">
      <c r="B478" s="6"/>
      <c r="C478" s="6"/>
      <c r="D478" s="6"/>
      <c r="E478" s="6"/>
      <c r="F478" s="6"/>
    </row>
    <row r="479" spans="2:6" x14ac:dyDescent="0.25">
      <c r="B479" s="6"/>
      <c r="C479" s="6"/>
      <c r="D479" s="6"/>
      <c r="E479" s="6"/>
      <c r="F479" s="6"/>
    </row>
    <row r="480" spans="2:6" x14ac:dyDescent="0.25">
      <c r="B480" s="6"/>
      <c r="C480" s="6"/>
      <c r="D480" s="6"/>
      <c r="E480" s="6"/>
      <c r="F480" s="6"/>
    </row>
    <row r="481" spans="2:6" x14ac:dyDescent="0.25">
      <c r="B481" s="6"/>
      <c r="C481" s="6"/>
      <c r="D481" s="6"/>
      <c r="E481" s="6"/>
      <c r="F481" s="6"/>
    </row>
    <row r="482" spans="2:6" x14ac:dyDescent="0.25">
      <c r="B482" s="6"/>
      <c r="C482" s="6"/>
      <c r="D482" s="6"/>
      <c r="E482" s="6"/>
      <c r="F482" s="6"/>
    </row>
    <row r="483" spans="2:6" x14ac:dyDescent="0.25">
      <c r="B483" s="6"/>
      <c r="C483" s="6"/>
      <c r="D483" s="6"/>
      <c r="E483" s="6"/>
      <c r="F483" s="6"/>
    </row>
    <row r="484" spans="2:6" x14ac:dyDescent="0.25">
      <c r="B484" s="6"/>
      <c r="C484" s="6"/>
      <c r="D484" s="6"/>
      <c r="E484" s="6"/>
      <c r="F484" s="6"/>
    </row>
    <row r="485" spans="2:6" x14ac:dyDescent="0.25">
      <c r="B485" s="6"/>
      <c r="C485" s="6"/>
      <c r="D485" s="6"/>
      <c r="E485" s="6"/>
      <c r="F485" s="6"/>
    </row>
    <row r="486" spans="2:6" x14ac:dyDescent="0.25">
      <c r="B486" s="6"/>
      <c r="C486" s="6"/>
      <c r="D486" s="6"/>
      <c r="E486" s="6"/>
      <c r="F486" s="6"/>
    </row>
    <row r="487" spans="2:6" x14ac:dyDescent="0.25">
      <c r="B487" s="6"/>
      <c r="C487" s="6"/>
      <c r="D487" s="6"/>
      <c r="E487" s="6"/>
      <c r="F487" s="6"/>
    </row>
    <row r="488" spans="2:6" x14ac:dyDescent="0.25">
      <c r="B488" s="6"/>
      <c r="C488" s="6"/>
      <c r="D488" s="6"/>
      <c r="E488" s="6"/>
      <c r="F488" s="6"/>
    </row>
    <row r="489" spans="2:6" x14ac:dyDescent="0.25">
      <c r="B489" s="6"/>
      <c r="C489" s="6"/>
      <c r="D489" s="6"/>
      <c r="E489" s="6"/>
      <c r="F489" s="6"/>
    </row>
    <row r="490" spans="2:6" x14ac:dyDescent="0.25">
      <c r="B490" s="6"/>
      <c r="C490" s="6"/>
      <c r="D490" s="6"/>
      <c r="E490" s="6"/>
      <c r="F490" s="6"/>
    </row>
    <row r="491" spans="2:6" x14ac:dyDescent="0.25">
      <c r="B491" s="6"/>
      <c r="C491" s="6"/>
      <c r="D491" s="6"/>
      <c r="E491" s="6"/>
      <c r="F491" s="6"/>
    </row>
    <row r="492" spans="2:6" x14ac:dyDescent="0.25">
      <c r="B492" s="6"/>
      <c r="C492" s="6"/>
      <c r="D492" s="6"/>
      <c r="E492" s="6"/>
      <c r="F492" s="6"/>
    </row>
    <row r="493" spans="2:6" x14ac:dyDescent="0.25">
      <c r="B493" s="6"/>
      <c r="C493" s="6"/>
      <c r="D493" s="6"/>
      <c r="E493" s="6"/>
      <c r="F493" s="6"/>
    </row>
    <row r="494" spans="2:6" x14ac:dyDescent="0.25">
      <c r="B494" s="6"/>
      <c r="C494" s="6"/>
      <c r="D494" s="6"/>
      <c r="E494" s="6"/>
      <c r="F494" s="6"/>
    </row>
    <row r="495" spans="2:6" x14ac:dyDescent="0.25">
      <c r="B495" s="6"/>
      <c r="C495" s="6"/>
      <c r="D495" s="6"/>
      <c r="E495" s="6"/>
      <c r="F495" s="6"/>
    </row>
    <row r="496" spans="2:6" x14ac:dyDescent="0.25">
      <c r="B496" s="6"/>
      <c r="C496" s="6"/>
      <c r="D496" s="6"/>
      <c r="E496" s="6"/>
      <c r="F496" s="6"/>
    </row>
    <row r="497" spans="2:6" x14ac:dyDescent="0.25">
      <c r="B497" s="6"/>
      <c r="C497" s="6"/>
      <c r="D497" s="6"/>
      <c r="E497" s="6"/>
      <c r="F497" s="6"/>
    </row>
    <row r="498" spans="2:6" x14ac:dyDescent="0.25">
      <c r="B498" s="6"/>
      <c r="C498" s="6"/>
      <c r="D498" s="6"/>
      <c r="E498" s="6"/>
      <c r="F498" s="6"/>
    </row>
    <row r="499" spans="2:6" x14ac:dyDescent="0.25">
      <c r="B499" s="6"/>
      <c r="C499" s="6"/>
      <c r="D499" s="6"/>
      <c r="E499" s="6"/>
      <c r="F499" s="6"/>
    </row>
    <row r="500" spans="2:6" x14ac:dyDescent="0.25">
      <c r="B500" s="6"/>
      <c r="C500" s="6"/>
      <c r="D500" s="6"/>
      <c r="E500" s="6"/>
      <c r="F500" s="6"/>
    </row>
    <row r="501" spans="2:6" x14ac:dyDescent="0.25">
      <c r="B501" s="6"/>
      <c r="C501" s="6"/>
      <c r="D501" s="6"/>
      <c r="E501" s="6"/>
      <c r="F501" s="6"/>
    </row>
    <row r="502" spans="2:6" x14ac:dyDescent="0.25">
      <c r="B502" s="6"/>
      <c r="C502" s="6"/>
      <c r="D502" s="6"/>
      <c r="E502" s="6"/>
      <c r="F502" s="6"/>
    </row>
    <row r="503" spans="2:6" x14ac:dyDescent="0.25">
      <c r="B503" s="6"/>
      <c r="C503" s="6"/>
      <c r="D503" s="6"/>
      <c r="E503" s="6"/>
      <c r="F503" s="6"/>
    </row>
    <row r="504" spans="2:6" x14ac:dyDescent="0.25">
      <c r="B504" s="6"/>
      <c r="C504" s="6"/>
      <c r="D504" s="6"/>
      <c r="E504" s="6"/>
      <c r="F504" s="6"/>
    </row>
    <row r="505" spans="2:6" x14ac:dyDescent="0.25">
      <c r="B505" s="6"/>
      <c r="C505" s="6"/>
      <c r="D505" s="6"/>
      <c r="E505" s="6"/>
      <c r="F505" s="6"/>
    </row>
    <row r="506" spans="2:6" x14ac:dyDescent="0.25">
      <c r="B506" s="6"/>
      <c r="C506" s="6"/>
      <c r="D506" s="6"/>
      <c r="E506" s="6"/>
      <c r="F506" s="6"/>
    </row>
    <row r="507" spans="2:6" x14ac:dyDescent="0.25">
      <c r="B507" s="6"/>
      <c r="C507" s="6"/>
      <c r="D507" s="6"/>
      <c r="E507" s="6"/>
      <c r="F507" s="6"/>
    </row>
    <row r="508" spans="2:6" x14ac:dyDescent="0.25">
      <c r="B508" s="6"/>
      <c r="C508" s="6"/>
      <c r="D508" s="6"/>
      <c r="E508" s="6"/>
      <c r="F508" s="6"/>
    </row>
    <row r="509" spans="2:6" x14ac:dyDescent="0.25">
      <c r="B509" s="6"/>
      <c r="C509" s="6"/>
      <c r="D509" s="6"/>
      <c r="E509" s="6"/>
      <c r="F509" s="6"/>
    </row>
    <row r="510" spans="2:6" x14ac:dyDescent="0.25">
      <c r="B510" s="6"/>
      <c r="C510" s="6"/>
      <c r="D510" s="6"/>
      <c r="E510" s="6"/>
      <c r="F510" s="6"/>
    </row>
    <row r="511" spans="2:6" x14ac:dyDescent="0.25">
      <c r="B511" s="6"/>
      <c r="C511" s="6"/>
      <c r="D511" s="6"/>
      <c r="E511" s="6"/>
      <c r="F511" s="6"/>
    </row>
    <row r="512" spans="2:6" x14ac:dyDescent="0.25">
      <c r="B512" s="6"/>
      <c r="C512" s="6"/>
      <c r="D512" s="6"/>
      <c r="E512" s="6"/>
      <c r="F512" s="6"/>
    </row>
    <row r="513" spans="2:6" x14ac:dyDescent="0.25">
      <c r="B513" s="6"/>
      <c r="C513" s="6"/>
      <c r="D513" s="6"/>
      <c r="E513" s="6"/>
      <c r="F513" s="6"/>
    </row>
    <row r="514" spans="2:6" x14ac:dyDescent="0.25">
      <c r="B514" s="6"/>
      <c r="C514" s="6"/>
      <c r="D514" s="6"/>
      <c r="E514" s="6"/>
      <c r="F514" s="6"/>
    </row>
    <row r="515" spans="2:6" x14ac:dyDescent="0.25">
      <c r="B515" s="6"/>
      <c r="C515" s="6"/>
      <c r="D515" s="6"/>
      <c r="E515" s="6"/>
      <c r="F515" s="6"/>
    </row>
    <row r="516" spans="2:6" x14ac:dyDescent="0.25">
      <c r="B516" s="6"/>
      <c r="C516" s="6"/>
      <c r="D516" s="6"/>
      <c r="E516" s="6"/>
      <c r="F516" s="6"/>
    </row>
    <row r="517" spans="2:6" x14ac:dyDescent="0.25">
      <c r="B517" s="6"/>
      <c r="C517" s="6"/>
      <c r="D517" s="6"/>
      <c r="E517" s="6"/>
      <c r="F517" s="6"/>
    </row>
    <row r="518" spans="2:6" x14ac:dyDescent="0.25">
      <c r="B518" s="6"/>
      <c r="C518" s="6"/>
      <c r="D518" s="6"/>
      <c r="E518" s="6"/>
      <c r="F518" s="6"/>
    </row>
    <row r="519" spans="2:6" x14ac:dyDescent="0.25">
      <c r="B519" s="6"/>
      <c r="C519" s="6"/>
      <c r="D519" s="6"/>
      <c r="E519" s="6"/>
      <c r="F519" s="6"/>
    </row>
    <row r="520" spans="2:6" x14ac:dyDescent="0.25">
      <c r="B520" s="6"/>
      <c r="C520" s="6"/>
      <c r="D520" s="6"/>
      <c r="E520" s="6"/>
      <c r="F520" s="6"/>
    </row>
    <row r="521" spans="2:6" x14ac:dyDescent="0.25">
      <c r="B521" s="6"/>
      <c r="C521" s="6"/>
      <c r="D521" s="6"/>
      <c r="E521" s="6"/>
      <c r="F521" s="6"/>
    </row>
    <row r="522" spans="2:6" x14ac:dyDescent="0.25">
      <c r="B522" s="6"/>
      <c r="C522" s="6"/>
      <c r="D522" s="6"/>
      <c r="E522" s="6"/>
      <c r="F522" s="6"/>
    </row>
    <row r="523" spans="2:6" x14ac:dyDescent="0.25">
      <c r="B523" s="6"/>
      <c r="C523" s="6"/>
      <c r="D523" s="6"/>
      <c r="E523" s="6"/>
      <c r="F523" s="6"/>
    </row>
    <row r="524" spans="2:6" x14ac:dyDescent="0.25">
      <c r="B524" s="6"/>
      <c r="C524" s="6"/>
      <c r="D524" s="6"/>
      <c r="E524" s="6"/>
      <c r="F524" s="6"/>
    </row>
    <row r="525" spans="2:6" x14ac:dyDescent="0.25">
      <c r="B525" s="6"/>
      <c r="C525" s="6"/>
      <c r="D525" s="6"/>
      <c r="E525" s="6"/>
      <c r="F525" s="6"/>
    </row>
    <row r="526" spans="2:6" x14ac:dyDescent="0.25">
      <c r="B526" s="6"/>
      <c r="C526" s="6"/>
      <c r="D526" s="6"/>
      <c r="E526" s="6"/>
      <c r="F526" s="6"/>
    </row>
    <row r="527" spans="2:6" x14ac:dyDescent="0.25">
      <c r="B527" s="6"/>
      <c r="C527" s="6"/>
      <c r="D527" s="6"/>
      <c r="E527" s="6"/>
      <c r="F527" s="6"/>
    </row>
    <row r="528" spans="2:6" x14ac:dyDescent="0.25">
      <c r="B528" s="6"/>
      <c r="C528" s="6"/>
      <c r="D528" s="6"/>
      <c r="E528" s="6"/>
      <c r="F528" s="6"/>
    </row>
    <row r="529" spans="2:6" x14ac:dyDescent="0.25">
      <c r="B529" s="6"/>
      <c r="C529" s="6"/>
      <c r="D529" s="6"/>
      <c r="E529" s="6"/>
      <c r="F529" s="6"/>
    </row>
    <row r="530" spans="2:6" x14ac:dyDescent="0.25">
      <c r="B530" s="6"/>
      <c r="C530" s="6"/>
      <c r="D530" s="6"/>
      <c r="E530" s="6"/>
      <c r="F530" s="6"/>
    </row>
    <row r="531" spans="2:6" x14ac:dyDescent="0.25">
      <c r="B531" s="6"/>
      <c r="C531" s="6"/>
      <c r="D531" s="6"/>
      <c r="E531" s="6"/>
      <c r="F531" s="6"/>
    </row>
    <row r="532" spans="2:6" x14ac:dyDescent="0.25">
      <c r="B532" s="6"/>
      <c r="C532" s="6"/>
      <c r="D532" s="6"/>
      <c r="E532" s="6"/>
      <c r="F532" s="6"/>
    </row>
    <row r="533" spans="2:6" x14ac:dyDescent="0.25">
      <c r="B533" s="6"/>
      <c r="C533" s="6"/>
      <c r="D533" s="6"/>
      <c r="E533" s="6"/>
      <c r="F533" s="6"/>
    </row>
    <row r="534" spans="2:6" x14ac:dyDescent="0.25">
      <c r="B534" s="6"/>
      <c r="C534" s="6"/>
      <c r="D534" s="6"/>
      <c r="E534" s="6"/>
      <c r="F534" s="6"/>
    </row>
    <row r="535" spans="2:6" x14ac:dyDescent="0.25">
      <c r="B535" s="6"/>
      <c r="C535" s="6"/>
      <c r="D535" s="6"/>
      <c r="E535" s="6"/>
      <c r="F535" s="6"/>
    </row>
    <row r="536" spans="2:6" x14ac:dyDescent="0.25">
      <c r="B536" s="6"/>
      <c r="C536" s="6"/>
      <c r="D536" s="6"/>
      <c r="E536" s="6"/>
      <c r="F536" s="6"/>
    </row>
    <row r="537" spans="2:6" x14ac:dyDescent="0.25">
      <c r="B537" s="6"/>
      <c r="C537" s="6"/>
      <c r="D537" s="6"/>
      <c r="E537" s="6"/>
      <c r="F537" s="6"/>
    </row>
    <row r="538" spans="2:6" x14ac:dyDescent="0.25">
      <c r="B538" s="6"/>
      <c r="C538" s="6"/>
      <c r="D538" s="6"/>
      <c r="E538" s="6"/>
      <c r="F538" s="6"/>
    </row>
    <row r="539" spans="2:6" x14ac:dyDescent="0.25">
      <c r="B539" s="6"/>
      <c r="C539" s="6"/>
      <c r="D539" s="6"/>
      <c r="E539" s="6"/>
      <c r="F539" s="6"/>
    </row>
    <row r="540" spans="2:6" x14ac:dyDescent="0.25">
      <c r="B540" s="6"/>
      <c r="C540" s="6"/>
      <c r="D540" s="6"/>
      <c r="E540" s="6"/>
      <c r="F540" s="6"/>
    </row>
    <row r="541" spans="2:6" x14ac:dyDescent="0.25">
      <c r="B541" s="6"/>
      <c r="C541" s="6"/>
      <c r="D541" s="6"/>
      <c r="E541" s="6"/>
      <c r="F541" s="6"/>
    </row>
    <row r="542" spans="2:6" x14ac:dyDescent="0.25">
      <c r="B542" s="6"/>
      <c r="C542" s="6"/>
      <c r="D542" s="6"/>
      <c r="E542" s="6"/>
      <c r="F542" s="6"/>
    </row>
    <row r="543" spans="2:6" x14ac:dyDescent="0.25">
      <c r="B543" s="6"/>
      <c r="C543" s="6"/>
      <c r="D543" s="6"/>
      <c r="E543" s="6"/>
      <c r="F543" s="6"/>
    </row>
    <row r="544" spans="2:6" x14ac:dyDescent="0.25">
      <c r="B544" s="6"/>
      <c r="C544" s="6"/>
      <c r="D544" s="6"/>
      <c r="E544" s="6"/>
      <c r="F544" s="6"/>
    </row>
    <row r="545" spans="2:6" x14ac:dyDescent="0.25">
      <c r="B545" s="6"/>
      <c r="C545" s="6"/>
      <c r="D545" s="6"/>
      <c r="E545" s="6"/>
      <c r="F545" s="6"/>
    </row>
    <row r="546" spans="2:6" x14ac:dyDescent="0.25">
      <c r="B546" s="6"/>
      <c r="C546" s="6"/>
      <c r="D546" s="6"/>
      <c r="E546" s="6"/>
      <c r="F546" s="6"/>
    </row>
    <row r="547" spans="2:6" x14ac:dyDescent="0.25">
      <c r="B547" s="6"/>
      <c r="C547" s="6"/>
      <c r="D547" s="6"/>
      <c r="E547" s="6"/>
      <c r="F547" s="6"/>
    </row>
    <row r="548" spans="2:6" x14ac:dyDescent="0.25">
      <c r="B548" s="6"/>
      <c r="C548" s="6"/>
      <c r="D548" s="6"/>
      <c r="E548" s="6"/>
      <c r="F548" s="6"/>
    </row>
    <row r="549" spans="2:6" x14ac:dyDescent="0.25">
      <c r="B549" s="6"/>
      <c r="C549" s="6"/>
      <c r="D549" s="6"/>
      <c r="E549" s="6"/>
      <c r="F549" s="6"/>
    </row>
    <row r="550" spans="2:6" x14ac:dyDescent="0.25">
      <c r="B550" s="6"/>
      <c r="C550" s="6"/>
      <c r="D550" s="6"/>
      <c r="E550" s="6"/>
      <c r="F550" s="6"/>
    </row>
    <row r="551" spans="2:6" x14ac:dyDescent="0.25">
      <c r="B551" s="6"/>
      <c r="C551" s="6"/>
      <c r="D551" s="6"/>
      <c r="E551" s="6"/>
      <c r="F551" s="6"/>
    </row>
    <row r="552" spans="2:6" x14ac:dyDescent="0.25">
      <c r="B552" s="6"/>
      <c r="C552" s="6"/>
      <c r="D552" s="6"/>
      <c r="E552" s="6"/>
      <c r="F552" s="6"/>
    </row>
    <row r="553" spans="2:6" x14ac:dyDescent="0.25">
      <c r="B553" s="6"/>
      <c r="C553" s="6"/>
      <c r="D553" s="6"/>
      <c r="E553" s="6"/>
      <c r="F553" s="6"/>
    </row>
    <row r="554" spans="2:6" x14ac:dyDescent="0.25">
      <c r="B554" s="6"/>
      <c r="C554" s="6"/>
      <c r="D554" s="6"/>
      <c r="E554" s="6"/>
      <c r="F554" s="6"/>
    </row>
    <row r="555" spans="2:6" x14ac:dyDescent="0.25">
      <c r="B555" s="6"/>
      <c r="C555" s="6"/>
      <c r="D555" s="6"/>
      <c r="E555" s="6"/>
      <c r="F555" s="6"/>
    </row>
    <row r="556" spans="2:6" x14ac:dyDescent="0.25">
      <c r="B556" s="6"/>
      <c r="C556" s="6"/>
      <c r="D556" s="6"/>
      <c r="E556" s="6"/>
      <c r="F556" s="6"/>
    </row>
    <row r="557" spans="2:6" x14ac:dyDescent="0.25">
      <c r="B557" s="6"/>
      <c r="C557" s="6"/>
      <c r="D557" s="6"/>
      <c r="E557" s="6"/>
      <c r="F557" s="6"/>
    </row>
    <row r="558" spans="2:6" x14ac:dyDescent="0.25">
      <c r="B558" s="6"/>
      <c r="C558" s="6"/>
      <c r="D558" s="6"/>
      <c r="E558" s="6"/>
      <c r="F558" s="6"/>
    </row>
    <row r="559" spans="2:6" x14ac:dyDescent="0.25">
      <c r="B559" s="6"/>
      <c r="C559" s="6"/>
      <c r="D559" s="6"/>
      <c r="E559" s="6"/>
      <c r="F559" s="6"/>
    </row>
    <row r="560" spans="2:6" x14ac:dyDescent="0.25">
      <c r="B560" s="6"/>
      <c r="C560" s="6"/>
      <c r="D560" s="6"/>
      <c r="E560" s="6"/>
      <c r="F560" s="6"/>
    </row>
    <row r="561" spans="2:6" x14ac:dyDescent="0.25">
      <c r="B561" s="6"/>
      <c r="C561" s="6"/>
      <c r="D561" s="6"/>
      <c r="E561" s="6"/>
      <c r="F561" s="6"/>
    </row>
    <row r="562" spans="2:6" x14ac:dyDescent="0.25">
      <c r="B562" s="6"/>
      <c r="C562" s="6"/>
      <c r="D562" s="6"/>
      <c r="E562" s="6"/>
      <c r="F562" s="6"/>
    </row>
    <row r="563" spans="2:6" x14ac:dyDescent="0.25">
      <c r="B563" s="6"/>
      <c r="C563" s="6"/>
      <c r="D563" s="6"/>
      <c r="E563" s="6"/>
      <c r="F563" s="6"/>
    </row>
    <row r="564" spans="2:6" x14ac:dyDescent="0.25">
      <c r="B564" s="6"/>
      <c r="C564" s="6"/>
      <c r="D564" s="6"/>
      <c r="E564" s="6"/>
      <c r="F564" s="6"/>
    </row>
    <row r="565" spans="2:6" x14ac:dyDescent="0.25">
      <c r="B565" s="6"/>
      <c r="C565" s="6"/>
      <c r="D565" s="6"/>
      <c r="E565" s="6"/>
      <c r="F565" s="6"/>
    </row>
    <row r="566" spans="2:6" x14ac:dyDescent="0.25">
      <c r="B566" s="6"/>
      <c r="C566" s="6"/>
      <c r="D566" s="6"/>
      <c r="E566" s="6"/>
      <c r="F566" s="6"/>
    </row>
    <row r="567" spans="2:6" x14ac:dyDescent="0.25">
      <c r="B567" s="6"/>
      <c r="C567" s="6"/>
      <c r="D567" s="6"/>
      <c r="E567" s="6"/>
      <c r="F567" s="6"/>
    </row>
    <row r="568" spans="2:6" x14ac:dyDescent="0.25">
      <c r="B568" s="6"/>
      <c r="C568" s="6"/>
      <c r="D568" s="6"/>
      <c r="E568" s="6"/>
      <c r="F568" s="6"/>
    </row>
    <row r="569" spans="2:6" x14ac:dyDescent="0.25">
      <c r="B569" s="6"/>
      <c r="C569" s="6"/>
      <c r="D569" s="6"/>
      <c r="E569" s="6"/>
      <c r="F569" s="6"/>
    </row>
    <row r="570" spans="2:6" x14ac:dyDescent="0.25">
      <c r="B570" s="6"/>
      <c r="C570" s="6"/>
      <c r="D570" s="6"/>
      <c r="E570" s="6"/>
      <c r="F570" s="6"/>
    </row>
    <row r="571" spans="2:6" x14ac:dyDescent="0.25">
      <c r="B571" s="6"/>
      <c r="C571" s="6"/>
      <c r="D571" s="6"/>
      <c r="E571" s="6"/>
      <c r="F571" s="6"/>
    </row>
    <row r="572" spans="2:6" x14ac:dyDescent="0.25">
      <c r="B572" s="6"/>
      <c r="C572" s="6"/>
      <c r="D572" s="6"/>
      <c r="E572" s="6"/>
      <c r="F572" s="6"/>
    </row>
    <row r="573" spans="2:6" x14ac:dyDescent="0.25">
      <c r="B573" s="6"/>
      <c r="C573" s="6"/>
      <c r="D573" s="6"/>
      <c r="E573" s="6"/>
      <c r="F573" s="6"/>
    </row>
    <row r="574" spans="2:6" x14ac:dyDescent="0.25">
      <c r="B574" s="6"/>
      <c r="C574" s="6"/>
      <c r="D574" s="6"/>
      <c r="E574" s="6"/>
      <c r="F574" s="6"/>
    </row>
    <row r="575" spans="2:6" x14ac:dyDescent="0.25">
      <c r="B575" s="6"/>
      <c r="C575" s="6"/>
      <c r="D575" s="6"/>
      <c r="E575" s="6"/>
      <c r="F575" s="6"/>
    </row>
    <row r="576" spans="2:6" x14ac:dyDescent="0.25">
      <c r="B576" s="6"/>
      <c r="C576" s="6"/>
      <c r="D576" s="6"/>
      <c r="E576" s="6"/>
      <c r="F576" s="6"/>
    </row>
    <row r="577" spans="2:6" x14ac:dyDescent="0.25">
      <c r="B577" s="6"/>
      <c r="C577" s="6"/>
      <c r="D577" s="6"/>
      <c r="E577" s="6"/>
      <c r="F577" s="6"/>
    </row>
    <row r="578" spans="2:6" x14ac:dyDescent="0.25">
      <c r="B578" s="6"/>
      <c r="C578" s="6"/>
      <c r="D578" s="6"/>
      <c r="E578" s="6"/>
      <c r="F578" s="6"/>
    </row>
    <row r="579" spans="2:6" x14ac:dyDescent="0.25">
      <c r="B579" s="6"/>
      <c r="C579" s="6"/>
      <c r="D579" s="6"/>
      <c r="E579" s="6"/>
      <c r="F579" s="6"/>
    </row>
    <row r="580" spans="2:6" x14ac:dyDescent="0.25">
      <c r="B580" s="6"/>
      <c r="C580" s="6"/>
      <c r="D580" s="6"/>
      <c r="E580" s="6"/>
      <c r="F580" s="6"/>
    </row>
    <row r="581" spans="2:6" x14ac:dyDescent="0.25">
      <c r="B581" s="6"/>
      <c r="C581" s="6"/>
      <c r="D581" s="6"/>
      <c r="E581" s="6"/>
      <c r="F581" s="6"/>
    </row>
    <row r="582" spans="2:6" x14ac:dyDescent="0.25">
      <c r="B582" s="6"/>
      <c r="C582" s="6"/>
      <c r="D582" s="6"/>
      <c r="E582" s="6"/>
      <c r="F582" s="6"/>
    </row>
    <row r="583" spans="2:6" x14ac:dyDescent="0.25">
      <c r="B583" s="6"/>
      <c r="C583" s="6"/>
      <c r="D583" s="6"/>
      <c r="E583" s="6"/>
      <c r="F583" s="6"/>
    </row>
    <row r="584" spans="2:6" x14ac:dyDescent="0.25">
      <c r="B584" s="6"/>
      <c r="C584" s="6"/>
      <c r="D584" s="6"/>
      <c r="E584" s="6"/>
      <c r="F584" s="6"/>
    </row>
    <row r="585" spans="2:6" x14ac:dyDescent="0.25">
      <c r="B585" s="6"/>
      <c r="C585" s="6"/>
      <c r="D585" s="6"/>
      <c r="E585" s="6"/>
      <c r="F585" s="6"/>
    </row>
    <row r="586" spans="2:6" x14ac:dyDescent="0.25">
      <c r="B586" s="6"/>
      <c r="C586" s="6"/>
      <c r="D586" s="6"/>
      <c r="E586" s="6"/>
      <c r="F586" s="6"/>
    </row>
    <row r="587" spans="2:6" x14ac:dyDescent="0.25">
      <c r="B587" s="6"/>
      <c r="C587" s="6"/>
      <c r="D587" s="6"/>
      <c r="E587" s="6"/>
      <c r="F587" s="6"/>
    </row>
    <row r="588" spans="2:6" x14ac:dyDescent="0.25">
      <c r="B588" s="6"/>
      <c r="C588" s="6"/>
      <c r="D588" s="6"/>
      <c r="E588" s="6"/>
      <c r="F588" s="6"/>
    </row>
    <row r="589" spans="2:6" x14ac:dyDescent="0.25">
      <c r="B589" s="6"/>
      <c r="C589" s="6"/>
      <c r="D589" s="6"/>
      <c r="E589" s="6"/>
      <c r="F589" s="6"/>
    </row>
    <row r="590" spans="2:6" x14ac:dyDescent="0.25">
      <c r="B590" s="6"/>
      <c r="C590" s="6"/>
      <c r="D590" s="6"/>
      <c r="E590" s="6"/>
      <c r="F590" s="6"/>
    </row>
    <row r="591" spans="2:6" x14ac:dyDescent="0.25">
      <c r="B591" s="6"/>
      <c r="C591" s="6"/>
      <c r="D591" s="6"/>
      <c r="E591" s="6"/>
      <c r="F591" s="6"/>
    </row>
    <row r="592" spans="2:6" x14ac:dyDescent="0.25">
      <c r="B592" s="6"/>
      <c r="C592" s="6"/>
      <c r="D592" s="6"/>
      <c r="E592" s="6"/>
      <c r="F592" s="6"/>
    </row>
    <row r="593" spans="2:6" x14ac:dyDescent="0.25">
      <c r="B593" s="6"/>
      <c r="C593" s="6"/>
      <c r="D593" s="6"/>
      <c r="E593" s="6"/>
      <c r="F593" s="6"/>
    </row>
    <row r="594" spans="2:6" x14ac:dyDescent="0.25">
      <c r="B594" s="6"/>
      <c r="C594" s="6"/>
      <c r="D594" s="6"/>
      <c r="E594" s="6"/>
      <c r="F594" s="6"/>
    </row>
    <row r="595" spans="2:6" x14ac:dyDescent="0.25">
      <c r="B595" s="6"/>
      <c r="C595" s="6"/>
      <c r="D595" s="6"/>
      <c r="E595" s="6"/>
      <c r="F595" s="6"/>
    </row>
    <row r="596" spans="2:6" x14ac:dyDescent="0.25">
      <c r="B596" s="6"/>
      <c r="C596" s="6"/>
      <c r="D596" s="6"/>
      <c r="E596" s="6"/>
      <c r="F596" s="6"/>
    </row>
    <row r="597" spans="2:6" x14ac:dyDescent="0.25">
      <c r="B597" s="6"/>
      <c r="C597" s="6"/>
      <c r="D597" s="6"/>
      <c r="E597" s="6"/>
      <c r="F597" s="6"/>
    </row>
    <row r="598" spans="2:6" x14ac:dyDescent="0.25">
      <c r="B598" s="6"/>
      <c r="C598" s="6"/>
      <c r="D598" s="6"/>
      <c r="E598" s="6"/>
      <c r="F598" s="6"/>
    </row>
    <row r="599" spans="2:6" x14ac:dyDescent="0.25">
      <c r="B599" s="6"/>
      <c r="C599" s="6"/>
      <c r="D599" s="6"/>
      <c r="E599" s="6"/>
      <c r="F599" s="6"/>
    </row>
    <row r="600" spans="2:6" x14ac:dyDescent="0.25">
      <c r="B600" s="6"/>
      <c r="C600" s="6"/>
      <c r="D600" s="6"/>
      <c r="E600" s="6"/>
      <c r="F600" s="6"/>
    </row>
    <row r="601" spans="2:6" x14ac:dyDescent="0.25">
      <c r="B601" s="6"/>
      <c r="C601" s="6"/>
      <c r="D601" s="6"/>
      <c r="E601" s="6"/>
      <c r="F601" s="6"/>
    </row>
    <row r="602" spans="2:6" x14ac:dyDescent="0.25">
      <c r="B602" s="6"/>
      <c r="C602" s="6"/>
      <c r="D602" s="6"/>
      <c r="E602" s="6"/>
      <c r="F602" s="6"/>
    </row>
    <row r="603" spans="2:6" x14ac:dyDescent="0.25">
      <c r="B603" s="6"/>
      <c r="C603" s="6"/>
      <c r="D603" s="6"/>
      <c r="E603" s="6"/>
      <c r="F603" s="6"/>
    </row>
    <row r="604" spans="2:6" x14ac:dyDescent="0.25">
      <c r="B604" s="6"/>
      <c r="C604" s="6"/>
      <c r="D604" s="6"/>
      <c r="E604" s="6"/>
      <c r="F604" s="6"/>
    </row>
    <row r="605" spans="2:6" x14ac:dyDescent="0.25">
      <c r="B605" s="6"/>
      <c r="C605" s="6"/>
      <c r="D605" s="6"/>
      <c r="E605" s="6"/>
      <c r="F605" s="6"/>
    </row>
    <row r="606" spans="2:6" x14ac:dyDescent="0.25">
      <c r="B606" s="6"/>
      <c r="C606" s="6"/>
      <c r="D606" s="6"/>
      <c r="E606" s="6"/>
      <c r="F606" s="6"/>
    </row>
    <row r="607" spans="2:6" x14ac:dyDescent="0.25">
      <c r="B607" s="6"/>
      <c r="C607" s="6"/>
      <c r="D607" s="6"/>
      <c r="E607" s="6"/>
      <c r="F607" s="6"/>
    </row>
    <row r="608" spans="2:6" x14ac:dyDescent="0.25">
      <c r="B608" s="6"/>
      <c r="C608" s="6"/>
      <c r="D608" s="6"/>
      <c r="E608" s="6"/>
      <c r="F608" s="6"/>
    </row>
    <row r="609" spans="2:6" x14ac:dyDescent="0.25">
      <c r="B609" s="6"/>
      <c r="C609" s="6"/>
      <c r="D609" s="6"/>
      <c r="E609" s="6"/>
      <c r="F609" s="6"/>
    </row>
    <row r="610" spans="2:6" x14ac:dyDescent="0.25">
      <c r="B610" s="6"/>
      <c r="C610" s="6"/>
      <c r="D610" s="6"/>
      <c r="E610" s="6"/>
      <c r="F610" s="6"/>
    </row>
    <row r="611" spans="2:6" x14ac:dyDescent="0.25">
      <c r="B611" s="6"/>
      <c r="C611" s="6"/>
      <c r="D611" s="6"/>
      <c r="E611" s="6"/>
      <c r="F611" s="6"/>
    </row>
    <row r="612" spans="2:6" x14ac:dyDescent="0.25">
      <c r="B612" s="6"/>
      <c r="C612" s="6"/>
      <c r="D612" s="6"/>
      <c r="E612" s="6"/>
      <c r="F612" s="6"/>
    </row>
    <row r="613" spans="2:6" x14ac:dyDescent="0.25">
      <c r="B613" s="6"/>
      <c r="C613" s="6"/>
      <c r="D613" s="6"/>
      <c r="E613" s="6"/>
      <c r="F613" s="6"/>
    </row>
    <row r="614" spans="2:6" x14ac:dyDescent="0.25">
      <c r="B614" s="6"/>
      <c r="C614" s="6"/>
      <c r="D614" s="6"/>
      <c r="E614" s="6"/>
      <c r="F614" s="6"/>
    </row>
    <row r="615" spans="2:6" x14ac:dyDescent="0.25">
      <c r="B615" s="6"/>
      <c r="C615" s="6"/>
      <c r="D615" s="6"/>
      <c r="E615" s="6"/>
      <c r="F615" s="6"/>
    </row>
    <row r="616" spans="2:6" x14ac:dyDescent="0.25">
      <c r="B616" s="6"/>
      <c r="C616" s="6"/>
      <c r="D616" s="6"/>
      <c r="E616" s="6"/>
      <c r="F616" s="6"/>
    </row>
    <row r="617" spans="2:6" x14ac:dyDescent="0.25">
      <c r="B617" s="6"/>
      <c r="C617" s="6"/>
      <c r="D617" s="6"/>
      <c r="E617" s="6"/>
      <c r="F617" s="6"/>
    </row>
    <row r="618" spans="2:6" x14ac:dyDescent="0.25">
      <c r="B618" s="6"/>
      <c r="C618" s="6"/>
      <c r="D618" s="6"/>
      <c r="E618" s="6"/>
      <c r="F618" s="6"/>
    </row>
    <row r="619" spans="2:6" x14ac:dyDescent="0.25">
      <c r="B619" s="6"/>
      <c r="C619" s="6"/>
      <c r="D619" s="6"/>
      <c r="E619" s="6"/>
      <c r="F619" s="6"/>
    </row>
    <row r="620" spans="2:6" x14ac:dyDescent="0.25">
      <c r="B620" s="6"/>
      <c r="C620" s="6"/>
      <c r="D620" s="6"/>
      <c r="E620" s="6"/>
      <c r="F620" s="6"/>
    </row>
    <row r="621" spans="2:6" x14ac:dyDescent="0.25">
      <c r="B621" s="6"/>
      <c r="C621" s="6"/>
      <c r="D621" s="6"/>
      <c r="E621" s="6"/>
      <c r="F621" s="6"/>
    </row>
    <row r="622" spans="2:6" x14ac:dyDescent="0.25">
      <c r="B622" s="6"/>
      <c r="C622" s="6"/>
      <c r="D622" s="6"/>
      <c r="E622" s="6"/>
      <c r="F622" s="6"/>
    </row>
    <row r="623" spans="2:6" x14ac:dyDescent="0.25">
      <c r="B623" s="6"/>
      <c r="C623" s="6"/>
      <c r="D623" s="6"/>
      <c r="E623" s="6"/>
      <c r="F623" s="6"/>
    </row>
    <row r="624" spans="2:6" x14ac:dyDescent="0.25">
      <c r="B624" s="6"/>
      <c r="C624" s="6"/>
      <c r="D624" s="6"/>
      <c r="E624" s="6"/>
      <c r="F624" s="6"/>
    </row>
    <row r="625" spans="2:6" x14ac:dyDescent="0.25">
      <c r="B625" s="6"/>
      <c r="C625" s="6"/>
      <c r="D625" s="6"/>
      <c r="E625" s="6"/>
      <c r="F625" s="6"/>
    </row>
    <row r="626" spans="2:6" x14ac:dyDescent="0.25">
      <c r="B626" s="6"/>
      <c r="C626" s="6"/>
      <c r="D626" s="6"/>
      <c r="E626" s="6"/>
      <c r="F626" s="6"/>
    </row>
    <row r="627" spans="2:6" x14ac:dyDescent="0.25">
      <c r="B627" s="6"/>
      <c r="C627" s="6"/>
      <c r="D627" s="6"/>
      <c r="E627" s="6"/>
      <c r="F627" s="6"/>
    </row>
    <row r="628" spans="2:6" x14ac:dyDescent="0.25">
      <c r="B628" s="6"/>
      <c r="C628" s="6"/>
      <c r="D628" s="6"/>
      <c r="E628" s="6"/>
      <c r="F628" s="6"/>
    </row>
    <row r="629" spans="2:6" x14ac:dyDescent="0.25">
      <c r="B629" s="6"/>
      <c r="C629" s="6"/>
      <c r="D629" s="6"/>
      <c r="E629" s="6"/>
      <c r="F629" s="6"/>
    </row>
    <row r="630" spans="2:6" x14ac:dyDescent="0.25">
      <c r="B630" s="6"/>
      <c r="C630" s="6"/>
      <c r="D630" s="6"/>
      <c r="E630" s="6"/>
      <c r="F630" s="6"/>
    </row>
    <row r="631" spans="2:6" x14ac:dyDescent="0.25">
      <c r="B631" s="6"/>
      <c r="C631" s="6"/>
      <c r="D631" s="6"/>
      <c r="E631" s="6"/>
      <c r="F631" s="6"/>
    </row>
    <row r="632" spans="2:6" x14ac:dyDescent="0.25">
      <c r="B632" s="6"/>
      <c r="C632" s="6"/>
      <c r="D632" s="6"/>
      <c r="E632" s="6"/>
      <c r="F632" s="6"/>
    </row>
    <row r="633" spans="2:6" x14ac:dyDescent="0.25">
      <c r="B633" s="6"/>
      <c r="C633" s="6"/>
      <c r="D633" s="6"/>
      <c r="E633" s="6"/>
      <c r="F633" s="6"/>
    </row>
    <row r="634" spans="2:6" x14ac:dyDescent="0.25">
      <c r="B634" s="6"/>
      <c r="C634" s="6"/>
      <c r="D634" s="6"/>
      <c r="E634" s="6"/>
      <c r="F634" s="6"/>
    </row>
    <row r="635" spans="2:6" x14ac:dyDescent="0.25">
      <c r="B635" s="6"/>
      <c r="C635" s="6"/>
      <c r="D635" s="6"/>
      <c r="E635" s="6"/>
      <c r="F635" s="6"/>
    </row>
    <row r="636" spans="2:6" x14ac:dyDescent="0.25">
      <c r="B636" s="6"/>
      <c r="C636" s="6"/>
      <c r="D636" s="6"/>
      <c r="E636" s="6"/>
      <c r="F636" s="6"/>
    </row>
    <row r="637" spans="2:6" x14ac:dyDescent="0.25">
      <c r="B637" s="6"/>
      <c r="C637" s="6"/>
      <c r="D637" s="6"/>
      <c r="E637" s="6"/>
      <c r="F637" s="6"/>
    </row>
    <row r="638" spans="2:6" x14ac:dyDescent="0.25">
      <c r="B638" s="6"/>
      <c r="C638" s="6"/>
      <c r="D638" s="6"/>
      <c r="E638" s="6"/>
      <c r="F638" s="6"/>
    </row>
    <row r="639" spans="2:6" x14ac:dyDescent="0.25">
      <c r="B639" s="6"/>
      <c r="C639" s="6"/>
      <c r="D639" s="6"/>
      <c r="E639" s="6"/>
      <c r="F639" s="6"/>
    </row>
    <row r="640" spans="2:6" x14ac:dyDescent="0.25">
      <c r="B640" s="6"/>
      <c r="C640" s="6"/>
      <c r="D640" s="6"/>
      <c r="E640" s="6"/>
      <c r="F640" s="6"/>
    </row>
    <row r="641" spans="2:6" x14ac:dyDescent="0.25">
      <c r="B641" s="6"/>
      <c r="C641" s="6"/>
      <c r="D641" s="6"/>
      <c r="E641" s="6"/>
      <c r="F641" s="6"/>
    </row>
    <row r="642" spans="2:6" x14ac:dyDescent="0.25">
      <c r="B642" s="6"/>
      <c r="C642" s="6"/>
      <c r="D642" s="6"/>
      <c r="E642" s="6"/>
      <c r="F642" s="6"/>
    </row>
    <row r="643" spans="2:6" x14ac:dyDescent="0.25">
      <c r="B643" s="6"/>
      <c r="C643" s="6"/>
      <c r="D643" s="6"/>
      <c r="E643" s="6"/>
      <c r="F643" s="6"/>
    </row>
    <row r="644" spans="2:6" x14ac:dyDescent="0.25">
      <c r="B644" s="6"/>
      <c r="C644" s="6"/>
      <c r="D644" s="6"/>
      <c r="E644" s="6"/>
      <c r="F644" s="6"/>
    </row>
    <row r="645" spans="2:6" x14ac:dyDescent="0.25">
      <c r="B645" s="6"/>
      <c r="C645" s="6"/>
      <c r="D645" s="6"/>
      <c r="E645" s="6"/>
      <c r="F645" s="6"/>
    </row>
    <row r="646" spans="2:6" x14ac:dyDescent="0.25">
      <c r="B646" s="6"/>
      <c r="C646" s="6"/>
      <c r="D646" s="6"/>
      <c r="E646" s="6"/>
      <c r="F646" s="6"/>
    </row>
    <row r="647" spans="2:6" x14ac:dyDescent="0.25">
      <c r="B647" s="6"/>
      <c r="C647" s="6"/>
      <c r="D647" s="6"/>
      <c r="E647" s="6"/>
      <c r="F647" s="6"/>
    </row>
    <row r="648" spans="2:6" x14ac:dyDescent="0.25">
      <c r="B648" s="6"/>
      <c r="C648" s="6"/>
      <c r="D648" s="6"/>
      <c r="E648" s="6"/>
      <c r="F648" s="6"/>
    </row>
    <row r="649" spans="2:6" x14ac:dyDescent="0.25">
      <c r="B649" s="6"/>
      <c r="C649" s="6"/>
      <c r="D649" s="6"/>
      <c r="E649" s="6"/>
      <c r="F649" s="6"/>
    </row>
    <row r="650" spans="2:6" x14ac:dyDescent="0.25">
      <c r="B650" s="6"/>
      <c r="C650" s="6"/>
      <c r="D650" s="6"/>
      <c r="E650" s="6"/>
      <c r="F650" s="6"/>
    </row>
    <row r="651" spans="2:6" x14ac:dyDescent="0.25">
      <c r="B651" s="6"/>
      <c r="C651" s="6"/>
      <c r="D651" s="6"/>
      <c r="E651" s="6"/>
      <c r="F651" s="6"/>
    </row>
    <row r="652" spans="2:6" x14ac:dyDescent="0.25">
      <c r="B652" s="6"/>
      <c r="C652" s="6"/>
      <c r="D652" s="6"/>
      <c r="E652" s="6"/>
      <c r="F652" s="6"/>
    </row>
    <row r="653" spans="2:6" x14ac:dyDescent="0.25">
      <c r="B653" s="6"/>
      <c r="C653" s="6"/>
      <c r="D653" s="6"/>
      <c r="E653" s="6"/>
      <c r="F653" s="6"/>
    </row>
    <row r="654" spans="2:6" x14ac:dyDescent="0.25">
      <c r="B654" s="6"/>
      <c r="C654" s="6"/>
      <c r="D654" s="6"/>
      <c r="E654" s="6"/>
      <c r="F654" s="6"/>
    </row>
    <row r="655" spans="2:6" x14ac:dyDescent="0.25">
      <c r="B655" s="6"/>
      <c r="C655" s="6"/>
      <c r="D655" s="6"/>
      <c r="E655" s="6"/>
      <c r="F655" s="6"/>
    </row>
    <row r="656" spans="2:6" x14ac:dyDescent="0.25">
      <c r="B656" s="6"/>
      <c r="C656" s="6"/>
      <c r="D656" s="6"/>
      <c r="E656" s="6"/>
      <c r="F656" s="6"/>
    </row>
    <row r="657" spans="2:6" x14ac:dyDescent="0.25">
      <c r="B657" s="6"/>
      <c r="C657" s="6"/>
      <c r="D657" s="6"/>
      <c r="E657" s="6"/>
      <c r="F657" s="6"/>
    </row>
    <row r="658" spans="2:6" x14ac:dyDescent="0.25">
      <c r="B658" s="6"/>
      <c r="C658" s="6"/>
      <c r="D658" s="6"/>
      <c r="E658" s="6"/>
      <c r="F658" s="6"/>
    </row>
    <row r="659" spans="2:6" x14ac:dyDescent="0.25">
      <c r="B659" s="6"/>
      <c r="C659" s="6"/>
      <c r="D659" s="6"/>
      <c r="E659" s="6"/>
      <c r="F659" s="6"/>
    </row>
    <row r="660" spans="2:6" x14ac:dyDescent="0.25">
      <c r="B660" s="6"/>
      <c r="C660" s="6"/>
      <c r="D660" s="6"/>
      <c r="E660" s="6"/>
      <c r="F660" s="6"/>
    </row>
    <row r="661" spans="2:6" x14ac:dyDescent="0.25">
      <c r="B661" s="6"/>
      <c r="C661" s="6"/>
      <c r="D661" s="6"/>
      <c r="E661" s="6"/>
      <c r="F661" s="6"/>
    </row>
    <row r="662" spans="2:6" x14ac:dyDescent="0.25">
      <c r="B662" s="6"/>
      <c r="C662" s="6"/>
      <c r="D662" s="6"/>
      <c r="E662" s="6"/>
      <c r="F662" s="6"/>
    </row>
    <row r="663" spans="2:6" x14ac:dyDescent="0.25">
      <c r="B663" s="6"/>
      <c r="C663" s="6"/>
      <c r="D663" s="6"/>
      <c r="E663" s="6"/>
      <c r="F663" s="6"/>
    </row>
    <row r="664" spans="2:6" x14ac:dyDescent="0.25">
      <c r="B664" s="6"/>
      <c r="C664" s="6"/>
      <c r="D664" s="6"/>
      <c r="E664" s="6"/>
      <c r="F664" s="6"/>
    </row>
    <row r="665" spans="2:6" x14ac:dyDescent="0.25">
      <c r="B665" s="6"/>
      <c r="C665" s="6"/>
      <c r="D665" s="6"/>
      <c r="E665" s="6"/>
      <c r="F665" s="6"/>
    </row>
    <row r="666" spans="2:6" x14ac:dyDescent="0.25">
      <c r="B666" s="6"/>
      <c r="C666" s="6"/>
      <c r="D666" s="6"/>
      <c r="E666" s="6"/>
      <c r="F666" s="6"/>
    </row>
    <row r="667" spans="2:6" x14ac:dyDescent="0.25">
      <c r="B667" s="6"/>
      <c r="C667" s="6"/>
      <c r="D667" s="6"/>
      <c r="E667" s="6"/>
      <c r="F667" s="6"/>
    </row>
    <row r="668" spans="2:6" x14ac:dyDescent="0.25">
      <c r="B668" s="6"/>
      <c r="C668" s="6"/>
      <c r="D668" s="6"/>
      <c r="E668" s="6"/>
      <c r="F668" s="6"/>
    </row>
    <row r="669" spans="2:6" x14ac:dyDescent="0.25">
      <c r="B669" s="6"/>
      <c r="C669" s="6"/>
      <c r="D669" s="6"/>
      <c r="E669" s="6"/>
      <c r="F669" s="6"/>
    </row>
    <row r="670" spans="2:6" x14ac:dyDescent="0.25">
      <c r="B670" s="6"/>
      <c r="C670" s="6"/>
      <c r="D670" s="6"/>
      <c r="E670" s="6"/>
      <c r="F670" s="6"/>
    </row>
    <row r="671" spans="2:6" x14ac:dyDescent="0.25">
      <c r="B671" s="6"/>
      <c r="C671" s="6"/>
      <c r="D671" s="6"/>
      <c r="E671" s="6"/>
      <c r="F671" s="6"/>
    </row>
    <row r="672" spans="2:6" x14ac:dyDescent="0.25">
      <c r="B672" s="6"/>
      <c r="C672" s="6"/>
      <c r="D672" s="6"/>
      <c r="E672" s="6"/>
      <c r="F672" s="6"/>
    </row>
    <row r="673" spans="2:6" x14ac:dyDescent="0.25">
      <c r="B673" s="6"/>
      <c r="C673" s="6"/>
      <c r="D673" s="6"/>
      <c r="E673" s="6"/>
      <c r="F673" s="6"/>
    </row>
    <row r="674" spans="2:6" x14ac:dyDescent="0.25">
      <c r="B674" s="6"/>
      <c r="C674" s="6"/>
      <c r="D674" s="6"/>
      <c r="E674" s="6"/>
      <c r="F674" s="6"/>
    </row>
    <row r="675" spans="2:6" x14ac:dyDescent="0.25">
      <c r="B675" s="6"/>
      <c r="C675" s="6"/>
      <c r="D675" s="6"/>
      <c r="E675" s="6"/>
      <c r="F675" s="6"/>
    </row>
    <row r="676" spans="2:6" x14ac:dyDescent="0.25">
      <c r="B676" s="6"/>
      <c r="C676" s="6"/>
      <c r="D676" s="6"/>
      <c r="E676" s="6"/>
      <c r="F676" s="6"/>
    </row>
    <row r="677" spans="2:6" x14ac:dyDescent="0.25">
      <c r="B677" s="6"/>
      <c r="C677" s="6"/>
      <c r="D677" s="6"/>
      <c r="E677" s="6"/>
      <c r="F677" s="6"/>
    </row>
    <row r="678" spans="2:6" x14ac:dyDescent="0.25">
      <c r="B678" s="6"/>
      <c r="C678" s="6"/>
      <c r="D678" s="6"/>
      <c r="E678" s="6"/>
      <c r="F678" s="6"/>
    </row>
    <row r="679" spans="2:6" x14ac:dyDescent="0.25">
      <c r="B679" s="6"/>
      <c r="C679" s="6"/>
      <c r="D679" s="6"/>
      <c r="E679" s="6"/>
      <c r="F679" s="6"/>
    </row>
    <row r="680" spans="2:6" x14ac:dyDescent="0.25">
      <c r="B680" s="6"/>
      <c r="C680" s="6"/>
      <c r="D680" s="6"/>
      <c r="E680" s="6"/>
      <c r="F680" s="6"/>
    </row>
    <row r="681" spans="2:6" x14ac:dyDescent="0.25">
      <c r="B681" s="6"/>
      <c r="C681" s="6"/>
      <c r="D681" s="6"/>
      <c r="E681" s="6"/>
      <c r="F681" s="6"/>
    </row>
    <row r="682" spans="2:6" x14ac:dyDescent="0.25">
      <c r="B682" s="6"/>
      <c r="C682" s="6"/>
      <c r="D682" s="6"/>
      <c r="E682" s="6"/>
      <c r="F682" s="6"/>
    </row>
    <row r="683" spans="2:6" x14ac:dyDescent="0.25">
      <c r="B683" s="6"/>
      <c r="C683" s="6"/>
      <c r="D683" s="6"/>
      <c r="E683" s="6"/>
      <c r="F683" s="6"/>
    </row>
    <row r="684" spans="2:6" x14ac:dyDescent="0.25">
      <c r="B684" s="6"/>
      <c r="C684" s="6"/>
      <c r="D684" s="6"/>
      <c r="E684" s="6"/>
      <c r="F684" s="6"/>
    </row>
    <row r="685" spans="2:6" x14ac:dyDescent="0.25">
      <c r="B685" s="6"/>
      <c r="C685" s="6"/>
      <c r="D685" s="6"/>
      <c r="E685" s="6"/>
      <c r="F685" s="6"/>
    </row>
    <row r="686" spans="2:6" x14ac:dyDescent="0.25">
      <c r="B686" s="6"/>
      <c r="C686" s="6"/>
      <c r="D686" s="6"/>
      <c r="E686" s="6"/>
      <c r="F686" s="6"/>
    </row>
    <row r="687" spans="2:6" x14ac:dyDescent="0.25">
      <c r="B687" s="6"/>
      <c r="C687" s="6"/>
      <c r="D687" s="6"/>
      <c r="E687" s="6"/>
      <c r="F687" s="6"/>
    </row>
    <row r="688" spans="2:6" x14ac:dyDescent="0.25">
      <c r="B688" s="6"/>
      <c r="C688" s="6"/>
      <c r="D688" s="6"/>
      <c r="E688" s="6"/>
      <c r="F688" s="6"/>
    </row>
    <row r="689" spans="2:6" x14ac:dyDescent="0.25">
      <c r="B689" s="6"/>
      <c r="C689" s="6"/>
      <c r="D689" s="6"/>
      <c r="E689" s="6"/>
      <c r="F689" s="6"/>
    </row>
    <row r="690" spans="2:6" x14ac:dyDescent="0.25">
      <c r="B690" s="6"/>
      <c r="C690" s="6"/>
      <c r="D690" s="6"/>
      <c r="E690" s="6"/>
      <c r="F690" s="6"/>
    </row>
    <row r="691" spans="2:6" x14ac:dyDescent="0.25">
      <c r="B691" s="6"/>
      <c r="C691" s="6"/>
      <c r="D691" s="6"/>
      <c r="E691" s="6"/>
      <c r="F691" s="6"/>
    </row>
    <row r="692" spans="2:6" x14ac:dyDescent="0.25">
      <c r="B692" s="6"/>
      <c r="C692" s="6"/>
      <c r="D692" s="6"/>
      <c r="E692" s="6"/>
      <c r="F692" s="6"/>
    </row>
    <row r="693" spans="2:6" x14ac:dyDescent="0.25">
      <c r="B693" s="6"/>
      <c r="C693" s="6"/>
      <c r="D693" s="6"/>
      <c r="E693" s="6"/>
      <c r="F693" s="6"/>
    </row>
    <row r="694" spans="2:6" x14ac:dyDescent="0.25">
      <c r="B694" s="6"/>
      <c r="C694" s="6"/>
      <c r="D694" s="6"/>
      <c r="E694" s="6"/>
      <c r="F694" s="6"/>
    </row>
    <row r="695" spans="2:6" x14ac:dyDescent="0.25">
      <c r="B695" s="6"/>
      <c r="C695" s="6"/>
      <c r="D695" s="6"/>
      <c r="E695" s="6"/>
      <c r="F695" s="6"/>
    </row>
    <row r="696" spans="2:6" x14ac:dyDescent="0.25">
      <c r="B696" s="6"/>
      <c r="C696" s="6"/>
      <c r="D696" s="6"/>
      <c r="E696" s="6"/>
      <c r="F696" s="6"/>
    </row>
    <row r="697" spans="2:6" x14ac:dyDescent="0.25">
      <c r="B697" s="6"/>
      <c r="C697" s="6"/>
      <c r="D697" s="6"/>
      <c r="E697" s="6"/>
      <c r="F697" s="6"/>
    </row>
    <row r="698" spans="2:6" x14ac:dyDescent="0.25">
      <c r="B698" s="6"/>
      <c r="C698" s="6"/>
      <c r="D698" s="6"/>
      <c r="E698" s="6"/>
      <c r="F698" s="6"/>
    </row>
    <row r="699" spans="2:6" x14ac:dyDescent="0.25">
      <c r="B699" s="6"/>
      <c r="C699" s="6"/>
      <c r="D699" s="6"/>
      <c r="E699" s="6"/>
      <c r="F699" s="6"/>
    </row>
    <row r="700" spans="2:6" x14ac:dyDescent="0.25">
      <c r="B700" s="6"/>
      <c r="C700" s="6"/>
      <c r="D700" s="6"/>
      <c r="E700" s="6"/>
      <c r="F700" s="6"/>
    </row>
    <row r="701" spans="2:6" x14ac:dyDescent="0.25">
      <c r="B701" s="6"/>
      <c r="C701" s="6"/>
      <c r="D701" s="6"/>
      <c r="E701" s="6"/>
      <c r="F701" s="6"/>
    </row>
    <row r="702" spans="2:6" x14ac:dyDescent="0.25">
      <c r="B702" s="6"/>
      <c r="C702" s="6"/>
      <c r="D702" s="6"/>
      <c r="E702" s="6"/>
      <c r="F702" s="6"/>
    </row>
    <row r="703" spans="2:6" x14ac:dyDescent="0.25">
      <c r="B703" s="6"/>
      <c r="C703" s="6"/>
      <c r="D703" s="6"/>
      <c r="E703" s="6"/>
      <c r="F703" s="6"/>
    </row>
    <row r="704" spans="2:6" x14ac:dyDescent="0.25">
      <c r="B704" s="6"/>
      <c r="C704" s="6"/>
      <c r="D704" s="6"/>
      <c r="E704" s="6"/>
      <c r="F704" s="6"/>
    </row>
    <row r="705" spans="2:6" x14ac:dyDescent="0.25">
      <c r="B705" s="6"/>
      <c r="C705" s="6"/>
      <c r="D705" s="6"/>
      <c r="E705" s="6"/>
      <c r="F705" s="6"/>
    </row>
    <row r="706" spans="2:6" x14ac:dyDescent="0.25">
      <c r="B706" s="6"/>
      <c r="C706" s="6"/>
      <c r="D706" s="6"/>
      <c r="E706" s="6"/>
      <c r="F706" s="6"/>
    </row>
    <row r="707" spans="2:6" x14ac:dyDescent="0.25">
      <c r="B707" s="6"/>
      <c r="C707" s="6"/>
      <c r="D707" s="6"/>
      <c r="E707" s="6"/>
      <c r="F707" s="6"/>
    </row>
    <row r="708" spans="2:6" x14ac:dyDescent="0.25">
      <c r="B708" s="6"/>
      <c r="C708" s="6"/>
      <c r="D708" s="6"/>
      <c r="E708" s="6"/>
      <c r="F708" s="6"/>
    </row>
    <row r="709" spans="2:6" x14ac:dyDescent="0.25">
      <c r="B709" s="6"/>
      <c r="C709" s="6"/>
      <c r="D709" s="6"/>
      <c r="E709" s="6"/>
      <c r="F709" s="6"/>
    </row>
    <row r="710" spans="2:6" x14ac:dyDescent="0.25">
      <c r="B710" s="6"/>
      <c r="C710" s="6"/>
      <c r="D710" s="6"/>
      <c r="E710" s="6"/>
      <c r="F710" s="6"/>
    </row>
    <row r="711" spans="2:6" x14ac:dyDescent="0.25">
      <c r="B711" s="6"/>
      <c r="C711" s="6"/>
      <c r="D711" s="6"/>
      <c r="E711" s="6"/>
      <c r="F711" s="6"/>
    </row>
    <row r="712" spans="2:6" x14ac:dyDescent="0.25">
      <c r="B712" s="6"/>
      <c r="C712" s="6"/>
      <c r="D712" s="6"/>
      <c r="E712" s="6"/>
      <c r="F712" s="6"/>
    </row>
    <row r="713" spans="2:6" x14ac:dyDescent="0.25">
      <c r="B713" s="6"/>
      <c r="C713" s="6"/>
      <c r="D713" s="6"/>
      <c r="E713" s="6"/>
      <c r="F713" s="6"/>
    </row>
    <row r="714" spans="2:6" x14ac:dyDescent="0.25">
      <c r="B714" s="6"/>
      <c r="C714" s="6"/>
      <c r="D714" s="6"/>
      <c r="E714" s="6"/>
      <c r="F714" s="6"/>
    </row>
    <row r="715" spans="2:6" x14ac:dyDescent="0.25">
      <c r="B715" s="6"/>
      <c r="C715" s="6"/>
      <c r="D715" s="6"/>
      <c r="E715" s="6"/>
      <c r="F715" s="6"/>
    </row>
    <row r="716" spans="2:6" x14ac:dyDescent="0.25">
      <c r="B716" s="6"/>
      <c r="C716" s="6"/>
      <c r="D716" s="6"/>
      <c r="E716" s="6"/>
      <c r="F716" s="6"/>
    </row>
    <row r="717" spans="2:6" x14ac:dyDescent="0.25">
      <c r="B717" s="6"/>
      <c r="C717" s="6"/>
      <c r="D717" s="6"/>
      <c r="E717" s="6"/>
      <c r="F717" s="6"/>
    </row>
    <row r="718" spans="2:6" x14ac:dyDescent="0.25">
      <c r="B718" s="6"/>
      <c r="C718" s="6"/>
      <c r="D718" s="6"/>
      <c r="E718" s="6"/>
      <c r="F718" s="6"/>
    </row>
    <row r="719" spans="2:6" x14ac:dyDescent="0.25">
      <c r="B719" s="6"/>
      <c r="C719" s="6"/>
      <c r="D719" s="6"/>
      <c r="E719" s="6"/>
      <c r="F719" s="6"/>
    </row>
    <row r="720" spans="2:6" x14ac:dyDescent="0.25">
      <c r="B720" s="6"/>
      <c r="C720" s="6"/>
      <c r="D720" s="6"/>
      <c r="E720" s="6"/>
      <c r="F720" s="6"/>
    </row>
    <row r="721" spans="2:6" x14ac:dyDescent="0.25">
      <c r="B721" s="6"/>
      <c r="C721" s="6"/>
      <c r="D721" s="6"/>
      <c r="E721" s="6"/>
      <c r="F721" s="6"/>
    </row>
    <row r="722" spans="2:6" x14ac:dyDescent="0.25">
      <c r="B722" s="6"/>
      <c r="C722" s="6"/>
      <c r="D722" s="6"/>
      <c r="E722" s="6"/>
      <c r="F722" s="6"/>
    </row>
    <row r="723" spans="2:6" x14ac:dyDescent="0.25">
      <c r="B723" s="6"/>
      <c r="C723" s="6"/>
      <c r="D723" s="6"/>
      <c r="E723" s="6"/>
      <c r="F723" s="6"/>
    </row>
    <row r="724" spans="2:6" x14ac:dyDescent="0.25">
      <c r="B724" s="6"/>
      <c r="C724" s="6"/>
      <c r="D724" s="6"/>
      <c r="E724" s="6"/>
      <c r="F724" s="6"/>
    </row>
    <row r="725" spans="2:6" x14ac:dyDescent="0.25">
      <c r="B725" s="6"/>
      <c r="C725" s="6"/>
      <c r="D725" s="6"/>
      <c r="E725" s="6"/>
      <c r="F725" s="6"/>
    </row>
    <row r="726" spans="2:6" x14ac:dyDescent="0.25">
      <c r="B726" s="6"/>
      <c r="C726" s="6"/>
      <c r="D726" s="6"/>
      <c r="E726" s="6"/>
      <c r="F726" s="6"/>
    </row>
    <row r="727" spans="2:6" x14ac:dyDescent="0.25">
      <c r="B727" s="6"/>
      <c r="C727" s="6"/>
      <c r="D727" s="6"/>
      <c r="E727" s="6"/>
      <c r="F727" s="6"/>
    </row>
    <row r="728" spans="2:6" x14ac:dyDescent="0.25">
      <c r="B728" s="6"/>
      <c r="C728" s="6"/>
      <c r="D728" s="6"/>
      <c r="E728" s="6"/>
      <c r="F728" s="6"/>
    </row>
    <row r="729" spans="2:6" x14ac:dyDescent="0.25">
      <c r="B729" s="6"/>
      <c r="C729" s="6"/>
      <c r="D729" s="6"/>
      <c r="E729" s="6"/>
      <c r="F729" s="6"/>
    </row>
    <row r="730" spans="2:6" x14ac:dyDescent="0.25">
      <c r="B730" s="6"/>
      <c r="C730" s="6"/>
      <c r="D730" s="6"/>
      <c r="E730" s="6"/>
      <c r="F730" s="6"/>
    </row>
    <row r="731" spans="2:6" x14ac:dyDescent="0.25">
      <c r="B731" s="6"/>
      <c r="C731" s="6"/>
      <c r="D731" s="6"/>
      <c r="E731" s="6"/>
      <c r="F731" s="6"/>
    </row>
    <row r="732" spans="2:6" x14ac:dyDescent="0.25">
      <c r="B732" s="6"/>
      <c r="C732" s="6"/>
      <c r="D732" s="6"/>
      <c r="E732" s="6"/>
      <c r="F732" s="6"/>
    </row>
    <row r="733" spans="2:6" x14ac:dyDescent="0.25">
      <c r="B733" s="6"/>
      <c r="C733" s="6"/>
      <c r="D733" s="6"/>
      <c r="E733" s="6"/>
      <c r="F733" s="6"/>
    </row>
    <row r="734" spans="2:6" x14ac:dyDescent="0.25">
      <c r="B734" s="6"/>
      <c r="C734" s="6"/>
      <c r="D734" s="6"/>
      <c r="E734" s="6"/>
      <c r="F734" s="6"/>
    </row>
    <row r="735" spans="2:6" x14ac:dyDescent="0.25">
      <c r="B735" s="6"/>
      <c r="C735" s="6"/>
      <c r="D735" s="6"/>
      <c r="E735" s="6"/>
      <c r="F735" s="6"/>
    </row>
    <row r="736" spans="2:6" x14ac:dyDescent="0.25">
      <c r="B736" s="6"/>
      <c r="C736" s="6"/>
      <c r="D736" s="6"/>
      <c r="E736" s="6"/>
      <c r="F736" s="6"/>
    </row>
    <row r="737" spans="2:6" x14ac:dyDescent="0.25">
      <c r="B737" s="6"/>
      <c r="C737" s="6"/>
      <c r="D737" s="6"/>
      <c r="E737" s="6"/>
      <c r="F737" s="6"/>
    </row>
    <row r="738" spans="2:6" x14ac:dyDescent="0.25">
      <c r="B738" s="6"/>
      <c r="C738" s="6"/>
      <c r="D738" s="6"/>
      <c r="E738" s="6"/>
      <c r="F738" s="6"/>
    </row>
    <row r="739" spans="2:6" x14ac:dyDescent="0.25">
      <c r="B739" s="6"/>
      <c r="C739" s="6"/>
      <c r="D739" s="6"/>
      <c r="E739" s="6"/>
      <c r="F739" s="6"/>
    </row>
    <row r="740" spans="2:6" x14ac:dyDescent="0.25">
      <c r="B740" s="6"/>
      <c r="C740" s="6"/>
      <c r="D740" s="6"/>
      <c r="E740" s="6"/>
      <c r="F740" s="6"/>
    </row>
    <row r="741" spans="2:6" x14ac:dyDescent="0.25">
      <c r="B741" s="6"/>
      <c r="C741" s="6"/>
      <c r="D741" s="6"/>
      <c r="E741" s="6"/>
      <c r="F741" s="6"/>
    </row>
    <row r="742" spans="2:6" x14ac:dyDescent="0.25">
      <c r="B742" s="6"/>
      <c r="C742" s="6"/>
      <c r="D742" s="6"/>
      <c r="E742" s="6"/>
      <c r="F742" s="6"/>
    </row>
    <row r="743" spans="2:6" x14ac:dyDescent="0.25">
      <c r="B743" s="6"/>
      <c r="C743" s="6"/>
      <c r="D743" s="6"/>
      <c r="E743" s="6"/>
      <c r="F743" s="6"/>
    </row>
    <row r="744" spans="2:6" x14ac:dyDescent="0.25">
      <c r="B744" s="6"/>
      <c r="C744" s="6"/>
      <c r="D744" s="6"/>
      <c r="E744" s="6"/>
      <c r="F744" s="6"/>
    </row>
    <row r="745" spans="2:6" x14ac:dyDescent="0.25">
      <c r="B745" s="6"/>
      <c r="C745" s="6"/>
      <c r="D745" s="6"/>
      <c r="E745" s="6"/>
      <c r="F745" s="6"/>
    </row>
    <row r="746" spans="2:6" x14ac:dyDescent="0.25">
      <c r="B746" s="6"/>
      <c r="C746" s="6"/>
      <c r="D746" s="6"/>
      <c r="E746" s="6"/>
      <c r="F746" s="6"/>
    </row>
    <row r="747" spans="2:6" x14ac:dyDescent="0.25">
      <c r="B747" s="6"/>
      <c r="C747" s="6"/>
      <c r="D747" s="6"/>
      <c r="E747" s="6"/>
      <c r="F747" s="6"/>
    </row>
    <row r="748" spans="2:6" x14ac:dyDescent="0.25">
      <c r="B748" s="6"/>
      <c r="C748" s="6"/>
      <c r="D748" s="6"/>
      <c r="E748" s="6"/>
      <c r="F748" s="6"/>
    </row>
    <row r="749" spans="2:6" x14ac:dyDescent="0.25">
      <c r="B749" s="6"/>
      <c r="C749" s="6"/>
      <c r="D749" s="6"/>
      <c r="E749" s="6"/>
      <c r="F749" s="6"/>
    </row>
    <row r="750" spans="2:6" x14ac:dyDescent="0.25">
      <c r="B750" s="6"/>
      <c r="C750" s="6"/>
      <c r="D750" s="6"/>
      <c r="E750" s="6"/>
      <c r="F750" s="6"/>
    </row>
    <row r="751" spans="2:6" x14ac:dyDescent="0.25">
      <c r="B751" s="6"/>
      <c r="C751" s="6"/>
      <c r="D751" s="6"/>
      <c r="E751" s="6"/>
      <c r="F751" s="6"/>
    </row>
    <row r="752" spans="2:6" x14ac:dyDescent="0.25">
      <c r="B752" s="6"/>
      <c r="C752" s="6"/>
      <c r="D752" s="6"/>
      <c r="E752" s="6"/>
      <c r="F752" s="6"/>
    </row>
    <row r="753" spans="2:6" x14ac:dyDescent="0.25">
      <c r="B753" s="6"/>
      <c r="C753" s="6"/>
      <c r="D753" s="6"/>
      <c r="E753" s="6"/>
      <c r="F753" s="6"/>
    </row>
    <row r="754" spans="2:6" x14ac:dyDescent="0.25">
      <c r="B754" s="6"/>
      <c r="C754" s="6"/>
      <c r="D754" s="6"/>
      <c r="E754" s="6"/>
      <c r="F754" s="6"/>
    </row>
    <row r="755" spans="2:6" x14ac:dyDescent="0.25">
      <c r="B755" s="6"/>
      <c r="C755" s="6"/>
      <c r="D755" s="6"/>
      <c r="E755" s="6"/>
      <c r="F755" s="6"/>
    </row>
    <row r="756" spans="2:6" x14ac:dyDescent="0.25">
      <c r="B756" s="6"/>
      <c r="C756" s="6"/>
      <c r="D756" s="6"/>
      <c r="E756" s="6"/>
      <c r="F756" s="6"/>
    </row>
    <row r="757" spans="2:6" x14ac:dyDescent="0.25">
      <c r="B757" s="6"/>
      <c r="C757" s="6"/>
      <c r="D757" s="6"/>
      <c r="E757" s="6"/>
      <c r="F757" s="6"/>
    </row>
    <row r="758" spans="2:6" x14ac:dyDescent="0.25">
      <c r="B758" s="6"/>
      <c r="C758" s="6"/>
      <c r="D758" s="6"/>
      <c r="E758" s="6"/>
      <c r="F758" s="6"/>
    </row>
    <row r="759" spans="2:6" x14ac:dyDescent="0.25">
      <c r="B759" s="6"/>
      <c r="C759" s="6"/>
      <c r="D759" s="6"/>
      <c r="E759" s="6"/>
      <c r="F759" s="6"/>
    </row>
    <row r="760" spans="2:6" x14ac:dyDescent="0.25">
      <c r="B760" s="6"/>
      <c r="C760" s="6"/>
      <c r="D760" s="6"/>
      <c r="E760" s="6"/>
      <c r="F760" s="6"/>
    </row>
    <row r="761" spans="2:6" x14ac:dyDescent="0.25">
      <c r="B761" s="6"/>
      <c r="C761" s="6"/>
      <c r="D761" s="6"/>
      <c r="E761" s="6"/>
      <c r="F761" s="6"/>
    </row>
    <row r="762" spans="2:6" x14ac:dyDescent="0.25">
      <c r="B762" s="6"/>
      <c r="C762" s="6"/>
      <c r="D762" s="6"/>
      <c r="E762" s="6"/>
      <c r="F762" s="6"/>
    </row>
    <row r="763" spans="2:6" x14ac:dyDescent="0.25">
      <c r="B763" s="6"/>
      <c r="C763" s="6"/>
      <c r="D763" s="6"/>
      <c r="E763" s="6"/>
      <c r="F763" s="6"/>
    </row>
    <row r="764" spans="2:6" x14ac:dyDescent="0.25">
      <c r="B764" s="6"/>
      <c r="C764" s="6"/>
      <c r="D764" s="6"/>
      <c r="E764" s="6"/>
      <c r="F764" s="6"/>
    </row>
    <row r="765" spans="2:6" x14ac:dyDescent="0.25">
      <c r="B765" s="6"/>
      <c r="C765" s="6"/>
      <c r="D765" s="6"/>
      <c r="E765" s="6"/>
      <c r="F765" s="6"/>
    </row>
    <row r="766" spans="2:6" x14ac:dyDescent="0.25">
      <c r="B766" s="6"/>
      <c r="C766" s="6"/>
      <c r="D766" s="6"/>
      <c r="E766" s="6"/>
      <c r="F766" s="6"/>
    </row>
    <row r="767" spans="2:6" x14ac:dyDescent="0.25">
      <c r="B767" s="6"/>
      <c r="C767" s="6"/>
      <c r="D767" s="6"/>
      <c r="E767" s="6"/>
      <c r="F767" s="6"/>
    </row>
    <row r="768" spans="2:6" x14ac:dyDescent="0.25">
      <c r="B768" s="6"/>
      <c r="C768" s="6"/>
      <c r="D768" s="6"/>
      <c r="E768" s="6"/>
      <c r="F768" s="6"/>
    </row>
    <row r="769" spans="2:6" x14ac:dyDescent="0.25">
      <c r="B769" s="6"/>
      <c r="C769" s="6"/>
      <c r="D769" s="6"/>
      <c r="E769" s="6"/>
      <c r="F769" s="6"/>
    </row>
    <row r="770" spans="2:6" x14ac:dyDescent="0.25">
      <c r="B770" s="6"/>
      <c r="C770" s="6"/>
      <c r="D770" s="6"/>
      <c r="E770" s="6"/>
      <c r="F770" s="6"/>
    </row>
    <row r="771" spans="2:6" x14ac:dyDescent="0.25">
      <c r="B771" s="6"/>
      <c r="C771" s="6"/>
      <c r="D771" s="6"/>
      <c r="E771" s="6"/>
      <c r="F771" s="6"/>
    </row>
    <row r="772" spans="2:6" x14ac:dyDescent="0.25">
      <c r="B772" s="6"/>
      <c r="C772" s="6"/>
      <c r="D772" s="6"/>
      <c r="E772" s="6"/>
      <c r="F772" s="6"/>
    </row>
    <row r="773" spans="2:6" x14ac:dyDescent="0.25">
      <c r="B773" s="6"/>
      <c r="C773" s="6"/>
      <c r="D773" s="6"/>
      <c r="E773" s="6"/>
      <c r="F773" s="6"/>
    </row>
    <row r="774" spans="2:6" x14ac:dyDescent="0.25">
      <c r="B774" s="6"/>
      <c r="C774" s="6"/>
      <c r="D774" s="6"/>
      <c r="E774" s="6"/>
      <c r="F774" s="6"/>
    </row>
    <row r="775" spans="2:6" x14ac:dyDescent="0.25">
      <c r="B775" s="6"/>
      <c r="C775" s="6"/>
      <c r="D775" s="6"/>
      <c r="E775" s="6"/>
      <c r="F775" s="6"/>
    </row>
    <row r="776" spans="2:6" x14ac:dyDescent="0.25">
      <c r="B776" s="6"/>
      <c r="C776" s="6"/>
      <c r="D776" s="6"/>
      <c r="E776" s="6"/>
      <c r="F776" s="6"/>
    </row>
    <row r="777" spans="2:6" x14ac:dyDescent="0.25">
      <c r="B777" s="6"/>
      <c r="C777" s="6"/>
      <c r="D777" s="6"/>
      <c r="E777" s="6"/>
      <c r="F777" s="6"/>
    </row>
    <row r="778" spans="2:6" x14ac:dyDescent="0.25">
      <c r="B778" s="6"/>
      <c r="C778" s="6"/>
      <c r="D778" s="6"/>
      <c r="E778" s="6"/>
      <c r="F778" s="6"/>
    </row>
    <row r="779" spans="2:6" x14ac:dyDescent="0.25">
      <c r="B779" s="6"/>
      <c r="C779" s="6"/>
      <c r="D779" s="6"/>
      <c r="E779" s="6"/>
      <c r="F779" s="6"/>
    </row>
    <row r="780" spans="2:6" x14ac:dyDescent="0.25">
      <c r="B780" s="6"/>
      <c r="C780" s="6"/>
      <c r="D780" s="6"/>
      <c r="E780" s="6"/>
      <c r="F780" s="6"/>
    </row>
    <row r="781" spans="2:6" x14ac:dyDescent="0.25">
      <c r="B781" s="6"/>
      <c r="C781" s="6"/>
      <c r="D781" s="6"/>
      <c r="E781" s="6"/>
      <c r="F781" s="6"/>
    </row>
    <row r="782" spans="2:6" x14ac:dyDescent="0.25">
      <c r="B782" s="6"/>
      <c r="C782" s="6"/>
      <c r="D782" s="6"/>
      <c r="E782" s="6"/>
      <c r="F782" s="6"/>
    </row>
    <row r="783" spans="2:6" x14ac:dyDescent="0.25">
      <c r="B783" s="6"/>
      <c r="C783" s="6"/>
      <c r="D783" s="6"/>
      <c r="E783" s="6"/>
      <c r="F783" s="6"/>
    </row>
    <row r="784" spans="2:6" x14ac:dyDescent="0.25">
      <c r="B784" s="6"/>
      <c r="C784" s="6"/>
      <c r="D784" s="6"/>
      <c r="E784" s="6"/>
      <c r="F784" s="6"/>
    </row>
    <row r="785" spans="2:6" x14ac:dyDescent="0.25">
      <c r="B785" s="6"/>
      <c r="C785" s="6"/>
      <c r="D785" s="6"/>
      <c r="E785" s="6"/>
      <c r="F785" s="6"/>
    </row>
    <row r="786" spans="2:6" x14ac:dyDescent="0.25">
      <c r="B786" s="6"/>
      <c r="C786" s="6"/>
      <c r="D786" s="6"/>
      <c r="E786" s="6"/>
      <c r="F786" s="6"/>
    </row>
    <row r="787" spans="2:6" x14ac:dyDescent="0.25">
      <c r="B787" s="6"/>
      <c r="C787" s="6"/>
      <c r="D787" s="6"/>
      <c r="E787" s="6"/>
      <c r="F787" s="6"/>
    </row>
    <row r="788" spans="2:6" x14ac:dyDescent="0.25">
      <c r="B788" s="6"/>
      <c r="C788" s="6"/>
      <c r="D788" s="6"/>
      <c r="E788" s="6"/>
      <c r="F788" s="6"/>
    </row>
    <row r="789" spans="2:6" x14ac:dyDescent="0.25">
      <c r="B789" s="6"/>
      <c r="C789" s="6"/>
      <c r="D789" s="6"/>
      <c r="E789" s="6"/>
      <c r="F789" s="6"/>
    </row>
    <row r="790" spans="2:6" x14ac:dyDescent="0.25">
      <c r="B790" s="6"/>
      <c r="C790" s="6"/>
      <c r="D790" s="6"/>
      <c r="E790" s="6"/>
      <c r="F790" s="6"/>
    </row>
    <row r="791" spans="2:6" x14ac:dyDescent="0.25">
      <c r="B791" s="6"/>
      <c r="C791" s="6"/>
      <c r="D791" s="6"/>
      <c r="E791" s="6"/>
      <c r="F791" s="6"/>
    </row>
    <row r="792" spans="2:6" x14ac:dyDescent="0.25">
      <c r="B792" s="6"/>
      <c r="C792" s="6"/>
      <c r="D792" s="6"/>
      <c r="E792" s="6"/>
      <c r="F792" s="6"/>
    </row>
    <row r="793" spans="2:6" x14ac:dyDescent="0.25">
      <c r="B793" s="6"/>
      <c r="C793" s="6"/>
      <c r="D793" s="6"/>
      <c r="E793" s="6"/>
      <c r="F793" s="6"/>
    </row>
    <row r="794" spans="2:6" x14ac:dyDescent="0.25">
      <c r="B794" s="6"/>
      <c r="C794" s="6"/>
      <c r="D794" s="6"/>
      <c r="E794" s="6"/>
      <c r="F794" s="6"/>
    </row>
    <row r="795" spans="2:6" x14ac:dyDescent="0.25">
      <c r="B795" s="6"/>
      <c r="C795" s="6"/>
      <c r="D795" s="6"/>
      <c r="E795" s="6"/>
      <c r="F795" s="6"/>
    </row>
    <row r="796" spans="2:6" x14ac:dyDescent="0.25">
      <c r="B796" s="6"/>
      <c r="C796" s="6"/>
      <c r="D796" s="6"/>
      <c r="E796" s="6"/>
      <c r="F796" s="6"/>
    </row>
    <row r="797" spans="2:6" x14ac:dyDescent="0.25">
      <c r="B797" s="6"/>
      <c r="C797" s="6"/>
      <c r="D797" s="6"/>
      <c r="E797" s="6"/>
      <c r="F797" s="6"/>
    </row>
    <row r="798" spans="2:6" x14ac:dyDescent="0.25">
      <c r="B798" s="6"/>
      <c r="C798" s="6"/>
      <c r="D798" s="6"/>
      <c r="E798" s="6"/>
      <c r="F798" s="6"/>
    </row>
    <row r="799" spans="2:6" x14ac:dyDescent="0.25">
      <c r="B799" s="6"/>
      <c r="C799" s="6"/>
      <c r="D799" s="6"/>
      <c r="E799" s="6"/>
      <c r="F799" s="6"/>
    </row>
    <row r="800" spans="2:6" x14ac:dyDescent="0.25">
      <c r="B800" s="6"/>
      <c r="C800" s="6"/>
      <c r="D800" s="6"/>
      <c r="E800" s="6"/>
      <c r="F800" s="6"/>
    </row>
    <row r="801" spans="2:6" x14ac:dyDescent="0.25">
      <c r="B801" s="6"/>
      <c r="C801" s="6"/>
      <c r="D801" s="6"/>
      <c r="E801" s="6"/>
      <c r="F801" s="6"/>
    </row>
    <row r="802" spans="2:6" x14ac:dyDescent="0.25">
      <c r="B802" s="6"/>
      <c r="C802" s="6"/>
      <c r="D802" s="6"/>
      <c r="E802" s="6"/>
      <c r="F802" s="6"/>
    </row>
    <row r="803" spans="2:6" x14ac:dyDescent="0.25">
      <c r="B803" s="6"/>
      <c r="C803" s="6"/>
      <c r="D803" s="6"/>
      <c r="E803" s="6"/>
      <c r="F803" s="6"/>
    </row>
    <row r="804" spans="2:6" x14ac:dyDescent="0.25">
      <c r="B804" s="6"/>
      <c r="C804" s="6"/>
      <c r="D804" s="6"/>
      <c r="E804" s="6"/>
      <c r="F804" s="6"/>
    </row>
    <row r="805" spans="2:6" x14ac:dyDescent="0.25">
      <c r="B805" s="6"/>
      <c r="C805" s="6"/>
      <c r="D805" s="6"/>
      <c r="E805" s="6"/>
      <c r="F805" s="6"/>
    </row>
    <row r="806" spans="2:6" x14ac:dyDescent="0.25">
      <c r="B806" s="6"/>
      <c r="C806" s="6"/>
      <c r="D806" s="6"/>
      <c r="E806" s="6"/>
      <c r="F806" s="6"/>
    </row>
    <row r="807" spans="2:6" x14ac:dyDescent="0.25">
      <c r="B807" s="6"/>
      <c r="C807" s="6"/>
      <c r="D807" s="6"/>
      <c r="E807" s="6"/>
      <c r="F807" s="6"/>
    </row>
    <row r="808" spans="2:6" x14ac:dyDescent="0.25">
      <c r="B808" s="6"/>
      <c r="C808" s="6"/>
      <c r="D808" s="6"/>
      <c r="E808" s="6"/>
      <c r="F808" s="6"/>
    </row>
    <row r="809" spans="2:6" x14ac:dyDescent="0.25">
      <c r="B809" s="6"/>
      <c r="C809" s="6"/>
      <c r="D809" s="6"/>
      <c r="E809" s="6"/>
      <c r="F809" s="6"/>
    </row>
    <row r="810" spans="2:6" x14ac:dyDescent="0.25">
      <c r="B810" s="6"/>
      <c r="C810" s="6"/>
      <c r="D810" s="6"/>
      <c r="E810" s="6"/>
      <c r="F810" s="6"/>
    </row>
    <row r="811" spans="2:6" x14ac:dyDescent="0.25">
      <c r="B811" s="6"/>
      <c r="C811" s="6"/>
      <c r="D811" s="6"/>
      <c r="E811" s="6"/>
      <c r="F811" s="6"/>
    </row>
    <row r="812" spans="2:6" x14ac:dyDescent="0.25">
      <c r="B812" s="6"/>
      <c r="C812" s="6"/>
      <c r="D812" s="6"/>
      <c r="E812" s="6"/>
      <c r="F812" s="6"/>
    </row>
    <row r="813" spans="2:6" x14ac:dyDescent="0.25">
      <c r="B813" s="6"/>
      <c r="C813" s="6"/>
      <c r="D813" s="6"/>
      <c r="E813" s="6"/>
      <c r="F813" s="6"/>
    </row>
    <row r="814" spans="2:6" x14ac:dyDescent="0.25">
      <c r="B814" s="6"/>
      <c r="C814" s="6"/>
      <c r="D814" s="6"/>
      <c r="E814" s="6"/>
      <c r="F814" s="6"/>
    </row>
    <row r="815" spans="2:6" x14ac:dyDescent="0.25">
      <c r="B815" s="6"/>
      <c r="C815" s="6"/>
      <c r="D815" s="6"/>
      <c r="E815" s="6"/>
      <c r="F815" s="6"/>
    </row>
    <row r="816" spans="2:6" x14ac:dyDescent="0.25">
      <c r="B816" s="6"/>
      <c r="C816" s="6"/>
      <c r="D816" s="6"/>
      <c r="E816" s="6"/>
      <c r="F816" s="6"/>
    </row>
    <row r="817" spans="2:6" x14ac:dyDescent="0.25">
      <c r="B817" s="6"/>
      <c r="C817" s="6"/>
      <c r="D817" s="6"/>
      <c r="E817" s="6"/>
      <c r="F817" s="6"/>
    </row>
    <row r="818" spans="2:6" x14ac:dyDescent="0.25">
      <c r="B818" s="6"/>
      <c r="C818" s="6"/>
      <c r="D818" s="6"/>
      <c r="E818" s="6"/>
      <c r="F818" s="6"/>
    </row>
    <row r="819" spans="2:6" x14ac:dyDescent="0.25">
      <c r="B819" s="6"/>
      <c r="C819" s="6"/>
      <c r="D819" s="6"/>
      <c r="E819" s="6"/>
      <c r="F819" s="6"/>
    </row>
    <row r="820" spans="2:6" x14ac:dyDescent="0.25">
      <c r="B820" s="6"/>
      <c r="C820" s="6"/>
      <c r="D820" s="6"/>
      <c r="E820" s="6"/>
      <c r="F820" s="6"/>
    </row>
    <row r="821" spans="2:6" x14ac:dyDescent="0.25">
      <c r="B821" s="6"/>
      <c r="C821" s="6"/>
      <c r="D821" s="6"/>
      <c r="E821" s="6"/>
      <c r="F821" s="6"/>
    </row>
    <row r="822" spans="2:6" x14ac:dyDescent="0.25">
      <c r="B822" s="6"/>
      <c r="C822" s="6"/>
      <c r="D822" s="6"/>
      <c r="E822" s="6"/>
      <c r="F822" s="6"/>
    </row>
    <row r="823" spans="2:6" x14ac:dyDescent="0.25">
      <c r="B823" s="6"/>
      <c r="C823" s="6"/>
      <c r="D823" s="6"/>
      <c r="E823" s="6"/>
      <c r="F823" s="6"/>
    </row>
    <row r="824" spans="2:6" x14ac:dyDescent="0.25">
      <c r="B824" s="6"/>
      <c r="C824" s="6"/>
      <c r="D824" s="6"/>
      <c r="E824" s="6"/>
      <c r="F824" s="6"/>
    </row>
    <row r="825" spans="2:6" x14ac:dyDescent="0.25">
      <c r="B825" s="6"/>
      <c r="C825" s="6"/>
      <c r="D825" s="6"/>
      <c r="E825" s="6"/>
      <c r="F825" s="6"/>
    </row>
    <row r="826" spans="2:6" x14ac:dyDescent="0.25">
      <c r="B826" s="6"/>
      <c r="C826" s="6"/>
      <c r="D826" s="6"/>
      <c r="E826" s="6"/>
      <c r="F826" s="6"/>
    </row>
    <row r="827" spans="2:6" x14ac:dyDescent="0.25">
      <c r="B827" s="6"/>
      <c r="C827" s="6"/>
      <c r="D827" s="6"/>
      <c r="E827" s="6"/>
      <c r="F827" s="6"/>
    </row>
    <row r="828" spans="2:6" x14ac:dyDescent="0.25">
      <c r="B828" s="6"/>
      <c r="C828" s="6"/>
      <c r="D828" s="6"/>
      <c r="E828" s="6"/>
      <c r="F828" s="6"/>
    </row>
    <row r="829" spans="2:6" x14ac:dyDescent="0.25">
      <c r="B829" s="6"/>
      <c r="C829" s="6"/>
      <c r="D829" s="6"/>
      <c r="E829" s="6"/>
      <c r="F829" s="6"/>
    </row>
    <row r="830" spans="2:6" x14ac:dyDescent="0.25">
      <c r="B830" s="6"/>
      <c r="C830" s="6"/>
      <c r="D830" s="6"/>
      <c r="E830" s="6"/>
      <c r="F830" s="6"/>
    </row>
    <row r="831" spans="2:6" x14ac:dyDescent="0.25">
      <c r="B831" s="6"/>
      <c r="C831" s="6"/>
      <c r="D831" s="6"/>
      <c r="E831" s="6"/>
      <c r="F831" s="6"/>
    </row>
    <row r="832" spans="2:6" x14ac:dyDescent="0.25">
      <c r="B832" s="6"/>
      <c r="C832" s="6"/>
      <c r="D832" s="6"/>
      <c r="E832" s="6"/>
      <c r="F832" s="6"/>
    </row>
    <row r="833" spans="2:6" x14ac:dyDescent="0.25">
      <c r="B833" s="6"/>
      <c r="C833" s="6"/>
      <c r="D833" s="6"/>
      <c r="E833" s="6"/>
      <c r="F833" s="6"/>
    </row>
    <row r="834" spans="2:6" x14ac:dyDescent="0.25">
      <c r="B834" s="6"/>
      <c r="C834" s="6"/>
      <c r="D834" s="6"/>
      <c r="E834" s="6"/>
      <c r="F834" s="6"/>
    </row>
    <row r="835" spans="2:6" x14ac:dyDescent="0.25">
      <c r="B835" s="6"/>
      <c r="C835" s="6"/>
      <c r="D835" s="6"/>
      <c r="E835" s="6"/>
      <c r="F835" s="6"/>
    </row>
    <row r="836" spans="2:6" x14ac:dyDescent="0.25">
      <c r="B836" s="6"/>
      <c r="C836" s="6"/>
      <c r="D836" s="6"/>
      <c r="E836" s="6"/>
      <c r="F836" s="6"/>
    </row>
    <row r="837" spans="2:6" x14ac:dyDescent="0.25">
      <c r="B837" s="6"/>
      <c r="C837" s="6"/>
      <c r="D837" s="6"/>
      <c r="E837" s="6"/>
      <c r="F837" s="6"/>
    </row>
    <row r="838" spans="2:6" x14ac:dyDescent="0.25">
      <c r="B838" s="6"/>
      <c r="C838" s="6"/>
      <c r="D838" s="6"/>
      <c r="E838" s="6"/>
      <c r="F838" s="6"/>
    </row>
    <row r="839" spans="2:6" x14ac:dyDescent="0.25">
      <c r="B839" s="6"/>
      <c r="C839" s="6"/>
      <c r="D839" s="6"/>
      <c r="E839" s="6"/>
      <c r="F839" s="6"/>
    </row>
    <row r="840" spans="2:6" x14ac:dyDescent="0.25">
      <c r="B840" s="6"/>
      <c r="C840" s="6"/>
      <c r="D840" s="6"/>
      <c r="E840" s="6"/>
      <c r="F840" s="6"/>
    </row>
    <row r="841" spans="2:6" x14ac:dyDescent="0.25">
      <c r="B841" s="6"/>
      <c r="C841" s="6"/>
      <c r="D841" s="6"/>
      <c r="E841" s="6"/>
      <c r="F841" s="6"/>
    </row>
    <row r="842" spans="2:6" x14ac:dyDescent="0.25">
      <c r="B842" s="6"/>
      <c r="C842" s="6"/>
      <c r="D842" s="6"/>
      <c r="E842" s="6"/>
      <c r="F842" s="6"/>
    </row>
    <row r="843" spans="2:6" x14ac:dyDescent="0.25">
      <c r="B843" s="6"/>
      <c r="C843" s="6"/>
      <c r="D843" s="6"/>
      <c r="E843" s="6"/>
      <c r="F843" s="6"/>
    </row>
    <row r="844" spans="2:6" x14ac:dyDescent="0.25">
      <c r="B844" s="6"/>
      <c r="C844" s="6"/>
      <c r="D844" s="6"/>
      <c r="E844" s="6"/>
      <c r="F844" s="6"/>
    </row>
    <row r="845" spans="2:6" x14ac:dyDescent="0.25">
      <c r="B845" s="6"/>
      <c r="C845" s="6"/>
      <c r="D845" s="6"/>
      <c r="E845" s="6"/>
      <c r="F845" s="6"/>
    </row>
    <row r="846" spans="2:6" x14ac:dyDescent="0.25">
      <c r="B846" s="6"/>
      <c r="C846" s="6"/>
      <c r="D846" s="6"/>
      <c r="E846" s="6"/>
      <c r="F846" s="6"/>
    </row>
    <row r="847" spans="2:6" x14ac:dyDescent="0.25">
      <c r="B847" s="6"/>
      <c r="C847" s="6"/>
      <c r="D847" s="6"/>
      <c r="E847" s="6"/>
      <c r="F847" s="6"/>
    </row>
    <row r="848" spans="2:6" x14ac:dyDescent="0.25">
      <c r="B848" s="6"/>
      <c r="C848" s="6"/>
      <c r="D848" s="6"/>
      <c r="E848" s="6"/>
      <c r="F848" s="6"/>
    </row>
    <row r="849" spans="2:6" x14ac:dyDescent="0.25">
      <c r="B849" s="6"/>
      <c r="C849" s="6"/>
      <c r="D849" s="6"/>
      <c r="E849" s="6"/>
      <c r="F849" s="6"/>
    </row>
    <row r="850" spans="2:6" x14ac:dyDescent="0.25">
      <c r="B850" s="6"/>
      <c r="C850" s="6"/>
      <c r="D850" s="6"/>
      <c r="E850" s="6"/>
      <c r="F850" s="6"/>
    </row>
    <row r="851" spans="2:6" x14ac:dyDescent="0.25">
      <c r="B851" s="6"/>
      <c r="C851" s="6"/>
      <c r="D851" s="6"/>
      <c r="E851" s="6"/>
      <c r="F851" s="6"/>
    </row>
    <row r="852" spans="2:6" x14ac:dyDescent="0.25">
      <c r="B852" s="6"/>
      <c r="C852" s="6"/>
      <c r="D852" s="6"/>
      <c r="E852" s="6"/>
      <c r="F852" s="6"/>
    </row>
    <row r="853" spans="2:6" x14ac:dyDescent="0.25">
      <c r="B853" s="6"/>
      <c r="C853" s="6"/>
      <c r="D853" s="6"/>
      <c r="E853" s="6"/>
      <c r="F853" s="6"/>
    </row>
    <row r="854" spans="2:6" x14ac:dyDescent="0.25">
      <c r="B854" s="6"/>
      <c r="C854" s="6"/>
      <c r="D854" s="6"/>
      <c r="E854" s="6"/>
      <c r="F854" s="6"/>
    </row>
    <row r="855" spans="2:6" x14ac:dyDescent="0.25">
      <c r="B855" s="6"/>
      <c r="C855" s="6"/>
      <c r="D855" s="6"/>
      <c r="E855" s="6"/>
      <c r="F855" s="6"/>
    </row>
    <row r="856" spans="2:6" x14ac:dyDescent="0.25">
      <c r="B856" s="6"/>
      <c r="C856" s="6"/>
      <c r="D856" s="6"/>
      <c r="E856" s="6"/>
      <c r="F856" s="6"/>
    </row>
    <row r="857" spans="2:6" x14ac:dyDescent="0.25">
      <c r="B857" s="6"/>
      <c r="C857" s="6"/>
      <c r="D857" s="6"/>
      <c r="E857" s="6"/>
      <c r="F857" s="6"/>
    </row>
    <row r="858" spans="2:6" x14ac:dyDescent="0.25">
      <c r="B858" s="6"/>
      <c r="C858" s="6"/>
      <c r="D858" s="6"/>
      <c r="E858" s="6"/>
      <c r="F858" s="6"/>
    </row>
    <row r="859" spans="2:6" x14ac:dyDescent="0.25">
      <c r="B859" s="6"/>
      <c r="C859" s="6"/>
      <c r="D859" s="6"/>
      <c r="E859" s="6"/>
      <c r="F859" s="6"/>
    </row>
    <row r="860" spans="2:6" x14ac:dyDescent="0.25">
      <c r="B860" s="6"/>
      <c r="C860" s="6"/>
      <c r="D860" s="6"/>
      <c r="E860" s="6"/>
      <c r="F860" s="6"/>
    </row>
    <row r="861" spans="2:6" x14ac:dyDescent="0.25">
      <c r="B861" s="6"/>
      <c r="C861" s="6"/>
      <c r="D861" s="6"/>
      <c r="E861" s="6"/>
      <c r="F861" s="6"/>
    </row>
    <row r="862" spans="2:6" x14ac:dyDescent="0.25">
      <c r="B862" s="6"/>
      <c r="C862" s="6"/>
      <c r="D862" s="6"/>
      <c r="E862" s="6"/>
      <c r="F862" s="6"/>
    </row>
    <row r="863" spans="2:6" x14ac:dyDescent="0.25">
      <c r="B863" s="6"/>
      <c r="C863" s="6"/>
      <c r="D863" s="6"/>
      <c r="E863" s="6"/>
      <c r="F863" s="6"/>
    </row>
    <row r="864" spans="2:6" x14ac:dyDescent="0.25">
      <c r="B864" s="6"/>
      <c r="C864" s="6"/>
      <c r="D864" s="6"/>
      <c r="E864" s="6"/>
      <c r="F864" s="6"/>
    </row>
    <row r="865" spans="2:6" x14ac:dyDescent="0.25">
      <c r="B865" s="6"/>
      <c r="C865" s="6"/>
      <c r="D865" s="6"/>
      <c r="E865" s="6"/>
      <c r="F865" s="6"/>
    </row>
    <row r="866" spans="2:6" x14ac:dyDescent="0.25">
      <c r="B866" s="6"/>
      <c r="C866" s="6"/>
      <c r="D866" s="6"/>
      <c r="E866" s="6"/>
      <c r="F866" s="6"/>
    </row>
    <row r="867" spans="2:6" x14ac:dyDescent="0.25">
      <c r="B867" s="6"/>
      <c r="C867" s="6"/>
      <c r="D867" s="6"/>
      <c r="E867" s="6"/>
      <c r="F867" s="6"/>
    </row>
    <row r="868" spans="2:6" x14ac:dyDescent="0.25">
      <c r="B868" s="6"/>
      <c r="C868" s="6"/>
      <c r="D868" s="6"/>
      <c r="E868" s="6"/>
      <c r="F868" s="6"/>
    </row>
    <row r="869" spans="2:6" x14ac:dyDescent="0.25">
      <c r="B869" s="6"/>
      <c r="C869" s="6"/>
      <c r="D869" s="6"/>
      <c r="E869" s="6"/>
      <c r="F869" s="6"/>
    </row>
    <row r="870" spans="2:6" x14ac:dyDescent="0.25">
      <c r="B870" s="6"/>
      <c r="C870" s="6"/>
      <c r="D870" s="6"/>
      <c r="E870" s="6"/>
      <c r="F870" s="6"/>
    </row>
    <row r="871" spans="2:6" x14ac:dyDescent="0.25">
      <c r="B871" s="6"/>
      <c r="C871" s="6"/>
      <c r="D871" s="6"/>
      <c r="E871" s="6"/>
      <c r="F871" s="6"/>
    </row>
    <row r="872" spans="2:6" x14ac:dyDescent="0.25">
      <c r="B872" s="6"/>
      <c r="C872" s="6"/>
      <c r="D872" s="6"/>
      <c r="E872" s="6"/>
      <c r="F872" s="6"/>
    </row>
    <row r="873" spans="2:6" x14ac:dyDescent="0.25">
      <c r="B873" s="6"/>
      <c r="C873" s="6"/>
      <c r="D873" s="6"/>
      <c r="E873" s="6"/>
      <c r="F873" s="6"/>
    </row>
    <row r="874" spans="2:6" x14ac:dyDescent="0.25">
      <c r="B874" s="6"/>
      <c r="C874" s="6"/>
      <c r="D874" s="6"/>
      <c r="E874" s="6"/>
      <c r="F874" s="6"/>
    </row>
    <row r="875" spans="2:6" x14ac:dyDescent="0.25">
      <c r="B875" s="6"/>
      <c r="C875" s="6"/>
      <c r="D875" s="6"/>
      <c r="E875" s="6"/>
      <c r="F875" s="6"/>
    </row>
    <row r="876" spans="2:6" x14ac:dyDescent="0.25">
      <c r="B876" s="6"/>
      <c r="C876" s="6"/>
      <c r="D876" s="6"/>
      <c r="E876" s="6"/>
      <c r="F876" s="6"/>
    </row>
    <row r="877" spans="2:6" x14ac:dyDescent="0.25">
      <c r="B877" s="6"/>
      <c r="C877" s="6"/>
      <c r="D877" s="6"/>
      <c r="E877" s="6"/>
      <c r="F877" s="6"/>
    </row>
    <row r="878" spans="2:6" x14ac:dyDescent="0.25">
      <c r="B878" s="6"/>
      <c r="C878" s="6"/>
      <c r="D878" s="6"/>
      <c r="E878" s="6"/>
      <c r="F878" s="6"/>
    </row>
    <row r="879" spans="2:6" x14ac:dyDescent="0.25">
      <c r="B879" s="6"/>
      <c r="C879" s="6"/>
      <c r="D879" s="6"/>
      <c r="E879" s="6"/>
      <c r="F879" s="6"/>
    </row>
    <row r="880" spans="2:6" x14ac:dyDescent="0.25">
      <c r="B880" s="6"/>
      <c r="C880" s="6"/>
      <c r="D880" s="6"/>
      <c r="E880" s="6"/>
      <c r="F880" s="6"/>
    </row>
    <row r="881" spans="2:6" x14ac:dyDescent="0.25">
      <c r="B881" s="6"/>
      <c r="C881" s="6"/>
      <c r="D881" s="6"/>
      <c r="E881" s="6"/>
      <c r="F881" s="6"/>
    </row>
    <row r="882" spans="2:6" x14ac:dyDescent="0.25">
      <c r="B882" s="6"/>
      <c r="C882" s="6"/>
      <c r="D882" s="6"/>
      <c r="E882" s="6"/>
      <c r="F882" s="6"/>
    </row>
    <row r="883" spans="2:6" x14ac:dyDescent="0.25">
      <c r="B883" s="6"/>
      <c r="C883" s="6"/>
      <c r="D883" s="6"/>
      <c r="E883" s="6"/>
      <c r="F883" s="6"/>
    </row>
    <row r="884" spans="2:6" x14ac:dyDescent="0.25">
      <c r="B884" s="6"/>
      <c r="C884" s="6"/>
      <c r="D884" s="6"/>
      <c r="E884" s="6"/>
      <c r="F884" s="6"/>
    </row>
    <row r="885" spans="2:6" x14ac:dyDescent="0.25">
      <c r="B885" s="6"/>
      <c r="C885" s="6"/>
      <c r="D885" s="6"/>
      <c r="E885" s="6"/>
      <c r="F885" s="6"/>
    </row>
    <row r="886" spans="2:6" x14ac:dyDescent="0.25">
      <c r="B886" s="6"/>
      <c r="C886" s="6"/>
      <c r="D886" s="6"/>
      <c r="E886" s="6"/>
      <c r="F886" s="6"/>
    </row>
    <row r="887" spans="2:6" x14ac:dyDescent="0.25">
      <c r="B887" s="6"/>
      <c r="C887" s="6"/>
      <c r="D887" s="6"/>
      <c r="E887" s="6"/>
      <c r="F887" s="6"/>
    </row>
    <row r="888" spans="2:6" x14ac:dyDescent="0.25">
      <c r="B888" s="6"/>
      <c r="C888" s="6"/>
      <c r="D888" s="6"/>
      <c r="E888" s="6"/>
      <c r="F888" s="6"/>
    </row>
    <row r="889" spans="2:6" x14ac:dyDescent="0.25">
      <c r="B889" s="6"/>
      <c r="C889" s="6"/>
      <c r="D889" s="6"/>
      <c r="E889" s="6"/>
      <c r="F889" s="6"/>
    </row>
    <row r="890" spans="2:6" x14ac:dyDescent="0.25">
      <c r="B890" s="6"/>
      <c r="C890" s="6"/>
      <c r="D890" s="6"/>
      <c r="E890" s="6"/>
      <c r="F890" s="6"/>
    </row>
    <row r="891" spans="2:6" x14ac:dyDescent="0.25">
      <c r="B891" s="6"/>
      <c r="C891" s="6"/>
      <c r="D891" s="6"/>
      <c r="E891" s="6"/>
      <c r="F891" s="6"/>
    </row>
    <row r="892" spans="2:6" x14ac:dyDescent="0.25">
      <c r="B892" s="6"/>
      <c r="C892" s="6"/>
      <c r="D892" s="6"/>
      <c r="E892" s="6"/>
      <c r="F892" s="6"/>
    </row>
    <row r="893" spans="2:6" x14ac:dyDescent="0.25">
      <c r="B893" s="6"/>
      <c r="C893" s="6"/>
      <c r="D893" s="6"/>
      <c r="E893" s="6"/>
      <c r="F893" s="6"/>
    </row>
    <row r="894" spans="2:6" x14ac:dyDescent="0.25">
      <c r="B894" s="6"/>
      <c r="C894" s="6"/>
      <c r="D894" s="6"/>
      <c r="E894" s="6"/>
      <c r="F894" s="6"/>
    </row>
    <row r="895" spans="2:6" x14ac:dyDescent="0.25">
      <c r="B895" s="6"/>
      <c r="C895" s="6"/>
      <c r="D895" s="6"/>
      <c r="E895" s="6"/>
      <c r="F895" s="6"/>
    </row>
    <row r="896" spans="2:6" x14ac:dyDescent="0.25">
      <c r="B896" s="6"/>
      <c r="C896" s="6"/>
      <c r="D896" s="6"/>
      <c r="E896" s="6"/>
      <c r="F896" s="6"/>
    </row>
    <row r="897" spans="2:6" x14ac:dyDescent="0.25">
      <c r="B897" s="6"/>
      <c r="C897" s="6"/>
      <c r="D897" s="6"/>
      <c r="E897" s="6"/>
      <c r="F897" s="6"/>
    </row>
    <row r="898" spans="2:6" x14ac:dyDescent="0.25">
      <c r="B898" s="6"/>
      <c r="C898" s="6"/>
      <c r="D898" s="6"/>
      <c r="E898" s="6"/>
      <c r="F898" s="6"/>
    </row>
    <row r="899" spans="2:6" x14ac:dyDescent="0.25">
      <c r="B899" s="6"/>
      <c r="C899" s="6"/>
      <c r="D899" s="6"/>
      <c r="E899" s="6"/>
      <c r="F899" s="6"/>
    </row>
    <row r="900" spans="2:6" x14ac:dyDescent="0.25">
      <c r="B900" s="6"/>
      <c r="C900" s="6"/>
      <c r="D900" s="6"/>
      <c r="E900" s="6"/>
      <c r="F900" s="6"/>
    </row>
    <row r="901" spans="2:6" x14ac:dyDescent="0.25">
      <c r="B901" s="6"/>
      <c r="C901" s="6"/>
      <c r="D901" s="6"/>
      <c r="E901" s="6"/>
      <c r="F901" s="6"/>
    </row>
    <row r="902" spans="2:6" x14ac:dyDescent="0.25">
      <c r="B902" s="6"/>
      <c r="C902" s="6"/>
      <c r="D902" s="6"/>
      <c r="E902" s="6"/>
      <c r="F902" s="6"/>
    </row>
    <row r="903" spans="2:6" x14ac:dyDescent="0.25">
      <c r="B903" s="6"/>
      <c r="C903" s="6"/>
      <c r="D903" s="6"/>
      <c r="E903" s="6"/>
      <c r="F903" s="6"/>
    </row>
    <row r="904" spans="2:6" x14ac:dyDescent="0.25">
      <c r="B904" s="6"/>
      <c r="C904" s="6"/>
      <c r="D904" s="6"/>
      <c r="E904" s="6"/>
      <c r="F904" s="6"/>
    </row>
    <row r="905" spans="2:6" x14ac:dyDescent="0.25">
      <c r="B905" s="6"/>
      <c r="C905" s="6"/>
      <c r="D905" s="6"/>
      <c r="E905" s="6"/>
      <c r="F905" s="6"/>
    </row>
    <row r="906" spans="2:6" x14ac:dyDescent="0.25">
      <c r="B906" s="6"/>
      <c r="C906" s="6"/>
      <c r="D906" s="6"/>
      <c r="E906" s="6"/>
      <c r="F906" s="6"/>
    </row>
    <row r="907" spans="2:6" x14ac:dyDescent="0.25">
      <c r="B907" s="6"/>
      <c r="C907" s="6"/>
      <c r="D907" s="6"/>
      <c r="E907" s="6"/>
      <c r="F907" s="6"/>
    </row>
    <row r="908" spans="2:6" x14ac:dyDescent="0.25">
      <c r="B908" s="6"/>
      <c r="C908" s="6"/>
      <c r="D908" s="6"/>
      <c r="E908" s="6"/>
      <c r="F908" s="6"/>
    </row>
    <row r="909" spans="2:6" x14ac:dyDescent="0.25">
      <c r="B909" s="6"/>
      <c r="C909" s="6"/>
      <c r="D909" s="6"/>
      <c r="E909" s="6"/>
      <c r="F909" s="6"/>
    </row>
    <row r="910" spans="2:6" x14ac:dyDescent="0.25">
      <c r="B910" s="6"/>
      <c r="C910" s="6"/>
      <c r="D910" s="6"/>
      <c r="E910" s="6"/>
      <c r="F910" s="6"/>
    </row>
    <row r="911" spans="2:6" x14ac:dyDescent="0.25">
      <c r="B911" s="6"/>
      <c r="C911" s="6"/>
      <c r="D911" s="6"/>
      <c r="E911" s="6"/>
      <c r="F911" s="6"/>
    </row>
    <row r="912" spans="2:6" x14ac:dyDescent="0.25">
      <c r="B912" s="6"/>
      <c r="C912" s="6"/>
      <c r="D912" s="6"/>
      <c r="E912" s="6"/>
      <c r="F912" s="6"/>
    </row>
    <row r="913" spans="2:6" x14ac:dyDescent="0.25">
      <c r="B913" s="6"/>
      <c r="C913" s="6"/>
      <c r="D913" s="6"/>
      <c r="E913" s="6"/>
      <c r="F913" s="6"/>
    </row>
    <row r="914" spans="2:6" x14ac:dyDescent="0.25">
      <c r="B914" s="6"/>
      <c r="C914" s="6"/>
      <c r="D914" s="6"/>
      <c r="E914" s="6"/>
      <c r="F914" s="6"/>
    </row>
    <row r="915" spans="2:6" x14ac:dyDescent="0.25">
      <c r="B915" s="6"/>
      <c r="C915" s="6"/>
      <c r="D915" s="6"/>
      <c r="E915" s="6"/>
      <c r="F915" s="6"/>
    </row>
    <row r="916" spans="2:6" x14ac:dyDescent="0.25">
      <c r="B916" s="6"/>
      <c r="C916" s="6"/>
      <c r="D916" s="6"/>
      <c r="E916" s="6"/>
      <c r="F916" s="6"/>
    </row>
    <row r="917" spans="2:6" x14ac:dyDescent="0.25">
      <c r="B917" s="6"/>
      <c r="C917" s="6"/>
      <c r="D917" s="6"/>
      <c r="E917" s="6"/>
      <c r="F917" s="6"/>
    </row>
    <row r="918" spans="2:6" x14ac:dyDescent="0.25">
      <c r="B918" s="6"/>
      <c r="C918" s="6"/>
      <c r="D918" s="6"/>
      <c r="E918" s="6"/>
      <c r="F918" s="6"/>
    </row>
    <row r="919" spans="2:6" x14ac:dyDescent="0.25">
      <c r="B919" s="6"/>
      <c r="C919" s="6"/>
      <c r="D919" s="6"/>
      <c r="E919" s="6"/>
      <c r="F919" s="6"/>
    </row>
    <row r="920" spans="2:6" x14ac:dyDescent="0.25">
      <c r="B920" s="6"/>
      <c r="C920" s="6"/>
      <c r="D920" s="6"/>
      <c r="E920" s="6"/>
      <c r="F920" s="6"/>
    </row>
    <row r="921" spans="2:6" x14ac:dyDescent="0.25">
      <c r="B921" s="6"/>
      <c r="C921" s="6"/>
      <c r="D921" s="6"/>
      <c r="E921" s="6"/>
      <c r="F921" s="6"/>
    </row>
    <row r="922" spans="2:6" x14ac:dyDescent="0.25">
      <c r="B922" s="6"/>
      <c r="C922" s="6"/>
      <c r="D922" s="6"/>
      <c r="E922" s="6"/>
      <c r="F922" s="6"/>
    </row>
    <row r="923" spans="2:6" x14ac:dyDescent="0.25">
      <c r="B923" s="6"/>
      <c r="C923" s="6"/>
      <c r="D923" s="6"/>
      <c r="E923" s="6"/>
      <c r="F923" s="6"/>
    </row>
    <row r="924" spans="2:6" x14ac:dyDescent="0.25">
      <c r="B924" s="6"/>
      <c r="C924" s="6"/>
      <c r="D924" s="6"/>
      <c r="E924" s="6"/>
      <c r="F924" s="6"/>
    </row>
    <row r="925" spans="2:6" x14ac:dyDescent="0.25">
      <c r="B925" s="6"/>
      <c r="C925" s="6"/>
      <c r="D925" s="6"/>
      <c r="E925" s="6"/>
      <c r="F925" s="6"/>
    </row>
    <row r="926" spans="2:6" x14ac:dyDescent="0.25">
      <c r="B926" s="6"/>
      <c r="C926" s="6"/>
      <c r="D926" s="6"/>
      <c r="E926" s="6"/>
      <c r="F926" s="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D6E9-4551-4DC0-BFBA-022E6C837EEA}">
  <sheetPr codeName="Sheet3"/>
  <dimension ref="B10:G251"/>
  <sheetViews>
    <sheetView topLeftCell="A73" zoomScale="85" zoomScaleNormal="85" workbookViewId="0">
      <selection activeCell="K10" sqref="K10"/>
    </sheetView>
  </sheetViews>
  <sheetFormatPr defaultRowHeight="15" x14ac:dyDescent="0.25"/>
  <cols>
    <col min="2" max="6" width="14.85546875" style="8" customWidth="1"/>
    <col min="7" max="7" width="14.85546875" customWidth="1"/>
  </cols>
  <sheetData>
    <row r="10" spans="2:7" x14ac:dyDescent="0.25">
      <c r="B10" s="6" t="s">
        <v>9</v>
      </c>
      <c r="C10" s="6" t="s">
        <v>10</v>
      </c>
      <c r="D10" s="6" t="s">
        <v>11</v>
      </c>
      <c r="E10" s="6" t="s">
        <v>11</v>
      </c>
      <c r="F10" s="6" t="s">
        <v>11</v>
      </c>
      <c r="G10" s="6" t="s">
        <v>12</v>
      </c>
    </row>
    <row r="11" spans="2:7" x14ac:dyDescent="0.25">
      <c r="B11" s="1" t="s">
        <v>0</v>
      </c>
      <c r="C11" s="1" t="s">
        <v>1</v>
      </c>
      <c r="D11" s="11" t="s">
        <v>2</v>
      </c>
      <c r="E11" s="1" t="s">
        <v>3</v>
      </c>
      <c r="F11" s="1" t="s">
        <v>4</v>
      </c>
      <c r="G11" s="11" t="s">
        <v>5</v>
      </c>
    </row>
    <row r="12" spans="2:7" x14ac:dyDescent="0.25">
      <c r="B12" s="7" t="str" cm="1">
        <f t="array" aca="1" ref="B12" ca="1">IFERROR(IF(OR('Raw Data'!B12="",LEN(TRIM('Raw Data'!B12))=0),"",IF(AND(LEN('Raw Data'!B12) &lt;= 20,LEN('Raw Data'!B12)&gt; 0),"",_xlfn.REGEXEXTRACT(CELL("address",'Raw Data'!B12),"\$([A-Z]+)\$[0-9]+"))),_xlfn.REGEXEXTRACT(CELL("address",'Raw Data'!B12),"\$([A-Z]+)\$[0-9]+"))</f>
        <v/>
      </c>
      <c r="C12" s="7" t="str" cm="1">
        <f t="array" aca="1" ref="C12" ca="1">IFERROR(IF(OR('Raw Data'!C12="",LEN(TRIM('Raw Data'!C12))=0),"",IF(AND(LEN('Raw Data'!C12) &lt;= 255,LEN('Raw Data'!C12)&gt; 0),"",_xlfn.REGEXEXTRACT(CELL("address",'Raw Data'!C12),"\$([A-Z]+)\$[0-9]+"))),_xlfn.REGEXEXTRACT(CELL("address",'Raw Data'!C12),"\$([A-Z]+)\$[0-9]+"))</f>
        <v/>
      </c>
      <c r="D12" s="7" t="str" cm="1">
        <f t="array" aca="1" ref="D12" ca="1">IFERROR(IF(OR('Raw Data'!D12="",LEN(TRIM('Raw Data'!D12))=0),"",IF(AND(ISNUMBER('Raw Data'!D12), IFERROR('Raw Data'!D12 = ROUND('Raw Data'!D12, 2),FALSE)),"",_xlfn.REGEXEXTRACT(CELL("address",D12), "\$([A-Z]+)\$[0-9]+"))),_xlfn.REGEXEXTRACT(CELL("address",D12), "\$([A-Z]+)\$[0-9]+"))</f>
        <v/>
      </c>
      <c r="E12" s="7" t="str" cm="1">
        <f t="array" aca="1" ref="E12" ca="1">IFERROR(IF(OR('Raw Data'!E12="",LEN(TRIM('Raw Data'!E12))=0),"",IF(AND(ISNUMBER('Raw Data'!E12), IFERROR('Raw Data'!E12 = ROUND('Raw Data'!E12, 2),FALSE)),"",_xlfn.REGEXEXTRACT(CELL("address",E12), "\$([A-Z]+)\$[0-9]+"))),_xlfn.REGEXEXTRACT(CELL("address",E12), "\$([A-Z]+)\$[0-9]+"))</f>
        <v/>
      </c>
      <c r="F12" s="7" t="str" cm="1">
        <f t="array" aca="1" ref="F12" ca="1">IFERROR(IF(OR('Raw Data'!F12="",LEN(TRIM('Raw Data'!F12))=0),"",IF(AND(ISNUMBER('Raw Data'!F12), IFERROR('Raw Data'!F12 = ROUND('Raw Data'!F12, 2),FALSE)),"",_xlfn.REGEXEXTRACT(CELL("address",F12), "\$([A-Z]+)\$[0-9]+"))),_xlfn.REGEXEXTRACT(CELL("address",F12), "\$([A-Z]+)\$[0-9]+"))</f>
        <v/>
      </c>
      <c r="G12" s="7" t="str" cm="1">
        <f t="array" aca="1" ref="G12" ca="1">IFERROR(IF(OR('Raw Data'!G12="",LEN(TRIM('Raw Data'!G12))=0),"",IF(LEN('Raw Data'!G12)&gt; 0,"",_xlfn.REGEXEXTRACT(CELL("address",'Raw Data'!G12),"\$([A-Z]+)\$[0-9]+"))),_xlfn.REGEXEXTRACT(CELL("address",'Raw Data'!G12),"\$([A-Z]+)\$[0-9]+"))</f>
        <v/>
      </c>
    </row>
    <row r="13" spans="2:7" x14ac:dyDescent="0.25">
      <c r="B13" s="7" t="str" cm="1">
        <f t="array" aca="1" ref="B13" ca="1">IFERROR(IF(OR('Raw Data'!B13="",LEN(TRIM('Raw Data'!B13))=0),"",IF(AND(LEN('Raw Data'!B13) &lt;= 20,LEN('Raw Data'!B13)&gt; 0),"",_xlfn.REGEXEXTRACT(CELL("address",'Raw Data'!B13),"\$([A-Z]+)\$[0-9]+"))),_xlfn.REGEXEXTRACT(CELL("address",'Raw Data'!B13),"\$([A-Z]+)\$[0-9]+"))</f>
        <v/>
      </c>
      <c r="C13" s="7" t="str" cm="1">
        <f t="array" aca="1" ref="C13" ca="1">IFERROR(IF(OR('Raw Data'!C13="",LEN(TRIM('Raw Data'!C13))=0),"",IF(AND(LEN('Raw Data'!C13) &lt;= 255,LEN('Raw Data'!C13)&gt; 0),"",_xlfn.REGEXEXTRACT(CELL("address",'Raw Data'!C13),"\$([A-Z]+)\$[0-9]+"))),_xlfn.REGEXEXTRACT(CELL("address",'Raw Data'!C13),"\$([A-Z]+)\$[0-9]+"))</f>
        <v/>
      </c>
      <c r="D13" s="7" t="str" cm="1">
        <f t="array" aca="1" ref="D13" ca="1">IFERROR(IF(OR('Raw Data'!D13="",LEN(TRIM('Raw Data'!D13))=0),"",IF(AND(ISNUMBER('Raw Data'!D13), IFERROR('Raw Data'!D13 = ROUND('Raw Data'!D13, 2),FALSE)),"",_xlfn.REGEXEXTRACT(CELL("address",D13), "\$([A-Z]+)\$[0-9]+"))),_xlfn.REGEXEXTRACT(CELL("address",D13), "\$([A-Z]+)\$[0-9]+"))</f>
        <v/>
      </c>
      <c r="E13" s="7" t="str" cm="1">
        <f t="array" aca="1" ref="E13" ca="1">IFERROR(IF(OR('Raw Data'!E13="",LEN(TRIM('Raw Data'!E13))=0),"",IF(AND(ISNUMBER('Raw Data'!E13), IFERROR('Raw Data'!E13 = ROUND('Raw Data'!E13, 2),FALSE)),"",_xlfn.REGEXEXTRACT(CELL("address",E13), "\$([A-Z]+)\$[0-9]+"))),_xlfn.REGEXEXTRACT(CELL("address",E13), "\$([A-Z]+)\$[0-9]+"))</f>
        <v/>
      </c>
      <c r="F13" s="7" t="str" cm="1">
        <f t="array" aca="1" ref="F13" ca="1">IFERROR(IF(OR('Raw Data'!F13="",LEN(TRIM('Raw Data'!F13))=0),"",IF(AND(ISNUMBER('Raw Data'!F13), IFERROR('Raw Data'!F13 = ROUND('Raw Data'!F13, 2),FALSE)),"",_xlfn.REGEXEXTRACT(CELL("address",F13), "\$([A-Z]+)\$[0-9]+"))),_xlfn.REGEXEXTRACT(CELL("address",F13), "\$([A-Z]+)\$[0-9]+"))</f>
        <v/>
      </c>
      <c r="G13" s="7" t="str" cm="1">
        <f t="array" aca="1" ref="G13" ca="1">IFERROR(IF(OR('Raw Data'!G13="",LEN(TRIM('Raw Data'!G13))=0),"",IF(LEN('Raw Data'!G13)&gt; 0,"",_xlfn.REGEXEXTRACT(CELL("address",'Raw Data'!G13),"\$([A-Z]+)\$[0-9]+"))),_xlfn.REGEXEXTRACT(CELL("address",'Raw Data'!G13),"\$([A-Z]+)\$[0-9]+"))</f>
        <v/>
      </c>
    </row>
    <row r="14" spans="2:7" x14ac:dyDescent="0.25">
      <c r="B14" s="7" t="str" cm="1">
        <f t="array" aca="1" ref="B14" ca="1">IFERROR(IF(OR('Raw Data'!B14="",LEN(TRIM('Raw Data'!B14))=0),"",IF(AND(LEN('Raw Data'!B14) &lt;= 20,LEN('Raw Data'!B14)&gt; 0),"",_xlfn.REGEXEXTRACT(CELL("address",'Raw Data'!B14),"\$([A-Z]+)\$[0-9]+"))),_xlfn.REGEXEXTRACT(CELL("address",'Raw Data'!B14),"\$([A-Z]+)\$[0-9]+"))</f>
        <v/>
      </c>
      <c r="C14" s="7" t="str" cm="1">
        <f t="array" aca="1" ref="C14" ca="1">IFERROR(IF(OR('Raw Data'!C14="",LEN(TRIM('Raw Data'!C14))=0),"",IF(AND(LEN('Raw Data'!C14) &lt;= 255,LEN('Raw Data'!C14)&gt; 0),"",_xlfn.REGEXEXTRACT(CELL("address",'Raw Data'!C14),"\$([A-Z]+)\$[0-9]+"))),_xlfn.REGEXEXTRACT(CELL("address",'Raw Data'!C14),"\$([A-Z]+)\$[0-9]+"))</f>
        <v/>
      </c>
      <c r="D14" s="7" t="str" cm="1">
        <f t="array" aca="1" ref="D14" ca="1">IFERROR(IF(OR('Raw Data'!D14="",LEN(TRIM('Raw Data'!D14))=0),"",IF(AND(ISNUMBER('Raw Data'!D14), IFERROR('Raw Data'!D14 = ROUND('Raw Data'!D14, 2),FALSE)),"",_xlfn.REGEXEXTRACT(CELL("address",D14), "\$([A-Z]+)\$[0-9]+"))),_xlfn.REGEXEXTRACT(CELL("address",D14), "\$([A-Z]+)\$[0-9]+"))</f>
        <v/>
      </c>
      <c r="E14" s="7" t="str" cm="1">
        <f t="array" aca="1" ref="E14" ca="1">IFERROR(IF(OR('Raw Data'!E14="",LEN(TRIM('Raw Data'!E14))=0),"",IF(AND(ISNUMBER('Raw Data'!E14), IFERROR('Raw Data'!E14 = ROUND('Raw Data'!E14, 2),FALSE)),"",_xlfn.REGEXEXTRACT(CELL("address",E14), "\$([A-Z]+)\$[0-9]+"))),_xlfn.REGEXEXTRACT(CELL("address",E14), "\$([A-Z]+)\$[0-9]+"))</f>
        <v/>
      </c>
      <c r="F14" s="7" t="str" cm="1">
        <f t="array" aca="1" ref="F14" ca="1">IFERROR(IF(OR('Raw Data'!F14="",LEN(TRIM('Raw Data'!F14))=0),"",IF(AND(ISNUMBER('Raw Data'!F14), IFERROR('Raw Data'!F14 = ROUND('Raw Data'!F14, 2),FALSE)),"",_xlfn.REGEXEXTRACT(CELL("address",F14), "\$([A-Z]+)\$[0-9]+"))),_xlfn.REGEXEXTRACT(CELL("address",F14), "\$([A-Z]+)\$[0-9]+"))</f>
        <v/>
      </c>
      <c r="G14" s="7" t="str" cm="1">
        <f t="array" aca="1" ref="G14" ca="1">IFERROR(IF(OR('Raw Data'!G14="",LEN(TRIM('Raw Data'!G14))=0),"",IF(LEN('Raw Data'!G14)&gt; 0,"",_xlfn.REGEXEXTRACT(CELL("address",'Raw Data'!G14),"\$([A-Z]+)\$[0-9]+"))),_xlfn.REGEXEXTRACT(CELL("address",'Raw Data'!G14),"\$([A-Z]+)\$[0-9]+"))</f>
        <v/>
      </c>
    </row>
    <row r="15" spans="2:7" x14ac:dyDescent="0.25">
      <c r="B15" s="7" t="str" cm="1">
        <f t="array" aca="1" ref="B15" ca="1">IFERROR(IF(OR('Raw Data'!B15="",LEN(TRIM('Raw Data'!B15))=0),"",IF(AND(LEN('Raw Data'!B15) &lt;= 20,LEN('Raw Data'!B15)&gt; 0),"",_xlfn.REGEXEXTRACT(CELL("address",'Raw Data'!B15),"\$([A-Z]+)\$[0-9]+"))),_xlfn.REGEXEXTRACT(CELL("address",'Raw Data'!B15),"\$([A-Z]+)\$[0-9]+"))</f>
        <v/>
      </c>
      <c r="C15" s="7" t="str" cm="1">
        <f t="array" aca="1" ref="C15" ca="1">IFERROR(IF(OR('Raw Data'!C15="",LEN(TRIM('Raw Data'!C15))=0),"",IF(AND(LEN('Raw Data'!C15) &lt;= 255,LEN('Raw Data'!C15)&gt; 0),"",_xlfn.REGEXEXTRACT(CELL("address",'Raw Data'!C15),"\$([A-Z]+)\$[0-9]+"))),_xlfn.REGEXEXTRACT(CELL("address",'Raw Data'!C15),"\$([A-Z]+)\$[0-9]+"))</f>
        <v/>
      </c>
      <c r="D15" s="7" t="str" cm="1">
        <f t="array" aca="1" ref="D15" ca="1">IFERROR(IF(OR('Raw Data'!D15="",LEN(TRIM('Raw Data'!D15))=0),"",IF(AND(ISNUMBER('Raw Data'!D15), IFERROR('Raw Data'!D15 = ROUND('Raw Data'!D15, 2),FALSE)),"",_xlfn.REGEXEXTRACT(CELL("address",D15), "\$([A-Z]+)\$[0-9]+"))),_xlfn.REGEXEXTRACT(CELL("address",D15), "\$([A-Z]+)\$[0-9]+"))</f>
        <v/>
      </c>
      <c r="E15" s="7" t="str" cm="1">
        <f t="array" aca="1" ref="E15" ca="1">IFERROR(IF(OR('Raw Data'!E15="",LEN(TRIM('Raw Data'!E15))=0),"",IF(AND(ISNUMBER('Raw Data'!E15), IFERROR('Raw Data'!E15 = ROUND('Raw Data'!E15, 2),FALSE)),"",_xlfn.REGEXEXTRACT(CELL("address",E15), "\$([A-Z]+)\$[0-9]+"))),_xlfn.REGEXEXTRACT(CELL("address",E15), "\$([A-Z]+)\$[0-9]+"))</f>
        <v/>
      </c>
      <c r="F15" s="7" t="str" cm="1">
        <f t="array" aca="1" ref="F15" ca="1">IFERROR(IF(OR('Raw Data'!F15="",LEN(TRIM('Raw Data'!F15))=0),"",IF(AND(ISNUMBER('Raw Data'!F15), IFERROR('Raw Data'!F15 = ROUND('Raw Data'!F15, 2),FALSE)),"",_xlfn.REGEXEXTRACT(CELL("address",F15), "\$([A-Z]+)\$[0-9]+"))),_xlfn.REGEXEXTRACT(CELL("address",F15), "\$([A-Z]+)\$[0-9]+"))</f>
        <v/>
      </c>
      <c r="G15" s="7" t="str" cm="1">
        <f t="array" aca="1" ref="G15" ca="1">IFERROR(IF(OR('Raw Data'!G15="",LEN(TRIM('Raw Data'!G15))=0),"",IF(LEN('Raw Data'!G15)&gt; 0,"",_xlfn.REGEXEXTRACT(CELL("address",'Raw Data'!G15),"\$([A-Z]+)\$[0-9]+"))),_xlfn.REGEXEXTRACT(CELL("address",'Raw Data'!G15),"\$([A-Z]+)\$[0-9]+"))</f>
        <v/>
      </c>
    </row>
    <row r="16" spans="2:7" x14ac:dyDescent="0.25">
      <c r="B16" s="7" t="str" cm="1">
        <f t="array" aca="1" ref="B16" ca="1">IFERROR(IF(OR('Raw Data'!B16="",LEN(TRIM('Raw Data'!B16))=0),"",IF(AND(LEN('Raw Data'!B16) &lt;= 20,LEN('Raw Data'!B16)&gt; 0),"",_xlfn.REGEXEXTRACT(CELL("address",'Raw Data'!B16),"\$([A-Z]+)\$[0-9]+"))),_xlfn.REGEXEXTRACT(CELL("address",'Raw Data'!B16),"\$([A-Z]+)\$[0-9]+"))</f>
        <v/>
      </c>
      <c r="C16" s="7" t="str" cm="1">
        <f t="array" aca="1" ref="C16" ca="1">IFERROR(IF(OR('Raw Data'!C16="",LEN(TRIM('Raw Data'!C16))=0),"",IF(AND(LEN('Raw Data'!C16) &lt;= 255,LEN('Raw Data'!C16)&gt; 0),"",_xlfn.REGEXEXTRACT(CELL("address",'Raw Data'!C16),"\$([A-Z]+)\$[0-9]+"))),_xlfn.REGEXEXTRACT(CELL("address",'Raw Data'!C16),"\$([A-Z]+)\$[0-9]+"))</f>
        <v/>
      </c>
      <c r="D16" s="7" t="str" cm="1">
        <f t="array" aca="1" ref="D16" ca="1">IFERROR(IF(OR('Raw Data'!D16="",LEN(TRIM('Raw Data'!D16))=0),"",IF(AND(ISNUMBER('Raw Data'!D16), IFERROR('Raw Data'!D16 = ROUND('Raw Data'!D16, 2),FALSE)),"",_xlfn.REGEXEXTRACT(CELL("address",D16), "\$([A-Z]+)\$[0-9]+"))),_xlfn.REGEXEXTRACT(CELL("address",D16), "\$([A-Z]+)\$[0-9]+"))</f>
        <v/>
      </c>
      <c r="E16" s="7" t="str" cm="1">
        <f t="array" aca="1" ref="E16" ca="1">IFERROR(IF(OR('Raw Data'!E16="",LEN(TRIM('Raw Data'!E16))=0),"",IF(AND(ISNUMBER('Raw Data'!E16), IFERROR('Raw Data'!E16 = ROUND('Raw Data'!E16, 2),FALSE)),"",_xlfn.REGEXEXTRACT(CELL("address",E16), "\$([A-Z]+)\$[0-9]+"))),_xlfn.REGEXEXTRACT(CELL("address",E16), "\$([A-Z]+)\$[0-9]+"))</f>
        <v/>
      </c>
      <c r="F16" s="7" t="str" cm="1">
        <f t="array" aca="1" ref="F16" ca="1">IFERROR(IF(OR('Raw Data'!F16="",LEN(TRIM('Raw Data'!F16))=0),"",IF(AND(ISNUMBER('Raw Data'!F16), IFERROR('Raw Data'!F16 = ROUND('Raw Data'!F16, 2),FALSE)),"",_xlfn.REGEXEXTRACT(CELL("address",F16), "\$([A-Z]+)\$[0-9]+"))),_xlfn.REGEXEXTRACT(CELL("address",F16), "\$([A-Z]+)\$[0-9]+"))</f>
        <v/>
      </c>
      <c r="G16" s="7" t="str" cm="1">
        <f t="array" aca="1" ref="G16" ca="1">IFERROR(IF(OR('Raw Data'!G16="",LEN(TRIM('Raw Data'!G16))=0),"",IF(LEN('Raw Data'!G16)&gt; 0,"",_xlfn.REGEXEXTRACT(CELL("address",'Raw Data'!G16),"\$([A-Z]+)\$[0-9]+"))),_xlfn.REGEXEXTRACT(CELL("address",'Raw Data'!G16),"\$([A-Z]+)\$[0-9]+"))</f>
        <v/>
      </c>
    </row>
    <row r="17" spans="2:7" x14ac:dyDescent="0.25">
      <c r="B17" s="7" t="str" cm="1">
        <f t="array" aca="1" ref="B17" ca="1">IFERROR(IF(OR('Raw Data'!B17="",LEN(TRIM('Raw Data'!B17))=0),"",IF(AND(LEN('Raw Data'!B17) &lt;= 20,LEN('Raw Data'!B17)&gt; 0),"",_xlfn.REGEXEXTRACT(CELL("address",'Raw Data'!B17),"\$([A-Z]+)\$[0-9]+"))),_xlfn.REGEXEXTRACT(CELL("address",'Raw Data'!B17),"\$([A-Z]+)\$[0-9]+"))</f>
        <v/>
      </c>
      <c r="C17" s="7" t="str" cm="1">
        <f t="array" aca="1" ref="C17" ca="1">IFERROR(IF(OR('Raw Data'!C17="",LEN(TRIM('Raw Data'!C17))=0),"",IF(AND(LEN('Raw Data'!C17) &lt;= 255,LEN('Raw Data'!C17)&gt; 0),"",_xlfn.REGEXEXTRACT(CELL("address",'Raw Data'!C17),"\$([A-Z]+)\$[0-9]+"))),_xlfn.REGEXEXTRACT(CELL("address",'Raw Data'!C17),"\$([A-Z]+)\$[0-9]+"))</f>
        <v/>
      </c>
      <c r="D17" s="7" t="str" cm="1">
        <f t="array" aca="1" ref="D17" ca="1">IFERROR(IF(OR('Raw Data'!D17="",LEN(TRIM('Raw Data'!D17))=0),"",IF(AND(ISNUMBER('Raw Data'!D17), IFERROR('Raw Data'!D17 = ROUND('Raw Data'!D17, 2),FALSE)),"",_xlfn.REGEXEXTRACT(CELL("address",D17), "\$([A-Z]+)\$[0-9]+"))),_xlfn.REGEXEXTRACT(CELL("address",D17), "\$([A-Z]+)\$[0-9]+"))</f>
        <v/>
      </c>
      <c r="E17" s="7" t="str" cm="1">
        <f t="array" aca="1" ref="E17" ca="1">IFERROR(IF(OR('Raw Data'!E17="",LEN(TRIM('Raw Data'!E17))=0),"",IF(AND(ISNUMBER('Raw Data'!E17), IFERROR('Raw Data'!E17 = ROUND('Raw Data'!E17, 2),FALSE)),"",_xlfn.REGEXEXTRACT(CELL("address",E17), "\$([A-Z]+)\$[0-9]+"))),_xlfn.REGEXEXTRACT(CELL("address",E17), "\$([A-Z]+)\$[0-9]+"))</f>
        <v/>
      </c>
      <c r="F17" s="7" t="str" cm="1">
        <f t="array" aca="1" ref="F17" ca="1">IFERROR(IF(OR('Raw Data'!F17="",LEN(TRIM('Raw Data'!F17))=0),"",IF(AND(ISNUMBER('Raw Data'!F17), IFERROR('Raw Data'!F17 = ROUND('Raw Data'!F17, 2),FALSE)),"",_xlfn.REGEXEXTRACT(CELL("address",F17), "\$([A-Z]+)\$[0-9]+"))),_xlfn.REGEXEXTRACT(CELL("address",F17), "\$([A-Z]+)\$[0-9]+"))</f>
        <v/>
      </c>
      <c r="G17" s="7" t="str" cm="1">
        <f t="array" aca="1" ref="G17" ca="1">IFERROR(IF(OR('Raw Data'!G17="",LEN(TRIM('Raw Data'!G17))=0),"",IF(LEN('Raw Data'!G17)&gt; 0,"",_xlfn.REGEXEXTRACT(CELL("address",'Raw Data'!G17),"\$([A-Z]+)\$[0-9]+"))),_xlfn.REGEXEXTRACT(CELL("address",'Raw Data'!G17),"\$([A-Z]+)\$[0-9]+"))</f>
        <v/>
      </c>
    </row>
    <row r="18" spans="2:7" x14ac:dyDescent="0.25">
      <c r="B18" s="7" t="str" cm="1">
        <f t="array" aca="1" ref="B18" ca="1">IFERROR(IF(OR('Raw Data'!B18="",LEN(TRIM('Raw Data'!B18))=0),"",IF(AND(LEN('Raw Data'!B18) &lt;= 20,LEN('Raw Data'!B18)&gt; 0),"",_xlfn.REGEXEXTRACT(CELL("address",'Raw Data'!B18),"\$([A-Z]+)\$[0-9]+"))),_xlfn.REGEXEXTRACT(CELL("address",'Raw Data'!B18),"\$([A-Z]+)\$[0-9]+"))</f>
        <v/>
      </c>
      <c r="C18" s="7" t="str" cm="1">
        <f t="array" aca="1" ref="C18" ca="1">IFERROR(IF(OR('Raw Data'!C18="",LEN(TRIM('Raw Data'!C18))=0),"",IF(AND(LEN('Raw Data'!C18) &lt;= 255,LEN('Raw Data'!C18)&gt; 0),"",_xlfn.REGEXEXTRACT(CELL("address",'Raw Data'!C18),"\$([A-Z]+)\$[0-9]+"))),_xlfn.REGEXEXTRACT(CELL("address",'Raw Data'!C18),"\$([A-Z]+)\$[0-9]+"))</f>
        <v/>
      </c>
      <c r="D18" s="7" t="str" cm="1">
        <f t="array" aca="1" ref="D18" ca="1">IFERROR(IF(OR('Raw Data'!D18="",LEN(TRIM('Raw Data'!D18))=0),"",IF(AND(ISNUMBER('Raw Data'!D18), IFERROR('Raw Data'!D18 = ROUND('Raw Data'!D18, 2),FALSE)),"",_xlfn.REGEXEXTRACT(CELL("address",D18), "\$([A-Z]+)\$[0-9]+"))),_xlfn.REGEXEXTRACT(CELL("address",D18), "\$([A-Z]+)\$[0-9]+"))</f>
        <v/>
      </c>
      <c r="E18" s="7" t="str" cm="1">
        <f t="array" aca="1" ref="E18" ca="1">IFERROR(IF(OR('Raw Data'!E18="",LEN(TRIM('Raw Data'!E18))=0),"",IF(AND(ISNUMBER('Raw Data'!E18), IFERROR('Raw Data'!E18 = ROUND('Raw Data'!E18, 2),FALSE)),"",_xlfn.REGEXEXTRACT(CELL("address",E18), "\$([A-Z]+)\$[0-9]+"))),_xlfn.REGEXEXTRACT(CELL("address",E18), "\$([A-Z]+)\$[0-9]+"))</f>
        <v/>
      </c>
      <c r="F18" s="7" t="str" cm="1">
        <f t="array" aca="1" ref="F18" ca="1">IFERROR(IF(OR('Raw Data'!F18="",LEN(TRIM('Raw Data'!F18))=0),"",IF(AND(ISNUMBER('Raw Data'!F18), IFERROR('Raw Data'!F18 = ROUND('Raw Data'!F18, 2),FALSE)),"",_xlfn.REGEXEXTRACT(CELL("address",F18), "\$([A-Z]+)\$[0-9]+"))),_xlfn.REGEXEXTRACT(CELL("address",F18), "\$([A-Z]+)\$[0-9]+"))</f>
        <v/>
      </c>
      <c r="G18" s="7" t="str" cm="1">
        <f t="array" aca="1" ref="G18" ca="1">IFERROR(IF(OR('Raw Data'!G18="",LEN(TRIM('Raw Data'!G18))=0),"",IF(LEN('Raw Data'!G18)&gt; 0,"",_xlfn.REGEXEXTRACT(CELL("address",'Raw Data'!G18),"\$([A-Z]+)\$[0-9]+"))),_xlfn.REGEXEXTRACT(CELL("address",'Raw Data'!G18),"\$([A-Z]+)\$[0-9]+"))</f>
        <v/>
      </c>
    </row>
    <row r="19" spans="2:7" x14ac:dyDescent="0.25">
      <c r="B19" s="7" t="str" cm="1">
        <f t="array" aca="1" ref="B19" ca="1">IFERROR(IF(OR('Raw Data'!B19="",LEN(TRIM('Raw Data'!B19))=0),"",IF(AND(LEN('Raw Data'!B19) &lt;= 20,LEN('Raw Data'!B19)&gt; 0),"",_xlfn.REGEXEXTRACT(CELL("address",'Raw Data'!B19),"\$([A-Z]+)\$[0-9]+"))),_xlfn.REGEXEXTRACT(CELL("address",'Raw Data'!B19),"\$([A-Z]+)\$[0-9]+"))</f>
        <v/>
      </c>
      <c r="C19" s="7" t="str" cm="1">
        <f t="array" aca="1" ref="C19" ca="1">IFERROR(IF(OR('Raw Data'!C19="",LEN(TRIM('Raw Data'!C19))=0),"",IF(AND(LEN('Raw Data'!C19) &lt;= 255,LEN('Raw Data'!C19)&gt; 0),"",_xlfn.REGEXEXTRACT(CELL("address",'Raw Data'!C19),"\$([A-Z]+)\$[0-9]+"))),_xlfn.REGEXEXTRACT(CELL("address",'Raw Data'!C19),"\$([A-Z]+)\$[0-9]+"))</f>
        <v/>
      </c>
      <c r="D19" s="7" t="str" cm="1">
        <f t="array" aca="1" ref="D19" ca="1">IFERROR(IF(OR('Raw Data'!D19="",LEN(TRIM('Raw Data'!D19))=0),"",IF(AND(ISNUMBER('Raw Data'!D19), IFERROR('Raw Data'!D19 = ROUND('Raw Data'!D19, 2),FALSE)),"",_xlfn.REGEXEXTRACT(CELL("address",D19), "\$([A-Z]+)\$[0-9]+"))),_xlfn.REGEXEXTRACT(CELL("address",D19), "\$([A-Z]+)\$[0-9]+"))</f>
        <v/>
      </c>
      <c r="E19" s="7" t="str" cm="1">
        <f t="array" aca="1" ref="E19" ca="1">IFERROR(IF(OR('Raw Data'!E19="",LEN(TRIM('Raw Data'!E19))=0),"",IF(AND(ISNUMBER('Raw Data'!E19), IFERROR('Raw Data'!E19 = ROUND('Raw Data'!E19, 2),FALSE)),"",_xlfn.REGEXEXTRACT(CELL("address",E19), "\$([A-Z]+)\$[0-9]+"))),_xlfn.REGEXEXTRACT(CELL("address",E19), "\$([A-Z]+)\$[0-9]+"))</f>
        <v/>
      </c>
      <c r="F19" s="7" t="str" cm="1">
        <f t="array" aca="1" ref="F19" ca="1">IFERROR(IF(OR('Raw Data'!F19="",LEN(TRIM('Raw Data'!F19))=0),"",IF(AND(ISNUMBER('Raw Data'!F19), IFERROR('Raw Data'!F19 = ROUND('Raw Data'!F19, 2),FALSE)),"",_xlfn.REGEXEXTRACT(CELL("address",F19), "\$([A-Z]+)\$[0-9]+"))),_xlfn.REGEXEXTRACT(CELL("address",F19), "\$([A-Z]+)\$[0-9]+"))</f>
        <v/>
      </c>
      <c r="G19" s="7" t="str" cm="1">
        <f t="array" aca="1" ref="G19" ca="1">IFERROR(IF(OR('Raw Data'!G19="",LEN(TRIM('Raw Data'!G19))=0),"",IF(LEN('Raw Data'!G19)&gt; 0,"",_xlfn.REGEXEXTRACT(CELL("address",'Raw Data'!G19),"\$([A-Z]+)\$[0-9]+"))),_xlfn.REGEXEXTRACT(CELL("address",'Raw Data'!G19),"\$([A-Z]+)\$[0-9]+"))</f>
        <v/>
      </c>
    </row>
    <row r="20" spans="2:7" x14ac:dyDescent="0.25">
      <c r="B20" s="7" t="str" cm="1">
        <f t="array" aca="1" ref="B20" ca="1">IFERROR(IF(OR('Raw Data'!B20="",LEN(TRIM('Raw Data'!B20))=0),"",IF(AND(LEN('Raw Data'!B20) &lt;= 20,LEN('Raw Data'!B20)&gt; 0),"",_xlfn.REGEXEXTRACT(CELL("address",'Raw Data'!B20),"\$([A-Z]+)\$[0-9]+"))),_xlfn.REGEXEXTRACT(CELL("address",'Raw Data'!B20),"\$([A-Z]+)\$[0-9]+"))</f>
        <v/>
      </c>
      <c r="C20" s="7" t="str" cm="1">
        <f t="array" aca="1" ref="C20" ca="1">IFERROR(IF(OR('Raw Data'!C20="",LEN(TRIM('Raw Data'!C20))=0),"",IF(AND(LEN('Raw Data'!C20) &lt;= 255,LEN('Raw Data'!C20)&gt; 0),"",_xlfn.REGEXEXTRACT(CELL("address",'Raw Data'!C20),"\$([A-Z]+)\$[0-9]+"))),_xlfn.REGEXEXTRACT(CELL("address",'Raw Data'!C20),"\$([A-Z]+)\$[0-9]+"))</f>
        <v/>
      </c>
      <c r="D20" s="7" t="str" cm="1">
        <f t="array" aca="1" ref="D20" ca="1">IFERROR(IF(OR('Raw Data'!D20="",LEN(TRIM('Raw Data'!D20))=0),"",IF(AND(ISNUMBER('Raw Data'!D20), IFERROR('Raw Data'!D20 = ROUND('Raw Data'!D20, 2),FALSE)),"",_xlfn.REGEXEXTRACT(CELL("address",D20), "\$([A-Z]+)\$[0-9]+"))),_xlfn.REGEXEXTRACT(CELL("address",D20), "\$([A-Z]+)\$[0-9]+"))</f>
        <v/>
      </c>
      <c r="E20" s="7" t="str" cm="1">
        <f t="array" aca="1" ref="E20" ca="1">IFERROR(IF(OR('Raw Data'!E20="",LEN(TRIM('Raw Data'!E20))=0),"",IF(AND(ISNUMBER('Raw Data'!E20), IFERROR('Raw Data'!E20 = ROUND('Raw Data'!E20, 2),FALSE)),"",_xlfn.REGEXEXTRACT(CELL("address",E20), "\$([A-Z]+)\$[0-9]+"))),_xlfn.REGEXEXTRACT(CELL("address",E20), "\$([A-Z]+)\$[0-9]+"))</f>
        <v/>
      </c>
      <c r="F20" s="7" t="str" cm="1">
        <f t="array" aca="1" ref="F20" ca="1">IFERROR(IF(OR('Raw Data'!F20="",LEN(TRIM('Raw Data'!F20))=0),"",IF(AND(ISNUMBER('Raw Data'!F20), IFERROR('Raw Data'!F20 = ROUND('Raw Data'!F20, 2),FALSE)),"",_xlfn.REGEXEXTRACT(CELL("address",F20), "\$([A-Z]+)\$[0-9]+"))),_xlfn.REGEXEXTRACT(CELL("address",F20), "\$([A-Z]+)\$[0-9]+"))</f>
        <v/>
      </c>
      <c r="G20" s="7" t="str" cm="1">
        <f t="array" aca="1" ref="G20" ca="1">IFERROR(IF(OR('Raw Data'!G20="",LEN(TRIM('Raw Data'!G20))=0),"",IF(LEN('Raw Data'!G20)&gt; 0,"",_xlfn.REGEXEXTRACT(CELL("address",'Raw Data'!G20),"\$([A-Z]+)\$[0-9]+"))),_xlfn.REGEXEXTRACT(CELL("address",'Raw Data'!G20),"\$([A-Z]+)\$[0-9]+"))</f>
        <v/>
      </c>
    </row>
    <row r="21" spans="2:7" x14ac:dyDescent="0.25">
      <c r="B21" s="7" t="str" cm="1">
        <f t="array" aca="1" ref="B21" ca="1">IFERROR(IF(OR('Raw Data'!B21="",LEN(TRIM('Raw Data'!B21))=0),"",IF(AND(LEN('Raw Data'!B21) &lt;= 20,LEN('Raw Data'!B21)&gt; 0),"",_xlfn.REGEXEXTRACT(CELL("address",'Raw Data'!B21),"\$([A-Z]+)\$[0-9]+"))),_xlfn.REGEXEXTRACT(CELL("address",'Raw Data'!B21),"\$([A-Z]+)\$[0-9]+"))</f>
        <v/>
      </c>
      <c r="C21" s="7" t="str" cm="1">
        <f t="array" aca="1" ref="C21" ca="1">IFERROR(IF(OR('Raw Data'!C21="",LEN(TRIM('Raw Data'!C21))=0),"",IF(AND(LEN('Raw Data'!C21) &lt;= 255,LEN('Raw Data'!C21)&gt; 0),"",_xlfn.REGEXEXTRACT(CELL("address",'Raw Data'!C21),"\$([A-Z]+)\$[0-9]+"))),_xlfn.REGEXEXTRACT(CELL("address",'Raw Data'!C21),"\$([A-Z]+)\$[0-9]+"))</f>
        <v/>
      </c>
      <c r="D21" s="7" t="str" cm="1">
        <f t="array" aca="1" ref="D21" ca="1">IFERROR(IF(OR('Raw Data'!D21="",LEN(TRIM('Raw Data'!D21))=0),"",IF(AND(ISNUMBER('Raw Data'!D21), IFERROR('Raw Data'!D21 = ROUND('Raw Data'!D21, 2),FALSE)),"",_xlfn.REGEXEXTRACT(CELL("address",D21), "\$([A-Z]+)\$[0-9]+"))),_xlfn.REGEXEXTRACT(CELL("address",D21), "\$([A-Z]+)\$[0-9]+"))</f>
        <v/>
      </c>
      <c r="E21" s="7" t="str" cm="1">
        <f t="array" aca="1" ref="E21" ca="1">IFERROR(IF(OR('Raw Data'!E21="",LEN(TRIM('Raw Data'!E21))=0),"",IF(AND(ISNUMBER('Raw Data'!E21), IFERROR('Raw Data'!E21 = ROUND('Raw Data'!E21, 2),FALSE)),"",_xlfn.REGEXEXTRACT(CELL("address",E21), "\$([A-Z]+)\$[0-9]+"))),_xlfn.REGEXEXTRACT(CELL("address",E21), "\$([A-Z]+)\$[0-9]+"))</f>
        <v/>
      </c>
      <c r="F21" s="7" t="str" cm="1">
        <f t="array" aca="1" ref="F21" ca="1">IFERROR(IF(OR('Raw Data'!F21="",LEN(TRIM('Raw Data'!F21))=0),"",IF(AND(ISNUMBER('Raw Data'!F21), IFERROR('Raw Data'!F21 = ROUND('Raw Data'!F21, 2),FALSE)),"",_xlfn.REGEXEXTRACT(CELL("address",F21), "\$([A-Z]+)\$[0-9]+"))),_xlfn.REGEXEXTRACT(CELL("address",F21), "\$([A-Z]+)\$[0-9]+"))</f>
        <v/>
      </c>
      <c r="G21" s="7" t="str" cm="1">
        <f t="array" aca="1" ref="G21" ca="1">IFERROR(IF(OR('Raw Data'!G21="",LEN(TRIM('Raw Data'!G21))=0),"",IF(LEN('Raw Data'!G21)&gt; 0,"",_xlfn.REGEXEXTRACT(CELL("address",'Raw Data'!G21),"\$([A-Z]+)\$[0-9]+"))),_xlfn.REGEXEXTRACT(CELL("address",'Raw Data'!G21),"\$([A-Z]+)\$[0-9]+"))</f>
        <v/>
      </c>
    </row>
    <row r="22" spans="2:7" x14ac:dyDescent="0.25">
      <c r="B22" s="7" t="str" cm="1">
        <f t="array" aca="1" ref="B22" ca="1">IFERROR(IF(OR('Raw Data'!B22="",LEN(TRIM('Raw Data'!B22))=0),"",IF(AND(LEN('Raw Data'!B22) &lt;= 20,LEN('Raw Data'!B22)&gt; 0),"",_xlfn.REGEXEXTRACT(CELL("address",'Raw Data'!B22),"\$([A-Z]+)\$[0-9]+"))),_xlfn.REGEXEXTRACT(CELL("address",'Raw Data'!B22),"\$([A-Z]+)\$[0-9]+"))</f>
        <v/>
      </c>
      <c r="C22" s="7" t="str" cm="1">
        <f t="array" aca="1" ref="C22" ca="1">IFERROR(IF(OR('Raw Data'!C22="",LEN(TRIM('Raw Data'!C22))=0),"",IF(AND(LEN('Raw Data'!C22) &lt;= 255,LEN('Raw Data'!C22)&gt; 0),"",_xlfn.REGEXEXTRACT(CELL("address",'Raw Data'!C22),"\$([A-Z]+)\$[0-9]+"))),_xlfn.REGEXEXTRACT(CELL("address",'Raw Data'!C22),"\$([A-Z]+)\$[0-9]+"))</f>
        <v/>
      </c>
      <c r="D22" s="7" t="str" cm="1">
        <f t="array" aca="1" ref="D22" ca="1">IFERROR(IF(OR('Raw Data'!D22="",LEN(TRIM('Raw Data'!D22))=0),"",IF(AND(ISNUMBER('Raw Data'!D22), IFERROR('Raw Data'!D22 = ROUND('Raw Data'!D22, 2),FALSE)),"",_xlfn.REGEXEXTRACT(CELL("address",D22), "\$([A-Z]+)\$[0-9]+"))),_xlfn.REGEXEXTRACT(CELL("address",D22), "\$([A-Z]+)\$[0-9]+"))</f>
        <v/>
      </c>
      <c r="E22" s="7" t="str" cm="1">
        <f t="array" aca="1" ref="E22" ca="1">IFERROR(IF(OR('Raw Data'!E22="",LEN(TRIM('Raw Data'!E22))=0),"",IF(AND(ISNUMBER('Raw Data'!E22), IFERROR('Raw Data'!E22 = ROUND('Raw Data'!E22, 2),FALSE)),"",_xlfn.REGEXEXTRACT(CELL("address",E22), "\$([A-Z]+)\$[0-9]+"))),_xlfn.REGEXEXTRACT(CELL("address",E22), "\$([A-Z]+)\$[0-9]+"))</f>
        <v/>
      </c>
      <c r="F22" s="7" t="str" cm="1">
        <f t="array" aca="1" ref="F22" ca="1">IFERROR(IF(OR('Raw Data'!F22="",LEN(TRIM('Raw Data'!F22))=0),"",IF(AND(ISNUMBER('Raw Data'!F22), IFERROR('Raw Data'!F22 = ROUND('Raw Data'!F22, 2),FALSE)),"",_xlfn.REGEXEXTRACT(CELL("address",F22), "\$([A-Z]+)\$[0-9]+"))),_xlfn.REGEXEXTRACT(CELL("address",F22), "\$([A-Z]+)\$[0-9]+"))</f>
        <v/>
      </c>
      <c r="G22" s="7" t="str" cm="1">
        <f t="array" aca="1" ref="G22" ca="1">IFERROR(IF(OR('Raw Data'!G22="",LEN(TRIM('Raw Data'!G22))=0),"",IF(LEN('Raw Data'!G22)&gt; 0,"",_xlfn.REGEXEXTRACT(CELL("address",'Raw Data'!G22),"\$([A-Z]+)\$[0-9]+"))),_xlfn.REGEXEXTRACT(CELL("address",'Raw Data'!G22),"\$([A-Z]+)\$[0-9]+"))</f>
        <v/>
      </c>
    </row>
    <row r="23" spans="2:7" x14ac:dyDescent="0.25">
      <c r="B23" s="7" t="str" cm="1">
        <f t="array" aca="1" ref="B23" ca="1">IFERROR(IF(OR('Raw Data'!B23="",LEN(TRIM('Raw Data'!B23))=0),"",IF(AND(LEN('Raw Data'!B23) &lt;= 20,LEN('Raw Data'!B23)&gt; 0),"",_xlfn.REGEXEXTRACT(CELL("address",'Raw Data'!B23),"\$([A-Z]+)\$[0-9]+"))),_xlfn.REGEXEXTRACT(CELL("address",'Raw Data'!B23),"\$([A-Z]+)\$[0-9]+"))</f>
        <v/>
      </c>
      <c r="C23" s="7" t="str" cm="1">
        <f t="array" aca="1" ref="C23" ca="1">IFERROR(IF(OR('Raw Data'!C23="",LEN(TRIM('Raw Data'!C23))=0),"",IF(AND(LEN('Raw Data'!C23) &lt;= 255,LEN('Raw Data'!C23)&gt; 0),"",_xlfn.REGEXEXTRACT(CELL("address",'Raw Data'!C23),"\$([A-Z]+)\$[0-9]+"))),_xlfn.REGEXEXTRACT(CELL("address",'Raw Data'!C23),"\$([A-Z]+)\$[0-9]+"))</f>
        <v/>
      </c>
      <c r="D23" s="7" t="str" cm="1">
        <f t="array" aca="1" ref="D23" ca="1">IFERROR(IF(OR('Raw Data'!D23="",LEN(TRIM('Raw Data'!D23))=0),"",IF(AND(ISNUMBER('Raw Data'!D23), IFERROR('Raw Data'!D23 = ROUND('Raw Data'!D23, 2),FALSE)),"",_xlfn.REGEXEXTRACT(CELL("address",D23), "\$([A-Z]+)\$[0-9]+"))),_xlfn.REGEXEXTRACT(CELL("address",D23), "\$([A-Z]+)\$[0-9]+"))</f>
        <v/>
      </c>
      <c r="E23" s="7" t="str" cm="1">
        <f t="array" aca="1" ref="E23" ca="1">IFERROR(IF(OR('Raw Data'!E23="",LEN(TRIM('Raw Data'!E23))=0),"",IF(AND(ISNUMBER('Raw Data'!E23), IFERROR('Raw Data'!E23 = ROUND('Raw Data'!E23, 2),FALSE)),"",_xlfn.REGEXEXTRACT(CELL("address",E23), "\$([A-Z]+)\$[0-9]+"))),_xlfn.REGEXEXTRACT(CELL("address",E23), "\$([A-Z]+)\$[0-9]+"))</f>
        <v/>
      </c>
      <c r="F23" s="7" t="str" cm="1">
        <f t="array" aca="1" ref="F23" ca="1">IFERROR(IF(OR('Raw Data'!F23="",LEN(TRIM('Raw Data'!F23))=0),"",IF(AND(ISNUMBER('Raw Data'!F23), IFERROR('Raw Data'!F23 = ROUND('Raw Data'!F23, 2),FALSE)),"",_xlfn.REGEXEXTRACT(CELL("address",F23), "\$([A-Z]+)\$[0-9]+"))),_xlfn.REGEXEXTRACT(CELL("address",F23), "\$([A-Z]+)\$[0-9]+"))</f>
        <v/>
      </c>
      <c r="G23" s="7" t="str" cm="1">
        <f t="array" aca="1" ref="G23" ca="1">IFERROR(IF(OR('Raw Data'!G23="",LEN(TRIM('Raw Data'!G23))=0),"",IF(LEN('Raw Data'!G23)&gt; 0,"",_xlfn.REGEXEXTRACT(CELL("address",'Raw Data'!G23),"\$([A-Z]+)\$[0-9]+"))),_xlfn.REGEXEXTRACT(CELL("address",'Raw Data'!G23),"\$([A-Z]+)\$[0-9]+"))</f>
        <v/>
      </c>
    </row>
    <row r="24" spans="2:7" x14ac:dyDescent="0.25">
      <c r="B24" s="7" t="str" cm="1">
        <f t="array" aca="1" ref="B24" ca="1">IFERROR(IF(OR('Raw Data'!B24="",LEN(TRIM('Raw Data'!B24))=0),"",IF(AND(LEN('Raw Data'!B24) &lt;= 20,LEN('Raw Data'!B24)&gt; 0),"",_xlfn.REGEXEXTRACT(CELL("address",'Raw Data'!B24),"\$([A-Z]+)\$[0-9]+"))),_xlfn.REGEXEXTRACT(CELL("address",'Raw Data'!B24),"\$([A-Z]+)\$[0-9]+"))</f>
        <v/>
      </c>
      <c r="C24" s="7" t="str" cm="1">
        <f t="array" aca="1" ref="C24" ca="1">IFERROR(IF(OR('Raw Data'!C24="",LEN(TRIM('Raw Data'!C24))=0),"",IF(AND(LEN('Raw Data'!C24) &lt;= 255,LEN('Raw Data'!C24)&gt; 0),"",_xlfn.REGEXEXTRACT(CELL("address",'Raw Data'!C24),"\$([A-Z]+)\$[0-9]+"))),_xlfn.REGEXEXTRACT(CELL("address",'Raw Data'!C24),"\$([A-Z]+)\$[0-9]+"))</f>
        <v/>
      </c>
      <c r="D24" s="7" t="str" cm="1">
        <f t="array" aca="1" ref="D24" ca="1">IFERROR(IF(OR('Raw Data'!D24="",LEN(TRIM('Raw Data'!D24))=0),"",IF(AND(ISNUMBER('Raw Data'!D24), IFERROR('Raw Data'!D24 = ROUND('Raw Data'!D24, 2),FALSE)),"",_xlfn.REGEXEXTRACT(CELL("address",D24), "\$([A-Z]+)\$[0-9]+"))),_xlfn.REGEXEXTRACT(CELL("address",D24), "\$([A-Z]+)\$[0-9]+"))</f>
        <v/>
      </c>
      <c r="E24" s="7" t="str" cm="1">
        <f t="array" aca="1" ref="E24" ca="1">IFERROR(IF(OR('Raw Data'!E24="",LEN(TRIM('Raw Data'!E24))=0),"",IF(AND(ISNUMBER('Raw Data'!E24), IFERROR('Raw Data'!E24 = ROUND('Raw Data'!E24, 2),FALSE)),"",_xlfn.REGEXEXTRACT(CELL("address",E24), "\$([A-Z]+)\$[0-9]+"))),_xlfn.REGEXEXTRACT(CELL("address",E24), "\$([A-Z]+)\$[0-9]+"))</f>
        <v/>
      </c>
      <c r="F24" s="7" t="str" cm="1">
        <f t="array" aca="1" ref="F24" ca="1">IFERROR(IF(OR('Raw Data'!F24="",LEN(TRIM('Raw Data'!F24))=0),"",IF(AND(ISNUMBER('Raw Data'!F24), IFERROR('Raw Data'!F24 = ROUND('Raw Data'!F24, 2),FALSE)),"",_xlfn.REGEXEXTRACT(CELL("address",F24), "\$([A-Z]+)\$[0-9]+"))),_xlfn.REGEXEXTRACT(CELL("address",F24), "\$([A-Z]+)\$[0-9]+"))</f>
        <v/>
      </c>
      <c r="G24" s="7" t="str" cm="1">
        <f t="array" aca="1" ref="G24" ca="1">IFERROR(IF(OR('Raw Data'!G24="",LEN(TRIM('Raw Data'!G24))=0),"",IF(LEN('Raw Data'!G24)&gt; 0,"",_xlfn.REGEXEXTRACT(CELL("address",'Raw Data'!G24),"\$([A-Z]+)\$[0-9]+"))),_xlfn.REGEXEXTRACT(CELL("address",'Raw Data'!G24),"\$([A-Z]+)\$[0-9]+"))</f>
        <v/>
      </c>
    </row>
    <row r="25" spans="2:7" x14ac:dyDescent="0.25">
      <c r="B25" s="7" t="str" cm="1">
        <f t="array" aca="1" ref="B25" ca="1">IFERROR(IF(OR('Raw Data'!B25="",LEN(TRIM('Raw Data'!B25))=0),"",IF(AND(LEN('Raw Data'!B25) &lt;= 20,LEN('Raw Data'!B25)&gt; 0),"",_xlfn.REGEXEXTRACT(CELL("address",'Raw Data'!B25),"\$([A-Z]+)\$[0-9]+"))),_xlfn.REGEXEXTRACT(CELL("address",'Raw Data'!B25),"\$([A-Z]+)\$[0-9]+"))</f>
        <v/>
      </c>
      <c r="C25" s="7" t="str" cm="1">
        <f t="array" aca="1" ref="C25" ca="1">IFERROR(IF(OR('Raw Data'!C25="",LEN(TRIM('Raw Data'!C25))=0),"",IF(AND(LEN('Raw Data'!C25) &lt;= 255,LEN('Raw Data'!C25)&gt; 0),"",_xlfn.REGEXEXTRACT(CELL("address",'Raw Data'!C25),"\$([A-Z]+)\$[0-9]+"))),_xlfn.REGEXEXTRACT(CELL("address",'Raw Data'!C25),"\$([A-Z]+)\$[0-9]+"))</f>
        <v/>
      </c>
      <c r="D25" s="7" t="str" cm="1">
        <f t="array" aca="1" ref="D25" ca="1">IFERROR(IF(OR('Raw Data'!D25="",LEN(TRIM('Raw Data'!D25))=0),"",IF(AND(ISNUMBER('Raw Data'!D25), IFERROR('Raw Data'!D25 = ROUND('Raw Data'!D25, 2),FALSE)),"",_xlfn.REGEXEXTRACT(CELL("address",D25), "\$([A-Z]+)\$[0-9]+"))),_xlfn.REGEXEXTRACT(CELL("address",D25), "\$([A-Z]+)\$[0-9]+"))</f>
        <v/>
      </c>
      <c r="E25" s="7" t="str" cm="1">
        <f t="array" aca="1" ref="E25" ca="1">IFERROR(IF(OR('Raw Data'!E25="",LEN(TRIM('Raw Data'!E25))=0),"",IF(AND(ISNUMBER('Raw Data'!E25), IFERROR('Raw Data'!E25 = ROUND('Raw Data'!E25, 2),FALSE)),"",_xlfn.REGEXEXTRACT(CELL("address",E25), "\$([A-Z]+)\$[0-9]+"))),_xlfn.REGEXEXTRACT(CELL("address",E25), "\$([A-Z]+)\$[0-9]+"))</f>
        <v/>
      </c>
      <c r="F25" s="7" t="str" cm="1">
        <f t="array" aca="1" ref="F25" ca="1">IFERROR(IF(OR('Raw Data'!F25="",LEN(TRIM('Raw Data'!F25))=0),"",IF(AND(ISNUMBER('Raw Data'!F25), IFERROR('Raw Data'!F25 = ROUND('Raw Data'!F25, 2),FALSE)),"",_xlfn.REGEXEXTRACT(CELL("address",F25), "\$([A-Z]+)\$[0-9]+"))),_xlfn.REGEXEXTRACT(CELL("address",F25), "\$([A-Z]+)\$[0-9]+"))</f>
        <v/>
      </c>
      <c r="G25" s="7" t="str" cm="1">
        <f t="array" aca="1" ref="G25" ca="1">IFERROR(IF(OR('Raw Data'!G25="",LEN(TRIM('Raw Data'!G25))=0),"",IF(LEN('Raw Data'!G25)&gt; 0,"",_xlfn.REGEXEXTRACT(CELL("address",'Raw Data'!G25),"\$([A-Z]+)\$[0-9]+"))),_xlfn.REGEXEXTRACT(CELL("address",'Raw Data'!G25),"\$([A-Z]+)\$[0-9]+"))</f>
        <v/>
      </c>
    </row>
    <row r="26" spans="2:7" x14ac:dyDescent="0.25">
      <c r="B26" s="7" t="str" cm="1">
        <f t="array" aca="1" ref="B26" ca="1">IFERROR(IF(OR('Raw Data'!B26="",LEN(TRIM('Raw Data'!B26))=0),"",IF(AND(LEN('Raw Data'!B26) &lt;= 20,LEN('Raw Data'!B26)&gt; 0),"",_xlfn.REGEXEXTRACT(CELL("address",'Raw Data'!B26),"\$([A-Z]+)\$[0-9]+"))),_xlfn.REGEXEXTRACT(CELL("address",'Raw Data'!B26),"\$([A-Z]+)\$[0-9]+"))</f>
        <v/>
      </c>
      <c r="C26" s="7" t="str" cm="1">
        <f t="array" aca="1" ref="C26" ca="1">IFERROR(IF(OR('Raw Data'!C26="",LEN(TRIM('Raw Data'!C26))=0),"",IF(AND(LEN('Raw Data'!C26) &lt;= 255,LEN('Raw Data'!C26)&gt; 0),"",_xlfn.REGEXEXTRACT(CELL("address",'Raw Data'!C26),"\$([A-Z]+)\$[0-9]+"))),_xlfn.REGEXEXTRACT(CELL("address",'Raw Data'!C26),"\$([A-Z]+)\$[0-9]+"))</f>
        <v/>
      </c>
      <c r="D26" s="7" t="str" cm="1">
        <f t="array" aca="1" ref="D26" ca="1">IFERROR(IF(OR('Raw Data'!D26="",LEN(TRIM('Raw Data'!D26))=0),"",IF(AND(ISNUMBER('Raw Data'!D26), IFERROR('Raw Data'!D26 = ROUND('Raw Data'!D26, 2),FALSE)),"",_xlfn.REGEXEXTRACT(CELL("address",D26), "\$([A-Z]+)\$[0-9]+"))),_xlfn.REGEXEXTRACT(CELL("address",D26), "\$([A-Z]+)\$[0-9]+"))</f>
        <v/>
      </c>
      <c r="E26" s="7" t="str" cm="1">
        <f t="array" aca="1" ref="E26" ca="1">IFERROR(IF(OR('Raw Data'!E26="",LEN(TRIM('Raw Data'!E26))=0),"",IF(AND(ISNUMBER('Raw Data'!E26), IFERROR('Raw Data'!E26 = ROUND('Raw Data'!E26, 2),FALSE)),"",_xlfn.REGEXEXTRACT(CELL("address",E26), "\$([A-Z]+)\$[0-9]+"))),_xlfn.REGEXEXTRACT(CELL("address",E26), "\$([A-Z]+)\$[0-9]+"))</f>
        <v/>
      </c>
      <c r="F26" s="7" t="str" cm="1">
        <f t="array" aca="1" ref="F26" ca="1">IFERROR(IF(OR('Raw Data'!F26="",LEN(TRIM('Raw Data'!F26))=0),"",IF(AND(ISNUMBER('Raw Data'!F26), IFERROR('Raw Data'!F26 = ROUND('Raw Data'!F26, 2),FALSE)),"",_xlfn.REGEXEXTRACT(CELL("address",F26), "\$([A-Z]+)\$[0-9]+"))),_xlfn.REGEXEXTRACT(CELL("address",F26), "\$([A-Z]+)\$[0-9]+"))</f>
        <v/>
      </c>
      <c r="G26" s="7" t="str" cm="1">
        <f t="array" aca="1" ref="G26" ca="1">IFERROR(IF(OR('Raw Data'!G26="",LEN(TRIM('Raw Data'!G26))=0),"",IF(LEN('Raw Data'!G26)&gt; 0,"",_xlfn.REGEXEXTRACT(CELL("address",'Raw Data'!G26),"\$([A-Z]+)\$[0-9]+"))),_xlfn.REGEXEXTRACT(CELL("address",'Raw Data'!G26),"\$([A-Z]+)\$[0-9]+"))</f>
        <v/>
      </c>
    </row>
    <row r="27" spans="2:7" x14ac:dyDescent="0.25">
      <c r="B27" s="7" t="str" cm="1">
        <f t="array" aca="1" ref="B27" ca="1">IFERROR(IF(OR('Raw Data'!B27="",LEN(TRIM('Raw Data'!B27))=0),"",IF(AND(LEN('Raw Data'!B27) &lt;= 20,LEN('Raw Data'!B27)&gt; 0),"",_xlfn.REGEXEXTRACT(CELL("address",'Raw Data'!B27),"\$([A-Z]+)\$[0-9]+"))),_xlfn.REGEXEXTRACT(CELL("address",'Raw Data'!B27),"\$([A-Z]+)\$[0-9]+"))</f>
        <v/>
      </c>
      <c r="C27" s="7" t="str" cm="1">
        <f t="array" aca="1" ref="C27" ca="1">IFERROR(IF(OR('Raw Data'!C27="",LEN(TRIM('Raw Data'!C27))=0),"",IF(AND(LEN('Raw Data'!C27) &lt;= 255,LEN('Raw Data'!C27)&gt; 0),"",_xlfn.REGEXEXTRACT(CELL("address",'Raw Data'!C27),"\$([A-Z]+)\$[0-9]+"))),_xlfn.REGEXEXTRACT(CELL("address",'Raw Data'!C27),"\$([A-Z]+)\$[0-9]+"))</f>
        <v/>
      </c>
      <c r="D27" s="7" t="str" cm="1">
        <f t="array" aca="1" ref="D27" ca="1">IFERROR(IF(OR('Raw Data'!D27="",LEN(TRIM('Raw Data'!D27))=0),"",IF(AND(ISNUMBER('Raw Data'!D27), IFERROR('Raw Data'!D27 = ROUND('Raw Data'!D27, 2),FALSE)),"",_xlfn.REGEXEXTRACT(CELL("address",D27), "\$([A-Z]+)\$[0-9]+"))),_xlfn.REGEXEXTRACT(CELL("address",D27), "\$([A-Z]+)\$[0-9]+"))</f>
        <v/>
      </c>
      <c r="E27" s="7" t="str" cm="1">
        <f t="array" aca="1" ref="E27" ca="1">IFERROR(IF(OR('Raw Data'!E27="",LEN(TRIM('Raw Data'!E27))=0),"",IF(AND(ISNUMBER('Raw Data'!E27), IFERROR('Raw Data'!E27 = ROUND('Raw Data'!E27, 2),FALSE)),"",_xlfn.REGEXEXTRACT(CELL("address",E27), "\$([A-Z]+)\$[0-9]+"))),_xlfn.REGEXEXTRACT(CELL("address",E27), "\$([A-Z]+)\$[0-9]+"))</f>
        <v/>
      </c>
      <c r="F27" s="7" t="str" cm="1">
        <f t="array" aca="1" ref="F27" ca="1">IFERROR(IF(OR('Raw Data'!F27="",LEN(TRIM('Raw Data'!F27))=0),"",IF(AND(ISNUMBER('Raw Data'!F27), IFERROR('Raw Data'!F27 = ROUND('Raw Data'!F27, 2),FALSE)),"",_xlfn.REGEXEXTRACT(CELL("address",F27), "\$([A-Z]+)\$[0-9]+"))),_xlfn.REGEXEXTRACT(CELL("address",F27), "\$([A-Z]+)\$[0-9]+"))</f>
        <v/>
      </c>
      <c r="G27" s="7" t="str" cm="1">
        <f t="array" aca="1" ref="G27" ca="1">IFERROR(IF(OR('Raw Data'!G27="",LEN(TRIM('Raw Data'!G27))=0),"",IF(LEN('Raw Data'!G27)&gt; 0,"",_xlfn.REGEXEXTRACT(CELL("address",'Raw Data'!G27),"\$([A-Z]+)\$[0-9]+"))),_xlfn.REGEXEXTRACT(CELL("address",'Raw Data'!G27),"\$([A-Z]+)\$[0-9]+"))</f>
        <v/>
      </c>
    </row>
    <row r="28" spans="2:7" x14ac:dyDescent="0.25">
      <c r="B28" s="7" t="str" cm="1">
        <f t="array" aca="1" ref="B28" ca="1">IFERROR(IF(OR('Raw Data'!B28="",LEN(TRIM('Raw Data'!B28))=0),"",IF(AND(LEN('Raw Data'!B28) &lt;= 20,LEN('Raw Data'!B28)&gt; 0),"",_xlfn.REGEXEXTRACT(CELL("address",'Raw Data'!B28),"\$([A-Z]+)\$[0-9]+"))),_xlfn.REGEXEXTRACT(CELL("address",'Raw Data'!B28),"\$([A-Z]+)\$[0-9]+"))</f>
        <v/>
      </c>
      <c r="C28" s="7" t="str" cm="1">
        <f t="array" aca="1" ref="C28" ca="1">IFERROR(IF(OR('Raw Data'!C28="",LEN(TRIM('Raw Data'!C28))=0),"",IF(AND(LEN('Raw Data'!C28) &lt;= 255,LEN('Raw Data'!C28)&gt; 0),"",_xlfn.REGEXEXTRACT(CELL("address",'Raw Data'!C28),"\$([A-Z]+)\$[0-9]+"))),_xlfn.REGEXEXTRACT(CELL("address",'Raw Data'!C28),"\$([A-Z]+)\$[0-9]+"))</f>
        <v/>
      </c>
      <c r="D28" s="7" t="str" cm="1">
        <f t="array" aca="1" ref="D28" ca="1">IFERROR(IF(OR('Raw Data'!D28="",LEN(TRIM('Raw Data'!D28))=0),"",IF(AND(ISNUMBER('Raw Data'!D28), IFERROR('Raw Data'!D28 = ROUND('Raw Data'!D28, 2),FALSE)),"",_xlfn.REGEXEXTRACT(CELL("address",D28), "\$([A-Z]+)\$[0-9]+"))),_xlfn.REGEXEXTRACT(CELL("address",D28), "\$([A-Z]+)\$[0-9]+"))</f>
        <v/>
      </c>
      <c r="E28" s="7" t="str" cm="1">
        <f t="array" aca="1" ref="E28" ca="1">IFERROR(IF(OR('Raw Data'!E28="",LEN(TRIM('Raw Data'!E28))=0),"",IF(AND(ISNUMBER('Raw Data'!E28), IFERROR('Raw Data'!E28 = ROUND('Raw Data'!E28, 2),FALSE)),"",_xlfn.REGEXEXTRACT(CELL("address",E28), "\$([A-Z]+)\$[0-9]+"))),_xlfn.REGEXEXTRACT(CELL("address",E28), "\$([A-Z]+)\$[0-9]+"))</f>
        <v/>
      </c>
      <c r="F28" s="7" t="str" cm="1">
        <f t="array" aca="1" ref="F28" ca="1">IFERROR(IF(OR('Raw Data'!F28="",LEN(TRIM('Raw Data'!F28))=0),"",IF(AND(ISNUMBER('Raw Data'!F28), IFERROR('Raw Data'!F28 = ROUND('Raw Data'!F28, 2),FALSE)),"",_xlfn.REGEXEXTRACT(CELL("address",F28), "\$([A-Z]+)\$[0-9]+"))),_xlfn.REGEXEXTRACT(CELL("address",F28), "\$([A-Z]+)\$[0-9]+"))</f>
        <v/>
      </c>
      <c r="G28" s="7" t="str" cm="1">
        <f t="array" aca="1" ref="G28" ca="1">IFERROR(IF(OR('Raw Data'!G28="",LEN(TRIM('Raw Data'!G28))=0),"",IF(LEN('Raw Data'!G28)&gt; 0,"",_xlfn.REGEXEXTRACT(CELL("address",'Raw Data'!G28),"\$([A-Z]+)\$[0-9]+"))),_xlfn.REGEXEXTRACT(CELL("address",'Raw Data'!G28),"\$([A-Z]+)\$[0-9]+"))</f>
        <v/>
      </c>
    </row>
    <row r="29" spans="2:7" x14ac:dyDescent="0.25">
      <c r="B29" s="7" t="str" cm="1">
        <f t="array" aca="1" ref="B29" ca="1">IFERROR(IF(OR('Raw Data'!B29="",LEN(TRIM('Raw Data'!B29))=0),"",IF(AND(LEN('Raw Data'!B29) &lt;= 20,LEN('Raw Data'!B29)&gt; 0),"",_xlfn.REGEXEXTRACT(CELL("address",'Raw Data'!B29),"\$([A-Z]+)\$[0-9]+"))),_xlfn.REGEXEXTRACT(CELL("address",'Raw Data'!B29),"\$([A-Z]+)\$[0-9]+"))</f>
        <v/>
      </c>
      <c r="C29" s="7" t="str" cm="1">
        <f t="array" aca="1" ref="C29" ca="1">IFERROR(IF(OR('Raw Data'!C29="",LEN(TRIM('Raw Data'!C29))=0),"",IF(AND(LEN('Raw Data'!C29) &lt;= 255,LEN('Raw Data'!C29)&gt; 0),"",_xlfn.REGEXEXTRACT(CELL("address",'Raw Data'!C29),"\$([A-Z]+)\$[0-9]+"))),_xlfn.REGEXEXTRACT(CELL("address",'Raw Data'!C29),"\$([A-Z]+)\$[0-9]+"))</f>
        <v/>
      </c>
      <c r="D29" s="7" t="str" cm="1">
        <f t="array" aca="1" ref="D29" ca="1">IFERROR(IF(OR('Raw Data'!D29="",LEN(TRIM('Raw Data'!D29))=0),"",IF(AND(ISNUMBER('Raw Data'!D29), IFERROR('Raw Data'!D29 = ROUND('Raw Data'!D29, 2),FALSE)),"",_xlfn.REGEXEXTRACT(CELL("address",D29), "\$([A-Z]+)\$[0-9]+"))),_xlfn.REGEXEXTRACT(CELL("address",D29), "\$([A-Z]+)\$[0-9]+"))</f>
        <v/>
      </c>
      <c r="E29" s="7" t="str" cm="1">
        <f t="array" aca="1" ref="E29" ca="1">IFERROR(IF(OR('Raw Data'!E29="",LEN(TRIM('Raw Data'!E29))=0),"",IF(AND(ISNUMBER('Raw Data'!E29), IFERROR('Raw Data'!E29 = ROUND('Raw Data'!E29, 2),FALSE)),"",_xlfn.REGEXEXTRACT(CELL("address",E29), "\$([A-Z]+)\$[0-9]+"))),_xlfn.REGEXEXTRACT(CELL("address",E29), "\$([A-Z]+)\$[0-9]+"))</f>
        <v/>
      </c>
      <c r="F29" s="7" t="str" cm="1">
        <f t="array" aca="1" ref="F29" ca="1">IFERROR(IF(OR('Raw Data'!F29="",LEN(TRIM('Raw Data'!F29))=0),"",IF(AND(ISNUMBER('Raw Data'!F29), IFERROR('Raw Data'!F29 = ROUND('Raw Data'!F29, 2),FALSE)),"",_xlfn.REGEXEXTRACT(CELL("address",F29), "\$([A-Z]+)\$[0-9]+"))),_xlfn.REGEXEXTRACT(CELL("address",F29), "\$([A-Z]+)\$[0-9]+"))</f>
        <v/>
      </c>
      <c r="G29" s="7" t="str" cm="1">
        <f t="array" aca="1" ref="G29" ca="1">IFERROR(IF(OR('Raw Data'!G29="",LEN(TRIM('Raw Data'!G29))=0),"",IF(LEN('Raw Data'!G29)&gt; 0,"",_xlfn.REGEXEXTRACT(CELL("address",'Raw Data'!G29),"\$([A-Z]+)\$[0-9]+"))),_xlfn.REGEXEXTRACT(CELL("address",'Raw Data'!G29),"\$([A-Z]+)\$[0-9]+"))</f>
        <v/>
      </c>
    </row>
    <row r="30" spans="2:7" x14ac:dyDescent="0.25">
      <c r="B30" s="7" t="str" cm="1">
        <f t="array" aca="1" ref="B30" ca="1">IFERROR(IF(OR('Raw Data'!B30="",LEN(TRIM('Raw Data'!B30))=0),"",IF(AND(LEN('Raw Data'!B30) &lt;= 20,LEN('Raw Data'!B30)&gt; 0),"",_xlfn.REGEXEXTRACT(CELL("address",'Raw Data'!B30),"\$([A-Z]+)\$[0-9]+"))),_xlfn.REGEXEXTRACT(CELL("address",'Raw Data'!B30),"\$([A-Z]+)\$[0-9]+"))</f>
        <v/>
      </c>
      <c r="C30" s="7" t="str" cm="1">
        <f t="array" aca="1" ref="C30" ca="1">IFERROR(IF(OR('Raw Data'!C30="",LEN(TRIM('Raw Data'!C30))=0),"",IF(AND(LEN('Raw Data'!C30) &lt;= 255,LEN('Raw Data'!C30)&gt; 0),"",_xlfn.REGEXEXTRACT(CELL("address",'Raw Data'!C30),"\$([A-Z]+)\$[0-9]+"))),_xlfn.REGEXEXTRACT(CELL("address",'Raw Data'!C30),"\$([A-Z]+)\$[0-9]+"))</f>
        <v/>
      </c>
      <c r="D30" s="7" t="str" cm="1">
        <f t="array" aca="1" ref="D30" ca="1">IFERROR(IF(OR('Raw Data'!D30="",LEN(TRIM('Raw Data'!D30))=0),"",IF(AND(ISNUMBER('Raw Data'!D30), IFERROR('Raw Data'!D30 = ROUND('Raw Data'!D30, 2),FALSE)),"",_xlfn.REGEXEXTRACT(CELL("address",D30), "\$([A-Z]+)\$[0-9]+"))),_xlfn.REGEXEXTRACT(CELL("address",D30), "\$([A-Z]+)\$[0-9]+"))</f>
        <v/>
      </c>
      <c r="E30" s="7" t="str" cm="1">
        <f t="array" aca="1" ref="E30" ca="1">IFERROR(IF(OR('Raw Data'!E30="",LEN(TRIM('Raw Data'!E30))=0),"",IF(AND(ISNUMBER('Raw Data'!E30), IFERROR('Raw Data'!E30 = ROUND('Raw Data'!E30, 2),FALSE)),"",_xlfn.REGEXEXTRACT(CELL("address",E30), "\$([A-Z]+)\$[0-9]+"))),_xlfn.REGEXEXTRACT(CELL("address",E30), "\$([A-Z]+)\$[0-9]+"))</f>
        <v/>
      </c>
      <c r="F30" s="7" t="str" cm="1">
        <f t="array" aca="1" ref="F30" ca="1">IFERROR(IF(OR('Raw Data'!F30="",LEN(TRIM('Raw Data'!F30))=0),"",IF(AND(ISNUMBER('Raw Data'!F30), IFERROR('Raw Data'!F30 = ROUND('Raw Data'!F30, 2),FALSE)),"",_xlfn.REGEXEXTRACT(CELL("address",F30), "\$([A-Z]+)\$[0-9]+"))),_xlfn.REGEXEXTRACT(CELL("address",F30), "\$([A-Z]+)\$[0-9]+"))</f>
        <v/>
      </c>
      <c r="G30" s="7" t="str" cm="1">
        <f t="array" aca="1" ref="G30" ca="1">IFERROR(IF(OR('Raw Data'!G30="",LEN(TRIM('Raw Data'!G30))=0),"",IF(LEN('Raw Data'!G30)&gt; 0,"",_xlfn.REGEXEXTRACT(CELL("address",'Raw Data'!G30),"\$([A-Z]+)\$[0-9]+"))),_xlfn.REGEXEXTRACT(CELL("address",'Raw Data'!G30),"\$([A-Z]+)\$[0-9]+"))</f>
        <v/>
      </c>
    </row>
    <row r="31" spans="2:7" x14ac:dyDescent="0.25">
      <c r="B31" s="7" t="str" cm="1">
        <f t="array" aca="1" ref="B31" ca="1">IFERROR(IF(OR('Raw Data'!B31="",LEN(TRIM('Raw Data'!B31))=0),"",IF(AND(LEN('Raw Data'!B31) &lt;= 20,LEN('Raw Data'!B31)&gt; 0),"",_xlfn.REGEXEXTRACT(CELL("address",'Raw Data'!B31),"\$([A-Z]+)\$[0-9]+"))),_xlfn.REGEXEXTRACT(CELL("address",'Raw Data'!B31),"\$([A-Z]+)\$[0-9]+"))</f>
        <v/>
      </c>
      <c r="C31" s="7" t="str" cm="1">
        <f t="array" aca="1" ref="C31" ca="1">IFERROR(IF(OR('Raw Data'!C31="",LEN(TRIM('Raw Data'!C31))=0),"",IF(AND(LEN('Raw Data'!C31) &lt;= 255,LEN('Raw Data'!C31)&gt; 0),"",_xlfn.REGEXEXTRACT(CELL("address",'Raw Data'!C31),"\$([A-Z]+)\$[0-9]+"))),_xlfn.REGEXEXTRACT(CELL("address",'Raw Data'!C31),"\$([A-Z]+)\$[0-9]+"))</f>
        <v/>
      </c>
      <c r="D31" s="7" t="str" cm="1">
        <f t="array" aca="1" ref="D31" ca="1">IFERROR(IF(OR('Raw Data'!D31="",LEN(TRIM('Raw Data'!D31))=0),"",IF(AND(ISNUMBER('Raw Data'!D31), IFERROR('Raw Data'!D31 = ROUND('Raw Data'!D31, 2),FALSE)),"",_xlfn.REGEXEXTRACT(CELL("address",D31), "\$([A-Z]+)\$[0-9]+"))),_xlfn.REGEXEXTRACT(CELL("address",D31), "\$([A-Z]+)\$[0-9]+"))</f>
        <v/>
      </c>
      <c r="E31" s="7" t="str" cm="1">
        <f t="array" aca="1" ref="E31" ca="1">IFERROR(IF(OR('Raw Data'!E31="",LEN(TRIM('Raw Data'!E31))=0),"",IF(AND(ISNUMBER('Raw Data'!E31), IFERROR('Raw Data'!E31 = ROUND('Raw Data'!E31, 2),FALSE)),"",_xlfn.REGEXEXTRACT(CELL("address",E31), "\$([A-Z]+)\$[0-9]+"))),_xlfn.REGEXEXTRACT(CELL("address",E31), "\$([A-Z]+)\$[0-9]+"))</f>
        <v/>
      </c>
      <c r="F31" s="7" t="str" cm="1">
        <f t="array" aca="1" ref="F31" ca="1">IFERROR(IF(OR('Raw Data'!F31="",LEN(TRIM('Raw Data'!F31))=0),"",IF(AND(ISNUMBER('Raw Data'!F31), IFERROR('Raw Data'!F31 = ROUND('Raw Data'!F31, 2),FALSE)),"",_xlfn.REGEXEXTRACT(CELL("address",F31), "\$([A-Z]+)\$[0-9]+"))),_xlfn.REGEXEXTRACT(CELL("address",F31), "\$([A-Z]+)\$[0-9]+"))</f>
        <v/>
      </c>
      <c r="G31" s="7" t="str" cm="1">
        <f t="array" aca="1" ref="G31" ca="1">IFERROR(IF(OR('Raw Data'!G31="",LEN(TRIM('Raw Data'!G31))=0),"",IF(LEN('Raw Data'!G31)&gt; 0,"",_xlfn.REGEXEXTRACT(CELL("address",'Raw Data'!G31),"\$([A-Z]+)\$[0-9]+"))),_xlfn.REGEXEXTRACT(CELL("address",'Raw Data'!G31),"\$([A-Z]+)\$[0-9]+"))</f>
        <v/>
      </c>
    </row>
    <row r="32" spans="2:7" x14ac:dyDescent="0.25">
      <c r="B32" s="7" t="str" cm="1">
        <f t="array" aca="1" ref="B32" ca="1">IFERROR(IF(OR('Raw Data'!B32="",LEN(TRIM('Raw Data'!B32))=0),"",IF(AND(LEN('Raw Data'!B32) &lt;= 20,LEN('Raw Data'!B32)&gt; 0),"",_xlfn.REGEXEXTRACT(CELL("address",'Raw Data'!B32),"\$([A-Z]+)\$[0-9]+"))),_xlfn.REGEXEXTRACT(CELL("address",'Raw Data'!B32),"\$([A-Z]+)\$[0-9]+"))</f>
        <v/>
      </c>
      <c r="C32" s="7" t="str" cm="1">
        <f t="array" aca="1" ref="C32" ca="1">IFERROR(IF(OR('Raw Data'!C32="",LEN(TRIM('Raw Data'!C32))=0),"",IF(AND(LEN('Raw Data'!C32) &lt;= 255,LEN('Raw Data'!C32)&gt; 0),"",_xlfn.REGEXEXTRACT(CELL("address",'Raw Data'!C32),"\$([A-Z]+)\$[0-9]+"))),_xlfn.REGEXEXTRACT(CELL("address",'Raw Data'!C32),"\$([A-Z]+)\$[0-9]+"))</f>
        <v/>
      </c>
      <c r="D32" s="7" t="str" cm="1">
        <f t="array" aca="1" ref="D32" ca="1">IFERROR(IF(OR('Raw Data'!D32="",LEN(TRIM('Raw Data'!D32))=0),"",IF(AND(ISNUMBER('Raw Data'!D32), IFERROR('Raw Data'!D32 = ROUND('Raw Data'!D32, 2),FALSE)),"",_xlfn.REGEXEXTRACT(CELL("address",D32), "\$([A-Z]+)\$[0-9]+"))),_xlfn.REGEXEXTRACT(CELL("address",D32), "\$([A-Z]+)\$[0-9]+"))</f>
        <v/>
      </c>
      <c r="E32" s="7" t="str" cm="1">
        <f t="array" aca="1" ref="E32" ca="1">IFERROR(IF(OR('Raw Data'!E32="",LEN(TRIM('Raw Data'!E32))=0),"",IF(AND(ISNUMBER('Raw Data'!E32), IFERROR('Raw Data'!E32 = ROUND('Raw Data'!E32, 2),FALSE)),"",_xlfn.REGEXEXTRACT(CELL("address",E32), "\$([A-Z]+)\$[0-9]+"))),_xlfn.REGEXEXTRACT(CELL("address",E32), "\$([A-Z]+)\$[0-9]+"))</f>
        <v/>
      </c>
      <c r="F32" s="7" t="str" cm="1">
        <f t="array" aca="1" ref="F32" ca="1">IFERROR(IF(OR('Raw Data'!F32="",LEN(TRIM('Raw Data'!F32))=0),"",IF(AND(ISNUMBER('Raw Data'!F32), IFERROR('Raw Data'!F32 = ROUND('Raw Data'!F32, 2),FALSE)),"",_xlfn.REGEXEXTRACT(CELL("address",F32), "\$([A-Z]+)\$[0-9]+"))),_xlfn.REGEXEXTRACT(CELL("address",F32), "\$([A-Z]+)\$[0-9]+"))</f>
        <v/>
      </c>
      <c r="G32" s="7" t="str" cm="1">
        <f t="array" aca="1" ref="G32" ca="1">IFERROR(IF(OR('Raw Data'!G32="",LEN(TRIM('Raw Data'!G32))=0),"",IF(LEN('Raw Data'!G32)&gt; 0,"",_xlfn.REGEXEXTRACT(CELL("address",'Raw Data'!G32),"\$([A-Z]+)\$[0-9]+"))),_xlfn.REGEXEXTRACT(CELL("address",'Raw Data'!G32),"\$([A-Z]+)\$[0-9]+"))</f>
        <v/>
      </c>
    </row>
    <row r="33" spans="2:7" x14ac:dyDescent="0.25">
      <c r="B33" s="7" t="str" cm="1">
        <f t="array" aca="1" ref="B33" ca="1">IFERROR(IF(OR('Raw Data'!B33="",LEN(TRIM('Raw Data'!B33))=0),"",IF(AND(LEN('Raw Data'!B33) &lt;= 20,LEN('Raw Data'!B33)&gt; 0),"",_xlfn.REGEXEXTRACT(CELL("address",'Raw Data'!B33),"\$([A-Z]+)\$[0-9]+"))),_xlfn.REGEXEXTRACT(CELL("address",'Raw Data'!B33),"\$([A-Z]+)\$[0-9]+"))</f>
        <v/>
      </c>
      <c r="C33" s="7" t="str" cm="1">
        <f t="array" aca="1" ref="C33" ca="1">IFERROR(IF(OR('Raw Data'!C33="",LEN(TRIM('Raw Data'!C33))=0),"",IF(AND(LEN('Raw Data'!C33) &lt;= 255,LEN('Raw Data'!C33)&gt; 0),"",_xlfn.REGEXEXTRACT(CELL("address",'Raw Data'!C33),"\$([A-Z]+)\$[0-9]+"))),_xlfn.REGEXEXTRACT(CELL("address",'Raw Data'!C33),"\$([A-Z]+)\$[0-9]+"))</f>
        <v/>
      </c>
      <c r="D33" s="7" t="str" cm="1">
        <f t="array" aca="1" ref="D33" ca="1">IFERROR(IF(OR('Raw Data'!D33="",LEN(TRIM('Raw Data'!D33))=0),"",IF(AND(ISNUMBER('Raw Data'!D33), IFERROR('Raw Data'!D33 = ROUND('Raw Data'!D33, 2),FALSE)),"",_xlfn.REGEXEXTRACT(CELL("address",D33), "\$([A-Z]+)\$[0-9]+"))),_xlfn.REGEXEXTRACT(CELL("address",D33), "\$([A-Z]+)\$[0-9]+"))</f>
        <v/>
      </c>
      <c r="E33" s="7" t="str" cm="1">
        <f t="array" aca="1" ref="E33" ca="1">IFERROR(IF(OR('Raw Data'!E33="",LEN(TRIM('Raw Data'!E33))=0),"",IF(AND(ISNUMBER('Raw Data'!E33), IFERROR('Raw Data'!E33 = ROUND('Raw Data'!E33, 2),FALSE)),"",_xlfn.REGEXEXTRACT(CELL("address",E33), "\$([A-Z]+)\$[0-9]+"))),_xlfn.REGEXEXTRACT(CELL("address",E33), "\$([A-Z]+)\$[0-9]+"))</f>
        <v/>
      </c>
      <c r="F33" s="7" t="str" cm="1">
        <f t="array" aca="1" ref="F33" ca="1">IFERROR(IF(OR('Raw Data'!F33="",LEN(TRIM('Raw Data'!F33))=0),"",IF(AND(ISNUMBER('Raw Data'!F33), IFERROR('Raw Data'!F33 = ROUND('Raw Data'!F33, 2),FALSE)),"",_xlfn.REGEXEXTRACT(CELL("address",F33), "\$([A-Z]+)\$[0-9]+"))),_xlfn.REGEXEXTRACT(CELL("address",F33), "\$([A-Z]+)\$[0-9]+"))</f>
        <v/>
      </c>
      <c r="G33" s="7" t="str" cm="1">
        <f t="array" aca="1" ref="G33" ca="1">IFERROR(IF(OR('Raw Data'!G33="",LEN(TRIM('Raw Data'!G33))=0),"",IF(LEN('Raw Data'!G33)&gt; 0,"",_xlfn.REGEXEXTRACT(CELL("address",'Raw Data'!G33),"\$([A-Z]+)\$[0-9]+"))),_xlfn.REGEXEXTRACT(CELL("address",'Raw Data'!G33),"\$([A-Z]+)\$[0-9]+"))</f>
        <v/>
      </c>
    </row>
    <row r="34" spans="2:7" x14ac:dyDescent="0.25">
      <c r="B34" s="7" t="str" cm="1">
        <f t="array" aca="1" ref="B34" ca="1">IFERROR(IF(OR('Raw Data'!B34="",LEN(TRIM('Raw Data'!B34))=0),"",IF(AND(LEN('Raw Data'!B34) &lt;= 20,LEN('Raw Data'!B34)&gt; 0),"",_xlfn.REGEXEXTRACT(CELL("address",'Raw Data'!B34),"\$([A-Z]+)\$[0-9]+"))),_xlfn.REGEXEXTRACT(CELL("address",'Raw Data'!B34),"\$([A-Z]+)\$[0-9]+"))</f>
        <v/>
      </c>
      <c r="C34" s="7" t="str" cm="1">
        <f t="array" aca="1" ref="C34" ca="1">IFERROR(IF(OR('Raw Data'!C34="",LEN(TRIM('Raw Data'!C34))=0),"",IF(AND(LEN('Raw Data'!C34) &lt;= 255,LEN('Raw Data'!C34)&gt; 0),"",_xlfn.REGEXEXTRACT(CELL("address",'Raw Data'!C34),"\$([A-Z]+)\$[0-9]+"))),_xlfn.REGEXEXTRACT(CELL("address",'Raw Data'!C34),"\$([A-Z]+)\$[0-9]+"))</f>
        <v/>
      </c>
      <c r="D34" s="7" t="str" cm="1">
        <f t="array" aca="1" ref="D34" ca="1">IFERROR(IF(OR('Raw Data'!D34="",LEN(TRIM('Raw Data'!D34))=0),"",IF(AND(ISNUMBER('Raw Data'!D34), IFERROR('Raw Data'!D34 = ROUND('Raw Data'!D34, 2),FALSE)),"",_xlfn.REGEXEXTRACT(CELL("address",D34), "\$([A-Z]+)\$[0-9]+"))),_xlfn.REGEXEXTRACT(CELL("address",D34), "\$([A-Z]+)\$[0-9]+"))</f>
        <v/>
      </c>
      <c r="E34" s="7" t="str" cm="1">
        <f t="array" aca="1" ref="E34" ca="1">IFERROR(IF(OR('Raw Data'!E34="",LEN(TRIM('Raw Data'!E34))=0),"",IF(AND(ISNUMBER('Raw Data'!E34), IFERROR('Raw Data'!E34 = ROUND('Raw Data'!E34, 2),FALSE)),"",_xlfn.REGEXEXTRACT(CELL("address",E34), "\$([A-Z]+)\$[0-9]+"))),_xlfn.REGEXEXTRACT(CELL("address",E34), "\$([A-Z]+)\$[0-9]+"))</f>
        <v/>
      </c>
      <c r="F34" s="7" t="str" cm="1">
        <f t="array" aca="1" ref="F34" ca="1">IFERROR(IF(OR('Raw Data'!F34="",LEN(TRIM('Raw Data'!F34))=0),"",IF(AND(ISNUMBER('Raw Data'!F34), IFERROR('Raw Data'!F34 = ROUND('Raw Data'!F34, 2),FALSE)),"",_xlfn.REGEXEXTRACT(CELL("address",F34), "\$([A-Z]+)\$[0-9]+"))),_xlfn.REGEXEXTRACT(CELL("address",F34), "\$([A-Z]+)\$[0-9]+"))</f>
        <v/>
      </c>
      <c r="G34" s="7" t="str" cm="1">
        <f t="array" aca="1" ref="G34" ca="1">IFERROR(IF(OR('Raw Data'!G34="",LEN(TRIM('Raw Data'!G34))=0),"",IF(LEN('Raw Data'!G34)&gt; 0,"",_xlfn.REGEXEXTRACT(CELL("address",'Raw Data'!G34),"\$([A-Z]+)\$[0-9]+"))),_xlfn.REGEXEXTRACT(CELL("address",'Raw Data'!G34),"\$([A-Z]+)\$[0-9]+"))</f>
        <v/>
      </c>
    </row>
    <row r="35" spans="2:7" x14ac:dyDescent="0.25">
      <c r="B35" s="7" t="str" cm="1">
        <f t="array" aca="1" ref="B35" ca="1">IFERROR(IF(OR('Raw Data'!B35="",LEN(TRIM('Raw Data'!B35))=0),"",IF(AND(LEN('Raw Data'!B35) &lt;= 20,LEN('Raw Data'!B35)&gt; 0),"",_xlfn.REGEXEXTRACT(CELL("address",'Raw Data'!B35),"\$([A-Z]+)\$[0-9]+"))),_xlfn.REGEXEXTRACT(CELL("address",'Raw Data'!B35),"\$([A-Z]+)\$[0-9]+"))</f>
        <v/>
      </c>
      <c r="C35" s="7" t="str" cm="1">
        <f t="array" aca="1" ref="C35" ca="1">IFERROR(IF(OR('Raw Data'!C35="",LEN(TRIM('Raw Data'!C35))=0),"",IF(AND(LEN('Raw Data'!C35) &lt;= 255,LEN('Raw Data'!C35)&gt; 0),"",_xlfn.REGEXEXTRACT(CELL("address",'Raw Data'!C35),"\$([A-Z]+)\$[0-9]+"))),_xlfn.REGEXEXTRACT(CELL("address",'Raw Data'!C35),"\$([A-Z]+)\$[0-9]+"))</f>
        <v/>
      </c>
      <c r="D35" s="7" t="str" cm="1">
        <f t="array" aca="1" ref="D35" ca="1">IFERROR(IF(OR('Raw Data'!D35="",LEN(TRIM('Raw Data'!D35))=0),"",IF(AND(ISNUMBER('Raw Data'!D35), IFERROR('Raw Data'!D35 = ROUND('Raw Data'!D35, 2),FALSE)),"",_xlfn.REGEXEXTRACT(CELL("address",D35), "\$([A-Z]+)\$[0-9]+"))),_xlfn.REGEXEXTRACT(CELL("address",D35), "\$([A-Z]+)\$[0-9]+"))</f>
        <v/>
      </c>
      <c r="E35" s="7" t="str" cm="1">
        <f t="array" aca="1" ref="E35" ca="1">IFERROR(IF(OR('Raw Data'!E35="",LEN(TRIM('Raw Data'!E35))=0),"",IF(AND(ISNUMBER('Raw Data'!E35), IFERROR('Raw Data'!E35 = ROUND('Raw Data'!E35, 2),FALSE)),"",_xlfn.REGEXEXTRACT(CELL("address",E35), "\$([A-Z]+)\$[0-9]+"))),_xlfn.REGEXEXTRACT(CELL("address",E35), "\$([A-Z]+)\$[0-9]+"))</f>
        <v/>
      </c>
      <c r="F35" s="7" t="str" cm="1">
        <f t="array" aca="1" ref="F35" ca="1">IFERROR(IF(OR('Raw Data'!F35="",LEN(TRIM('Raw Data'!F35))=0),"",IF(AND(ISNUMBER('Raw Data'!F35), IFERROR('Raw Data'!F35 = ROUND('Raw Data'!F35, 2),FALSE)),"",_xlfn.REGEXEXTRACT(CELL("address",F35), "\$([A-Z]+)\$[0-9]+"))),_xlfn.REGEXEXTRACT(CELL("address",F35), "\$([A-Z]+)\$[0-9]+"))</f>
        <v/>
      </c>
      <c r="G35" s="7" t="str" cm="1">
        <f t="array" aca="1" ref="G35" ca="1">IFERROR(IF(OR('Raw Data'!G35="",LEN(TRIM('Raw Data'!G35))=0),"",IF(LEN('Raw Data'!G35)&gt; 0,"",_xlfn.REGEXEXTRACT(CELL("address",'Raw Data'!G35),"\$([A-Z]+)\$[0-9]+"))),_xlfn.REGEXEXTRACT(CELL("address",'Raw Data'!G35),"\$([A-Z]+)\$[0-9]+"))</f>
        <v/>
      </c>
    </row>
    <row r="36" spans="2:7" x14ac:dyDescent="0.25">
      <c r="B36" s="7" t="str" cm="1">
        <f t="array" aca="1" ref="B36" ca="1">IFERROR(IF(OR('Raw Data'!B36="",LEN(TRIM('Raw Data'!B36))=0),"",IF(AND(LEN('Raw Data'!B36) &lt;= 20,LEN('Raw Data'!B36)&gt; 0),"",_xlfn.REGEXEXTRACT(CELL("address",'Raw Data'!B36),"\$([A-Z]+)\$[0-9]+"))),_xlfn.REGEXEXTRACT(CELL("address",'Raw Data'!B36),"\$([A-Z]+)\$[0-9]+"))</f>
        <v/>
      </c>
      <c r="C36" s="7" t="str" cm="1">
        <f t="array" aca="1" ref="C36" ca="1">IFERROR(IF(OR('Raw Data'!C36="",LEN(TRIM('Raw Data'!C36))=0),"",IF(AND(LEN('Raw Data'!C36) &lt;= 255,LEN('Raw Data'!C36)&gt; 0),"",_xlfn.REGEXEXTRACT(CELL("address",'Raw Data'!C36),"\$([A-Z]+)\$[0-9]+"))),_xlfn.REGEXEXTRACT(CELL("address",'Raw Data'!C36),"\$([A-Z]+)\$[0-9]+"))</f>
        <v/>
      </c>
      <c r="D36" s="7" t="str" cm="1">
        <f t="array" aca="1" ref="D36" ca="1">IFERROR(IF(OR('Raw Data'!D36="",LEN(TRIM('Raw Data'!D36))=0),"",IF(AND(ISNUMBER('Raw Data'!D36), IFERROR('Raw Data'!D36 = ROUND('Raw Data'!D36, 2),FALSE)),"",_xlfn.REGEXEXTRACT(CELL("address",D36), "\$([A-Z]+)\$[0-9]+"))),_xlfn.REGEXEXTRACT(CELL("address",D36), "\$([A-Z]+)\$[0-9]+"))</f>
        <v/>
      </c>
      <c r="E36" s="7" t="str" cm="1">
        <f t="array" aca="1" ref="E36" ca="1">IFERROR(IF(OR('Raw Data'!E36="",LEN(TRIM('Raw Data'!E36))=0),"",IF(AND(ISNUMBER('Raw Data'!E36), IFERROR('Raw Data'!E36 = ROUND('Raw Data'!E36, 2),FALSE)),"",_xlfn.REGEXEXTRACT(CELL("address",E36), "\$([A-Z]+)\$[0-9]+"))),_xlfn.REGEXEXTRACT(CELL("address",E36), "\$([A-Z]+)\$[0-9]+"))</f>
        <v/>
      </c>
      <c r="F36" s="7" t="str" cm="1">
        <f t="array" aca="1" ref="F36" ca="1">IFERROR(IF(OR('Raw Data'!F36="",LEN(TRIM('Raw Data'!F36))=0),"",IF(AND(ISNUMBER('Raw Data'!F36), IFERROR('Raw Data'!F36 = ROUND('Raw Data'!F36, 2),FALSE)),"",_xlfn.REGEXEXTRACT(CELL("address",F36), "\$([A-Z]+)\$[0-9]+"))),_xlfn.REGEXEXTRACT(CELL("address",F36), "\$([A-Z]+)\$[0-9]+"))</f>
        <v/>
      </c>
      <c r="G36" s="7" t="str" cm="1">
        <f t="array" aca="1" ref="G36" ca="1">IFERROR(IF(OR('Raw Data'!G36="",LEN(TRIM('Raw Data'!G36))=0),"",IF(LEN('Raw Data'!G36)&gt; 0,"",_xlfn.REGEXEXTRACT(CELL("address",'Raw Data'!G36),"\$([A-Z]+)\$[0-9]+"))),_xlfn.REGEXEXTRACT(CELL("address",'Raw Data'!G36),"\$([A-Z]+)\$[0-9]+"))</f>
        <v/>
      </c>
    </row>
    <row r="37" spans="2:7" x14ac:dyDescent="0.25">
      <c r="B37" s="7" t="str" cm="1">
        <f t="array" aca="1" ref="B37" ca="1">IFERROR(IF(OR('Raw Data'!B37="",LEN(TRIM('Raw Data'!B37))=0),"",IF(AND(LEN('Raw Data'!B37) &lt;= 20,LEN('Raw Data'!B37)&gt; 0),"",_xlfn.REGEXEXTRACT(CELL("address",'Raw Data'!B37),"\$([A-Z]+)\$[0-9]+"))),_xlfn.REGEXEXTRACT(CELL("address",'Raw Data'!B37),"\$([A-Z]+)\$[0-9]+"))</f>
        <v/>
      </c>
      <c r="C37" s="7" t="str" cm="1">
        <f t="array" aca="1" ref="C37" ca="1">IFERROR(IF(OR('Raw Data'!C37="",LEN(TRIM('Raw Data'!C37))=0),"",IF(AND(LEN('Raw Data'!C37) &lt;= 255,LEN('Raw Data'!C37)&gt; 0),"",_xlfn.REGEXEXTRACT(CELL("address",'Raw Data'!C37),"\$([A-Z]+)\$[0-9]+"))),_xlfn.REGEXEXTRACT(CELL("address",'Raw Data'!C37),"\$([A-Z]+)\$[0-9]+"))</f>
        <v/>
      </c>
      <c r="D37" s="7" t="str" cm="1">
        <f t="array" aca="1" ref="D37" ca="1">IFERROR(IF(OR('Raw Data'!D37="",LEN(TRIM('Raw Data'!D37))=0),"",IF(AND(ISNUMBER('Raw Data'!D37), IFERROR('Raw Data'!D37 = ROUND('Raw Data'!D37, 2),FALSE)),"",_xlfn.REGEXEXTRACT(CELL("address",D37), "\$([A-Z]+)\$[0-9]+"))),_xlfn.REGEXEXTRACT(CELL("address",D37), "\$([A-Z]+)\$[0-9]+"))</f>
        <v/>
      </c>
      <c r="E37" s="7" t="str" cm="1">
        <f t="array" aca="1" ref="E37" ca="1">IFERROR(IF(OR('Raw Data'!E37="",LEN(TRIM('Raw Data'!E37))=0),"",IF(AND(ISNUMBER('Raw Data'!E37), IFERROR('Raw Data'!E37 = ROUND('Raw Data'!E37, 2),FALSE)),"",_xlfn.REGEXEXTRACT(CELL("address",E37), "\$([A-Z]+)\$[0-9]+"))),_xlfn.REGEXEXTRACT(CELL("address",E37), "\$([A-Z]+)\$[0-9]+"))</f>
        <v/>
      </c>
      <c r="F37" s="7" t="str" cm="1">
        <f t="array" aca="1" ref="F37" ca="1">IFERROR(IF(OR('Raw Data'!F37="",LEN(TRIM('Raw Data'!F37))=0),"",IF(AND(ISNUMBER('Raw Data'!F37), IFERROR('Raw Data'!F37 = ROUND('Raw Data'!F37, 2),FALSE)),"",_xlfn.REGEXEXTRACT(CELL("address",F37), "\$([A-Z]+)\$[0-9]+"))),_xlfn.REGEXEXTRACT(CELL("address",F37), "\$([A-Z]+)\$[0-9]+"))</f>
        <v/>
      </c>
      <c r="G37" s="7" t="str" cm="1">
        <f t="array" aca="1" ref="G37" ca="1">IFERROR(IF(OR('Raw Data'!G37="",LEN(TRIM('Raw Data'!G37))=0),"",IF(LEN('Raw Data'!G37)&gt; 0,"",_xlfn.REGEXEXTRACT(CELL("address",'Raw Data'!G37),"\$([A-Z]+)\$[0-9]+"))),_xlfn.REGEXEXTRACT(CELL("address",'Raw Data'!G37),"\$([A-Z]+)\$[0-9]+"))</f>
        <v/>
      </c>
    </row>
    <row r="38" spans="2:7" x14ac:dyDescent="0.25">
      <c r="B38" s="7" t="str" cm="1">
        <f t="array" aca="1" ref="B38" ca="1">IFERROR(IF(OR('Raw Data'!B38="",LEN(TRIM('Raw Data'!B38))=0),"",IF(AND(LEN('Raw Data'!B38) &lt;= 20,LEN('Raw Data'!B38)&gt; 0),"",_xlfn.REGEXEXTRACT(CELL("address",'Raw Data'!B38),"\$([A-Z]+)\$[0-9]+"))),_xlfn.REGEXEXTRACT(CELL("address",'Raw Data'!B38),"\$([A-Z]+)\$[0-9]+"))</f>
        <v/>
      </c>
      <c r="C38" s="7" t="str" cm="1">
        <f t="array" aca="1" ref="C38" ca="1">IFERROR(IF(OR('Raw Data'!C38="",LEN(TRIM('Raw Data'!C38))=0),"",IF(AND(LEN('Raw Data'!C38) &lt;= 255,LEN('Raw Data'!C38)&gt; 0),"",_xlfn.REGEXEXTRACT(CELL("address",'Raw Data'!C38),"\$([A-Z]+)\$[0-9]+"))),_xlfn.REGEXEXTRACT(CELL("address",'Raw Data'!C38),"\$([A-Z]+)\$[0-9]+"))</f>
        <v/>
      </c>
      <c r="D38" s="7" t="str" cm="1">
        <f t="array" aca="1" ref="D38" ca="1">IFERROR(IF(OR('Raw Data'!D38="",LEN(TRIM('Raw Data'!D38))=0),"",IF(AND(ISNUMBER('Raw Data'!D38), IFERROR('Raw Data'!D38 = ROUND('Raw Data'!D38, 2),FALSE)),"",_xlfn.REGEXEXTRACT(CELL("address",D38), "\$([A-Z]+)\$[0-9]+"))),_xlfn.REGEXEXTRACT(CELL("address",D38), "\$([A-Z]+)\$[0-9]+"))</f>
        <v/>
      </c>
      <c r="E38" s="7" t="str" cm="1">
        <f t="array" aca="1" ref="E38" ca="1">IFERROR(IF(OR('Raw Data'!E38="",LEN(TRIM('Raw Data'!E38))=0),"",IF(AND(ISNUMBER('Raw Data'!E38), IFERROR('Raw Data'!E38 = ROUND('Raw Data'!E38, 2),FALSE)),"",_xlfn.REGEXEXTRACT(CELL("address",E38), "\$([A-Z]+)\$[0-9]+"))),_xlfn.REGEXEXTRACT(CELL("address",E38), "\$([A-Z]+)\$[0-9]+"))</f>
        <v/>
      </c>
      <c r="F38" s="7" t="str" cm="1">
        <f t="array" aca="1" ref="F38" ca="1">IFERROR(IF(OR('Raw Data'!F38="",LEN(TRIM('Raw Data'!F38))=0),"",IF(AND(ISNUMBER('Raw Data'!F38), IFERROR('Raw Data'!F38 = ROUND('Raw Data'!F38, 2),FALSE)),"",_xlfn.REGEXEXTRACT(CELL("address",F38), "\$([A-Z]+)\$[0-9]+"))),_xlfn.REGEXEXTRACT(CELL("address",F38), "\$([A-Z]+)\$[0-9]+"))</f>
        <v/>
      </c>
      <c r="G38" s="7" t="str" cm="1">
        <f t="array" aca="1" ref="G38" ca="1">IFERROR(IF(OR('Raw Data'!G38="",LEN(TRIM('Raw Data'!G38))=0),"",IF(LEN('Raw Data'!G38)&gt; 0,"",_xlfn.REGEXEXTRACT(CELL("address",'Raw Data'!G38),"\$([A-Z]+)\$[0-9]+"))),_xlfn.REGEXEXTRACT(CELL("address",'Raw Data'!G38),"\$([A-Z]+)\$[0-9]+"))</f>
        <v/>
      </c>
    </row>
    <row r="39" spans="2:7" x14ac:dyDescent="0.25">
      <c r="B39" s="7" t="str" cm="1">
        <f t="array" aca="1" ref="B39" ca="1">IFERROR(IF(OR('Raw Data'!B39="",LEN(TRIM('Raw Data'!B39))=0),"",IF(AND(LEN('Raw Data'!B39) &lt;= 20,LEN('Raw Data'!B39)&gt; 0),"",_xlfn.REGEXEXTRACT(CELL("address",'Raw Data'!B39),"\$([A-Z]+)\$[0-9]+"))),_xlfn.REGEXEXTRACT(CELL("address",'Raw Data'!B39),"\$([A-Z]+)\$[0-9]+"))</f>
        <v/>
      </c>
      <c r="C39" s="7" t="str" cm="1">
        <f t="array" aca="1" ref="C39" ca="1">IFERROR(IF(OR('Raw Data'!C39="",LEN(TRIM('Raw Data'!C39))=0),"",IF(AND(LEN('Raw Data'!C39) &lt;= 255,LEN('Raw Data'!C39)&gt; 0),"",_xlfn.REGEXEXTRACT(CELL("address",'Raw Data'!C39),"\$([A-Z]+)\$[0-9]+"))),_xlfn.REGEXEXTRACT(CELL("address",'Raw Data'!C39),"\$([A-Z]+)\$[0-9]+"))</f>
        <v/>
      </c>
      <c r="D39" s="7" t="str" cm="1">
        <f t="array" aca="1" ref="D39" ca="1">IFERROR(IF(OR('Raw Data'!D39="",LEN(TRIM('Raw Data'!D39))=0),"",IF(AND(ISNUMBER('Raw Data'!D39), IFERROR('Raw Data'!D39 = ROUND('Raw Data'!D39, 2),FALSE)),"",_xlfn.REGEXEXTRACT(CELL("address",D39), "\$([A-Z]+)\$[0-9]+"))),_xlfn.REGEXEXTRACT(CELL("address",D39), "\$([A-Z]+)\$[0-9]+"))</f>
        <v/>
      </c>
      <c r="E39" s="7" t="str" cm="1">
        <f t="array" aca="1" ref="E39" ca="1">IFERROR(IF(OR('Raw Data'!E39="",LEN(TRIM('Raw Data'!E39))=0),"",IF(AND(ISNUMBER('Raw Data'!E39), IFERROR('Raw Data'!E39 = ROUND('Raw Data'!E39, 2),FALSE)),"",_xlfn.REGEXEXTRACT(CELL("address",E39), "\$([A-Z]+)\$[0-9]+"))),_xlfn.REGEXEXTRACT(CELL("address",E39), "\$([A-Z]+)\$[0-9]+"))</f>
        <v/>
      </c>
      <c r="F39" s="7" t="str" cm="1">
        <f t="array" aca="1" ref="F39" ca="1">IFERROR(IF(OR('Raw Data'!F39="",LEN(TRIM('Raw Data'!F39))=0),"",IF(AND(ISNUMBER('Raw Data'!F39), IFERROR('Raw Data'!F39 = ROUND('Raw Data'!F39, 2),FALSE)),"",_xlfn.REGEXEXTRACT(CELL("address",F39), "\$([A-Z]+)\$[0-9]+"))),_xlfn.REGEXEXTRACT(CELL("address",F39), "\$([A-Z]+)\$[0-9]+"))</f>
        <v/>
      </c>
      <c r="G39" s="7" t="str" cm="1">
        <f t="array" aca="1" ref="G39" ca="1">IFERROR(IF(OR('Raw Data'!G39="",LEN(TRIM('Raw Data'!G39))=0),"",IF(LEN('Raw Data'!G39)&gt; 0,"",_xlfn.REGEXEXTRACT(CELL("address",'Raw Data'!G39),"\$([A-Z]+)\$[0-9]+"))),_xlfn.REGEXEXTRACT(CELL("address",'Raw Data'!G39),"\$([A-Z]+)\$[0-9]+"))</f>
        <v/>
      </c>
    </row>
    <row r="40" spans="2:7" x14ac:dyDescent="0.25">
      <c r="B40" s="7" t="str" cm="1">
        <f t="array" aca="1" ref="B40" ca="1">IFERROR(IF(OR('Raw Data'!B40="",LEN(TRIM('Raw Data'!B40))=0),"",IF(AND(LEN('Raw Data'!B40) &lt;= 20,LEN('Raw Data'!B40)&gt; 0),"",_xlfn.REGEXEXTRACT(CELL("address",'Raw Data'!B40),"\$([A-Z]+)\$[0-9]+"))),_xlfn.REGEXEXTRACT(CELL("address",'Raw Data'!B40),"\$([A-Z]+)\$[0-9]+"))</f>
        <v/>
      </c>
      <c r="C40" s="7" t="str" cm="1">
        <f t="array" aca="1" ref="C40" ca="1">IFERROR(IF(OR('Raw Data'!C40="",LEN(TRIM('Raw Data'!C40))=0),"",IF(AND(LEN('Raw Data'!C40) &lt;= 255,LEN('Raw Data'!C40)&gt; 0),"",_xlfn.REGEXEXTRACT(CELL("address",'Raw Data'!C40),"\$([A-Z]+)\$[0-9]+"))),_xlfn.REGEXEXTRACT(CELL("address",'Raw Data'!C40),"\$([A-Z]+)\$[0-9]+"))</f>
        <v/>
      </c>
      <c r="D40" s="7" t="str" cm="1">
        <f t="array" aca="1" ref="D40" ca="1">IFERROR(IF(OR('Raw Data'!D40="",LEN(TRIM('Raw Data'!D40))=0),"",IF(AND(ISNUMBER('Raw Data'!D40), IFERROR('Raw Data'!D40 = ROUND('Raw Data'!D40, 2),FALSE)),"",_xlfn.REGEXEXTRACT(CELL("address",D40), "\$([A-Z]+)\$[0-9]+"))),_xlfn.REGEXEXTRACT(CELL("address",D40), "\$([A-Z]+)\$[0-9]+"))</f>
        <v/>
      </c>
      <c r="E40" s="7" t="str" cm="1">
        <f t="array" aca="1" ref="E40" ca="1">IFERROR(IF(OR('Raw Data'!E40="",LEN(TRIM('Raw Data'!E40))=0),"",IF(AND(ISNUMBER('Raw Data'!E40), IFERROR('Raw Data'!E40 = ROUND('Raw Data'!E40, 2),FALSE)),"",_xlfn.REGEXEXTRACT(CELL("address",E40), "\$([A-Z]+)\$[0-9]+"))),_xlfn.REGEXEXTRACT(CELL("address",E40), "\$([A-Z]+)\$[0-9]+"))</f>
        <v/>
      </c>
      <c r="F40" s="7" t="str" cm="1">
        <f t="array" aca="1" ref="F40" ca="1">IFERROR(IF(OR('Raw Data'!F40="",LEN(TRIM('Raw Data'!F40))=0),"",IF(AND(ISNUMBER('Raw Data'!F40), IFERROR('Raw Data'!F40 = ROUND('Raw Data'!F40, 2),FALSE)),"",_xlfn.REGEXEXTRACT(CELL("address",F40), "\$([A-Z]+)\$[0-9]+"))),_xlfn.REGEXEXTRACT(CELL("address",F40), "\$([A-Z]+)\$[0-9]+"))</f>
        <v/>
      </c>
      <c r="G40" s="7" t="str" cm="1">
        <f t="array" aca="1" ref="G40" ca="1">IFERROR(IF(OR('Raw Data'!G40="",LEN(TRIM('Raw Data'!G40))=0),"",IF(LEN('Raw Data'!G40)&gt; 0,"",_xlfn.REGEXEXTRACT(CELL("address",'Raw Data'!G40),"\$([A-Z]+)\$[0-9]+"))),_xlfn.REGEXEXTRACT(CELL("address",'Raw Data'!G40),"\$([A-Z]+)\$[0-9]+"))</f>
        <v/>
      </c>
    </row>
    <row r="41" spans="2:7" x14ac:dyDescent="0.25">
      <c r="B41" s="7" t="str" cm="1">
        <f t="array" aca="1" ref="B41" ca="1">IFERROR(IF(OR('Raw Data'!B41="",LEN(TRIM('Raw Data'!B41))=0),"",IF(AND(LEN('Raw Data'!B41) &lt;= 20,LEN('Raw Data'!B41)&gt; 0),"",_xlfn.REGEXEXTRACT(CELL("address",'Raw Data'!B41),"\$([A-Z]+)\$[0-9]+"))),_xlfn.REGEXEXTRACT(CELL("address",'Raw Data'!B41),"\$([A-Z]+)\$[0-9]+"))</f>
        <v/>
      </c>
      <c r="C41" s="7" t="str" cm="1">
        <f t="array" aca="1" ref="C41" ca="1">IFERROR(IF(OR('Raw Data'!C41="",LEN(TRIM('Raw Data'!C41))=0),"",IF(AND(LEN('Raw Data'!C41) &lt;= 255,LEN('Raw Data'!C41)&gt; 0),"",_xlfn.REGEXEXTRACT(CELL("address",'Raw Data'!C41),"\$([A-Z]+)\$[0-9]+"))),_xlfn.REGEXEXTRACT(CELL("address",'Raw Data'!C41),"\$([A-Z]+)\$[0-9]+"))</f>
        <v/>
      </c>
      <c r="D41" s="7" t="str" cm="1">
        <f t="array" aca="1" ref="D41" ca="1">IFERROR(IF(OR('Raw Data'!D41="",LEN(TRIM('Raw Data'!D41))=0),"",IF(AND(ISNUMBER('Raw Data'!D41), IFERROR('Raw Data'!D41 = ROUND('Raw Data'!D41, 2),FALSE)),"",_xlfn.REGEXEXTRACT(CELL("address",D41), "\$([A-Z]+)\$[0-9]+"))),_xlfn.REGEXEXTRACT(CELL("address",D41), "\$([A-Z]+)\$[0-9]+"))</f>
        <v/>
      </c>
      <c r="E41" s="7" t="str" cm="1">
        <f t="array" aca="1" ref="E41" ca="1">IFERROR(IF(OR('Raw Data'!E41="",LEN(TRIM('Raw Data'!E41))=0),"",IF(AND(ISNUMBER('Raw Data'!E41), IFERROR('Raw Data'!E41 = ROUND('Raw Data'!E41, 2),FALSE)),"",_xlfn.REGEXEXTRACT(CELL("address",E41), "\$([A-Z]+)\$[0-9]+"))),_xlfn.REGEXEXTRACT(CELL("address",E41), "\$([A-Z]+)\$[0-9]+"))</f>
        <v/>
      </c>
      <c r="F41" s="7" t="str" cm="1">
        <f t="array" aca="1" ref="F41" ca="1">IFERROR(IF(OR('Raw Data'!F41="",LEN(TRIM('Raw Data'!F41))=0),"",IF(AND(ISNUMBER('Raw Data'!F41), IFERROR('Raw Data'!F41 = ROUND('Raw Data'!F41, 2),FALSE)),"",_xlfn.REGEXEXTRACT(CELL("address",F41), "\$([A-Z]+)\$[0-9]+"))),_xlfn.REGEXEXTRACT(CELL("address",F41), "\$([A-Z]+)\$[0-9]+"))</f>
        <v/>
      </c>
      <c r="G41" s="7" t="str" cm="1">
        <f t="array" aca="1" ref="G41" ca="1">IFERROR(IF(OR('Raw Data'!G41="",LEN(TRIM('Raw Data'!G41))=0),"",IF(LEN('Raw Data'!G41)&gt; 0,"",_xlfn.REGEXEXTRACT(CELL("address",'Raw Data'!G41),"\$([A-Z]+)\$[0-9]+"))),_xlfn.REGEXEXTRACT(CELL("address",'Raw Data'!G41),"\$([A-Z]+)\$[0-9]+"))</f>
        <v/>
      </c>
    </row>
    <row r="42" spans="2:7" x14ac:dyDescent="0.25">
      <c r="B42" s="7" t="str" cm="1">
        <f t="array" aca="1" ref="B42" ca="1">IFERROR(IF(OR('Raw Data'!B42="",LEN(TRIM('Raw Data'!B42))=0),"",IF(AND(LEN('Raw Data'!B42) &lt;= 20,LEN('Raw Data'!B42)&gt; 0),"",_xlfn.REGEXEXTRACT(CELL("address",'Raw Data'!B42),"\$([A-Z]+)\$[0-9]+"))),_xlfn.REGEXEXTRACT(CELL("address",'Raw Data'!B42),"\$([A-Z]+)\$[0-9]+"))</f>
        <v/>
      </c>
      <c r="C42" s="7" t="str" cm="1">
        <f t="array" aca="1" ref="C42" ca="1">IFERROR(IF(OR('Raw Data'!C42="",LEN(TRIM('Raw Data'!C42))=0),"",IF(AND(LEN('Raw Data'!C42) &lt;= 255,LEN('Raw Data'!C42)&gt; 0),"",_xlfn.REGEXEXTRACT(CELL("address",'Raw Data'!C42),"\$([A-Z]+)\$[0-9]+"))),_xlfn.REGEXEXTRACT(CELL("address",'Raw Data'!C42),"\$([A-Z]+)\$[0-9]+"))</f>
        <v/>
      </c>
      <c r="D42" s="7" t="str" cm="1">
        <f t="array" aca="1" ref="D42" ca="1">IFERROR(IF(OR('Raw Data'!D42="",LEN(TRIM('Raw Data'!D42))=0),"",IF(AND(ISNUMBER('Raw Data'!D42), IFERROR('Raw Data'!D42 = ROUND('Raw Data'!D42, 2),FALSE)),"",_xlfn.REGEXEXTRACT(CELL("address",D42), "\$([A-Z]+)\$[0-9]+"))),_xlfn.REGEXEXTRACT(CELL("address",D42), "\$([A-Z]+)\$[0-9]+"))</f>
        <v/>
      </c>
      <c r="E42" s="7" t="str" cm="1">
        <f t="array" aca="1" ref="E42" ca="1">IFERROR(IF(OR('Raw Data'!E42="",LEN(TRIM('Raw Data'!E42))=0),"",IF(AND(ISNUMBER('Raw Data'!E42), IFERROR('Raw Data'!E42 = ROUND('Raw Data'!E42, 2),FALSE)),"",_xlfn.REGEXEXTRACT(CELL("address",E42), "\$([A-Z]+)\$[0-9]+"))),_xlfn.REGEXEXTRACT(CELL("address",E42), "\$([A-Z]+)\$[0-9]+"))</f>
        <v/>
      </c>
      <c r="F42" s="7" t="str" cm="1">
        <f t="array" aca="1" ref="F42" ca="1">IFERROR(IF(OR('Raw Data'!F42="",LEN(TRIM('Raw Data'!F42))=0),"",IF(AND(ISNUMBER('Raw Data'!F42), IFERROR('Raw Data'!F42 = ROUND('Raw Data'!F42, 2),FALSE)),"",_xlfn.REGEXEXTRACT(CELL("address",F42), "\$([A-Z]+)\$[0-9]+"))),_xlfn.REGEXEXTRACT(CELL("address",F42), "\$([A-Z]+)\$[0-9]+"))</f>
        <v/>
      </c>
      <c r="G42" s="7" t="str" cm="1">
        <f t="array" aca="1" ref="G42" ca="1">IFERROR(IF(OR('Raw Data'!G42="",LEN(TRIM('Raw Data'!G42))=0),"",IF(LEN('Raw Data'!G42)&gt; 0,"",_xlfn.REGEXEXTRACT(CELL("address",'Raw Data'!G42),"\$([A-Z]+)\$[0-9]+"))),_xlfn.REGEXEXTRACT(CELL("address",'Raw Data'!G42),"\$([A-Z]+)\$[0-9]+"))</f>
        <v/>
      </c>
    </row>
    <row r="43" spans="2:7" x14ac:dyDescent="0.25">
      <c r="B43" s="7" t="str" cm="1">
        <f t="array" aca="1" ref="B43" ca="1">IFERROR(IF(OR('Raw Data'!B43="",LEN(TRIM('Raw Data'!B43))=0),"",IF(AND(LEN('Raw Data'!B43) &lt;= 20,LEN('Raw Data'!B43)&gt; 0),"",_xlfn.REGEXEXTRACT(CELL("address",'Raw Data'!B43),"\$([A-Z]+)\$[0-9]+"))),_xlfn.REGEXEXTRACT(CELL("address",'Raw Data'!B43),"\$([A-Z]+)\$[0-9]+"))</f>
        <v/>
      </c>
      <c r="C43" s="7" t="str" cm="1">
        <f t="array" aca="1" ref="C43" ca="1">IFERROR(IF(OR('Raw Data'!C43="",LEN(TRIM('Raw Data'!C43))=0),"",IF(AND(LEN('Raw Data'!C43) &lt;= 255,LEN('Raw Data'!C43)&gt; 0),"",_xlfn.REGEXEXTRACT(CELL("address",'Raw Data'!C43),"\$([A-Z]+)\$[0-9]+"))),_xlfn.REGEXEXTRACT(CELL("address",'Raw Data'!C43),"\$([A-Z]+)\$[0-9]+"))</f>
        <v/>
      </c>
      <c r="D43" s="7" t="str" cm="1">
        <f t="array" aca="1" ref="D43" ca="1">IFERROR(IF(OR('Raw Data'!D43="",LEN(TRIM('Raw Data'!D43))=0),"",IF(AND(ISNUMBER('Raw Data'!D43), IFERROR('Raw Data'!D43 = ROUND('Raw Data'!D43, 2),FALSE)),"",_xlfn.REGEXEXTRACT(CELL("address",D43), "\$([A-Z]+)\$[0-9]+"))),_xlfn.REGEXEXTRACT(CELL("address",D43), "\$([A-Z]+)\$[0-9]+"))</f>
        <v/>
      </c>
      <c r="E43" s="7" t="str" cm="1">
        <f t="array" aca="1" ref="E43" ca="1">IFERROR(IF(OR('Raw Data'!E43="",LEN(TRIM('Raw Data'!E43))=0),"",IF(AND(ISNUMBER('Raw Data'!E43), IFERROR('Raw Data'!E43 = ROUND('Raw Data'!E43, 2),FALSE)),"",_xlfn.REGEXEXTRACT(CELL("address",E43), "\$([A-Z]+)\$[0-9]+"))),_xlfn.REGEXEXTRACT(CELL("address",E43), "\$([A-Z]+)\$[0-9]+"))</f>
        <v/>
      </c>
      <c r="F43" s="7" t="str" cm="1">
        <f t="array" aca="1" ref="F43" ca="1">IFERROR(IF(OR('Raw Data'!F43="",LEN(TRIM('Raw Data'!F43))=0),"",IF(AND(ISNUMBER('Raw Data'!F43), IFERROR('Raw Data'!F43 = ROUND('Raw Data'!F43, 2),FALSE)),"",_xlfn.REGEXEXTRACT(CELL("address",F43), "\$([A-Z]+)\$[0-9]+"))),_xlfn.REGEXEXTRACT(CELL("address",F43), "\$([A-Z]+)\$[0-9]+"))</f>
        <v/>
      </c>
      <c r="G43" s="7" t="str" cm="1">
        <f t="array" aca="1" ref="G43" ca="1">IFERROR(IF(OR('Raw Data'!G43="",LEN(TRIM('Raw Data'!G43))=0),"",IF(LEN('Raw Data'!G43)&gt; 0,"",_xlfn.REGEXEXTRACT(CELL("address",'Raw Data'!G43),"\$([A-Z]+)\$[0-9]+"))),_xlfn.REGEXEXTRACT(CELL("address",'Raw Data'!G43),"\$([A-Z]+)\$[0-9]+"))</f>
        <v/>
      </c>
    </row>
    <row r="44" spans="2:7" x14ac:dyDescent="0.25">
      <c r="B44" s="7" t="str" cm="1">
        <f t="array" aca="1" ref="B44" ca="1">IFERROR(IF(OR('Raw Data'!B44="",LEN(TRIM('Raw Data'!B44))=0),"",IF(AND(LEN('Raw Data'!B44) &lt;= 20,LEN('Raw Data'!B44)&gt; 0),"",_xlfn.REGEXEXTRACT(CELL("address",'Raw Data'!B44),"\$([A-Z]+)\$[0-9]+"))),_xlfn.REGEXEXTRACT(CELL("address",'Raw Data'!B44),"\$([A-Z]+)\$[0-9]+"))</f>
        <v/>
      </c>
      <c r="C44" s="7" t="str" cm="1">
        <f t="array" aca="1" ref="C44" ca="1">IFERROR(IF(OR('Raw Data'!C44="",LEN(TRIM('Raw Data'!C44))=0),"",IF(AND(LEN('Raw Data'!C44) &lt;= 255,LEN('Raw Data'!C44)&gt; 0),"",_xlfn.REGEXEXTRACT(CELL("address",'Raw Data'!C44),"\$([A-Z]+)\$[0-9]+"))),_xlfn.REGEXEXTRACT(CELL("address",'Raw Data'!C44),"\$([A-Z]+)\$[0-9]+"))</f>
        <v/>
      </c>
      <c r="D44" s="7" t="str" cm="1">
        <f t="array" aca="1" ref="D44" ca="1">IFERROR(IF(OR('Raw Data'!D44="",LEN(TRIM('Raw Data'!D44))=0),"",IF(AND(ISNUMBER('Raw Data'!D44), IFERROR('Raw Data'!D44 = ROUND('Raw Data'!D44, 2),FALSE)),"",_xlfn.REGEXEXTRACT(CELL("address",D44), "\$([A-Z]+)\$[0-9]+"))),_xlfn.REGEXEXTRACT(CELL("address",D44), "\$([A-Z]+)\$[0-9]+"))</f>
        <v/>
      </c>
      <c r="E44" s="7" t="str" cm="1">
        <f t="array" aca="1" ref="E44" ca="1">IFERROR(IF(OR('Raw Data'!E44="",LEN(TRIM('Raw Data'!E44))=0),"",IF(AND(ISNUMBER('Raw Data'!E44), IFERROR('Raw Data'!E44 = ROUND('Raw Data'!E44, 2),FALSE)),"",_xlfn.REGEXEXTRACT(CELL("address",E44), "\$([A-Z]+)\$[0-9]+"))),_xlfn.REGEXEXTRACT(CELL("address",E44), "\$([A-Z]+)\$[0-9]+"))</f>
        <v/>
      </c>
      <c r="F44" s="7" t="str" cm="1">
        <f t="array" aca="1" ref="F44" ca="1">IFERROR(IF(OR('Raw Data'!F44="",LEN(TRIM('Raw Data'!F44))=0),"",IF(AND(ISNUMBER('Raw Data'!F44), IFERROR('Raw Data'!F44 = ROUND('Raw Data'!F44, 2),FALSE)),"",_xlfn.REGEXEXTRACT(CELL("address",F44), "\$([A-Z]+)\$[0-9]+"))),_xlfn.REGEXEXTRACT(CELL("address",F44), "\$([A-Z]+)\$[0-9]+"))</f>
        <v/>
      </c>
      <c r="G44" s="7" t="str" cm="1">
        <f t="array" aca="1" ref="G44" ca="1">IFERROR(IF(OR('Raw Data'!G44="",LEN(TRIM('Raw Data'!G44))=0),"",IF(LEN('Raw Data'!G44)&gt; 0,"",_xlfn.REGEXEXTRACT(CELL("address",'Raw Data'!G44),"\$([A-Z]+)\$[0-9]+"))),_xlfn.REGEXEXTRACT(CELL("address",'Raw Data'!G44),"\$([A-Z]+)\$[0-9]+"))</f>
        <v/>
      </c>
    </row>
    <row r="45" spans="2:7" x14ac:dyDescent="0.25">
      <c r="B45" s="7" t="str" cm="1">
        <f t="array" aca="1" ref="B45" ca="1">IFERROR(IF(OR('Raw Data'!B45="",LEN(TRIM('Raw Data'!B45))=0),"",IF(AND(LEN('Raw Data'!B45) &lt;= 20,LEN('Raw Data'!B45)&gt; 0),"",_xlfn.REGEXEXTRACT(CELL("address",'Raw Data'!B45),"\$([A-Z]+)\$[0-9]+"))),_xlfn.REGEXEXTRACT(CELL("address",'Raw Data'!B45),"\$([A-Z]+)\$[0-9]+"))</f>
        <v/>
      </c>
      <c r="C45" s="7" t="str" cm="1">
        <f t="array" aca="1" ref="C45" ca="1">IFERROR(IF(OR('Raw Data'!C45="",LEN(TRIM('Raw Data'!C45))=0),"",IF(AND(LEN('Raw Data'!C45) &lt;= 255,LEN('Raw Data'!C45)&gt; 0),"",_xlfn.REGEXEXTRACT(CELL("address",'Raw Data'!C45),"\$([A-Z]+)\$[0-9]+"))),_xlfn.REGEXEXTRACT(CELL("address",'Raw Data'!C45),"\$([A-Z]+)\$[0-9]+"))</f>
        <v/>
      </c>
      <c r="D45" s="7" t="str" cm="1">
        <f t="array" aca="1" ref="D45" ca="1">IFERROR(IF(OR('Raw Data'!D45="",LEN(TRIM('Raw Data'!D45))=0),"",IF(AND(ISNUMBER('Raw Data'!D45), IFERROR('Raw Data'!D45 = ROUND('Raw Data'!D45, 2),FALSE)),"",_xlfn.REGEXEXTRACT(CELL("address",D45), "\$([A-Z]+)\$[0-9]+"))),_xlfn.REGEXEXTRACT(CELL("address",D45), "\$([A-Z]+)\$[0-9]+"))</f>
        <v/>
      </c>
      <c r="E45" s="7" t="str" cm="1">
        <f t="array" aca="1" ref="E45" ca="1">IFERROR(IF(OR('Raw Data'!E45="",LEN(TRIM('Raw Data'!E45))=0),"",IF(AND(ISNUMBER('Raw Data'!E45), IFERROR('Raw Data'!E45 = ROUND('Raw Data'!E45, 2),FALSE)),"",_xlfn.REGEXEXTRACT(CELL("address",E45), "\$([A-Z]+)\$[0-9]+"))),_xlfn.REGEXEXTRACT(CELL("address",E45), "\$([A-Z]+)\$[0-9]+"))</f>
        <v/>
      </c>
      <c r="F45" s="7" t="str" cm="1">
        <f t="array" aca="1" ref="F45" ca="1">IFERROR(IF(OR('Raw Data'!F45="",LEN(TRIM('Raw Data'!F45))=0),"",IF(AND(ISNUMBER('Raw Data'!F45), IFERROR('Raw Data'!F45 = ROUND('Raw Data'!F45, 2),FALSE)),"",_xlfn.REGEXEXTRACT(CELL("address",F45), "\$([A-Z]+)\$[0-9]+"))),_xlfn.REGEXEXTRACT(CELL("address",F45), "\$([A-Z]+)\$[0-9]+"))</f>
        <v/>
      </c>
      <c r="G45" s="7" t="str" cm="1">
        <f t="array" aca="1" ref="G45" ca="1">IFERROR(IF(OR('Raw Data'!G45="",LEN(TRIM('Raw Data'!G45))=0),"",IF(LEN('Raw Data'!G45)&gt; 0,"",_xlfn.REGEXEXTRACT(CELL("address",'Raw Data'!G45),"\$([A-Z]+)\$[0-9]+"))),_xlfn.REGEXEXTRACT(CELL("address",'Raw Data'!G45),"\$([A-Z]+)\$[0-9]+"))</f>
        <v/>
      </c>
    </row>
    <row r="46" spans="2:7" x14ac:dyDescent="0.25">
      <c r="B46" s="7" t="str" cm="1">
        <f t="array" aca="1" ref="B46" ca="1">IFERROR(IF(OR('Raw Data'!B46="",LEN(TRIM('Raw Data'!B46))=0),"",IF(AND(LEN('Raw Data'!B46) &lt;= 20,LEN('Raw Data'!B46)&gt; 0),"",_xlfn.REGEXEXTRACT(CELL("address",'Raw Data'!B46),"\$([A-Z]+)\$[0-9]+"))),_xlfn.REGEXEXTRACT(CELL("address",'Raw Data'!B46),"\$([A-Z]+)\$[0-9]+"))</f>
        <v/>
      </c>
      <c r="C46" s="7" t="str" cm="1">
        <f t="array" aca="1" ref="C46" ca="1">IFERROR(IF(OR('Raw Data'!C46="",LEN(TRIM('Raw Data'!C46))=0),"",IF(AND(LEN('Raw Data'!C46) &lt;= 255,LEN('Raw Data'!C46)&gt; 0),"",_xlfn.REGEXEXTRACT(CELL("address",'Raw Data'!C46),"\$([A-Z]+)\$[0-9]+"))),_xlfn.REGEXEXTRACT(CELL("address",'Raw Data'!C46),"\$([A-Z]+)\$[0-9]+"))</f>
        <v/>
      </c>
      <c r="D46" s="7" t="str" cm="1">
        <f t="array" aca="1" ref="D46" ca="1">IFERROR(IF(OR('Raw Data'!D46="",LEN(TRIM('Raw Data'!D46))=0),"",IF(AND(ISNUMBER('Raw Data'!D46), IFERROR('Raw Data'!D46 = ROUND('Raw Data'!D46, 2),FALSE)),"",_xlfn.REGEXEXTRACT(CELL("address",D46), "\$([A-Z]+)\$[0-9]+"))),_xlfn.REGEXEXTRACT(CELL("address",D46), "\$([A-Z]+)\$[0-9]+"))</f>
        <v/>
      </c>
      <c r="E46" s="7" t="str" cm="1">
        <f t="array" aca="1" ref="E46" ca="1">IFERROR(IF(OR('Raw Data'!E46="",LEN(TRIM('Raw Data'!E46))=0),"",IF(AND(ISNUMBER('Raw Data'!E46), IFERROR('Raw Data'!E46 = ROUND('Raw Data'!E46, 2),FALSE)),"",_xlfn.REGEXEXTRACT(CELL("address",E46), "\$([A-Z]+)\$[0-9]+"))),_xlfn.REGEXEXTRACT(CELL("address",E46), "\$([A-Z]+)\$[0-9]+"))</f>
        <v/>
      </c>
      <c r="F46" s="7" t="str" cm="1">
        <f t="array" aca="1" ref="F46" ca="1">IFERROR(IF(OR('Raw Data'!F46="",LEN(TRIM('Raw Data'!F46))=0),"",IF(AND(ISNUMBER('Raw Data'!F46), IFERROR('Raw Data'!F46 = ROUND('Raw Data'!F46, 2),FALSE)),"",_xlfn.REGEXEXTRACT(CELL("address",F46), "\$([A-Z]+)\$[0-9]+"))),_xlfn.REGEXEXTRACT(CELL("address",F46), "\$([A-Z]+)\$[0-9]+"))</f>
        <v/>
      </c>
      <c r="G46" s="7" t="str" cm="1">
        <f t="array" aca="1" ref="G46" ca="1">IFERROR(IF(OR('Raw Data'!G46="",LEN(TRIM('Raw Data'!G46))=0),"",IF(LEN('Raw Data'!G46)&gt; 0,"",_xlfn.REGEXEXTRACT(CELL("address",'Raw Data'!G46),"\$([A-Z]+)\$[0-9]+"))),_xlfn.REGEXEXTRACT(CELL("address",'Raw Data'!G46),"\$([A-Z]+)\$[0-9]+"))</f>
        <v/>
      </c>
    </row>
    <row r="47" spans="2:7" x14ac:dyDescent="0.25">
      <c r="B47" s="7" t="str" cm="1">
        <f t="array" aca="1" ref="B47" ca="1">IFERROR(IF(OR('Raw Data'!B47="",LEN(TRIM('Raw Data'!B47))=0),"",IF(AND(LEN('Raw Data'!B47) &lt;= 20,LEN('Raw Data'!B47)&gt; 0),"",_xlfn.REGEXEXTRACT(CELL("address",'Raw Data'!B47),"\$([A-Z]+)\$[0-9]+"))),_xlfn.REGEXEXTRACT(CELL("address",'Raw Data'!B47),"\$([A-Z]+)\$[0-9]+"))</f>
        <v/>
      </c>
      <c r="C47" s="7" t="str" cm="1">
        <f t="array" aca="1" ref="C47" ca="1">IFERROR(IF(OR('Raw Data'!C47="",LEN(TRIM('Raw Data'!C47))=0),"",IF(AND(LEN('Raw Data'!C47) &lt;= 255,LEN('Raw Data'!C47)&gt; 0),"",_xlfn.REGEXEXTRACT(CELL("address",'Raw Data'!C47),"\$([A-Z]+)\$[0-9]+"))),_xlfn.REGEXEXTRACT(CELL("address",'Raw Data'!C47),"\$([A-Z]+)\$[0-9]+"))</f>
        <v/>
      </c>
      <c r="D47" s="7" t="str" cm="1">
        <f t="array" aca="1" ref="D47" ca="1">IFERROR(IF(OR('Raw Data'!D47="",LEN(TRIM('Raw Data'!D47))=0),"",IF(AND(ISNUMBER('Raw Data'!D47), IFERROR('Raw Data'!D47 = ROUND('Raw Data'!D47, 2),FALSE)),"",_xlfn.REGEXEXTRACT(CELL("address",D47), "\$([A-Z]+)\$[0-9]+"))),_xlfn.REGEXEXTRACT(CELL("address",D47), "\$([A-Z]+)\$[0-9]+"))</f>
        <v/>
      </c>
      <c r="E47" s="7" t="str" cm="1">
        <f t="array" aca="1" ref="E47" ca="1">IFERROR(IF(OR('Raw Data'!E47="",LEN(TRIM('Raw Data'!E47))=0),"",IF(AND(ISNUMBER('Raw Data'!E47), IFERROR('Raw Data'!E47 = ROUND('Raw Data'!E47, 2),FALSE)),"",_xlfn.REGEXEXTRACT(CELL("address",E47), "\$([A-Z]+)\$[0-9]+"))),_xlfn.REGEXEXTRACT(CELL("address",E47), "\$([A-Z]+)\$[0-9]+"))</f>
        <v/>
      </c>
      <c r="F47" s="7" t="str" cm="1">
        <f t="array" aca="1" ref="F47" ca="1">IFERROR(IF(OR('Raw Data'!F47="",LEN(TRIM('Raw Data'!F47))=0),"",IF(AND(ISNUMBER('Raw Data'!F47), IFERROR('Raw Data'!F47 = ROUND('Raw Data'!F47, 2),FALSE)),"",_xlfn.REGEXEXTRACT(CELL("address",F47), "\$([A-Z]+)\$[0-9]+"))),_xlfn.REGEXEXTRACT(CELL("address",F47), "\$([A-Z]+)\$[0-9]+"))</f>
        <v/>
      </c>
      <c r="G47" s="7" t="str" cm="1">
        <f t="array" aca="1" ref="G47" ca="1">IFERROR(IF(OR('Raw Data'!G47="",LEN(TRIM('Raw Data'!G47))=0),"",IF(LEN('Raw Data'!G47)&gt; 0,"",_xlfn.REGEXEXTRACT(CELL("address",'Raw Data'!G47),"\$([A-Z]+)\$[0-9]+"))),_xlfn.REGEXEXTRACT(CELL("address",'Raw Data'!G47),"\$([A-Z]+)\$[0-9]+"))</f>
        <v/>
      </c>
    </row>
    <row r="48" spans="2:7" x14ac:dyDescent="0.25">
      <c r="B48" s="7" t="str" cm="1">
        <f t="array" aca="1" ref="B48" ca="1">IFERROR(IF(OR('Raw Data'!B48="",LEN(TRIM('Raw Data'!B48))=0),"",IF(AND(LEN('Raw Data'!B48) &lt;= 20,LEN('Raw Data'!B48)&gt; 0),"",_xlfn.REGEXEXTRACT(CELL("address",'Raw Data'!B48),"\$([A-Z]+)\$[0-9]+"))),_xlfn.REGEXEXTRACT(CELL("address",'Raw Data'!B48),"\$([A-Z]+)\$[0-9]+"))</f>
        <v/>
      </c>
      <c r="C48" s="7" t="str" cm="1">
        <f t="array" aca="1" ref="C48" ca="1">IFERROR(IF(OR('Raw Data'!C48="",LEN(TRIM('Raw Data'!C48))=0),"",IF(AND(LEN('Raw Data'!C48) &lt;= 255,LEN('Raw Data'!C48)&gt; 0),"",_xlfn.REGEXEXTRACT(CELL("address",'Raw Data'!C48),"\$([A-Z]+)\$[0-9]+"))),_xlfn.REGEXEXTRACT(CELL("address",'Raw Data'!C48),"\$([A-Z]+)\$[0-9]+"))</f>
        <v/>
      </c>
      <c r="D48" s="7" t="str" cm="1">
        <f t="array" aca="1" ref="D48" ca="1">IFERROR(IF(OR('Raw Data'!D48="",LEN(TRIM('Raw Data'!D48))=0),"",IF(AND(ISNUMBER('Raw Data'!D48), IFERROR('Raw Data'!D48 = ROUND('Raw Data'!D48, 2),FALSE)),"",_xlfn.REGEXEXTRACT(CELL("address",D48), "\$([A-Z]+)\$[0-9]+"))),_xlfn.REGEXEXTRACT(CELL("address",D48), "\$([A-Z]+)\$[0-9]+"))</f>
        <v/>
      </c>
      <c r="E48" s="7" t="str" cm="1">
        <f t="array" aca="1" ref="E48" ca="1">IFERROR(IF(OR('Raw Data'!E48="",LEN(TRIM('Raw Data'!E48))=0),"",IF(AND(ISNUMBER('Raw Data'!E48), IFERROR('Raw Data'!E48 = ROUND('Raw Data'!E48, 2),FALSE)),"",_xlfn.REGEXEXTRACT(CELL("address",E48), "\$([A-Z]+)\$[0-9]+"))),_xlfn.REGEXEXTRACT(CELL("address",E48), "\$([A-Z]+)\$[0-9]+"))</f>
        <v/>
      </c>
      <c r="F48" s="7" t="str" cm="1">
        <f t="array" aca="1" ref="F48" ca="1">IFERROR(IF(OR('Raw Data'!F48="",LEN(TRIM('Raw Data'!F48))=0),"",IF(AND(ISNUMBER('Raw Data'!F48), IFERROR('Raw Data'!F48 = ROUND('Raw Data'!F48, 2),FALSE)),"",_xlfn.REGEXEXTRACT(CELL("address",F48), "\$([A-Z]+)\$[0-9]+"))),_xlfn.REGEXEXTRACT(CELL("address",F48), "\$([A-Z]+)\$[0-9]+"))</f>
        <v/>
      </c>
      <c r="G48" s="7" t="str" cm="1">
        <f t="array" aca="1" ref="G48" ca="1">IFERROR(IF(OR('Raw Data'!G48="",LEN(TRIM('Raw Data'!G48))=0),"",IF(LEN('Raw Data'!G48)&gt; 0,"",_xlfn.REGEXEXTRACT(CELL("address",'Raw Data'!G48),"\$([A-Z]+)\$[0-9]+"))),_xlfn.REGEXEXTRACT(CELL("address",'Raw Data'!G48),"\$([A-Z]+)\$[0-9]+"))</f>
        <v/>
      </c>
    </row>
    <row r="49" spans="2:7" x14ac:dyDescent="0.25">
      <c r="B49" s="7" t="str" cm="1">
        <f t="array" aca="1" ref="B49" ca="1">IFERROR(IF(OR('Raw Data'!B49="",LEN(TRIM('Raw Data'!B49))=0),"",IF(AND(LEN('Raw Data'!B49) &lt;= 20,LEN('Raw Data'!B49)&gt; 0),"",_xlfn.REGEXEXTRACT(CELL("address",'Raw Data'!B49),"\$([A-Z]+)\$[0-9]+"))),_xlfn.REGEXEXTRACT(CELL("address",'Raw Data'!B49),"\$([A-Z]+)\$[0-9]+"))</f>
        <v/>
      </c>
      <c r="C49" s="7" t="str" cm="1">
        <f t="array" aca="1" ref="C49" ca="1">IFERROR(IF(OR('Raw Data'!C49="",LEN(TRIM('Raw Data'!C49))=0),"",IF(AND(LEN('Raw Data'!C49) &lt;= 255,LEN('Raw Data'!C49)&gt; 0),"",_xlfn.REGEXEXTRACT(CELL("address",'Raw Data'!C49),"\$([A-Z]+)\$[0-9]+"))),_xlfn.REGEXEXTRACT(CELL("address",'Raw Data'!C49),"\$([A-Z]+)\$[0-9]+"))</f>
        <v/>
      </c>
      <c r="D49" s="7" t="str" cm="1">
        <f t="array" aca="1" ref="D49" ca="1">IFERROR(IF(OR('Raw Data'!D49="",LEN(TRIM('Raw Data'!D49))=0),"",IF(AND(ISNUMBER('Raw Data'!D49), IFERROR('Raw Data'!D49 = ROUND('Raw Data'!D49, 2),FALSE)),"",_xlfn.REGEXEXTRACT(CELL("address",D49), "\$([A-Z]+)\$[0-9]+"))),_xlfn.REGEXEXTRACT(CELL("address",D49), "\$([A-Z]+)\$[0-9]+"))</f>
        <v/>
      </c>
      <c r="E49" s="7" t="str" cm="1">
        <f t="array" aca="1" ref="E49" ca="1">IFERROR(IF(OR('Raw Data'!E49="",LEN(TRIM('Raw Data'!E49))=0),"",IF(AND(ISNUMBER('Raw Data'!E49), IFERROR('Raw Data'!E49 = ROUND('Raw Data'!E49, 2),FALSE)),"",_xlfn.REGEXEXTRACT(CELL("address",E49), "\$([A-Z]+)\$[0-9]+"))),_xlfn.REGEXEXTRACT(CELL("address",E49), "\$([A-Z]+)\$[0-9]+"))</f>
        <v/>
      </c>
      <c r="F49" s="7" t="str" cm="1">
        <f t="array" aca="1" ref="F49" ca="1">IFERROR(IF(OR('Raw Data'!F49="",LEN(TRIM('Raw Data'!F49))=0),"",IF(AND(ISNUMBER('Raw Data'!F49), IFERROR('Raw Data'!F49 = ROUND('Raw Data'!F49, 2),FALSE)),"",_xlfn.REGEXEXTRACT(CELL("address",F49), "\$([A-Z]+)\$[0-9]+"))),_xlfn.REGEXEXTRACT(CELL("address",F49), "\$([A-Z]+)\$[0-9]+"))</f>
        <v/>
      </c>
      <c r="G49" s="7" t="str" cm="1">
        <f t="array" aca="1" ref="G49" ca="1">IFERROR(IF(OR('Raw Data'!G49="",LEN(TRIM('Raw Data'!G49))=0),"",IF(LEN('Raw Data'!G49)&gt; 0,"",_xlfn.REGEXEXTRACT(CELL("address",'Raw Data'!G49),"\$([A-Z]+)\$[0-9]+"))),_xlfn.REGEXEXTRACT(CELL("address",'Raw Data'!G49),"\$([A-Z]+)\$[0-9]+"))</f>
        <v/>
      </c>
    </row>
    <row r="50" spans="2:7" x14ac:dyDescent="0.25">
      <c r="B50" s="7" t="str" cm="1">
        <f t="array" aca="1" ref="B50" ca="1">IFERROR(IF(OR('Raw Data'!B50="",LEN(TRIM('Raw Data'!B50))=0),"",IF(AND(LEN('Raw Data'!B50) &lt;= 20,LEN('Raw Data'!B50)&gt; 0),"",_xlfn.REGEXEXTRACT(CELL("address",'Raw Data'!B50),"\$([A-Z]+)\$[0-9]+"))),_xlfn.REGEXEXTRACT(CELL("address",'Raw Data'!B50),"\$([A-Z]+)\$[0-9]+"))</f>
        <v/>
      </c>
      <c r="C50" s="7" t="str" cm="1">
        <f t="array" aca="1" ref="C50" ca="1">IFERROR(IF(OR('Raw Data'!C50="",LEN(TRIM('Raw Data'!C50))=0),"",IF(AND(LEN('Raw Data'!C50) &lt;= 255,LEN('Raw Data'!C50)&gt; 0),"",_xlfn.REGEXEXTRACT(CELL("address",'Raw Data'!C50),"\$([A-Z]+)\$[0-9]+"))),_xlfn.REGEXEXTRACT(CELL("address",'Raw Data'!C50),"\$([A-Z]+)\$[0-9]+"))</f>
        <v/>
      </c>
      <c r="D50" s="7" t="str" cm="1">
        <f t="array" aca="1" ref="D50" ca="1">IFERROR(IF(OR('Raw Data'!D50="",LEN(TRIM('Raw Data'!D50))=0),"",IF(AND(ISNUMBER('Raw Data'!D50), IFERROR('Raw Data'!D50 = ROUND('Raw Data'!D50, 2),FALSE)),"",_xlfn.REGEXEXTRACT(CELL("address",D50), "\$([A-Z]+)\$[0-9]+"))),_xlfn.REGEXEXTRACT(CELL("address",D50), "\$([A-Z]+)\$[0-9]+"))</f>
        <v/>
      </c>
      <c r="E50" s="7" t="str" cm="1">
        <f t="array" aca="1" ref="E50" ca="1">IFERROR(IF(OR('Raw Data'!E50="",LEN(TRIM('Raw Data'!E50))=0),"",IF(AND(ISNUMBER('Raw Data'!E50), IFERROR('Raw Data'!E50 = ROUND('Raw Data'!E50, 2),FALSE)),"",_xlfn.REGEXEXTRACT(CELL("address",E50), "\$([A-Z]+)\$[0-9]+"))),_xlfn.REGEXEXTRACT(CELL("address",E50), "\$([A-Z]+)\$[0-9]+"))</f>
        <v/>
      </c>
      <c r="F50" s="7" t="str" cm="1">
        <f t="array" aca="1" ref="F50" ca="1">IFERROR(IF(OR('Raw Data'!F50="",LEN(TRIM('Raw Data'!F50))=0),"",IF(AND(ISNUMBER('Raw Data'!F50), IFERROR('Raw Data'!F50 = ROUND('Raw Data'!F50, 2),FALSE)),"",_xlfn.REGEXEXTRACT(CELL("address",F50), "\$([A-Z]+)\$[0-9]+"))),_xlfn.REGEXEXTRACT(CELL("address",F50), "\$([A-Z]+)\$[0-9]+"))</f>
        <v/>
      </c>
      <c r="G50" s="7" t="str" cm="1">
        <f t="array" aca="1" ref="G50" ca="1">IFERROR(IF(OR('Raw Data'!G50="",LEN(TRIM('Raw Data'!G50))=0),"",IF(LEN('Raw Data'!G50)&gt; 0,"",_xlfn.REGEXEXTRACT(CELL("address",'Raw Data'!G50),"\$([A-Z]+)\$[0-9]+"))),_xlfn.REGEXEXTRACT(CELL("address",'Raw Data'!G50),"\$([A-Z]+)\$[0-9]+"))</f>
        <v/>
      </c>
    </row>
    <row r="51" spans="2:7" x14ac:dyDescent="0.25">
      <c r="B51" s="7" t="str" cm="1">
        <f t="array" aca="1" ref="B51" ca="1">IFERROR(IF(OR('Raw Data'!B51="",LEN(TRIM('Raw Data'!B51))=0),"",IF(AND(LEN('Raw Data'!B51) &lt;= 20,LEN('Raw Data'!B51)&gt; 0),"",_xlfn.REGEXEXTRACT(CELL("address",'Raw Data'!B51),"\$([A-Z]+)\$[0-9]+"))),_xlfn.REGEXEXTRACT(CELL("address",'Raw Data'!B51),"\$([A-Z]+)\$[0-9]+"))</f>
        <v/>
      </c>
      <c r="C51" s="7" t="str" cm="1">
        <f t="array" aca="1" ref="C51" ca="1">IFERROR(IF(OR('Raw Data'!C51="",LEN(TRIM('Raw Data'!C51))=0),"",IF(AND(LEN('Raw Data'!C51) &lt;= 255,LEN('Raw Data'!C51)&gt; 0),"",_xlfn.REGEXEXTRACT(CELL("address",'Raw Data'!C51),"\$([A-Z]+)\$[0-9]+"))),_xlfn.REGEXEXTRACT(CELL("address",'Raw Data'!C51),"\$([A-Z]+)\$[0-9]+"))</f>
        <v/>
      </c>
      <c r="D51" s="7" t="str" cm="1">
        <f t="array" aca="1" ref="D51" ca="1">IFERROR(IF(OR('Raw Data'!D51="",LEN(TRIM('Raw Data'!D51))=0),"",IF(AND(ISNUMBER('Raw Data'!D51), IFERROR('Raw Data'!D51 = ROUND('Raw Data'!D51, 2),FALSE)),"",_xlfn.REGEXEXTRACT(CELL("address",D51), "\$([A-Z]+)\$[0-9]+"))),_xlfn.REGEXEXTRACT(CELL("address",D51), "\$([A-Z]+)\$[0-9]+"))</f>
        <v/>
      </c>
      <c r="E51" s="7" t="str" cm="1">
        <f t="array" aca="1" ref="E51" ca="1">IFERROR(IF(OR('Raw Data'!E51="",LEN(TRIM('Raw Data'!E51))=0),"",IF(AND(ISNUMBER('Raw Data'!E51), IFERROR('Raw Data'!E51 = ROUND('Raw Data'!E51, 2),FALSE)),"",_xlfn.REGEXEXTRACT(CELL("address",E51), "\$([A-Z]+)\$[0-9]+"))),_xlfn.REGEXEXTRACT(CELL("address",E51), "\$([A-Z]+)\$[0-9]+"))</f>
        <v/>
      </c>
      <c r="F51" s="7" t="str" cm="1">
        <f t="array" aca="1" ref="F51" ca="1">IFERROR(IF(OR('Raw Data'!F51="",LEN(TRIM('Raw Data'!F51))=0),"",IF(AND(ISNUMBER('Raw Data'!F51), IFERROR('Raw Data'!F51 = ROUND('Raw Data'!F51, 2),FALSE)),"",_xlfn.REGEXEXTRACT(CELL("address",F51), "\$([A-Z]+)\$[0-9]+"))),_xlfn.REGEXEXTRACT(CELL("address",F51), "\$([A-Z]+)\$[0-9]+"))</f>
        <v/>
      </c>
      <c r="G51" s="7" t="str" cm="1">
        <f t="array" aca="1" ref="G51" ca="1">IFERROR(IF(OR('Raw Data'!G51="",LEN(TRIM('Raw Data'!G51))=0),"",IF(LEN('Raw Data'!G51)&gt; 0,"",_xlfn.REGEXEXTRACT(CELL("address",'Raw Data'!G51),"\$([A-Z]+)\$[0-9]+"))),_xlfn.REGEXEXTRACT(CELL("address",'Raw Data'!G51),"\$([A-Z]+)\$[0-9]+"))</f>
        <v/>
      </c>
    </row>
    <row r="52" spans="2:7" x14ac:dyDescent="0.25">
      <c r="B52" s="7" t="str" cm="1">
        <f t="array" aca="1" ref="B52" ca="1">IFERROR(IF(OR('Raw Data'!B52="",LEN(TRIM('Raw Data'!B52))=0),"",IF(AND(LEN('Raw Data'!B52) &lt;= 20,LEN('Raw Data'!B52)&gt; 0),"",_xlfn.REGEXEXTRACT(CELL("address",'Raw Data'!B52),"\$([A-Z]+)\$[0-9]+"))),_xlfn.REGEXEXTRACT(CELL("address",'Raw Data'!B52),"\$([A-Z]+)\$[0-9]+"))</f>
        <v/>
      </c>
      <c r="C52" s="7" t="str" cm="1">
        <f t="array" aca="1" ref="C52" ca="1">IFERROR(IF(OR('Raw Data'!C52="",LEN(TRIM('Raw Data'!C52))=0),"",IF(AND(LEN('Raw Data'!C52) &lt;= 255,LEN('Raw Data'!C52)&gt; 0),"",_xlfn.REGEXEXTRACT(CELL("address",'Raw Data'!C52),"\$([A-Z]+)\$[0-9]+"))),_xlfn.REGEXEXTRACT(CELL("address",'Raw Data'!C52),"\$([A-Z]+)\$[0-9]+"))</f>
        <v/>
      </c>
      <c r="D52" s="7" t="str" cm="1">
        <f t="array" aca="1" ref="D52" ca="1">IFERROR(IF(OR('Raw Data'!D52="",LEN(TRIM('Raw Data'!D52))=0),"",IF(AND(ISNUMBER('Raw Data'!D52), IFERROR('Raw Data'!D52 = ROUND('Raw Data'!D52, 2),FALSE)),"",_xlfn.REGEXEXTRACT(CELL("address",D52), "\$([A-Z]+)\$[0-9]+"))),_xlfn.REGEXEXTRACT(CELL("address",D52), "\$([A-Z]+)\$[0-9]+"))</f>
        <v/>
      </c>
      <c r="E52" s="7" t="str" cm="1">
        <f t="array" aca="1" ref="E52" ca="1">IFERROR(IF(OR('Raw Data'!E52="",LEN(TRIM('Raw Data'!E52))=0),"",IF(AND(ISNUMBER('Raw Data'!E52), IFERROR('Raw Data'!E52 = ROUND('Raw Data'!E52, 2),FALSE)),"",_xlfn.REGEXEXTRACT(CELL("address",E52), "\$([A-Z]+)\$[0-9]+"))),_xlfn.REGEXEXTRACT(CELL("address",E52), "\$([A-Z]+)\$[0-9]+"))</f>
        <v/>
      </c>
      <c r="F52" s="7" t="str" cm="1">
        <f t="array" aca="1" ref="F52" ca="1">IFERROR(IF(OR('Raw Data'!F52="",LEN(TRIM('Raw Data'!F52))=0),"",IF(AND(ISNUMBER('Raw Data'!F52), IFERROR('Raw Data'!F52 = ROUND('Raw Data'!F52, 2),FALSE)),"",_xlfn.REGEXEXTRACT(CELL("address",F52), "\$([A-Z]+)\$[0-9]+"))),_xlfn.REGEXEXTRACT(CELL("address",F52), "\$([A-Z]+)\$[0-9]+"))</f>
        <v/>
      </c>
      <c r="G52" s="7" t="str" cm="1">
        <f t="array" aca="1" ref="G52" ca="1">IFERROR(IF(OR('Raw Data'!G52="",LEN(TRIM('Raw Data'!G52))=0),"",IF(LEN('Raw Data'!G52)&gt; 0,"",_xlfn.REGEXEXTRACT(CELL("address",'Raw Data'!G52),"\$([A-Z]+)\$[0-9]+"))),_xlfn.REGEXEXTRACT(CELL("address",'Raw Data'!G52),"\$([A-Z]+)\$[0-9]+"))</f>
        <v/>
      </c>
    </row>
    <row r="53" spans="2:7" x14ac:dyDescent="0.25">
      <c r="B53" s="7" t="str" cm="1">
        <f t="array" aca="1" ref="B53" ca="1">IFERROR(IF(OR('Raw Data'!B53="",LEN(TRIM('Raw Data'!B53))=0),"",IF(AND(LEN('Raw Data'!B53) &lt;= 20,LEN('Raw Data'!B53)&gt; 0),"",_xlfn.REGEXEXTRACT(CELL("address",'Raw Data'!B53),"\$([A-Z]+)\$[0-9]+"))),_xlfn.REGEXEXTRACT(CELL("address",'Raw Data'!B53),"\$([A-Z]+)\$[0-9]+"))</f>
        <v/>
      </c>
      <c r="C53" s="7" t="str" cm="1">
        <f t="array" aca="1" ref="C53" ca="1">IFERROR(IF(OR('Raw Data'!C53="",LEN(TRIM('Raw Data'!C53))=0),"",IF(AND(LEN('Raw Data'!C53) &lt;= 255,LEN('Raw Data'!C53)&gt; 0),"",_xlfn.REGEXEXTRACT(CELL("address",'Raw Data'!C53),"\$([A-Z]+)\$[0-9]+"))),_xlfn.REGEXEXTRACT(CELL("address",'Raw Data'!C53),"\$([A-Z]+)\$[0-9]+"))</f>
        <v/>
      </c>
      <c r="D53" s="7" t="str" cm="1">
        <f t="array" aca="1" ref="D53" ca="1">IFERROR(IF(OR('Raw Data'!D53="",LEN(TRIM('Raw Data'!D53))=0),"",IF(AND(ISNUMBER('Raw Data'!D53), IFERROR('Raw Data'!D53 = ROUND('Raw Data'!D53, 2),FALSE)),"",_xlfn.REGEXEXTRACT(CELL("address",D53), "\$([A-Z]+)\$[0-9]+"))),_xlfn.REGEXEXTRACT(CELL("address",D53), "\$([A-Z]+)\$[0-9]+"))</f>
        <v/>
      </c>
      <c r="E53" s="7" t="str" cm="1">
        <f t="array" aca="1" ref="E53" ca="1">IFERROR(IF(OR('Raw Data'!E53="",LEN(TRIM('Raw Data'!E53))=0),"",IF(AND(ISNUMBER('Raw Data'!E53), IFERROR('Raw Data'!E53 = ROUND('Raw Data'!E53, 2),FALSE)),"",_xlfn.REGEXEXTRACT(CELL("address",E53), "\$([A-Z]+)\$[0-9]+"))),_xlfn.REGEXEXTRACT(CELL("address",E53), "\$([A-Z]+)\$[0-9]+"))</f>
        <v/>
      </c>
      <c r="F53" s="7" t="str" cm="1">
        <f t="array" aca="1" ref="F53" ca="1">IFERROR(IF(OR('Raw Data'!F53="",LEN(TRIM('Raw Data'!F53))=0),"",IF(AND(ISNUMBER('Raw Data'!F53), IFERROR('Raw Data'!F53 = ROUND('Raw Data'!F53, 2),FALSE)),"",_xlfn.REGEXEXTRACT(CELL("address",F53), "\$([A-Z]+)\$[0-9]+"))),_xlfn.REGEXEXTRACT(CELL("address",F53), "\$([A-Z]+)\$[0-9]+"))</f>
        <v/>
      </c>
      <c r="G53" s="7" t="str" cm="1">
        <f t="array" aca="1" ref="G53" ca="1">IFERROR(IF(OR('Raw Data'!G53="",LEN(TRIM('Raw Data'!G53))=0),"",IF(LEN('Raw Data'!G53)&gt; 0,"",_xlfn.REGEXEXTRACT(CELL("address",'Raw Data'!G53),"\$([A-Z]+)\$[0-9]+"))),_xlfn.REGEXEXTRACT(CELL("address",'Raw Data'!G53),"\$([A-Z]+)\$[0-9]+"))</f>
        <v/>
      </c>
    </row>
    <row r="54" spans="2:7" x14ac:dyDescent="0.25">
      <c r="B54" s="7" t="str" cm="1">
        <f t="array" aca="1" ref="B54" ca="1">IFERROR(IF(OR('Raw Data'!B54="",LEN(TRIM('Raw Data'!B54))=0),"",IF(AND(LEN('Raw Data'!B54) &lt;= 20,LEN('Raw Data'!B54)&gt; 0),"",_xlfn.REGEXEXTRACT(CELL("address",'Raw Data'!B54),"\$([A-Z]+)\$[0-9]+"))),_xlfn.REGEXEXTRACT(CELL("address",'Raw Data'!B54),"\$([A-Z]+)\$[0-9]+"))</f>
        <v/>
      </c>
      <c r="C54" s="7" t="str" cm="1">
        <f t="array" aca="1" ref="C54" ca="1">IFERROR(IF(OR('Raw Data'!C54="",LEN(TRIM('Raw Data'!C54))=0),"",IF(AND(LEN('Raw Data'!C54) &lt;= 255,LEN('Raw Data'!C54)&gt; 0),"",_xlfn.REGEXEXTRACT(CELL("address",'Raw Data'!C54),"\$([A-Z]+)\$[0-9]+"))),_xlfn.REGEXEXTRACT(CELL("address",'Raw Data'!C54),"\$([A-Z]+)\$[0-9]+"))</f>
        <v/>
      </c>
      <c r="D54" s="7" t="str" cm="1">
        <f t="array" aca="1" ref="D54" ca="1">IFERROR(IF(OR('Raw Data'!D54="",LEN(TRIM('Raw Data'!D54))=0),"",IF(AND(ISNUMBER('Raw Data'!D54), IFERROR('Raw Data'!D54 = ROUND('Raw Data'!D54, 2),FALSE)),"",_xlfn.REGEXEXTRACT(CELL("address",D54), "\$([A-Z]+)\$[0-9]+"))),_xlfn.REGEXEXTRACT(CELL("address",D54), "\$([A-Z]+)\$[0-9]+"))</f>
        <v/>
      </c>
      <c r="E54" s="7" t="str" cm="1">
        <f t="array" aca="1" ref="E54" ca="1">IFERROR(IF(OR('Raw Data'!E54="",LEN(TRIM('Raw Data'!E54))=0),"",IF(AND(ISNUMBER('Raw Data'!E54), IFERROR('Raw Data'!E54 = ROUND('Raw Data'!E54, 2),FALSE)),"",_xlfn.REGEXEXTRACT(CELL("address",E54), "\$([A-Z]+)\$[0-9]+"))),_xlfn.REGEXEXTRACT(CELL("address",E54), "\$([A-Z]+)\$[0-9]+"))</f>
        <v/>
      </c>
      <c r="F54" s="7" t="str" cm="1">
        <f t="array" aca="1" ref="F54" ca="1">IFERROR(IF(OR('Raw Data'!F54="",LEN(TRIM('Raw Data'!F54))=0),"",IF(AND(ISNUMBER('Raw Data'!F54), IFERROR('Raw Data'!F54 = ROUND('Raw Data'!F54, 2),FALSE)),"",_xlfn.REGEXEXTRACT(CELL("address",F54), "\$([A-Z]+)\$[0-9]+"))),_xlfn.REGEXEXTRACT(CELL("address",F54), "\$([A-Z]+)\$[0-9]+"))</f>
        <v/>
      </c>
      <c r="G54" s="7" t="str" cm="1">
        <f t="array" aca="1" ref="G54" ca="1">IFERROR(IF(OR('Raw Data'!G54="",LEN(TRIM('Raw Data'!G54))=0),"",IF(LEN('Raw Data'!G54)&gt; 0,"",_xlfn.REGEXEXTRACT(CELL("address",'Raw Data'!G54),"\$([A-Z]+)\$[0-9]+"))),_xlfn.REGEXEXTRACT(CELL("address",'Raw Data'!G54),"\$([A-Z]+)\$[0-9]+"))</f>
        <v/>
      </c>
    </row>
    <row r="55" spans="2:7" x14ac:dyDescent="0.25">
      <c r="B55" s="7" t="str" cm="1">
        <f t="array" aca="1" ref="B55" ca="1">IFERROR(IF(OR('Raw Data'!B55="",LEN(TRIM('Raw Data'!B55))=0),"",IF(AND(LEN('Raw Data'!B55) &lt;= 20,LEN('Raw Data'!B55)&gt; 0),"",_xlfn.REGEXEXTRACT(CELL("address",'Raw Data'!B55),"\$([A-Z]+)\$[0-9]+"))),_xlfn.REGEXEXTRACT(CELL("address",'Raw Data'!B55),"\$([A-Z]+)\$[0-9]+"))</f>
        <v/>
      </c>
      <c r="C55" s="7" t="str" cm="1">
        <f t="array" aca="1" ref="C55" ca="1">IFERROR(IF(OR('Raw Data'!C55="",LEN(TRIM('Raw Data'!C55))=0),"",IF(AND(LEN('Raw Data'!C55) &lt;= 255,LEN('Raw Data'!C55)&gt; 0),"",_xlfn.REGEXEXTRACT(CELL("address",'Raw Data'!C55),"\$([A-Z]+)\$[0-9]+"))),_xlfn.REGEXEXTRACT(CELL("address",'Raw Data'!C55),"\$([A-Z]+)\$[0-9]+"))</f>
        <v/>
      </c>
      <c r="D55" s="7" t="str" cm="1">
        <f t="array" aca="1" ref="D55" ca="1">IFERROR(IF(OR('Raw Data'!D55="",LEN(TRIM('Raw Data'!D55))=0),"",IF(AND(ISNUMBER('Raw Data'!D55), IFERROR('Raw Data'!D55 = ROUND('Raw Data'!D55, 2),FALSE)),"",_xlfn.REGEXEXTRACT(CELL("address",D55), "\$([A-Z]+)\$[0-9]+"))),_xlfn.REGEXEXTRACT(CELL("address",D55), "\$([A-Z]+)\$[0-9]+"))</f>
        <v/>
      </c>
      <c r="E55" s="7" t="str" cm="1">
        <f t="array" aca="1" ref="E55" ca="1">IFERROR(IF(OR('Raw Data'!E55="",LEN(TRIM('Raw Data'!E55))=0),"",IF(AND(ISNUMBER('Raw Data'!E55), IFERROR('Raw Data'!E55 = ROUND('Raw Data'!E55, 2),FALSE)),"",_xlfn.REGEXEXTRACT(CELL("address",E55), "\$([A-Z]+)\$[0-9]+"))),_xlfn.REGEXEXTRACT(CELL("address",E55), "\$([A-Z]+)\$[0-9]+"))</f>
        <v/>
      </c>
      <c r="F55" s="7" t="str" cm="1">
        <f t="array" aca="1" ref="F55" ca="1">IFERROR(IF(OR('Raw Data'!F55="",LEN(TRIM('Raw Data'!F55))=0),"",IF(AND(ISNUMBER('Raw Data'!F55), IFERROR('Raw Data'!F55 = ROUND('Raw Data'!F55, 2),FALSE)),"",_xlfn.REGEXEXTRACT(CELL("address",F55), "\$([A-Z]+)\$[0-9]+"))),_xlfn.REGEXEXTRACT(CELL("address",F55), "\$([A-Z]+)\$[0-9]+"))</f>
        <v/>
      </c>
      <c r="G55" s="7" t="str" cm="1">
        <f t="array" aca="1" ref="G55" ca="1">IFERROR(IF(OR('Raw Data'!G55="",LEN(TRIM('Raw Data'!G55))=0),"",IF(LEN('Raw Data'!G55)&gt; 0,"",_xlfn.REGEXEXTRACT(CELL("address",'Raw Data'!G55),"\$([A-Z]+)\$[0-9]+"))),_xlfn.REGEXEXTRACT(CELL("address",'Raw Data'!G55),"\$([A-Z]+)\$[0-9]+"))</f>
        <v/>
      </c>
    </row>
    <row r="56" spans="2:7" x14ac:dyDescent="0.25">
      <c r="B56" s="7" t="str" cm="1">
        <f t="array" aca="1" ref="B56" ca="1">IFERROR(IF(OR('Raw Data'!B56="",LEN(TRIM('Raw Data'!B56))=0),"",IF(AND(LEN('Raw Data'!B56) &lt;= 20,LEN('Raw Data'!B56)&gt; 0),"",_xlfn.REGEXEXTRACT(CELL("address",'Raw Data'!B56),"\$([A-Z]+)\$[0-9]+"))),_xlfn.REGEXEXTRACT(CELL("address",'Raw Data'!B56),"\$([A-Z]+)\$[0-9]+"))</f>
        <v/>
      </c>
      <c r="C56" s="7" t="str" cm="1">
        <f t="array" aca="1" ref="C56" ca="1">IFERROR(IF(OR('Raw Data'!C56="",LEN(TRIM('Raw Data'!C56))=0),"",IF(AND(LEN('Raw Data'!C56) &lt;= 255,LEN('Raw Data'!C56)&gt; 0),"",_xlfn.REGEXEXTRACT(CELL("address",'Raw Data'!C56),"\$([A-Z]+)\$[0-9]+"))),_xlfn.REGEXEXTRACT(CELL("address",'Raw Data'!C56),"\$([A-Z]+)\$[0-9]+"))</f>
        <v/>
      </c>
      <c r="D56" s="7" t="str" cm="1">
        <f t="array" aca="1" ref="D56" ca="1">IFERROR(IF(OR('Raw Data'!D56="",LEN(TRIM('Raw Data'!D56))=0),"",IF(AND(ISNUMBER('Raw Data'!D56), IFERROR('Raw Data'!D56 = ROUND('Raw Data'!D56, 2),FALSE)),"",_xlfn.REGEXEXTRACT(CELL("address",D56), "\$([A-Z]+)\$[0-9]+"))),_xlfn.REGEXEXTRACT(CELL("address",D56), "\$([A-Z]+)\$[0-9]+"))</f>
        <v/>
      </c>
      <c r="E56" s="7" t="str" cm="1">
        <f t="array" aca="1" ref="E56" ca="1">IFERROR(IF(OR('Raw Data'!E56="",LEN(TRIM('Raw Data'!E56))=0),"",IF(AND(ISNUMBER('Raw Data'!E56), IFERROR('Raw Data'!E56 = ROUND('Raw Data'!E56, 2),FALSE)),"",_xlfn.REGEXEXTRACT(CELL("address",E56), "\$([A-Z]+)\$[0-9]+"))),_xlfn.REGEXEXTRACT(CELL("address",E56), "\$([A-Z]+)\$[0-9]+"))</f>
        <v/>
      </c>
      <c r="F56" s="7" t="str" cm="1">
        <f t="array" aca="1" ref="F56" ca="1">IFERROR(IF(OR('Raw Data'!F56="",LEN(TRIM('Raw Data'!F56))=0),"",IF(AND(ISNUMBER('Raw Data'!F56), IFERROR('Raw Data'!F56 = ROUND('Raw Data'!F56, 2),FALSE)),"",_xlfn.REGEXEXTRACT(CELL("address",F56), "\$([A-Z]+)\$[0-9]+"))),_xlfn.REGEXEXTRACT(CELL("address",F56), "\$([A-Z]+)\$[0-9]+"))</f>
        <v/>
      </c>
      <c r="G56" s="7" t="str" cm="1">
        <f t="array" aca="1" ref="G56" ca="1">IFERROR(IF(OR('Raw Data'!G56="",LEN(TRIM('Raw Data'!G56))=0),"",IF(LEN('Raw Data'!G56)&gt; 0,"",_xlfn.REGEXEXTRACT(CELL("address",'Raw Data'!G56),"\$([A-Z]+)\$[0-9]+"))),_xlfn.REGEXEXTRACT(CELL("address",'Raw Data'!G56),"\$([A-Z]+)\$[0-9]+"))</f>
        <v/>
      </c>
    </row>
    <row r="57" spans="2:7" x14ac:dyDescent="0.25">
      <c r="B57" s="7" t="str" cm="1">
        <f t="array" aca="1" ref="B57" ca="1">IFERROR(IF(OR('Raw Data'!B57="",LEN(TRIM('Raw Data'!B57))=0),"",IF(AND(LEN('Raw Data'!B57) &lt;= 20,LEN('Raw Data'!B57)&gt; 0),"",_xlfn.REGEXEXTRACT(CELL("address",'Raw Data'!B57),"\$([A-Z]+)\$[0-9]+"))),_xlfn.REGEXEXTRACT(CELL("address",'Raw Data'!B57),"\$([A-Z]+)\$[0-9]+"))</f>
        <v/>
      </c>
      <c r="C57" s="7" t="str" cm="1">
        <f t="array" aca="1" ref="C57" ca="1">IFERROR(IF(OR('Raw Data'!C57="",LEN(TRIM('Raw Data'!C57))=0),"",IF(AND(LEN('Raw Data'!C57) &lt;= 255,LEN('Raw Data'!C57)&gt; 0),"",_xlfn.REGEXEXTRACT(CELL("address",'Raw Data'!C57),"\$([A-Z]+)\$[0-9]+"))),_xlfn.REGEXEXTRACT(CELL("address",'Raw Data'!C57),"\$([A-Z]+)\$[0-9]+"))</f>
        <v/>
      </c>
      <c r="D57" s="7" t="str" cm="1">
        <f t="array" aca="1" ref="D57" ca="1">IFERROR(IF(OR('Raw Data'!D57="",LEN(TRIM('Raw Data'!D57))=0),"",IF(AND(ISNUMBER('Raw Data'!D57), IFERROR('Raw Data'!D57 = ROUND('Raw Data'!D57, 2),FALSE)),"",_xlfn.REGEXEXTRACT(CELL("address",D57), "\$([A-Z]+)\$[0-9]+"))),_xlfn.REGEXEXTRACT(CELL("address",D57), "\$([A-Z]+)\$[0-9]+"))</f>
        <v/>
      </c>
      <c r="E57" s="7" t="str" cm="1">
        <f t="array" aca="1" ref="E57" ca="1">IFERROR(IF(OR('Raw Data'!E57="",LEN(TRIM('Raw Data'!E57))=0),"",IF(AND(ISNUMBER('Raw Data'!E57), IFERROR('Raw Data'!E57 = ROUND('Raw Data'!E57, 2),FALSE)),"",_xlfn.REGEXEXTRACT(CELL("address",E57), "\$([A-Z]+)\$[0-9]+"))),_xlfn.REGEXEXTRACT(CELL("address",E57), "\$([A-Z]+)\$[0-9]+"))</f>
        <v/>
      </c>
      <c r="F57" s="7" t="str" cm="1">
        <f t="array" aca="1" ref="F57" ca="1">IFERROR(IF(OR('Raw Data'!F57="",LEN(TRIM('Raw Data'!F57))=0),"",IF(AND(ISNUMBER('Raw Data'!F57), IFERROR('Raw Data'!F57 = ROUND('Raw Data'!F57, 2),FALSE)),"",_xlfn.REGEXEXTRACT(CELL("address",F57), "\$([A-Z]+)\$[0-9]+"))),_xlfn.REGEXEXTRACT(CELL("address",F57), "\$([A-Z]+)\$[0-9]+"))</f>
        <v/>
      </c>
      <c r="G57" s="7" t="str" cm="1">
        <f t="array" aca="1" ref="G57" ca="1">IFERROR(IF(OR('Raw Data'!G57="",LEN(TRIM('Raw Data'!G57))=0),"",IF(LEN('Raw Data'!G57)&gt; 0,"",_xlfn.REGEXEXTRACT(CELL("address",'Raw Data'!G57),"\$([A-Z]+)\$[0-9]+"))),_xlfn.REGEXEXTRACT(CELL("address",'Raw Data'!G57),"\$([A-Z]+)\$[0-9]+"))</f>
        <v/>
      </c>
    </row>
    <row r="58" spans="2:7" x14ac:dyDescent="0.25">
      <c r="B58" s="7" t="str" cm="1">
        <f t="array" aca="1" ref="B58" ca="1">IFERROR(IF(OR('Raw Data'!B58="",LEN(TRIM('Raw Data'!B58))=0),"",IF(AND(LEN('Raw Data'!B58) &lt;= 20,LEN('Raw Data'!B58)&gt; 0),"",_xlfn.REGEXEXTRACT(CELL("address",'Raw Data'!B58),"\$([A-Z]+)\$[0-9]+"))),_xlfn.REGEXEXTRACT(CELL("address",'Raw Data'!B58),"\$([A-Z]+)\$[0-9]+"))</f>
        <v/>
      </c>
      <c r="C58" s="7" t="str" cm="1">
        <f t="array" aca="1" ref="C58" ca="1">IFERROR(IF(OR('Raw Data'!C58="",LEN(TRIM('Raw Data'!C58))=0),"",IF(AND(LEN('Raw Data'!C58) &lt;= 255,LEN('Raw Data'!C58)&gt; 0),"",_xlfn.REGEXEXTRACT(CELL("address",'Raw Data'!C58),"\$([A-Z]+)\$[0-9]+"))),_xlfn.REGEXEXTRACT(CELL("address",'Raw Data'!C58),"\$([A-Z]+)\$[0-9]+"))</f>
        <v/>
      </c>
      <c r="D58" s="7" t="str" cm="1">
        <f t="array" aca="1" ref="D58" ca="1">IFERROR(IF(OR('Raw Data'!D58="",LEN(TRIM('Raw Data'!D58))=0),"",IF(AND(ISNUMBER('Raw Data'!D58), IFERROR('Raw Data'!D58 = ROUND('Raw Data'!D58, 2),FALSE)),"",_xlfn.REGEXEXTRACT(CELL("address",D58), "\$([A-Z]+)\$[0-9]+"))),_xlfn.REGEXEXTRACT(CELL("address",D58), "\$([A-Z]+)\$[0-9]+"))</f>
        <v/>
      </c>
      <c r="E58" s="7" t="str" cm="1">
        <f t="array" aca="1" ref="E58" ca="1">IFERROR(IF(OR('Raw Data'!E58="",LEN(TRIM('Raw Data'!E58))=0),"",IF(AND(ISNUMBER('Raw Data'!E58), IFERROR('Raw Data'!E58 = ROUND('Raw Data'!E58, 2),FALSE)),"",_xlfn.REGEXEXTRACT(CELL("address",E58), "\$([A-Z]+)\$[0-9]+"))),_xlfn.REGEXEXTRACT(CELL("address",E58), "\$([A-Z]+)\$[0-9]+"))</f>
        <v/>
      </c>
      <c r="F58" s="7" t="str" cm="1">
        <f t="array" aca="1" ref="F58" ca="1">IFERROR(IF(OR('Raw Data'!F58="",LEN(TRIM('Raw Data'!F58))=0),"",IF(AND(ISNUMBER('Raw Data'!F58), IFERROR('Raw Data'!F58 = ROUND('Raw Data'!F58, 2),FALSE)),"",_xlfn.REGEXEXTRACT(CELL("address",F58), "\$([A-Z]+)\$[0-9]+"))),_xlfn.REGEXEXTRACT(CELL("address",F58), "\$([A-Z]+)\$[0-9]+"))</f>
        <v/>
      </c>
      <c r="G58" s="7" t="str" cm="1">
        <f t="array" aca="1" ref="G58" ca="1">IFERROR(IF(OR('Raw Data'!G58="",LEN(TRIM('Raw Data'!G58))=0),"",IF(LEN('Raw Data'!G58)&gt; 0,"",_xlfn.REGEXEXTRACT(CELL("address",'Raw Data'!G58),"\$([A-Z]+)\$[0-9]+"))),_xlfn.REGEXEXTRACT(CELL("address",'Raw Data'!G58),"\$([A-Z]+)\$[0-9]+"))</f>
        <v/>
      </c>
    </row>
    <row r="59" spans="2:7" x14ac:dyDescent="0.25">
      <c r="B59" s="7" t="str" cm="1">
        <f t="array" aca="1" ref="B59" ca="1">IFERROR(IF(OR('Raw Data'!B59="",LEN(TRIM('Raw Data'!B59))=0),"",IF(AND(LEN('Raw Data'!B59) &lt;= 20,LEN('Raw Data'!B59)&gt; 0),"",_xlfn.REGEXEXTRACT(CELL("address",'Raw Data'!B59),"\$([A-Z]+)\$[0-9]+"))),_xlfn.REGEXEXTRACT(CELL("address",'Raw Data'!B59),"\$([A-Z]+)\$[0-9]+"))</f>
        <v/>
      </c>
      <c r="C59" s="7" t="str" cm="1">
        <f t="array" aca="1" ref="C59" ca="1">IFERROR(IF(OR('Raw Data'!C59="",LEN(TRIM('Raw Data'!C59))=0),"",IF(AND(LEN('Raw Data'!C59) &lt;= 255,LEN('Raw Data'!C59)&gt; 0),"",_xlfn.REGEXEXTRACT(CELL("address",'Raw Data'!C59),"\$([A-Z]+)\$[0-9]+"))),_xlfn.REGEXEXTRACT(CELL("address",'Raw Data'!C59),"\$([A-Z]+)\$[0-9]+"))</f>
        <v/>
      </c>
      <c r="D59" s="7" t="str" cm="1">
        <f t="array" aca="1" ref="D59" ca="1">IFERROR(IF(OR('Raw Data'!D59="",LEN(TRIM('Raw Data'!D59))=0),"",IF(AND(ISNUMBER('Raw Data'!D59), IFERROR('Raw Data'!D59 = ROUND('Raw Data'!D59, 2),FALSE)),"",_xlfn.REGEXEXTRACT(CELL("address",D59), "\$([A-Z]+)\$[0-9]+"))),_xlfn.REGEXEXTRACT(CELL("address",D59), "\$([A-Z]+)\$[0-9]+"))</f>
        <v/>
      </c>
      <c r="E59" s="7" t="str" cm="1">
        <f t="array" aca="1" ref="E59" ca="1">IFERROR(IF(OR('Raw Data'!E59="",LEN(TRIM('Raw Data'!E59))=0),"",IF(AND(ISNUMBER('Raw Data'!E59), IFERROR('Raw Data'!E59 = ROUND('Raw Data'!E59, 2),FALSE)),"",_xlfn.REGEXEXTRACT(CELL("address",E59), "\$([A-Z]+)\$[0-9]+"))),_xlfn.REGEXEXTRACT(CELL("address",E59), "\$([A-Z]+)\$[0-9]+"))</f>
        <v/>
      </c>
      <c r="F59" s="7" t="str" cm="1">
        <f t="array" aca="1" ref="F59" ca="1">IFERROR(IF(OR('Raw Data'!F59="",LEN(TRIM('Raw Data'!F59))=0),"",IF(AND(ISNUMBER('Raw Data'!F59), IFERROR('Raw Data'!F59 = ROUND('Raw Data'!F59, 2),FALSE)),"",_xlfn.REGEXEXTRACT(CELL("address",F59), "\$([A-Z]+)\$[0-9]+"))),_xlfn.REGEXEXTRACT(CELL("address",F59), "\$([A-Z]+)\$[0-9]+"))</f>
        <v/>
      </c>
      <c r="G59" s="7" t="str" cm="1">
        <f t="array" aca="1" ref="G59" ca="1">IFERROR(IF(OR('Raw Data'!G59="",LEN(TRIM('Raw Data'!G59))=0),"",IF(LEN('Raw Data'!G59)&gt; 0,"",_xlfn.REGEXEXTRACT(CELL("address",'Raw Data'!G59),"\$([A-Z]+)\$[0-9]+"))),_xlfn.REGEXEXTRACT(CELL("address",'Raw Data'!G59),"\$([A-Z]+)\$[0-9]+"))</f>
        <v/>
      </c>
    </row>
    <row r="60" spans="2:7" x14ac:dyDescent="0.25">
      <c r="B60" s="7" t="str" cm="1">
        <f t="array" aca="1" ref="B60" ca="1">IFERROR(IF(OR('Raw Data'!B60="",LEN(TRIM('Raw Data'!B60))=0),"",IF(AND(LEN('Raw Data'!B60) &lt;= 20,LEN('Raw Data'!B60)&gt; 0),"",_xlfn.REGEXEXTRACT(CELL("address",'Raw Data'!B60),"\$([A-Z]+)\$[0-9]+"))),_xlfn.REGEXEXTRACT(CELL("address",'Raw Data'!B60),"\$([A-Z]+)\$[0-9]+"))</f>
        <v/>
      </c>
      <c r="C60" s="7" t="str" cm="1">
        <f t="array" aca="1" ref="C60" ca="1">IFERROR(IF(OR('Raw Data'!C60="",LEN(TRIM('Raw Data'!C60))=0),"",IF(AND(LEN('Raw Data'!C60) &lt;= 255,LEN('Raw Data'!C60)&gt; 0),"",_xlfn.REGEXEXTRACT(CELL("address",'Raw Data'!C60),"\$([A-Z]+)\$[0-9]+"))),_xlfn.REGEXEXTRACT(CELL("address",'Raw Data'!C60),"\$([A-Z]+)\$[0-9]+"))</f>
        <v/>
      </c>
      <c r="D60" s="7" t="str" cm="1">
        <f t="array" aca="1" ref="D60" ca="1">IFERROR(IF(OR('Raw Data'!D60="",LEN(TRIM('Raw Data'!D60))=0),"",IF(AND(ISNUMBER('Raw Data'!D60), IFERROR('Raw Data'!D60 = ROUND('Raw Data'!D60, 2),FALSE)),"",_xlfn.REGEXEXTRACT(CELL("address",D60), "\$([A-Z]+)\$[0-9]+"))),_xlfn.REGEXEXTRACT(CELL("address",D60), "\$([A-Z]+)\$[0-9]+"))</f>
        <v/>
      </c>
      <c r="E60" s="7" t="str" cm="1">
        <f t="array" aca="1" ref="E60" ca="1">IFERROR(IF(OR('Raw Data'!E60="",LEN(TRIM('Raw Data'!E60))=0),"",IF(AND(ISNUMBER('Raw Data'!E60), IFERROR('Raw Data'!E60 = ROUND('Raw Data'!E60, 2),FALSE)),"",_xlfn.REGEXEXTRACT(CELL("address",E60), "\$([A-Z]+)\$[0-9]+"))),_xlfn.REGEXEXTRACT(CELL("address",E60), "\$([A-Z]+)\$[0-9]+"))</f>
        <v/>
      </c>
      <c r="F60" s="7" t="str" cm="1">
        <f t="array" aca="1" ref="F60" ca="1">IFERROR(IF(OR('Raw Data'!F60="",LEN(TRIM('Raw Data'!F60))=0),"",IF(AND(ISNUMBER('Raw Data'!F60), IFERROR('Raw Data'!F60 = ROUND('Raw Data'!F60, 2),FALSE)),"",_xlfn.REGEXEXTRACT(CELL("address",F60), "\$([A-Z]+)\$[0-9]+"))),_xlfn.REGEXEXTRACT(CELL("address",F60), "\$([A-Z]+)\$[0-9]+"))</f>
        <v/>
      </c>
      <c r="G60" s="7" t="str" cm="1">
        <f t="array" aca="1" ref="G60" ca="1">IFERROR(IF(OR('Raw Data'!G60="",LEN(TRIM('Raw Data'!G60))=0),"",IF(LEN('Raw Data'!G60)&gt; 0,"",_xlfn.REGEXEXTRACT(CELL("address",'Raw Data'!G60),"\$([A-Z]+)\$[0-9]+"))),_xlfn.REGEXEXTRACT(CELL("address",'Raw Data'!G60),"\$([A-Z]+)\$[0-9]+"))</f>
        <v/>
      </c>
    </row>
    <row r="61" spans="2:7" x14ac:dyDescent="0.25">
      <c r="B61" s="7" t="str" cm="1">
        <f t="array" aca="1" ref="B61" ca="1">IFERROR(IF(OR('Raw Data'!B61="",LEN(TRIM('Raw Data'!B61))=0),"",IF(AND(LEN('Raw Data'!B61) &lt;= 20,LEN('Raw Data'!B61)&gt; 0),"",_xlfn.REGEXEXTRACT(CELL("address",'Raw Data'!B61),"\$([A-Z]+)\$[0-9]+"))),_xlfn.REGEXEXTRACT(CELL("address",'Raw Data'!B61),"\$([A-Z]+)\$[0-9]+"))</f>
        <v/>
      </c>
      <c r="C61" s="7" t="str" cm="1">
        <f t="array" aca="1" ref="C61" ca="1">IFERROR(IF(OR('Raw Data'!C61="",LEN(TRIM('Raw Data'!C61))=0),"",IF(AND(LEN('Raw Data'!C61) &lt;= 255,LEN('Raw Data'!C61)&gt; 0),"",_xlfn.REGEXEXTRACT(CELL("address",'Raw Data'!C61),"\$([A-Z]+)\$[0-9]+"))),_xlfn.REGEXEXTRACT(CELL("address",'Raw Data'!C61),"\$([A-Z]+)\$[0-9]+"))</f>
        <v/>
      </c>
      <c r="D61" s="7" t="str" cm="1">
        <f t="array" aca="1" ref="D61" ca="1">IFERROR(IF(OR('Raw Data'!D61="",LEN(TRIM('Raw Data'!D61))=0),"",IF(AND(ISNUMBER('Raw Data'!D61), IFERROR('Raw Data'!D61 = ROUND('Raw Data'!D61, 2),FALSE)),"",_xlfn.REGEXEXTRACT(CELL("address",D61), "\$([A-Z]+)\$[0-9]+"))),_xlfn.REGEXEXTRACT(CELL("address",D61), "\$([A-Z]+)\$[0-9]+"))</f>
        <v/>
      </c>
      <c r="E61" s="7" t="str" cm="1">
        <f t="array" aca="1" ref="E61" ca="1">IFERROR(IF(OR('Raw Data'!E61="",LEN(TRIM('Raw Data'!E61))=0),"",IF(AND(ISNUMBER('Raw Data'!E61), IFERROR('Raw Data'!E61 = ROUND('Raw Data'!E61, 2),FALSE)),"",_xlfn.REGEXEXTRACT(CELL("address",E61), "\$([A-Z]+)\$[0-9]+"))),_xlfn.REGEXEXTRACT(CELL("address",E61), "\$([A-Z]+)\$[0-9]+"))</f>
        <v/>
      </c>
      <c r="F61" s="7" t="str" cm="1">
        <f t="array" aca="1" ref="F61" ca="1">IFERROR(IF(OR('Raw Data'!F61="",LEN(TRIM('Raw Data'!F61))=0),"",IF(AND(ISNUMBER('Raw Data'!F61), IFERROR('Raw Data'!F61 = ROUND('Raw Data'!F61, 2),FALSE)),"",_xlfn.REGEXEXTRACT(CELL("address",F61), "\$([A-Z]+)\$[0-9]+"))),_xlfn.REGEXEXTRACT(CELL("address",F61), "\$([A-Z]+)\$[0-9]+"))</f>
        <v/>
      </c>
      <c r="G61" s="7" t="str" cm="1">
        <f t="array" aca="1" ref="G61" ca="1">IFERROR(IF(OR('Raw Data'!G61="",LEN(TRIM('Raw Data'!G61))=0),"",IF(LEN('Raw Data'!G61)&gt; 0,"",_xlfn.REGEXEXTRACT(CELL("address",'Raw Data'!G61),"\$([A-Z]+)\$[0-9]+"))),_xlfn.REGEXEXTRACT(CELL("address",'Raw Data'!G61),"\$([A-Z]+)\$[0-9]+"))</f>
        <v/>
      </c>
    </row>
    <row r="62" spans="2:7" x14ac:dyDescent="0.25">
      <c r="B62" s="7" t="str" cm="1">
        <f t="array" aca="1" ref="B62" ca="1">IFERROR(IF(OR('Raw Data'!B62="",LEN(TRIM('Raw Data'!B62))=0),"",IF(AND(LEN('Raw Data'!B62) &lt;= 20,LEN('Raw Data'!B62)&gt; 0),"",_xlfn.REGEXEXTRACT(CELL("address",'Raw Data'!B62),"\$([A-Z]+)\$[0-9]+"))),_xlfn.REGEXEXTRACT(CELL("address",'Raw Data'!B62),"\$([A-Z]+)\$[0-9]+"))</f>
        <v/>
      </c>
      <c r="C62" s="7" t="str" cm="1">
        <f t="array" aca="1" ref="C62" ca="1">IFERROR(IF(OR('Raw Data'!C62="",LEN(TRIM('Raw Data'!C62))=0),"",IF(AND(LEN('Raw Data'!C62) &lt;= 255,LEN('Raw Data'!C62)&gt; 0),"",_xlfn.REGEXEXTRACT(CELL("address",'Raw Data'!C62),"\$([A-Z]+)\$[0-9]+"))),_xlfn.REGEXEXTRACT(CELL("address",'Raw Data'!C62),"\$([A-Z]+)\$[0-9]+"))</f>
        <v/>
      </c>
      <c r="D62" s="7" t="str" cm="1">
        <f t="array" aca="1" ref="D62" ca="1">IFERROR(IF(OR('Raw Data'!D62="",LEN(TRIM('Raw Data'!D62))=0),"",IF(AND(ISNUMBER('Raw Data'!D62), IFERROR('Raw Data'!D62 = ROUND('Raw Data'!D62, 2),FALSE)),"",_xlfn.REGEXEXTRACT(CELL("address",D62), "\$([A-Z]+)\$[0-9]+"))),_xlfn.REGEXEXTRACT(CELL("address",D62), "\$([A-Z]+)\$[0-9]+"))</f>
        <v/>
      </c>
      <c r="E62" s="7" t="str" cm="1">
        <f t="array" aca="1" ref="E62" ca="1">IFERROR(IF(OR('Raw Data'!E62="",LEN(TRIM('Raw Data'!E62))=0),"",IF(AND(ISNUMBER('Raw Data'!E62), IFERROR('Raw Data'!E62 = ROUND('Raw Data'!E62, 2),FALSE)),"",_xlfn.REGEXEXTRACT(CELL("address",E62), "\$([A-Z]+)\$[0-9]+"))),_xlfn.REGEXEXTRACT(CELL("address",E62), "\$([A-Z]+)\$[0-9]+"))</f>
        <v/>
      </c>
      <c r="F62" s="7" t="str" cm="1">
        <f t="array" aca="1" ref="F62" ca="1">IFERROR(IF(OR('Raw Data'!F62="",LEN(TRIM('Raw Data'!F62))=0),"",IF(AND(ISNUMBER('Raw Data'!F62), IFERROR('Raw Data'!F62 = ROUND('Raw Data'!F62, 2),FALSE)),"",_xlfn.REGEXEXTRACT(CELL("address",F62), "\$([A-Z]+)\$[0-9]+"))),_xlfn.REGEXEXTRACT(CELL("address",F62), "\$([A-Z]+)\$[0-9]+"))</f>
        <v/>
      </c>
      <c r="G62" s="7" t="str" cm="1">
        <f t="array" aca="1" ref="G62" ca="1">IFERROR(IF(OR('Raw Data'!G62="",LEN(TRIM('Raw Data'!G62))=0),"",IF(LEN('Raw Data'!G62)&gt; 0,"",_xlfn.REGEXEXTRACT(CELL("address",'Raw Data'!G62),"\$([A-Z]+)\$[0-9]+"))),_xlfn.REGEXEXTRACT(CELL("address",'Raw Data'!G62),"\$([A-Z]+)\$[0-9]+"))</f>
        <v/>
      </c>
    </row>
    <row r="63" spans="2:7" x14ac:dyDescent="0.25">
      <c r="B63" s="7" t="str" cm="1">
        <f t="array" aca="1" ref="B63" ca="1">IFERROR(IF(OR('Raw Data'!B63="",LEN(TRIM('Raw Data'!B63))=0),"",IF(AND(LEN('Raw Data'!B63) &lt;= 20,LEN('Raw Data'!B63)&gt; 0),"",_xlfn.REGEXEXTRACT(CELL("address",'Raw Data'!B63),"\$([A-Z]+)\$[0-9]+"))),_xlfn.REGEXEXTRACT(CELL("address",'Raw Data'!B63),"\$([A-Z]+)\$[0-9]+"))</f>
        <v/>
      </c>
      <c r="C63" s="7" t="str" cm="1">
        <f t="array" aca="1" ref="C63" ca="1">IFERROR(IF(OR('Raw Data'!C63="",LEN(TRIM('Raw Data'!C63))=0),"",IF(AND(LEN('Raw Data'!C63) &lt;= 255,LEN('Raw Data'!C63)&gt; 0),"",_xlfn.REGEXEXTRACT(CELL("address",'Raw Data'!C63),"\$([A-Z]+)\$[0-9]+"))),_xlfn.REGEXEXTRACT(CELL("address",'Raw Data'!C63),"\$([A-Z]+)\$[0-9]+"))</f>
        <v/>
      </c>
      <c r="D63" s="7" t="str" cm="1">
        <f t="array" aca="1" ref="D63" ca="1">IFERROR(IF(OR('Raw Data'!D63="",LEN(TRIM('Raw Data'!D63))=0),"",IF(AND(ISNUMBER('Raw Data'!D63), IFERROR('Raw Data'!D63 = ROUND('Raw Data'!D63, 2),FALSE)),"",_xlfn.REGEXEXTRACT(CELL("address",D63), "\$([A-Z]+)\$[0-9]+"))),_xlfn.REGEXEXTRACT(CELL("address",D63), "\$([A-Z]+)\$[0-9]+"))</f>
        <v/>
      </c>
      <c r="E63" s="7" t="str" cm="1">
        <f t="array" aca="1" ref="E63" ca="1">IFERROR(IF(OR('Raw Data'!E63="",LEN(TRIM('Raw Data'!E63))=0),"",IF(AND(ISNUMBER('Raw Data'!E63), IFERROR('Raw Data'!E63 = ROUND('Raw Data'!E63, 2),FALSE)),"",_xlfn.REGEXEXTRACT(CELL("address",E63), "\$([A-Z]+)\$[0-9]+"))),_xlfn.REGEXEXTRACT(CELL("address",E63), "\$([A-Z]+)\$[0-9]+"))</f>
        <v/>
      </c>
      <c r="F63" s="7" t="str" cm="1">
        <f t="array" aca="1" ref="F63" ca="1">IFERROR(IF(OR('Raw Data'!F63="",LEN(TRIM('Raw Data'!F63))=0),"",IF(AND(ISNUMBER('Raw Data'!F63), IFERROR('Raw Data'!F63 = ROUND('Raw Data'!F63, 2),FALSE)),"",_xlfn.REGEXEXTRACT(CELL("address",F63), "\$([A-Z]+)\$[0-9]+"))),_xlfn.REGEXEXTRACT(CELL("address",F63), "\$([A-Z]+)\$[0-9]+"))</f>
        <v/>
      </c>
      <c r="G63" s="7" t="str" cm="1">
        <f t="array" aca="1" ref="G63" ca="1">IFERROR(IF(OR('Raw Data'!G63="",LEN(TRIM('Raw Data'!G63))=0),"",IF(LEN('Raw Data'!G63)&gt; 0,"",_xlfn.REGEXEXTRACT(CELL("address",'Raw Data'!G63),"\$([A-Z]+)\$[0-9]+"))),_xlfn.REGEXEXTRACT(CELL("address",'Raw Data'!G63),"\$([A-Z]+)\$[0-9]+"))</f>
        <v/>
      </c>
    </row>
    <row r="64" spans="2:7" x14ac:dyDescent="0.25">
      <c r="B64" s="7" t="str" cm="1">
        <f t="array" aca="1" ref="B64" ca="1">IFERROR(IF(OR('Raw Data'!B64="",LEN(TRIM('Raw Data'!B64))=0),"",IF(AND(LEN('Raw Data'!B64) &lt;= 20,LEN('Raw Data'!B64)&gt; 0),"",_xlfn.REGEXEXTRACT(CELL("address",'Raw Data'!B64),"\$([A-Z]+)\$[0-9]+"))),_xlfn.REGEXEXTRACT(CELL("address",'Raw Data'!B64),"\$([A-Z]+)\$[0-9]+"))</f>
        <v/>
      </c>
      <c r="C64" s="7" t="str" cm="1">
        <f t="array" aca="1" ref="C64" ca="1">IFERROR(IF(OR('Raw Data'!C64="",LEN(TRIM('Raw Data'!C64))=0),"",IF(AND(LEN('Raw Data'!C64) &lt;= 255,LEN('Raw Data'!C64)&gt; 0),"",_xlfn.REGEXEXTRACT(CELL("address",'Raw Data'!C64),"\$([A-Z]+)\$[0-9]+"))),_xlfn.REGEXEXTRACT(CELL("address",'Raw Data'!C64),"\$([A-Z]+)\$[0-9]+"))</f>
        <v/>
      </c>
      <c r="D64" s="7" t="str" cm="1">
        <f t="array" aca="1" ref="D64" ca="1">IFERROR(IF(OR('Raw Data'!D64="",LEN(TRIM('Raw Data'!D64))=0),"",IF(AND(ISNUMBER('Raw Data'!D64), IFERROR('Raw Data'!D64 = ROUND('Raw Data'!D64, 2),FALSE)),"",_xlfn.REGEXEXTRACT(CELL("address",D64), "\$([A-Z]+)\$[0-9]+"))),_xlfn.REGEXEXTRACT(CELL("address",D64), "\$([A-Z]+)\$[0-9]+"))</f>
        <v/>
      </c>
      <c r="E64" s="7" t="str" cm="1">
        <f t="array" aca="1" ref="E64" ca="1">IFERROR(IF(OR('Raw Data'!E64="",LEN(TRIM('Raw Data'!E64))=0),"",IF(AND(ISNUMBER('Raw Data'!E64), IFERROR('Raw Data'!E64 = ROUND('Raw Data'!E64, 2),FALSE)),"",_xlfn.REGEXEXTRACT(CELL("address",E64), "\$([A-Z]+)\$[0-9]+"))),_xlfn.REGEXEXTRACT(CELL("address",E64), "\$([A-Z]+)\$[0-9]+"))</f>
        <v/>
      </c>
      <c r="F64" s="7" t="str" cm="1">
        <f t="array" aca="1" ref="F64" ca="1">IFERROR(IF(OR('Raw Data'!F64="",LEN(TRIM('Raw Data'!F64))=0),"",IF(AND(ISNUMBER('Raw Data'!F64), IFERROR('Raw Data'!F64 = ROUND('Raw Data'!F64, 2),FALSE)),"",_xlfn.REGEXEXTRACT(CELL("address",F64), "\$([A-Z]+)\$[0-9]+"))),_xlfn.REGEXEXTRACT(CELL("address",F64), "\$([A-Z]+)\$[0-9]+"))</f>
        <v/>
      </c>
      <c r="G64" s="7" t="str" cm="1">
        <f t="array" aca="1" ref="G64" ca="1">IFERROR(IF(OR('Raw Data'!G64="",LEN(TRIM('Raw Data'!G64))=0),"",IF(LEN('Raw Data'!G64)&gt; 0,"",_xlfn.REGEXEXTRACT(CELL("address",'Raw Data'!G64),"\$([A-Z]+)\$[0-9]+"))),_xlfn.REGEXEXTRACT(CELL("address",'Raw Data'!G64),"\$([A-Z]+)\$[0-9]+"))</f>
        <v/>
      </c>
    </row>
    <row r="65" spans="2:7" x14ac:dyDescent="0.25">
      <c r="B65" s="7" t="str" cm="1">
        <f t="array" aca="1" ref="B65" ca="1">IFERROR(IF(OR('Raw Data'!B65="",LEN(TRIM('Raw Data'!B65))=0),"",IF(AND(LEN('Raw Data'!B65) &lt;= 20,LEN('Raw Data'!B65)&gt; 0),"",_xlfn.REGEXEXTRACT(CELL("address",'Raw Data'!B65),"\$([A-Z]+)\$[0-9]+"))),_xlfn.REGEXEXTRACT(CELL("address",'Raw Data'!B65),"\$([A-Z]+)\$[0-9]+"))</f>
        <v/>
      </c>
      <c r="C65" s="7" t="str" cm="1">
        <f t="array" aca="1" ref="C65" ca="1">IFERROR(IF(OR('Raw Data'!C65="",LEN(TRIM('Raw Data'!C65))=0),"",IF(AND(LEN('Raw Data'!C65) &lt;= 255,LEN('Raw Data'!C65)&gt; 0),"",_xlfn.REGEXEXTRACT(CELL("address",'Raw Data'!C65),"\$([A-Z]+)\$[0-9]+"))),_xlfn.REGEXEXTRACT(CELL("address",'Raw Data'!C65),"\$([A-Z]+)\$[0-9]+"))</f>
        <v/>
      </c>
      <c r="D65" s="7" t="str" cm="1">
        <f t="array" aca="1" ref="D65" ca="1">IFERROR(IF(OR('Raw Data'!D65="",LEN(TRIM('Raw Data'!D65))=0),"",IF(AND(ISNUMBER('Raw Data'!D65), IFERROR('Raw Data'!D65 = ROUND('Raw Data'!D65, 2),FALSE)),"",_xlfn.REGEXEXTRACT(CELL("address",D65), "\$([A-Z]+)\$[0-9]+"))),_xlfn.REGEXEXTRACT(CELL("address",D65), "\$([A-Z]+)\$[0-9]+"))</f>
        <v/>
      </c>
      <c r="E65" s="7" t="str" cm="1">
        <f t="array" aca="1" ref="E65" ca="1">IFERROR(IF(OR('Raw Data'!E65="",LEN(TRIM('Raw Data'!E65))=0),"",IF(AND(ISNUMBER('Raw Data'!E65), IFERROR('Raw Data'!E65 = ROUND('Raw Data'!E65, 2),FALSE)),"",_xlfn.REGEXEXTRACT(CELL("address",E65), "\$([A-Z]+)\$[0-9]+"))),_xlfn.REGEXEXTRACT(CELL("address",E65), "\$([A-Z]+)\$[0-9]+"))</f>
        <v/>
      </c>
      <c r="F65" s="7" t="str" cm="1">
        <f t="array" aca="1" ref="F65" ca="1">IFERROR(IF(OR('Raw Data'!F65="",LEN(TRIM('Raw Data'!F65))=0),"",IF(AND(ISNUMBER('Raw Data'!F65), IFERROR('Raw Data'!F65 = ROUND('Raw Data'!F65, 2),FALSE)),"",_xlfn.REGEXEXTRACT(CELL("address",F65), "\$([A-Z]+)\$[0-9]+"))),_xlfn.REGEXEXTRACT(CELL("address",F65), "\$([A-Z]+)\$[0-9]+"))</f>
        <v/>
      </c>
      <c r="G65" s="7" t="str" cm="1">
        <f t="array" aca="1" ref="G65" ca="1">IFERROR(IF(OR('Raw Data'!G65="",LEN(TRIM('Raw Data'!G65))=0),"",IF(LEN('Raw Data'!G65)&gt; 0,"",_xlfn.REGEXEXTRACT(CELL("address",'Raw Data'!G65),"\$([A-Z]+)\$[0-9]+"))),_xlfn.REGEXEXTRACT(CELL("address",'Raw Data'!G65),"\$([A-Z]+)\$[0-9]+"))</f>
        <v/>
      </c>
    </row>
    <row r="66" spans="2:7" x14ac:dyDescent="0.25">
      <c r="B66" s="7" t="str" cm="1">
        <f t="array" aca="1" ref="B66" ca="1">IFERROR(IF(OR('Raw Data'!B66="",LEN(TRIM('Raw Data'!B66))=0),"",IF(AND(LEN('Raw Data'!B66) &lt;= 20,LEN('Raw Data'!B66)&gt; 0),"",_xlfn.REGEXEXTRACT(CELL("address",'Raw Data'!B66),"\$([A-Z]+)\$[0-9]+"))),_xlfn.REGEXEXTRACT(CELL("address",'Raw Data'!B66),"\$([A-Z]+)\$[0-9]+"))</f>
        <v/>
      </c>
      <c r="C66" s="7" t="str" cm="1">
        <f t="array" aca="1" ref="C66" ca="1">IFERROR(IF(OR('Raw Data'!C66="",LEN(TRIM('Raw Data'!C66))=0),"",IF(AND(LEN('Raw Data'!C66) &lt;= 255,LEN('Raw Data'!C66)&gt; 0),"",_xlfn.REGEXEXTRACT(CELL("address",'Raw Data'!C66),"\$([A-Z]+)\$[0-9]+"))),_xlfn.REGEXEXTRACT(CELL("address",'Raw Data'!C66),"\$([A-Z]+)\$[0-9]+"))</f>
        <v/>
      </c>
      <c r="D66" s="7" t="str" cm="1">
        <f t="array" aca="1" ref="D66" ca="1">IFERROR(IF(OR('Raw Data'!D66="",LEN(TRIM('Raw Data'!D66))=0),"",IF(AND(ISNUMBER('Raw Data'!D66), IFERROR('Raw Data'!D66 = ROUND('Raw Data'!D66, 2),FALSE)),"",_xlfn.REGEXEXTRACT(CELL("address",D66), "\$([A-Z]+)\$[0-9]+"))),_xlfn.REGEXEXTRACT(CELL("address",D66), "\$([A-Z]+)\$[0-9]+"))</f>
        <v/>
      </c>
      <c r="E66" s="7" t="str" cm="1">
        <f t="array" aca="1" ref="E66" ca="1">IFERROR(IF(OR('Raw Data'!E66="",LEN(TRIM('Raw Data'!E66))=0),"",IF(AND(ISNUMBER('Raw Data'!E66), IFERROR('Raw Data'!E66 = ROUND('Raw Data'!E66, 2),FALSE)),"",_xlfn.REGEXEXTRACT(CELL("address",E66), "\$([A-Z]+)\$[0-9]+"))),_xlfn.REGEXEXTRACT(CELL("address",E66), "\$([A-Z]+)\$[0-9]+"))</f>
        <v/>
      </c>
      <c r="F66" s="7" t="str" cm="1">
        <f t="array" aca="1" ref="F66" ca="1">IFERROR(IF(OR('Raw Data'!F66="",LEN(TRIM('Raw Data'!F66))=0),"",IF(AND(ISNUMBER('Raw Data'!F66), IFERROR('Raw Data'!F66 = ROUND('Raw Data'!F66, 2),FALSE)),"",_xlfn.REGEXEXTRACT(CELL("address",F66), "\$([A-Z]+)\$[0-9]+"))),_xlfn.REGEXEXTRACT(CELL("address",F66), "\$([A-Z]+)\$[0-9]+"))</f>
        <v/>
      </c>
      <c r="G66" s="7" t="str" cm="1">
        <f t="array" aca="1" ref="G66" ca="1">IFERROR(IF(OR('Raw Data'!G66="",LEN(TRIM('Raw Data'!G66))=0),"",IF(LEN('Raw Data'!G66)&gt; 0,"",_xlfn.REGEXEXTRACT(CELL("address",'Raw Data'!G66),"\$([A-Z]+)\$[0-9]+"))),_xlfn.REGEXEXTRACT(CELL("address",'Raw Data'!G66),"\$([A-Z]+)\$[0-9]+"))</f>
        <v/>
      </c>
    </row>
    <row r="67" spans="2:7" x14ac:dyDescent="0.25">
      <c r="B67" s="7" t="str" cm="1">
        <f t="array" aca="1" ref="B67" ca="1">IFERROR(IF(OR('Raw Data'!B67="",LEN(TRIM('Raw Data'!B67))=0),"",IF(AND(LEN('Raw Data'!B67) &lt;= 20,LEN('Raw Data'!B67)&gt; 0),"",_xlfn.REGEXEXTRACT(CELL("address",'Raw Data'!B67),"\$([A-Z]+)\$[0-9]+"))),_xlfn.REGEXEXTRACT(CELL("address",'Raw Data'!B67),"\$([A-Z]+)\$[0-9]+"))</f>
        <v/>
      </c>
      <c r="C67" s="7" t="str" cm="1">
        <f t="array" aca="1" ref="C67" ca="1">IFERROR(IF(OR('Raw Data'!C67="",LEN(TRIM('Raw Data'!C67))=0),"",IF(AND(LEN('Raw Data'!C67) &lt;= 255,LEN('Raw Data'!C67)&gt; 0),"",_xlfn.REGEXEXTRACT(CELL("address",'Raw Data'!C67),"\$([A-Z]+)\$[0-9]+"))),_xlfn.REGEXEXTRACT(CELL("address",'Raw Data'!C67),"\$([A-Z]+)\$[0-9]+"))</f>
        <v/>
      </c>
      <c r="D67" s="7" t="str" cm="1">
        <f t="array" aca="1" ref="D67" ca="1">IFERROR(IF(OR('Raw Data'!D67="",LEN(TRIM('Raw Data'!D67))=0),"",IF(AND(ISNUMBER('Raw Data'!D67), IFERROR('Raw Data'!D67 = ROUND('Raw Data'!D67, 2),FALSE)),"",_xlfn.REGEXEXTRACT(CELL("address",D67), "\$([A-Z]+)\$[0-9]+"))),_xlfn.REGEXEXTRACT(CELL("address",D67), "\$([A-Z]+)\$[0-9]+"))</f>
        <v/>
      </c>
      <c r="E67" s="7" t="str" cm="1">
        <f t="array" aca="1" ref="E67" ca="1">IFERROR(IF(OR('Raw Data'!E67="",LEN(TRIM('Raw Data'!E67))=0),"",IF(AND(ISNUMBER('Raw Data'!E67), IFERROR('Raw Data'!E67 = ROUND('Raw Data'!E67, 2),FALSE)),"",_xlfn.REGEXEXTRACT(CELL("address",E67), "\$([A-Z]+)\$[0-9]+"))),_xlfn.REGEXEXTRACT(CELL("address",E67), "\$([A-Z]+)\$[0-9]+"))</f>
        <v/>
      </c>
      <c r="F67" s="7" t="str" cm="1">
        <f t="array" aca="1" ref="F67" ca="1">IFERROR(IF(OR('Raw Data'!F67="",LEN(TRIM('Raw Data'!F67))=0),"",IF(AND(ISNUMBER('Raw Data'!F67), IFERROR('Raw Data'!F67 = ROUND('Raw Data'!F67, 2),FALSE)),"",_xlfn.REGEXEXTRACT(CELL("address",F67), "\$([A-Z]+)\$[0-9]+"))),_xlfn.REGEXEXTRACT(CELL("address",F67), "\$([A-Z]+)\$[0-9]+"))</f>
        <v/>
      </c>
      <c r="G67" s="7" t="str" cm="1">
        <f t="array" aca="1" ref="G67" ca="1">IFERROR(IF(OR('Raw Data'!G67="",LEN(TRIM('Raw Data'!G67))=0),"",IF(LEN('Raw Data'!G67)&gt; 0,"",_xlfn.REGEXEXTRACT(CELL("address",'Raw Data'!G67),"\$([A-Z]+)\$[0-9]+"))),_xlfn.REGEXEXTRACT(CELL("address",'Raw Data'!G67),"\$([A-Z]+)\$[0-9]+"))</f>
        <v/>
      </c>
    </row>
    <row r="68" spans="2:7" x14ac:dyDescent="0.25">
      <c r="B68" s="7" t="str" cm="1">
        <f t="array" aca="1" ref="B68" ca="1">IFERROR(IF(OR('Raw Data'!B68="",LEN(TRIM('Raw Data'!B68))=0),"",IF(AND(LEN('Raw Data'!B68) &lt;= 20,LEN('Raw Data'!B68)&gt; 0),"",_xlfn.REGEXEXTRACT(CELL("address",'Raw Data'!B68),"\$([A-Z]+)\$[0-9]+"))),_xlfn.REGEXEXTRACT(CELL("address",'Raw Data'!B68),"\$([A-Z]+)\$[0-9]+"))</f>
        <v/>
      </c>
      <c r="C68" s="7" t="str" cm="1">
        <f t="array" aca="1" ref="C68" ca="1">IFERROR(IF(OR('Raw Data'!C68="",LEN(TRIM('Raw Data'!C68))=0),"",IF(AND(LEN('Raw Data'!C68) &lt;= 255,LEN('Raw Data'!C68)&gt; 0),"",_xlfn.REGEXEXTRACT(CELL("address",'Raw Data'!C68),"\$([A-Z]+)\$[0-9]+"))),_xlfn.REGEXEXTRACT(CELL("address",'Raw Data'!C68),"\$([A-Z]+)\$[0-9]+"))</f>
        <v/>
      </c>
      <c r="D68" s="7" t="str" cm="1">
        <f t="array" aca="1" ref="D68" ca="1">IFERROR(IF(OR('Raw Data'!D68="",LEN(TRIM('Raw Data'!D68))=0),"",IF(AND(ISNUMBER('Raw Data'!D68), IFERROR('Raw Data'!D68 = ROUND('Raw Data'!D68, 2),FALSE)),"",_xlfn.REGEXEXTRACT(CELL("address",D68), "\$([A-Z]+)\$[0-9]+"))),_xlfn.REGEXEXTRACT(CELL("address",D68), "\$([A-Z]+)\$[0-9]+"))</f>
        <v/>
      </c>
      <c r="E68" s="7" t="str" cm="1">
        <f t="array" aca="1" ref="E68" ca="1">IFERROR(IF(OR('Raw Data'!E68="",LEN(TRIM('Raw Data'!E68))=0),"",IF(AND(ISNUMBER('Raw Data'!E68), IFERROR('Raw Data'!E68 = ROUND('Raw Data'!E68, 2),FALSE)),"",_xlfn.REGEXEXTRACT(CELL("address",E68), "\$([A-Z]+)\$[0-9]+"))),_xlfn.REGEXEXTRACT(CELL("address",E68), "\$([A-Z]+)\$[0-9]+"))</f>
        <v/>
      </c>
      <c r="F68" s="7" t="str" cm="1">
        <f t="array" aca="1" ref="F68" ca="1">IFERROR(IF(OR('Raw Data'!F68="",LEN(TRIM('Raw Data'!F68))=0),"",IF(AND(ISNUMBER('Raw Data'!F68), IFERROR('Raw Data'!F68 = ROUND('Raw Data'!F68, 2),FALSE)),"",_xlfn.REGEXEXTRACT(CELL("address",F68), "\$([A-Z]+)\$[0-9]+"))),_xlfn.REGEXEXTRACT(CELL("address",F68), "\$([A-Z]+)\$[0-9]+"))</f>
        <v/>
      </c>
      <c r="G68" s="7" t="str" cm="1">
        <f t="array" aca="1" ref="G68" ca="1">IFERROR(IF(OR('Raw Data'!G68="",LEN(TRIM('Raw Data'!G68))=0),"",IF(LEN('Raw Data'!G68)&gt; 0,"",_xlfn.REGEXEXTRACT(CELL("address",'Raw Data'!G68),"\$([A-Z]+)\$[0-9]+"))),_xlfn.REGEXEXTRACT(CELL("address",'Raw Data'!G68),"\$([A-Z]+)\$[0-9]+"))</f>
        <v/>
      </c>
    </row>
    <row r="69" spans="2:7" x14ac:dyDescent="0.25">
      <c r="B69" s="7" t="str" cm="1">
        <f t="array" aca="1" ref="B69" ca="1">IFERROR(IF(OR('Raw Data'!B69="",LEN(TRIM('Raw Data'!B69))=0),"",IF(AND(LEN('Raw Data'!B69) &lt;= 20,LEN('Raw Data'!B69)&gt; 0),"",_xlfn.REGEXEXTRACT(CELL("address",'Raw Data'!B69),"\$([A-Z]+)\$[0-9]+"))),_xlfn.REGEXEXTRACT(CELL("address",'Raw Data'!B69),"\$([A-Z]+)\$[0-9]+"))</f>
        <v/>
      </c>
      <c r="C69" s="7" t="str" cm="1">
        <f t="array" aca="1" ref="C69" ca="1">IFERROR(IF(OR('Raw Data'!C69="",LEN(TRIM('Raw Data'!C69))=0),"",IF(AND(LEN('Raw Data'!C69) &lt;= 255,LEN('Raw Data'!C69)&gt; 0),"",_xlfn.REGEXEXTRACT(CELL("address",'Raw Data'!C69),"\$([A-Z]+)\$[0-9]+"))),_xlfn.REGEXEXTRACT(CELL("address",'Raw Data'!C69),"\$([A-Z]+)\$[0-9]+"))</f>
        <v/>
      </c>
      <c r="D69" s="7" t="str" cm="1">
        <f t="array" aca="1" ref="D69" ca="1">IFERROR(IF(OR('Raw Data'!D69="",LEN(TRIM('Raw Data'!D69))=0),"",IF(AND(ISNUMBER('Raw Data'!D69), IFERROR('Raw Data'!D69 = ROUND('Raw Data'!D69, 2),FALSE)),"",_xlfn.REGEXEXTRACT(CELL("address",D69), "\$([A-Z]+)\$[0-9]+"))),_xlfn.REGEXEXTRACT(CELL("address",D69), "\$([A-Z]+)\$[0-9]+"))</f>
        <v/>
      </c>
      <c r="E69" s="7" t="str" cm="1">
        <f t="array" aca="1" ref="E69" ca="1">IFERROR(IF(OR('Raw Data'!E69="",LEN(TRIM('Raw Data'!E69))=0),"",IF(AND(ISNUMBER('Raw Data'!E69), IFERROR('Raw Data'!E69 = ROUND('Raw Data'!E69, 2),FALSE)),"",_xlfn.REGEXEXTRACT(CELL("address",E69), "\$([A-Z]+)\$[0-9]+"))),_xlfn.REGEXEXTRACT(CELL("address",E69), "\$([A-Z]+)\$[0-9]+"))</f>
        <v/>
      </c>
      <c r="F69" s="7" t="str" cm="1">
        <f t="array" aca="1" ref="F69" ca="1">IFERROR(IF(OR('Raw Data'!F69="",LEN(TRIM('Raw Data'!F69))=0),"",IF(AND(ISNUMBER('Raw Data'!F69), IFERROR('Raw Data'!F69 = ROUND('Raw Data'!F69, 2),FALSE)),"",_xlfn.REGEXEXTRACT(CELL("address",F69), "\$([A-Z]+)\$[0-9]+"))),_xlfn.REGEXEXTRACT(CELL("address",F69), "\$([A-Z]+)\$[0-9]+"))</f>
        <v/>
      </c>
      <c r="G69" s="7" t="str" cm="1">
        <f t="array" aca="1" ref="G69" ca="1">IFERROR(IF(OR('Raw Data'!G69="",LEN(TRIM('Raw Data'!G69))=0),"",IF(LEN('Raw Data'!G69)&gt; 0,"",_xlfn.REGEXEXTRACT(CELL("address",'Raw Data'!G69),"\$([A-Z]+)\$[0-9]+"))),_xlfn.REGEXEXTRACT(CELL("address",'Raw Data'!G69),"\$([A-Z]+)\$[0-9]+"))</f>
        <v/>
      </c>
    </row>
    <row r="70" spans="2:7" x14ac:dyDescent="0.25">
      <c r="B70" s="7" t="str" cm="1">
        <f t="array" aca="1" ref="B70" ca="1">IFERROR(IF(OR('Raw Data'!B70="",LEN(TRIM('Raw Data'!B70))=0),"",IF(AND(LEN('Raw Data'!B70) &lt;= 20,LEN('Raw Data'!B70)&gt; 0),"",_xlfn.REGEXEXTRACT(CELL("address",'Raw Data'!B70),"\$([A-Z]+)\$[0-9]+"))),_xlfn.REGEXEXTRACT(CELL("address",'Raw Data'!B70),"\$([A-Z]+)\$[0-9]+"))</f>
        <v/>
      </c>
      <c r="C70" s="7" t="str" cm="1">
        <f t="array" aca="1" ref="C70" ca="1">IFERROR(IF(OR('Raw Data'!C70="",LEN(TRIM('Raw Data'!C70))=0),"",IF(AND(LEN('Raw Data'!C70) &lt;= 255,LEN('Raw Data'!C70)&gt; 0),"",_xlfn.REGEXEXTRACT(CELL("address",'Raw Data'!C70),"\$([A-Z]+)\$[0-9]+"))),_xlfn.REGEXEXTRACT(CELL("address",'Raw Data'!C70),"\$([A-Z]+)\$[0-9]+"))</f>
        <v/>
      </c>
      <c r="D70" s="7" t="str" cm="1">
        <f t="array" aca="1" ref="D70" ca="1">IFERROR(IF(OR('Raw Data'!D70="",LEN(TRIM('Raw Data'!D70))=0),"",IF(AND(ISNUMBER('Raw Data'!D70), IFERROR('Raw Data'!D70 = ROUND('Raw Data'!D70, 2),FALSE)),"",_xlfn.REGEXEXTRACT(CELL("address",D70), "\$([A-Z]+)\$[0-9]+"))),_xlfn.REGEXEXTRACT(CELL("address",D70), "\$([A-Z]+)\$[0-9]+"))</f>
        <v/>
      </c>
      <c r="E70" s="7" t="str" cm="1">
        <f t="array" aca="1" ref="E70" ca="1">IFERROR(IF(OR('Raw Data'!E70="",LEN(TRIM('Raw Data'!E70))=0),"",IF(AND(ISNUMBER('Raw Data'!E70), IFERROR('Raw Data'!E70 = ROUND('Raw Data'!E70, 2),FALSE)),"",_xlfn.REGEXEXTRACT(CELL("address",E70), "\$([A-Z]+)\$[0-9]+"))),_xlfn.REGEXEXTRACT(CELL("address",E70), "\$([A-Z]+)\$[0-9]+"))</f>
        <v/>
      </c>
      <c r="F70" s="7" t="str" cm="1">
        <f t="array" aca="1" ref="F70" ca="1">IFERROR(IF(OR('Raw Data'!F70="",LEN(TRIM('Raw Data'!F70))=0),"",IF(AND(ISNUMBER('Raw Data'!F70), IFERROR('Raw Data'!F70 = ROUND('Raw Data'!F70, 2),FALSE)),"",_xlfn.REGEXEXTRACT(CELL("address",F70), "\$([A-Z]+)\$[0-9]+"))),_xlfn.REGEXEXTRACT(CELL("address",F70), "\$([A-Z]+)\$[0-9]+"))</f>
        <v/>
      </c>
      <c r="G70" s="7" t="str" cm="1">
        <f t="array" aca="1" ref="G70" ca="1">IFERROR(IF(OR('Raw Data'!G70="",LEN(TRIM('Raw Data'!G70))=0),"",IF(LEN('Raw Data'!G70)&gt; 0,"",_xlfn.REGEXEXTRACT(CELL("address",'Raw Data'!G70),"\$([A-Z]+)\$[0-9]+"))),_xlfn.REGEXEXTRACT(CELL("address",'Raw Data'!G70),"\$([A-Z]+)\$[0-9]+"))</f>
        <v/>
      </c>
    </row>
    <row r="71" spans="2:7" x14ac:dyDescent="0.25">
      <c r="B71" s="7" t="str" cm="1">
        <f t="array" aca="1" ref="B71" ca="1">IFERROR(IF(OR('Raw Data'!B71="",LEN(TRIM('Raw Data'!B71))=0),"",IF(AND(LEN('Raw Data'!B71) &lt;= 20,LEN('Raw Data'!B71)&gt; 0),"",_xlfn.REGEXEXTRACT(CELL("address",'Raw Data'!B71),"\$([A-Z]+)\$[0-9]+"))),_xlfn.REGEXEXTRACT(CELL("address",'Raw Data'!B71),"\$([A-Z]+)\$[0-9]+"))</f>
        <v/>
      </c>
      <c r="C71" s="7" t="str" cm="1">
        <f t="array" aca="1" ref="C71" ca="1">IFERROR(IF(OR('Raw Data'!C71="",LEN(TRIM('Raw Data'!C71))=0),"",IF(AND(LEN('Raw Data'!C71) &lt;= 255,LEN('Raw Data'!C71)&gt; 0),"",_xlfn.REGEXEXTRACT(CELL("address",'Raw Data'!C71),"\$([A-Z]+)\$[0-9]+"))),_xlfn.REGEXEXTRACT(CELL("address",'Raw Data'!C71),"\$([A-Z]+)\$[0-9]+"))</f>
        <v/>
      </c>
      <c r="D71" s="7" t="str" cm="1">
        <f t="array" aca="1" ref="D71" ca="1">IFERROR(IF(OR('Raw Data'!D71="",LEN(TRIM('Raw Data'!D71))=0),"",IF(AND(ISNUMBER('Raw Data'!D71), IFERROR('Raw Data'!D71 = ROUND('Raw Data'!D71, 2),FALSE)),"",_xlfn.REGEXEXTRACT(CELL("address",D71), "\$([A-Z]+)\$[0-9]+"))),_xlfn.REGEXEXTRACT(CELL("address",D71), "\$([A-Z]+)\$[0-9]+"))</f>
        <v/>
      </c>
      <c r="E71" s="7" t="str" cm="1">
        <f t="array" aca="1" ref="E71" ca="1">IFERROR(IF(OR('Raw Data'!E71="",LEN(TRIM('Raw Data'!E71))=0),"",IF(AND(ISNUMBER('Raw Data'!E71), IFERROR('Raw Data'!E71 = ROUND('Raw Data'!E71, 2),FALSE)),"",_xlfn.REGEXEXTRACT(CELL("address",E71), "\$([A-Z]+)\$[0-9]+"))),_xlfn.REGEXEXTRACT(CELL("address",E71), "\$([A-Z]+)\$[0-9]+"))</f>
        <v/>
      </c>
      <c r="F71" s="7" t="str" cm="1">
        <f t="array" aca="1" ref="F71" ca="1">IFERROR(IF(OR('Raw Data'!F71="",LEN(TRIM('Raw Data'!F71))=0),"",IF(AND(ISNUMBER('Raw Data'!F71), IFERROR('Raw Data'!F71 = ROUND('Raw Data'!F71, 2),FALSE)),"",_xlfn.REGEXEXTRACT(CELL("address",F71), "\$([A-Z]+)\$[0-9]+"))),_xlfn.REGEXEXTRACT(CELL("address",F71), "\$([A-Z]+)\$[0-9]+"))</f>
        <v/>
      </c>
      <c r="G71" s="7" t="str" cm="1">
        <f t="array" aca="1" ref="G71" ca="1">IFERROR(IF(OR('Raw Data'!G71="",LEN(TRIM('Raw Data'!G71))=0),"",IF(LEN('Raw Data'!G71)&gt; 0,"",_xlfn.REGEXEXTRACT(CELL("address",'Raw Data'!G71),"\$([A-Z]+)\$[0-9]+"))),_xlfn.REGEXEXTRACT(CELL("address",'Raw Data'!G71),"\$([A-Z]+)\$[0-9]+"))</f>
        <v/>
      </c>
    </row>
    <row r="72" spans="2:7" x14ac:dyDescent="0.25">
      <c r="B72" s="7" t="str" cm="1">
        <f t="array" aca="1" ref="B72" ca="1">IFERROR(IF(OR('Raw Data'!B72="",LEN(TRIM('Raw Data'!B72))=0),"",IF(AND(LEN('Raw Data'!B72) &lt;= 20,LEN('Raw Data'!B72)&gt; 0),"",_xlfn.REGEXEXTRACT(CELL("address",'Raw Data'!B72),"\$([A-Z]+)\$[0-9]+"))),_xlfn.REGEXEXTRACT(CELL("address",'Raw Data'!B72),"\$([A-Z]+)\$[0-9]+"))</f>
        <v/>
      </c>
      <c r="C72" s="7" t="str" cm="1">
        <f t="array" aca="1" ref="C72" ca="1">IFERROR(IF(OR('Raw Data'!C72="",LEN(TRIM('Raw Data'!C72))=0),"",IF(AND(LEN('Raw Data'!C72) &lt;= 255,LEN('Raw Data'!C72)&gt; 0),"",_xlfn.REGEXEXTRACT(CELL("address",'Raw Data'!C72),"\$([A-Z]+)\$[0-9]+"))),_xlfn.REGEXEXTRACT(CELL("address",'Raw Data'!C72),"\$([A-Z]+)\$[0-9]+"))</f>
        <v/>
      </c>
      <c r="D72" s="7" t="str" cm="1">
        <f t="array" aca="1" ref="D72" ca="1">IFERROR(IF(OR('Raw Data'!D72="",LEN(TRIM('Raw Data'!D72))=0),"",IF(AND(ISNUMBER('Raw Data'!D72), IFERROR('Raw Data'!D72 = ROUND('Raw Data'!D72, 2),FALSE)),"",_xlfn.REGEXEXTRACT(CELL("address",D72), "\$([A-Z]+)\$[0-9]+"))),_xlfn.REGEXEXTRACT(CELL("address",D72), "\$([A-Z]+)\$[0-9]+"))</f>
        <v/>
      </c>
      <c r="E72" s="7" t="str" cm="1">
        <f t="array" aca="1" ref="E72" ca="1">IFERROR(IF(OR('Raw Data'!E72="",LEN(TRIM('Raw Data'!E72))=0),"",IF(AND(ISNUMBER('Raw Data'!E72), IFERROR('Raw Data'!E72 = ROUND('Raw Data'!E72, 2),FALSE)),"",_xlfn.REGEXEXTRACT(CELL("address",E72), "\$([A-Z]+)\$[0-9]+"))),_xlfn.REGEXEXTRACT(CELL("address",E72), "\$([A-Z]+)\$[0-9]+"))</f>
        <v/>
      </c>
      <c r="F72" s="7" t="str" cm="1">
        <f t="array" aca="1" ref="F72" ca="1">IFERROR(IF(OR('Raw Data'!F72="",LEN(TRIM('Raw Data'!F72))=0),"",IF(AND(ISNUMBER('Raw Data'!F72), IFERROR('Raw Data'!F72 = ROUND('Raw Data'!F72, 2),FALSE)),"",_xlfn.REGEXEXTRACT(CELL("address",F72), "\$([A-Z]+)\$[0-9]+"))),_xlfn.REGEXEXTRACT(CELL("address",F72), "\$([A-Z]+)\$[0-9]+"))</f>
        <v/>
      </c>
      <c r="G72" s="7" t="str" cm="1">
        <f t="array" aca="1" ref="G72" ca="1">IFERROR(IF(OR('Raw Data'!G72="",LEN(TRIM('Raw Data'!G72))=0),"",IF(LEN('Raw Data'!G72)&gt; 0,"",_xlfn.REGEXEXTRACT(CELL("address",'Raw Data'!G72),"\$([A-Z]+)\$[0-9]+"))),_xlfn.REGEXEXTRACT(CELL("address",'Raw Data'!G72),"\$([A-Z]+)\$[0-9]+"))</f>
        <v/>
      </c>
    </row>
    <row r="73" spans="2:7" x14ac:dyDescent="0.25">
      <c r="B73" s="7" t="str" cm="1">
        <f t="array" aca="1" ref="B73" ca="1">IFERROR(IF(OR('Raw Data'!B73="",LEN(TRIM('Raw Data'!B73))=0),"",IF(AND(LEN('Raw Data'!B73) &lt;= 20,LEN('Raw Data'!B73)&gt; 0),"",_xlfn.REGEXEXTRACT(CELL("address",'Raw Data'!B73),"\$([A-Z]+)\$[0-9]+"))),_xlfn.REGEXEXTRACT(CELL("address",'Raw Data'!B73),"\$([A-Z]+)\$[0-9]+"))</f>
        <v/>
      </c>
      <c r="C73" s="7" t="str" cm="1">
        <f t="array" aca="1" ref="C73" ca="1">IFERROR(IF(OR('Raw Data'!C73="",LEN(TRIM('Raw Data'!C73))=0),"",IF(AND(LEN('Raw Data'!C73) &lt;= 255,LEN('Raw Data'!C73)&gt; 0),"",_xlfn.REGEXEXTRACT(CELL("address",'Raw Data'!C73),"\$([A-Z]+)\$[0-9]+"))),_xlfn.REGEXEXTRACT(CELL("address",'Raw Data'!C73),"\$([A-Z]+)\$[0-9]+"))</f>
        <v/>
      </c>
      <c r="D73" s="7" t="str" cm="1">
        <f t="array" aca="1" ref="D73" ca="1">IFERROR(IF(OR('Raw Data'!D73="",LEN(TRIM('Raw Data'!D73))=0),"",IF(AND(ISNUMBER('Raw Data'!D73), IFERROR('Raw Data'!D73 = ROUND('Raw Data'!D73, 2),FALSE)),"",_xlfn.REGEXEXTRACT(CELL("address",D73), "\$([A-Z]+)\$[0-9]+"))),_xlfn.REGEXEXTRACT(CELL("address",D73), "\$([A-Z]+)\$[0-9]+"))</f>
        <v/>
      </c>
      <c r="E73" s="7" t="str" cm="1">
        <f t="array" aca="1" ref="E73" ca="1">IFERROR(IF(OR('Raw Data'!E73="",LEN(TRIM('Raw Data'!E73))=0),"",IF(AND(ISNUMBER('Raw Data'!E73), IFERROR('Raw Data'!E73 = ROUND('Raw Data'!E73, 2),FALSE)),"",_xlfn.REGEXEXTRACT(CELL("address",E73), "\$([A-Z]+)\$[0-9]+"))),_xlfn.REGEXEXTRACT(CELL("address",E73), "\$([A-Z]+)\$[0-9]+"))</f>
        <v/>
      </c>
      <c r="F73" s="7" t="str" cm="1">
        <f t="array" aca="1" ref="F73" ca="1">IFERROR(IF(OR('Raw Data'!F73="",LEN(TRIM('Raw Data'!F73))=0),"",IF(AND(ISNUMBER('Raw Data'!F73), IFERROR('Raw Data'!F73 = ROUND('Raw Data'!F73, 2),FALSE)),"",_xlfn.REGEXEXTRACT(CELL("address",F73), "\$([A-Z]+)\$[0-9]+"))),_xlfn.REGEXEXTRACT(CELL("address",F73), "\$([A-Z]+)\$[0-9]+"))</f>
        <v/>
      </c>
      <c r="G73" s="7" t="str" cm="1">
        <f t="array" aca="1" ref="G73" ca="1">IFERROR(IF(OR('Raw Data'!G73="",LEN(TRIM('Raw Data'!G73))=0),"",IF(LEN('Raw Data'!G73)&gt; 0,"",_xlfn.REGEXEXTRACT(CELL("address",'Raw Data'!G73),"\$([A-Z]+)\$[0-9]+"))),_xlfn.REGEXEXTRACT(CELL("address",'Raw Data'!G73),"\$([A-Z]+)\$[0-9]+"))</f>
        <v/>
      </c>
    </row>
    <row r="74" spans="2:7" x14ac:dyDescent="0.25">
      <c r="B74" s="7" t="str" cm="1">
        <f t="array" aca="1" ref="B74" ca="1">IFERROR(IF(OR('Raw Data'!B74="",LEN(TRIM('Raw Data'!B74))=0),"",IF(AND(LEN('Raw Data'!B74) &lt;= 20,LEN('Raw Data'!B74)&gt; 0),"",_xlfn.REGEXEXTRACT(CELL("address",'Raw Data'!B74),"\$([A-Z]+)\$[0-9]+"))),_xlfn.REGEXEXTRACT(CELL("address",'Raw Data'!B74),"\$([A-Z]+)\$[0-9]+"))</f>
        <v/>
      </c>
      <c r="C74" s="7" t="str" cm="1">
        <f t="array" aca="1" ref="C74" ca="1">IFERROR(IF(OR('Raw Data'!C74="",LEN(TRIM('Raw Data'!C74))=0),"",IF(AND(LEN('Raw Data'!C74) &lt;= 255,LEN('Raw Data'!C74)&gt; 0),"",_xlfn.REGEXEXTRACT(CELL("address",'Raw Data'!C74),"\$([A-Z]+)\$[0-9]+"))),_xlfn.REGEXEXTRACT(CELL("address",'Raw Data'!C74),"\$([A-Z]+)\$[0-9]+"))</f>
        <v/>
      </c>
      <c r="D74" s="7" t="str" cm="1">
        <f t="array" aca="1" ref="D74" ca="1">IFERROR(IF(OR('Raw Data'!D74="",LEN(TRIM('Raw Data'!D74))=0),"",IF(AND(ISNUMBER('Raw Data'!D74), IFERROR('Raw Data'!D74 = ROUND('Raw Data'!D74, 2),FALSE)),"",_xlfn.REGEXEXTRACT(CELL("address",D74), "\$([A-Z]+)\$[0-9]+"))),_xlfn.REGEXEXTRACT(CELL("address",D74), "\$([A-Z]+)\$[0-9]+"))</f>
        <v/>
      </c>
      <c r="E74" s="7" t="str" cm="1">
        <f t="array" aca="1" ref="E74" ca="1">IFERROR(IF(OR('Raw Data'!E74="",LEN(TRIM('Raw Data'!E74))=0),"",IF(AND(ISNUMBER('Raw Data'!E74), IFERROR('Raw Data'!E74 = ROUND('Raw Data'!E74, 2),FALSE)),"",_xlfn.REGEXEXTRACT(CELL("address",E74), "\$([A-Z]+)\$[0-9]+"))),_xlfn.REGEXEXTRACT(CELL("address",E74), "\$([A-Z]+)\$[0-9]+"))</f>
        <v/>
      </c>
      <c r="F74" s="7" t="str" cm="1">
        <f t="array" aca="1" ref="F74" ca="1">IFERROR(IF(OR('Raw Data'!F74="",LEN(TRIM('Raw Data'!F74))=0),"",IF(AND(ISNUMBER('Raw Data'!F74), IFERROR('Raw Data'!F74 = ROUND('Raw Data'!F74, 2),FALSE)),"",_xlfn.REGEXEXTRACT(CELL("address",F74), "\$([A-Z]+)\$[0-9]+"))),_xlfn.REGEXEXTRACT(CELL("address",F74), "\$([A-Z]+)\$[0-9]+"))</f>
        <v/>
      </c>
      <c r="G74" s="7" t="str" cm="1">
        <f t="array" aca="1" ref="G74" ca="1">IFERROR(IF(OR('Raw Data'!G74="",LEN(TRIM('Raw Data'!G74))=0),"",IF(LEN('Raw Data'!G74)&gt; 0,"",_xlfn.REGEXEXTRACT(CELL("address",'Raw Data'!G74),"\$([A-Z]+)\$[0-9]+"))),_xlfn.REGEXEXTRACT(CELL("address",'Raw Data'!G74),"\$([A-Z]+)\$[0-9]+"))</f>
        <v/>
      </c>
    </row>
    <row r="75" spans="2:7" x14ac:dyDescent="0.25">
      <c r="B75" s="7" t="str" cm="1">
        <f t="array" aca="1" ref="B75" ca="1">IFERROR(IF(OR('Raw Data'!B75="",LEN(TRIM('Raw Data'!B75))=0),"",IF(AND(LEN('Raw Data'!B75) &lt;= 20,LEN('Raw Data'!B75)&gt; 0),"",_xlfn.REGEXEXTRACT(CELL("address",'Raw Data'!B75),"\$([A-Z]+)\$[0-9]+"))),_xlfn.REGEXEXTRACT(CELL("address",'Raw Data'!B75),"\$([A-Z]+)\$[0-9]+"))</f>
        <v/>
      </c>
      <c r="C75" s="7" t="str" cm="1">
        <f t="array" aca="1" ref="C75" ca="1">IFERROR(IF(OR('Raw Data'!C75="",LEN(TRIM('Raw Data'!C75))=0),"",IF(AND(LEN('Raw Data'!C75) &lt;= 255,LEN('Raw Data'!C75)&gt; 0),"",_xlfn.REGEXEXTRACT(CELL("address",'Raw Data'!C75),"\$([A-Z]+)\$[0-9]+"))),_xlfn.REGEXEXTRACT(CELL("address",'Raw Data'!C75),"\$([A-Z]+)\$[0-9]+"))</f>
        <v/>
      </c>
      <c r="D75" s="7" t="str" cm="1">
        <f t="array" aca="1" ref="D75" ca="1">IFERROR(IF(OR('Raw Data'!D75="",LEN(TRIM('Raw Data'!D75))=0),"",IF(AND(ISNUMBER('Raw Data'!D75), IFERROR('Raw Data'!D75 = ROUND('Raw Data'!D75, 2),FALSE)),"",_xlfn.REGEXEXTRACT(CELL("address",D75), "\$([A-Z]+)\$[0-9]+"))),_xlfn.REGEXEXTRACT(CELL("address",D75), "\$([A-Z]+)\$[0-9]+"))</f>
        <v/>
      </c>
      <c r="E75" s="7" t="str" cm="1">
        <f t="array" aca="1" ref="E75" ca="1">IFERROR(IF(OR('Raw Data'!E75="",LEN(TRIM('Raw Data'!E75))=0),"",IF(AND(ISNUMBER('Raw Data'!E75), IFERROR('Raw Data'!E75 = ROUND('Raw Data'!E75, 2),FALSE)),"",_xlfn.REGEXEXTRACT(CELL("address",E75), "\$([A-Z]+)\$[0-9]+"))),_xlfn.REGEXEXTRACT(CELL("address",E75), "\$([A-Z]+)\$[0-9]+"))</f>
        <v/>
      </c>
      <c r="F75" s="7" t="str" cm="1">
        <f t="array" aca="1" ref="F75" ca="1">IFERROR(IF(OR('Raw Data'!F75="",LEN(TRIM('Raw Data'!F75))=0),"",IF(AND(ISNUMBER('Raw Data'!F75), IFERROR('Raw Data'!F75 = ROUND('Raw Data'!F75, 2),FALSE)),"",_xlfn.REGEXEXTRACT(CELL("address",F75), "\$([A-Z]+)\$[0-9]+"))),_xlfn.REGEXEXTRACT(CELL("address",F75), "\$([A-Z]+)\$[0-9]+"))</f>
        <v/>
      </c>
      <c r="G75" s="7" t="str" cm="1">
        <f t="array" aca="1" ref="G75" ca="1">IFERROR(IF(OR('Raw Data'!G75="",LEN(TRIM('Raw Data'!G75))=0),"",IF(LEN('Raw Data'!G75)&gt; 0,"",_xlfn.REGEXEXTRACT(CELL("address",'Raw Data'!G75),"\$([A-Z]+)\$[0-9]+"))),_xlfn.REGEXEXTRACT(CELL("address",'Raw Data'!G75),"\$([A-Z]+)\$[0-9]+"))</f>
        <v/>
      </c>
    </row>
    <row r="76" spans="2:7" x14ac:dyDescent="0.25">
      <c r="B76" s="7" t="str" cm="1">
        <f t="array" aca="1" ref="B76" ca="1">IFERROR(IF(OR('Raw Data'!B76="",LEN(TRIM('Raw Data'!B76))=0),"",IF(AND(LEN('Raw Data'!B76) &lt;= 20,LEN('Raw Data'!B76)&gt; 0),"",_xlfn.REGEXEXTRACT(CELL("address",'Raw Data'!B76),"\$([A-Z]+)\$[0-9]+"))),_xlfn.REGEXEXTRACT(CELL("address",'Raw Data'!B76),"\$([A-Z]+)\$[0-9]+"))</f>
        <v/>
      </c>
      <c r="C76" s="7" t="str" cm="1">
        <f t="array" aca="1" ref="C76" ca="1">IFERROR(IF(OR('Raw Data'!C76="",LEN(TRIM('Raw Data'!C76))=0),"",IF(AND(LEN('Raw Data'!C76) &lt;= 255,LEN('Raw Data'!C76)&gt; 0),"",_xlfn.REGEXEXTRACT(CELL("address",'Raw Data'!C76),"\$([A-Z]+)\$[0-9]+"))),_xlfn.REGEXEXTRACT(CELL("address",'Raw Data'!C76),"\$([A-Z]+)\$[0-9]+"))</f>
        <v/>
      </c>
      <c r="D76" s="7" t="str" cm="1">
        <f t="array" aca="1" ref="D76" ca="1">IFERROR(IF(OR('Raw Data'!D76="",LEN(TRIM('Raw Data'!D76))=0),"",IF(AND(ISNUMBER('Raw Data'!D76), IFERROR('Raw Data'!D76 = ROUND('Raw Data'!D76, 2),FALSE)),"",_xlfn.REGEXEXTRACT(CELL("address",D76), "\$([A-Z]+)\$[0-9]+"))),_xlfn.REGEXEXTRACT(CELL("address",D76), "\$([A-Z]+)\$[0-9]+"))</f>
        <v/>
      </c>
      <c r="E76" s="7" t="str" cm="1">
        <f t="array" aca="1" ref="E76" ca="1">IFERROR(IF(OR('Raw Data'!E76="",LEN(TRIM('Raw Data'!E76))=0),"",IF(AND(ISNUMBER('Raw Data'!E76), IFERROR('Raw Data'!E76 = ROUND('Raw Data'!E76, 2),FALSE)),"",_xlfn.REGEXEXTRACT(CELL("address",E76), "\$([A-Z]+)\$[0-9]+"))),_xlfn.REGEXEXTRACT(CELL("address",E76), "\$([A-Z]+)\$[0-9]+"))</f>
        <v/>
      </c>
      <c r="F76" s="7" t="str" cm="1">
        <f t="array" aca="1" ref="F76" ca="1">IFERROR(IF(OR('Raw Data'!F76="",LEN(TRIM('Raw Data'!F76))=0),"",IF(AND(ISNUMBER('Raw Data'!F76), IFERROR('Raw Data'!F76 = ROUND('Raw Data'!F76, 2),FALSE)),"",_xlfn.REGEXEXTRACT(CELL("address",F76), "\$([A-Z]+)\$[0-9]+"))),_xlfn.REGEXEXTRACT(CELL("address",F76), "\$([A-Z]+)\$[0-9]+"))</f>
        <v/>
      </c>
      <c r="G76" s="7" t="str" cm="1">
        <f t="array" aca="1" ref="G76" ca="1">IFERROR(IF(OR('Raw Data'!G76="",LEN(TRIM('Raw Data'!G76))=0),"",IF(LEN('Raw Data'!G76)&gt; 0,"",_xlfn.REGEXEXTRACT(CELL("address",'Raw Data'!G76),"\$([A-Z]+)\$[0-9]+"))),_xlfn.REGEXEXTRACT(CELL("address",'Raw Data'!G76),"\$([A-Z]+)\$[0-9]+"))</f>
        <v/>
      </c>
    </row>
    <row r="77" spans="2:7" x14ac:dyDescent="0.25">
      <c r="B77" s="7" t="str" cm="1">
        <f t="array" aca="1" ref="B77" ca="1">IFERROR(IF(OR('Raw Data'!B77="",LEN(TRIM('Raw Data'!B77))=0),"",IF(AND(LEN('Raw Data'!B77) &lt;= 20,LEN('Raw Data'!B77)&gt; 0),"",_xlfn.REGEXEXTRACT(CELL("address",'Raw Data'!B77),"\$([A-Z]+)\$[0-9]+"))),_xlfn.REGEXEXTRACT(CELL("address",'Raw Data'!B77),"\$([A-Z]+)\$[0-9]+"))</f>
        <v/>
      </c>
      <c r="C77" s="7" t="str" cm="1">
        <f t="array" aca="1" ref="C77" ca="1">IFERROR(IF(OR('Raw Data'!C77="",LEN(TRIM('Raw Data'!C77))=0),"",IF(AND(LEN('Raw Data'!C77) &lt;= 255,LEN('Raw Data'!C77)&gt; 0),"",_xlfn.REGEXEXTRACT(CELL("address",'Raw Data'!C77),"\$([A-Z]+)\$[0-9]+"))),_xlfn.REGEXEXTRACT(CELL("address",'Raw Data'!C77),"\$([A-Z]+)\$[0-9]+"))</f>
        <v/>
      </c>
      <c r="D77" s="7" t="str" cm="1">
        <f t="array" aca="1" ref="D77" ca="1">IFERROR(IF(OR('Raw Data'!D77="",LEN(TRIM('Raw Data'!D77))=0),"",IF(AND(ISNUMBER('Raw Data'!D77), IFERROR('Raw Data'!D77 = ROUND('Raw Data'!D77, 2),FALSE)),"",_xlfn.REGEXEXTRACT(CELL("address",D77), "\$([A-Z]+)\$[0-9]+"))),_xlfn.REGEXEXTRACT(CELL("address",D77), "\$([A-Z]+)\$[0-9]+"))</f>
        <v/>
      </c>
      <c r="E77" s="7" t="str" cm="1">
        <f t="array" aca="1" ref="E77" ca="1">IFERROR(IF(OR('Raw Data'!E77="",LEN(TRIM('Raw Data'!E77))=0),"",IF(AND(ISNUMBER('Raw Data'!E77), IFERROR('Raw Data'!E77 = ROUND('Raw Data'!E77, 2),FALSE)),"",_xlfn.REGEXEXTRACT(CELL("address",E77), "\$([A-Z]+)\$[0-9]+"))),_xlfn.REGEXEXTRACT(CELL("address",E77), "\$([A-Z]+)\$[0-9]+"))</f>
        <v/>
      </c>
      <c r="F77" s="7" t="str" cm="1">
        <f t="array" aca="1" ref="F77" ca="1">IFERROR(IF(OR('Raw Data'!F77="",LEN(TRIM('Raw Data'!F77))=0),"",IF(AND(ISNUMBER('Raw Data'!F77), IFERROR('Raw Data'!F77 = ROUND('Raw Data'!F77, 2),FALSE)),"",_xlfn.REGEXEXTRACT(CELL("address",F77), "\$([A-Z]+)\$[0-9]+"))),_xlfn.REGEXEXTRACT(CELL("address",F77), "\$([A-Z]+)\$[0-9]+"))</f>
        <v/>
      </c>
      <c r="G77" s="7" t="str" cm="1">
        <f t="array" aca="1" ref="G77" ca="1">IFERROR(IF(OR('Raw Data'!G77="",LEN(TRIM('Raw Data'!G77))=0),"",IF(LEN('Raw Data'!G77)&gt; 0,"",_xlfn.REGEXEXTRACT(CELL("address",'Raw Data'!G77),"\$([A-Z]+)\$[0-9]+"))),_xlfn.REGEXEXTRACT(CELL("address",'Raw Data'!G77),"\$([A-Z]+)\$[0-9]+"))</f>
        <v/>
      </c>
    </row>
    <row r="78" spans="2:7" x14ac:dyDescent="0.25">
      <c r="B78" s="7" t="str" cm="1">
        <f t="array" aca="1" ref="B78" ca="1">IFERROR(IF(OR('Raw Data'!B78="",LEN(TRIM('Raw Data'!B78))=0),"",IF(AND(LEN('Raw Data'!B78) &lt;= 20,LEN('Raw Data'!B78)&gt; 0),"",_xlfn.REGEXEXTRACT(CELL("address",'Raw Data'!B78),"\$([A-Z]+)\$[0-9]+"))),_xlfn.REGEXEXTRACT(CELL("address",'Raw Data'!B78),"\$([A-Z]+)\$[0-9]+"))</f>
        <v/>
      </c>
      <c r="C78" s="7" t="str" cm="1">
        <f t="array" aca="1" ref="C78" ca="1">IFERROR(IF(OR('Raw Data'!C78="",LEN(TRIM('Raw Data'!C78))=0),"",IF(AND(LEN('Raw Data'!C78) &lt;= 255,LEN('Raw Data'!C78)&gt; 0),"",_xlfn.REGEXEXTRACT(CELL("address",'Raw Data'!C78),"\$([A-Z]+)\$[0-9]+"))),_xlfn.REGEXEXTRACT(CELL("address",'Raw Data'!C78),"\$([A-Z]+)\$[0-9]+"))</f>
        <v/>
      </c>
      <c r="D78" s="7" t="str" cm="1">
        <f t="array" aca="1" ref="D78" ca="1">IFERROR(IF(OR('Raw Data'!D78="",LEN(TRIM('Raw Data'!D78))=0),"",IF(AND(ISNUMBER('Raw Data'!D78), IFERROR('Raw Data'!D78 = ROUND('Raw Data'!D78, 2),FALSE)),"",_xlfn.REGEXEXTRACT(CELL("address",D78), "\$([A-Z]+)\$[0-9]+"))),_xlfn.REGEXEXTRACT(CELL("address",D78), "\$([A-Z]+)\$[0-9]+"))</f>
        <v/>
      </c>
      <c r="E78" s="7" t="str" cm="1">
        <f t="array" aca="1" ref="E78" ca="1">IFERROR(IF(OR('Raw Data'!E78="",LEN(TRIM('Raw Data'!E78))=0),"",IF(AND(ISNUMBER('Raw Data'!E78), IFERROR('Raw Data'!E78 = ROUND('Raw Data'!E78, 2),FALSE)),"",_xlfn.REGEXEXTRACT(CELL("address",E78), "\$([A-Z]+)\$[0-9]+"))),_xlfn.REGEXEXTRACT(CELL("address",E78), "\$([A-Z]+)\$[0-9]+"))</f>
        <v/>
      </c>
      <c r="F78" s="7" t="str" cm="1">
        <f t="array" aca="1" ref="F78" ca="1">IFERROR(IF(OR('Raw Data'!F78="",LEN(TRIM('Raw Data'!F78))=0),"",IF(AND(ISNUMBER('Raw Data'!F78), IFERROR('Raw Data'!F78 = ROUND('Raw Data'!F78, 2),FALSE)),"",_xlfn.REGEXEXTRACT(CELL("address",F78), "\$([A-Z]+)\$[0-9]+"))),_xlfn.REGEXEXTRACT(CELL("address",F78), "\$([A-Z]+)\$[0-9]+"))</f>
        <v/>
      </c>
      <c r="G78" s="7" t="str" cm="1">
        <f t="array" aca="1" ref="G78" ca="1">IFERROR(IF(OR('Raw Data'!G78="",LEN(TRIM('Raw Data'!G78))=0),"",IF(LEN('Raw Data'!G78)&gt; 0,"",_xlfn.REGEXEXTRACT(CELL("address",'Raw Data'!G78),"\$([A-Z]+)\$[0-9]+"))),_xlfn.REGEXEXTRACT(CELL("address",'Raw Data'!G78),"\$([A-Z]+)\$[0-9]+"))</f>
        <v/>
      </c>
    </row>
    <row r="79" spans="2:7" x14ac:dyDescent="0.25">
      <c r="B79" s="7" t="str" cm="1">
        <f t="array" aca="1" ref="B79" ca="1">IFERROR(IF(OR('Raw Data'!B79="",LEN(TRIM('Raw Data'!B79))=0),"",IF(AND(LEN('Raw Data'!B79) &lt;= 20,LEN('Raw Data'!B79)&gt; 0),"",_xlfn.REGEXEXTRACT(CELL("address",'Raw Data'!B79),"\$([A-Z]+)\$[0-9]+"))),_xlfn.REGEXEXTRACT(CELL("address",'Raw Data'!B79),"\$([A-Z]+)\$[0-9]+"))</f>
        <v/>
      </c>
      <c r="C79" s="7" t="str" cm="1">
        <f t="array" aca="1" ref="C79" ca="1">IFERROR(IF(OR('Raw Data'!C79="",LEN(TRIM('Raw Data'!C79))=0),"",IF(AND(LEN('Raw Data'!C79) &lt;= 255,LEN('Raw Data'!C79)&gt; 0),"",_xlfn.REGEXEXTRACT(CELL("address",'Raw Data'!C79),"\$([A-Z]+)\$[0-9]+"))),_xlfn.REGEXEXTRACT(CELL("address",'Raw Data'!C79),"\$([A-Z]+)\$[0-9]+"))</f>
        <v/>
      </c>
      <c r="D79" s="7" t="str" cm="1">
        <f t="array" aca="1" ref="D79" ca="1">IFERROR(IF(OR('Raw Data'!D79="",LEN(TRIM('Raw Data'!D79))=0),"",IF(AND(ISNUMBER('Raw Data'!D79), IFERROR('Raw Data'!D79 = ROUND('Raw Data'!D79, 2),FALSE)),"",_xlfn.REGEXEXTRACT(CELL("address",D79), "\$([A-Z]+)\$[0-9]+"))),_xlfn.REGEXEXTRACT(CELL("address",D79), "\$([A-Z]+)\$[0-9]+"))</f>
        <v/>
      </c>
      <c r="E79" s="7" t="str" cm="1">
        <f t="array" aca="1" ref="E79" ca="1">IFERROR(IF(OR('Raw Data'!E79="",LEN(TRIM('Raw Data'!E79))=0),"",IF(AND(ISNUMBER('Raw Data'!E79), IFERROR('Raw Data'!E79 = ROUND('Raw Data'!E79, 2),FALSE)),"",_xlfn.REGEXEXTRACT(CELL("address",E79), "\$([A-Z]+)\$[0-9]+"))),_xlfn.REGEXEXTRACT(CELL("address",E79), "\$([A-Z]+)\$[0-9]+"))</f>
        <v/>
      </c>
      <c r="F79" s="7" t="str" cm="1">
        <f t="array" aca="1" ref="F79" ca="1">IFERROR(IF(OR('Raw Data'!F79="",LEN(TRIM('Raw Data'!F79))=0),"",IF(AND(ISNUMBER('Raw Data'!F79), IFERROR('Raw Data'!F79 = ROUND('Raw Data'!F79, 2),FALSE)),"",_xlfn.REGEXEXTRACT(CELL("address",F79), "\$([A-Z]+)\$[0-9]+"))),_xlfn.REGEXEXTRACT(CELL("address",F79), "\$([A-Z]+)\$[0-9]+"))</f>
        <v/>
      </c>
      <c r="G79" s="7" t="str" cm="1">
        <f t="array" aca="1" ref="G79" ca="1">IFERROR(IF(OR('Raw Data'!G79="",LEN(TRIM('Raw Data'!G79))=0),"",IF(LEN('Raw Data'!G79)&gt; 0,"",_xlfn.REGEXEXTRACT(CELL("address",'Raw Data'!G79),"\$([A-Z]+)\$[0-9]+"))),_xlfn.REGEXEXTRACT(CELL("address",'Raw Data'!G79),"\$([A-Z]+)\$[0-9]+"))</f>
        <v/>
      </c>
    </row>
    <row r="80" spans="2:7" x14ac:dyDescent="0.25">
      <c r="B80" s="7" t="str" cm="1">
        <f t="array" aca="1" ref="B80" ca="1">IFERROR(IF(OR('Raw Data'!B80="",LEN(TRIM('Raw Data'!B80))=0),"",IF(AND(LEN('Raw Data'!B80) &lt;= 20,LEN('Raw Data'!B80)&gt; 0),"",_xlfn.REGEXEXTRACT(CELL("address",'Raw Data'!B80),"\$([A-Z]+)\$[0-9]+"))),_xlfn.REGEXEXTRACT(CELL("address",'Raw Data'!B80),"\$([A-Z]+)\$[0-9]+"))</f>
        <v/>
      </c>
      <c r="C80" s="7" t="str" cm="1">
        <f t="array" aca="1" ref="C80" ca="1">IFERROR(IF(OR('Raw Data'!C80="",LEN(TRIM('Raw Data'!C80))=0),"",IF(AND(LEN('Raw Data'!C80) &lt;= 255,LEN('Raw Data'!C80)&gt; 0),"",_xlfn.REGEXEXTRACT(CELL("address",'Raw Data'!C80),"\$([A-Z]+)\$[0-9]+"))),_xlfn.REGEXEXTRACT(CELL("address",'Raw Data'!C80),"\$([A-Z]+)\$[0-9]+"))</f>
        <v/>
      </c>
      <c r="D80" s="7" t="str" cm="1">
        <f t="array" aca="1" ref="D80" ca="1">IFERROR(IF(OR('Raw Data'!D80="",LEN(TRIM('Raw Data'!D80))=0),"",IF(AND(ISNUMBER('Raw Data'!D80), IFERROR('Raw Data'!D80 = ROUND('Raw Data'!D80, 2),FALSE)),"",_xlfn.REGEXEXTRACT(CELL("address",D80), "\$([A-Z]+)\$[0-9]+"))),_xlfn.REGEXEXTRACT(CELL("address",D80), "\$([A-Z]+)\$[0-9]+"))</f>
        <v/>
      </c>
      <c r="E80" s="7" t="str" cm="1">
        <f t="array" aca="1" ref="E80" ca="1">IFERROR(IF(OR('Raw Data'!E80="",LEN(TRIM('Raw Data'!E80))=0),"",IF(AND(ISNUMBER('Raw Data'!E80), IFERROR('Raw Data'!E80 = ROUND('Raw Data'!E80, 2),FALSE)),"",_xlfn.REGEXEXTRACT(CELL("address",E80), "\$([A-Z]+)\$[0-9]+"))),_xlfn.REGEXEXTRACT(CELL("address",E80), "\$([A-Z]+)\$[0-9]+"))</f>
        <v/>
      </c>
      <c r="F80" s="7" t="str" cm="1">
        <f t="array" aca="1" ref="F80" ca="1">IFERROR(IF(OR('Raw Data'!F80="",LEN(TRIM('Raw Data'!F80))=0),"",IF(AND(ISNUMBER('Raw Data'!F80), IFERROR('Raw Data'!F80 = ROUND('Raw Data'!F80, 2),FALSE)),"",_xlfn.REGEXEXTRACT(CELL("address",F80), "\$([A-Z]+)\$[0-9]+"))),_xlfn.REGEXEXTRACT(CELL("address",F80), "\$([A-Z]+)\$[0-9]+"))</f>
        <v/>
      </c>
      <c r="G80" s="7" t="str" cm="1">
        <f t="array" aca="1" ref="G80" ca="1">IFERROR(IF(OR('Raw Data'!G80="",LEN(TRIM('Raw Data'!G80))=0),"",IF(LEN('Raw Data'!G80)&gt; 0,"",_xlfn.REGEXEXTRACT(CELL("address",'Raw Data'!G80),"\$([A-Z]+)\$[0-9]+"))),_xlfn.REGEXEXTRACT(CELL("address",'Raw Data'!G80),"\$([A-Z]+)\$[0-9]+"))</f>
        <v/>
      </c>
    </row>
    <row r="81" spans="2:7" x14ac:dyDescent="0.25">
      <c r="B81" s="7" t="str" cm="1">
        <f t="array" aca="1" ref="B81" ca="1">IFERROR(IF(OR('Raw Data'!B81="",LEN(TRIM('Raw Data'!B81))=0),"",IF(AND(LEN('Raw Data'!B81) &lt;= 20,LEN('Raw Data'!B81)&gt; 0),"",_xlfn.REGEXEXTRACT(CELL("address",'Raw Data'!B81),"\$([A-Z]+)\$[0-9]+"))),_xlfn.REGEXEXTRACT(CELL("address",'Raw Data'!B81),"\$([A-Z]+)\$[0-9]+"))</f>
        <v/>
      </c>
      <c r="C81" s="7" t="str" cm="1">
        <f t="array" aca="1" ref="C81" ca="1">IFERROR(IF(OR('Raw Data'!C81="",LEN(TRIM('Raw Data'!C81))=0),"",IF(AND(LEN('Raw Data'!C81) &lt;= 255,LEN('Raw Data'!C81)&gt; 0),"",_xlfn.REGEXEXTRACT(CELL("address",'Raw Data'!C81),"\$([A-Z]+)\$[0-9]+"))),_xlfn.REGEXEXTRACT(CELL("address",'Raw Data'!C81),"\$([A-Z]+)\$[0-9]+"))</f>
        <v/>
      </c>
      <c r="D81" s="7" t="str" cm="1">
        <f t="array" aca="1" ref="D81" ca="1">IFERROR(IF(OR('Raw Data'!D81="",LEN(TRIM('Raw Data'!D81))=0),"",IF(AND(ISNUMBER('Raw Data'!D81), IFERROR('Raw Data'!D81 = ROUND('Raw Data'!D81, 2),FALSE)),"",_xlfn.REGEXEXTRACT(CELL("address",D81), "\$([A-Z]+)\$[0-9]+"))),_xlfn.REGEXEXTRACT(CELL("address",D81), "\$([A-Z]+)\$[0-9]+"))</f>
        <v/>
      </c>
      <c r="E81" s="7" t="str" cm="1">
        <f t="array" aca="1" ref="E81" ca="1">IFERROR(IF(OR('Raw Data'!E81="",LEN(TRIM('Raw Data'!E81))=0),"",IF(AND(ISNUMBER('Raw Data'!E81), IFERROR('Raw Data'!E81 = ROUND('Raw Data'!E81, 2),FALSE)),"",_xlfn.REGEXEXTRACT(CELL("address",E81), "\$([A-Z]+)\$[0-9]+"))),_xlfn.REGEXEXTRACT(CELL("address",E81), "\$([A-Z]+)\$[0-9]+"))</f>
        <v/>
      </c>
      <c r="F81" s="7" t="str" cm="1">
        <f t="array" aca="1" ref="F81" ca="1">IFERROR(IF(OR('Raw Data'!F81="",LEN(TRIM('Raw Data'!F81))=0),"",IF(AND(ISNUMBER('Raw Data'!F81), IFERROR('Raw Data'!F81 = ROUND('Raw Data'!F81, 2),FALSE)),"",_xlfn.REGEXEXTRACT(CELL("address",F81), "\$([A-Z]+)\$[0-9]+"))),_xlfn.REGEXEXTRACT(CELL("address",F81), "\$([A-Z]+)\$[0-9]+"))</f>
        <v/>
      </c>
      <c r="G81" s="7" t="str" cm="1">
        <f t="array" aca="1" ref="G81" ca="1">IFERROR(IF(OR('Raw Data'!G81="",LEN(TRIM('Raw Data'!G81))=0),"",IF(LEN('Raw Data'!G81)&gt; 0,"",_xlfn.REGEXEXTRACT(CELL("address",'Raw Data'!G81),"\$([A-Z]+)\$[0-9]+"))),_xlfn.REGEXEXTRACT(CELL("address",'Raw Data'!G81),"\$([A-Z]+)\$[0-9]+"))</f>
        <v/>
      </c>
    </row>
    <row r="82" spans="2:7" x14ac:dyDescent="0.25">
      <c r="B82" s="7" t="str" cm="1">
        <f t="array" aca="1" ref="B82" ca="1">IFERROR(IF(OR('Raw Data'!B82="",LEN(TRIM('Raw Data'!B82))=0),"",IF(AND(LEN('Raw Data'!B82) &lt;= 20,LEN('Raw Data'!B82)&gt; 0),"",_xlfn.REGEXEXTRACT(CELL("address",'Raw Data'!B82),"\$([A-Z]+)\$[0-9]+"))),_xlfn.REGEXEXTRACT(CELL("address",'Raw Data'!B82),"\$([A-Z]+)\$[0-9]+"))</f>
        <v/>
      </c>
      <c r="C82" s="7" t="str" cm="1">
        <f t="array" aca="1" ref="C82" ca="1">IFERROR(IF(OR('Raw Data'!C82="",LEN(TRIM('Raw Data'!C82))=0),"",IF(AND(LEN('Raw Data'!C82) &lt;= 255,LEN('Raw Data'!C82)&gt; 0),"",_xlfn.REGEXEXTRACT(CELL("address",'Raw Data'!C82),"\$([A-Z]+)\$[0-9]+"))),_xlfn.REGEXEXTRACT(CELL("address",'Raw Data'!C82),"\$([A-Z]+)\$[0-9]+"))</f>
        <v/>
      </c>
      <c r="D82" s="7" t="str" cm="1">
        <f t="array" aca="1" ref="D82" ca="1">IFERROR(IF(OR('Raw Data'!D82="",LEN(TRIM('Raw Data'!D82))=0),"",IF(AND(ISNUMBER('Raw Data'!D82), IFERROR('Raw Data'!D82 = ROUND('Raw Data'!D82, 2),FALSE)),"",_xlfn.REGEXEXTRACT(CELL("address",D82), "\$([A-Z]+)\$[0-9]+"))),_xlfn.REGEXEXTRACT(CELL("address",D82), "\$([A-Z]+)\$[0-9]+"))</f>
        <v/>
      </c>
      <c r="E82" s="7" t="str" cm="1">
        <f t="array" aca="1" ref="E82" ca="1">IFERROR(IF(OR('Raw Data'!E82="",LEN(TRIM('Raw Data'!E82))=0),"",IF(AND(ISNUMBER('Raw Data'!E82), IFERROR('Raw Data'!E82 = ROUND('Raw Data'!E82, 2),FALSE)),"",_xlfn.REGEXEXTRACT(CELL("address",E82), "\$([A-Z]+)\$[0-9]+"))),_xlfn.REGEXEXTRACT(CELL("address",E82), "\$([A-Z]+)\$[0-9]+"))</f>
        <v/>
      </c>
      <c r="F82" s="7" t="str" cm="1">
        <f t="array" aca="1" ref="F82" ca="1">IFERROR(IF(OR('Raw Data'!F82="",LEN(TRIM('Raw Data'!F82))=0),"",IF(AND(ISNUMBER('Raw Data'!F82), IFERROR('Raw Data'!F82 = ROUND('Raw Data'!F82, 2),FALSE)),"",_xlfn.REGEXEXTRACT(CELL("address",F82), "\$([A-Z]+)\$[0-9]+"))),_xlfn.REGEXEXTRACT(CELL("address",F82), "\$([A-Z]+)\$[0-9]+"))</f>
        <v/>
      </c>
      <c r="G82" s="7" t="str" cm="1">
        <f t="array" aca="1" ref="G82" ca="1">IFERROR(IF(OR('Raw Data'!G82="",LEN(TRIM('Raw Data'!G82))=0),"",IF(LEN('Raw Data'!G82)&gt; 0,"",_xlfn.REGEXEXTRACT(CELL("address",'Raw Data'!G82),"\$([A-Z]+)\$[0-9]+"))),_xlfn.REGEXEXTRACT(CELL("address",'Raw Data'!G82),"\$([A-Z]+)\$[0-9]+"))</f>
        <v/>
      </c>
    </row>
    <row r="83" spans="2:7" x14ac:dyDescent="0.25">
      <c r="B83" s="7" t="str" cm="1">
        <f t="array" aca="1" ref="B83" ca="1">IFERROR(IF(OR('Raw Data'!B83="",LEN(TRIM('Raw Data'!B83))=0),"",IF(AND(LEN('Raw Data'!B83) &lt;= 20,LEN('Raw Data'!B83)&gt; 0),"",_xlfn.REGEXEXTRACT(CELL("address",'Raw Data'!B83),"\$([A-Z]+)\$[0-9]+"))),_xlfn.REGEXEXTRACT(CELL("address",'Raw Data'!B83),"\$([A-Z]+)\$[0-9]+"))</f>
        <v/>
      </c>
      <c r="C83" s="7" t="str" cm="1">
        <f t="array" aca="1" ref="C83" ca="1">IFERROR(IF(OR('Raw Data'!C83="",LEN(TRIM('Raw Data'!C83))=0),"",IF(AND(LEN('Raw Data'!C83) &lt;= 255,LEN('Raw Data'!C83)&gt; 0),"",_xlfn.REGEXEXTRACT(CELL("address",'Raw Data'!C83),"\$([A-Z]+)\$[0-9]+"))),_xlfn.REGEXEXTRACT(CELL("address",'Raw Data'!C83),"\$([A-Z]+)\$[0-9]+"))</f>
        <v/>
      </c>
      <c r="D83" s="7" t="str" cm="1">
        <f t="array" aca="1" ref="D83" ca="1">IFERROR(IF(OR('Raw Data'!D83="",LEN(TRIM('Raw Data'!D83))=0),"",IF(AND(ISNUMBER('Raw Data'!D83), IFERROR('Raw Data'!D83 = ROUND('Raw Data'!D83, 2),FALSE)),"",_xlfn.REGEXEXTRACT(CELL("address",D83), "\$([A-Z]+)\$[0-9]+"))),_xlfn.REGEXEXTRACT(CELL("address",D83), "\$([A-Z]+)\$[0-9]+"))</f>
        <v/>
      </c>
      <c r="E83" s="7" t="str" cm="1">
        <f t="array" aca="1" ref="E83" ca="1">IFERROR(IF(OR('Raw Data'!E83="",LEN(TRIM('Raw Data'!E83))=0),"",IF(AND(ISNUMBER('Raw Data'!E83), IFERROR('Raw Data'!E83 = ROUND('Raw Data'!E83, 2),FALSE)),"",_xlfn.REGEXEXTRACT(CELL("address",E83), "\$([A-Z]+)\$[0-9]+"))),_xlfn.REGEXEXTRACT(CELL("address",E83), "\$([A-Z]+)\$[0-9]+"))</f>
        <v/>
      </c>
      <c r="F83" s="7" t="str" cm="1">
        <f t="array" aca="1" ref="F83" ca="1">IFERROR(IF(OR('Raw Data'!F83="",LEN(TRIM('Raw Data'!F83))=0),"",IF(AND(ISNUMBER('Raw Data'!F83), IFERROR('Raw Data'!F83 = ROUND('Raw Data'!F83, 2),FALSE)),"",_xlfn.REGEXEXTRACT(CELL("address",F83), "\$([A-Z]+)\$[0-9]+"))),_xlfn.REGEXEXTRACT(CELL("address",F83), "\$([A-Z]+)\$[0-9]+"))</f>
        <v/>
      </c>
      <c r="G83" s="7" t="str" cm="1">
        <f t="array" aca="1" ref="G83" ca="1">IFERROR(IF(OR('Raw Data'!G83="",LEN(TRIM('Raw Data'!G83))=0),"",IF(LEN('Raw Data'!G83)&gt; 0,"",_xlfn.REGEXEXTRACT(CELL("address",'Raw Data'!G83),"\$([A-Z]+)\$[0-9]+"))),_xlfn.REGEXEXTRACT(CELL("address",'Raw Data'!G83),"\$([A-Z]+)\$[0-9]+"))</f>
        <v/>
      </c>
    </row>
    <row r="84" spans="2:7" x14ac:dyDescent="0.25">
      <c r="B84" s="7" t="str" cm="1">
        <f t="array" aca="1" ref="B84" ca="1">IFERROR(IF(OR('Raw Data'!B84="",LEN(TRIM('Raw Data'!B84))=0),"",IF(AND(LEN('Raw Data'!B84) &lt;= 20,LEN('Raw Data'!B84)&gt; 0),"",_xlfn.REGEXEXTRACT(CELL("address",'Raw Data'!B84),"\$([A-Z]+)\$[0-9]+"))),_xlfn.REGEXEXTRACT(CELL("address",'Raw Data'!B84),"\$([A-Z]+)\$[0-9]+"))</f>
        <v/>
      </c>
      <c r="C84" s="7" t="str" cm="1">
        <f t="array" aca="1" ref="C84" ca="1">IFERROR(IF(OR('Raw Data'!C84="",LEN(TRIM('Raw Data'!C84))=0),"",IF(AND(LEN('Raw Data'!C84) &lt;= 255,LEN('Raw Data'!C84)&gt; 0),"",_xlfn.REGEXEXTRACT(CELL("address",'Raw Data'!C84),"\$([A-Z]+)\$[0-9]+"))),_xlfn.REGEXEXTRACT(CELL("address",'Raw Data'!C84),"\$([A-Z]+)\$[0-9]+"))</f>
        <v/>
      </c>
      <c r="D84" s="7" t="str" cm="1">
        <f t="array" aca="1" ref="D84" ca="1">IFERROR(IF(OR('Raw Data'!D84="",LEN(TRIM('Raw Data'!D84))=0),"",IF(AND(ISNUMBER('Raw Data'!D84), IFERROR('Raw Data'!D84 = ROUND('Raw Data'!D84, 2),FALSE)),"",_xlfn.REGEXEXTRACT(CELL("address",D84), "\$([A-Z]+)\$[0-9]+"))),_xlfn.REGEXEXTRACT(CELL("address",D84), "\$([A-Z]+)\$[0-9]+"))</f>
        <v/>
      </c>
      <c r="E84" s="7" t="str" cm="1">
        <f t="array" aca="1" ref="E84" ca="1">IFERROR(IF(OR('Raw Data'!E84="",LEN(TRIM('Raw Data'!E84))=0),"",IF(AND(ISNUMBER('Raw Data'!E84), IFERROR('Raw Data'!E84 = ROUND('Raw Data'!E84, 2),FALSE)),"",_xlfn.REGEXEXTRACT(CELL("address",E84), "\$([A-Z]+)\$[0-9]+"))),_xlfn.REGEXEXTRACT(CELL("address",E84), "\$([A-Z]+)\$[0-9]+"))</f>
        <v/>
      </c>
      <c r="F84" s="7" t="str" cm="1">
        <f t="array" aca="1" ref="F84" ca="1">IFERROR(IF(OR('Raw Data'!F84="",LEN(TRIM('Raw Data'!F84))=0),"",IF(AND(ISNUMBER('Raw Data'!F84), IFERROR('Raw Data'!F84 = ROUND('Raw Data'!F84, 2),FALSE)),"",_xlfn.REGEXEXTRACT(CELL("address",F84), "\$([A-Z]+)\$[0-9]+"))),_xlfn.REGEXEXTRACT(CELL("address",F84), "\$([A-Z]+)\$[0-9]+"))</f>
        <v/>
      </c>
      <c r="G84" s="7" t="str" cm="1">
        <f t="array" aca="1" ref="G84" ca="1">IFERROR(IF(OR('Raw Data'!G84="",LEN(TRIM('Raw Data'!G84))=0),"",IF(LEN('Raw Data'!G84)&gt; 0,"",_xlfn.REGEXEXTRACT(CELL("address",'Raw Data'!G84),"\$([A-Z]+)\$[0-9]+"))),_xlfn.REGEXEXTRACT(CELL("address",'Raw Data'!G84),"\$([A-Z]+)\$[0-9]+"))</f>
        <v/>
      </c>
    </row>
    <row r="85" spans="2:7" x14ac:dyDescent="0.25">
      <c r="B85" s="7" t="str" cm="1">
        <f t="array" aca="1" ref="B85" ca="1">IFERROR(IF(OR('Raw Data'!B85="",LEN(TRIM('Raw Data'!B85))=0),"",IF(AND(LEN('Raw Data'!B85) &lt;= 20,LEN('Raw Data'!B85)&gt; 0),"",_xlfn.REGEXEXTRACT(CELL("address",'Raw Data'!B85),"\$([A-Z]+)\$[0-9]+"))),_xlfn.REGEXEXTRACT(CELL("address",'Raw Data'!B85),"\$([A-Z]+)\$[0-9]+"))</f>
        <v/>
      </c>
      <c r="C85" s="7" t="str" cm="1">
        <f t="array" aca="1" ref="C85" ca="1">IFERROR(IF(OR('Raw Data'!C85="",LEN(TRIM('Raw Data'!C85))=0),"",IF(AND(LEN('Raw Data'!C85) &lt;= 255,LEN('Raw Data'!C85)&gt; 0),"",_xlfn.REGEXEXTRACT(CELL("address",'Raw Data'!C85),"\$([A-Z]+)\$[0-9]+"))),_xlfn.REGEXEXTRACT(CELL("address",'Raw Data'!C85),"\$([A-Z]+)\$[0-9]+"))</f>
        <v/>
      </c>
      <c r="D85" s="7" t="str" cm="1">
        <f t="array" aca="1" ref="D85" ca="1">IFERROR(IF(OR('Raw Data'!D85="",LEN(TRIM('Raw Data'!D85))=0),"",IF(AND(ISNUMBER('Raw Data'!D85), IFERROR('Raw Data'!D85 = ROUND('Raw Data'!D85, 2),FALSE)),"",_xlfn.REGEXEXTRACT(CELL("address",D85), "\$([A-Z]+)\$[0-9]+"))),_xlfn.REGEXEXTRACT(CELL("address",D85), "\$([A-Z]+)\$[0-9]+"))</f>
        <v/>
      </c>
      <c r="E85" s="7" t="str" cm="1">
        <f t="array" aca="1" ref="E85" ca="1">IFERROR(IF(OR('Raw Data'!E85="",LEN(TRIM('Raw Data'!E85))=0),"",IF(AND(ISNUMBER('Raw Data'!E85), IFERROR('Raw Data'!E85 = ROUND('Raw Data'!E85, 2),FALSE)),"",_xlfn.REGEXEXTRACT(CELL("address",E85), "\$([A-Z]+)\$[0-9]+"))),_xlfn.REGEXEXTRACT(CELL("address",E85), "\$([A-Z]+)\$[0-9]+"))</f>
        <v/>
      </c>
      <c r="F85" s="7" t="str" cm="1">
        <f t="array" aca="1" ref="F85" ca="1">IFERROR(IF(OR('Raw Data'!F85="",LEN(TRIM('Raw Data'!F85))=0),"",IF(AND(ISNUMBER('Raw Data'!F85), IFERROR('Raw Data'!F85 = ROUND('Raw Data'!F85, 2),FALSE)),"",_xlfn.REGEXEXTRACT(CELL("address",F85), "\$([A-Z]+)\$[0-9]+"))),_xlfn.REGEXEXTRACT(CELL("address",F85), "\$([A-Z]+)\$[0-9]+"))</f>
        <v/>
      </c>
      <c r="G85" s="7" t="str" cm="1">
        <f t="array" aca="1" ref="G85" ca="1">IFERROR(IF(OR('Raw Data'!G85="",LEN(TRIM('Raw Data'!G85))=0),"",IF(LEN('Raw Data'!G85)&gt; 0,"",_xlfn.REGEXEXTRACT(CELL("address",'Raw Data'!G85),"\$([A-Z]+)\$[0-9]+"))),_xlfn.REGEXEXTRACT(CELL("address",'Raw Data'!G85),"\$([A-Z]+)\$[0-9]+"))</f>
        <v/>
      </c>
    </row>
    <row r="86" spans="2:7" x14ac:dyDescent="0.25">
      <c r="B86" s="7" t="str" cm="1">
        <f t="array" aca="1" ref="B86" ca="1">IFERROR(IF(OR('Raw Data'!B86="",LEN(TRIM('Raw Data'!B86))=0),"",IF(AND(LEN('Raw Data'!B86) &lt;= 20,LEN('Raw Data'!B86)&gt; 0),"",_xlfn.REGEXEXTRACT(CELL("address",'Raw Data'!B86),"\$([A-Z]+)\$[0-9]+"))),_xlfn.REGEXEXTRACT(CELL("address",'Raw Data'!B86),"\$([A-Z]+)\$[0-9]+"))</f>
        <v/>
      </c>
      <c r="C86" s="7" t="str" cm="1">
        <f t="array" aca="1" ref="C86" ca="1">IFERROR(IF(OR('Raw Data'!C86="",LEN(TRIM('Raw Data'!C86))=0),"",IF(AND(LEN('Raw Data'!C86) &lt;= 255,LEN('Raw Data'!C86)&gt; 0),"",_xlfn.REGEXEXTRACT(CELL("address",'Raw Data'!C86),"\$([A-Z]+)\$[0-9]+"))),_xlfn.REGEXEXTRACT(CELL("address",'Raw Data'!C86),"\$([A-Z]+)\$[0-9]+"))</f>
        <v/>
      </c>
      <c r="D86" s="7" t="str" cm="1">
        <f t="array" aca="1" ref="D86" ca="1">IFERROR(IF(OR('Raw Data'!D86="",LEN(TRIM('Raw Data'!D86))=0),"",IF(AND(ISNUMBER('Raw Data'!D86), IFERROR('Raw Data'!D86 = ROUND('Raw Data'!D86, 2),FALSE)),"",_xlfn.REGEXEXTRACT(CELL("address",D86), "\$([A-Z]+)\$[0-9]+"))),_xlfn.REGEXEXTRACT(CELL("address",D86), "\$([A-Z]+)\$[0-9]+"))</f>
        <v/>
      </c>
      <c r="E86" s="7" t="str" cm="1">
        <f t="array" aca="1" ref="E86" ca="1">IFERROR(IF(OR('Raw Data'!E86="",LEN(TRIM('Raw Data'!E86))=0),"",IF(AND(ISNUMBER('Raw Data'!E86), IFERROR('Raw Data'!E86 = ROUND('Raw Data'!E86, 2),FALSE)),"",_xlfn.REGEXEXTRACT(CELL("address",E86), "\$([A-Z]+)\$[0-9]+"))),_xlfn.REGEXEXTRACT(CELL("address",E86), "\$([A-Z]+)\$[0-9]+"))</f>
        <v/>
      </c>
      <c r="F86" s="7" t="str" cm="1">
        <f t="array" aca="1" ref="F86" ca="1">IFERROR(IF(OR('Raw Data'!F86="",LEN(TRIM('Raw Data'!F86))=0),"",IF(AND(ISNUMBER('Raw Data'!F86), IFERROR('Raw Data'!F86 = ROUND('Raw Data'!F86, 2),FALSE)),"",_xlfn.REGEXEXTRACT(CELL("address",F86), "\$([A-Z]+)\$[0-9]+"))),_xlfn.REGEXEXTRACT(CELL("address",F86), "\$([A-Z]+)\$[0-9]+"))</f>
        <v/>
      </c>
      <c r="G86" s="7" t="str" cm="1">
        <f t="array" aca="1" ref="G86" ca="1">IFERROR(IF(OR('Raw Data'!G86="",LEN(TRIM('Raw Data'!G86))=0),"",IF(LEN('Raw Data'!G86)&gt; 0,"",_xlfn.REGEXEXTRACT(CELL("address",'Raw Data'!G86),"\$([A-Z]+)\$[0-9]+"))),_xlfn.REGEXEXTRACT(CELL("address",'Raw Data'!G86),"\$([A-Z]+)\$[0-9]+"))</f>
        <v/>
      </c>
    </row>
    <row r="87" spans="2:7" x14ac:dyDescent="0.25">
      <c r="B87" s="7" t="str" cm="1">
        <f t="array" aca="1" ref="B87" ca="1">IFERROR(IF(OR('Raw Data'!B87="",LEN(TRIM('Raw Data'!B87))=0),"",IF(AND(LEN('Raw Data'!B87) &lt;= 20,LEN('Raw Data'!B87)&gt; 0),"",_xlfn.REGEXEXTRACT(CELL("address",'Raw Data'!B87),"\$([A-Z]+)\$[0-9]+"))),_xlfn.REGEXEXTRACT(CELL("address",'Raw Data'!B87),"\$([A-Z]+)\$[0-9]+"))</f>
        <v/>
      </c>
      <c r="C87" s="7" t="str" cm="1">
        <f t="array" aca="1" ref="C87" ca="1">IFERROR(IF(OR('Raw Data'!C87="",LEN(TRIM('Raw Data'!C87))=0),"",IF(AND(LEN('Raw Data'!C87) &lt;= 255,LEN('Raw Data'!C87)&gt; 0),"",_xlfn.REGEXEXTRACT(CELL("address",'Raw Data'!C87),"\$([A-Z]+)\$[0-9]+"))),_xlfn.REGEXEXTRACT(CELL("address",'Raw Data'!C87),"\$([A-Z]+)\$[0-9]+"))</f>
        <v/>
      </c>
      <c r="D87" s="7" t="str" cm="1">
        <f t="array" aca="1" ref="D87" ca="1">IFERROR(IF(OR('Raw Data'!D87="",LEN(TRIM('Raw Data'!D87))=0),"",IF(AND(ISNUMBER('Raw Data'!D87), IFERROR('Raw Data'!D87 = ROUND('Raw Data'!D87, 2),FALSE)),"",_xlfn.REGEXEXTRACT(CELL("address",D87), "\$([A-Z]+)\$[0-9]+"))),_xlfn.REGEXEXTRACT(CELL("address",D87), "\$([A-Z]+)\$[0-9]+"))</f>
        <v/>
      </c>
      <c r="E87" s="7" t="str" cm="1">
        <f t="array" aca="1" ref="E87" ca="1">IFERROR(IF(OR('Raw Data'!E87="",LEN(TRIM('Raw Data'!E87))=0),"",IF(AND(ISNUMBER('Raw Data'!E87), IFERROR('Raw Data'!E87 = ROUND('Raw Data'!E87, 2),FALSE)),"",_xlfn.REGEXEXTRACT(CELL("address",E87), "\$([A-Z]+)\$[0-9]+"))),_xlfn.REGEXEXTRACT(CELL("address",E87), "\$([A-Z]+)\$[0-9]+"))</f>
        <v/>
      </c>
      <c r="F87" s="7" t="str" cm="1">
        <f t="array" aca="1" ref="F87" ca="1">IFERROR(IF(OR('Raw Data'!F87="",LEN(TRIM('Raw Data'!F87))=0),"",IF(AND(ISNUMBER('Raw Data'!F87), IFERROR('Raw Data'!F87 = ROUND('Raw Data'!F87, 2),FALSE)),"",_xlfn.REGEXEXTRACT(CELL("address",F87), "\$([A-Z]+)\$[0-9]+"))),_xlfn.REGEXEXTRACT(CELL("address",F87), "\$([A-Z]+)\$[0-9]+"))</f>
        <v/>
      </c>
      <c r="G87" s="7" t="str" cm="1">
        <f t="array" aca="1" ref="G87" ca="1">IFERROR(IF(OR('Raw Data'!G87="",LEN(TRIM('Raw Data'!G87))=0),"",IF(LEN('Raw Data'!G87)&gt; 0,"",_xlfn.REGEXEXTRACT(CELL("address",'Raw Data'!G87),"\$([A-Z]+)\$[0-9]+"))),_xlfn.REGEXEXTRACT(CELL("address",'Raw Data'!G87),"\$([A-Z]+)\$[0-9]+"))</f>
        <v/>
      </c>
    </row>
    <row r="88" spans="2:7" x14ac:dyDescent="0.25">
      <c r="B88" s="7" t="str" cm="1">
        <f t="array" aca="1" ref="B88" ca="1">IFERROR(IF(OR('Raw Data'!B88="",LEN(TRIM('Raw Data'!B88))=0),"",IF(AND(LEN('Raw Data'!B88) &lt;= 20,LEN('Raw Data'!B88)&gt; 0),"",_xlfn.REGEXEXTRACT(CELL("address",'Raw Data'!B88),"\$([A-Z]+)\$[0-9]+"))),_xlfn.REGEXEXTRACT(CELL("address",'Raw Data'!B88),"\$([A-Z]+)\$[0-9]+"))</f>
        <v/>
      </c>
      <c r="C88" s="7" t="str" cm="1">
        <f t="array" aca="1" ref="C88" ca="1">IFERROR(IF(OR('Raw Data'!C88="",LEN(TRIM('Raw Data'!C88))=0),"",IF(AND(LEN('Raw Data'!C88) &lt;= 255,LEN('Raw Data'!C88)&gt; 0),"",_xlfn.REGEXEXTRACT(CELL("address",'Raw Data'!C88),"\$([A-Z]+)\$[0-9]+"))),_xlfn.REGEXEXTRACT(CELL("address",'Raw Data'!C88),"\$([A-Z]+)\$[0-9]+"))</f>
        <v/>
      </c>
      <c r="D88" s="7" t="str" cm="1">
        <f t="array" aca="1" ref="D88" ca="1">IFERROR(IF(OR('Raw Data'!D88="",LEN(TRIM('Raw Data'!D88))=0),"",IF(AND(ISNUMBER('Raw Data'!D88), IFERROR('Raw Data'!D88 = ROUND('Raw Data'!D88, 2),FALSE)),"",_xlfn.REGEXEXTRACT(CELL("address",D88), "\$([A-Z]+)\$[0-9]+"))),_xlfn.REGEXEXTRACT(CELL("address",D88), "\$([A-Z]+)\$[0-9]+"))</f>
        <v/>
      </c>
      <c r="E88" s="7" t="str" cm="1">
        <f t="array" aca="1" ref="E88" ca="1">IFERROR(IF(OR('Raw Data'!E88="",LEN(TRIM('Raw Data'!E88))=0),"",IF(AND(ISNUMBER('Raw Data'!E88), IFERROR('Raw Data'!E88 = ROUND('Raw Data'!E88, 2),FALSE)),"",_xlfn.REGEXEXTRACT(CELL("address",E88), "\$([A-Z]+)\$[0-9]+"))),_xlfn.REGEXEXTRACT(CELL("address",E88), "\$([A-Z]+)\$[0-9]+"))</f>
        <v/>
      </c>
      <c r="F88" s="7" t="str" cm="1">
        <f t="array" aca="1" ref="F88" ca="1">IFERROR(IF(OR('Raw Data'!F88="",LEN(TRIM('Raw Data'!F88))=0),"",IF(AND(ISNUMBER('Raw Data'!F88), IFERROR('Raw Data'!F88 = ROUND('Raw Data'!F88, 2),FALSE)),"",_xlfn.REGEXEXTRACT(CELL("address",F88), "\$([A-Z]+)\$[0-9]+"))),_xlfn.REGEXEXTRACT(CELL("address",F88), "\$([A-Z]+)\$[0-9]+"))</f>
        <v/>
      </c>
      <c r="G88" s="7" t="str" cm="1">
        <f t="array" aca="1" ref="G88" ca="1">IFERROR(IF(OR('Raw Data'!G88="",LEN(TRIM('Raw Data'!G88))=0),"",IF(LEN('Raw Data'!G88)&gt; 0,"",_xlfn.REGEXEXTRACT(CELL("address",'Raw Data'!G88),"\$([A-Z]+)\$[0-9]+"))),_xlfn.REGEXEXTRACT(CELL("address",'Raw Data'!G88),"\$([A-Z]+)\$[0-9]+"))</f>
        <v/>
      </c>
    </row>
    <row r="89" spans="2:7" x14ac:dyDescent="0.25">
      <c r="B89" s="7" t="str" cm="1">
        <f t="array" aca="1" ref="B89" ca="1">IFERROR(IF(OR('Raw Data'!B89="",LEN(TRIM('Raw Data'!B89))=0),"",IF(AND(LEN('Raw Data'!B89) &lt;= 20,LEN('Raw Data'!B89)&gt; 0),"",_xlfn.REGEXEXTRACT(CELL("address",'Raw Data'!B89),"\$([A-Z]+)\$[0-9]+"))),_xlfn.REGEXEXTRACT(CELL("address",'Raw Data'!B89),"\$([A-Z]+)\$[0-9]+"))</f>
        <v/>
      </c>
      <c r="C89" s="7" t="str" cm="1">
        <f t="array" aca="1" ref="C89" ca="1">IFERROR(IF(OR('Raw Data'!C89="",LEN(TRIM('Raw Data'!C89))=0),"",IF(AND(LEN('Raw Data'!C89) &lt;= 255,LEN('Raw Data'!C89)&gt; 0),"",_xlfn.REGEXEXTRACT(CELL("address",'Raw Data'!C89),"\$([A-Z]+)\$[0-9]+"))),_xlfn.REGEXEXTRACT(CELL("address",'Raw Data'!C89),"\$([A-Z]+)\$[0-9]+"))</f>
        <v/>
      </c>
      <c r="D89" s="7" t="str" cm="1">
        <f t="array" aca="1" ref="D89" ca="1">IFERROR(IF(OR('Raw Data'!D89="",LEN(TRIM('Raw Data'!D89))=0),"",IF(AND(ISNUMBER('Raw Data'!D89), IFERROR('Raw Data'!D89 = ROUND('Raw Data'!D89, 2),FALSE)),"",_xlfn.REGEXEXTRACT(CELL("address",D89), "\$([A-Z]+)\$[0-9]+"))),_xlfn.REGEXEXTRACT(CELL("address",D89), "\$([A-Z]+)\$[0-9]+"))</f>
        <v/>
      </c>
      <c r="E89" s="7" t="str" cm="1">
        <f t="array" aca="1" ref="E89" ca="1">IFERROR(IF(OR('Raw Data'!E89="",LEN(TRIM('Raw Data'!E89))=0),"",IF(AND(ISNUMBER('Raw Data'!E89), IFERROR('Raw Data'!E89 = ROUND('Raw Data'!E89, 2),FALSE)),"",_xlfn.REGEXEXTRACT(CELL("address",E89), "\$([A-Z]+)\$[0-9]+"))),_xlfn.REGEXEXTRACT(CELL("address",E89), "\$([A-Z]+)\$[0-9]+"))</f>
        <v/>
      </c>
      <c r="F89" s="7" t="str" cm="1">
        <f t="array" aca="1" ref="F89" ca="1">IFERROR(IF(OR('Raw Data'!F89="",LEN(TRIM('Raw Data'!F89))=0),"",IF(AND(ISNUMBER('Raw Data'!F89), IFERROR('Raw Data'!F89 = ROUND('Raw Data'!F89, 2),FALSE)),"",_xlfn.REGEXEXTRACT(CELL("address",F89), "\$([A-Z]+)\$[0-9]+"))),_xlfn.REGEXEXTRACT(CELL("address",F89), "\$([A-Z]+)\$[0-9]+"))</f>
        <v/>
      </c>
      <c r="G89" s="7" t="str" cm="1">
        <f t="array" aca="1" ref="G89" ca="1">IFERROR(IF(OR('Raw Data'!G89="",LEN(TRIM('Raw Data'!G89))=0),"",IF(LEN('Raw Data'!G89)&gt; 0,"",_xlfn.REGEXEXTRACT(CELL("address",'Raw Data'!G89),"\$([A-Z]+)\$[0-9]+"))),_xlfn.REGEXEXTRACT(CELL("address",'Raw Data'!G89),"\$([A-Z]+)\$[0-9]+"))</f>
        <v/>
      </c>
    </row>
    <row r="90" spans="2:7" x14ac:dyDescent="0.25">
      <c r="B90" s="7" t="str" cm="1">
        <f t="array" aca="1" ref="B90" ca="1">IFERROR(IF(OR('Raw Data'!B90="",LEN(TRIM('Raw Data'!B90))=0),"",IF(AND(LEN('Raw Data'!B90) &lt;= 20,LEN('Raw Data'!B90)&gt; 0),"",_xlfn.REGEXEXTRACT(CELL("address",'Raw Data'!B90),"\$([A-Z]+)\$[0-9]+"))),_xlfn.REGEXEXTRACT(CELL("address",'Raw Data'!B90),"\$([A-Z]+)\$[0-9]+"))</f>
        <v/>
      </c>
      <c r="C90" s="7" t="str" cm="1">
        <f t="array" aca="1" ref="C90" ca="1">IFERROR(IF(OR('Raw Data'!C90="",LEN(TRIM('Raw Data'!C90))=0),"",IF(AND(LEN('Raw Data'!C90) &lt;= 255,LEN('Raw Data'!C90)&gt; 0),"",_xlfn.REGEXEXTRACT(CELL("address",'Raw Data'!C90),"\$([A-Z]+)\$[0-9]+"))),_xlfn.REGEXEXTRACT(CELL("address",'Raw Data'!C90),"\$([A-Z]+)\$[0-9]+"))</f>
        <v/>
      </c>
      <c r="D90" s="7" t="str" cm="1">
        <f t="array" aca="1" ref="D90" ca="1">IFERROR(IF(OR('Raw Data'!D90="",LEN(TRIM('Raw Data'!D90))=0),"",IF(AND(ISNUMBER('Raw Data'!D90), IFERROR('Raw Data'!D90 = ROUND('Raw Data'!D90, 2),FALSE)),"",_xlfn.REGEXEXTRACT(CELL("address",D90), "\$([A-Z]+)\$[0-9]+"))),_xlfn.REGEXEXTRACT(CELL("address",D90), "\$([A-Z]+)\$[0-9]+"))</f>
        <v/>
      </c>
      <c r="E90" s="7" t="str" cm="1">
        <f t="array" aca="1" ref="E90" ca="1">IFERROR(IF(OR('Raw Data'!E90="",LEN(TRIM('Raw Data'!E90))=0),"",IF(AND(ISNUMBER('Raw Data'!E90), IFERROR('Raw Data'!E90 = ROUND('Raw Data'!E90, 2),FALSE)),"",_xlfn.REGEXEXTRACT(CELL("address",E90), "\$([A-Z]+)\$[0-9]+"))),_xlfn.REGEXEXTRACT(CELL("address",E90), "\$([A-Z]+)\$[0-9]+"))</f>
        <v/>
      </c>
      <c r="F90" s="7" t="str" cm="1">
        <f t="array" aca="1" ref="F90" ca="1">IFERROR(IF(OR('Raw Data'!F90="",LEN(TRIM('Raw Data'!F90))=0),"",IF(AND(ISNUMBER('Raw Data'!F90), IFERROR('Raw Data'!F90 = ROUND('Raw Data'!F90, 2),FALSE)),"",_xlfn.REGEXEXTRACT(CELL("address",F90), "\$([A-Z]+)\$[0-9]+"))),_xlfn.REGEXEXTRACT(CELL("address",F90), "\$([A-Z]+)\$[0-9]+"))</f>
        <v/>
      </c>
      <c r="G90" s="7" t="str" cm="1">
        <f t="array" aca="1" ref="G90" ca="1">IFERROR(IF(OR('Raw Data'!G90="",LEN(TRIM('Raw Data'!G90))=0),"",IF(LEN('Raw Data'!G90)&gt; 0,"",_xlfn.REGEXEXTRACT(CELL("address",'Raw Data'!G90),"\$([A-Z]+)\$[0-9]+"))),_xlfn.REGEXEXTRACT(CELL("address",'Raw Data'!G90),"\$([A-Z]+)\$[0-9]+"))</f>
        <v/>
      </c>
    </row>
    <row r="91" spans="2:7" x14ac:dyDescent="0.25">
      <c r="B91" s="7" t="str" cm="1">
        <f t="array" aca="1" ref="B91" ca="1">IFERROR(IF(OR('Raw Data'!B91="",LEN(TRIM('Raw Data'!B91))=0),"",IF(AND(LEN('Raw Data'!B91) &lt;= 20,LEN('Raw Data'!B91)&gt; 0),"",_xlfn.REGEXEXTRACT(CELL("address",'Raw Data'!B91),"\$([A-Z]+)\$[0-9]+"))),_xlfn.REGEXEXTRACT(CELL("address",'Raw Data'!B91),"\$([A-Z]+)\$[0-9]+"))</f>
        <v/>
      </c>
      <c r="C91" s="7" t="str" cm="1">
        <f t="array" aca="1" ref="C91" ca="1">IFERROR(IF(OR('Raw Data'!C91="",LEN(TRIM('Raw Data'!C91))=0),"",IF(AND(LEN('Raw Data'!C91) &lt;= 255,LEN('Raw Data'!C91)&gt; 0),"",_xlfn.REGEXEXTRACT(CELL("address",'Raw Data'!C91),"\$([A-Z]+)\$[0-9]+"))),_xlfn.REGEXEXTRACT(CELL("address",'Raw Data'!C91),"\$([A-Z]+)\$[0-9]+"))</f>
        <v/>
      </c>
      <c r="D91" s="7" t="str" cm="1">
        <f t="array" aca="1" ref="D91" ca="1">IFERROR(IF(OR('Raw Data'!D91="",LEN(TRIM('Raw Data'!D91))=0),"",IF(AND(ISNUMBER('Raw Data'!D91), IFERROR('Raw Data'!D91 = ROUND('Raw Data'!D91, 2),FALSE)),"",_xlfn.REGEXEXTRACT(CELL("address",D91), "\$([A-Z]+)\$[0-9]+"))),_xlfn.REGEXEXTRACT(CELL("address",D91), "\$([A-Z]+)\$[0-9]+"))</f>
        <v/>
      </c>
      <c r="E91" s="7" t="str" cm="1">
        <f t="array" aca="1" ref="E91" ca="1">IFERROR(IF(OR('Raw Data'!E91="",LEN(TRIM('Raw Data'!E91))=0),"",IF(AND(ISNUMBER('Raw Data'!E91), IFERROR('Raw Data'!E91 = ROUND('Raw Data'!E91, 2),FALSE)),"",_xlfn.REGEXEXTRACT(CELL("address",E91), "\$([A-Z]+)\$[0-9]+"))),_xlfn.REGEXEXTRACT(CELL("address",E91), "\$([A-Z]+)\$[0-9]+"))</f>
        <v/>
      </c>
      <c r="F91" s="7" t="str" cm="1">
        <f t="array" aca="1" ref="F91" ca="1">IFERROR(IF(OR('Raw Data'!F91="",LEN(TRIM('Raw Data'!F91))=0),"",IF(AND(ISNUMBER('Raw Data'!F91), IFERROR('Raw Data'!F91 = ROUND('Raw Data'!F91, 2),FALSE)),"",_xlfn.REGEXEXTRACT(CELL("address",F91), "\$([A-Z]+)\$[0-9]+"))),_xlfn.REGEXEXTRACT(CELL("address",F91), "\$([A-Z]+)\$[0-9]+"))</f>
        <v/>
      </c>
      <c r="G91" s="7" t="str" cm="1">
        <f t="array" aca="1" ref="G91" ca="1">IFERROR(IF(OR('Raw Data'!G91="",LEN(TRIM('Raw Data'!G91))=0),"",IF(LEN('Raw Data'!G91)&gt; 0,"",_xlfn.REGEXEXTRACT(CELL("address",'Raw Data'!G91),"\$([A-Z]+)\$[0-9]+"))),_xlfn.REGEXEXTRACT(CELL("address",'Raw Data'!G91),"\$([A-Z]+)\$[0-9]+"))</f>
        <v/>
      </c>
    </row>
    <row r="92" spans="2:7" x14ac:dyDescent="0.25">
      <c r="B92" s="7" t="str" cm="1">
        <f t="array" aca="1" ref="B92" ca="1">IFERROR(IF(OR('Raw Data'!B92="",LEN(TRIM('Raw Data'!B92))=0),"",IF(AND(LEN('Raw Data'!B92) &lt;= 20,LEN('Raw Data'!B92)&gt; 0),"",_xlfn.REGEXEXTRACT(CELL("address",'Raw Data'!B92),"\$([A-Z]+)\$[0-9]+"))),_xlfn.REGEXEXTRACT(CELL("address",'Raw Data'!B92),"\$([A-Z]+)\$[0-9]+"))</f>
        <v/>
      </c>
      <c r="C92" s="7" t="str" cm="1">
        <f t="array" aca="1" ref="C92" ca="1">IFERROR(IF(OR('Raw Data'!C92="",LEN(TRIM('Raw Data'!C92))=0),"",IF(AND(LEN('Raw Data'!C92) &lt;= 255,LEN('Raw Data'!C92)&gt; 0),"",_xlfn.REGEXEXTRACT(CELL("address",'Raw Data'!C92),"\$([A-Z]+)\$[0-9]+"))),_xlfn.REGEXEXTRACT(CELL("address",'Raw Data'!C92),"\$([A-Z]+)\$[0-9]+"))</f>
        <v/>
      </c>
      <c r="D92" s="7" t="str" cm="1">
        <f t="array" aca="1" ref="D92" ca="1">IFERROR(IF(OR('Raw Data'!D92="",LEN(TRIM('Raw Data'!D92))=0),"",IF(AND(ISNUMBER('Raw Data'!D92), IFERROR('Raw Data'!D92 = ROUND('Raw Data'!D92, 2),FALSE)),"",_xlfn.REGEXEXTRACT(CELL("address",D92), "\$([A-Z]+)\$[0-9]+"))),_xlfn.REGEXEXTRACT(CELL("address",D92), "\$([A-Z]+)\$[0-9]+"))</f>
        <v/>
      </c>
      <c r="E92" s="7" t="str" cm="1">
        <f t="array" aca="1" ref="E92" ca="1">IFERROR(IF(OR('Raw Data'!E92="",LEN(TRIM('Raw Data'!E92))=0),"",IF(AND(ISNUMBER('Raw Data'!E92), IFERROR('Raw Data'!E92 = ROUND('Raw Data'!E92, 2),FALSE)),"",_xlfn.REGEXEXTRACT(CELL("address",E92), "\$([A-Z]+)\$[0-9]+"))),_xlfn.REGEXEXTRACT(CELL("address",E92), "\$([A-Z]+)\$[0-9]+"))</f>
        <v/>
      </c>
      <c r="F92" s="7" t="str" cm="1">
        <f t="array" aca="1" ref="F92" ca="1">IFERROR(IF(OR('Raw Data'!F92="",LEN(TRIM('Raw Data'!F92))=0),"",IF(AND(ISNUMBER('Raw Data'!F92), IFERROR('Raw Data'!F92 = ROUND('Raw Data'!F92, 2),FALSE)),"",_xlfn.REGEXEXTRACT(CELL("address",F92), "\$([A-Z]+)\$[0-9]+"))),_xlfn.REGEXEXTRACT(CELL("address",F92), "\$([A-Z]+)\$[0-9]+"))</f>
        <v/>
      </c>
      <c r="G92" s="7" t="str" cm="1">
        <f t="array" aca="1" ref="G92" ca="1">IFERROR(IF(OR('Raw Data'!G92="",LEN(TRIM('Raw Data'!G92))=0),"",IF(LEN('Raw Data'!G92)&gt; 0,"",_xlfn.REGEXEXTRACT(CELL("address",'Raw Data'!G92),"\$([A-Z]+)\$[0-9]+"))),_xlfn.REGEXEXTRACT(CELL("address",'Raw Data'!G92),"\$([A-Z]+)\$[0-9]+"))</f>
        <v/>
      </c>
    </row>
    <row r="93" spans="2:7" x14ac:dyDescent="0.25">
      <c r="B93" s="7" t="str" cm="1">
        <f t="array" aca="1" ref="B93" ca="1">IFERROR(IF(OR('Raw Data'!B93="",LEN(TRIM('Raw Data'!B93))=0),"",IF(AND(LEN('Raw Data'!B93) &lt;= 20,LEN('Raw Data'!B93)&gt; 0),"",_xlfn.REGEXEXTRACT(CELL("address",'Raw Data'!B93),"\$([A-Z]+)\$[0-9]+"))),_xlfn.REGEXEXTRACT(CELL("address",'Raw Data'!B93),"\$([A-Z]+)\$[0-9]+"))</f>
        <v/>
      </c>
      <c r="C93" s="7" t="str" cm="1">
        <f t="array" aca="1" ref="C93" ca="1">IFERROR(IF(OR('Raw Data'!C93="",LEN(TRIM('Raw Data'!C93))=0),"",IF(AND(LEN('Raw Data'!C93) &lt;= 255,LEN('Raw Data'!C93)&gt; 0),"",_xlfn.REGEXEXTRACT(CELL("address",'Raw Data'!C93),"\$([A-Z]+)\$[0-9]+"))),_xlfn.REGEXEXTRACT(CELL("address",'Raw Data'!C93),"\$([A-Z]+)\$[0-9]+"))</f>
        <v/>
      </c>
      <c r="D93" s="7" t="str" cm="1">
        <f t="array" aca="1" ref="D93" ca="1">IFERROR(IF(OR('Raw Data'!D93="",LEN(TRIM('Raw Data'!D93))=0),"",IF(AND(ISNUMBER('Raw Data'!D93), IFERROR('Raw Data'!D93 = ROUND('Raw Data'!D93, 2),FALSE)),"",_xlfn.REGEXEXTRACT(CELL("address",D93), "\$([A-Z]+)\$[0-9]+"))),_xlfn.REGEXEXTRACT(CELL("address",D93), "\$([A-Z]+)\$[0-9]+"))</f>
        <v/>
      </c>
      <c r="E93" s="7" t="str" cm="1">
        <f t="array" aca="1" ref="E93" ca="1">IFERROR(IF(OR('Raw Data'!E93="",LEN(TRIM('Raw Data'!E93))=0),"",IF(AND(ISNUMBER('Raw Data'!E93), IFERROR('Raw Data'!E93 = ROUND('Raw Data'!E93, 2),FALSE)),"",_xlfn.REGEXEXTRACT(CELL("address",E93), "\$([A-Z]+)\$[0-9]+"))),_xlfn.REGEXEXTRACT(CELL("address",E93), "\$([A-Z]+)\$[0-9]+"))</f>
        <v/>
      </c>
      <c r="F93" s="7" t="str" cm="1">
        <f t="array" aca="1" ref="F93" ca="1">IFERROR(IF(OR('Raw Data'!F93="",LEN(TRIM('Raw Data'!F93))=0),"",IF(AND(ISNUMBER('Raw Data'!F93), IFERROR('Raw Data'!F93 = ROUND('Raw Data'!F93, 2),FALSE)),"",_xlfn.REGEXEXTRACT(CELL("address",F93), "\$([A-Z]+)\$[0-9]+"))),_xlfn.REGEXEXTRACT(CELL("address",F93), "\$([A-Z]+)\$[0-9]+"))</f>
        <v/>
      </c>
      <c r="G93" s="7" t="str" cm="1">
        <f t="array" aca="1" ref="G93" ca="1">IFERROR(IF(OR('Raw Data'!G93="",LEN(TRIM('Raw Data'!G93))=0),"",IF(LEN('Raw Data'!G93)&gt; 0,"",_xlfn.REGEXEXTRACT(CELL("address",'Raw Data'!G93),"\$([A-Z]+)\$[0-9]+"))),_xlfn.REGEXEXTRACT(CELL("address",'Raw Data'!G93),"\$([A-Z]+)\$[0-9]+"))</f>
        <v/>
      </c>
    </row>
    <row r="94" spans="2:7" x14ac:dyDescent="0.25">
      <c r="B94" s="7" t="str" cm="1">
        <f t="array" aca="1" ref="B94" ca="1">IFERROR(IF(OR('Raw Data'!B94="",LEN(TRIM('Raw Data'!B94))=0),"",IF(AND(LEN('Raw Data'!B94) &lt;= 20,LEN('Raw Data'!B94)&gt; 0),"",_xlfn.REGEXEXTRACT(CELL("address",'Raw Data'!B94),"\$([A-Z]+)\$[0-9]+"))),_xlfn.REGEXEXTRACT(CELL("address",'Raw Data'!B94),"\$([A-Z]+)\$[0-9]+"))</f>
        <v/>
      </c>
      <c r="C94" s="7" t="str" cm="1">
        <f t="array" aca="1" ref="C94" ca="1">IFERROR(IF(OR('Raw Data'!C94="",LEN(TRIM('Raw Data'!C94))=0),"",IF(AND(LEN('Raw Data'!C94) &lt;= 255,LEN('Raw Data'!C94)&gt; 0),"",_xlfn.REGEXEXTRACT(CELL("address",'Raw Data'!C94),"\$([A-Z]+)\$[0-9]+"))),_xlfn.REGEXEXTRACT(CELL("address",'Raw Data'!C94),"\$([A-Z]+)\$[0-9]+"))</f>
        <v/>
      </c>
      <c r="D94" s="7" t="str" cm="1">
        <f t="array" aca="1" ref="D94" ca="1">IFERROR(IF(OR('Raw Data'!D94="",LEN(TRIM('Raw Data'!D94))=0),"",IF(AND(ISNUMBER('Raw Data'!D94), IFERROR('Raw Data'!D94 = ROUND('Raw Data'!D94, 2),FALSE)),"",_xlfn.REGEXEXTRACT(CELL("address",D94), "\$([A-Z]+)\$[0-9]+"))),_xlfn.REGEXEXTRACT(CELL("address",D94), "\$([A-Z]+)\$[0-9]+"))</f>
        <v/>
      </c>
      <c r="E94" s="7" t="str" cm="1">
        <f t="array" aca="1" ref="E94" ca="1">IFERROR(IF(OR('Raw Data'!E94="",LEN(TRIM('Raw Data'!E94))=0),"",IF(AND(ISNUMBER('Raw Data'!E94), IFERROR('Raw Data'!E94 = ROUND('Raw Data'!E94, 2),FALSE)),"",_xlfn.REGEXEXTRACT(CELL("address",E94), "\$([A-Z]+)\$[0-9]+"))),_xlfn.REGEXEXTRACT(CELL("address",E94), "\$([A-Z]+)\$[0-9]+"))</f>
        <v/>
      </c>
      <c r="F94" s="7" t="str" cm="1">
        <f t="array" aca="1" ref="F94" ca="1">IFERROR(IF(OR('Raw Data'!F94="",LEN(TRIM('Raw Data'!F94))=0),"",IF(AND(ISNUMBER('Raw Data'!F94), IFERROR('Raw Data'!F94 = ROUND('Raw Data'!F94, 2),FALSE)),"",_xlfn.REGEXEXTRACT(CELL("address",F94), "\$([A-Z]+)\$[0-9]+"))),_xlfn.REGEXEXTRACT(CELL("address",F94), "\$([A-Z]+)\$[0-9]+"))</f>
        <v/>
      </c>
      <c r="G94" s="7" t="str" cm="1">
        <f t="array" aca="1" ref="G94" ca="1">IFERROR(IF(OR('Raw Data'!G94="",LEN(TRIM('Raw Data'!G94))=0),"",IF(LEN('Raw Data'!G94)&gt; 0,"",_xlfn.REGEXEXTRACT(CELL("address",'Raw Data'!G94),"\$([A-Z]+)\$[0-9]+"))),_xlfn.REGEXEXTRACT(CELL("address",'Raw Data'!G94),"\$([A-Z]+)\$[0-9]+"))</f>
        <v/>
      </c>
    </row>
    <row r="95" spans="2:7" x14ac:dyDescent="0.25">
      <c r="B95" s="7" t="str" cm="1">
        <f t="array" aca="1" ref="B95" ca="1">IFERROR(IF(OR('Raw Data'!B95="",LEN(TRIM('Raw Data'!B95))=0),"",IF(AND(LEN('Raw Data'!B95) &lt;= 20,LEN('Raw Data'!B95)&gt; 0),"",_xlfn.REGEXEXTRACT(CELL("address",'Raw Data'!B95),"\$([A-Z]+)\$[0-9]+"))),_xlfn.REGEXEXTRACT(CELL("address",'Raw Data'!B95),"\$([A-Z]+)\$[0-9]+"))</f>
        <v/>
      </c>
      <c r="C95" s="7" t="str" cm="1">
        <f t="array" aca="1" ref="C95" ca="1">IFERROR(IF(OR('Raw Data'!C95="",LEN(TRIM('Raw Data'!C95))=0),"",IF(AND(LEN('Raw Data'!C95) &lt;= 255,LEN('Raw Data'!C95)&gt; 0),"",_xlfn.REGEXEXTRACT(CELL("address",'Raw Data'!C95),"\$([A-Z]+)\$[0-9]+"))),_xlfn.REGEXEXTRACT(CELL("address",'Raw Data'!C95),"\$([A-Z]+)\$[0-9]+"))</f>
        <v/>
      </c>
      <c r="D95" s="7" t="str" cm="1">
        <f t="array" aca="1" ref="D95" ca="1">IFERROR(IF(OR('Raw Data'!D95="",LEN(TRIM('Raw Data'!D95))=0),"",IF(AND(ISNUMBER('Raw Data'!D95), IFERROR('Raw Data'!D95 = ROUND('Raw Data'!D95, 2),FALSE)),"",_xlfn.REGEXEXTRACT(CELL("address",D95), "\$([A-Z]+)\$[0-9]+"))),_xlfn.REGEXEXTRACT(CELL("address",D95), "\$([A-Z]+)\$[0-9]+"))</f>
        <v/>
      </c>
      <c r="E95" s="7" t="str" cm="1">
        <f t="array" aca="1" ref="E95" ca="1">IFERROR(IF(OR('Raw Data'!E95="",LEN(TRIM('Raw Data'!E95))=0),"",IF(AND(ISNUMBER('Raw Data'!E95), IFERROR('Raw Data'!E95 = ROUND('Raw Data'!E95, 2),FALSE)),"",_xlfn.REGEXEXTRACT(CELL("address",E95), "\$([A-Z]+)\$[0-9]+"))),_xlfn.REGEXEXTRACT(CELL("address",E95), "\$([A-Z]+)\$[0-9]+"))</f>
        <v/>
      </c>
      <c r="F95" s="7" t="str" cm="1">
        <f t="array" aca="1" ref="F95" ca="1">IFERROR(IF(OR('Raw Data'!F95="",LEN(TRIM('Raw Data'!F95))=0),"",IF(AND(ISNUMBER('Raw Data'!F95), IFERROR('Raw Data'!F95 = ROUND('Raw Data'!F95, 2),FALSE)),"",_xlfn.REGEXEXTRACT(CELL("address",F95), "\$([A-Z]+)\$[0-9]+"))),_xlfn.REGEXEXTRACT(CELL("address",F95), "\$([A-Z]+)\$[0-9]+"))</f>
        <v/>
      </c>
      <c r="G95" s="7" t="str" cm="1">
        <f t="array" aca="1" ref="G95" ca="1">IFERROR(IF(OR('Raw Data'!G95="",LEN(TRIM('Raw Data'!G95))=0),"",IF(LEN('Raw Data'!G95)&gt; 0,"",_xlfn.REGEXEXTRACT(CELL("address",'Raw Data'!G95),"\$([A-Z]+)\$[0-9]+"))),_xlfn.REGEXEXTRACT(CELL("address",'Raw Data'!G95),"\$([A-Z]+)\$[0-9]+"))</f>
        <v/>
      </c>
    </row>
    <row r="96" spans="2:7" x14ac:dyDescent="0.25">
      <c r="B96" s="7" t="str" cm="1">
        <f t="array" aca="1" ref="B96" ca="1">IFERROR(IF(OR('Raw Data'!B96="",LEN(TRIM('Raw Data'!B96))=0),"",IF(AND(LEN('Raw Data'!B96) &lt;= 20,LEN('Raw Data'!B96)&gt; 0),"",_xlfn.REGEXEXTRACT(CELL("address",'Raw Data'!B96),"\$([A-Z]+)\$[0-9]+"))),_xlfn.REGEXEXTRACT(CELL("address",'Raw Data'!B96),"\$([A-Z]+)\$[0-9]+"))</f>
        <v/>
      </c>
      <c r="C96" s="7" t="str" cm="1">
        <f t="array" aca="1" ref="C96" ca="1">IFERROR(IF(OR('Raw Data'!C96="",LEN(TRIM('Raw Data'!C96))=0),"",IF(AND(LEN('Raw Data'!C96) &lt;= 255,LEN('Raw Data'!C96)&gt; 0),"",_xlfn.REGEXEXTRACT(CELL("address",'Raw Data'!C96),"\$([A-Z]+)\$[0-9]+"))),_xlfn.REGEXEXTRACT(CELL("address",'Raw Data'!C96),"\$([A-Z]+)\$[0-9]+"))</f>
        <v/>
      </c>
      <c r="D96" s="7" t="str" cm="1">
        <f t="array" aca="1" ref="D96" ca="1">IFERROR(IF(OR('Raw Data'!D96="",LEN(TRIM('Raw Data'!D96))=0),"",IF(AND(ISNUMBER('Raw Data'!D96), IFERROR('Raw Data'!D96 = ROUND('Raw Data'!D96, 2),FALSE)),"",_xlfn.REGEXEXTRACT(CELL("address",D96), "\$([A-Z]+)\$[0-9]+"))),_xlfn.REGEXEXTRACT(CELL("address",D96), "\$([A-Z]+)\$[0-9]+"))</f>
        <v/>
      </c>
      <c r="E96" s="7" t="str" cm="1">
        <f t="array" aca="1" ref="E96" ca="1">IFERROR(IF(OR('Raw Data'!E96="",LEN(TRIM('Raw Data'!E96))=0),"",IF(AND(ISNUMBER('Raw Data'!E96), IFERROR('Raw Data'!E96 = ROUND('Raw Data'!E96, 2),FALSE)),"",_xlfn.REGEXEXTRACT(CELL("address",E96), "\$([A-Z]+)\$[0-9]+"))),_xlfn.REGEXEXTRACT(CELL("address",E96), "\$([A-Z]+)\$[0-9]+"))</f>
        <v/>
      </c>
      <c r="F96" s="7" t="str" cm="1">
        <f t="array" aca="1" ref="F96" ca="1">IFERROR(IF(OR('Raw Data'!F96="",LEN(TRIM('Raw Data'!F96))=0),"",IF(AND(ISNUMBER('Raw Data'!F96), IFERROR('Raw Data'!F96 = ROUND('Raw Data'!F96, 2),FALSE)),"",_xlfn.REGEXEXTRACT(CELL("address",F96), "\$([A-Z]+)\$[0-9]+"))),_xlfn.REGEXEXTRACT(CELL("address",F96), "\$([A-Z]+)\$[0-9]+"))</f>
        <v/>
      </c>
      <c r="G96" s="7" t="str" cm="1">
        <f t="array" aca="1" ref="G96" ca="1">IFERROR(IF(OR('Raw Data'!G96="",LEN(TRIM('Raw Data'!G96))=0),"",IF(LEN('Raw Data'!G96)&gt; 0,"",_xlfn.REGEXEXTRACT(CELL("address",'Raw Data'!G96),"\$([A-Z]+)\$[0-9]+"))),_xlfn.REGEXEXTRACT(CELL("address",'Raw Data'!G96),"\$([A-Z]+)\$[0-9]+"))</f>
        <v/>
      </c>
    </row>
    <row r="97" spans="2:7" x14ac:dyDescent="0.25">
      <c r="B97" s="7" t="str" cm="1">
        <f t="array" aca="1" ref="B97" ca="1">IFERROR(IF(OR('Raw Data'!B97="",LEN(TRIM('Raw Data'!B97))=0),"",IF(AND(LEN('Raw Data'!B97) &lt;= 20,LEN('Raw Data'!B97)&gt; 0),"",_xlfn.REGEXEXTRACT(CELL("address",'Raw Data'!B97),"\$([A-Z]+)\$[0-9]+"))),_xlfn.REGEXEXTRACT(CELL("address",'Raw Data'!B97),"\$([A-Z]+)\$[0-9]+"))</f>
        <v/>
      </c>
      <c r="C97" s="7" t="str" cm="1">
        <f t="array" aca="1" ref="C97" ca="1">IFERROR(IF(OR('Raw Data'!C97="",LEN(TRIM('Raw Data'!C97))=0),"",IF(AND(LEN('Raw Data'!C97) &lt;= 255,LEN('Raw Data'!C97)&gt; 0),"",_xlfn.REGEXEXTRACT(CELL("address",'Raw Data'!C97),"\$([A-Z]+)\$[0-9]+"))),_xlfn.REGEXEXTRACT(CELL("address",'Raw Data'!C97),"\$([A-Z]+)\$[0-9]+"))</f>
        <v/>
      </c>
      <c r="D97" s="7" t="str" cm="1">
        <f t="array" aca="1" ref="D97" ca="1">IFERROR(IF(OR('Raw Data'!D97="",LEN(TRIM('Raw Data'!D97))=0),"",IF(AND(ISNUMBER('Raw Data'!D97), IFERROR('Raw Data'!D97 = ROUND('Raw Data'!D97, 2),FALSE)),"",_xlfn.REGEXEXTRACT(CELL("address",D97), "\$([A-Z]+)\$[0-9]+"))),_xlfn.REGEXEXTRACT(CELL("address",D97), "\$([A-Z]+)\$[0-9]+"))</f>
        <v/>
      </c>
      <c r="E97" s="7" t="str" cm="1">
        <f t="array" aca="1" ref="E97" ca="1">IFERROR(IF(OR('Raw Data'!E97="",LEN(TRIM('Raw Data'!E97))=0),"",IF(AND(ISNUMBER('Raw Data'!E97), IFERROR('Raw Data'!E97 = ROUND('Raw Data'!E97, 2),FALSE)),"",_xlfn.REGEXEXTRACT(CELL("address",E97), "\$([A-Z]+)\$[0-9]+"))),_xlfn.REGEXEXTRACT(CELL("address",E97), "\$([A-Z]+)\$[0-9]+"))</f>
        <v/>
      </c>
      <c r="F97" s="7" t="str" cm="1">
        <f t="array" aca="1" ref="F97" ca="1">IFERROR(IF(OR('Raw Data'!F97="",LEN(TRIM('Raw Data'!F97))=0),"",IF(AND(ISNUMBER('Raw Data'!F97), IFERROR('Raw Data'!F97 = ROUND('Raw Data'!F97, 2),FALSE)),"",_xlfn.REGEXEXTRACT(CELL("address",F97), "\$([A-Z]+)\$[0-9]+"))),_xlfn.REGEXEXTRACT(CELL("address",F97), "\$([A-Z]+)\$[0-9]+"))</f>
        <v/>
      </c>
      <c r="G97" s="7" t="str" cm="1">
        <f t="array" aca="1" ref="G97" ca="1">IFERROR(IF(OR('Raw Data'!G97="",LEN(TRIM('Raw Data'!G97))=0),"",IF(LEN('Raw Data'!G97)&gt; 0,"",_xlfn.REGEXEXTRACT(CELL("address",'Raw Data'!G97),"\$([A-Z]+)\$[0-9]+"))),_xlfn.REGEXEXTRACT(CELL("address",'Raw Data'!G97),"\$([A-Z]+)\$[0-9]+"))</f>
        <v/>
      </c>
    </row>
    <row r="98" spans="2:7" x14ac:dyDescent="0.25">
      <c r="B98" s="7" t="str" cm="1">
        <f t="array" aca="1" ref="B98" ca="1">IFERROR(IF(OR('Raw Data'!B98="",LEN(TRIM('Raw Data'!B98))=0),"",IF(AND(LEN('Raw Data'!B98) &lt;= 20,LEN('Raw Data'!B98)&gt; 0),"",_xlfn.REGEXEXTRACT(CELL("address",'Raw Data'!B98),"\$([A-Z]+)\$[0-9]+"))),_xlfn.REGEXEXTRACT(CELL("address",'Raw Data'!B98),"\$([A-Z]+)\$[0-9]+"))</f>
        <v/>
      </c>
      <c r="C98" s="7" t="str" cm="1">
        <f t="array" aca="1" ref="C98" ca="1">IFERROR(IF(OR('Raw Data'!C98="",LEN(TRIM('Raw Data'!C98))=0),"",IF(AND(LEN('Raw Data'!C98) &lt;= 255,LEN('Raw Data'!C98)&gt; 0),"",_xlfn.REGEXEXTRACT(CELL("address",'Raw Data'!C98),"\$([A-Z]+)\$[0-9]+"))),_xlfn.REGEXEXTRACT(CELL("address",'Raw Data'!C98),"\$([A-Z]+)\$[0-9]+"))</f>
        <v/>
      </c>
      <c r="D98" s="7" t="str" cm="1">
        <f t="array" aca="1" ref="D98" ca="1">IFERROR(IF(OR('Raw Data'!D98="",LEN(TRIM('Raw Data'!D98))=0),"",IF(AND(ISNUMBER('Raw Data'!D98), IFERROR('Raw Data'!D98 = ROUND('Raw Data'!D98, 2),FALSE)),"",_xlfn.REGEXEXTRACT(CELL("address",D98), "\$([A-Z]+)\$[0-9]+"))),_xlfn.REGEXEXTRACT(CELL("address",D98), "\$([A-Z]+)\$[0-9]+"))</f>
        <v/>
      </c>
      <c r="E98" s="7" t="str" cm="1">
        <f t="array" aca="1" ref="E98" ca="1">IFERROR(IF(OR('Raw Data'!E98="",LEN(TRIM('Raw Data'!E98))=0),"",IF(AND(ISNUMBER('Raw Data'!E98), IFERROR('Raw Data'!E98 = ROUND('Raw Data'!E98, 2),FALSE)),"",_xlfn.REGEXEXTRACT(CELL("address",E98), "\$([A-Z]+)\$[0-9]+"))),_xlfn.REGEXEXTRACT(CELL("address",E98), "\$([A-Z]+)\$[0-9]+"))</f>
        <v/>
      </c>
      <c r="F98" s="7" t="str" cm="1">
        <f t="array" aca="1" ref="F98" ca="1">IFERROR(IF(OR('Raw Data'!F98="",LEN(TRIM('Raw Data'!F98))=0),"",IF(AND(ISNUMBER('Raw Data'!F98), IFERROR('Raw Data'!F98 = ROUND('Raw Data'!F98, 2),FALSE)),"",_xlfn.REGEXEXTRACT(CELL("address",F98), "\$([A-Z]+)\$[0-9]+"))),_xlfn.REGEXEXTRACT(CELL("address",F98), "\$([A-Z]+)\$[0-9]+"))</f>
        <v/>
      </c>
      <c r="G98" s="7" t="str" cm="1">
        <f t="array" aca="1" ref="G98" ca="1">IFERROR(IF(OR('Raw Data'!G98="",LEN(TRIM('Raw Data'!G98))=0),"",IF(LEN('Raw Data'!G98)&gt; 0,"",_xlfn.REGEXEXTRACT(CELL("address",'Raw Data'!G98),"\$([A-Z]+)\$[0-9]+"))),_xlfn.REGEXEXTRACT(CELL("address",'Raw Data'!G98),"\$([A-Z]+)\$[0-9]+"))</f>
        <v/>
      </c>
    </row>
    <row r="99" spans="2:7" x14ac:dyDescent="0.25">
      <c r="B99" s="7" t="str" cm="1">
        <f t="array" aca="1" ref="B99" ca="1">IFERROR(IF(OR('Raw Data'!B99="",LEN(TRIM('Raw Data'!B99))=0),"",IF(AND(LEN('Raw Data'!B99) &lt;= 20,LEN('Raw Data'!B99)&gt; 0),"",_xlfn.REGEXEXTRACT(CELL("address",'Raw Data'!B99),"\$([A-Z]+)\$[0-9]+"))),_xlfn.REGEXEXTRACT(CELL("address",'Raw Data'!B99),"\$([A-Z]+)\$[0-9]+"))</f>
        <v/>
      </c>
      <c r="C99" s="7" t="str" cm="1">
        <f t="array" aca="1" ref="C99" ca="1">IFERROR(IF(OR('Raw Data'!C99="",LEN(TRIM('Raw Data'!C99))=0),"",IF(AND(LEN('Raw Data'!C99) &lt;= 255,LEN('Raw Data'!C99)&gt; 0),"",_xlfn.REGEXEXTRACT(CELL("address",'Raw Data'!C99),"\$([A-Z]+)\$[0-9]+"))),_xlfn.REGEXEXTRACT(CELL("address",'Raw Data'!C99),"\$([A-Z]+)\$[0-9]+"))</f>
        <v/>
      </c>
      <c r="D99" s="7" t="str" cm="1">
        <f t="array" aca="1" ref="D99" ca="1">IFERROR(IF(OR('Raw Data'!D99="",LEN(TRIM('Raw Data'!D99))=0),"",IF(AND(ISNUMBER('Raw Data'!D99), IFERROR('Raw Data'!D99 = ROUND('Raw Data'!D99, 2),FALSE)),"",_xlfn.REGEXEXTRACT(CELL("address",D99), "\$([A-Z]+)\$[0-9]+"))),_xlfn.REGEXEXTRACT(CELL("address",D99), "\$([A-Z]+)\$[0-9]+"))</f>
        <v/>
      </c>
      <c r="E99" s="7" t="str" cm="1">
        <f t="array" aca="1" ref="E99" ca="1">IFERROR(IF(OR('Raw Data'!E99="",LEN(TRIM('Raw Data'!E99))=0),"",IF(AND(ISNUMBER('Raw Data'!E99), IFERROR('Raw Data'!E99 = ROUND('Raw Data'!E99, 2),FALSE)),"",_xlfn.REGEXEXTRACT(CELL("address",E99), "\$([A-Z]+)\$[0-9]+"))),_xlfn.REGEXEXTRACT(CELL("address",E99), "\$([A-Z]+)\$[0-9]+"))</f>
        <v/>
      </c>
      <c r="F99" s="7" t="str" cm="1">
        <f t="array" aca="1" ref="F99" ca="1">IFERROR(IF(OR('Raw Data'!F99="",LEN(TRIM('Raw Data'!F99))=0),"",IF(AND(ISNUMBER('Raw Data'!F99), IFERROR('Raw Data'!F99 = ROUND('Raw Data'!F99, 2),FALSE)),"",_xlfn.REGEXEXTRACT(CELL("address",F99), "\$([A-Z]+)\$[0-9]+"))),_xlfn.REGEXEXTRACT(CELL("address",F99), "\$([A-Z]+)\$[0-9]+"))</f>
        <v/>
      </c>
      <c r="G99" s="7" t="str" cm="1">
        <f t="array" aca="1" ref="G99" ca="1">IFERROR(IF(OR('Raw Data'!G99="",LEN(TRIM('Raw Data'!G99))=0),"",IF(LEN('Raw Data'!G99)&gt; 0,"",_xlfn.REGEXEXTRACT(CELL("address",'Raw Data'!G99),"\$([A-Z]+)\$[0-9]+"))),_xlfn.REGEXEXTRACT(CELL("address",'Raw Data'!G99),"\$([A-Z]+)\$[0-9]+"))</f>
        <v/>
      </c>
    </row>
    <row r="100" spans="2:7" x14ac:dyDescent="0.25">
      <c r="B100" s="7" t="str" cm="1">
        <f t="array" aca="1" ref="B100" ca="1">IFERROR(IF(OR('Raw Data'!B100="",LEN(TRIM('Raw Data'!B100))=0),"",IF(AND(LEN('Raw Data'!B100) &lt;= 20,LEN('Raw Data'!B100)&gt; 0),"",_xlfn.REGEXEXTRACT(CELL("address",'Raw Data'!B100),"\$([A-Z]+)\$[0-9]+"))),_xlfn.REGEXEXTRACT(CELL("address",'Raw Data'!B100),"\$([A-Z]+)\$[0-9]+"))</f>
        <v/>
      </c>
      <c r="C100" s="7" t="str" cm="1">
        <f t="array" aca="1" ref="C100" ca="1">IFERROR(IF(OR('Raw Data'!C100="",LEN(TRIM('Raw Data'!C100))=0),"",IF(AND(LEN('Raw Data'!C100) &lt;= 255,LEN('Raw Data'!C100)&gt; 0),"",_xlfn.REGEXEXTRACT(CELL("address",'Raw Data'!C100),"\$([A-Z]+)\$[0-9]+"))),_xlfn.REGEXEXTRACT(CELL("address",'Raw Data'!C100),"\$([A-Z]+)\$[0-9]+"))</f>
        <v/>
      </c>
      <c r="D100" s="7" t="str" cm="1">
        <f t="array" aca="1" ref="D100" ca="1">IFERROR(IF(OR('Raw Data'!D100="",LEN(TRIM('Raw Data'!D100))=0),"",IF(AND(ISNUMBER('Raw Data'!D100), IFERROR('Raw Data'!D100 = ROUND('Raw Data'!D100, 2),FALSE)),"",_xlfn.REGEXEXTRACT(CELL("address",D100), "\$([A-Z]+)\$[0-9]+"))),_xlfn.REGEXEXTRACT(CELL("address",D100), "\$([A-Z]+)\$[0-9]+"))</f>
        <v/>
      </c>
      <c r="E100" s="7" t="str" cm="1">
        <f t="array" aca="1" ref="E100" ca="1">IFERROR(IF(OR('Raw Data'!E100="",LEN(TRIM('Raw Data'!E100))=0),"",IF(AND(ISNUMBER('Raw Data'!E100), IFERROR('Raw Data'!E100 = ROUND('Raw Data'!E100, 2),FALSE)),"",_xlfn.REGEXEXTRACT(CELL("address",E100), "\$([A-Z]+)\$[0-9]+"))),_xlfn.REGEXEXTRACT(CELL("address",E100), "\$([A-Z]+)\$[0-9]+"))</f>
        <v/>
      </c>
      <c r="F100" s="7" t="str" cm="1">
        <f t="array" aca="1" ref="F100" ca="1">IFERROR(IF(OR('Raw Data'!F100="",LEN(TRIM('Raw Data'!F100))=0),"",IF(AND(ISNUMBER('Raw Data'!F100), IFERROR('Raw Data'!F100 = ROUND('Raw Data'!F100, 2),FALSE)),"",_xlfn.REGEXEXTRACT(CELL("address",F100), "\$([A-Z]+)\$[0-9]+"))),_xlfn.REGEXEXTRACT(CELL("address",F100), "\$([A-Z]+)\$[0-9]+"))</f>
        <v/>
      </c>
      <c r="G100" s="7" t="str" cm="1">
        <f t="array" aca="1" ref="G100" ca="1">IFERROR(IF(OR('Raw Data'!G100="",LEN(TRIM('Raw Data'!G100))=0),"",IF(LEN('Raw Data'!G100)&gt; 0,"",_xlfn.REGEXEXTRACT(CELL("address",'Raw Data'!G100),"\$([A-Z]+)\$[0-9]+"))),_xlfn.REGEXEXTRACT(CELL("address",'Raw Data'!G100),"\$([A-Z]+)\$[0-9]+"))</f>
        <v/>
      </c>
    </row>
    <row r="101" spans="2:7" x14ac:dyDescent="0.25">
      <c r="B101" s="7" t="str" cm="1">
        <f t="array" aca="1" ref="B101" ca="1">IFERROR(IF(OR('Raw Data'!B101="",LEN(TRIM('Raw Data'!B101))=0),"",IF(AND(LEN('Raw Data'!B101) &lt;= 20,LEN('Raw Data'!B101)&gt; 0),"",_xlfn.REGEXEXTRACT(CELL("address",'Raw Data'!B101),"\$([A-Z]+)\$[0-9]+"))),_xlfn.REGEXEXTRACT(CELL("address",'Raw Data'!B101),"\$([A-Z]+)\$[0-9]+"))</f>
        <v/>
      </c>
      <c r="C101" s="7" t="str" cm="1">
        <f t="array" aca="1" ref="C101" ca="1">IFERROR(IF(OR('Raw Data'!C101="",LEN(TRIM('Raw Data'!C101))=0),"",IF(AND(LEN('Raw Data'!C101) &lt;= 255,LEN('Raw Data'!C101)&gt; 0),"",_xlfn.REGEXEXTRACT(CELL("address",'Raw Data'!C101),"\$([A-Z]+)\$[0-9]+"))),_xlfn.REGEXEXTRACT(CELL("address",'Raw Data'!C101),"\$([A-Z]+)\$[0-9]+"))</f>
        <v/>
      </c>
      <c r="D101" s="7" t="str" cm="1">
        <f t="array" aca="1" ref="D101" ca="1">IFERROR(IF(OR('Raw Data'!D101="",LEN(TRIM('Raw Data'!D101))=0),"",IF(AND(ISNUMBER('Raw Data'!D101), IFERROR('Raw Data'!D101 = ROUND('Raw Data'!D101, 2),FALSE)),"",_xlfn.REGEXEXTRACT(CELL("address",D101), "\$([A-Z]+)\$[0-9]+"))),_xlfn.REGEXEXTRACT(CELL("address",D101), "\$([A-Z]+)\$[0-9]+"))</f>
        <v/>
      </c>
      <c r="E101" s="7" t="str" cm="1">
        <f t="array" aca="1" ref="E101" ca="1">IFERROR(IF(OR('Raw Data'!E101="",LEN(TRIM('Raw Data'!E101))=0),"",IF(AND(ISNUMBER('Raw Data'!E101), IFERROR('Raw Data'!E101 = ROUND('Raw Data'!E101, 2),FALSE)),"",_xlfn.REGEXEXTRACT(CELL("address",E101), "\$([A-Z]+)\$[0-9]+"))),_xlfn.REGEXEXTRACT(CELL("address",E101), "\$([A-Z]+)\$[0-9]+"))</f>
        <v/>
      </c>
      <c r="F101" s="7" t="str" cm="1">
        <f t="array" aca="1" ref="F101" ca="1">IFERROR(IF(OR('Raw Data'!F101="",LEN(TRIM('Raw Data'!F101))=0),"",IF(AND(ISNUMBER('Raw Data'!F101), IFERROR('Raw Data'!F101 = ROUND('Raw Data'!F101, 2),FALSE)),"",_xlfn.REGEXEXTRACT(CELL("address",F101), "\$([A-Z]+)\$[0-9]+"))),_xlfn.REGEXEXTRACT(CELL("address",F101), "\$([A-Z]+)\$[0-9]+"))</f>
        <v/>
      </c>
      <c r="G101" s="7" t="str" cm="1">
        <f t="array" aca="1" ref="G101" ca="1">IFERROR(IF(OR('Raw Data'!G101="",LEN(TRIM('Raw Data'!G101))=0),"",IF(LEN('Raw Data'!G101)&gt; 0,"",_xlfn.REGEXEXTRACT(CELL("address",'Raw Data'!G101),"\$([A-Z]+)\$[0-9]+"))),_xlfn.REGEXEXTRACT(CELL("address",'Raw Data'!G101),"\$([A-Z]+)\$[0-9]+"))</f>
        <v/>
      </c>
    </row>
    <row r="102" spans="2:7" x14ac:dyDescent="0.25">
      <c r="B102" s="7" t="str" cm="1">
        <f t="array" aca="1" ref="B102" ca="1">IFERROR(IF(OR('Raw Data'!B102="",LEN(TRIM('Raw Data'!B102))=0),"",IF(AND(LEN('Raw Data'!B102) &lt;= 20,LEN('Raw Data'!B102)&gt; 0),"",_xlfn.REGEXEXTRACT(CELL("address",'Raw Data'!B102),"\$([A-Z]+)\$[0-9]+"))),_xlfn.REGEXEXTRACT(CELL("address",'Raw Data'!B102),"\$([A-Z]+)\$[0-9]+"))</f>
        <v/>
      </c>
      <c r="C102" s="7" t="str" cm="1">
        <f t="array" aca="1" ref="C102" ca="1">IFERROR(IF(OR('Raw Data'!C102="",LEN(TRIM('Raw Data'!C102))=0),"",IF(AND(LEN('Raw Data'!C102) &lt;= 255,LEN('Raw Data'!C102)&gt; 0),"",_xlfn.REGEXEXTRACT(CELL("address",'Raw Data'!C102),"\$([A-Z]+)\$[0-9]+"))),_xlfn.REGEXEXTRACT(CELL("address",'Raw Data'!C102),"\$([A-Z]+)\$[0-9]+"))</f>
        <v/>
      </c>
      <c r="D102" s="7" t="str" cm="1">
        <f t="array" aca="1" ref="D102" ca="1">IFERROR(IF(OR('Raw Data'!D102="",LEN(TRIM('Raw Data'!D102))=0),"",IF(AND(ISNUMBER('Raw Data'!D102), IFERROR('Raw Data'!D102 = ROUND('Raw Data'!D102, 2),FALSE)),"",_xlfn.REGEXEXTRACT(CELL("address",D102), "\$([A-Z]+)\$[0-9]+"))),_xlfn.REGEXEXTRACT(CELL("address",D102), "\$([A-Z]+)\$[0-9]+"))</f>
        <v/>
      </c>
      <c r="E102" s="7" t="str" cm="1">
        <f t="array" aca="1" ref="E102" ca="1">IFERROR(IF(OR('Raw Data'!E102="",LEN(TRIM('Raw Data'!E102))=0),"",IF(AND(ISNUMBER('Raw Data'!E102), IFERROR('Raw Data'!E102 = ROUND('Raw Data'!E102, 2),FALSE)),"",_xlfn.REGEXEXTRACT(CELL("address",E102), "\$([A-Z]+)\$[0-9]+"))),_xlfn.REGEXEXTRACT(CELL("address",E102), "\$([A-Z]+)\$[0-9]+"))</f>
        <v/>
      </c>
      <c r="F102" s="7" t="str" cm="1">
        <f t="array" aca="1" ref="F102" ca="1">IFERROR(IF(OR('Raw Data'!F102="",LEN(TRIM('Raw Data'!F102))=0),"",IF(AND(ISNUMBER('Raw Data'!F102), IFERROR('Raw Data'!F102 = ROUND('Raw Data'!F102, 2),FALSE)),"",_xlfn.REGEXEXTRACT(CELL("address",F102), "\$([A-Z]+)\$[0-9]+"))),_xlfn.REGEXEXTRACT(CELL("address",F102), "\$([A-Z]+)\$[0-9]+"))</f>
        <v/>
      </c>
      <c r="G102" s="7" t="str" cm="1">
        <f t="array" aca="1" ref="G102" ca="1">IFERROR(IF(OR('Raw Data'!G102="",LEN(TRIM('Raw Data'!G102))=0),"",IF(LEN('Raw Data'!G102)&gt; 0,"",_xlfn.REGEXEXTRACT(CELL("address",'Raw Data'!G102),"\$([A-Z]+)\$[0-9]+"))),_xlfn.REGEXEXTRACT(CELL("address",'Raw Data'!G102),"\$([A-Z]+)\$[0-9]+"))</f>
        <v/>
      </c>
    </row>
    <row r="103" spans="2:7" x14ac:dyDescent="0.25">
      <c r="B103" s="7" t="str" cm="1">
        <f t="array" aca="1" ref="B103" ca="1">IFERROR(IF(OR('Raw Data'!B103="",LEN(TRIM('Raw Data'!B103))=0),"",IF(AND(LEN('Raw Data'!B103) &lt;= 20,LEN('Raw Data'!B103)&gt; 0),"",_xlfn.REGEXEXTRACT(CELL("address",'Raw Data'!B103),"\$([A-Z]+)\$[0-9]+"))),_xlfn.REGEXEXTRACT(CELL("address",'Raw Data'!B103),"\$([A-Z]+)\$[0-9]+"))</f>
        <v/>
      </c>
      <c r="C103" s="7" t="str" cm="1">
        <f t="array" aca="1" ref="C103" ca="1">IFERROR(IF(OR('Raw Data'!C103="",LEN(TRIM('Raw Data'!C103))=0),"",IF(AND(LEN('Raw Data'!C103) &lt;= 255,LEN('Raw Data'!C103)&gt; 0),"",_xlfn.REGEXEXTRACT(CELL("address",'Raw Data'!C103),"\$([A-Z]+)\$[0-9]+"))),_xlfn.REGEXEXTRACT(CELL("address",'Raw Data'!C103),"\$([A-Z]+)\$[0-9]+"))</f>
        <v/>
      </c>
      <c r="D103" s="7" t="str" cm="1">
        <f t="array" aca="1" ref="D103" ca="1">IFERROR(IF(OR('Raw Data'!D103="",LEN(TRIM('Raw Data'!D103))=0),"",IF(AND(ISNUMBER('Raw Data'!D103), IFERROR('Raw Data'!D103 = ROUND('Raw Data'!D103, 2),FALSE)),"",_xlfn.REGEXEXTRACT(CELL("address",D103), "\$([A-Z]+)\$[0-9]+"))),_xlfn.REGEXEXTRACT(CELL("address",D103), "\$([A-Z]+)\$[0-9]+"))</f>
        <v/>
      </c>
      <c r="E103" s="7" t="str" cm="1">
        <f t="array" aca="1" ref="E103" ca="1">IFERROR(IF(OR('Raw Data'!E103="",LEN(TRIM('Raw Data'!E103))=0),"",IF(AND(ISNUMBER('Raw Data'!E103), IFERROR('Raw Data'!E103 = ROUND('Raw Data'!E103, 2),FALSE)),"",_xlfn.REGEXEXTRACT(CELL("address",E103), "\$([A-Z]+)\$[0-9]+"))),_xlfn.REGEXEXTRACT(CELL("address",E103), "\$([A-Z]+)\$[0-9]+"))</f>
        <v/>
      </c>
      <c r="F103" s="7" t="str" cm="1">
        <f t="array" aca="1" ref="F103" ca="1">IFERROR(IF(OR('Raw Data'!F103="",LEN(TRIM('Raw Data'!F103))=0),"",IF(AND(ISNUMBER('Raw Data'!F103), IFERROR('Raw Data'!F103 = ROUND('Raw Data'!F103, 2),FALSE)),"",_xlfn.REGEXEXTRACT(CELL("address",F103), "\$([A-Z]+)\$[0-9]+"))),_xlfn.REGEXEXTRACT(CELL("address",F103), "\$([A-Z]+)\$[0-9]+"))</f>
        <v/>
      </c>
      <c r="G103" s="7" t="str" cm="1">
        <f t="array" aca="1" ref="G103" ca="1">IFERROR(IF(OR('Raw Data'!G103="",LEN(TRIM('Raw Data'!G103))=0),"",IF(LEN('Raw Data'!G103)&gt; 0,"",_xlfn.REGEXEXTRACT(CELL("address",'Raw Data'!G103),"\$([A-Z]+)\$[0-9]+"))),_xlfn.REGEXEXTRACT(CELL("address",'Raw Data'!G103),"\$([A-Z]+)\$[0-9]+"))</f>
        <v/>
      </c>
    </row>
    <row r="104" spans="2:7" x14ac:dyDescent="0.25">
      <c r="B104" s="7" t="str" cm="1">
        <f t="array" aca="1" ref="B104" ca="1">IFERROR(IF(OR('Raw Data'!B104="",LEN(TRIM('Raw Data'!B104))=0),"",IF(AND(LEN('Raw Data'!B104) &lt;= 20,LEN('Raw Data'!B104)&gt; 0),"",_xlfn.REGEXEXTRACT(CELL("address",'Raw Data'!B104),"\$([A-Z]+)\$[0-9]+"))),_xlfn.REGEXEXTRACT(CELL("address",'Raw Data'!B104),"\$([A-Z]+)\$[0-9]+"))</f>
        <v/>
      </c>
      <c r="C104" s="7" t="str" cm="1">
        <f t="array" aca="1" ref="C104" ca="1">IFERROR(IF(OR('Raw Data'!C104="",LEN(TRIM('Raw Data'!C104))=0),"",IF(AND(LEN('Raw Data'!C104) &lt;= 255,LEN('Raw Data'!C104)&gt; 0),"",_xlfn.REGEXEXTRACT(CELL("address",'Raw Data'!C104),"\$([A-Z]+)\$[0-9]+"))),_xlfn.REGEXEXTRACT(CELL("address",'Raw Data'!C104),"\$([A-Z]+)\$[0-9]+"))</f>
        <v/>
      </c>
      <c r="D104" s="7" t="str" cm="1">
        <f t="array" aca="1" ref="D104" ca="1">IFERROR(IF(OR('Raw Data'!D104="",LEN(TRIM('Raw Data'!D104))=0),"",IF(AND(ISNUMBER('Raw Data'!D104), IFERROR('Raw Data'!D104 = ROUND('Raw Data'!D104, 2),FALSE)),"",_xlfn.REGEXEXTRACT(CELL("address",D104), "\$([A-Z]+)\$[0-9]+"))),_xlfn.REGEXEXTRACT(CELL("address",D104), "\$([A-Z]+)\$[0-9]+"))</f>
        <v/>
      </c>
      <c r="E104" s="7" t="str" cm="1">
        <f t="array" aca="1" ref="E104" ca="1">IFERROR(IF(OR('Raw Data'!E104="",LEN(TRIM('Raw Data'!E104))=0),"",IF(AND(ISNUMBER('Raw Data'!E104), IFERROR('Raw Data'!E104 = ROUND('Raw Data'!E104, 2),FALSE)),"",_xlfn.REGEXEXTRACT(CELL("address",E104), "\$([A-Z]+)\$[0-9]+"))),_xlfn.REGEXEXTRACT(CELL("address",E104), "\$([A-Z]+)\$[0-9]+"))</f>
        <v/>
      </c>
      <c r="F104" s="7" t="str" cm="1">
        <f t="array" aca="1" ref="F104" ca="1">IFERROR(IF(OR('Raw Data'!F104="",LEN(TRIM('Raw Data'!F104))=0),"",IF(AND(ISNUMBER('Raw Data'!F104), IFERROR('Raw Data'!F104 = ROUND('Raw Data'!F104, 2),FALSE)),"",_xlfn.REGEXEXTRACT(CELL("address",F104), "\$([A-Z]+)\$[0-9]+"))),_xlfn.REGEXEXTRACT(CELL("address",F104), "\$([A-Z]+)\$[0-9]+"))</f>
        <v/>
      </c>
      <c r="G104" s="7" t="str" cm="1">
        <f t="array" aca="1" ref="G104" ca="1">IFERROR(IF(OR('Raw Data'!G104="",LEN(TRIM('Raw Data'!G104))=0),"",IF(LEN('Raw Data'!G104)&gt; 0,"",_xlfn.REGEXEXTRACT(CELL("address",'Raw Data'!G104),"\$([A-Z]+)\$[0-9]+"))),_xlfn.REGEXEXTRACT(CELL("address",'Raw Data'!G104),"\$([A-Z]+)\$[0-9]+"))</f>
        <v/>
      </c>
    </row>
    <row r="105" spans="2:7" x14ac:dyDescent="0.25">
      <c r="B105" s="7" t="str" cm="1">
        <f t="array" aca="1" ref="B105" ca="1">IFERROR(IF(OR('Raw Data'!B105="",LEN(TRIM('Raw Data'!B105))=0),"",IF(AND(LEN('Raw Data'!B105) &lt;= 20,LEN('Raw Data'!B105)&gt; 0),"",_xlfn.REGEXEXTRACT(CELL("address",'Raw Data'!B105),"\$([A-Z]+)\$[0-9]+"))),_xlfn.REGEXEXTRACT(CELL("address",'Raw Data'!B105),"\$([A-Z]+)\$[0-9]+"))</f>
        <v/>
      </c>
      <c r="C105" s="7" t="str" cm="1">
        <f t="array" aca="1" ref="C105" ca="1">IFERROR(IF(OR('Raw Data'!C105="",LEN(TRIM('Raw Data'!C105))=0),"",IF(AND(LEN('Raw Data'!C105) &lt;= 255,LEN('Raw Data'!C105)&gt; 0),"",_xlfn.REGEXEXTRACT(CELL("address",'Raw Data'!C105),"\$([A-Z]+)\$[0-9]+"))),_xlfn.REGEXEXTRACT(CELL("address",'Raw Data'!C105),"\$([A-Z]+)\$[0-9]+"))</f>
        <v/>
      </c>
      <c r="D105" s="7" t="str" cm="1">
        <f t="array" aca="1" ref="D105" ca="1">IFERROR(IF(OR('Raw Data'!D105="",LEN(TRIM('Raw Data'!D105))=0),"",IF(AND(ISNUMBER('Raw Data'!D105), IFERROR('Raw Data'!D105 = ROUND('Raw Data'!D105, 2),FALSE)),"",_xlfn.REGEXEXTRACT(CELL("address",D105), "\$([A-Z]+)\$[0-9]+"))),_xlfn.REGEXEXTRACT(CELL("address",D105), "\$([A-Z]+)\$[0-9]+"))</f>
        <v/>
      </c>
      <c r="E105" s="7" t="str" cm="1">
        <f t="array" aca="1" ref="E105" ca="1">IFERROR(IF(OR('Raw Data'!E105="",LEN(TRIM('Raw Data'!E105))=0),"",IF(AND(ISNUMBER('Raw Data'!E105), IFERROR('Raw Data'!E105 = ROUND('Raw Data'!E105, 2),FALSE)),"",_xlfn.REGEXEXTRACT(CELL("address",E105), "\$([A-Z]+)\$[0-9]+"))),_xlfn.REGEXEXTRACT(CELL("address",E105), "\$([A-Z]+)\$[0-9]+"))</f>
        <v/>
      </c>
      <c r="F105" s="7" t="str" cm="1">
        <f t="array" aca="1" ref="F105" ca="1">IFERROR(IF(OR('Raw Data'!F105="",LEN(TRIM('Raw Data'!F105))=0),"",IF(AND(ISNUMBER('Raw Data'!F105), IFERROR('Raw Data'!F105 = ROUND('Raw Data'!F105, 2),FALSE)),"",_xlfn.REGEXEXTRACT(CELL("address",F105), "\$([A-Z]+)\$[0-9]+"))),_xlfn.REGEXEXTRACT(CELL("address",F105), "\$([A-Z]+)\$[0-9]+"))</f>
        <v/>
      </c>
      <c r="G105" s="7" t="str" cm="1">
        <f t="array" aca="1" ref="G105" ca="1">IFERROR(IF(OR('Raw Data'!G105="",LEN(TRIM('Raw Data'!G105))=0),"",IF(LEN('Raw Data'!G105)&gt; 0,"",_xlfn.REGEXEXTRACT(CELL("address",'Raw Data'!G105),"\$([A-Z]+)\$[0-9]+"))),_xlfn.REGEXEXTRACT(CELL("address",'Raw Data'!G105),"\$([A-Z]+)\$[0-9]+"))</f>
        <v/>
      </c>
    </row>
    <row r="106" spans="2:7" x14ac:dyDescent="0.25">
      <c r="B106" s="7" t="str" cm="1">
        <f t="array" aca="1" ref="B106" ca="1">IFERROR(IF(OR('Raw Data'!B106="",LEN(TRIM('Raw Data'!B106))=0),"",IF(AND(LEN('Raw Data'!B106) &lt;= 20,LEN('Raw Data'!B106)&gt; 0),"",_xlfn.REGEXEXTRACT(CELL("address",'Raw Data'!B106),"\$([A-Z]+)\$[0-9]+"))),_xlfn.REGEXEXTRACT(CELL("address",'Raw Data'!B106),"\$([A-Z]+)\$[0-9]+"))</f>
        <v/>
      </c>
      <c r="C106" s="7" t="str" cm="1">
        <f t="array" aca="1" ref="C106" ca="1">IFERROR(IF(OR('Raw Data'!C106="",LEN(TRIM('Raw Data'!C106))=0),"",IF(AND(LEN('Raw Data'!C106) &lt;= 255,LEN('Raw Data'!C106)&gt; 0),"",_xlfn.REGEXEXTRACT(CELL("address",'Raw Data'!C106),"\$([A-Z]+)\$[0-9]+"))),_xlfn.REGEXEXTRACT(CELL("address",'Raw Data'!C106),"\$([A-Z]+)\$[0-9]+"))</f>
        <v/>
      </c>
      <c r="D106" s="7" t="str" cm="1">
        <f t="array" aca="1" ref="D106" ca="1">IFERROR(IF(OR('Raw Data'!D106="",LEN(TRIM('Raw Data'!D106))=0),"",IF(AND(ISNUMBER('Raw Data'!D106), IFERROR('Raw Data'!D106 = ROUND('Raw Data'!D106, 2),FALSE)),"",_xlfn.REGEXEXTRACT(CELL("address",D106), "\$([A-Z]+)\$[0-9]+"))),_xlfn.REGEXEXTRACT(CELL("address",D106), "\$([A-Z]+)\$[0-9]+"))</f>
        <v/>
      </c>
      <c r="E106" s="7" t="str" cm="1">
        <f t="array" aca="1" ref="E106" ca="1">IFERROR(IF(OR('Raw Data'!E106="",LEN(TRIM('Raw Data'!E106))=0),"",IF(AND(ISNUMBER('Raw Data'!E106), IFERROR('Raw Data'!E106 = ROUND('Raw Data'!E106, 2),FALSE)),"",_xlfn.REGEXEXTRACT(CELL("address",E106), "\$([A-Z]+)\$[0-9]+"))),_xlfn.REGEXEXTRACT(CELL("address",E106), "\$([A-Z]+)\$[0-9]+"))</f>
        <v/>
      </c>
      <c r="F106" s="7" t="str" cm="1">
        <f t="array" aca="1" ref="F106" ca="1">IFERROR(IF(OR('Raw Data'!F106="",LEN(TRIM('Raw Data'!F106))=0),"",IF(AND(ISNUMBER('Raw Data'!F106), IFERROR('Raw Data'!F106 = ROUND('Raw Data'!F106, 2),FALSE)),"",_xlfn.REGEXEXTRACT(CELL("address",F106), "\$([A-Z]+)\$[0-9]+"))),_xlfn.REGEXEXTRACT(CELL("address",F106), "\$([A-Z]+)\$[0-9]+"))</f>
        <v/>
      </c>
      <c r="G106" s="7" t="str" cm="1">
        <f t="array" aca="1" ref="G106" ca="1">IFERROR(IF(OR('Raw Data'!G106="",LEN(TRIM('Raw Data'!G106))=0),"",IF(LEN('Raw Data'!G106)&gt; 0,"",_xlfn.REGEXEXTRACT(CELL("address",'Raw Data'!G106),"\$([A-Z]+)\$[0-9]+"))),_xlfn.REGEXEXTRACT(CELL("address",'Raw Data'!G106),"\$([A-Z]+)\$[0-9]+"))</f>
        <v/>
      </c>
    </row>
    <row r="107" spans="2:7" x14ac:dyDescent="0.25">
      <c r="B107" s="7" t="str" cm="1">
        <f t="array" aca="1" ref="B107" ca="1">IFERROR(IF(OR('Raw Data'!B107="",LEN(TRIM('Raw Data'!B107))=0),"",IF(AND(LEN('Raw Data'!B107) &lt;= 20,LEN('Raw Data'!B107)&gt; 0),"",_xlfn.REGEXEXTRACT(CELL("address",'Raw Data'!B107),"\$([A-Z]+)\$[0-9]+"))),_xlfn.REGEXEXTRACT(CELL("address",'Raw Data'!B107),"\$([A-Z]+)\$[0-9]+"))</f>
        <v/>
      </c>
      <c r="C107" s="7" t="str" cm="1">
        <f t="array" aca="1" ref="C107" ca="1">IFERROR(IF(OR('Raw Data'!C107="",LEN(TRIM('Raw Data'!C107))=0),"",IF(AND(LEN('Raw Data'!C107) &lt;= 255,LEN('Raw Data'!C107)&gt; 0),"",_xlfn.REGEXEXTRACT(CELL("address",'Raw Data'!C107),"\$([A-Z]+)\$[0-9]+"))),_xlfn.REGEXEXTRACT(CELL("address",'Raw Data'!C107),"\$([A-Z]+)\$[0-9]+"))</f>
        <v/>
      </c>
      <c r="D107" s="7" t="str" cm="1">
        <f t="array" aca="1" ref="D107" ca="1">IFERROR(IF(OR('Raw Data'!D107="",LEN(TRIM('Raw Data'!D107))=0),"",IF(AND(ISNUMBER('Raw Data'!D107), IFERROR('Raw Data'!D107 = ROUND('Raw Data'!D107, 2),FALSE)),"",_xlfn.REGEXEXTRACT(CELL("address",D107), "\$([A-Z]+)\$[0-9]+"))),_xlfn.REGEXEXTRACT(CELL("address",D107), "\$([A-Z]+)\$[0-9]+"))</f>
        <v/>
      </c>
      <c r="E107" s="7" t="str" cm="1">
        <f t="array" aca="1" ref="E107" ca="1">IFERROR(IF(OR('Raw Data'!E107="",LEN(TRIM('Raw Data'!E107))=0),"",IF(AND(ISNUMBER('Raw Data'!E107), IFERROR('Raw Data'!E107 = ROUND('Raw Data'!E107, 2),FALSE)),"",_xlfn.REGEXEXTRACT(CELL("address",E107), "\$([A-Z]+)\$[0-9]+"))),_xlfn.REGEXEXTRACT(CELL("address",E107), "\$([A-Z]+)\$[0-9]+"))</f>
        <v/>
      </c>
      <c r="F107" s="7" t="str" cm="1">
        <f t="array" aca="1" ref="F107" ca="1">IFERROR(IF(OR('Raw Data'!F107="",LEN(TRIM('Raw Data'!F107))=0),"",IF(AND(ISNUMBER('Raw Data'!F107), IFERROR('Raw Data'!F107 = ROUND('Raw Data'!F107, 2),FALSE)),"",_xlfn.REGEXEXTRACT(CELL("address",F107), "\$([A-Z]+)\$[0-9]+"))),_xlfn.REGEXEXTRACT(CELL("address",F107), "\$([A-Z]+)\$[0-9]+"))</f>
        <v/>
      </c>
      <c r="G107" s="7" t="str" cm="1">
        <f t="array" aca="1" ref="G107" ca="1">IFERROR(IF(OR('Raw Data'!G107="",LEN(TRIM('Raw Data'!G107))=0),"",IF(LEN('Raw Data'!G107)&gt; 0,"",_xlfn.REGEXEXTRACT(CELL("address",'Raw Data'!G107),"\$([A-Z]+)\$[0-9]+"))),_xlfn.REGEXEXTRACT(CELL("address",'Raw Data'!G107),"\$([A-Z]+)\$[0-9]+"))</f>
        <v/>
      </c>
    </row>
    <row r="108" spans="2:7" x14ac:dyDescent="0.25">
      <c r="B108" s="7" t="str" cm="1">
        <f t="array" aca="1" ref="B108" ca="1">IFERROR(IF(OR('Raw Data'!B108="",LEN(TRIM('Raw Data'!B108))=0),"",IF(AND(LEN('Raw Data'!B108) &lt;= 20,LEN('Raw Data'!B108)&gt; 0),"",_xlfn.REGEXEXTRACT(CELL("address",'Raw Data'!B108),"\$([A-Z]+)\$[0-9]+"))),_xlfn.REGEXEXTRACT(CELL("address",'Raw Data'!B108),"\$([A-Z]+)\$[0-9]+"))</f>
        <v/>
      </c>
      <c r="C108" s="7" t="str" cm="1">
        <f t="array" aca="1" ref="C108" ca="1">IFERROR(IF(OR('Raw Data'!C108="",LEN(TRIM('Raw Data'!C108))=0),"",IF(AND(LEN('Raw Data'!C108) &lt;= 255,LEN('Raw Data'!C108)&gt; 0),"",_xlfn.REGEXEXTRACT(CELL("address",'Raw Data'!C108),"\$([A-Z]+)\$[0-9]+"))),_xlfn.REGEXEXTRACT(CELL("address",'Raw Data'!C108),"\$([A-Z]+)\$[0-9]+"))</f>
        <v/>
      </c>
      <c r="D108" s="7" t="str" cm="1">
        <f t="array" aca="1" ref="D108" ca="1">IFERROR(IF(OR('Raw Data'!D108="",LEN(TRIM('Raw Data'!D108))=0),"",IF(AND(ISNUMBER('Raw Data'!D108), IFERROR('Raw Data'!D108 = ROUND('Raw Data'!D108, 2),FALSE)),"",_xlfn.REGEXEXTRACT(CELL("address",D108), "\$([A-Z]+)\$[0-9]+"))),_xlfn.REGEXEXTRACT(CELL("address",D108), "\$([A-Z]+)\$[0-9]+"))</f>
        <v/>
      </c>
      <c r="E108" s="7" t="str" cm="1">
        <f t="array" aca="1" ref="E108" ca="1">IFERROR(IF(OR('Raw Data'!E108="",LEN(TRIM('Raw Data'!E108))=0),"",IF(AND(ISNUMBER('Raw Data'!E108), IFERROR('Raw Data'!E108 = ROUND('Raw Data'!E108, 2),FALSE)),"",_xlfn.REGEXEXTRACT(CELL("address",E108), "\$([A-Z]+)\$[0-9]+"))),_xlfn.REGEXEXTRACT(CELL("address",E108), "\$([A-Z]+)\$[0-9]+"))</f>
        <v/>
      </c>
      <c r="F108" s="7" t="str" cm="1">
        <f t="array" aca="1" ref="F108" ca="1">IFERROR(IF(OR('Raw Data'!F108="",LEN(TRIM('Raw Data'!F108))=0),"",IF(AND(ISNUMBER('Raw Data'!F108), IFERROR('Raw Data'!F108 = ROUND('Raw Data'!F108, 2),FALSE)),"",_xlfn.REGEXEXTRACT(CELL("address",F108), "\$([A-Z]+)\$[0-9]+"))),_xlfn.REGEXEXTRACT(CELL("address",F108), "\$([A-Z]+)\$[0-9]+"))</f>
        <v/>
      </c>
      <c r="G108" s="7" t="str" cm="1">
        <f t="array" aca="1" ref="G108" ca="1">IFERROR(IF(OR('Raw Data'!G108="",LEN(TRIM('Raw Data'!G108))=0),"",IF(LEN('Raw Data'!G108)&gt; 0,"",_xlfn.REGEXEXTRACT(CELL("address",'Raw Data'!G108),"\$([A-Z]+)\$[0-9]+"))),_xlfn.REGEXEXTRACT(CELL("address",'Raw Data'!G108),"\$([A-Z]+)\$[0-9]+"))</f>
        <v/>
      </c>
    </row>
    <row r="109" spans="2:7" x14ac:dyDescent="0.25">
      <c r="B109" s="7" t="str" cm="1">
        <f t="array" aca="1" ref="B109" ca="1">IFERROR(IF(OR('Raw Data'!B109="",LEN(TRIM('Raw Data'!B109))=0),"",IF(AND(LEN('Raw Data'!B109) &lt;= 20,LEN('Raw Data'!B109)&gt; 0),"",_xlfn.REGEXEXTRACT(CELL("address",'Raw Data'!B109),"\$([A-Z]+)\$[0-9]+"))),_xlfn.REGEXEXTRACT(CELL("address",'Raw Data'!B109),"\$([A-Z]+)\$[0-9]+"))</f>
        <v/>
      </c>
      <c r="C109" s="7" t="str" cm="1">
        <f t="array" aca="1" ref="C109" ca="1">IFERROR(IF(OR('Raw Data'!C109="",LEN(TRIM('Raw Data'!C109))=0),"",IF(AND(LEN('Raw Data'!C109) &lt;= 255,LEN('Raw Data'!C109)&gt; 0),"",_xlfn.REGEXEXTRACT(CELL("address",'Raw Data'!C109),"\$([A-Z]+)\$[0-9]+"))),_xlfn.REGEXEXTRACT(CELL("address",'Raw Data'!C109),"\$([A-Z]+)\$[0-9]+"))</f>
        <v/>
      </c>
      <c r="D109" s="7" t="str" cm="1">
        <f t="array" aca="1" ref="D109" ca="1">IFERROR(IF(OR('Raw Data'!D109="",LEN(TRIM('Raw Data'!D109))=0),"",IF(AND(ISNUMBER('Raw Data'!D109), IFERROR('Raw Data'!D109 = ROUND('Raw Data'!D109, 2),FALSE)),"",_xlfn.REGEXEXTRACT(CELL("address",D109), "\$([A-Z]+)\$[0-9]+"))),_xlfn.REGEXEXTRACT(CELL("address",D109), "\$([A-Z]+)\$[0-9]+"))</f>
        <v/>
      </c>
      <c r="E109" s="7" t="str" cm="1">
        <f t="array" aca="1" ref="E109" ca="1">IFERROR(IF(OR('Raw Data'!E109="",LEN(TRIM('Raw Data'!E109))=0),"",IF(AND(ISNUMBER('Raw Data'!E109), IFERROR('Raw Data'!E109 = ROUND('Raw Data'!E109, 2),FALSE)),"",_xlfn.REGEXEXTRACT(CELL("address",E109), "\$([A-Z]+)\$[0-9]+"))),_xlfn.REGEXEXTRACT(CELL("address",E109), "\$([A-Z]+)\$[0-9]+"))</f>
        <v/>
      </c>
      <c r="F109" s="7" t="str" cm="1">
        <f t="array" aca="1" ref="F109" ca="1">IFERROR(IF(OR('Raw Data'!F109="",LEN(TRIM('Raw Data'!F109))=0),"",IF(AND(ISNUMBER('Raw Data'!F109), IFERROR('Raw Data'!F109 = ROUND('Raw Data'!F109, 2),FALSE)),"",_xlfn.REGEXEXTRACT(CELL("address",F109), "\$([A-Z]+)\$[0-9]+"))),_xlfn.REGEXEXTRACT(CELL("address",F109), "\$([A-Z]+)\$[0-9]+"))</f>
        <v/>
      </c>
      <c r="G109" s="7" t="str" cm="1">
        <f t="array" aca="1" ref="G109" ca="1">IFERROR(IF(OR('Raw Data'!G109="",LEN(TRIM('Raw Data'!G109))=0),"",IF(LEN('Raw Data'!G109)&gt; 0,"",_xlfn.REGEXEXTRACT(CELL("address",'Raw Data'!G109),"\$([A-Z]+)\$[0-9]+"))),_xlfn.REGEXEXTRACT(CELL("address",'Raw Data'!G109),"\$([A-Z]+)\$[0-9]+"))</f>
        <v/>
      </c>
    </row>
    <row r="110" spans="2:7" x14ac:dyDescent="0.25">
      <c r="B110" s="7" t="str" cm="1">
        <f t="array" aca="1" ref="B110" ca="1">IFERROR(IF(OR('Raw Data'!B110="",LEN(TRIM('Raw Data'!B110))=0),"",IF(AND(LEN('Raw Data'!B110) &lt;= 20,LEN('Raw Data'!B110)&gt; 0),"",_xlfn.REGEXEXTRACT(CELL("address",'Raw Data'!B110),"\$([A-Z]+)\$[0-9]+"))),_xlfn.REGEXEXTRACT(CELL("address",'Raw Data'!B110),"\$([A-Z]+)\$[0-9]+"))</f>
        <v/>
      </c>
      <c r="C110" s="7" t="str" cm="1">
        <f t="array" aca="1" ref="C110" ca="1">IFERROR(IF(OR('Raw Data'!C110="",LEN(TRIM('Raw Data'!C110))=0),"",IF(AND(LEN('Raw Data'!C110) &lt;= 255,LEN('Raw Data'!C110)&gt; 0),"",_xlfn.REGEXEXTRACT(CELL("address",'Raw Data'!C110),"\$([A-Z]+)\$[0-9]+"))),_xlfn.REGEXEXTRACT(CELL("address",'Raw Data'!C110),"\$([A-Z]+)\$[0-9]+"))</f>
        <v/>
      </c>
      <c r="D110" s="7" t="str" cm="1">
        <f t="array" aca="1" ref="D110" ca="1">IFERROR(IF(OR('Raw Data'!D110="",LEN(TRIM('Raw Data'!D110))=0),"",IF(AND(ISNUMBER('Raw Data'!D110), IFERROR('Raw Data'!D110 = ROUND('Raw Data'!D110, 2),FALSE)),"",_xlfn.REGEXEXTRACT(CELL("address",D110), "\$([A-Z]+)\$[0-9]+"))),_xlfn.REGEXEXTRACT(CELL("address",D110), "\$([A-Z]+)\$[0-9]+"))</f>
        <v/>
      </c>
      <c r="E110" s="7" t="str" cm="1">
        <f t="array" aca="1" ref="E110" ca="1">IFERROR(IF(OR('Raw Data'!E110="",LEN(TRIM('Raw Data'!E110))=0),"",IF(AND(ISNUMBER('Raw Data'!E110), IFERROR('Raw Data'!E110 = ROUND('Raw Data'!E110, 2),FALSE)),"",_xlfn.REGEXEXTRACT(CELL("address",E110), "\$([A-Z]+)\$[0-9]+"))),_xlfn.REGEXEXTRACT(CELL("address",E110), "\$([A-Z]+)\$[0-9]+"))</f>
        <v/>
      </c>
      <c r="F110" s="7" t="str" cm="1">
        <f t="array" aca="1" ref="F110" ca="1">IFERROR(IF(OR('Raw Data'!F110="",LEN(TRIM('Raw Data'!F110))=0),"",IF(AND(ISNUMBER('Raw Data'!F110), IFERROR('Raw Data'!F110 = ROUND('Raw Data'!F110, 2),FALSE)),"",_xlfn.REGEXEXTRACT(CELL("address",F110), "\$([A-Z]+)\$[0-9]+"))),_xlfn.REGEXEXTRACT(CELL("address",F110), "\$([A-Z]+)\$[0-9]+"))</f>
        <v/>
      </c>
      <c r="G110" s="7" t="str" cm="1">
        <f t="array" aca="1" ref="G110" ca="1">IFERROR(IF(OR('Raw Data'!G110="",LEN(TRIM('Raw Data'!G110))=0),"",IF(LEN('Raw Data'!G110)&gt; 0,"",_xlfn.REGEXEXTRACT(CELL("address",'Raw Data'!G110),"\$([A-Z]+)\$[0-9]+"))),_xlfn.REGEXEXTRACT(CELL("address",'Raw Data'!G110),"\$([A-Z]+)\$[0-9]+"))</f>
        <v/>
      </c>
    </row>
    <row r="111" spans="2:7" x14ac:dyDescent="0.25">
      <c r="B111" s="7" t="str" cm="1">
        <f t="array" aca="1" ref="B111" ca="1">IFERROR(IF(OR('Raw Data'!B111="",LEN(TRIM('Raw Data'!B111))=0),"",IF(AND(LEN('Raw Data'!B111) &lt;= 20,LEN('Raw Data'!B111)&gt; 0),"",_xlfn.REGEXEXTRACT(CELL("address",'Raw Data'!B111),"\$([A-Z]+)\$[0-9]+"))),_xlfn.REGEXEXTRACT(CELL("address",'Raw Data'!B111),"\$([A-Z]+)\$[0-9]+"))</f>
        <v/>
      </c>
      <c r="C111" s="7" t="str" cm="1">
        <f t="array" aca="1" ref="C111" ca="1">IFERROR(IF(OR('Raw Data'!C111="",LEN(TRIM('Raw Data'!C111))=0),"",IF(AND(LEN('Raw Data'!C111) &lt;= 255,LEN('Raw Data'!C111)&gt; 0),"",_xlfn.REGEXEXTRACT(CELL("address",'Raw Data'!C111),"\$([A-Z]+)\$[0-9]+"))),_xlfn.REGEXEXTRACT(CELL("address",'Raw Data'!C111),"\$([A-Z]+)\$[0-9]+"))</f>
        <v/>
      </c>
      <c r="D111" s="7" t="str" cm="1">
        <f t="array" aca="1" ref="D111" ca="1">IFERROR(IF(OR('Raw Data'!D111="",LEN(TRIM('Raw Data'!D111))=0),"",IF(AND(ISNUMBER('Raw Data'!D111), IFERROR('Raw Data'!D111 = ROUND('Raw Data'!D111, 2),FALSE)),"",_xlfn.REGEXEXTRACT(CELL("address",D111), "\$([A-Z]+)\$[0-9]+"))),_xlfn.REGEXEXTRACT(CELL("address",D111), "\$([A-Z]+)\$[0-9]+"))</f>
        <v/>
      </c>
      <c r="E111" s="7" t="str" cm="1">
        <f t="array" aca="1" ref="E111" ca="1">IFERROR(IF(OR('Raw Data'!E111="",LEN(TRIM('Raw Data'!E111))=0),"",IF(AND(ISNUMBER('Raw Data'!E111), IFERROR('Raw Data'!E111 = ROUND('Raw Data'!E111, 2),FALSE)),"",_xlfn.REGEXEXTRACT(CELL("address",E111), "\$([A-Z]+)\$[0-9]+"))),_xlfn.REGEXEXTRACT(CELL("address",E111), "\$([A-Z]+)\$[0-9]+"))</f>
        <v/>
      </c>
      <c r="F111" s="7" t="str" cm="1">
        <f t="array" aca="1" ref="F111" ca="1">IFERROR(IF(OR('Raw Data'!F111="",LEN(TRIM('Raw Data'!F111))=0),"",IF(AND(ISNUMBER('Raw Data'!F111), IFERROR('Raw Data'!F111 = ROUND('Raw Data'!F111, 2),FALSE)),"",_xlfn.REGEXEXTRACT(CELL("address",F111), "\$([A-Z]+)\$[0-9]+"))),_xlfn.REGEXEXTRACT(CELL("address",F111), "\$([A-Z]+)\$[0-9]+"))</f>
        <v/>
      </c>
      <c r="G111" s="7" t="str" cm="1">
        <f t="array" aca="1" ref="G111" ca="1">IFERROR(IF(OR('Raw Data'!G111="",LEN(TRIM('Raw Data'!G111))=0),"",IF(LEN('Raw Data'!G111)&gt; 0,"",_xlfn.REGEXEXTRACT(CELL("address",'Raw Data'!G111),"\$([A-Z]+)\$[0-9]+"))),_xlfn.REGEXEXTRACT(CELL("address",'Raw Data'!G111),"\$([A-Z]+)\$[0-9]+"))</f>
        <v/>
      </c>
    </row>
    <row r="112" spans="2:7" x14ac:dyDescent="0.25">
      <c r="B112" s="7" t="str" cm="1">
        <f t="array" aca="1" ref="B112" ca="1">IFERROR(IF(OR('Raw Data'!B112="",LEN(TRIM('Raw Data'!B112))=0),"",IF(AND(LEN('Raw Data'!B112) &lt;= 20,LEN('Raw Data'!B112)&gt; 0),"",_xlfn.REGEXEXTRACT(CELL("address",'Raw Data'!B112),"\$([A-Z]+)\$[0-9]+"))),_xlfn.REGEXEXTRACT(CELL("address",'Raw Data'!B112),"\$([A-Z]+)\$[0-9]+"))</f>
        <v/>
      </c>
      <c r="C112" s="7" t="str" cm="1">
        <f t="array" aca="1" ref="C112" ca="1">IFERROR(IF(OR('Raw Data'!C112="",LEN(TRIM('Raw Data'!C112))=0),"",IF(AND(LEN('Raw Data'!C112) &lt;= 255,LEN('Raw Data'!C112)&gt; 0),"",_xlfn.REGEXEXTRACT(CELL("address",'Raw Data'!C112),"\$([A-Z]+)\$[0-9]+"))),_xlfn.REGEXEXTRACT(CELL("address",'Raw Data'!C112),"\$([A-Z]+)\$[0-9]+"))</f>
        <v/>
      </c>
      <c r="D112" s="7" t="str" cm="1">
        <f t="array" aca="1" ref="D112" ca="1">IFERROR(IF(OR('Raw Data'!D112="",LEN(TRIM('Raw Data'!D112))=0),"",IF(AND(ISNUMBER('Raw Data'!D112), IFERROR('Raw Data'!D112 = ROUND('Raw Data'!D112, 2),FALSE)),"",_xlfn.REGEXEXTRACT(CELL("address",D112), "\$([A-Z]+)\$[0-9]+"))),_xlfn.REGEXEXTRACT(CELL("address",D112), "\$([A-Z]+)\$[0-9]+"))</f>
        <v/>
      </c>
      <c r="E112" s="7" t="str" cm="1">
        <f t="array" aca="1" ref="E112" ca="1">IFERROR(IF(OR('Raw Data'!E112="",LEN(TRIM('Raw Data'!E112))=0),"",IF(AND(ISNUMBER('Raw Data'!E112), IFERROR('Raw Data'!E112 = ROUND('Raw Data'!E112, 2),FALSE)),"",_xlfn.REGEXEXTRACT(CELL("address",E112), "\$([A-Z]+)\$[0-9]+"))),_xlfn.REGEXEXTRACT(CELL("address",E112), "\$([A-Z]+)\$[0-9]+"))</f>
        <v/>
      </c>
      <c r="F112" s="7" t="str" cm="1">
        <f t="array" aca="1" ref="F112" ca="1">IFERROR(IF(OR('Raw Data'!F112="",LEN(TRIM('Raw Data'!F112))=0),"",IF(AND(ISNUMBER('Raw Data'!F112), IFERROR('Raw Data'!F112 = ROUND('Raw Data'!F112, 2),FALSE)),"",_xlfn.REGEXEXTRACT(CELL("address",F112), "\$([A-Z]+)\$[0-9]+"))),_xlfn.REGEXEXTRACT(CELL("address",F112), "\$([A-Z]+)\$[0-9]+"))</f>
        <v/>
      </c>
      <c r="G112" s="7" t="str" cm="1">
        <f t="array" aca="1" ref="G112" ca="1">IFERROR(IF(OR('Raw Data'!G112="",LEN(TRIM('Raw Data'!G112))=0),"",IF(LEN('Raw Data'!G112)&gt; 0,"",_xlfn.REGEXEXTRACT(CELL("address",'Raw Data'!G112),"\$([A-Z]+)\$[0-9]+"))),_xlfn.REGEXEXTRACT(CELL("address",'Raw Data'!G112),"\$([A-Z]+)\$[0-9]+"))</f>
        <v/>
      </c>
    </row>
    <row r="113" spans="2:7" x14ac:dyDescent="0.25">
      <c r="B113" s="7" t="str" cm="1">
        <f t="array" aca="1" ref="B113" ca="1">IFERROR(IF(OR('Raw Data'!B113="",LEN(TRIM('Raw Data'!B113))=0),"",IF(AND(LEN('Raw Data'!B113) &lt;= 20,LEN('Raw Data'!B113)&gt; 0),"",_xlfn.REGEXEXTRACT(CELL("address",'Raw Data'!B113),"\$([A-Z]+)\$[0-9]+"))),_xlfn.REGEXEXTRACT(CELL("address",'Raw Data'!B113),"\$([A-Z]+)\$[0-9]+"))</f>
        <v/>
      </c>
      <c r="C113" s="7" t="str" cm="1">
        <f t="array" aca="1" ref="C113" ca="1">IFERROR(IF(OR('Raw Data'!C113="",LEN(TRIM('Raw Data'!C113))=0),"",IF(AND(LEN('Raw Data'!C113) &lt;= 255,LEN('Raw Data'!C113)&gt; 0),"",_xlfn.REGEXEXTRACT(CELL("address",'Raw Data'!C113),"\$([A-Z]+)\$[0-9]+"))),_xlfn.REGEXEXTRACT(CELL("address",'Raw Data'!C113),"\$([A-Z]+)\$[0-9]+"))</f>
        <v/>
      </c>
      <c r="D113" s="7" t="str" cm="1">
        <f t="array" aca="1" ref="D113" ca="1">IFERROR(IF(OR('Raw Data'!D113="",LEN(TRIM('Raw Data'!D113))=0),"",IF(AND(ISNUMBER('Raw Data'!D113), IFERROR('Raw Data'!D113 = ROUND('Raw Data'!D113, 2),FALSE)),"",_xlfn.REGEXEXTRACT(CELL("address",D113), "\$([A-Z]+)\$[0-9]+"))),_xlfn.REGEXEXTRACT(CELL("address",D113), "\$([A-Z]+)\$[0-9]+"))</f>
        <v/>
      </c>
      <c r="E113" s="7" t="str" cm="1">
        <f t="array" aca="1" ref="E113" ca="1">IFERROR(IF(OR('Raw Data'!E113="",LEN(TRIM('Raw Data'!E113))=0),"",IF(AND(ISNUMBER('Raw Data'!E113), IFERROR('Raw Data'!E113 = ROUND('Raw Data'!E113, 2),FALSE)),"",_xlfn.REGEXEXTRACT(CELL("address",E113), "\$([A-Z]+)\$[0-9]+"))),_xlfn.REGEXEXTRACT(CELL("address",E113), "\$([A-Z]+)\$[0-9]+"))</f>
        <v/>
      </c>
      <c r="F113" s="7" t="str" cm="1">
        <f t="array" aca="1" ref="F113" ca="1">IFERROR(IF(OR('Raw Data'!F113="",LEN(TRIM('Raw Data'!F113))=0),"",IF(AND(ISNUMBER('Raw Data'!F113), IFERROR('Raw Data'!F113 = ROUND('Raw Data'!F113, 2),FALSE)),"",_xlfn.REGEXEXTRACT(CELL("address",F113), "\$([A-Z]+)\$[0-9]+"))),_xlfn.REGEXEXTRACT(CELL("address",F113), "\$([A-Z]+)\$[0-9]+"))</f>
        <v/>
      </c>
      <c r="G113" s="7" t="str" cm="1">
        <f t="array" aca="1" ref="G113" ca="1">IFERROR(IF(OR('Raw Data'!G113="",LEN(TRIM('Raw Data'!G113))=0),"",IF(LEN('Raw Data'!G113)&gt; 0,"",_xlfn.REGEXEXTRACT(CELL("address",'Raw Data'!G113),"\$([A-Z]+)\$[0-9]+"))),_xlfn.REGEXEXTRACT(CELL("address",'Raw Data'!G113),"\$([A-Z]+)\$[0-9]+"))</f>
        <v/>
      </c>
    </row>
    <row r="114" spans="2:7" x14ac:dyDescent="0.25">
      <c r="B114" s="7" t="str" cm="1">
        <f t="array" aca="1" ref="B114" ca="1">IFERROR(IF(OR('Raw Data'!B114="",LEN(TRIM('Raw Data'!B114))=0),"",IF(AND(LEN('Raw Data'!B114) &lt;= 20,LEN('Raw Data'!B114)&gt; 0),"",_xlfn.REGEXEXTRACT(CELL("address",'Raw Data'!B114),"\$([A-Z]+)\$[0-9]+"))),_xlfn.REGEXEXTRACT(CELL("address",'Raw Data'!B114),"\$([A-Z]+)\$[0-9]+"))</f>
        <v/>
      </c>
      <c r="C114" s="7" t="str" cm="1">
        <f t="array" aca="1" ref="C114" ca="1">IFERROR(IF(OR('Raw Data'!C114="",LEN(TRIM('Raw Data'!C114))=0),"",IF(AND(LEN('Raw Data'!C114) &lt;= 255,LEN('Raw Data'!C114)&gt; 0),"",_xlfn.REGEXEXTRACT(CELL("address",'Raw Data'!C114),"\$([A-Z]+)\$[0-9]+"))),_xlfn.REGEXEXTRACT(CELL("address",'Raw Data'!C114),"\$([A-Z]+)\$[0-9]+"))</f>
        <v/>
      </c>
      <c r="D114" s="7" t="str" cm="1">
        <f t="array" aca="1" ref="D114" ca="1">IFERROR(IF(OR('Raw Data'!D114="",LEN(TRIM('Raw Data'!D114))=0),"",IF(AND(ISNUMBER('Raw Data'!D114), IFERROR('Raw Data'!D114 = ROUND('Raw Data'!D114, 2),FALSE)),"",_xlfn.REGEXEXTRACT(CELL("address",D114), "\$([A-Z]+)\$[0-9]+"))),_xlfn.REGEXEXTRACT(CELL("address",D114), "\$([A-Z]+)\$[0-9]+"))</f>
        <v/>
      </c>
      <c r="E114" s="7" t="str" cm="1">
        <f t="array" aca="1" ref="E114" ca="1">IFERROR(IF(OR('Raw Data'!E114="",LEN(TRIM('Raw Data'!E114))=0),"",IF(AND(ISNUMBER('Raw Data'!E114), IFERROR('Raw Data'!E114 = ROUND('Raw Data'!E114, 2),FALSE)),"",_xlfn.REGEXEXTRACT(CELL("address",E114), "\$([A-Z]+)\$[0-9]+"))),_xlfn.REGEXEXTRACT(CELL("address",E114), "\$([A-Z]+)\$[0-9]+"))</f>
        <v/>
      </c>
      <c r="F114" s="7" t="str" cm="1">
        <f t="array" aca="1" ref="F114" ca="1">IFERROR(IF(OR('Raw Data'!F114="",LEN(TRIM('Raw Data'!F114))=0),"",IF(AND(ISNUMBER('Raw Data'!F114), IFERROR('Raw Data'!F114 = ROUND('Raw Data'!F114, 2),FALSE)),"",_xlfn.REGEXEXTRACT(CELL("address",F114), "\$([A-Z]+)\$[0-9]+"))),_xlfn.REGEXEXTRACT(CELL("address",F114), "\$([A-Z]+)\$[0-9]+"))</f>
        <v/>
      </c>
      <c r="G114" s="7" t="str" cm="1">
        <f t="array" aca="1" ref="G114" ca="1">IFERROR(IF(OR('Raw Data'!G114="",LEN(TRIM('Raw Data'!G114))=0),"",IF(LEN('Raw Data'!G114)&gt; 0,"",_xlfn.REGEXEXTRACT(CELL("address",'Raw Data'!G114),"\$([A-Z]+)\$[0-9]+"))),_xlfn.REGEXEXTRACT(CELL("address",'Raw Data'!G114),"\$([A-Z]+)\$[0-9]+"))</f>
        <v/>
      </c>
    </row>
    <row r="115" spans="2:7" x14ac:dyDescent="0.25">
      <c r="B115" s="7" t="str" cm="1">
        <f t="array" aca="1" ref="B115" ca="1">IFERROR(IF(OR('Raw Data'!B115="",LEN(TRIM('Raw Data'!B115))=0),"",IF(AND(LEN('Raw Data'!B115) &lt;= 20,LEN('Raw Data'!B115)&gt; 0),"",_xlfn.REGEXEXTRACT(CELL("address",'Raw Data'!B115),"\$([A-Z]+)\$[0-9]+"))),_xlfn.REGEXEXTRACT(CELL("address",'Raw Data'!B115),"\$([A-Z]+)\$[0-9]+"))</f>
        <v/>
      </c>
      <c r="C115" s="7" t="str" cm="1">
        <f t="array" aca="1" ref="C115" ca="1">IFERROR(IF(OR('Raw Data'!C115="",LEN(TRIM('Raw Data'!C115))=0),"",IF(AND(LEN('Raw Data'!C115) &lt;= 255,LEN('Raw Data'!C115)&gt; 0),"",_xlfn.REGEXEXTRACT(CELL("address",'Raw Data'!C115),"\$([A-Z]+)\$[0-9]+"))),_xlfn.REGEXEXTRACT(CELL("address",'Raw Data'!C115),"\$([A-Z]+)\$[0-9]+"))</f>
        <v/>
      </c>
      <c r="D115" s="7" t="str" cm="1">
        <f t="array" aca="1" ref="D115" ca="1">IFERROR(IF(OR('Raw Data'!D115="",LEN(TRIM('Raw Data'!D115))=0),"",IF(AND(ISNUMBER('Raw Data'!D115), IFERROR('Raw Data'!D115 = ROUND('Raw Data'!D115, 2),FALSE)),"",_xlfn.REGEXEXTRACT(CELL("address",D115), "\$([A-Z]+)\$[0-9]+"))),_xlfn.REGEXEXTRACT(CELL("address",D115), "\$([A-Z]+)\$[0-9]+"))</f>
        <v/>
      </c>
      <c r="E115" s="7" t="str" cm="1">
        <f t="array" aca="1" ref="E115" ca="1">IFERROR(IF(OR('Raw Data'!E115="",LEN(TRIM('Raw Data'!E115))=0),"",IF(AND(ISNUMBER('Raw Data'!E115), IFERROR('Raw Data'!E115 = ROUND('Raw Data'!E115, 2),FALSE)),"",_xlfn.REGEXEXTRACT(CELL("address",E115), "\$([A-Z]+)\$[0-9]+"))),_xlfn.REGEXEXTRACT(CELL("address",E115), "\$([A-Z]+)\$[0-9]+"))</f>
        <v/>
      </c>
      <c r="F115" s="7" t="str" cm="1">
        <f t="array" aca="1" ref="F115" ca="1">IFERROR(IF(OR('Raw Data'!F115="",LEN(TRIM('Raw Data'!F115))=0),"",IF(AND(ISNUMBER('Raw Data'!F115), IFERROR('Raw Data'!F115 = ROUND('Raw Data'!F115, 2),FALSE)),"",_xlfn.REGEXEXTRACT(CELL("address",F115), "\$([A-Z]+)\$[0-9]+"))),_xlfn.REGEXEXTRACT(CELL("address",F115), "\$([A-Z]+)\$[0-9]+"))</f>
        <v/>
      </c>
      <c r="G115" s="7" t="str" cm="1">
        <f t="array" aca="1" ref="G115" ca="1">IFERROR(IF(OR('Raw Data'!G115="",LEN(TRIM('Raw Data'!G115))=0),"",IF(LEN('Raw Data'!G115)&gt; 0,"",_xlfn.REGEXEXTRACT(CELL("address",'Raw Data'!G115),"\$([A-Z]+)\$[0-9]+"))),_xlfn.REGEXEXTRACT(CELL("address",'Raw Data'!G115),"\$([A-Z]+)\$[0-9]+"))</f>
        <v/>
      </c>
    </row>
    <row r="116" spans="2:7" x14ac:dyDescent="0.25">
      <c r="B116" s="7" t="str" cm="1">
        <f t="array" aca="1" ref="B116" ca="1">IFERROR(IF(OR('Raw Data'!B116="",LEN(TRIM('Raw Data'!B116))=0),"",IF(AND(LEN('Raw Data'!B116) &lt;= 20,LEN('Raw Data'!B116)&gt; 0),"",_xlfn.REGEXEXTRACT(CELL("address",'Raw Data'!B116),"\$([A-Z]+)\$[0-9]+"))),_xlfn.REGEXEXTRACT(CELL("address",'Raw Data'!B116),"\$([A-Z]+)\$[0-9]+"))</f>
        <v/>
      </c>
      <c r="C116" s="7" t="str" cm="1">
        <f t="array" aca="1" ref="C116" ca="1">IFERROR(IF(OR('Raw Data'!C116="",LEN(TRIM('Raw Data'!C116))=0),"",IF(AND(LEN('Raw Data'!C116) &lt;= 255,LEN('Raw Data'!C116)&gt; 0),"",_xlfn.REGEXEXTRACT(CELL("address",'Raw Data'!C116),"\$([A-Z]+)\$[0-9]+"))),_xlfn.REGEXEXTRACT(CELL("address",'Raw Data'!C116),"\$([A-Z]+)\$[0-9]+"))</f>
        <v/>
      </c>
      <c r="D116" s="7" t="str" cm="1">
        <f t="array" aca="1" ref="D116" ca="1">IFERROR(IF(OR('Raw Data'!D116="",LEN(TRIM('Raw Data'!D116))=0),"",IF(AND(ISNUMBER('Raw Data'!D116), IFERROR('Raw Data'!D116 = ROUND('Raw Data'!D116, 2),FALSE)),"",_xlfn.REGEXEXTRACT(CELL("address",D116), "\$([A-Z]+)\$[0-9]+"))),_xlfn.REGEXEXTRACT(CELL("address",D116), "\$([A-Z]+)\$[0-9]+"))</f>
        <v/>
      </c>
      <c r="E116" s="7" t="str" cm="1">
        <f t="array" aca="1" ref="E116" ca="1">IFERROR(IF(OR('Raw Data'!E116="",LEN(TRIM('Raw Data'!E116))=0),"",IF(AND(ISNUMBER('Raw Data'!E116), IFERROR('Raw Data'!E116 = ROUND('Raw Data'!E116, 2),FALSE)),"",_xlfn.REGEXEXTRACT(CELL("address",E116), "\$([A-Z]+)\$[0-9]+"))),_xlfn.REGEXEXTRACT(CELL("address",E116), "\$([A-Z]+)\$[0-9]+"))</f>
        <v/>
      </c>
      <c r="F116" s="7" t="str" cm="1">
        <f t="array" aca="1" ref="F116" ca="1">IFERROR(IF(OR('Raw Data'!F116="",LEN(TRIM('Raw Data'!F116))=0),"",IF(AND(ISNUMBER('Raw Data'!F116), IFERROR('Raw Data'!F116 = ROUND('Raw Data'!F116, 2),FALSE)),"",_xlfn.REGEXEXTRACT(CELL("address",F116), "\$([A-Z]+)\$[0-9]+"))),_xlfn.REGEXEXTRACT(CELL("address",F116), "\$([A-Z]+)\$[0-9]+"))</f>
        <v/>
      </c>
      <c r="G116" s="7" t="str" cm="1">
        <f t="array" aca="1" ref="G116" ca="1">IFERROR(IF(OR('Raw Data'!G116="",LEN(TRIM('Raw Data'!G116))=0),"",IF(LEN('Raw Data'!G116)&gt; 0,"",_xlfn.REGEXEXTRACT(CELL("address",'Raw Data'!G116),"\$([A-Z]+)\$[0-9]+"))),_xlfn.REGEXEXTRACT(CELL("address",'Raw Data'!G116),"\$([A-Z]+)\$[0-9]+"))</f>
        <v/>
      </c>
    </row>
    <row r="117" spans="2:7" x14ac:dyDescent="0.25">
      <c r="B117" s="7" t="str" cm="1">
        <f t="array" aca="1" ref="B117" ca="1">IFERROR(IF(OR('Raw Data'!B117="",LEN(TRIM('Raw Data'!B117))=0),"",IF(AND(LEN('Raw Data'!B117) &lt;= 20,LEN('Raw Data'!B117)&gt; 0),"",_xlfn.REGEXEXTRACT(CELL("address",'Raw Data'!B117),"\$([A-Z]+)\$[0-9]+"))),_xlfn.REGEXEXTRACT(CELL("address",'Raw Data'!B117),"\$([A-Z]+)\$[0-9]+"))</f>
        <v/>
      </c>
      <c r="C117" s="7" t="str" cm="1">
        <f t="array" aca="1" ref="C117" ca="1">IFERROR(IF(OR('Raw Data'!C117="",LEN(TRIM('Raw Data'!C117))=0),"",IF(AND(LEN('Raw Data'!C117) &lt;= 255,LEN('Raw Data'!C117)&gt; 0),"",_xlfn.REGEXEXTRACT(CELL("address",'Raw Data'!C117),"\$([A-Z]+)\$[0-9]+"))),_xlfn.REGEXEXTRACT(CELL("address",'Raw Data'!C117),"\$([A-Z]+)\$[0-9]+"))</f>
        <v/>
      </c>
      <c r="D117" s="7" t="str" cm="1">
        <f t="array" aca="1" ref="D117" ca="1">IFERROR(IF(OR('Raw Data'!D117="",LEN(TRIM('Raw Data'!D117))=0),"",IF(AND(ISNUMBER('Raw Data'!D117), IFERROR('Raw Data'!D117 = ROUND('Raw Data'!D117, 2),FALSE)),"",_xlfn.REGEXEXTRACT(CELL("address",D117), "\$([A-Z]+)\$[0-9]+"))),_xlfn.REGEXEXTRACT(CELL("address",D117), "\$([A-Z]+)\$[0-9]+"))</f>
        <v/>
      </c>
      <c r="E117" s="7" t="str" cm="1">
        <f t="array" aca="1" ref="E117" ca="1">IFERROR(IF(OR('Raw Data'!E117="",LEN(TRIM('Raw Data'!E117))=0),"",IF(AND(ISNUMBER('Raw Data'!E117), IFERROR('Raw Data'!E117 = ROUND('Raw Data'!E117, 2),FALSE)),"",_xlfn.REGEXEXTRACT(CELL("address",E117), "\$([A-Z]+)\$[0-9]+"))),_xlfn.REGEXEXTRACT(CELL("address",E117), "\$([A-Z]+)\$[0-9]+"))</f>
        <v/>
      </c>
      <c r="F117" s="7" t="str" cm="1">
        <f t="array" aca="1" ref="F117" ca="1">IFERROR(IF(OR('Raw Data'!F117="",LEN(TRIM('Raw Data'!F117))=0),"",IF(AND(ISNUMBER('Raw Data'!F117), IFERROR('Raw Data'!F117 = ROUND('Raw Data'!F117, 2),FALSE)),"",_xlfn.REGEXEXTRACT(CELL("address",F117), "\$([A-Z]+)\$[0-9]+"))),_xlfn.REGEXEXTRACT(CELL("address",F117), "\$([A-Z]+)\$[0-9]+"))</f>
        <v/>
      </c>
      <c r="G117" s="7" t="str" cm="1">
        <f t="array" aca="1" ref="G117" ca="1">IFERROR(IF(OR('Raw Data'!G117="",LEN(TRIM('Raw Data'!G117))=0),"",IF(LEN('Raw Data'!G117)&gt; 0,"",_xlfn.REGEXEXTRACT(CELL("address",'Raw Data'!G117),"\$([A-Z]+)\$[0-9]+"))),_xlfn.REGEXEXTRACT(CELL("address",'Raw Data'!G117),"\$([A-Z]+)\$[0-9]+"))</f>
        <v/>
      </c>
    </row>
    <row r="118" spans="2:7" x14ac:dyDescent="0.25">
      <c r="B118" s="7" t="str" cm="1">
        <f t="array" aca="1" ref="B118" ca="1">IFERROR(IF(OR('Raw Data'!B118="",LEN(TRIM('Raw Data'!B118))=0),"",IF(AND(LEN('Raw Data'!B118) &lt;= 20,LEN('Raw Data'!B118)&gt; 0),"",_xlfn.REGEXEXTRACT(CELL("address",'Raw Data'!B118),"\$([A-Z]+)\$[0-9]+"))),_xlfn.REGEXEXTRACT(CELL("address",'Raw Data'!B118),"\$([A-Z]+)\$[0-9]+"))</f>
        <v/>
      </c>
      <c r="C118" s="7" t="str" cm="1">
        <f t="array" aca="1" ref="C118" ca="1">IFERROR(IF(OR('Raw Data'!C118="",LEN(TRIM('Raw Data'!C118))=0),"",IF(AND(LEN('Raw Data'!C118) &lt;= 255,LEN('Raw Data'!C118)&gt; 0),"",_xlfn.REGEXEXTRACT(CELL("address",'Raw Data'!C118),"\$([A-Z]+)\$[0-9]+"))),_xlfn.REGEXEXTRACT(CELL("address",'Raw Data'!C118),"\$([A-Z]+)\$[0-9]+"))</f>
        <v/>
      </c>
      <c r="D118" s="7" t="str" cm="1">
        <f t="array" aca="1" ref="D118" ca="1">IFERROR(IF(OR('Raw Data'!D118="",LEN(TRIM('Raw Data'!D118))=0),"",IF(AND(ISNUMBER('Raw Data'!D118), IFERROR('Raw Data'!D118 = ROUND('Raw Data'!D118, 2),FALSE)),"",_xlfn.REGEXEXTRACT(CELL("address",D118), "\$([A-Z]+)\$[0-9]+"))),_xlfn.REGEXEXTRACT(CELL("address",D118), "\$([A-Z]+)\$[0-9]+"))</f>
        <v/>
      </c>
      <c r="E118" s="7" t="str" cm="1">
        <f t="array" aca="1" ref="E118" ca="1">IFERROR(IF(OR('Raw Data'!E118="",LEN(TRIM('Raw Data'!E118))=0),"",IF(AND(ISNUMBER('Raw Data'!E118), IFERROR('Raw Data'!E118 = ROUND('Raw Data'!E118, 2),FALSE)),"",_xlfn.REGEXEXTRACT(CELL("address",E118), "\$([A-Z]+)\$[0-9]+"))),_xlfn.REGEXEXTRACT(CELL("address",E118), "\$([A-Z]+)\$[0-9]+"))</f>
        <v/>
      </c>
      <c r="F118" s="7" t="str" cm="1">
        <f t="array" aca="1" ref="F118" ca="1">IFERROR(IF(OR('Raw Data'!F118="",LEN(TRIM('Raw Data'!F118))=0),"",IF(AND(ISNUMBER('Raw Data'!F118), IFERROR('Raw Data'!F118 = ROUND('Raw Data'!F118, 2),FALSE)),"",_xlfn.REGEXEXTRACT(CELL("address",F118), "\$([A-Z]+)\$[0-9]+"))),_xlfn.REGEXEXTRACT(CELL("address",F118), "\$([A-Z]+)\$[0-9]+"))</f>
        <v/>
      </c>
      <c r="G118" s="7" t="str" cm="1">
        <f t="array" aca="1" ref="G118" ca="1">IFERROR(IF(OR('Raw Data'!G118="",LEN(TRIM('Raw Data'!G118))=0),"",IF(LEN('Raw Data'!G118)&gt; 0,"",_xlfn.REGEXEXTRACT(CELL("address",'Raw Data'!G118),"\$([A-Z]+)\$[0-9]+"))),_xlfn.REGEXEXTRACT(CELL("address",'Raw Data'!G118),"\$([A-Z]+)\$[0-9]+"))</f>
        <v/>
      </c>
    </row>
    <row r="119" spans="2:7" x14ac:dyDescent="0.25">
      <c r="B119" s="7" t="str" cm="1">
        <f t="array" aca="1" ref="B119" ca="1">IFERROR(IF(OR('Raw Data'!B119="",LEN(TRIM('Raw Data'!B119))=0),"",IF(AND(LEN('Raw Data'!B119) &lt;= 20,LEN('Raw Data'!B119)&gt; 0),"",_xlfn.REGEXEXTRACT(CELL("address",'Raw Data'!B119),"\$([A-Z]+)\$[0-9]+"))),_xlfn.REGEXEXTRACT(CELL("address",'Raw Data'!B119),"\$([A-Z]+)\$[0-9]+"))</f>
        <v/>
      </c>
      <c r="C119" s="7" t="str" cm="1">
        <f t="array" aca="1" ref="C119" ca="1">IFERROR(IF(OR('Raw Data'!C119="",LEN(TRIM('Raw Data'!C119))=0),"",IF(AND(LEN('Raw Data'!C119) &lt;= 255,LEN('Raw Data'!C119)&gt; 0),"",_xlfn.REGEXEXTRACT(CELL("address",'Raw Data'!C119),"\$([A-Z]+)\$[0-9]+"))),_xlfn.REGEXEXTRACT(CELL("address",'Raw Data'!C119),"\$([A-Z]+)\$[0-9]+"))</f>
        <v/>
      </c>
      <c r="D119" s="7" t="str" cm="1">
        <f t="array" aca="1" ref="D119" ca="1">IFERROR(IF(OR('Raw Data'!D119="",LEN(TRIM('Raw Data'!D119))=0),"",IF(AND(ISNUMBER('Raw Data'!D119), IFERROR('Raw Data'!D119 = ROUND('Raw Data'!D119, 2),FALSE)),"",_xlfn.REGEXEXTRACT(CELL("address",D119), "\$([A-Z]+)\$[0-9]+"))),_xlfn.REGEXEXTRACT(CELL("address",D119), "\$([A-Z]+)\$[0-9]+"))</f>
        <v/>
      </c>
      <c r="E119" s="7" t="str" cm="1">
        <f t="array" aca="1" ref="E119" ca="1">IFERROR(IF(OR('Raw Data'!E119="",LEN(TRIM('Raw Data'!E119))=0),"",IF(AND(ISNUMBER('Raw Data'!E119), IFERROR('Raw Data'!E119 = ROUND('Raw Data'!E119, 2),FALSE)),"",_xlfn.REGEXEXTRACT(CELL("address",E119), "\$([A-Z]+)\$[0-9]+"))),_xlfn.REGEXEXTRACT(CELL("address",E119), "\$([A-Z]+)\$[0-9]+"))</f>
        <v/>
      </c>
      <c r="F119" s="7" t="str" cm="1">
        <f t="array" aca="1" ref="F119" ca="1">IFERROR(IF(OR('Raw Data'!F119="",LEN(TRIM('Raw Data'!F119))=0),"",IF(AND(ISNUMBER('Raw Data'!F119), IFERROR('Raw Data'!F119 = ROUND('Raw Data'!F119, 2),FALSE)),"",_xlfn.REGEXEXTRACT(CELL("address",F119), "\$([A-Z]+)\$[0-9]+"))),_xlfn.REGEXEXTRACT(CELL("address",F119), "\$([A-Z]+)\$[0-9]+"))</f>
        <v/>
      </c>
      <c r="G119" s="7" t="str" cm="1">
        <f t="array" aca="1" ref="G119" ca="1">IFERROR(IF(OR('Raw Data'!G119="",LEN(TRIM('Raw Data'!G119))=0),"",IF(LEN('Raw Data'!G119)&gt; 0,"",_xlfn.REGEXEXTRACT(CELL("address",'Raw Data'!G119),"\$([A-Z]+)\$[0-9]+"))),_xlfn.REGEXEXTRACT(CELL("address",'Raw Data'!G119),"\$([A-Z]+)\$[0-9]+"))</f>
        <v/>
      </c>
    </row>
    <row r="120" spans="2:7" x14ac:dyDescent="0.25">
      <c r="B120" s="7" t="str" cm="1">
        <f t="array" aca="1" ref="B120" ca="1">IFERROR(IF(OR('Raw Data'!B120="",LEN(TRIM('Raw Data'!B120))=0),"",IF(AND(LEN('Raw Data'!B120) &lt;= 20,LEN('Raw Data'!B120)&gt; 0),"",_xlfn.REGEXEXTRACT(CELL("address",'Raw Data'!B120),"\$([A-Z]+)\$[0-9]+"))),_xlfn.REGEXEXTRACT(CELL("address",'Raw Data'!B120),"\$([A-Z]+)\$[0-9]+"))</f>
        <v/>
      </c>
      <c r="C120" s="7" t="str" cm="1">
        <f t="array" aca="1" ref="C120" ca="1">IFERROR(IF(OR('Raw Data'!C120="",LEN(TRIM('Raw Data'!C120))=0),"",IF(AND(LEN('Raw Data'!C120) &lt;= 255,LEN('Raw Data'!C120)&gt; 0),"",_xlfn.REGEXEXTRACT(CELL("address",'Raw Data'!C120),"\$([A-Z]+)\$[0-9]+"))),_xlfn.REGEXEXTRACT(CELL("address",'Raw Data'!C120),"\$([A-Z]+)\$[0-9]+"))</f>
        <v/>
      </c>
      <c r="D120" s="7" t="str" cm="1">
        <f t="array" aca="1" ref="D120" ca="1">IFERROR(IF(OR('Raw Data'!D120="",LEN(TRIM('Raw Data'!D120))=0),"",IF(AND(ISNUMBER('Raw Data'!D120), IFERROR('Raw Data'!D120 = ROUND('Raw Data'!D120, 2),FALSE)),"",_xlfn.REGEXEXTRACT(CELL("address",D120), "\$([A-Z]+)\$[0-9]+"))),_xlfn.REGEXEXTRACT(CELL("address",D120), "\$([A-Z]+)\$[0-9]+"))</f>
        <v/>
      </c>
      <c r="E120" s="7" t="str" cm="1">
        <f t="array" aca="1" ref="E120" ca="1">IFERROR(IF(OR('Raw Data'!E120="",LEN(TRIM('Raw Data'!E120))=0),"",IF(AND(ISNUMBER('Raw Data'!E120), IFERROR('Raw Data'!E120 = ROUND('Raw Data'!E120, 2),FALSE)),"",_xlfn.REGEXEXTRACT(CELL("address",E120), "\$([A-Z]+)\$[0-9]+"))),_xlfn.REGEXEXTRACT(CELL("address",E120), "\$([A-Z]+)\$[0-9]+"))</f>
        <v/>
      </c>
      <c r="F120" s="7" t="str" cm="1">
        <f t="array" aca="1" ref="F120" ca="1">IFERROR(IF(OR('Raw Data'!F120="",LEN(TRIM('Raw Data'!F120))=0),"",IF(AND(ISNUMBER('Raw Data'!F120), IFERROR('Raw Data'!F120 = ROUND('Raw Data'!F120, 2),FALSE)),"",_xlfn.REGEXEXTRACT(CELL("address",F120), "\$([A-Z]+)\$[0-9]+"))),_xlfn.REGEXEXTRACT(CELL("address",F120), "\$([A-Z]+)\$[0-9]+"))</f>
        <v/>
      </c>
      <c r="G120" s="7" t="str" cm="1">
        <f t="array" aca="1" ref="G120" ca="1">IFERROR(IF(OR('Raw Data'!G120="",LEN(TRIM('Raw Data'!G120))=0),"",IF(LEN('Raw Data'!G120)&gt; 0,"",_xlfn.REGEXEXTRACT(CELL("address",'Raw Data'!G120),"\$([A-Z]+)\$[0-9]+"))),_xlfn.REGEXEXTRACT(CELL("address",'Raw Data'!G120),"\$([A-Z]+)\$[0-9]+"))</f>
        <v/>
      </c>
    </row>
    <row r="121" spans="2:7" x14ac:dyDescent="0.25">
      <c r="B121" s="7" t="str" cm="1">
        <f t="array" aca="1" ref="B121" ca="1">IFERROR(IF(OR('Raw Data'!B121="",LEN(TRIM('Raw Data'!B121))=0),"",IF(AND(LEN('Raw Data'!B121) &lt;= 20,LEN('Raw Data'!B121)&gt; 0),"",_xlfn.REGEXEXTRACT(CELL("address",'Raw Data'!B121),"\$([A-Z]+)\$[0-9]+"))),_xlfn.REGEXEXTRACT(CELL("address",'Raw Data'!B121),"\$([A-Z]+)\$[0-9]+"))</f>
        <v/>
      </c>
      <c r="C121" s="7" t="str" cm="1">
        <f t="array" aca="1" ref="C121" ca="1">IFERROR(IF(OR('Raw Data'!C121="",LEN(TRIM('Raw Data'!C121))=0),"",IF(AND(LEN('Raw Data'!C121) &lt;= 255,LEN('Raw Data'!C121)&gt; 0),"",_xlfn.REGEXEXTRACT(CELL("address",'Raw Data'!C121),"\$([A-Z]+)\$[0-9]+"))),_xlfn.REGEXEXTRACT(CELL("address",'Raw Data'!C121),"\$([A-Z]+)\$[0-9]+"))</f>
        <v/>
      </c>
      <c r="D121" s="7" t="str" cm="1">
        <f t="array" aca="1" ref="D121" ca="1">IFERROR(IF(OR('Raw Data'!D121="",LEN(TRIM('Raw Data'!D121))=0),"",IF(AND(ISNUMBER('Raw Data'!D121), IFERROR('Raw Data'!D121 = ROUND('Raw Data'!D121, 2),FALSE)),"",_xlfn.REGEXEXTRACT(CELL("address",D121), "\$([A-Z]+)\$[0-9]+"))),_xlfn.REGEXEXTRACT(CELL("address",D121), "\$([A-Z]+)\$[0-9]+"))</f>
        <v/>
      </c>
      <c r="E121" s="7" t="str" cm="1">
        <f t="array" aca="1" ref="E121" ca="1">IFERROR(IF(OR('Raw Data'!E121="",LEN(TRIM('Raw Data'!E121))=0),"",IF(AND(ISNUMBER('Raw Data'!E121), IFERROR('Raw Data'!E121 = ROUND('Raw Data'!E121, 2),FALSE)),"",_xlfn.REGEXEXTRACT(CELL("address",E121), "\$([A-Z]+)\$[0-9]+"))),_xlfn.REGEXEXTRACT(CELL("address",E121), "\$([A-Z]+)\$[0-9]+"))</f>
        <v/>
      </c>
      <c r="F121" s="7" t="str" cm="1">
        <f t="array" aca="1" ref="F121" ca="1">IFERROR(IF(OR('Raw Data'!F121="",LEN(TRIM('Raw Data'!F121))=0),"",IF(AND(ISNUMBER('Raw Data'!F121), IFERROR('Raw Data'!F121 = ROUND('Raw Data'!F121, 2),FALSE)),"",_xlfn.REGEXEXTRACT(CELL("address",F121), "\$([A-Z]+)\$[0-9]+"))),_xlfn.REGEXEXTRACT(CELL("address",F121), "\$([A-Z]+)\$[0-9]+"))</f>
        <v/>
      </c>
      <c r="G121" s="7" t="str" cm="1">
        <f t="array" aca="1" ref="G121" ca="1">IFERROR(IF(OR('Raw Data'!G121="",LEN(TRIM('Raw Data'!G121))=0),"",IF(LEN('Raw Data'!G121)&gt; 0,"",_xlfn.REGEXEXTRACT(CELL("address",'Raw Data'!G121),"\$([A-Z]+)\$[0-9]+"))),_xlfn.REGEXEXTRACT(CELL("address",'Raw Data'!G121),"\$([A-Z]+)\$[0-9]+"))</f>
        <v/>
      </c>
    </row>
    <row r="122" spans="2:7" x14ac:dyDescent="0.25">
      <c r="B122" s="7" t="str" cm="1">
        <f t="array" aca="1" ref="B122" ca="1">IFERROR(IF(OR('Raw Data'!B122="",LEN(TRIM('Raw Data'!B122))=0),"",IF(AND(LEN('Raw Data'!B122) &lt;= 20,LEN('Raw Data'!B122)&gt; 0),"",_xlfn.REGEXEXTRACT(CELL("address",'Raw Data'!B122),"\$([A-Z]+)\$[0-9]+"))),_xlfn.REGEXEXTRACT(CELL("address",'Raw Data'!B122),"\$([A-Z]+)\$[0-9]+"))</f>
        <v/>
      </c>
      <c r="C122" s="7" t="str" cm="1">
        <f t="array" aca="1" ref="C122" ca="1">IFERROR(IF(OR('Raw Data'!C122="",LEN(TRIM('Raw Data'!C122))=0),"",IF(AND(LEN('Raw Data'!C122) &lt;= 255,LEN('Raw Data'!C122)&gt; 0),"",_xlfn.REGEXEXTRACT(CELL("address",'Raw Data'!C122),"\$([A-Z]+)\$[0-9]+"))),_xlfn.REGEXEXTRACT(CELL("address",'Raw Data'!C122),"\$([A-Z]+)\$[0-9]+"))</f>
        <v/>
      </c>
      <c r="D122" s="7" t="str" cm="1">
        <f t="array" aca="1" ref="D122" ca="1">IFERROR(IF(OR('Raw Data'!D122="",LEN(TRIM('Raw Data'!D122))=0),"",IF(AND(ISNUMBER('Raw Data'!D122), IFERROR('Raw Data'!D122 = ROUND('Raw Data'!D122, 2),FALSE)),"",_xlfn.REGEXEXTRACT(CELL("address",D122), "\$([A-Z]+)\$[0-9]+"))),_xlfn.REGEXEXTRACT(CELL("address",D122), "\$([A-Z]+)\$[0-9]+"))</f>
        <v/>
      </c>
      <c r="E122" s="7" t="str" cm="1">
        <f t="array" aca="1" ref="E122" ca="1">IFERROR(IF(OR('Raw Data'!E122="",LEN(TRIM('Raw Data'!E122))=0),"",IF(AND(ISNUMBER('Raw Data'!E122), IFERROR('Raw Data'!E122 = ROUND('Raw Data'!E122, 2),FALSE)),"",_xlfn.REGEXEXTRACT(CELL("address",E122), "\$([A-Z]+)\$[0-9]+"))),_xlfn.REGEXEXTRACT(CELL("address",E122), "\$([A-Z]+)\$[0-9]+"))</f>
        <v/>
      </c>
      <c r="F122" s="7" t="str" cm="1">
        <f t="array" aca="1" ref="F122" ca="1">IFERROR(IF(OR('Raw Data'!F122="",LEN(TRIM('Raw Data'!F122))=0),"",IF(AND(ISNUMBER('Raw Data'!F122), IFERROR('Raw Data'!F122 = ROUND('Raw Data'!F122, 2),FALSE)),"",_xlfn.REGEXEXTRACT(CELL("address",F122), "\$([A-Z]+)\$[0-9]+"))),_xlfn.REGEXEXTRACT(CELL("address",F122), "\$([A-Z]+)\$[0-9]+"))</f>
        <v/>
      </c>
      <c r="G122" s="7" t="str" cm="1">
        <f t="array" aca="1" ref="G122" ca="1">IFERROR(IF(OR('Raw Data'!G122="",LEN(TRIM('Raw Data'!G122))=0),"",IF(LEN('Raw Data'!G122)&gt; 0,"",_xlfn.REGEXEXTRACT(CELL("address",'Raw Data'!G122),"\$([A-Z]+)\$[0-9]+"))),_xlfn.REGEXEXTRACT(CELL("address",'Raw Data'!G122),"\$([A-Z]+)\$[0-9]+"))</f>
        <v/>
      </c>
    </row>
    <row r="123" spans="2:7" x14ac:dyDescent="0.25">
      <c r="B123" s="7" t="str" cm="1">
        <f t="array" aca="1" ref="B123" ca="1">IFERROR(IF(OR('Raw Data'!B123="",LEN(TRIM('Raw Data'!B123))=0),"",IF(AND(LEN('Raw Data'!B123) &lt;= 20,LEN('Raw Data'!B123)&gt; 0),"",_xlfn.REGEXEXTRACT(CELL("address",'Raw Data'!B123),"\$([A-Z]+)\$[0-9]+"))),_xlfn.REGEXEXTRACT(CELL("address",'Raw Data'!B123),"\$([A-Z]+)\$[0-9]+"))</f>
        <v/>
      </c>
      <c r="C123" s="7" t="str" cm="1">
        <f t="array" aca="1" ref="C123" ca="1">IFERROR(IF(OR('Raw Data'!C123="",LEN(TRIM('Raw Data'!C123))=0),"",IF(AND(LEN('Raw Data'!C123) &lt;= 255,LEN('Raw Data'!C123)&gt; 0),"",_xlfn.REGEXEXTRACT(CELL("address",'Raw Data'!C123),"\$([A-Z]+)\$[0-9]+"))),_xlfn.REGEXEXTRACT(CELL("address",'Raw Data'!C123),"\$([A-Z]+)\$[0-9]+"))</f>
        <v/>
      </c>
      <c r="D123" s="7" t="str" cm="1">
        <f t="array" aca="1" ref="D123" ca="1">IFERROR(IF(OR('Raw Data'!D123="",LEN(TRIM('Raw Data'!D123))=0),"",IF(AND(ISNUMBER('Raw Data'!D123), IFERROR('Raw Data'!D123 = ROUND('Raw Data'!D123, 2),FALSE)),"",_xlfn.REGEXEXTRACT(CELL("address",D123), "\$([A-Z]+)\$[0-9]+"))),_xlfn.REGEXEXTRACT(CELL("address",D123), "\$([A-Z]+)\$[0-9]+"))</f>
        <v/>
      </c>
      <c r="E123" s="7" t="str" cm="1">
        <f t="array" aca="1" ref="E123" ca="1">IFERROR(IF(OR('Raw Data'!E123="",LEN(TRIM('Raw Data'!E123))=0),"",IF(AND(ISNUMBER('Raw Data'!E123), IFERROR('Raw Data'!E123 = ROUND('Raw Data'!E123, 2),FALSE)),"",_xlfn.REGEXEXTRACT(CELL("address",E123), "\$([A-Z]+)\$[0-9]+"))),_xlfn.REGEXEXTRACT(CELL("address",E123), "\$([A-Z]+)\$[0-9]+"))</f>
        <v/>
      </c>
      <c r="F123" s="7" t="str" cm="1">
        <f t="array" aca="1" ref="F123" ca="1">IFERROR(IF(OR('Raw Data'!F123="",LEN(TRIM('Raw Data'!F123))=0),"",IF(AND(ISNUMBER('Raw Data'!F123), IFERROR('Raw Data'!F123 = ROUND('Raw Data'!F123, 2),FALSE)),"",_xlfn.REGEXEXTRACT(CELL("address",F123), "\$([A-Z]+)\$[0-9]+"))),_xlfn.REGEXEXTRACT(CELL("address",F123), "\$([A-Z]+)\$[0-9]+"))</f>
        <v/>
      </c>
      <c r="G123" s="7" t="str" cm="1">
        <f t="array" aca="1" ref="G123" ca="1">IFERROR(IF(OR('Raw Data'!G123="",LEN(TRIM('Raw Data'!G123))=0),"",IF(LEN('Raw Data'!G123)&gt; 0,"",_xlfn.REGEXEXTRACT(CELL("address",'Raw Data'!G123),"\$([A-Z]+)\$[0-9]+"))),_xlfn.REGEXEXTRACT(CELL("address",'Raw Data'!G123),"\$([A-Z]+)\$[0-9]+"))</f>
        <v/>
      </c>
    </row>
    <row r="124" spans="2:7" x14ac:dyDescent="0.25">
      <c r="B124" s="7" t="str" cm="1">
        <f t="array" aca="1" ref="B124" ca="1">IFERROR(IF(OR('Raw Data'!B124="",LEN(TRIM('Raw Data'!B124))=0),"",IF(AND(LEN('Raw Data'!B124) &lt;= 20,LEN('Raw Data'!B124)&gt; 0),"",_xlfn.REGEXEXTRACT(CELL("address",'Raw Data'!B124),"\$([A-Z]+)\$[0-9]+"))),_xlfn.REGEXEXTRACT(CELL("address",'Raw Data'!B124),"\$([A-Z]+)\$[0-9]+"))</f>
        <v/>
      </c>
      <c r="C124" s="7" t="str" cm="1">
        <f t="array" aca="1" ref="C124" ca="1">IFERROR(IF(OR('Raw Data'!C124="",LEN(TRIM('Raw Data'!C124))=0),"",IF(AND(LEN('Raw Data'!C124) &lt;= 255,LEN('Raw Data'!C124)&gt; 0),"",_xlfn.REGEXEXTRACT(CELL("address",'Raw Data'!C124),"\$([A-Z]+)\$[0-9]+"))),_xlfn.REGEXEXTRACT(CELL("address",'Raw Data'!C124),"\$([A-Z]+)\$[0-9]+"))</f>
        <v/>
      </c>
      <c r="D124" s="7" t="str" cm="1">
        <f t="array" aca="1" ref="D124" ca="1">IFERROR(IF(OR('Raw Data'!D124="",LEN(TRIM('Raw Data'!D124))=0),"",IF(AND(ISNUMBER('Raw Data'!D124), IFERROR('Raw Data'!D124 = ROUND('Raw Data'!D124, 2),FALSE)),"",_xlfn.REGEXEXTRACT(CELL("address",D124), "\$([A-Z]+)\$[0-9]+"))),_xlfn.REGEXEXTRACT(CELL("address",D124), "\$([A-Z]+)\$[0-9]+"))</f>
        <v/>
      </c>
      <c r="E124" s="7" t="str" cm="1">
        <f t="array" aca="1" ref="E124" ca="1">IFERROR(IF(OR('Raw Data'!E124="",LEN(TRIM('Raw Data'!E124))=0),"",IF(AND(ISNUMBER('Raw Data'!E124), IFERROR('Raw Data'!E124 = ROUND('Raw Data'!E124, 2),FALSE)),"",_xlfn.REGEXEXTRACT(CELL("address",E124), "\$([A-Z]+)\$[0-9]+"))),_xlfn.REGEXEXTRACT(CELL("address",E124), "\$([A-Z]+)\$[0-9]+"))</f>
        <v/>
      </c>
      <c r="F124" s="7" t="str" cm="1">
        <f t="array" aca="1" ref="F124" ca="1">IFERROR(IF(OR('Raw Data'!F124="",LEN(TRIM('Raw Data'!F124))=0),"",IF(AND(ISNUMBER('Raw Data'!F124), IFERROR('Raw Data'!F124 = ROUND('Raw Data'!F124, 2),FALSE)),"",_xlfn.REGEXEXTRACT(CELL("address",F124), "\$([A-Z]+)\$[0-9]+"))),_xlfn.REGEXEXTRACT(CELL("address",F124), "\$([A-Z]+)\$[0-9]+"))</f>
        <v/>
      </c>
      <c r="G124" s="7" t="str" cm="1">
        <f t="array" aca="1" ref="G124" ca="1">IFERROR(IF(OR('Raw Data'!G124="",LEN(TRIM('Raw Data'!G124))=0),"",IF(LEN('Raw Data'!G124)&gt; 0,"",_xlfn.REGEXEXTRACT(CELL("address",'Raw Data'!G124),"\$([A-Z]+)\$[0-9]+"))),_xlfn.REGEXEXTRACT(CELL("address",'Raw Data'!G124),"\$([A-Z]+)\$[0-9]+"))</f>
        <v/>
      </c>
    </row>
    <row r="125" spans="2:7" x14ac:dyDescent="0.25">
      <c r="B125" s="7" t="str" cm="1">
        <f t="array" aca="1" ref="B125" ca="1">IFERROR(IF(OR('Raw Data'!B125="",LEN(TRIM('Raw Data'!B125))=0),"",IF(AND(LEN('Raw Data'!B125) &lt;= 20,LEN('Raw Data'!B125)&gt; 0),"",_xlfn.REGEXEXTRACT(CELL("address",'Raw Data'!B125),"\$([A-Z]+)\$[0-9]+"))),_xlfn.REGEXEXTRACT(CELL("address",'Raw Data'!B125),"\$([A-Z]+)\$[0-9]+"))</f>
        <v/>
      </c>
      <c r="C125" s="7" t="str" cm="1">
        <f t="array" aca="1" ref="C125" ca="1">IFERROR(IF(OR('Raw Data'!C125="",LEN(TRIM('Raw Data'!C125))=0),"",IF(AND(LEN('Raw Data'!C125) &lt;= 255,LEN('Raw Data'!C125)&gt; 0),"",_xlfn.REGEXEXTRACT(CELL("address",'Raw Data'!C125),"\$([A-Z]+)\$[0-9]+"))),_xlfn.REGEXEXTRACT(CELL("address",'Raw Data'!C125),"\$([A-Z]+)\$[0-9]+"))</f>
        <v/>
      </c>
      <c r="D125" s="7" t="str" cm="1">
        <f t="array" aca="1" ref="D125" ca="1">IFERROR(IF(OR('Raw Data'!D125="",LEN(TRIM('Raw Data'!D125))=0),"",IF(AND(ISNUMBER('Raw Data'!D125), IFERROR('Raw Data'!D125 = ROUND('Raw Data'!D125, 2),FALSE)),"",_xlfn.REGEXEXTRACT(CELL("address",D125), "\$([A-Z]+)\$[0-9]+"))),_xlfn.REGEXEXTRACT(CELL("address",D125), "\$([A-Z]+)\$[0-9]+"))</f>
        <v/>
      </c>
      <c r="E125" s="7" t="str" cm="1">
        <f t="array" aca="1" ref="E125" ca="1">IFERROR(IF(OR('Raw Data'!E125="",LEN(TRIM('Raw Data'!E125))=0),"",IF(AND(ISNUMBER('Raw Data'!E125), IFERROR('Raw Data'!E125 = ROUND('Raw Data'!E125, 2),FALSE)),"",_xlfn.REGEXEXTRACT(CELL("address",E125), "\$([A-Z]+)\$[0-9]+"))),_xlfn.REGEXEXTRACT(CELL("address",E125), "\$([A-Z]+)\$[0-9]+"))</f>
        <v/>
      </c>
      <c r="F125" s="7" t="str" cm="1">
        <f t="array" aca="1" ref="F125" ca="1">IFERROR(IF(OR('Raw Data'!F125="",LEN(TRIM('Raw Data'!F125))=0),"",IF(AND(ISNUMBER('Raw Data'!F125), IFERROR('Raw Data'!F125 = ROUND('Raw Data'!F125, 2),FALSE)),"",_xlfn.REGEXEXTRACT(CELL("address",F125), "\$([A-Z]+)\$[0-9]+"))),_xlfn.REGEXEXTRACT(CELL("address",F125), "\$([A-Z]+)\$[0-9]+"))</f>
        <v/>
      </c>
      <c r="G125" s="7" t="str" cm="1">
        <f t="array" aca="1" ref="G125" ca="1">IFERROR(IF(OR('Raw Data'!G125="",LEN(TRIM('Raw Data'!G125))=0),"",IF(LEN('Raw Data'!G125)&gt; 0,"",_xlfn.REGEXEXTRACT(CELL("address",'Raw Data'!G125),"\$([A-Z]+)\$[0-9]+"))),_xlfn.REGEXEXTRACT(CELL("address",'Raw Data'!G125),"\$([A-Z]+)\$[0-9]+"))</f>
        <v/>
      </c>
    </row>
    <row r="126" spans="2:7" x14ac:dyDescent="0.25">
      <c r="B126" s="7" t="str" cm="1">
        <f t="array" aca="1" ref="B126" ca="1">IFERROR(IF(OR('Raw Data'!B126="",LEN(TRIM('Raw Data'!B126))=0),"",IF(AND(LEN('Raw Data'!B126) &lt;= 20,LEN('Raw Data'!B126)&gt; 0),"",_xlfn.REGEXEXTRACT(CELL("address",'Raw Data'!B126),"\$([A-Z]+)\$[0-9]+"))),_xlfn.REGEXEXTRACT(CELL("address",'Raw Data'!B126),"\$([A-Z]+)\$[0-9]+"))</f>
        <v/>
      </c>
      <c r="C126" s="7" t="str" cm="1">
        <f t="array" aca="1" ref="C126" ca="1">IFERROR(IF(OR('Raw Data'!C126="",LEN(TRIM('Raw Data'!C126))=0),"",IF(AND(LEN('Raw Data'!C126) &lt;= 255,LEN('Raw Data'!C126)&gt; 0),"",_xlfn.REGEXEXTRACT(CELL("address",'Raw Data'!C126),"\$([A-Z]+)\$[0-9]+"))),_xlfn.REGEXEXTRACT(CELL("address",'Raw Data'!C126),"\$([A-Z]+)\$[0-9]+"))</f>
        <v/>
      </c>
      <c r="D126" s="7" t="str" cm="1">
        <f t="array" aca="1" ref="D126" ca="1">IFERROR(IF(OR('Raw Data'!D126="",LEN(TRIM('Raw Data'!D126))=0),"",IF(AND(ISNUMBER('Raw Data'!D126), IFERROR('Raw Data'!D126 = ROUND('Raw Data'!D126, 2),FALSE)),"",_xlfn.REGEXEXTRACT(CELL("address",D126), "\$([A-Z]+)\$[0-9]+"))),_xlfn.REGEXEXTRACT(CELL("address",D126), "\$([A-Z]+)\$[0-9]+"))</f>
        <v/>
      </c>
      <c r="E126" s="7" t="str" cm="1">
        <f t="array" aca="1" ref="E126" ca="1">IFERROR(IF(OR('Raw Data'!E126="",LEN(TRIM('Raw Data'!E126))=0),"",IF(AND(ISNUMBER('Raw Data'!E126), IFERROR('Raw Data'!E126 = ROUND('Raw Data'!E126, 2),FALSE)),"",_xlfn.REGEXEXTRACT(CELL("address",E126), "\$([A-Z]+)\$[0-9]+"))),_xlfn.REGEXEXTRACT(CELL("address",E126), "\$([A-Z]+)\$[0-9]+"))</f>
        <v/>
      </c>
      <c r="F126" s="7" t="str" cm="1">
        <f t="array" aca="1" ref="F126" ca="1">IFERROR(IF(OR('Raw Data'!F126="",LEN(TRIM('Raw Data'!F126))=0),"",IF(AND(ISNUMBER('Raw Data'!F126), IFERROR('Raw Data'!F126 = ROUND('Raw Data'!F126, 2),FALSE)),"",_xlfn.REGEXEXTRACT(CELL("address",F126), "\$([A-Z]+)\$[0-9]+"))),_xlfn.REGEXEXTRACT(CELL("address",F126), "\$([A-Z]+)\$[0-9]+"))</f>
        <v/>
      </c>
      <c r="G126" s="7" t="str" cm="1">
        <f t="array" aca="1" ref="G126" ca="1">IFERROR(IF(OR('Raw Data'!G126="",LEN(TRIM('Raw Data'!G126))=0),"",IF(LEN('Raw Data'!G126)&gt; 0,"",_xlfn.REGEXEXTRACT(CELL("address",'Raw Data'!G126),"\$([A-Z]+)\$[0-9]+"))),_xlfn.REGEXEXTRACT(CELL("address",'Raw Data'!G126),"\$([A-Z]+)\$[0-9]+"))</f>
        <v/>
      </c>
    </row>
    <row r="127" spans="2:7" x14ac:dyDescent="0.25">
      <c r="B127" s="7" t="str" cm="1">
        <f t="array" aca="1" ref="B127" ca="1">IFERROR(IF(OR('Raw Data'!B127="",LEN(TRIM('Raw Data'!B127))=0),"",IF(AND(LEN('Raw Data'!B127) &lt;= 20,LEN('Raw Data'!B127)&gt; 0),"",_xlfn.REGEXEXTRACT(CELL("address",'Raw Data'!B127),"\$([A-Z]+)\$[0-9]+"))),_xlfn.REGEXEXTRACT(CELL("address",'Raw Data'!B127),"\$([A-Z]+)\$[0-9]+"))</f>
        <v/>
      </c>
      <c r="C127" s="7" t="str" cm="1">
        <f t="array" aca="1" ref="C127" ca="1">IFERROR(IF(OR('Raw Data'!C127="",LEN(TRIM('Raw Data'!C127))=0),"",IF(AND(LEN('Raw Data'!C127) &lt;= 255,LEN('Raw Data'!C127)&gt; 0),"",_xlfn.REGEXEXTRACT(CELL("address",'Raw Data'!C127),"\$([A-Z]+)\$[0-9]+"))),_xlfn.REGEXEXTRACT(CELL("address",'Raw Data'!C127),"\$([A-Z]+)\$[0-9]+"))</f>
        <v/>
      </c>
      <c r="D127" s="7" t="str" cm="1">
        <f t="array" aca="1" ref="D127" ca="1">IFERROR(IF(OR('Raw Data'!D127="",LEN(TRIM('Raw Data'!D127))=0),"",IF(AND(ISNUMBER('Raw Data'!D127), IFERROR('Raw Data'!D127 = ROUND('Raw Data'!D127, 2),FALSE)),"",_xlfn.REGEXEXTRACT(CELL("address",D127), "\$([A-Z]+)\$[0-9]+"))),_xlfn.REGEXEXTRACT(CELL("address",D127), "\$([A-Z]+)\$[0-9]+"))</f>
        <v/>
      </c>
      <c r="E127" s="7" t="str" cm="1">
        <f t="array" aca="1" ref="E127" ca="1">IFERROR(IF(OR('Raw Data'!E127="",LEN(TRIM('Raw Data'!E127))=0),"",IF(AND(ISNUMBER('Raw Data'!E127), IFERROR('Raw Data'!E127 = ROUND('Raw Data'!E127, 2),FALSE)),"",_xlfn.REGEXEXTRACT(CELL("address",E127), "\$([A-Z]+)\$[0-9]+"))),_xlfn.REGEXEXTRACT(CELL("address",E127), "\$([A-Z]+)\$[0-9]+"))</f>
        <v/>
      </c>
      <c r="F127" s="7" t="str" cm="1">
        <f t="array" aca="1" ref="F127" ca="1">IFERROR(IF(OR('Raw Data'!F127="",LEN(TRIM('Raw Data'!F127))=0),"",IF(AND(ISNUMBER('Raw Data'!F127), IFERROR('Raw Data'!F127 = ROUND('Raw Data'!F127, 2),FALSE)),"",_xlfn.REGEXEXTRACT(CELL("address",F127), "\$([A-Z]+)\$[0-9]+"))),_xlfn.REGEXEXTRACT(CELL("address",F127), "\$([A-Z]+)\$[0-9]+"))</f>
        <v/>
      </c>
      <c r="G127" s="7" t="str" cm="1">
        <f t="array" aca="1" ref="G127" ca="1">IFERROR(IF(OR('Raw Data'!G127="",LEN(TRIM('Raw Data'!G127))=0),"",IF(LEN('Raw Data'!G127)&gt; 0,"",_xlfn.REGEXEXTRACT(CELL("address",'Raw Data'!G127),"\$([A-Z]+)\$[0-9]+"))),_xlfn.REGEXEXTRACT(CELL("address",'Raw Data'!G127),"\$([A-Z]+)\$[0-9]+"))</f>
        <v/>
      </c>
    </row>
    <row r="128" spans="2:7" x14ac:dyDescent="0.25">
      <c r="B128" s="7" t="str" cm="1">
        <f t="array" aca="1" ref="B128" ca="1">IFERROR(IF(OR('Raw Data'!B128="",LEN(TRIM('Raw Data'!B128))=0),"",IF(AND(LEN('Raw Data'!B128) &lt;= 20,LEN('Raw Data'!B128)&gt; 0),"",_xlfn.REGEXEXTRACT(CELL("address",'Raw Data'!B128),"\$([A-Z]+)\$[0-9]+"))),_xlfn.REGEXEXTRACT(CELL("address",'Raw Data'!B128),"\$([A-Z]+)\$[0-9]+"))</f>
        <v/>
      </c>
      <c r="C128" s="7" t="str" cm="1">
        <f t="array" aca="1" ref="C128" ca="1">IFERROR(IF(OR('Raw Data'!C128="",LEN(TRIM('Raw Data'!C128))=0),"",IF(AND(LEN('Raw Data'!C128) &lt;= 255,LEN('Raw Data'!C128)&gt; 0),"",_xlfn.REGEXEXTRACT(CELL("address",'Raw Data'!C128),"\$([A-Z]+)\$[0-9]+"))),_xlfn.REGEXEXTRACT(CELL("address",'Raw Data'!C128),"\$([A-Z]+)\$[0-9]+"))</f>
        <v/>
      </c>
      <c r="D128" s="7" t="str" cm="1">
        <f t="array" aca="1" ref="D128" ca="1">IFERROR(IF(OR('Raw Data'!D128="",LEN(TRIM('Raw Data'!D128))=0),"",IF(AND(ISNUMBER('Raw Data'!D128), IFERROR('Raw Data'!D128 = ROUND('Raw Data'!D128, 2),FALSE)),"",_xlfn.REGEXEXTRACT(CELL("address",D128), "\$([A-Z]+)\$[0-9]+"))),_xlfn.REGEXEXTRACT(CELL("address",D128), "\$([A-Z]+)\$[0-9]+"))</f>
        <v/>
      </c>
      <c r="E128" s="7" t="str" cm="1">
        <f t="array" aca="1" ref="E128" ca="1">IFERROR(IF(OR('Raw Data'!E128="",LEN(TRIM('Raw Data'!E128))=0),"",IF(AND(ISNUMBER('Raw Data'!E128), IFERROR('Raw Data'!E128 = ROUND('Raw Data'!E128, 2),FALSE)),"",_xlfn.REGEXEXTRACT(CELL("address",E128), "\$([A-Z]+)\$[0-9]+"))),_xlfn.REGEXEXTRACT(CELL("address",E128), "\$([A-Z]+)\$[0-9]+"))</f>
        <v/>
      </c>
      <c r="F128" s="7" t="str" cm="1">
        <f t="array" aca="1" ref="F128" ca="1">IFERROR(IF(OR('Raw Data'!F128="",LEN(TRIM('Raw Data'!F128))=0),"",IF(AND(ISNUMBER('Raw Data'!F128), IFERROR('Raw Data'!F128 = ROUND('Raw Data'!F128, 2),FALSE)),"",_xlfn.REGEXEXTRACT(CELL("address",F128), "\$([A-Z]+)\$[0-9]+"))),_xlfn.REGEXEXTRACT(CELL("address",F128), "\$([A-Z]+)\$[0-9]+"))</f>
        <v/>
      </c>
      <c r="G128" s="7" t="str" cm="1">
        <f t="array" aca="1" ref="G128" ca="1">IFERROR(IF(OR('Raw Data'!G128="",LEN(TRIM('Raw Data'!G128))=0),"",IF(LEN('Raw Data'!G128)&gt; 0,"",_xlfn.REGEXEXTRACT(CELL("address",'Raw Data'!G128),"\$([A-Z]+)\$[0-9]+"))),_xlfn.REGEXEXTRACT(CELL("address",'Raw Data'!G128),"\$([A-Z]+)\$[0-9]+"))</f>
        <v/>
      </c>
    </row>
    <row r="129" spans="2:7" x14ac:dyDescent="0.25">
      <c r="B129" s="7" t="str" cm="1">
        <f t="array" aca="1" ref="B129" ca="1">IFERROR(IF(OR('Raw Data'!B129="",LEN(TRIM('Raw Data'!B129))=0),"",IF(AND(LEN('Raw Data'!B129) &lt;= 20,LEN('Raw Data'!B129)&gt; 0),"",_xlfn.REGEXEXTRACT(CELL("address",'Raw Data'!B129),"\$([A-Z]+)\$[0-9]+"))),_xlfn.REGEXEXTRACT(CELL("address",'Raw Data'!B129),"\$([A-Z]+)\$[0-9]+"))</f>
        <v/>
      </c>
      <c r="C129" s="7" t="str" cm="1">
        <f t="array" aca="1" ref="C129" ca="1">IFERROR(IF(OR('Raw Data'!C129="",LEN(TRIM('Raw Data'!C129))=0),"",IF(AND(LEN('Raw Data'!C129) &lt;= 255,LEN('Raw Data'!C129)&gt; 0),"",_xlfn.REGEXEXTRACT(CELL("address",'Raw Data'!C129),"\$([A-Z]+)\$[0-9]+"))),_xlfn.REGEXEXTRACT(CELL("address",'Raw Data'!C129),"\$([A-Z]+)\$[0-9]+"))</f>
        <v/>
      </c>
      <c r="D129" s="7" t="str" cm="1">
        <f t="array" aca="1" ref="D129" ca="1">IFERROR(IF(OR('Raw Data'!D129="",LEN(TRIM('Raw Data'!D129))=0),"",IF(AND(ISNUMBER('Raw Data'!D129), IFERROR('Raw Data'!D129 = ROUND('Raw Data'!D129, 2),FALSE)),"",_xlfn.REGEXEXTRACT(CELL("address",D129), "\$([A-Z]+)\$[0-9]+"))),_xlfn.REGEXEXTRACT(CELL("address",D129), "\$([A-Z]+)\$[0-9]+"))</f>
        <v/>
      </c>
      <c r="E129" s="7" t="str" cm="1">
        <f t="array" aca="1" ref="E129" ca="1">IFERROR(IF(OR('Raw Data'!E129="",LEN(TRIM('Raw Data'!E129))=0),"",IF(AND(ISNUMBER('Raw Data'!E129), IFERROR('Raw Data'!E129 = ROUND('Raw Data'!E129, 2),FALSE)),"",_xlfn.REGEXEXTRACT(CELL("address",E129), "\$([A-Z]+)\$[0-9]+"))),_xlfn.REGEXEXTRACT(CELL("address",E129), "\$([A-Z]+)\$[0-9]+"))</f>
        <v/>
      </c>
      <c r="F129" s="7" t="str" cm="1">
        <f t="array" aca="1" ref="F129" ca="1">IFERROR(IF(OR('Raw Data'!F129="",LEN(TRIM('Raw Data'!F129))=0),"",IF(AND(ISNUMBER('Raw Data'!F129), IFERROR('Raw Data'!F129 = ROUND('Raw Data'!F129, 2),FALSE)),"",_xlfn.REGEXEXTRACT(CELL("address",F129), "\$([A-Z]+)\$[0-9]+"))),_xlfn.REGEXEXTRACT(CELL("address",F129), "\$([A-Z]+)\$[0-9]+"))</f>
        <v/>
      </c>
      <c r="G129" s="7" t="str" cm="1">
        <f t="array" aca="1" ref="G129" ca="1">IFERROR(IF(OR('Raw Data'!G129="",LEN(TRIM('Raw Data'!G129))=0),"",IF(LEN('Raw Data'!G129)&gt; 0,"",_xlfn.REGEXEXTRACT(CELL("address",'Raw Data'!G129),"\$([A-Z]+)\$[0-9]+"))),_xlfn.REGEXEXTRACT(CELL("address",'Raw Data'!G129),"\$([A-Z]+)\$[0-9]+"))</f>
        <v/>
      </c>
    </row>
    <row r="130" spans="2:7" x14ac:dyDescent="0.25">
      <c r="B130" s="7" t="str" cm="1">
        <f t="array" aca="1" ref="B130" ca="1">IFERROR(IF(OR('Raw Data'!B130="",LEN(TRIM('Raw Data'!B130))=0),"",IF(AND(LEN('Raw Data'!B130) &lt;= 20,LEN('Raw Data'!B130)&gt; 0),"",_xlfn.REGEXEXTRACT(CELL("address",'Raw Data'!B130),"\$([A-Z]+)\$[0-9]+"))),_xlfn.REGEXEXTRACT(CELL("address",'Raw Data'!B130),"\$([A-Z]+)\$[0-9]+"))</f>
        <v/>
      </c>
      <c r="C130" s="7" t="str" cm="1">
        <f t="array" aca="1" ref="C130" ca="1">IFERROR(IF(OR('Raw Data'!C130="",LEN(TRIM('Raw Data'!C130))=0),"",IF(AND(LEN('Raw Data'!C130) &lt;= 255,LEN('Raw Data'!C130)&gt; 0),"",_xlfn.REGEXEXTRACT(CELL("address",'Raw Data'!C130),"\$([A-Z]+)\$[0-9]+"))),_xlfn.REGEXEXTRACT(CELL("address",'Raw Data'!C130),"\$([A-Z]+)\$[0-9]+"))</f>
        <v/>
      </c>
      <c r="D130" s="7" t="str" cm="1">
        <f t="array" aca="1" ref="D130" ca="1">IFERROR(IF(OR('Raw Data'!D130="",LEN(TRIM('Raw Data'!D130))=0),"",IF(AND(ISNUMBER('Raw Data'!D130), IFERROR('Raw Data'!D130 = ROUND('Raw Data'!D130, 2),FALSE)),"",_xlfn.REGEXEXTRACT(CELL("address",D130), "\$([A-Z]+)\$[0-9]+"))),_xlfn.REGEXEXTRACT(CELL("address",D130), "\$([A-Z]+)\$[0-9]+"))</f>
        <v/>
      </c>
      <c r="E130" s="7" t="str" cm="1">
        <f t="array" aca="1" ref="E130" ca="1">IFERROR(IF(OR('Raw Data'!E130="",LEN(TRIM('Raw Data'!E130))=0),"",IF(AND(ISNUMBER('Raw Data'!E130), IFERROR('Raw Data'!E130 = ROUND('Raw Data'!E130, 2),FALSE)),"",_xlfn.REGEXEXTRACT(CELL("address",E130), "\$([A-Z]+)\$[0-9]+"))),_xlfn.REGEXEXTRACT(CELL("address",E130), "\$([A-Z]+)\$[0-9]+"))</f>
        <v/>
      </c>
      <c r="F130" s="7" t="str" cm="1">
        <f t="array" aca="1" ref="F130" ca="1">IFERROR(IF(OR('Raw Data'!F130="",LEN(TRIM('Raw Data'!F130))=0),"",IF(AND(ISNUMBER('Raw Data'!F130), IFERROR('Raw Data'!F130 = ROUND('Raw Data'!F130, 2),FALSE)),"",_xlfn.REGEXEXTRACT(CELL("address",F130), "\$([A-Z]+)\$[0-9]+"))),_xlfn.REGEXEXTRACT(CELL("address",F130), "\$([A-Z]+)\$[0-9]+"))</f>
        <v/>
      </c>
      <c r="G130" s="7" t="str" cm="1">
        <f t="array" aca="1" ref="G130" ca="1">IFERROR(IF(OR('Raw Data'!G130="",LEN(TRIM('Raw Data'!G130))=0),"",IF(LEN('Raw Data'!G130)&gt; 0,"",_xlfn.REGEXEXTRACT(CELL("address",'Raw Data'!G130),"\$([A-Z]+)\$[0-9]+"))),_xlfn.REGEXEXTRACT(CELL("address",'Raw Data'!G130),"\$([A-Z]+)\$[0-9]+"))</f>
        <v/>
      </c>
    </row>
    <row r="131" spans="2:7" x14ac:dyDescent="0.25">
      <c r="B131" s="7" t="str" cm="1">
        <f t="array" aca="1" ref="B131" ca="1">IFERROR(IF(OR('Raw Data'!B131="",LEN(TRIM('Raw Data'!B131))=0),"",IF(AND(LEN('Raw Data'!B131) &lt;= 20,LEN('Raw Data'!B131)&gt; 0),"",_xlfn.REGEXEXTRACT(CELL("address",'Raw Data'!B131),"\$([A-Z]+)\$[0-9]+"))),_xlfn.REGEXEXTRACT(CELL("address",'Raw Data'!B131),"\$([A-Z]+)\$[0-9]+"))</f>
        <v/>
      </c>
      <c r="C131" s="7" t="str" cm="1">
        <f t="array" aca="1" ref="C131" ca="1">IFERROR(IF(OR('Raw Data'!C131="",LEN(TRIM('Raw Data'!C131))=0),"",IF(AND(LEN('Raw Data'!C131) &lt;= 255,LEN('Raw Data'!C131)&gt; 0),"",_xlfn.REGEXEXTRACT(CELL("address",'Raw Data'!C131),"\$([A-Z]+)\$[0-9]+"))),_xlfn.REGEXEXTRACT(CELL("address",'Raw Data'!C131),"\$([A-Z]+)\$[0-9]+"))</f>
        <v/>
      </c>
      <c r="D131" s="7" t="str" cm="1">
        <f t="array" aca="1" ref="D131" ca="1">IFERROR(IF(OR('Raw Data'!D131="",LEN(TRIM('Raw Data'!D131))=0),"",IF(AND(ISNUMBER('Raw Data'!D131), IFERROR('Raw Data'!D131 = ROUND('Raw Data'!D131, 2),FALSE)),"",_xlfn.REGEXEXTRACT(CELL("address",D131), "\$([A-Z]+)\$[0-9]+"))),_xlfn.REGEXEXTRACT(CELL("address",D131), "\$([A-Z]+)\$[0-9]+"))</f>
        <v/>
      </c>
      <c r="E131" s="7" t="str" cm="1">
        <f t="array" aca="1" ref="E131" ca="1">IFERROR(IF(OR('Raw Data'!E131="",LEN(TRIM('Raw Data'!E131))=0),"",IF(AND(ISNUMBER('Raw Data'!E131), IFERROR('Raw Data'!E131 = ROUND('Raw Data'!E131, 2),FALSE)),"",_xlfn.REGEXEXTRACT(CELL("address",E131), "\$([A-Z]+)\$[0-9]+"))),_xlfn.REGEXEXTRACT(CELL("address",E131), "\$([A-Z]+)\$[0-9]+"))</f>
        <v/>
      </c>
      <c r="F131" s="7" t="str" cm="1">
        <f t="array" aca="1" ref="F131" ca="1">IFERROR(IF(OR('Raw Data'!F131="",LEN(TRIM('Raw Data'!F131))=0),"",IF(AND(ISNUMBER('Raw Data'!F131), IFERROR('Raw Data'!F131 = ROUND('Raw Data'!F131, 2),FALSE)),"",_xlfn.REGEXEXTRACT(CELL("address",F131), "\$([A-Z]+)\$[0-9]+"))),_xlfn.REGEXEXTRACT(CELL("address",F131), "\$([A-Z]+)\$[0-9]+"))</f>
        <v/>
      </c>
      <c r="G131" s="7" t="str" cm="1">
        <f t="array" aca="1" ref="G131" ca="1">IFERROR(IF(OR('Raw Data'!G131="",LEN(TRIM('Raw Data'!G131))=0),"",IF(LEN('Raw Data'!G131)&gt; 0,"",_xlfn.REGEXEXTRACT(CELL("address",'Raw Data'!G131),"\$([A-Z]+)\$[0-9]+"))),_xlfn.REGEXEXTRACT(CELL("address",'Raw Data'!G131),"\$([A-Z]+)\$[0-9]+"))</f>
        <v/>
      </c>
    </row>
    <row r="132" spans="2:7" x14ac:dyDescent="0.25">
      <c r="B132" s="7" t="str" cm="1">
        <f t="array" aca="1" ref="B132" ca="1">IFERROR(IF(OR('Raw Data'!B132="",LEN(TRIM('Raw Data'!B132))=0),"",IF(AND(LEN('Raw Data'!B132) &lt;= 20,LEN('Raw Data'!B132)&gt; 0),"",_xlfn.REGEXEXTRACT(CELL("address",'Raw Data'!B132),"\$([A-Z]+)\$[0-9]+"))),_xlfn.REGEXEXTRACT(CELL("address",'Raw Data'!B132),"\$([A-Z]+)\$[0-9]+"))</f>
        <v/>
      </c>
      <c r="C132" s="7" t="str" cm="1">
        <f t="array" aca="1" ref="C132" ca="1">IFERROR(IF(OR('Raw Data'!C132="",LEN(TRIM('Raw Data'!C132))=0),"",IF(AND(LEN('Raw Data'!C132) &lt;= 255,LEN('Raw Data'!C132)&gt; 0),"",_xlfn.REGEXEXTRACT(CELL("address",'Raw Data'!C132),"\$([A-Z]+)\$[0-9]+"))),_xlfn.REGEXEXTRACT(CELL("address",'Raw Data'!C132),"\$([A-Z]+)\$[0-9]+"))</f>
        <v/>
      </c>
      <c r="D132" s="7" t="str" cm="1">
        <f t="array" aca="1" ref="D132" ca="1">IFERROR(IF(OR('Raw Data'!D132="",LEN(TRIM('Raw Data'!D132))=0),"",IF(AND(ISNUMBER('Raw Data'!D132), IFERROR('Raw Data'!D132 = ROUND('Raw Data'!D132, 2),FALSE)),"",_xlfn.REGEXEXTRACT(CELL("address",D132), "\$([A-Z]+)\$[0-9]+"))),_xlfn.REGEXEXTRACT(CELL("address",D132), "\$([A-Z]+)\$[0-9]+"))</f>
        <v/>
      </c>
      <c r="E132" s="7" t="str" cm="1">
        <f t="array" aca="1" ref="E132" ca="1">IFERROR(IF(OR('Raw Data'!E132="",LEN(TRIM('Raw Data'!E132))=0),"",IF(AND(ISNUMBER('Raw Data'!E132), IFERROR('Raw Data'!E132 = ROUND('Raw Data'!E132, 2),FALSE)),"",_xlfn.REGEXEXTRACT(CELL("address",E132), "\$([A-Z]+)\$[0-9]+"))),_xlfn.REGEXEXTRACT(CELL("address",E132), "\$([A-Z]+)\$[0-9]+"))</f>
        <v/>
      </c>
      <c r="F132" s="7" t="str" cm="1">
        <f t="array" aca="1" ref="F132" ca="1">IFERROR(IF(OR('Raw Data'!F132="",LEN(TRIM('Raw Data'!F132))=0),"",IF(AND(ISNUMBER('Raw Data'!F132), IFERROR('Raw Data'!F132 = ROUND('Raw Data'!F132, 2),FALSE)),"",_xlfn.REGEXEXTRACT(CELL("address",F132), "\$([A-Z]+)\$[0-9]+"))),_xlfn.REGEXEXTRACT(CELL("address",F132), "\$([A-Z]+)\$[0-9]+"))</f>
        <v/>
      </c>
      <c r="G132" s="7" t="str" cm="1">
        <f t="array" aca="1" ref="G132" ca="1">IFERROR(IF(OR('Raw Data'!G132="",LEN(TRIM('Raw Data'!G132))=0),"",IF(LEN('Raw Data'!G132)&gt; 0,"",_xlfn.REGEXEXTRACT(CELL("address",'Raw Data'!G132),"\$([A-Z]+)\$[0-9]+"))),_xlfn.REGEXEXTRACT(CELL("address",'Raw Data'!G132),"\$([A-Z]+)\$[0-9]+"))</f>
        <v/>
      </c>
    </row>
    <row r="133" spans="2:7" x14ac:dyDescent="0.25">
      <c r="B133" s="7" t="str" cm="1">
        <f t="array" aca="1" ref="B133" ca="1">IFERROR(IF(OR('Raw Data'!B133="",LEN(TRIM('Raw Data'!B133))=0),"",IF(AND(LEN('Raw Data'!B133) &lt;= 20,LEN('Raw Data'!B133)&gt; 0),"",_xlfn.REGEXEXTRACT(CELL("address",'Raw Data'!B133),"\$([A-Z]+)\$[0-9]+"))),_xlfn.REGEXEXTRACT(CELL("address",'Raw Data'!B133),"\$([A-Z]+)\$[0-9]+"))</f>
        <v/>
      </c>
      <c r="C133" s="7" t="str" cm="1">
        <f t="array" aca="1" ref="C133" ca="1">IFERROR(IF(OR('Raw Data'!C133="",LEN(TRIM('Raw Data'!C133))=0),"",IF(AND(LEN('Raw Data'!C133) &lt;= 255,LEN('Raw Data'!C133)&gt; 0),"",_xlfn.REGEXEXTRACT(CELL("address",'Raw Data'!C133),"\$([A-Z]+)\$[0-9]+"))),_xlfn.REGEXEXTRACT(CELL("address",'Raw Data'!C133),"\$([A-Z]+)\$[0-9]+"))</f>
        <v/>
      </c>
      <c r="D133" s="7" t="str" cm="1">
        <f t="array" aca="1" ref="D133" ca="1">IFERROR(IF(OR('Raw Data'!D133="",LEN(TRIM('Raw Data'!D133))=0),"",IF(AND(ISNUMBER('Raw Data'!D133), IFERROR('Raw Data'!D133 = ROUND('Raw Data'!D133, 2),FALSE)),"",_xlfn.REGEXEXTRACT(CELL("address",D133), "\$([A-Z]+)\$[0-9]+"))),_xlfn.REGEXEXTRACT(CELL("address",D133), "\$([A-Z]+)\$[0-9]+"))</f>
        <v/>
      </c>
      <c r="E133" s="7" t="str" cm="1">
        <f t="array" aca="1" ref="E133" ca="1">IFERROR(IF(OR('Raw Data'!E133="",LEN(TRIM('Raw Data'!E133))=0),"",IF(AND(ISNUMBER('Raw Data'!E133), IFERROR('Raw Data'!E133 = ROUND('Raw Data'!E133, 2),FALSE)),"",_xlfn.REGEXEXTRACT(CELL("address",E133), "\$([A-Z]+)\$[0-9]+"))),_xlfn.REGEXEXTRACT(CELL("address",E133), "\$([A-Z]+)\$[0-9]+"))</f>
        <v/>
      </c>
      <c r="F133" s="7" t="str" cm="1">
        <f t="array" aca="1" ref="F133" ca="1">IFERROR(IF(OR('Raw Data'!F133="",LEN(TRIM('Raw Data'!F133))=0),"",IF(AND(ISNUMBER('Raw Data'!F133), IFERROR('Raw Data'!F133 = ROUND('Raw Data'!F133, 2),FALSE)),"",_xlfn.REGEXEXTRACT(CELL("address",F133), "\$([A-Z]+)\$[0-9]+"))),_xlfn.REGEXEXTRACT(CELL("address",F133), "\$([A-Z]+)\$[0-9]+"))</f>
        <v/>
      </c>
      <c r="G133" s="7" t="str" cm="1">
        <f t="array" aca="1" ref="G133" ca="1">IFERROR(IF(OR('Raw Data'!G133="",LEN(TRIM('Raw Data'!G133))=0),"",IF(LEN('Raw Data'!G133)&gt; 0,"",_xlfn.REGEXEXTRACT(CELL("address",'Raw Data'!G133),"\$([A-Z]+)\$[0-9]+"))),_xlfn.REGEXEXTRACT(CELL("address",'Raw Data'!G133),"\$([A-Z]+)\$[0-9]+"))</f>
        <v/>
      </c>
    </row>
    <row r="134" spans="2:7" x14ac:dyDescent="0.25">
      <c r="B134" s="7" t="str" cm="1">
        <f t="array" aca="1" ref="B134" ca="1">IFERROR(IF(OR('Raw Data'!B134="",LEN(TRIM('Raw Data'!B134))=0),"",IF(AND(LEN('Raw Data'!B134) &lt;= 20,LEN('Raw Data'!B134)&gt; 0),"",_xlfn.REGEXEXTRACT(CELL("address",'Raw Data'!B134),"\$([A-Z]+)\$[0-9]+"))),_xlfn.REGEXEXTRACT(CELL("address",'Raw Data'!B134),"\$([A-Z]+)\$[0-9]+"))</f>
        <v/>
      </c>
      <c r="C134" s="7" t="str" cm="1">
        <f t="array" aca="1" ref="C134" ca="1">IFERROR(IF(OR('Raw Data'!C134="",LEN(TRIM('Raw Data'!C134))=0),"",IF(AND(LEN('Raw Data'!C134) &lt;= 255,LEN('Raw Data'!C134)&gt; 0),"",_xlfn.REGEXEXTRACT(CELL("address",'Raw Data'!C134),"\$([A-Z]+)\$[0-9]+"))),_xlfn.REGEXEXTRACT(CELL("address",'Raw Data'!C134),"\$([A-Z]+)\$[0-9]+"))</f>
        <v/>
      </c>
      <c r="D134" s="7" t="str" cm="1">
        <f t="array" aca="1" ref="D134" ca="1">IFERROR(IF(OR('Raw Data'!D134="",LEN(TRIM('Raw Data'!D134))=0),"",IF(AND(ISNUMBER('Raw Data'!D134), IFERROR('Raw Data'!D134 = ROUND('Raw Data'!D134, 2),FALSE)),"",_xlfn.REGEXEXTRACT(CELL("address",D134), "\$([A-Z]+)\$[0-9]+"))),_xlfn.REGEXEXTRACT(CELL("address",D134), "\$([A-Z]+)\$[0-9]+"))</f>
        <v/>
      </c>
      <c r="E134" s="7" t="str" cm="1">
        <f t="array" aca="1" ref="E134" ca="1">IFERROR(IF(OR('Raw Data'!E134="",LEN(TRIM('Raw Data'!E134))=0),"",IF(AND(ISNUMBER('Raw Data'!E134), IFERROR('Raw Data'!E134 = ROUND('Raw Data'!E134, 2),FALSE)),"",_xlfn.REGEXEXTRACT(CELL("address",E134), "\$([A-Z]+)\$[0-9]+"))),_xlfn.REGEXEXTRACT(CELL("address",E134), "\$([A-Z]+)\$[0-9]+"))</f>
        <v/>
      </c>
      <c r="F134" s="7" t="str" cm="1">
        <f t="array" aca="1" ref="F134" ca="1">IFERROR(IF(OR('Raw Data'!F134="",LEN(TRIM('Raw Data'!F134))=0),"",IF(AND(ISNUMBER('Raw Data'!F134), IFERROR('Raw Data'!F134 = ROUND('Raw Data'!F134, 2),FALSE)),"",_xlfn.REGEXEXTRACT(CELL("address",F134), "\$([A-Z]+)\$[0-9]+"))),_xlfn.REGEXEXTRACT(CELL("address",F134), "\$([A-Z]+)\$[0-9]+"))</f>
        <v/>
      </c>
      <c r="G134" s="7" t="str" cm="1">
        <f t="array" aca="1" ref="G134" ca="1">IFERROR(IF(OR('Raw Data'!G134="",LEN(TRIM('Raw Data'!G134))=0),"",IF(LEN('Raw Data'!G134)&gt; 0,"",_xlfn.REGEXEXTRACT(CELL("address",'Raw Data'!G134),"\$([A-Z]+)\$[0-9]+"))),_xlfn.REGEXEXTRACT(CELL("address",'Raw Data'!G134),"\$([A-Z]+)\$[0-9]+"))</f>
        <v/>
      </c>
    </row>
    <row r="135" spans="2:7" x14ac:dyDescent="0.25">
      <c r="B135" s="7" t="str" cm="1">
        <f t="array" aca="1" ref="B135" ca="1">IFERROR(IF(OR('Raw Data'!B135="",LEN(TRIM('Raw Data'!B135))=0),"",IF(AND(LEN('Raw Data'!B135) &lt;= 20,LEN('Raw Data'!B135)&gt; 0),"",_xlfn.REGEXEXTRACT(CELL("address",'Raw Data'!B135),"\$([A-Z]+)\$[0-9]+"))),_xlfn.REGEXEXTRACT(CELL("address",'Raw Data'!B135),"\$([A-Z]+)\$[0-9]+"))</f>
        <v/>
      </c>
      <c r="C135" s="7" t="str" cm="1">
        <f t="array" aca="1" ref="C135" ca="1">IFERROR(IF(OR('Raw Data'!C135="",LEN(TRIM('Raw Data'!C135))=0),"",IF(AND(LEN('Raw Data'!C135) &lt;= 255,LEN('Raw Data'!C135)&gt; 0),"",_xlfn.REGEXEXTRACT(CELL("address",'Raw Data'!C135),"\$([A-Z]+)\$[0-9]+"))),_xlfn.REGEXEXTRACT(CELL("address",'Raw Data'!C135),"\$([A-Z]+)\$[0-9]+"))</f>
        <v/>
      </c>
      <c r="D135" s="7" t="str" cm="1">
        <f t="array" aca="1" ref="D135" ca="1">IFERROR(IF(OR('Raw Data'!D135="",LEN(TRIM('Raw Data'!D135))=0),"",IF(AND(ISNUMBER('Raw Data'!D135), IFERROR('Raw Data'!D135 = ROUND('Raw Data'!D135, 2),FALSE)),"",_xlfn.REGEXEXTRACT(CELL("address",D135), "\$([A-Z]+)\$[0-9]+"))),_xlfn.REGEXEXTRACT(CELL("address",D135), "\$([A-Z]+)\$[0-9]+"))</f>
        <v/>
      </c>
      <c r="E135" s="7" t="str" cm="1">
        <f t="array" aca="1" ref="E135" ca="1">IFERROR(IF(OR('Raw Data'!E135="",LEN(TRIM('Raw Data'!E135))=0),"",IF(AND(ISNUMBER('Raw Data'!E135), IFERROR('Raw Data'!E135 = ROUND('Raw Data'!E135, 2),FALSE)),"",_xlfn.REGEXEXTRACT(CELL("address",E135), "\$([A-Z]+)\$[0-9]+"))),_xlfn.REGEXEXTRACT(CELL("address",E135), "\$([A-Z]+)\$[0-9]+"))</f>
        <v/>
      </c>
      <c r="F135" s="7" t="str" cm="1">
        <f t="array" aca="1" ref="F135" ca="1">IFERROR(IF(OR('Raw Data'!F135="",LEN(TRIM('Raw Data'!F135))=0),"",IF(AND(ISNUMBER('Raw Data'!F135), IFERROR('Raw Data'!F135 = ROUND('Raw Data'!F135, 2),FALSE)),"",_xlfn.REGEXEXTRACT(CELL("address",F135), "\$([A-Z]+)\$[0-9]+"))),_xlfn.REGEXEXTRACT(CELL("address",F135), "\$([A-Z]+)\$[0-9]+"))</f>
        <v/>
      </c>
      <c r="G135" s="7" t="str" cm="1">
        <f t="array" aca="1" ref="G135" ca="1">IFERROR(IF(OR('Raw Data'!G135="",LEN(TRIM('Raw Data'!G135))=0),"",IF(LEN('Raw Data'!G135)&gt; 0,"",_xlfn.REGEXEXTRACT(CELL("address",'Raw Data'!G135),"\$([A-Z]+)\$[0-9]+"))),_xlfn.REGEXEXTRACT(CELL("address",'Raw Data'!G135),"\$([A-Z]+)\$[0-9]+"))</f>
        <v/>
      </c>
    </row>
    <row r="136" spans="2:7" x14ac:dyDescent="0.25">
      <c r="B136" s="7" t="str" cm="1">
        <f t="array" aca="1" ref="B136" ca="1">IFERROR(IF(OR('Raw Data'!B136="",LEN(TRIM('Raw Data'!B136))=0),"",IF(AND(LEN('Raw Data'!B136) &lt;= 20,LEN('Raw Data'!B136)&gt; 0),"",_xlfn.REGEXEXTRACT(CELL("address",'Raw Data'!B136),"\$([A-Z]+)\$[0-9]+"))),_xlfn.REGEXEXTRACT(CELL("address",'Raw Data'!B136),"\$([A-Z]+)\$[0-9]+"))</f>
        <v/>
      </c>
      <c r="C136" s="7" t="str" cm="1">
        <f t="array" aca="1" ref="C136" ca="1">IFERROR(IF(OR('Raw Data'!C136="",LEN(TRIM('Raw Data'!C136))=0),"",IF(AND(LEN('Raw Data'!C136) &lt;= 255,LEN('Raw Data'!C136)&gt; 0),"",_xlfn.REGEXEXTRACT(CELL("address",'Raw Data'!C136),"\$([A-Z]+)\$[0-9]+"))),_xlfn.REGEXEXTRACT(CELL("address",'Raw Data'!C136),"\$([A-Z]+)\$[0-9]+"))</f>
        <v/>
      </c>
      <c r="D136" s="7" t="str" cm="1">
        <f t="array" aca="1" ref="D136" ca="1">IFERROR(IF(OR('Raw Data'!D136="",LEN(TRIM('Raw Data'!D136))=0),"",IF(AND(ISNUMBER('Raw Data'!D136), IFERROR('Raw Data'!D136 = ROUND('Raw Data'!D136, 2),FALSE)),"",_xlfn.REGEXEXTRACT(CELL("address",D136), "\$([A-Z]+)\$[0-9]+"))),_xlfn.REGEXEXTRACT(CELL("address",D136), "\$([A-Z]+)\$[0-9]+"))</f>
        <v/>
      </c>
      <c r="E136" s="7" t="str" cm="1">
        <f t="array" aca="1" ref="E136" ca="1">IFERROR(IF(OR('Raw Data'!E136="",LEN(TRIM('Raw Data'!E136))=0),"",IF(AND(ISNUMBER('Raw Data'!E136), IFERROR('Raw Data'!E136 = ROUND('Raw Data'!E136, 2),FALSE)),"",_xlfn.REGEXEXTRACT(CELL("address",E136), "\$([A-Z]+)\$[0-9]+"))),_xlfn.REGEXEXTRACT(CELL("address",E136), "\$([A-Z]+)\$[0-9]+"))</f>
        <v/>
      </c>
      <c r="F136" s="7" t="str" cm="1">
        <f t="array" aca="1" ref="F136" ca="1">IFERROR(IF(OR('Raw Data'!F136="",LEN(TRIM('Raw Data'!F136))=0),"",IF(AND(ISNUMBER('Raw Data'!F136), IFERROR('Raw Data'!F136 = ROUND('Raw Data'!F136, 2),FALSE)),"",_xlfn.REGEXEXTRACT(CELL("address",F136), "\$([A-Z]+)\$[0-9]+"))),_xlfn.REGEXEXTRACT(CELL("address",F136), "\$([A-Z]+)\$[0-9]+"))</f>
        <v/>
      </c>
      <c r="G136" s="7" t="str" cm="1">
        <f t="array" aca="1" ref="G136" ca="1">IFERROR(IF(OR('Raw Data'!G136="",LEN(TRIM('Raw Data'!G136))=0),"",IF(LEN('Raw Data'!G136)&gt; 0,"",_xlfn.REGEXEXTRACT(CELL("address",'Raw Data'!G136),"\$([A-Z]+)\$[0-9]+"))),_xlfn.REGEXEXTRACT(CELL("address",'Raw Data'!G136),"\$([A-Z]+)\$[0-9]+"))</f>
        <v/>
      </c>
    </row>
    <row r="137" spans="2:7" x14ac:dyDescent="0.25">
      <c r="B137" s="7" t="str" cm="1">
        <f t="array" aca="1" ref="B137" ca="1">IFERROR(IF(OR('Raw Data'!B137="",LEN(TRIM('Raw Data'!B137))=0),"",IF(AND(LEN('Raw Data'!B137) &lt;= 20,LEN('Raw Data'!B137)&gt; 0),"",_xlfn.REGEXEXTRACT(CELL("address",'Raw Data'!B137),"\$([A-Z]+)\$[0-9]+"))),_xlfn.REGEXEXTRACT(CELL("address",'Raw Data'!B137),"\$([A-Z]+)\$[0-9]+"))</f>
        <v/>
      </c>
      <c r="C137" s="7" t="str" cm="1">
        <f t="array" aca="1" ref="C137" ca="1">IFERROR(IF(OR('Raw Data'!C137="",LEN(TRIM('Raw Data'!C137))=0),"",IF(AND(LEN('Raw Data'!C137) &lt;= 255,LEN('Raw Data'!C137)&gt; 0),"",_xlfn.REGEXEXTRACT(CELL("address",'Raw Data'!C137),"\$([A-Z]+)\$[0-9]+"))),_xlfn.REGEXEXTRACT(CELL("address",'Raw Data'!C137),"\$([A-Z]+)\$[0-9]+"))</f>
        <v/>
      </c>
      <c r="D137" s="7" t="str" cm="1">
        <f t="array" aca="1" ref="D137" ca="1">IFERROR(IF(OR('Raw Data'!D137="",LEN(TRIM('Raw Data'!D137))=0),"",IF(AND(ISNUMBER('Raw Data'!D137), IFERROR('Raw Data'!D137 = ROUND('Raw Data'!D137, 2),FALSE)),"",_xlfn.REGEXEXTRACT(CELL("address",D137), "\$([A-Z]+)\$[0-9]+"))),_xlfn.REGEXEXTRACT(CELL("address",D137), "\$([A-Z]+)\$[0-9]+"))</f>
        <v/>
      </c>
      <c r="E137" s="7" t="str" cm="1">
        <f t="array" aca="1" ref="E137" ca="1">IFERROR(IF(OR('Raw Data'!E137="",LEN(TRIM('Raw Data'!E137))=0),"",IF(AND(ISNUMBER('Raw Data'!E137), IFERROR('Raw Data'!E137 = ROUND('Raw Data'!E137, 2),FALSE)),"",_xlfn.REGEXEXTRACT(CELL("address",E137), "\$([A-Z]+)\$[0-9]+"))),_xlfn.REGEXEXTRACT(CELL("address",E137), "\$([A-Z]+)\$[0-9]+"))</f>
        <v/>
      </c>
      <c r="F137" s="7" t="str" cm="1">
        <f t="array" aca="1" ref="F137" ca="1">IFERROR(IF(OR('Raw Data'!F137="",LEN(TRIM('Raw Data'!F137))=0),"",IF(AND(ISNUMBER('Raw Data'!F137), IFERROR('Raw Data'!F137 = ROUND('Raw Data'!F137, 2),FALSE)),"",_xlfn.REGEXEXTRACT(CELL("address",F137), "\$([A-Z]+)\$[0-9]+"))),_xlfn.REGEXEXTRACT(CELL("address",F137), "\$([A-Z]+)\$[0-9]+"))</f>
        <v/>
      </c>
      <c r="G137" s="7" t="str" cm="1">
        <f t="array" aca="1" ref="G137" ca="1">IFERROR(IF(OR('Raw Data'!G137="",LEN(TRIM('Raw Data'!G137))=0),"",IF(LEN('Raw Data'!G137)&gt; 0,"",_xlfn.REGEXEXTRACT(CELL("address",'Raw Data'!G137),"\$([A-Z]+)\$[0-9]+"))),_xlfn.REGEXEXTRACT(CELL("address",'Raw Data'!G137),"\$([A-Z]+)\$[0-9]+"))</f>
        <v/>
      </c>
    </row>
    <row r="138" spans="2:7" x14ac:dyDescent="0.25">
      <c r="B138" s="7" t="str" cm="1">
        <f t="array" aca="1" ref="B138" ca="1">IFERROR(IF(OR('Raw Data'!B138="",LEN(TRIM('Raw Data'!B138))=0),"",IF(AND(LEN('Raw Data'!B138) &lt;= 20,LEN('Raw Data'!B138)&gt; 0),"",_xlfn.REGEXEXTRACT(CELL("address",'Raw Data'!B138),"\$([A-Z]+)\$[0-9]+"))),_xlfn.REGEXEXTRACT(CELL("address",'Raw Data'!B138),"\$([A-Z]+)\$[0-9]+"))</f>
        <v/>
      </c>
      <c r="C138" s="7" t="str" cm="1">
        <f t="array" aca="1" ref="C138" ca="1">IFERROR(IF(OR('Raw Data'!C138="",LEN(TRIM('Raw Data'!C138))=0),"",IF(AND(LEN('Raw Data'!C138) &lt;= 255,LEN('Raw Data'!C138)&gt; 0),"",_xlfn.REGEXEXTRACT(CELL("address",'Raw Data'!C138),"\$([A-Z]+)\$[0-9]+"))),_xlfn.REGEXEXTRACT(CELL("address",'Raw Data'!C138),"\$([A-Z]+)\$[0-9]+"))</f>
        <v/>
      </c>
      <c r="D138" s="7" t="str" cm="1">
        <f t="array" aca="1" ref="D138" ca="1">IFERROR(IF(OR('Raw Data'!D138="",LEN(TRIM('Raw Data'!D138))=0),"",IF(AND(ISNUMBER('Raw Data'!D138), IFERROR('Raw Data'!D138 = ROUND('Raw Data'!D138, 2),FALSE)),"",_xlfn.REGEXEXTRACT(CELL("address",D138), "\$([A-Z]+)\$[0-9]+"))),_xlfn.REGEXEXTRACT(CELL("address",D138), "\$([A-Z]+)\$[0-9]+"))</f>
        <v/>
      </c>
      <c r="E138" s="7" t="str" cm="1">
        <f t="array" aca="1" ref="E138" ca="1">IFERROR(IF(OR('Raw Data'!E138="",LEN(TRIM('Raw Data'!E138))=0),"",IF(AND(ISNUMBER('Raw Data'!E138), IFERROR('Raw Data'!E138 = ROUND('Raw Data'!E138, 2),FALSE)),"",_xlfn.REGEXEXTRACT(CELL("address",E138), "\$([A-Z]+)\$[0-9]+"))),_xlfn.REGEXEXTRACT(CELL("address",E138), "\$([A-Z]+)\$[0-9]+"))</f>
        <v/>
      </c>
      <c r="F138" s="7" t="str" cm="1">
        <f t="array" aca="1" ref="F138" ca="1">IFERROR(IF(OR('Raw Data'!F138="",LEN(TRIM('Raw Data'!F138))=0),"",IF(AND(ISNUMBER('Raw Data'!F138), IFERROR('Raw Data'!F138 = ROUND('Raw Data'!F138, 2),FALSE)),"",_xlfn.REGEXEXTRACT(CELL("address",F138), "\$([A-Z]+)\$[0-9]+"))),_xlfn.REGEXEXTRACT(CELL("address",F138), "\$([A-Z]+)\$[0-9]+"))</f>
        <v/>
      </c>
      <c r="G138" s="7" t="str" cm="1">
        <f t="array" aca="1" ref="G138" ca="1">IFERROR(IF(OR('Raw Data'!G138="",LEN(TRIM('Raw Data'!G138))=0),"",IF(LEN('Raw Data'!G138)&gt; 0,"",_xlfn.REGEXEXTRACT(CELL("address",'Raw Data'!G138),"\$([A-Z]+)\$[0-9]+"))),_xlfn.REGEXEXTRACT(CELL("address",'Raw Data'!G138),"\$([A-Z]+)\$[0-9]+"))</f>
        <v/>
      </c>
    </row>
    <row r="139" spans="2:7" x14ac:dyDescent="0.25">
      <c r="B139" s="7" t="str" cm="1">
        <f t="array" aca="1" ref="B139" ca="1">IFERROR(IF(OR('Raw Data'!B139="",LEN(TRIM('Raw Data'!B139))=0),"",IF(AND(LEN('Raw Data'!B139) &lt;= 20,LEN('Raw Data'!B139)&gt; 0),"",_xlfn.REGEXEXTRACT(CELL("address",'Raw Data'!B139),"\$([A-Z]+)\$[0-9]+"))),_xlfn.REGEXEXTRACT(CELL("address",'Raw Data'!B139),"\$([A-Z]+)\$[0-9]+"))</f>
        <v/>
      </c>
      <c r="C139" s="7" t="str" cm="1">
        <f t="array" aca="1" ref="C139" ca="1">IFERROR(IF(OR('Raw Data'!C139="",LEN(TRIM('Raw Data'!C139))=0),"",IF(AND(LEN('Raw Data'!C139) &lt;= 255,LEN('Raw Data'!C139)&gt; 0),"",_xlfn.REGEXEXTRACT(CELL("address",'Raw Data'!C139),"\$([A-Z]+)\$[0-9]+"))),_xlfn.REGEXEXTRACT(CELL("address",'Raw Data'!C139),"\$([A-Z]+)\$[0-9]+"))</f>
        <v/>
      </c>
      <c r="D139" s="7" t="str" cm="1">
        <f t="array" aca="1" ref="D139" ca="1">IFERROR(IF(OR('Raw Data'!D139="",LEN(TRIM('Raw Data'!D139))=0),"",IF(AND(ISNUMBER('Raw Data'!D139), IFERROR('Raw Data'!D139 = ROUND('Raw Data'!D139, 2),FALSE)),"",_xlfn.REGEXEXTRACT(CELL("address",D139), "\$([A-Z]+)\$[0-9]+"))),_xlfn.REGEXEXTRACT(CELL("address",D139), "\$([A-Z]+)\$[0-9]+"))</f>
        <v/>
      </c>
      <c r="E139" s="7" t="str" cm="1">
        <f t="array" aca="1" ref="E139" ca="1">IFERROR(IF(OR('Raw Data'!E139="",LEN(TRIM('Raw Data'!E139))=0),"",IF(AND(ISNUMBER('Raw Data'!E139), IFERROR('Raw Data'!E139 = ROUND('Raw Data'!E139, 2),FALSE)),"",_xlfn.REGEXEXTRACT(CELL("address",E139), "\$([A-Z]+)\$[0-9]+"))),_xlfn.REGEXEXTRACT(CELL("address",E139), "\$([A-Z]+)\$[0-9]+"))</f>
        <v/>
      </c>
      <c r="F139" s="7" t="str" cm="1">
        <f t="array" aca="1" ref="F139" ca="1">IFERROR(IF(OR('Raw Data'!F139="",LEN(TRIM('Raw Data'!F139))=0),"",IF(AND(ISNUMBER('Raw Data'!F139), IFERROR('Raw Data'!F139 = ROUND('Raw Data'!F139, 2),FALSE)),"",_xlfn.REGEXEXTRACT(CELL("address",F139), "\$([A-Z]+)\$[0-9]+"))),_xlfn.REGEXEXTRACT(CELL("address",F139), "\$([A-Z]+)\$[0-9]+"))</f>
        <v/>
      </c>
      <c r="G139" s="7" t="str" cm="1">
        <f t="array" aca="1" ref="G139" ca="1">IFERROR(IF(OR('Raw Data'!G139="",LEN(TRIM('Raw Data'!G139))=0),"",IF(LEN('Raw Data'!G139)&gt; 0,"",_xlfn.REGEXEXTRACT(CELL("address",'Raw Data'!G139),"\$([A-Z]+)\$[0-9]+"))),_xlfn.REGEXEXTRACT(CELL("address",'Raw Data'!G139),"\$([A-Z]+)\$[0-9]+"))</f>
        <v/>
      </c>
    </row>
    <row r="140" spans="2:7" x14ac:dyDescent="0.25">
      <c r="B140" s="7" t="str" cm="1">
        <f t="array" aca="1" ref="B140" ca="1">IFERROR(IF(OR('Raw Data'!B140="",LEN(TRIM('Raw Data'!B140))=0),"",IF(AND(LEN('Raw Data'!B140) &lt;= 20,LEN('Raw Data'!B140)&gt; 0),"",_xlfn.REGEXEXTRACT(CELL("address",'Raw Data'!B140),"\$([A-Z]+)\$[0-9]+"))),_xlfn.REGEXEXTRACT(CELL("address",'Raw Data'!B140),"\$([A-Z]+)\$[0-9]+"))</f>
        <v/>
      </c>
      <c r="C140" s="7" t="str" cm="1">
        <f t="array" aca="1" ref="C140" ca="1">IFERROR(IF(OR('Raw Data'!C140="",LEN(TRIM('Raw Data'!C140))=0),"",IF(AND(LEN('Raw Data'!C140) &lt;= 255,LEN('Raw Data'!C140)&gt; 0),"",_xlfn.REGEXEXTRACT(CELL("address",'Raw Data'!C140),"\$([A-Z]+)\$[0-9]+"))),_xlfn.REGEXEXTRACT(CELL("address",'Raw Data'!C140),"\$([A-Z]+)\$[0-9]+"))</f>
        <v/>
      </c>
      <c r="D140" s="7" t="str" cm="1">
        <f t="array" aca="1" ref="D140" ca="1">IFERROR(IF(OR('Raw Data'!D140="",LEN(TRIM('Raw Data'!D140))=0),"",IF(AND(ISNUMBER('Raw Data'!D140), IFERROR('Raw Data'!D140 = ROUND('Raw Data'!D140, 2),FALSE)),"",_xlfn.REGEXEXTRACT(CELL("address",D140), "\$([A-Z]+)\$[0-9]+"))),_xlfn.REGEXEXTRACT(CELL("address",D140), "\$([A-Z]+)\$[0-9]+"))</f>
        <v/>
      </c>
      <c r="E140" s="7" t="str" cm="1">
        <f t="array" aca="1" ref="E140" ca="1">IFERROR(IF(OR('Raw Data'!E140="",LEN(TRIM('Raw Data'!E140))=0),"",IF(AND(ISNUMBER('Raw Data'!E140), IFERROR('Raw Data'!E140 = ROUND('Raw Data'!E140, 2),FALSE)),"",_xlfn.REGEXEXTRACT(CELL("address",E140), "\$([A-Z]+)\$[0-9]+"))),_xlfn.REGEXEXTRACT(CELL("address",E140), "\$([A-Z]+)\$[0-9]+"))</f>
        <v/>
      </c>
      <c r="F140" s="7" t="str" cm="1">
        <f t="array" aca="1" ref="F140" ca="1">IFERROR(IF(OR('Raw Data'!F140="",LEN(TRIM('Raw Data'!F140))=0),"",IF(AND(ISNUMBER('Raw Data'!F140), IFERROR('Raw Data'!F140 = ROUND('Raw Data'!F140, 2),FALSE)),"",_xlfn.REGEXEXTRACT(CELL("address",F140), "\$([A-Z]+)\$[0-9]+"))),_xlfn.REGEXEXTRACT(CELL("address",F140), "\$([A-Z]+)\$[0-9]+"))</f>
        <v/>
      </c>
      <c r="G140" s="7" t="str" cm="1">
        <f t="array" aca="1" ref="G140" ca="1">IFERROR(IF(OR('Raw Data'!G140="",LEN(TRIM('Raw Data'!G140))=0),"",IF(LEN('Raw Data'!G140)&gt; 0,"",_xlfn.REGEXEXTRACT(CELL("address",'Raw Data'!G140),"\$([A-Z]+)\$[0-9]+"))),_xlfn.REGEXEXTRACT(CELL("address",'Raw Data'!G140),"\$([A-Z]+)\$[0-9]+"))</f>
        <v/>
      </c>
    </row>
    <row r="141" spans="2:7" x14ac:dyDescent="0.25">
      <c r="B141" s="7" t="str" cm="1">
        <f t="array" aca="1" ref="B141" ca="1">IFERROR(IF(OR('Raw Data'!B141="",LEN(TRIM('Raw Data'!B141))=0),"",IF(AND(LEN('Raw Data'!B141) &lt;= 20,LEN('Raw Data'!B141)&gt; 0),"",_xlfn.REGEXEXTRACT(CELL("address",'Raw Data'!B141),"\$([A-Z]+)\$[0-9]+"))),_xlfn.REGEXEXTRACT(CELL("address",'Raw Data'!B141),"\$([A-Z]+)\$[0-9]+"))</f>
        <v/>
      </c>
      <c r="C141" s="7" t="str" cm="1">
        <f t="array" aca="1" ref="C141" ca="1">IFERROR(IF(OR('Raw Data'!C141="",LEN(TRIM('Raw Data'!C141))=0),"",IF(AND(LEN('Raw Data'!C141) &lt;= 255,LEN('Raw Data'!C141)&gt; 0),"",_xlfn.REGEXEXTRACT(CELL("address",'Raw Data'!C141),"\$([A-Z]+)\$[0-9]+"))),_xlfn.REGEXEXTRACT(CELL("address",'Raw Data'!C141),"\$([A-Z]+)\$[0-9]+"))</f>
        <v/>
      </c>
      <c r="D141" s="7" t="str" cm="1">
        <f t="array" aca="1" ref="D141" ca="1">IFERROR(IF(OR('Raw Data'!D141="",LEN(TRIM('Raw Data'!D141))=0),"",IF(AND(ISNUMBER('Raw Data'!D141), IFERROR('Raw Data'!D141 = ROUND('Raw Data'!D141, 2),FALSE)),"",_xlfn.REGEXEXTRACT(CELL("address",D141), "\$([A-Z]+)\$[0-9]+"))),_xlfn.REGEXEXTRACT(CELL("address",D141), "\$([A-Z]+)\$[0-9]+"))</f>
        <v/>
      </c>
      <c r="E141" s="7" t="str" cm="1">
        <f t="array" aca="1" ref="E141" ca="1">IFERROR(IF(OR('Raw Data'!E141="",LEN(TRIM('Raw Data'!E141))=0),"",IF(AND(ISNUMBER('Raw Data'!E141), IFERROR('Raw Data'!E141 = ROUND('Raw Data'!E141, 2),FALSE)),"",_xlfn.REGEXEXTRACT(CELL("address",E141), "\$([A-Z]+)\$[0-9]+"))),_xlfn.REGEXEXTRACT(CELL("address",E141), "\$([A-Z]+)\$[0-9]+"))</f>
        <v/>
      </c>
      <c r="F141" s="7" t="str" cm="1">
        <f t="array" aca="1" ref="F141" ca="1">IFERROR(IF(OR('Raw Data'!F141="",LEN(TRIM('Raw Data'!F141))=0),"",IF(AND(ISNUMBER('Raw Data'!F141), IFERROR('Raw Data'!F141 = ROUND('Raw Data'!F141, 2),FALSE)),"",_xlfn.REGEXEXTRACT(CELL("address",F141), "\$([A-Z]+)\$[0-9]+"))),_xlfn.REGEXEXTRACT(CELL("address",F141), "\$([A-Z]+)\$[0-9]+"))</f>
        <v/>
      </c>
      <c r="G141" s="7" t="str" cm="1">
        <f t="array" aca="1" ref="G141" ca="1">IFERROR(IF(OR('Raw Data'!G141="",LEN(TRIM('Raw Data'!G141))=0),"",IF(LEN('Raw Data'!G141)&gt; 0,"",_xlfn.REGEXEXTRACT(CELL("address",'Raw Data'!G141),"\$([A-Z]+)\$[0-9]+"))),_xlfn.REGEXEXTRACT(CELL("address",'Raw Data'!G141),"\$([A-Z]+)\$[0-9]+"))</f>
        <v/>
      </c>
    </row>
    <row r="142" spans="2:7" x14ac:dyDescent="0.25">
      <c r="B142" s="7" t="str" cm="1">
        <f t="array" aca="1" ref="B142" ca="1">IFERROR(IF(OR('Raw Data'!B142="",LEN(TRIM('Raw Data'!B142))=0),"",IF(AND(LEN('Raw Data'!B142) &lt;= 20,LEN('Raw Data'!B142)&gt; 0),"",_xlfn.REGEXEXTRACT(CELL("address",'Raw Data'!B142),"\$([A-Z]+)\$[0-9]+"))),_xlfn.REGEXEXTRACT(CELL("address",'Raw Data'!B142),"\$([A-Z]+)\$[0-9]+"))</f>
        <v/>
      </c>
      <c r="C142" s="7" t="str" cm="1">
        <f t="array" aca="1" ref="C142" ca="1">IFERROR(IF(OR('Raw Data'!C142="",LEN(TRIM('Raw Data'!C142))=0),"",IF(AND(LEN('Raw Data'!C142) &lt;= 255,LEN('Raw Data'!C142)&gt; 0),"",_xlfn.REGEXEXTRACT(CELL("address",'Raw Data'!C142),"\$([A-Z]+)\$[0-9]+"))),_xlfn.REGEXEXTRACT(CELL("address",'Raw Data'!C142),"\$([A-Z]+)\$[0-9]+"))</f>
        <v/>
      </c>
      <c r="D142" s="7" t="str" cm="1">
        <f t="array" aca="1" ref="D142" ca="1">IFERROR(IF(OR('Raw Data'!D142="",LEN(TRIM('Raw Data'!D142))=0),"",IF(AND(ISNUMBER('Raw Data'!D142), IFERROR('Raw Data'!D142 = ROUND('Raw Data'!D142, 2),FALSE)),"",_xlfn.REGEXEXTRACT(CELL("address",D142), "\$([A-Z]+)\$[0-9]+"))),_xlfn.REGEXEXTRACT(CELL("address",D142), "\$([A-Z]+)\$[0-9]+"))</f>
        <v/>
      </c>
      <c r="E142" s="7" t="str" cm="1">
        <f t="array" aca="1" ref="E142" ca="1">IFERROR(IF(OR('Raw Data'!E142="",LEN(TRIM('Raw Data'!E142))=0),"",IF(AND(ISNUMBER('Raw Data'!E142), IFERROR('Raw Data'!E142 = ROUND('Raw Data'!E142, 2),FALSE)),"",_xlfn.REGEXEXTRACT(CELL("address",E142), "\$([A-Z]+)\$[0-9]+"))),_xlfn.REGEXEXTRACT(CELL("address",E142), "\$([A-Z]+)\$[0-9]+"))</f>
        <v/>
      </c>
      <c r="F142" s="7" t="str" cm="1">
        <f t="array" aca="1" ref="F142" ca="1">IFERROR(IF(OR('Raw Data'!F142="",LEN(TRIM('Raw Data'!F142))=0),"",IF(AND(ISNUMBER('Raw Data'!F142), IFERROR('Raw Data'!F142 = ROUND('Raw Data'!F142, 2),FALSE)),"",_xlfn.REGEXEXTRACT(CELL("address",F142), "\$([A-Z]+)\$[0-9]+"))),_xlfn.REGEXEXTRACT(CELL("address",F142), "\$([A-Z]+)\$[0-9]+"))</f>
        <v/>
      </c>
      <c r="G142" s="7" t="str" cm="1">
        <f t="array" aca="1" ref="G142" ca="1">IFERROR(IF(OR('Raw Data'!G142="",LEN(TRIM('Raw Data'!G142))=0),"",IF(LEN('Raw Data'!G142)&gt; 0,"",_xlfn.REGEXEXTRACT(CELL("address",'Raw Data'!G142),"\$([A-Z]+)\$[0-9]+"))),_xlfn.REGEXEXTRACT(CELL("address",'Raw Data'!G142),"\$([A-Z]+)\$[0-9]+"))</f>
        <v/>
      </c>
    </row>
    <row r="143" spans="2:7" x14ac:dyDescent="0.25">
      <c r="B143" s="7" t="str" cm="1">
        <f t="array" aca="1" ref="B143" ca="1">IFERROR(IF(OR('Raw Data'!B143="",LEN(TRIM('Raw Data'!B143))=0),"",IF(AND(LEN('Raw Data'!B143) &lt;= 20,LEN('Raw Data'!B143)&gt; 0),"",_xlfn.REGEXEXTRACT(CELL("address",'Raw Data'!B143),"\$([A-Z]+)\$[0-9]+"))),_xlfn.REGEXEXTRACT(CELL("address",'Raw Data'!B143),"\$([A-Z]+)\$[0-9]+"))</f>
        <v/>
      </c>
      <c r="C143" s="7" t="str" cm="1">
        <f t="array" aca="1" ref="C143" ca="1">IFERROR(IF(OR('Raw Data'!C143="",LEN(TRIM('Raw Data'!C143))=0),"",IF(AND(LEN('Raw Data'!C143) &lt;= 255,LEN('Raw Data'!C143)&gt; 0),"",_xlfn.REGEXEXTRACT(CELL("address",'Raw Data'!C143),"\$([A-Z]+)\$[0-9]+"))),_xlfn.REGEXEXTRACT(CELL("address",'Raw Data'!C143),"\$([A-Z]+)\$[0-9]+"))</f>
        <v/>
      </c>
      <c r="D143" s="7" t="str" cm="1">
        <f t="array" aca="1" ref="D143" ca="1">IFERROR(IF(OR('Raw Data'!D143="",LEN(TRIM('Raw Data'!D143))=0),"",IF(AND(ISNUMBER('Raw Data'!D143), IFERROR('Raw Data'!D143 = ROUND('Raw Data'!D143, 2),FALSE)),"",_xlfn.REGEXEXTRACT(CELL("address",D143), "\$([A-Z]+)\$[0-9]+"))),_xlfn.REGEXEXTRACT(CELL("address",D143), "\$([A-Z]+)\$[0-9]+"))</f>
        <v/>
      </c>
      <c r="E143" s="7" t="str" cm="1">
        <f t="array" aca="1" ref="E143" ca="1">IFERROR(IF(OR('Raw Data'!E143="",LEN(TRIM('Raw Data'!E143))=0),"",IF(AND(ISNUMBER('Raw Data'!E143), IFERROR('Raw Data'!E143 = ROUND('Raw Data'!E143, 2),FALSE)),"",_xlfn.REGEXEXTRACT(CELL("address",E143), "\$([A-Z]+)\$[0-9]+"))),_xlfn.REGEXEXTRACT(CELL("address",E143), "\$([A-Z]+)\$[0-9]+"))</f>
        <v/>
      </c>
      <c r="F143" s="7" t="str" cm="1">
        <f t="array" aca="1" ref="F143" ca="1">IFERROR(IF(OR('Raw Data'!F143="",LEN(TRIM('Raw Data'!F143))=0),"",IF(AND(ISNUMBER('Raw Data'!F143), IFERROR('Raw Data'!F143 = ROUND('Raw Data'!F143, 2),FALSE)),"",_xlfn.REGEXEXTRACT(CELL("address",F143), "\$([A-Z]+)\$[0-9]+"))),_xlfn.REGEXEXTRACT(CELL("address",F143), "\$([A-Z]+)\$[0-9]+"))</f>
        <v/>
      </c>
      <c r="G143" s="7" t="str" cm="1">
        <f t="array" aca="1" ref="G143" ca="1">IFERROR(IF(OR('Raw Data'!G143="",LEN(TRIM('Raw Data'!G143))=0),"",IF(LEN('Raw Data'!G143)&gt; 0,"",_xlfn.REGEXEXTRACT(CELL("address",'Raw Data'!G143),"\$([A-Z]+)\$[0-9]+"))),_xlfn.REGEXEXTRACT(CELL("address",'Raw Data'!G143),"\$([A-Z]+)\$[0-9]+"))</f>
        <v/>
      </c>
    </row>
    <row r="144" spans="2:7" x14ac:dyDescent="0.25">
      <c r="B144" s="7" t="str" cm="1">
        <f t="array" aca="1" ref="B144" ca="1">IFERROR(IF(OR('Raw Data'!B144="",LEN(TRIM('Raw Data'!B144))=0),"",IF(AND(LEN('Raw Data'!B144) &lt;= 20,LEN('Raw Data'!B144)&gt; 0),"",_xlfn.REGEXEXTRACT(CELL("address",'Raw Data'!B144),"\$([A-Z]+)\$[0-9]+"))),_xlfn.REGEXEXTRACT(CELL("address",'Raw Data'!B144),"\$([A-Z]+)\$[0-9]+"))</f>
        <v/>
      </c>
      <c r="C144" s="7" t="str" cm="1">
        <f t="array" aca="1" ref="C144" ca="1">IFERROR(IF(OR('Raw Data'!C144="",LEN(TRIM('Raw Data'!C144))=0),"",IF(AND(LEN('Raw Data'!C144) &lt;= 255,LEN('Raw Data'!C144)&gt; 0),"",_xlfn.REGEXEXTRACT(CELL("address",'Raw Data'!C144),"\$([A-Z]+)\$[0-9]+"))),_xlfn.REGEXEXTRACT(CELL("address",'Raw Data'!C144),"\$([A-Z]+)\$[0-9]+"))</f>
        <v/>
      </c>
      <c r="D144" s="7" t="str" cm="1">
        <f t="array" aca="1" ref="D144" ca="1">IFERROR(IF(OR('Raw Data'!D144="",LEN(TRIM('Raw Data'!D144))=0),"",IF(AND(ISNUMBER('Raw Data'!D144), IFERROR('Raw Data'!D144 = ROUND('Raw Data'!D144, 2),FALSE)),"",_xlfn.REGEXEXTRACT(CELL("address",D144), "\$([A-Z]+)\$[0-9]+"))),_xlfn.REGEXEXTRACT(CELL("address",D144), "\$([A-Z]+)\$[0-9]+"))</f>
        <v/>
      </c>
      <c r="E144" s="7" t="str" cm="1">
        <f t="array" aca="1" ref="E144" ca="1">IFERROR(IF(OR('Raw Data'!E144="",LEN(TRIM('Raw Data'!E144))=0),"",IF(AND(ISNUMBER('Raw Data'!E144), IFERROR('Raw Data'!E144 = ROUND('Raw Data'!E144, 2),FALSE)),"",_xlfn.REGEXEXTRACT(CELL("address",E144), "\$([A-Z]+)\$[0-9]+"))),_xlfn.REGEXEXTRACT(CELL("address",E144), "\$([A-Z]+)\$[0-9]+"))</f>
        <v/>
      </c>
      <c r="F144" s="7" t="str" cm="1">
        <f t="array" aca="1" ref="F144" ca="1">IFERROR(IF(OR('Raw Data'!F144="",LEN(TRIM('Raw Data'!F144))=0),"",IF(AND(ISNUMBER('Raw Data'!F144), IFERROR('Raw Data'!F144 = ROUND('Raw Data'!F144, 2),FALSE)),"",_xlfn.REGEXEXTRACT(CELL("address",F144), "\$([A-Z]+)\$[0-9]+"))),_xlfn.REGEXEXTRACT(CELL("address",F144), "\$([A-Z]+)\$[0-9]+"))</f>
        <v/>
      </c>
      <c r="G144" s="7" t="str" cm="1">
        <f t="array" aca="1" ref="G144" ca="1">IFERROR(IF(OR('Raw Data'!G144="",LEN(TRIM('Raw Data'!G144))=0),"",IF(LEN('Raw Data'!G144)&gt; 0,"",_xlfn.REGEXEXTRACT(CELL("address",'Raw Data'!G144),"\$([A-Z]+)\$[0-9]+"))),_xlfn.REGEXEXTRACT(CELL("address",'Raw Data'!G144),"\$([A-Z]+)\$[0-9]+"))</f>
        <v/>
      </c>
    </row>
    <row r="145" spans="2:7" x14ac:dyDescent="0.25">
      <c r="B145" s="7" t="str" cm="1">
        <f t="array" aca="1" ref="B145" ca="1">IFERROR(IF(OR('Raw Data'!B145="",LEN(TRIM('Raw Data'!B145))=0),"",IF(AND(LEN('Raw Data'!B145) &lt;= 20,LEN('Raw Data'!B145)&gt; 0),"",_xlfn.REGEXEXTRACT(CELL("address",'Raw Data'!B145),"\$([A-Z]+)\$[0-9]+"))),_xlfn.REGEXEXTRACT(CELL("address",'Raw Data'!B145),"\$([A-Z]+)\$[0-9]+"))</f>
        <v/>
      </c>
      <c r="C145" s="7" t="str" cm="1">
        <f t="array" aca="1" ref="C145" ca="1">IFERROR(IF(OR('Raw Data'!C145="",LEN(TRIM('Raw Data'!C145))=0),"",IF(AND(LEN('Raw Data'!C145) &lt;= 255,LEN('Raw Data'!C145)&gt; 0),"",_xlfn.REGEXEXTRACT(CELL("address",'Raw Data'!C145),"\$([A-Z]+)\$[0-9]+"))),_xlfn.REGEXEXTRACT(CELL("address",'Raw Data'!C145),"\$([A-Z]+)\$[0-9]+"))</f>
        <v/>
      </c>
      <c r="D145" s="7" t="str" cm="1">
        <f t="array" aca="1" ref="D145" ca="1">IFERROR(IF(OR('Raw Data'!D145="",LEN(TRIM('Raw Data'!D145))=0),"",IF(AND(ISNUMBER('Raw Data'!D145), IFERROR('Raw Data'!D145 = ROUND('Raw Data'!D145, 2),FALSE)),"",_xlfn.REGEXEXTRACT(CELL("address",D145), "\$([A-Z]+)\$[0-9]+"))),_xlfn.REGEXEXTRACT(CELL("address",D145), "\$([A-Z]+)\$[0-9]+"))</f>
        <v/>
      </c>
      <c r="E145" s="7" t="str" cm="1">
        <f t="array" aca="1" ref="E145" ca="1">IFERROR(IF(OR('Raw Data'!E145="",LEN(TRIM('Raw Data'!E145))=0),"",IF(AND(ISNUMBER('Raw Data'!E145), IFERROR('Raw Data'!E145 = ROUND('Raw Data'!E145, 2),FALSE)),"",_xlfn.REGEXEXTRACT(CELL("address",E145), "\$([A-Z]+)\$[0-9]+"))),_xlfn.REGEXEXTRACT(CELL("address",E145), "\$([A-Z]+)\$[0-9]+"))</f>
        <v/>
      </c>
      <c r="F145" s="7" t="str" cm="1">
        <f t="array" aca="1" ref="F145" ca="1">IFERROR(IF(OR('Raw Data'!F145="",LEN(TRIM('Raw Data'!F145))=0),"",IF(AND(ISNUMBER('Raw Data'!F145), IFERROR('Raw Data'!F145 = ROUND('Raw Data'!F145, 2),FALSE)),"",_xlfn.REGEXEXTRACT(CELL("address",F145), "\$([A-Z]+)\$[0-9]+"))),_xlfn.REGEXEXTRACT(CELL("address",F145), "\$([A-Z]+)\$[0-9]+"))</f>
        <v/>
      </c>
      <c r="G145" s="7" t="str" cm="1">
        <f t="array" aca="1" ref="G145" ca="1">IFERROR(IF(OR('Raw Data'!G145="",LEN(TRIM('Raw Data'!G145))=0),"",IF(LEN('Raw Data'!G145)&gt; 0,"",_xlfn.REGEXEXTRACT(CELL("address",'Raw Data'!G145),"\$([A-Z]+)\$[0-9]+"))),_xlfn.REGEXEXTRACT(CELL("address",'Raw Data'!G145),"\$([A-Z]+)\$[0-9]+"))</f>
        <v/>
      </c>
    </row>
    <row r="146" spans="2:7" x14ac:dyDescent="0.25">
      <c r="B146" s="7" t="str" cm="1">
        <f t="array" aca="1" ref="B146" ca="1">IFERROR(IF(OR('Raw Data'!B146="",LEN(TRIM('Raw Data'!B146))=0),"",IF(AND(LEN('Raw Data'!B146) &lt;= 20,LEN('Raw Data'!B146)&gt; 0),"",_xlfn.REGEXEXTRACT(CELL("address",'Raw Data'!B146),"\$([A-Z]+)\$[0-9]+"))),_xlfn.REGEXEXTRACT(CELL("address",'Raw Data'!B146),"\$([A-Z]+)\$[0-9]+"))</f>
        <v/>
      </c>
      <c r="C146" s="7" t="str" cm="1">
        <f t="array" aca="1" ref="C146" ca="1">IFERROR(IF(OR('Raw Data'!C146="",LEN(TRIM('Raw Data'!C146))=0),"",IF(AND(LEN('Raw Data'!C146) &lt;= 255,LEN('Raw Data'!C146)&gt; 0),"",_xlfn.REGEXEXTRACT(CELL("address",'Raw Data'!C146),"\$([A-Z]+)\$[0-9]+"))),_xlfn.REGEXEXTRACT(CELL("address",'Raw Data'!C146),"\$([A-Z]+)\$[0-9]+"))</f>
        <v/>
      </c>
      <c r="D146" s="7" t="str" cm="1">
        <f t="array" aca="1" ref="D146" ca="1">IFERROR(IF(OR('Raw Data'!D146="",LEN(TRIM('Raw Data'!D146))=0),"",IF(AND(ISNUMBER('Raw Data'!D146), IFERROR('Raw Data'!D146 = ROUND('Raw Data'!D146, 2),FALSE)),"",_xlfn.REGEXEXTRACT(CELL("address",D146), "\$([A-Z]+)\$[0-9]+"))),_xlfn.REGEXEXTRACT(CELL("address",D146), "\$([A-Z]+)\$[0-9]+"))</f>
        <v/>
      </c>
      <c r="E146" s="7" t="str" cm="1">
        <f t="array" aca="1" ref="E146" ca="1">IFERROR(IF(OR('Raw Data'!E146="",LEN(TRIM('Raw Data'!E146))=0),"",IF(AND(ISNUMBER('Raw Data'!E146), IFERROR('Raw Data'!E146 = ROUND('Raw Data'!E146, 2),FALSE)),"",_xlfn.REGEXEXTRACT(CELL("address",E146), "\$([A-Z]+)\$[0-9]+"))),_xlfn.REGEXEXTRACT(CELL("address",E146), "\$([A-Z]+)\$[0-9]+"))</f>
        <v/>
      </c>
      <c r="F146" s="7" t="str" cm="1">
        <f t="array" aca="1" ref="F146" ca="1">IFERROR(IF(OR('Raw Data'!F146="",LEN(TRIM('Raw Data'!F146))=0),"",IF(AND(ISNUMBER('Raw Data'!F146), IFERROR('Raw Data'!F146 = ROUND('Raw Data'!F146, 2),FALSE)),"",_xlfn.REGEXEXTRACT(CELL("address",F146), "\$([A-Z]+)\$[0-9]+"))),_xlfn.REGEXEXTRACT(CELL("address",F146), "\$([A-Z]+)\$[0-9]+"))</f>
        <v/>
      </c>
      <c r="G146" s="7" t="str" cm="1">
        <f t="array" aca="1" ref="G146" ca="1">IFERROR(IF(OR('Raw Data'!G146="",LEN(TRIM('Raw Data'!G146))=0),"",IF(LEN('Raw Data'!G146)&gt; 0,"",_xlfn.REGEXEXTRACT(CELL("address",'Raw Data'!G146),"\$([A-Z]+)\$[0-9]+"))),_xlfn.REGEXEXTRACT(CELL("address",'Raw Data'!G146),"\$([A-Z]+)\$[0-9]+"))</f>
        <v/>
      </c>
    </row>
    <row r="147" spans="2:7" x14ac:dyDescent="0.25">
      <c r="B147" s="7" t="str" cm="1">
        <f t="array" aca="1" ref="B147" ca="1">IFERROR(IF(OR('Raw Data'!B147="",LEN(TRIM('Raw Data'!B147))=0),"",IF(AND(LEN('Raw Data'!B147) &lt;= 20,LEN('Raw Data'!B147)&gt; 0),"",_xlfn.REGEXEXTRACT(CELL("address",'Raw Data'!B147),"\$([A-Z]+)\$[0-9]+"))),_xlfn.REGEXEXTRACT(CELL("address",'Raw Data'!B147),"\$([A-Z]+)\$[0-9]+"))</f>
        <v/>
      </c>
      <c r="C147" s="7" t="str" cm="1">
        <f t="array" aca="1" ref="C147" ca="1">IFERROR(IF(OR('Raw Data'!C147="",LEN(TRIM('Raw Data'!C147))=0),"",IF(AND(LEN('Raw Data'!C147) &lt;= 255,LEN('Raw Data'!C147)&gt; 0),"",_xlfn.REGEXEXTRACT(CELL("address",'Raw Data'!C147),"\$([A-Z]+)\$[0-9]+"))),_xlfn.REGEXEXTRACT(CELL("address",'Raw Data'!C147),"\$([A-Z]+)\$[0-9]+"))</f>
        <v/>
      </c>
      <c r="D147" s="7" t="str" cm="1">
        <f t="array" aca="1" ref="D147" ca="1">IFERROR(IF(OR('Raw Data'!D147="",LEN(TRIM('Raw Data'!D147))=0),"",IF(AND(ISNUMBER('Raw Data'!D147), IFERROR('Raw Data'!D147 = ROUND('Raw Data'!D147, 2),FALSE)),"",_xlfn.REGEXEXTRACT(CELL("address",D147), "\$([A-Z]+)\$[0-9]+"))),_xlfn.REGEXEXTRACT(CELL("address",D147), "\$([A-Z]+)\$[0-9]+"))</f>
        <v/>
      </c>
      <c r="E147" s="7" t="str" cm="1">
        <f t="array" aca="1" ref="E147" ca="1">IFERROR(IF(OR('Raw Data'!E147="",LEN(TRIM('Raw Data'!E147))=0),"",IF(AND(ISNUMBER('Raw Data'!E147), IFERROR('Raw Data'!E147 = ROUND('Raw Data'!E147, 2),FALSE)),"",_xlfn.REGEXEXTRACT(CELL("address",E147), "\$([A-Z]+)\$[0-9]+"))),_xlfn.REGEXEXTRACT(CELL("address",E147), "\$([A-Z]+)\$[0-9]+"))</f>
        <v/>
      </c>
      <c r="F147" s="7" t="str" cm="1">
        <f t="array" aca="1" ref="F147" ca="1">IFERROR(IF(OR('Raw Data'!F147="",LEN(TRIM('Raw Data'!F147))=0),"",IF(AND(ISNUMBER('Raw Data'!F147), IFERROR('Raw Data'!F147 = ROUND('Raw Data'!F147, 2),FALSE)),"",_xlfn.REGEXEXTRACT(CELL("address",F147), "\$([A-Z]+)\$[0-9]+"))),_xlfn.REGEXEXTRACT(CELL("address",F147), "\$([A-Z]+)\$[0-9]+"))</f>
        <v/>
      </c>
      <c r="G147" s="7" t="str" cm="1">
        <f t="array" aca="1" ref="G147" ca="1">IFERROR(IF(OR('Raw Data'!G147="",LEN(TRIM('Raw Data'!G147))=0),"",IF(LEN('Raw Data'!G147)&gt; 0,"",_xlfn.REGEXEXTRACT(CELL("address",'Raw Data'!G147),"\$([A-Z]+)\$[0-9]+"))),_xlfn.REGEXEXTRACT(CELL("address",'Raw Data'!G147),"\$([A-Z]+)\$[0-9]+"))</f>
        <v/>
      </c>
    </row>
    <row r="148" spans="2:7" x14ac:dyDescent="0.25">
      <c r="B148" s="7" t="str" cm="1">
        <f t="array" aca="1" ref="B148" ca="1">IFERROR(IF(OR('Raw Data'!B148="",LEN(TRIM('Raw Data'!B148))=0),"",IF(AND(LEN('Raw Data'!B148) &lt;= 20,LEN('Raw Data'!B148)&gt; 0),"",_xlfn.REGEXEXTRACT(CELL("address",'Raw Data'!B148),"\$([A-Z]+)\$[0-9]+"))),_xlfn.REGEXEXTRACT(CELL("address",'Raw Data'!B148),"\$([A-Z]+)\$[0-9]+"))</f>
        <v/>
      </c>
      <c r="C148" s="7" t="str" cm="1">
        <f t="array" aca="1" ref="C148" ca="1">IFERROR(IF(OR('Raw Data'!C148="",LEN(TRIM('Raw Data'!C148))=0),"",IF(AND(LEN('Raw Data'!C148) &lt;= 255,LEN('Raw Data'!C148)&gt; 0),"",_xlfn.REGEXEXTRACT(CELL("address",'Raw Data'!C148),"\$([A-Z]+)\$[0-9]+"))),_xlfn.REGEXEXTRACT(CELL("address",'Raw Data'!C148),"\$([A-Z]+)\$[0-9]+"))</f>
        <v/>
      </c>
      <c r="D148" s="7" t="str" cm="1">
        <f t="array" aca="1" ref="D148" ca="1">IFERROR(IF(OR('Raw Data'!D148="",LEN(TRIM('Raw Data'!D148))=0),"",IF(AND(ISNUMBER('Raw Data'!D148), IFERROR('Raw Data'!D148 = ROUND('Raw Data'!D148, 2),FALSE)),"",_xlfn.REGEXEXTRACT(CELL("address",D148), "\$([A-Z]+)\$[0-9]+"))),_xlfn.REGEXEXTRACT(CELL("address",D148), "\$([A-Z]+)\$[0-9]+"))</f>
        <v/>
      </c>
      <c r="E148" s="7" t="str" cm="1">
        <f t="array" aca="1" ref="E148" ca="1">IFERROR(IF(OR('Raw Data'!E148="",LEN(TRIM('Raw Data'!E148))=0),"",IF(AND(ISNUMBER('Raw Data'!E148), IFERROR('Raw Data'!E148 = ROUND('Raw Data'!E148, 2),FALSE)),"",_xlfn.REGEXEXTRACT(CELL("address",E148), "\$([A-Z]+)\$[0-9]+"))),_xlfn.REGEXEXTRACT(CELL("address",E148), "\$([A-Z]+)\$[0-9]+"))</f>
        <v/>
      </c>
      <c r="F148" s="7" t="str" cm="1">
        <f t="array" aca="1" ref="F148" ca="1">IFERROR(IF(OR('Raw Data'!F148="",LEN(TRIM('Raw Data'!F148))=0),"",IF(AND(ISNUMBER('Raw Data'!F148), IFERROR('Raw Data'!F148 = ROUND('Raw Data'!F148, 2),FALSE)),"",_xlfn.REGEXEXTRACT(CELL("address",F148), "\$([A-Z]+)\$[0-9]+"))),_xlfn.REGEXEXTRACT(CELL("address",F148), "\$([A-Z]+)\$[0-9]+"))</f>
        <v/>
      </c>
      <c r="G148" s="7" t="str" cm="1">
        <f t="array" aca="1" ref="G148" ca="1">IFERROR(IF(OR('Raw Data'!G148="",LEN(TRIM('Raw Data'!G148))=0),"",IF(LEN('Raw Data'!G148)&gt; 0,"",_xlfn.REGEXEXTRACT(CELL("address",'Raw Data'!G148),"\$([A-Z]+)\$[0-9]+"))),_xlfn.REGEXEXTRACT(CELL("address",'Raw Data'!G148),"\$([A-Z]+)\$[0-9]+"))</f>
        <v/>
      </c>
    </row>
    <row r="149" spans="2:7" x14ac:dyDescent="0.25">
      <c r="B149" s="7" t="str" cm="1">
        <f t="array" aca="1" ref="B149" ca="1">IFERROR(IF(OR('Raw Data'!B149="",LEN(TRIM('Raw Data'!B149))=0),"",IF(AND(LEN('Raw Data'!B149) &lt;= 20,LEN('Raw Data'!B149)&gt; 0),"",_xlfn.REGEXEXTRACT(CELL("address",'Raw Data'!B149),"\$([A-Z]+)\$[0-9]+"))),_xlfn.REGEXEXTRACT(CELL("address",'Raw Data'!B149),"\$([A-Z]+)\$[0-9]+"))</f>
        <v/>
      </c>
      <c r="C149" s="7" t="str" cm="1">
        <f t="array" aca="1" ref="C149" ca="1">IFERROR(IF(OR('Raw Data'!C149="",LEN(TRIM('Raw Data'!C149))=0),"",IF(AND(LEN('Raw Data'!C149) &lt;= 255,LEN('Raw Data'!C149)&gt; 0),"",_xlfn.REGEXEXTRACT(CELL("address",'Raw Data'!C149),"\$([A-Z]+)\$[0-9]+"))),_xlfn.REGEXEXTRACT(CELL("address",'Raw Data'!C149),"\$([A-Z]+)\$[0-9]+"))</f>
        <v/>
      </c>
      <c r="D149" s="7" t="str" cm="1">
        <f t="array" aca="1" ref="D149" ca="1">IFERROR(IF(OR('Raw Data'!D149="",LEN(TRIM('Raw Data'!D149))=0),"",IF(AND(ISNUMBER('Raw Data'!D149), IFERROR('Raw Data'!D149 = ROUND('Raw Data'!D149, 2),FALSE)),"",_xlfn.REGEXEXTRACT(CELL("address",D149), "\$([A-Z]+)\$[0-9]+"))),_xlfn.REGEXEXTRACT(CELL("address",D149), "\$([A-Z]+)\$[0-9]+"))</f>
        <v/>
      </c>
      <c r="E149" s="7" t="str" cm="1">
        <f t="array" aca="1" ref="E149" ca="1">IFERROR(IF(OR('Raw Data'!E149="",LEN(TRIM('Raw Data'!E149))=0),"",IF(AND(ISNUMBER('Raw Data'!E149), IFERROR('Raw Data'!E149 = ROUND('Raw Data'!E149, 2),FALSE)),"",_xlfn.REGEXEXTRACT(CELL("address",E149), "\$([A-Z]+)\$[0-9]+"))),_xlfn.REGEXEXTRACT(CELL("address",E149), "\$([A-Z]+)\$[0-9]+"))</f>
        <v/>
      </c>
      <c r="F149" s="7" t="str" cm="1">
        <f t="array" aca="1" ref="F149" ca="1">IFERROR(IF(OR('Raw Data'!F149="",LEN(TRIM('Raw Data'!F149))=0),"",IF(AND(ISNUMBER('Raw Data'!F149), IFERROR('Raw Data'!F149 = ROUND('Raw Data'!F149, 2),FALSE)),"",_xlfn.REGEXEXTRACT(CELL("address",F149), "\$([A-Z]+)\$[0-9]+"))),_xlfn.REGEXEXTRACT(CELL("address",F149), "\$([A-Z]+)\$[0-9]+"))</f>
        <v/>
      </c>
      <c r="G149" s="7" t="str" cm="1">
        <f t="array" aca="1" ref="G149" ca="1">IFERROR(IF(OR('Raw Data'!G149="",LEN(TRIM('Raw Data'!G149))=0),"",IF(LEN('Raw Data'!G149)&gt; 0,"",_xlfn.REGEXEXTRACT(CELL("address",'Raw Data'!G149),"\$([A-Z]+)\$[0-9]+"))),_xlfn.REGEXEXTRACT(CELL("address",'Raw Data'!G149),"\$([A-Z]+)\$[0-9]+"))</f>
        <v/>
      </c>
    </row>
    <row r="150" spans="2:7" x14ac:dyDescent="0.25">
      <c r="B150" s="7" t="str" cm="1">
        <f t="array" aca="1" ref="B150" ca="1">IFERROR(IF(OR('Raw Data'!B150="",LEN(TRIM('Raw Data'!B150))=0),"",IF(AND(LEN('Raw Data'!B150) &lt;= 20,LEN('Raw Data'!B150)&gt; 0),"",_xlfn.REGEXEXTRACT(CELL("address",'Raw Data'!B150),"\$([A-Z]+)\$[0-9]+"))),_xlfn.REGEXEXTRACT(CELL("address",'Raw Data'!B150),"\$([A-Z]+)\$[0-9]+"))</f>
        <v/>
      </c>
      <c r="C150" s="7" t="str" cm="1">
        <f t="array" aca="1" ref="C150" ca="1">IFERROR(IF(OR('Raw Data'!C150="",LEN(TRIM('Raw Data'!C150))=0),"",IF(AND(LEN('Raw Data'!C150) &lt;= 255,LEN('Raw Data'!C150)&gt; 0),"",_xlfn.REGEXEXTRACT(CELL("address",'Raw Data'!C150),"\$([A-Z]+)\$[0-9]+"))),_xlfn.REGEXEXTRACT(CELL("address",'Raw Data'!C150),"\$([A-Z]+)\$[0-9]+"))</f>
        <v/>
      </c>
      <c r="D150" s="7" t="str" cm="1">
        <f t="array" aca="1" ref="D150" ca="1">IFERROR(IF(OR('Raw Data'!D150="",LEN(TRIM('Raw Data'!D150))=0),"",IF(AND(ISNUMBER('Raw Data'!D150), IFERROR('Raw Data'!D150 = ROUND('Raw Data'!D150, 2),FALSE)),"",_xlfn.REGEXEXTRACT(CELL("address",D150), "\$([A-Z]+)\$[0-9]+"))),_xlfn.REGEXEXTRACT(CELL("address",D150), "\$([A-Z]+)\$[0-9]+"))</f>
        <v/>
      </c>
      <c r="E150" s="7" t="str" cm="1">
        <f t="array" aca="1" ref="E150" ca="1">IFERROR(IF(OR('Raw Data'!E150="",LEN(TRIM('Raw Data'!E150))=0),"",IF(AND(ISNUMBER('Raw Data'!E150), IFERROR('Raw Data'!E150 = ROUND('Raw Data'!E150, 2),FALSE)),"",_xlfn.REGEXEXTRACT(CELL("address",E150), "\$([A-Z]+)\$[0-9]+"))),_xlfn.REGEXEXTRACT(CELL("address",E150), "\$([A-Z]+)\$[0-9]+"))</f>
        <v/>
      </c>
      <c r="F150" s="7" t="str" cm="1">
        <f t="array" aca="1" ref="F150" ca="1">IFERROR(IF(OR('Raw Data'!F150="",LEN(TRIM('Raw Data'!F150))=0),"",IF(AND(ISNUMBER('Raw Data'!F150), IFERROR('Raw Data'!F150 = ROUND('Raw Data'!F150, 2),FALSE)),"",_xlfn.REGEXEXTRACT(CELL("address",F150), "\$([A-Z]+)\$[0-9]+"))),_xlfn.REGEXEXTRACT(CELL("address",F150), "\$([A-Z]+)\$[0-9]+"))</f>
        <v/>
      </c>
      <c r="G150" s="7" t="str" cm="1">
        <f t="array" aca="1" ref="G150" ca="1">IFERROR(IF(OR('Raw Data'!G150="",LEN(TRIM('Raw Data'!G150))=0),"",IF(LEN('Raw Data'!G150)&gt; 0,"",_xlfn.REGEXEXTRACT(CELL("address",'Raw Data'!G150),"\$([A-Z]+)\$[0-9]+"))),_xlfn.REGEXEXTRACT(CELL("address",'Raw Data'!G150),"\$([A-Z]+)\$[0-9]+"))</f>
        <v/>
      </c>
    </row>
    <row r="151" spans="2:7" x14ac:dyDescent="0.25">
      <c r="B151" s="7" t="str" cm="1">
        <f t="array" aca="1" ref="B151" ca="1">IFERROR(IF(OR('Raw Data'!B151="",LEN(TRIM('Raw Data'!B151))=0),"",IF(AND(LEN('Raw Data'!B151) &lt;= 20,LEN('Raw Data'!B151)&gt; 0),"",_xlfn.REGEXEXTRACT(CELL("address",'Raw Data'!B151),"\$([A-Z]+)\$[0-9]+"))),_xlfn.REGEXEXTRACT(CELL("address",'Raw Data'!B151),"\$([A-Z]+)\$[0-9]+"))</f>
        <v/>
      </c>
      <c r="C151" s="7" t="str" cm="1">
        <f t="array" aca="1" ref="C151" ca="1">IFERROR(IF(OR('Raw Data'!C151="",LEN(TRIM('Raw Data'!C151))=0),"",IF(AND(LEN('Raw Data'!C151) &lt;= 255,LEN('Raw Data'!C151)&gt; 0),"",_xlfn.REGEXEXTRACT(CELL("address",'Raw Data'!C151),"\$([A-Z]+)\$[0-9]+"))),_xlfn.REGEXEXTRACT(CELL("address",'Raw Data'!C151),"\$([A-Z]+)\$[0-9]+"))</f>
        <v/>
      </c>
      <c r="D151" s="7" t="str" cm="1">
        <f t="array" aca="1" ref="D151" ca="1">IFERROR(IF(OR('Raw Data'!D151="",LEN(TRIM('Raw Data'!D151))=0),"",IF(AND(ISNUMBER('Raw Data'!D151), IFERROR('Raw Data'!D151 = ROUND('Raw Data'!D151, 2),FALSE)),"",_xlfn.REGEXEXTRACT(CELL("address",D151), "\$([A-Z]+)\$[0-9]+"))),_xlfn.REGEXEXTRACT(CELL("address",D151), "\$([A-Z]+)\$[0-9]+"))</f>
        <v/>
      </c>
      <c r="E151" s="7" t="str" cm="1">
        <f t="array" aca="1" ref="E151" ca="1">IFERROR(IF(OR('Raw Data'!E151="",LEN(TRIM('Raw Data'!E151))=0),"",IF(AND(ISNUMBER('Raw Data'!E151), IFERROR('Raw Data'!E151 = ROUND('Raw Data'!E151, 2),FALSE)),"",_xlfn.REGEXEXTRACT(CELL("address",E151), "\$([A-Z]+)\$[0-9]+"))),_xlfn.REGEXEXTRACT(CELL("address",E151), "\$([A-Z]+)\$[0-9]+"))</f>
        <v/>
      </c>
      <c r="F151" s="7" t="str" cm="1">
        <f t="array" aca="1" ref="F151" ca="1">IFERROR(IF(OR('Raw Data'!F151="",LEN(TRIM('Raw Data'!F151))=0),"",IF(AND(ISNUMBER('Raw Data'!F151), IFERROR('Raw Data'!F151 = ROUND('Raw Data'!F151, 2),FALSE)),"",_xlfn.REGEXEXTRACT(CELL("address",F151), "\$([A-Z]+)\$[0-9]+"))),_xlfn.REGEXEXTRACT(CELL("address",F151), "\$([A-Z]+)\$[0-9]+"))</f>
        <v/>
      </c>
      <c r="G151" s="7" t="str" cm="1">
        <f t="array" aca="1" ref="G151" ca="1">IFERROR(IF(OR('Raw Data'!G151="",LEN(TRIM('Raw Data'!G151))=0),"",IF(LEN('Raw Data'!G151)&gt; 0,"",_xlfn.REGEXEXTRACT(CELL("address",'Raw Data'!G151),"\$([A-Z]+)\$[0-9]+"))),_xlfn.REGEXEXTRACT(CELL("address",'Raw Data'!G151),"\$([A-Z]+)\$[0-9]+"))</f>
        <v/>
      </c>
    </row>
    <row r="152" spans="2:7" x14ac:dyDescent="0.25">
      <c r="B152" s="7" t="str" cm="1">
        <f t="array" aca="1" ref="B152" ca="1">IFERROR(IF(OR('Raw Data'!B152="",LEN(TRIM('Raw Data'!B152))=0),"",IF(AND(LEN('Raw Data'!B152) &lt;= 20,LEN('Raw Data'!B152)&gt; 0),"",_xlfn.REGEXEXTRACT(CELL("address",'Raw Data'!B152),"\$([A-Z]+)\$[0-9]+"))),_xlfn.REGEXEXTRACT(CELL("address",'Raw Data'!B152),"\$([A-Z]+)\$[0-9]+"))</f>
        <v/>
      </c>
      <c r="C152" s="7" t="str" cm="1">
        <f t="array" aca="1" ref="C152" ca="1">IFERROR(IF(OR('Raw Data'!C152="",LEN(TRIM('Raw Data'!C152))=0),"",IF(AND(LEN('Raw Data'!C152) &lt;= 255,LEN('Raw Data'!C152)&gt; 0),"",_xlfn.REGEXEXTRACT(CELL("address",'Raw Data'!C152),"\$([A-Z]+)\$[0-9]+"))),_xlfn.REGEXEXTRACT(CELL("address",'Raw Data'!C152),"\$([A-Z]+)\$[0-9]+"))</f>
        <v/>
      </c>
      <c r="D152" s="7" t="str" cm="1">
        <f t="array" aca="1" ref="D152" ca="1">IFERROR(IF(OR('Raw Data'!D152="",LEN(TRIM('Raw Data'!D152))=0),"",IF(AND(ISNUMBER('Raw Data'!D152), IFERROR('Raw Data'!D152 = ROUND('Raw Data'!D152, 2),FALSE)),"",_xlfn.REGEXEXTRACT(CELL("address",D152), "\$([A-Z]+)\$[0-9]+"))),_xlfn.REGEXEXTRACT(CELL("address",D152), "\$([A-Z]+)\$[0-9]+"))</f>
        <v/>
      </c>
      <c r="E152" s="7" t="str" cm="1">
        <f t="array" aca="1" ref="E152" ca="1">IFERROR(IF(OR('Raw Data'!E152="",LEN(TRIM('Raw Data'!E152))=0),"",IF(AND(ISNUMBER('Raw Data'!E152), IFERROR('Raw Data'!E152 = ROUND('Raw Data'!E152, 2),FALSE)),"",_xlfn.REGEXEXTRACT(CELL("address",E152), "\$([A-Z]+)\$[0-9]+"))),_xlfn.REGEXEXTRACT(CELL("address",E152), "\$([A-Z]+)\$[0-9]+"))</f>
        <v/>
      </c>
      <c r="F152" s="7" t="str" cm="1">
        <f t="array" aca="1" ref="F152" ca="1">IFERROR(IF(OR('Raw Data'!F152="",LEN(TRIM('Raw Data'!F152))=0),"",IF(AND(ISNUMBER('Raw Data'!F152), IFERROR('Raw Data'!F152 = ROUND('Raw Data'!F152, 2),FALSE)),"",_xlfn.REGEXEXTRACT(CELL("address",F152), "\$([A-Z]+)\$[0-9]+"))),_xlfn.REGEXEXTRACT(CELL("address",F152), "\$([A-Z]+)\$[0-9]+"))</f>
        <v/>
      </c>
      <c r="G152" s="7" t="str" cm="1">
        <f t="array" aca="1" ref="G152" ca="1">IFERROR(IF(OR('Raw Data'!G152="",LEN(TRIM('Raw Data'!G152))=0),"",IF(LEN('Raw Data'!G152)&gt; 0,"",_xlfn.REGEXEXTRACT(CELL("address",'Raw Data'!G152),"\$([A-Z]+)\$[0-9]+"))),_xlfn.REGEXEXTRACT(CELL("address",'Raw Data'!G152),"\$([A-Z]+)\$[0-9]+"))</f>
        <v/>
      </c>
    </row>
    <row r="153" spans="2:7" x14ac:dyDescent="0.25">
      <c r="B153" s="7" t="str" cm="1">
        <f t="array" aca="1" ref="B153" ca="1">IFERROR(IF(OR('Raw Data'!B153="",LEN(TRIM('Raw Data'!B153))=0),"",IF(AND(LEN('Raw Data'!B153) &lt;= 20,LEN('Raw Data'!B153)&gt; 0),"",_xlfn.REGEXEXTRACT(CELL("address",'Raw Data'!B153),"\$([A-Z]+)\$[0-9]+"))),_xlfn.REGEXEXTRACT(CELL("address",'Raw Data'!B153),"\$([A-Z]+)\$[0-9]+"))</f>
        <v/>
      </c>
      <c r="C153" s="7" t="str" cm="1">
        <f t="array" aca="1" ref="C153" ca="1">IFERROR(IF(OR('Raw Data'!C153="",LEN(TRIM('Raw Data'!C153))=0),"",IF(AND(LEN('Raw Data'!C153) &lt;= 255,LEN('Raw Data'!C153)&gt; 0),"",_xlfn.REGEXEXTRACT(CELL("address",'Raw Data'!C153),"\$([A-Z]+)\$[0-9]+"))),_xlfn.REGEXEXTRACT(CELL("address",'Raw Data'!C153),"\$([A-Z]+)\$[0-9]+"))</f>
        <v/>
      </c>
      <c r="D153" s="7" t="str" cm="1">
        <f t="array" aca="1" ref="D153" ca="1">IFERROR(IF(OR('Raw Data'!D153="",LEN(TRIM('Raw Data'!D153))=0),"",IF(AND(ISNUMBER('Raw Data'!D153), IFERROR('Raw Data'!D153 = ROUND('Raw Data'!D153, 2),FALSE)),"",_xlfn.REGEXEXTRACT(CELL("address",D153), "\$([A-Z]+)\$[0-9]+"))),_xlfn.REGEXEXTRACT(CELL("address",D153), "\$([A-Z]+)\$[0-9]+"))</f>
        <v/>
      </c>
      <c r="E153" s="7" t="str" cm="1">
        <f t="array" aca="1" ref="E153" ca="1">IFERROR(IF(OR('Raw Data'!E153="",LEN(TRIM('Raw Data'!E153))=0),"",IF(AND(ISNUMBER('Raw Data'!E153), IFERROR('Raw Data'!E153 = ROUND('Raw Data'!E153, 2),FALSE)),"",_xlfn.REGEXEXTRACT(CELL("address",E153), "\$([A-Z]+)\$[0-9]+"))),_xlfn.REGEXEXTRACT(CELL("address",E153), "\$([A-Z]+)\$[0-9]+"))</f>
        <v/>
      </c>
      <c r="F153" s="7" t="str" cm="1">
        <f t="array" aca="1" ref="F153" ca="1">IFERROR(IF(OR('Raw Data'!F153="",LEN(TRIM('Raw Data'!F153))=0),"",IF(AND(ISNUMBER('Raw Data'!F153), IFERROR('Raw Data'!F153 = ROUND('Raw Data'!F153, 2),FALSE)),"",_xlfn.REGEXEXTRACT(CELL("address",F153), "\$([A-Z]+)\$[0-9]+"))),_xlfn.REGEXEXTRACT(CELL("address",F153), "\$([A-Z]+)\$[0-9]+"))</f>
        <v/>
      </c>
      <c r="G153" s="7" t="str" cm="1">
        <f t="array" aca="1" ref="G153" ca="1">IFERROR(IF(OR('Raw Data'!G153="",LEN(TRIM('Raw Data'!G153))=0),"",IF(LEN('Raw Data'!G153)&gt; 0,"",_xlfn.REGEXEXTRACT(CELL("address",'Raw Data'!G153),"\$([A-Z]+)\$[0-9]+"))),_xlfn.REGEXEXTRACT(CELL("address",'Raw Data'!G153),"\$([A-Z]+)\$[0-9]+"))</f>
        <v/>
      </c>
    </row>
    <row r="154" spans="2:7" x14ac:dyDescent="0.25">
      <c r="B154" s="7" t="str" cm="1">
        <f t="array" aca="1" ref="B154" ca="1">IFERROR(IF(OR('Raw Data'!B154="",LEN(TRIM('Raw Data'!B154))=0),"",IF(AND(LEN('Raw Data'!B154) &lt;= 20,LEN('Raw Data'!B154)&gt; 0),"",_xlfn.REGEXEXTRACT(CELL("address",'Raw Data'!B154),"\$([A-Z]+)\$[0-9]+"))),_xlfn.REGEXEXTRACT(CELL("address",'Raw Data'!B154),"\$([A-Z]+)\$[0-9]+"))</f>
        <v/>
      </c>
      <c r="C154" s="7" t="str" cm="1">
        <f t="array" aca="1" ref="C154" ca="1">IFERROR(IF(OR('Raw Data'!C154="",LEN(TRIM('Raw Data'!C154))=0),"",IF(AND(LEN('Raw Data'!C154) &lt;= 255,LEN('Raw Data'!C154)&gt; 0),"",_xlfn.REGEXEXTRACT(CELL("address",'Raw Data'!C154),"\$([A-Z]+)\$[0-9]+"))),_xlfn.REGEXEXTRACT(CELL("address",'Raw Data'!C154),"\$([A-Z]+)\$[0-9]+"))</f>
        <v/>
      </c>
      <c r="D154" s="7" t="str" cm="1">
        <f t="array" aca="1" ref="D154" ca="1">IFERROR(IF(OR('Raw Data'!D154="",LEN(TRIM('Raw Data'!D154))=0),"",IF(AND(ISNUMBER('Raw Data'!D154), IFERROR('Raw Data'!D154 = ROUND('Raw Data'!D154, 2),FALSE)),"",_xlfn.REGEXEXTRACT(CELL("address",D154), "\$([A-Z]+)\$[0-9]+"))),_xlfn.REGEXEXTRACT(CELL("address",D154), "\$([A-Z]+)\$[0-9]+"))</f>
        <v/>
      </c>
      <c r="E154" s="7" t="str" cm="1">
        <f t="array" aca="1" ref="E154" ca="1">IFERROR(IF(OR('Raw Data'!E154="",LEN(TRIM('Raw Data'!E154))=0),"",IF(AND(ISNUMBER('Raw Data'!E154), IFERROR('Raw Data'!E154 = ROUND('Raw Data'!E154, 2),FALSE)),"",_xlfn.REGEXEXTRACT(CELL("address",E154), "\$([A-Z]+)\$[0-9]+"))),_xlfn.REGEXEXTRACT(CELL("address",E154), "\$([A-Z]+)\$[0-9]+"))</f>
        <v/>
      </c>
      <c r="F154" s="7" t="str" cm="1">
        <f t="array" aca="1" ref="F154" ca="1">IFERROR(IF(OR('Raw Data'!F154="",LEN(TRIM('Raw Data'!F154))=0),"",IF(AND(ISNUMBER('Raw Data'!F154), IFERROR('Raw Data'!F154 = ROUND('Raw Data'!F154, 2),FALSE)),"",_xlfn.REGEXEXTRACT(CELL("address",F154), "\$([A-Z]+)\$[0-9]+"))),_xlfn.REGEXEXTRACT(CELL("address",F154), "\$([A-Z]+)\$[0-9]+"))</f>
        <v/>
      </c>
      <c r="G154" s="7" t="str" cm="1">
        <f t="array" aca="1" ref="G154" ca="1">IFERROR(IF(OR('Raw Data'!G154="",LEN(TRIM('Raw Data'!G154))=0),"",IF(LEN('Raw Data'!G154)&gt; 0,"",_xlfn.REGEXEXTRACT(CELL("address",'Raw Data'!G154),"\$([A-Z]+)\$[0-9]+"))),_xlfn.REGEXEXTRACT(CELL("address",'Raw Data'!G154),"\$([A-Z]+)\$[0-9]+"))</f>
        <v/>
      </c>
    </row>
    <row r="155" spans="2:7" x14ac:dyDescent="0.25">
      <c r="B155" s="7" t="str" cm="1">
        <f t="array" aca="1" ref="B155" ca="1">IFERROR(IF(OR('Raw Data'!B155="",LEN(TRIM('Raw Data'!B155))=0),"",IF(AND(LEN('Raw Data'!B155) &lt;= 20,LEN('Raw Data'!B155)&gt; 0),"",_xlfn.REGEXEXTRACT(CELL("address",'Raw Data'!B155),"\$([A-Z]+)\$[0-9]+"))),_xlfn.REGEXEXTRACT(CELL("address",'Raw Data'!B155),"\$([A-Z]+)\$[0-9]+"))</f>
        <v/>
      </c>
      <c r="C155" s="7" t="str" cm="1">
        <f t="array" aca="1" ref="C155" ca="1">IFERROR(IF(OR('Raw Data'!C155="",LEN(TRIM('Raw Data'!C155))=0),"",IF(AND(LEN('Raw Data'!C155) &lt;= 255,LEN('Raw Data'!C155)&gt; 0),"",_xlfn.REGEXEXTRACT(CELL("address",'Raw Data'!C155),"\$([A-Z]+)\$[0-9]+"))),_xlfn.REGEXEXTRACT(CELL("address",'Raw Data'!C155),"\$([A-Z]+)\$[0-9]+"))</f>
        <v/>
      </c>
      <c r="D155" s="7" t="str" cm="1">
        <f t="array" aca="1" ref="D155" ca="1">IFERROR(IF(OR('Raw Data'!D155="",LEN(TRIM('Raw Data'!D155))=0),"",IF(AND(ISNUMBER('Raw Data'!D155), IFERROR('Raw Data'!D155 = ROUND('Raw Data'!D155, 2),FALSE)),"",_xlfn.REGEXEXTRACT(CELL("address",D155), "\$([A-Z]+)\$[0-9]+"))),_xlfn.REGEXEXTRACT(CELL("address",D155), "\$([A-Z]+)\$[0-9]+"))</f>
        <v/>
      </c>
      <c r="E155" s="7" t="str" cm="1">
        <f t="array" aca="1" ref="E155" ca="1">IFERROR(IF(OR('Raw Data'!E155="",LEN(TRIM('Raw Data'!E155))=0),"",IF(AND(ISNUMBER('Raw Data'!E155), IFERROR('Raw Data'!E155 = ROUND('Raw Data'!E155, 2),FALSE)),"",_xlfn.REGEXEXTRACT(CELL("address",E155), "\$([A-Z]+)\$[0-9]+"))),_xlfn.REGEXEXTRACT(CELL("address",E155), "\$([A-Z]+)\$[0-9]+"))</f>
        <v/>
      </c>
      <c r="F155" s="7" t="str" cm="1">
        <f t="array" aca="1" ref="F155" ca="1">IFERROR(IF(OR('Raw Data'!F155="",LEN(TRIM('Raw Data'!F155))=0),"",IF(AND(ISNUMBER('Raw Data'!F155), IFERROR('Raw Data'!F155 = ROUND('Raw Data'!F155, 2),FALSE)),"",_xlfn.REGEXEXTRACT(CELL("address",F155), "\$([A-Z]+)\$[0-9]+"))),_xlfn.REGEXEXTRACT(CELL("address",F155), "\$([A-Z]+)\$[0-9]+"))</f>
        <v/>
      </c>
      <c r="G155" s="7" t="str" cm="1">
        <f t="array" aca="1" ref="G155" ca="1">IFERROR(IF(OR('Raw Data'!G155="",LEN(TRIM('Raw Data'!G155))=0),"",IF(LEN('Raw Data'!G155)&gt; 0,"",_xlfn.REGEXEXTRACT(CELL("address",'Raw Data'!G155),"\$([A-Z]+)\$[0-9]+"))),_xlfn.REGEXEXTRACT(CELL("address",'Raw Data'!G155),"\$([A-Z]+)\$[0-9]+"))</f>
        <v/>
      </c>
    </row>
    <row r="156" spans="2:7" x14ac:dyDescent="0.25">
      <c r="B156" s="7" t="str" cm="1">
        <f t="array" aca="1" ref="B156" ca="1">IFERROR(IF(OR('Raw Data'!B156="",LEN(TRIM('Raw Data'!B156))=0),"",IF(AND(LEN('Raw Data'!B156) &lt;= 20,LEN('Raw Data'!B156)&gt; 0),"",_xlfn.REGEXEXTRACT(CELL("address",'Raw Data'!B156),"\$([A-Z]+)\$[0-9]+"))),_xlfn.REGEXEXTRACT(CELL("address",'Raw Data'!B156),"\$([A-Z]+)\$[0-9]+"))</f>
        <v/>
      </c>
      <c r="C156" s="7" t="str" cm="1">
        <f t="array" aca="1" ref="C156" ca="1">IFERROR(IF(OR('Raw Data'!C156="",LEN(TRIM('Raw Data'!C156))=0),"",IF(AND(LEN('Raw Data'!C156) &lt;= 255,LEN('Raw Data'!C156)&gt; 0),"",_xlfn.REGEXEXTRACT(CELL("address",'Raw Data'!C156),"\$([A-Z]+)\$[0-9]+"))),_xlfn.REGEXEXTRACT(CELL("address",'Raw Data'!C156),"\$([A-Z]+)\$[0-9]+"))</f>
        <v/>
      </c>
      <c r="D156" s="7" t="str" cm="1">
        <f t="array" aca="1" ref="D156" ca="1">IFERROR(IF(OR('Raw Data'!D156="",LEN(TRIM('Raw Data'!D156))=0),"",IF(AND(ISNUMBER('Raw Data'!D156), IFERROR('Raw Data'!D156 = ROUND('Raw Data'!D156, 2),FALSE)),"",_xlfn.REGEXEXTRACT(CELL("address",D156), "\$([A-Z]+)\$[0-9]+"))),_xlfn.REGEXEXTRACT(CELL("address",D156), "\$([A-Z]+)\$[0-9]+"))</f>
        <v/>
      </c>
      <c r="E156" s="7" t="str" cm="1">
        <f t="array" aca="1" ref="E156" ca="1">IFERROR(IF(OR('Raw Data'!E156="",LEN(TRIM('Raw Data'!E156))=0),"",IF(AND(ISNUMBER('Raw Data'!E156), IFERROR('Raw Data'!E156 = ROUND('Raw Data'!E156, 2),FALSE)),"",_xlfn.REGEXEXTRACT(CELL("address",E156), "\$([A-Z]+)\$[0-9]+"))),_xlfn.REGEXEXTRACT(CELL("address",E156), "\$([A-Z]+)\$[0-9]+"))</f>
        <v/>
      </c>
      <c r="F156" s="7" t="str" cm="1">
        <f t="array" aca="1" ref="F156" ca="1">IFERROR(IF(OR('Raw Data'!F156="",LEN(TRIM('Raw Data'!F156))=0),"",IF(AND(ISNUMBER('Raw Data'!F156), IFERROR('Raw Data'!F156 = ROUND('Raw Data'!F156, 2),FALSE)),"",_xlfn.REGEXEXTRACT(CELL("address",F156), "\$([A-Z]+)\$[0-9]+"))),_xlfn.REGEXEXTRACT(CELL("address",F156), "\$([A-Z]+)\$[0-9]+"))</f>
        <v/>
      </c>
      <c r="G156" s="7" t="str" cm="1">
        <f t="array" aca="1" ref="G156" ca="1">IFERROR(IF(OR('Raw Data'!G156="",LEN(TRIM('Raw Data'!G156))=0),"",IF(LEN('Raw Data'!G156)&gt; 0,"",_xlfn.REGEXEXTRACT(CELL("address",'Raw Data'!G156),"\$([A-Z]+)\$[0-9]+"))),_xlfn.REGEXEXTRACT(CELL("address",'Raw Data'!G156),"\$([A-Z]+)\$[0-9]+"))</f>
        <v/>
      </c>
    </row>
    <row r="157" spans="2:7" x14ac:dyDescent="0.25">
      <c r="B157" s="7" t="str" cm="1">
        <f t="array" aca="1" ref="B157" ca="1">IFERROR(IF(OR('Raw Data'!B157="",LEN(TRIM('Raw Data'!B157))=0),"",IF(AND(LEN('Raw Data'!B157) &lt;= 20,LEN('Raw Data'!B157)&gt; 0),"",_xlfn.REGEXEXTRACT(CELL("address",'Raw Data'!B157),"\$([A-Z]+)\$[0-9]+"))),_xlfn.REGEXEXTRACT(CELL("address",'Raw Data'!B157),"\$([A-Z]+)\$[0-9]+"))</f>
        <v/>
      </c>
      <c r="C157" s="7" t="str" cm="1">
        <f t="array" aca="1" ref="C157" ca="1">IFERROR(IF(OR('Raw Data'!C157="",LEN(TRIM('Raw Data'!C157))=0),"",IF(AND(LEN('Raw Data'!C157) &lt;= 255,LEN('Raw Data'!C157)&gt; 0),"",_xlfn.REGEXEXTRACT(CELL("address",'Raw Data'!C157),"\$([A-Z]+)\$[0-9]+"))),_xlfn.REGEXEXTRACT(CELL("address",'Raw Data'!C157),"\$([A-Z]+)\$[0-9]+"))</f>
        <v/>
      </c>
      <c r="D157" s="7" t="str" cm="1">
        <f t="array" aca="1" ref="D157" ca="1">IFERROR(IF(OR('Raw Data'!D157="",LEN(TRIM('Raw Data'!D157))=0),"",IF(AND(ISNUMBER('Raw Data'!D157), IFERROR('Raw Data'!D157 = ROUND('Raw Data'!D157, 2),FALSE)),"",_xlfn.REGEXEXTRACT(CELL("address",D157), "\$([A-Z]+)\$[0-9]+"))),_xlfn.REGEXEXTRACT(CELL("address",D157), "\$([A-Z]+)\$[0-9]+"))</f>
        <v/>
      </c>
      <c r="E157" s="7" t="str" cm="1">
        <f t="array" aca="1" ref="E157" ca="1">IFERROR(IF(OR('Raw Data'!E157="",LEN(TRIM('Raw Data'!E157))=0),"",IF(AND(ISNUMBER('Raw Data'!E157), IFERROR('Raw Data'!E157 = ROUND('Raw Data'!E157, 2),FALSE)),"",_xlfn.REGEXEXTRACT(CELL("address",E157), "\$([A-Z]+)\$[0-9]+"))),_xlfn.REGEXEXTRACT(CELL("address",E157), "\$([A-Z]+)\$[0-9]+"))</f>
        <v/>
      </c>
      <c r="F157" s="7" t="str" cm="1">
        <f t="array" aca="1" ref="F157" ca="1">IFERROR(IF(OR('Raw Data'!F157="",LEN(TRIM('Raw Data'!F157))=0),"",IF(AND(ISNUMBER('Raw Data'!F157), IFERROR('Raw Data'!F157 = ROUND('Raw Data'!F157, 2),FALSE)),"",_xlfn.REGEXEXTRACT(CELL("address",F157), "\$([A-Z]+)\$[0-9]+"))),_xlfn.REGEXEXTRACT(CELL("address",F157), "\$([A-Z]+)\$[0-9]+"))</f>
        <v/>
      </c>
      <c r="G157" s="7" t="str" cm="1">
        <f t="array" aca="1" ref="G157" ca="1">IFERROR(IF(OR('Raw Data'!G157="",LEN(TRIM('Raw Data'!G157))=0),"",IF(LEN('Raw Data'!G157)&gt; 0,"",_xlfn.REGEXEXTRACT(CELL("address",'Raw Data'!G157),"\$([A-Z]+)\$[0-9]+"))),_xlfn.REGEXEXTRACT(CELL("address",'Raw Data'!G157),"\$([A-Z]+)\$[0-9]+"))</f>
        <v/>
      </c>
    </row>
    <row r="158" spans="2:7" x14ac:dyDescent="0.25">
      <c r="B158" s="7" t="str" cm="1">
        <f t="array" aca="1" ref="B158" ca="1">IFERROR(IF(OR('Raw Data'!B158="",LEN(TRIM('Raw Data'!B158))=0),"",IF(AND(LEN('Raw Data'!B158) &lt;= 20,LEN('Raw Data'!B158)&gt; 0),"",_xlfn.REGEXEXTRACT(CELL("address",'Raw Data'!B158),"\$([A-Z]+)\$[0-9]+"))),_xlfn.REGEXEXTRACT(CELL("address",'Raw Data'!B158),"\$([A-Z]+)\$[0-9]+"))</f>
        <v/>
      </c>
      <c r="C158" s="7" t="str" cm="1">
        <f t="array" aca="1" ref="C158" ca="1">IFERROR(IF(OR('Raw Data'!C158="",LEN(TRIM('Raw Data'!C158))=0),"",IF(AND(LEN('Raw Data'!C158) &lt;= 255,LEN('Raw Data'!C158)&gt; 0),"",_xlfn.REGEXEXTRACT(CELL("address",'Raw Data'!C158),"\$([A-Z]+)\$[0-9]+"))),_xlfn.REGEXEXTRACT(CELL("address",'Raw Data'!C158),"\$([A-Z]+)\$[0-9]+"))</f>
        <v/>
      </c>
      <c r="D158" s="7" t="str" cm="1">
        <f t="array" aca="1" ref="D158" ca="1">IFERROR(IF(OR('Raw Data'!D158="",LEN(TRIM('Raw Data'!D158))=0),"",IF(AND(ISNUMBER('Raw Data'!D158), IFERROR('Raw Data'!D158 = ROUND('Raw Data'!D158, 2),FALSE)),"",_xlfn.REGEXEXTRACT(CELL("address",D158), "\$([A-Z]+)\$[0-9]+"))),_xlfn.REGEXEXTRACT(CELL("address",D158), "\$([A-Z]+)\$[0-9]+"))</f>
        <v/>
      </c>
      <c r="E158" s="7" t="str" cm="1">
        <f t="array" aca="1" ref="E158" ca="1">IFERROR(IF(OR('Raw Data'!E158="",LEN(TRIM('Raw Data'!E158))=0),"",IF(AND(ISNUMBER('Raw Data'!E158), IFERROR('Raw Data'!E158 = ROUND('Raw Data'!E158, 2),FALSE)),"",_xlfn.REGEXEXTRACT(CELL("address",E158), "\$([A-Z]+)\$[0-9]+"))),_xlfn.REGEXEXTRACT(CELL("address",E158), "\$([A-Z]+)\$[0-9]+"))</f>
        <v/>
      </c>
      <c r="F158" s="7" t="str" cm="1">
        <f t="array" aca="1" ref="F158" ca="1">IFERROR(IF(OR('Raw Data'!F158="",LEN(TRIM('Raw Data'!F158))=0),"",IF(AND(ISNUMBER('Raw Data'!F158), IFERROR('Raw Data'!F158 = ROUND('Raw Data'!F158, 2),FALSE)),"",_xlfn.REGEXEXTRACT(CELL("address",F158), "\$([A-Z]+)\$[0-9]+"))),_xlfn.REGEXEXTRACT(CELL("address",F158), "\$([A-Z]+)\$[0-9]+"))</f>
        <v/>
      </c>
      <c r="G158" s="7" t="str" cm="1">
        <f t="array" aca="1" ref="G158" ca="1">IFERROR(IF(OR('Raw Data'!G158="",LEN(TRIM('Raw Data'!G158))=0),"",IF(LEN('Raw Data'!G158)&gt; 0,"",_xlfn.REGEXEXTRACT(CELL("address",'Raw Data'!G158),"\$([A-Z]+)\$[0-9]+"))),_xlfn.REGEXEXTRACT(CELL("address",'Raw Data'!G158),"\$([A-Z]+)\$[0-9]+"))</f>
        <v/>
      </c>
    </row>
    <row r="159" spans="2:7" x14ac:dyDescent="0.25">
      <c r="B159" s="7" t="str" cm="1">
        <f t="array" aca="1" ref="B159" ca="1">IFERROR(IF(OR('Raw Data'!B159="",LEN(TRIM('Raw Data'!B159))=0),"",IF(AND(LEN('Raw Data'!B159) &lt;= 20,LEN('Raw Data'!B159)&gt; 0),"",_xlfn.REGEXEXTRACT(CELL("address",'Raw Data'!B159),"\$([A-Z]+)\$[0-9]+"))),_xlfn.REGEXEXTRACT(CELL("address",'Raw Data'!B159),"\$([A-Z]+)\$[0-9]+"))</f>
        <v/>
      </c>
      <c r="C159" s="7" t="str" cm="1">
        <f t="array" aca="1" ref="C159" ca="1">IFERROR(IF(OR('Raw Data'!C159="",LEN(TRIM('Raw Data'!C159))=0),"",IF(AND(LEN('Raw Data'!C159) &lt;= 255,LEN('Raw Data'!C159)&gt; 0),"",_xlfn.REGEXEXTRACT(CELL("address",'Raw Data'!C159),"\$([A-Z]+)\$[0-9]+"))),_xlfn.REGEXEXTRACT(CELL("address",'Raw Data'!C159),"\$([A-Z]+)\$[0-9]+"))</f>
        <v/>
      </c>
      <c r="D159" s="7" t="str" cm="1">
        <f t="array" aca="1" ref="D159" ca="1">IFERROR(IF(OR('Raw Data'!D159="",LEN(TRIM('Raw Data'!D159))=0),"",IF(AND(ISNUMBER('Raw Data'!D159), IFERROR('Raw Data'!D159 = ROUND('Raw Data'!D159, 2),FALSE)),"",_xlfn.REGEXEXTRACT(CELL("address",D159), "\$([A-Z]+)\$[0-9]+"))),_xlfn.REGEXEXTRACT(CELL("address",D159), "\$([A-Z]+)\$[0-9]+"))</f>
        <v/>
      </c>
      <c r="E159" s="7" t="str" cm="1">
        <f t="array" aca="1" ref="E159" ca="1">IFERROR(IF(OR('Raw Data'!E159="",LEN(TRIM('Raw Data'!E159))=0),"",IF(AND(ISNUMBER('Raw Data'!E159), IFERROR('Raw Data'!E159 = ROUND('Raw Data'!E159, 2),FALSE)),"",_xlfn.REGEXEXTRACT(CELL("address",E159), "\$([A-Z]+)\$[0-9]+"))),_xlfn.REGEXEXTRACT(CELL("address",E159), "\$([A-Z]+)\$[0-9]+"))</f>
        <v/>
      </c>
      <c r="F159" s="7" t="str" cm="1">
        <f t="array" aca="1" ref="F159" ca="1">IFERROR(IF(OR('Raw Data'!F159="",LEN(TRIM('Raw Data'!F159))=0),"",IF(AND(ISNUMBER('Raw Data'!F159), IFERROR('Raw Data'!F159 = ROUND('Raw Data'!F159, 2),FALSE)),"",_xlfn.REGEXEXTRACT(CELL("address",F159), "\$([A-Z]+)\$[0-9]+"))),_xlfn.REGEXEXTRACT(CELL("address",F159), "\$([A-Z]+)\$[0-9]+"))</f>
        <v/>
      </c>
      <c r="G159" s="7" t="str" cm="1">
        <f t="array" aca="1" ref="G159" ca="1">IFERROR(IF(OR('Raw Data'!G159="",LEN(TRIM('Raw Data'!G159))=0),"",IF(LEN('Raw Data'!G159)&gt; 0,"",_xlfn.REGEXEXTRACT(CELL("address",'Raw Data'!G159),"\$([A-Z]+)\$[0-9]+"))),_xlfn.REGEXEXTRACT(CELL("address",'Raw Data'!G159),"\$([A-Z]+)\$[0-9]+"))</f>
        <v/>
      </c>
    </row>
    <row r="160" spans="2:7" x14ac:dyDescent="0.25">
      <c r="B160" s="7" t="str" cm="1">
        <f t="array" aca="1" ref="B160" ca="1">IFERROR(IF(OR('Raw Data'!B160="",LEN(TRIM('Raw Data'!B160))=0),"",IF(AND(LEN('Raw Data'!B160) &lt;= 20,LEN('Raw Data'!B160)&gt; 0),"",_xlfn.REGEXEXTRACT(CELL("address",'Raw Data'!B160),"\$([A-Z]+)\$[0-9]+"))),_xlfn.REGEXEXTRACT(CELL("address",'Raw Data'!B160),"\$([A-Z]+)\$[0-9]+"))</f>
        <v/>
      </c>
      <c r="C160" s="7" t="str" cm="1">
        <f t="array" aca="1" ref="C160" ca="1">IFERROR(IF(OR('Raw Data'!C160="",LEN(TRIM('Raw Data'!C160))=0),"",IF(AND(LEN('Raw Data'!C160) &lt;= 255,LEN('Raw Data'!C160)&gt; 0),"",_xlfn.REGEXEXTRACT(CELL("address",'Raw Data'!C160),"\$([A-Z]+)\$[0-9]+"))),_xlfn.REGEXEXTRACT(CELL("address",'Raw Data'!C160),"\$([A-Z]+)\$[0-9]+"))</f>
        <v/>
      </c>
      <c r="D160" s="7" t="str" cm="1">
        <f t="array" aca="1" ref="D160" ca="1">IFERROR(IF(OR('Raw Data'!D160="",LEN(TRIM('Raw Data'!D160))=0),"",IF(AND(ISNUMBER('Raw Data'!D160), IFERROR('Raw Data'!D160 = ROUND('Raw Data'!D160, 2),FALSE)),"",_xlfn.REGEXEXTRACT(CELL("address",D160), "\$([A-Z]+)\$[0-9]+"))),_xlfn.REGEXEXTRACT(CELL("address",D160), "\$([A-Z]+)\$[0-9]+"))</f>
        <v/>
      </c>
      <c r="E160" s="7" t="str" cm="1">
        <f t="array" aca="1" ref="E160" ca="1">IFERROR(IF(OR('Raw Data'!E160="",LEN(TRIM('Raw Data'!E160))=0),"",IF(AND(ISNUMBER('Raw Data'!E160), IFERROR('Raw Data'!E160 = ROUND('Raw Data'!E160, 2),FALSE)),"",_xlfn.REGEXEXTRACT(CELL("address",E160), "\$([A-Z]+)\$[0-9]+"))),_xlfn.REGEXEXTRACT(CELL("address",E160), "\$([A-Z]+)\$[0-9]+"))</f>
        <v/>
      </c>
      <c r="F160" s="7" t="str" cm="1">
        <f t="array" aca="1" ref="F160" ca="1">IFERROR(IF(OR('Raw Data'!F160="",LEN(TRIM('Raw Data'!F160))=0),"",IF(AND(ISNUMBER('Raw Data'!F160), IFERROR('Raw Data'!F160 = ROUND('Raw Data'!F160, 2),FALSE)),"",_xlfn.REGEXEXTRACT(CELL("address",F160), "\$([A-Z]+)\$[0-9]+"))),_xlfn.REGEXEXTRACT(CELL("address",F160), "\$([A-Z]+)\$[0-9]+"))</f>
        <v/>
      </c>
      <c r="G160" s="7" t="str" cm="1">
        <f t="array" aca="1" ref="G160" ca="1">IFERROR(IF(OR('Raw Data'!G160="",LEN(TRIM('Raw Data'!G160))=0),"",IF(LEN('Raw Data'!G160)&gt; 0,"",_xlfn.REGEXEXTRACT(CELL("address",'Raw Data'!G160),"\$([A-Z]+)\$[0-9]+"))),_xlfn.REGEXEXTRACT(CELL("address",'Raw Data'!G160),"\$([A-Z]+)\$[0-9]+"))</f>
        <v/>
      </c>
    </row>
    <row r="161" spans="2:7" x14ac:dyDescent="0.25">
      <c r="B161" s="7" t="str" cm="1">
        <f t="array" aca="1" ref="B161" ca="1">IFERROR(IF(OR('Raw Data'!B161="",LEN(TRIM('Raw Data'!B161))=0),"",IF(AND(LEN('Raw Data'!B161) &lt;= 20,LEN('Raw Data'!B161)&gt; 0),"",_xlfn.REGEXEXTRACT(CELL("address",'Raw Data'!B161),"\$([A-Z]+)\$[0-9]+"))),_xlfn.REGEXEXTRACT(CELL("address",'Raw Data'!B161),"\$([A-Z]+)\$[0-9]+"))</f>
        <v/>
      </c>
      <c r="C161" s="7" t="str" cm="1">
        <f t="array" aca="1" ref="C161" ca="1">IFERROR(IF(OR('Raw Data'!C161="",LEN(TRIM('Raw Data'!C161))=0),"",IF(AND(LEN('Raw Data'!C161) &lt;= 255,LEN('Raw Data'!C161)&gt; 0),"",_xlfn.REGEXEXTRACT(CELL("address",'Raw Data'!C161),"\$([A-Z]+)\$[0-9]+"))),_xlfn.REGEXEXTRACT(CELL("address",'Raw Data'!C161),"\$([A-Z]+)\$[0-9]+"))</f>
        <v/>
      </c>
      <c r="D161" s="7" t="str" cm="1">
        <f t="array" aca="1" ref="D161" ca="1">IFERROR(IF(OR('Raw Data'!D161="",LEN(TRIM('Raw Data'!D161))=0),"",IF(AND(ISNUMBER('Raw Data'!D161), IFERROR('Raw Data'!D161 = ROUND('Raw Data'!D161, 2),FALSE)),"",_xlfn.REGEXEXTRACT(CELL("address",D161), "\$([A-Z]+)\$[0-9]+"))),_xlfn.REGEXEXTRACT(CELL("address",D161), "\$([A-Z]+)\$[0-9]+"))</f>
        <v/>
      </c>
      <c r="E161" s="7" t="str" cm="1">
        <f t="array" aca="1" ref="E161" ca="1">IFERROR(IF(OR('Raw Data'!E161="",LEN(TRIM('Raw Data'!E161))=0),"",IF(AND(ISNUMBER('Raw Data'!E161), IFERROR('Raw Data'!E161 = ROUND('Raw Data'!E161, 2),FALSE)),"",_xlfn.REGEXEXTRACT(CELL("address",E161), "\$([A-Z]+)\$[0-9]+"))),_xlfn.REGEXEXTRACT(CELL("address",E161), "\$([A-Z]+)\$[0-9]+"))</f>
        <v/>
      </c>
      <c r="F161" s="7" t="str" cm="1">
        <f t="array" aca="1" ref="F161" ca="1">IFERROR(IF(OR('Raw Data'!F161="",LEN(TRIM('Raw Data'!F161))=0),"",IF(AND(ISNUMBER('Raw Data'!F161), IFERROR('Raw Data'!F161 = ROUND('Raw Data'!F161, 2),FALSE)),"",_xlfn.REGEXEXTRACT(CELL("address",F161), "\$([A-Z]+)\$[0-9]+"))),_xlfn.REGEXEXTRACT(CELL("address",F161), "\$([A-Z]+)\$[0-9]+"))</f>
        <v/>
      </c>
      <c r="G161" s="7" t="str" cm="1">
        <f t="array" aca="1" ref="G161" ca="1">IFERROR(IF(OR('Raw Data'!G161="",LEN(TRIM('Raw Data'!G161))=0),"",IF(LEN('Raw Data'!G161)&gt; 0,"",_xlfn.REGEXEXTRACT(CELL("address",'Raw Data'!G161),"\$([A-Z]+)\$[0-9]+"))),_xlfn.REGEXEXTRACT(CELL("address",'Raw Data'!G161),"\$([A-Z]+)\$[0-9]+"))</f>
        <v/>
      </c>
    </row>
    <row r="162" spans="2:7" x14ac:dyDescent="0.25">
      <c r="B162" s="7" t="str" cm="1">
        <f t="array" aca="1" ref="B162" ca="1">IFERROR(IF(OR('Raw Data'!B162="",LEN(TRIM('Raw Data'!B162))=0),"",IF(AND(LEN('Raw Data'!B162) &lt;= 20,LEN('Raw Data'!B162)&gt; 0),"",_xlfn.REGEXEXTRACT(CELL("address",'Raw Data'!B162),"\$([A-Z]+)\$[0-9]+"))),_xlfn.REGEXEXTRACT(CELL("address",'Raw Data'!B162),"\$([A-Z]+)\$[0-9]+"))</f>
        <v/>
      </c>
      <c r="C162" s="7" t="str" cm="1">
        <f t="array" aca="1" ref="C162" ca="1">IFERROR(IF(OR('Raw Data'!C162="",LEN(TRIM('Raw Data'!C162))=0),"",IF(AND(LEN('Raw Data'!C162) &lt;= 255,LEN('Raw Data'!C162)&gt; 0),"",_xlfn.REGEXEXTRACT(CELL("address",'Raw Data'!C162),"\$([A-Z]+)\$[0-9]+"))),_xlfn.REGEXEXTRACT(CELL("address",'Raw Data'!C162),"\$([A-Z]+)\$[0-9]+"))</f>
        <v/>
      </c>
      <c r="D162" s="7" t="str" cm="1">
        <f t="array" aca="1" ref="D162" ca="1">IFERROR(IF(OR('Raw Data'!D162="",LEN(TRIM('Raw Data'!D162))=0),"",IF(AND(ISNUMBER('Raw Data'!D162), IFERROR('Raw Data'!D162 = ROUND('Raw Data'!D162, 2),FALSE)),"",_xlfn.REGEXEXTRACT(CELL("address",D162), "\$([A-Z]+)\$[0-9]+"))),_xlfn.REGEXEXTRACT(CELL("address",D162), "\$([A-Z]+)\$[0-9]+"))</f>
        <v/>
      </c>
      <c r="E162" s="7" t="str" cm="1">
        <f t="array" aca="1" ref="E162" ca="1">IFERROR(IF(OR('Raw Data'!E162="",LEN(TRIM('Raw Data'!E162))=0),"",IF(AND(ISNUMBER('Raw Data'!E162), IFERROR('Raw Data'!E162 = ROUND('Raw Data'!E162, 2),FALSE)),"",_xlfn.REGEXEXTRACT(CELL("address",E162), "\$([A-Z]+)\$[0-9]+"))),_xlfn.REGEXEXTRACT(CELL("address",E162), "\$([A-Z]+)\$[0-9]+"))</f>
        <v/>
      </c>
      <c r="F162" s="7" t="str" cm="1">
        <f t="array" aca="1" ref="F162" ca="1">IFERROR(IF(OR('Raw Data'!F162="",LEN(TRIM('Raw Data'!F162))=0),"",IF(AND(ISNUMBER('Raw Data'!F162), IFERROR('Raw Data'!F162 = ROUND('Raw Data'!F162, 2),FALSE)),"",_xlfn.REGEXEXTRACT(CELL("address",F162), "\$([A-Z]+)\$[0-9]+"))),_xlfn.REGEXEXTRACT(CELL("address",F162), "\$([A-Z]+)\$[0-9]+"))</f>
        <v/>
      </c>
      <c r="G162" s="7" t="str" cm="1">
        <f t="array" aca="1" ref="G162" ca="1">IFERROR(IF(OR('Raw Data'!G162="",LEN(TRIM('Raw Data'!G162))=0),"",IF(LEN('Raw Data'!G162)&gt; 0,"",_xlfn.REGEXEXTRACT(CELL("address",'Raw Data'!G162),"\$([A-Z]+)\$[0-9]+"))),_xlfn.REGEXEXTRACT(CELL("address",'Raw Data'!G162),"\$([A-Z]+)\$[0-9]+"))</f>
        <v/>
      </c>
    </row>
    <row r="163" spans="2:7" x14ac:dyDescent="0.25">
      <c r="B163" s="7" t="str" cm="1">
        <f t="array" aca="1" ref="B163" ca="1">IFERROR(IF(OR('Raw Data'!B163="",LEN(TRIM('Raw Data'!B163))=0),"",IF(AND(LEN('Raw Data'!B163) &lt;= 20,LEN('Raw Data'!B163)&gt; 0),"",_xlfn.REGEXEXTRACT(CELL("address",'Raw Data'!B163),"\$([A-Z]+)\$[0-9]+"))),_xlfn.REGEXEXTRACT(CELL("address",'Raw Data'!B163),"\$([A-Z]+)\$[0-9]+"))</f>
        <v/>
      </c>
      <c r="C163" s="7" t="str" cm="1">
        <f t="array" aca="1" ref="C163" ca="1">IFERROR(IF(OR('Raw Data'!C163="",LEN(TRIM('Raw Data'!C163))=0),"",IF(AND(LEN('Raw Data'!C163) &lt;= 255,LEN('Raw Data'!C163)&gt; 0),"",_xlfn.REGEXEXTRACT(CELL("address",'Raw Data'!C163),"\$([A-Z]+)\$[0-9]+"))),_xlfn.REGEXEXTRACT(CELL("address",'Raw Data'!C163),"\$([A-Z]+)\$[0-9]+"))</f>
        <v/>
      </c>
      <c r="D163" s="7" t="str" cm="1">
        <f t="array" aca="1" ref="D163" ca="1">IFERROR(IF(OR('Raw Data'!D163="",LEN(TRIM('Raw Data'!D163))=0),"",IF(AND(ISNUMBER('Raw Data'!D163), IFERROR('Raw Data'!D163 = ROUND('Raw Data'!D163, 2),FALSE)),"",_xlfn.REGEXEXTRACT(CELL("address",D163), "\$([A-Z]+)\$[0-9]+"))),_xlfn.REGEXEXTRACT(CELL("address",D163), "\$([A-Z]+)\$[0-9]+"))</f>
        <v/>
      </c>
      <c r="E163" s="7" t="str" cm="1">
        <f t="array" aca="1" ref="E163" ca="1">IFERROR(IF(OR('Raw Data'!E163="",LEN(TRIM('Raw Data'!E163))=0),"",IF(AND(ISNUMBER('Raw Data'!E163), IFERROR('Raw Data'!E163 = ROUND('Raw Data'!E163, 2),FALSE)),"",_xlfn.REGEXEXTRACT(CELL("address",E163), "\$([A-Z]+)\$[0-9]+"))),_xlfn.REGEXEXTRACT(CELL("address",E163), "\$([A-Z]+)\$[0-9]+"))</f>
        <v/>
      </c>
      <c r="F163" s="7" t="str" cm="1">
        <f t="array" aca="1" ref="F163" ca="1">IFERROR(IF(OR('Raw Data'!F163="",LEN(TRIM('Raw Data'!F163))=0),"",IF(AND(ISNUMBER('Raw Data'!F163), IFERROR('Raw Data'!F163 = ROUND('Raw Data'!F163, 2),FALSE)),"",_xlfn.REGEXEXTRACT(CELL("address",F163), "\$([A-Z]+)\$[0-9]+"))),_xlfn.REGEXEXTRACT(CELL("address",F163), "\$([A-Z]+)\$[0-9]+"))</f>
        <v/>
      </c>
      <c r="G163" s="7" t="str" cm="1">
        <f t="array" aca="1" ref="G163" ca="1">IFERROR(IF(OR('Raw Data'!G163="",LEN(TRIM('Raw Data'!G163))=0),"",IF(LEN('Raw Data'!G163)&gt; 0,"",_xlfn.REGEXEXTRACT(CELL("address",'Raw Data'!G163),"\$([A-Z]+)\$[0-9]+"))),_xlfn.REGEXEXTRACT(CELL("address",'Raw Data'!G163),"\$([A-Z]+)\$[0-9]+"))</f>
        <v/>
      </c>
    </row>
    <row r="164" spans="2:7" x14ac:dyDescent="0.25">
      <c r="B164" s="7" t="str" cm="1">
        <f t="array" aca="1" ref="B164" ca="1">IFERROR(IF(OR('Raw Data'!B164="",LEN(TRIM('Raw Data'!B164))=0),"",IF(AND(LEN('Raw Data'!B164) &lt;= 20,LEN('Raw Data'!B164)&gt; 0),"",_xlfn.REGEXEXTRACT(CELL("address",'Raw Data'!B164),"\$([A-Z]+)\$[0-9]+"))),_xlfn.REGEXEXTRACT(CELL("address",'Raw Data'!B164),"\$([A-Z]+)\$[0-9]+"))</f>
        <v/>
      </c>
      <c r="C164" s="7" t="str" cm="1">
        <f t="array" aca="1" ref="C164" ca="1">IFERROR(IF(OR('Raw Data'!C164="",LEN(TRIM('Raw Data'!C164))=0),"",IF(AND(LEN('Raw Data'!C164) &lt;= 255,LEN('Raw Data'!C164)&gt; 0),"",_xlfn.REGEXEXTRACT(CELL("address",'Raw Data'!C164),"\$([A-Z]+)\$[0-9]+"))),_xlfn.REGEXEXTRACT(CELL("address",'Raw Data'!C164),"\$([A-Z]+)\$[0-9]+"))</f>
        <v/>
      </c>
      <c r="D164" s="7" t="str" cm="1">
        <f t="array" aca="1" ref="D164" ca="1">IFERROR(IF(OR('Raw Data'!D164="",LEN(TRIM('Raw Data'!D164))=0),"",IF(AND(ISNUMBER('Raw Data'!D164), IFERROR('Raw Data'!D164 = ROUND('Raw Data'!D164, 2),FALSE)),"",_xlfn.REGEXEXTRACT(CELL("address",D164), "\$([A-Z]+)\$[0-9]+"))),_xlfn.REGEXEXTRACT(CELL("address",D164), "\$([A-Z]+)\$[0-9]+"))</f>
        <v/>
      </c>
      <c r="E164" s="7" t="str" cm="1">
        <f t="array" aca="1" ref="E164" ca="1">IFERROR(IF(OR('Raw Data'!E164="",LEN(TRIM('Raw Data'!E164))=0),"",IF(AND(ISNUMBER('Raw Data'!E164), IFERROR('Raw Data'!E164 = ROUND('Raw Data'!E164, 2),FALSE)),"",_xlfn.REGEXEXTRACT(CELL("address",E164), "\$([A-Z]+)\$[0-9]+"))),_xlfn.REGEXEXTRACT(CELL("address",E164), "\$([A-Z]+)\$[0-9]+"))</f>
        <v/>
      </c>
      <c r="F164" s="7" t="str" cm="1">
        <f t="array" aca="1" ref="F164" ca="1">IFERROR(IF(OR('Raw Data'!F164="",LEN(TRIM('Raw Data'!F164))=0),"",IF(AND(ISNUMBER('Raw Data'!F164), IFERROR('Raw Data'!F164 = ROUND('Raw Data'!F164, 2),FALSE)),"",_xlfn.REGEXEXTRACT(CELL("address",F164), "\$([A-Z]+)\$[0-9]+"))),_xlfn.REGEXEXTRACT(CELL("address",F164), "\$([A-Z]+)\$[0-9]+"))</f>
        <v/>
      </c>
      <c r="G164" s="7" t="str" cm="1">
        <f t="array" aca="1" ref="G164" ca="1">IFERROR(IF(OR('Raw Data'!G164="",LEN(TRIM('Raw Data'!G164))=0),"",IF(LEN('Raw Data'!G164)&gt; 0,"",_xlfn.REGEXEXTRACT(CELL("address",'Raw Data'!G164),"\$([A-Z]+)\$[0-9]+"))),_xlfn.REGEXEXTRACT(CELL("address",'Raw Data'!G164),"\$([A-Z]+)\$[0-9]+"))</f>
        <v/>
      </c>
    </row>
    <row r="165" spans="2:7" x14ac:dyDescent="0.25">
      <c r="B165" s="7" t="str" cm="1">
        <f t="array" aca="1" ref="B165" ca="1">IFERROR(IF(OR('Raw Data'!B165="",LEN(TRIM('Raw Data'!B165))=0),"",IF(AND(LEN('Raw Data'!B165) &lt;= 20,LEN('Raw Data'!B165)&gt; 0),"",_xlfn.REGEXEXTRACT(CELL("address",'Raw Data'!B165),"\$([A-Z]+)\$[0-9]+"))),_xlfn.REGEXEXTRACT(CELL("address",'Raw Data'!B165),"\$([A-Z]+)\$[0-9]+"))</f>
        <v/>
      </c>
      <c r="C165" s="7" t="str" cm="1">
        <f t="array" aca="1" ref="C165" ca="1">IFERROR(IF(OR('Raw Data'!C165="",LEN(TRIM('Raw Data'!C165))=0),"",IF(AND(LEN('Raw Data'!C165) &lt;= 255,LEN('Raw Data'!C165)&gt; 0),"",_xlfn.REGEXEXTRACT(CELL("address",'Raw Data'!C165),"\$([A-Z]+)\$[0-9]+"))),_xlfn.REGEXEXTRACT(CELL("address",'Raw Data'!C165),"\$([A-Z]+)\$[0-9]+"))</f>
        <v/>
      </c>
      <c r="D165" s="7" t="str" cm="1">
        <f t="array" aca="1" ref="D165" ca="1">IFERROR(IF(OR('Raw Data'!D165="",LEN(TRIM('Raw Data'!D165))=0),"",IF(AND(ISNUMBER('Raw Data'!D165), IFERROR('Raw Data'!D165 = ROUND('Raw Data'!D165, 2),FALSE)),"",_xlfn.REGEXEXTRACT(CELL("address",D165), "\$([A-Z]+)\$[0-9]+"))),_xlfn.REGEXEXTRACT(CELL("address",D165), "\$([A-Z]+)\$[0-9]+"))</f>
        <v/>
      </c>
      <c r="E165" s="7" t="str" cm="1">
        <f t="array" aca="1" ref="E165" ca="1">IFERROR(IF(OR('Raw Data'!E165="",LEN(TRIM('Raw Data'!E165))=0),"",IF(AND(ISNUMBER('Raw Data'!E165), IFERROR('Raw Data'!E165 = ROUND('Raw Data'!E165, 2),FALSE)),"",_xlfn.REGEXEXTRACT(CELL("address",E165), "\$([A-Z]+)\$[0-9]+"))),_xlfn.REGEXEXTRACT(CELL("address",E165), "\$([A-Z]+)\$[0-9]+"))</f>
        <v/>
      </c>
      <c r="F165" s="7" t="str" cm="1">
        <f t="array" aca="1" ref="F165" ca="1">IFERROR(IF(OR('Raw Data'!F165="",LEN(TRIM('Raw Data'!F165))=0),"",IF(AND(ISNUMBER('Raw Data'!F165), IFERROR('Raw Data'!F165 = ROUND('Raw Data'!F165, 2),FALSE)),"",_xlfn.REGEXEXTRACT(CELL("address",F165), "\$([A-Z]+)\$[0-9]+"))),_xlfn.REGEXEXTRACT(CELL("address",F165), "\$([A-Z]+)\$[0-9]+"))</f>
        <v/>
      </c>
      <c r="G165" s="7" t="str" cm="1">
        <f t="array" aca="1" ref="G165" ca="1">IFERROR(IF(OR('Raw Data'!G165="",LEN(TRIM('Raw Data'!G165))=0),"",IF(LEN('Raw Data'!G165)&gt; 0,"",_xlfn.REGEXEXTRACT(CELL("address",'Raw Data'!G165),"\$([A-Z]+)\$[0-9]+"))),_xlfn.REGEXEXTRACT(CELL("address",'Raw Data'!G165),"\$([A-Z]+)\$[0-9]+"))</f>
        <v/>
      </c>
    </row>
    <row r="166" spans="2:7" x14ac:dyDescent="0.25">
      <c r="B166" s="7" t="str" cm="1">
        <f t="array" aca="1" ref="B166" ca="1">IFERROR(IF(OR('Raw Data'!B166="",LEN(TRIM('Raw Data'!B166))=0),"",IF(AND(LEN('Raw Data'!B166) &lt;= 20,LEN('Raw Data'!B166)&gt; 0),"",_xlfn.REGEXEXTRACT(CELL("address",'Raw Data'!B166),"\$([A-Z]+)\$[0-9]+"))),_xlfn.REGEXEXTRACT(CELL("address",'Raw Data'!B166),"\$([A-Z]+)\$[0-9]+"))</f>
        <v/>
      </c>
      <c r="C166" s="7" t="str" cm="1">
        <f t="array" aca="1" ref="C166" ca="1">IFERROR(IF(OR('Raw Data'!C166="",LEN(TRIM('Raw Data'!C166))=0),"",IF(AND(LEN('Raw Data'!C166) &lt;= 255,LEN('Raw Data'!C166)&gt; 0),"",_xlfn.REGEXEXTRACT(CELL("address",'Raw Data'!C166),"\$([A-Z]+)\$[0-9]+"))),_xlfn.REGEXEXTRACT(CELL("address",'Raw Data'!C166),"\$([A-Z]+)\$[0-9]+"))</f>
        <v/>
      </c>
      <c r="D166" s="7" t="str" cm="1">
        <f t="array" aca="1" ref="D166" ca="1">IFERROR(IF(OR('Raw Data'!D166="",LEN(TRIM('Raw Data'!D166))=0),"",IF(AND(ISNUMBER('Raw Data'!D166), IFERROR('Raw Data'!D166 = ROUND('Raw Data'!D166, 2),FALSE)),"",_xlfn.REGEXEXTRACT(CELL("address",D166), "\$([A-Z]+)\$[0-9]+"))),_xlfn.REGEXEXTRACT(CELL("address",D166), "\$([A-Z]+)\$[0-9]+"))</f>
        <v/>
      </c>
      <c r="E166" s="7" t="str" cm="1">
        <f t="array" aca="1" ref="E166" ca="1">IFERROR(IF(OR('Raw Data'!E166="",LEN(TRIM('Raw Data'!E166))=0),"",IF(AND(ISNUMBER('Raw Data'!E166), IFERROR('Raw Data'!E166 = ROUND('Raw Data'!E166, 2),FALSE)),"",_xlfn.REGEXEXTRACT(CELL("address",E166), "\$([A-Z]+)\$[0-9]+"))),_xlfn.REGEXEXTRACT(CELL("address",E166), "\$([A-Z]+)\$[0-9]+"))</f>
        <v/>
      </c>
      <c r="F166" s="7" t="str" cm="1">
        <f t="array" aca="1" ref="F166" ca="1">IFERROR(IF(OR('Raw Data'!F166="",LEN(TRIM('Raw Data'!F166))=0),"",IF(AND(ISNUMBER('Raw Data'!F166), IFERROR('Raw Data'!F166 = ROUND('Raw Data'!F166, 2),FALSE)),"",_xlfn.REGEXEXTRACT(CELL("address",F166), "\$([A-Z]+)\$[0-9]+"))),_xlfn.REGEXEXTRACT(CELL("address",F166), "\$([A-Z]+)\$[0-9]+"))</f>
        <v/>
      </c>
      <c r="G166" s="7" t="str" cm="1">
        <f t="array" aca="1" ref="G166" ca="1">IFERROR(IF(OR('Raw Data'!G166="",LEN(TRIM('Raw Data'!G166))=0),"",IF(LEN('Raw Data'!G166)&gt; 0,"",_xlfn.REGEXEXTRACT(CELL("address",'Raw Data'!G166),"\$([A-Z]+)\$[0-9]+"))),_xlfn.REGEXEXTRACT(CELL("address",'Raw Data'!G166),"\$([A-Z]+)\$[0-9]+"))</f>
        <v/>
      </c>
    </row>
    <row r="167" spans="2:7" x14ac:dyDescent="0.25">
      <c r="B167" s="7" t="str" cm="1">
        <f t="array" aca="1" ref="B167" ca="1">IFERROR(IF(OR('Raw Data'!B167="",LEN(TRIM('Raw Data'!B167))=0),"",IF(AND(LEN('Raw Data'!B167) &lt;= 20,LEN('Raw Data'!B167)&gt; 0),"",_xlfn.REGEXEXTRACT(CELL("address",'Raw Data'!B167),"\$([A-Z]+)\$[0-9]+"))),_xlfn.REGEXEXTRACT(CELL("address",'Raw Data'!B167),"\$([A-Z]+)\$[0-9]+"))</f>
        <v/>
      </c>
      <c r="C167" s="7" t="str" cm="1">
        <f t="array" aca="1" ref="C167" ca="1">IFERROR(IF(OR('Raw Data'!C167="",LEN(TRIM('Raw Data'!C167))=0),"",IF(AND(LEN('Raw Data'!C167) &lt;= 255,LEN('Raw Data'!C167)&gt; 0),"",_xlfn.REGEXEXTRACT(CELL("address",'Raw Data'!C167),"\$([A-Z]+)\$[0-9]+"))),_xlfn.REGEXEXTRACT(CELL("address",'Raw Data'!C167),"\$([A-Z]+)\$[0-9]+"))</f>
        <v/>
      </c>
      <c r="D167" s="7" t="str" cm="1">
        <f t="array" aca="1" ref="D167" ca="1">IFERROR(IF(OR('Raw Data'!D167="",LEN(TRIM('Raw Data'!D167))=0),"",IF(AND(ISNUMBER('Raw Data'!D167), IFERROR('Raw Data'!D167 = ROUND('Raw Data'!D167, 2),FALSE)),"",_xlfn.REGEXEXTRACT(CELL("address",D167), "\$([A-Z]+)\$[0-9]+"))),_xlfn.REGEXEXTRACT(CELL("address",D167), "\$([A-Z]+)\$[0-9]+"))</f>
        <v/>
      </c>
      <c r="E167" s="7" t="str" cm="1">
        <f t="array" aca="1" ref="E167" ca="1">IFERROR(IF(OR('Raw Data'!E167="",LEN(TRIM('Raw Data'!E167))=0),"",IF(AND(ISNUMBER('Raw Data'!E167), IFERROR('Raw Data'!E167 = ROUND('Raw Data'!E167, 2),FALSE)),"",_xlfn.REGEXEXTRACT(CELL("address",E167), "\$([A-Z]+)\$[0-9]+"))),_xlfn.REGEXEXTRACT(CELL("address",E167), "\$([A-Z]+)\$[0-9]+"))</f>
        <v/>
      </c>
      <c r="F167" s="7" t="str" cm="1">
        <f t="array" aca="1" ref="F167" ca="1">IFERROR(IF(OR('Raw Data'!F167="",LEN(TRIM('Raw Data'!F167))=0),"",IF(AND(ISNUMBER('Raw Data'!F167), IFERROR('Raw Data'!F167 = ROUND('Raw Data'!F167, 2),FALSE)),"",_xlfn.REGEXEXTRACT(CELL("address",F167), "\$([A-Z]+)\$[0-9]+"))),_xlfn.REGEXEXTRACT(CELL("address",F167), "\$([A-Z]+)\$[0-9]+"))</f>
        <v/>
      </c>
      <c r="G167" s="7" t="str" cm="1">
        <f t="array" aca="1" ref="G167" ca="1">IFERROR(IF(OR('Raw Data'!G167="",LEN(TRIM('Raw Data'!G167))=0),"",IF(LEN('Raw Data'!G167)&gt; 0,"",_xlfn.REGEXEXTRACT(CELL("address",'Raw Data'!G167),"\$([A-Z]+)\$[0-9]+"))),_xlfn.REGEXEXTRACT(CELL("address",'Raw Data'!G167),"\$([A-Z]+)\$[0-9]+"))</f>
        <v/>
      </c>
    </row>
    <row r="168" spans="2:7" x14ac:dyDescent="0.25">
      <c r="B168" s="7" t="str" cm="1">
        <f t="array" aca="1" ref="B168" ca="1">IFERROR(IF(OR('Raw Data'!B168="",LEN(TRIM('Raw Data'!B168))=0),"",IF(AND(LEN('Raw Data'!B168) &lt;= 20,LEN('Raw Data'!B168)&gt; 0),"",_xlfn.REGEXEXTRACT(CELL("address",'Raw Data'!B168),"\$([A-Z]+)\$[0-9]+"))),_xlfn.REGEXEXTRACT(CELL("address",'Raw Data'!B168),"\$([A-Z]+)\$[0-9]+"))</f>
        <v/>
      </c>
      <c r="C168" s="7" t="str" cm="1">
        <f t="array" aca="1" ref="C168" ca="1">IFERROR(IF(OR('Raw Data'!C168="",LEN(TRIM('Raw Data'!C168))=0),"",IF(AND(LEN('Raw Data'!C168) &lt;= 255,LEN('Raw Data'!C168)&gt; 0),"",_xlfn.REGEXEXTRACT(CELL("address",'Raw Data'!C168),"\$([A-Z]+)\$[0-9]+"))),_xlfn.REGEXEXTRACT(CELL("address",'Raw Data'!C168),"\$([A-Z]+)\$[0-9]+"))</f>
        <v/>
      </c>
      <c r="D168" s="7" t="str" cm="1">
        <f t="array" aca="1" ref="D168" ca="1">IFERROR(IF(OR('Raw Data'!D168="",LEN(TRIM('Raw Data'!D168))=0),"",IF(AND(ISNUMBER('Raw Data'!D168), IFERROR('Raw Data'!D168 = ROUND('Raw Data'!D168, 2),FALSE)),"",_xlfn.REGEXEXTRACT(CELL("address",D168), "\$([A-Z]+)\$[0-9]+"))),_xlfn.REGEXEXTRACT(CELL("address",D168), "\$([A-Z]+)\$[0-9]+"))</f>
        <v/>
      </c>
      <c r="E168" s="7" t="str" cm="1">
        <f t="array" aca="1" ref="E168" ca="1">IFERROR(IF(OR('Raw Data'!E168="",LEN(TRIM('Raw Data'!E168))=0),"",IF(AND(ISNUMBER('Raw Data'!E168), IFERROR('Raw Data'!E168 = ROUND('Raw Data'!E168, 2),FALSE)),"",_xlfn.REGEXEXTRACT(CELL("address",E168), "\$([A-Z]+)\$[0-9]+"))),_xlfn.REGEXEXTRACT(CELL("address",E168), "\$([A-Z]+)\$[0-9]+"))</f>
        <v/>
      </c>
      <c r="F168" s="7" t="str" cm="1">
        <f t="array" aca="1" ref="F168" ca="1">IFERROR(IF(OR('Raw Data'!F168="",LEN(TRIM('Raw Data'!F168))=0),"",IF(AND(ISNUMBER('Raw Data'!F168), IFERROR('Raw Data'!F168 = ROUND('Raw Data'!F168, 2),FALSE)),"",_xlfn.REGEXEXTRACT(CELL("address",F168), "\$([A-Z]+)\$[0-9]+"))),_xlfn.REGEXEXTRACT(CELL("address",F168), "\$([A-Z]+)\$[0-9]+"))</f>
        <v/>
      </c>
      <c r="G168" s="7" t="str" cm="1">
        <f t="array" aca="1" ref="G168" ca="1">IFERROR(IF(OR('Raw Data'!G168="",LEN(TRIM('Raw Data'!G168))=0),"",IF(LEN('Raw Data'!G168)&gt; 0,"",_xlfn.REGEXEXTRACT(CELL("address",'Raw Data'!G168),"\$([A-Z]+)\$[0-9]+"))),_xlfn.REGEXEXTRACT(CELL("address",'Raw Data'!G168),"\$([A-Z]+)\$[0-9]+"))</f>
        <v/>
      </c>
    </row>
    <row r="169" spans="2:7" x14ac:dyDescent="0.25">
      <c r="B169" s="7" t="str" cm="1">
        <f t="array" aca="1" ref="B169" ca="1">IFERROR(IF(OR('Raw Data'!B169="",LEN(TRIM('Raw Data'!B169))=0),"",IF(AND(LEN('Raw Data'!B169) &lt;= 20,LEN('Raw Data'!B169)&gt; 0),"",_xlfn.REGEXEXTRACT(CELL("address",'Raw Data'!B169),"\$([A-Z]+)\$[0-9]+"))),_xlfn.REGEXEXTRACT(CELL("address",'Raw Data'!B169),"\$([A-Z]+)\$[0-9]+"))</f>
        <v/>
      </c>
      <c r="C169" s="7" t="str" cm="1">
        <f t="array" aca="1" ref="C169" ca="1">IFERROR(IF(OR('Raw Data'!C169="",LEN(TRIM('Raw Data'!C169))=0),"",IF(AND(LEN('Raw Data'!C169) &lt;= 255,LEN('Raw Data'!C169)&gt; 0),"",_xlfn.REGEXEXTRACT(CELL("address",'Raw Data'!C169),"\$([A-Z]+)\$[0-9]+"))),_xlfn.REGEXEXTRACT(CELL("address",'Raw Data'!C169),"\$([A-Z]+)\$[0-9]+"))</f>
        <v/>
      </c>
      <c r="D169" s="7" t="str" cm="1">
        <f t="array" aca="1" ref="D169" ca="1">IFERROR(IF(OR('Raw Data'!D169="",LEN(TRIM('Raw Data'!D169))=0),"",IF(AND(ISNUMBER('Raw Data'!D169), IFERROR('Raw Data'!D169 = ROUND('Raw Data'!D169, 2),FALSE)),"",_xlfn.REGEXEXTRACT(CELL("address",D169), "\$([A-Z]+)\$[0-9]+"))),_xlfn.REGEXEXTRACT(CELL("address",D169), "\$([A-Z]+)\$[0-9]+"))</f>
        <v/>
      </c>
      <c r="E169" s="7" t="str" cm="1">
        <f t="array" aca="1" ref="E169" ca="1">IFERROR(IF(OR('Raw Data'!E169="",LEN(TRIM('Raw Data'!E169))=0),"",IF(AND(ISNUMBER('Raw Data'!E169), IFERROR('Raw Data'!E169 = ROUND('Raw Data'!E169, 2),FALSE)),"",_xlfn.REGEXEXTRACT(CELL("address",E169), "\$([A-Z]+)\$[0-9]+"))),_xlfn.REGEXEXTRACT(CELL("address",E169), "\$([A-Z]+)\$[0-9]+"))</f>
        <v/>
      </c>
      <c r="F169" s="7" t="str" cm="1">
        <f t="array" aca="1" ref="F169" ca="1">IFERROR(IF(OR('Raw Data'!F169="",LEN(TRIM('Raw Data'!F169))=0),"",IF(AND(ISNUMBER('Raw Data'!F169), IFERROR('Raw Data'!F169 = ROUND('Raw Data'!F169, 2),FALSE)),"",_xlfn.REGEXEXTRACT(CELL("address",F169), "\$([A-Z]+)\$[0-9]+"))),_xlfn.REGEXEXTRACT(CELL("address",F169), "\$([A-Z]+)\$[0-9]+"))</f>
        <v/>
      </c>
      <c r="G169" s="7" t="str" cm="1">
        <f t="array" aca="1" ref="G169" ca="1">IFERROR(IF(OR('Raw Data'!G169="",LEN(TRIM('Raw Data'!G169))=0),"",IF(LEN('Raw Data'!G169)&gt; 0,"",_xlfn.REGEXEXTRACT(CELL("address",'Raw Data'!G169),"\$([A-Z]+)\$[0-9]+"))),_xlfn.REGEXEXTRACT(CELL("address",'Raw Data'!G169),"\$([A-Z]+)\$[0-9]+"))</f>
        <v/>
      </c>
    </row>
    <row r="170" spans="2:7" x14ac:dyDescent="0.25">
      <c r="B170" s="7" t="str" cm="1">
        <f t="array" aca="1" ref="B170" ca="1">IFERROR(IF(OR('Raw Data'!B170="",LEN(TRIM('Raw Data'!B170))=0),"",IF(AND(LEN('Raw Data'!B170) &lt;= 20,LEN('Raw Data'!B170)&gt; 0),"",_xlfn.REGEXEXTRACT(CELL("address",'Raw Data'!B170),"\$([A-Z]+)\$[0-9]+"))),_xlfn.REGEXEXTRACT(CELL("address",'Raw Data'!B170),"\$([A-Z]+)\$[0-9]+"))</f>
        <v/>
      </c>
      <c r="C170" s="7" t="str" cm="1">
        <f t="array" aca="1" ref="C170" ca="1">IFERROR(IF(OR('Raw Data'!C170="",LEN(TRIM('Raw Data'!C170))=0),"",IF(AND(LEN('Raw Data'!C170) &lt;= 255,LEN('Raw Data'!C170)&gt; 0),"",_xlfn.REGEXEXTRACT(CELL("address",'Raw Data'!C170),"\$([A-Z]+)\$[0-9]+"))),_xlfn.REGEXEXTRACT(CELL("address",'Raw Data'!C170),"\$([A-Z]+)\$[0-9]+"))</f>
        <v/>
      </c>
      <c r="D170" s="7" t="str" cm="1">
        <f t="array" aca="1" ref="D170" ca="1">IFERROR(IF(OR('Raw Data'!D170="",LEN(TRIM('Raw Data'!D170))=0),"",IF(AND(ISNUMBER('Raw Data'!D170), IFERROR('Raw Data'!D170 = ROUND('Raw Data'!D170, 2),FALSE)),"",_xlfn.REGEXEXTRACT(CELL("address",D170), "\$([A-Z]+)\$[0-9]+"))),_xlfn.REGEXEXTRACT(CELL("address",D170), "\$([A-Z]+)\$[0-9]+"))</f>
        <v/>
      </c>
      <c r="E170" s="7" t="str" cm="1">
        <f t="array" aca="1" ref="E170" ca="1">IFERROR(IF(OR('Raw Data'!E170="",LEN(TRIM('Raw Data'!E170))=0),"",IF(AND(ISNUMBER('Raw Data'!E170), IFERROR('Raw Data'!E170 = ROUND('Raw Data'!E170, 2),FALSE)),"",_xlfn.REGEXEXTRACT(CELL("address",E170), "\$([A-Z]+)\$[0-9]+"))),_xlfn.REGEXEXTRACT(CELL("address",E170), "\$([A-Z]+)\$[0-9]+"))</f>
        <v/>
      </c>
      <c r="F170" s="7" t="str" cm="1">
        <f t="array" aca="1" ref="F170" ca="1">IFERROR(IF(OR('Raw Data'!F170="",LEN(TRIM('Raw Data'!F170))=0),"",IF(AND(ISNUMBER('Raw Data'!F170), IFERROR('Raw Data'!F170 = ROUND('Raw Data'!F170, 2),FALSE)),"",_xlfn.REGEXEXTRACT(CELL("address",F170), "\$([A-Z]+)\$[0-9]+"))),_xlfn.REGEXEXTRACT(CELL("address",F170), "\$([A-Z]+)\$[0-9]+"))</f>
        <v/>
      </c>
      <c r="G170" s="7" t="str" cm="1">
        <f t="array" aca="1" ref="G170" ca="1">IFERROR(IF(OR('Raw Data'!G170="",LEN(TRIM('Raw Data'!G170))=0),"",IF(LEN('Raw Data'!G170)&gt; 0,"",_xlfn.REGEXEXTRACT(CELL("address",'Raw Data'!G170),"\$([A-Z]+)\$[0-9]+"))),_xlfn.REGEXEXTRACT(CELL("address",'Raw Data'!G170),"\$([A-Z]+)\$[0-9]+"))</f>
        <v/>
      </c>
    </row>
    <row r="171" spans="2:7" x14ac:dyDescent="0.25">
      <c r="B171" s="7" t="str" cm="1">
        <f t="array" aca="1" ref="B171" ca="1">IFERROR(IF(OR('Raw Data'!B171="",LEN(TRIM('Raw Data'!B171))=0),"",IF(AND(LEN('Raw Data'!B171) &lt;= 20,LEN('Raw Data'!B171)&gt; 0),"",_xlfn.REGEXEXTRACT(CELL("address",'Raw Data'!B171),"\$([A-Z]+)\$[0-9]+"))),_xlfn.REGEXEXTRACT(CELL("address",'Raw Data'!B171),"\$([A-Z]+)\$[0-9]+"))</f>
        <v/>
      </c>
      <c r="C171" s="7" t="str" cm="1">
        <f t="array" aca="1" ref="C171" ca="1">IFERROR(IF(OR('Raw Data'!C171="",LEN(TRIM('Raw Data'!C171))=0),"",IF(AND(LEN('Raw Data'!C171) &lt;= 255,LEN('Raw Data'!C171)&gt; 0),"",_xlfn.REGEXEXTRACT(CELL("address",'Raw Data'!C171),"\$([A-Z]+)\$[0-9]+"))),_xlfn.REGEXEXTRACT(CELL("address",'Raw Data'!C171),"\$([A-Z]+)\$[0-9]+"))</f>
        <v/>
      </c>
      <c r="D171" s="7" t="str" cm="1">
        <f t="array" aca="1" ref="D171" ca="1">IFERROR(IF(OR('Raw Data'!D171="",LEN(TRIM('Raw Data'!D171))=0),"",IF(AND(ISNUMBER('Raw Data'!D171), IFERROR('Raw Data'!D171 = ROUND('Raw Data'!D171, 2),FALSE)),"",_xlfn.REGEXEXTRACT(CELL("address",D171), "\$([A-Z]+)\$[0-9]+"))),_xlfn.REGEXEXTRACT(CELL("address",D171), "\$([A-Z]+)\$[0-9]+"))</f>
        <v/>
      </c>
      <c r="E171" s="7" t="str" cm="1">
        <f t="array" aca="1" ref="E171" ca="1">IFERROR(IF(OR('Raw Data'!E171="",LEN(TRIM('Raw Data'!E171))=0),"",IF(AND(ISNUMBER('Raw Data'!E171), IFERROR('Raw Data'!E171 = ROUND('Raw Data'!E171, 2),FALSE)),"",_xlfn.REGEXEXTRACT(CELL("address",E171), "\$([A-Z]+)\$[0-9]+"))),_xlfn.REGEXEXTRACT(CELL("address",E171), "\$([A-Z]+)\$[0-9]+"))</f>
        <v/>
      </c>
      <c r="F171" s="7" t="str" cm="1">
        <f t="array" aca="1" ref="F171" ca="1">IFERROR(IF(OR('Raw Data'!F171="",LEN(TRIM('Raw Data'!F171))=0),"",IF(AND(ISNUMBER('Raw Data'!F171), IFERROR('Raw Data'!F171 = ROUND('Raw Data'!F171, 2),FALSE)),"",_xlfn.REGEXEXTRACT(CELL("address",F171), "\$([A-Z]+)\$[0-9]+"))),_xlfn.REGEXEXTRACT(CELL("address",F171), "\$([A-Z]+)\$[0-9]+"))</f>
        <v/>
      </c>
      <c r="G171" s="7" t="str" cm="1">
        <f t="array" aca="1" ref="G171" ca="1">IFERROR(IF(OR('Raw Data'!G171="",LEN(TRIM('Raw Data'!G171))=0),"",IF(LEN('Raw Data'!G171)&gt; 0,"",_xlfn.REGEXEXTRACT(CELL("address",'Raw Data'!G171),"\$([A-Z]+)\$[0-9]+"))),_xlfn.REGEXEXTRACT(CELL("address",'Raw Data'!G171),"\$([A-Z]+)\$[0-9]+"))</f>
        <v/>
      </c>
    </row>
    <row r="172" spans="2:7" x14ac:dyDescent="0.25">
      <c r="B172" s="7" t="str" cm="1">
        <f t="array" aca="1" ref="B172" ca="1">IFERROR(IF(OR('Raw Data'!B172="",LEN(TRIM('Raw Data'!B172))=0),"",IF(AND(LEN('Raw Data'!B172) &lt;= 20,LEN('Raw Data'!B172)&gt; 0),"",_xlfn.REGEXEXTRACT(CELL("address",'Raw Data'!B172),"\$([A-Z]+)\$[0-9]+"))),_xlfn.REGEXEXTRACT(CELL("address",'Raw Data'!B172),"\$([A-Z]+)\$[0-9]+"))</f>
        <v/>
      </c>
      <c r="C172" s="7" t="str" cm="1">
        <f t="array" aca="1" ref="C172" ca="1">IFERROR(IF(OR('Raw Data'!C172="",LEN(TRIM('Raw Data'!C172))=0),"",IF(AND(LEN('Raw Data'!C172) &lt;= 255,LEN('Raw Data'!C172)&gt; 0),"",_xlfn.REGEXEXTRACT(CELL("address",'Raw Data'!C172),"\$([A-Z]+)\$[0-9]+"))),_xlfn.REGEXEXTRACT(CELL("address",'Raw Data'!C172),"\$([A-Z]+)\$[0-9]+"))</f>
        <v/>
      </c>
      <c r="D172" s="7" t="str" cm="1">
        <f t="array" aca="1" ref="D172" ca="1">IFERROR(IF(OR('Raw Data'!D172="",LEN(TRIM('Raw Data'!D172))=0),"",IF(AND(ISNUMBER('Raw Data'!D172), IFERROR('Raw Data'!D172 = ROUND('Raw Data'!D172, 2),FALSE)),"",_xlfn.REGEXEXTRACT(CELL("address",D172), "\$([A-Z]+)\$[0-9]+"))),_xlfn.REGEXEXTRACT(CELL("address",D172), "\$([A-Z]+)\$[0-9]+"))</f>
        <v/>
      </c>
      <c r="E172" s="7" t="str" cm="1">
        <f t="array" aca="1" ref="E172" ca="1">IFERROR(IF(OR('Raw Data'!E172="",LEN(TRIM('Raw Data'!E172))=0),"",IF(AND(ISNUMBER('Raw Data'!E172), IFERROR('Raw Data'!E172 = ROUND('Raw Data'!E172, 2),FALSE)),"",_xlfn.REGEXEXTRACT(CELL("address",E172), "\$([A-Z]+)\$[0-9]+"))),_xlfn.REGEXEXTRACT(CELL("address",E172), "\$([A-Z]+)\$[0-9]+"))</f>
        <v/>
      </c>
      <c r="F172" s="7" t="str" cm="1">
        <f t="array" aca="1" ref="F172" ca="1">IFERROR(IF(OR('Raw Data'!F172="",LEN(TRIM('Raw Data'!F172))=0),"",IF(AND(ISNUMBER('Raw Data'!F172), IFERROR('Raw Data'!F172 = ROUND('Raw Data'!F172, 2),FALSE)),"",_xlfn.REGEXEXTRACT(CELL("address",F172), "\$([A-Z]+)\$[0-9]+"))),_xlfn.REGEXEXTRACT(CELL("address",F172), "\$([A-Z]+)\$[0-9]+"))</f>
        <v/>
      </c>
      <c r="G172" s="7" t="str" cm="1">
        <f t="array" aca="1" ref="G172" ca="1">IFERROR(IF(OR('Raw Data'!G172="",LEN(TRIM('Raw Data'!G172))=0),"",IF(LEN('Raw Data'!G172)&gt; 0,"",_xlfn.REGEXEXTRACT(CELL("address",'Raw Data'!G172),"\$([A-Z]+)\$[0-9]+"))),_xlfn.REGEXEXTRACT(CELL("address",'Raw Data'!G172),"\$([A-Z]+)\$[0-9]+"))</f>
        <v/>
      </c>
    </row>
    <row r="173" spans="2:7" x14ac:dyDescent="0.25">
      <c r="B173" s="7" t="str" cm="1">
        <f t="array" aca="1" ref="B173" ca="1">IFERROR(IF(OR('Raw Data'!B173="",LEN(TRIM('Raw Data'!B173))=0),"",IF(AND(LEN('Raw Data'!B173) &lt;= 20,LEN('Raw Data'!B173)&gt; 0),"",_xlfn.REGEXEXTRACT(CELL("address",'Raw Data'!B173),"\$([A-Z]+)\$[0-9]+"))),_xlfn.REGEXEXTRACT(CELL("address",'Raw Data'!B173),"\$([A-Z]+)\$[0-9]+"))</f>
        <v/>
      </c>
      <c r="C173" s="7" t="str" cm="1">
        <f t="array" aca="1" ref="C173" ca="1">IFERROR(IF(OR('Raw Data'!C173="",LEN(TRIM('Raw Data'!C173))=0),"",IF(AND(LEN('Raw Data'!C173) &lt;= 255,LEN('Raw Data'!C173)&gt; 0),"",_xlfn.REGEXEXTRACT(CELL("address",'Raw Data'!C173),"\$([A-Z]+)\$[0-9]+"))),_xlfn.REGEXEXTRACT(CELL("address",'Raw Data'!C173),"\$([A-Z]+)\$[0-9]+"))</f>
        <v/>
      </c>
      <c r="D173" s="7" t="str" cm="1">
        <f t="array" aca="1" ref="D173" ca="1">IFERROR(IF(OR('Raw Data'!D173="",LEN(TRIM('Raw Data'!D173))=0),"",IF(AND(ISNUMBER('Raw Data'!D173), IFERROR('Raw Data'!D173 = ROUND('Raw Data'!D173, 2),FALSE)),"",_xlfn.REGEXEXTRACT(CELL("address",D173), "\$([A-Z]+)\$[0-9]+"))),_xlfn.REGEXEXTRACT(CELL("address",D173), "\$([A-Z]+)\$[0-9]+"))</f>
        <v/>
      </c>
      <c r="E173" s="7" t="str" cm="1">
        <f t="array" aca="1" ref="E173" ca="1">IFERROR(IF(OR('Raw Data'!E173="",LEN(TRIM('Raw Data'!E173))=0),"",IF(AND(ISNUMBER('Raw Data'!E173), IFERROR('Raw Data'!E173 = ROUND('Raw Data'!E173, 2),FALSE)),"",_xlfn.REGEXEXTRACT(CELL("address",E173), "\$([A-Z]+)\$[0-9]+"))),_xlfn.REGEXEXTRACT(CELL("address",E173), "\$([A-Z]+)\$[0-9]+"))</f>
        <v/>
      </c>
      <c r="F173" s="7" t="str" cm="1">
        <f t="array" aca="1" ref="F173" ca="1">IFERROR(IF(OR('Raw Data'!F173="",LEN(TRIM('Raw Data'!F173))=0),"",IF(AND(ISNUMBER('Raw Data'!F173), IFERROR('Raw Data'!F173 = ROUND('Raw Data'!F173, 2),FALSE)),"",_xlfn.REGEXEXTRACT(CELL("address",F173), "\$([A-Z]+)\$[0-9]+"))),_xlfn.REGEXEXTRACT(CELL("address",F173), "\$([A-Z]+)\$[0-9]+"))</f>
        <v/>
      </c>
      <c r="G173" s="7" t="str" cm="1">
        <f t="array" aca="1" ref="G173" ca="1">IFERROR(IF(OR('Raw Data'!G173="",LEN(TRIM('Raw Data'!G173))=0),"",IF(LEN('Raw Data'!G173)&gt; 0,"",_xlfn.REGEXEXTRACT(CELL("address",'Raw Data'!G173),"\$([A-Z]+)\$[0-9]+"))),_xlfn.REGEXEXTRACT(CELL("address",'Raw Data'!G173),"\$([A-Z]+)\$[0-9]+"))</f>
        <v/>
      </c>
    </row>
    <row r="174" spans="2:7" x14ac:dyDescent="0.25">
      <c r="B174" s="7" t="str" cm="1">
        <f t="array" aca="1" ref="B174" ca="1">IFERROR(IF(OR('Raw Data'!B174="",LEN(TRIM('Raw Data'!B174))=0),"",IF(AND(LEN('Raw Data'!B174) &lt;= 20,LEN('Raw Data'!B174)&gt; 0),"",_xlfn.REGEXEXTRACT(CELL("address",'Raw Data'!B174),"\$([A-Z]+)\$[0-9]+"))),_xlfn.REGEXEXTRACT(CELL("address",'Raw Data'!B174),"\$([A-Z]+)\$[0-9]+"))</f>
        <v/>
      </c>
      <c r="C174" s="7" t="str" cm="1">
        <f t="array" aca="1" ref="C174" ca="1">IFERROR(IF(OR('Raw Data'!C174="",LEN(TRIM('Raw Data'!C174))=0),"",IF(AND(LEN('Raw Data'!C174) &lt;= 255,LEN('Raw Data'!C174)&gt; 0),"",_xlfn.REGEXEXTRACT(CELL("address",'Raw Data'!C174),"\$([A-Z]+)\$[0-9]+"))),_xlfn.REGEXEXTRACT(CELL("address",'Raw Data'!C174),"\$([A-Z]+)\$[0-9]+"))</f>
        <v/>
      </c>
      <c r="D174" s="7" t="str" cm="1">
        <f t="array" aca="1" ref="D174" ca="1">IFERROR(IF(OR('Raw Data'!D174="",LEN(TRIM('Raw Data'!D174))=0),"",IF(AND(ISNUMBER('Raw Data'!D174), IFERROR('Raw Data'!D174 = ROUND('Raw Data'!D174, 2),FALSE)),"",_xlfn.REGEXEXTRACT(CELL("address",D174), "\$([A-Z]+)\$[0-9]+"))),_xlfn.REGEXEXTRACT(CELL("address",D174), "\$([A-Z]+)\$[0-9]+"))</f>
        <v/>
      </c>
      <c r="E174" s="7" t="str" cm="1">
        <f t="array" aca="1" ref="E174" ca="1">IFERROR(IF(OR('Raw Data'!E174="",LEN(TRIM('Raw Data'!E174))=0),"",IF(AND(ISNUMBER('Raw Data'!E174), IFERROR('Raw Data'!E174 = ROUND('Raw Data'!E174, 2),FALSE)),"",_xlfn.REGEXEXTRACT(CELL("address",E174), "\$([A-Z]+)\$[0-9]+"))),_xlfn.REGEXEXTRACT(CELL("address",E174), "\$([A-Z]+)\$[0-9]+"))</f>
        <v/>
      </c>
      <c r="F174" s="7" t="str" cm="1">
        <f t="array" aca="1" ref="F174" ca="1">IFERROR(IF(OR('Raw Data'!F174="",LEN(TRIM('Raw Data'!F174))=0),"",IF(AND(ISNUMBER('Raw Data'!F174), IFERROR('Raw Data'!F174 = ROUND('Raw Data'!F174, 2),FALSE)),"",_xlfn.REGEXEXTRACT(CELL("address",F174), "\$([A-Z]+)\$[0-9]+"))),_xlfn.REGEXEXTRACT(CELL("address",F174), "\$([A-Z]+)\$[0-9]+"))</f>
        <v/>
      </c>
      <c r="G174" s="7" t="str" cm="1">
        <f t="array" aca="1" ref="G174" ca="1">IFERROR(IF(OR('Raw Data'!G174="",LEN(TRIM('Raw Data'!G174))=0),"",IF(LEN('Raw Data'!G174)&gt; 0,"",_xlfn.REGEXEXTRACT(CELL("address",'Raw Data'!G174),"\$([A-Z]+)\$[0-9]+"))),_xlfn.REGEXEXTRACT(CELL("address",'Raw Data'!G174),"\$([A-Z]+)\$[0-9]+"))</f>
        <v/>
      </c>
    </row>
    <row r="175" spans="2:7" x14ac:dyDescent="0.25">
      <c r="B175" s="7" t="str" cm="1">
        <f t="array" aca="1" ref="B175" ca="1">IFERROR(IF(OR('Raw Data'!B175="",LEN(TRIM('Raw Data'!B175))=0),"",IF(AND(LEN('Raw Data'!B175) &lt;= 20,LEN('Raw Data'!B175)&gt; 0),"",_xlfn.REGEXEXTRACT(CELL("address",'Raw Data'!B175),"\$([A-Z]+)\$[0-9]+"))),_xlfn.REGEXEXTRACT(CELL("address",'Raw Data'!B175),"\$([A-Z]+)\$[0-9]+"))</f>
        <v/>
      </c>
      <c r="C175" s="7" t="str" cm="1">
        <f t="array" aca="1" ref="C175" ca="1">IFERROR(IF(OR('Raw Data'!C175="",LEN(TRIM('Raw Data'!C175))=0),"",IF(AND(LEN('Raw Data'!C175) &lt;= 255,LEN('Raw Data'!C175)&gt; 0),"",_xlfn.REGEXEXTRACT(CELL("address",'Raw Data'!C175),"\$([A-Z]+)\$[0-9]+"))),_xlfn.REGEXEXTRACT(CELL("address",'Raw Data'!C175),"\$([A-Z]+)\$[0-9]+"))</f>
        <v/>
      </c>
      <c r="D175" s="7" t="str" cm="1">
        <f t="array" aca="1" ref="D175" ca="1">IFERROR(IF(OR('Raw Data'!D175="",LEN(TRIM('Raw Data'!D175))=0),"",IF(AND(ISNUMBER('Raw Data'!D175), IFERROR('Raw Data'!D175 = ROUND('Raw Data'!D175, 2),FALSE)),"",_xlfn.REGEXEXTRACT(CELL("address",D175), "\$([A-Z]+)\$[0-9]+"))),_xlfn.REGEXEXTRACT(CELL("address",D175), "\$([A-Z]+)\$[0-9]+"))</f>
        <v/>
      </c>
      <c r="E175" s="7" t="str" cm="1">
        <f t="array" aca="1" ref="E175" ca="1">IFERROR(IF(OR('Raw Data'!E175="",LEN(TRIM('Raw Data'!E175))=0),"",IF(AND(ISNUMBER('Raw Data'!E175), IFERROR('Raw Data'!E175 = ROUND('Raw Data'!E175, 2),FALSE)),"",_xlfn.REGEXEXTRACT(CELL("address",E175), "\$([A-Z]+)\$[0-9]+"))),_xlfn.REGEXEXTRACT(CELL("address",E175), "\$([A-Z]+)\$[0-9]+"))</f>
        <v/>
      </c>
      <c r="F175" s="7" t="str" cm="1">
        <f t="array" aca="1" ref="F175" ca="1">IFERROR(IF(OR('Raw Data'!F175="",LEN(TRIM('Raw Data'!F175))=0),"",IF(AND(ISNUMBER('Raw Data'!F175), IFERROR('Raw Data'!F175 = ROUND('Raw Data'!F175, 2),FALSE)),"",_xlfn.REGEXEXTRACT(CELL("address",F175), "\$([A-Z]+)\$[0-9]+"))),_xlfn.REGEXEXTRACT(CELL("address",F175), "\$([A-Z]+)\$[0-9]+"))</f>
        <v/>
      </c>
      <c r="G175" s="7" t="str" cm="1">
        <f t="array" aca="1" ref="G175" ca="1">IFERROR(IF(OR('Raw Data'!G175="",LEN(TRIM('Raw Data'!G175))=0),"",IF(LEN('Raw Data'!G175)&gt; 0,"",_xlfn.REGEXEXTRACT(CELL("address",'Raw Data'!G175),"\$([A-Z]+)\$[0-9]+"))),_xlfn.REGEXEXTRACT(CELL("address",'Raw Data'!G175),"\$([A-Z]+)\$[0-9]+"))</f>
        <v/>
      </c>
    </row>
    <row r="176" spans="2:7" x14ac:dyDescent="0.25">
      <c r="B176" s="7" t="str" cm="1">
        <f t="array" aca="1" ref="B176" ca="1">IFERROR(IF(OR('Raw Data'!B176="",LEN(TRIM('Raw Data'!B176))=0),"",IF(AND(LEN('Raw Data'!B176) &lt;= 20,LEN('Raw Data'!B176)&gt; 0),"",_xlfn.REGEXEXTRACT(CELL("address",'Raw Data'!B176),"\$([A-Z]+)\$[0-9]+"))),_xlfn.REGEXEXTRACT(CELL("address",'Raw Data'!B176),"\$([A-Z]+)\$[0-9]+"))</f>
        <v/>
      </c>
      <c r="C176" s="7" t="str" cm="1">
        <f t="array" aca="1" ref="C176" ca="1">IFERROR(IF(OR('Raw Data'!C176="",LEN(TRIM('Raw Data'!C176))=0),"",IF(AND(LEN('Raw Data'!C176) &lt;= 255,LEN('Raw Data'!C176)&gt; 0),"",_xlfn.REGEXEXTRACT(CELL("address",'Raw Data'!C176),"\$([A-Z]+)\$[0-9]+"))),_xlfn.REGEXEXTRACT(CELL("address",'Raw Data'!C176),"\$([A-Z]+)\$[0-9]+"))</f>
        <v/>
      </c>
      <c r="D176" s="7" t="str" cm="1">
        <f t="array" aca="1" ref="D176" ca="1">IFERROR(IF(OR('Raw Data'!D176="",LEN(TRIM('Raw Data'!D176))=0),"",IF(AND(ISNUMBER('Raw Data'!D176), IFERROR('Raw Data'!D176 = ROUND('Raw Data'!D176, 2),FALSE)),"",_xlfn.REGEXEXTRACT(CELL("address",D176), "\$([A-Z]+)\$[0-9]+"))),_xlfn.REGEXEXTRACT(CELL("address",D176), "\$([A-Z]+)\$[0-9]+"))</f>
        <v/>
      </c>
      <c r="E176" s="7" t="str" cm="1">
        <f t="array" aca="1" ref="E176" ca="1">IFERROR(IF(OR('Raw Data'!E176="",LEN(TRIM('Raw Data'!E176))=0),"",IF(AND(ISNUMBER('Raw Data'!E176), IFERROR('Raw Data'!E176 = ROUND('Raw Data'!E176, 2),FALSE)),"",_xlfn.REGEXEXTRACT(CELL("address",E176), "\$([A-Z]+)\$[0-9]+"))),_xlfn.REGEXEXTRACT(CELL("address",E176), "\$([A-Z]+)\$[0-9]+"))</f>
        <v/>
      </c>
      <c r="F176" s="7" t="str" cm="1">
        <f t="array" aca="1" ref="F176" ca="1">IFERROR(IF(OR('Raw Data'!F176="",LEN(TRIM('Raw Data'!F176))=0),"",IF(AND(ISNUMBER('Raw Data'!F176), IFERROR('Raw Data'!F176 = ROUND('Raw Data'!F176, 2),FALSE)),"",_xlfn.REGEXEXTRACT(CELL("address",F176), "\$([A-Z]+)\$[0-9]+"))),_xlfn.REGEXEXTRACT(CELL("address",F176), "\$([A-Z]+)\$[0-9]+"))</f>
        <v/>
      </c>
      <c r="G176" s="7" t="str" cm="1">
        <f t="array" aca="1" ref="G176" ca="1">IFERROR(IF(OR('Raw Data'!G176="",LEN(TRIM('Raw Data'!G176))=0),"",IF(LEN('Raw Data'!G176)&gt; 0,"",_xlfn.REGEXEXTRACT(CELL("address",'Raw Data'!G176),"\$([A-Z]+)\$[0-9]+"))),_xlfn.REGEXEXTRACT(CELL("address",'Raw Data'!G176),"\$([A-Z]+)\$[0-9]+"))</f>
        <v/>
      </c>
    </row>
    <row r="177" spans="2:7" x14ac:dyDescent="0.25">
      <c r="B177" s="7" t="str" cm="1">
        <f t="array" aca="1" ref="B177" ca="1">IFERROR(IF(OR('Raw Data'!B177="",LEN(TRIM('Raw Data'!B177))=0),"",IF(AND(LEN('Raw Data'!B177) &lt;= 20,LEN('Raw Data'!B177)&gt; 0),"",_xlfn.REGEXEXTRACT(CELL("address",'Raw Data'!B177),"\$([A-Z]+)\$[0-9]+"))),_xlfn.REGEXEXTRACT(CELL("address",'Raw Data'!B177),"\$([A-Z]+)\$[0-9]+"))</f>
        <v/>
      </c>
      <c r="C177" s="7" t="str" cm="1">
        <f t="array" aca="1" ref="C177" ca="1">IFERROR(IF(OR('Raw Data'!C177="",LEN(TRIM('Raw Data'!C177))=0),"",IF(AND(LEN('Raw Data'!C177) &lt;= 255,LEN('Raw Data'!C177)&gt; 0),"",_xlfn.REGEXEXTRACT(CELL("address",'Raw Data'!C177),"\$([A-Z]+)\$[0-9]+"))),_xlfn.REGEXEXTRACT(CELL("address",'Raw Data'!C177),"\$([A-Z]+)\$[0-9]+"))</f>
        <v/>
      </c>
      <c r="D177" s="7" t="str" cm="1">
        <f t="array" aca="1" ref="D177" ca="1">IFERROR(IF(OR('Raw Data'!D177="",LEN(TRIM('Raw Data'!D177))=0),"",IF(AND(ISNUMBER('Raw Data'!D177), IFERROR('Raw Data'!D177 = ROUND('Raw Data'!D177, 2),FALSE)),"",_xlfn.REGEXEXTRACT(CELL("address",D177), "\$([A-Z]+)\$[0-9]+"))),_xlfn.REGEXEXTRACT(CELL("address",D177), "\$([A-Z]+)\$[0-9]+"))</f>
        <v/>
      </c>
      <c r="E177" s="7" t="str" cm="1">
        <f t="array" aca="1" ref="E177" ca="1">IFERROR(IF(OR('Raw Data'!E177="",LEN(TRIM('Raw Data'!E177))=0),"",IF(AND(ISNUMBER('Raw Data'!E177), IFERROR('Raw Data'!E177 = ROUND('Raw Data'!E177, 2),FALSE)),"",_xlfn.REGEXEXTRACT(CELL("address",E177), "\$([A-Z]+)\$[0-9]+"))),_xlfn.REGEXEXTRACT(CELL("address",E177), "\$([A-Z]+)\$[0-9]+"))</f>
        <v/>
      </c>
      <c r="F177" s="7" t="str" cm="1">
        <f t="array" aca="1" ref="F177" ca="1">IFERROR(IF(OR('Raw Data'!F177="",LEN(TRIM('Raw Data'!F177))=0),"",IF(AND(ISNUMBER('Raw Data'!F177), IFERROR('Raw Data'!F177 = ROUND('Raw Data'!F177, 2),FALSE)),"",_xlfn.REGEXEXTRACT(CELL("address",F177), "\$([A-Z]+)\$[0-9]+"))),_xlfn.REGEXEXTRACT(CELL("address",F177), "\$([A-Z]+)\$[0-9]+"))</f>
        <v/>
      </c>
      <c r="G177" s="7" t="str" cm="1">
        <f t="array" aca="1" ref="G177" ca="1">IFERROR(IF(OR('Raw Data'!G177="",LEN(TRIM('Raw Data'!G177))=0),"",IF(LEN('Raw Data'!G177)&gt; 0,"",_xlfn.REGEXEXTRACT(CELL("address",'Raw Data'!G177),"\$([A-Z]+)\$[0-9]+"))),_xlfn.REGEXEXTRACT(CELL("address",'Raw Data'!G177),"\$([A-Z]+)\$[0-9]+"))</f>
        <v/>
      </c>
    </row>
    <row r="178" spans="2:7" x14ac:dyDescent="0.25">
      <c r="B178" s="7" t="str" cm="1">
        <f t="array" aca="1" ref="B178" ca="1">IFERROR(IF(OR('Raw Data'!B178="",LEN(TRIM('Raw Data'!B178))=0),"",IF(AND(LEN('Raw Data'!B178) &lt;= 20,LEN('Raw Data'!B178)&gt; 0),"",_xlfn.REGEXEXTRACT(CELL("address",'Raw Data'!B178),"\$([A-Z]+)\$[0-9]+"))),_xlfn.REGEXEXTRACT(CELL("address",'Raw Data'!B178),"\$([A-Z]+)\$[0-9]+"))</f>
        <v/>
      </c>
      <c r="C178" s="7" t="str" cm="1">
        <f t="array" aca="1" ref="C178" ca="1">IFERROR(IF(OR('Raw Data'!C178="",LEN(TRIM('Raw Data'!C178))=0),"",IF(AND(LEN('Raw Data'!C178) &lt;= 255,LEN('Raw Data'!C178)&gt; 0),"",_xlfn.REGEXEXTRACT(CELL("address",'Raw Data'!C178),"\$([A-Z]+)\$[0-9]+"))),_xlfn.REGEXEXTRACT(CELL("address",'Raw Data'!C178),"\$([A-Z]+)\$[0-9]+"))</f>
        <v/>
      </c>
      <c r="D178" s="7" t="str" cm="1">
        <f t="array" aca="1" ref="D178" ca="1">IFERROR(IF(OR('Raw Data'!D178="",LEN(TRIM('Raw Data'!D178))=0),"",IF(AND(ISNUMBER('Raw Data'!D178), IFERROR('Raw Data'!D178 = ROUND('Raw Data'!D178, 2),FALSE)),"",_xlfn.REGEXEXTRACT(CELL("address",D178), "\$([A-Z]+)\$[0-9]+"))),_xlfn.REGEXEXTRACT(CELL("address",D178), "\$([A-Z]+)\$[0-9]+"))</f>
        <v/>
      </c>
      <c r="E178" s="7" t="str" cm="1">
        <f t="array" aca="1" ref="E178" ca="1">IFERROR(IF(OR('Raw Data'!E178="",LEN(TRIM('Raw Data'!E178))=0),"",IF(AND(ISNUMBER('Raw Data'!E178), IFERROR('Raw Data'!E178 = ROUND('Raw Data'!E178, 2),FALSE)),"",_xlfn.REGEXEXTRACT(CELL("address",E178), "\$([A-Z]+)\$[0-9]+"))),_xlfn.REGEXEXTRACT(CELL("address",E178), "\$([A-Z]+)\$[0-9]+"))</f>
        <v/>
      </c>
      <c r="F178" s="7" t="str" cm="1">
        <f t="array" aca="1" ref="F178" ca="1">IFERROR(IF(OR('Raw Data'!F178="",LEN(TRIM('Raw Data'!F178))=0),"",IF(AND(ISNUMBER('Raw Data'!F178), IFERROR('Raw Data'!F178 = ROUND('Raw Data'!F178, 2),FALSE)),"",_xlfn.REGEXEXTRACT(CELL("address",F178), "\$([A-Z]+)\$[0-9]+"))),_xlfn.REGEXEXTRACT(CELL("address",F178), "\$([A-Z]+)\$[0-9]+"))</f>
        <v/>
      </c>
      <c r="G178" s="7" t="str" cm="1">
        <f t="array" aca="1" ref="G178" ca="1">IFERROR(IF(OR('Raw Data'!G178="",LEN(TRIM('Raw Data'!G178))=0),"",IF(LEN('Raw Data'!G178)&gt; 0,"",_xlfn.REGEXEXTRACT(CELL("address",'Raw Data'!G178),"\$([A-Z]+)\$[0-9]+"))),_xlfn.REGEXEXTRACT(CELL("address",'Raw Data'!G178),"\$([A-Z]+)\$[0-9]+"))</f>
        <v/>
      </c>
    </row>
    <row r="179" spans="2:7" x14ac:dyDescent="0.25">
      <c r="B179" s="7" t="str" cm="1">
        <f t="array" aca="1" ref="B179" ca="1">IFERROR(IF(OR('Raw Data'!B179="",LEN(TRIM('Raw Data'!B179))=0),"",IF(AND(LEN('Raw Data'!B179) &lt;= 20,LEN('Raw Data'!B179)&gt; 0),"",_xlfn.REGEXEXTRACT(CELL("address",'Raw Data'!B179),"\$([A-Z]+)\$[0-9]+"))),_xlfn.REGEXEXTRACT(CELL("address",'Raw Data'!B179),"\$([A-Z]+)\$[0-9]+"))</f>
        <v/>
      </c>
      <c r="C179" s="7" t="str" cm="1">
        <f t="array" aca="1" ref="C179" ca="1">IFERROR(IF(OR('Raw Data'!C179="",LEN(TRIM('Raw Data'!C179))=0),"",IF(AND(LEN('Raw Data'!C179) &lt;= 255,LEN('Raw Data'!C179)&gt; 0),"",_xlfn.REGEXEXTRACT(CELL("address",'Raw Data'!C179),"\$([A-Z]+)\$[0-9]+"))),_xlfn.REGEXEXTRACT(CELL("address",'Raw Data'!C179),"\$([A-Z]+)\$[0-9]+"))</f>
        <v/>
      </c>
      <c r="D179" s="7" t="str" cm="1">
        <f t="array" aca="1" ref="D179" ca="1">IFERROR(IF(OR('Raw Data'!D179="",LEN(TRIM('Raw Data'!D179))=0),"",IF(AND(ISNUMBER('Raw Data'!D179), IFERROR('Raw Data'!D179 = ROUND('Raw Data'!D179, 2),FALSE)),"",_xlfn.REGEXEXTRACT(CELL("address",D179), "\$([A-Z]+)\$[0-9]+"))),_xlfn.REGEXEXTRACT(CELL("address",D179), "\$([A-Z]+)\$[0-9]+"))</f>
        <v/>
      </c>
      <c r="E179" s="7" t="str" cm="1">
        <f t="array" aca="1" ref="E179" ca="1">IFERROR(IF(OR('Raw Data'!E179="",LEN(TRIM('Raw Data'!E179))=0),"",IF(AND(ISNUMBER('Raw Data'!E179), IFERROR('Raw Data'!E179 = ROUND('Raw Data'!E179, 2),FALSE)),"",_xlfn.REGEXEXTRACT(CELL("address",E179), "\$([A-Z]+)\$[0-9]+"))),_xlfn.REGEXEXTRACT(CELL("address",E179), "\$([A-Z]+)\$[0-9]+"))</f>
        <v/>
      </c>
      <c r="F179" s="7" t="str" cm="1">
        <f t="array" aca="1" ref="F179" ca="1">IFERROR(IF(OR('Raw Data'!F179="",LEN(TRIM('Raw Data'!F179))=0),"",IF(AND(ISNUMBER('Raw Data'!F179), IFERROR('Raw Data'!F179 = ROUND('Raw Data'!F179, 2),FALSE)),"",_xlfn.REGEXEXTRACT(CELL("address",F179), "\$([A-Z]+)\$[0-9]+"))),_xlfn.REGEXEXTRACT(CELL("address",F179), "\$([A-Z]+)\$[0-9]+"))</f>
        <v/>
      </c>
      <c r="G179" s="7" t="str" cm="1">
        <f t="array" aca="1" ref="G179" ca="1">IFERROR(IF(OR('Raw Data'!G179="",LEN(TRIM('Raw Data'!G179))=0),"",IF(LEN('Raw Data'!G179)&gt; 0,"",_xlfn.REGEXEXTRACT(CELL("address",'Raw Data'!G179),"\$([A-Z]+)\$[0-9]+"))),_xlfn.REGEXEXTRACT(CELL("address",'Raw Data'!G179),"\$([A-Z]+)\$[0-9]+"))</f>
        <v/>
      </c>
    </row>
    <row r="180" spans="2:7" x14ac:dyDescent="0.25">
      <c r="B180" s="7" t="str" cm="1">
        <f t="array" aca="1" ref="B180" ca="1">IFERROR(IF(OR('Raw Data'!B180="",LEN(TRIM('Raw Data'!B180))=0),"",IF(AND(LEN('Raw Data'!B180) &lt;= 20,LEN('Raw Data'!B180)&gt; 0),"",_xlfn.REGEXEXTRACT(CELL("address",'Raw Data'!B180),"\$([A-Z]+)\$[0-9]+"))),_xlfn.REGEXEXTRACT(CELL("address",'Raw Data'!B180),"\$([A-Z]+)\$[0-9]+"))</f>
        <v/>
      </c>
      <c r="C180" s="7" t="str" cm="1">
        <f t="array" aca="1" ref="C180" ca="1">IFERROR(IF(OR('Raw Data'!C180="",LEN(TRIM('Raw Data'!C180))=0),"",IF(AND(LEN('Raw Data'!C180) &lt;= 255,LEN('Raw Data'!C180)&gt; 0),"",_xlfn.REGEXEXTRACT(CELL("address",'Raw Data'!C180),"\$([A-Z]+)\$[0-9]+"))),_xlfn.REGEXEXTRACT(CELL("address",'Raw Data'!C180),"\$([A-Z]+)\$[0-9]+"))</f>
        <v/>
      </c>
      <c r="D180" s="7" t="str" cm="1">
        <f t="array" aca="1" ref="D180" ca="1">IFERROR(IF(OR('Raw Data'!D180="",LEN(TRIM('Raw Data'!D180))=0),"",IF(AND(ISNUMBER('Raw Data'!D180), IFERROR('Raw Data'!D180 = ROUND('Raw Data'!D180, 2),FALSE)),"",_xlfn.REGEXEXTRACT(CELL("address",D180), "\$([A-Z]+)\$[0-9]+"))),_xlfn.REGEXEXTRACT(CELL("address",D180), "\$([A-Z]+)\$[0-9]+"))</f>
        <v/>
      </c>
      <c r="E180" s="7" t="str" cm="1">
        <f t="array" aca="1" ref="E180" ca="1">IFERROR(IF(OR('Raw Data'!E180="",LEN(TRIM('Raw Data'!E180))=0),"",IF(AND(ISNUMBER('Raw Data'!E180), IFERROR('Raw Data'!E180 = ROUND('Raw Data'!E180, 2),FALSE)),"",_xlfn.REGEXEXTRACT(CELL("address",E180), "\$([A-Z]+)\$[0-9]+"))),_xlfn.REGEXEXTRACT(CELL("address",E180), "\$([A-Z]+)\$[0-9]+"))</f>
        <v/>
      </c>
      <c r="F180" s="7" t="str" cm="1">
        <f t="array" aca="1" ref="F180" ca="1">IFERROR(IF(OR('Raw Data'!F180="",LEN(TRIM('Raw Data'!F180))=0),"",IF(AND(ISNUMBER('Raw Data'!F180), IFERROR('Raw Data'!F180 = ROUND('Raw Data'!F180, 2),FALSE)),"",_xlfn.REGEXEXTRACT(CELL("address",F180), "\$([A-Z]+)\$[0-9]+"))),_xlfn.REGEXEXTRACT(CELL("address",F180), "\$([A-Z]+)\$[0-9]+"))</f>
        <v/>
      </c>
      <c r="G180" s="7" t="str" cm="1">
        <f t="array" aca="1" ref="G180" ca="1">IFERROR(IF(OR('Raw Data'!G180="",LEN(TRIM('Raw Data'!G180))=0),"",IF(LEN('Raw Data'!G180)&gt; 0,"",_xlfn.REGEXEXTRACT(CELL("address",'Raw Data'!G180),"\$([A-Z]+)\$[0-9]+"))),_xlfn.REGEXEXTRACT(CELL("address",'Raw Data'!G180),"\$([A-Z]+)\$[0-9]+"))</f>
        <v/>
      </c>
    </row>
    <row r="181" spans="2:7" x14ac:dyDescent="0.25">
      <c r="B181" s="7" t="str" cm="1">
        <f t="array" aca="1" ref="B181" ca="1">IFERROR(IF(OR('Raw Data'!B181="",LEN(TRIM('Raw Data'!B181))=0),"",IF(AND(LEN('Raw Data'!B181) &lt;= 20,LEN('Raw Data'!B181)&gt; 0),"",_xlfn.REGEXEXTRACT(CELL("address",'Raw Data'!B181),"\$([A-Z]+)\$[0-9]+"))),_xlfn.REGEXEXTRACT(CELL("address",'Raw Data'!B181),"\$([A-Z]+)\$[0-9]+"))</f>
        <v/>
      </c>
      <c r="C181" s="7" t="str" cm="1">
        <f t="array" aca="1" ref="C181" ca="1">IFERROR(IF(OR('Raw Data'!C181="",LEN(TRIM('Raw Data'!C181))=0),"",IF(AND(LEN('Raw Data'!C181) &lt;= 255,LEN('Raw Data'!C181)&gt; 0),"",_xlfn.REGEXEXTRACT(CELL("address",'Raw Data'!C181),"\$([A-Z]+)\$[0-9]+"))),_xlfn.REGEXEXTRACT(CELL("address",'Raw Data'!C181),"\$([A-Z]+)\$[0-9]+"))</f>
        <v/>
      </c>
      <c r="D181" s="7" t="str" cm="1">
        <f t="array" aca="1" ref="D181" ca="1">IFERROR(IF(OR('Raw Data'!D181="",LEN(TRIM('Raw Data'!D181))=0),"",IF(AND(ISNUMBER('Raw Data'!D181), IFERROR('Raw Data'!D181 = ROUND('Raw Data'!D181, 2),FALSE)),"",_xlfn.REGEXEXTRACT(CELL("address",D181), "\$([A-Z]+)\$[0-9]+"))),_xlfn.REGEXEXTRACT(CELL("address",D181), "\$([A-Z]+)\$[0-9]+"))</f>
        <v/>
      </c>
      <c r="E181" s="7" t="str" cm="1">
        <f t="array" aca="1" ref="E181" ca="1">IFERROR(IF(OR('Raw Data'!E181="",LEN(TRIM('Raw Data'!E181))=0),"",IF(AND(ISNUMBER('Raw Data'!E181), IFERROR('Raw Data'!E181 = ROUND('Raw Data'!E181, 2),FALSE)),"",_xlfn.REGEXEXTRACT(CELL("address",E181), "\$([A-Z]+)\$[0-9]+"))),_xlfn.REGEXEXTRACT(CELL("address",E181), "\$([A-Z]+)\$[0-9]+"))</f>
        <v/>
      </c>
      <c r="F181" s="7" t="str" cm="1">
        <f t="array" aca="1" ref="F181" ca="1">IFERROR(IF(OR('Raw Data'!F181="",LEN(TRIM('Raw Data'!F181))=0),"",IF(AND(ISNUMBER('Raw Data'!F181), IFERROR('Raw Data'!F181 = ROUND('Raw Data'!F181, 2),FALSE)),"",_xlfn.REGEXEXTRACT(CELL("address",F181), "\$([A-Z]+)\$[0-9]+"))),_xlfn.REGEXEXTRACT(CELL("address",F181), "\$([A-Z]+)\$[0-9]+"))</f>
        <v/>
      </c>
      <c r="G181" s="7" t="str" cm="1">
        <f t="array" aca="1" ref="G181" ca="1">IFERROR(IF(OR('Raw Data'!G181="",LEN(TRIM('Raw Data'!G181))=0),"",IF(LEN('Raw Data'!G181)&gt; 0,"",_xlfn.REGEXEXTRACT(CELL("address",'Raw Data'!G181),"\$([A-Z]+)\$[0-9]+"))),_xlfn.REGEXEXTRACT(CELL("address",'Raw Data'!G181),"\$([A-Z]+)\$[0-9]+"))</f>
        <v/>
      </c>
    </row>
    <row r="182" spans="2:7" x14ac:dyDescent="0.25">
      <c r="B182" s="7" t="str" cm="1">
        <f t="array" aca="1" ref="B182" ca="1">IFERROR(IF(OR('Raw Data'!B182="",LEN(TRIM('Raw Data'!B182))=0),"",IF(AND(LEN('Raw Data'!B182) &lt;= 20,LEN('Raw Data'!B182)&gt; 0),"",_xlfn.REGEXEXTRACT(CELL("address",'Raw Data'!B182),"\$([A-Z]+)\$[0-9]+"))),_xlfn.REGEXEXTRACT(CELL("address",'Raw Data'!B182),"\$([A-Z]+)\$[0-9]+"))</f>
        <v/>
      </c>
      <c r="C182" s="7" t="str" cm="1">
        <f t="array" aca="1" ref="C182" ca="1">IFERROR(IF(OR('Raw Data'!C182="",LEN(TRIM('Raw Data'!C182))=0),"",IF(AND(LEN('Raw Data'!C182) &lt;= 255,LEN('Raw Data'!C182)&gt; 0),"",_xlfn.REGEXEXTRACT(CELL("address",'Raw Data'!C182),"\$([A-Z]+)\$[0-9]+"))),_xlfn.REGEXEXTRACT(CELL("address",'Raw Data'!C182),"\$([A-Z]+)\$[0-9]+"))</f>
        <v/>
      </c>
      <c r="D182" s="7" t="str" cm="1">
        <f t="array" aca="1" ref="D182" ca="1">IFERROR(IF(OR('Raw Data'!D182="",LEN(TRIM('Raw Data'!D182))=0),"",IF(AND(ISNUMBER('Raw Data'!D182), IFERROR('Raw Data'!D182 = ROUND('Raw Data'!D182, 2),FALSE)),"",_xlfn.REGEXEXTRACT(CELL("address",D182), "\$([A-Z]+)\$[0-9]+"))),_xlfn.REGEXEXTRACT(CELL("address",D182), "\$([A-Z]+)\$[0-9]+"))</f>
        <v/>
      </c>
      <c r="E182" s="7" t="str" cm="1">
        <f t="array" aca="1" ref="E182" ca="1">IFERROR(IF(OR('Raw Data'!E182="",LEN(TRIM('Raw Data'!E182))=0),"",IF(AND(ISNUMBER('Raw Data'!E182), IFERROR('Raw Data'!E182 = ROUND('Raw Data'!E182, 2),FALSE)),"",_xlfn.REGEXEXTRACT(CELL("address",E182), "\$([A-Z]+)\$[0-9]+"))),_xlfn.REGEXEXTRACT(CELL("address",E182), "\$([A-Z]+)\$[0-9]+"))</f>
        <v/>
      </c>
      <c r="F182" s="7" t="str" cm="1">
        <f t="array" aca="1" ref="F182" ca="1">IFERROR(IF(OR('Raw Data'!F182="",LEN(TRIM('Raw Data'!F182))=0),"",IF(AND(ISNUMBER('Raw Data'!F182), IFERROR('Raw Data'!F182 = ROUND('Raw Data'!F182, 2),FALSE)),"",_xlfn.REGEXEXTRACT(CELL("address",F182), "\$([A-Z]+)\$[0-9]+"))),_xlfn.REGEXEXTRACT(CELL("address",F182), "\$([A-Z]+)\$[0-9]+"))</f>
        <v/>
      </c>
      <c r="G182" s="7" t="str" cm="1">
        <f t="array" aca="1" ref="G182" ca="1">IFERROR(IF(OR('Raw Data'!G182="",LEN(TRIM('Raw Data'!G182))=0),"",IF(LEN('Raw Data'!G182)&gt; 0,"",_xlfn.REGEXEXTRACT(CELL("address",'Raw Data'!G182),"\$([A-Z]+)\$[0-9]+"))),_xlfn.REGEXEXTRACT(CELL("address",'Raw Data'!G182),"\$([A-Z]+)\$[0-9]+"))</f>
        <v/>
      </c>
    </row>
    <row r="183" spans="2:7" x14ac:dyDescent="0.25">
      <c r="B183" s="7" t="str" cm="1">
        <f t="array" aca="1" ref="B183" ca="1">IFERROR(IF(OR('Raw Data'!B183="",LEN(TRIM('Raw Data'!B183))=0),"",IF(AND(LEN('Raw Data'!B183) &lt;= 20,LEN('Raw Data'!B183)&gt; 0),"",_xlfn.REGEXEXTRACT(CELL("address",'Raw Data'!B183),"\$([A-Z]+)\$[0-9]+"))),_xlfn.REGEXEXTRACT(CELL("address",'Raw Data'!B183),"\$([A-Z]+)\$[0-9]+"))</f>
        <v/>
      </c>
      <c r="C183" s="7" t="str" cm="1">
        <f t="array" aca="1" ref="C183" ca="1">IFERROR(IF(OR('Raw Data'!C183="",LEN(TRIM('Raw Data'!C183))=0),"",IF(AND(LEN('Raw Data'!C183) &lt;= 255,LEN('Raw Data'!C183)&gt; 0),"",_xlfn.REGEXEXTRACT(CELL("address",'Raw Data'!C183),"\$([A-Z]+)\$[0-9]+"))),_xlfn.REGEXEXTRACT(CELL("address",'Raw Data'!C183),"\$([A-Z]+)\$[0-9]+"))</f>
        <v/>
      </c>
      <c r="D183" s="7" t="str" cm="1">
        <f t="array" aca="1" ref="D183" ca="1">IFERROR(IF(OR('Raw Data'!D183="",LEN(TRIM('Raw Data'!D183))=0),"",IF(AND(ISNUMBER('Raw Data'!D183), IFERROR('Raw Data'!D183 = ROUND('Raw Data'!D183, 2),FALSE)),"",_xlfn.REGEXEXTRACT(CELL("address",D183), "\$([A-Z]+)\$[0-9]+"))),_xlfn.REGEXEXTRACT(CELL("address",D183), "\$([A-Z]+)\$[0-9]+"))</f>
        <v/>
      </c>
      <c r="E183" s="7" t="str" cm="1">
        <f t="array" aca="1" ref="E183" ca="1">IFERROR(IF(OR('Raw Data'!E183="",LEN(TRIM('Raw Data'!E183))=0),"",IF(AND(ISNUMBER('Raw Data'!E183), IFERROR('Raw Data'!E183 = ROUND('Raw Data'!E183, 2),FALSE)),"",_xlfn.REGEXEXTRACT(CELL("address",E183), "\$([A-Z]+)\$[0-9]+"))),_xlfn.REGEXEXTRACT(CELL("address",E183), "\$([A-Z]+)\$[0-9]+"))</f>
        <v/>
      </c>
      <c r="F183" s="7" t="str" cm="1">
        <f t="array" aca="1" ref="F183" ca="1">IFERROR(IF(OR('Raw Data'!F183="",LEN(TRIM('Raw Data'!F183))=0),"",IF(AND(ISNUMBER('Raw Data'!F183), IFERROR('Raw Data'!F183 = ROUND('Raw Data'!F183, 2),FALSE)),"",_xlfn.REGEXEXTRACT(CELL("address",F183), "\$([A-Z]+)\$[0-9]+"))),_xlfn.REGEXEXTRACT(CELL("address",F183), "\$([A-Z]+)\$[0-9]+"))</f>
        <v/>
      </c>
      <c r="G183" s="7" t="str" cm="1">
        <f t="array" aca="1" ref="G183" ca="1">IFERROR(IF(OR('Raw Data'!G183="",LEN(TRIM('Raw Data'!G183))=0),"",IF(LEN('Raw Data'!G183)&gt; 0,"",_xlfn.REGEXEXTRACT(CELL("address",'Raw Data'!G183),"\$([A-Z]+)\$[0-9]+"))),_xlfn.REGEXEXTRACT(CELL("address",'Raw Data'!G183),"\$([A-Z]+)\$[0-9]+"))</f>
        <v/>
      </c>
    </row>
    <row r="184" spans="2:7" x14ac:dyDescent="0.25">
      <c r="B184" s="7" t="str" cm="1">
        <f t="array" aca="1" ref="B184" ca="1">IFERROR(IF(OR('Raw Data'!B184="",LEN(TRIM('Raw Data'!B184))=0),"",IF(AND(LEN('Raw Data'!B184) &lt;= 20,LEN('Raw Data'!B184)&gt; 0),"",_xlfn.REGEXEXTRACT(CELL("address",'Raw Data'!B184),"\$([A-Z]+)\$[0-9]+"))),_xlfn.REGEXEXTRACT(CELL("address",'Raw Data'!B184),"\$([A-Z]+)\$[0-9]+"))</f>
        <v/>
      </c>
      <c r="C184" s="7" t="str" cm="1">
        <f t="array" aca="1" ref="C184" ca="1">IFERROR(IF(OR('Raw Data'!C184="",LEN(TRIM('Raw Data'!C184))=0),"",IF(AND(LEN('Raw Data'!C184) &lt;= 255,LEN('Raw Data'!C184)&gt; 0),"",_xlfn.REGEXEXTRACT(CELL("address",'Raw Data'!C184),"\$([A-Z]+)\$[0-9]+"))),_xlfn.REGEXEXTRACT(CELL("address",'Raw Data'!C184),"\$([A-Z]+)\$[0-9]+"))</f>
        <v/>
      </c>
      <c r="D184" s="7" t="str" cm="1">
        <f t="array" aca="1" ref="D184" ca="1">IFERROR(IF(OR('Raw Data'!D184="",LEN(TRIM('Raw Data'!D184))=0),"",IF(AND(ISNUMBER('Raw Data'!D184), IFERROR('Raw Data'!D184 = ROUND('Raw Data'!D184, 2),FALSE)),"",_xlfn.REGEXEXTRACT(CELL("address",D184), "\$([A-Z]+)\$[0-9]+"))),_xlfn.REGEXEXTRACT(CELL("address",D184), "\$([A-Z]+)\$[0-9]+"))</f>
        <v/>
      </c>
      <c r="E184" s="7" t="str" cm="1">
        <f t="array" aca="1" ref="E184" ca="1">IFERROR(IF(OR('Raw Data'!E184="",LEN(TRIM('Raw Data'!E184))=0),"",IF(AND(ISNUMBER('Raw Data'!E184), IFERROR('Raw Data'!E184 = ROUND('Raw Data'!E184, 2),FALSE)),"",_xlfn.REGEXEXTRACT(CELL("address",E184), "\$([A-Z]+)\$[0-9]+"))),_xlfn.REGEXEXTRACT(CELL("address",E184), "\$([A-Z]+)\$[0-9]+"))</f>
        <v/>
      </c>
      <c r="F184" s="7" t="str" cm="1">
        <f t="array" aca="1" ref="F184" ca="1">IFERROR(IF(OR('Raw Data'!F184="",LEN(TRIM('Raw Data'!F184))=0),"",IF(AND(ISNUMBER('Raw Data'!F184), IFERROR('Raw Data'!F184 = ROUND('Raw Data'!F184, 2),FALSE)),"",_xlfn.REGEXEXTRACT(CELL("address",F184), "\$([A-Z]+)\$[0-9]+"))),_xlfn.REGEXEXTRACT(CELL("address",F184), "\$([A-Z]+)\$[0-9]+"))</f>
        <v/>
      </c>
      <c r="G184" s="7" t="str" cm="1">
        <f t="array" aca="1" ref="G184" ca="1">IFERROR(IF(OR('Raw Data'!G184="",LEN(TRIM('Raw Data'!G184))=0),"",IF(LEN('Raw Data'!G184)&gt; 0,"",_xlfn.REGEXEXTRACT(CELL("address",'Raw Data'!G184),"\$([A-Z]+)\$[0-9]+"))),_xlfn.REGEXEXTRACT(CELL("address",'Raw Data'!G184),"\$([A-Z]+)\$[0-9]+"))</f>
        <v/>
      </c>
    </row>
    <row r="185" spans="2:7" x14ac:dyDescent="0.25">
      <c r="B185" s="7" t="str" cm="1">
        <f t="array" aca="1" ref="B185" ca="1">IFERROR(IF(OR('Raw Data'!B185="",LEN(TRIM('Raw Data'!B185))=0),"",IF(AND(LEN('Raw Data'!B185) &lt;= 20,LEN('Raw Data'!B185)&gt; 0),"",_xlfn.REGEXEXTRACT(CELL("address",'Raw Data'!B185),"\$([A-Z]+)\$[0-9]+"))),_xlfn.REGEXEXTRACT(CELL("address",'Raw Data'!B185),"\$([A-Z]+)\$[0-9]+"))</f>
        <v/>
      </c>
      <c r="C185" s="7" t="str" cm="1">
        <f t="array" aca="1" ref="C185" ca="1">IFERROR(IF(OR('Raw Data'!C185="",LEN(TRIM('Raw Data'!C185))=0),"",IF(AND(LEN('Raw Data'!C185) &lt;= 255,LEN('Raw Data'!C185)&gt; 0),"",_xlfn.REGEXEXTRACT(CELL("address",'Raw Data'!C185),"\$([A-Z]+)\$[0-9]+"))),_xlfn.REGEXEXTRACT(CELL("address",'Raw Data'!C185),"\$([A-Z]+)\$[0-9]+"))</f>
        <v/>
      </c>
      <c r="D185" s="7" t="str" cm="1">
        <f t="array" aca="1" ref="D185" ca="1">IFERROR(IF(OR('Raw Data'!D185="",LEN(TRIM('Raw Data'!D185))=0),"",IF(AND(ISNUMBER('Raw Data'!D185), IFERROR('Raw Data'!D185 = ROUND('Raw Data'!D185, 2),FALSE)),"",_xlfn.REGEXEXTRACT(CELL("address",D185), "\$([A-Z]+)\$[0-9]+"))),_xlfn.REGEXEXTRACT(CELL("address",D185), "\$([A-Z]+)\$[0-9]+"))</f>
        <v/>
      </c>
      <c r="E185" s="7" t="str" cm="1">
        <f t="array" aca="1" ref="E185" ca="1">IFERROR(IF(OR('Raw Data'!E185="",LEN(TRIM('Raw Data'!E185))=0),"",IF(AND(ISNUMBER('Raw Data'!E185), IFERROR('Raw Data'!E185 = ROUND('Raw Data'!E185, 2),FALSE)),"",_xlfn.REGEXEXTRACT(CELL("address",E185), "\$([A-Z]+)\$[0-9]+"))),_xlfn.REGEXEXTRACT(CELL("address",E185), "\$([A-Z]+)\$[0-9]+"))</f>
        <v/>
      </c>
      <c r="F185" s="7" t="str" cm="1">
        <f t="array" aca="1" ref="F185" ca="1">IFERROR(IF(OR('Raw Data'!F185="",LEN(TRIM('Raw Data'!F185))=0),"",IF(AND(ISNUMBER('Raw Data'!F185), IFERROR('Raw Data'!F185 = ROUND('Raw Data'!F185, 2),FALSE)),"",_xlfn.REGEXEXTRACT(CELL("address",F185), "\$([A-Z]+)\$[0-9]+"))),_xlfn.REGEXEXTRACT(CELL("address",F185), "\$([A-Z]+)\$[0-9]+"))</f>
        <v/>
      </c>
      <c r="G185" s="7" t="str" cm="1">
        <f t="array" aca="1" ref="G185" ca="1">IFERROR(IF(OR('Raw Data'!G185="",LEN(TRIM('Raw Data'!G185))=0),"",IF(LEN('Raw Data'!G185)&gt; 0,"",_xlfn.REGEXEXTRACT(CELL("address",'Raw Data'!G185),"\$([A-Z]+)\$[0-9]+"))),_xlfn.REGEXEXTRACT(CELL("address",'Raw Data'!G185),"\$([A-Z]+)\$[0-9]+"))</f>
        <v/>
      </c>
    </row>
    <row r="186" spans="2:7" x14ac:dyDescent="0.25">
      <c r="B186" s="7" t="str" cm="1">
        <f t="array" aca="1" ref="B186" ca="1">IFERROR(IF(OR('Raw Data'!B186="",LEN(TRIM('Raw Data'!B186))=0),"",IF(AND(LEN('Raw Data'!B186) &lt;= 20,LEN('Raw Data'!B186)&gt; 0),"",_xlfn.REGEXEXTRACT(CELL("address",'Raw Data'!B186),"\$([A-Z]+)\$[0-9]+"))),_xlfn.REGEXEXTRACT(CELL("address",'Raw Data'!B186),"\$([A-Z]+)\$[0-9]+"))</f>
        <v/>
      </c>
      <c r="C186" s="7" t="str" cm="1">
        <f t="array" aca="1" ref="C186" ca="1">IFERROR(IF(OR('Raw Data'!C186="",LEN(TRIM('Raw Data'!C186))=0),"",IF(AND(LEN('Raw Data'!C186) &lt;= 255,LEN('Raw Data'!C186)&gt; 0),"",_xlfn.REGEXEXTRACT(CELL("address",'Raw Data'!C186),"\$([A-Z]+)\$[0-9]+"))),_xlfn.REGEXEXTRACT(CELL("address",'Raw Data'!C186),"\$([A-Z]+)\$[0-9]+"))</f>
        <v/>
      </c>
      <c r="D186" s="7" t="str" cm="1">
        <f t="array" aca="1" ref="D186" ca="1">IFERROR(IF(OR('Raw Data'!D186="",LEN(TRIM('Raw Data'!D186))=0),"",IF(AND(ISNUMBER('Raw Data'!D186), IFERROR('Raw Data'!D186 = ROUND('Raw Data'!D186, 2),FALSE)),"",_xlfn.REGEXEXTRACT(CELL("address",D186), "\$([A-Z]+)\$[0-9]+"))),_xlfn.REGEXEXTRACT(CELL("address",D186), "\$([A-Z]+)\$[0-9]+"))</f>
        <v/>
      </c>
      <c r="E186" s="7" t="str" cm="1">
        <f t="array" aca="1" ref="E186" ca="1">IFERROR(IF(OR('Raw Data'!E186="",LEN(TRIM('Raw Data'!E186))=0),"",IF(AND(ISNUMBER('Raw Data'!E186), IFERROR('Raw Data'!E186 = ROUND('Raw Data'!E186, 2),FALSE)),"",_xlfn.REGEXEXTRACT(CELL("address",E186), "\$([A-Z]+)\$[0-9]+"))),_xlfn.REGEXEXTRACT(CELL("address",E186), "\$([A-Z]+)\$[0-9]+"))</f>
        <v/>
      </c>
      <c r="F186" s="7" t="str" cm="1">
        <f t="array" aca="1" ref="F186" ca="1">IFERROR(IF(OR('Raw Data'!F186="",LEN(TRIM('Raw Data'!F186))=0),"",IF(AND(ISNUMBER('Raw Data'!F186), IFERROR('Raw Data'!F186 = ROUND('Raw Data'!F186, 2),FALSE)),"",_xlfn.REGEXEXTRACT(CELL("address",F186), "\$([A-Z]+)\$[0-9]+"))),_xlfn.REGEXEXTRACT(CELL("address",F186), "\$([A-Z]+)\$[0-9]+"))</f>
        <v/>
      </c>
      <c r="G186" s="7" t="str" cm="1">
        <f t="array" aca="1" ref="G186" ca="1">IFERROR(IF(OR('Raw Data'!G186="",LEN(TRIM('Raw Data'!G186))=0),"",IF(LEN('Raw Data'!G186)&gt; 0,"",_xlfn.REGEXEXTRACT(CELL("address",'Raw Data'!G186),"\$([A-Z]+)\$[0-9]+"))),_xlfn.REGEXEXTRACT(CELL("address",'Raw Data'!G186),"\$([A-Z]+)\$[0-9]+"))</f>
        <v/>
      </c>
    </row>
    <row r="187" spans="2:7" x14ac:dyDescent="0.25">
      <c r="B187" s="7" t="str" cm="1">
        <f t="array" aca="1" ref="B187" ca="1">IFERROR(IF(OR('Raw Data'!B187="",LEN(TRIM('Raw Data'!B187))=0),"",IF(AND(LEN('Raw Data'!B187) &lt;= 20,LEN('Raw Data'!B187)&gt; 0),"",_xlfn.REGEXEXTRACT(CELL("address",'Raw Data'!B187),"\$([A-Z]+)\$[0-9]+"))),_xlfn.REGEXEXTRACT(CELL("address",'Raw Data'!B187),"\$([A-Z]+)\$[0-9]+"))</f>
        <v/>
      </c>
      <c r="C187" s="7" t="str" cm="1">
        <f t="array" aca="1" ref="C187" ca="1">IFERROR(IF(OR('Raw Data'!C187="",LEN(TRIM('Raw Data'!C187))=0),"",IF(AND(LEN('Raw Data'!C187) &lt;= 255,LEN('Raw Data'!C187)&gt; 0),"",_xlfn.REGEXEXTRACT(CELL("address",'Raw Data'!C187),"\$([A-Z]+)\$[0-9]+"))),_xlfn.REGEXEXTRACT(CELL("address",'Raw Data'!C187),"\$([A-Z]+)\$[0-9]+"))</f>
        <v/>
      </c>
      <c r="D187" s="7" t="str" cm="1">
        <f t="array" aca="1" ref="D187" ca="1">IFERROR(IF(OR('Raw Data'!D187="",LEN(TRIM('Raw Data'!D187))=0),"",IF(AND(ISNUMBER('Raw Data'!D187), IFERROR('Raw Data'!D187 = ROUND('Raw Data'!D187, 2),FALSE)),"",_xlfn.REGEXEXTRACT(CELL("address",D187), "\$([A-Z]+)\$[0-9]+"))),_xlfn.REGEXEXTRACT(CELL("address",D187), "\$([A-Z]+)\$[0-9]+"))</f>
        <v/>
      </c>
      <c r="E187" s="7" t="str" cm="1">
        <f t="array" aca="1" ref="E187" ca="1">IFERROR(IF(OR('Raw Data'!E187="",LEN(TRIM('Raw Data'!E187))=0),"",IF(AND(ISNUMBER('Raw Data'!E187), IFERROR('Raw Data'!E187 = ROUND('Raw Data'!E187, 2),FALSE)),"",_xlfn.REGEXEXTRACT(CELL("address",E187), "\$([A-Z]+)\$[0-9]+"))),_xlfn.REGEXEXTRACT(CELL("address",E187), "\$([A-Z]+)\$[0-9]+"))</f>
        <v/>
      </c>
      <c r="F187" s="7" t="str" cm="1">
        <f t="array" aca="1" ref="F187" ca="1">IFERROR(IF(OR('Raw Data'!F187="",LEN(TRIM('Raw Data'!F187))=0),"",IF(AND(ISNUMBER('Raw Data'!F187), IFERROR('Raw Data'!F187 = ROUND('Raw Data'!F187, 2),FALSE)),"",_xlfn.REGEXEXTRACT(CELL("address",F187), "\$([A-Z]+)\$[0-9]+"))),_xlfn.REGEXEXTRACT(CELL("address",F187), "\$([A-Z]+)\$[0-9]+"))</f>
        <v/>
      </c>
      <c r="G187" s="7" t="str" cm="1">
        <f t="array" aca="1" ref="G187" ca="1">IFERROR(IF(OR('Raw Data'!G187="",LEN(TRIM('Raw Data'!G187))=0),"",IF(LEN('Raw Data'!G187)&gt; 0,"",_xlfn.REGEXEXTRACT(CELL("address",'Raw Data'!G187),"\$([A-Z]+)\$[0-9]+"))),_xlfn.REGEXEXTRACT(CELL("address",'Raw Data'!G187),"\$([A-Z]+)\$[0-9]+"))</f>
        <v/>
      </c>
    </row>
    <row r="188" spans="2:7" x14ac:dyDescent="0.25">
      <c r="B188" s="7" t="str" cm="1">
        <f t="array" aca="1" ref="B188" ca="1">IFERROR(IF(OR('Raw Data'!B188="",LEN(TRIM('Raw Data'!B188))=0),"",IF(AND(LEN('Raw Data'!B188) &lt;= 20,LEN('Raw Data'!B188)&gt; 0),"",_xlfn.REGEXEXTRACT(CELL("address",'Raw Data'!B188),"\$([A-Z]+)\$[0-9]+"))),_xlfn.REGEXEXTRACT(CELL("address",'Raw Data'!B188),"\$([A-Z]+)\$[0-9]+"))</f>
        <v/>
      </c>
      <c r="C188" s="7" t="str" cm="1">
        <f t="array" aca="1" ref="C188" ca="1">IFERROR(IF(OR('Raw Data'!C188="",LEN(TRIM('Raw Data'!C188))=0),"",IF(AND(LEN('Raw Data'!C188) &lt;= 255,LEN('Raw Data'!C188)&gt; 0),"",_xlfn.REGEXEXTRACT(CELL("address",'Raw Data'!C188),"\$([A-Z]+)\$[0-9]+"))),_xlfn.REGEXEXTRACT(CELL("address",'Raw Data'!C188),"\$([A-Z]+)\$[0-9]+"))</f>
        <v/>
      </c>
      <c r="D188" s="7" t="str" cm="1">
        <f t="array" aca="1" ref="D188" ca="1">IFERROR(IF(OR('Raw Data'!D188="",LEN(TRIM('Raw Data'!D188))=0),"",IF(AND(ISNUMBER('Raw Data'!D188), IFERROR('Raw Data'!D188 = ROUND('Raw Data'!D188, 2),FALSE)),"",_xlfn.REGEXEXTRACT(CELL("address",D188), "\$([A-Z]+)\$[0-9]+"))),_xlfn.REGEXEXTRACT(CELL("address",D188), "\$([A-Z]+)\$[0-9]+"))</f>
        <v/>
      </c>
      <c r="E188" s="7" t="str" cm="1">
        <f t="array" aca="1" ref="E188" ca="1">IFERROR(IF(OR('Raw Data'!E188="",LEN(TRIM('Raw Data'!E188))=0),"",IF(AND(ISNUMBER('Raw Data'!E188), IFERROR('Raw Data'!E188 = ROUND('Raw Data'!E188, 2),FALSE)),"",_xlfn.REGEXEXTRACT(CELL("address",E188), "\$([A-Z]+)\$[0-9]+"))),_xlfn.REGEXEXTRACT(CELL("address",E188), "\$([A-Z]+)\$[0-9]+"))</f>
        <v/>
      </c>
      <c r="F188" s="7" t="str" cm="1">
        <f t="array" aca="1" ref="F188" ca="1">IFERROR(IF(OR('Raw Data'!F188="",LEN(TRIM('Raw Data'!F188))=0),"",IF(AND(ISNUMBER('Raw Data'!F188), IFERROR('Raw Data'!F188 = ROUND('Raw Data'!F188, 2),FALSE)),"",_xlfn.REGEXEXTRACT(CELL("address",F188), "\$([A-Z]+)\$[0-9]+"))),_xlfn.REGEXEXTRACT(CELL("address",F188), "\$([A-Z]+)\$[0-9]+"))</f>
        <v/>
      </c>
      <c r="G188" s="7" t="str" cm="1">
        <f t="array" aca="1" ref="G188" ca="1">IFERROR(IF(OR('Raw Data'!G188="",LEN(TRIM('Raw Data'!G188))=0),"",IF(LEN('Raw Data'!G188)&gt; 0,"",_xlfn.REGEXEXTRACT(CELL("address",'Raw Data'!G188),"\$([A-Z]+)\$[0-9]+"))),_xlfn.REGEXEXTRACT(CELL("address",'Raw Data'!G188),"\$([A-Z]+)\$[0-9]+"))</f>
        <v/>
      </c>
    </row>
    <row r="189" spans="2:7" x14ac:dyDescent="0.25">
      <c r="B189" s="7" t="str" cm="1">
        <f t="array" aca="1" ref="B189" ca="1">IFERROR(IF(OR('Raw Data'!B189="",LEN(TRIM('Raw Data'!B189))=0),"",IF(AND(LEN('Raw Data'!B189) &lt;= 20,LEN('Raw Data'!B189)&gt; 0),"",_xlfn.REGEXEXTRACT(CELL("address",'Raw Data'!B189),"\$([A-Z]+)\$[0-9]+"))),_xlfn.REGEXEXTRACT(CELL("address",'Raw Data'!B189),"\$([A-Z]+)\$[0-9]+"))</f>
        <v/>
      </c>
      <c r="C189" s="7" t="str" cm="1">
        <f t="array" aca="1" ref="C189" ca="1">IFERROR(IF(OR('Raw Data'!C189="",LEN(TRIM('Raw Data'!C189))=0),"",IF(AND(LEN('Raw Data'!C189) &lt;= 255,LEN('Raw Data'!C189)&gt; 0),"",_xlfn.REGEXEXTRACT(CELL("address",'Raw Data'!C189),"\$([A-Z]+)\$[0-9]+"))),_xlfn.REGEXEXTRACT(CELL("address",'Raw Data'!C189),"\$([A-Z]+)\$[0-9]+"))</f>
        <v/>
      </c>
      <c r="D189" s="7" t="str" cm="1">
        <f t="array" aca="1" ref="D189" ca="1">IFERROR(IF(OR('Raw Data'!D189="",LEN(TRIM('Raw Data'!D189))=0),"",IF(AND(ISNUMBER('Raw Data'!D189), IFERROR('Raw Data'!D189 = ROUND('Raw Data'!D189, 2),FALSE)),"",_xlfn.REGEXEXTRACT(CELL("address",D189), "\$([A-Z]+)\$[0-9]+"))),_xlfn.REGEXEXTRACT(CELL("address",D189), "\$([A-Z]+)\$[0-9]+"))</f>
        <v/>
      </c>
      <c r="E189" s="7" t="str" cm="1">
        <f t="array" aca="1" ref="E189" ca="1">IFERROR(IF(OR('Raw Data'!E189="",LEN(TRIM('Raw Data'!E189))=0),"",IF(AND(ISNUMBER('Raw Data'!E189), IFERROR('Raw Data'!E189 = ROUND('Raw Data'!E189, 2),FALSE)),"",_xlfn.REGEXEXTRACT(CELL("address",E189), "\$([A-Z]+)\$[0-9]+"))),_xlfn.REGEXEXTRACT(CELL("address",E189), "\$([A-Z]+)\$[0-9]+"))</f>
        <v/>
      </c>
      <c r="F189" s="7" t="str" cm="1">
        <f t="array" aca="1" ref="F189" ca="1">IFERROR(IF(OR('Raw Data'!F189="",LEN(TRIM('Raw Data'!F189))=0),"",IF(AND(ISNUMBER('Raw Data'!F189), IFERROR('Raw Data'!F189 = ROUND('Raw Data'!F189, 2),FALSE)),"",_xlfn.REGEXEXTRACT(CELL("address",F189), "\$([A-Z]+)\$[0-9]+"))),_xlfn.REGEXEXTRACT(CELL("address",F189), "\$([A-Z]+)\$[0-9]+"))</f>
        <v/>
      </c>
      <c r="G189" s="7" t="str" cm="1">
        <f t="array" aca="1" ref="G189" ca="1">IFERROR(IF(OR('Raw Data'!G189="",LEN(TRIM('Raw Data'!G189))=0),"",IF(LEN('Raw Data'!G189)&gt; 0,"",_xlfn.REGEXEXTRACT(CELL("address",'Raw Data'!G189),"\$([A-Z]+)\$[0-9]+"))),_xlfn.REGEXEXTRACT(CELL("address",'Raw Data'!G189),"\$([A-Z]+)\$[0-9]+"))</f>
        <v/>
      </c>
    </row>
    <row r="190" spans="2:7" x14ac:dyDescent="0.25">
      <c r="B190" s="7" t="str" cm="1">
        <f t="array" aca="1" ref="B190" ca="1">IFERROR(IF(OR('Raw Data'!B190="",LEN(TRIM('Raw Data'!B190))=0),"",IF(AND(LEN('Raw Data'!B190) &lt;= 20,LEN('Raw Data'!B190)&gt; 0),"",_xlfn.REGEXEXTRACT(CELL("address",'Raw Data'!B190),"\$([A-Z]+)\$[0-9]+"))),_xlfn.REGEXEXTRACT(CELL("address",'Raw Data'!B190),"\$([A-Z]+)\$[0-9]+"))</f>
        <v/>
      </c>
      <c r="C190" s="7" t="str" cm="1">
        <f t="array" aca="1" ref="C190" ca="1">IFERROR(IF(OR('Raw Data'!C190="",LEN(TRIM('Raw Data'!C190))=0),"",IF(AND(LEN('Raw Data'!C190) &lt;= 255,LEN('Raw Data'!C190)&gt; 0),"",_xlfn.REGEXEXTRACT(CELL("address",'Raw Data'!C190),"\$([A-Z]+)\$[0-9]+"))),_xlfn.REGEXEXTRACT(CELL("address",'Raw Data'!C190),"\$([A-Z]+)\$[0-9]+"))</f>
        <v/>
      </c>
      <c r="D190" s="7" t="str" cm="1">
        <f t="array" aca="1" ref="D190" ca="1">IFERROR(IF(OR('Raw Data'!D190="",LEN(TRIM('Raw Data'!D190))=0),"",IF(AND(ISNUMBER('Raw Data'!D190), IFERROR('Raw Data'!D190 = ROUND('Raw Data'!D190, 2),FALSE)),"",_xlfn.REGEXEXTRACT(CELL("address",D190), "\$([A-Z]+)\$[0-9]+"))),_xlfn.REGEXEXTRACT(CELL("address",D190), "\$([A-Z]+)\$[0-9]+"))</f>
        <v/>
      </c>
      <c r="E190" s="7" t="str" cm="1">
        <f t="array" aca="1" ref="E190" ca="1">IFERROR(IF(OR('Raw Data'!E190="",LEN(TRIM('Raw Data'!E190))=0),"",IF(AND(ISNUMBER('Raw Data'!E190), IFERROR('Raw Data'!E190 = ROUND('Raw Data'!E190, 2),FALSE)),"",_xlfn.REGEXEXTRACT(CELL("address",E190), "\$([A-Z]+)\$[0-9]+"))),_xlfn.REGEXEXTRACT(CELL("address",E190), "\$([A-Z]+)\$[0-9]+"))</f>
        <v/>
      </c>
      <c r="F190" s="7" t="str" cm="1">
        <f t="array" aca="1" ref="F190" ca="1">IFERROR(IF(OR('Raw Data'!F190="",LEN(TRIM('Raw Data'!F190))=0),"",IF(AND(ISNUMBER('Raw Data'!F190), IFERROR('Raw Data'!F190 = ROUND('Raw Data'!F190, 2),FALSE)),"",_xlfn.REGEXEXTRACT(CELL("address",F190), "\$([A-Z]+)\$[0-9]+"))),_xlfn.REGEXEXTRACT(CELL("address",F190), "\$([A-Z]+)\$[0-9]+"))</f>
        <v/>
      </c>
      <c r="G190" s="7" t="str" cm="1">
        <f t="array" aca="1" ref="G190" ca="1">IFERROR(IF(OR('Raw Data'!G190="",LEN(TRIM('Raw Data'!G190))=0),"",IF(LEN('Raw Data'!G190)&gt; 0,"",_xlfn.REGEXEXTRACT(CELL("address",'Raw Data'!G190),"\$([A-Z]+)\$[0-9]+"))),_xlfn.REGEXEXTRACT(CELL("address",'Raw Data'!G190),"\$([A-Z]+)\$[0-9]+"))</f>
        <v/>
      </c>
    </row>
    <row r="191" spans="2:7" x14ac:dyDescent="0.25">
      <c r="B191" s="7" t="str" cm="1">
        <f t="array" aca="1" ref="B191" ca="1">IFERROR(IF(OR('Raw Data'!B191="",LEN(TRIM('Raw Data'!B191))=0),"",IF(AND(LEN('Raw Data'!B191) &lt;= 20,LEN('Raw Data'!B191)&gt; 0),"",_xlfn.REGEXEXTRACT(CELL("address",'Raw Data'!B191),"\$([A-Z]+)\$[0-9]+"))),_xlfn.REGEXEXTRACT(CELL("address",'Raw Data'!B191),"\$([A-Z]+)\$[0-9]+"))</f>
        <v/>
      </c>
      <c r="C191" s="7" t="str" cm="1">
        <f t="array" aca="1" ref="C191" ca="1">IFERROR(IF(OR('Raw Data'!C191="",LEN(TRIM('Raw Data'!C191))=0),"",IF(AND(LEN('Raw Data'!C191) &lt;= 255,LEN('Raw Data'!C191)&gt; 0),"",_xlfn.REGEXEXTRACT(CELL("address",'Raw Data'!C191),"\$([A-Z]+)\$[0-9]+"))),_xlfn.REGEXEXTRACT(CELL("address",'Raw Data'!C191),"\$([A-Z]+)\$[0-9]+"))</f>
        <v/>
      </c>
      <c r="D191" s="7" t="str" cm="1">
        <f t="array" aca="1" ref="D191" ca="1">IFERROR(IF(OR('Raw Data'!D191="",LEN(TRIM('Raw Data'!D191))=0),"",IF(AND(ISNUMBER('Raw Data'!D191), IFERROR('Raw Data'!D191 = ROUND('Raw Data'!D191, 2),FALSE)),"",_xlfn.REGEXEXTRACT(CELL("address",D191), "\$([A-Z]+)\$[0-9]+"))),_xlfn.REGEXEXTRACT(CELL("address",D191), "\$([A-Z]+)\$[0-9]+"))</f>
        <v/>
      </c>
      <c r="E191" s="7" t="str" cm="1">
        <f t="array" aca="1" ref="E191" ca="1">IFERROR(IF(OR('Raw Data'!E191="",LEN(TRIM('Raw Data'!E191))=0),"",IF(AND(ISNUMBER('Raw Data'!E191), IFERROR('Raw Data'!E191 = ROUND('Raw Data'!E191, 2),FALSE)),"",_xlfn.REGEXEXTRACT(CELL("address",E191), "\$([A-Z]+)\$[0-9]+"))),_xlfn.REGEXEXTRACT(CELL("address",E191), "\$([A-Z]+)\$[0-9]+"))</f>
        <v/>
      </c>
      <c r="F191" s="7" t="str" cm="1">
        <f t="array" aca="1" ref="F191" ca="1">IFERROR(IF(OR('Raw Data'!F191="",LEN(TRIM('Raw Data'!F191))=0),"",IF(AND(ISNUMBER('Raw Data'!F191), IFERROR('Raw Data'!F191 = ROUND('Raw Data'!F191, 2),FALSE)),"",_xlfn.REGEXEXTRACT(CELL("address",F191), "\$([A-Z]+)\$[0-9]+"))),_xlfn.REGEXEXTRACT(CELL("address",F191), "\$([A-Z]+)\$[0-9]+"))</f>
        <v/>
      </c>
      <c r="G191" s="7" t="str" cm="1">
        <f t="array" aca="1" ref="G191" ca="1">IFERROR(IF(OR('Raw Data'!G191="",LEN(TRIM('Raw Data'!G191))=0),"",IF(LEN('Raw Data'!G191)&gt; 0,"",_xlfn.REGEXEXTRACT(CELL("address",'Raw Data'!G191),"\$([A-Z]+)\$[0-9]+"))),_xlfn.REGEXEXTRACT(CELL("address",'Raw Data'!G191),"\$([A-Z]+)\$[0-9]+"))</f>
        <v/>
      </c>
    </row>
    <row r="192" spans="2:7" x14ac:dyDescent="0.25">
      <c r="B192" s="7" t="str" cm="1">
        <f t="array" aca="1" ref="B192" ca="1">IFERROR(IF(OR('Raw Data'!B192="",LEN(TRIM('Raw Data'!B192))=0),"",IF(AND(LEN('Raw Data'!B192) &lt;= 20,LEN('Raw Data'!B192)&gt; 0),"",_xlfn.REGEXEXTRACT(CELL("address",'Raw Data'!B192),"\$([A-Z]+)\$[0-9]+"))),_xlfn.REGEXEXTRACT(CELL("address",'Raw Data'!B192),"\$([A-Z]+)\$[0-9]+"))</f>
        <v/>
      </c>
      <c r="C192" s="7" t="str" cm="1">
        <f t="array" aca="1" ref="C192" ca="1">IFERROR(IF(OR('Raw Data'!C192="",LEN(TRIM('Raw Data'!C192))=0),"",IF(AND(LEN('Raw Data'!C192) &lt;= 255,LEN('Raw Data'!C192)&gt; 0),"",_xlfn.REGEXEXTRACT(CELL("address",'Raw Data'!C192),"\$([A-Z]+)\$[0-9]+"))),_xlfn.REGEXEXTRACT(CELL("address",'Raw Data'!C192),"\$([A-Z]+)\$[0-9]+"))</f>
        <v/>
      </c>
      <c r="D192" s="7" t="str" cm="1">
        <f t="array" aca="1" ref="D192" ca="1">IFERROR(IF(OR('Raw Data'!D192="",LEN(TRIM('Raw Data'!D192))=0),"",IF(AND(ISNUMBER('Raw Data'!D192), IFERROR('Raw Data'!D192 = ROUND('Raw Data'!D192, 2),FALSE)),"",_xlfn.REGEXEXTRACT(CELL("address",D192), "\$([A-Z]+)\$[0-9]+"))),_xlfn.REGEXEXTRACT(CELL("address",D192), "\$([A-Z]+)\$[0-9]+"))</f>
        <v/>
      </c>
      <c r="E192" s="7" t="str" cm="1">
        <f t="array" aca="1" ref="E192" ca="1">IFERROR(IF(OR('Raw Data'!E192="",LEN(TRIM('Raw Data'!E192))=0),"",IF(AND(ISNUMBER('Raw Data'!E192), IFERROR('Raw Data'!E192 = ROUND('Raw Data'!E192, 2),FALSE)),"",_xlfn.REGEXEXTRACT(CELL("address",E192), "\$([A-Z]+)\$[0-9]+"))),_xlfn.REGEXEXTRACT(CELL("address",E192), "\$([A-Z]+)\$[0-9]+"))</f>
        <v/>
      </c>
      <c r="F192" s="7" t="str" cm="1">
        <f t="array" aca="1" ref="F192" ca="1">IFERROR(IF(OR('Raw Data'!F192="",LEN(TRIM('Raw Data'!F192))=0),"",IF(AND(ISNUMBER('Raw Data'!F192), IFERROR('Raw Data'!F192 = ROUND('Raw Data'!F192, 2),FALSE)),"",_xlfn.REGEXEXTRACT(CELL("address",F192), "\$([A-Z]+)\$[0-9]+"))),_xlfn.REGEXEXTRACT(CELL("address",F192), "\$([A-Z]+)\$[0-9]+"))</f>
        <v/>
      </c>
      <c r="G192" s="7" t="str" cm="1">
        <f t="array" aca="1" ref="G192" ca="1">IFERROR(IF(OR('Raw Data'!G192="",LEN(TRIM('Raw Data'!G192))=0),"",IF(LEN('Raw Data'!G192)&gt; 0,"",_xlfn.REGEXEXTRACT(CELL("address",'Raw Data'!G192),"\$([A-Z]+)\$[0-9]+"))),_xlfn.REGEXEXTRACT(CELL("address",'Raw Data'!G192),"\$([A-Z]+)\$[0-9]+"))</f>
        <v/>
      </c>
    </row>
    <row r="193" spans="2:7" x14ac:dyDescent="0.25">
      <c r="B193" s="7" t="str" cm="1">
        <f t="array" aca="1" ref="B193" ca="1">IFERROR(IF(OR('Raw Data'!B193="",LEN(TRIM('Raw Data'!B193))=0),"",IF(AND(LEN('Raw Data'!B193) &lt;= 20,LEN('Raw Data'!B193)&gt; 0),"",_xlfn.REGEXEXTRACT(CELL("address",'Raw Data'!B193),"\$([A-Z]+)\$[0-9]+"))),_xlfn.REGEXEXTRACT(CELL("address",'Raw Data'!B193),"\$([A-Z]+)\$[0-9]+"))</f>
        <v/>
      </c>
      <c r="C193" s="7" t="str" cm="1">
        <f t="array" aca="1" ref="C193" ca="1">IFERROR(IF(OR('Raw Data'!C193="",LEN(TRIM('Raw Data'!C193))=0),"",IF(AND(LEN('Raw Data'!C193) &lt;= 255,LEN('Raw Data'!C193)&gt; 0),"",_xlfn.REGEXEXTRACT(CELL("address",'Raw Data'!C193),"\$([A-Z]+)\$[0-9]+"))),_xlfn.REGEXEXTRACT(CELL("address",'Raw Data'!C193),"\$([A-Z]+)\$[0-9]+"))</f>
        <v/>
      </c>
      <c r="D193" s="7" t="str" cm="1">
        <f t="array" aca="1" ref="D193" ca="1">IFERROR(IF(OR('Raw Data'!D193="",LEN(TRIM('Raw Data'!D193))=0),"",IF(AND(ISNUMBER('Raw Data'!D193), IFERROR('Raw Data'!D193 = ROUND('Raw Data'!D193, 2),FALSE)),"",_xlfn.REGEXEXTRACT(CELL("address",D193), "\$([A-Z]+)\$[0-9]+"))),_xlfn.REGEXEXTRACT(CELL("address",D193), "\$([A-Z]+)\$[0-9]+"))</f>
        <v/>
      </c>
      <c r="E193" s="7" t="str" cm="1">
        <f t="array" aca="1" ref="E193" ca="1">IFERROR(IF(OR('Raw Data'!E193="",LEN(TRIM('Raw Data'!E193))=0),"",IF(AND(ISNUMBER('Raw Data'!E193), IFERROR('Raw Data'!E193 = ROUND('Raw Data'!E193, 2),FALSE)),"",_xlfn.REGEXEXTRACT(CELL("address",E193), "\$([A-Z]+)\$[0-9]+"))),_xlfn.REGEXEXTRACT(CELL("address",E193), "\$([A-Z]+)\$[0-9]+"))</f>
        <v/>
      </c>
      <c r="F193" s="7" t="str" cm="1">
        <f t="array" aca="1" ref="F193" ca="1">IFERROR(IF(OR('Raw Data'!F193="",LEN(TRIM('Raw Data'!F193))=0),"",IF(AND(ISNUMBER('Raw Data'!F193), IFERROR('Raw Data'!F193 = ROUND('Raw Data'!F193, 2),FALSE)),"",_xlfn.REGEXEXTRACT(CELL("address",F193), "\$([A-Z]+)\$[0-9]+"))),_xlfn.REGEXEXTRACT(CELL("address",F193), "\$([A-Z]+)\$[0-9]+"))</f>
        <v/>
      </c>
      <c r="G193" s="7" t="str" cm="1">
        <f t="array" aca="1" ref="G193" ca="1">IFERROR(IF(OR('Raw Data'!G193="",LEN(TRIM('Raw Data'!G193))=0),"",IF(LEN('Raw Data'!G193)&gt; 0,"",_xlfn.REGEXEXTRACT(CELL("address",'Raw Data'!G193),"\$([A-Z]+)\$[0-9]+"))),_xlfn.REGEXEXTRACT(CELL("address",'Raw Data'!G193),"\$([A-Z]+)\$[0-9]+"))</f>
        <v/>
      </c>
    </row>
    <row r="194" spans="2:7" x14ac:dyDescent="0.25">
      <c r="B194" s="7" t="str" cm="1">
        <f t="array" aca="1" ref="B194" ca="1">IFERROR(IF(OR('Raw Data'!B194="",LEN(TRIM('Raw Data'!B194))=0),"",IF(AND(LEN('Raw Data'!B194) &lt;= 20,LEN('Raw Data'!B194)&gt; 0),"",_xlfn.REGEXEXTRACT(CELL("address",'Raw Data'!B194),"\$([A-Z]+)\$[0-9]+"))),_xlfn.REGEXEXTRACT(CELL("address",'Raw Data'!B194),"\$([A-Z]+)\$[0-9]+"))</f>
        <v/>
      </c>
      <c r="C194" s="7" t="str" cm="1">
        <f t="array" aca="1" ref="C194" ca="1">IFERROR(IF(OR('Raw Data'!C194="",LEN(TRIM('Raw Data'!C194))=0),"",IF(AND(LEN('Raw Data'!C194) &lt;= 255,LEN('Raw Data'!C194)&gt; 0),"",_xlfn.REGEXEXTRACT(CELL("address",'Raw Data'!C194),"\$([A-Z]+)\$[0-9]+"))),_xlfn.REGEXEXTRACT(CELL("address",'Raw Data'!C194),"\$([A-Z]+)\$[0-9]+"))</f>
        <v/>
      </c>
      <c r="D194" s="7" t="str" cm="1">
        <f t="array" aca="1" ref="D194" ca="1">IFERROR(IF(OR('Raw Data'!D194="",LEN(TRIM('Raw Data'!D194))=0),"",IF(AND(ISNUMBER('Raw Data'!D194), IFERROR('Raw Data'!D194 = ROUND('Raw Data'!D194, 2),FALSE)),"",_xlfn.REGEXEXTRACT(CELL("address",D194), "\$([A-Z]+)\$[0-9]+"))),_xlfn.REGEXEXTRACT(CELL("address",D194), "\$([A-Z]+)\$[0-9]+"))</f>
        <v/>
      </c>
      <c r="E194" s="7" t="str" cm="1">
        <f t="array" aca="1" ref="E194" ca="1">IFERROR(IF(OR('Raw Data'!E194="",LEN(TRIM('Raw Data'!E194))=0),"",IF(AND(ISNUMBER('Raw Data'!E194), IFERROR('Raw Data'!E194 = ROUND('Raw Data'!E194, 2),FALSE)),"",_xlfn.REGEXEXTRACT(CELL("address",E194), "\$([A-Z]+)\$[0-9]+"))),_xlfn.REGEXEXTRACT(CELL("address",E194), "\$([A-Z]+)\$[0-9]+"))</f>
        <v/>
      </c>
      <c r="F194" s="7" t="str" cm="1">
        <f t="array" aca="1" ref="F194" ca="1">IFERROR(IF(OR('Raw Data'!F194="",LEN(TRIM('Raw Data'!F194))=0),"",IF(AND(ISNUMBER('Raw Data'!F194), IFERROR('Raw Data'!F194 = ROUND('Raw Data'!F194, 2),FALSE)),"",_xlfn.REGEXEXTRACT(CELL("address",F194), "\$([A-Z]+)\$[0-9]+"))),_xlfn.REGEXEXTRACT(CELL("address",F194), "\$([A-Z]+)\$[0-9]+"))</f>
        <v/>
      </c>
      <c r="G194" s="7" t="str" cm="1">
        <f t="array" aca="1" ref="G194" ca="1">IFERROR(IF(OR('Raw Data'!G194="",LEN(TRIM('Raw Data'!G194))=0),"",IF(LEN('Raw Data'!G194)&gt; 0,"",_xlfn.REGEXEXTRACT(CELL("address",'Raw Data'!G194),"\$([A-Z]+)\$[0-9]+"))),_xlfn.REGEXEXTRACT(CELL("address",'Raw Data'!G194),"\$([A-Z]+)\$[0-9]+"))</f>
        <v/>
      </c>
    </row>
    <row r="195" spans="2:7" x14ac:dyDescent="0.25">
      <c r="B195" s="7" t="str" cm="1">
        <f t="array" aca="1" ref="B195" ca="1">IFERROR(IF(OR('Raw Data'!B195="",LEN(TRIM('Raw Data'!B195))=0),"",IF(AND(LEN('Raw Data'!B195) &lt;= 20,LEN('Raw Data'!B195)&gt; 0),"",_xlfn.REGEXEXTRACT(CELL("address",'Raw Data'!B195),"\$([A-Z]+)\$[0-9]+"))),_xlfn.REGEXEXTRACT(CELL("address",'Raw Data'!B195),"\$([A-Z]+)\$[0-9]+"))</f>
        <v/>
      </c>
      <c r="C195" s="7" t="str" cm="1">
        <f t="array" aca="1" ref="C195" ca="1">IFERROR(IF(OR('Raw Data'!C195="",LEN(TRIM('Raw Data'!C195))=0),"",IF(AND(LEN('Raw Data'!C195) &lt;= 255,LEN('Raw Data'!C195)&gt; 0),"",_xlfn.REGEXEXTRACT(CELL("address",'Raw Data'!C195),"\$([A-Z]+)\$[0-9]+"))),_xlfn.REGEXEXTRACT(CELL("address",'Raw Data'!C195),"\$([A-Z]+)\$[0-9]+"))</f>
        <v/>
      </c>
      <c r="D195" s="7" t="str" cm="1">
        <f t="array" aca="1" ref="D195" ca="1">IFERROR(IF(OR('Raw Data'!D195="",LEN(TRIM('Raw Data'!D195))=0),"",IF(AND(ISNUMBER('Raw Data'!D195), IFERROR('Raw Data'!D195 = ROUND('Raw Data'!D195, 2),FALSE)),"",_xlfn.REGEXEXTRACT(CELL("address",D195), "\$([A-Z]+)\$[0-9]+"))),_xlfn.REGEXEXTRACT(CELL("address",D195), "\$([A-Z]+)\$[0-9]+"))</f>
        <v/>
      </c>
      <c r="E195" s="7" t="str" cm="1">
        <f t="array" aca="1" ref="E195" ca="1">IFERROR(IF(OR('Raw Data'!E195="",LEN(TRIM('Raw Data'!E195))=0),"",IF(AND(ISNUMBER('Raw Data'!E195), IFERROR('Raw Data'!E195 = ROUND('Raw Data'!E195, 2),FALSE)),"",_xlfn.REGEXEXTRACT(CELL("address",E195), "\$([A-Z]+)\$[0-9]+"))),_xlfn.REGEXEXTRACT(CELL("address",E195), "\$([A-Z]+)\$[0-9]+"))</f>
        <v/>
      </c>
      <c r="F195" s="7" t="str" cm="1">
        <f t="array" aca="1" ref="F195" ca="1">IFERROR(IF(OR('Raw Data'!F195="",LEN(TRIM('Raw Data'!F195))=0),"",IF(AND(ISNUMBER('Raw Data'!F195), IFERROR('Raw Data'!F195 = ROUND('Raw Data'!F195, 2),FALSE)),"",_xlfn.REGEXEXTRACT(CELL("address",F195), "\$([A-Z]+)\$[0-9]+"))),_xlfn.REGEXEXTRACT(CELL("address",F195), "\$([A-Z]+)\$[0-9]+"))</f>
        <v/>
      </c>
      <c r="G195" s="7" t="str" cm="1">
        <f t="array" aca="1" ref="G195" ca="1">IFERROR(IF(OR('Raw Data'!G195="",LEN(TRIM('Raw Data'!G195))=0),"",IF(LEN('Raw Data'!G195)&gt; 0,"",_xlfn.REGEXEXTRACT(CELL("address",'Raw Data'!G195),"\$([A-Z]+)\$[0-9]+"))),_xlfn.REGEXEXTRACT(CELL("address",'Raw Data'!G195),"\$([A-Z]+)\$[0-9]+"))</f>
        <v/>
      </c>
    </row>
    <row r="196" spans="2:7" x14ac:dyDescent="0.25">
      <c r="B196" s="7" t="str" cm="1">
        <f t="array" aca="1" ref="B196" ca="1">IFERROR(IF(OR('Raw Data'!B196="",LEN(TRIM('Raw Data'!B196))=0),"",IF(AND(LEN('Raw Data'!B196) &lt;= 20,LEN('Raw Data'!B196)&gt; 0),"",_xlfn.REGEXEXTRACT(CELL("address",'Raw Data'!B196),"\$([A-Z]+)\$[0-9]+"))),_xlfn.REGEXEXTRACT(CELL("address",'Raw Data'!B196),"\$([A-Z]+)\$[0-9]+"))</f>
        <v/>
      </c>
      <c r="C196" s="7" t="str" cm="1">
        <f t="array" aca="1" ref="C196" ca="1">IFERROR(IF(OR('Raw Data'!C196="",LEN(TRIM('Raw Data'!C196))=0),"",IF(AND(LEN('Raw Data'!C196) &lt;= 255,LEN('Raw Data'!C196)&gt; 0),"",_xlfn.REGEXEXTRACT(CELL("address",'Raw Data'!C196),"\$([A-Z]+)\$[0-9]+"))),_xlfn.REGEXEXTRACT(CELL("address",'Raw Data'!C196),"\$([A-Z]+)\$[0-9]+"))</f>
        <v/>
      </c>
      <c r="D196" s="7" t="str" cm="1">
        <f t="array" aca="1" ref="D196" ca="1">IFERROR(IF(OR('Raw Data'!D196="",LEN(TRIM('Raw Data'!D196))=0),"",IF(AND(ISNUMBER('Raw Data'!D196), IFERROR('Raw Data'!D196 = ROUND('Raw Data'!D196, 2),FALSE)),"",_xlfn.REGEXEXTRACT(CELL("address",D196), "\$([A-Z]+)\$[0-9]+"))),_xlfn.REGEXEXTRACT(CELL("address",D196), "\$([A-Z]+)\$[0-9]+"))</f>
        <v/>
      </c>
      <c r="E196" s="7" t="str" cm="1">
        <f t="array" aca="1" ref="E196" ca="1">IFERROR(IF(OR('Raw Data'!E196="",LEN(TRIM('Raw Data'!E196))=0),"",IF(AND(ISNUMBER('Raw Data'!E196), IFERROR('Raw Data'!E196 = ROUND('Raw Data'!E196, 2),FALSE)),"",_xlfn.REGEXEXTRACT(CELL("address",E196), "\$([A-Z]+)\$[0-9]+"))),_xlfn.REGEXEXTRACT(CELL("address",E196), "\$([A-Z]+)\$[0-9]+"))</f>
        <v/>
      </c>
      <c r="F196" s="7" t="str" cm="1">
        <f t="array" aca="1" ref="F196" ca="1">IFERROR(IF(OR('Raw Data'!F196="",LEN(TRIM('Raw Data'!F196))=0),"",IF(AND(ISNUMBER('Raw Data'!F196), IFERROR('Raw Data'!F196 = ROUND('Raw Data'!F196, 2),FALSE)),"",_xlfn.REGEXEXTRACT(CELL("address",F196), "\$([A-Z]+)\$[0-9]+"))),_xlfn.REGEXEXTRACT(CELL("address",F196), "\$([A-Z]+)\$[0-9]+"))</f>
        <v/>
      </c>
      <c r="G196" s="7" t="str" cm="1">
        <f t="array" aca="1" ref="G196" ca="1">IFERROR(IF(OR('Raw Data'!G196="",LEN(TRIM('Raw Data'!G196))=0),"",IF(LEN('Raw Data'!G196)&gt; 0,"",_xlfn.REGEXEXTRACT(CELL("address",'Raw Data'!G196),"\$([A-Z]+)\$[0-9]+"))),_xlfn.REGEXEXTRACT(CELL("address",'Raw Data'!G196),"\$([A-Z]+)\$[0-9]+"))</f>
        <v/>
      </c>
    </row>
    <row r="197" spans="2:7" x14ac:dyDescent="0.25">
      <c r="B197" s="7" t="str" cm="1">
        <f t="array" aca="1" ref="B197" ca="1">IFERROR(IF(OR('Raw Data'!B197="",LEN(TRIM('Raw Data'!B197))=0),"",IF(AND(LEN('Raw Data'!B197) &lt;= 20,LEN('Raw Data'!B197)&gt; 0),"",_xlfn.REGEXEXTRACT(CELL("address",'Raw Data'!B197),"\$([A-Z]+)\$[0-9]+"))),_xlfn.REGEXEXTRACT(CELL("address",'Raw Data'!B197),"\$([A-Z]+)\$[0-9]+"))</f>
        <v/>
      </c>
      <c r="C197" s="7" t="str" cm="1">
        <f t="array" aca="1" ref="C197" ca="1">IFERROR(IF(OR('Raw Data'!C197="",LEN(TRIM('Raw Data'!C197))=0),"",IF(AND(LEN('Raw Data'!C197) &lt;= 255,LEN('Raw Data'!C197)&gt; 0),"",_xlfn.REGEXEXTRACT(CELL("address",'Raw Data'!C197),"\$([A-Z]+)\$[0-9]+"))),_xlfn.REGEXEXTRACT(CELL("address",'Raw Data'!C197),"\$([A-Z]+)\$[0-9]+"))</f>
        <v/>
      </c>
      <c r="D197" s="7" t="str" cm="1">
        <f t="array" aca="1" ref="D197" ca="1">IFERROR(IF(OR('Raw Data'!D197="",LEN(TRIM('Raw Data'!D197))=0),"",IF(AND(ISNUMBER('Raw Data'!D197), IFERROR('Raw Data'!D197 = ROUND('Raw Data'!D197, 2),FALSE)),"",_xlfn.REGEXEXTRACT(CELL("address",D197), "\$([A-Z]+)\$[0-9]+"))),_xlfn.REGEXEXTRACT(CELL("address",D197), "\$([A-Z]+)\$[0-9]+"))</f>
        <v/>
      </c>
      <c r="E197" s="7" t="str" cm="1">
        <f t="array" aca="1" ref="E197" ca="1">IFERROR(IF(OR('Raw Data'!E197="",LEN(TRIM('Raw Data'!E197))=0),"",IF(AND(ISNUMBER('Raw Data'!E197), IFERROR('Raw Data'!E197 = ROUND('Raw Data'!E197, 2),FALSE)),"",_xlfn.REGEXEXTRACT(CELL("address",E197), "\$([A-Z]+)\$[0-9]+"))),_xlfn.REGEXEXTRACT(CELL("address",E197), "\$([A-Z]+)\$[0-9]+"))</f>
        <v/>
      </c>
      <c r="F197" s="7" t="str" cm="1">
        <f t="array" aca="1" ref="F197" ca="1">IFERROR(IF(OR('Raw Data'!F197="",LEN(TRIM('Raw Data'!F197))=0),"",IF(AND(ISNUMBER('Raw Data'!F197), IFERROR('Raw Data'!F197 = ROUND('Raw Data'!F197, 2),FALSE)),"",_xlfn.REGEXEXTRACT(CELL("address",F197), "\$([A-Z]+)\$[0-9]+"))),_xlfn.REGEXEXTRACT(CELL("address",F197), "\$([A-Z]+)\$[0-9]+"))</f>
        <v/>
      </c>
      <c r="G197" s="7" t="str" cm="1">
        <f t="array" aca="1" ref="G197" ca="1">IFERROR(IF(OR('Raw Data'!G197="",LEN(TRIM('Raw Data'!G197))=0),"",IF(LEN('Raw Data'!G197)&gt; 0,"",_xlfn.REGEXEXTRACT(CELL("address",'Raw Data'!G197),"\$([A-Z]+)\$[0-9]+"))),_xlfn.REGEXEXTRACT(CELL("address",'Raw Data'!G197),"\$([A-Z]+)\$[0-9]+"))</f>
        <v/>
      </c>
    </row>
    <row r="198" spans="2:7" x14ac:dyDescent="0.25">
      <c r="B198" s="7" t="str" cm="1">
        <f t="array" aca="1" ref="B198" ca="1">IFERROR(IF(OR('Raw Data'!B198="",LEN(TRIM('Raw Data'!B198))=0),"",IF(AND(LEN('Raw Data'!B198) &lt;= 20,LEN('Raw Data'!B198)&gt; 0),"",_xlfn.REGEXEXTRACT(CELL("address",'Raw Data'!B198),"\$([A-Z]+)\$[0-9]+"))),_xlfn.REGEXEXTRACT(CELL("address",'Raw Data'!B198),"\$([A-Z]+)\$[0-9]+"))</f>
        <v/>
      </c>
      <c r="C198" s="7" t="str" cm="1">
        <f t="array" aca="1" ref="C198" ca="1">IFERROR(IF(OR('Raw Data'!C198="",LEN(TRIM('Raw Data'!C198))=0),"",IF(AND(LEN('Raw Data'!C198) &lt;= 255,LEN('Raw Data'!C198)&gt; 0),"",_xlfn.REGEXEXTRACT(CELL("address",'Raw Data'!C198),"\$([A-Z]+)\$[0-9]+"))),_xlfn.REGEXEXTRACT(CELL("address",'Raw Data'!C198),"\$([A-Z]+)\$[0-9]+"))</f>
        <v/>
      </c>
      <c r="D198" s="7" t="str" cm="1">
        <f t="array" aca="1" ref="D198" ca="1">IFERROR(IF(OR('Raw Data'!D198="",LEN(TRIM('Raw Data'!D198))=0),"",IF(AND(ISNUMBER('Raw Data'!D198), IFERROR('Raw Data'!D198 = ROUND('Raw Data'!D198, 2),FALSE)),"",_xlfn.REGEXEXTRACT(CELL("address",D198), "\$([A-Z]+)\$[0-9]+"))),_xlfn.REGEXEXTRACT(CELL("address",D198), "\$([A-Z]+)\$[0-9]+"))</f>
        <v/>
      </c>
      <c r="E198" s="7" t="str" cm="1">
        <f t="array" aca="1" ref="E198" ca="1">IFERROR(IF(OR('Raw Data'!E198="",LEN(TRIM('Raw Data'!E198))=0),"",IF(AND(ISNUMBER('Raw Data'!E198), IFERROR('Raw Data'!E198 = ROUND('Raw Data'!E198, 2),FALSE)),"",_xlfn.REGEXEXTRACT(CELL("address",E198), "\$([A-Z]+)\$[0-9]+"))),_xlfn.REGEXEXTRACT(CELL("address",E198), "\$([A-Z]+)\$[0-9]+"))</f>
        <v/>
      </c>
      <c r="F198" s="7" t="str" cm="1">
        <f t="array" aca="1" ref="F198" ca="1">IFERROR(IF(OR('Raw Data'!F198="",LEN(TRIM('Raw Data'!F198))=0),"",IF(AND(ISNUMBER('Raw Data'!F198), IFERROR('Raw Data'!F198 = ROUND('Raw Data'!F198, 2),FALSE)),"",_xlfn.REGEXEXTRACT(CELL("address",F198), "\$([A-Z]+)\$[0-9]+"))),_xlfn.REGEXEXTRACT(CELL("address",F198), "\$([A-Z]+)\$[0-9]+"))</f>
        <v/>
      </c>
      <c r="G198" s="7" t="str" cm="1">
        <f t="array" aca="1" ref="G198" ca="1">IFERROR(IF(OR('Raw Data'!G198="",LEN(TRIM('Raw Data'!G198))=0),"",IF(LEN('Raw Data'!G198)&gt; 0,"",_xlfn.REGEXEXTRACT(CELL("address",'Raw Data'!G198),"\$([A-Z]+)\$[0-9]+"))),_xlfn.REGEXEXTRACT(CELL("address",'Raw Data'!G198),"\$([A-Z]+)\$[0-9]+"))</f>
        <v/>
      </c>
    </row>
    <row r="199" spans="2:7" x14ac:dyDescent="0.25">
      <c r="B199" s="7" t="str" cm="1">
        <f t="array" aca="1" ref="B199" ca="1">IFERROR(IF(OR('Raw Data'!B199="",LEN(TRIM('Raw Data'!B199))=0),"",IF(AND(LEN('Raw Data'!B199) &lt;= 20,LEN('Raw Data'!B199)&gt; 0),"",_xlfn.REGEXEXTRACT(CELL("address",'Raw Data'!B199),"\$([A-Z]+)\$[0-9]+"))),_xlfn.REGEXEXTRACT(CELL("address",'Raw Data'!B199),"\$([A-Z]+)\$[0-9]+"))</f>
        <v/>
      </c>
      <c r="C199" s="7" t="str" cm="1">
        <f t="array" aca="1" ref="C199" ca="1">IFERROR(IF(OR('Raw Data'!C199="",LEN(TRIM('Raw Data'!C199))=0),"",IF(AND(LEN('Raw Data'!C199) &lt;= 255,LEN('Raw Data'!C199)&gt; 0),"",_xlfn.REGEXEXTRACT(CELL("address",'Raw Data'!C199),"\$([A-Z]+)\$[0-9]+"))),_xlfn.REGEXEXTRACT(CELL("address",'Raw Data'!C199),"\$([A-Z]+)\$[0-9]+"))</f>
        <v/>
      </c>
      <c r="D199" s="7" t="str" cm="1">
        <f t="array" aca="1" ref="D199" ca="1">IFERROR(IF(OR('Raw Data'!D199="",LEN(TRIM('Raw Data'!D199))=0),"",IF(AND(ISNUMBER('Raw Data'!D199), IFERROR('Raw Data'!D199 = ROUND('Raw Data'!D199, 2),FALSE)),"",_xlfn.REGEXEXTRACT(CELL("address",D199), "\$([A-Z]+)\$[0-9]+"))),_xlfn.REGEXEXTRACT(CELL("address",D199), "\$([A-Z]+)\$[0-9]+"))</f>
        <v/>
      </c>
      <c r="E199" s="7" t="str" cm="1">
        <f t="array" aca="1" ref="E199" ca="1">IFERROR(IF(OR('Raw Data'!E199="",LEN(TRIM('Raw Data'!E199))=0),"",IF(AND(ISNUMBER('Raw Data'!E199), IFERROR('Raw Data'!E199 = ROUND('Raw Data'!E199, 2),FALSE)),"",_xlfn.REGEXEXTRACT(CELL("address",E199), "\$([A-Z]+)\$[0-9]+"))),_xlfn.REGEXEXTRACT(CELL("address",E199), "\$([A-Z]+)\$[0-9]+"))</f>
        <v/>
      </c>
      <c r="F199" s="7" t="str" cm="1">
        <f t="array" aca="1" ref="F199" ca="1">IFERROR(IF(OR('Raw Data'!F199="",LEN(TRIM('Raw Data'!F199))=0),"",IF(AND(ISNUMBER('Raw Data'!F199), IFERROR('Raw Data'!F199 = ROUND('Raw Data'!F199, 2),FALSE)),"",_xlfn.REGEXEXTRACT(CELL("address",F199), "\$([A-Z]+)\$[0-9]+"))),_xlfn.REGEXEXTRACT(CELL("address",F199), "\$([A-Z]+)\$[0-9]+"))</f>
        <v/>
      </c>
      <c r="G199" s="7" t="str" cm="1">
        <f t="array" aca="1" ref="G199" ca="1">IFERROR(IF(OR('Raw Data'!G199="",LEN(TRIM('Raw Data'!G199))=0),"",IF(LEN('Raw Data'!G199)&gt; 0,"",_xlfn.REGEXEXTRACT(CELL("address",'Raw Data'!G199),"\$([A-Z]+)\$[0-9]+"))),_xlfn.REGEXEXTRACT(CELL("address",'Raw Data'!G199),"\$([A-Z]+)\$[0-9]+"))</f>
        <v/>
      </c>
    </row>
    <row r="200" spans="2:7" x14ac:dyDescent="0.25">
      <c r="B200" s="7" t="str" cm="1">
        <f t="array" aca="1" ref="B200" ca="1">IFERROR(IF(OR('Raw Data'!B200="",LEN(TRIM('Raw Data'!B200))=0),"",IF(AND(LEN('Raw Data'!B200) &lt;= 20,LEN('Raw Data'!B200)&gt; 0),"",_xlfn.REGEXEXTRACT(CELL("address",'Raw Data'!B200),"\$([A-Z]+)\$[0-9]+"))),_xlfn.REGEXEXTRACT(CELL("address",'Raw Data'!B200),"\$([A-Z]+)\$[0-9]+"))</f>
        <v/>
      </c>
      <c r="C200" s="7" t="str" cm="1">
        <f t="array" aca="1" ref="C200" ca="1">IFERROR(IF(OR('Raw Data'!C200="",LEN(TRIM('Raw Data'!C200))=0),"",IF(AND(LEN('Raw Data'!C200) &lt;= 255,LEN('Raw Data'!C200)&gt; 0),"",_xlfn.REGEXEXTRACT(CELL("address",'Raw Data'!C200),"\$([A-Z]+)\$[0-9]+"))),_xlfn.REGEXEXTRACT(CELL("address",'Raw Data'!C200),"\$([A-Z]+)\$[0-9]+"))</f>
        <v/>
      </c>
      <c r="D200" s="7" t="str" cm="1">
        <f t="array" aca="1" ref="D200" ca="1">IFERROR(IF(OR('Raw Data'!D200="",LEN(TRIM('Raw Data'!D200))=0),"",IF(AND(ISNUMBER('Raw Data'!D200), IFERROR('Raw Data'!D200 = ROUND('Raw Data'!D200, 2),FALSE)),"",_xlfn.REGEXEXTRACT(CELL("address",D200), "\$([A-Z]+)\$[0-9]+"))),_xlfn.REGEXEXTRACT(CELL("address",D200), "\$([A-Z]+)\$[0-9]+"))</f>
        <v/>
      </c>
      <c r="E200" s="7" t="str" cm="1">
        <f t="array" aca="1" ref="E200" ca="1">IFERROR(IF(OR('Raw Data'!E200="",LEN(TRIM('Raw Data'!E200))=0),"",IF(AND(ISNUMBER('Raw Data'!E200), IFERROR('Raw Data'!E200 = ROUND('Raw Data'!E200, 2),FALSE)),"",_xlfn.REGEXEXTRACT(CELL("address",E200), "\$([A-Z]+)\$[0-9]+"))),_xlfn.REGEXEXTRACT(CELL("address",E200), "\$([A-Z]+)\$[0-9]+"))</f>
        <v/>
      </c>
      <c r="F200" s="7" t="str" cm="1">
        <f t="array" aca="1" ref="F200" ca="1">IFERROR(IF(OR('Raw Data'!F200="",LEN(TRIM('Raw Data'!F200))=0),"",IF(AND(ISNUMBER('Raw Data'!F200), IFERROR('Raw Data'!F200 = ROUND('Raw Data'!F200, 2),FALSE)),"",_xlfn.REGEXEXTRACT(CELL("address",F200), "\$([A-Z]+)\$[0-9]+"))),_xlfn.REGEXEXTRACT(CELL("address",F200), "\$([A-Z]+)\$[0-9]+"))</f>
        <v/>
      </c>
      <c r="G200" s="7" t="str" cm="1">
        <f t="array" aca="1" ref="G200" ca="1">IFERROR(IF(OR('Raw Data'!G200="",LEN(TRIM('Raw Data'!G200))=0),"",IF(LEN('Raw Data'!G200)&gt; 0,"",_xlfn.REGEXEXTRACT(CELL("address",'Raw Data'!G200),"\$([A-Z]+)\$[0-9]+"))),_xlfn.REGEXEXTRACT(CELL("address",'Raw Data'!G200),"\$([A-Z]+)\$[0-9]+"))</f>
        <v/>
      </c>
    </row>
    <row r="201" spans="2:7" x14ac:dyDescent="0.25">
      <c r="B201" s="7" t="str" cm="1">
        <f t="array" aca="1" ref="B201" ca="1">IFERROR(IF(OR('Raw Data'!B201="",LEN(TRIM('Raw Data'!B201))=0),"",IF(AND(LEN('Raw Data'!B201) &lt;= 20,LEN('Raw Data'!B201)&gt; 0),"",_xlfn.REGEXEXTRACT(CELL("address",'Raw Data'!B201),"\$([A-Z]+)\$[0-9]+"))),_xlfn.REGEXEXTRACT(CELL("address",'Raw Data'!B201),"\$([A-Z]+)\$[0-9]+"))</f>
        <v/>
      </c>
      <c r="C201" s="7" t="str" cm="1">
        <f t="array" aca="1" ref="C201" ca="1">IFERROR(IF(OR('Raw Data'!C201="",LEN(TRIM('Raw Data'!C201))=0),"",IF(AND(LEN('Raw Data'!C201) &lt;= 255,LEN('Raw Data'!C201)&gt; 0),"",_xlfn.REGEXEXTRACT(CELL("address",'Raw Data'!C201),"\$([A-Z]+)\$[0-9]+"))),_xlfn.REGEXEXTRACT(CELL("address",'Raw Data'!C201),"\$([A-Z]+)\$[0-9]+"))</f>
        <v/>
      </c>
      <c r="D201" s="7" t="str" cm="1">
        <f t="array" aca="1" ref="D201" ca="1">IFERROR(IF(OR('Raw Data'!D201="",LEN(TRIM('Raw Data'!D201))=0),"",IF(AND(ISNUMBER('Raw Data'!D201), IFERROR('Raw Data'!D201 = ROUND('Raw Data'!D201, 2),FALSE)),"",_xlfn.REGEXEXTRACT(CELL("address",D201), "\$([A-Z]+)\$[0-9]+"))),_xlfn.REGEXEXTRACT(CELL("address",D201), "\$([A-Z]+)\$[0-9]+"))</f>
        <v/>
      </c>
      <c r="E201" s="7" t="str" cm="1">
        <f t="array" aca="1" ref="E201" ca="1">IFERROR(IF(OR('Raw Data'!E201="",LEN(TRIM('Raw Data'!E201))=0),"",IF(AND(ISNUMBER('Raw Data'!E201), IFERROR('Raw Data'!E201 = ROUND('Raw Data'!E201, 2),FALSE)),"",_xlfn.REGEXEXTRACT(CELL("address",E201), "\$([A-Z]+)\$[0-9]+"))),_xlfn.REGEXEXTRACT(CELL("address",E201), "\$([A-Z]+)\$[0-9]+"))</f>
        <v/>
      </c>
      <c r="F201" s="7" t="str" cm="1">
        <f t="array" aca="1" ref="F201" ca="1">IFERROR(IF(OR('Raw Data'!F201="",LEN(TRIM('Raw Data'!F201))=0),"",IF(AND(ISNUMBER('Raw Data'!F201), IFERROR('Raw Data'!F201 = ROUND('Raw Data'!F201, 2),FALSE)),"",_xlfn.REGEXEXTRACT(CELL("address",F201), "\$([A-Z]+)\$[0-9]+"))),_xlfn.REGEXEXTRACT(CELL("address",F201), "\$([A-Z]+)\$[0-9]+"))</f>
        <v/>
      </c>
      <c r="G201" s="7" t="str" cm="1">
        <f t="array" aca="1" ref="G201" ca="1">IFERROR(IF(OR('Raw Data'!G201="",LEN(TRIM('Raw Data'!G201))=0),"",IF(LEN('Raw Data'!G201)&gt; 0,"",_xlfn.REGEXEXTRACT(CELL("address",'Raw Data'!G201),"\$([A-Z]+)\$[0-9]+"))),_xlfn.REGEXEXTRACT(CELL("address",'Raw Data'!G201),"\$([A-Z]+)\$[0-9]+"))</f>
        <v/>
      </c>
    </row>
    <row r="202" spans="2:7" x14ac:dyDescent="0.25">
      <c r="B202" s="7" t="str" cm="1">
        <f t="array" aca="1" ref="B202" ca="1">IFERROR(IF(OR('Raw Data'!B202="",LEN(TRIM('Raw Data'!B202))=0),"",IF(AND(LEN('Raw Data'!B202) &lt;= 20,LEN('Raw Data'!B202)&gt; 0),"",_xlfn.REGEXEXTRACT(CELL("address",'Raw Data'!B202),"\$([A-Z]+)\$[0-9]+"))),_xlfn.REGEXEXTRACT(CELL("address",'Raw Data'!B202),"\$([A-Z]+)\$[0-9]+"))</f>
        <v/>
      </c>
      <c r="C202" s="7" t="str" cm="1">
        <f t="array" aca="1" ref="C202" ca="1">IFERROR(IF(OR('Raw Data'!C202="",LEN(TRIM('Raw Data'!C202))=0),"",IF(AND(LEN('Raw Data'!C202) &lt;= 255,LEN('Raw Data'!C202)&gt; 0),"",_xlfn.REGEXEXTRACT(CELL("address",'Raw Data'!C202),"\$([A-Z]+)\$[0-9]+"))),_xlfn.REGEXEXTRACT(CELL("address",'Raw Data'!C202),"\$([A-Z]+)\$[0-9]+"))</f>
        <v/>
      </c>
      <c r="D202" s="7" t="str" cm="1">
        <f t="array" aca="1" ref="D202" ca="1">IFERROR(IF(OR('Raw Data'!D202="",LEN(TRIM('Raw Data'!D202))=0),"",IF(AND(ISNUMBER('Raw Data'!D202), IFERROR('Raw Data'!D202 = ROUND('Raw Data'!D202, 2),FALSE)),"",_xlfn.REGEXEXTRACT(CELL("address",D202), "\$([A-Z]+)\$[0-9]+"))),_xlfn.REGEXEXTRACT(CELL("address",D202), "\$([A-Z]+)\$[0-9]+"))</f>
        <v/>
      </c>
      <c r="E202" s="7" t="str" cm="1">
        <f t="array" aca="1" ref="E202" ca="1">IFERROR(IF(OR('Raw Data'!E202="",LEN(TRIM('Raw Data'!E202))=0),"",IF(AND(ISNUMBER('Raw Data'!E202), IFERROR('Raw Data'!E202 = ROUND('Raw Data'!E202, 2),FALSE)),"",_xlfn.REGEXEXTRACT(CELL("address",E202), "\$([A-Z]+)\$[0-9]+"))),_xlfn.REGEXEXTRACT(CELL("address",E202), "\$([A-Z]+)\$[0-9]+"))</f>
        <v/>
      </c>
      <c r="F202" s="7" t="str" cm="1">
        <f t="array" aca="1" ref="F202" ca="1">IFERROR(IF(OR('Raw Data'!F202="",LEN(TRIM('Raw Data'!F202))=0),"",IF(AND(ISNUMBER('Raw Data'!F202), IFERROR('Raw Data'!F202 = ROUND('Raw Data'!F202, 2),FALSE)),"",_xlfn.REGEXEXTRACT(CELL("address",F202), "\$([A-Z]+)\$[0-9]+"))),_xlfn.REGEXEXTRACT(CELL("address",F202), "\$([A-Z]+)\$[0-9]+"))</f>
        <v/>
      </c>
      <c r="G202" s="7" t="str" cm="1">
        <f t="array" aca="1" ref="G202" ca="1">IFERROR(IF(OR('Raw Data'!G202="",LEN(TRIM('Raw Data'!G202))=0),"",IF(LEN('Raw Data'!G202)&gt; 0,"",_xlfn.REGEXEXTRACT(CELL("address",'Raw Data'!G202),"\$([A-Z]+)\$[0-9]+"))),_xlfn.REGEXEXTRACT(CELL("address",'Raw Data'!G202),"\$([A-Z]+)\$[0-9]+"))</f>
        <v/>
      </c>
    </row>
    <row r="203" spans="2:7" x14ac:dyDescent="0.25">
      <c r="B203" s="7" t="str" cm="1">
        <f t="array" aca="1" ref="B203" ca="1">IFERROR(IF(OR('Raw Data'!B203="",LEN(TRIM('Raw Data'!B203))=0),"",IF(AND(LEN('Raw Data'!B203) &lt;= 20,LEN('Raw Data'!B203)&gt; 0),"",_xlfn.REGEXEXTRACT(CELL("address",'Raw Data'!B203),"\$([A-Z]+)\$[0-9]+"))),_xlfn.REGEXEXTRACT(CELL("address",'Raw Data'!B203),"\$([A-Z]+)\$[0-9]+"))</f>
        <v/>
      </c>
      <c r="C203" s="7" t="str" cm="1">
        <f t="array" aca="1" ref="C203" ca="1">IFERROR(IF(OR('Raw Data'!C203="",LEN(TRIM('Raw Data'!C203))=0),"",IF(AND(LEN('Raw Data'!C203) &lt;= 255,LEN('Raw Data'!C203)&gt; 0),"",_xlfn.REGEXEXTRACT(CELL("address",'Raw Data'!C203),"\$([A-Z]+)\$[0-9]+"))),_xlfn.REGEXEXTRACT(CELL("address",'Raw Data'!C203),"\$([A-Z]+)\$[0-9]+"))</f>
        <v/>
      </c>
      <c r="D203" s="7" t="str" cm="1">
        <f t="array" aca="1" ref="D203" ca="1">IFERROR(IF(OR('Raw Data'!D203="",LEN(TRIM('Raw Data'!D203))=0),"",IF(AND(ISNUMBER('Raw Data'!D203), IFERROR('Raw Data'!D203 = ROUND('Raw Data'!D203, 2),FALSE)),"",_xlfn.REGEXEXTRACT(CELL("address",D203), "\$([A-Z]+)\$[0-9]+"))),_xlfn.REGEXEXTRACT(CELL("address",D203), "\$([A-Z]+)\$[0-9]+"))</f>
        <v/>
      </c>
      <c r="E203" s="7" t="str" cm="1">
        <f t="array" aca="1" ref="E203" ca="1">IFERROR(IF(OR('Raw Data'!E203="",LEN(TRIM('Raw Data'!E203))=0),"",IF(AND(ISNUMBER('Raw Data'!E203), IFERROR('Raw Data'!E203 = ROUND('Raw Data'!E203, 2),FALSE)),"",_xlfn.REGEXEXTRACT(CELL("address",E203), "\$([A-Z]+)\$[0-9]+"))),_xlfn.REGEXEXTRACT(CELL("address",E203), "\$([A-Z]+)\$[0-9]+"))</f>
        <v/>
      </c>
      <c r="F203" s="7" t="str" cm="1">
        <f t="array" aca="1" ref="F203" ca="1">IFERROR(IF(OR('Raw Data'!F203="",LEN(TRIM('Raw Data'!F203))=0),"",IF(AND(ISNUMBER('Raw Data'!F203), IFERROR('Raw Data'!F203 = ROUND('Raw Data'!F203, 2),FALSE)),"",_xlfn.REGEXEXTRACT(CELL("address",F203), "\$([A-Z]+)\$[0-9]+"))),_xlfn.REGEXEXTRACT(CELL("address",F203), "\$([A-Z]+)\$[0-9]+"))</f>
        <v/>
      </c>
      <c r="G203" s="7" t="str" cm="1">
        <f t="array" aca="1" ref="G203" ca="1">IFERROR(IF(OR('Raw Data'!G203="",LEN(TRIM('Raw Data'!G203))=0),"",IF(LEN('Raw Data'!G203)&gt; 0,"",_xlfn.REGEXEXTRACT(CELL("address",'Raw Data'!G203),"\$([A-Z]+)\$[0-9]+"))),_xlfn.REGEXEXTRACT(CELL("address",'Raw Data'!G203),"\$([A-Z]+)\$[0-9]+"))</f>
        <v/>
      </c>
    </row>
    <row r="204" spans="2:7" x14ac:dyDescent="0.25">
      <c r="B204" s="7" t="str" cm="1">
        <f t="array" aca="1" ref="B204" ca="1">IFERROR(IF(OR('Raw Data'!B204="",LEN(TRIM('Raw Data'!B204))=0),"",IF(AND(LEN('Raw Data'!B204) &lt;= 20,LEN('Raw Data'!B204)&gt; 0),"",_xlfn.REGEXEXTRACT(CELL("address",'Raw Data'!B204),"\$([A-Z]+)\$[0-9]+"))),_xlfn.REGEXEXTRACT(CELL("address",'Raw Data'!B204),"\$([A-Z]+)\$[0-9]+"))</f>
        <v/>
      </c>
      <c r="C204" s="7" t="str" cm="1">
        <f t="array" aca="1" ref="C204" ca="1">IFERROR(IF(OR('Raw Data'!C204="",LEN(TRIM('Raw Data'!C204))=0),"",IF(AND(LEN('Raw Data'!C204) &lt;= 255,LEN('Raw Data'!C204)&gt; 0),"",_xlfn.REGEXEXTRACT(CELL("address",'Raw Data'!C204),"\$([A-Z]+)\$[0-9]+"))),_xlfn.REGEXEXTRACT(CELL("address",'Raw Data'!C204),"\$([A-Z]+)\$[0-9]+"))</f>
        <v/>
      </c>
      <c r="D204" s="7" t="str" cm="1">
        <f t="array" aca="1" ref="D204" ca="1">IFERROR(IF(OR('Raw Data'!D204="",LEN(TRIM('Raw Data'!D204))=0),"",IF(AND(ISNUMBER('Raw Data'!D204), IFERROR('Raw Data'!D204 = ROUND('Raw Data'!D204, 2),FALSE)),"",_xlfn.REGEXEXTRACT(CELL("address",D204), "\$([A-Z]+)\$[0-9]+"))),_xlfn.REGEXEXTRACT(CELL("address",D204), "\$([A-Z]+)\$[0-9]+"))</f>
        <v/>
      </c>
      <c r="E204" s="7" t="str" cm="1">
        <f t="array" aca="1" ref="E204" ca="1">IFERROR(IF(OR('Raw Data'!E204="",LEN(TRIM('Raw Data'!E204))=0),"",IF(AND(ISNUMBER('Raw Data'!E204), IFERROR('Raw Data'!E204 = ROUND('Raw Data'!E204, 2),FALSE)),"",_xlfn.REGEXEXTRACT(CELL("address",E204), "\$([A-Z]+)\$[0-9]+"))),_xlfn.REGEXEXTRACT(CELL("address",E204), "\$([A-Z]+)\$[0-9]+"))</f>
        <v/>
      </c>
      <c r="F204" s="7" t="str" cm="1">
        <f t="array" aca="1" ref="F204" ca="1">IFERROR(IF(OR('Raw Data'!F204="",LEN(TRIM('Raw Data'!F204))=0),"",IF(AND(ISNUMBER('Raw Data'!F204), IFERROR('Raw Data'!F204 = ROUND('Raw Data'!F204, 2),FALSE)),"",_xlfn.REGEXEXTRACT(CELL("address",F204), "\$([A-Z]+)\$[0-9]+"))),_xlfn.REGEXEXTRACT(CELL("address",F204), "\$([A-Z]+)\$[0-9]+"))</f>
        <v/>
      </c>
      <c r="G204" s="7" t="str" cm="1">
        <f t="array" aca="1" ref="G204" ca="1">IFERROR(IF(OR('Raw Data'!G204="",LEN(TRIM('Raw Data'!G204))=0),"",IF(LEN('Raw Data'!G204)&gt; 0,"",_xlfn.REGEXEXTRACT(CELL("address",'Raw Data'!G204),"\$([A-Z]+)\$[0-9]+"))),_xlfn.REGEXEXTRACT(CELL("address",'Raw Data'!G204),"\$([A-Z]+)\$[0-9]+"))</f>
        <v/>
      </c>
    </row>
    <row r="205" spans="2:7" x14ac:dyDescent="0.25">
      <c r="B205" s="7" t="str" cm="1">
        <f t="array" aca="1" ref="B205" ca="1">IFERROR(IF(OR('Raw Data'!B205="",LEN(TRIM('Raw Data'!B205))=0),"",IF(AND(LEN('Raw Data'!B205) &lt;= 20,LEN('Raw Data'!B205)&gt; 0),"",_xlfn.REGEXEXTRACT(CELL("address",'Raw Data'!B205),"\$([A-Z]+)\$[0-9]+"))),_xlfn.REGEXEXTRACT(CELL("address",'Raw Data'!B205),"\$([A-Z]+)\$[0-9]+"))</f>
        <v/>
      </c>
      <c r="C205" s="7" t="str" cm="1">
        <f t="array" aca="1" ref="C205" ca="1">IFERROR(IF(OR('Raw Data'!C205="",LEN(TRIM('Raw Data'!C205))=0),"",IF(AND(LEN('Raw Data'!C205) &lt;= 255,LEN('Raw Data'!C205)&gt; 0),"",_xlfn.REGEXEXTRACT(CELL("address",'Raw Data'!C205),"\$([A-Z]+)\$[0-9]+"))),_xlfn.REGEXEXTRACT(CELL("address",'Raw Data'!C205),"\$([A-Z]+)\$[0-9]+"))</f>
        <v/>
      </c>
      <c r="D205" s="7" t="str" cm="1">
        <f t="array" aca="1" ref="D205" ca="1">IFERROR(IF(OR('Raw Data'!D205="",LEN(TRIM('Raw Data'!D205))=0),"",IF(AND(ISNUMBER('Raw Data'!D205), IFERROR('Raw Data'!D205 = ROUND('Raw Data'!D205, 2),FALSE)),"",_xlfn.REGEXEXTRACT(CELL("address",D205), "\$([A-Z]+)\$[0-9]+"))),_xlfn.REGEXEXTRACT(CELL("address",D205), "\$([A-Z]+)\$[0-9]+"))</f>
        <v/>
      </c>
      <c r="E205" s="7" t="str" cm="1">
        <f t="array" aca="1" ref="E205" ca="1">IFERROR(IF(OR('Raw Data'!E205="",LEN(TRIM('Raw Data'!E205))=0),"",IF(AND(ISNUMBER('Raw Data'!E205), IFERROR('Raw Data'!E205 = ROUND('Raw Data'!E205, 2),FALSE)),"",_xlfn.REGEXEXTRACT(CELL("address",E205), "\$([A-Z]+)\$[0-9]+"))),_xlfn.REGEXEXTRACT(CELL("address",E205), "\$([A-Z]+)\$[0-9]+"))</f>
        <v/>
      </c>
      <c r="F205" s="7" t="str" cm="1">
        <f t="array" aca="1" ref="F205" ca="1">IFERROR(IF(OR('Raw Data'!F205="",LEN(TRIM('Raw Data'!F205))=0),"",IF(AND(ISNUMBER('Raw Data'!F205), IFERROR('Raw Data'!F205 = ROUND('Raw Data'!F205, 2),FALSE)),"",_xlfn.REGEXEXTRACT(CELL("address",F205), "\$([A-Z]+)\$[0-9]+"))),_xlfn.REGEXEXTRACT(CELL("address",F205), "\$([A-Z]+)\$[0-9]+"))</f>
        <v/>
      </c>
      <c r="G205" s="7" t="str" cm="1">
        <f t="array" aca="1" ref="G205" ca="1">IFERROR(IF(OR('Raw Data'!G205="",LEN(TRIM('Raw Data'!G205))=0),"",IF(LEN('Raw Data'!G205)&gt; 0,"",_xlfn.REGEXEXTRACT(CELL("address",'Raw Data'!G205),"\$([A-Z]+)\$[0-9]+"))),_xlfn.REGEXEXTRACT(CELL("address",'Raw Data'!G205),"\$([A-Z]+)\$[0-9]+"))</f>
        <v/>
      </c>
    </row>
    <row r="206" spans="2:7" x14ac:dyDescent="0.25">
      <c r="B206" s="7" t="str" cm="1">
        <f t="array" aca="1" ref="B206" ca="1">IFERROR(IF(OR('Raw Data'!B206="",LEN(TRIM('Raw Data'!B206))=0),"",IF(AND(LEN('Raw Data'!B206) &lt;= 20,LEN('Raw Data'!B206)&gt; 0),"",_xlfn.REGEXEXTRACT(CELL("address",'Raw Data'!B206),"\$([A-Z]+)\$[0-9]+"))),_xlfn.REGEXEXTRACT(CELL("address",'Raw Data'!B206),"\$([A-Z]+)\$[0-9]+"))</f>
        <v/>
      </c>
      <c r="C206" s="7" t="str" cm="1">
        <f t="array" aca="1" ref="C206" ca="1">IFERROR(IF(OR('Raw Data'!C206="",LEN(TRIM('Raw Data'!C206))=0),"",IF(AND(LEN('Raw Data'!C206) &lt;= 255,LEN('Raw Data'!C206)&gt; 0),"",_xlfn.REGEXEXTRACT(CELL("address",'Raw Data'!C206),"\$([A-Z]+)\$[0-9]+"))),_xlfn.REGEXEXTRACT(CELL("address",'Raw Data'!C206),"\$([A-Z]+)\$[0-9]+"))</f>
        <v/>
      </c>
      <c r="D206" s="7" t="str" cm="1">
        <f t="array" aca="1" ref="D206" ca="1">IFERROR(IF(OR('Raw Data'!D206="",LEN(TRIM('Raw Data'!D206))=0),"",IF(AND(ISNUMBER('Raw Data'!D206), IFERROR('Raw Data'!D206 = ROUND('Raw Data'!D206, 2),FALSE)),"",_xlfn.REGEXEXTRACT(CELL("address",D206), "\$([A-Z]+)\$[0-9]+"))),_xlfn.REGEXEXTRACT(CELL("address",D206), "\$([A-Z]+)\$[0-9]+"))</f>
        <v/>
      </c>
      <c r="E206" s="7" t="str" cm="1">
        <f t="array" aca="1" ref="E206" ca="1">IFERROR(IF(OR('Raw Data'!E206="",LEN(TRIM('Raw Data'!E206))=0),"",IF(AND(ISNUMBER('Raw Data'!E206), IFERROR('Raw Data'!E206 = ROUND('Raw Data'!E206, 2),FALSE)),"",_xlfn.REGEXEXTRACT(CELL("address",E206), "\$([A-Z]+)\$[0-9]+"))),_xlfn.REGEXEXTRACT(CELL("address",E206), "\$([A-Z]+)\$[0-9]+"))</f>
        <v/>
      </c>
      <c r="F206" s="7" t="str" cm="1">
        <f t="array" aca="1" ref="F206" ca="1">IFERROR(IF(OR('Raw Data'!F206="",LEN(TRIM('Raw Data'!F206))=0),"",IF(AND(ISNUMBER('Raw Data'!F206), IFERROR('Raw Data'!F206 = ROUND('Raw Data'!F206, 2),FALSE)),"",_xlfn.REGEXEXTRACT(CELL("address",F206), "\$([A-Z]+)\$[0-9]+"))),_xlfn.REGEXEXTRACT(CELL("address",F206), "\$([A-Z]+)\$[0-9]+"))</f>
        <v/>
      </c>
      <c r="G206" s="7" t="str" cm="1">
        <f t="array" aca="1" ref="G206" ca="1">IFERROR(IF(OR('Raw Data'!G206="",LEN(TRIM('Raw Data'!G206))=0),"",IF(LEN('Raw Data'!G206)&gt; 0,"",_xlfn.REGEXEXTRACT(CELL("address",'Raw Data'!G206),"\$([A-Z]+)\$[0-9]+"))),_xlfn.REGEXEXTRACT(CELL("address",'Raw Data'!G206),"\$([A-Z]+)\$[0-9]+"))</f>
        <v/>
      </c>
    </row>
    <row r="207" spans="2:7" x14ac:dyDescent="0.25">
      <c r="B207" s="7" t="str" cm="1">
        <f t="array" aca="1" ref="B207" ca="1">IFERROR(IF(OR('Raw Data'!B207="",LEN(TRIM('Raw Data'!B207))=0),"",IF(AND(LEN('Raw Data'!B207) &lt;= 20,LEN('Raw Data'!B207)&gt; 0),"",_xlfn.REGEXEXTRACT(CELL("address",'Raw Data'!B207),"\$([A-Z]+)\$[0-9]+"))),_xlfn.REGEXEXTRACT(CELL("address",'Raw Data'!B207),"\$([A-Z]+)\$[0-9]+"))</f>
        <v/>
      </c>
      <c r="C207" s="7" t="str" cm="1">
        <f t="array" aca="1" ref="C207" ca="1">IFERROR(IF(OR('Raw Data'!C207="",LEN(TRIM('Raw Data'!C207))=0),"",IF(AND(LEN('Raw Data'!C207) &lt;= 255,LEN('Raw Data'!C207)&gt; 0),"",_xlfn.REGEXEXTRACT(CELL("address",'Raw Data'!C207),"\$([A-Z]+)\$[0-9]+"))),_xlfn.REGEXEXTRACT(CELL("address",'Raw Data'!C207),"\$([A-Z]+)\$[0-9]+"))</f>
        <v/>
      </c>
      <c r="D207" s="7" t="str" cm="1">
        <f t="array" aca="1" ref="D207" ca="1">IFERROR(IF(OR('Raw Data'!D207="",LEN(TRIM('Raw Data'!D207))=0),"",IF(AND(ISNUMBER('Raw Data'!D207), IFERROR('Raw Data'!D207 = ROUND('Raw Data'!D207, 2),FALSE)),"",_xlfn.REGEXEXTRACT(CELL("address",D207), "\$([A-Z]+)\$[0-9]+"))),_xlfn.REGEXEXTRACT(CELL("address",D207), "\$([A-Z]+)\$[0-9]+"))</f>
        <v/>
      </c>
      <c r="E207" s="7" t="str" cm="1">
        <f t="array" aca="1" ref="E207" ca="1">IFERROR(IF(OR('Raw Data'!E207="",LEN(TRIM('Raw Data'!E207))=0),"",IF(AND(ISNUMBER('Raw Data'!E207), IFERROR('Raw Data'!E207 = ROUND('Raw Data'!E207, 2),FALSE)),"",_xlfn.REGEXEXTRACT(CELL("address",E207), "\$([A-Z]+)\$[0-9]+"))),_xlfn.REGEXEXTRACT(CELL("address",E207), "\$([A-Z]+)\$[0-9]+"))</f>
        <v/>
      </c>
      <c r="F207" s="7" t="str" cm="1">
        <f t="array" aca="1" ref="F207" ca="1">IFERROR(IF(OR('Raw Data'!F207="",LEN(TRIM('Raw Data'!F207))=0),"",IF(AND(ISNUMBER('Raw Data'!F207), IFERROR('Raw Data'!F207 = ROUND('Raw Data'!F207, 2),FALSE)),"",_xlfn.REGEXEXTRACT(CELL("address",F207), "\$([A-Z]+)\$[0-9]+"))),_xlfn.REGEXEXTRACT(CELL("address",F207), "\$([A-Z]+)\$[0-9]+"))</f>
        <v/>
      </c>
      <c r="G207" s="7" t="str" cm="1">
        <f t="array" aca="1" ref="G207" ca="1">IFERROR(IF(OR('Raw Data'!G207="",LEN(TRIM('Raw Data'!G207))=0),"",IF(LEN('Raw Data'!G207)&gt; 0,"",_xlfn.REGEXEXTRACT(CELL("address",'Raw Data'!G207),"\$([A-Z]+)\$[0-9]+"))),_xlfn.REGEXEXTRACT(CELL("address",'Raw Data'!G207),"\$([A-Z]+)\$[0-9]+"))</f>
        <v/>
      </c>
    </row>
    <row r="208" spans="2:7" x14ac:dyDescent="0.25">
      <c r="B208" s="7" t="str" cm="1">
        <f t="array" aca="1" ref="B208" ca="1">IFERROR(IF(OR('Raw Data'!B208="",LEN(TRIM('Raw Data'!B208))=0),"",IF(AND(LEN('Raw Data'!B208) &lt;= 20,LEN('Raw Data'!B208)&gt; 0),"",_xlfn.REGEXEXTRACT(CELL("address",'Raw Data'!B208),"\$([A-Z]+)\$[0-9]+"))),_xlfn.REGEXEXTRACT(CELL("address",'Raw Data'!B208),"\$([A-Z]+)\$[0-9]+"))</f>
        <v/>
      </c>
      <c r="C208" s="7" t="str" cm="1">
        <f t="array" aca="1" ref="C208" ca="1">IFERROR(IF(OR('Raw Data'!C208="",LEN(TRIM('Raw Data'!C208))=0),"",IF(AND(LEN('Raw Data'!C208) &lt;= 255,LEN('Raw Data'!C208)&gt; 0),"",_xlfn.REGEXEXTRACT(CELL("address",'Raw Data'!C208),"\$([A-Z]+)\$[0-9]+"))),_xlfn.REGEXEXTRACT(CELL("address",'Raw Data'!C208),"\$([A-Z]+)\$[0-9]+"))</f>
        <v/>
      </c>
      <c r="D208" s="7" t="str" cm="1">
        <f t="array" aca="1" ref="D208" ca="1">IFERROR(IF(OR('Raw Data'!D208="",LEN(TRIM('Raw Data'!D208))=0),"",IF(AND(ISNUMBER('Raw Data'!D208), IFERROR('Raw Data'!D208 = ROUND('Raw Data'!D208, 2),FALSE)),"",_xlfn.REGEXEXTRACT(CELL("address",D208), "\$([A-Z]+)\$[0-9]+"))),_xlfn.REGEXEXTRACT(CELL("address",D208), "\$([A-Z]+)\$[0-9]+"))</f>
        <v/>
      </c>
      <c r="E208" s="7" t="str" cm="1">
        <f t="array" aca="1" ref="E208" ca="1">IFERROR(IF(OR('Raw Data'!E208="",LEN(TRIM('Raw Data'!E208))=0),"",IF(AND(ISNUMBER('Raw Data'!E208), IFERROR('Raw Data'!E208 = ROUND('Raw Data'!E208, 2),FALSE)),"",_xlfn.REGEXEXTRACT(CELL("address",E208), "\$([A-Z]+)\$[0-9]+"))),_xlfn.REGEXEXTRACT(CELL("address",E208), "\$([A-Z]+)\$[0-9]+"))</f>
        <v/>
      </c>
      <c r="F208" s="7" t="str" cm="1">
        <f t="array" aca="1" ref="F208" ca="1">IFERROR(IF(OR('Raw Data'!F208="",LEN(TRIM('Raw Data'!F208))=0),"",IF(AND(ISNUMBER('Raw Data'!F208), IFERROR('Raw Data'!F208 = ROUND('Raw Data'!F208, 2),FALSE)),"",_xlfn.REGEXEXTRACT(CELL("address",F208), "\$([A-Z]+)\$[0-9]+"))),_xlfn.REGEXEXTRACT(CELL("address",F208), "\$([A-Z]+)\$[0-9]+"))</f>
        <v/>
      </c>
      <c r="G208" s="7" t="str" cm="1">
        <f t="array" aca="1" ref="G208" ca="1">IFERROR(IF(OR('Raw Data'!G208="",LEN(TRIM('Raw Data'!G208))=0),"",IF(LEN('Raw Data'!G208)&gt; 0,"",_xlfn.REGEXEXTRACT(CELL("address",'Raw Data'!G208),"\$([A-Z]+)\$[0-9]+"))),_xlfn.REGEXEXTRACT(CELL("address",'Raw Data'!G208),"\$([A-Z]+)\$[0-9]+"))</f>
        <v/>
      </c>
    </row>
    <row r="209" spans="2:7" x14ac:dyDescent="0.25">
      <c r="B209" s="7" t="str" cm="1">
        <f t="array" aca="1" ref="B209" ca="1">IFERROR(IF(OR('Raw Data'!B209="",LEN(TRIM('Raw Data'!B209))=0),"",IF(AND(LEN('Raw Data'!B209) &lt;= 20,LEN('Raw Data'!B209)&gt; 0),"",_xlfn.REGEXEXTRACT(CELL("address",'Raw Data'!B209),"\$([A-Z]+)\$[0-9]+"))),_xlfn.REGEXEXTRACT(CELL("address",'Raw Data'!B209),"\$([A-Z]+)\$[0-9]+"))</f>
        <v/>
      </c>
      <c r="C209" s="7" t="str" cm="1">
        <f t="array" aca="1" ref="C209" ca="1">IFERROR(IF(OR('Raw Data'!C209="",LEN(TRIM('Raw Data'!C209))=0),"",IF(AND(LEN('Raw Data'!C209) &lt;= 255,LEN('Raw Data'!C209)&gt; 0),"",_xlfn.REGEXEXTRACT(CELL("address",'Raw Data'!C209),"\$([A-Z]+)\$[0-9]+"))),_xlfn.REGEXEXTRACT(CELL("address",'Raw Data'!C209),"\$([A-Z]+)\$[0-9]+"))</f>
        <v/>
      </c>
      <c r="D209" s="7" t="str" cm="1">
        <f t="array" aca="1" ref="D209" ca="1">IFERROR(IF(OR('Raw Data'!D209="",LEN(TRIM('Raw Data'!D209))=0),"",IF(AND(ISNUMBER('Raw Data'!D209), IFERROR('Raw Data'!D209 = ROUND('Raw Data'!D209, 2),FALSE)),"",_xlfn.REGEXEXTRACT(CELL("address",D209), "\$([A-Z]+)\$[0-9]+"))),_xlfn.REGEXEXTRACT(CELL("address",D209), "\$([A-Z]+)\$[0-9]+"))</f>
        <v/>
      </c>
      <c r="E209" s="7" t="str" cm="1">
        <f t="array" aca="1" ref="E209" ca="1">IFERROR(IF(OR('Raw Data'!E209="",LEN(TRIM('Raw Data'!E209))=0),"",IF(AND(ISNUMBER('Raw Data'!E209), IFERROR('Raw Data'!E209 = ROUND('Raw Data'!E209, 2),FALSE)),"",_xlfn.REGEXEXTRACT(CELL("address",E209), "\$([A-Z]+)\$[0-9]+"))),_xlfn.REGEXEXTRACT(CELL("address",E209), "\$([A-Z]+)\$[0-9]+"))</f>
        <v/>
      </c>
      <c r="F209" s="7" t="str" cm="1">
        <f t="array" aca="1" ref="F209" ca="1">IFERROR(IF(OR('Raw Data'!F209="",LEN(TRIM('Raw Data'!F209))=0),"",IF(AND(ISNUMBER('Raw Data'!F209), IFERROR('Raw Data'!F209 = ROUND('Raw Data'!F209, 2),FALSE)),"",_xlfn.REGEXEXTRACT(CELL("address",F209), "\$([A-Z]+)\$[0-9]+"))),_xlfn.REGEXEXTRACT(CELL("address",F209), "\$([A-Z]+)\$[0-9]+"))</f>
        <v/>
      </c>
      <c r="G209" s="7" t="str" cm="1">
        <f t="array" aca="1" ref="G209" ca="1">IFERROR(IF(OR('Raw Data'!G209="",LEN(TRIM('Raw Data'!G209))=0),"",IF(LEN('Raw Data'!G209)&gt; 0,"",_xlfn.REGEXEXTRACT(CELL("address",'Raw Data'!G209),"\$([A-Z]+)\$[0-9]+"))),_xlfn.REGEXEXTRACT(CELL("address",'Raw Data'!G209),"\$([A-Z]+)\$[0-9]+"))</f>
        <v/>
      </c>
    </row>
    <row r="210" spans="2:7" x14ac:dyDescent="0.25">
      <c r="B210" s="7" t="str" cm="1">
        <f t="array" aca="1" ref="B210" ca="1">IFERROR(IF(OR('Raw Data'!B210="",LEN(TRIM('Raw Data'!B210))=0),"",IF(AND(LEN('Raw Data'!B210) &lt;= 20,LEN('Raw Data'!B210)&gt; 0),"",_xlfn.REGEXEXTRACT(CELL("address",'Raw Data'!B210),"\$([A-Z]+)\$[0-9]+"))),_xlfn.REGEXEXTRACT(CELL("address",'Raw Data'!B210),"\$([A-Z]+)\$[0-9]+"))</f>
        <v/>
      </c>
      <c r="C210" s="7" t="str" cm="1">
        <f t="array" aca="1" ref="C210" ca="1">IFERROR(IF(OR('Raw Data'!C210="",LEN(TRIM('Raw Data'!C210))=0),"",IF(AND(LEN('Raw Data'!C210) &lt;= 255,LEN('Raw Data'!C210)&gt; 0),"",_xlfn.REGEXEXTRACT(CELL("address",'Raw Data'!C210),"\$([A-Z]+)\$[0-9]+"))),_xlfn.REGEXEXTRACT(CELL("address",'Raw Data'!C210),"\$([A-Z]+)\$[0-9]+"))</f>
        <v/>
      </c>
      <c r="D210" s="7" t="str" cm="1">
        <f t="array" aca="1" ref="D210" ca="1">IFERROR(IF(OR('Raw Data'!D210="",LEN(TRIM('Raw Data'!D210))=0),"",IF(AND(ISNUMBER('Raw Data'!D210), IFERROR('Raw Data'!D210 = ROUND('Raw Data'!D210, 2),FALSE)),"",_xlfn.REGEXEXTRACT(CELL("address",D210), "\$([A-Z]+)\$[0-9]+"))),_xlfn.REGEXEXTRACT(CELL("address",D210), "\$([A-Z]+)\$[0-9]+"))</f>
        <v/>
      </c>
      <c r="E210" s="7" t="str" cm="1">
        <f t="array" aca="1" ref="E210" ca="1">IFERROR(IF(OR('Raw Data'!E210="",LEN(TRIM('Raw Data'!E210))=0),"",IF(AND(ISNUMBER('Raw Data'!E210), IFERROR('Raw Data'!E210 = ROUND('Raw Data'!E210, 2),FALSE)),"",_xlfn.REGEXEXTRACT(CELL("address",E210), "\$([A-Z]+)\$[0-9]+"))),_xlfn.REGEXEXTRACT(CELL("address",E210), "\$([A-Z]+)\$[0-9]+"))</f>
        <v/>
      </c>
      <c r="F210" s="7" t="str" cm="1">
        <f t="array" aca="1" ref="F210" ca="1">IFERROR(IF(OR('Raw Data'!F210="",LEN(TRIM('Raw Data'!F210))=0),"",IF(AND(ISNUMBER('Raw Data'!F210), IFERROR('Raw Data'!F210 = ROUND('Raw Data'!F210, 2),FALSE)),"",_xlfn.REGEXEXTRACT(CELL("address",F210), "\$([A-Z]+)\$[0-9]+"))),_xlfn.REGEXEXTRACT(CELL("address",F210), "\$([A-Z]+)\$[0-9]+"))</f>
        <v/>
      </c>
      <c r="G210" s="7" t="str" cm="1">
        <f t="array" aca="1" ref="G210" ca="1">IFERROR(IF(OR('Raw Data'!G210="",LEN(TRIM('Raw Data'!G210))=0),"",IF(LEN('Raw Data'!G210)&gt; 0,"",_xlfn.REGEXEXTRACT(CELL("address",'Raw Data'!G210),"\$([A-Z]+)\$[0-9]+"))),_xlfn.REGEXEXTRACT(CELL("address",'Raw Data'!G210),"\$([A-Z]+)\$[0-9]+"))</f>
        <v/>
      </c>
    </row>
    <row r="211" spans="2:7" x14ac:dyDescent="0.25">
      <c r="B211" s="7" t="str" cm="1">
        <f t="array" aca="1" ref="B211" ca="1">IFERROR(IF(OR('Raw Data'!B211="",LEN(TRIM('Raw Data'!B211))=0),"",IF(AND(LEN('Raw Data'!B211) &lt;= 20,LEN('Raw Data'!B211)&gt; 0),"",_xlfn.REGEXEXTRACT(CELL("address",'Raw Data'!B211),"\$([A-Z]+)\$[0-9]+"))),_xlfn.REGEXEXTRACT(CELL("address",'Raw Data'!B211),"\$([A-Z]+)\$[0-9]+"))</f>
        <v/>
      </c>
      <c r="C211" s="7" t="str" cm="1">
        <f t="array" aca="1" ref="C211" ca="1">IFERROR(IF(OR('Raw Data'!C211="",LEN(TRIM('Raw Data'!C211))=0),"",IF(AND(LEN('Raw Data'!C211) &lt;= 255,LEN('Raw Data'!C211)&gt; 0),"",_xlfn.REGEXEXTRACT(CELL("address",'Raw Data'!C211),"\$([A-Z]+)\$[0-9]+"))),_xlfn.REGEXEXTRACT(CELL("address",'Raw Data'!C211),"\$([A-Z]+)\$[0-9]+"))</f>
        <v/>
      </c>
      <c r="D211" s="7" t="str" cm="1">
        <f t="array" aca="1" ref="D211" ca="1">IFERROR(IF(OR('Raw Data'!D211="",LEN(TRIM('Raw Data'!D211))=0),"",IF(AND(ISNUMBER('Raw Data'!D211), IFERROR('Raw Data'!D211 = ROUND('Raw Data'!D211, 2),FALSE)),"",_xlfn.REGEXEXTRACT(CELL("address",D211), "\$([A-Z]+)\$[0-9]+"))),_xlfn.REGEXEXTRACT(CELL("address",D211), "\$([A-Z]+)\$[0-9]+"))</f>
        <v/>
      </c>
      <c r="E211" s="7" t="str" cm="1">
        <f t="array" aca="1" ref="E211" ca="1">IFERROR(IF(OR('Raw Data'!E211="",LEN(TRIM('Raw Data'!E211))=0),"",IF(AND(ISNUMBER('Raw Data'!E211), IFERROR('Raw Data'!E211 = ROUND('Raw Data'!E211, 2),FALSE)),"",_xlfn.REGEXEXTRACT(CELL("address",E211), "\$([A-Z]+)\$[0-9]+"))),_xlfn.REGEXEXTRACT(CELL("address",E211), "\$([A-Z]+)\$[0-9]+"))</f>
        <v/>
      </c>
      <c r="F211" s="7" t="str" cm="1">
        <f t="array" aca="1" ref="F211" ca="1">IFERROR(IF(OR('Raw Data'!F211="",LEN(TRIM('Raw Data'!F211))=0),"",IF(AND(ISNUMBER('Raw Data'!F211), IFERROR('Raw Data'!F211 = ROUND('Raw Data'!F211, 2),FALSE)),"",_xlfn.REGEXEXTRACT(CELL("address",F211), "\$([A-Z]+)\$[0-9]+"))),_xlfn.REGEXEXTRACT(CELL("address",F211), "\$([A-Z]+)\$[0-9]+"))</f>
        <v/>
      </c>
      <c r="G211" s="7" t="str" cm="1">
        <f t="array" aca="1" ref="G211" ca="1">IFERROR(IF(OR('Raw Data'!G211="",LEN(TRIM('Raw Data'!G211))=0),"",IF(LEN('Raw Data'!G211)&gt; 0,"",_xlfn.REGEXEXTRACT(CELL("address",'Raw Data'!G211),"\$([A-Z]+)\$[0-9]+"))),_xlfn.REGEXEXTRACT(CELL("address",'Raw Data'!G211),"\$([A-Z]+)\$[0-9]+"))</f>
        <v/>
      </c>
    </row>
    <row r="212" spans="2:7" x14ac:dyDescent="0.25">
      <c r="B212" s="7" t="str" cm="1">
        <f t="array" aca="1" ref="B212" ca="1">IFERROR(IF(OR('Raw Data'!B212="",LEN(TRIM('Raw Data'!B212))=0),"",IF(AND(LEN('Raw Data'!B212) &lt;= 20,LEN('Raw Data'!B212)&gt; 0),"",_xlfn.REGEXEXTRACT(CELL("address",'Raw Data'!B212),"\$([A-Z]+)\$[0-9]+"))),_xlfn.REGEXEXTRACT(CELL("address",'Raw Data'!B212),"\$([A-Z]+)\$[0-9]+"))</f>
        <v/>
      </c>
      <c r="C212" s="7" t="str" cm="1">
        <f t="array" aca="1" ref="C212" ca="1">IFERROR(IF(OR('Raw Data'!C212="",LEN(TRIM('Raw Data'!C212))=0),"",IF(AND(LEN('Raw Data'!C212) &lt;= 255,LEN('Raw Data'!C212)&gt; 0),"",_xlfn.REGEXEXTRACT(CELL("address",'Raw Data'!C212),"\$([A-Z]+)\$[0-9]+"))),_xlfn.REGEXEXTRACT(CELL("address",'Raw Data'!C212),"\$([A-Z]+)\$[0-9]+"))</f>
        <v/>
      </c>
      <c r="D212" s="7" t="str" cm="1">
        <f t="array" aca="1" ref="D212" ca="1">IFERROR(IF(OR('Raw Data'!D212="",LEN(TRIM('Raw Data'!D212))=0),"",IF(AND(ISNUMBER('Raw Data'!D212), IFERROR('Raw Data'!D212 = ROUND('Raw Data'!D212, 2),FALSE)),"",_xlfn.REGEXEXTRACT(CELL("address",D212), "\$([A-Z]+)\$[0-9]+"))),_xlfn.REGEXEXTRACT(CELL("address",D212), "\$([A-Z]+)\$[0-9]+"))</f>
        <v/>
      </c>
      <c r="E212" s="7" t="str" cm="1">
        <f t="array" aca="1" ref="E212" ca="1">IFERROR(IF(OR('Raw Data'!E212="",LEN(TRIM('Raw Data'!E212))=0),"",IF(AND(ISNUMBER('Raw Data'!E212), IFERROR('Raw Data'!E212 = ROUND('Raw Data'!E212, 2),FALSE)),"",_xlfn.REGEXEXTRACT(CELL("address",E212), "\$([A-Z]+)\$[0-9]+"))),_xlfn.REGEXEXTRACT(CELL("address",E212), "\$([A-Z]+)\$[0-9]+"))</f>
        <v/>
      </c>
      <c r="F212" s="7" t="str" cm="1">
        <f t="array" aca="1" ref="F212" ca="1">IFERROR(IF(OR('Raw Data'!F212="",LEN(TRIM('Raw Data'!F212))=0),"",IF(AND(ISNUMBER('Raw Data'!F212), IFERROR('Raw Data'!F212 = ROUND('Raw Data'!F212, 2),FALSE)),"",_xlfn.REGEXEXTRACT(CELL("address",F212), "\$([A-Z]+)\$[0-9]+"))),_xlfn.REGEXEXTRACT(CELL("address",F212), "\$([A-Z]+)\$[0-9]+"))</f>
        <v/>
      </c>
      <c r="G212" s="7" t="str" cm="1">
        <f t="array" aca="1" ref="G212" ca="1">IFERROR(IF(OR('Raw Data'!G212="",LEN(TRIM('Raw Data'!G212))=0),"",IF(LEN('Raw Data'!G212)&gt; 0,"",_xlfn.REGEXEXTRACT(CELL("address",'Raw Data'!G212),"\$([A-Z]+)\$[0-9]+"))),_xlfn.REGEXEXTRACT(CELL("address",'Raw Data'!G212),"\$([A-Z]+)\$[0-9]+"))</f>
        <v/>
      </c>
    </row>
    <row r="213" spans="2:7" x14ac:dyDescent="0.25">
      <c r="B213" s="7" t="str" cm="1">
        <f t="array" aca="1" ref="B213" ca="1">IFERROR(IF(OR('Raw Data'!B213="",LEN(TRIM('Raw Data'!B213))=0),"",IF(AND(LEN('Raw Data'!B213) &lt;= 20,LEN('Raw Data'!B213)&gt; 0),"",_xlfn.REGEXEXTRACT(CELL("address",'Raw Data'!B213),"\$([A-Z]+)\$[0-9]+"))),_xlfn.REGEXEXTRACT(CELL("address",'Raw Data'!B213),"\$([A-Z]+)\$[0-9]+"))</f>
        <v/>
      </c>
      <c r="C213" s="7" t="str" cm="1">
        <f t="array" aca="1" ref="C213" ca="1">IFERROR(IF(OR('Raw Data'!C213="",LEN(TRIM('Raw Data'!C213))=0),"",IF(AND(LEN('Raw Data'!C213) &lt;= 255,LEN('Raw Data'!C213)&gt; 0),"",_xlfn.REGEXEXTRACT(CELL("address",'Raw Data'!C213),"\$([A-Z]+)\$[0-9]+"))),_xlfn.REGEXEXTRACT(CELL("address",'Raw Data'!C213),"\$([A-Z]+)\$[0-9]+"))</f>
        <v/>
      </c>
      <c r="D213" s="7" t="str" cm="1">
        <f t="array" aca="1" ref="D213" ca="1">IFERROR(IF(OR('Raw Data'!D213="",LEN(TRIM('Raw Data'!D213))=0),"",IF(AND(ISNUMBER('Raw Data'!D213), IFERROR('Raw Data'!D213 = ROUND('Raw Data'!D213, 2),FALSE)),"",_xlfn.REGEXEXTRACT(CELL("address",D213), "\$([A-Z]+)\$[0-9]+"))),_xlfn.REGEXEXTRACT(CELL("address",D213), "\$([A-Z]+)\$[0-9]+"))</f>
        <v/>
      </c>
      <c r="E213" s="7" t="str" cm="1">
        <f t="array" aca="1" ref="E213" ca="1">IFERROR(IF(OR('Raw Data'!E213="",LEN(TRIM('Raw Data'!E213))=0),"",IF(AND(ISNUMBER('Raw Data'!E213), IFERROR('Raw Data'!E213 = ROUND('Raw Data'!E213, 2),FALSE)),"",_xlfn.REGEXEXTRACT(CELL("address",E213), "\$([A-Z]+)\$[0-9]+"))),_xlfn.REGEXEXTRACT(CELL("address",E213), "\$([A-Z]+)\$[0-9]+"))</f>
        <v/>
      </c>
      <c r="F213" s="7" t="str" cm="1">
        <f t="array" aca="1" ref="F213" ca="1">IFERROR(IF(OR('Raw Data'!F213="",LEN(TRIM('Raw Data'!F213))=0),"",IF(AND(ISNUMBER('Raw Data'!F213), IFERROR('Raw Data'!F213 = ROUND('Raw Data'!F213, 2),FALSE)),"",_xlfn.REGEXEXTRACT(CELL("address",F213), "\$([A-Z]+)\$[0-9]+"))),_xlfn.REGEXEXTRACT(CELL("address",F213), "\$([A-Z]+)\$[0-9]+"))</f>
        <v/>
      </c>
      <c r="G213" s="7" t="str" cm="1">
        <f t="array" aca="1" ref="G213" ca="1">IFERROR(IF(OR('Raw Data'!G213="",LEN(TRIM('Raw Data'!G213))=0),"",IF(LEN('Raw Data'!G213)&gt; 0,"",_xlfn.REGEXEXTRACT(CELL("address",'Raw Data'!G213),"\$([A-Z]+)\$[0-9]+"))),_xlfn.REGEXEXTRACT(CELL("address",'Raw Data'!G213),"\$([A-Z]+)\$[0-9]+"))</f>
        <v/>
      </c>
    </row>
    <row r="214" spans="2:7" x14ac:dyDescent="0.25">
      <c r="B214" s="7" t="str" cm="1">
        <f t="array" aca="1" ref="B214" ca="1">IFERROR(IF(OR('Raw Data'!B214="",LEN(TRIM('Raw Data'!B214))=0),"",IF(AND(LEN('Raw Data'!B214) &lt;= 20,LEN('Raw Data'!B214)&gt; 0),"",_xlfn.REGEXEXTRACT(CELL("address",'Raw Data'!B214),"\$([A-Z]+)\$[0-9]+"))),_xlfn.REGEXEXTRACT(CELL("address",'Raw Data'!B214),"\$([A-Z]+)\$[0-9]+"))</f>
        <v/>
      </c>
      <c r="C214" s="7" t="str" cm="1">
        <f t="array" aca="1" ref="C214" ca="1">IFERROR(IF(OR('Raw Data'!C214="",LEN(TRIM('Raw Data'!C214))=0),"",IF(AND(LEN('Raw Data'!C214) &lt;= 255,LEN('Raw Data'!C214)&gt; 0),"",_xlfn.REGEXEXTRACT(CELL("address",'Raw Data'!C214),"\$([A-Z]+)\$[0-9]+"))),_xlfn.REGEXEXTRACT(CELL("address",'Raw Data'!C214),"\$([A-Z]+)\$[0-9]+"))</f>
        <v/>
      </c>
      <c r="D214" s="7" t="str" cm="1">
        <f t="array" aca="1" ref="D214" ca="1">IFERROR(IF(OR('Raw Data'!D214="",LEN(TRIM('Raw Data'!D214))=0),"",IF(AND(ISNUMBER('Raw Data'!D214), IFERROR('Raw Data'!D214 = ROUND('Raw Data'!D214, 2),FALSE)),"",_xlfn.REGEXEXTRACT(CELL("address",D214), "\$([A-Z]+)\$[0-9]+"))),_xlfn.REGEXEXTRACT(CELL("address",D214), "\$([A-Z]+)\$[0-9]+"))</f>
        <v/>
      </c>
      <c r="E214" s="7" t="str" cm="1">
        <f t="array" aca="1" ref="E214" ca="1">IFERROR(IF(OR('Raw Data'!E214="",LEN(TRIM('Raw Data'!E214))=0),"",IF(AND(ISNUMBER('Raw Data'!E214), IFERROR('Raw Data'!E214 = ROUND('Raw Data'!E214, 2),FALSE)),"",_xlfn.REGEXEXTRACT(CELL("address",E214), "\$([A-Z]+)\$[0-9]+"))),_xlfn.REGEXEXTRACT(CELL("address",E214), "\$([A-Z]+)\$[0-9]+"))</f>
        <v/>
      </c>
      <c r="F214" s="7" t="str" cm="1">
        <f t="array" aca="1" ref="F214" ca="1">IFERROR(IF(OR('Raw Data'!F214="",LEN(TRIM('Raw Data'!F214))=0),"",IF(AND(ISNUMBER('Raw Data'!F214), IFERROR('Raw Data'!F214 = ROUND('Raw Data'!F214, 2),FALSE)),"",_xlfn.REGEXEXTRACT(CELL("address",F214), "\$([A-Z]+)\$[0-9]+"))),_xlfn.REGEXEXTRACT(CELL("address",F214), "\$([A-Z]+)\$[0-9]+"))</f>
        <v/>
      </c>
      <c r="G214" s="7" t="str" cm="1">
        <f t="array" aca="1" ref="G214" ca="1">IFERROR(IF(OR('Raw Data'!G214="",LEN(TRIM('Raw Data'!G214))=0),"",IF(LEN('Raw Data'!G214)&gt; 0,"",_xlfn.REGEXEXTRACT(CELL("address",'Raw Data'!G214),"\$([A-Z]+)\$[0-9]+"))),_xlfn.REGEXEXTRACT(CELL("address",'Raw Data'!G214),"\$([A-Z]+)\$[0-9]+"))</f>
        <v/>
      </c>
    </row>
    <row r="215" spans="2:7" x14ac:dyDescent="0.25">
      <c r="B215" s="7" t="str" cm="1">
        <f t="array" aca="1" ref="B215" ca="1">IFERROR(IF(OR('Raw Data'!B215="",LEN(TRIM('Raw Data'!B215))=0),"",IF(AND(LEN('Raw Data'!B215) &lt;= 20,LEN('Raw Data'!B215)&gt; 0),"",_xlfn.REGEXEXTRACT(CELL("address",'Raw Data'!B215),"\$([A-Z]+)\$[0-9]+"))),_xlfn.REGEXEXTRACT(CELL("address",'Raw Data'!B215),"\$([A-Z]+)\$[0-9]+"))</f>
        <v/>
      </c>
      <c r="C215" s="7" t="str" cm="1">
        <f t="array" aca="1" ref="C215" ca="1">IFERROR(IF(OR('Raw Data'!C215="",LEN(TRIM('Raw Data'!C215))=0),"",IF(AND(LEN('Raw Data'!C215) &lt;= 255,LEN('Raw Data'!C215)&gt; 0),"",_xlfn.REGEXEXTRACT(CELL("address",'Raw Data'!C215),"\$([A-Z]+)\$[0-9]+"))),_xlfn.REGEXEXTRACT(CELL("address",'Raw Data'!C215),"\$([A-Z]+)\$[0-9]+"))</f>
        <v/>
      </c>
      <c r="D215" s="7" t="str" cm="1">
        <f t="array" aca="1" ref="D215" ca="1">IFERROR(IF(OR('Raw Data'!D215="",LEN(TRIM('Raw Data'!D215))=0),"",IF(AND(ISNUMBER('Raw Data'!D215), IFERROR('Raw Data'!D215 = ROUND('Raw Data'!D215, 2),FALSE)),"",_xlfn.REGEXEXTRACT(CELL("address",D215), "\$([A-Z]+)\$[0-9]+"))),_xlfn.REGEXEXTRACT(CELL("address",D215), "\$([A-Z]+)\$[0-9]+"))</f>
        <v/>
      </c>
      <c r="E215" s="7" t="str" cm="1">
        <f t="array" aca="1" ref="E215" ca="1">IFERROR(IF(OR('Raw Data'!E215="",LEN(TRIM('Raw Data'!E215))=0),"",IF(AND(ISNUMBER('Raw Data'!E215), IFERROR('Raw Data'!E215 = ROUND('Raw Data'!E215, 2),FALSE)),"",_xlfn.REGEXEXTRACT(CELL("address",E215), "\$([A-Z]+)\$[0-9]+"))),_xlfn.REGEXEXTRACT(CELL("address",E215), "\$([A-Z]+)\$[0-9]+"))</f>
        <v/>
      </c>
      <c r="F215" s="7" t="str" cm="1">
        <f t="array" aca="1" ref="F215" ca="1">IFERROR(IF(OR('Raw Data'!F215="",LEN(TRIM('Raw Data'!F215))=0),"",IF(AND(ISNUMBER('Raw Data'!F215), IFERROR('Raw Data'!F215 = ROUND('Raw Data'!F215, 2),FALSE)),"",_xlfn.REGEXEXTRACT(CELL("address",F215), "\$([A-Z]+)\$[0-9]+"))),_xlfn.REGEXEXTRACT(CELL("address",F215), "\$([A-Z]+)\$[0-9]+"))</f>
        <v/>
      </c>
      <c r="G215" s="7" t="str" cm="1">
        <f t="array" aca="1" ref="G215" ca="1">IFERROR(IF(OR('Raw Data'!G215="",LEN(TRIM('Raw Data'!G215))=0),"",IF(LEN('Raw Data'!G215)&gt; 0,"",_xlfn.REGEXEXTRACT(CELL("address",'Raw Data'!G215),"\$([A-Z]+)\$[0-9]+"))),_xlfn.REGEXEXTRACT(CELL("address",'Raw Data'!G215),"\$([A-Z]+)\$[0-9]+"))</f>
        <v/>
      </c>
    </row>
    <row r="216" spans="2:7" x14ac:dyDescent="0.25">
      <c r="B216" s="7" t="str" cm="1">
        <f t="array" aca="1" ref="B216" ca="1">IFERROR(IF(OR('Raw Data'!B216="",LEN(TRIM('Raw Data'!B216))=0),"",IF(AND(LEN('Raw Data'!B216) &lt;= 20,LEN('Raw Data'!B216)&gt; 0),"",_xlfn.REGEXEXTRACT(CELL("address",'Raw Data'!B216),"\$([A-Z]+)\$[0-9]+"))),_xlfn.REGEXEXTRACT(CELL("address",'Raw Data'!B216),"\$([A-Z]+)\$[0-9]+"))</f>
        <v/>
      </c>
      <c r="C216" s="7" t="str" cm="1">
        <f t="array" aca="1" ref="C216" ca="1">IFERROR(IF(OR('Raw Data'!C216="",LEN(TRIM('Raw Data'!C216))=0),"",IF(AND(LEN('Raw Data'!C216) &lt;= 255,LEN('Raw Data'!C216)&gt; 0),"",_xlfn.REGEXEXTRACT(CELL("address",'Raw Data'!C216),"\$([A-Z]+)\$[0-9]+"))),_xlfn.REGEXEXTRACT(CELL("address",'Raw Data'!C216),"\$([A-Z]+)\$[0-9]+"))</f>
        <v/>
      </c>
      <c r="D216" s="7" t="str" cm="1">
        <f t="array" aca="1" ref="D216" ca="1">IFERROR(IF(OR('Raw Data'!D216="",LEN(TRIM('Raw Data'!D216))=0),"",IF(AND(ISNUMBER('Raw Data'!D216), IFERROR('Raw Data'!D216 = ROUND('Raw Data'!D216, 2),FALSE)),"",_xlfn.REGEXEXTRACT(CELL("address",D216), "\$([A-Z]+)\$[0-9]+"))),_xlfn.REGEXEXTRACT(CELL("address",D216), "\$([A-Z]+)\$[0-9]+"))</f>
        <v/>
      </c>
      <c r="E216" s="7" t="str" cm="1">
        <f t="array" aca="1" ref="E216" ca="1">IFERROR(IF(OR('Raw Data'!E216="",LEN(TRIM('Raw Data'!E216))=0),"",IF(AND(ISNUMBER('Raw Data'!E216), IFERROR('Raw Data'!E216 = ROUND('Raw Data'!E216, 2),FALSE)),"",_xlfn.REGEXEXTRACT(CELL("address",E216), "\$([A-Z]+)\$[0-9]+"))),_xlfn.REGEXEXTRACT(CELL("address",E216), "\$([A-Z]+)\$[0-9]+"))</f>
        <v/>
      </c>
      <c r="F216" s="7" t="str" cm="1">
        <f t="array" aca="1" ref="F216" ca="1">IFERROR(IF(OR('Raw Data'!F216="",LEN(TRIM('Raw Data'!F216))=0),"",IF(AND(ISNUMBER('Raw Data'!F216), IFERROR('Raw Data'!F216 = ROUND('Raw Data'!F216, 2),FALSE)),"",_xlfn.REGEXEXTRACT(CELL("address",F216), "\$([A-Z]+)\$[0-9]+"))),_xlfn.REGEXEXTRACT(CELL("address",F216), "\$([A-Z]+)\$[0-9]+"))</f>
        <v/>
      </c>
      <c r="G216" s="7" t="str" cm="1">
        <f t="array" aca="1" ref="G216" ca="1">IFERROR(IF(OR('Raw Data'!G216="",LEN(TRIM('Raw Data'!G216))=0),"",IF(LEN('Raw Data'!G216)&gt; 0,"",_xlfn.REGEXEXTRACT(CELL("address",'Raw Data'!G216),"\$([A-Z]+)\$[0-9]+"))),_xlfn.REGEXEXTRACT(CELL("address",'Raw Data'!G216),"\$([A-Z]+)\$[0-9]+"))</f>
        <v/>
      </c>
    </row>
    <row r="217" spans="2:7" x14ac:dyDescent="0.25">
      <c r="B217" s="7" t="str" cm="1">
        <f t="array" aca="1" ref="B217" ca="1">IFERROR(IF(OR('Raw Data'!B217="",LEN(TRIM('Raw Data'!B217))=0),"",IF(AND(LEN('Raw Data'!B217) &lt;= 20,LEN('Raw Data'!B217)&gt; 0),"",_xlfn.REGEXEXTRACT(CELL("address",'Raw Data'!B217),"\$([A-Z]+)\$[0-9]+"))),_xlfn.REGEXEXTRACT(CELL("address",'Raw Data'!B217),"\$([A-Z]+)\$[0-9]+"))</f>
        <v/>
      </c>
      <c r="C217" s="7" t="str" cm="1">
        <f t="array" aca="1" ref="C217" ca="1">IFERROR(IF(OR('Raw Data'!C217="",LEN(TRIM('Raw Data'!C217))=0),"",IF(AND(LEN('Raw Data'!C217) &lt;= 255,LEN('Raw Data'!C217)&gt; 0),"",_xlfn.REGEXEXTRACT(CELL("address",'Raw Data'!C217),"\$([A-Z]+)\$[0-9]+"))),_xlfn.REGEXEXTRACT(CELL("address",'Raw Data'!C217),"\$([A-Z]+)\$[0-9]+"))</f>
        <v/>
      </c>
      <c r="D217" s="7" t="str" cm="1">
        <f t="array" aca="1" ref="D217" ca="1">IFERROR(IF(OR('Raw Data'!D217="",LEN(TRIM('Raw Data'!D217))=0),"",IF(AND(ISNUMBER('Raw Data'!D217), IFERROR('Raw Data'!D217 = ROUND('Raw Data'!D217, 2),FALSE)),"",_xlfn.REGEXEXTRACT(CELL("address",D217), "\$([A-Z]+)\$[0-9]+"))),_xlfn.REGEXEXTRACT(CELL("address",D217), "\$([A-Z]+)\$[0-9]+"))</f>
        <v/>
      </c>
      <c r="E217" s="7" t="str" cm="1">
        <f t="array" aca="1" ref="E217" ca="1">IFERROR(IF(OR('Raw Data'!E217="",LEN(TRIM('Raw Data'!E217))=0),"",IF(AND(ISNUMBER('Raw Data'!E217), IFERROR('Raw Data'!E217 = ROUND('Raw Data'!E217, 2),FALSE)),"",_xlfn.REGEXEXTRACT(CELL("address",E217), "\$([A-Z]+)\$[0-9]+"))),_xlfn.REGEXEXTRACT(CELL("address",E217), "\$([A-Z]+)\$[0-9]+"))</f>
        <v/>
      </c>
      <c r="F217" s="7" t="str" cm="1">
        <f t="array" aca="1" ref="F217" ca="1">IFERROR(IF(OR('Raw Data'!F217="",LEN(TRIM('Raw Data'!F217))=0),"",IF(AND(ISNUMBER('Raw Data'!F217), IFERROR('Raw Data'!F217 = ROUND('Raw Data'!F217, 2),FALSE)),"",_xlfn.REGEXEXTRACT(CELL("address",F217), "\$([A-Z]+)\$[0-9]+"))),_xlfn.REGEXEXTRACT(CELL("address",F217), "\$([A-Z]+)\$[0-9]+"))</f>
        <v/>
      </c>
      <c r="G217" s="7" t="str" cm="1">
        <f t="array" aca="1" ref="G217" ca="1">IFERROR(IF(OR('Raw Data'!G217="",LEN(TRIM('Raw Data'!G217))=0),"",IF(LEN('Raw Data'!G217)&gt; 0,"",_xlfn.REGEXEXTRACT(CELL("address",'Raw Data'!G217),"\$([A-Z]+)\$[0-9]+"))),_xlfn.REGEXEXTRACT(CELL("address",'Raw Data'!G217),"\$([A-Z]+)\$[0-9]+"))</f>
        <v/>
      </c>
    </row>
    <row r="218" spans="2:7" x14ac:dyDescent="0.25">
      <c r="B218" s="7" t="str" cm="1">
        <f t="array" aca="1" ref="B218" ca="1">IFERROR(IF(OR('Raw Data'!B218="",LEN(TRIM('Raw Data'!B218))=0),"",IF(AND(LEN('Raw Data'!B218) &lt;= 20,LEN('Raw Data'!B218)&gt; 0),"",_xlfn.REGEXEXTRACT(CELL("address",'Raw Data'!B218),"\$([A-Z]+)\$[0-9]+"))),_xlfn.REGEXEXTRACT(CELL("address",'Raw Data'!B218),"\$([A-Z]+)\$[0-9]+"))</f>
        <v/>
      </c>
      <c r="C218" s="7" t="str" cm="1">
        <f t="array" aca="1" ref="C218" ca="1">IFERROR(IF(OR('Raw Data'!C218="",LEN(TRIM('Raw Data'!C218))=0),"",IF(AND(LEN('Raw Data'!C218) &lt;= 255,LEN('Raw Data'!C218)&gt; 0),"",_xlfn.REGEXEXTRACT(CELL("address",'Raw Data'!C218),"\$([A-Z]+)\$[0-9]+"))),_xlfn.REGEXEXTRACT(CELL("address",'Raw Data'!C218),"\$([A-Z]+)\$[0-9]+"))</f>
        <v/>
      </c>
      <c r="D218" s="7" t="str" cm="1">
        <f t="array" aca="1" ref="D218" ca="1">IFERROR(IF(OR('Raw Data'!D218="",LEN(TRIM('Raw Data'!D218))=0),"",IF(AND(ISNUMBER('Raw Data'!D218), IFERROR('Raw Data'!D218 = ROUND('Raw Data'!D218, 2),FALSE)),"",_xlfn.REGEXEXTRACT(CELL("address",D218), "\$([A-Z]+)\$[0-9]+"))),_xlfn.REGEXEXTRACT(CELL("address",D218), "\$([A-Z]+)\$[0-9]+"))</f>
        <v/>
      </c>
      <c r="E218" s="7" t="str" cm="1">
        <f t="array" aca="1" ref="E218" ca="1">IFERROR(IF(OR('Raw Data'!E218="",LEN(TRIM('Raw Data'!E218))=0),"",IF(AND(ISNUMBER('Raw Data'!E218), IFERROR('Raw Data'!E218 = ROUND('Raw Data'!E218, 2),FALSE)),"",_xlfn.REGEXEXTRACT(CELL("address",E218), "\$([A-Z]+)\$[0-9]+"))),_xlfn.REGEXEXTRACT(CELL("address",E218), "\$([A-Z]+)\$[0-9]+"))</f>
        <v/>
      </c>
      <c r="F218" s="7" t="str" cm="1">
        <f t="array" aca="1" ref="F218" ca="1">IFERROR(IF(OR('Raw Data'!F218="",LEN(TRIM('Raw Data'!F218))=0),"",IF(AND(ISNUMBER('Raw Data'!F218), IFERROR('Raw Data'!F218 = ROUND('Raw Data'!F218, 2),FALSE)),"",_xlfn.REGEXEXTRACT(CELL("address",F218), "\$([A-Z]+)\$[0-9]+"))),_xlfn.REGEXEXTRACT(CELL("address",F218), "\$([A-Z]+)\$[0-9]+"))</f>
        <v/>
      </c>
      <c r="G218" s="7" t="str" cm="1">
        <f t="array" aca="1" ref="G218" ca="1">IFERROR(IF(OR('Raw Data'!G218="",LEN(TRIM('Raw Data'!G218))=0),"",IF(LEN('Raw Data'!G218)&gt; 0,"",_xlfn.REGEXEXTRACT(CELL("address",'Raw Data'!G218),"\$([A-Z]+)\$[0-9]+"))),_xlfn.REGEXEXTRACT(CELL("address",'Raw Data'!G218),"\$([A-Z]+)\$[0-9]+"))</f>
        <v/>
      </c>
    </row>
    <row r="219" spans="2:7" x14ac:dyDescent="0.25">
      <c r="B219" s="7" t="str" cm="1">
        <f t="array" aca="1" ref="B219" ca="1">IFERROR(IF(OR('Raw Data'!B219="",LEN(TRIM('Raw Data'!B219))=0),"",IF(AND(LEN('Raw Data'!B219) &lt;= 20,LEN('Raw Data'!B219)&gt; 0),"",_xlfn.REGEXEXTRACT(CELL("address",'Raw Data'!B219),"\$([A-Z]+)\$[0-9]+"))),_xlfn.REGEXEXTRACT(CELL("address",'Raw Data'!B219),"\$([A-Z]+)\$[0-9]+"))</f>
        <v/>
      </c>
      <c r="C219" s="7" t="str" cm="1">
        <f t="array" aca="1" ref="C219" ca="1">IFERROR(IF(OR('Raw Data'!C219="",LEN(TRIM('Raw Data'!C219))=0),"",IF(AND(LEN('Raw Data'!C219) &lt;= 255,LEN('Raw Data'!C219)&gt; 0),"",_xlfn.REGEXEXTRACT(CELL("address",'Raw Data'!C219),"\$([A-Z]+)\$[0-9]+"))),_xlfn.REGEXEXTRACT(CELL("address",'Raw Data'!C219),"\$([A-Z]+)\$[0-9]+"))</f>
        <v/>
      </c>
      <c r="D219" s="7" t="str" cm="1">
        <f t="array" aca="1" ref="D219" ca="1">IFERROR(IF(OR('Raw Data'!D219="",LEN(TRIM('Raw Data'!D219))=0),"",IF(AND(ISNUMBER('Raw Data'!D219), IFERROR('Raw Data'!D219 = ROUND('Raw Data'!D219, 2),FALSE)),"",_xlfn.REGEXEXTRACT(CELL("address",D219), "\$([A-Z]+)\$[0-9]+"))),_xlfn.REGEXEXTRACT(CELL("address",D219), "\$([A-Z]+)\$[0-9]+"))</f>
        <v/>
      </c>
      <c r="E219" s="7" t="str" cm="1">
        <f t="array" aca="1" ref="E219" ca="1">IFERROR(IF(OR('Raw Data'!E219="",LEN(TRIM('Raw Data'!E219))=0),"",IF(AND(ISNUMBER('Raw Data'!E219), IFERROR('Raw Data'!E219 = ROUND('Raw Data'!E219, 2),FALSE)),"",_xlfn.REGEXEXTRACT(CELL("address",E219), "\$([A-Z]+)\$[0-9]+"))),_xlfn.REGEXEXTRACT(CELL("address",E219), "\$([A-Z]+)\$[0-9]+"))</f>
        <v/>
      </c>
      <c r="F219" s="7" t="str" cm="1">
        <f t="array" aca="1" ref="F219" ca="1">IFERROR(IF(OR('Raw Data'!F219="",LEN(TRIM('Raw Data'!F219))=0),"",IF(AND(ISNUMBER('Raw Data'!F219), IFERROR('Raw Data'!F219 = ROUND('Raw Data'!F219, 2),FALSE)),"",_xlfn.REGEXEXTRACT(CELL("address",F219), "\$([A-Z]+)\$[0-9]+"))),_xlfn.REGEXEXTRACT(CELL("address",F219), "\$([A-Z]+)\$[0-9]+"))</f>
        <v/>
      </c>
      <c r="G219" s="7" t="str" cm="1">
        <f t="array" aca="1" ref="G219" ca="1">IFERROR(IF(OR('Raw Data'!G219="",LEN(TRIM('Raw Data'!G219))=0),"",IF(LEN('Raw Data'!G219)&gt; 0,"",_xlfn.REGEXEXTRACT(CELL("address",'Raw Data'!G219),"\$([A-Z]+)\$[0-9]+"))),_xlfn.REGEXEXTRACT(CELL("address",'Raw Data'!G219),"\$([A-Z]+)\$[0-9]+"))</f>
        <v/>
      </c>
    </row>
    <row r="220" spans="2:7" x14ac:dyDescent="0.25">
      <c r="B220" s="7" t="str" cm="1">
        <f t="array" aca="1" ref="B220" ca="1">IFERROR(IF(OR('Raw Data'!B220="",LEN(TRIM('Raw Data'!B220))=0),"",IF(AND(LEN('Raw Data'!B220) &lt;= 20,LEN('Raw Data'!B220)&gt; 0),"",_xlfn.REGEXEXTRACT(CELL("address",'Raw Data'!B220),"\$([A-Z]+)\$[0-9]+"))),_xlfn.REGEXEXTRACT(CELL("address",'Raw Data'!B220),"\$([A-Z]+)\$[0-9]+"))</f>
        <v/>
      </c>
      <c r="C220" s="7" t="str" cm="1">
        <f t="array" aca="1" ref="C220" ca="1">IFERROR(IF(OR('Raw Data'!C220="",LEN(TRIM('Raw Data'!C220))=0),"",IF(AND(LEN('Raw Data'!C220) &lt;= 255,LEN('Raw Data'!C220)&gt; 0),"",_xlfn.REGEXEXTRACT(CELL("address",'Raw Data'!C220),"\$([A-Z]+)\$[0-9]+"))),_xlfn.REGEXEXTRACT(CELL("address",'Raw Data'!C220),"\$([A-Z]+)\$[0-9]+"))</f>
        <v/>
      </c>
      <c r="D220" s="7" t="str" cm="1">
        <f t="array" aca="1" ref="D220" ca="1">IFERROR(IF(OR('Raw Data'!D220="",LEN(TRIM('Raw Data'!D220))=0),"",IF(AND(ISNUMBER('Raw Data'!D220), IFERROR('Raw Data'!D220 = ROUND('Raw Data'!D220, 2),FALSE)),"",_xlfn.REGEXEXTRACT(CELL("address",D220), "\$([A-Z]+)\$[0-9]+"))),_xlfn.REGEXEXTRACT(CELL("address",D220), "\$([A-Z]+)\$[0-9]+"))</f>
        <v/>
      </c>
      <c r="E220" s="7" t="str" cm="1">
        <f t="array" aca="1" ref="E220" ca="1">IFERROR(IF(OR('Raw Data'!E220="",LEN(TRIM('Raw Data'!E220))=0),"",IF(AND(ISNUMBER('Raw Data'!E220), IFERROR('Raw Data'!E220 = ROUND('Raw Data'!E220, 2),FALSE)),"",_xlfn.REGEXEXTRACT(CELL("address",E220), "\$([A-Z]+)\$[0-9]+"))),_xlfn.REGEXEXTRACT(CELL("address",E220), "\$([A-Z]+)\$[0-9]+"))</f>
        <v/>
      </c>
      <c r="F220" s="7" t="str" cm="1">
        <f t="array" aca="1" ref="F220" ca="1">IFERROR(IF(OR('Raw Data'!F220="",LEN(TRIM('Raw Data'!F220))=0),"",IF(AND(ISNUMBER('Raw Data'!F220), IFERROR('Raw Data'!F220 = ROUND('Raw Data'!F220, 2),FALSE)),"",_xlfn.REGEXEXTRACT(CELL("address",F220), "\$([A-Z]+)\$[0-9]+"))),_xlfn.REGEXEXTRACT(CELL("address",F220), "\$([A-Z]+)\$[0-9]+"))</f>
        <v/>
      </c>
      <c r="G220" s="7" t="str" cm="1">
        <f t="array" aca="1" ref="G220" ca="1">IFERROR(IF(OR('Raw Data'!G220="",LEN(TRIM('Raw Data'!G220))=0),"",IF(LEN('Raw Data'!G220)&gt; 0,"",_xlfn.REGEXEXTRACT(CELL("address",'Raw Data'!G220),"\$([A-Z]+)\$[0-9]+"))),_xlfn.REGEXEXTRACT(CELL("address",'Raw Data'!G220),"\$([A-Z]+)\$[0-9]+"))</f>
        <v/>
      </c>
    </row>
    <row r="221" spans="2:7" x14ac:dyDescent="0.25">
      <c r="B221" s="7" t="str" cm="1">
        <f t="array" aca="1" ref="B221" ca="1">IFERROR(IF(OR('Raw Data'!B221="",LEN(TRIM('Raw Data'!B221))=0),"",IF(AND(LEN('Raw Data'!B221) &lt;= 20,LEN('Raw Data'!B221)&gt; 0),"",_xlfn.REGEXEXTRACT(CELL("address",'Raw Data'!B221),"\$([A-Z]+)\$[0-9]+"))),_xlfn.REGEXEXTRACT(CELL("address",'Raw Data'!B221),"\$([A-Z]+)\$[0-9]+"))</f>
        <v/>
      </c>
      <c r="C221" s="7" t="str" cm="1">
        <f t="array" aca="1" ref="C221" ca="1">IFERROR(IF(OR('Raw Data'!C221="",LEN(TRIM('Raw Data'!C221))=0),"",IF(AND(LEN('Raw Data'!C221) &lt;= 255,LEN('Raw Data'!C221)&gt; 0),"",_xlfn.REGEXEXTRACT(CELL("address",'Raw Data'!C221),"\$([A-Z]+)\$[0-9]+"))),_xlfn.REGEXEXTRACT(CELL("address",'Raw Data'!C221),"\$([A-Z]+)\$[0-9]+"))</f>
        <v/>
      </c>
      <c r="D221" s="7" t="str" cm="1">
        <f t="array" aca="1" ref="D221" ca="1">IFERROR(IF(OR('Raw Data'!D221="",LEN(TRIM('Raw Data'!D221))=0),"",IF(AND(ISNUMBER('Raw Data'!D221), IFERROR('Raw Data'!D221 = ROUND('Raw Data'!D221, 2),FALSE)),"",_xlfn.REGEXEXTRACT(CELL("address",D221), "\$([A-Z]+)\$[0-9]+"))),_xlfn.REGEXEXTRACT(CELL("address",D221), "\$([A-Z]+)\$[0-9]+"))</f>
        <v/>
      </c>
      <c r="E221" s="7" t="str" cm="1">
        <f t="array" aca="1" ref="E221" ca="1">IFERROR(IF(OR('Raw Data'!E221="",LEN(TRIM('Raw Data'!E221))=0),"",IF(AND(ISNUMBER('Raw Data'!E221), IFERROR('Raw Data'!E221 = ROUND('Raw Data'!E221, 2),FALSE)),"",_xlfn.REGEXEXTRACT(CELL("address",E221), "\$([A-Z]+)\$[0-9]+"))),_xlfn.REGEXEXTRACT(CELL("address",E221), "\$([A-Z]+)\$[0-9]+"))</f>
        <v/>
      </c>
      <c r="F221" s="7" t="str" cm="1">
        <f t="array" aca="1" ref="F221" ca="1">IFERROR(IF(OR('Raw Data'!F221="",LEN(TRIM('Raw Data'!F221))=0),"",IF(AND(ISNUMBER('Raw Data'!F221), IFERROR('Raw Data'!F221 = ROUND('Raw Data'!F221, 2),FALSE)),"",_xlfn.REGEXEXTRACT(CELL("address",F221), "\$([A-Z]+)\$[0-9]+"))),_xlfn.REGEXEXTRACT(CELL("address",F221), "\$([A-Z]+)\$[0-9]+"))</f>
        <v/>
      </c>
      <c r="G221" s="7" t="str" cm="1">
        <f t="array" aca="1" ref="G221" ca="1">IFERROR(IF(OR('Raw Data'!G221="",LEN(TRIM('Raw Data'!G221))=0),"",IF(LEN('Raw Data'!G221)&gt; 0,"",_xlfn.REGEXEXTRACT(CELL("address",'Raw Data'!G221),"\$([A-Z]+)\$[0-9]+"))),_xlfn.REGEXEXTRACT(CELL("address",'Raw Data'!G221),"\$([A-Z]+)\$[0-9]+"))</f>
        <v/>
      </c>
    </row>
    <row r="222" spans="2:7" x14ac:dyDescent="0.25">
      <c r="B222" s="7" t="str" cm="1">
        <f t="array" aca="1" ref="B222" ca="1">IFERROR(IF(OR('Raw Data'!B222="",LEN(TRIM('Raw Data'!B222))=0),"",IF(AND(LEN('Raw Data'!B222) &lt;= 20,LEN('Raw Data'!B222)&gt; 0),"",_xlfn.REGEXEXTRACT(CELL("address",'Raw Data'!B222),"\$([A-Z]+)\$[0-9]+"))),_xlfn.REGEXEXTRACT(CELL("address",'Raw Data'!B222),"\$([A-Z]+)\$[0-9]+"))</f>
        <v/>
      </c>
      <c r="C222" s="7" t="str" cm="1">
        <f t="array" aca="1" ref="C222" ca="1">IFERROR(IF(OR('Raw Data'!C222="",LEN(TRIM('Raw Data'!C222))=0),"",IF(AND(LEN('Raw Data'!C222) &lt;= 255,LEN('Raw Data'!C222)&gt; 0),"",_xlfn.REGEXEXTRACT(CELL("address",'Raw Data'!C222),"\$([A-Z]+)\$[0-9]+"))),_xlfn.REGEXEXTRACT(CELL("address",'Raw Data'!C222),"\$([A-Z]+)\$[0-9]+"))</f>
        <v/>
      </c>
      <c r="D222" s="7" t="str" cm="1">
        <f t="array" aca="1" ref="D222" ca="1">IFERROR(IF(OR('Raw Data'!D222="",LEN(TRIM('Raw Data'!D222))=0),"",IF(AND(ISNUMBER('Raw Data'!D222), IFERROR('Raw Data'!D222 = ROUND('Raw Data'!D222, 2),FALSE)),"",_xlfn.REGEXEXTRACT(CELL("address",D222), "\$([A-Z]+)\$[0-9]+"))),_xlfn.REGEXEXTRACT(CELL("address",D222), "\$([A-Z]+)\$[0-9]+"))</f>
        <v/>
      </c>
      <c r="E222" s="7" t="str" cm="1">
        <f t="array" aca="1" ref="E222" ca="1">IFERROR(IF(OR('Raw Data'!E222="",LEN(TRIM('Raw Data'!E222))=0),"",IF(AND(ISNUMBER('Raw Data'!E222), IFERROR('Raw Data'!E222 = ROUND('Raw Data'!E222, 2),FALSE)),"",_xlfn.REGEXEXTRACT(CELL("address",E222), "\$([A-Z]+)\$[0-9]+"))),_xlfn.REGEXEXTRACT(CELL("address",E222), "\$([A-Z]+)\$[0-9]+"))</f>
        <v/>
      </c>
      <c r="F222" s="7" t="str" cm="1">
        <f t="array" aca="1" ref="F222" ca="1">IFERROR(IF(OR('Raw Data'!F222="",LEN(TRIM('Raw Data'!F222))=0),"",IF(AND(ISNUMBER('Raw Data'!F222), IFERROR('Raw Data'!F222 = ROUND('Raw Data'!F222, 2),FALSE)),"",_xlfn.REGEXEXTRACT(CELL("address",F222), "\$([A-Z]+)\$[0-9]+"))),_xlfn.REGEXEXTRACT(CELL("address",F222), "\$([A-Z]+)\$[0-9]+"))</f>
        <v/>
      </c>
      <c r="G222" s="7" t="str" cm="1">
        <f t="array" aca="1" ref="G222" ca="1">IFERROR(IF(OR('Raw Data'!G222="",LEN(TRIM('Raw Data'!G222))=0),"",IF(LEN('Raw Data'!G222)&gt; 0,"",_xlfn.REGEXEXTRACT(CELL("address",'Raw Data'!G222),"\$([A-Z]+)\$[0-9]+"))),_xlfn.REGEXEXTRACT(CELL("address",'Raw Data'!G222),"\$([A-Z]+)\$[0-9]+"))</f>
        <v/>
      </c>
    </row>
    <row r="223" spans="2:7" x14ac:dyDescent="0.25">
      <c r="B223" s="7" t="str" cm="1">
        <f t="array" aca="1" ref="B223" ca="1">IFERROR(IF(OR('Raw Data'!B223="",LEN(TRIM('Raw Data'!B223))=0),"",IF(AND(LEN('Raw Data'!B223) &lt;= 20,LEN('Raw Data'!B223)&gt; 0),"",_xlfn.REGEXEXTRACT(CELL("address",'Raw Data'!B223),"\$([A-Z]+)\$[0-9]+"))),_xlfn.REGEXEXTRACT(CELL("address",'Raw Data'!B223),"\$([A-Z]+)\$[0-9]+"))</f>
        <v/>
      </c>
      <c r="C223" s="7" t="str" cm="1">
        <f t="array" aca="1" ref="C223" ca="1">IFERROR(IF(OR('Raw Data'!C223="",LEN(TRIM('Raw Data'!C223))=0),"",IF(AND(LEN('Raw Data'!C223) &lt;= 255,LEN('Raw Data'!C223)&gt; 0),"",_xlfn.REGEXEXTRACT(CELL("address",'Raw Data'!C223),"\$([A-Z]+)\$[0-9]+"))),_xlfn.REGEXEXTRACT(CELL("address",'Raw Data'!C223),"\$([A-Z]+)\$[0-9]+"))</f>
        <v/>
      </c>
      <c r="D223" s="7" t="str" cm="1">
        <f t="array" aca="1" ref="D223" ca="1">IFERROR(IF(OR('Raw Data'!D223="",LEN(TRIM('Raw Data'!D223))=0),"",IF(AND(ISNUMBER('Raw Data'!D223), IFERROR('Raw Data'!D223 = ROUND('Raw Data'!D223, 2),FALSE)),"",_xlfn.REGEXEXTRACT(CELL("address",D223), "\$([A-Z]+)\$[0-9]+"))),_xlfn.REGEXEXTRACT(CELL("address",D223), "\$([A-Z]+)\$[0-9]+"))</f>
        <v/>
      </c>
      <c r="E223" s="7" t="str" cm="1">
        <f t="array" aca="1" ref="E223" ca="1">IFERROR(IF(OR('Raw Data'!E223="",LEN(TRIM('Raw Data'!E223))=0),"",IF(AND(ISNUMBER('Raw Data'!E223), IFERROR('Raw Data'!E223 = ROUND('Raw Data'!E223, 2),FALSE)),"",_xlfn.REGEXEXTRACT(CELL("address",E223), "\$([A-Z]+)\$[0-9]+"))),_xlfn.REGEXEXTRACT(CELL("address",E223), "\$([A-Z]+)\$[0-9]+"))</f>
        <v/>
      </c>
      <c r="F223" s="7" t="str" cm="1">
        <f t="array" aca="1" ref="F223" ca="1">IFERROR(IF(OR('Raw Data'!F223="",LEN(TRIM('Raw Data'!F223))=0),"",IF(AND(ISNUMBER('Raw Data'!F223), IFERROR('Raw Data'!F223 = ROUND('Raw Data'!F223, 2),FALSE)),"",_xlfn.REGEXEXTRACT(CELL("address",F223), "\$([A-Z]+)\$[0-9]+"))),_xlfn.REGEXEXTRACT(CELL("address",F223), "\$([A-Z]+)\$[0-9]+"))</f>
        <v/>
      </c>
      <c r="G223" s="7" t="str" cm="1">
        <f t="array" aca="1" ref="G223" ca="1">IFERROR(IF(OR('Raw Data'!G223="",LEN(TRIM('Raw Data'!G223))=0),"",IF(LEN('Raw Data'!G223)&gt; 0,"",_xlfn.REGEXEXTRACT(CELL("address",'Raw Data'!G223),"\$([A-Z]+)\$[0-9]+"))),_xlfn.REGEXEXTRACT(CELL("address",'Raw Data'!G223),"\$([A-Z]+)\$[0-9]+"))</f>
        <v/>
      </c>
    </row>
    <row r="224" spans="2:7" x14ac:dyDescent="0.25">
      <c r="B224" s="7" t="str" cm="1">
        <f t="array" aca="1" ref="B224" ca="1">IFERROR(IF(OR('Raw Data'!B224="",LEN(TRIM('Raw Data'!B224))=0),"",IF(AND(LEN('Raw Data'!B224) &lt;= 20,LEN('Raw Data'!B224)&gt; 0),"",_xlfn.REGEXEXTRACT(CELL("address",'Raw Data'!B224),"\$([A-Z]+)\$[0-9]+"))),_xlfn.REGEXEXTRACT(CELL("address",'Raw Data'!B224),"\$([A-Z]+)\$[0-9]+"))</f>
        <v/>
      </c>
      <c r="C224" s="7" t="str" cm="1">
        <f t="array" aca="1" ref="C224" ca="1">IFERROR(IF(OR('Raw Data'!C224="",LEN(TRIM('Raw Data'!C224))=0),"",IF(AND(LEN('Raw Data'!C224) &lt;= 255,LEN('Raw Data'!C224)&gt; 0),"",_xlfn.REGEXEXTRACT(CELL("address",'Raw Data'!C224),"\$([A-Z]+)\$[0-9]+"))),_xlfn.REGEXEXTRACT(CELL("address",'Raw Data'!C224),"\$([A-Z]+)\$[0-9]+"))</f>
        <v/>
      </c>
      <c r="D224" s="7" t="str" cm="1">
        <f t="array" aca="1" ref="D224" ca="1">IFERROR(IF(OR('Raw Data'!D224="",LEN(TRIM('Raw Data'!D224))=0),"",IF(AND(ISNUMBER('Raw Data'!D224), IFERROR('Raw Data'!D224 = ROUND('Raw Data'!D224, 2),FALSE)),"",_xlfn.REGEXEXTRACT(CELL("address",D224), "\$([A-Z]+)\$[0-9]+"))),_xlfn.REGEXEXTRACT(CELL("address",D224), "\$([A-Z]+)\$[0-9]+"))</f>
        <v/>
      </c>
      <c r="E224" s="7" t="str" cm="1">
        <f t="array" aca="1" ref="E224" ca="1">IFERROR(IF(OR('Raw Data'!E224="",LEN(TRIM('Raw Data'!E224))=0),"",IF(AND(ISNUMBER('Raw Data'!E224), IFERROR('Raw Data'!E224 = ROUND('Raw Data'!E224, 2),FALSE)),"",_xlfn.REGEXEXTRACT(CELL("address",E224), "\$([A-Z]+)\$[0-9]+"))),_xlfn.REGEXEXTRACT(CELL("address",E224), "\$([A-Z]+)\$[0-9]+"))</f>
        <v/>
      </c>
      <c r="F224" s="7" t="str" cm="1">
        <f t="array" aca="1" ref="F224" ca="1">IFERROR(IF(OR('Raw Data'!F224="",LEN(TRIM('Raw Data'!F224))=0),"",IF(AND(ISNUMBER('Raw Data'!F224), IFERROR('Raw Data'!F224 = ROUND('Raw Data'!F224, 2),FALSE)),"",_xlfn.REGEXEXTRACT(CELL("address",F224), "\$([A-Z]+)\$[0-9]+"))),_xlfn.REGEXEXTRACT(CELL("address",F224), "\$([A-Z]+)\$[0-9]+"))</f>
        <v/>
      </c>
      <c r="G224" s="7" t="str" cm="1">
        <f t="array" aca="1" ref="G224" ca="1">IFERROR(IF(OR('Raw Data'!G224="",LEN(TRIM('Raw Data'!G224))=0),"",IF(LEN('Raw Data'!G224)&gt; 0,"",_xlfn.REGEXEXTRACT(CELL("address",'Raw Data'!G224),"\$([A-Z]+)\$[0-9]+"))),_xlfn.REGEXEXTRACT(CELL("address",'Raw Data'!G224),"\$([A-Z]+)\$[0-9]+"))</f>
        <v/>
      </c>
    </row>
    <row r="225" spans="2:7" x14ac:dyDescent="0.25">
      <c r="B225" s="7" t="str" cm="1">
        <f t="array" aca="1" ref="B225" ca="1">IFERROR(IF(OR('Raw Data'!B225="",LEN(TRIM('Raw Data'!B225))=0),"",IF(AND(LEN('Raw Data'!B225) &lt;= 20,LEN('Raw Data'!B225)&gt; 0),"",_xlfn.REGEXEXTRACT(CELL("address",'Raw Data'!B225),"\$([A-Z]+)\$[0-9]+"))),_xlfn.REGEXEXTRACT(CELL("address",'Raw Data'!B225),"\$([A-Z]+)\$[0-9]+"))</f>
        <v/>
      </c>
      <c r="C225" s="7" t="str" cm="1">
        <f t="array" aca="1" ref="C225" ca="1">IFERROR(IF(OR('Raw Data'!C225="",LEN(TRIM('Raw Data'!C225))=0),"",IF(AND(LEN('Raw Data'!C225) &lt;= 255,LEN('Raw Data'!C225)&gt; 0),"",_xlfn.REGEXEXTRACT(CELL("address",'Raw Data'!C225),"\$([A-Z]+)\$[0-9]+"))),_xlfn.REGEXEXTRACT(CELL("address",'Raw Data'!C225),"\$([A-Z]+)\$[0-9]+"))</f>
        <v/>
      </c>
      <c r="D225" s="7" t="str" cm="1">
        <f t="array" aca="1" ref="D225" ca="1">IFERROR(IF(OR('Raw Data'!D225="",LEN(TRIM('Raw Data'!D225))=0),"",IF(AND(ISNUMBER('Raw Data'!D225), IFERROR('Raw Data'!D225 = ROUND('Raw Data'!D225, 2),FALSE)),"",_xlfn.REGEXEXTRACT(CELL("address",D225), "\$([A-Z]+)\$[0-9]+"))),_xlfn.REGEXEXTRACT(CELL("address",D225), "\$([A-Z]+)\$[0-9]+"))</f>
        <v/>
      </c>
      <c r="E225" s="7" t="str" cm="1">
        <f t="array" aca="1" ref="E225" ca="1">IFERROR(IF(OR('Raw Data'!E225="",LEN(TRIM('Raw Data'!E225))=0),"",IF(AND(ISNUMBER('Raw Data'!E225), IFERROR('Raw Data'!E225 = ROUND('Raw Data'!E225, 2),FALSE)),"",_xlfn.REGEXEXTRACT(CELL("address",E225), "\$([A-Z]+)\$[0-9]+"))),_xlfn.REGEXEXTRACT(CELL("address",E225), "\$([A-Z]+)\$[0-9]+"))</f>
        <v/>
      </c>
      <c r="F225" s="7" t="str" cm="1">
        <f t="array" aca="1" ref="F225" ca="1">IFERROR(IF(OR('Raw Data'!F225="",LEN(TRIM('Raw Data'!F225))=0),"",IF(AND(ISNUMBER('Raw Data'!F225), IFERROR('Raw Data'!F225 = ROUND('Raw Data'!F225, 2),FALSE)),"",_xlfn.REGEXEXTRACT(CELL("address",F225), "\$([A-Z]+)\$[0-9]+"))),_xlfn.REGEXEXTRACT(CELL("address",F225), "\$([A-Z]+)\$[0-9]+"))</f>
        <v/>
      </c>
      <c r="G225" s="7" t="str" cm="1">
        <f t="array" aca="1" ref="G225" ca="1">IFERROR(IF(OR('Raw Data'!G225="",LEN(TRIM('Raw Data'!G225))=0),"",IF(LEN('Raw Data'!G225)&gt; 0,"",_xlfn.REGEXEXTRACT(CELL("address",'Raw Data'!G225),"\$([A-Z]+)\$[0-9]+"))),_xlfn.REGEXEXTRACT(CELL("address",'Raw Data'!G225),"\$([A-Z]+)\$[0-9]+"))</f>
        <v/>
      </c>
    </row>
    <row r="226" spans="2:7" x14ac:dyDescent="0.25">
      <c r="B226" s="7" t="str" cm="1">
        <f t="array" aca="1" ref="B226" ca="1">IFERROR(IF(OR('Raw Data'!B226="",LEN(TRIM('Raw Data'!B226))=0),"",IF(AND(LEN('Raw Data'!B226) &lt;= 20,LEN('Raw Data'!B226)&gt; 0),"",_xlfn.REGEXEXTRACT(CELL("address",'Raw Data'!B226),"\$([A-Z]+)\$[0-9]+"))),_xlfn.REGEXEXTRACT(CELL("address",'Raw Data'!B226),"\$([A-Z]+)\$[0-9]+"))</f>
        <v/>
      </c>
      <c r="C226" s="7" t="str" cm="1">
        <f t="array" aca="1" ref="C226" ca="1">IFERROR(IF(OR('Raw Data'!C226="",LEN(TRIM('Raw Data'!C226))=0),"",IF(AND(LEN('Raw Data'!C226) &lt;= 255,LEN('Raw Data'!C226)&gt; 0),"",_xlfn.REGEXEXTRACT(CELL("address",'Raw Data'!C226),"\$([A-Z]+)\$[0-9]+"))),_xlfn.REGEXEXTRACT(CELL("address",'Raw Data'!C226),"\$([A-Z]+)\$[0-9]+"))</f>
        <v/>
      </c>
      <c r="D226" s="7" t="str" cm="1">
        <f t="array" aca="1" ref="D226" ca="1">IFERROR(IF(OR('Raw Data'!D226="",LEN(TRIM('Raw Data'!D226))=0),"",IF(AND(ISNUMBER('Raw Data'!D226), IFERROR('Raw Data'!D226 = ROUND('Raw Data'!D226, 2),FALSE)),"",_xlfn.REGEXEXTRACT(CELL("address",D226), "\$([A-Z]+)\$[0-9]+"))),_xlfn.REGEXEXTRACT(CELL("address",D226), "\$([A-Z]+)\$[0-9]+"))</f>
        <v/>
      </c>
      <c r="E226" s="7" t="str" cm="1">
        <f t="array" aca="1" ref="E226" ca="1">IFERROR(IF(OR('Raw Data'!E226="",LEN(TRIM('Raw Data'!E226))=0),"",IF(AND(ISNUMBER('Raw Data'!E226), IFERROR('Raw Data'!E226 = ROUND('Raw Data'!E226, 2),FALSE)),"",_xlfn.REGEXEXTRACT(CELL("address",E226), "\$([A-Z]+)\$[0-9]+"))),_xlfn.REGEXEXTRACT(CELL("address",E226), "\$([A-Z]+)\$[0-9]+"))</f>
        <v/>
      </c>
      <c r="F226" s="7" t="str" cm="1">
        <f t="array" aca="1" ref="F226" ca="1">IFERROR(IF(OR('Raw Data'!F226="",LEN(TRIM('Raw Data'!F226))=0),"",IF(AND(ISNUMBER('Raw Data'!F226), IFERROR('Raw Data'!F226 = ROUND('Raw Data'!F226, 2),FALSE)),"",_xlfn.REGEXEXTRACT(CELL("address",F226), "\$([A-Z]+)\$[0-9]+"))),_xlfn.REGEXEXTRACT(CELL("address",F226), "\$([A-Z]+)\$[0-9]+"))</f>
        <v/>
      </c>
      <c r="G226" s="7" t="str" cm="1">
        <f t="array" aca="1" ref="G226" ca="1">IFERROR(IF(OR('Raw Data'!G226="",LEN(TRIM('Raw Data'!G226))=0),"",IF(LEN('Raw Data'!G226)&gt; 0,"",_xlfn.REGEXEXTRACT(CELL("address",'Raw Data'!G226),"\$([A-Z]+)\$[0-9]+"))),_xlfn.REGEXEXTRACT(CELL("address",'Raw Data'!G226),"\$([A-Z]+)\$[0-9]+"))</f>
        <v/>
      </c>
    </row>
    <row r="227" spans="2:7" x14ac:dyDescent="0.25">
      <c r="B227" s="7" t="str" cm="1">
        <f t="array" aca="1" ref="B227" ca="1">IFERROR(IF(OR('Raw Data'!B227="",LEN(TRIM('Raw Data'!B227))=0),"",IF(AND(LEN('Raw Data'!B227) &lt;= 20,LEN('Raw Data'!B227)&gt; 0),"",_xlfn.REGEXEXTRACT(CELL("address",'Raw Data'!B227),"\$([A-Z]+)\$[0-9]+"))),_xlfn.REGEXEXTRACT(CELL("address",'Raw Data'!B227),"\$([A-Z]+)\$[0-9]+"))</f>
        <v/>
      </c>
      <c r="C227" s="7" t="str" cm="1">
        <f t="array" aca="1" ref="C227" ca="1">IFERROR(IF(OR('Raw Data'!C227="",LEN(TRIM('Raw Data'!C227))=0),"",IF(AND(LEN('Raw Data'!C227) &lt;= 255,LEN('Raw Data'!C227)&gt; 0),"",_xlfn.REGEXEXTRACT(CELL("address",'Raw Data'!C227),"\$([A-Z]+)\$[0-9]+"))),_xlfn.REGEXEXTRACT(CELL("address",'Raw Data'!C227),"\$([A-Z]+)\$[0-9]+"))</f>
        <v/>
      </c>
      <c r="D227" s="7" t="str" cm="1">
        <f t="array" aca="1" ref="D227" ca="1">IFERROR(IF(OR('Raw Data'!D227="",LEN(TRIM('Raw Data'!D227))=0),"",IF(AND(ISNUMBER('Raw Data'!D227), IFERROR('Raw Data'!D227 = ROUND('Raw Data'!D227, 2),FALSE)),"",_xlfn.REGEXEXTRACT(CELL("address",D227), "\$([A-Z]+)\$[0-9]+"))),_xlfn.REGEXEXTRACT(CELL("address",D227), "\$([A-Z]+)\$[0-9]+"))</f>
        <v/>
      </c>
      <c r="E227" s="7" t="str" cm="1">
        <f t="array" aca="1" ref="E227" ca="1">IFERROR(IF(OR('Raw Data'!E227="",LEN(TRIM('Raw Data'!E227))=0),"",IF(AND(ISNUMBER('Raw Data'!E227), IFERROR('Raw Data'!E227 = ROUND('Raw Data'!E227, 2),FALSE)),"",_xlfn.REGEXEXTRACT(CELL("address",E227), "\$([A-Z]+)\$[0-9]+"))),_xlfn.REGEXEXTRACT(CELL("address",E227), "\$([A-Z]+)\$[0-9]+"))</f>
        <v/>
      </c>
      <c r="F227" s="7" t="str" cm="1">
        <f t="array" aca="1" ref="F227" ca="1">IFERROR(IF(OR('Raw Data'!F227="",LEN(TRIM('Raw Data'!F227))=0),"",IF(AND(ISNUMBER('Raw Data'!F227), IFERROR('Raw Data'!F227 = ROUND('Raw Data'!F227, 2),FALSE)),"",_xlfn.REGEXEXTRACT(CELL("address",F227), "\$([A-Z]+)\$[0-9]+"))),_xlfn.REGEXEXTRACT(CELL("address",F227), "\$([A-Z]+)\$[0-9]+"))</f>
        <v/>
      </c>
      <c r="G227" s="7" t="str" cm="1">
        <f t="array" aca="1" ref="G227" ca="1">IFERROR(IF(OR('Raw Data'!G227="",LEN(TRIM('Raw Data'!G227))=0),"",IF(LEN('Raw Data'!G227)&gt; 0,"",_xlfn.REGEXEXTRACT(CELL("address",'Raw Data'!G227),"\$([A-Z]+)\$[0-9]+"))),_xlfn.REGEXEXTRACT(CELL("address",'Raw Data'!G227),"\$([A-Z]+)\$[0-9]+"))</f>
        <v/>
      </c>
    </row>
    <row r="228" spans="2:7" x14ac:dyDescent="0.25">
      <c r="B228" s="7" t="str" cm="1">
        <f t="array" aca="1" ref="B228" ca="1">IFERROR(IF(OR('Raw Data'!B228="",LEN(TRIM('Raw Data'!B228))=0),"",IF(AND(LEN('Raw Data'!B228) &lt;= 20,LEN('Raw Data'!B228)&gt; 0),"",_xlfn.REGEXEXTRACT(CELL("address",'Raw Data'!B228),"\$([A-Z]+)\$[0-9]+"))),_xlfn.REGEXEXTRACT(CELL("address",'Raw Data'!B228),"\$([A-Z]+)\$[0-9]+"))</f>
        <v/>
      </c>
      <c r="C228" s="7" t="str" cm="1">
        <f t="array" aca="1" ref="C228" ca="1">IFERROR(IF(OR('Raw Data'!C228="",LEN(TRIM('Raw Data'!C228))=0),"",IF(AND(LEN('Raw Data'!C228) &lt;= 255,LEN('Raw Data'!C228)&gt; 0),"",_xlfn.REGEXEXTRACT(CELL("address",'Raw Data'!C228),"\$([A-Z]+)\$[0-9]+"))),_xlfn.REGEXEXTRACT(CELL("address",'Raw Data'!C228),"\$([A-Z]+)\$[0-9]+"))</f>
        <v/>
      </c>
      <c r="D228" s="7" t="str" cm="1">
        <f t="array" aca="1" ref="D228" ca="1">IFERROR(IF(OR('Raw Data'!D228="",LEN(TRIM('Raw Data'!D228))=0),"",IF(AND(ISNUMBER('Raw Data'!D228), IFERROR('Raw Data'!D228 = ROUND('Raw Data'!D228, 2),FALSE)),"",_xlfn.REGEXEXTRACT(CELL("address",D228), "\$([A-Z]+)\$[0-9]+"))),_xlfn.REGEXEXTRACT(CELL("address",D228), "\$([A-Z]+)\$[0-9]+"))</f>
        <v/>
      </c>
      <c r="E228" s="7" t="str" cm="1">
        <f t="array" aca="1" ref="E228" ca="1">IFERROR(IF(OR('Raw Data'!E228="",LEN(TRIM('Raw Data'!E228))=0),"",IF(AND(ISNUMBER('Raw Data'!E228), IFERROR('Raw Data'!E228 = ROUND('Raw Data'!E228, 2),FALSE)),"",_xlfn.REGEXEXTRACT(CELL("address",E228), "\$([A-Z]+)\$[0-9]+"))),_xlfn.REGEXEXTRACT(CELL("address",E228), "\$([A-Z]+)\$[0-9]+"))</f>
        <v/>
      </c>
      <c r="F228" s="7" t="str" cm="1">
        <f t="array" aca="1" ref="F228" ca="1">IFERROR(IF(OR('Raw Data'!F228="",LEN(TRIM('Raw Data'!F228))=0),"",IF(AND(ISNUMBER('Raw Data'!F228), IFERROR('Raw Data'!F228 = ROUND('Raw Data'!F228, 2),FALSE)),"",_xlfn.REGEXEXTRACT(CELL("address",F228), "\$([A-Z]+)\$[0-9]+"))),_xlfn.REGEXEXTRACT(CELL("address",F228), "\$([A-Z]+)\$[0-9]+"))</f>
        <v/>
      </c>
      <c r="G228" s="7" t="str" cm="1">
        <f t="array" aca="1" ref="G228" ca="1">IFERROR(IF(OR('Raw Data'!G228="",LEN(TRIM('Raw Data'!G228))=0),"",IF(LEN('Raw Data'!G228)&gt; 0,"",_xlfn.REGEXEXTRACT(CELL("address",'Raw Data'!G228),"\$([A-Z]+)\$[0-9]+"))),_xlfn.REGEXEXTRACT(CELL("address",'Raw Data'!G228),"\$([A-Z]+)\$[0-9]+"))</f>
        <v/>
      </c>
    </row>
    <row r="229" spans="2:7" x14ac:dyDescent="0.25">
      <c r="B229" s="7" t="str" cm="1">
        <f t="array" aca="1" ref="B229" ca="1">IFERROR(IF(OR('Raw Data'!B229="",LEN(TRIM('Raw Data'!B229))=0),"",IF(AND(LEN('Raw Data'!B229) &lt;= 20,LEN('Raw Data'!B229)&gt; 0),"",_xlfn.REGEXEXTRACT(CELL("address",'Raw Data'!B229),"\$([A-Z]+)\$[0-9]+"))),_xlfn.REGEXEXTRACT(CELL("address",'Raw Data'!B229),"\$([A-Z]+)\$[0-9]+"))</f>
        <v/>
      </c>
      <c r="C229" s="7" t="str" cm="1">
        <f t="array" aca="1" ref="C229" ca="1">IFERROR(IF(OR('Raw Data'!C229="",LEN(TRIM('Raw Data'!C229))=0),"",IF(AND(LEN('Raw Data'!C229) &lt;= 255,LEN('Raw Data'!C229)&gt; 0),"",_xlfn.REGEXEXTRACT(CELL("address",'Raw Data'!C229),"\$([A-Z]+)\$[0-9]+"))),_xlfn.REGEXEXTRACT(CELL("address",'Raw Data'!C229),"\$([A-Z]+)\$[0-9]+"))</f>
        <v/>
      </c>
      <c r="D229" s="7" t="str" cm="1">
        <f t="array" aca="1" ref="D229" ca="1">IFERROR(IF(OR('Raw Data'!D229="",LEN(TRIM('Raw Data'!D229))=0),"",IF(AND(ISNUMBER('Raw Data'!D229), IFERROR('Raw Data'!D229 = ROUND('Raw Data'!D229, 2),FALSE)),"",_xlfn.REGEXEXTRACT(CELL("address",D229), "\$([A-Z]+)\$[0-9]+"))),_xlfn.REGEXEXTRACT(CELL("address",D229), "\$([A-Z]+)\$[0-9]+"))</f>
        <v/>
      </c>
      <c r="E229" s="7" t="str" cm="1">
        <f t="array" aca="1" ref="E229" ca="1">IFERROR(IF(OR('Raw Data'!E229="",LEN(TRIM('Raw Data'!E229))=0),"",IF(AND(ISNUMBER('Raw Data'!E229), IFERROR('Raw Data'!E229 = ROUND('Raw Data'!E229, 2),FALSE)),"",_xlfn.REGEXEXTRACT(CELL("address",E229), "\$([A-Z]+)\$[0-9]+"))),_xlfn.REGEXEXTRACT(CELL("address",E229), "\$([A-Z]+)\$[0-9]+"))</f>
        <v/>
      </c>
      <c r="F229" s="7" t="str" cm="1">
        <f t="array" aca="1" ref="F229" ca="1">IFERROR(IF(OR('Raw Data'!F229="",LEN(TRIM('Raw Data'!F229))=0),"",IF(AND(ISNUMBER('Raw Data'!F229), IFERROR('Raw Data'!F229 = ROUND('Raw Data'!F229, 2),FALSE)),"",_xlfn.REGEXEXTRACT(CELL("address",F229), "\$([A-Z]+)\$[0-9]+"))),_xlfn.REGEXEXTRACT(CELL("address",F229), "\$([A-Z]+)\$[0-9]+"))</f>
        <v/>
      </c>
      <c r="G229" s="7" t="str" cm="1">
        <f t="array" aca="1" ref="G229" ca="1">IFERROR(IF(OR('Raw Data'!G229="",LEN(TRIM('Raw Data'!G229))=0),"",IF(LEN('Raw Data'!G229)&gt; 0,"",_xlfn.REGEXEXTRACT(CELL("address",'Raw Data'!G229),"\$([A-Z]+)\$[0-9]+"))),_xlfn.REGEXEXTRACT(CELL("address",'Raw Data'!G229),"\$([A-Z]+)\$[0-9]+"))</f>
        <v/>
      </c>
    </row>
    <row r="230" spans="2:7" x14ac:dyDescent="0.25">
      <c r="B230" s="7" t="str" cm="1">
        <f t="array" aca="1" ref="B230" ca="1">IFERROR(IF(OR('Raw Data'!B230="",LEN(TRIM('Raw Data'!B230))=0),"",IF(AND(LEN('Raw Data'!B230) &lt;= 20,LEN('Raw Data'!B230)&gt; 0),"",_xlfn.REGEXEXTRACT(CELL("address",'Raw Data'!B230),"\$([A-Z]+)\$[0-9]+"))),_xlfn.REGEXEXTRACT(CELL("address",'Raw Data'!B230),"\$([A-Z]+)\$[0-9]+"))</f>
        <v/>
      </c>
      <c r="C230" s="7" t="str" cm="1">
        <f t="array" aca="1" ref="C230" ca="1">IFERROR(IF(OR('Raw Data'!C230="",LEN(TRIM('Raw Data'!C230))=0),"",IF(AND(LEN('Raw Data'!C230) &lt;= 255,LEN('Raw Data'!C230)&gt; 0),"",_xlfn.REGEXEXTRACT(CELL("address",'Raw Data'!C230),"\$([A-Z]+)\$[0-9]+"))),_xlfn.REGEXEXTRACT(CELL("address",'Raw Data'!C230),"\$([A-Z]+)\$[0-9]+"))</f>
        <v/>
      </c>
      <c r="D230" s="7" t="str" cm="1">
        <f t="array" aca="1" ref="D230" ca="1">IFERROR(IF(OR('Raw Data'!D230="",LEN(TRIM('Raw Data'!D230))=0),"",IF(AND(ISNUMBER('Raw Data'!D230), IFERROR('Raw Data'!D230 = ROUND('Raw Data'!D230, 2),FALSE)),"",_xlfn.REGEXEXTRACT(CELL("address",D230), "\$([A-Z]+)\$[0-9]+"))),_xlfn.REGEXEXTRACT(CELL("address",D230), "\$([A-Z]+)\$[0-9]+"))</f>
        <v/>
      </c>
      <c r="E230" s="7" t="str" cm="1">
        <f t="array" aca="1" ref="E230" ca="1">IFERROR(IF(OR('Raw Data'!E230="",LEN(TRIM('Raw Data'!E230))=0),"",IF(AND(ISNUMBER('Raw Data'!E230), IFERROR('Raw Data'!E230 = ROUND('Raw Data'!E230, 2),FALSE)),"",_xlfn.REGEXEXTRACT(CELL("address",E230), "\$([A-Z]+)\$[0-9]+"))),_xlfn.REGEXEXTRACT(CELL("address",E230), "\$([A-Z]+)\$[0-9]+"))</f>
        <v/>
      </c>
      <c r="F230" s="7" t="str" cm="1">
        <f t="array" aca="1" ref="F230" ca="1">IFERROR(IF(OR('Raw Data'!F230="",LEN(TRIM('Raw Data'!F230))=0),"",IF(AND(ISNUMBER('Raw Data'!F230), IFERROR('Raw Data'!F230 = ROUND('Raw Data'!F230, 2),FALSE)),"",_xlfn.REGEXEXTRACT(CELL("address",F230), "\$([A-Z]+)\$[0-9]+"))),_xlfn.REGEXEXTRACT(CELL("address",F230), "\$([A-Z]+)\$[0-9]+"))</f>
        <v/>
      </c>
      <c r="G230" s="7" t="str" cm="1">
        <f t="array" aca="1" ref="G230" ca="1">IFERROR(IF(OR('Raw Data'!G230="",LEN(TRIM('Raw Data'!G230))=0),"",IF(LEN('Raw Data'!G230)&gt; 0,"",_xlfn.REGEXEXTRACT(CELL("address",'Raw Data'!G230),"\$([A-Z]+)\$[0-9]+"))),_xlfn.REGEXEXTRACT(CELL("address",'Raw Data'!G230),"\$([A-Z]+)\$[0-9]+"))</f>
        <v/>
      </c>
    </row>
    <row r="231" spans="2:7" x14ac:dyDescent="0.25">
      <c r="B231" s="7" t="str" cm="1">
        <f t="array" aca="1" ref="B231" ca="1">IFERROR(IF(OR('Raw Data'!B231="",LEN(TRIM('Raw Data'!B231))=0),"",IF(AND(LEN('Raw Data'!B231) &lt;= 20,LEN('Raw Data'!B231)&gt; 0),"",_xlfn.REGEXEXTRACT(CELL("address",'Raw Data'!B231),"\$([A-Z]+)\$[0-9]+"))),_xlfn.REGEXEXTRACT(CELL("address",'Raw Data'!B231),"\$([A-Z]+)\$[0-9]+"))</f>
        <v/>
      </c>
      <c r="C231" s="7" t="str" cm="1">
        <f t="array" aca="1" ref="C231" ca="1">IFERROR(IF(OR('Raw Data'!C231="",LEN(TRIM('Raw Data'!C231))=0),"",IF(AND(LEN('Raw Data'!C231) &lt;= 255,LEN('Raw Data'!C231)&gt; 0),"",_xlfn.REGEXEXTRACT(CELL("address",'Raw Data'!C231),"\$([A-Z]+)\$[0-9]+"))),_xlfn.REGEXEXTRACT(CELL("address",'Raw Data'!C231),"\$([A-Z]+)\$[0-9]+"))</f>
        <v/>
      </c>
      <c r="D231" s="7" t="str" cm="1">
        <f t="array" aca="1" ref="D231" ca="1">IFERROR(IF(OR('Raw Data'!D231="",LEN(TRIM('Raw Data'!D231))=0),"",IF(AND(ISNUMBER('Raw Data'!D231), IFERROR('Raw Data'!D231 = ROUND('Raw Data'!D231, 2),FALSE)),"",_xlfn.REGEXEXTRACT(CELL("address",D231), "\$([A-Z]+)\$[0-9]+"))),_xlfn.REGEXEXTRACT(CELL("address",D231), "\$([A-Z]+)\$[0-9]+"))</f>
        <v/>
      </c>
      <c r="E231" s="7" t="str" cm="1">
        <f t="array" aca="1" ref="E231" ca="1">IFERROR(IF(OR('Raw Data'!E231="",LEN(TRIM('Raw Data'!E231))=0),"",IF(AND(ISNUMBER('Raw Data'!E231), IFERROR('Raw Data'!E231 = ROUND('Raw Data'!E231, 2),FALSE)),"",_xlfn.REGEXEXTRACT(CELL("address",E231), "\$([A-Z]+)\$[0-9]+"))),_xlfn.REGEXEXTRACT(CELL("address",E231), "\$([A-Z]+)\$[0-9]+"))</f>
        <v/>
      </c>
      <c r="F231" s="7" t="str" cm="1">
        <f t="array" aca="1" ref="F231" ca="1">IFERROR(IF(OR('Raw Data'!F231="",LEN(TRIM('Raw Data'!F231))=0),"",IF(AND(ISNUMBER('Raw Data'!F231), IFERROR('Raw Data'!F231 = ROUND('Raw Data'!F231, 2),FALSE)),"",_xlfn.REGEXEXTRACT(CELL("address",F231), "\$([A-Z]+)\$[0-9]+"))),_xlfn.REGEXEXTRACT(CELL("address",F231), "\$([A-Z]+)\$[0-9]+"))</f>
        <v/>
      </c>
      <c r="G231" s="7" t="str" cm="1">
        <f t="array" aca="1" ref="G231" ca="1">IFERROR(IF(OR('Raw Data'!G231="",LEN(TRIM('Raw Data'!G231))=0),"",IF(LEN('Raw Data'!G231)&gt; 0,"",_xlfn.REGEXEXTRACT(CELL("address",'Raw Data'!G231),"\$([A-Z]+)\$[0-9]+"))),_xlfn.REGEXEXTRACT(CELL("address",'Raw Data'!G231),"\$([A-Z]+)\$[0-9]+"))</f>
        <v/>
      </c>
    </row>
    <row r="232" spans="2:7" x14ac:dyDescent="0.25">
      <c r="B232" s="7" t="str" cm="1">
        <f t="array" aca="1" ref="B232" ca="1">IFERROR(IF(OR('Raw Data'!B232="",LEN(TRIM('Raw Data'!B232))=0),"",IF(AND(LEN('Raw Data'!B232) &lt;= 20,LEN('Raw Data'!B232)&gt; 0),"",_xlfn.REGEXEXTRACT(CELL("address",'Raw Data'!B232),"\$([A-Z]+)\$[0-9]+"))),_xlfn.REGEXEXTRACT(CELL("address",'Raw Data'!B232),"\$([A-Z]+)\$[0-9]+"))</f>
        <v/>
      </c>
      <c r="C232" s="7" t="str" cm="1">
        <f t="array" aca="1" ref="C232" ca="1">IFERROR(IF(OR('Raw Data'!C232="",LEN(TRIM('Raw Data'!C232))=0),"",IF(AND(LEN('Raw Data'!C232) &lt;= 255,LEN('Raw Data'!C232)&gt; 0),"",_xlfn.REGEXEXTRACT(CELL("address",'Raw Data'!C232),"\$([A-Z]+)\$[0-9]+"))),_xlfn.REGEXEXTRACT(CELL("address",'Raw Data'!C232),"\$([A-Z]+)\$[0-9]+"))</f>
        <v/>
      </c>
      <c r="D232" s="7" t="str" cm="1">
        <f t="array" aca="1" ref="D232" ca="1">IFERROR(IF(OR('Raw Data'!D232="",LEN(TRIM('Raw Data'!D232))=0),"",IF(AND(ISNUMBER('Raw Data'!D232), IFERROR('Raw Data'!D232 = ROUND('Raw Data'!D232, 2),FALSE)),"",_xlfn.REGEXEXTRACT(CELL("address",D232), "\$([A-Z]+)\$[0-9]+"))),_xlfn.REGEXEXTRACT(CELL("address",D232), "\$([A-Z]+)\$[0-9]+"))</f>
        <v/>
      </c>
      <c r="E232" s="7" t="str" cm="1">
        <f t="array" aca="1" ref="E232" ca="1">IFERROR(IF(OR('Raw Data'!E232="",LEN(TRIM('Raw Data'!E232))=0),"",IF(AND(ISNUMBER('Raw Data'!E232), IFERROR('Raw Data'!E232 = ROUND('Raw Data'!E232, 2),FALSE)),"",_xlfn.REGEXEXTRACT(CELL("address",E232), "\$([A-Z]+)\$[0-9]+"))),_xlfn.REGEXEXTRACT(CELL("address",E232), "\$([A-Z]+)\$[0-9]+"))</f>
        <v/>
      </c>
      <c r="F232" s="7" t="str" cm="1">
        <f t="array" aca="1" ref="F232" ca="1">IFERROR(IF(OR('Raw Data'!F232="",LEN(TRIM('Raw Data'!F232))=0),"",IF(AND(ISNUMBER('Raw Data'!F232), IFERROR('Raw Data'!F232 = ROUND('Raw Data'!F232, 2),FALSE)),"",_xlfn.REGEXEXTRACT(CELL("address",F232), "\$([A-Z]+)\$[0-9]+"))),_xlfn.REGEXEXTRACT(CELL("address",F232), "\$([A-Z]+)\$[0-9]+"))</f>
        <v/>
      </c>
      <c r="G232" s="7" t="str" cm="1">
        <f t="array" aca="1" ref="G232" ca="1">IFERROR(IF(OR('Raw Data'!G232="",LEN(TRIM('Raw Data'!G232))=0),"",IF(LEN('Raw Data'!G232)&gt; 0,"",_xlfn.REGEXEXTRACT(CELL("address",'Raw Data'!G232),"\$([A-Z]+)\$[0-9]+"))),_xlfn.REGEXEXTRACT(CELL("address",'Raw Data'!G232),"\$([A-Z]+)\$[0-9]+"))</f>
        <v/>
      </c>
    </row>
    <row r="233" spans="2:7" x14ac:dyDescent="0.25">
      <c r="B233" s="7" t="str" cm="1">
        <f t="array" aca="1" ref="B233" ca="1">IFERROR(IF(OR('Raw Data'!B233="",LEN(TRIM('Raw Data'!B233))=0),"",IF(AND(LEN('Raw Data'!B233) &lt;= 20,LEN('Raw Data'!B233)&gt; 0),"",_xlfn.REGEXEXTRACT(CELL("address",'Raw Data'!B233),"\$([A-Z]+)\$[0-9]+"))),_xlfn.REGEXEXTRACT(CELL("address",'Raw Data'!B233),"\$([A-Z]+)\$[0-9]+"))</f>
        <v/>
      </c>
      <c r="C233" s="7" t="str" cm="1">
        <f t="array" aca="1" ref="C233" ca="1">IFERROR(IF(OR('Raw Data'!C233="",LEN(TRIM('Raw Data'!C233))=0),"",IF(AND(LEN('Raw Data'!C233) &lt;= 255,LEN('Raw Data'!C233)&gt; 0),"",_xlfn.REGEXEXTRACT(CELL("address",'Raw Data'!C233),"\$([A-Z]+)\$[0-9]+"))),_xlfn.REGEXEXTRACT(CELL("address",'Raw Data'!C233),"\$([A-Z]+)\$[0-9]+"))</f>
        <v/>
      </c>
      <c r="D233" s="7" t="str" cm="1">
        <f t="array" aca="1" ref="D233" ca="1">IFERROR(IF(OR('Raw Data'!D233="",LEN(TRIM('Raw Data'!D233))=0),"",IF(AND(ISNUMBER('Raw Data'!D233), IFERROR('Raw Data'!D233 = ROUND('Raw Data'!D233, 2),FALSE)),"",_xlfn.REGEXEXTRACT(CELL("address",D233), "\$([A-Z]+)\$[0-9]+"))),_xlfn.REGEXEXTRACT(CELL("address",D233), "\$([A-Z]+)\$[0-9]+"))</f>
        <v/>
      </c>
      <c r="E233" s="7" t="str" cm="1">
        <f t="array" aca="1" ref="E233" ca="1">IFERROR(IF(OR('Raw Data'!E233="",LEN(TRIM('Raw Data'!E233))=0),"",IF(AND(ISNUMBER('Raw Data'!E233), IFERROR('Raw Data'!E233 = ROUND('Raw Data'!E233, 2),FALSE)),"",_xlfn.REGEXEXTRACT(CELL("address",E233), "\$([A-Z]+)\$[0-9]+"))),_xlfn.REGEXEXTRACT(CELL("address",E233), "\$([A-Z]+)\$[0-9]+"))</f>
        <v/>
      </c>
      <c r="F233" s="7" t="str" cm="1">
        <f t="array" aca="1" ref="F233" ca="1">IFERROR(IF(OR('Raw Data'!F233="",LEN(TRIM('Raw Data'!F233))=0),"",IF(AND(ISNUMBER('Raw Data'!F233), IFERROR('Raw Data'!F233 = ROUND('Raw Data'!F233, 2),FALSE)),"",_xlfn.REGEXEXTRACT(CELL("address",F233), "\$([A-Z]+)\$[0-9]+"))),_xlfn.REGEXEXTRACT(CELL("address",F233), "\$([A-Z]+)\$[0-9]+"))</f>
        <v/>
      </c>
      <c r="G233" s="7" t="str" cm="1">
        <f t="array" aca="1" ref="G233" ca="1">IFERROR(IF(OR('Raw Data'!G233="",LEN(TRIM('Raw Data'!G233))=0),"",IF(LEN('Raw Data'!G233)&gt; 0,"",_xlfn.REGEXEXTRACT(CELL("address",'Raw Data'!G233),"\$([A-Z]+)\$[0-9]+"))),_xlfn.REGEXEXTRACT(CELL("address",'Raw Data'!G233),"\$([A-Z]+)\$[0-9]+"))</f>
        <v/>
      </c>
    </row>
    <row r="234" spans="2:7" x14ac:dyDescent="0.25">
      <c r="B234" s="7" t="str" cm="1">
        <f t="array" aca="1" ref="B234" ca="1">IFERROR(IF(OR('Raw Data'!B234="",LEN(TRIM('Raw Data'!B234))=0),"",IF(AND(LEN('Raw Data'!B234) &lt;= 20,LEN('Raw Data'!B234)&gt; 0),"",_xlfn.REGEXEXTRACT(CELL("address",'Raw Data'!B234),"\$([A-Z]+)\$[0-9]+"))),_xlfn.REGEXEXTRACT(CELL("address",'Raw Data'!B234),"\$([A-Z]+)\$[0-9]+"))</f>
        <v/>
      </c>
      <c r="C234" s="7" t="str" cm="1">
        <f t="array" aca="1" ref="C234" ca="1">IFERROR(IF(OR('Raw Data'!C234="",LEN(TRIM('Raw Data'!C234))=0),"",IF(AND(LEN('Raw Data'!C234) &lt;= 255,LEN('Raw Data'!C234)&gt; 0),"",_xlfn.REGEXEXTRACT(CELL("address",'Raw Data'!C234),"\$([A-Z]+)\$[0-9]+"))),_xlfn.REGEXEXTRACT(CELL("address",'Raw Data'!C234),"\$([A-Z]+)\$[0-9]+"))</f>
        <v/>
      </c>
      <c r="D234" s="7" t="str" cm="1">
        <f t="array" aca="1" ref="D234" ca="1">IFERROR(IF(OR('Raw Data'!D234="",LEN(TRIM('Raw Data'!D234))=0),"",IF(AND(ISNUMBER('Raw Data'!D234), IFERROR('Raw Data'!D234 = ROUND('Raw Data'!D234, 2),FALSE)),"",_xlfn.REGEXEXTRACT(CELL("address",D234), "\$([A-Z]+)\$[0-9]+"))),_xlfn.REGEXEXTRACT(CELL("address",D234), "\$([A-Z]+)\$[0-9]+"))</f>
        <v/>
      </c>
      <c r="E234" s="7" t="str" cm="1">
        <f t="array" aca="1" ref="E234" ca="1">IFERROR(IF(OR('Raw Data'!E234="",LEN(TRIM('Raw Data'!E234))=0),"",IF(AND(ISNUMBER('Raw Data'!E234), IFERROR('Raw Data'!E234 = ROUND('Raw Data'!E234, 2),FALSE)),"",_xlfn.REGEXEXTRACT(CELL("address",E234), "\$([A-Z]+)\$[0-9]+"))),_xlfn.REGEXEXTRACT(CELL("address",E234), "\$([A-Z]+)\$[0-9]+"))</f>
        <v/>
      </c>
      <c r="F234" s="7" t="str" cm="1">
        <f t="array" aca="1" ref="F234" ca="1">IFERROR(IF(OR('Raw Data'!F234="",LEN(TRIM('Raw Data'!F234))=0),"",IF(AND(ISNUMBER('Raw Data'!F234), IFERROR('Raw Data'!F234 = ROUND('Raw Data'!F234, 2),FALSE)),"",_xlfn.REGEXEXTRACT(CELL("address",F234), "\$([A-Z]+)\$[0-9]+"))),_xlfn.REGEXEXTRACT(CELL("address",F234), "\$([A-Z]+)\$[0-9]+"))</f>
        <v/>
      </c>
      <c r="G234" s="7" t="str" cm="1">
        <f t="array" aca="1" ref="G234" ca="1">IFERROR(IF(OR('Raw Data'!G234="",LEN(TRIM('Raw Data'!G234))=0),"",IF(LEN('Raw Data'!G234)&gt; 0,"",_xlfn.REGEXEXTRACT(CELL("address",'Raw Data'!G234),"\$([A-Z]+)\$[0-9]+"))),_xlfn.REGEXEXTRACT(CELL("address",'Raw Data'!G234),"\$([A-Z]+)\$[0-9]+"))</f>
        <v/>
      </c>
    </row>
    <row r="235" spans="2:7" x14ac:dyDescent="0.25">
      <c r="B235" s="7" t="str" cm="1">
        <f t="array" aca="1" ref="B235" ca="1">IFERROR(IF(OR('Raw Data'!B235="",LEN(TRIM('Raw Data'!B235))=0),"",IF(AND(LEN('Raw Data'!B235) &lt;= 20,LEN('Raw Data'!B235)&gt; 0),"",_xlfn.REGEXEXTRACT(CELL("address",'Raw Data'!B235),"\$([A-Z]+)\$[0-9]+"))),_xlfn.REGEXEXTRACT(CELL("address",'Raw Data'!B235),"\$([A-Z]+)\$[0-9]+"))</f>
        <v/>
      </c>
      <c r="C235" s="7" t="str" cm="1">
        <f t="array" aca="1" ref="C235" ca="1">IFERROR(IF(OR('Raw Data'!C235="",LEN(TRIM('Raw Data'!C235))=0),"",IF(AND(LEN('Raw Data'!C235) &lt;= 255,LEN('Raw Data'!C235)&gt; 0),"",_xlfn.REGEXEXTRACT(CELL("address",'Raw Data'!C235),"\$([A-Z]+)\$[0-9]+"))),_xlfn.REGEXEXTRACT(CELL("address",'Raw Data'!C235),"\$([A-Z]+)\$[0-9]+"))</f>
        <v/>
      </c>
      <c r="D235" s="7" t="str" cm="1">
        <f t="array" aca="1" ref="D235" ca="1">IFERROR(IF(OR('Raw Data'!D235="",LEN(TRIM('Raw Data'!D235))=0),"",IF(AND(ISNUMBER('Raw Data'!D235), IFERROR('Raw Data'!D235 = ROUND('Raw Data'!D235, 2),FALSE)),"",_xlfn.REGEXEXTRACT(CELL("address",D235), "\$([A-Z]+)\$[0-9]+"))),_xlfn.REGEXEXTRACT(CELL("address",D235), "\$([A-Z]+)\$[0-9]+"))</f>
        <v/>
      </c>
      <c r="E235" s="7" t="str" cm="1">
        <f t="array" aca="1" ref="E235" ca="1">IFERROR(IF(OR('Raw Data'!E235="",LEN(TRIM('Raw Data'!E235))=0),"",IF(AND(ISNUMBER('Raw Data'!E235), IFERROR('Raw Data'!E235 = ROUND('Raw Data'!E235, 2),FALSE)),"",_xlfn.REGEXEXTRACT(CELL("address",E235), "\$([A-Z]+)\$[0-9]+"))),_xlfn.REGEXEXTRACT(CELL("address",E235), "\$([A-Z]+)\$[0-9]+"))</f>
        <v/>
      </c>
      <c r="F235" s="7" t="str" cm="1">
        <f t="array" aca="1" ref="F235" ca="1">IFERROR(IF(OR('Raw Data'!F235="",LEN(TRIM('Raw Data'!F235))=0),"",IF(AND(ISNUMBER('Raw Data'!F235), IFERROR('Raw Data'!F235 = ROUND('Raw Data'!F235, 2),FALSE)),"",_xlfn.REGEXEXTRACT(CELL("address",F235), "\$([A-Z]+)\$[0-9]+"))),_xlfn.REGEXEXTRACT(CELL("address",F235), "\$([A-Z]+)\$[0-9]+"))</f>
        <v/>
      </c>
      <c r="G235" s="7" t="str" cm="1">
        <f t="array" aca="1" ref="G235" ca="1">IFERROR(IF(OR('Raw Data'!G235="",LEN(TRIM('Raw Data'!G235))=0),"",IF(LEN('Raw Data'!G235)&gt; 0,"",_xlfn.REGEXEXTRACT(CELL("address",'Raw Data'!G235),"\$([A-Z]+)\$[0-9]+"))),_xlfn.REGEXEXTRACT(CELL("address",'Raw Data'!G235),"\$([A-Z]+)\$[0-9]+"))</f>
        <v/>
      </c>
    </row>
    <row r="236" spans="2:7" x14ac:dyDescent="0.25">
      <c r="B236" s="7" t="str" cm="1">
        <f t="array" aca="1" ref="B236" ca="1">IFERROR(IF(OR('Raw Data'!B236="",LEN(TRIM('Raw Data'!B236))=0),"",IF(AND(LEN('Raw Data'!B236) &lt;= 20,LEN('Raw Data'!B236)&gt; 0),"",_xlfn.REGEXEXTRACT(CELL("address",'Raw Data'!B236),"\$([A-Z]+)\$[0-9]+"))),_xlfn.REGEXEXTRACT(CELL("address",'Raw Data'!B236),"\$([A-Z]+)\$[0-9]+"))</f>
        <v/>
      </c>
      <c r="C236" s="7" t="str" cm="1">
        <f t="array" aca="1" ref="C236" ca="1">IFERROR(IF(OR('Raw Data'!C236="",LEN(TRIM('Raw Data'!C236))=0),"",IF(AND(LEN('Raw Data'!C236) &lt;= 255,LEN('Raw Data'!C236)&gt; 0),"",_xlfn.REGEXEXTRACT(CELL("address",'Raw Data'!C236),"\$([A-Z]+)\$[0-9]+"))),_xlfn.REGEXEXTRACT(CELL("address",'Raw Data'!C236),"\$([A-Z]+)\$[0-9]+"))</f>
        <v/>
      </c>
      <c r="D236" s="7" t="str" cm="1">
        <f t="array" aca="1" ref="D236" ca="1">IFERROR(IF(OR('Raw Data'!D236="",LEN(TRIM('Raw Data'!D236))=0),"",IF(AND(ISNUMBER('Raw Data'!D236), IFERROR('Raw Data'!D236 = ROUND('Raw Data'!D236, 2),FALSE)),"",_xlfn.REGEXEXTRACT(CELL("address",D236), "\$([A-Z]+)\$[0-9]+"))),_xlfn.REGEXEXTRACT(CELL("address",D236), "\$([A-Z]+)\$[0-9]+"))</f>
        <v/>
      </c>
      <c r="E236" s="7" t="str" cm="1">
        <f t="array" aca="1" ref="E236" ca="1">IFERROR(IF(OR('Raw Data'!E236="",LEN(TRIM('Raw Data'!E236))=0),"",IF(AND(ISNUMBER('Raw Data'!E236), IFERROR('Raw Data'!E236 = ROUND('Raw Data'!E236, 2),FALSE)),"",_xlfn.REGEXEXTRACT(CELL("address",E236), "\$([A-Z]+)\$[0-9]+"))),_xlfn.REGEXEXTRACT(CELL("address",E236), "\$([A-Z]+)\$[0-9]+"))</f>
        <v/>
      </c>
      <c r="F236" s="7" t="str" cm="1">
        <f t="array" aca="1" ref="F236" ca="1">IFERROR(IF(OR('Raw Data'!F236="",LEN(TRIM('Raw Data'!F236))=0),"",IF(AND(ISNUMBER('Raw Data'!F236), IFERROR('Raw Data'!F236 = ROUND('Raw Data'!F236, 2),FALSE)),"",_xlfn.REGEXEXTRACT(CELL("address",F236), "\$([A-Z]+)\$[0-9]+"))),_xlfn.REGEXEXTRACT(CELL("address",F236), "\$([A-Z]+)\$[0-9]+"))</f>
        <v/>
      </c>
      <c r="G236" s="7" t="str" cm="1">
        <f t="array" aca="1" ref="G236" ca="1">IFERROR(IF(OR('Raw Data'!G236="",LEN(TRIM('Raw Data'!G236))=0),"",IF(LEN('Raw Data'!G236)&gt; 0,"",_xlfn.REGEXEXTRACT(CELL("address",'Raw Data'!G236),"\$([A-Z]+)\$[0-9]+"))),_xlfn.REGEXEXTRACT(CELL("address",'Raw Data'!G236),"\$([A-Z]+)\$[0-9]+"))</f>
        <v/>
      </c>
    </row>
    <row r="237" spans="2:7" x14ac:dyDescent="0.25">
      <c r="B237" s="7" t="str" cm="1">
        <f t="array" aca="1" ref="B237" ca="1">IFERROR(IF(OR('Raw Data'!B237="",LEN(TRIM('Raw Data'!B237))=0),"",IF(AND(LEN('Raw Data'!B237) &lt;= 20,LEN('Raw Data'!B237)&gt; 0),"",_xlfn.REGEXEXTRACT(CELL("address",'Raw Data'!B237),"\$([A-Z]+)\$[0-9]+"))),_xlfn.REGEXEXTRACT(CELL("address",'Raw Data'!B237),"\$([A-Z]+)\$[0-9]+"))</f>
        <v/>
      </c>
      <c r="C237" s="7" t="str" cm="1">
        <f t="array" aca="1" ref="C237" ca="1">IFERROR(IF(OR('Raw Data'!C237="",LEN(TRIM('Raw Data'!C237))=0),"",IF(AND(LEN('Raw Data'!C237) &lt;= 255,LEN('Raw Data'!C237)&gt; 0),"",_xlfn.REGEXEXTRACT(CELL("address",'Raw Data'!C237),"\$([A-Z]+)\$[0-9]+"))),_xlfn.REGEXEXTRACT(CELL("address",'Raw Data'!C237),"\$([A-Z]+)\$[0-9]+"))</f>
        <v/>
      </c>
      <c r="D237" s="7" t="str" cm="1">
        <f t="array" aca="1" ref="D237" ca="1">IFERROR(IF(OR('Raw Data'!D237="",LEN(TRIM('Raw Data'!D237))=0),"",IF(AND(ISNUMBER('Raw Data'!D237), IFERROR('Raw Data'!D237 = ROUND('Raw Data'!D237, 2),FALSE)),"",_xlfn.REGEXEXTRACT(CELL("address",D237), "\$([A-Z]+)\$[0-9]+"))),_xlfn.REGEXEXTRACT(CELL("address",D237), "\$([A-Z]+)\$[0-9]+"))</f>
        <v/>
      </c>
      <c r="E237" s="7" t="str" cm="1">
        <f t="array" aca="1" ref="E237" ca="1">IFERROR(IF(OR('Raw Data'!E237="",LEN(TRIM('Raw Data'!E237))=0),"",IF(AND(ISNUMBER('Raw Data'!E237), IFERROR('Raw Data'!E237 = ROUND('Raw Data'!E237, 2),FALSE)),"",_xlfn.REGEXEXTRACT(CELL("address",E237), "\$([A-Z]+)\$[0-9]+"))),_xlfn.REGEXEXTRACT(CELL("address",E237), "\$([A-Z]+)\$[0-9]+"))</f>
        <v/>
      </c>
      <c r="F237" s="7" t="str" cm="1">
        <f t="array" aca="1" ref="F237" ca="1">IFERROR(IF(OR('Raw Data'!F237="",LEN(TRIM('Raw Data'!F237))=0),"",IF(AND(ISNUMBER('Raw Data'!F237), IFERROR('Raw Data'!F237 = ROUND('Raw Data'!F237, 2),FALSE)),"",_xlfn.REGEXEXTRACT(CELL("address",F237), "\$([A-Z]+)\$[0-9]+"))),_xlfn.REGEXEXTRACT(CELL("address",F237), "\$([A-Z]+)\$[0-9]+"))</f>
        <v/>
      </c>
      <c r="G237" s="7" t="str" cm="1">
        <f t="array" aca="1" ref="G237" ca="1">IFERROR(IF(OR('Raw Data'!G237="",LEN(TRIM('Raw Data'!G237))=0),"",IF(LEN('Raw Data'!G237)&gt; 0,"",_xlfn.REGEXEXTRACT(CELL("address",'Raw Data'!G237),"\$([A-Z]+)\$[0-9]+"))),_xlfn.REGEXEXTRACT(CELL("address",'Raw Data'!G237),"\$([A-Z]+)\$[0-9]+"))</f>
        <v/>
      </c>
    </row>
    <row r="238" spans="2:7" x14ac:dyDescent="0.25">
      <c r="B238" s="7" t="str" cm="1">
        <f t="array" aca="1" ref="B238" ca="1">IFERROR(IF(OR('Raw Data'!B238="",LEN(TRIM('Raw Data'!B238))=0),"",IF(AND(LEN('Raw Data'!B238) &lt;= 20,LEN('Raw Data'!B238)&gt; 0),"",_xlfn.REGEXEXTRACT(CELL("address",'Raw Data'!B238),"\$([A-Z]+)\$[0-9]+"))),_xlfn.REGEXEXTRACT(CELL("address",'Raw Data'!B238),"\$([A-Z]+)\$[0-9]+"))</f>
        <v/>
      </c>
      <c r="C238" s="7" t="str" cm="1">
        <f t="array" aca="1" ref="C238" ca="1">IFERROR(IF(OR('Raw Data'!C238="",LEN(TRIM('Raw Data'!C238))=0),"",IF(AND(LEN('Raw Data'!C238) &lt;= 255,LEN('Raw Data'!C238)&gt; 0),"",_xlfn.REGEXEXTRACT(CELL("address",'Raw Data'!C238),"\$([A-Z]+)\$[0-9]+"))),_xlfn.REGEXEXTRACT(CELL("address",'Raw Data'!C238),"\$([A-Z]+)\$[0-9]+"))</f>
        <v/>
      </c>
      <c r="D238" s="7" t="str" cm="1">
        <f t="array" aca="1" ref="D238" ca="1">IFERROR(IF(OR('Raw Data'!D238="",LEN(TRIM('Raw Data'!D238))=0),"",IF(AND(ISNUMBER('Raw Data'!D238), IFERROR('Raw Data'!D238 = ROUND('Raw Data'!D238, 2),FALSE)),"",_xlfn.REGEXEXTRACT(CELL("address",D238), "\$([A-Z]+)\$[0-9]+"))),_xlfn.REGEXEXTRACT(CELL("address",D238), "\$([A-Z]+)\$[0-9]+"))</f>
        <v/>
      </c>
      <c r="E238" s="7" t="str" cm="1">
        <f t="array" aca="1" ref="E238" ca="1">IFERROR(IF(OR('Raw Data'!E238="",LEN(TRIM('Raw Data'!E238))=0),"",IF(AND(ISNUMBER('Raw Data'!E238), IFERROR('Raw Data'!E238 = ROUND('Raw Data'!E238, 2),FALSE)),"",_xlfn.REGEXEXTRACT(CELL("address",E238), "\$([A-Z]+)\$[0-9]+"))),_xlfn.REGEXEXTRACT(CELL("address",E238), "\$([A-Z]+)\$[0-9]+"))</f>
        <v/>
      </c>
      <c r="F238" s="7" t="str" cm="1">
        <f t="array" aca="1" ref="F238" ca="1">IFERROR(IF(OR('Raw Data'!F238="",LEN(TRIM('Raw Data'!F238))=0),"",IF(AND(ISNUMBER('Raw Data'!F238), IFERROR('Raw Data'!F238 = ROUND('Raw Data'!F238, 2),FALSE)),"",_xlfn.REGEXEXTRACT(CELL("address",F238), "\$([A-Z]+)\$[0-9]+"))),_xlfn.REGEXEXTRACT(CELL("address",F238), "\$([A-Z]+)\$[0-9]+"))</f>
        <v/>
      </c>
      <c r="G238" s="7" t="str" cm="1">
        <f t="array" aca="1" ref="G238" ca="1">IFERROR(IF(OR('Raw Data'!G238="",LEN(TRIM('Raw Data'!G238))=0),"",IF(LEN('Raw Data'!G238)&gt; 0,"",_xlfn.REGEXEXTRACT(CELL("address",'Raw Data'!G238),"\$([A-Z]+)\$[0-9]+"))),_xlfn.REGEXEXTRACT(CELL("address",'Raw Data'!G238),"\$([A-Z]+)\$[0-9]+"))</f>
        <v/>
      </c>
    </row>
    <row r="239" spans="2:7" x14ac:dyDescent="0.25">
      <c r="B239" s="7" t="str" cm="1">
        <f t="array" aca="1" ref="B239" ca="1">IFERROR(IF(OR('Raw Data'!B239="",LEN(TRIM('Raw Data'!B239))=0),"",IF(AND(LEN('Raw Data'!B239) &lt;= 20,LEN('Raw Data'!B239)&gt; 0),"",_xlfn.REGEXEXTRACT(CELL("address",'Raw Data'!B239),"\$([A-Z]+)\$[0-9]+"))),_xlfn.REGEXEXTRACT(CELL("address",'Raw Data'!B239),"\$([A-Z]+)\$[0-9]+"))</f>
        <v/>
      </c>
      <c r="C239" s="7" t="str" cm="1">
        <f t="array" aca="1" ref="C239" ca="1">IFERROR(IF(OR('Raw Data'!C239="",LEN(TRIM('Raw Data'!C239))=0),"",IF(AND(LEN('Raw Data'!C239) &lt;= 255,LEN('Raw Data'!C239)&gt; 0),"",_xlfn.REGEXEXTRACT(CELL("address",'Raw Data'!C239),"\$([A-Z]+)\$[0-9]+"))),_xlfn.REGEXEXTRACT(CELL("address",'Raw Data'!C239),"\$([A-Z]+)\$[0-9]+"))</f>
        <v/>
      </c>
      <c r="D239" s="7" t="str" cm="1">
        <f t="array" aca="1" ref="D239" ca="1">IFERROR(IF(OR('Raw Data'!D239="",LEN(TRIM('Raw Data'!D239))=0),"",IF(AND(ISNUMBER('Raw Data'!D239), IFERROR('Raw Data'!D239 = ROUND('Raw Data'!D239, 2),FALSE)),"",_xlfn.REGEXEXTRACT(CELL("address",D239), "\$([A-Z]+)\$[0-9]+"))),_xlfn.REGEXEXTRACT(CELL("address",D239), "\$([A-Z]+)\$[0-9]+"))</f>
        <v/>
      </c>
      <c r="E239" s="7" t="str" cm="1">
        <f t="array" aca="1" ref="E239" ca="1">IFERROR(IF(OR('Raw Data'!E239="",LEN(TRIM('Raw Data'!E239))=0),"",IF(AND(ISNUMBER('Raw Data'!E239), IFERROR('Raw Data'!E239 = ROUND('Raw Data'!E239, 2),FALSE)),"",_xlfn.REGEXEXTRACT(CELL("address",E239), "\$([A-Z]+)\$[0-9]+"))),_xlfn.REGEXEXTRACT(CELL("address",E239), "\$([A-Z]+)\$[0-9]+"))</f>
        <v/>
      </c>
      <c r="F239" s="7" t="str" cm="1">
        <f t="array" aca="1" ref="F239" ca="1">IFERROR(IF(OR('Raw Data'!F239="",LEN(TRIM('Raw Data'!F239))=0),"",IF(AND(ISNUMBER('Raw Data'!F239), IFERROR('Raw Data'!F239 = ROUND('Raw Data'!F239, 2),FALSE)),"",_xlfn.REGEXEXTRACT(CELL("address",F239), "\$([A-Z]+)\$[0-9]+"))),_xlfn.REGEXEXTRACT(CELL("address",F239), "\$([A-Z]+)\$[0-9]+"))</f>
        <v/>
      </c>
      <c r="G239" s="7" t="str" cm="1">
        <f t="array" aca="1" ref="G239" ca="1">IFERROR(IF(OR('Raw Data'!G239="",LEN(TRIM('Raw Data'!G239))=0),"",IF(LEN('Raw Data'!G239)&gt; 0,"",_xlfn.REGEXEXTRACT(CELL("address",'Raw Data'!G239),"\$([A-Z]+)\$[0-9]+"))),_xlfn.REGEXEXTRACT(CELL("address",'Raw Data'!G239),"\$([A-Z]+)\$[0-9]+"))</f>
        <v/>
      </c>
    </row>
    <row r="240" spans="2:7" x14ac:dyDescent="0.25">
      <c r="B240" s="7" t="str" cm="1">
        <f t="array" aca="1" ref="B240" ca="1">IFERROR(IF(OR('Raw Data'!B240="",LEN(TRIM('Raw Data'!B240))=0),"",IF(AND(LEN('Raw Data'!B240) &lt;= 20,LEN('Raw Data'!B240)&gt; 0),"",_xlfn.REGEXEXTRACT(CELL("address",'Raw Data'!B240),"\$([A-Z]+)\$[0-9]+"))),_xlfn.REGEXEXTRACT(CELL("address",'Raw Data'!B240),"\$([A-Z]+)\$[0-9]+"))</f>
        <v/>
      </c>
      <c r="C240" s="7" t="str" cm="1">
        <f t="array" aca="1" ref="C240" ca="1">IFERROR(IF(OR('Raw Data'!C240="",LEN(TRIM('Raw Data'!C240))=0),"",IF(AND(LEN('Raw Data'!C240) &lt;= 255,LEN('Raw Data'!C240)&gt; 0),"",_xlfn.REGEXEXTRACT(CELL("address",'Raw Data'!C240),"\$([A-Z]+)\$[0-9]+"))),_xlfn.REGEXEXTRACT(CELL("address",'Raw Data'!C240),"\$([A-Z]+)\$[0-9]+"))</f>
        <v/>
      </c>
      <c r="D240" s="7" t="str" cm="1">
        <f t="array" aca="1" ref="D240" ca="1">IFERROR(IF(OR('Raw Data'!D240="",LEN(TRIM('Raw Data'!D240))=0),"",IF(AND(ISNUMBER('Raw Data'!D240), IFERROR('Raw Data'!D240 = ROUND('Raw Data'!D240, 2),FALSE)),"",_xlfn.REGEXEXTRACT(CELL("address",D240), "\$([A-Z]+)\$[0-9]+"))),_xlfn.REGEXEXTRACT(CELL("address",D240), "\$([A-Z]+)\$[0-9]+"))</f>
        <v/>
      </c>
      <c r="E240" s="7" t="str" cm="1">
        <f t="array" aca="1" ref="E240" ca="1">IFERROR(IF(OR('Raw Data'!E240="",LEN(TRIM('Raw Data'!E240))=0),"",IF(AND(ISNUMBER('Raw Data'!E240), IFERROR('Raw Data'!E240 = ROUND('Raw Data'!E240, 2),FALSE)),"",_xlfn.REGEXEXTRACT(CELL("address",E240), "\$([A-Z]+)\$[0-9]+"))),_xlfn.REGEXEXTRACT(CELL("address",E240), "\$([A-Z]+)\$[0-9]+"))</f>
        <v/>
      </c>
      <c r="F240" s="7" t="str" cm="1">
        <f t="array" aca="1" ref="F240" ca="1">IFERROR(IF(OR('Raw Data'!F240="",LEN(TRIM('Raw Data'!F240))=0),"",IF(AND(ISNUMBER('Raw Data'!F240), IFERROR('Raw Data'!F240 = ROUND('Raw Data'!F240, 2),FALSE)),"",_xlfn.REGEXEXTRACT(CELL("address",F240), "\$([A-Z]+)\$[0-9]+"))),_xlfn.REGEXEXTRACT(CELL("address",F240), "\$([A-Z]+)\$[0-9]+"))</f>
        <v/>
      </c>
      <c r="G240" s="7" t="str" cm="1">
        <f t="array" aca="1" ref="G240" ca="1">IFERROR(IF(OR('Raw Data'!G240="",LEN(TRIM('Raw Data'!G240))=0),"",IF(LEN('Raw Data'!G240)&gt; 0,"",_xlfn.REGEXEXTRACT(CELL("address",'Raw Data'!G240),"\$([A-Z]+)\$[0-9]+"))),_xlfn.REGEXEXTRACT(CELL("address",'Raw Data'!G240),"\$([A-Z]+)\$[0-9]+"))</f>
        <v/>
      </c>
    </row>
    <row r="241" spans="2:7" x14ac:dyDescent="0.25">
      <c r="B241" s="7" t="str" cm="1">
        <f t="array" aca="1" ref="B241" ca="1">IFERROR(IF(OR('Raw Data'!B241="",LEN(TRIM('Raw Data'!B241))=0),"",IF(AND(LEN('Raw Data'!B241) &lt;= 20,LEN('Raw Data'!B241)&gt; 0),"",_xlfn.REGEXEXTRACT(CELL("address",'Raw Data'!B241),"\$([A-Z]+)\$[0-9]+"))),_xlfn.REGEXEXTRACT(CELL("address",'Raw Data'!B241),"\$([A-Z]+)\$[0-9]+"))</f>
        <v/>
      </c>
      <c r="C241" s="7" t="str" cm="1">
        <f t="array" aca="1" ref="C241" ca="1">IFERROR(IF(OR('Raw Data'!C241="",LEN(TRIM('Raw Data'!C241))=0),"",IF(AND(LEN('Raw Data'!C241) &lt;= 255,LEN('Raw Data'!C241)&gt; 0),"",_xlfn.REGEXEXTRACT(CELL("address",'Raw Data'!C241),"\$([A-Z]+)\$[0-9]+"))),_xlfn.REGEXEXTRACT(CELL("address",'Raw Data'!C241),"\$([A-Z]+)\$[0-9]+"))</f>
        <v/>
      </c>
      <c r="D241" s="7" t="str" cm="1">
        <f t="array" aca="1" ref="D241" ca="1">IFERROR(IF(OR('Raw Data'!D241="",LEN(TRIM('Raw Data'!D241))=0),"",IF(AND(ISNUMBER('Raw Data'!D241), IFERROR('Raw Data'!D241 = ROUND('Raw Data'!D241, 2),FALSE)),"",_xlfn.REGEXEXTRACT(CELL("address",D241), "\$([A-Z]+)\$[0-9]+"))),_xlfn.REGEXEXTRACT(CELL("address",D241), "\$([A-Z]+)\$[0-9]+"))</f>
        <v/>
      </c>
      <c r="E241" s="7" t="str" cm="1">
        <f t="array" aca="1" ref="E241" ca="1">IFERROR(IF(OR('Raw Data'!E241="",LEN(TRIM('Raw Data'!E241))=0),"",IF(AND(ISNUMBER('Raw Data'!E241), IFERROR('Raw Data'!E241 = ROUND('Raw Data'!E241, 2),FALSE)),"",_xlfn.REGEXEXTRACT(CELL("address",E241), "\$([A-Z]+)\$[0-9]+"))),_xlfn.REGEXEXTRACT(CELL("address",E241), "\$([A-Z]+)\$[0-9]+"))</f>
        <v/>
      </c>
      <c r="F241" s="7" t="str" cm="1">
        <f t="array" aca="1" ref="F241" ca="1">IFERROR(IF(OR('Raw Data'!F241="",LEN(TRIM('Raw Data'!F241))=0),"",IF(AND(ISNUMBER('Raw Data'!F241), IFERROR('Raw Data'!F241 = ROUND('Raw Data'!F241, 2),FALSE)),"",_xlfn.REGEXEXTRACT(CELL("address",F241), "\$([A-Z]+)\$[0-9]+"))),_xlfn.REGEXEXTRACT(CELL("address",F241), "\$([A-Z]+)\$[0-9]+"))</f>
        <v/>
      </c>
      <c r="G241" s="7" t="str" cm="1">
        <f t="array" aca="1" ref="G241" ca="1">IFERROR(IF(OR('Raw Data'!G241="",LEN(TRIM('Raw Data'!G241))=0),"",IF(LEN('Raw Data'!G241)&gt; 0,"",_xlfn.REGEXEXTRACT(CELL("address",'Raw Data'!G241),"\$([A-Z]+)\$[0-9]+"))),_xlfn.REGEXEXTRACT(CELL("address",'Raw Data'!G241),"\$([A-Z]+)\$[0-9]+"))</f>
        <v/>
      </c>
    </row>
    <row r="242" spans="2:7" x14ac:dyDescent="0.25">
      <c r="B242" s="7" t="str" cm="1">
        <f t="array" aca="1" ref="B242" ca="1">IFERROR(IF(OR('Raw Data'!B242="",LEN(TRIM('Raw Data'!B242))=0),"",IF(AND(LEN('Raw Data'!B242) &lt;= 20,LEN('Raw Data'!B242)&gt; 0),"",_xlfn.REGEXEXTRACT(CELL("address",'Raw Data'!B242),"\$([A-Z]+)\$[0-9]+"))),_xlfn.REGEXEXTRACT(CELL("address",'Raw Data'!B242),"\$([A-Z]+)\$[0-9]+"))</f>
        <v/>
      </c>
      <c r="C242" s="7" t="str" cm="1">
        <f t="array" aca="1" ref="C242" ca="1">IFERROR(IF(OR('Raw Data'!C242="",LEN(TRIM('Raw Data'!C242))=0),"",IF(AND(LEN('Raw Data'!C242) &lt;= 255,LEN('Raw Data'!C242)&gt; 0),"",_xlfn.REGEXEXTRACT(CELL("address",'Raw Data'!C242),"\$([A-Z]+)\$[0-9]+"))),_xlfn.REGEXEXTRACT(CELL("address",'Raw Data'!C242),"\$([A-Z]+)\$[0-9]+"))</f>
        <v/>
      </c>
      <c r="D242" s="7" t="str" cm="1">
        <f t="array" aca="1" ref="D242" ca="1">IFERROR(IF(OR('Raw Data'!D242="",LEN(TRIM('Raw Data'!D242))=0),"",IF(AND(ISNUMBER('Raw Data'!D242), IFERROR('Raw Data'!D242 = ROUND('Raw Data'!D242, 2),FALSE)),"",_xlfn.REGEXEXTRACT(CELL("address",D242), "\$([A-Z]+)\$[0-9]+"))),_xlfn.REGEXEXTRACT(CELL("address",D242), "\$([A-Z]+)\$[0-9]+"))</f>
        <v/>
      </c>
      <c r="E242" s="7" t="str" cm="1">
        <f t="array" aca="1" ref="E242" ca="1">IFERROR(IF(OR('Raw Data'!E242="",LEN(TRIM('Raw Data'!E242))=0),"",IF(AND(ISNUMBER('Raw Data'!E242), IFERROR('Raw Data'!E242 = ROUND('Raw Data'!E242, 2),FALSE)),"",_xlfn.REGEXEXTRACT(CELL("address",E242), "\$([A-Z]+)\$[0-9]+"))),_xlfn.REGEXEXTRACT(CELL("address",E242), "\$([A-Z]+)\$[0-9]+"))</f>
        <v/>
      </c>
      <c r="F242" s="7" t="str" cm="1">
        <f t="array" aca="1" ref="F242" ca="1">IFERROR(IF(OR('Raw Data'!F242="",LEN(TRIM('Raw Data'!F242))=0),"",IF(AND(ISNUMBER('Raw Data'!F242), IFERROR('Raw Data'!F242 = ROUND('Raw Data'!F242, 2),FALSE)),"",_xlfn.REGEXEXTRACT(CELL("address",F242), "\$([A-Z]+)\$[0-9]+"))),_xlfn.REGEXEXTRACT(CELL("address",F242), "\$([A-Z]+)\$[0-9]+"))</f>
        <v/>
      </c>
      <c r="G242" s="7" t="str" cm="1">
        <f t="array" aca="1" ref="G242" ca="1">IFERROR(IF(OR('Raw Data'!G242="",LEN(TRIM('Raw Data'!G242))=0),"",IF(LEN('Raw Data'!G242)&gt; 0,"",_xlfn.REGEXEXTRACT(CELL("address",'Raw Data'!G242),"\$([A-Z]+)\$[0-9]+"))),_xlfn.REGEXEXTRACT(CELL("address",'Raw Data'!G242),"\$([A-Z]+)\$[0-9]+"))</f>
        <v/>
      </c>
    </row>
    <row r="243" spans="2:7" x14ac:dyDescent="0.25">
      <c r="B243" s="7" t="str" cm="1">
        <f t="array" aca="1" ref="B243" ca="1">IFERROR(IF(OR('Raw Data'!B243="",LEN(TRIM('Raw Data'!B243))=0),"",IF(AND(LEN('Raw Data'!B243) &lt;= 20,LEN('Raw Data'!B243)&gt; 0),"",_xlfn.REGEXEXTRACT(CELL("address",'Raw Data'!B243),"\$([A-Z]+)\$[0-9]+"))),_xlfn.REGEXEXTRACT(CELL("address",'Raw Data'!B243),"\$([A-Z]+)\$[0-9]+"))</f>
        <v/>
      </c>
      <c r="C243" s="7" t="str" cm="1">
        <f t="array" aca="1" ref="C243" ca="1">IFERROR(IF(OR('Raw Data'!C243="",LEN(TRIM('Raw Data'!C243))=0),"",IF(AND(LEN('Raw Data'!C243) &lt;= 255,LEN('Raw Data'!C243)&gt; 0),"",_xlfn.REGEXEXTRACT(CELL("address",'Raw Data'!C243),"\$([A-Z]+)\$[0-9]+"))),_xlfn.REGEXEXTRACT(CELL("address",'Raw Data'!C243),"\$([A-Z]+)\$[0-9]+"))</f>
        <v/>
      </c>
      <c r="D243" s="7" t="str" cm="1">
        <f t="array" aca="1" ref="D243" ca="1">IFERROR(IF(OR('Raw Data'!D243="",LEN(TRIM('Raw Data'!D243))=0),"",IF(AND(ISNUMBER('Raw Data'!D243), IFERROR('Raw Data'!D243 = ROUND('Raw Data'!D243, 2),FALSE)),"",_xlfn.REGEXEXTRACT(CELL("address",D243), "\$([A-Z]+)\$[0-9]+"))),_xlfn.REGEXEXTRACT(CELL("address",D243), "\$([A-Z]+)\$[0-9]+"))</f>
        <v/>
      </c>
      <c r="E243" s="7" t="str" cm="1">
        <f t="array" aca="1" ref="E243" ca="1">IFERROR(IF(OR('Raw Data'!E243="",LEN(TRIM('Raw Data'!E243))=0),"",IF(AND(ISNUMBER('Raw Data'!E243), IFERROR('Raw Data'!E243 = ROUND('Raw Data'!E243, 2),FALSE)),"",_xlfn.REGEXEXTRACT(CELL("address",E243), "\$([A-Z]+)\$[0-9]+"))),_xlfn.REGEXEXTRACT(CELL("address",E243), "\$([A-Z]+)\$[0-9]+"))</f>
        <v/>
      </c>
      <c r="F243" s="7" t="str" cm="1">
        <f t="array" aca="1" ref="F243" ca="1">IFERROR(IF(OR('Raw Data'!F243="",LEN(TRIM('Raw Data'!F243))=0),"",IF(AND(ISNUMBER('Raw Data'!F243), IFERROR('Raw Data'!F243 = ROUND('Raw Data'!F243, 2),FALSE)),"",_xlfn.REGEXEXTRACT(CELL("address",F243), "\$([A-Z]+)\$[0-9]+"))),_xlfn.REGEXEXTRACT(CELL("address",F243), "\$([A-Z]+)\$[0-9]+"))</f>
        <v/>
      </c>
      <c r="G243" s="7" t="str" cm="1">
        <f t="array" aca="1" ref="G243" ca="1">IFERROR(IF(OR('Raw Data'!G243="",LEN(TRIM('Raw Data'!G243))=0),"",IF(LEN('Raw Data'!G243)&gt; 0,"",_xlfn.REGEXEXTRACT(CELL("address",'Raw Data'!G243),"\$([A-Z]+)\$[0-9]+"))),_xlfn.REGEXEXTRACT(CELL("address",'Raw Data'!G243),"\$([A-Z]+)\$[0-9]+"))</f>
        <v/>
      </c>
    </row>
    <row r="244" spans="2:7" x14ac:dyDescent="0.25">
      <c r="B244" s="7" t="str" cm="1">
        <f t="array" aca="1" ref="B244" ca="1">IFERROR(IF(OR('Raw Data'!B244="",LEN(TRIM('Raw Data'!B244))=0),"",IF(AND(LEN('Raw Data'!B244) &lt;= 20,LEN('Raw Data'!B244)&gt; 0),"",_xlfn.REGEXEXTRACT(CELL("address",'Raw Data'!B244),"\$([A-Z]+)\$[0-9]+"))),_xlfn.REGEXEXTRACT(CELL("address",'Raw Data'!B244),"\$([A-Z]+)\$[0-9]+"))</f>
        <v/>
      </c>
      <c r="C244" s="7" t="str" cm="1">
        <f t="array" aca="1" ref="C244" ca="1">IFERROR(IF(OR('Raw Data'!C244="",LEN(TRIM('Raw Data'!C244))=0),"",IF(AND(LEN('Raw Data'!C244) &lt;= 255,LEN('Raw Data'!C244)&gt; 0),"",_xlfn.REGEXEXTRACT(CELL("address",'Raw Data'!C244),"\$([A-Z]+)\$[0-9]+"))),_xlfn.REGEXEXTRACT(CELL("address",'Raw Data'!C244),"\$([A-Z]+)\$[0-9]+"))</f>
        <v/>
      </c>
      <c r="D244" s="7" t="str" cm="1">
        <f t="array" aca="1" ref="D244" ca="1">IFERROR(IF(OR('Raw Data'!D244="",LEN(TRIM('Raw Data'!D244))=0),"",IF(AND(ISNUMBER('Raw Data'!D244), IFERROR('Raw Data'!D244 = ROUND('Raw Data'!D244, 2),FALSE)),"",_xlfn.REGEXEXTRACT(CELL("address",D244), "\$([A-Z]+)\$[0-9]+"))),_xlfn.REGEXEXTRACT(CELL("address",D244), "\$([A-Z]+)\$[0-9]+"))</f>
        <v/>
      </c>
      <c r="E244" s="7" t="str" cm="1">
        <f t="array" aca="1" ref="E244" ca="1">IFERROR(IF(OR('Raw Data'!E244="",LEN(TRIM('Raw Data'!E244))=0),"",IF(AND(ISNUMBER('Raw Data'!E244), IFERROR('Raw Data'!E244 = ROUND('Raw Data'!E244, 2),FALSE)),"",_xlfn.REGEXEXTRACT(CELL("address",E244), "\$([A-Z]+)\$[0-9]+"))),_xlfn.REGEXEXTRACT(CELL("address",E244), "\$([A-Z]+)\$[0-9]+"))</f>
        <v/>
      </c>
      <c r="F244" s="7" t="str" cm="1">
        <f t="array" aca="1" ref="F244" ca="1">IFERROR(IF(OR('Raw Data'!F244="",LEN(TRIM('Raw Data'!F244))=0),"",IF(AND(ISNUMBER('Raw Data'!F244), IFERROR('Raw Data'!F244 = ROUND('Raw Data'!F244, 2),FALSE)),"",_xlfn.REGEXEXTRACT(CELL("address",F244), "\$([A-Z]+)\$[0-9]+"))),_xlfn.REGEXEXTRACT(CELL("address",F244), "\$([A-Z]+)\$[0-9]+"))</f>
        <v/>
      </c>
      <c r="G244" s="7" t="str" cm="1">
        <f t="array" aca="1" ref="G244" ca="1">IFERROR(IF(OR('Raw Data'!G244="",LEN(TRIM('Raw Data'!G244))=0),"",IF(LEN('Raw Data'!G244)&gt; 0,"",_xlfn.REGEXEXTRACT(CELL("address",'Raw Data'!G244),"\$([A-Z]+)\$[0-9]+"))),_xlfn.REGEXEXTRACT(CELL("address",'Raw Data'!G244),"\$([A-Z]+)\$[0-9]+"))</f>
        <v/>
      </c>
    </row>
    <row r="245" spans="2:7" x14ac:dyDescent="0.25">
      <c r="B245" s="7" t="str" cm="1">
        <f t="array" aca="1" ref="B245" ca="1">IFERROR(IF(OR('Raw Data'!B245="",LEN(TRIM('Raw Data'!B245))=0),"",IF(AND(LEN('Raw Data'!B245) &lt;= 20,LEN('Raw Data'!B245)&gt; 0),"",_xlfn.REGEXEXTRACT(CELL("address",'Raw Data'!B245),"\$([A-Z]+)\$[0-9]+"))),_xlfn.REGEXEXTRACT(CELL("address",'Raw Data'!B245),"\$([A-Z]+)\$[0-9]+"))</f>
        <v/>
      </c>
      <c r="C245" s="7" t="str" cm="1">
        <f t="array" aca="1" ref="C245" ca="1">IFERROR(IF(OR('Raw Data'!C245="",LEN(TRIM('Raw Data'!C245))=0),"",IF(AND(LEN('Raw Data'!C245) &lt;= 255,LEN('Raw Data'!C245)&gt; 0),"",_xlfn.REGEXEXTRACT(CELL("address",'Raw Data'!C245),"\$([A-Z]+)\$[0-9]+"))),_xlfn.REGEXEXTRACT(CELL("address",'Raw Data'!C245),"\$([A-Z]+)\$[0-9]+"))</f>
        <v/>
      </c>
      <c r="D245" s="7" t="str" cm="1">
        <f t="array" aca="1" ref="D245" ca="1">IFERROR(IF(OR('Raw Data'!D245="",LEN(TRIM('Raw Data'!D245))=0),"",IF(AND(ISNUMBER('Raw Data'!D245), IFERROR('Raw Data'!D245 = ROUND('Raw Data'!D245, 2),FALSE)),"",_xlfn.REGEXEXTRACT(CELL("address",D245), "\$([A-Z]+)\$[0-9]+"))),_xlfn.REGEXEXTRACT(CELL("address",D245), "\$([A-Z]+)\$[0-9]+"))</f>
        <v/>
      </c>
      <c r="E245" s="7" t="str" cm="1">
        <f t="array" aca="1" ref="E245" ca="1">IFERROR(IF(OR('Raw Data'!E245="",LEN(TRIM('Raw Data'!E245))=0),"",IF(AND(ISNUMBER('Raw Data'!E245), IFERROR('Raw Data'!E245 = ROUND('Raw Data'!E245, 2),FALSE)),"",_xlfn.REGEXEXTRACT(CELL("address",E245), "\$([A-Z]+)\$[0-9]+"))),_xlfn.REGEXEXTRACT(CELL("address",E245), "\$([A-Z]+)\$[0-9]+"))</f>
        <v/>
      </c>
      <c r="F245" s="7" t="str" cm="1">
        <f t="array" aca="1" ref="F245" ca="1">IFERROR(IF(OR('Raw Data'!F245="",LEN(TRIM('Raw Data'!F245))=0),"",IF(AND(ISNUMBER('Raw Data'!F245), IFERROR('Raw Data'!F245 = ROUND('Raw Data'!F245, 2),FALSE)),"",_xlfn.REGEXEXTRACT(CELL("address",F245), "\$([A-Z]+)\$[0-9]+"))),_xlfn.REGEXEXTRACT(CELL("address",F245), "\$([A-Z]+)\$[0-9]+"))</f>
        <v/>
      </c>
      <c r="G245" s="7" t="str" cm="1">
        <f t="array" aca="1" ref="G245" ca="1">IFERROR(IF(OR('Raw Data'!G245="",LEN(TRIM('Raw Data'!G245))=0),"",IF(LEN('Raw Data'!G245)&gt; 0,"",_xlfn.REGEXEXTRACT(CELL("address",'Raw Data'!G245),"\$([A-Z]+)\$[0-9]+"))),_xlfn.REGEXEXTRACT(CELL("address",'Raw Data'!G245),"\$([A-Z]+)\$[0-9]+"))</f>
        <v/>
      </c>
    </row>
    <row r="246" spans="2:7" x14ac:dyDescent="0.25">
      <c r="B246" s="7" t="str" cm="1">
        <f t="array" aca="1" ref="B246" ca="1">IFERROR(IF(OR('Raw Data'!B246="",LEN(TRIM('Raw Data'!B246))=0),"",IF(AND(LEN('Raw Data'!B246) &lt;= 20,LEN('Raw Data'!B246)&gt; 0),"",_xlfn.REGEXEXTRACT(CELL("address",'Raw Data'!B246),"\$([A-Z]+)\$[0-9]+"))),_xlfn.REGEXEXTRACT(CELL("address",'Raw Data'!B246),"\$([A-Z]+)\$[0-9]+"))</f>
        <v/>
      </c>
      <c r="C246" s="7" t="str" cm="1">
        <f t="array" aca="1" ref="C246" ca="1">IFERROR(IF(OR('Raw Data'!C246="",LEN(TRIM('Raw Data'!C246))=0),"",IF(AND(LEN('Raw Data'!C246) &lt;= 255,LEN('Raw Data'!C246)&gt; 0),"",_xlfn.REGEXEXTRACT(CELL("address",'Raw Data'!C246),"\$([A-Z]+)\$[0-9]+"))),_xlfn.REGEXEXTRACT(CELL("address",'Raw Data'!C246),"\$([A-Z]+)\$[0-9]+"))</f>
        <v/>
      </c>
      <c r="D246" s="7" t="str" cm="1">
        <f t="array" aca="1" ref="D246" ca="1">IFERROR(IF(OR('Raw Data'!D246="",LEN(TRIM('Raw Data'!D246))=0),"",IF(AND(ISNUMBER('Raw Data'!D246), IFERROR('Raw Data'!D246 = ROUND('Raw Data'!D246, 2),FALSE)),"",_xlfn.REGEXEXTRACT(CELL("address",D246), "\$([A-Z]+)\$[0-9]+"))),_xlfn.REGEXEXTRACT(CELL("address",D246), "\$([A-Z]+)\$[0-9]+"))</f>
        <v/>
      </c>
      <c r="E246" s="7" t="str" cm="1">
        <f t="array" aca="1" ref="E246" ca="1">IFERROR(IF(OR('Raw Data'!E246="",LEN(TRIM('Raw Data'!E246))=0),"",IF(AND(ISNUMBER('Raw Data'!E246), IFERROR('Raw Data'!E246 = ROUND('Raw Data'!E246, 2),FALSE)),"",_xlfn.REGEXEXTRACT(CELL("address",E246), "\$([A-Z]+)\$[0-9]+"))),_xlfn.REGEXEXTRACT(CELL("address",E246), "\$([A-Z]+)\$[0-9]+"))</f>
        <v/>
      </c>
      <c r="F246" s="7" t="str" cm="1">
        <f t="array" aca="1" ref="F246" ca="1">IFERROR(IF(OR('Raw Data'!F246="",LEN(TRIM('Raw Data'!F246))=0),"",IF(AND(ISNUMBER('Raw Data'!F246), IFERROR('Raw Data'!F246 = ROUND('Raw Data'!F246, 2),FALSE)),"",_xlfn.REGEXEXTRACT(CELL("address",F246), "\$([A-Z]+)\$[0-9]+"))),_xlfn.REGEXEXTRACT(CELL("address",F246), "\$([A-Z]+)\$[0-9]+"))</f>
        <v/>
      </c>
      <c r="G246" s="7" t="str" cm="1">
        <f t="array" aca="1" ref="G246" ca="1">IFERROR(IF(OR('Raw Data'!G246="",LEN(TRIM('Raw Data'!G246))=0),"",IF(LEN('Raw Data'!G246)&gt; 0,"",_xlfn.REGEXEXTRACT(CELL("address",'Raw Data'!G246),"\$([A-Z]+)\$[0-9]+"))),_xlfn.REGEXEXTRACT(CELL("address",'Raw Data'!G246),"\$([A-Z]+)\$[0-9]+"))</f>
        <v/>
      </c>
    </row>
    <row r="247" spans="2:7" x14ac:dyDescent="0.25">
      <c r="B247" s="7" t="str" cm="1">
        <f t="array" aca="1" ref="B247" ca="1">IFERROR(IF(OR('Raw Data'!B247="",LEN(TRIM('Raw Data'!B247))=0),"",IF(AND(LEN('Raw Data'!B247) &lt;= 20,LEN('Raw Data'!B247)&gt; 0),"",_xlfn.REGEXEXTRACT(CELL("address",'Raw Data'!B247),"\$([A-Z]+)\$[0-9]+"))),_xlfn.REGEXEXTRACT(CELL("address",'Raw Data'!B247),"\$([A-Z]+)\$[0-9]+"))</f>
        <v/>
      </c>
      <c r="C247" s="7" t="str" cm="1">
        <f t="array" aca="1" ref="C247" ca="1">IFERROR(IF(OR('Raw Data'!C247="",LEN(TRIM('Raw Data'!C247))=0),"",IF(AND(LEN('Raw Data'!C247) &lt;= 255,LEN('Raw Data'!C247)&gt; 0),"",_xlfn.REGEXEXTRACT(CELL("address",'Raw Data'!C247),"\$([A-Z]+)\$[0-9]+"))),_xlfn.REGEXEXTRACT(CELL("address",'Raw Data'!C247),"\$([A-Z]+)\$[0-9]+"))</f>
        <v/>
      </c>
      <c r="D247" s="7" t="str" cm="1">
        <f t="array" aca="1" ref="D247" ca="1">IFERROR(IF(OR('Raw Data'!D247="",LEN(TRIM('Raw Data'!D247))=0),"",IF(AND(ISNUMBER('Raw Data'!D247), IFERROR('Raw Data'!D247 = ROUND('Raw Data'!D247, 2),FALSE)),"",_xlfn.REGEXEXTRACT(CELL("address",D247), "\$([A-Z]+)\$[0-9]+"))),_xlfn.REGEXEXTRACT(CELL("address",D247), "\$([A-Z]+)\$[0-9]+"))</f>
        <v/>
      </c>
      <c r="E247" s="7" t="str" cm="1">
        <f t="array" aca="1" ref="E247" ca="1">IFERROR(IF(OR('Raw Data'!E247="",LEN(TRIM('Raw Data'!E247))=0),"",IF(AND(ISNUMBER('Raw Data'!E247), IFERROR('Raw Data'!E247 = ROUND('Raw Data'!E247, 2),FALSE)),"",_xlfn.REGEXEXTRACT(CELL("address",E247), "\$([A-Z]+)\$[0-9]+"))),_xlfn.REGEXEXTRACT(CELL("address",E247), "\$([A-Z]+)\$[0-9]+"))</f>
        <v/>
      </c>
      <c r="F247" s="7" t="str" cm="1">
        <f t="array" aca="1" ref="F247" ca="1">IFERROR(IF(OR('Raw Data'!F247="",LEN(TRIM('Raw Data'!F247))=0),"",IF(AND(ISNUMBER('Raw Data'!F247), IFERROR('Raw Data'!F247 = ROUND('Raw Data'!F247, 2),FALSE)),"",_xlfn.REGEXEXTRACT(CELL("address",F247), "\$([A-Z]+)\$[0-9]+"))),_xlfn.REGEXEXTRACT(CELL("address",F247), "\$([A-Z]+)\$[0-9]+"))</f>
        <v/>
      </c>
      <c r="G247" s="7" t="str" cm="1">
        <f t="array" aca="1" ref="G247" ca="1">IFERROR(IF(OR('Raw Data'!G247="",LEN(TRIM('Raw Data'!G247))=0),"",IF(LEN('Raw Data'!G247)&gt; 0,"",_xlfn.REGEXEXTRACT(CELL("address",'Raw Data'!G247),"\$([A-Z]+)\$[0-9]+"))),_xlfn.REGEXEXTRACT(CELL("address",'Raw Data'!G247),"\$([A-Z]+)\$[0-9]+"))</f>
        <v/>
      </c>
    </row>
    <row r="248" spans="2:7" x14ac:dyDescent="0.25">
      <c r="B248" s="7" t="str" cm="1">
        <f t="array" aca="1" ref="B248" ca="1">IFERROR(IF(OR('Raw Data'!B248="",LEN(TRIM('Raw Data'!B248))=0),"",IF(AND(LEN('Raw Data'!B248) &lt;= 20,LEN('Raw Data'!B248)&gt; 0),"",_xlfn.REGEXEXTRACT(CELL("address",'Raw Data'!B248),"\$([A-Z]+)\$[0-9]+"))),_xlfn.REGEXEXTRACT(CELL("address",'Raw Data'!B248),"\$([A-Z]+)\$[0-9]+"))</f>
        <v/>
      </c>
      <c r="C248" s="7" t="str" cm="1">
        <f t="array" aca="1" ref="C248" ca="1">IFERROR(IF(OR('Raw Data'!C248="",LEN(TRIM('Raw Data'!C248))=0),"",IF(AND(LEN('Raw Data'!C248) &lt;= 255,LEN('Raw Data'!C248)&gt; 0),"",_xlfn.REGEXEXTRACT(CELL("address",'Raw Data'!C248),"\$([A-Z]+)\$[0-9]+"))),_xlfn.REGEXEXTRACT(CELL("address",'Raw Data'!C248),"\$([A-Z]+)\$[0-9]+"))</f>
        <v/>
      </c>
      <c r="D248" s="7" t="str" cm="1">
        <f t="array" aca="1" ref="D248" ca="1">IFERROR(IF(OR('Raw Data'!D248="",LEN(TRIM('Raw Data'!D248))=0),"",IF(AND(ISNUMBER('Raw Data'!D248), IFERROR('Raw Data'!D248 = ROUND('Raw Data'!D248, 2),FALSE)),"",_xlfn.REGEXEXTRACT(CELL("address",D248), "\$([A-Z]+)\$[0-9]+"))),_xlfn.REGEXEXTRACT(CELL("address",D248), "\$([A-Z]+)\$[0-9]+"))</f>
        <v/>
      </c>
      <c r="E248" s="7" t="str" cm="1">
        <f t="array" aca="1" ref="E248" ca="1">IFERROR(IF(OR('Raw Data'!E248="",LEN(TRIM('Raw Data'!E248))=0),"",IF(AND(ISNUMBER('Raw Data'!E248), IFERROR('Raw Data'!E248 = ROUND('Raw Data'!E248, 2),FALSE)),"",_xlfn.REGEXEXTRACT(CELL("address",E248), "\$([A-Z]+)\$[0-9]+"))),_xlfn.REGEXEXTRACT(CELL("address",E248), "\$([A-Z]+)\$[0-9]+"))</f>
        <v/>
      </c>
      <c r="F248" s="7" t="str" cm="1">
        <f t="array" aca="1" ref="F248" ca="1">IFERROR(IF(OR('Raw Data'!F248="",LEN(TRIM('Raw Data'!F248))=0),"",IF(AND(ISNUMBER('Raw Data'!F248), IFERROR('Raw Data'!F248 = ROUND('Raw Data'!F248, 2),FALSE)),"",_xlfn.REGEXEXTRACT(CELL("address",F248), "\$([A-Z]+)\$[0-9]+"))),_xlfn.REGEXEXTRACT(CELL("address",F248), "\$([A-Z]+)\$[0-9]+"))</f>
        <v/>
      </c>
      <c r="G248" s="7" t="str" cm="1">
        <f t="array" aca="1" ref="G248" ca="1">IFERROR(IF(OR('Raw Data'!G248="",LEN(TRIM('Raw Data'!G248))=0),"",IF(LEN('Raw Data'!G248)&gt; 0,"",_xlfn.REGEXEXTRACT(CELL("address",'Raw Data'!G248),"\$([A-Z]+)\$[0-9]+"))),_xlfn.REGEXEXTRACT(CELL("address",'Raw Data'!G248),"\$([A-Z]+)\$[0-9]+"))</f>
        <v/>
      </c>
    </row>
    <row r="249" spans="2:7" x14ac:dyDescent="0.25">
      <c r="B249" s="7" t="str" cm="1">
        <f t="array" aca="1" ref="B249" ca="1">IFERROR(IF(OR('Raw Data'!B249="",LEN(TRIM('Raw Data'!B249))=0),"",IF(AND(LEN('Raw Data'!B249) &lt;= 20,LEN('Raw Data'!B249)&gt; 0),"",_xlfn.REGEXEXTRACT(CELL("address",'Raw Data'!B249),"\$([A-Z]+)\$[0-9]+"))),_xlfn.REGEXEXTRACT(CELL("address",'Raw Data'!B249),"\$([A-Z]+)\$[0-9]+"))</f>
        <v/>
      </c>
      <c r="C249" s="7" t="str" cm="1">
        <f t="array" aca="1" ref="C249" ca="1">IFERROR(IF(OR('Raw Data'!C249="",LEN(TRIM('Raw Data'!C249))=0),"",IF(AND(LEN('Raw Data'!C249) &lt;= 255,LEN('Raw Data'!C249)&gt; 0),"",_xlfn.REGEXEXTRACT(CELL("address",'Raw Data'!C249),"\$([A-Z]+)\$[0-9]+"))),_xlfn.REGEXEXTRACT(CELL("address",'Raw Data'!C249),"\$([A-Z]+)\$[0-9]+"))</f>
        <v/>
      </c>
      <c r="D249" s="7" t="str" cm="1">
        <f t="array" aca="1" ref="D249" ca="1">IFERROR(IF(OR('Raw Data'!D249="",LEN(TRIM('Raw Data'!D249))=0),"",IF(AND(ISNUMBER('Raw Data'!D249), IFERROR('Raw Data'!D249 = ROUND('Raw Data'!D249, 2),FALSE)),"",_xlfn.REGEXEXTRACT(CELL("address",D249), "\$([A-Z]+)\$[0-9]+"))),_xlfn.REGEXEXTRACT(CELL("address",D249), "\$([A-Z]+)\$[0-9]+"))</f>
        <v/>
      </c>
      <c r="E249" s="7" t="str" cm="1">
        <f t="array" aca="1" ref="E249" ca="1">IFERROR(IF(OR('Raw Data'!E249="",LEN(TRIM('Raw Data'!E249))=0),"",IF(AND(ISNUMBER('Raw Data'!E249), IFERROR('Raw Data'!E249 = ROUND('Raw Data'!E249, 2),FALSE)),"",_xlfn.REGEXEXTRACT(CELL("address",E249), "\$([A-Z]+)\$[0-9]+"))),_xlfn.REGEXEXTRACT(CELL("address",E249), "\$([A-Z]+)\$[0-9]+"))</f>
        <v/>
      </c>
      <c r="F249" s="7" t="str" cm="1">
        <f t="array" aca="1" ref="F249" ca="1">IFERROR(IF(OR('Raw Data'!F249="",LEN(TRIM('Raw Data'!F249))=0),"",IF(AND(ISNUMBER('Raw Data'!F249), IFERROR('Raw Data'!F249 = ROUND('Raw Data'!F249, 2),FALSE)),"",_xlfn.REGEXEXTRACT(CELL("address",F249), "\$([A-Z]+)\$[0-9]+"))),_xlfn.REGEXEXTRACT(CELL("address",F249), "\$([A-Z]+)\$[0-9]+"))</f>
        <v/>
      </c>
      <c r="G249" s="7" t="str" cm="1">
        <f t="array" aca="1" ref="G249" ca="1">IFERROR(IF(OR('Raw Data'!G249="",LEN(TRIM('Raw Data'!G249))=0),"",IF(LEN('Raw Data'!G249)&gt; 0,"",_xlfn.REGEXEXTRACT(CELL("address",'Raw Data'!G249),"\$([A-Z]+)\$[0-9]+"))),_xlfn.REGEXEXTRACT(CELL("address",'Raw Data'!G249),"\$([A-Z]+)\$[0-9]+"))</f>
        <v/>
      </c>
    </row>
    <row r="250" spans="2:7" x14ac:dyDescent="0.25">
      <c r="B250" s="7" t="str" cm="1">
        <f t="array" aca="1" ref="B250" ca="1">IFERROR(IF(OR('Raw Data'!B250="",LEN(TRIM('Raw Data'!B250))=0),"",IF(AND(LEN('Raw Data'!B250) &lt;= 20,LEN('Raw Data'!B250)&gt; 0),"",_xlfn.REGEXEXTRACT(CELL("address",'Raw Data'!B250),"\$([A-Z]+)\$[0-9]+"))),_xlfn.REGEXEXTRACT(CELL("address",'Raw Data'!B250),"\$([A-Z]+)\$[0-9]+"))</f>
        <v/>
      </c>
      <c r="C250" s="7" t="str" cm="1">
        <f t="array" aca="1" ref="C250" ca="1">IFERROR(IF(OR('Raw Data'!C250="",LEN(TRIM('Raw Data'!C250))=0),"",IF(AND(LEN('Raw Data'!C250) &lt;= 255,LEN('Raw Data'!C250)&gt; 0),"",_xlfn.REGEXEXTRACT(CELL("address",'Raw Data'!C250),"\$([A-Z]+)\$[0-9]+"))),_xlfn.REGEXEXTRACT(CELL("address",'Raw Data'!C250),"\$([A-Z]+)\$[0-9]+"))</f>
        <v/>
      </c>
      <c r="D250" s="7" t="str" cm="1">
        <f t="array" aca="1" ref="D250" ca="1">IFERROR(IF(OR('Raw Data'!D250="",LEN(TRIM('Raw Data'!D250))=0),"",IF(AND(ISNUMBER('Raw Data'!D250), IFERROR('Raw Data'!D250 = ROUND('Raw Data'!D250, 2),FALSE)),"",_xlfn.REGEXEXTRACT(CELL("address",D250), "\$([A-Z]+)\$[0-9]+"))),_xlfn.REGEXEXTRACT(CELL("address",D250), "\$([A-Z]+)\$[0-9]+"))</f>
        <v/>
      </c>
      <c r="E250" s="7" t="str" cm="1">
        <f t="array" aca="1" ref="E250" ca="1">IFERROR(IF(OR('Raw Data'!E250="",LEN(TRIM('Raw Data'!E250))=0),"",IF(AND(ISNUMBER('Raw Data'!E250), IFERROR('Raw Data'!E250 = ROUND('Raw Data'!E250, 2),FALSE)),"",_xlfn.REGEXEXTRACT(CELL("address",E250), "\$([A-Z]+)\$[0-9]+"))),_xlfn.REGEXEXTRACT(CELL("address",E250), "\$([A-Z]+)\$[0-9]+"))</f>
        <v/>
      </c>
      <c r="F250" s="7" t="str" cm="1">
        <f t="array" aca="1" ref="F250" ca="1">IFERROR(IF(OR('Raw Data'!F250="",LEN(TRIM('Raw Data'!F250))=0),"",IF(AND(ISNUMBER('Raw Data'!F250), IFERROR('Raw Data'!F250 = ROUND('Raw Data'!F250, 2),FALSE)),"",_xlfn.REGEXEXTRACT(CELL("address",F250), "\$([A-Z]+)\$[0-9]+"))),_xlfn.REGEXEXTRACT(CELL("address",F250), "\$([A-Z]+)\$[0-9]+"))</f>
        <v/>
      </c>
      <c r="G250" s="7" t="str" cm="1">
        <f t="array" aca="1" ref="G250" ca="1">IFERROR(IF(OR('Raw Data'!G250="",LEN(TRIM('Raw Data'!G250))=0),"",IF(LEN('Raw Data'!G250)&gt; 0,"",_xlfn.REGEXEXTRACT(CELL("address",'Raw Data'!G250),"\$([A-Z]+)\$[0-9]+"))),_xlfn.REGEXEXTRACT(CELL("address",'Raw Data'!G250),"\$([A-Z]+)\$[0-9]+"))</f>
        <v/>
      </c>
    </row>
    <row r="251" spans="2:7" x14ac:dyDescent="0.25">
      <c r="B251" s="7" t="str" cm="1">
        <f t="array" aca="1" ref="B251" ca="1">IFERROR(IF(OR('Raw Data'!B251="",LEN(TRIM('Raw Data'!B251))=0),"",IF(AND(LEN('Raw Data'!B251) &lt;= 20,LEN('Raw Data'!B251)&gt; 0),"",_xlfn.REGEXEXTRACT(CELL("address",'Raw Data'!B251),"\$([A-Z]+)\$[0-9]+"))),_xlfn.REGEXEXTRACT(CELL("address",'Raw Data'!B251),"\$([A-Z]+)\$[0-9]+"))</f>
        <v/>
      </c>
      <c r="C251" s="7" t="str" cm="1">
        <f t="array" aca="1" ref="C251" ca="1">IFERROR(IF(OR('Raw Data'!C251="",LEN(TRIM('Raw Data'!C251))=0),"",IF(AND(LEN('Raw Data'!C251) &lt;= 255,LEN('Raw Data'!C251)&gt; 0),"",_xlfn.REGEXEXTRACT(CELL("address",'Raw Data'!C251),"\$([A-Z]+)\$[0-9]+"))),_xlfn.REGEXEXTRACT(CELL("address",'Raw Data'!C251),"\$([A-Z]+)\$[0-9]+"))</f>
        <v/>
      </c>
      <c r="D251" s="7" t="str" cm="1">
        <f t="array" aca="1" ref="D251" ca="1">IFERROR(IF(OR('Raw Data'!D251="",LEN(TRIM('Raw Data'!D251))=0),"",IF(AND(ISNUMBER('Raw Data'!D251), IFERROR('Raw Data'!D251 = ROUND('Raw Data'!D251, 2),FALSE)),"",_xlfn.REGEXEXTRACT(CELL("address",D251), "\$([A-Z]+)\$[0-9]+"))),_xlfn.REGEXEXTRACT(CELL("address",D251), "\$([A-Z]+)\$[0-9]+"))</f>
        <v/>
      </c>
      <c r="E251" s="7" t="str" cm="1">
        <f t="array" aca="1" ref="E251" ca="1">IFERROR(IF(OR('Raw Data'!E251="",LEN(TRIM('Raw Data'!E251))=0),"",IF(AND(ISNUMBER('Raw Data'!E251), IFERROR('Raw Data'!E251 = ROUND('Raw Data'!E251, 2),FALSE)),"",_xlfn.REGEXEXTRACT(CELL("address",E251), "\$([A-Z]+)\$[0-9]+"))),_xlfn.REGEXEXTRACT(CELL("address",E251), "\$([A-Z]+)\$[0-9]+"))</f>
        <v/>
      </c>
      <c r="F251" s="7" t="str" cm="1">
        <f t="array" aca="1" ref="F251" ca="1">IFERROR(IF(OR('Raw Data'!F251="",LEN(TRIM('Raw Data'!F251))=0),"",IF(AND(ISNUMBER('Raw Data'!F251), IFERROR('Raw Data'!F251 = ROUND('Raw Data'!F251, 2),FALSE)),"",_xlfn.REGEXEXTRACT(CELL("address",F251), "\$([A-Z]+)\$[0-9]+"))),_xlfn.REGEXEXTRACT(CELL("address",F251), "\$([A-Z]+)\$[0-9]+"))</f>
        <v/>
      </c>
      <c r="G251" s="7" t="str" cm="1">
        <f t="array" aca="1" ref="G251" ca="1">IFERROR(IF(OR('Raw Data'!G251="",LEN(TRIM('Raw Data'!G251))=0),"",IF(LEN('Raw Data'!G251)&gt; 0,"",_xlfn.REGEXEXTRACT(CELL("address",'Raw Data'!G251),"\$([A-Z]+)\$[0-9]+"))),_xlfn.REGEXEXTRACT(CELL("address",'Raw Data'!G251),"\$([A-Z]+)\$[0-9]+"))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DCF8-AFBE-445C-AAC7-5B25C0506831}">
  <dimension ref="B9:G100"/>
  <sheetViews>
    <sheetView topLeftCell="A10" zoomScale="85" zoomScaleNormal="85" workbookViewId="0">
      <selection activeCell="I18" sqref="I18"/>
    </sheetView>
  </sheetViews>
  <sheetFormatPr defaultRowHeight="15" x14ac:dyDescent="0.25"/>
  <cols>
    <col min="2" max="6" width="14.85546875" style="8" customWidth="1"/>
    <col min="7" max="7" width="14.85546875" customWidth="1"/>
  </cols>
  <sheetData>
    <row r="9" spans="2:7" x14ac:dyDescent="0.25">
      <c r="D9" s="16"/>
      <c r="E9" s="16"/>
    </row>
    <row r="10" spans="2:7" x14ac:dyDescent="0.25">
      <c r="B10" s="7"/>
      <c r="C10" s="7"/>
      <c r="D10" s="7" t="s">
        <v>13</v>
      </c>
      <c r="E10" s="7" t="s">
        <v>13</v>
      </c>
      <c r="F10" s="7"/>
      <c r="G10" s="7"/>
    </row>
    <row r="11" spans="2:7" x14ac:dyDescent="0.25">
      <c r="B11" s="1" t="s">
        <v>0</v>
      </c>
      <c r="C11" s="1" t="s">
        <v>1</v>
      </c>
      <c r="D11" s="11" t="s">
        <v>2</v>
      </c>
      <c r="E11" s="1" t="s">
        <v>3</v>
      </c>
      <c r="F11" s="1" t="s">
        <v>4</v>
      </c>
      <c r="G11" s="11" t="s">
        <v>5</v>
      </c>
    </row>
    <row r="12" spans="2:7" x14ac:dyDescent="0.25">
      <c r="B12" s="7"/>
      <c r="C12" s="7"/>
      <c r="D12" s="7" t="str" cm="1">
        <f t="array" aca="1" ref="D12" ca="1">IF(OR('Raw Data'!D12="",LEN(TRIM('Raw Data'!D12))=0,Validate_Empty!D12&lt;&gt;"",Validate_Value!D12&lt;&gt;""),"",IF('Raw Data'!D12 = SUMIFS(Condition1!J:J,Condition1!B:B,TRIM('Raw Data'!B12),Condition1!C:C,TRIM('Raw Data'!C12)),"",_xlfn.REGEXEXTRACT(CELL("address",D12), "\$([A-Z]+)\$[0-9]+")))</f>
        <v/>
      </c>
      <c r="E12" s="7" t="str" cm="1">
        <f t="array" aca="1" ref="E12" ca="1">IF(OR('Raw Data'!E12="",LEN(TRIM('Raw Data'!E12))=0,Validate_Empty!E12&lt;&gt;"",Validate_Value!E12&lt;&gt;""),"",IF('Raw Data'!E12 = SUMIFS(Condition2!K:K,Condition2!B:B,TRIM('Raw Data'!B12),Condition2!C:C,TRIM('Raw Data'!C12)),"",_xlfn.REGEXEXTRACT(CELL("address",E12), "\$([A-Z]+)\$[0-9]+")))</f>
        <v/>
      </c>
      <c r="F12" s="7"/>
      <c r="G12" s="7"/>
    </row>
    <row r="13" spans="2:7" x14ac:dyDescent="0.25">
      <c r="B13" s="7"/>
      <c r="C13" s="7"/>
      <c r="D13" s="7" t="str" cm="1">
        <f t="array" aca="1" ref="D13" ca="1">IF(OR('Raw Data'!D13="",LEN(TRIM('Raw Data'!D13))=0,Validate_Empty!D13&lt;&gt;"",Validate_Value!D13&lt;&gt;""),"",IF('Raw Data'!D13 = SUMIFS(Condition1!J:J,Condition1!B:B,TRIM('Raw Data'!B13),Condition1!C:C,TRIM('Raw Data'!C13)),"",_xlfn.REGEXEXTRACT(CELL("address",D13), "\$([A-Z]+)\$[0-9]+")))</f>
        <v/>
      </c>
      <c r="E13" s="7" t="str" cm="1">
        <f t="array" aca="1" ref="E13" ca="1">IF(OR('Raw Data'!E13="",LEN(TRIM('Raw Data'!E13))=0,Validate_Empty!E13&lt;&gt;"",Validate_Value!E13&lt;&gt;""),"",IF('Raw Data'!E13 = SUMIFS(Condition2!K:K,Condition2!B:B,TRIM('Raw Data'!B13),Condition2!C:C,TRIM('Raw Data'!C13)),"",_xlfn.REGEXEXTRACT(CELL("address",E13), "\$([A-Z]+)\$[0-9]+")))</f>
        <v/>
      </c>
      <c r="F13" s="7"/>
      <c r="G13" s="7"/>
    </row>
    <row r="14" spans="2:7" x14ac:dyDescent="0.25">
      <c r="B14" s="7"/>
      <c r="C14" s="7"/>
      <c r="D14" s="7" t="str" cm="1">
        <f t="array" aca="1" ref="D14" ca="1">IF(OR('Raw Data'!D14="",LEN(TRIM('Raw Data'!D14))=0,Validate_Empty!D14&lt;&gt;"",Validate_Value!D14&lt;&gt;""),"",IF('Raw Data'!D14 = SUMIFS(Condition1!J:J,Condition1!B:B,TRIM('Raw Data'!B14),Condition1!C:C,TRIM('Raw Data'!C14)),"",_xlfn.REGEXEXTRACT(CELL("address",D14), "\$([A-Z]+)\$[0-9]+")))</f>
        <v/>
      </c>
      <c r="E14" s="7" t="str" cm="1">
        <f t="array" aca="1" ref="E14" ca="1">IF(OR('Raw Data'!E14="",LEN(TRIM('Raw Data'!E14))=0,Validate_Empty!E14&lt;&gt;"",Validate_Value!E14&lt;&gt;""),"",IF('Raw Data'!E14 = SUMIFS(Condition2!K:K,Condition2!B:B,TRIM('Raw Data'!B14),Condition2!C:C,TRIM('Raw Data'!C14)),"",_xlfn.REGEXEXTRACT(CELL("address",E14), "\$([A-Z]+)\$[0-9]+")))</f>
        <v/>
      </c>
      <c r="F14" s="7"/>
      <c r="G14" s="7"/>
    </row>
    <row r="15" spans="2:7" x14ac:dyDescent="0.25">
      <c r="B15" s="7"/>
      <c r="C15" s="7"/>
      <c r="D15" s="7" t="str" cm="1">
        <f t="array" aca="1" ref="D15" ca="1">IF(OR('Raw Data'!D15="",LEN(TRIM('Raw Data'!D15))=0,Validate_Empty!D15&lt;&gt;"",Validate_Value!D15&lt;&gt;""),"",IF('Raw Data'!D15 = SUMIFS(Condition1!J:J,Condition1!B:B,TRIM('Raw Data'!B15),Condition1!C:C,TRIM('Raw Data'!C15)),"",_xlfn.REGEXEXTRACT(CELL("address",D15), "\$([A-Z]+)\$[0-9]+")))</f>
        <v/>
      </c>
      <c r="E15" s="7" t="str" cm="1">
        <f t="array" aca="1" ref="E15" ca="1">IF(OR('Raw Data'!E15="",LEN(TRIM('Raw Data'!E15))=0,Validate_Empty!E15&lt;&gt;"",Validate_Value!E15&lt;&gt;""),"",IF('Raw Data'!E15 = SUMIFS(Condition2!K:K,Condition2!B:B,TRIM('Raw Data'!B15),Condition2!C:C,TRIM('Raw Data'!C15)),"",_xlfn.REGEXEXTRACT(CELL("address",E15), "\$([A-Z]+)\$[0-9]+")))</f>
        <v/>
      </c>
      <c r="F15" s="7"/>
      <c r="G15" s="7"/>
    </row>
    <row r="16" spans="2:7" x14ac:dyDescent="0.25">
      <c r="B16" s="7"/>
      <c r="C16" s="7"/>
      <c r="D16" s="7" t="str" cm="1">
        <f t="array" aca="1" ref="D16" ca="1">IF(OR('Raw Data'!D16="",LEN(TRIM('Raw Data'!D16))=0,Validate_Empty!D16&lt;&gt;"",Validate_Value!D16&lt;&gt;""),"",IF('Raw Data'!D16 = SUMIFS(Condition1!J:J,Condition1!B:B,TRIM('Raw Data'!B16),Condition1!C:C,TRIM('Raw Data'!C16)),"",_xlfn.REGEXEXTRACT(CELL("address",D16), "\$([A-Z]+)\$[0-9]+")))</f>
        <v/>
      </c>
      <c r="E16" s="7" t="str" cm="1">
        <f t="array" aca="1" ref="E16" ca="1">IF(OR('Raw Data'!E16="",LEN(TRIM('Raw Data'!E16))=0,Validate_Empty!E16&lt;&gt;"",Validate_Value!E16&lt;&gt;""),"",IF('Raw Data'!E16 = SUMIFS(Condition2!K:K,Condition2!B:B,TRIM('Raw Data'!B16),Condition2!C:C,TRIM('Raw Data'!C16)),"",_xlfn.REGEXEXTRACT(CELL("address",E16), "\$([A-Z]+)\$[0-9]+")))</f>
        <v/>
      </c>
      <c r="F16" s="7"/>
      <c r="G16" s="7"/>
    </row>
    <row r="17" spans="2:7" x14ac:dyDescent="0.25">
      <c r="B17" s="7"/>
      <c r="C17" s="7"/>
      <c r="D17" s="7" t="str" cm="1">
        <f t="array" aca="1" ref="D17" ca="1">IF(OR('Raw Data'!D17="",LEN(TRIM('Raw Data'!D17))=0,Validate_Empty!D17&lt;&gt;"",Validate_Value!D17&lt;&gt;""),"",IF('Raw Data'!D17 = SUMIFS(Condition1!J:J,Condition1!B:B,TRIM('Raw Data'!B17),Condition1!C:C,TRIM('Raw Data'!C17)),"",_xlfn.REGEXEXTRACT(CELL("address",D17), "\$([A-Z]+)\$[0-9]+")))</f>
        <v/>
      </c>
      <c r="E17" s="7" t="str" cm="1">
        <f t="array" aca="1" ref="E17" ca="1">IF(OR('Raw Data'!E17="",LEN(TRIM('Raw Data'!E17))=0,Validate_Empty!E17&lt;&gt;"",Validate_Value!E17&lt;&gt;""),"",IF('Raw Data'!E17 = SUMIFS(Condition2!K:K,Condition2!B:B,TRIM('Raw Data'!B17),Condition2!C:C,TRIM('Raw Data'!C17)),"",_xlfn.REGEXEXTRACT(CELL("address",E17), "\$([A-Z]+)\$[0-9]+")))</f>
        <v/>
      </c>
      <c r="F17" s="7"/>
      <c r="G17" s="7"/>
    </row>
    <row r="18" spans="2:7" x14ac:dyDescent="0.25">
      <c r="B18" s="7"/>
      <c r="C18" s="7"/>
      <c r="D18" s="7" t="str" cm="1">
        <f t="array" aca="1" ref="D18" ca="1">IF(OR('Raw Data'!D18="",LEN(TRIM('Raw Data'!D18))=0,Validate_Empty!D18&lt;&gt;"",Validate_Value!D18&lt;&gt;""),"",IF('Raw Data'!D18 = SUMIFS(Condition1!J:J,Condition1!B:B,TRIM('Raw Data'!B18),Condition1!C:C,TRIM('Raw Data'!C18)),"",_xlfn.REGEXEXTRACT(CELL("address",D18), "\$([A-Z]+)\$[0-9]+")))</f>
        <v/>
      </c>
      <c r="E18" s="7" t="str" cm="1">
        <f t="array" aca="1" ref="E18" ca="1">IF(OR('Raw Data'!E18="",LEN(TRIM('Raw Data'!E18))=0,Validate_Empty!E18&lt;&gt;"",Validate_Value!E18&lt;&gt;""),"",IF('Raw Data'!E18 = SUMIFS(Condition2!K:K,Condition2!B:B,TRIM('Raw Data'!B18),Condition2!C:C,TRIM('Raw Data'!C18)),"",_xlfn.REGEXEXTRACT(CELL("address",E18), "\$([A-Z]+)\$[0-9]+")))</f>
        <v/>
      </c>
      <c r="F18" s="7"/>
      <c r="G18" s="7"/>
    </row>
    <row r="19" spans="2:7" x14ac:dyDescent="0.25">
      <c r="B19" s="7"/>
      <c r="C19" s="7"/>
      <c r="D19" s="7" t="str" cm="1">
        <f t="array" aca="1" ref="D19" ca="1">IF(OR('Raw Data'!D19="",LEN(TRIM('Raw Data'!D19))=0,Validate_Empty!D19&lt;&gt;"",Validate_Value!D19&lt;&gt;""),"",IF('Raw Data'!D19 = SUMIFS(Condition1!J:J,Condition1!B:B,TRIM('Raw Data'!B19),Condition1!C:C,TRIM('Raw Data'!C19)),"",_xlfn.REGEXEXTRACT(CELL("address",D19), "\$([A-Z]+)\$[0-9]+")))</f>
        <v/>
      </c>
      <c r="E19" s="7" t="str" cm="1">
        <f t="array" aca="1" ref="E19" ca="1">IF(OR('Raw Data'!E19="",LEN(TRIM('Raw Data'!E19))=0,Validate_Empty!E19&lt;&gt;"",Validate_Value!E19&lt;&gt;""),"",IF('Raw Data'!E19 = SUMIFS(Condition2!K:K,Condition2!B:B,TRIM('Raw Data'!B19),Condition2!C:C,TRIM('Raw Data'!C19)),"",_xlfn.REGEXEXTRACT(CELL("address",E19), "\$([A-Z]+)\$[0-9]+")))</f>
        <v/>
      </c>
      <c r="F19" s="7"/>
      <c r="G19" s="7"/>
    </row>
    <row r="20" spans="2:7" x14ac:dyDescent="0.25">
      <c r="B20" s="7"/>
      <c r="C20" s="7"/>
      <c r="D20" s="7" t="str" cm="1">
        <f t="array" aca="1" ref="D20" ca="1">IF(OR('Raw Data'!D20="",LEN(TRIM('Raw Data'!D20))=0,Validate_Empty!D20&lt;&gt;"",Validate_Value!D20&lt;&gt;""),"",IF('Raw Data'!D20 = SUMIFS(Condition1!J:J,Condition1!B:B,TRIM('Raw Data'!B20),Condition1!C:C,TRIM('Raw Data'!C20)),"",_xlfn.REGEXEXTRACT(CELL("address",D20), "\$([A-Z]+)\$[0-9]+")))</f>
        <v/>
      </c>
      <c r="E20" s="7" t="str" cm="1">
        <f t="array" aca="1" ref="E20" ca="1">IF(OR('Raw Data'!E20="",LEN(TRIM('Raw Data'!E20))=0,Validate_Empty!E20&lt;&gt;"",Validate_Value!E20&lt;&gt;""),"",IF('Raw Data'!E20 = SUMIFS(Condition2!K:K,Condition2!B:B,TRIM('Raw Data'!B20),Condition2!C:C,TRIM('Raw Data'!C20)),"",_xlfn.REGEXEXTRACT(CELL("address",E20), "\$([A-Z]+)\$[0-9]+")))</f>
        <v/>
      </c>
      <c r="F20" s="7"/>
      <c r="G20" s="7"/>
    </row>
    <row r="21" spans="2:7" x14ac:dyDescent="0.25">
      <c r="B21" s="7"/>
      <c r="C21" s="7"/>
      <c r="D21" s="7" t="str" cm="1">
        <f t="array" aca="1" ref="D21" ca="1">IF(OR('Raw Data'!D21="",LEN(TRIM('Raw Data'!D21))=0,Validate_Empty!D21&lt;&gt;"",Validate_Value!D21&lt;&gt;""),"",IF('Raw Data'!D21 = SUMIFS(Condition1!J:J,Condition1!B:B,TRIM('Raw Data'!B21),Condition1!C:C,TRIM('Raw Data'!C21)),"",_xlfn.REGEXEXTRACT(CELL("address",D21), "\$([A-Z]+)\$[0-9]+")))</f>
        <v/>
      </c>
      <c r="E21" s="7" t="str" cm="1">
        <f t="array" aca="1" ref="E21" ca="1">IF(OR('Raw Data'!E21="",LEN(TRIM('Raw Data'!E21))=0,Validate_Empty!E21&lt;&gt;"",Validate_Value!E21&lt;&gt;""),"",IF('Raw Data'!E21 = SUMIFS(Condition2!K:K,Condition2!B:B,TRIM('Raw Data'!B21),Condition2!C:C,TRIM('Raw Data'!C21)),"",_xlfn.REGEXEXTRACT(CELL("address",E21), "\$([A-Z]+)\$[0-9]+")))</f>
        <v/>
      </c>
      <c r="F21" s="7"/>
      <c r="G21" s="7"/>
    </row>
    <row r="22" spans="2:7" x14ac:dyDescent="0.25">
      <c r="B22" s="7"/>
      <c r="C22" s="7"/>
      <c r="D22" s="7" t="str" cm="1">
        <f t="array" aca="1" ref="D22" ca="1">IF(OR('Raw Data'!D22="",LEN(TRIM('Raw Data'!D22))=0,Validate_Empty!D22&lt;&gt;"",Validate_Value!D22&lt;&gt;""),"",IF('Raw Data'!D22 = SUMIFS(Condition1!J:J,Condition1!B:B,TRIM('Raw Data'!B22),Condition1!C:C,TRIM('Raw Data'!C22)),"",_xlfn.REGEXEXTRACT(CELL("address",D22), "\$([A-Z]+)\$[0-9]+")))</f>
        <v/>
      </c>
      <c r="E22" s="7" t="str" cm="1">
        <f t="array" aca="1" ref="E22" ca="1">IF(OR('Raw Data'!E22="",LEN(TRIM('Raw Data'!E22))=0,Validate_Empty!E22&lt;&gt;"",Validate_Value!E22&lt;&gt;""),"",IF('Raw Data'!E22 = SUMIFS(Condition2!K:K,Condition2!B:B,TRIM('Raw Data'!B22),Condition2!C:C,TRIM('Raw Data'!C22)),"",_xlfn.REGEXEXTRACT(CELL("address",E22), "\$([A-Z]+)\$[0-9]+")))</f>
        <v/>
      </c>
      <c r="F22" s="7"/>
      <c r="G22" s="7"/>
    </row>
    <row r="23" spans="2:7" x14ac:dyDescent="0.25">
      <c r="B23" s="7"/>
      <c r="C23" s="7"/>
      <c r="D23" s="7" t="str" cm="1">
        <f t="array" aca="1" ref="D23" ca="1">IF(OR('Raw Data'!D23="",LEN(TRIM('Raw Data'!D23))=0,Validate_Empty!D23&lt;&gt;"",Validate_Value!D23&lt;&gt;""),"",IF('Raw Data'!D23 = SUMIFS(Condition1!J:J,Condition1!B:B,TRIM('Raw Data'!B23),Condition1!C:C,TRIM('Raw Data'!C23)),"",_xlfn.REGEXEXTRACT(CELL("address",D23), "\$([A-Z]+)\$[0-9]+")))</f>
        <v/>
      </c>
      <c r="E23" s="7" t="str" cm="1">
        <f t="array" aca="1" ref="E23" ca="1">IF(OR('Raw Data'!E23="",LEN(TRIM('Raw Data'!E23))=0,Validate_Empty!E23&lt;&gt;"",Validate_Value!E23&lt;&gt;""),"",IF('Raw Data'!E23 = SUMIFS(Condition2!K:K,Condition2!B:B,TRIM('Raw Data'!B23),Condition2!C:C,TRIM('Raw Data'!C23)),"",_xlfn.REGEXEXTRACT(CELL("address",E23), "\$([A-Z]+)\$[0-9]+")))</f>
        <v/>
      </c>
      <c r="F23" s="7"/>
      <c r="G23" s="7"/>
    </row>
    <row r="24" spans="2:7" x14ac:dyDescent="0.25">
      <c r="B24" s="7"/>
      <c r="C24" s="7"/>
      <c r="D24" s="7" t="str" cm="1">
        <f t="array" aca="1" ref="D24" ca="1">IF(OR('Raw Data'!D24="",LEN(TRIM('Raw Data'!D24))=0,Validate_Empty!D24&lt;&gt;"",Validate_Value!D24&lt;&gt;""),"",IF('Raw Data'!D24 = SUMIFS(Condition1!J:J,Condition1!B:B,TRIM('Raw Data'!B24),Condition1!C:C,TRIM('Raw Data'!C24)),"",_xlfn.REGEXEXTRACT(CELL("address",D24), "\$([A-Z]+)\$[0-9]+")))</f>
        <v/>
      </c>
      <c r="E24" s="7" t="str" cm="1">
        <f t="array" aca="1" ref="E24" ca="1">IF(OR('Raw Data'!E24="",LEN(TRIM('Raw Data'!E24))=0,Validate_Empty!E24&lt;&gt;"",Validate_Value!E24&lt;&gt;""),"",IF('Raw Data'!E24 = SUMIFS(Condition2!K:K,Condition2!B:B,TRIM('Raw Data'!B24),Condition2!C:C,TRIM('Raw Data'!C24)),"",_xlfn.REGEXEXTRACT(CELL("address",E24), "\$([A-Z]+)\$[0-9]+")))</f>
        <v/>
      </c>
      <c r="F24" s="7"/>
      <c r="G24" s="7"/>
    </row>
    <row r="25" spans="2:7" x14ac:dyDescent="0.25">
      <c r="B25" s="7"/>
      <c r="C25" s="7"/>
      <c r="D25" s="7" t="str" cm="1">
        <f t="array" aca="1" ref="D25" ca="1">IF(OR('Raw Data'!D25="",LEN(TRIM('Raw Data'!D25))=0,Validate_Empty!D25&lt;&gt;"",Validate_Value!D25&lt;&gt;""),"",IF('Raw Data'!D25 = SUMIFS(Condition1!J:J,Condition1!B:B,TRIM('Raw Data'!B25),Condition1!C:C,TRIM('Raw Data'!C25)),"",_xlfn.REGEXEXTRACT(CELL("address",D25), "\$([A-Z]+)\$[0-9]+")))</f>
        <v/>
      </c>
      <c r="E25" s="7" t="str" cm="1">
        <f t="array" aca="1" ref="E25" ca="1">IF(OR('Raw Data'!E25="",LEN(TRIM('Raw Data'!E25))=0,Validate_Empty!E25&lt;&gt;"",Validate_Value!E25&lt;&gt;""),"",IF('Raw Data'!E25 = SUMIFS(Condition2!K:K,Condition2!B:B,TRIM('Raw Data'!B25),Condition2!C:C,TRIM('Raw Data'!C25)),"",_xlfn.REGEXEXTRACT(CELL("address",E25), "\$([A-Z]+)\$[0-9]+")))</f>
        <v/>
      </c>
      <c r="F25" s="7"/>
      <c r="G25" s="7"/>
    </row>
    <row r="26" spans="2:7" x14ac:dyDescent="0.25">
      <c r="B26" s="7"/>
      <c r="C26" s="7"/>
      <c r="D26" s="7" t="str" cm="1">
        <f t="array" aca="1" ref="D26" ca="1">IF(OR('Raw Data'!D26="",LEN(TRIM('Raw Data'!D26))=0,Validate_Empty!D26&lt;&gt;"",Validate_Value!D26&lt;&gt;""),"",IF('Raw Data'!D26 = SUMIFS(Condition1!J:J,Condition1!B:B,TRIM('Raw Data'!B26),Condition1!C:C,TRIM('Raw Data'!C26)),"",_xlfn.REGEXEXTRACT(CELL("address",D26), "\$([A-Z]+)\$[0-9]+")))</f>
        <v/>
      </c>
      <c r="E26" s="7" t="str" cm="1">
        <f t="array" aca="1" ref="E26" ca="1">IF(OR('Raw Data'!E26="",LEN(TRIM('Raw Data'!E26))=0,Validate_Empty!E26&lt;&gt;"",Validate_Value!E26&lt;&gt;""),"",IF('Raw Data'!E26 = SUMIFS(Condition2!K:K,Condition2!B:B,TRIM('Raw Data'!B26),Condition2!C:C,TRIM('Raw Data'!C26)),"",_xlfn.REGEXEXTRACT(CELL("address",E26), "\$([A-Z]+)\$[0-9]+")))</f>
        <v/>
      </c>
      <c r="F26" s="7"/>
      <c r="G26" s="7"/>
    </row>
    <row r="27" spans="2:7" x14ac:dyDescent="0.25">
      <c r="B27" s="7"/>
      <c r="C27" s="7"/>
      <c r="D27" s="7" t="str" cm="1">
        <f t="array" aca="1" ref="D27" ca="1">IF(OR('Raw Data'!D27="",LEN(TRIM('Raw Data'!D27))=0,Validate_Empty!D27&lt;&gt;"",Validate_Value!D27&lt;&gt;""),"",IF('Raw Data'!D27 = SUMIFS(Condition1!J:J,Condition1!B:B,TRIM('Raw Data'!B27),Condition1!C:C,TRIM('Raw Data'!C27)),"",_xlfn.REGEXEXTRACT(CELL("address",D27), "\$([A-Z]+)\$[0-9]+")))</f>
        <v/>
      </c>
      <c r="E27" s="7" t="str" cm="1">
        <f t="array" aca="1" ref="E27" ca="1">IF(OR('Raw Data'!E27="",LEN(TRIM('Raw Data'!E27))=0,Validate_Empty!E27&lt;&gt;"",Validate_Value!E27&lt;&gt;""),"",IF('Raw Data'!E27 = SUMIFS(Condition2!K:K,Condition2!B:B,TRIM('Raw Data'!B27),Condition2!C:C,TRIM('Raw Data'!C27)),"",_xlfn.REGEXEXTRACT(CELL("address",E27), "\$([A-Z]+)\$[0-9]+")))</f>
        <v/>
      </c>
      <c r="F27" s="7"/>
      <c r="G27" s="7"/>
    </row>
    <row r="28" spans="2:7" x14ac:dyDescent="0.25">
      <c r="B28" s="7"/>
      <c r="C28" s="7"/>
      <c r="D28" s="7" t="str" cm="1">
        <f t="array" aca="1" ref="D28" ca="1">IF(OR('Raw Data'!D28="",LEN(TRIM('Raw Data'!D28))=0,Validate_Empty!D28&lt;&gt;"",Validate_Value!D28&lt;&gt;""),"",IF('Raw Data'!D28 = SUMIFS(Condition1!J:J,Condition1!B:B,TRIM('Raw Data'!B28),Condition1!C:C,TRIM('Raw Data'!C28)),"",_xlfn.REGEXEXTRACT(CELL("address",D28), "\$([A-Z]+)\$[0-9]+")))</f>
        <v/>
      </c>
      <c r="E28" s="7" t="str" cm="1">
        <f t="array" aca="1" ref="E28" ca="1">IF(OR('Raw Data'!E28="",LEN(TRIM('Raw Data'!E28))=0,Validate_Empty!E28&lt;&gt;"",Validate_Value!E28&lt;&gt;""),"",IF('Raw Data'!E28 = SUMIFS(Condition2!K:K,Condition2!B:B,TRIM('Raw Data'!B28),Condition2!C:C,TRIM('Raw Data'!C28)),"",_xlfn.REGEXEXTRACT(CELL("address",E28), "\$([A-Z]+)\$[0-9]+")))</f>
        <v/>
      </c>
      <c r="F28" s="7"/>
      <c r="G28" s="7"/>
    </row>
    <row r="29" spans="2:7" x14ac:dyDescent="0.25">
      <c r="B29" s="7"/>
      <c r="C29" s="7"/>
      <c r="D29" s="7" t="str" cm="1">
        <f t="array" aca="1" ref="D29" ca="1">IF(OR('Raw Data'!D29="",LEN(TRIM('Raw Data'!D29))=0,Validate_Empty!D29&lt;&gt;"",Validate_Value!D29&lt;&gt;""),"",IF('Raw Data'!D29 = SUMIFS(Condition1!J:J,Condition1!B:B,TRIM('Raw Data'!B29),Condition1!C:C,TRIM('Raw Data'!C29)),"",_xlfn.REGEXEXTRACT(CELL("address",D29), "\$([A-Z]+)\$[0-9]+")))</f>
        <v/>
      </c>
      <c r="E29" s="7" t="str" cm="1">
        <f t="array" aca="1" ref="E29" ca="1">IF(OR('Raw Data'!E29="",LEN(TRIM('Raw Data'!E29))=0,Validate_Empty!E29&lt;&gt;"",Validate_Value!E29&lt;&gt;""),"",IF('Raw Data'!E29 = SUMIFS(Condition2!K:K,Condition2!B:B,TRIM('Raw Data'!B29),Condition2!C:C,TRIM('Raw Data'!C29)),"",_xlfn.REGEXEXTRACT(CELL("address",E29), "\$([A-Z]+)\$[0-9]+")))</f>
        <v/>
      </c>
      <c r="F29" s="7"/>
      <c r="G29" s="7"/>
    </row>
    <row r="30" spans="2:7" x14ac:dyDescent="0.25">
      <c r="B30" s="7"/>
      <c r="C30" s="7"/>
      <c r="D30" s="7" t="str" cm="1">
        <f t="array" aca="1" ref="D30" ca="1">IF(OR('Raw Data'!D30="",LEN(TRIM('Raw Data'!D30))=0,Validate_Empty!D30&lt;&gt;"",Validate_Value!D30&lt;&gt;""),"",IF('Raw Data'!D30 = SUMIFS(Condition1!J:J,Condition1!B:B,TRIM('Raw Data'!B30),Condition1!C:C,TRIM('Raw Data'!C30)),"",_xlfn.REGEXEXTRACT(CELL("address",D30), "\$([A-Z]+)\$[0-9]+")))</f>
        <v/>
      </c>
      <c r="E30" s="7" t="str" cm="1">
        <f t="array" aca="1" ref="E30" ca="1">IF(OR('Raw Data'!E30="",LEN(TRIM('Raw Data'!E30))=0,Validate_Empty!E30&lt;&gt;"",Validate_Value!E30&lt;&gt;""),"",IF('Raw Data'!E30 = SUMIFS(Condition2!K:K,Condition2!B:B,TRIM('Raw Data'!B30),Condition2!C:C,TRIM('Raw Data'!C30)),"",_xlfn.REGEXEXTRACT(CELL("address",E30), "\$([A-Z]+)\$[0-9]+")))</f>
        <v/>
      </c>
      <c r="F30" s="7"/>
      <c r="G30" s="7"/>
    </row>
    <row r="31" spans="2:7" x14ac:dyDescent="0.25">
      <c r="B31" s="7"/>
      <c r="C31" s="7"/>
      <c r="D31" s="7" t="str" cm="1">
        <f t="array" aca="1" ref="D31" ca="1">IF(OR('Raw Data'!D31="",LEN(TRIM('Raw Data'!D31))=0,Validate_Empty!D31&lt;&gt;"",Validate_Value!D31&lt;&gt;""),"",IF('Raw Data'!D31 = SUMIFS(Condition1!J:J,Condition1!B:B,TRIM('Raw Data'!B31),Condition1!C:C,TRIM('Raw Data'!C31)),"",_xlfn.REGEXEXTRACT(CELL("address",D31), "\$([A-Z]+)\$[0-9]+")))</f>
        <v/>
      </c>
      <c r="E31" s="7" t="str" cm="1">
        <f t="array" aca="1" ref="E31" ca="1">IF(OR('Raw Data'!E31="",LEN(TRIM('Raw Data'!E31))=0,Validate_Empty!E31&lt;&gt;"",Validate_Value!E31&lt;&gt;""),"",IF('Raw Data'!E31 = SUMIFS(Condition2!K:K,Condition2!B:B,TRIM('Raw Data'!B31),Condition2!C:C,TRIM('Raw Data'!C31)),"",_xlfn.REGEXEXTRACT(CELL("address",E31), "\$([A-Z]+)\$[0-9]+")))</f>
        <v/>
      </c>
      <c r="F31" s="7"/>
      <c r="G31" s="7"/>
    </row>
    <row r="32" spans="2:7" x14ac:dyDescent="0.25">
      <c r="B32" s="7"/>
      <c r="C32" s="7"/>
      <c r="D32" s="7" t="str" cm="1">
        <f t="array" aca="1" ref="D32" ca="1">IF(OR('Raw Data'!D32="",LEN(TRIM('Raw Data'!D32))=0,Validate_Empty!D32&lt;&gt;"",Validate_Value!D32&lt;&gt;""),"",IF('Raw Data'!D32 = SUMIFS(Condition1!J:J,Condition1!B:B,TRIM('Raw Data'!B32),Condition1!C:C,TRIM('Raw Data'!C32)),"",_xlfn.REGEXEXTRACT(CELL("address",D32), "\$([A-Z]+)\$[0-9]+")))</f>
        <v/>
      </c>
      <c r="E32" s="7" t="str" cm="1">
        <f t="array" aca="1" ref="E32" ca="1">IF(OR('Raw Data'!E32="",LEN(TRIM('Raw Data'!E32))=0,Validate_Empty!E32&lt;&gt;"",Validate_Value!E32&lt;&gt;""),"",IF('Raw Data'!E32 = SUMIFS(Condition2!K:K,Condition2!B:B,TRIM('Raw Data'!B32),Condition2!C:C,TRIM('Raw Data'!C32)),"",_xlfn.REGEXEXTRACT(CELL("address",E32), "\$([A-Z]+)\$[0-9]+")))</f>
        <v/>
      </c>
      <c r="F32" s="7"/>
      <c r="G32" s="7"/>
    </row>
    <row r="33" spans="2:7" x14ac:dyDescent="0.25">
      <c r="B33" s="7"/>
      <c r="C33" s="7"/>
      <c r="D33" s="7" t="str" cm="1">
        <f t="array" aca="1" ref="D33" ca="1">IF(OR('Raw Data'!D33="",LEN(TRIM('Raw Data'!D33))=0,Validate_Empty!D33&lt;&gt;"",Validate_Value!D33&lt;&gt;""),"",IF('Raw Data'!D33 = SUMIFS(Condition1!J:J,Condition1!B:B,TRIM('Raw Data'!B33),Condition1!C:C,TRIM('Raw Data'!C33)),"",_xlfn.REGEXEXTRACT(CELL("address",D33), "\$([A-Z]+)\$[0-9]+")))</f>
        <v/>
      </c>
      <c r="E33" s="7" t="str" cm="1">
        <f t="array" aca="1" ref="E33" ca="1">IF(OR('Raw Data'!E33="",LEN(TRIM('Raw Data'!E33))=0,Validate_Empty!E33&lt;&gt;"",Validate_Value!E33&lt;&gt;""),"",IF('Raw Data'!E33 = SUMIFS(Condition2!K:K,Condition2!B:B,TRIM('Raw Data'!B33),Condition2!C:C,TRIM('Raw Data'!C33)),"",_xlfn.REGEXEXTRACT(CELL("address",E33), "\$([A-Z]+)\$[0-9]+")))</f>
        <v/>
      </c>
      <c r="F33" s="7"/>
      <c r="G33" s="7"/>
    </row>
    <row r="34" spans="2:7" x14ac:dyDescent="0.25">
      <c r="B34" s="7"/>
      <c r="C34" s="7"/>
      <c r="D34" s="7" t="str" cm="1">
        <f t="array" aca="1" ref="D34" ca="1">IF(OR('Raw Data'!D34="",LEN(TRIM('Raw Data'!D34))=0,Validate_Empty!D34&lt;&gt;"",Validate_Value!D34&lt;&gt;""),"",IF('Raw Data'!D34 = SUMIFS(Condition1!J:J,Condition1!B:B,TRIM('Raw Data'!B34),Condition1!C:C,TRIM('Raw Data'!C34)),"",_xlfn.REGEXEXTRACT(CELL("address",D34), "\$([A-Z]+)\$[0-9]+")))</f>
        <v/>
      </c>
      <c r="E34" s="7" t="str" cm="1">
        <f t="array" aca="1" ref="E34" ca="1">IF(OR('Raw Data'!E34="",LEN(TRIM('Raw Data'!E34))=0,Validate_Empty!E34&lt;&gt;"",Validate_Value!E34&lt;&gt;""),"",IF('Raw Data'!E34 = SUMIFS(Condition2!K:K,Condition2!B:B,TRIM('Raw Data'!B34),Condition2!C:C,TRIM('Raw Data'!C34)),"",_xlfn.REGEXEXTRACT(CELL("address",E34), "\$([A-Z]+)\$[0-9]+")))</f>
        <v/>
      </c>
      <c r="F34" s="7"/>
      <c r="G34" s="7"/>
    </row>
    <row r="35" spans="2:7" x14ac:dyDescent="0.25">
      <c r="B35" s="7"/>
      <c r="C35" s="7"/>
      <c r="D35" s="7" t="str" cm="1">
        <f t="array" aca="1" ref="D35" ca="1">IF(OR('Raw Data'!D35="",LEN(TRIM('Raw Data'!D35))=0,Validate_Empty!D35&lt;&gt;"",Validate_Value!D35&lt;&gt;""),"",IF('Raw Data'!D35 = SUMIFS(Condition1!J:J,Condition1!B:B,TRIM('Raw Data'!B35),Condition1!C:C,TRIM('Raw Data'!C35)),"",_xlfn.REGEXEXTRACT(CELL("address",D35), "\$([A-Z]+)\$[0-9]+")))</f>
        <v/>
      </c>
      <c r="E35" s="7" t="str" cm="1">
        <f t="array" aca="1" ref="E35" ca="1">IF(OR('Raw Data'!E35="",LEN(TRIM('Raw Data'!E35))=0,Validate_Empty!E35&lt;&gt;"",Validate_Value!E35&lt;&gt;""),"",IF('Raw Data'!E35 = SUMIFS(Condition2!K:K,Condition2!B:B,TRIM('Raw Data'!B35),Condition2!C:C,TRIM('Raw Data'!C35)),"",_xlfn.REGEXEXTRACT(CELL("address",E35), "\$([A-Z]+)\$[0-9]+")))</f>
        <v/>
      </c>
      <c r="F35" s="7"/>
      <c r="G35" s="7"/>
    </row>
    <row r="36" spans="2:7" x14ac:dyDescent="0.25">
      <c r="B36" s="7"/>
      <c r="C36" s="7"/>
      <c r="D36" s="7" t="str" cm="1">
        <f t="array" aca="1" ref="D36" ca="1">IF(OR('Raw Data'!D36="",LEN(TRIM('Raw Data'!D36))=0,Validate_Empty!D36&lt;&gt;"",Validate_Value!D36&lt;&gt;""),"",IF('Raw Data'!D36 = SUMIFS(Condition1!J:J,Condition1!B:B,TRIM('Raw Data'!B36),Condition1!C:C,TRIM('Raw Data'!C36)),"",_xlfn.REGEXEXTRACT(CELL("address",D36), "\$([A-Z]+)\$[0-9]+")))</f>
        <v/>
      </c>
      <c r="E36" s="7" t="str" cm="1">
        <f t="array" aca="1" ref="E36" ca="1">IF(OR('Raw Data'!E36="",LEN(TRIM('Raw Data'!E36))=0,Validate_Empty!E36&lt;&gt;"",Validate_Value!E36&lt;&gt;""),"",IF('Raw Data'!E36 = SUMIFS(Condition2!K:K,Condition2!B:B,TRIM('Raw Data'!B36),Condition2!C:C,TRIM('Raw Data'!C36)),"",_xlfn.REGEXEXTRACT(CELL("address",E36), "\$([A-Z]+)\$[0-9]+")))</f>
        <v/>
      </c>
      <c r="F36" s="7"/>
      <c r="G36" s="7"/>
    </row>
    <row r="37" spans="2:7" x14ac:dyDescent="0.25">
      <c r="B37" s="7"/>
      <c r="C37" s="7"/>
      <c r="D37" s="7" t="str" cm="1">
        <f t="array" aca="1" ref="D37" ca="1">IF(OR('Raw Data'!D37="",LEN(TRIM('Raw Data'!D37))=0,Validate_Empty!D37&lt;&gt;"",Validate_Value!D37&lt;&gt;""),"",IF('Raw Data'!D37 = SUMIFS(Condition1!J:J,Condition1!B:B,TRIM('Raw Data'!B37),Condition1!C:C,TRIM('Raw Data'!C37)),"",_xlfn.REGEXEXTRACT(CELL("address",D37), "\$([A-Z]+)\$[0-9]+")))</f>
        <v/>
      </c>
      <c r="E37" s="7" t="str" cm="1">
        <f t="array" aca="1" ref="E37" ca="1">IF(OR('Raw Data'!E37="",LEN(TRIM('Raw Data'!E37))=0,Validate_Empty!E37&lt;&gt;"",Validate_Value!E37&lt;&gt;""),"",IF('Raw Data'!E37 = SUMIFS(Condition2!K:K,Condition2!B:B,TRIM('Raw Data'!B37),Condition2!C:C,TRIM('Raw Data'!C37)),"",_xlfn.REGEXEXTRACT(CELL("address",E37), "\$([A-Z]+)\$[0-9]+")))</f>
        <v/>
      </c>
      <c r="F37" s="7"/>
      <c r="G37" s="7"/>
    </row>
    <row r="38" spans="2:7" x14ac:dyDescent="0.25">
      <c r="B38" s="7"/>
      <c r="C38" s="7"/>
      <c r="D38" s="7" t="str" cm="1">
        <f t="array" aca="1" ref="D38" ca="1">IF(OR('Raw Data'!D38="",LEN(TRIM('Raw Data'!D38))=0,Validate_Empty!D38&lt;&gt;"",Validate_Value!D38&lt;&gt;""),"",IF('Raw Data'!D38 = SUMIFS(Condition1!J:J,Condition1!B:B,TRIM('Raw Data'!B38),Condition1!C:C,TRIM('Raw Data'!C38)),"",_xlfn.REGEXEXTRACT(CELL("address",D38), "\$([A-Z]+)\$[0-9]+")))</f>
        <v/>
      </c>
      <c r="E38" s="7" t="str" cm="1">
        <f t="array" aca="1" ref="E38" ca="1">IF(OR('Raw Data'!E38="",LEN(TRIM('Raw Data'!E38))=0,Validate_Empty!E38&lt;&gt;"",Validate_Value!E38&lt;&gt;""),"",IF('Raw Data'!E38 = SUMIFS(Condition2!K:K,Condition2!B:B,TRIM('Raw Data'!B38),Condition2!C:C,TRIM('Raw Data'!C38)),"",_xlfn.REGEXEXTRACT(CELL("address",E38), "\$([A-Z]+)\$[0-9]+")))</f>
        <v/>
      </c>
      <c r="F38" s="7"/>
      <c r="G38" s="7"/>
    </row>
    <row r="39" spans="2:7" x14ac:dyDescent="0.25">
      <c r="B39" s="7"/>
      <c r="C39" s="7"/>
      <c r="D39" s="7" t="str" cm="1">
        <f t="array" aca="1" ref="D39" ca="1">IF(OR('Raw Data'!D39="",LEN(TRIM('Raw Data'!D39))=0,Validate_Empty!D39&lt;&gt;"",Validate_Value!D39&lt;&gt;""),"",IF('Raw Data'!D39 = SUMIFS(Condition1!J:J,Condition1!B:B,TRIM('Raw Data'!B39),Condition1!C:C,TRIM('Raw Data'!C39)),"",_xlfn.REGEXEXTRACT(CELL("address",D39), "\$([A-Z]+)\$[0-9]+")))</f>
        <v/>
      </c>
      <c r="E39" s="7" t="str" cm="1">
        <f t="array" aca="1" ref="E39" ca="1">IF(OR('Raw Data'!E39="",LEN(TRIM('Raw Data'!E39))=0,Validate_Empty!E39&lt;&gt;"",Validate_Value!E39&lt;&gt;""),"",IF('Raw Data'!E39 = SUMIFS(Condition2!K:K,Condition2!B:B,TRIM('Raw Data'!B39),Condition2!C:C,TRIM('Raw Data'!C39)),"",_xlfn.REGEXEXTRACT(CELL("address",E39), "\$([A-Z]+)\$[0-9]+")))</f>
        <v/>
      </c>
      <c r="F39" s="7"/>
      <c r="G39" s="7"/>
    </row>
    <row r="40" spans="2:7" x14ac:dyDescent="0.25">
      <c r="B40" s="7"/>
      <c r="C40" s="7"/>
      <c r="D40" s="7" t="str" cm="1">
        <f t="array" aca="1" ref="D40" ca="1">IF(OR('Raw Data'!D40="",LEN(TRIM('Raw Data'!D40))=0,Validate_Empty!D40&lt;&gt;"",Validate_Value!D40&lt;&gt;""),"",IF('Raw Data'!D40 = SUMIFS(Condition1!J:J,Condition1!B:B,TRIM('Raw Data'!B40),Condition1!C:C,TRIM('Raw Data'!C40)),"",_xlfn.REGEXEXTRACT(CELL("address",D40), "\$([A-Z]+)\$[0-9]+")))</f>
        <v/>
      </c>
      <c r="E40" s="7" t="str" cm="1">
        <f t="array" aca="1" ref="E40" ca="1">IF(OR('Raw Data'!E40="",LEN(TRIM('Raw Data'!E40))=0,Validate_Empty!E40&lt;&gt;"",Validate_Value!E40&lt;&gt;""),"",IF('Raw Data'!E40 = SUMIFS(Condition2!K:K,Condition2!B:B,TRIM('Raw Data'!B40),Condition2!C:C,TRIM('Raw Data'!C40)),"",_xlfn.REGEXEXTRACT(CELL("address",E40), "\$([A-Z]+)\$[0-9]+")))</f>
        <v/>
      </c>
      <c r="F40" s="7"/>
      <c r="G40" s="7"/>
    </row>
    <row r="41" spans="2:7" x14ac:dyDescent="0.25">
      <c r="B41" s="7"/>
      <c r="C41" s="7"/>
      <c r="D41" s="7" t="str" cm="1">
        <f t="array" aca="1" ref="D41" ca="1">IF(OR('Raw Data'!D41="",LEN(TRIM('Raw Data'!D41))=0,Validate_Empty!D41&lt;&gt;"",Validate_Value!D41&lt;&gt;""),"",IF('Raw Data'!D41 = SUMIFS(Condition1!J:J,Condition1!B:B,TRIM('Raw Data'!B41),Condition1!C:C,TRIM('Raw Data'!C41)),"",_xlfn.REGEXEXTRACT(CELL("address",D41), "\$([A-Z]+)\$[0-9]+")))</f>
        <v/>
      </c>
      <c r="E41" s="7" t="str" cm="1">
        <f t="array" aca="1" ref="E41" ca="1">IF(OR('Raw Data'!E41="",LEN(TRIM('Raw Data'!E41))=0,Validate_Empty!E41&lt;&gt;"",Validate_Value!E41&lt;&gt;""),"",IF('Raw Data'!E41 = SUMIFS(Condition2!K:K,Condition2!B:B,TRIM('Raw Data'!B41),Condition2!C:C,TRIM('Raw Data'!C41)),"",_xlfn.REGEXEXTRACT(CELL("address",E41), "\$([A-Z]+)\$[0-9]+")))</f>
        <v/>
      </c>
      <c r="F41" s="7"/>
      <c r="G41" s="7"/>
    </row>
    <row r="42" spans="2:7" x14ac:dyDescent="0.25">
      <c r="B42" s="7"/>
      <c r="C42" s="7"/>
      <c r="D42" s="7" t="str" cm="1">
        <f t="array" aca="1" ref="D42" ca="1">IF(OR('Raw Data'!D42="",LEN(TRIM('Raw Data'!D42))=0,Validate_Empty!D42&lt;&gt;"",Validate_Value!D42&lt;&gt;""),"",IF('Raw Data'!D42 = SUMIFS(Condition1!J:J,Condition1!B:B,TRIM('Raw Data'!B42),Condition1!C:C,TRIM('Raw Data'!C42)),"",_xlfn.REGEXEXTRACT(CELL("address",D42), "\$([A-Z]+)\$[0-9]+")))</f>
        <v/>
      </c>
      <c r="E42" s="7" t="str" cm="1">
        <f t="array" aca="1" ref="E42" ca="1">IF(OR('Raw Data'!E42="",LEN(TRIM('Raw Data'!E42))=0,Validate_Empty!E42&lt;&gt;"",Validate_Value!E42&lt;&gt;""),"",IF('Raw Data'!E42 = SUMIFS(Condition2!K:K,Condition2!B:B,TRIM('Raw Data'!B42),Condition2!C:C,TRIM('Raw Data'!C42)),"",_xlfn.REGEXEXTRACT(CELL("address",E42), "\$([A-Z]+)\$[0-9]+")))</f>
        <v/>
      </c>
      <c r="F42" s="7"/>
      <c r="G42" s="7"/>
    </row>
    <row r="43" spans="2:7" x14ac:dyDescent="0.25">
      <c r="B43" s="7"/>
      <c r="C43" s="7"/>
      <c r="D43" s="7" t="str" cm="1">
        <f t="array" aca="1" ref="D43" ca="1">IF(OR('Raw Data'!D43="",LEN(TRIM('Raw Data'!D43))=0,Validate_Empty!D43&lt;&gt;"",Validate_Value!D43&lt;&gt;""),"",IF('Raw Data'!D43 = SUMIFS(Condition1!J:J,Condition1!B:B,TRIM('Raw Data'!B43),Condition1!C:C,TRIM('Raw Data'!C43)),"",_xlfn.REGEXEXTRACT(CELL("address",D43), "\$([A-Z]+)\$[0-9]+")))</f>
        <v/>
      </c>
      <c r="E43" s="7" t="str" cm="1">
        <f t="array" aca="1" ref="E43" ca="1">IF(OR('Raw Data'!E43="",LEN(TRIM('Raw Data'!E43))=0,Validate_Empty!E43&lt;&gt;"",Validate_Value!E43&lt;&gt;""),"",IF('Raw Data'!E43 = SUMIFS(Condition2!K:K,Condition2!B:B,TRIM('Raw Data'!B43),Condition2!C:C,TRIM('Raw Data'!C43)),"",_xlfn.REGEXEXTRACT(CELL("address",E43), "\$([A-Z]+)\$[0-9]+")))</f>
        <v/>
      </c>
      <c r="F43" s="7"/>
      <c r="G43" s="7"/>
    </row>
    <row r="44" spans="2:7" x14ac:dyDescent="0.25">
      <c r="B44" s="7"/>
      <c r="C44" s="7"/>
      <c r="D44" s="7" t="str" cm="1">
        <f t="array" aca="1" ref="D44" ca="1">IF(OR('Raw Data'!D44="",LEN(TRIM('Raw Data'!D44))=0,Validate_Empty!D44&lt;&gt;"",Validate_Value!D44&lt;&gt;""),"",IF('Raw Data'!D44 = SUMIFS(Condition1!J:J,Condition1!B:B,TRIM('Raw Data'!B44),Condition1!C:C,TRIM('Raw Data'!C44)),"",_xlfn.REGEXEXTRACT(CELL("address",D44), "\$([A-Z]+)\$[0-9]+")))</f>
        <v/>
      </c>
      <c r="E44" s="7" t="str" cm="1">
        <f t="array" aca="1" ref="E44" ca="1">IF(OR('Raw Data'!E44="",LEN(TRIM('Raw Data'!E44))=0,Validate_Empty!E44&lt;&gt;"",Validate_Value!E44&lt;&gt;""),"",IF('Raw Data'!E44 = SUMIFS(Condition2!K:K,Condition2!B:B,TRIM('Raw Data'!B44),Condition2!C:C,TRIM('Raw Data'!C44)),"",_xlfn.REGEXEXTRACT(CELL("address",E44), "\$([A-Z]+)\$[0-9]+")))</f>
        <v/>
      </c>
      <c r="F44" s="7"/>
      <c r="G44" s="7"/>
    </row>
    <row r="45" spans="2:7" x14ac:dyDescent="0.25">
      <c r="B45" s="7"/>
      <c r="C45" s="7"/>
      <c r="D45" s="7" t="str" cm="1">
        <f t="array" aca="1" ref="D45" ca="1">IF(OR('Raw Data'!D45="",LEN(TRIM('Raw Data'!D45))=0,Validate_Empty!D45&lt;&gt;"",Validate_Value!D45&lt;&gt;""),"",IF('Raw Data'!D45 = SUMIFS(Condition1!J:J,Condition1!B:B,TRIM('Raw Data'!B45),Condition1!C:C,TRIM('Raw Data'!C45)),"",_xlfn.REGEXEXTRACT(CELL("address",D45), "\$([A-Z]+)\$[0-9]+")))</f>
        <v/>
      </c>
      <c r="E45" s="7" t="str" cm="1">
        <f t="array" aca="1" ref="E45" ca="1">IF(OR('Raw Data'!E45="",LEN(TRIM('Raw Data'!E45))=0,Validate_Empty!E45&lt;&gt;"",Validate_Value!E45&lt;&gt;""),"",IF('Raw Data'!E45 = SUMIFS(Condition2!K:K,Condition2!B:B,TRIM('Raw Data'!B45),Condition2!C:C,TRIM('Raw Data'!C45)),"",_xlfn.REGEXEXTRACT(CELL("address",E45), "\$([A-Z]+)\$[0-9]+")))</f>
        <v/>
      </c>
      <c r="F45" s="7"/>
      <c r="G45" s="7"/>
    </row>
    <row r="46" spans="2:7" x14ac:dyDescent="0.25">
      <c r="B46" s="7"/>
      <c r="C46" s="7"/>
      <c r="D46" s="7" t="str" cm="1">
        <f t="array" aca="1" ref="D46" ca="1">IF(OR('Raw Data'!D46="",LEN(TRIM('Raw Data'!D46))=0,Validate_Empty!D46&lt;&gt;"",Validate_Value!D46&lt;&gt;""),"",IF('Raw Data'!D46 = SUMIFS(Condition1!J:J,Condition1!B:B,TRIM('Raw Data'!B46),Condition1!C:C,TRIM('Raw Data'!C46)),"",_xlfn.REGEXEXTRACT(CELL("address",D46), "\$([A-Z]+)\$[0-9]+")))</f>
        <v/>
      </c>
      <c r="E46" s="7" t="str" cm="1">
        <f t="array" aca="1" ref="E46" ca="1">IF(OR('Raw Data'!E46="",LEN(TRIM('Raw Data'!E46))=0,Validate_Empty!E46&lt;&gt;"",Validate_Value!E46&lt;&gt;""),"",IF('Raw Data'!E46 = SUMIFS(Condition2!K:K,Condition2!B:B,TRIM('Raw Data'!B46),Condition2!C:C,TRIM('Raw Data'!C46)),"",_xlfn.REGEXEXTRACT(CELL("address",E46), "\$([A-Z]+)\$[0-9]+")))</f>
        <v/>
      </c>
      <c r="F46" s="7"/>
      <c r="G46" s="7"/>
    </row>
    <row r="47" spans="2:7" x14ac:dyDescent="0.25">
      <c r="B47" s="7"/>
      <c r="C47" s="7"/>
      <c r="D47" s="7" t="str" cm="1">
        <f t="array" aca="1" ref="D47" ca="1">IF(OR('Raw Data'!D47="",LEN(TRIM('Raw Data'!D47))=0,Validate_Empty!D47&lt;&gt;"",Validate_Value!D47&lt;&gt;""),"",IF('Raw Data'!D47 = SUMIFS(Condition1!J:J,Condition1!B:B,TRIM('Raw Data'!B47),Condition1!C:C,TRIM('Raw Data'!C47)),"",_xlfn.REGEXEXTRACT(CELL("address",D47), "\$([A-Z]+)\$[0-9]+")))</f>
        <v/>
      </c>
      <c r="E47" s="7" t="str" cm="1">
        <f t="array" aca="1" ref="E47" ca="1">IF(OR('Raw Data'!E47="",LEN(TRIM('Raw Data'!E47))=0,Validate_Empty!E47&lt;&gt;"",Validate_Value!E47&lt;&gt;""),"",IF('Raw Data'!E47 = SUMIFS(Condition2!K:K,Condition2!B:B,TRIM('Raw Data'!B47),Condition2!C:C,TRIM('Raw Data'!C47)),"",_xlfn.REGEXEXTRACT(CELL("address",E47), "\$([A-Z]+)\$[0-9]+")))</f>
        <v/>
      </c>
      <c r="F47" s="7"/>
      <c r="G47" s="7"/>
    </row>
    <row r="48" spans="2:7" x14ac:dyDescent="0.25">
      <c r="B48" s="7"/>
      <c r="C48" s="7"/>
      <c r="D48" s="7" t="str" cm="1">
        <f t="array" aca="1" ref="D48" ca="1">IF(OR('Raw Data'!D48="",LEN(TRIM('Raw Data'!D48))=0,Validate_Empty!D48&lt;&gt;"",Validate_Value!D48&lt;&gt;""),"",IF('Raw Data'!D48 = SUMIFS(Condition1!J:J,Condition1!B:B,TRIM('Raw Data'!B48),Condition1!C:C,TRIM('Raw Data'!C48)),"",_xlfn.REGEXEXTRACT(CELL("address",D48), "\$([A-Z]+)\$[0-9]+")))</f>
        <v/>
      </c>
      <c r="E48" s="7" t="str" cm="1">
        <f t="array" aca="1" ref="E48" ca="1">IF(OR('Raw Data'!E48="",LEN(TRIM('Raw Data'!E48))=0,Validate_Empty!E48&lt;&gt;"",Validate_Value!E48&lt;&gt;""),"",IF('Raw Data'!E48 = SUMIFS(Condition2!K:K,Condition2!B:B,TRIM('Raw Data'!B48),Condition2!C:C,TRIM('Raw Data'!C48)),"",_xlfn.REGEXEXTRACT(CELL("address",E48), "\$([A-Z]+)\$[0-9]+")))</f>
        <v/>
      </c>
      <c r="F48" s="7"/>
      <c r="G48" s="7"/>
    </row>
    <row r="49" spans="2:7" x14ac:dyDescent="0.25">
      <c r="B49" s="7"/>
      <c r="C49" s="7"/>
      <c r="D49" s="7" t="str" cm="1">
        <f t="array" aca="1" ref="D49" ca="1">IF(OR('Raw Data'!D49="",LEN(TRIM('Raw Data'!D49))=0,Validate_Empty!D49&lt;&gt;"",Validate_Value!D49&lt;&gt;""),"",IF('Raw Data'!D49 = SUMIFS(Condition1!J:J,Condition1!B:B,TRIM('Raw Data'!B49),Condition1!C:C,TRIM('Raw Data'!C49)),"",_xlfn.REGEXEXTRACT(CELL("address",D49), "\$([A-Z]+)\$[0-9]+")))</f>
        <v/>
      </c>
      <c r="E49" s="7" t="str" cm="1">
        <f t="array" aca="1" ref="E49" ca="1">IF(OR('Raw Data'!E49="",LEN(TRIM('Raw Data'!E49))=0,Validate_Empty!E49&lt;&gt;"",Validate_Value!E49&lt;&gt;""),"",IF('Raw Data'!E49 = SUMIFS(Condition2!K:K,Condition2!B:B,TRIM('Raw Data'!B49),Condition2!C:C,TRIM('Raw Data'!C49)),"",_xlfn.REGEXEXTRACT(CELL("address",E49), "\$([A-Z]+)\$[0-9]+")))</f>
        <v/>
      </c>
      <c r="F49" s="7"/>
      <c r="G49" s="7"/>
    </row>
    <row r="50" spans="2:7" x14ac:dyDescent="0.25">
      <c r="B50" s="7"/>
      <c r="C50" s="7"/>
      <c r="D50" s="7" t="str" cm="1">
        <f t="array" aca="1" ref="D50" ca="1">IF(OR('Raw Data'!D50="",LEN(TRIM('Raw Data'!D50))=0,Validate_Empty!D50&lt;&gt;"",Validate_Value!D50&lt;&gt;""),"",IF('Raw Data'!D50 = SUMIFS(Condition1!J:J,Condition1!B:B,TRIM('Raw Data'!B50),Condition1!C:C,TRIM('Raw Data'!C50)),"",_xlfn.REGEXEXTRACT(CELL("address",D50), "\$([A-Z]+)\$[0-9]+")))</f>
        <v/>
      </c>
      <c r="E50" s="7" t="str" cm="1">
        <f t="array" aca="1" ref="E50" ca="1">IF(OR('Raw Data'!E50="",LEN(TRIM('Raw Data'!E50))=0,Validate_Empty!E50&lt;&gt;"",Validate_Value!E50&lt;&gt;""),"",IF('Raw Data'!E50 = SUMIFS(Condition2!K:K,Condition2!B:B,TRIM('Raw Data'!B50),Condition2!C:C,TRIM('Raw Data'!C50)),"",_xlfn.REGEXEXTRACT(CELL("address",E50), "\$([A-Z]+)\$[0-9]+")))</f>
        <v/>
      </c>
      <c r="F50" s="7"/>
      <c r="G50" s="7"/>
    </row>
    <row r="51" spans="2:7" x14ac:dyDescent="0.25">
      <c r="B51" s="7"/>
      <c r="C51" s="7"/>
      <c r="D51" s="7" t="str" cm="1">
        <f t="array" aca="1" ref="D51" ca="1">IF(OR('Raw Data'!D51="",LEN(TRIM('Raw Data'!D51))=0,Validate_Empty!D51&lt;&gt;"",Validate_Value!D51&lt;&gt;""),"",IF('Raw Data'!D51 = SUMIFS(Condition1!J:J,Condition1!B:B,TRIM('Raw Data'!B51),Condition1!C:C,TRIM('Raw Data'!C51)),"",_xlfn.REGEXEXTRACT(CELL("address",D51), "\$([A-Z]+)\$[0-9]+")))</f>
        <v/>
      </c>
      <c r="E51" s="7" t="str" cm="1">
        <f t="array" aca="1" ref="E51" ca="1">IF(OR('Raw Data'!E51="",LEN(TRIM('Raw Data'!E51))=0,Validate_Empty!E51&lt;&gt;"",Validate_Value!E51&lt;&gt;""),"",IF('Raw Data'!E51 = SUMIFS(Condition2!K:K,Condition2!B:B,TRIM('Raw Data'!B51),Condition2!C:C,TRIM('Raw Data'!C51)),"",_xlfn.REGEXEXTRACT(CELL("address",E51), "\$([A-Z]+)\$[0-9]+")))</f>
        <v/>
      </c>
      <c r="F51" s="7"/>
      <c r="G51" s="7"/>
    </row>
    <row r="52" spans="2:7" x14ac:dyDescent="0.25">
      <c r="B52" s="7"/>
      <c r="C52" s="7"/>
      <c r="D52" s="7" t="str" cm="1">
        <f t="array" aca="1" ref="D52" ca="1">IF(OR('Raw Data'!D52="",LEN(TRIM('Raw Data'!D52))=0,Validate_Empty!D52&lt;&gt;"",Validate_Value!D52&lt;&gt;""),"",IF('Raw Data'!D52 = SUMIFS(Condition1!J:J,Condition1!B:B,TRIM('Raw Data'!B52),Condition1!C:C,TRIM('Raw Data'!C52)),"",_xlfn.REGEXEXTRACT(CELL("address",D52), "\$([A-Z]+)\$[0-9]+")))</f>
        <v/>
      </c>
      <c r="E52" s="7" t="str" cm="1">
        <f t="array" aca="1" ref="E52" ca="1">IF(OR('Raw Data'!E52="",LEN(TRIM('Raw Data'!E52))=0,Validate_Empty!E52&lt;&gt;"",Validate_Value!E52&lt;&gt;""),"",IF('Raw Data'!E52 = SUMIFS(Condition2!K:K,Condition2!B:B,TRIM('Raw Data'!B52),Condition2!C:C,TRIM('Raw Data'!C52)),"",_xlfn.REGEXEXTRACT(CELL("address",E52), "\$([A-Z]+)\$[0-9]+")))</f>
        <v/>
      </c>
      <c r="F52" s="7"/>
      <c r="G52" s="7"/>
    </row>
    <row r="53" spans="2:7" x14ac:dyDescent="0.25">
      <c r="B53" s="7"/>
      <c r="C53" s="7"/>
      <c r="D53" s="7" t="str" cm="1">
        <f t="array" aca="1" ref="D53" ca="1">IF(OR('Raw Data'!D53="",LEN(TRIM('Raw Data'!D53))=0,Validate_Empty!D53&lt;&gt;"",Validate_Value!D53&lt;&gt;""),"",IF('Raw Data'!D53 = SUMIFS(Condition1!J:J,Condition1!B:B,TRIM('Raw Data'!B53),Condition1!C:C,TRIM('Raw Data'!C53)),"",_xlfn.REGEXEXTRACT(CELL("address",D53), "\$([A-Z]+)\$[0-9]+")))</f>
        <v/>
      </c>
      <c r="E53" s="7" t="str" cm="1">
        <f t="array" aca="1" ref="E53" ca="1">IF(OR('Raw Data'!E53="",LEN(TRIM('Raw Data'!E53))=0,Validate_Empty!E53&lt;&gt;"",Validate_Value!E53&lt;&gt;""),"",IF('Raw Data'!E53 = SUMIFS(Condition2!K:K,Condition2!B:B,TRIM('Raw Data'!B53),Condition2!C:C,TRIM('Raw Data'!C53)),"",_xlfn.REGEXEXTRACT(CELL("address",E53), "\$([A-Z]+)\$[0-9]+")))</f>
        <v/>
      </c>
      <c r="F53" s="7"/>
      <c r="G53" s="7"/>
    </row>
    <row r="54" spans="2:7" x14ac:dyDescent="0.25">
      <c r="B54" s="7"/>
      <c r="C54" s="7"/>
      <c r="D54" s="7" t="str" cm="1">
        <f t="array" aca="1" ref="D54" ca="1">IF(OR('Raw Data'!D54="",LEN(TRIM('Raw Data'!D54))=0,Validate_Empty!D54&lt;&gt;"",Validate_Value!D54&lt;&gt;""),"",IF('Raw Data'!D54 = SUMIFS(Condition1!J:J,Condition1!B:B,TRIM('Raw Data'!B54),Condition1!C:C,TRIM('Raw Data'!C54)),"",_xlfn.REGEXEXTRACT(CELL("address",D54), "\$([A-Z]+)\$[0-9]+")))</f>
        <v/>
      </c>
      <c r="E54" s="7" t="str" cm="1">
        <f t="array" aca="1" ref="E54" ca="1">IF(OR('Raw Data'!E54="",LEN(TRIM('Raw Data'!E54))=0,Validate_Empty!E54&lt;&gt;"",Validate_Value!E54&lt;&gt;""),"",IF('Raw Data'!E54 = SUMIFS(Condition2!K:K,Condition2!B:B,TRIM('Raw Data'!B54),Condition2!C:C,TRIM('Raw Data'!C54)),"",_xlfn.REGEXEXTRACT(CELL("address",E54), "\$([A-Z]+)\$[0-9]+")))</f>
        <v/>
      </c>
      <c r="F54" s="7"/>
      <c r="G54" s="7"/>
    </row>
    <row r="55" spans="2:7" x14ac:dyDescent="0.25">
      <c r="B55" s="7"/>
      <c r="C55" s="7"/>
      <c r="D55" s="7" t="str" cm="1">
        <f t="array" aca="1" ref="D55" ca="1">IF(OR('Raw Data'!D55="",LEN(TRIM('Raw Data'!D55))=0,Validate_Empty!D55&lt;&gt;"",Validate_Value!D55&lt;&gt;""),"",IF('Raw Data'!D55 = SUMIFS(Condition1!J:J,Condition1!B:B,TRIM('Raw Data'!B55),Condition1!C:C,TRIM('Raw Data'!C55)),"",_xlfn.REGEXEXTRACT(CELL("address",D55), "\$([A-Z]+)\$[0-9]+")))</f>
        <v/>
      </c>
      <c r="E55" s="7" t="str" cm="1">
        <f t="array" aca="1" ref="E55" ca="1">IF(OR('Raw Data'!E55="",LEN(TRIM('Raw Data'!E55))=0,Validate_Empty!E55&lt;&gt;"",Validate_Value!E55&lt;&gt;""),"",IF('Raw Data'!E55 = SUMIFS(Condition2!K:K,Condition2!B:B,TRIM('Raw Data'!B55),Condition2!C:C,TRIM('Raw Data'!C55)),"",_xlfn.REGEXEXTRACT(CELL("address",E55), "\$([A-Z]+)\$[0-9]+")))</f>
        <v/>
      </c>
      <c r="F55" s="7"/>
      <c r="G55" s="7"/>
    </row>
    <row r="56" spans="2:7" x14ac:dyDescent="0.25">
      <c r="B56" s="7"/>
      <c r="C56" s="7"/>
      <c r="D56" s="7" t="str" cm="1">
        <f t="array" aca="1" ref="D56" ca="1">IF(OR('Raw Data'!D56="",LEN(TRIM('Raw Data'!D56))=0,Validate_Empty!D56&lt;&gt;"",Validate_Value!D56&lt;&gt;""),"",IF('Raw Data'!D56 = SUMIFS(Condition1!J:J,Condition1!B:B,TRIM('Raw Data'!B56),Condition1!C:C,TRIM('Raw Data'!C56)),"",_xlfn.REGEXEXTRACT(CELL("address",D56), "\$([A-Z]+)\$[0-9]+")))</f>
        <v/>
      </c>
      <c r="E56" s="7" t="str" cm="1">
        <f t="array" aca="1" ref="E56" ca="1">IF(OR('Raw Data'!E56="",LEN(TRIM('Raw Data'!E56))=0,Validate_Empty!E56&lt;&gt;"",Validate_Value!E56&lt;&gt;""),"",IF('Raw Data'!E56 = SUMIFS(Condition2!K:K,Condition2!B:B,TRIM('Raw Data'!B56),Condition2!C:C,TRIM('Raw Data'!C56)),"",_xlfn.REGEXEXTRACT(CELL("address",E56), "\$([A-Z]+)\$[0-9]+")))</f>
        <v/>
      </c>
      <c r="F56" s="7"/>
      <c r="G56" s="7"/>
    </row>
    <row r="57" spans="2:7" x14ac:dyDescent="0.25">
      <c r="B57" s="7"/>
      <c r="C57" s="7"/>
      <c r="D57" s="7" t="str" cm="1">
        <f t="array" aca="1" ref="D57" ca="1">IF(OR('Raw Data'!D57="",LEN(TRIM('Raw Data'!D57))=0,Validate_Empty!D57&lt;&gt;"",Validate_Value!D57&lt;&gt;""),"",IF('Raw Data'!D57 = SUMIFS(Condition1!J:J,Condition1!B:B,TRIM('Raw Data'!B57),Condition1!C:C,TRIM('Raw Data'!C57)),"",_xlfn.REGEXEXTRACT(CELL("address",D57), "\$([A-Z]+)\$[0-9]+")))</f>
        <v/>
      </c>
      <c r="E57" s="7" t="str" cm="1">
        <f t="array" aca="1" ref="E57" ca="1">IF(OR('Raw Data'!E57="",LEN(TRIM('Raw Data'!E57))=0,Validate_Empty!E57&lt;&gt;"",Validate_Value!E57&lt;&gt;""),"",IF('Raw Data'!E57 = SUMIFS(Condition2!K:K,Condition2!B:B,TRIM('Raw Data'!B57),Condition2!C:C,TRIM('Raw Data'!C57)),"",_xlfn.REGEXEXTRACT(CELL("address",E57), "\$([A-Z]+)\$[0-9]+")))</f>
        <v/>
      </c>
      <c r="F57" s="7"/>
      <c r="G57" s="7"/>
    </row>
    <row r="58" spans="2:7" x14ac:dyDescent="0.25">
      <c r="B58" s="7"/>
      <c r="C58" s="7"/>
      <c r="D58" s="7" t="str" cm="1">
        <f t="array" aca="1" ref="D58" ca="1">IF(OR('Raw Data'!D58="",LEN(TRIM('Raw Data'!D58))=0,Validate_Empty!D58&lt;&gt;"",Validate_Value!D58&lt;&gt;""),"",IF('Raw Data'!D58 = SUMIFS(Condition1!J:J,Condition1!B:B,TRIM('Raw Data'!B58),Condition1!C:C,TRIM('Raw Data'!C58)),"",_xlfn.REGEXEXTRACT(CELL("address",D58), "\$([A-Z]+)\$[0-9]+")))</f>
        <v/>
      </c>
      <c r="E58" s="7" t="str" cm="1">
        <f t="array" aca="1" ref="E58" ca="1">IF(OR('Raw Data'!E58="",LEN(TRIM('Raw Data'!E58))=0,Validate_Empty!E58&lt;&gt;"",Validate_Value!E58&lt;&gt;""),"",IF('Raw Data'!E58 = SUMIFS(Condition2!K:K,Condition2!B:B,TRIM('Raw Data'!B58),Condition2!C:C,TRIM('Raw Data'!C58)),"",_xlfn.REGEXEXTRACT(CELL("address",E58), "\$([A-Z]+)\$[0-9]+")))</f>
        <v/>
      </c>
      <c r="F58" s="7"/>
      <c r="G58" s="7"/>
    </row>
    <row r="59" spans="2:7" x14ac:dyDescent="0.25">
      <c r="B59" s="7"/>
      <c r="C59" s="7"/>
      <c r="D59" s="7" t="str" cm="1">
        <f t="array" aca="1" ref="D59" ca="1">IF(OR('Raw Data'!D59="",LEN(TRIM('Raw Data'!D59))=0,Validate_Empty!D59&lt;&gt;"",Validate_Value!D59&lt;&gt;""),"",IF('Raw Data'!D59 = SUMIFS(Condition1!J:J,Condition1!B:B,TRIM('Raw Data'!B59),Condition1!C:C,TRIM('Raw Data'!C59)),"",_xlfn.REGEXEXTRACT(CELL("address",D59), "\$([A-Z]+)\$[0-9]+")))</f>
        <v/>
      </c>
      <c r="E59" s="7" t="str" cm="1">
        <f t="array" aca="1" ref="E59" ca="1">IF(OR('Raw Data'!E59="",LEN(TRIM('Raw Data'!E59))=0,Validate_Empty!E59&lt;&gt;"",Validate_Value!E59&lt;&gt;""),"",IF('Raw Data'!E59 = SUMIFS(Condition2!K:K,Condition2!B:B,TRIM('Raw Data'!B59),Condition2!C:C,TRIM('Raw Data'!C59)),"",_xlfn.REGEXEXTRACT(CELL("address",E59), "\$([A-Z]+)\$[0-9]+")))</f>
        <v/>
      </c>
      <c r="F59" s="7"/>
      <c r="G59" s="7"/>
    </row>
    <row r="60" spans="2:7" x14ac:dyDescent="0.25">
      <c r="B60" s="7"/>
      <c r="C60" s="7"/>
      <c r="D60" s="7" t="str" cm="1">
        <f t="array" aca="1" ref="D60" ca="1">IF(OR('Raw Data'!D60="",LEN(TRIM('Raw Data'!D60))=0,Validate_Empty!D60&lt;&gt;"",Validate_Value!D60&lt;&gt;""),"",IF('Raw Data'!D60 = SUMIFS(Condition1!J:J,Condition1!B:B,TRIM('Raw Data'!B60),Condition1!C:C,TRIM('Raw Data'!C60)),"",_xlfn.REGEXEXTRACT(CELL("address",D60), "\$([A-Z]+)\$[0-9]+")))</f>
        <v/>
      </c>
      <c r="E60" s="7" t="str" cm="1">
        <f t="array" aca="1" ref="E60" ca="1">IF(OR('Raw Data'!E60="",LEN(TRIM('Raw Data'!E60))=0,Validate_Empty!E60&lt;&gt;"",Validate_Value!E60&lt;&gt;""),"",IF('Raw Data'!E60 = SUMIFS(Condition2!K:K,Condition2!B:B,TRIM('Raw Data'!B60),Condition2!C:C,TRIM('Raw Data'!C60)),"",_xlfn.REGEXEXTRACT(CELL("address",E60), "\$([A-Z]+)\$[0-9]+")))</f>
        <v/>
      </c>
      <c r="F60" s="7"/>
      <c r="G60" s="7"/>
    </row>
    <row r="61" spans="2:7" x14ac:dyDescent="0.25">
      <c r="B61" s="7"/>
      <c r="C61" s="7"/>
      <c r="D61" s="7" t="str" cm="1">
        <f t="array" aca="1" ref="D61" ca="1">IF(OR('Raw Data'!D61="",LEN(TRIM('Raw Data'!D61))=0,Validate_Empty!D61&lt;&gt;"",Validate_Value!D61&lt;&gt;""),"",IF('Raw Data'!D61 = SUMIFS(Condition1!J:J,Condition1!B:B,TRIM('Raw Data'!B61),Condition1!C:C,TRIM('Raw Data'!C61)),"",_xlfn.REGEXEXTRACT(CELL("address",D61), "\$([A-Z]+)\$[0-9]+")))</f>
        <v/>
      </c>
      <c r="E61" s="7" t="str" cm="1">
        <f t="array" aca="1" ref="E61" ca="1">IF(OR('Raw Data'!E61="",LEN(TRIM('Raw Data'!E61))=0,Validate_Empty!E61&lt;&gt;"",Validate_Value!E61&lt;&gt;""),"",IF('Raw Data'!E61 = SUMIFS(Condition2!K:K,Condition2!B:B,TRIM('Raw Data'!B61),Condition2!C:C,TRIM('Raw Data'!C61)),"",_xlfn.REGEXEXTRACT(CELL("address",E61), "\$([A-Z]+)\$[0-9]+")))</f>
        <v/>
      </c>
      <c r="F61" s="7"/>
      <c r="G61" s="7"/>
    </row>
    <row r="62" spans="2:7" x14ac:dyDescent="0.25">
      <c r="B62" s="7"/>
      <c r="C62" s="7"/>
      <c r="D62" s="7" t="str" cm="1">
        <f t="array" aca="1" ref="D62" ca="1">IF(OR('Raw Data'!D62="",LEN(TRIM('Raw Data'!D62))=0,Validate_Empty!D62&lt;&gt;"",Validate_Value!D62&lt;&gt;""),"",IF('Raw Data'!D62 = SUMIFS(Condition1!J:J,Condition1!B:B,TRIM('Raw Data'!B62),Condition1!C:C,TRIM('Raw Data'!C62)),"",_xlfn.REGEXEXTRACT(CELL("address",D62), "\$([A-Z]+)\$[0-9]+")))</f>
        <v/>
      </c>
      <c r="E62" s="7" t="str" cm="1">
        <f t="array" aca="1" ref="E62" ca="1">IF(OR('Raw Data'!E62="",LEN(TRIM('Raw Data'!E62))=0,Validate_Empty!E62&lt;&gt;"",Validate_Value!E62&lt;&gt;""),"",IF('Raw Data'!E62 = SUMIFS(Condition2!K:K,Condition2!B:B,TRIM('Raw Data'!B62),Condition2!C:C,TRIM('Raw Data'!C62)),"",_xlfn.REGEXEXTRACT(CELL("address",E62), "\$([A-Z]+)\$[0-9]+")))</f>
        <v/>
      </c>
      <c r="F62" s="7"/>
      <c r="G62" s="7"/>
    </row>
    <row r="63" spans="2:7" x14ac:dyDescent="0.25">
      <c r="B63" s="7"/>
      <c r="C63" s="7"/>
      <c r="D63" s="7" t="str" cm="1">
        <f t="array" aca="1" ref="D63" ca="1">IF(OR('Raw Data'!D63="",LEN(TRIM('Raw Data'!D63))=0,Validate_Empty!D63&lt;&gt;"",Validate_Value!D63&lt;&gt;""),"",IF('Raw Data'!D63 = SUMIFS(Condition1!J:J,Condition1!B:B,TRIM('Raw Data'!B63),Condition1!C:C,TRIM('Raw Data'!C63)),"",_xlfn.REGEXEXTRACT(CELL("address",D63), "\$([A-Z]+)\$[0-9]+")))</f>
        <v/>
      </c>
      <c r="E63" s="7" t="str" cm="1">
        <f t="array" aca="1" ref="E63" ca="1">IF(OR('Raw Data'!E63="",LEN(TRIM('Raw Data'!E63))=0,Validate_Empty!E63&lt;&gt;"",Validate_Value!E63&lt;&gt;""),"",IF('Raw Data'!E63 = SUMIFS(Condition2!K:K,Condition2!B:B,TRIM('Raw Data'!B63),Condition2!C:C,TRIM('Raw Data'!C63)),"",_xlfn.REGEXEXTRACT(CELL("address",E63), "\$([A-Z]+)\$[0-9]+")))</f>
        <v/>
      </c>
      <c r="F63" s="7"/>
      <c r="G63" s="7"/>
    </row>
    <row r="64" spans="2:7" x14ac:dyDescent="0.25">
      <c r="B64" s="7"/>
      <c r="C64" s="7"/>
      <c r="D64" s="7" t="str" cm="1">
        <f t="array" aca="1" ref="D64" ca="1">IF(OR('Raw Data'!D64="",LEN(TRIM('Raw Data'!D64))=0,Validate_Empty!D64&lt;&gt;"",Validate_Value!D64&lt;&gt;""),"",IF('Raw Data'!D64 = SUMIFS(Condition1!J:J,Condition1!B:B,TRIM('Raw Data'!B64),Condition1!C:C,TRIM('Raw Data'!C64)),"",_xlfn.REGEXEXTRACT(CELL("address",D64), "\$([A-Z]+)\$[0-9]+")))</f>
        <v/>
      </c>
      <c r="E64" s="7" t="str" cm="1">
        <f t="array" aca="1" ref="E64" ca="1">IF(OR('Raw Data'!E64="",LEN(TRIM('Raw Data'!E64))=0,Validate_Empty!E64&lt;&gt;"",Validate_Value!E64&lt;&gt;""),"",IF('Raw Data'!E64 = SUMIFS(Condition2!K:K,Condition2!B:B,TRIM('Raw Data'!B64),Condition2!C:C,TRIM('Raw Data'!C64)),"",_xlfn.REGEXEXTRACT(CELL("address",E64), "\$([A-Z]+)\$[0-9]+")))</f>
        <v/>
      </c>
      <c r="F64" s="7"/>
      <c r="G64" s="7"/>
    </row>
    <row r="65" spans="2:7" x14ac:dyDescent="0.25">
      <c r="B65" s="7"/>
      <c r="C65" s="7"/>
      <c r="D65" s="7" t="str" cm="1">
        <f t="array" aca="1" ref="D65" ca="1">IF(OR('Raw Data'!D65="",LEN(TRIM('Raw Data'!D65))=0,Validate_Empty!D65&lt;&gt;"",Validate_Value!D65&lt;&gt;""),"",IF('Raw Data'!D65 = SUMIFS(Condition1!J:J,Condition1!B:B,TRIM('Raw Data'!B65),Condition1!C:C,TRIM('Raw Data'!C65)),"",_xlfn.REGEXEXTRACT(CELL("address",D65), "\$([A-Z]+)\$[0-9]+")))</f>
        <v/>
      </c>
      <c r="E65" s="7" t="str" cm="1">
        <f t="array" aca="1" ref="E65" ca="1">IF(OR('Raw Data'!E65="",LEN(TRIM('Raw Data'!E65))=0,Validate_Empty!E65&lt;&gt;"",Validate_Value!E65&lt;&gt;""),"",IF('Raw Data'!E65 = SUMIFS(Condition2!K:K,Condition2!B:B,TRIM('Raw Data'!B65),Condition2!C:C,TRIM('Raw Data'!C65)),"",_xlfn.REGEXEXTRACT(CELL("address",E65), "\$([A-Z]+)\$[0-9]+")))</f>
        <v/>
      </c>
      <c r="F65" s="7"/>
      <c r="G65" s="7"/>
    </row>
    <row r="66" spans="2:7" x14ac:dyDescent="0.25">
      <c r="B66" s="7"/>
      <c r="C66" s="7"/>
      <c r="D66" s="7" t="str" cm="1">
        <f t="array" aca="1" ref="D66" ca="1">IF(OR('Raw Data'!D66="",LEN(TRIM('Raw Data'!D66))=0,Validate_Empty!D66&lt;&gt;"",Validate_Value!D66&lt;&gt;""),"",IF('Raw Data'!D66 = SUMIFS(Condition1!J:J,Condition1!B:B,TRIM('Raw Data'!B66),Condition1!C:C,TRIM('Raw Data'!C66)),"",_xlfn.REGEXEXTRACT(CELL("address",D66), "\$([A-Z]+)\$[0-9]+")))</f>
        <v/>
      </c>
      <c r="E66" s="7" t="str" cm="1">
        <f t="array" aca="1" ref="E66" ca="1">IF(OR('Raw Data'!E66="",LEN(TRIM('Raw Data'!E66))=0,Validate_Empty!E66&lt;&gt;"",Validate_Value!E66&lt;&gt;""),"",IF('Raw Data'!E66 = SUMIFS(Condition2!K:K,Condition2!B:B,TRIM('Raw Data'!B66),Condition2!C:C,TRIM('Raw Data'!C66)),"",_xlfn.REGEXEXTRACT(CELL("address",E66), "\$([A-Z]+)\$[0-9]+")))</f>
        <v/>
      </c>
      <c r="F66" s="7"/>
      <c r="G66" s="7"/>
    </row>
    <row r="67" spans="2:7" x14ac:dyDescent="0.25">
      <c r="B67" s="7"/>
      <c r="C67" s="7"/>
      <c r="D67" s="7" t="str" cm="1">
        <f t="array" aca="1" ref="D67" ca="1">IF(OR('Raw Data'!D67="",LEN(TRIM('Raw Data'!D67))=0,Validate_Empty!D67&lt;&gt;"",Validate_Value!D67&lt;&gt;""),"",IF('Raw Data'!D67 = SUMIFS(Condition1!J:J,Condition1!B:B,TRIM('Raw Data'!B67),Condition1!C:C,TRIM('Raw Data'!C67)),"",_xlfn.REGEXEXTRACT(CELL("address",D67), "\$([A-Z]+)\$[0-9]+")))</f>
        <v/>
      </c>
      <c r="E67" s="7" t="str" cm="1">
        <f t="array" aca="1" ref="E67" ca="1">IF(OR('Raw Data'!E67="",LEN(TRIM('Raw Data'!E67))=0,Validate_Empty!E67&lt;&gt;"",Validate_Value!E67&lt;&gt;""),"",IF('Raw Data'!E67 = SUMIFS(Condition2!K:K,Condition2!B:B,TRIM('Raw Data'!B67),Condition2!C:C,TRIM('Raw Data'!C67)),"",_xlfn.REGEXEXTRACT(CELL("address",E67), "\$([A-Z]+)\$[0-9]+")))</f>
        <v/>
      </c>
      <c r="F67" s="7"/>
      <c r="G67" s="7"/>
    </row>
    <row r="68" spans="2:7" x14ac:dyDescent="0.25">
      <c r="B68" s="7"/>
      <c r="C68" s="7"/>
      <c r="D68" s="7" t="str" cm="1">
        <f t="array" aca="1" ref="D68" ca="1">IF(OR('Raw Data'!D68="",LEN(TRIM('Raw Data'!D68))=0,Validate_Empty!D68&lt;&gt;"",Validate_Value!D68&lt;&gt;""),"",IF('Raw Data'!D68 = SUMIFS(Condition1!J:J,Condition1!B:B,TRIM('Raw Data'!B68),Condition1!C:C,TRIM('Raw Data'!C68)),"",_xlfn.REGEXEXTRACT(CELL("address",D68), "\$([A-Z]+)\$[0-9]+")))</f>
        <v/>
      </c>
      <c r="E68" s="7" t="str" cm="1">
        <f t="array" aca="1" ref="E68" ca="1">IF(OR('Raw Data'!E68="",LEN(TRIM('Raw Data'!E68))=0,Validate_Empty!E68&lt;&gt;"",Validate_Value!E68&lt;&gt;""),"",IF('Raw Data'!E68 = SUMIFS(Condition2!K:K,Condition2!B:B,TRIM('Raw Data'!B68),Condition2!C:C,TRIM('Raw Data'!C68)),"",_xlfn.REGEXEXTRACT(CELL("address",E68), "\$([A-Z]+)\$[0-9]+")))</f>
        <v/>
      </c>
      <c r="F68" s="7"/>
      <c r="G68" s="7"/>
    </row>
    <row r="69" spans="2:7" x14ac:dyDescent="0.25">
      <c r="B69" s="7"/>
      <c r="C69" s="7"/>
      <c r="D69" s="7" t="str" cm="1">
        <f t="array" aca="1" ref="D69" ca="1">IF(OR('Raw Data'!D69="",LEN(TRIM('Raw Data'!D69))=0,Validate_Empty!D69&lt;&gt;"",Validate_Value!D69&lt;&gt;""),"",IF('Raw Data'!D69 = SUMIFS(Condition1!J:J,Condition1!B:B,TRIM('Raw Data'!B69),Condition1!C:C,TRIM('Raw Data'!C69)),"",_xlfn.REGEXEXTRACT(CELL("address",D69), "\$([A-Z]+)\$[0-9]+")))</f>
        <v/>
      </c>
      <c r="E69" s="7" t="str" cm="1">
        <f t="array" aca="1" ref="E69" ca="1">IF(OR('Raw Data'!E69="",LEN(TRIM('Raw Data'!E69))=0,Validate_Empty!E69&lt;&gt;"",Validate_Value!E69&lt;&gt;""),"",IF('Raw Data'!E69 = SUMIFS(Condition2!K:K,Condition2!B:B,TRIM('Raw Data'!B69),Condition2!C:C,TRIM('Raw Data'!C69)),"",_xlfn.REGEXEXTRACT(CELL("address",E69), "\$([A-Z]+)\$[0-9]+")))</f>
        <v/>
      </c>
      <c r="F69" s="7"/>
      <c r="G69" s="7"/>
    </row>
    <row r="70" spans="2:7" x14ac:dyDescent="0.25">
      <c r="B70" s="7"/>
      <c r="C70" s="7"/>
      <c r="D70" s="7" t="str" cm="1">
        <f t="array" aca="1" ref="D70" ca="1">IF(OR('Raw Data'!D70="",LEN(TRIM('Raw Data'!D70))=0,Validate_Empty!D70&lt;&gt;"",Validate_Value!D70&lt;&gt;""),"",IF('Raw Data'!D70 = SUMIFS(Condition1!J:J,Condition1!B:B,TRIM('Raw Data'!B70),Condition1!C:C,TRIM('Raw Data'!C70)),"",_xlfn.REGEXEXTRACT(CELL("address",D70), "\$([A-Z]+)\$[0-9]+")))</f>
        <v/>
      </c>
      <c r="E70" s="7" t="str" cm="1">
        <f t="array" aca="1" ref="E70" ca="1">IF(OR('Raw Data'!E70="",LEN(TRIM('Raw Data'!E70))=0,Validate_Empty!E70&lt;&gt;"",Validate_Value!E70&lt;&gt;""),"",IF('Raw Data'!E70 = SUMIFS(Condition2!K:K,Condition2!B:B,TRIM('Raw Data'!B70),Condition2!C:C,TRIM('Raw Data'!C70)),"",_xlfn.REGEXEXTRACT(CELL("address",E70), "\$([A-Z]+)\$[0-9]+")))</f>
        <v/>
      </c>
      <c r="F70" s="7"/>
      <c r="G70" s="7"/>
    </row>
    <row r="71" spans="2:7" x14ac:dyDescent="0.25">
      <c r="B71" s="7"/>
      <c r="C71" s="7"/>
      <c r="D71" s="7" t="str" cm="1">
        <f t="array" aca="1" ref="D71" ca="1">IF(OR('Raw Data'!D71="",LEN(TRIM('Raw Data'!D71))=0,Validate_Empty!D71&lt;&gt;"",Validate_Value!D71&lt;&gt;""),"",IF('Raw Data'!D71 = SUMIFS(Condition1!J:J,Condition1!B:B,TRIM('Raw Data'!B71),Condition1!C:C,TRIM('Raw Data'!C71)),"",_xlfn.REGEXEXTRACT(CELL("address",D71), "\$([A-Z]+)\$[0-9]+")))</f>
        <v/>
      </c>
      <c r="E71" s="7" t="str" cm="1">
        <f t="array" aca="1" ref="E71" ca="1">IF(OR('Raw Data'!E71="",LEN(TRIM('Raw Data'!E71))=0,Validate_Empty!E71&lt;&gt;"",Validate_Value!E71&lt;&gt;""),"",IF('Raw Data'!E71 = SUMIFS(Condition2!K:K,Condition2!B:B,TRIM('Raw Data'!B71),Condition2!C:C,TRIM('Raw Data'!C71)),"",_xlfn.REGEXEXTRACT(CELL("address",E71), "\$([A-Z]+)\$[0-9]+")))</f>
        <v/>
      </c>
      <c r="F71" s="7"/>
      <c r="G71" s="7"/>
    </row>
    <row r="72" spans="2:7" x14ac:dyDescent="0.25">
      <c r="B72" s="7"/>
      <c r="C72" s="7"/>
      <c r="D72" s="7" t="str" cm="1">
        <f t="array" aca="1" ref="D72" ca="1">IF(OR('Raw Data'!D72="",LEN(TRIM('Raw Data'!D72))=0,Validate_Empty!D72&lt;&gt;"",Validate_Value!D72&lt;&gt;""),"",IF('Raw Data'!D72 = SUMIFS(Condition1!J:J,Condition1!B:B,TRIM('Raw Data'!B72),Condition1!C:C,TRIM('Raw Data'!C72)),"",_xlfn.REGEXEXTRACT(CELL("address",D72), "\$([A-Z]+)\$[0-9]+")))</f>
        <v/>
      </c>
      <c r="E72" s="7" t="str" cm="1">
        <f t="array" aca="1" ref="E72" ca="1">IF(OR('Raw Data'!E72="",LEN(TRIM('Raw Data'!E72))=0,Validate_Empty!E72&lt;&gt;"",Validate_Value!E72&lt;&gt;""),"",IF('Raw Data'!E72 = SUMIFS(Condition2!K:K,Condition2!B:B,TRIM('Raw Data'!B72),Condition2!C:C,TRIM('Raw Data'!C72)),"",_xlfn.REGEXEXTRACT(CELL("address",E72), "\$([A-Z]+)\$[0-9]+")))</f>
        <v/>
      </c>
      <c r="F72" s="7"/>
      <c r="G72" s="7"/>
    </row>
    <row r="73" spans="2:7" x14ac:dyDescent="0.25">
      <c r="B73" s="7"/>
      <c r="C73" s="7"/>
      <c r="D73" s="7" t="str" cm="1">
        <f t="array" aca="1" ref="D73" ca="1">IF(OR('Raw Data'!D73="",LEN(TRIM('Raw Data'!D73))=0,Validate_Empty!D73&lt;&gt;"",Validate_Value!D73&lt;&gt;""),"",IF('Raw Data'!D73 = SUMIFS(Condition1!J:J,Condition1!B:B,TRIM('Raw Data'!B73),Condition1!C:C,TRIM('Raw Data'!C73)),"",_xlfn.REGEXEXTRACT(CELL("address",D73), "\$([A-Z]+)\$[0-9]+")))</f>
        <v/>
      </c>
      <c r="E73" s="7" t="str" cm="1">
        <f t="array" aca="1" ref="E73" ca="1">IF(OR('Raw Data'!E73="",LEN(TRIM('Raw Data'!E73))=0,Validate_Empty!E73&lt;&gt;"",Validate_Value!E73&lt;&gt;""),"",IF('Raw Data'!E73 = SUMIFS(Condition2!K:K,Condition2!B:B,TRIM('Raw Data'!B73),Condition2!C:C,TRIM('Raw Data'!C73)),"",_xlfn.REGEXEXTRACT(CELL("address",E73), "\$([A-Z]+)\$[0-9]+")))</f>
        <v/>
      </c>
      <c r="F73" s="7"/>
      <c r="G73" s="7"/>
    </row>
    <row r="74" spans="2:7" x14ac:dyDescent="0.25">
      <c r="B74" s="7"/>
      <c r="C74" s="7"/>
      <c r="D74" s="7" t="str" cm="1">
        <f t="array" aca="1" ref="D74" ca="1">IF(OR('Raw Data'!D74="",LEN(TRIM('Raw Data'!D74))=0,Validate_Empty!D74&lt;&gt;"",Validate_Value!D74&lt;&gt;""),"",IF('Raw Data'!D74 = SUMIFS(Condition1!J:J,Condition1!B:B,TRIM('Raw Data'!B74),Condition1!C:C,TRIM('Raw Data'!C74)),"",_xlfn.REGEXEXTRACT(CELL("address",D74), "\$([A-Z]+)\$[0-9]+")))</f>
        <v/>
      </c>
      <c r="E74" s="7" t="str" cm="1">
        <f t="array" aca="1" ref="E74" ca="1">IF(OR('Raw Data'!E74="",LEN(TRIM('Raw Data'!E74))=0,Validate_Empty!E74&lt;&gt;"",Validate_Value!E74&lt;&gt;""),"",IF('Raw Data'!E74 = SUMIFS(Condition2!K:K,Condition2!B:B,TRIM('Raw Data'!B74),Condition2!C:C,TRIM('Raw Data'!C74)),"",_xlfn.REGEXEXTRACT(CELL("address",E74), "\$([A-Z]+)\$[0-9]+")))</f>
        <v/>
      </c>
      <c r="F74" s="7"/>
      <c r="G74" s="7"/>
    </row>
    <row r="75" spans="2:7" x14ac:dyDescent="0.25">
      <c r="B75" s="7"/>
      <c r="C75" s="7"/>
      <c r="D75" s="7" t="str" cm="1">
        <f t="array" aca="1" ref="D75" ca="1">IF(OR('Raw Data'!D75="",LEN(TRIM('Raw Data'!D75))=0,Validate_Empty!D75&lt;&gt;"",Validate_Value!D75&lt;&gt;""),"",IF('Raw Data'!D75 = SUMIFS(Condition1!J:J,Condition1!B:B,TRIM('Raw Data'!B75),Condition1!C:C,TRIM('Raw Data'!C75)),"",_xlfn.REGEXEXTRACT(CELL("address",D75), "\$([A-Z]+)\$[0-9]+")))</f>
        <v/>
      </c>
      <c r="E75" s="7" t="str" cm="1">
        <f t="array" aca="1" ref="E75" ca="1">IF(OR('Raw Data'!E75="",LEN(TRIM('Raw Data'!E75))=0,Validate_Empty!E75&lt;&gt;"",Validate_Value!E75&lt;&gt;""),"",IF('Raw Data'!E75 = SUMIFS(Condition2!K:K,Condition2!B:B,TRIM('Raw Data'!B75),Condition2!C:C,TRIM('Raw Data'!C75)),"",_xlfn.REGEXEXTRACT(CELL("address",E75), "\$([A-Z]+)\$[0-9]+")))</f>
        <v/>
      </c>
      <c r="F75" s="7"/>
      <c r="G75" s="7"/>
    </row>
    <row r="76" spans="2:7" x14ac:dyDescent="0.25">
      <c r="B76" s="7"/>
      <c r="C76" s="7"/>
      <c r="D76" s="7" t="str" cm="1">
        <f t="array" aca="1" ref="D76" ca="1">IF(OR('Raw Data'!D76="",LEN(TRIM('Raw Data'!D76))=0,Validate_Empty!D76&lt;&gt;"",Validate_Value!D76&lt;&gt;""),"",IF('Raw Data'!D76 = SUMIFS(Condition1!J:J,Condition1!B:B,TRIM('Raw Data'!B76),Condition1!C:C,TRIM('Raw Data'!C76)),"",_xlfn.REGEXEXTRACT(CELL("address",D76), "\$([A-Z]+)\$[0-9]+")))</f>
        <v/>
      </c>
      <c r="E76" s="7" t="str" cm="1">
        <f t="array" aca="1" ref="E76" ca="1">IF(OR('Raw Data'!E76="",LEN(TRIM('Raw Data'!E76))=0,Validate_Empty!E76&lt;&gt;"",Validate_Value!E76&lt;&gt;""),"",IF('Raw Data'!E76 = SUMIFS(Condition2!K:K,Condition2!B:B,TRIM('Raw Data'!B76),Condition2!C:C,TRIM('Raw Data'!C76)),"",_xlfn.REGEXEXTRACT(CELL("address",E76), "\$([A-Z]+)\$[0-9]+")))</f>
        <v/>
      </c>
      <c r="F76" s="7"/>
      <c r="G76" s="7"/>
    </row>
    <row r="77" spans="2:7" x14ac:dyDescent="0.25">
      <c r="B77" s="7"/>
      <c r="C77" s="7"/>
      <c r="D77" s="7" t="str" cm="1">
        <f t="array" aca="1" ref="D77" ca="1">IF(OR('Raw Data'!D77="",LEN(TRIM('Raw Data'!D77))=0,Validate_Empty!D77&lt;&gt;"",Validate_Value!D77&lt;&gt;""),"",IF('Raw Data'!D77 = SUMIFS(Condition1!J:J,Condition1!B:B,TRIM('Raw Data'!B77),Condition1!C:C,TRIM('Raw Data'!C77)),"",_xlfn.REGEXEXTRACT(CELL("address",D77), "\$([A-Z]+)\$[0-9]+")))</f>
        <v/>
      </c>
      <c r="E77" s="7" t="str" cm="1">
        <f t="array" aca="1" ref="E77" ca="1">IF(OR('Raw Data'!E77="",LEN(TRIM('Raw Data'!E77))=0,Validate_Empty!E77&lt;&gt;"",Validate_Value!E77&lt;&gt;""),"",IF('Raw Data'!E77 = SUMIFS(Condition2!K:K,Condition2!B:B,TRIM('Raw Data'!B77),Condition2!C:C,TRIM('Raw Data'!C77)),"",_xlfn.REGEXEXTRACT(CELL("address",E77), "\$([A-Z]+)\$[0-9]+")))</f>
        <v/>
      </c>
      <c r="F77" s="7"/>
      <c r="G77" s="7"/>
    </row>
    <row r="78" spans="2:7" x14ac:dyDescent="0.25">
      <c r="B78" s="7"/>
      <c r="C78" s="7"/>
      <c r="D78" s="7" t="str" cm="1">
        <f t="array" aca="1" ref="D78" ca="1">IF(OR('Raw Data'!D78="",LEN(TRIM('Raw Data'!D78))=0,Validate_Empty!D78&lt;&gt;"",Validate_Value!D78&lt;&gt;""),"",IF('Raw Data'!D78 = SUMIFS(Condition1!J:J,Condition1!B:B,TRIM('Raw Data'!B78),Condition1!C:C,TRIM('Raw Data'!C78)),"",_xlfn.REGEXEXTRACT(CELL("address",D78), "\$([A-Z]+)\$[0-9]+")))</f>
        <v/>
      </c>
      <c r="E78" s="7" t="str" cm="1">
        <f t="array" aca="1" ref="E78" ca="1">IF(OR('Raw Data'!E78="",LEN(TRIM('Raw Data'!E78))=0,Validate_Empty!E78&lt;&gt;"",Validate_Value!E78&lt;&gt;""),"",IF('Raw Data'!E78 = SUMIFS(Condition2!K:K,Condition2!B:B,TRIM('Raw Data'!B78),Condition2!C:C,TRIM('Raw Data'!C78)),"",_xlfn.REGEXEXTRACT(CELL("address",E78), "\$([A-Z]+)\$[0-9]+")))</f>
        <v/>
      </c>
      <c r="F78" s="7"/>
      <c r="G78" s="7"/>
    </row>
    <row r="79" spans="2:7" x14ac:dyDescent="0.25">
      <c r="B79" s="7"/>
      <c r="C79" s="7"/>
      <c r="D79" s="7" t="str" cm="1">
        <f t="array" aca="1" ref="D79" ca="1">IF(OR('Raw Data'!D79="",LEN(TRIM('Raw Data'!D79))=0,Validate_Empty!D79&lt;&gt;"",Validate_Value!D79&lt;&gt;""),"",IF('Raw Data'!D79 = SUMIFS(Condition1!J:J,Condition1!B:B,TRIM('Raw Data'!B79),Condition1!C:C,TRIM('Raw Data'!C79)),"",_xlfn.REGEXEXTRACT(CELL("address",D79), "\$([A-Z]+)\$[0-9]+")))</f>
        <v/>
      </c>
      <c r="E79" s="7" t="str" cm="1">
        <f t="array" aca="1" ref="E79" ca="1">IF(OR('Raw Data'!E79="",LEN(TRIM('Raw Data'!E79))=0,Validate_Empty!E79&lt;&gt;"",Validate_Value!E79&lt;&gt;""),"",IF('Raw Data'!E79 = SUMIFS(Condition2!K:K,Condition2!B:B,TRIM('Raw Data'!B79),Condition2!C:C,TRIM('Raw Data'!C79)),"",_xlfn.REGEXEXTRACT(CELL("address",E79), "\$([A-Z]+)\$[0-9]+")))</f>
        <v/>
      </c>
      <c r="F79" s="7"/>
      <c r="G79" s="7"/>
    </row>
    <row r="80" spans="2:7" x14ac:dyDescent="0.25">
      <c r="B80" s="7"/>
      <c r="C80" s="7"/>
      <c r="D80" s="7" t="str" cm="1">
        <f t="array" aca="1" ref="D80" ca="1">IF(OR('Raw Data'!D80="",LEN(TRIM('Raw Data'!D80))=0,Validate_Empty!D80&lt;&gt;"",Validate_Value!D80&lt;&gt;""),"",IF('Raw Data'!D80 = SUMIFS(Condition1!J:J,Condition1!B:B,TRIM('Raw Data'!B80),Condition1!C:C,TRIM('Raw Data'!C80)),"",_xlfn.REGEXEXTRACT(CELL("address",D80), "\$([A-Z]+)\$[0-9]+")))</f>
        <v/>
      </c>
      <c r="E80" s="7" t="str" cm="1">
        <f t="array" aca="1" ref="E80" ca="1">IF(OR('Raw Data'!E80="",LEN(TRIM('Raw Data'!E80))=0,Validate_Empty!E80&lt;&gt;"",Validate_Value!E80&lt;&gt;""),"",IF('Raw Data'!E80 = SUMIFS(Condition2!K:K,Condition2!B:B,TRIM('Raw Data'!B80),Condition2!C:C,TRIM('Raw Data'!C80)),"",_xlfn.REGEXEXTRACT(CELL("address",E80), "\$([A-Z]+)\$[0-9]+")))</f>
        <v/>
      </c>
      <c r="F80" s="7"/>
      <c r="G80" s="7"/>
    </row>
    <row r="81" spans="2:7" x14ac:dyDescent="0.25">
      <c r="B81" s="7"/>
      <c r="C81" s="7"/>
      <c r="D81" s="7" t="str" cm="1">
        <f t="array" aca="1" ref="D81" ca="1">IF(OR('Raw Data'!D81="",LEN(TRIM('Raw Data'!D81))=0,Validate_Empty!D81&lt;&gt;"",Validate_Value!D81&lt;&gt;""),"",IF('Raw Data'!D81 = SUMIFS(Condition1!J:J,Condition1!B:B,TRIM('Raw Data'!B81),Condition1!C:C,TRIM('Raw Data'!C81)),"",_xlfn.REGEXEXTRACT(CELL("address",D81), "\$([A-Z]+)\$[0-9]+")))</f>
        <v/>
      </c>
      <c r="E81" s="7" t="str" cm="1">
        <f t="array" aca="1" ref="E81" ca="1">IF(OR('Raw Data'!E81="",LEN(TRIM('Raw Data'!E81))=0,Validate_Empty!E81&lt;&gt;"",Validate_Value!E81&lt;&gt;""),"",IF('Raw Data'!E81 = SUMIFS(Condition2!K:K,Condition2!B:B,TRIM('Raw Data'!B81),Condition2!C:C,TRIM('Raw Data'!C81)),"",_xlfn.REGEXEXTRACT(CELL("address",E81), "\$([A-Z]+)\$[0-9]+")))</f>
        <v/>
      </c>
      <c r="F81" s="7"/>
      <c r="G81" s="7"/>
    </row>
    <row r="82" spans="2:7" x14ac:dyDescent="0.25">
      <c r="B82" s="7"/>
      <c r="C82" s="7"/>
      <c r="D82" s="7" t="str" cm="1">
        <f t="array" aca="1" ref="D82" ca="1">IF(OR('Raw Data'!D82="",LEN(TRIM('Raw Data'!D82))=0,Validate_Empty!D82&lt;&gt;"",Validate_Value!D82&lt;&gt;""),"",IF('Raw Data'!D82 = SUMIFS(Condition1!J:J,Condition1!B:B,TRIM('Raw Data'!B82),Condition1!C:C,TRIM('Raw Data'!C82)),"",_xlfn.REGEXEXTRACT(CELL("address",D82), "\$([A-Z]+)\$[0-9]+")))</f>
        <v/>
      </c>
      <c r="E82" s="7" t="str" cm="1">
        <f t="array" aca="1" ref="E82" ca="1">IF(OR('Raw Data'!E82="",LEN(TRIM('Raw Data'!E82))=0,Validate_Empty!E82&lt;&gt;"",Validate_Value!E82&lt;&gt;""),"",IF('Raw Data'!E82 = SUMIFS(Condition2!K:K,Condition2!B:B,TRIM('Raw Data'!B82),Condition2!C:C,TRIM('Raw Data'!C82)),"",_xlfn.REGEXEXTRACT(CELL("address",E82), "\$([A-Z]+)\$[0-9]+")))</f>
        <v/>
      </c>
      <c r="F82" s="7"/>
      <c r="G82" s="7"/>
    </row>
    <row r="83" spans="2:7" x14ac:dyDescent="0.25">
      <c r="B83" s="7"/>
      <c r="C83" s="7"/>
      <c r="D83" s="7" t="str" cm="1">
        <f t="array" aca="1" ref="D83" ca="1">IF(OR('Raw Data'!D83="",LEN(TRIM('Raw Data'!D83))=0,Validate_Empty!D83&lt;&gt;"",Validate_Value!D83&lt;&gt;""),"",IF('Raw Data'!D83 = SUMIFS(Condition1!J:J,Condition1!B:B,TRIM('Raw Data'!B83),Condition1!C:C,TRIM('Raw Data'!C83)),"",_xlfn.REGEXEXTRACT(CELL("address",D83), "\$([A-Z]+)\$[0-9]+")))</f>
        <v/>
      </c>
      <c r="E83" s="7" t="str" cm="1">
        <f t="array" aca="1" ref="E83" ca="1">IF(OR('Raw Data'!E83="",LEN(TRIM('Raw Data'!E83))=0,Validate_Empty!E83&lt;&gt;"",Validate_Value!E83&lt;&gt;""),"",IF('Raw Data'!E83 = SUMIFS(Condition2!K:K,Condition2!B:B,TRIM('Raw Data'!B83),Condition2!C:C,TRIM('Raw Data'!C83)),"",_xlfn.REGEXEXTRACT(CELL("address",E83), "\$([A-Z]+)\$[0-9]+")))</f>
        <v/>
      </c>
      <c r="F83" s="7"/>
      <c r="G83" s="7"/>
    </row>
    <row r="84" spans="2:7" x14ac:dyDescent="0.25">
      <c r="B84" s="7"/>
      <c r="C84" s="7"/>
      <c r="D84" s="7" t="str" cm="1">
        <f t="array" aca="1" ref="D84" ca="1">IF(OR('Raw Data'!D84="",LEN(TRIM('Raw Data'!D84))=0,Validate_Empty!D84&lt;&gt;"",Validate_Value!D84&lt;&gt;""),"",IF('Raw Data'!D84 = SUMIFS(Condition1!J:J,Condition1!B:B,TRIM('Raw Data'!B84),Condition1!C:C,TRIM('Raw Data'!C84)),"",_xlfn.REGEXEXTRACT(CELL("address",D84), "\$([A-Z]+)\$[0-9]+")))</f>
        <v/>
      </c>
      <c r="E84" s="7" t="str" cm="1">
        <f t="array" aca="1" ref="E84" ca="1">IF(OR('Raw Data'!E84="",LEN(TRIM('Raw Data'!E84))=0,Validate_Empty!E84&lt;&gt;"",Validate_Value!E84&lt;&gt;""),"",IF('Raw Data'!E84 = SUMIFS(Condition2!K:K,Condition2!B:B,TRIM('Raw Data'!B84),Condition2!C:C,TRIM('Raw Data'!C84)),"",_xlfn.REGEXEXTRACT(CELL("address",E84), "\$([A-Z]+)\$[0-9]+")))</f>
        <v/>
      </c>
      <c r="F84" s="7"/>
      <c r="G84" s="7"/>
    </row>
    <row r="85" spans="2:7" x14ac:dyDescent="0.25">
      <c r="B85" s="7"/>
      <c r="C85" s="7"/>
      <c r="D85" s="7" t="str" cm="1">
        <f t="array" aca="1" ref="D85" ca="1">IF(OR('Raw Data'!D85="",LEN(TRIM('Raw Data'!D85))=0,Validate_Empty!D85&lt;&gt;"",Validate_Value!D85&lt;&gt;""),"",IF('Raw Data'!D85 = SUMIFS(Condition1!J:J,Condition1!B:B,TRIM('Raw Data'!B85),Condition1!C:C,TRIM('Raw Data'!C85)),"",_xlfn.REGEXEXTRACT(CELL("address",D85), "\$([A-Z]+)\$[0-9]+")))</f>
        <v/>
      </c>
      <c r="E85" s="7" t="str" cm="1">
        <f t="array" aca="1" ref="E85" ca="1">IF(OR('Raw Data'!E85="",LEN(TRIM('Raw Data'!E85))=0,Validate_Empty!E85&lt;&gt;"",Validate_Value!E85&lt;&gt;""),"",IF('Raw Data'!E85 = SUMIFS(Condition2!K:K,Condition2!B:B,TRIM('Raw Data'!B85),Condition2!C:C,TRIM('Raw Data'!C85)),"",_xlfn.REGEXEXTRACT(CELL("address",E85), "\$([A-Z]+)\$[0-9]+")))</f>
        <v/>
      </c>
      <c r="F85" s="7"/>
      <c r="G85" s="7"/>
    </row>
    <row r="86" spans="2:7" x14ac:dyDescent="0.25">
      <c r="B86" s="7"/>
      <c r="C86" s="7"/>
      <c r="D86" s="7" t="str" cm="1">
        <f t="array" aca="1" ref="D86" ca="1">IF(OR('Raw Data'!D86="",LEN(TRIM('Raw Data'!D86))=0,Validate_Empty!D86&lt;&gt;"",Validate_Value!D86&lt;&gt;""),"",IF('Raw Data'!D86 = SUMIFS(Condition1!J:J,Condition1!B:B,TRIM('Raw Data'!B86),Condition1!C:C,TRIM('Raw Data'!C86)),"",_xlfn.REGEXEXTRACT(CELL("address",D86), "\$([A-Z]+)\$[0-9]+")))</f>
        <v/>
      </c>
      <c r="E86" s="7" t="str" cm="1">
        <f t="array" aca="1" ref="E86" ca="1">IF(OR('Raw Data'!E86="",LEN(TRIM('Raw Data'!E86))=0,Validate_Empty!E86&lt;&gt;"",Validate_Value!E86&lt;&gt;""),"",IF('Raw Data'!E86 = SUMIFS(Condition2!K:K,Condition2!B:B,TRIM('Raw Data'!B86),Condition2!C:C,TRIM('Raw Data'!C86)),"",_xlfn.REGEXEXTRACT(CELL("address",E86), "\$([A-Z]+)\$[0-9]+")))</f>
        <v/>
      </c>
      <c r="F86" s="7"/>
      <c r="G86" s="7"/>
    </row>
    <row r="87" spans="2:7" x14ac:dyDescent="0.25">
      <c r="B87" s="7"/>
      <c r="C87" s="7"/>
      <c r="D87" s="7" t="str" cm="1">
        <f t="array" aca="1" ref="D87" ca="1">IF(OR('Raw Data'!D87="",LEN(TRIM('Raw Data'!D87))=0,Validate_Empty!D87&lt;&gt;"",Validate_Value!D87&lt;&gt;""),"",IF('Raw Data'!D87 = SUMIFS(Condition1!J:J,Condition1!B:B,TRIM('Raw Data'!B87),Condition1!C:C,TRIM('Raw Data'!C87)),"",_xlfn.REGEXEXTRACT(CELL("address",D87), "\$([A-Z]+)\$[0-9]+")))</f>
        <v/>
      </c>
      <c r="E87" s="7" t="str" cm="1">
        <f t="array" aca="1" ref="E87" ca="1">IF(OR('Raw Data'!E87="",LEN(TRIM('Raw Data'!E87))=0,Validate_Empty!E87&lt;&gt;"",Validate_Value!E87&lt;&gt;""),"",IF('Raw Data'!E87 = SUMIFS(Condition2!K:K,Condition2!B:B,TRIM('Raw Data'!B87),Condition2!C:C,TRIM('Raw Data'!C87)),"",_xlfn.REGEXEXTRACT(CELL("address",E87), "\$([A-Z]+)\$[0-9]+")))</f>
        <v/>
      </c>
      <c r="F87" s="7"/>
      <c r="G87" s="7"/>
    </row>
    <row r="88" spans="2:7" x14ac:dyDescent="0.25">
      <c r="B88" s="7"/>
      <c r="C88" s="7"/>
      <c r="D88" s="7" t="str" cm="1">
        <f t="array" aca="1" ref="D88" ca="1">IF(OR('Raw Data'!D88="",LEN(TRIM('Raw Data'!D88))=0,Validate_Empty!D88&lt;&gt;"",Validate_Value!D88&lt;&gt;""),"",IF('Raw Data'!D88 = SUMIFS(Condition1!J:J,Condition1!B:B,TRIM('Raw Data'!B88),Condition1!C:C,TRIM('Raw Data'!C88)),"",_xlfn.REGEXEXTRACT(CELL("address",D88), "\$([A-Z]+)\$[0-9]+")))</f>
        <v/>
      </c>
      <c r="E88" s="7" t="str" cm="1">
        <f t="array" aca="1" ref="E88" ca="1">IF(OR('Raw Data'!E88="",LEN(TRIM('Raw Data'!E88))=0,Validate_Empty!E88&lt;&gt;"",Validate_Value!E88&lt;&gt;""),"",IF('Raw Data'!E88 = SUMIFS(Condition2!K:K,Condition2!B:B,TRIM('Raw Data'!B88),Condition2!C:C,TRIM('Raw Data'!C88)),"",_xlfn.REGEXEXTRACT(CELL("address",E88), "\$([A-Z]+)\$[0-9]+")))</f>
        <v/>
      </c>
      <c r="F88" s="7"/>
      <c r="G88" s="7"/>
    </row>
    <row r="89" spans="2:7" x14ac:dyDescent="0.25">
      <c r="B89" s="7"/>
      <c r="C89" s="7"/>
      <c r="D89" s="7" t="str" cm="1">
        <f t="array" aca="1" ref="D89" ca="1">IF(OR('Raw Data'!D89="",LEN(TRIM('Raw Data'!D89))=0,Validate_Empty!D89&lt;&gt;"",Validate_Value!D89&lt;&gt;""),"",IF('Raw Data'!D89 = SUMIFS(Condition1!J:J,Condition1!B:B,TRIM('Raw Data'!B89),Condition1!C:C,TRIM('Raw Data'!C89)),"",_xlfn.REGEXEXTRACT(CELL("address",D89), "\$([A-Z]+)\$[0-9]+")))</f>
        <v/>
      </c>
      <c r="E89" s="7" t="str" cm="1">
        <f t="array" aca="1" ref="E89" ca="1">IF(OR('Raw Data'!E89="",LEN(TRIM('Raw Data'!E89))=0,Validate_Empty!E89&lt;&gt;"",Validate_Value!E89&lt;&gt;""),"",IF('Raw Data'!E89 = SUMIFS(Condition2!K:K,Condition2!B:B,TRIM('Raw Data'!B89),Condition2!C:C,TRIM('Raw Data'!C89)),"",_xlfn.REGEXEXTRACT(CELL("address",E89), "\$([A-Z]+)\$[0-9]+")))</f>
        <v/>
      </c>
      <c r="F89" s="7"/>
      <c r="G89" s="7"/>
    </row>
    <row r="90" spans="2:7" x14ac:dyDescent="0.25">
      <c r="B90" s="7"/>
      <c r="C90" s="7"/>
      <c r="D90" s="7" t="str" cm="1">
        <f t="array" aca="1" ref="D90" ca="1">IF(OR('Raw Data'!D90="",LEN(TRIM('Raw Data'!D90))=0,Validate_Empty!D90&lt;&gt;"",Validate_Value!D90&lt;&gt;""),"",IF('Raw Data'!D90 = SUMIFS(Condition1!J:J,Condition1!B:B,TRIM('Raw Data'!B90),Condition1!C:C,TRIM('Raw Data'!C90)),"",_xlfn.REGEXEXTRACT(CELL("address",D90), "\$([A-Z]+)\$[0-9]+")))</f>
        <v/>
      </c>
      <c r="E90" s="7" t="str" cm="1">
        <f t="array" aca="1" ref="E90" ca="1">IF(OR('Raw Data'!E90="",LEN(TRIM('Raw Data'!E90))=0,Validate_Empty!E90&lt;&gt;"",Validate_Value!E90&lt;&gt;""),"",IF('Raw Data'!E90 = SUMIFS(Condition2!K:K,Condition2!B:B,TRIM('Raw Data'!B90),Condition2!C:C,TRIM('Raw Data'!C90)),"",_xlfn.REGEXEXTRACT(CELL("address",E90), "\$([A-Z]+)\$[0-9]+")))</f>
        <v/>
      </c>
      <c r="F90" s="7"/>
      <c r="G90" s="7"/>
    </row>
    <row r="91" spans="2:7" x14ac:dyDescent="0.25">
      <c r="B91" s="7"/>
      <c r="C91" s="7"/>
      <c r="D91" s="7" t="str" cm="1">
        <f t="array" aca="1" ref="D91" ca="1">IF(OR('Raw Data'!D91="",LEN(TRIM('Raw Data'!D91))=0,Validate_Empty!D91&lt;&gt;"",Validate_Value!D91&lt;&gt;""),"",IF('Raw Data'!D91 = SUMIFS(Condition1!J:J,Condition1!B:B,TRIM('Raw Data'!B91),Condition1!C:C,TRIM('Raw Data'!C91)),"",_xlfn.REGEXEXTRACT(CELL("address",D91), "\$([A-Z]+)\$[0-9]+")))</f>
        <v/>
      </c>
      <c r="E91" s="7" t="str" cm="1">
        <f t="array" aca="1" ref="E91" ca="1">IF(OR('Raw Data'!E91="",LEN(TRIM('Raw Data'!E91))=0,Validate_Empty!E91&lt;&gt;"",Validate_Value!E91&lt;&gt;""),"",IF('Raw Data'!E91 = SUMIFS(Condition2!K:K,Condition2!B:B,TRIM('Raw Data'!B91),Condition2!C:C,TRIM('Raw Data'!C91)),"",_xlfn.REGEXEXTRACT(CELL("address",E91), "\$([A-Z]+)\$[0-9]+")))</f>
        <v/>
      </c>
      <c r="F91" s="7"/>
      <c r="G91" s="7"/>
    </row>
    <row r="92" spans="2:7" x14ac:dyDescent="0.25">
      <c r="B92" s="7"/>
      <c r="C92" s="7"/>
      <c r="D92" s="7" t="str" cm="1">
        <f t="array" aca="1" ref="D92" ca="1">IF(OR('Raw Data'!D92="",LEN(TRIM('Raw Data'!D92))=0,Validate_Empty!D92&lt;&gt;"",Validate_Value!D92&lt;&gt;""),"",IF('Raw Data'!D92 = SUMIFS(Condition1!J:J,Condition1!B:B,TRIM('Raw Data'!B92),Condition1!C:C,TRIM('Raw Data'!C92)),"",_xlfn.REGEXEXTRACT(CELL("address",D92), "\$([A-Z]+)\$[0-9]+")))</f>
        <v/>
      </c>
      <c r="E92" s="7" t="str" cm="1">
        <f t="array" aca="1" ref="E92" ca="1">IF(OR('Raw Data'!E92="",LEN(TRIM('Raw Data'!E92))=0,Validate_Empty!E92&lt;&gt;"",Validate_Value!E92&lt;&gt;""),"",IF('Raw Data'!E92 = SUMIFS(Condition2!K:K,Condition2!B:B,TRIM('Raw Data'!B92),Condition2!C:C,TRIM('Raw Data'!C92)),"",_xlfn.REGEXEXTRACT(CELL("address",E92), "\$([A-Z]+)\$[0-9]+")))</f>
        <v/>
      </c>
      <c r="F92" s="7"/>
      <c r="G92" s="7"/>
    </row>
    <row r="93" spans="2:7" x14ac:dyDescent="0.25">
      <c r="B93" s="7"/>
      <c r="C93" s="7"/>
      <c r="D93" s="7" t="str" cm="1">
        <f t="array" aca="1" ref="D93" ca="1">IF(OR('Raw Data'!D93="",LEN(TRIM('Raw Data'!D93))=0,Validate_Empty!D93&lt;&gt;"",Validate_Value!D93&lt;&gt;""),"",IF('Raw Data'!D93 = SUMIFS(Condition1!J:J,Condition1!B:B,TRIM('Raw Data'!B93),Condition1!C:C,TRIM('Raw Data'!C93)),"",_xlfn.REGEXEXTRACT(CELL("address",D93), "\$([A-Z]+)\$[0-9]+")))</f>
        <v/>
      </c>
      <c r="E93" s="7" t="str" cm="1">
        <f t="array" aca="1" ref="E93" ca="1">IF(OR('Raw Data'!E93="",LEN(TRIM('Raw Data'!E93))=0,Validate_Empty!E93&lt;&gt;"",Validate_Value!E93&lt;&gt;""),"",IF('Raw Data'!E93 = SUMIFS(Condition2!K:K,Condition2!B:B,TRIM('Raw Data'!B93),Condition2!C:C,TRIM('Raw Data'!C93)),"",_xlfn.REGEXEXTRACT(CELL("address",E93), "\$([A-Z]+)\$[0-9]+")))</f>
        <v/>
      </c>
      <c r="F93" s="7"/>
      <c r="G93" s="7"/>
    </row>
    <row r="94" spans="2:7" x14ac:dyDescent="0.25">
      <c r="B94" s="7"/>
      <c r="C94" s="7"/>
      <c r="D94" s="7" t="str" cm="1">
        <f t="array" aca="1" ref="D94" ca="1">IF(OR('Raw Data'!D94="",LEN(TRIM('Raw Data'!D94))=0,Validate_Empty!D94&lt;&gt;"",Validate_Value!D94&lt;&gt;""),"",IF('Raw Data'!D94 = SUMIFS(Condition1!J:J,Condition1!B:B,TRIM('Raw Data'!B94),Condition1!C:C,TRIM('Raw Data'!C94)),"",_xlfn.REGEXEXTRACT(CELL("address",D94), "\$([A-Z]+)\$[0-9]+")))</f>
        <v/>
      </c>
      <c r="E94" s="7" t="str" cm="1">
        <f t="array" aca="1" ref="E94" ca="1">IF(OR('Raw Data'!E94="",LEN(TRIM('Raw Data'!E94))=0,Validate_Empty!E94&lt;&gt;"",Validate_Value!E94&lt;&gt;""),"",IF('Raw Data'!E94 = SUMIFS(Condition2!K:K,Condition2!B:B,TRIM('Raw Data'!B94),Condition2!C:C,TRIM('Raw Data'!C94)),"",_xlfn.REGEXEXTRACT(CELL("address",E94), "\$([A-Z]+)\$[0-9]+")))</f>
        <v/>
      </c>
      <c r="F94" s="7"/>
      <c r="G94" s="7"/>
    </row>
    <row r="95" spans="2:7" x14ac:dyDescent="0.25">
      <c r="B95" s="7"/>
      <c r="C95" s="7"/>
      <c r="D95" s="7" t="str" cm="1">
        <f t="array" aca="1" ref="D95" ca="1">IF(OR('Raw Data'!D95="",LEN(TRIM('Raw Data'!D95))=0,Validate_Empty!D95&lt;&gt;"",Validate_Value!D95&lt;&gt;""),"",IF('Raw Data'!D95 = SUMIFS(Condition1!J:J,Condition1!B:B,TRIM('Raw Data'!B95),Condition1!C:C,TRIM('Raw Data'!C95)),"",_xlfn.REGEXEXTRACT(CELL("address",D95), "\$([A-Z]+)\$[0-9]+")))</f>
        <v/>
      </c>
      <c r="E95" s="7" t="str" cm="1">
        <f t="array" aca="1" ref="E95" ca="1">IF(OR('Raw Data'!E95="",LEN(TRIM('Raw Data'!E95))=0,Validate_Empty!E95&lt;&gt;"",Validate_Value!E95&lt;&gt;""),"",IF('Raw Data'!E95 = SUMIFS(Condition2!K:K,Condition2!B:B,TRIM('Raw Data'!B95),Condition2!C:C,TRIM('Raw Data'!C95)),"",_xlfn.REGEXEXTRACT(CELL("address",E95), "\$([A-Z]+)\$[0-9]+")))</f>
        <v/>
      </c>
      <c r="F95" s="7"/>
      <c r="G95" s="7"/>
    </row>
    <row r="96" spans="2:7" x14ac:dyDescent="0.25">
      <c r="B96" s="7"/>
      <c r="C96" s="7"/>
      <c r="D96" s="7" t="str" cm="1">
        <f t="array" aca="1" ref="D96" ca="1">IF(OR('Raw Data'!D96="",LEN(TRIM('Raw Data'!D96))=0,Validate_Empty!D96&lt;&gt;"",Validate_Value!D96&lt;&gt;""),"",IF('Raw Data'!D96 = SUMIFS(Condition1!J:J,Condition1!B:B,TRIM('Raw Data'!B96),Condition1!C:C,TRIM('Raw Data'!C96)),"",_xlfn.REGEXEXTRACT(CELL("address",D96), "\$([A-Z]+)\$[0-9]+")))</f>
        <v/>
      </c>
      <c r="E96" s="7" t="str" cm="1">
        <f t="array" aca="1" ref="E96" ca="1">IF(OR('Raw Data'!E96="",LEN(TRIM('Raw Data'!E96))=0,Validate_Empty!E96&lt;&gt;"",Validate_Value!E96&lt;&gt;""),"",IF('Raw Data'!E96 = SUMIFS(Condition2!K:K,Condition2!B:B,TRIM('Raw Data'!B96),Condition2!C:C,TRIM('Raw Data'!C96)),"",_xlfn.REGEXEXTRACT(CELL("address",E96), "\$([A-Z]+)\$[0-9]+")))</f>
        <v/>
      </c>
      <c r="F96" s="7"/>
      <c r="G96" s="7"/>
    </row>
    <row r="97" spans="2:7" x14ac:dyDescent="0.25">
      <c r="B97" s="7"/>
      <c r="C97" s="7"/>
      <c r="D97" s="7" t="str" cm="1">
        <f t="array" aca="1" ref="D97" ca="1">IF(OR('Raw Data'!D97="",LEN(TRIM('Raw Data'!D97))=0,Validate_Empty!D97&lt;&gt;"",Validate_Value!D97&lt;&gt;""),"",IF('Raw Data'!D97 = SUMIFS(Condition1!J:J,Condition1!B:B,TRIM('Raw Data'!B97),Condition1!C:C,TRIM('Raw Data'!C97)),"",_xlfn.REGEXEXTRACT(CELL("address",D97), "\$([A-Z]+)\$[0-9]+")))</f>
        <v/>
      </c>
      <c r="E97" s="7" t="str" cm="1">
        <f t="array" aca="1" ref="E97" ca="1">IF(OR('Raw Data'!E97="",LEN(TRIM('Raw Data'!E97))=0,Validate_Empty!E97&lt;&gt;"",Validate_Value!E97&lt;&gt;""),"",IF('Raw Data'!E97 = SUMIFS(Condition2!K:K,Condition2!B:B,TRIM('Raw Data'!B97),Condition2!C:C,TRIM('Raw Data'!C97)),"",_xlfn.REGEXEXTRACT(CELL("address",E97), "\$([A-Z]+)\$[0-9]+")))</f>
        <v/>
      </c>
      <c r="F97" s="7"/>
      <c r="G97" s="7"/>
    </row>
    <row r="98" spans="2:7" x14ac:dyDescent="0.25">
      <c r="B98" s="7"/>
      <c r="C98" s="7"/>
      <c r="D98" s="7" t="str" cm="1">
        <f t="array" aca="1" ref="D98" ca="1">IF(OR('Raw Data'!D98="",LEN(TRIM('Raw Data'!D98))=0,Validate_Empty!D98&lt;&gt;"",Validate_Value!D98&lt;&gt;""),"",IF('Raw Data'!D98 = SUMIFS(Condition1!J:J,Condition1!B:B,TRIM('Raw Data'!B98),Condition1!C:C,TRIM('Raw Data'!C98)),"",_xlfn.REGEXEXTRACT(CELL("address",D98), "\$([A-Z]+)\$[0-9]+")))</f>
        <v/>
      </c>
      <c r="E98" s="7" t="str" cm="1">
        <f t="array" aca="1" ref="E98" ca="1">IF(OR('Raw Data'!E98="",LEN(TRIM('Raw Data'!E98))=0,Validate_Empty!E98&lt;&gt;"",Validate_Value!E98&lt;&gt;""),"",IF('Raw Data'!E98 = SUMIFS(Condition2!K:K,Condition2!B:B,TRIM('Raw Data'!B98),Condition2!C:C,TRIM('Raw Data'!C98)),"",_xlfn.REGEXEXTRACT(CELL("address",E98), "\$([A-Z]+)\$[0-9]+")))</f>
        <v/>
      </c>
      <c r="F98" s="7"/>
      <c r="G98" s="7"/>
    </row>
    <row r="99" spans="2:7" x14ac:dyDescent="0.25">
      <c r="B99" s="7"/>
      <c r="C99" s="7"/>
      <c r="D99" s="7" t="str" cm="1">
        <f t="array" aca="1" ref="D99" ca="1">IF(OR('Raw Data'!D99="",LEN(TRIM('Raw Data'!D99))=0,Validate_Empty!D99&lt;&gt;"",Validate_Value!D99&lt;&gt;""),"",IF('Raw Data'!D99 = SUMIFS(Condition1!J:J,Condition1!B:B,TRIM('Raw Data'!B99),Condition1!C:C,TRIM('Raw Data'!C99)),"",_xlfn.REGEXEXTRACT(CELL("address",D99), "\$([A-Z]+)\$[0-9]+")))</f>
        <v/>
      </c>
      <c r="E99" s="7" t="str" cm="1">
        <f t="array" aca="1" ref="E99" ca="1">IF(OR('Raw Data'!E99="",LEN(TRIM('Raw Data'!E99))=0,Validate_Empty!E99&lt;&gt;"",Validate_Value!E99&lt;&gt;""),"",IF('Raw Data'!E99 = SUMIFS(Condition2!K:K,Condition2!B:B,TRIM('Raw Data'!B99),Condition2!C:C,TRIM('Raw Data'!C99)),"",_xlfn.REGEXEXTRACT(CELL("address",E99), "\$([A-Z]+)\$[0-9]+")))</f>
        <v/>
      </c>
      <c r="F99" s="7"/>
      <c r="G99" s="7"/>
    </row>
    <row r="100" spans="2:7" x14ac:dyDescent="0.25">
      <c r="B100" s="7"/>
      <c r="C100" s="7"/>
      <c r="D100" s="7" t="str" cm="1">
        <f t="array" aca="1" ref="D100" ca="1">IF(OR('Raw Data'!D100="",LEN(TRIM('Raw Data'!D100))=0,Validate_Empty!D100&lt;&gt;"",Validate_Value!D100&lt;&gt;""),"",IF('Raw Data'!D100 = SUMIFS(Condition1!J:J,Condition1!B:B,TRIM('Raw Data'!B100),Condition1!C:C,TRIM('Raw Data'!C100)),"",_xlfn.REGEXEXTRACT(CELL("address",D100), "\$([A-Z]+)\$[0-9]+")))</f>
        <v/>
      </c>
      <c r="E100" s="7" t="str" cm="1">
        <f t="array" aca="1" ref="E100" ca="1">IF(OR('Raw Data'!E100="",LEN(TRIM('Raw Data'!E100))=0,Validate_Empty!E100&lt;&gt;"",Validate_Value!E100&lt;&gt;""),"",IF('Raw Data'!E100 = SUMIFS(Condition2!K:K,Condition2!B:B,TRIM('Raw Data'!B100),Condition2!C:C,TRIM('Raw Data'!C100)),"",_xlfn.REGEXEXTRACT(CELL("address",E100), "\$([A-Z]+)\$[0-9]+")))</f>
        <v/>
      </c>
      <c r="F100" s="7"/>
      <c r="G1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1C33-3160-4EB3-B372-65E558D5FA4D}">
  <dimension ref="B9:Y3501"/>
  <sheetViews>
    <sheetView topLeftCell="A711" workbookViewId="0">
      <selection activeCell="M718" sqref="M718"/>
    </sheetView>
  </sheetViews>
  <sheetFormatPr defaultRowHeight="15" x14ac:dyDescent="0.25"/>
  <cols>
    <col min="3" max="3" width="14.42578125" customWidth="1"/>
    <col min="10" max="10" width="12" bestFit="1" customWidth="1"/>
    <col min="27" max="27" width="11.85546875" bestFit="1" customWidth="1"/>
  </cols>
  <sheetData>
    <row r="9" spans="2:25" x14ac:dyDescent="0.25">
      <c r="B9" t="s">
        <v>14</v>
      </c>
    </row>
    <row r="10" spans="2:25" x14ac:dyDescent="0.25">
      <c r="B10" s="13" t="s">
        <v>0</v>
      </c>
      <c r="C10" s="14" t="s">
        <v>1</v>
      </c>
      <c r="D10" s="13" t="s">
        <v>2</v>
      </c>
      <c r="E10" s="14" t="s">
        <v>3</v>
      </c>
      <c r="F10" s="13" t="s">
        <v>4</v>
      </c>
      <c r="G10" s="14" t="s">
        <v>5</v>
      </c>
      <c r="H10" s="13" t="s">
        <v>15</v>
      </c>
      <c r="I10" s="14" t="s">
        <v>16</v>
      </c>
      <c r="J10" s="21" t="s">
        <v>17</v>
      </c>
      <c r="K10" s="22"/>
      <c r="L10" s="23"/>
      <c r="M10" s="22"/>
      <c r="N10" s="24"/>
      <c r="O10" s="22"/>
      <c r="P10" s="24"/>
      <c r="Q10" s="22"/>
      <c r="R10" s="24"/>
      <c r="S10" s="22"/>
      <c r="T10" s="24"/>
      <c r="U10" s="22"/>
      <c r="V10" s="24"/>
      <c r="W10" s="22"/>
      <c r="X10" s="24"/>
      <c r="Y10" s="22"/>
    </row>
    <row r="11" spans="2:25" x14ac:dyDescent="0.25">
      <c r="B11" t="s">
        <v>340</v>
      </c>
      <c r="C11" t="s">
        <v>19</v>
      </c>
      <c r="D11">
        <v>703430</v>
      </c>
      <c r="E11" t="s">
        <v>20</v>
      </c>
      <c r="F11" t="s">
        <v>21</v>
      </c>
      <c r="G11" t="s">
        <v>22</v>
      </c>
      <c r="H11" t="s">
        <v>23</v>
      </c>
      <c r="J11">
        <v>0</v>
      </c>
    </row>
    <row r="12" spans="2:25" x14ac:dyDescent="0.25">
      <c r="B12" t="s">
        <v>340</v>
      </c>
      <c r="C12" t="s">
        <v>19</v>
      </c>
      <c r="D12">
        <v>703852</v>
      </c>
      <c r="E12" t="s">
        <v>24</v>
      </c>
      <c r="F12" t="s">
        <v>21</v>
      </c>
      <c r="G12" t="s">
        <v>22</v>
      </c>
      <c r="H12" t="s">
        <v>23</v>
      </c>
      <c r="J12">
        <v>0</v>
      </c>
    </row>
    <row r="13" spans="2:25" x14ac:dyDescent="0.25">
      <c r="B13" t="s">
        <v>340</v>
      </c>
      <c r="C13" t="s">
        <v>19</v>
      </c>
      <c r="D13">
        <v>706700</v>
      </c>
      <c r="E13" t="s">
        <v>25</v>
      </c>
      <c r="F13" t="s">
        <v>26</v>
      </c>
      <c r="G13" t="s">
        <v>27</v>
      </c>
      <c r="H13" t="s">
        <v>28</v>
      </c>
      <c r="J13">
        <v>0</v>
      </c>
    </row>
    <row r="14" spans="2:25" x14ac:dyDescent="0.25">
      <c r="B14" t="s">
        <v>340</v>
      </c>
      <c r="C14" t="s">
        <v>19</v>
      </c>
      <c r="D14" t="s">
        <v>29</v>
      </c>
      <c r="E14" t="s">
        <v>30</v>
      </c>
      <c r="F14" t="s">
        <v>26</v>
      </c>
      <c r="G14" t="s">
        <v>27</v>
      </c>
      <c r="H14" t="s">
        <v>31</v>
      </c>
      <c r="J14">
        <v>0</v>
      </c>
    </row>
    <row r="15" spans="2:25" x14ac:dyDescent="0.25">
      <c r="B15" t="s">
        <v>340</v>
      </c>
      <c r="C15" t="s">
        <v>19</v>
      </c>
      <c r="D15" t="s">
        <v>32</v>
      </c>
      <c r="E15" t="s">
        <v>33</v>
      </c>
      <c r="F15" t="s">
        <v>26</v>
      </c>
      <c r="G15" t="s">
        <v>27</v>
      </c>
      <c r="H15" t="s">
        <v>28</v>
      </c>
      <c r="J15">
        <v>0</v>
      </c>
    </row>
    <row r="16" spans="2:25" x14ac:dyDescent="0.25">
      <c r="B16" t="s">
        <v>340</v>
      </c>
      <c r="C16" t="s">
        <v>19</v>
      </c>
      <c r="D16" t="s">
        <v>34</v>
      </c>
      <c r="E16" t="s">
        <v>35</v>
      </c>
      <c r="F16" t="s">
        <v>26</v>
      </c>
      <c r="G16" t="s">
        <v>36</v>
      </c>
      <c r="H16" t="s">
        <v>36</v>
      </c>
      <c r="J16">
        <v>0</v>
      </c>
    </row>
    <row r="17" spans="2:10" x14ac:dyDescent="0.25">
      <c r="B17" t="s">
        <v>340</v>
      </c>
      <c r="C17" t="s">
        <v>19</v>
      </c>
      <c r="D17" t="s">
        <v>37</v>
      </c>
      <c r="E17" t="s">
        <v>38</v>
      </c>
      <c r="F17" t="s">
        <v>21</v>
      </c>
      <c r="G17" t="s">
        <v>39</v>
      </c>
      <c r="H17" t="s">
        <v>39</v>
      </c>
      <c r="J17">
        <v>0</v>
      </c>
    </row>
    <row r="18" spans="2:10" x14ac:dyDescent="0.25">
      <c r="B18" t="s">
        <v>340</v>
      </c>
      <c r="C18" t="s">
        <v>19</v>
      </c>
      <c r="D18" t="s">
        <v>40</v>
      </c>
      <c r="E18" t="s">
        <v>41</v>
      </c>
      <c r="F18" t="s">
        <v>26</v>
      </c>
      <c r="G18" t="s">
        <v>39</v>
      </c>
      <c r="H18" t="s">
        <v>39</v>
      </c>
      <c r="J18">
        <v>0</v>
      </c>
    </row>
    <row r="19" spans="2:10" x14ac:dyDescent="0.25">
      <c r="B19" t="s">
        <v>340</v>
      </c>
      <c r="C19" t="s">
        <v>19</v>
      </c>
      <c r="D19" t="s">
        <v>42</v>
      </c>
      <c r="E19" t="s">
        <v>43</v>
      </c>
      <c r="F19" t="s">
        <v>21</v>
      </c>
      <c r="G19" t="s">
        <v>44</v>
      </c>
      <c r="H19" t="s">
        <v>44</v>
      </c>
      <c r="J19">
        <v>0</v>
      </c>
    </row>
    <row r="20" spans="2:10" x14ac:dyDescent="0.25">
      <c r="B20" t="s">
        <v>340</v>
      </c>
      <c r="C20" t="s">
        <v>19</v>
      </c>
      <c r="D20" t="s">
        <v>45</v>
      </c>
      <c r="E20" t="s">
        <v>46</v>
      </c>
      <c r="F20" t="s">
        <v>26</v>
      </c>
      <c r="G20" t="s">
        <v>44</v>
      </c>
      <c r="H20" t="s">
        <v>44</v>
      </c>
      <c r="J20">
        <v>0</v>
      </c>
    </row>
    <row r="21" spans="2:10" x14ac:dyDescent="0.25">
      <c r="B21" t="s">
        <v>340</v>
      </c>
      <c r="C21" t="s">
        <v>19</v>
      </c>
      <c r="D21" t="s">
        <v>47</v>
      </c>
      <c r="E21" t="s">
        <v>48</v>
      </c>
      <c r="F21" t="s">
        <v>26</v>
      </c>
      <c r="G21" t="s">
        <v>49</v>
      </c>
      <c r="H21" t="s">
        <v>49</v>
      </c>
      <c r="J21">
        <v>0</v>
      </c>
    </row>
    <row r="22" spans="2:10" x14ac:dyDescent="0.25">
      <c r="B22" t="s">
        <v>337</v>
      </c>
      <c r="C22" t="s">
        <v>50</v>
      </c>
      <c r="D22">
        <v>701000</v>
      </c>
      <c r="E22" t="s">
        <v>51</v>
      </c>
      <c r="F22" t="s">
        <v>21</v>
      </c>
      <c r="G22" t="s">
        <v>52</v>
      </c>
      <c r="H22" t="s">
        <v>53</v>
      </c>
      <c r="J22">
        <v>0</v>
      </c>
    </row>
    <row r="23" spans="2:10" x14ac:dyDescent="0.25">
      <c r="B23" t="s">
        <v>337</v>
      </c>
      <c r="C23" t="s">
        <v>50</v>
      </c>
      <c r="D23">
        <v>701008</v>
      </c>
      <c r="E23" t="s">
        <v>54</v>
      </c>
      <c r="F23" t="s">
        <v>21</v>
      </c>
      <c r="G23" t="s">
        <v>52</v>
      </c>
      <c r="H23" t="s">
        <v>53</v>
      </c>
      <c r="J23">
        <v>0</v>
      </c>
    </row>
    <row r="24" spans="2:10" x14ac:dyDescent="0.25">
      <c r="B24" t="s">
        <v>337</v>
      </c>
      <c r="C24" t="s">
        <v>50</v>
      </c>
      <c r="D24">
        <v>701009</v>
      </c>
      <c r="E24" t="s">
        <v>55</v>
      </c>
      <c r="F24" t="s">
        <v>21</v>
      </c>
      <c r="G24" t="s">
        <v>52</v>
      </c>
      <c r="H24" t="s">
        <v>53</v>
      </c>
      <c r="J24">
        <v>0</v>
      </c>
    </row>
    <row r="25" spans="2:10" x14ac:dyDescent="0.25">
      <c r="B25" t="s">
        <v>337</v>
      </c>
      <c r="C25" t="s">
        <v>50</v>
      </c>
      <c r="D25">
        <v>701010</v>
      </c>
      <c r="E25" t="s">
        <v>56</v>
      </c>
      <c r="F25" t="s">
        <v>21</v>
      </c>
      <c r="G25" t="s">
        <v>52</v>
      </c>
      <c r="H25" t="s">
        <v>57</v>
      </c>
      <c r="J25">
        <v>0</v>
      </c>
    </row>
    <row r="26" spans="2:10" x14ac:dyDescent="0.25">
      <c r="B26" t="s">
        <v>337</v>
      </c>
      <c r="C26" t="s">
        <v>50</v>
      </c>
      <c r="D26">
        <v>701011</v>
      </c>
      <c r="E26" t="s">
        <v>58</v>
      </c>
      <c r="F26" t="s">
        <v>21</v>
      </c>
      <c r="G26" t="s">
        <v>52</v>
      </c>
      <c r="H26" t="s">
        <v>53</v>
      </c>
      <c r="J26">
        <v>0</v>
      </c>
    </row>
    <row r="27" spans="2:10" x14ac:dyDescent="0.25">
      <c r="B27" t="s">
        <v>337</v>
      </c>
      <c r="C27" t="s">
        <v>50</v>
      </c>
      <c r="D27">
        <v>701012</v>
      </c>
      <c r="E27" t="s">
        <v>59</v>
      </c>
      <c r="F27" t="s">
        <v>21</v>
      </c>
      <c r="G27" t="s">
        <v>52</v>
      </c>
      <c r="H27" t="s">
        <v>53</v>
      </c>
      <c r="J27">
        <v>0</v>
      </c>
    </row>
    <row r="28" spans="2:10" x14ac:dyDescent="0.25">
      <c r="B28" t="s">
        <v>337</v>
      </c>
      <c r="C28" t="s">
        <v>50</v>
      </c>
      <c r="D28">
        <v>701013</v>
      </c>
      <c r="E28" t="s">
        <v>60</v>
      </c>
      <c r="F28" t="s">
        <v>21</v>
      </c>
      <c r="G28" t="s">
        <v>61</v>
      </c>
      <c r="H28" t="s">
        <v>62</v>
      </c>
      <c r="J28">
        <v>0</v>
      </c>
    </row>
    <row r="29" spans="2:10" x14ac:dyDescent="0.25">
      <c r="B29" t="s">
        <v>337</v>
      </c>
      <c r="C29" t="s">
        <v>50</v>
      </c>
      <c r="D29">
        <v>701014</v>
      </c>
      <c r="E29" t="s">
        <v>63</v>
      </c>
      <c r="F29" t="s">
        <v>21</v>
      </c>
      <c r="G29" t="s">
        <v>61</v>
      </c>
      <c r="H29" t="s">
        <v>64</v>
      </c>
      <c r="J29">
        <v>0</v>
      </c>
    </row>
    <row r="30" spans="2:10" x14ac:dyDescent="0.25">
      <c r="B30" t="s">
        <v>337</v>
      </c>
      <c r="C30" t="s">
        <v>50</v>
      </c>
      <c r="D30">
        <v>701015</v>
      </c>
      <c r="E30" t="s">
        <v>65</v>
      </c>
      <c r="F30" t="s">
        <v>21</v>
      </c>
      <c r="G30" t="s">
        <v>52</v>
      </c>
      <c r="H30" t="s">
        <v>53</v>
      </c>
      <c r="J30">
        <v>0</v>
      </c>
    </row>
    <row r="31" spans="2:10" x14ac:dyDescent="0.25">
      <c r="B31" t="s">
        <v>337</v>
      </c>
      <c r="C31" t="s">
        <v>50</v>
      </c>
      <c r="D31">
        <v>701016</v>
      </c>
      <c r="E31" t="s">
        <v>66</v>
      </c>
      <c r="F31" t="s">
        <v>21</v>
      </c>
      <c r="G31" t="s">
        <v>52</v>
      </c>
      <c r="H31" t="s">
        <v>53</v>
      </c>
      <c r="J31">
        <v>0</v>
      </c>
    </row>
    <row r="32" spans="2:10" x14ac:dyDescent="0.25">
      <c r="B32" t="s">
        <v>337</v>
      </c>
      <c r="C32" t="s">
        <v>50</v>
      </c>
      <c r="D32">
        <v>701017</v>
      </c>
      <c r="E32" t="s">
        <v>67</v>
      </c>
      <c r="F32" t="s">
        <v>21</v>
      </c>
      <c r="G32" t="s">
        <v>61</v>
      </c>
      <c r="H32" t="s">
        <v>68</v>
      </c>
      <c r="J32">
        <v>0</v>
      </c>
    </row>
    <row r="33" spans="2:10" x14ac:dyDescent="0.25">
      <c r="B33" t="s">
        <v>337</v>
      </c>
      <c r="C33" t="s">
        <v>50</v>
      </c>
      <c r="D33">
        <v>701018</v>
      </c>
      <c r="E33" t="s">
        <v>69</v>
      </c>
      <c r="F33" t="s">
        <v>21</v>
      </c>
      <c r="G33" t="s">
        <v>61</v>
      </c>
      <c r="H33" t="s">
        <v>68</v>
      </c>
      <c r="J33">
        <v>0</v>
      </c>
    </row>
    <row r="34" spans="2:10" x14ac:dyDescent="0.25">
      <c r="B34" t="s">
        <v>337</v>
      </c>
      <c r="C34" t="s">
        <v>50</v>
      </c>
      <c r="D34">
        <v>701019</v>
      </c>
      <c r="E34" t="s">
        <v>70</v>
      </c>
      <c r="F34" t="s">
        <v>21</v>
      </c>
      <c r="G34" t="s">
        <v>71</v>
      </c>
      <c r="H34" t="s">
        <v>72</v>
      </c>
      <c r="J34">
        <v>0</v>
      </c>
    </row>
    <row r="35" spans="2:10" x14ac:dyDescent="0.25">
      <c r="B35" t="s">
        <v>337</v>
      </c>
      <c r="C35" t="s">
        <v>50</v>
      </c>
      <c r="D35">
        <v>701020</v>
      </c>
      <c r="E35" t="s">
        <v>73</v>
      </c>
      <c r="F35" t="s">
        <v>21</v>
      </c>
      <c r="G35" t="s">
        <v>52</v>
      </c>
      <c r="H35" t="s">
        <v>53</v>
      </c>
      <c r="J35">
        <v>0</v>
      </c>
    </row>
    <row r="36" spans="2:10" x14ac:dyDescent="0.25">
      <c r="B36" t="s">
        <v>337</v>
      </c>
      <c r="C36" t="s">
        <v>50</v>
      </c>
      <c r="D36">
        <v>701021</v>
      </c>
      <c r="E36" t="s">
        <v>74</v>
      </c>
      <c r="F36" t="s">
        <v>21</v>
      </c>
      <c r="G36" t="s">
        <v>61</v>
      </c>
      <c r="H36" t="s">
        <v>74</v>
      </c>
      <c r="J36">
        <v>0</v>
      </c>
    </row>
    <row r="37" spans="2:10" x14ac:dyDescent="0.25">
      <c r="B37" t="s">
        <v>337</v>
      </c>
      <c r="C37" t="s">
        <v>50</v>
      </c>
      <c r="D37">
        <v>701022</v>
      </c>
      <c r="E37" t="s">
        <v>75</v>
      </c>
      <c r="F37" t="s">
        <v>21</v>
      </c>
      <c r="G37" t="s">
        <v>76</v>
      </c>
      <c r="H37" t="s">
        <v>77</v>
      </c>
      <c r="J37">
        <v>0</v>
      </c>
    </row>
    <row r="38" spans="2:10" x14ac:dyDescent="0.25">
      <c r="B38" t="s">
        <v>337</v>
      </c>
      <c r="C38" t="s">
        <v>50</v>
      </c>
      <c r="D38">
        <v>701023</v>
      </c>
      <c r="E38" t="s">
        <v>78</v>
      </c>
      <c r="F38" t="s">
        <v>21</v>
      </c>
      <c r="G38" t="s">
        <v>61</v>
      </c>
      <c r="H38" t="s">
        <v>79</v>
      </c>
      <c r="J38">
        <v>0</v>
      </c>
    </row>
    <row r="39" spans="2:10" x14ac:dyDescent="0.25">
      <c r="B39" t="s">
        <v>337</v>
      </c>
      <c r="C39" t="s">
        <v>50</v>
      </c>
      <c r="D39">
        <v>701024</v>
      </c>
      <c r="E39" t="s">
        <v>80</v>
      </c>
      <c r="F39" t="s">
        <v>21</v>
      </c>
      <c r="G39" t="s">
        <v>76</v>
      </c>
      <c r="H39" t="s">
        <v>77</v>
      </c>
      <c r="J39">
        <v>0</v>
      </c>
    </row>
    <row r="40" spans="2:10" x14ac:dyDescent="0.25">
      <c r="B40" t="s">
        <v>337</v>
      </c>
      <c r="C40" t="s">
        <v>50</v>
      </c>
      <c r="D40">
        <v>701025</v>
      </c>
      <c r="E40" t="s">
        <v>81</v>
      </c>
      <c r="F40" t="s">
        <v>21</v>
      </c>
      <c r="G40" t="s">
        <v>71</v>
      </c>
      <c r="H40" t="s">
        <v>82</v>
      </c>
      <c r="J40">
        <v>0</v>
      </c>
    </row>
    <row r="41" spans="2:10" x14ac:dyDescent="0.25">
      <c r="B41" t="s">
        <v>337</v>
      </c>
      <c r="C41" t="s">
        <v>50</v>
      </c>
      <c r="D41">
        <v>701026</v>
      </c>
      <c r="E41" t="s">
        <v>83</v>
      </c>
      <c r="F41" t="s">
        <v>21</v>
      </c>
      <c r="G41" t="s">
        <v>76</v>
      </c>
      <c r="H41" t="s">
        <v>77</v>
      </c>
      <c r="J41">
        <v>0</v>
      </c>
    </row>
    <row r="42" spans="2:10" x14ac:dyDescent="0.25">
      <c r="B42" t="s">
        <v>337</v>
      </c>
      <c r="C42" t="s">
        <v>50</v>
      </c>
      <c r="D42">
        <v>701027</v>
      </c>
      <c r="E42" t="s">
        <v>84</v>
      </c>
      <c r="F42" t="s">
        <v>21</v>
      </c>
      <c r="G42" t="s">
        <v>76</v>
      </c>
      <c r="H42" t="s">
        <v>77</v>
      </c>
      <c r="J42">
        <v>0</v>
      </c>
    </row>
    <row r="43" spans="2:10" x14ac:dyDescent="0.25">
      <c r="B43" t="s">
        <v>337</v>
      </c>
      <c r="C43" t="s">
        <v>50</v>
      </c>
      <c r="D43">
        <v>701028</v>
      </c>
      <c r="E43" t="s">
        <v>85</v>
      </c>
      <c r="F43" t="s">
        <v>21</v>
      </c>
      <c r="G43" t="s">
        <v>61</v>
      </c>
      <c r="H43" t="s">
        <v>68</v>
      </c>
      <c r="J43">
        <v>0</v>
      </c>
    </row>
    <row r="44" spans="2:10" x14ac:dyDescent="0.25">
      <c r="B44" t="s">
        <v>337</v>
      </c>
      <c r="C44" t="s">
        <v>50</v>
      </c>
      <c r="D44">
        <v>701029</v>
      </c>
      <c r="E44" t="s">
        <v>86</v>
      </c>
      <c r="F44" t="s">
        <v>21</v>
      </c>
      <c r="G44" t="s">
        <v>61</v>
      </c>
      <c r="H44" t="s">
        <v>68</v>
      </c>
      <c r="J44">
        <v>0</v>
      </c>
    </row>
    <row r="45" spans="2:10" x14ac:dyDescent="0.25">
      <c r="B45" t="s">
        <v>337</v>
      </c>
      <c r="C45" t="s">
        <v>50</v>
      </c>
      <c r="D45">
        <v>701030</v>
      </c>
      <c r="E45" t="s">
        <v>87</v>
      </c>
      <c r="F45" t="s">
        <v>21</v>
      </c>
      <c r="G45" t="s">
        <v>71</v>
      </c>
      <c r="H45" t="s">
        <v>88</v>
      </c>
      <c r="J45">
        <v>0</v>
      </c>
    </row>
    <row r="46" spans="2:10" x14ac:dyDescent="0.25">
      <c r="B46" t="s">
        <v>337</v>
      </c>
      <c r="C46" t="s">
        <v>50</v>
      </c>
      <c r="D46">
        <v>701031</v>
      </c>
      <c r="E46" t="s">
        <v>89</v>
      </c>
      <c r="F46" t="s">
        <v>21</v>
      </c>
      <c r="G46" t="s">
        <v>76</v>
      </c>
      <c r="H46" t="s">
        <v>77</v>
      </c>
      <c r="J46">
        <v>0</v>
      </c>
    </row>
    <row r="47" spans="2:10" x14ac:dyDescent="0.25">
      <c r="B47" t="s">
        <v>337</v>
      </c>
      <c r="C47" t="s">
        <v>50</v>
      </c>
      <c r="D47">
        <v>701032</v>
      </c>
      <c r="E47" t="s">
        <v>90</v>
      </c>
      <c r="F47" t="s">
        <v>21</v>
      </c>
      <c r="G47" t="s">
        <v>52</v>
      </c>
      <c r="H47" t="s">
        <v>53</v>
      </c>
      <c r="J47">
        <v>0</v>
      </c>
    </row>
    <row r="48" spans="2:10" x14ac:dyDescent="0.25">
      <c r="B48" t="s">
        <v>337</v>
      </c>
      <c r="C48" t="s">
        <v>50</v>
      </c>
      <c r="D48">
        <v>701034</v>
      </c>
      <c r="E48" t="s">
        <v>91</v>
      </c>
      <c r="F48" t="s">
        <v>21</v>
      </c>
      <c r="G48" t="s">
        <v>76</v>
      </c>
      <c r="H48" t="s">
        <v>77</v>
      </c>
      <c r="J48">
        <v>0</v>
      </c>
    </row>
    <row r="49" spans="2:10" x14ac:dyDescent="0.25">
      <c r="B49" t="s">
        <v>337</v>
      </c>
      <c r="C49" t="s">
        <v>50</v>
      </c>
      <c r="D49">
        <v>701035</v>
      </c>
      <c r="E49" t="s">
        <v>92</v>
      </c>
      <c r="F49" t="s">
        <v>21</v>
      </c>
      <c r="G49" t="s">
        <v>61</v>
      </c>
      <c r="H49" t="s">
        <v>68</v>
      </c>
      <c r="J49">
        <v>0</v>
      </c>
    </row>
    <row r="50" spans="2:10" x14ac:dyDescent="0.25">
      <c r="B50" t="s">
        <v>337</v>
      </c>
      <c r="C50" t="s">
        <v>50</v>
      </c>
      <c r="D50">
        <v>701036</v>
      </c>
      <c r="E50" t="s">
        <v>93</v>
      </c>
      <c r="F50" t="s">
        <v>21</v>
      </c>
      <c r="G50" t="s">
        <v>52</v>
      </c>
      <c r="H50" t="s">
        <v>53</v>
      </c>
      <c r="J50">
        <v>0</v>
      </c>
    </row>
    <row r="51" spans="2:10" x14ac:dyDescent="0.25">
      <c r="B51" t="s">
        <v>337</v>
      </c>
      <c r="C51" t="s">
        <v>50</v>
      </c>
      <c r="D51">
        <v>701113</v>
      </c>
      <c r="E51" t="s">
        <v>94</v>
      </c>
      <c r="F51" t="s">
        <v>21</v>
      </c>
      <c r="G51" t="s">
        <v>61</v>
      </c>
      <c r="H51" t="s">
        <v>62</v>
      </c>
      <c r="J51">
        <v>0</v>
      </c>
    </row>
    <row r="52" spans="2:10" x14ac:dyDescent="0.25">
      <c r="B52" t="s">
        <v>337</v>
      </c>
      <c r="C52" t="s">
        <v>50</v>
      </c>
      <c r="D52">
        <v>701119</v>
      </c>
      <c r="E52" t="s">
        <v>95</v>
      </c>
      <c r="F52" t="s">
        <v>21</v>
      </c>
      <c r="G52" t="s">
        <v>22</v>
      </c>
      <c r="H52" t="s">
        <v>23</v>
      </c>
      <c r="J52">
        <v>0</v>
      </c>
    </row>
    <row r="53" spans="2:10" x14ac:dyDescent="0.25">
      <c r="B53" t="s">
        <v>337</v>
      </c>
      <c r="C53" t="s">
        <v>50</v>
      </c>
      <c r="D53">
        <v>701120</v>
      </c>
      <c r="E53" t="s">
        <v>96</v>
      </c>
      <c r="F53" t="s">
        <v>21</v>
      </c>
      <c r="G53" t="s">
        <v>22</v>
      </c>
      <c r="H53" t="s">
        <v>23</v>
      </c>
      <c r="J53">
        <v>0</v>
      </c>
    </row>
    <row r="54" spans="2:10" x14ac:dyDescent="0.25">
      <c r="B54" t="s">
        <v>337</v>
      </c>
      <c r="C54" t="s">
        <v>50</v>
      </c>
      <c r="D54">
        <v>701121</v>
      </c>
      <c r="E54" t="s">
        <v>97</v>
      </c>
      <c r="F54" t="s">
        <v>21</v>
      </c>
      <c r="G54" t="s">
        <v>22</v>
      </c>
      <c r="H54" t="s">
        <v>23</v>
      </c>
      <c r="J54">
        <v>0</v>
      </c>
    </row>
    <row r="55" spans="2:10" x14ac:dyDescent="0.25">
      <c r="B55" t="s">
        <v>337</v>
      </c>
      <c r="C55" t="s">
        <v>50</v>
      </c>
      <c r="D55">
        <v>701122</v>
      </c>
      <c r="E55" t="s">
        <v>98</v>
      </c>
      <c r="F55" t="s">
        <v>21</v>
      </c>
      <c r="G55" t="s">
        <v>71</v>
      </c>
      <c r="H55" t="s">
        <v>88</v>
      </c>
      <c r="J55">
        <v>0</v>
      </c>
    </row>
    <row r="56" spans="2:10" x14ac:dyDescent="0.25">
      <c r="B56" t="s">
        <v>337</v>
      </c>
      <c r="C56" t="s">
        <v>50</v>
      </c>
      <c r="D56">
        <v>701123</v>
      </c>
      <c r="E56" t="s">
        <v>99</v>
      </c>
      <c r="F56" t="s">
        <v>21</v>
      </c>
      <c r="G56" t="s">
        <v>22</v>
      </c>
      <c r="H56" t="s">
        <v>23</v>
      </c>
      <c r="J56">
        <v>0</v>
      </c>
    </row>
    <row r="57" spans="2:10" x14ac:dyDescent="0.25">
      <c r="B57" t="s">
        <v>337</v>
      </c>
      <c r="C57" t="s">
        <v>50</v>
      </c>
      <c r="D57">
        <v>701127</v>
      </c>
      <c r="E57" t="s">
        <v>100</v>
      </c>
      <c r="F57" t="s">
        <v>21</v>
      </c>
      <c r="G57" t="s">
        <v>76</v>
      </c>
      <c r="H57" t="s">
        <v>77</v>
      </c>
      <c r="J57">
        <v>0</v>
      </c>
    </row>
    <row r="58" spans="2:10" x14ac:dyDescent="0.25">
      <c r="B58" t="s">
        <v>337</v>
      </c>
      <c r="C58" t="s">
        <v>50</v>
      </c>
      <c r="D58">
        <v>701213</v>
      </c>
      <c r="E58" t="s">
        <v>101</v>
      </c>
      <c r="F58" t="s">
        <v>21</v>
      </c>
      <c r="G58" t="s">
        <v>61</v>
      </c>
      <c r="H58" t="s">
        <v>62</v>
      </c>
      <c r="J58">
        <v>0</v>
      </c>
    </row>
    <row r="59" spans="2:10" x14ac:dyDescent="0.25">
      <c r="B59" t="s">
        <v>337</v>
      </c>
      <c r="C59" t="s">
        <v>50</v>
      </c>
      <c r="D59">
        <v>701214</v>
      </c>
      <c r="E59" t="s">
        <v>102</v>
      </c>
      <c r="F59" t="s">
        <v>21</v>
      </c>
      <c r="G59" t="s">
        <v>61</v>
      </c>
      <c r="H59" t="s">
        <v>62</v>
      </c>
      <c r="J59">
        <v>0</v>
      </c>
    </row>
    <row r="60" spans="2:10" x14ac:dyDescent="0.25">
      <c r="B60" t="s">
        <v>337</v>
      </c>
      <c r="C60" t="s">
        <v>50</v>
      </c>
      <c r="D60">
        <v>701215</v>
      </c>
      <c r="E60" t="s">
        <v>103</v>
      </c>
      <c r="F60" t="s">
        <v>21</v>
      </c>
      <c r="G60" t="s">
        <v>61</v>
      </c>
      <c r="H60" t="s">
        <v>62</v>
      </c>
      <c r="J60">
        <v>0</v>
      </c>
    </row>
    <row r="61" spans="2:10" x14ac:dyDescent="0.25">
      <c r="B61" t="s">
        <v>337</v>
      </c>
      <c r="C61" t="s">
        <v>50</v>
      </c>
      <c r="D61">
        <v>701227</v>
      </c>
      <c r="E61" t="s">
        <v>104</v>
      </c>
      <c r="F61" t="s">
        <v>21</v>
      </c>
      <c r="G61" t="s">
        <v>76</v>
      </c>
      <c r="H61" t="s">
        <v>77</v>
      </c>
      <c r="J61">
        <v>0</v>
      </c>
    </row>
    <row r="62" spans="2:10" x14ac:dyDescent="0.25">
      <c r="B62" t="s">
        <v>337</v>
      </c>
      <c r="C62" t="s">
        <v>50</v>
      </c>
      <c r="D62">
        <v>701327</v>
      </c>
      <c r="E62" t="s">
        <v>106</v>
      </c>
      <c r="F62" t="s">
        <v>21</v>
      </c>
      <c r="G62" t="s">
        <v>76</v>
      </c>
      <c r="H62" t="s">
        <v>77</v>
      </c>
      <c r="J62">
        <v>0</v>
      </c>
    </row>
    <row r="63" spans="2:10" x14ac:dyDescent="0.25">
      <c r="B63" t="s">
        <v>337</v>
      </c>
      <c r="C63" t="s">
        <v>50</v>
      </c>
      <c r="D63">
        <v>701427</v>
      </c>
      <c r="E63" t="s">
        <v>107</v>
      </c>
      <c r="F63" t="s">
        <v>21</v>
      </c>
      <c r="G63" t="s">
        <v>76</v>
      </c>
      <c r="H63" t="s">
        <v>108</v>
      </c>
      <c r="J63">
        <v>0</v>
      </c>
    </row>
    <row r="64" spans="2:10" x14ac:dyDescent="0.25">
      <c r="B64" t="s">
        <v>337</v>
      </c>
      <c r="C64" t="s">
        <v>50</v>
      </c>
      <c r="D64">
        <v>701527</v>
      </c>
      <c r="E64" t="s">
        <v>109</v>
      </c>
      <c r="F64" t="s">
        <v>21</v>
      </c>
      <c r="G64" t="s">
        <v>76</v>
      </c>
      <c r="H64" t="s">
        <v>77</v>
      </c>
      <c r="J64">
        <v>0</v>
      </c>
    </row>
    <row r="65" spans="2:10" x14ac:dyDescent="0.25">
      <c r="B65" t="s">
        <v>337</v>
      </c>
      <c r="C65" t="s">
        <v>50</v>
      </c>
      <c r="D65">
        <v>701627</v>
      </c>
      <c r="E65" t="s">
        <v>110</v>
      </c>
      <c r="F65" t="s">
        <v>21</v>
      </c>
      <c r="G65" t="s">
        <v>76</v>
      </c>
      <c r="H65" t="s">
        <v>77</v>
      </c>
      <c r="J65">
        <v>0</v>
      </c>
    </row>
    <row r="66" spans="2:10" x14ac:dyDescent="0.25">
      <c r="B66" t="s">
        <v>337</v>
      </c>
      <c r="C66" t="s">
        <v>50</v>
      </c>
      <c r="D66">
        <v>701727</v>
      </c>
      <c r="E66" t="s">
        <v>111</v>
      </c>
      <c r="F66" t="s">
        <v>21</v>
      </c>
      <c r="G66" t="s">
        <v>76</v>
      </c>
      <c r="H66" t="s">
        <v>77</v>
      </c>
      <c r="J66">
        <v>0</v>
      </c>
    </row>
    <row r="67" spans="2:10" x14ac:dyDescent="0.25">
      <c r="B67" t="s">
        <v>337</v>
      </c>
      <c r="C67" t="s">
        <v>50</v>
      </c>
      <c r="D67">
        <v>701801</v>
      </c>
      <c r="E67" t="s">
        <v>112</v>
      </c>
      <c r="F67" t="s">
        <v>21</v>
      </c>
      <c r="G67" t="s">
        <v>76</v>
      </c>
      <c r="H67" t="s">
        <v>77</v>
      </c>
      <c r="J67">
        <v>0</v>
      </c>
    </row>
    <row r="68" spans="2:10" x14ac:dyDescent="0.25">
      <c r="B68" t="s">
        <v>337</v>
      </c>
      <c r="C68" t="s">
        <v>50</v>
      </c>
      <c r="D68">
        <v>701802</v>
      </c>
      <c r="E68" t="s">
        <v>113</v>
      </c>
      <c r="F68" t="s">
        <v>21</v>
      </c>
      <c r="G68" t="s">
        <v>61</v>
      </c>
      <c r="H68" t="s">
        <v>62</v>
      </c>
      <c r="J68">
        <v>0</v>
      </c>
    </row>
    <row r="69" spans="2:10" x14ac:dyDescent="0.25">
      <c r="B69" t="s">
        <v>337</v>
      </c>
      <c r="C69" t="s">
        <v>50</v>
      </c>
      <c r="D69">
        <v>703010</v>
      </c>
      <c r="E69" t="s">
        <v>114</v>
      </c>
      <c r="F69" t="s">
        <v>21</v>
      </c>
      <c r="G69" t="s">
        <v>22</v>
      </c>
      <c r="H69" t="s">
        <v>115</v>
      </c>
      <c r="J69">
        <v>0</v>
      </c>
    </row>
    <row r="70" spans="2:10" x14ac:dyDescent="0.25">
      <c r="B70" t="s">
        <v>337</v>
      </c>
      <c r="C70" t="s">
        <v>50</v>
      </c>
      <c r="D70">
        <v>703011</v>
      </c>
      <c r="E70" t="s">
        <v>116</v>
      </c>
      <c r="F70" t="s">
        <v>21</v>
      </c>
      <c r="G70" t="s">
        <v>22</v>
      </c>
      <c r="H70" t="s">
        <v>115</v>
      </c>
      <c r="J70">
        <v>0</v>
      </c>
    </row>
    <row r="71" spans="2:10" x14ac:dyDescent="0.25">
      <c r="B71" t="s">
        <v>337</v>
      </c>
      <c r="C71" t="s">
        <v>50</v>
      </c>
      <c r="D71">
        <v>703012</v>
      </c>
      <c r="E71" t="s">
        <v>117</v>
      </c>
      <c r="F71" t="s">
        <v>21</v>
      </c>
      <c r="G71" t="s">
        <v>22</v>
      </c>
      <c r="H71" t="s">
        <v>115</v>
      </c>
      <c r="J71">
        <v>0</v>
      </c>
    </row>
    <row r="72" spans="2:10" x14ac:dyDescent="0.25">
      <c r="B72" t="s">
        <v>337</v>
      </c>
      <c r="C72" t="s">
        <v>50</v>
      </c>
      <c r="D72">
        <v>703013</v>
      </c>
      <c r="E72" t="s">
        <v>118</v>
      </c>
      <c r="F72" t="s">
        <v>21</v>
      </c>
      <c r="G72" t="s">
        <v>22</v>
      </c>
      <c r="H72" t="s">
        <v>115</v>
      </c>
      <c r="J72">
        <v>0</v>
      </c>
    </row>
    <row r="73" spans="2:10" x14ac:dyDescent="0.25">
      <c r="B73" t="s">
        <v>337</v>
      </c>
      <c r="C73" t="s">
        <v>50</v>
      </c>
      <c r="D73">
        <v>703014</v>
      </c>
      <c r="E73" t="s">
        <v>119</v>
      </c>
      <c r="F73" t="s">
        <v>21</v>
      </c>
      <c r="G73" t="s">
        <v>22</v>
      </c>
      <c r="H73" t="s">
        <v>115</v>
      </c>
      <c r="J73">
        <v>0</v>
      </c>
    </row>
    <row r="74" spans="2:10" x14ac:dyDescent="0.25">
      <c r="B74" t="s">
        <v>337</v>
      </c>
      <c r="C74" t="s">
        <v>50</v>
      </c>
      <c r="D74">
        <v>703015</v>
      </c>
      <c r="E74" t="s">
        <v>120</v>
      </c>
      <c r="F74" t="s">
        <v>21</v>
      </c>
      <c r="G74" t="s">
        <v>22</v>
      </c>
      <c r="H74" t="s">
        <v>115</v>
      </c>
      <c r="J74">
        <v>0</v>
      </c>
    </row>
    <row r="75" spans="2:10" x14ac:dyDescent="0.25">
      <c r="B75" t="s">
        <v>337</v>
      </c>
      <c r="C75" t="s">
        <v>50</v>
      </c>
      <c r="D75">
        <v>703016</v>
      </c>
      <c r="E75" t="s">
        <v>121</v>
      </c>
      <c r="F75" t="s">
        <v>21</v>
      </c>
      <c r="G75" t="s">
        <v>22</v>
      </c>
      <c r="H75" t="s">
        <v>115</v>
      </c>
      <c r="J75">
        <v>0</v>
      </c>
    </row>
    <row r="76" spans="2:10" x14ac:dyDescent="0.25">
      <c r="B76" t="s">
        <v>337</v>
      </c>
      <c r="C76" t="s">
        <v>50</v>
      </c>
      <c r="D76">
        <v>703017</v>
      </c>
      <c r="E76" t="s">
        <v>122</v>
      </c>
      <c r="F76" t="s">
        <v>21</v>
      </c>
      <c r="G76" t="s">
        <v>22</v>
      </c>
      <c r="H76" t="s">
        <v>115</v>
      </c>
      <c r="I76" t="s">
        <v>105</v>
      </c>
      <c r="J76">
        <v>235620</v>
      </c>
    </row>
    <row r="77" spans="2:10" x14ac:dyDescent="0.25">
      <c r="B77" t="s">
        <v>337</v>
      </c>
      <c r="C77" t="s">
        <v>50</v>
      </c>
      <c r="D77">
        <v>703018</v>
      </c>
      <c r="E77" t="s">
        <v>123</v>
      </c>
      <c r="F77" t="s">
        <v>21</v>
      </c>
      <c r="G77" t="s">
        <v>22</v>
      </c>
      <c r="H77" t="s">
        <v>115</v>
      </c>
      <c r="J77">
        <v>0</v>
      </c>
    </row>
    <row r="78" spans="2:10" x14ac:dyDescent="0.25">
      <c r="B78" t="s">
        <v>337</v>
      </c>
      <c r="C78" t="s">
        <v>50</v>
      </c>
      <c r="D78">
        <v>703019</v>
      </c>
      <c r="E78" t="s">
        <v>124</v>
      </c>
      <c r="F78" t="s">
        <v>21</v>
      </c>
      <c r="G78" t="s">
        <v>22</v>
      </c>
      <c r="H78" t="s">
        <v>115</v>
      </c>
      <c r="J78">
        <v>0</v>
      </c>
    </row>
    <row r="79" spans="2:10" x14ac:dyDescent="0.25">
      <c r="B79" t="s">
        <v>337</v>
      </c>
      <c r="C79" t="s">
        <v>50</v>
      </c>
      <c r="D79">
        <v>703210</v>
      </c>
      <c r="E79" t="s">
        <v>125</v>
      </c>
      <c r="F79" t="s">
        <v>21</v>
      </c>
      <c r="G79" t="s">
        <v>22</v>
      </c>
      <c r="H79" t="s">
        <v>23</v>
      </c>
      <c r="J79">
        <v>0</v>
      </c>
    </row>
    <row r="80" spans="2:10" x14ac:dyDescent="0.25">
      <c r="B80" t="s">
        <v>337</v>
      </c>
      <c r="C80" t="s">
        <v>50</v>
      </c>
      <c r="D80">
        <v>703211</v>
      </c>
      <c r="E80" t="s">
        <v>126</v>
      </c>
      <c r="F80" t="s">
        <v>21</v>
      </c>
      <c r="G80" t="s">
        <v>22</v>
      </c>
      <c r="H80" t="s">
        <v>23</v>
      </c>
      <c r="J80">
        <v>0</v>
      </c>
    </row>
    <row r="81" spans="2:10" x14ac:dyDescent="0.25">
      <c r="B81" t="s">
        <v>337</v>
      </c>
      <c r="C81" t="s">
        <v>50</v>
      </c>
      <c r="D81">
        <v>703212</v>
      </c>
      <c r="E81" t="s">
        <v>127</v>
      </c>
      <c r="F81" t="s">
        <v>21</v>
      </c>
      <c r="G81" t="s">
        <v>22</v>
      </c>
      <c r="H81" t="s">
        <v>23</v>
      </c>
      <c r="J81">
        <v>0</v>
      </c>
    </row>
    <row r="82" spans="2:10" x14ac:dyDescent="0.25">
      <c r="B82" t="s">
        <v>337</v>
      </c>
      <c r="C82" t="s">
        <v>50</v>
      </c>
      <c r="D82">
        <v>703213</v>
      </c>
      <c r="E82" t="s">
        <v>128</v>
      </c>
      <c r="F82" t="s">
        <v>21</v>
      </c>
      <c r="G82" t="s">
        <v>22</v>
      </c>
      <c r="H82" t="s">
        <v>23</v>
      </c>
      <c r="J82">
        <v>0</v>
      </c>
    </row>
    <row r="83" spans="2:10" x14ac:dyDescent="0.25">
      <c r="B83" t="s">
        <v>337</v>
      </c>
      <c r="C83" t="s">
        <v>50</v>
      </c>
      <c r="D83">
        <v>703214</v>
      </c>
      <c r="E83" t="s">
        <v>129</v>
      </c>
      <c r="F83" t="s">
        <v>21</v>
      </c>
      <c r="G83" t="s">
        <v>22</v>
      </c>
      <c r="H83" t="s">
        <v>23</v>
      </c>
      <c r="J83">
        <v>0</v>
      </c>
    </row>
    <row r="84" spans="2:10" x14ac:dyDescent="0.25">
      <c r="B84" t="s">
        <v>337</v>
      </c>
      <c r="C84" t="s">
        <v>50</v>
      </c>
      <c r="D84">
        <v>703215</v>
      </c>
      <c r="E84" t="s">
        <v>130</v>
      </c>
      <c r="F84" t="s">
        <v>21</v>
      </c>
      <c r="G84" t="s">
        <v>22</v>
      </c>
      <c r="H84" t="s">
        <v>23</v>
      </c>
      <c r="J84">
        <v>0</v>
      </c>
    </row>
    <row r="85" spans="2:10" x14ac:dyDescent="0.25">
      <c r="B85" t="s">
        <v>337</v>
      </c>
      <c r="C85" t="s">
        <v>50</v>
      </c>
      <c r="D85">
        <v>703216</v>
      </c>
      <c r="E85" t="s">
        <v>131</v>
      </c>
      <c r="F85" t="s">
        <v>21</v>
      </c>
      <c r="G85" t="s">
        <v>22</v>
      </c>
      <c r="H85" t="s">
        <v>23</v>
      </c>
      <c r="J85">
        <v>0</v>
      </c>
    </row>
    <row r="86" spans="2:10" x14ac:dyDescent="0.25">
      <c r="B86" t="s">
        <v>337</v>
      </c>
      <c r="C86" t="s">
        <v>50</v>
      </c>
      <c r="D86">
        <v>703217</v>
      </c>
      <c r="E86" t="s">
        <v>132</v>
      </c>
      <c r="F86" t="s">
        <v>21</v>
      </c>
      <c r="G86" t="s">
        <v>22</v>
      </c>
      <c r="H86" t="s">
        <v>23</v>
      </c>
      <c r="J86">
        <v>0</v>
      </c>
    </row>
    <row r="87" spans="2:10" x14ac:dyDescent="0.25">
      <c r="B87" t="s">
        <v>337</v>
      </c>
      <c r="C87" t="s">
        <v>50</v>
      </c>
      <c r="D87">
        <v>703219</v>
      </c>
      <c r="E87" t="s">
        <v>133</v>
      </c>
      <c r="F87" t="s">
        <v>21</v>
      </c>
      <c r="G87" t="s">
        <v>22</v>
      </c>
      <c r="H87" t="s">
        <v>23</v>
      </c>
      <c r="J87">
        <v>0</v>
      </c>
    </row>
    <row r="88" spans="2:10" x14ac:dyDescent="0.25">
      <c r="B88" t="s">
        <v>337</v>
      </c>
      <c r="C88" t="s">
        <v>50</v>
      </c>
      <c r="D88">
        <v>703220</v>
      </c>
      <c r="E88" t="s">
        <v>134</v>
      </c>
      <c r="F88" t="s">
        <v>21</v>
      </c>
      <c r="G88" t="s">
        <v>71</v>
      </c>
      <c r="H88" t="s">
        <v>135</v>
      </c>
      <c r="J88">
        <v>0</v>
      </c>
    </row>
    <row r="89" spans="2:10" x14ac:dyDescent="0.25">
      <c r="B89" t="s">
        <v>337</v>
      </c>
      <c r="C89" t="s">
        <v>50</v>
      </c>
      <c r="D89">
        <v>703221</v>
      </c>
      <c r="E89" t="s">
        <v>136</v>
      </c>
      <c r="F89" t="s">
        <v>21</v>
      </c>
      <c r="G89" t="s">
        <v>137</v>
      </c>
      <c r="H89" t="s">
        <v>138</v>
      </c>
      <c r="J89">
        <v>0</v>
      </c>
    </row>
    <row r="90" spans="2:10" x14ac:dyDescent="0.25">
      <c r="B90" t="s">
        <v>337</v>
      </c>
      <c r="C90" t="s">
        <v>50</v>
      </c>
      <c r="D90">
        <v>703222</v>
      </c>
      <c r="E90" t="s">
        <v>139</v>
      </c>
      <c r="F90" t="s">
        <v>21</v>
      </c>
      <c r="G90" t="s">
        <v>137</v>
      </c>
      <c r="H90" t="s">
        <v>138</v>
      </c>
      <c r="J90">
        <v>0</v>
      </c>
    </row>
    <row r="91" spans="2:10" x14ac:dyDescent="0.25">
      <c r="B91" t="s">
        <v>337</v>
      </c>
      <c r="C91" t="s">
        <v>50</v>
      </c>
      <c r="D91">
        <v>703223</v>
      </c>
      <c r="E91" t="s">
        <v>140</v>
      </c>
      <c r="F91" t="s">
        <v>21</v>
      </c>
      <c r="G91" t="s">
        <v>137</v>
      </c>
      <c r="H91" t="s">
        <v>141</v>
      </c>
      <c r="J91">
        <v>0</v>
      </c>
    </row>
    <row r="92" spans="2:10" x14ac:dyDescent="0.25">
      <c r="B92" t="s">
        <v>337</v>
      </c>
      <c r="C92" t="s">
        <v>50</v>
      </c>
      <c r="D92">
        <v>703224</v>
      </c>
      <c r="E92" t="s">
        <v>142</v>
      </c>
      <c r="F92" t="s">
        <v>21</v>
      </c>
      <c r="G92" t="s">
        <v>71</v>
      </c>
      <c r="H92" t="s">
        <v>88</v>
      </c>
      <c r="J92">
        <v>0</v>
      </c>
    </row>
    <row r="93" spans="2:10" x14ac:dyDescent="0.25">
      <c r="B93" t="s">
        <v>337</v>
      </c>
      <c r="C93" t="s">
        <v>50</v>
      </c>
      <c r="D93">
        <v>703225</v>
      </c>
      <c r="E93" t="s">
        <v>143</v>
      </c>
      <c r="F93" t="s">
        <v>21</v>
      </c>
      <c r="G93" t="s">
        <v>71</v>
      </c>
      <c r="H93" t="s">
        <v>88</v>
      </c>
      <c r="J93">
        <v>0</v>
      </c>
    </row>
    <row r="94" spans="2:10" x14ac:dyDescent="0.25">
      <c r="B94" t="s">
        <v>337</v>
      </c>
      <c r="C94" t="s">
        <v>50</v>
      </c>
      <c r="D94">
        <v>703226</v>
      </c>
      <c r="E94" t="s">
        <v>144</v>
      </c>
      <c r="F94" t="s">
        <v>21</v>
      </c>
      <c r="G94" t="s">
        <v>71</v>
      </c>
      <c r="H94" t="s">
        <v>82</v>
      </c>
      <c r="J94">
        <v>0</v>
      </c>
    </row>
    <row r="95" spans="2:10" x14ac:dyDescent="0.25">
      <c r="B95" t="s">
        <v>337</v>
      </c>
      <c r="C95" t="s">
        <v>50</v>
      </c>
      <c r="D95">
        <v>703227</v>
      </c>
      <c r="E95" t="s">
        <v>145</v>
      </c>
      <c r="F95" t="s">
        <v>21</v>
      </c>
      <c r="G95" t="s">
        <v>137</v>
      </c>
      <c r="H95" t="s">
        <v>138</v>
      </c>
      <c r="J95">
        <v>0</v>
      </c>
    </row>
    <row r="96" spans="2:10" x14ac:dyDescent="0.25">
      <c r="B96" t="s">
        <v>337</v>
      </c>
      <c r="C96" t="s">
        <v>50</v>
      </c>
      <c r="D96">
        <v>703228</v>
      </c>
      <c r="E96" t="s">
        <v>146</v>
      </c>
      <c r="F96" t="s">
        <v>21</v>
      </c>
      <c r="G96" t="s">
        <v>147</v>
      </c>
      <c r="H96" t="s">
        <v>147</v>
      </c>
      <c r="I96" t="s">
        <v>105</v>
      </c>
      <c r="J96">
        <v>4198908</v>
      </c>
    </row>
    <row r="97" spans="2:10" x14ac:dyDescent="0.25">
      <c r="B97" t="s">
        <v>337</v>
      </c>
      <c r="C97" t="s">
        <v>50</v>
      </c>
      <c r="D97">
        <v>703229</v>
      </c>
      <c r="E97" t="s">
        <v>148</v>
      </c>
      <c r="F97" t="s">
        <v>21</v>
      </c>
      <c r="G97" t="s">
        <v>147</v>
      </c>
      <c r="H97" t="s">
        <v>147</v>
      </c>
      <c r="J97">
        <v>0</v>
      </c>
    </row>
    <row r="98" spans="2:10" x14ac:dyDescent="0.25">
      <c r="B98" t="s">
        <v>337</v>
      </c>
      <c r="C98" t="s">
        <v>50</v>
      </c>
      <c r="D98">
        <v>703230</v>
      </c>
      <c r="E98" t="s">
        <v>149</v>
      </c>
      <c r="F98" t="s">
        <v>21</v>
      </c>
      <c r="G98" t="s">
        <v>147</v>
      </c>
      <c r="H98" t="s">
        <v>147</v>
      </c>
      <c r="I98" t="s">
        <v>105</v>
      </c>
      <c r="J98">
        <v>17103639.309999999</v>
      </c>
    </row>
    <row r="99" spans="2:10" x14ac:dyDescent="0.25">
      <c r="B99" t="s">
        <v>337</v>
      </c>
      <c r="C99" t="s">
        <v>50</v>
      </c>
      <c r="D99">
        <v>703231</v>
      </c>
      <c r="E99" t="s">
        <v>150</v>
      </c>
      <c r="F99" t="s">
        <v>21</v>
      </c>
      <c r="G99" t="s">
        <v>137</v>
      </c>
      <c r="H99" t="s">
        <v>141</v>
      </c>
      <c r="J99">
        <v>0</v>
      </c>
    </row>
    <row r="100" spans="2:10" x14ac:dyDescent="0.25">
      <c r="B100" t="s">
        <v>337</v>
      </c>
      <c r="C100" t="s">
        <v>50</v>
      </c>
      <c r="D100">
        <v>703232</v>
      </c>
      <c r="E100" t="s">
        <v>151</v>
      </c>
      <c r="F100" t="s">
        <v>21</v>
      </c>
      <c r="G100" t="s">
        <v>147</v>
      </c>
      <c r="H100" t="s">
        <v>147</v>
      </c>
      <c r="J100">
        <v>0</v>
      </c>
    </row>
    <row r="101" spans="2:10" x14ac:dyDescent="0.25">
      <c r="B101" t="s">
        <v>337</v>
      </c>
      <c r="C101" t="s">
        <v>50</v>
      </c>
      <c r="D101">
        <v>703233</v>
      </c>
      <c r="E101" t="s">
        <v>152</v>
      </c>
      <c r="F101" t="s">
        <v>21</v>
      </c>
      <c r="G101" t="s">
        <v>71</v>
      </c>
      <c r="H101" t="s">
        <v>153</v>
      </c>
      <c r="J101">
        <v>0</v>
      </c>
    </row>
    <row r="102" spans="2:10" x14ac:dyDescent="0.25">
      <c r="B102" t="s">
        <v>337</v>
      </c>
      <c r="C102" t="s">
        <v>50</v>
      </c>
      <c r="D102">
        <v>703234</v>
      </c>
      <c r="E102" t="s">
        <v>154</v>
      </c>
      <c r="F102" t="s">
        <v>21</v>
      </c>
      <c r="G102" t="s">
        <v>71</v>
      </c>
      <c r="H102" t="s">
        <v>153</v>
      </c>
      <c r="I102" t="s">
        <v>105</v>
      </c>
      <c r="J102">
        <v>301000</v>
      </c>
    </row>
    <row r="103" spans="2:10" x14ac:dyDescent="0.25">
      <c r="B103" t="s">
        <v>337</v>
      </c>
      <c r="C103" t="s">
        <v>50</v>
      </c>
      <c r="D103">
        <v>703235</v>
      </c>
      <c r="E103" t="s">
        <v>155</v>
      </c>
      <c r="F103" t="s">
        <v>21</v>
      </c>
      <c r="G103" t="s">
        <v>71</v>
      </c>
      <c r="H103" t="s">
        <v>153</v>
      </c>
      <c r="J103">
        <v>0</v>
      </c>
    </row>
    <row r="104" spans="2:10" x14ac:dyDescent="0.25">
      <c r="B104" t="s">
        <v>337</v>
      </c>
      <c r="C104" t="s">
        <v>50</v>
      </c>
      <c r="D104">
        <v>703236</v>
      </c>
      <c r="E104" t="s">
        <v>156</v>
      </c>
      <c r="F104" t="s">
        <v>21</v>
      </c>
      <c r="G104" t="s">
        <v>76</v>
      </c>
      <c r="H104" t="s">
        <v>77</v>
      </c>
      <c r="J104">
        <v>0</v>
      </c>
    </row>
    <row r="105" spans="2:10" x14ac:dyDescent="0.25">
      <c r="B105" t="s">
        <v>337</v>
      </c>
      <c r="C105" t="s">
        <v>50</v>
      </c>
      <c r="D105">
        <v>703237</v>
      </c>
      <c r="E105" t="s">
        <v>157</v>
      </c>
      <c r="F105" t="s">
        <v>21</v>
      </c>
      <c r="G105" t="s">
        <v>22</v>
      </c>
      <c r="H105" t="s">
        <v>23</v>
      </c>
      <c r="J105">
        <v>0</v>
      </c>
    </row>
    <row r="106" spans="2:10" x14ac:dyDescent="0.25">
      <c r="B106" t="s">
        <v>337</v>
      </c>
      <c r="C106" t="s">
        <v>50</v>
      </c>
      <c r="D106">
        <v>703238</v>
      </c>
      <c r="E106" t="s">
        <v>158</v>
      </c>
      <c r="F106" t="s">
        <v>21</v>
      </c>
      <c r="G106" t="s">
        <v>61</v>
      </c>
      <c r="H106" t="s">
        <v>68</v>
      </c>
      <c r="J106">
        <v>0</v>
      </c>
    </row>
    <row r="107" spans="2:10" x14ac:dyDescent="0.25">
      <c r="B107" t="s">
        <v>337</v>
      </c>
      <c r="C107" t="s">
        <v>50</v>
      </c>
      <c r="D107">
        <v>703239</v>
      </c>
      <c r="E107" t="s">
        <v>159</v>
      </c>
      <c r="F107" t="s">
        <v>21</v>
      </c>
      <c r="G107" t="s">
        <v>61</v>
      </c>
      <c r="H107" t="s">
        <v>68</v>
      </c>
      <c r="J107">
        <v>0</v>
      </c>
    </row>
    <row r="108" spans="2:10" x14ac:dyDescent="0.25">
      <c r="B108" t="s">
        <v>337</v>
      </c>
      <c r="C108" t="s">
        <v>50</v>
      </c>
      <c r="D108">
        <v>703240</v>
      </c>
      <c r="E108" t="s">
        <v>160</v>
      </c>
      <c r="F108" t="s">
        <v>21</v>
      </c>
      <c r="G108" t="s">
        <v>61</v>
      </c>
      <c r="H108" t="s">
        <v>68</v>
      </c>
      <c r="J108">
        <v>0</v>
      </c>
    </row>
    <row r="109" spans="2:10" x14ac:dyDescent="0.25">
      <c r="B109" t="s">
        <v>337</v>
      </c>
      <c r="C109" t="s">
        <v>50</v>
      </c>
      <c r="D109">
        <v>703241</v>
      </c>
      <c r="E109" t="s">
        <v>161</v>
      </c>
      <c r="F109" t="s">
        <v>21</v>
      </c>
      <c r="G109" t="s">
        <v>137</v>
      </c>
      <c r="H109" t="s">
        <v>141</v>
      </c>
      <c r="J109">
        <v>0</v>
      </c>
    </row>
    <row r="110" spans="2:10" x14ac:dyDescent="0.25">
      <c r="B110" t="s">
        <v>337</v>
      </c>
      <c r="C110" t="s">
        <v>50</v>
      </c>
      <c r="D110">
        <v>703242</v>
      </c>
      <c r="E110" t="s">
        <v>162</v>
      </c>
      <c r="F110" t="s">
        <v>21</v>
      </c>
      <c r="G110" t="s">
        <v>137</v>
      </c>
      <c r="H110" t="s">
        <v>141</v>
      </c>
      <c r="J110">
        <v>0</v>
      </c>
    </row>
    <row r="111" spans="2:10" x14ac:dyDescent="0.25">
      <c r="B111" t="s">
        <v>337</v>
      </c>
      <c r="C111" t="s">
        <v>50</v>
      </c>
      <c r="D111">
        <v>703243</v>
      </c>
      <c r="E111" t="s">
        <v>163</v>
      </c>
      <c r="F111" t="s">
        <v>21</v>
      </c>
      <c r="G111" t="s">
        <v>137</v>
      </c>
      <c r="H111" t="s">
        <v>141</v>
      </c>
      <c r="I111" t="s">
        <v>105</v>
      </c>
      <c r="J111">
        <v>846000</v>
      </c>
    </row>
    <row r="112" spans="2:10" x14ac:dyDescent="0.25">
      <c r="B112" t="s">
        <v>337</v>
      </c>
      <c r="C112" t="s">
        <v>50</v>
      </c>
      <c r="D112">
        <v>703244</v>
      </c>
      <c r="E112" t="s">
        <v>164</v>
      </c>
      <c r="F112" t="s">
        <v>21</v>
      </c>
      <c r="G112" t="s">
        <v>71</v>
      </c>
      <c r="H112" t="s">
        <v>88</v>
      </c>
      <c r="J112">
        <v>0</v>
      </c>
    </row>
    <row r="113" spans="2:10" x14ac:dyDescent="0.25">
      <c r="B113" t="s">
        <v>337</v>
      </c>
      <c r="C113" t="s">
        <v>50</v>
      </c>
      <c r="D113">
        <v>703245</v>
      </c>
      <c r="E113" t="s">
        <v>165</v>
      </c>
      <c r="F113" t="s">
        <v>21</v>
      </c>
      <c r="G113" t="s">
        <v>137</v>
      </c>
      <c r="H113" t="s">
        <v>138</v>
      </c>
      <c r="J113">
        <v>0</v>
      </c>
    </row>
    <row r="114" spans="2:10" x14ac:dyDescent="0.25">
      <c r="B114" t="s">
        <v>337</v>
      </c>
      <c r="C114" t="s">
        <v>50</v>
      </c>
      <c r="D114">
        <v>703246</v>
      </c>
      <c r="E114" t="s">
        <v>166</v>
      </c>
      <c r="F114" t="s">
        <v>21</v>
      </c>
      <c r="G114" t="s">
        <v>137</v>
      </c>
      <c r="H114" t="s">
        <v>138</v>
      </c>
      <c r="J114">
        <v>0</v>
      </c>
    </row>
    <row r="115" spans="2:10" x14ac:dyDescent="0.25">
      <c r="B115" t="s">
        <v>337</v>
      </c>
      <c r="C115" t="s">
        <v>50</v>
      </c>
      <c r="D115">
        <v>703247</v>
      </c>
      <c r="E115" t="s">
        <v>167</v>
      </c>
      <c r="F115" t="s">
        <v>21</v>
      </c>
      <c r="G115" t="s">
        <v>137</v>
      </c>
      <c r="H115" t="s">
        <v>138</v>
      </c>
      <c r="J115">
        <v>0</v>
      </c>
    </row>
    <row r="116" spans="2:10" x14ac:dyDescent="0.25">
      <c r="B116" t="s">
        <v>337</v>
      </c>
      <c r="C116" t="s">
        <v>50</v>
      </c>
      <c r="D116">
        <v>703248</v>
      </c>
      <c r="E116" t="s">
        <v>168</v>
      </c>
      <c r="F116" t="s">
        <v>21</v>
      </c>
      <c r="G116" t="s">
        <v>137</v>
      </c>
      <c r="H116" t="s">
        <v>141</v>
      </c>
      <c r="I116" t="s">
        <v>105</v>
      </c>
      <c r="J116">
        <v>915702.67</v>
      </c>
    </row>
    <row r="117" spans="2:10" x14ac:dyDescent="0.25">
      <c r="B117" t="s">
        <v>337</v>
      </c>
      <c r="C117" t="s">
        <v>50</v>
      </c>
      <c r="D117">
        <v>703249</v>
      </c>
      <c r="E117" t="s">
        <v>169</v>
      </c>
      <c r="F117" t="s">
        <v>21</v>
      </c>
      <c r="G117" t="s">
        <v>147</v>
      </c>
      <c r="H117" t="s">
        <v>147</v>
      </c>
      <c r="J117">
        <v>0</v>
      </c>
    </row>
    <row r="118" spans="2:10" x14ac:dyDescent="0.25">
      <c r="B118" t="s">
        <v>337</v>
      </c>
      <c r="C118" t="s">
        <v>50</v>
      </c>
      <c r="D118">
        <v>703250</v>
      </c>
      <c r="E118" t="s">
        <v>170</v>
      </c>
      <c r="F118" t="s">
        <v>21</v>
      </c>
      <c r="G118" t="s">
        <v>71</v>
      </c>
      <c r="H118" t="s">
        <v>171</v>
      </c>
      <c r="J118">
        <v>0</v>
      </c>
    </row>
    <row r="119" spans="2:10" x14ac:dyDescent="0.25">
      <c r="B119" t="s">
        <v>337</v>
      </c>
      <c r="C119" t="s">
        <v>50</v>
      </c>
      <c r="D119">
        <v>703251</v>
      </c>
      <c r="E119" t="s">
        <v>172</v>
      </c>
      <c r="F119" t="s">
        <v>21</v>
      </c>
      <c r="G119" t="s">
        <v>22</v>
      </c>
      <c r="H119" t="s">
        <v>115</v>
      </c>
      <c r="J119">
        <v>0</v>
      </c>
    </row>
    <row r="120" spans="2:10" x14ac:dyDescent="0.25">
      <c r="B120" t="s">
        <v>337</v>
      </c>
      <c r="C120" t="s">
        <v>50</v>
      </c>
      <c r="D120">
        <v>703252</v>
      </c>
      <c r="E120" t="s">
        <v>173</v>
      </c>
      <c r="F120" t="s">
        <v>21</v>
      </c>
      <c r="G120" t="s">
        <v>22</v>
      </c>
      <c r="H120" t="s">
        <v>115</v>
      </c>
      <c r="J120">
        <v>0</v>
      </c>
    </row>
    <row r="121" spans="2:10" x14ac:dyDescent="0.25">
      <c r="B121" t="s">
        <v>337</v>
      </c>
      <c r="C121" t="s">
        <v>50</v>
      </c>
      <c r="D121">
        <v>703253</v>
      </c>
      <c r="E121" t="s">
        <v>174</v>
      </c>
      <c r="F121" t="s">
        <v>21</v>
      </c>
      <c r="G121" t="s">
        <v>22</v>
      </c>
      <c r="H121" t="s">
        <v>115</v>
      </c>
      <c r="J121">
        <v>0</v>
      </c>
    </row>
    <row r="122" spans="2:10" x14ac:dyDescent="0.25">
      <c r="B122" t="s">
        <v>337</v>
      </c>
      <c r="C122" t="s">
        <v>50</v>
      </c>
      <c r="D122">
        <v>703254</v>
      </c>
      <c r="E122" t="s">
        <v>175</v>
      </c>
      <c r="F122" t="s">
        <v>21</v>
      </c>
      <c r="G122" t="s">
        <v>22</v>
      </c>
      <c r="H122" t="s">
        <v>115</v>
      </c>
      <c r="J122">
        <v>0</v>
      </c>
    </row>
    <row r="123" spans="2:10" x14ac:dyDescent="0.25">
      <c r="B123" t="s">
        <v>337</v>
      </c>
      <c r="C123" t="s">
        <v>50</v>
      </c>
      <c r="D123">
        <v>703255</v>
      </c>
      <c r="E123" t="s">
        <v>176</v>
      </c>
      <c r="F123" t="s">
        <v>21</v>
      </c>
      <c r="G123" t="s">
        <v>22</v>
      </c>
      <c r="H123" t="s">
        <v>115</v>
      </c>
      <c r="J123">
        <v>0</v>
      </c>
    </row>
    <row r="124" spans="2:10" x14ac:dyDescent="0.25">
      <c r="B124" t="s">
        <v>337</v>
      </c>
      <c r="C124" t="s">
        <v>50</v>
      </c>
      <c r="D124">
        <v>703257</v>
      </c>
      <c r="E124" t="s">
        <v>177</v>
      </c>
      <c r="F124" t="s">
        <v>21</v>
      </c>
      <c r="G124" t="s">
        <v>147</v>
      </c>
      <c r="H124" t="s">
        <v>147</v>
      </c>
      <c r="J124">
        <v>0</v>
      </c>
    </row>
    <row r="125" spans="2:10" x14ac:dyDescent="0.25">
      <c r="B125" t="s">
        <v>337</v>
      </c>
      <c r="C125" t="s">
        <v>50</v>
      </c>
      <c r="D125">
        <v>703258</v>
      </c>
      <c r="E125" t="s">
        <v>178</v>
      </c>
      <c r="F125" t="s">
        <v>21</v>
      </c>
      <c r="G125" t="s">
        <v>147</v>
      </c>
      <c r="H125" t="s">
        <v>147</v>
      </c>
      <c r="J125">
        <v>0</v>
      </c>
    </row>
    <row r="126" spans="2:10" x14ac:dyDescent="0.25">
      <c r="B126" t="s">
        <v>337</v>
      </c>
      <c r="C126" t="s">
        <v>50</v>
      </c>
      <c r="D126">
        <v>703260</v>
      </c>
      <c r="E126" t="s">
        <v>179</v>
      </c>
      <c r="F126" t="s">
        <v>21</v>
      </c>
      <c r="G126" t="s">
        <v>76</v>
      </c>
      <c r="H126" t="s">
        <v>77</v>
      </c>
      <c r="J126">
        <v>0</v>
      </c>
    </row>
    <row r="127" spans="2:10" x14ac:dyDescent="0.25">
      <c r="B127" t="s">
        <v>337</v>
      </c>
      <c r="C127" t="s">
        <v>50</v>
      </c>
      <c r="D127">
        <v>703261</v>
      </c>
      <c r="E127" t="s">
        <v>180</v>
      </c>
      <c r="F127" t="s">
        <v>21</v>
      </c>
      <c r="G127" t="s">
        <v>22</v>
      </c>
      <c r="H127" t="s">
        <v>115</v>
      </c>
      <c r="I127" t="s">
        <v>105</v>
      </c>
      <c r="J127">
        <v>143550</v>
      </c>
    </row>
    <row r="128" spans="2:10" x14ac:dyDescent="0.25">
      <c r="B128" t="s">
        <v>337</v>
      </c>
      <c r="C128" t="s">
        <v>50</v>
      </c>
      <c r="D128">
        <v>703262</v>
      </c>
      <c r="E128" t="s">
        <v>181</v>
      </c>
      <c r="F128" t="s">
        <v>21</v>
      </c>
      <c r="G128" t="s">
        <v>22</v>
      </c>
      <c r="H128" t="s">
        <v>23</v>
      </c>
      <c r="J128">
        <v>0</v>
      </c>
    </row>
    <row r="129" spans="2:10" x14ac:dyDescent="0.25">
      <c r="B129" t="s">
        <v>337</v>
      </c>
      <c r="C129" t="s">
        <v>50</v>
      </c>
      <c r="D129">
        <v>703263</v>
      </c>
      <c r="E129" t="s">
        <v>182</v>
      </c>
      <c r="F129" t="s">
        <v>21</v>
      </c>
      <c r="G129" t="s">
        <v>22</v>
      </c>
      <c r="H129" t="s">
        <v>115</v>
      </c>
      <c r="J129">
        <v>0</v>
      </c>
    </row>
    <row r="130" spans="2:10" x14ac:dyDescent="0.25">
      <c r="B130" t="s">
        <v>337</v>
      </c>
      <c r="C130" t="s">
        <v>50</v>
      </c>
      <c r="D130">
        <v>703264</v>
      </c>
      <c r="E130" t="s">
        <v>183</v>
      </c>
      <c r="F130" t="s">
        <v>21</v>
      </c>
      <c r="G130" t="s">
        <v>22</v>
      </c>
      <c r="H130" t="s">
        <v>115</v>
      </c>
      <c r="J130">
        <v>0</v>
      </c>
    </row>
    <row r="131" spans="2:10" x14ac:dyDescent="0.25">
      <c r="B131" t="s">
        <v>337</v>
      </c>
      <c r="C131" t="s">
        <v>50</v>
      </c>
      <c r="D131">
        <v>703265</v>
      </c>
      <c r="E131" t="s">
        <v>184</v>
      </c>
      <c r="F131" t="s">
        <v>21</v>
      </c>
      <c r="G131" t="s">
        <v>22</v>
      </c>
      <c r="H131" t="s">
        <v>115</v>
      </c>
      <c r="J131">
        <v>0</v>
      </c>
    </row>
    <row r="132" spans="2:10" x14ac:dyDescent="0.25">
      <c r="B132" t="s">
        <v>337</v>
      </c>
      <c r="C132" t="s">
        <v>50</v>
      </c>
      <c r="D132">
        <v>703266</v>
      </c>
      <c r="E132" t="s">
        <v>185</v>
      </c>
      <c r="F132" t="s">
        <v>21</v>
      </c>
      <c r="G132" t="s">
        <v>71</v>
      </c>
      <c r="H132" t="s">
        <v>186</v>
      </c>
      <c r="J132">
        <v>0</v>
      </c>
    </row>
    <row r="133" spans="2:10" x14ac:dyDescent="0.25">
      <c r="B133" t="s">
        <v>337</v>
      </c>
      <c r="C133" t="s">
        <v>50</v>
      </c>
      <c r="D133">
        <v>703267</v>
      </c>
      <c r="E133" t="s">
        <v>187</v>
      </c>
      <c r="F133" t="s">
        <v>21</v>
      </c>
      <c r="G133" t="s">
        <v>71</v>
      </c>
      <c r="H133" t="s">
        <v>88</v>
      </c>
      <c r="J133">
        <v>0</v>
      </c>
    </row>
    <row r="134" spans="2:10" x14ac:dyDescent="0.25">
      <c r="B134" t="s">
        <v>337</v>
      </c>
      <c r="C134" t="s">
        <v>50</v>
      </c>
      <c r="D134">
        <v>703268</v>
      </c>
      <c r="E134" t="s">
        <v>188</v>
      </c>
      <c r="F134" t="s">
        <v>21</v>
      </c>
      <c r="G134" t="s">
        <v>147</v>
      </c>
      <c r="H134" t="s">
        <v>147</v>
      </c>
      <c r="J134">
        <v>0</v>
      </c>
    </row>
    <row r="135" spans="2:10" x14ac:dyDescent="0.25">
      <c r="B135" t="s">
        <v>337</v>
      </c>
      <c r="C135" t="s">
        <v>50</v>
      </c>
      <c r="D135">
        <v>703269</v>
      </c>
      <c r="E135" t="s">
        <v>189</v>
      </c>
      <c r="F135" t="s">
        <v>21</v>
      </c>
      <c r="G135" t="s">
        <v>147</v>
      </c>
      <c r="H135" t="s">
        <v>147</v>
      </c>
      <c r="J135">
        <v>0</v>
      </c>
    </row>
    <row r="136" spans="2:10" x14ac:dyDescent="0.25">
      <c r="B136" t="s">
        <v>337</v>
      </c>
      <c r="C136" t="s">
        <v>50</v>
      </c>
      <c r="D136">
        <v>703270</v>
      </c>
      <c r="E136" t="s">
        <v>190</v>
      </c>
      <c r="F136" t="s">
        <v>21</v>
      </c>
      <c r="G136" t="s">
        <v>137</v>
      </c>
      <c r="H136" t="s">
        <v>141</v>
      </c>
      <c r="J136">
        <v>0</v>
      </c>
    </row>
    <row r="137" spans="2:10" x14ac:dyDescent="0.25">
      <c r="B137" t="s">
        <v>337</v>
      </c>
      <c r="C137" t="s">
        <v>50</v>
      </c>
      <c r="D137">
        <v>703271</v>
      </c>
      <c r="E137" t="s">
        <v>191</v>
      </c>
      <c r="F137" t="s">
        <v>21</v>
      </c>
      <c r="G137" t="s">
        <v>22</v>
      </c>
      <c r="H137" t="s">
        <v>115</v>
      </c>
      <c r="J137">
        <v>0</v>
      </c>
    </row>
    <row r="138" spans="2:10" x14ac:dyDescent="0.25">
      <c r="B138" t="s">
        <v>337</v>
      </c>
      <c r="C138" t="s">
        <v>50</v>
      </c>
      <c r="D138">
        <v>703272</v>
      </c>
      <c r="E138" t="s">
        <v>192</v>
      </c>
      <c r="F138" t="s">
        <v>21</v>
      </c>
      <c r="G138" t="s">
        <v>22</v>
      </c>
      <c r="H138" t="s">
        <v>23</v>
      </c>
      <c r="J138">
        <v>0</v>
      </c>
    </row>
    <row r="139" spans="2:10" x14ac:dyDescent="0.25">
      <c r="B139" t="s">
        <v>337</v>
      </c>
      <c r="C139" t="s">
        <v>50</v>
      </c>
      <c r="D139">
        <v>703273</v>
      </c>
      <c r="E139" t="s">
        <v>193</v>
      </c>
      <c r="F139" t="s">
        <v>21</v>
      </c>
      <c r="G139" t="s">
        <v>147</v>
      </c>
      <c r="H139" t="s">
        <v>147</v>
      </c>
      <c r="J139">
        <v>0</v>
      </c>
    </row>
    <row r="140" spans="2:10" x14ac:dyDescent="0.25">
      <c r="B140" t="s">
        <v>337</v>
      </c>
      <c r="C140" t="s">
        <v>50</v>
      </c>
      <c r="D140">
        <v>703274</v>
      </c>
      <c r="E140" t="s">
        <v>194</v>
      </c>
      <c r="F140" t="s">
        <v>21</v>
      </c>
      <c r="G140" t="s">
        <v>147</v>
      </c>
      <c r="H140" t="s">
        <v>147</v>
      </c>
      <c r="I140" t="s">
        <v>105</v>
      </c>
      <c r="J140">
        <v>8725591</v>
      </c>
    </row>
    <row r="141" spans="2:10" x14ac:dyDescent="0.25">
      <c r="B141" t="s">
        <v>337</v>
      </c>
      <c r="C141" t="s">
        <v>50</v>
      </c>
      <c r="D141">
        <v>703275</v>
      </c>
      <c r="E141" t="s">
        <v>195</v>
      </c>
      <c r="F141" t="s">
        <v>21</v>
      </c>
      <c r="G141" t="s">
        <v>137</v>
      </c>
      <c r="H141" t="s">
        <v>138</v>
      </c>
      <c r="I141" t="s">
        <v>105</v>
      </c>
      <c r="J141">
        <v>510000</v>
      </c>
    </row>
    <row r="142" spans="2:10" x14ac:dyDescent="0.25">
      <c r="B142" t="s">
        <v>337</v>
      </c>
      <c r="C142" t="s">
        <v>50</v>
      </c>
      <c r="D142">
        <v>703280</v>
      </c>
      <c r="E142" t="s">
        <v>196</v>
      </c>
      <c r="F142" t="s">
        <v>21</v>
      </c>
      <c r="G142" t="s">
        <v>71</v>
      </c>
      <c r="H142" t="s">
        <v>171</v>
      </c>
      <c r="J142">
        <v>0</v>
      </c>
    </row>
    <row r="143" spans="2:10" x14ac:dyDescent="0.25">
      <c r="B143" t="s">
        <v>337</v>
      </c>
      <c r="C143" t="s">
        <v>50</v>
      </c>
      <c r="D143">
        <v>703281</v>
      </c>
      <c r="E143" t="s">
        <v>197</v>
      </c>
      <c r="F143" t="s">
        <v>21</v>
      </c>
      <c r="G143" t="s">
        <v>76</v>
      </c>
      <c r="H143" t="s">
        <v>77</v>
      </c>
      <c r="J143">
        <v>0</v>
      </c>
    </row>
    <row r="144" spans="2:10" x14ac:dyDescent="0.25">
      <c r="B144" t="s">
        <v>337</v>
      </c>
      <c r="C144" t="s">
        <v>50</v>
      </c>
      <c r="D144">
        <v>703282</v>
      </c>
      <c r="E144" t="s">
        <v>198</v>
      </c>
      <c r="F144" t="s">
        <v>21</v>
      </c>
      <c r="G144" t="s">
        <v>76</v>
      </c>
      <c r="H144" t="s">
        <v>77</v>
      </c>
      <c r="J144">
        <v>0</v>
      </c>
    </row>
    <row r="145" spans="2:10" x14ac:dyDescent="0.25">
      <c r="B145" t="s">
        <v>337</v>
      </c>
      <c r="C145" t="s">
        <v>50</v>
      </c>
      <c r="D145">
        <v>703283</v>
      </c>
      <c r="E145" t="s">
        <v>199</v>
      </c>
      <c r="F145" t="s">
        <v>21</v>
      </c>
      <c r="G145" t="s">
        <v>61</v>
      </c>
      <c r="H145" t="s">
        <v>68</v>
      </c>
      <c r="J145">
        <v>0</v>
      </c>
    </row>
    <row r="146" spans="2:10" x14ac:dyDescent="0.25">
      <c r="B146" t="s">
        <v>337</v>
      </c>
      <c r="C146" t="s">
        <v>50</v>
      </c>
      <c r="D146">
        <v>703310</v>
      </c>
      <c r="E146" t="s">
        <v>200</v>
      </c>
      <c r="F146" t="s">
        <v>21</v>
      </c>
      <c r="G146" t="s">
        <v>22</v>
      </c>
      <c r="H146" t="s">
        <v>23</v>
      </c>
      <c r="I146" t="s">
        <v>105</v>
      </c>
      <c r="J146">
        <v>685000</v>
      </c>
    </row>
    <row r="147" spans="2:10" x14ac:dyDescent="0.25">
      <c r="B147" t="s">
        <v>337</v>
      </c>
      <c r="C147" t="s">
        <v>50</v>
      </c>
      <c r="D147">
        <v>703311</v>
      </c>
      <c r="E147" t="s">
        <v>201</v>
      </c>
      <c r="F147" t="s">
        <v>21</v>
      </c>
      <c r="G147" t="s">
        <v>71</v>
      </c>
      <c r="H147" t="s">
        <v>171</v>
      </c>
      <c r="J147">
        <v>0</v>
      </c>
    </row>
    <row r="148" spans="2:10" x14ac:dyDescent="0.25">
      <c r="B148" t="s">
        <v>337</v>
      </c>
      <c r="C148" t="s">
        <v>50</v>
      </c>
      <c r="D148">
        <v>703312</v>
      </c>
      <c r="E148" t="s">
        <v>202</v>
      </c>
      <c r="F148" t="s">
        <v>21</v>
      </c>
      <c r="G148" t="s">
        <v>76</v>
      </c>
      <c r="H148" t="s">
        <v>77</v>
      </c>
      <c r="J148">
        <v>0</v>
      </c>
    </row>
    <row r="149" spans="2:10" x14ac:dyDescent="0.25">
      <c r="B149" t="s">
        <v>337</v>
      </c>
      <c r="C149" t="s">
        <v>50</v>
      </c>
      <c r="D149">
        <v>703313</v>
      </c>
      <c r="E149" t="s">
        <v>203</v>
      </c>
      <c r="F149" t="s">
        <v>21</v>
      </c>
      <c r="G149" t="s">
        <v>76</v>
      </c>
      <c r="H149" t="s">
        <v>77</v>
      </c>
      <c r="J149">
        <v>0</v>
      </c>
    </row>
    <row r="150" spans="2:10" x14ac:dyDescent="0.25">
      <c r="B150" t="s">
        <v>337</v>
      </c>
      <c r="C150" t="s">
        <v>50</v>
      </c>
      <c r="D150">
        <v>703314</v>
      </c>
      <c r="E150" t="s">
        <v>204</v>
      </c>
      <c r="F150" t="s">
        <v>21</v>
      </c>
      <c r="G150" t="s">
        <v>76</v>
      </c>
      <c r="H150" t="s">
        <v>77</v>
      </c>
      <c r="J150">
        <v>0</v>
      </c>
    </row>
    <row r="151" spans="2:10" x14ac:dyDescent="0.25">
      <c r="B151" t="s">
        <v>337</v>
      </c>
      <c r="C151" t="s">
        <v>50</v>
      </c>
      <c r="D151">
        <v>703315</v>
      </c>
      <c r="E151" t="s">
        <v>205</v>
      </c>
      <c r="F151" t="s">
        <v>21</v>
      </c>
      <c r="G151" t="s">
        <v>76</v>
      </c>
      <c r="H151" t="s">
        <v>135</v>
      </c>
      <c r="J151">
        <v>0</v>
      </c>
    </row>
    <row r="152" spans="2:10" x14ac:dyDescent="0.25">
      <c r="B152" t="s">
        <v>337</v>
      </c>
      <c r="C152" t="s">
        <v>50</v>
      </c>
      <c r="D152">
        <v>703316</v>
      </c>
      <c r="E152" t="s">
        <v>206</v>
      </c>
      <c r="F152" t="s">
        <v>21</v>
      </c>
      <c r="G152" t="s">
        <v>76</v>
      </c>
      <c r="H152" t="s">
        <v>77</v>
      </c>
      <c r="J152">
        <v>0</v>
      </c>
    </row>
    <row r="153" spans="2:10" x14ac:dyDescent="0.25">
      <c r="B153" t="s">
        <v>337</v>
      </c>
      <c r="C153" t="s">
        <v>50</v>
      </c>
      <c r="D153">
        <v>703317</v>
      </c>
      <c r="E153" t="s">
        <v>207</v>
      </c>
      <c r="F153" t="s">
        <v>21</v>
      </c>
      <c r="G153" t="s">
        <v>76</v>
      </c>
      <c r="H153" t="s">
        <v>77</v>
      </c>
      <c r="J153">
        <v>0</v>
      </c>
    </row>
    <row r="154" spans="2:10" x14ac:dyDescent="0.25">
      <c r="B154" t="s">
        <v>337</v>
      </c>
      <c r="C154" t="s">
        <v>50</v>
      </c>
      <c r="D154">
        <v>703318</v>
      </c>
      <c r="E154" t="s">
        <v>208</v>
      </c>
      <c r="F154" t="s">
        <v>21</v>
      </c>
      <c r="G154" t="s">
        <v>71</v>
      </c>
      <c r="H154" t="s">
        <v>209</v>
      </c>
      <c r="I154" t="s">
        <v>105</v>
      </c>
      <c r="J154">
        <v>342884</v>
      </c>
    </row>
    <row r="155" spans="2:10" x14ac:dyDescent="0.25">
      <c r="B155" t="s">
        <v>337</v>
      </c>
      <c r="C155" t="s">
        <v>50</v>
      </c>
      <c r="D155">
        <v>703319</v>
      </c>
      <c r="E155" t="s">
        <v>210</v>
      </c>
      <c r="F155" t="s">
        <v>21</v>
      </c>
      <c r="G155" t="s">
        <v>61</v>
      </c>
      <c r="H155" t="s">
        <v>79</v>
      </c>
      <c r="J155">
        <v>0</v>
      </c>
    </row>
    <row r="156" spans="2:10" x14ac:dyDescent="0.25">
      <c r="B156" t="s">
        <v>337</v>
      </c>
      <c r="C156" t="s">
        <v>50</v>
      </c>
      <c r="D156">
        <v>703320</v>
      </c>
      <c r="E156" t="s">
        <v>211</v>
      </c>
      <c r="F156" t="s">
        <v>21</v>
      </c>
      <c r="G156" t="s">
        <v>71</v>
      </c>
      <c r="H156" t="s">
        <v>135</v>
      </c>
      <c r="J156">
        <v>0</v>
      </c>
    </row>
    <row r="157" spans="2:10" x14ac:dyDescent="0.25">
      <c r="B157" t="s">
        <v>337</v>
      </c>
      <c r="C157" t="s">
        <v>50</v>
      </c>
      <c r="D157">
        <v>703321</v>
      </c>
      <c r="E157" t="s">
        <v>212</v>
      </c>
      <c r="F157" t="s">
        <v>21</v>
      </c>
      <c r="G157" t="s">
        <v>22</v>
      </c>
      <c r="H157" t="s">
        <v>23</v>
      </c>
      <c r="J157">
        <v>0</v>
      </c>
    </row>
    <row r="158" spans="2:10" x14ac:dyDescent="0.25">
      <c r="B158" t="s">
        <v>337</v>
      </c>
      <c r="C158" t="s">
        <v>50</v>
      </c>
      <c r="D158">
        <v>703322</v>
      </c>
      <c r="E158" t="s">
        <v>213</v>
      </c>
      <c r="F158" t="s">
        <v>21</v>
      </c>
      <c r="G158" t="s">
        <v>22</v>
      </c>
      <c r="H158" t="s">
        <v>23</v>
      </c>
      <c r="J158">
        <v>0</v>
      </c>
    </row>
    <row r="159" spans="2:10" x14ac:dyDescent="0.25">
      <c r="B159" t="s">
        <v>337</v>
      </c>
      <c r="C159" t="s">
        <v>50</v>
      </c>
      <c r="D159">
        <v>703323</v>
      </c>
      <c r="E159" t="s">
        <v>214</v>
      </c>
      <c r="F159" t="s">
        <v>21</v>
      </c>
      <c r="G159" t="s">
        <v>22</v>
      </c>
      <c r="H159" t="s">
        <v>23</v>
      </c>
      <c r="J159">
        <v>0</v>
      </c>
    </row>
    <row r="160" spans="2:10" x14ac:dyDescent="0.25">
      <c r="B160" t="s">
        <v>337</v>
      </c>
      <c r="C160" t="s">
        <v>50</v>
      </c>
      <c r="D160">
        <v>703324</v>
      </c>
      <c r="E160" t="s">
        <v>215</v>
      </c>
      <c r="F160" t="s">
        <v>21</v>
      </c>
      <c r="G160" t="s">
        <v>22</v>
      </c>
      <c r="H160" t="s">
        <v>23</v>
      </c>
      <c r="J160">
        <v>0</v>
      </c>
    </row>
    <row r="161" spans="2:10" x14ac:dyDescent="0.25">
      <c r="B161" t="s">
        <v>337</v>
      </c>
      <c r="C161" t="s">
        <v>50</v>
      </c>
      <c r="D161">
        <v>703325</v>
      </c>
      <c r="E161" t="s">
        <v>216</v>
      </c>
      <c r="F161" t="s">
        <v>21</v>
      </c>
      <c r="G161" t="s">
        <v>22</v>
      </c>
      <c r="H161" t="s">
        <v>23</v>
      </c>
      <c r="J161">
        <v>0</v>
      </c>
    </row>
    <row r="162" spans="2:10" x14ac:dyDescent="0.25">
      <c r="B162" t="s">
        <v>337</v>
      </c>
      <c r="C162" t="s">
        <v>50</v>
      </c>
      <c r="D162">
        <v>703326</v>
      </c>
      <c r="E162" t="s">
        <v>217</v>
      </c>
      <c r="F162" t="s">
        <v>21</v>
      </c>
      <c r="G162" t="s">
        <v>22</v>
      </c>
      <c r="H162" t="s">
        <v>23</v>
      </c>
      <c r="J162">
        <v>0</v>
      </c>
    </row>
    <row r="163" spans="2:10" x14ac:dyDescent="0.25">
      <c r="B163" t="s">
        <v>337</v>
      </c>
      <c r="C163" t="s">
        <v>50</v>
      </c>
      <c r="D163">
        <v>703327</v>
      </c>
      <c r="E163" t="s">
        <v>218</v>
      </c>
      <c r="F163" t="s">
        <v>21</v>
      </c>
      <c r="G163" t="s">
        <v>76</v>
      </c>
      <c r="H163" t="s">
        <v>77</v>
      </c>
      <c r="J163">
        <v>0</v>
      </c>
    </row>
    <row r="164" spans="2:10" x14ac:dyDescent="0.25">
      <c r="B164" t="s">
        <v>337</v>
      </c>
      <c r="C164" t="s">
        <v>50</v>
      </c>
      <c r="D164">
        <v>703328</v>
      </c>
      <c r="E164" t="s">
        <v>219</v>
      </c>
      <c r="F164" t="s">
        <v>21</v>
      </c>
      <c r="G164" t="s">
        <v>22</v>
      </c>
      <c r="H164" t="s">
        <v>23</v>
      </c>
      <c r="J164">
        <v>0</v>
      </c>
    </row>
    <row r="165" spans="2:10" x14ac:dyDescent="0.25">
      <c r="B165" t="s">
        <v>337</v>
      </c>
      <c r="C165" t="s">
        <v>50</v>
      </c>
      <c r="D165">
        <v>703329</v>
      </c>
      <c r="E165" t="s">
        <v>220</v>
      </c>
      <c r="F165" t="s">
        <v>21</v>
      </c>
      <c r="G165" t="s">
        <v>22</v>
      </c>
      <c r="H165" t="s">
        <v>23</v>
      </c>
      <c r="J165">
        <v>0</v>
      </c>
    </row>
    <row r="166" spans="2:10" x14ac:dyDescent="0.25">
      <c r="B166" t="s">
        <v>337</v>
      </c>
      <c r="C166" t="s">
        <v>50</v>
      </c>
      <c r="D166">
        <v>703330</v>
      </c>
      <c r="E166" t="s">
        <v>221</v>
      </c>
      <c r="F166" t="s">
        <v>21</v>
      </c>
      <c r="G166" t="s">
        <v>22</v>
      </c>
      <c r="H166" t="s">
        <v>23</v>
      </c>
      <c r="I166" t="s">
        <v>105</v>
      </c>
      <c r="J166">
        <v>50000</v>
      </c>
    </row>
    <row r="167" spans="2:10" x14ac:dyDescent="0.25">
      <c r="B167" t="s">
        <v>337</v>
      </c>
      <c r="C167" t="s">
        <v>50</v>
      </c>
      <c r="D167">
        <v>703340</v>
      </c>
      <c r="E167" t="s">
        <v>222</v>
      </c>
      <c r="F167" t="s">
        <v>21</v>
      </c>
      <c r="G167" t="s">
        <v>61</v>
      </c>
      <c r="H167" t="s">
        <v>68</v>
      </c>
      <c r="J167">
        <v>0</v>
      </c>
    </row>
    <row r="168" spans="2:10" x14ac:dyDescent="0.25">
      <c r="B168" t="s">
        <v>337</v>
      </c>
      <c r="C168" t="s">
        <v>50</v>
      </c>
      <c r="D168">
        <v>703350</v>
      </c>
      <c r="E168" t="s">
        <v>223</v>
      </c>
      <c r="F168" t="s">
        <v>21</v>
      </c>
      <c r="G168" t="s">
        <v>22</v>
      </c>
      <c r="H168" t="s">
        <v>23</v>
      </c>
      <c r="J168">
        <v>0</v>
      </c>
    </row>
    <row r="169" spans="2:10" x14ac:dyDescent="0.25">
      <c r="B169" t="s">
        <v>337</v>
      </c>
      <c r="C169" t="s">
        <v>50</v>
      </c>
      <c r="D169">
        <v>703351</v>
      </c>
      <c r="E169" t="s">
        <v>224</v>
      </c>
      <c r="F169" t="s">
        <v>21</v>
      </c>
      <c r="G169" t="s">
        <v>22</v>
      </c>
      <c r="H169" t="s">
        <v>23</v>
      </c>
      <c r="J169">
        <v>0</v>
      </c>
    </row>
    <row r="170" spans="2:10" x14ac:dyDescent="0.25">
      <c r="B170" t="s">
        <v>337</v>
      </c>
      <c r="C170" t="s">
        <v>50</v>
      </c>
      <c r="D170">
        <v>703352</v>
      </c>
      <c r="E170" t="s">
        <v>225</v>
      </c>
      <c r="F170" t="s">
        <v>21</v>
      </c>
      <c r="G170" t="s">
        <v>22</v>
      </c>
      <c r="H170" t="s">
        <v>23</v>
      </c>
      <c r="J170">
        <v>0</v>
      </c>
    </row>
    <row r="171" spans="2:10" x14ac:dyDescent="0.25">
      <c r="B171" t="s">
        <v>337</v>
      </c>
      <c r="C171" t="s">
        <v>50</v>
      </c>
      <c r="D171">
        <v>703360</v>
      </c>
      <c r="E171" t="s">
        <v>226</v>
      </c>
      <c r="F171" t="s">
        <v>21</v>
      </c>
      <c r="G171" t="s">
        <v>22</v>
      </c>
      <c r="H171" t="s">
        <v>23</v>
      </c>
      <c r="J171">
        <v>0</v>
      </c>
    </row>
    <row r="172" spans="2:10" x14ac:dyDescent="0.25">
      <c r="B172" t="s">
        <v>337</v>
      </c>
      <c r="C172" t="s">
        <v>50</v>
      </c>
      <c r="D172">
        <v>703370</v>
      </c>
      <c r="E172" t="s">
        <v>227</v>
      </c>
      <c r="F172" t="s">
        <v>21</v>
      </c>
      <c r="G172" t="s">
        <v>22</v>
      </c>
      <c r="H172" t="s">
        <v>23</v>
      </c>
      <c r="J172">
        <v>0</v>
      </c>
    </row>
    <row r="173" spans="2:10" x14ac:dyDescent="0.25">
      <c r="B173" t="s">
        <v>337</v>
      </c>
      <c r="C173" t="s">
        <v>50</v>
      </c>
      <c r="D173">
        <v>703410</v>
      </c>
      <c r="E173" t="s">
        <v>228</v>
      </c>
      <c r="F173" t="s">
        <v>21</v>
      </c>
      <c r="G173" t="s">
        <v>22</v>
      </c>
      <c r="H173" t="s">
        <v>23</v>
      </c>
      <c r="I173" t="s">
        <v>105</v>
      </c>
      <c r="J173">
        <v>50000</v>
      </c>
    </row>
    <row r="174" spans="2:10" x14ac:dyDescent="0.25">
      <c r="B174" t="s">
        <v>337</v>
      </c>
      <c r="C174" t="s">
        <v>50</v>
      </c>
      <c r="D174">
        <v>703411</v>
      </c>
      <c r="E174" t="s">
        <v>229</v>
      </c>
      <c r="F174" t="s">
        <v>21</v>
      </c>
      <c r="G174" t="s">
        <v>22</v>
      </c>
      <c r="H174" t="s">
        <v>23</v>
      </c>
      <c r="J174">
        <v>0</v>
      </c>
    </row>
    <row r="175" spans="2:10" x14ac:dyDescent="0.25">
      <c r="B175" t="s">
        <v>337</v>
      </c>
      <c r="C175" t="s">
        <v>50</v>
      </c>
      <c r="D175">
        <v>703412</v>
      </c>
      <c r="E175" t="s">
        <v>230</v>
      </c>
      <c r="F175" t="s">
        <v>21</v>
      </c>
      <c r="G175" t="s">
        <v>22</v>
      </c>
      <c r="H175" t="s">
        <v>23</v>
      </c>
      <c r="J175">
        <v>0</v>
      </c>
    </row>
    <row r="176" spans="2:10" x14ac:dyDescent="0.25">
      <c r="B176" t="s">
        <v>337</v>
      </c>
      <c r="C176" t="s">
        <v>50</v>
      </c>
      <c r="D176">
        <v>703420</v>
      </c>
      <c r="E176" t="s">
        <v>231</v>
      </c>
      <c r="F176" t="s">
        <v>21</v>
      </c>
      <c r="G176" t="s">
        <v>71</v>
      </c>
      <c r="H176" t="s">
        <v>171</v>
      </c>
      <c r="J176">
        <v>0</v>
      </c>
    </row>
    <row r="177" spans="2:10" x14ac:dyDescent="0.25">
      <c r="B177" t="s">
        <v>337</v>
      </c>
      <c r="C177" t="s">
        <v>50</v>
      </c>
      <c r="D177">
        <v>703421</v>
      </c>
      <c r="E177" t="s">
        <v>232</v>
      </c>
      <c r="F177" t="s">
        <v>21</v>
      </c>
      <c r="G177" t="s">
        <v>22</v>
      </c>
      <c r="H177" t="s">
        <v>23</v>
      </c>
      <c r="J177">
        <v>0</v>
      </c>
    </row>
    <row r="178" spans="2:10" x14ac:dyDescent="0.25">
      <c r="B178" t="s">
        <v>337</v>
      </c>
      <c r="C178" t="s">
        <v>50</v>
      </c>
      <c r="D178">
        <v>703422</v>
      </c>
      <c r="E178" t="s">
        <v>233</v>
      </c>
      <c r="F178" t="s">
        <v>21</v>
      </c>
      <c r="G178" t="s">
        <v>76</v>
      </c>
      <c r="H178" t="s">
        <v>77</v>
      </c>
      <c r="J178">
        <v>0</v>
      </c>
    </row>
    <row r="179" spans="2:10" x14ac:dyDescent="0.25">
      <c r="B179" t="s">
        <v>337</v>
      </c>
      <c r="C179" t="s">
        <v>50</v>
      </c>
      <c r="D179">
        <v>703423</v>
      </c>
      <c r="E179" t="s">
        <v>234</v>
      </c>
      <c r="F179" t="s">
        <v>21</v>
      </c>
      <c r="G179" t="s">
        <v>71</v>
      </c>
      <c r="H179" t="s">
        <v>88</v>
      </c>
      <c r="J179">
        <v>0</v>
      </c>
    </row>
    <row r="180" spans="2:10" x14ac:dyDescent="0.25">
      <c r="B180" t="s">
        <v>337</v>
      </c>
      <c r="C180" t="s">
        <v>50</v>
      </c>
      <c r="D180">
        <v>703424</v>
      </c>
      <c r="E180" t="s">
        <v>235</v>
      </c>
      <c r="F180" t="s">
        <v>21</v>
      </c>
      <c r="G180" t="s">
        <v>71</v>
      </c>
      <c r="H180" t="s">
        <v>88</v>
      </c>
      <c r="I180" t="s">
        <v>105</v>
      </c>
      <c r="J180">
        <v>670000</v>
      </c>
    </row>
    <row r="181" spans="2:10" x14ac:dyDescent="0.25">
      <c r="B181" t="s">
        <v>337</v>
      </c>
      <c r="C181" t="s">
        <v>50</v>
      </c>
      <c r="D181">
        <v>703425</v>
      </c>
      <c r="E181" t="s">
        <v>236</v>
      </c>
      <c r="F181" t="s">
        <v>21</v>
      </c>
      <c r="G181" t="s">
        <v>76</v>
      </c>
      <c r="H181" t="s">
        <v>77</v>
      </c>
      <c r="J181">
        <v>0</v>
      </c>
    </row>
    <row r="182" spans="2:10" x14ac:dyDescent="0.25">
      <c r="B182" t="s">
        <v>337</v>
      </c>
      <c r="C182" t="s">
        <v>50</v>
      </c>
      <c r="D182">
        <v>703426</v>
      </c>
      <c r="E182" t="s">
        <v>237</v>
      </c>
      <c r="F182" t="s">
        <v>21</v>
      </c>
      <c r="G182" t="s">
        <v>22</v>
      </c>
      <c r="H182" t="s">
        <v>23</v>
      </c>
      <c r="J182">
        <v>0</v>
      </c>
    </row>
    <row r="183" spans="2:10" x14ac:dyDescent="0.25">
      <c r="B183" t="s">
        <v>337</v>
      </c>
      <c r="C183" t="s">
        <v>50</v>
      </c>
      <c r="D183">
        <v>703427</v>
      </c>
      <c r="E183" t="s">
        <v>238</v>
      </c>
      <c r="F183" t="s">
        <v>21</v>
      </c>
      <c r="G183" t="s">
        <v>76</v>
      </c>
      <c r="H183" t="s">
        <v>77</v>
      </c>
      <c r="J183">
        <v>0</v>
      </c>
    </row>
    <row r="184" spans="2:10" x14ac:dyDescent="0.25">
      <c r="B184" t="s">
        <v>337</v>
      </c>
      <c r="C184" t="s">
        <v>50</v>
      </c>
      <c r="D184">
        <v>703428</v>
      </c>
      <c r="E184" t="s">
        <v>239</v>
      </c>
      <c r="F184" t="s">
        <v>21</v>
      </c>
      <c r="G184" t="s">
        <v>76</v>
      </c>
      <c r="H184" t="s">
        <v>77</v>
      </c>
      <c r="J184">
        <v>0</v>
      </c>
    </row>
    <row r="185" spans="2:10" x14ac:dyDescent="0.25">
      <c r="B185" t="s">
        <v>337</v>
      </c>
      <c r="C185" t="s">
        <v>50</v>
      </c>
      <c r="D185">
        <v>703429</v>
      </c>
      <c r="E185" t="s">
        <v>240</v>
      </c>
      <c r="F185" t="s">
        <v>21</v>
      </c>
      <c r="G185" t="s">
        <v>76</v>
      </c>
      <c r="H185" t="s">
        <v>77</v>
      </c>
      <c r="J185">
        <v>0</v>
      </c>
    </row>
    <row r="186" spans="2:10" x14ac:dyDescent="0.25">
      <c r="B186" t="s">
        <v>337</v>
      </c>
      <c r="C186" t="s">
        <v>50</v>
      </c>
      <c r="D186">
        <v>703430</v>
      </c>
      <c r="E186" t="s">
        <v>20</v>
      </c>
      <c r="F186" t="s">
        <v>21</v>
      </c>
      <c r="G186" t="s">
        <v>22</v>
      </c>
      <c r="H186" t="s">
        <v>23</v>
      </c>
      <c r="J186">
        <v>0</v>
      </c>
    </row>
    <row r="187" spans="2:10" x14ac:dyDescent="0.25">
      <c r="B187" t="s">
        <v>337</v>
      </c>
      <c r="C187" t="s">
        <v>50</v>
      </c>
      <c r="D187">
        <v>703431</v>
      </c>
      <c r="E187" t="s">
        <v>241</v>
      </c>
      <c r="F187" t="s">
        <v>21</v>
      </c>
      <c r="G187" t="s">
        <v>22</v>
      </c>
      <c r="H187" t="s">
        <v>23</v>
      </c>
      <c r="J187">
        <v>0</v>
      </c>
    </row>
    <row r="188" spans="2:10" x14ac:dyDescent="0.25">
      <c r="B188" t="s">
        <v>337</v>
      </c>
      <c r="C188" t="s">
        <v>50</v>
      </c>
      <c r="D188">
        <v>703432</v>
      </c>
      <c r="E188" t="s">
        <v>242</v>
      </c>
      <c r="F188" t="s">
        <v>21</v>
      </c>
      <c r="G188" t="s">
        <v>22</v>
      </c>
      <c r="H188" t="s">
        <v>23</v>
      </c>
      <c r="J188">
        <v>0</v>
      </c>
    </row>
    <row r="189" spans="2:10" x14ac:dyDescent="0.25">
      <c r="B189" t="s">
        <v>337</v>
      </c>
      <c r="C189" t="s">
        <v>50</v>
      </c>
      <c r="D189">
        <v>703433</v>
      </c>
      <c r="E189" t="s">
        <v>243</v>
      </c>
      <c r="F189" t="s">
        <v>21</v>
      </c>
      <c r="G189" t="s">
        <v>71</v>
      </c>
      <c r="H189" t="s">
        <v>88</v>
      </c>
      <c r="J189">
        <v>0</v>
      </c>
    </row>
    <row r="190" spans="2:10" x14ac:dyDescent="0.25">
      <c r="B190" t="s">
        <v>337</v>
      </c>
      <c r="C190" t="s">
        <v>50</v>
      </c>
      <c r="D190">
        <v>703434</v>
      </c>
      <c r="E190" t="s">
        <v>244</v>
      </c>
      <c r="F190" t="s">
        <v>21</v>
      </c>
      <c r="G190" t="s">
        <v>22</v>
      </c>
      <c r="H190" t="s">
        <v>23</v>
      </c>
      <c r="J190">
        <v>0</v>
      </c>
    </row>
    <row r="191" spans="2:10" x14ac:dyDescent="0.25">
      <c r="B191" t="s">
        <v>337</v>
      </c>
      <c r="C191" t="s">
        <v>50</v>
      </c>
      <c r="D191">
        <v>703435</v>
      </c>
      <c r="E191" t="s">
        <v>245</v>
      </c>
      <c r="F191" t="s">
        <v>21</v>
      </c>
      <c r="G191" t="s">
        <v>71</v>
      </c>
      <c r="H191" t="s">
        <v>88</v>
      </c>
      <c r="J191">
        <v>0</v>
      </c>
    </row>
    <row r="192" spans="2:10" x14ac:dyDescent="0.25">
      <c r="B192" t="s">
        <v>337</v>
      </c>
      <c r="C192" t="s">
        <v>50</v>
      </c>
      <c r="D192">
        <v>703436</v>
      </c>
      <c r="E192" t="s">
        <v>246</v>
      </c>
      <c r="F192" t="s">
        <v>21</v>
      </c>
      <c r="G192" t="s">
        <v>71</v>
      </c>
      <c r="H192" t="s">
        <v>88</v>
      </c>
      <c r="J192">
        <v>0</v>
      </c>
    </row>
    <row r="193" spans="2:10" x14ac:dyDescent="0.25">
      <c r="B193" t="s">
        <v>337</v>
      </c>
      <c r="C193" t="s">
        <v>50</v>
      </c>
      <c r="D193">
        <v>703437</v>
      </c>
      <c r="E193" t="s">
        <v>247</v>
      </c>
      <c r="F193" t="s">
        <v>21</v>
      </c>
      <c r="G193" t="s">
        <v>71</v>
      </c>
      <c r="H193" t="s">
        <v>88</v>
      </c>
      <c r="J193">
        <v>0</v>
      </c>
    </row>
    <row r="194" spans="2:10" x14ac:dyDescent="0.25">
      <c r="B194" t="s">
        <v>337</v>
      </c>
      <c r="C194" t="s">
        <v>50</v>
      </c>
      <c r="D194">
        <v>703438</v>
      </c>
      <c r="E194" t="s">
        <v>248</v>
      </c>
      <c r="F194" t="s">
        <v>21</v>
      </c>
      <c r="G194" t="s">
        <v>71</v>
      </c>
      <c r="H194" t="s">
        <v>88</v>
      </c>
      <c r="J194">
        <v>0</v>
      </c>
    </row>
    <row r="195" spans="2:10" x14ac:dyDescent="0.25">
      <c r="B195" t="s">
        <v>337</v>
      </c>
      <c r="C195" t="s">
        <v>50</v>
      </c>
      <c r="D195">
        <v>703439</v>
      </c>
      <c r="E195" t="s">
        <v>249</v>
      </c>
      <c r="F195" t="s">
        <v>21</v>
      </c>
      <c r="G195" t="s">
        <v>22</v>
      </c>
      <c r="H195" t="s">
        <v>23</v>
      </c>
      <c r="J195">
        <v>0</v>
      </c>
    </row>
    <row r="196" spans="2:10" x14ac:dyDescent="0.25">
      <c r="B196" t="s">
        <v>337</v>
      </c>
      <c r="C196" t="s">
        <v>50</v>
      </c>
      <c r="D196">
        <v>703440</v>
      </c>
      <c r="E196" t="s">
        <v>250</v>
      </c>
      <c r="F196" t="s">
        <v>21</v>
      </c>
      <c r="G196" t="s">
        <v>61</v>
      </c>
      <c r="H196" t="s">
        <v>68</v>
      </c>
      <c r="J196">
        <v>0</v>
      </c>
    </row>
    <row r="197" spans="2:10" x14ac:dyDescent="0.25">
      <c r="B197" t="s">
        <v>337</v>
      </c>
      <c r="C197" t="s">
        <v>50</v>
      </c>
      <c r="D197">
        <v>703441</v>
      </c>
      <c r="E197" t="s">
        <v>251</v>
      </c>
      <c r="F197" t="s">
        <v>21</v>
      </c>
      <c r="G197" t="s">
        <v>61</v>
      </c>
      <c r="H197" t="s">
        <v>79</v>
      </c>
      <c r="J197">
        <v>0</v>
      </c>
    </row>
    <row r="198" spans="2:10" x14ac:dyDescent="0.25">
      <c r="B198" t="s">
        <v>337</v>
      </c>
      <c r="C198" t="s">
        <v>50</v>
      </c>
      <c r="D198">
        <v>703442</v>
      </c>
      <c r="E198" t="s">
        <v>252</v>
      </c>
      <c r="F198" t="s">
        <v>21</v>
      </c>
      <c r="G198" t="s">
        <v>76</v>
      </c>
      <c r="H198" t="s">
        <v>77</v>
      </c>
      <c r="J198">
        <v>0</v>
      </c>
    </row>
    <row r="199" spans="2:10" x14ac:dyDescent="0.25">
      <c r="B199" t="s">
        <v>337</v>
      </c>
      <c r="C199" t="s">
        <v>50</v>
      </c>
      <c r="D199">
        <v>703443</v>
      </c>
      <c r="E199" t="s">
        <v>253</v>
      </c>
      <c r="F199" t="s">
        <v>21</v>
      </c>
      <c r="G199" t="s">
        <v>71</v>
      </c>
      <c r="H199" t="s">
        <v>88</v>
      </c>
      <c r="I199" t="s">
        <v>105</v>
      </c>
      <c r="J199">
        <v>2660324</v>
      </c>
    </row>
    <row r="200" spans="2:10" x14ac:dyDescent="0.25">
      <c r="B200" t="s">
        <v>337</v>
      </c>
      <c r="C200" t="s">
        <v>50</v>
      </c>
      <c r="D200">
        <v>703444</v>
      </c>
      <c r="E200" t="s">
        <v>254</v>
      </c>
      <c r="F200" t="s">
        <v>21</v>
      </c>
      <c r="G200" t="s">
        <v>22</v>
      </c>
      <c r="H200" t="s">
        <v>23</v>
      </c>
      <c r="I200" t="s">
        <v>105</v>
      </c>
      <c r="J200">
        <v>50000</v>
      </c>
    </row>
    <row r="201" spans="2:10" x14ac:dyDescent="0.25">
      <c r="B201" t="s">
        <v>337</v>
      </c>
      <c r="C201" t="s">
        <v>50</v>
      </c>
      <c r="D201">
        <v>703445</v>
      </c>
      <c r="E201" t="s">
        <v>255</v>
      </c>
      <c r="F201" t="s">
        <v>21</v>
      </c>
      <c r="G201" t="s">
        <v>22</v>
      </c>
      <c r="H201" t="s">
        <v>23</v>
      </c>
      <c r="J201">
        <v>0</v>
      </c>
    </row>
    <row r="202" spans="2:10" x14ac:dyDescent="0.25">
      <c r="B202" t="s">
        <v>337</v>
      </c>
      <c r="C202" t="s">
        <v>50</v>
      </c>
      <c r="D202">
        <v>703446</v>
      </c>
      <c r="E202" t="s">
        <v>256</v>
      </c>
      <c r="F202" t="s">
        <v>21</v>
      </c>
      <c r="G202" t="s">
        <v>22</v>
      </c>
      <c r="H202" t="s">
        <v>23</v>
      </c>
      <c r="J202">
        <v>0</v>
      </c>
    </row>
    <row r="203" spans="2:10" x14ac:dyDescent="0.25">
      <c r="B203" t="s">
        <v>337</v>
      </c>
      <c r="C203" t="s">
        <v>50</v>
      </c>
      <c r="D203">
        <v>703447</v>
      </c>
      <c r="E203" t="s">
        <v>257</v>
      </c>
      <c r="F203" t="s">
        <v>21</v>
      </c>
      <c r="G203" t="s">
        <v>22</v>
      </c>
      <c r="H203" t="s">
        <v>23</v>
      </c>
      <c r="J203">
        <v>0</v>
      </c>
    </row>
    <row r="204" spans="2:10" x14ac:dyDescent="0.25">
      <c r="B204" t="s">
        <v>337</v>
      </c>
      <c r="C204" t="s">
        <v>50</v>
      </c>
      <c r="D204">
        <v>703448</v>
      </c>
      <c r="E204" t="s">
        <v>258</v>
      </c>
      <c r="F204" t="s">
        <v>21</v>
      </c>
      <c r="G204" t="s">
        <v>22</v>
      </c>
      <c r="H204" t="s">
        <v>23</v>
      </c>
      <c r="J204">
        <v>0</v>
      </c>
    </row>
    <row r="205" spans="2:10" x14ac:dyDescent="0.25">
      <c r="B205" t="s">
        <v>337</v>
      </c>
      <c r="C205" t="s">
        <v>50</v>
      </c>
      <c r="D205">
        <v>703449</v>
      </c>
      <c r="E205" t="s">
        <v>259</v>
      </c>
      <c r="F205" t="s">
        <v>21</v>
      </c>
      <c r="G205" t="s">
        <v>22</v>
      </c>
      <c r="H205" t="s">
        <v>23</v>
      </c>
      <c r="J205">
        <v>0</v>
      </c>
    </row>
    <row r="206" spans="2:10" x14ac:dyDescent="0.25">
      <c r="B206" t="s">
        <v>337</v>
      </c>
      <c r="C206" t="s">
        <v>50</v>
      </c>
      <c r="D206">
        <v>703450</v>
      </c>
      <c r="E206" t="s">
        <v>260</v>
      </c>
      <c r="F206" t="s">
        <v>21</v>
      </c>
      <c r="G206" t="s">
        <v>71</v>
      </c>
      <c r="H206" t="s">
        <v>88</v>
      </c>
      <c r="J206">
        <v>0</v>
      </c>
    </row>
    <row r="207" spans="2:10" x14ac:dyDescent="0.25">
      <c r="B207" t="s">
        <v>337</v>
      </c>
      <c r="C207" t="s">
        <v>50</v>
      </c>
      <c r="D207">
        <v>703510</v>
      </c>
      <c r="E207" t="s">
        <v>261</v>
      </c>
      <c r="F207" t="s">
        <v>21</v>
      </c>
      <c r="G207" t="s">
        <v>22</v>
      </c>
      <c r="H207" t="s">
        <v>23</v>
      </c>
      <c r="J207">
        <v>0</v>
      </c>
    </row>
    <row r="208" spans="2:10" x14ac:dyDescent="0.25">
      <c r="B208" t="s">
        <v>337</v>
      </c>
      <c r="C208" t="s">
        <v>50</v>
      </c>
      <c r="D208">
        <v>703511</v>
      </c>
      <c r="E208" t="s">
        <v>262</v>
      </c>
      <c r="F208" t="s">
        <v>21</v>
      </c>
      <c r="G208" t="s">
        <v>22</v>
      </c>
      <c r="H208" t="s">
        <v>23</v>
      </c>
      <c r="J208">
        <v>0</v>
      </c>
    </row>
    <row r="209" spans="2:10" x14ac:dyDescent="0.25">
      <c r="B209" t="s">
        <v>337</v>
      </c>
      <c r="C209" t="s">
        <v>50</v>
      </c>
      <c r="D209">
        <v>703512</v>
      </c>
      <c r="E209" t="s">
        <v>263</v>
      </c>
      <c r="F209" t="s">
        <v>21</v>
      </c>
      <c r="G209" t="s">
        <v>22</v>
      </c>
      <c r="H209" t="s">
        <v>23</v>
      </c>
      <c r="J209">
        <v>0</v>
      </c>
    </row>
    <row r="210" spans="2:10" x14ac:dyDescent="0.25">
      <c r="B210" t="s">
        <v>337</v>
      </c>
      <c r="C210" t="s">
        <v>50</v>
      </c>
      <c r="D210">
        <v>703513</v>
      </c>
      <c r="E210" t="s">
        <v>264</v>
      </c>
      <c r="F210" t="s">
        <v>21</v>
      </c>
      <c r="G210" t="s">
        <v>22</v>
      </c>
      <c r="H210" t="s">
        <v>23</v>
      </c>
      <c r="J210">
        <v>0</v>
      </c>
    </row>
    <row r="211" spans="2:10" x14ac:dyDescent="0.25">
      <c r="B211" t="s">
        <v>337</v>
      </c>
      <c r="C211" t="s">
        <v>50</v>
      </c>
      <c r="D211">
        <v>703514</v>
      </c>
      <c r="E211" t="s">
        <v>265</v>
      </c>
      <c r="F211" t="s">
        <v>21</v>
      </c>
      <c r="G211" t="s">
        <v>22</v>
      </c>
      <c r="H211" t="s">
        <v>23</v>
      </c>
      <c r="J211">
        <v>0</v>
      </c>
    </row>
    <row r="212" spans="2:10" x14ac:dyDescent="0.25">
      <c r="B212" t="s">
        <v>337</v>
      </c>
      <c r="C212" t="s">
        <v>50</v>
      </c>
      <c r="D212">
        <v>703515</v>
      </c>
      <c r="E212" t="s">
        <v>266</v>
      </c>
      <c r="F212" t="s">
        <v>21</v>
      </c>
      <c r="G212" t="s">
        <v>22</v>
      </c>
      <c r="H212" t="s">
        <v>23</v>
      </c>
      <c r="J212">
        <v>0</v>
      </c>
    </row>
    <row r="213" spans="2:10" x14ac:dyDescent="0.25">
      <c r="B213" t="s">
        <v>337</v>
      </c>
      <c r="C213" t="s">
        <v>50</v>
      </c>
      <c r="D213">
        <v>703520</v>
      </c>
      <c r="E213" t="s">
        <v>267</v>
      </c>
      <c r="F213" t="s">
        <v>21</v>
      </c>
      <c r="G213" t="s">
        <v>22</v>
      </c>
      <c r="H213" t="s">
        <v>23</v>
      </c>
      <c r="I213" t="s">
        <v>105</v>
      </c>
      <c r="J213">
        <v>15000</v>
      </c>
    </row>
    <row r="214" spans="2:10" x14ac:dyDescent="0.25">
      <c r="B214" t="s">
        <v>337</v>
      </c>
      <c r="C214" t="s">
        <v>50</v>
      </c>
      <c r="D214">
        <v>703530</v>
      </c>
      <c r="E214" t="s">
        <v>268</v>
      </c>
      <c r="F214" t="s">
        <v>21</v>
      </c>
      <c r="G214" t="s">
        <v>22</v>
      </c>
      <c r="H214" t="s">
        <v>23</v>
      </c>
      <c r="J214">
        <v>0</v>
      </c>
    </row>
    <row r="215" spans="2:10" x14ac:dyDescent="0.25">
      <c r="B215" t="s">
        <v>337</v>
      </c>
      <c r="C215" t="s">
        <v>50</v>
      </c>
      <c r="D215">
        <v>703540</v>
      </c>
      <c r="E215" t="s">
        <v>269</v>
      </c>
      <c r="F215" t="s">
        <v>21</v>
      </c>
      <c r="G215" t="s">
        <v>22</v>
      </c>
      <c r="H215" t="s">
        <v>23</v>
      </c>
      <c r="J215">
        <v>0</v>
      </c>
    </row>
    <row r="216" spans="2:10" x14ac:dyDescent="0.25">
      <c r="B216" t="s">
        <v>337</v>
      </c>
      <c r="C216" t="s">
        <v>50</v>
      </c>
      <c r="D216">
        <v>703550</v>
      </c>
      <c r="E216" t="s">
        <v>270</v>
      </c>
      <c r="F216" t="s">
        <v>21</v>
      </c>
      <c r="G216" t="s">
        <v>22</v>
      </c>
      <c r="H216" t="s">
        <v>23</v>
      </c>
      <c r="J216">
        <v>0</v>
      </c>
    </row>
    <row r="217" spans="2:10" x14ac:dyDescent="0.25">
      <c r="B217" t="s">
        <v>337</v>
      </c>
      <c r="C217" t="s">
        <v>50</v>
      </c>
      <c r="D217">
        <v>703560</v>
      </c>
      <c r="E217" t="s">
        <v>271</v>
      </c>
      <c r="F217" t="s">
        <v>21</v>
      </c>
      <c r="G217" t="s">
        <v>22</v>
      </c>
      <c r="H217" t="s">
        <v>23</v>
      </c>
      <c r="J217">
        <v>0</v>
      </c>
    </row>
    <row r="218" spans="2:10" x14ac:dyDescent="0.25">
      <c r="B218" t="s">
        <v>337</v>
      </c>
      <c r="C218" t="s">
        <v>50</v>
      </c>
      <c r="D218">
        <v>703570</v>
      </c>
      <c r="E218" t="s">
        <v>272</v>
      </c>
      <c r="F218" t="s">
        <v>21</v>
      </c>
      <c r="G218" t="s">
        <v>22</v>
      </c>
      <c r="H218" t="s">
        <v>23</v>
      </c>
      <c r="J218">
        <v>0</v>
      </c>
    </row>
    <row r="219" spans="2:10" x14ac:dyDescent="0.25">
      <c r="B219" t="s">
        <v>337</v>
      </c>
      <c r="C219" t="s">
        <v>50</v>
      </c>
      <c r="D219">
        <v>703571</v>
      </c>
      <c r="E219" t="s">
        <v>273</v>
      </c>
      <c r="F219" t="s">
        <v>21</v>
      </c>
      <c r="G219" t="s">
        <v>22</v>
      </c>
      <c r="H219" t="s">
        <v>23</v>
      </c>
    </row>
    <row r="220" spans="2:10" x14ac:dyDescent="0.25">
      <c r="B220" t="s">
        <v>337</v>
      </c>
      <c r="C220" t="s">
        <v>50</v>
      </c>
      <c r="D220">
        <v>703572</v>
      </c>
      <c r="E220" t="s">
        <v>274</v>
      </c>
      <c r="F220" t="s">
        <v>21</v>
      </c>
      <c r="G220" t="s">
        <v>22</v>
      </c>
      <c r="H220" t="s">
        <v>23</v>
      </c>
    </row>
    <row r="221" spans="2:10" x14ac:dyDescent="0.25">
      <c r="B221" t="s">
        <v>337</v>
      </c>
      <c r="C221" t="s">
        <v>50</v>
      </c>
      <c r="D221">
        <v>703573</v>
      </c>
      <c r="E221" t="s">
        <v>275</v>
      </c>
      <c r="F221" t="s">
        <v>21</v>
      </c>
      <c r="G221" t="s">
        <v>22</v>
      </c>
      <c r="H221" t="s">
        <v>23</v>
      </c>
    </row>
    <row r="222" spans="2:10" x14ac:dyDescent="0.25">
      <c r="B222" t="s">
        <v>337</v>
      </c>
      <c r="C222" t="s">
        <v>50</v>
      </c>
      <c r="D222">
        <v>703574</v>
      </c>
      <c r="E222" t="s">
        <v>276</v>
      </c>
      <c r="F222" t="s">
        <v>21</v>
      </c>
      <c r="G222" t="s">
        <v>22</v>
      </c>
      <c r="H222" t="s">
        <v>23</v>
      </c>
    </row>
    <row r="223" spans="2:10" x14ac:dyDescent="0.25">
      <c r="B223" t="s">
        <v>337</v>
      </c>
      <c r="C223" t="s">
        <v>50</v>
      </c>
      <c r="D223">
        <v>703580</v>
      </c>
      <c r="E223" t="s">
        <v>277</v>
      </c>
      <c r="F223" t="s">
        <v>21</v>
      </c>
      <c r="G223" t="s">
        <v>22</v>
      </c>
      <c r="H223" t="s">
        <v>23</v>
      </c>
      <c r="J223">
        <v>0</v>
      </c>
    </row>
    <row r="224" spans="2:10" x14ac:dyDescent="0.25">
      <c r="B224" t="s">
        <v>337</v>
      </c>
      <c r="C224" t="s">
        <v>50</v>
      </c>
      <c r="D224">
        <v>703590</v>
      </c>
      <c r="E224" t="s">
        <v>278</v>
      </c>
      <c r="F224" t="s">
        <v>21</v>
      </c>
      <c r="G224" t="s">
        <v>22</v>
      </c>
      <c r="H224" t="s">
        <v>23</v>
      </c>
      <c r="I224" t="s">
        <v>105</v>
      </c>
      <c r="J224">
        <v>150000</v>
      </c>
    </row>
    <row r="225" spans="2:10" x14ac:dyDescent="0.25">
      <c r="B225" t="s">
        <v>337</v>
      </c>
      <c r="C225" t="s">
        <v>50</v>
      </c>
      <c r="D225">
        <v>703650</v>
      </c>
      <c r="E225" t="s">
        <v>279</v>
      </c>
      <c r="F225" t="s">
        <v>21</v>
      </c>
      <c r="G225" t="s">
        <v>22</v>
      </c>
      <c r="H225" t="s">
        <v>23</v>
      </c>
      <c r="J225">
        <v>0</v>
      </c>
    </row>
    <row r="226" spans="2:10" x14ac:dyDescent="0.25">
      <c r="B226" t="s">
        <v>337</v>
      </c>
      <c r="C226" t="s">
        <v>50</v>
      </c>
      <c r="D226">
        <v>703651</v>
      </c>
      <c r="E226" t="s">
        <v>280</v>
      </c>
      <c r="F226" t="s">
        <v>21</v>
      </c>
      <c r="G226" t="s">
        <v>22</v>
      </c>
      <c r="H226" t="s">
        <v>23</v>
      </c>
      <c r="J226">
        <v>0</v>
      </c>
    </row>
    <row r="227" spans="2:10" x14ac:dyDescent="0.25">
      <c r="B227" t="s">
        <v>337</v>
      </c>
      <c r="C227" t="s">
        <v>50</v>
      </c>
      <c r="D227">
        <v>703850</v>
      </c>
      <c r="E227" t="s">
        <v>281</v>
      </c>
      <c r="F227" t="s">
        <v>21</v>
      </c>
      <c r="G227" t="s">
        <v>22</v>
      </c>
      <c r="H227" t="s">
        <v>23</v>
      </c>
      <c r="J227">
        <v>0</v>
      </c>
    </row>
    <row r="228" spans="2:10" x14ac:dyDescent="0.25">
      <c r="B228" t="s">
        <v>337</v>
      </c>
      <c r="C228" t="s">
        <v>50</v>
      </c>
      <c r="D228">
        <v>703851</v>
      </c>
      <c r="E228" t="s">
        <v>282</v>
      </c>
      <c r="F228" t="s">
        <v>21</v>
      </c>
      <c r="G228" t="s">
        <v>22</v>
      </c>
      <c r="H228" t="s">
        <v>23</v>
      </c>
      <c r="J228">
        <v>0</v>
      </c>
    </row>
    <row r="229" spans="2:10" x14ac:dyDescent="0.25">
      <c r="B229" t="s">
        <v>337</v>
      </c>
      <c r="C229" t="s">
        <v>50</v>
      </c>
      <c r="D229">
        <v>703852</v>
      </c>
      <c r="E229" t="s">
        <v>283</v>
      </c>
      <c r="F229" t="s">
        <v>21</v>
      </c>
      <c r="G229" t="s">
        <v>22</v>
      </c>
      <c r="H229" t="s">
        <v>23</v>
      </c>
      <c r="J229">
        <v>0</v>
      </c>
    </row>
    <row r="230" spans="2:10" x14ac:dyDescent="0.25">
      <c r="B230" t="s">
        <v>337</v>
      </c>
      <c r="C230" t="s">
        <v>50</v>
      </c>
      <c r="D230">
        <v>703853</v>
      </c>
      <c r="E230" t="s">
        <v>284</v>
      </c>
      <c r="F230" t="s">
        <v>21</v>
      </c>
      <c r="G230" t="s">
        <v>22</v>
      </c>
      <c r="H230" t="s">
        <v>23</v>
      </c>
      <c r="J230">
        <v>0</v>
      </c>
    </row>
    <row r="231" spans="2:10" x14ac:dyDescent="0.25">
      <c r="B231" t="s">
        <v>337</v>
      </c>
      <c r="C231" t="s">
        <v>50</v>
      </c>
      <c r="D231">
        <v>703854</v>
      </c>
      <c r="E231" t="s">
        <v>285</v>
      </c>
      <c r="F231" t="s">
        <v>21</v>
      </c>
      <c r="G231" t="s">
        <v>22</v>
      </c>
      <c r="H231" t="s">
        <v>115</v>
      </c>
      <c r="J231">
        <v>0</v>
      </c>
    </row>
    <row r="232" spans="2:10" x14ac:dyDescent="0.25">
      <c r="B232" t="s">
        <v>337</v>
      </c>
      <c r="C232" t="s">
        <v>50</v>
      </c>
      <c r="D232">
        <v>703855</v>
      </c>
      <c r="E232" t="s">
        <v>286</v>
      </c>
      <c r="F232" t="s">
        <v>21</v>
      </c>
      <c r="G232" t="s">
        <v>22</v>
      </c>
      <c r="H232" t="s">
        <v>23</v>
      </c>
      <c r="I232" t="s">
        <v>105</v>
      </c>
      <c r="J232">
        <v>80000</v>
      </c>
    </row>
    <row r="233" spans="2:10" x14ac:dyDescent="0.25">
      <c r="B233" t="s">
        <v>337</v>
      </c>
      <c r="C233" t="s">
        <v>50</v>
      </c>
      <c r="D233">
        <v>703856</v>
      </c>
      <c r="E233" t="s">
        <v>287</v>
      </c>
      <c r="F233" t="s">
        <v>21</v>
      </c>
      <c r="G233" t="s">
        <v>22</v>
      </c>
      <c r="H233" t="s">
        <v>23</v>
      </c>
      <c r="J233">
        <v>0</v>
      </c>
    </row>
    <row r="234" spans="2:10" x14ac:dyDescent="0.25">
      <c r="B234" t="s">
        <v>337</v>
      </c>
      <c r="C234" t="s">
        <v>50</v>
      </c>
      <c r="D234">
        <v>703857</v>
      </c>
      <c r="E234" t="s">
        <v>288</v>
      </c>
      <c r="F234" t="s">
        <v>21</v>
      </c>
      <c r="G234" t="s">
        <v>71</v>
      </c>
      <c r="H234" t="s">
        <v>88</v>
      </c>
      <c r="J234">
        <v>0</v>
      </c>
    </row>
    <row r="235" spans="2:10" x14ac:dyDescent="0.25">
      <c r="B235" t="s">
        <v>337</v>
      </c>
      <c r="C235" t="s">
        <v>50</v>
      </c>
      <c r="D235">
        <v>703858</v>
      </c>
      <c r="E235" t="s">
        <v>289</v>
      </c>
      <c r="F235" t="s">
        <v>21</v>
      </c>
      <c r="G235" t="s">
        <v>22</v>
      </c>
      <c r="H235" t="s">
        <v>23</v>
      </c>
      <c r="J235">
        <v>0</v>
      </c>
    </row>
    <row r="236" spans="2:10" x14ac:dyDescent="0.25">
      <c r="B236" t="s">
        <v>337</v>
      </c>
      <c r="C236" t="s">
        <v>50</v>
      </c>
      <c r="D236">
        <v>703859</v>
      </c>
      <c r="E236" t="s">
        <v>290</v>
      </c>
      <c r="F236" t="s">
        <v>21</v>
      </c>
      <c r="G236" t="s">
        <v>22</v>
      </c>
      <c r="H236" t="s">
        <v>23</v>
      </c>
      <c r="J236">
        <v>0</v>
      </c>
    </row>
    <row r="237" spans="2:10" x14ac:dyDescent="0.25">
      <c r="B237" t="s">
        <v>337</v>
      </c>
      <c r="C237" t="s">
        <v>50</v>
      </c>
      <c r="D237">
        <v>703860</v>
      </c>
      <c r="E237" t="s">
        <v>291</v>
      </c>
      <c r="F237" t="s">
        <v>21</v>
      </c>
      <c r="G237" t="s">
        <v>22</v>
      </c>
      <c r="H237" t="s">
        <v>23</v>
      </c>
      <c r="I237" t="s">
        <v>105</v>
      </c>
      <c r="J237">
        <v>250000</v>
      </c>
    </row>
    <row r="238" spans="2:10" x14ac:dyDescent="0.25">
      <c r="B238" t="s">
        <v>337</v>
      </c>
      <c r="C238" t="s">
        <v>50</v>
      </c>
      <c r="D238">
        <v>703861</v>
      </c>
      <c r="E238" t="s">
        <v>292</v>
      </c>
      <c r="F238" t="s">
        <v>21</v>
      </c>
      <c r="G238" t="s">
        <v>22</v>
      </c>
      <c r="H238" t="s">
        <v>23</v>
      </c>
      <c r="J238">
        <v>0</v>
      </c>
    </row>
    <row r="239" spans="2:10" x14ac:dyDescent="0.25">
      <c r="B239" t="s">
        <v>337</v>
      </c>
      <c r="C239" t="s">
        <v>50</v>
      </c>
      <c r="D239">
        <v>703862</v>
      </c>
      <c r="E239" t="s">
        <v>293</v>
      </c>
      <c r="F239" t="s">
        <v>21</v>
      </c>
      <c r="G239" t="s">
        <v>22</v>
      </c>
      <c r="H239" t="s">
        <v>23</v>
      </c>
      <c r="I239" t="s">
        <v>105</v>
      </c>
      <c r="J239">
        <v>1272000</v>
      </c>
    </row>
    <row r="240" spans="2:10" x14ac:dyDescent="0.25">
      <c r="B240" t="s">
        <v>337</v>
      </c>
      <c r="C240" t="s">
        <v>50</v>
      </c>
      <c r="D240">
        <v>703870</v>
      </c>
      <c r="E240" t="s">
        <v>294</v>
      </c>
      <c r="F240" t="s">
        <v>21</v>
      </c>
      <c r="G240" t="s">
        <v>22</v>
      </c>
      <c r="H240" t="s">
        <v>23</v>
      </c>
      <c r="J240">
        <v>0</v>
      </c>
    </row>
    <row r="241" spans="2:10" x14ac:dyDescent="0.25">
      <c r="B241" t="s">
        <v>337</v>
      </c>
      <c r="C241" t="s">
        <v>50</v>
      </c>
      <c r="D241">
        <v>703880</v>
      </c>
      <c r="E241" t="s">
        <v>295</v>
      </c>
      <c r="F241" t="s">
        <v>21</v>
      </c>
      <c r="G241" t="s">
        <v>22</v>
      </c>
      <c r="H241" t="s">
        <v>23</v>
      </c>
      <c r="J241">
        <v>0</v>
      </c>
    </row>
    <row r="242" spans="2:10" x14ac:dyDescent="0.25">
      <c r="B242" t="s">
        <v>337</v>
      </c>
      <c r="C242" t="s">
        <v>50</v>
      </c>
      <c r="D242">
        <v>703899</v>
      </c>
      <c r="E242" t="s">
        <v>296</v>
      </c>
      <c r="F242" t="s">
        <v>21</v>
      </c>
      <c r="G242" t="s">
        <v>22</v>
      </c>
      <c r="H242" t="s">
        <v>23</v>
      </c>
      <c r="J242">
        <v>0</v>
      </c>
    </row>
    <row r="243" spans="2:10" x14ac:dyDescent="0.25">
      <c r="B243" t="s">
        <v>337</v>
      </c>
      <c r="C243" t="s">
        <v>50</v>
      </c>
      <c r="D243">
        <v>706700</v>
      </c>
      <c r="E243" t="s">
        <v>25</v>
      </c>
      <c r="F243" t="s">
        <v>26</v>
      </c>
      <c r="G243" t="s">
        <v>27</v>
      </c>
      <c r="H243" t="s">
        <v>28</v>
      </c>
      <c r="J243">
        <v>6561391.2000000002</v>
      </c>
    </row>
    <row r="244" spans="2:10" x14ac:dyDescent="0.25">
      <c r="B244" t="s">
        <v>337</v>
      </c>
      <c r="C244" t="s">
        <v>50</v>
      </c>
      <c r="D244" t="s">
        <v>29</v>
      </c>
      <c r="E244" t="s">
        <v>30</v>
      </c>
      <c r="F244" t="s">
        <v>26</v>
      </c>
      <c r="G244" t="s">
        <v>27</v>
      </c>
      <c r="H244" t="s">
        <v>31</v>
      </c>
      <c r="J244">
        <v>0</v>
      </c>
    </row>
    <row r="245" spans="2:10" x14ac:dyDescent="0.25">
      <c r="B245" t="s">
        <v>337</v>
      </c>
      <c r="C245" t="s">
        <v>50</v>
      </c>
      <c r="D245" t="s">
        <v>32</v>
      </c>
      <c r="E245" t="s">
        <v>33</v>
      </c>
      <c r="F245" t="s">
        <v>26</v>
      </c>
      <c r="G245" t="s">
        <v>27</v>
      </c>
      <c r="H245" t="s">
        <v>28</v>
      </c>
      <c r="J245">
        <v>0</v>
      </c>
    </row>
    <row r="246" spans="2:10" x14ac:dyDescent="0.25">
      <c r="B246" t="s">
        <v>337</v>
      </c>
      <c r="C246" t="s">
        <v>50</v>
      </c>
      <c r="D246" t="s">
        <v>34</v>
      </c>
      <c r="E246" t="s">
        <v>35</v>
      </c>
      <c r="F246" t="s">
        <v>26</v>
      </c>
      <c r="G246" t="s">
        <v>36</v>
      </c>
      <c r="H246" t="s">
        <v>36</v>
      </c>
      <c r="J246">
        <v>0</v>
      </c>
    </row>
    <row r="247" spans="2:10" x14ac:dyDescent="0.25">
      <c r="B247" t="s">
        <v>337</v>
      </c>
      <c r="C247" t="s">
        <v>50</v>
      </c>
      <c r="D247" t="s">
        <v>37</v>
      </c>
      <c r="E247" t="s">
        <v>38</v>
      </c>
      <c r="F247" t="s">
        <v>21</v>
      </c>
      <c r="G247" t="s">
        <v>39</v>
      </c>
      <c r="H247" t="s">
        <v>39</v>
      </c>
      <c r="J247">
        <v>0</v>
      </c>
    </row>
    <row r="248" spans="2:10" x14ac:dyDescent="0.25">
      <c r="B248" t="s">
        <v>337</v>
      </c>
      <c r="C248" t="s">
        <v>50</v>
      </c>
      <c r="D248" t="s">
        <v>40</v>
      </c>
      <c r="E248" t="s">
        <v>41</v>
      </c>
      <c r="F248" t="s">
        <v>26</v>
      </c>
      <c r="G248" t="s">
        <v>39</v>
      </c>
      <c r="H248" t="s">
        <v>39</v>
      </c>
      <c r="I248" t="s">
        <v>105</v>
      </c>
      <c r="J248">
        <v>1600955</v>
      </c>
    </row>
    <row r="249" spans="2:10" x14ac:dyDescent="0.25">
      <c r="B249" t="s">
        <v>337</v>
      </c>
      <c r="C249" t="s">
        <v>50</v>
      </c>
      <c r="D249" t="s">
        <v>42</v>
      </c>
      <c r="E249" t="s">
        <v>43</v>
      </c>
      <c r="F249" t="s">
        <v>21</v>
      </c>
      <c r="G249" t="s">
        <v>44</v>
      </c>
      <c r="H249" t="s">
        <v>44</v>
      </c>
      <c r="J249">
        <v>0</v>
      </c>
    </row>
    <row r="250" spans="2:10" x14ac:dyDescent="0.25">
      <c r="B250" t="s">
        <v>337</v>
      </c>
      <c r="C250" t="s">
        <v>50</v>
      </c>
      <c r="D250" t="s">
        <v>45</v>
      </c>
      <c r="E250" t="s">
        <v>46</v>
      </c>
      <c r="F250" t="s">
        <v>26</v>
      </c>
      <c r="G250" t="s">
        <v>44</v>
      </c>
      <c r="H250" t="s">
        <v>44</v>
      </c>
      <c r="J250">
        <v>0</v>
      </c>
    </row>
    <row r="251" spans="2:10" x14ac:dyDescent="0.25">
      <c r="B251" t="s">
        <v>337</v>
      </c>
      <c r="C251" t="s">
        <v>50</v>
      </c>
      <c r="D251" t="s">
        <v>297</v>
      </c>
      <c r="E251" t="s">
        <v>298</v>
      </c>
      <c r="F251" t="s">
        <v>26</v>
      </c>
      <c r="G251" t="s">
        <v>299</v>
      </c>
      <c r="H251" t="s">
        <v>299</v>
      </c>
    </row>
    <row r="252" spans="2:10" x14ac:dyDescent="0.25">
      <c r="B252" t="s">
        <v>337</v>
      </c>
      <c r="C252" t="s">
        <v>50</v>
      </c>
      <c r="D252" t="s">
        <v>300</v>
      </c>
      <c r="E252" t="s">
        <v>301</v>
      </c>
      <c r="F252" t="s">
        <v>21</v>
      </c>
      <c r="G252" t="s">
        <v>299</v>
      </c>
      <c r="H252" t="s">
        <v>299</v>
      </c>
    </row>
    <row r="253" spans="2:10" x14ac:dyDescent="0.25">
      <c r="B253" t="s">
        <v>337</v>
      </c>
      <c r="C253" t="s">
        <v>50</v>
      </c>
      <c r="D253" t="s">
        <v>47</v>
      </c>
      <c r="E253" t="s">
        <v>48</v>
      </c>
      <c r="F253" t="s">
        <v>26</v>
      </c>
      <c r="G253" t="s">
        <v>49</v>
      </c>
      <c r="H253" t="s">
        <v>49</v>
      </c>
      <c r="J253">
        <v>0</v>
      </c>
    </row>
    <row r="254" spans="2:10" x14ac:dyDescent="0.25">
      <c r="B254" t="s">
        <v>338</v>
      </c>
      <c r="C254" t="s">
        <v>302</v>
      </c>
      <c r="D254">
        <v>701000</v>
      </c>
      <c r="E254" t="s">
        <v>51</v>
      </c>
      <c r="F254" t="s">
        <v>21</v>
      </c>
      <c r="G254" t="s">
        <v>52</v>
      </c>
      <c r="H254" t="s">
        <v>53</v>
      </c>
      <c r="J254">
        <v>0</v>
      </c>
    </row>
    <row r="255" spans="2:10" x14ac:dyDescent="0.25">
      <c r="B255" t="s">
        <v>338</v>
      </c>
      <c r="C255" t="s">
        <v>302</v>
      </c>
      <c r="D255">
        <v>701008</v>
      </c>
      <c r="E255" t="s">
        <v>54</v>
      </c>
      <c r="F255" t="s">
        <v>21</v>
      </c>
      <c r="G255" t="s">
        <v>52</v>
      </c>
      <c r="H255" t="s">
        <v>53</v>
      </c>
      <c r="J255">
        <v>0</v>
      </c>
    </row>
    <row r="256" spans="2:10" x14ac:dyDescent="0.25">
      <c r="B256" t="s">
        <v>338</v>
      </c>
      <c r="C256" t="s">
        <v>302</v>
      </c>
      <c r="D256">
        <v>701009</v>
      </c>
      <c r="E256" t="s">
        <v>55</v>
      </c>
      <c r="F256" t="s">
        <v>21</v>
      </c>
      <c r="G256" t="s">
        <v>52</v>
      </c>
      <c r="H256" t="s">
        <v>53</v>
      </c>
      <c r="J256">
        <v>0</v>
      </c>
    </row>
    <row r="257" spans="2:10" x14ac:dyDescent="0.25">
      <c r="B257" t="s">
        <v>338</v>
      </c>
      <c r="C257" t="s">
        <v>302</v>
      </c>
      <c r="D257">
        <v>701010</v>
      </c>
      <c r="E257" t="s">
        <v>56</v>
      </c>
      <c r="F257" t="s">
        <v>21</v>
      </c>
      <c r="G257" t="s">
        <v>52</v>
      </c>
      <c r="H257" t="s">
        <v>57</v>
      </c>
      <c r="J257">
        <v>0</v>
      </c>
    </row>
    <row r="258" spans="2:10" x14ac:dyDescent="0.25">
      <c r="B258" t="s">
        <v>338</v>
      </c>
      <c r="C258" t="s">
        <v>302</v>
      </c>
      <c r="D258">
        <v>701011</v>
      </c>
      <c r="E258" t="s">
        <v>58</v>
      </c>
      <c r="F258" t="s">
        <v>21</v>
      </c>
      <c r="G258" t="s">
        <v>52</v>
      </c>
      <c r="H258" t="s">
        <v>53</v>
      </c>
      <c r="J258">
        <v>0</v>
      </c>
    </row>
    <row r="259" spans="2:10" x14ac:dyDescent="0.25">
      <c r="B259" t="s">
        <v>338</v>
      </c>
      <c r="C259" t="s">
        <v>302</v>
      </c>
      <c r="D259">
        <v>701012</v>
      </c>
      <c r="E259" t="s">
        <v>59</v>
      </c>
      <c r="F259" t="s">
        <v>21</v>
      </c>
      <c r="G259" t="s">
        <v>52</v>
      </c>
      <c r="H259" t="s">
        <v>53</v>
      </c>
      <c r="J259">
        <v>0</v>
      </c>
    </row>
    <row r="260" spans="2:10" x14ac:dyDescent="0.25">
      <c r="B260" t="s">
        <v>338</v>
      </c>
      <c r="C260" t="s">
        <v>302</v>
      </c>
      <c r="D260">
        <v>701013</v>
      </c>
      <c r="E260" t="s">
        <v>60</v>
      </c>
      <c r="F260" t="s">
        <v>21</v>
      </c>
      <c r="G260" t="s">
        <v>61</v>
      </c>
      <c r="H260" t="s">
        <v>62</v>
      </c>
      <c r="J260">
        <v>0</v>
      </c>
    </row>
    <row r="261" spans="2:10" x14ac:dyDescent="0.25">
      <c r="B261" t="s">
        <v>338</v>
      </c>
      <c r="C261" t="s">
        <v>302</v>
      </c>
      <c r="D261">
        <v>701014</v>
      </c>
      <c r="E261" t="s">
        <v>63</v>
      </c>
      <c r="F261" t="s">
        <v>21</v>
      </c>
      <c r="G261" t="s">
        <v>61</v>
      </c>
      <c r="H261" t="s">
        <v>64</v>
      </c>
      <c r="J261">
        <v>0</v>
      </c>
    </row>
    <row r="262" spans="2:10" x14ac:dyDescent="0.25">
      <c r="B262" t="s">
        <v>338</v>
      </c>
      <c r="C262" t="s">
        <v>302</v>
      </c>
      <c r="D262">
        <v>701015</v>
      </c>
      <c r="E262" t="s">
        <v>65</v>
      </c>
      <c r="F262" t="s">
        <v>21</v>
      </c>
      <c r="G262" t="s">
        <v>52</v>
      </c>
      <c r="H262" t="s">
        <v>53</v>
      </c>
      <c r="J262">
        <v>0</v>
      </c>
    </row>
    <row r="263" spans="2:10" x14ac:dyDescent="0.25">
      <c r="B263" t="s">
        <v>338</v>
      </c>
      <c r="C263" t="s">
        <v>302</v>
      </c>
      <c r="D263">
        <v>701016</v>
      </c>
      <c r="E263" t="s">
        <v>66</v>
      </c>
      <c r="F263" t="s">
        <v>21</v>
      </c>
      <c r="G263" t="s">
        <v>52</v>
      </c>
      <c r="H263" t="s">
        <v>53</v>
      </c>
      <c r="J263">
        <v>0</v>
      </c>
    </row>
    <row r="264" spans="2:10" x14ac:dyDescent="0.25">
      <c r="B264" t="s">
        <v>338</v>
      </c>
      <c r="C264" t="s">
        <v>302</v>
      </c>
      <c r="D264">
        <v>701017</v>
      </c>
      <c r="E264" t="s">
        <v>67</v>
      </c>
      <c r="F264" t="s">
        <v>21</v>
      </c>
      <c r="G264" t="s">
        <v>61</v>
      </c>
      <c r="H264" t="s">
        <v>68</v>
      </c>
      <c r="J264">
        <v>0</v>
      </c>
    </row>
    <row r="265" spans="2:10" x14ac:dyDescent="0.25">
      <c r="B265" t="s">
        <v>338</v>
      </c>
      <c r="C265" t="s">
        <v>302</v>
      </c>
      <c r="D265">
        <v>701018</v>
      </c>
      <c r="E265" t="s">
        <v>69</v>
      </c>
      <c r="F265" t="s">
        <v>21</v>
      </c>
      <c r="G265" t="s">
        <v>61</v>
      </c>
      <c r="H265" t="s">
        <v>68</v>
      </c>
      <c r="J265">
        <v>0</v>
      </c>
    </row>
    <row r="266" spans="2:10" x14ac:dyDescent="0.25">
      <c r="B266" t="s">
        <v>338</v>
      </c>
      <c r="C266" t="s">
        <v>302</v>
      </c>
      <c r="D266">
        <v>701019</v>
      </c>
      <c r="E266" t="s">
        <v>70</v>
      </c>
      <c r="F266" t="s">
        <v>21</v>
      </c>
      <c r="G266" t="s">
        <v>71</v>
      </c>
      <c r="H266" t="s">
        <v>72</v>
      </c>
      <c r="J266">
        <v>0</v>
      </c>
    </row>
    <row r="267" spans="2:10" x14ac:dyDescent="0.25">
      <c r="B267" t="s">
        <v>338</v>
      </c>
      <c r="C267" t="s">
        <v>302</v>
      </c>
      <c r="D267">
        <v>701020</v>
      </c>
      <c r="E267" t="s">
        <v>73</v>
      </c>
      <c r="F267" t="s">
        <v>21</v>
      </c>
      <c r="G267" t="s">
        <v>52</v>
      </c>
      <c r="H267" t="s">
        <v>53</v>
      </c>
      <c r="J267">
        <v>0</v>
      </c>
    </row>
    <row r="268" spans="2:10" x14ac:dyDescent="0.25">
      <c r="B268" t="s">
        <v>338</v>
      </c>
      <c r="C268" t="s">
        <v>302</v>
      </c>
      <c r="D268">
        <v>701021</v>
      </c>
      <c r="E268" t="s">
        <v>74</v>
      </c>
      <c r="F268" t="s">
        <v>21</v>
      </c>
      <c r="G268" t="s">
        <v>61</v>
      </c>
      <c r="H268" t="s">
        <v>74</v>
      </c>
      <c r="J268">
        <v>0</v>
      </c>
    </row>
    <row r="269" spans="2:10" x14ac:dyDescent="0.25">
      <c r="B269" t="s">
        <v>338</v>
      </c>
      <c r="C269" t="s">
        <v>302</v>
      </c>
      <c r="D269">
        <v>701022</v>
      </c>
      <c r="E269" t="s">
        <v>75</v>
      </c>
      <c r="F269" t="s">
        <v>21</v>
      </c>
      <c r="G269" t="s">
        <v>76</v>
      </c>
      <c r="H269" t="s">
        <v>77</v>
      </c>
      <c r="J269">
        <v>0</v>
      </c>
    </row>
    <row r="270" spans="2:10" x14ac:dyDescent="0.25">
      <c r="B270" t="s">
        <v>338</v>
      </c>
      <c r="C270" t="s">
        <v>302</v>
      </c>
      <c r="D270">
        <v>701023</v>
      </c>
      <c r="E270" t="s">
        <v>78</v>
      </c>
      <c r="F270" t="s">
        <v>21</v>
      </c>
      <c r="G270" t="s">
        <v>61</v>
      </c>
      <c r="H270" t="s">
        <v>79</v>
      </c>
      <c r="J270">
        <v>0</v>
      </c>
    </row>
    <row r="271" spans="2:10" x14ac:dyDescent="0.25">
      <c r="B271" t="s">
        <v>338</v>
      </c>
      <c r="C271" t="s">
        <v>302</v>
      </c>
      <c r="D271">
        <v>701024</v>
      </c>
      <c r="E271" t="s">
        <v>80</v>
      </c>
      <c r="F271" t="s">
        <v>21</v>
      </c>
      <c r="G271" t="s">
        <v>76</v>
      </c>
      <c r="H271" t="s">
        <v>77</v>
      </c>
      <c r="J271">
        <v>0</v>
      </c>
    </row>
    <row r="272" spans="2:10" x14ac:dyDescent="0.25">
      <c r="B272" t="s">
        <v>338</v>
      </c>
      <c r="C272" t="s">
        <v>302</v>
      </c>
      <c r="D272">
        <v>701025</v>
      </c>
      <c r="E272" t="s">
        <v>81</v>
      </c>
      <c r="F272" t="s">
        <v>21</v>
      </c>
      <c r="G272" t="s">
        <v>71</v>
      </c>
      <c r="H272" t="s">
        <v>82</v>
      </c>
      <c r="J272">
        <v>0</v>
      </c>
    </row>
    <row r="273" spans="2:10" x14ac:dyDescent="0.25">
      <c r="B273" t="s">
        <v>338</v>
      </c>
      <c r="C273" t="s">
        <v>302</v>
      </c>
      <c r="D273">
        <v>701026</v>
      </c>
      <c r="E273" t="s">
        <v>83</v>
      </c>
      <c r="F273" t="s">
        <v>21</v>
      </c>
      <c r="G273" t="s">
        <v>76</v>
      </c>
      <c r="H273" t="s">
        <v>77</v>
      </c>
      <c r="J273">
        <v>0</v>
      </c>
    </row>
    <row r="274" spans="2:10" x14ac:dyDescent="0.25">
      <c r="B274" t="s">
        <v>338</v>
      </c>
      <c r="C274" t="s">
        <v>302</v>
      </c>
      <c r="D274">
        <v>701027</v>
      </c>
      <c r="E274" t="s">
        <v>84</v>
      </c>
      <c r="F274" t="s">
        <v>21</v>
      </c>
      <c r="G274" t="s">
        <v>76</v>
      </c>
      <c r="H274" t="s">
        <v>77</v>
      </c>
      <c r="J274">
        <v>0</v>
      </c>
    </row>
    <row r="275" spans="2:10" x14ac:dyDescent="0.25">
      <c r="B275" t="s">
        <v>338</v>
      </c>
      <c r="C275" t="s">
        <v>302</v>
      </c>
      <c r="D275">
        <v>701028</v>
      </c>
      <c r="E275" t="s">
        <v>85</v>
      </c>
      <c r="F275" t="s">
        <v>21</v>
      </c>
      <c r="G275" t="s">
        <v>61</v>
      </c>
      <c r="H275" t="s">
        <v>68</v>
      </c>
      <c r="J275">
        <v>0</v>
      </c>
    </row>
    <row r="276" spans="2:10" x14ac:dyDescent="0.25">
      <c r="B276" t="s">
        <v>338</v>
      </c>
      <c r="C276" t="s">
        <v>302</v>
      </c>
      <c r="D276">
        <v>701029</v>
      </c>
      <c r="E276" t="s">
        <v>86</v>
      </c>
      <c r="F276" t="s">
        <v>21</v>
      </c>
      <c r="G276" t="s">
        <v>61</v>
      </c>
      <c r="H276" t="s">
        <v>68</v>
      </c>
      <c r="J276">
        <v>0</v>
      </c>
    </row>
    <row r="277" spans="2:10" x14ac:dyDescent="0.25">
      <c r="B277" t="s">
        <v>338</v>
      </c>
      <c r="C277" t="s">
        <v>302</v>
      </c>
      <c r="D277">
        <v>701030</v>
      </c>
      <c r="E277" t="s">
        <v>87</v>
      </c>
      <c r="F277" t="s">
        <v>21</v>
      </c>
      <c r="G277" t="s">
        <v>71</v>
      </c>
      <c r="H277" t="s">
        <v>88</v>
      </c>
      <c r="J277">
        <v>0</v>
      </c>
    </row>
    <row r="278" spans="2:10" x14ac:dyDescent="0.25">
      <c r="B278" t="s">
        <v>338</v>
      </c>
      <c r="C278" t="s">
        <v>302</v>
      </c>
      <c r="D278">
        <v>701031</v>
      </c>
      <c r="E278" t="s">
        <v>89</v>
      </c>
      <c r="F278" t="s">
        <v>21</v>
      </c>
      <c r="G278" t="s">
        <v>76</v>
      </c>
      <c r="H278" t="s">
        <v>77</v>
      </c>
      <c r="J278">
        <v>0</v>
      </c>
    </row>
    <row r="279" spans="2:10" x14ac:dyDescent="0.25">
      <c r="B279" t="s">
        <v>338</v>
      </c>
      <c r="C279" t="s">
        <v>302</v>
      </c>
      <c r="D279">
        <v>701032</v>
      </c>
      <c r="E279" t="s">
        <v>90</v>
      </c>
      <c r="F279" t="s">
        <v>21</v>
      </c>
      <c r="G279" t="s">
        <v>52</v>
      </c>
      <c r="H279" t="s">
        <v>53</v>
      </c>
      <c r="J279">
        <v>0</v>
      </c>
    </row>
    <row r="280" spans="2:10" x14ac:dyDescent="0.25">
      <c r="B280" t="s">
        <v>338</v>
      </c>
      <c r="C280" t="s">
        <v>302</v>
      </c>
      <c r="D280">
        <v>701034</v>
      </c>
      <c r="E280" t="s">
        <v>91</v>
      </c>
      <c r="F280" t="s">
        <v>21</v>
      </c>
      <c r="G280" t="s">
        <v>76</v>
      </c>
      <c r="H280" t="s">
        <v>77</v>
      </c>
      <c r="J280">
        <v>0</v>
      </c>
    </row>
    <row r="281" spans="2:10" x14ac:dyDescent="0.25">
      <c r="B281" t="s">
        <v>338</v>
      </c>
      <c r="C281" t="s">
        <v>302</v>
      </c>
      <c r="D281">
        <v>701035</v>
      </c>
      <c r="E281" t="s">
        <v>92</v>
      </c>
      <c r="F281" t="s">
        <v>21</v>
      </c>
      <c r="G281" t="s">
        <v>61</v>
      </c>
      <c r="H281" t="s">
        <v>68</v>
      </c>
      <c r="J281">
        <v>0</v>
      </c>
    </row>
    <row r="282" spans="2:10" x14ac:dyDescent="0.25">
      <c r="B282" t="s">
        <v>338</v>
      </c>
      <c r="C282" t="s">
        <v>302</v>
      </c>
      <c r="D282">
        <v>701036</v>
      </c>
      <c r="E282" t="s">
        <v>93</v>
      </c>
      <c r="F282" t="s">
        <v>21</v>
      </c>
      <c r="G282" t="s">
        <v>52</v>
      </c>
      <c r="H282" t="s">
        <v>53</v>
      </c>
      <c r="J282">
        <v>0</v>
      </c>
    </row>
    <row r="283" spans="2:10" x14ac:dyDescent="0.25">
      <c r="B283" t="s">
        <v>338</v>
      </c>
      <c r="C283" t="s">
        <v>302</v>
      </c>
      <c r="D283">
        <v>701113</v>
      </c>
      <c r="E283" t="s">
        <v>94</v>
      </c>
      <c r="F283" t="s">
        <v>21</v>
      </c>
      <c r="G283" t="s">
        <v>61</v>
      </c>
      <c r="H283" t="s">
        <v>62</v>
      </c>
      <c r="J283">
        <v>0</v>
      </c>
    </row>
    <row r="284" spans="2:10" x14ac:dyDescent="0.25">
      <c r="B284" t="s">
        <v>338</v>
      </c>
      <c r="C284" t="s">
        <v>302</v>
      </c>
      <c r="D284">
        <v>701119</v>
      </c>
      <c r="E284" t="s">
        <v>95</v>
      </c>
      <c r="F284" t="s">
        <v>21</v>
      </c>
      <c r="G284" t="s">
        <v>22</v>
      </c>
      <c r="H284" t="s">
        <v>23</v>
      </c>
      <c r="J284">
        <v>0</v>
      </c>
    </row>
    <row r="285" spans="2:10" x14ac:dyDescent="0.25">
      <c r="B285" t="s">
        <v>338</v>
      </c>
      <c r="C285" t="s">
        <v>302</v>
      </c>
      <c r="D285">
        <v>701120</v>
      </c>
      <c r="E285" t="s">
        <v>96</v>
      </c>
      <c r="F285" t="s">
        <v>21</v>
      </c>
      <c r="G285" t="s">
        <v>22</v>
      </c>
      <c r="H285" t="s">
        <v>23</v>
      </c>
      <c r="J285">
        <v>0</v>
      </c>
    </row>
    <row r="286" spans="2:10" x14ac:dyDescent="0.25">
      <c r="B286" t="s">
        <v>338</v>
      </c>
      <c r="C286" t="s">
        <v>302</v>
      </c>
      <c r="D286">
        <v>701121</v>
      </c>
      <c r="E286" t="s">
        <v>97</v>
      </c>
      <c r="F286" t="s">
        <v>21</v>
      </c>
      <c r="G286" t="s">
        <v>22</v>
      </c>
      <c r="H286" t="s">
        <v>23</v>
      </c>
      <c r="J286">
        <v>0</v>
      </c>
    </row>
    <row r="287" spans="2:10" x14ac:dyDescent="0.25">
      <c r="B287" t="s">
        <v>338</v>
      </c>
      <c r="C287" t="s">
        <v>302</v>
      </c>
      <c r="D287">
        <v>701122</v>
      </c>
      <c r="E287" t="s">
        <v>98</v>
      </c>
      <c r="F287" t="s">
        <v>21</v>
      </c>
      <c r="G287" t="s">
        <v>71</v>
      </c>
      <c r="H287" t="s">
        <v>88</v>
      </c>
      <c r="J287">
        <v>0</v>
      </c>
    </row>
    <row r="288" spans="2:10" x14ac:dyDescent="0.25">
      <c r="B288" t="s">
        <v>338</v>
      </c>
      <c r="C288" t="s">
        <v>302</v>
      </c>
      <c r="D288">
        <v>701123</v>
      </c>
      <c r="E288" t="s">
        <v>99</v>
      </c>
      <c r="F288" t="s">
        <v>21</v>
      </c>
      <c r="G288" t="s">
        <v>22</v>
      </c>
      <c r="H288" t="s">
        <v>23</v>
      </c>
      <c r="J288">
        <v>0</v>
      </c>
    </row>
    <row r="289" spans="2:10" x14ac:dyDescent="0.25">
      <c r="B289" t="s">
        <v>338</v>
      </c>
      <c r="C289" t="s">
        <v>302</v>
      </c>
      <c r="D289">
        <v>701127</v>
      </c>
      <c r="E289" t="s">
        <v>100</v>
      </c>
      <c r="F289" t="s">
        <v>21</v>
      </c>
      <c r="G289" t="s">
        <v>76</v>
      </c>
      <c r="H289" t="s">
        <v>77</v>
      </c>
      <c r="J289">
        <v>0</v>
      </c>
    </row>
    <row r="290" spans="2:10" x14ac:dyDescent="0.25">
      <c r="B290" t="s">
        <v>338</v>
      </c>
      <c r="C290" t="s">
        <v>302</v>
      </c>
      <c r="D290">
        <v>701213</v>
      </c>
      <c r="E290" t="s">
        <v>101</v>
      </c>
      <c r="F290" t="s">
        <v>21</v>
      </c>
      <c r="G290" t="s">
        <v>61</v>
      </c>
      <c r="H290" t="s">
        <v>62</v>
      </c>
      <c r="J290">
        <v>0</v>
      </c>
    </row>
    <row r="291" spans="2:10" x14ac:dyDescent="0.25">
      <c r="B291" t="s">
        <v>338</v>
      </c>
      <c r="C291" t="s">
        <v>302</v>
      </c>
      <c r="D291">
        <v>701214</v>
      </c>
      <c r="E291" t="s">
        <v>102</v>
      </c>
      <c r="F291" t="s">
        <v>21</v>
      </c>
      <c r="G291" t="s">
        <v>61</v>
      </c>
      <c r="H291" t="s">
        <v>62</v>
      </c>
      <c r="J291">
        <v>0</v>
      </c>
    </row>
    <row r="292" spans="2:10" x14ac:dyDescent="0.25">
      <c r="B292" t="s">
        <v>338</v>
      </c>
      <c r="C292" t="s">
        <v>302</v>
      </c>
      <c r="D292">
        <v>701215</v>
      </c>
      <c r="E292" t="s">
        <v>103</v>
      </c>
      <c r="F292" t="s">
        <v>21</v>
      </c>
      <c r="G292" t="s">
        <v>61</v>
      </c>
      <c r="H292" t="s">
        <v>62</v>
      </c>
      <c r="J292">
        <v>0</v>
      </c>
    </row>
    <row r="293" spans="2:10" x14ac:dyDescent="0.25">
      <c r="B293" t="s">
        <v>338</v>
      </c>
      <c r="C293" t="s">
        <v>302</v>
      </c>
      <c r="D293">
        <v>701227</v>
      </c>
      <c r="E293" t="s">
        <v>104</v>
      </c>
      <c r="F293" t="s">
        <v>21</v>
      </c>
      <c r="G293" t="s">
        <v>76</v>
      </c>
      <c r="H293" t="s">
        <v>77</v>
      </c>
      <c r="J293">
        <v>0</v>
      </c>
    </row>
    <row r="294" spans="2:10" x14ac:dyDescent="0.25">
      <c r="B294" t="s">
        <v>338</v>
      </c>
      <c r="C294" t="s">
        <v>302</v>
      </c>
      <c r="D294">
        <v>701327</v>
      </c>
      <c r="E294" t="s">
        <v>106</v>
      </c>
      <c r="F294" t="s">
        <v>21</v>
      </c>
      <c r="G294" t="s">
        <v>76</v>
      </c>
      <c r="H294" t="s">
        <v>77</v>
      </c>
      <c r="J294">
        <v>0</v>
      </c>
    </row>
    <row r="295" spans="2:10" x14ac:dyDescent="0.25">
      <c r="B295" t="s">
        <v>338</v>
      </c>
      <c r="C295" t="s">
        <v>302</v>
      </c>
      <c r="D295">
        <v>701427</v>
      </c>
      <c r="E295" t="s">
        <v>107</v>
      </c>
      <c r="F295" t="s">
        <v>21</v>
      </c>
      <c r="G295" t="s">
        <v>76</v>
      </c>
      <c r="H295" t="s">
        <v>108</v>
      </c>
      <c r="J295">
        <v>0</v>
      </c>
    </row>
    <row r="296" spans="2:10" x14ac:dyDescent="0.25">
      <c r="B296" t="s">
        <v>338</v>
      </c>
      <c r="C296" t="s">
        <v>302</v>
      </c>
      <c r="D296">
        <v>701527</v>
      </c>
      <c r="E296" t="s">
        <v>109</v>
      </c>
      <c r="F296" t="s">
        <v>21</v>
      </c>
      <c r="G296" t="s">
        <v>76</v>
      </c>
      <c r="H296" t="s">
        <v>77</v>
      </c>
      <c r="J296">
        <v>0</v>
      </c>
    </row>
    <row r="297" spans="2:10" x14ac:dyDescent="0.25">
      <c r="B297" t="s">
        <v>338</v>
      </c>
      <c r="C297" t="s">
        <v>302</v>
      </c>
      <c r="D297">
        <v>701627</v>
      </c>
      <c r="E297" t="s">
        <v>110</v>
      </c>
      <c r="F297" t="s">
        <v>21</v>
      </c>
      <c r="G297" t="s">
        <v>76</v>
      </c>
      <c r="H297" t="s">
        <v>77</v>
      </c>
      <c r="J297">
        <v>0</v>
      </c>
    </row>
    <row r="298" spans="2:10" x14ac:dyDescent="0.25">
      <c r="B298" t="s">
        <v>338</v>
      </c>
      <c r="C298" t="s">
        <v>302</v>
      </c>
      <c r="D298">
        <v>701727</v>
      </c>
      <c r="E298" t="s">
        <v>111</v>
      </c>
      <c r="F298" t="s">
        <v>21</v>
      </c>
      <c r="G298" t="s">
        <v>76</v>
      </c>
      <c r="H298" t="s">
        <v>77</v>
      </c>
      <c r="J298">
        <v>0</v>
      </c>
    </row>
    <row r="299" spans="2:10" x14ac:dyDescent="0.25">
      <c r="B299" t="s">
        <v>338</v>
      </c>
      <c r="C299" t="s">
        <v>302</v>
      </c>
      <c r="D299">
        <v>701801</v>
      </c>
      <c r="E299" t="s">
        <v>112</v>
      </c>
      <c r="F299" t="s">
        <v>21</v>
      </c>
      <c r="G299" t="s">
        <v>76</v>
      </c>
      <c r="H299" t="s">
        <v>77</v>
      </c>
      <c r="J299">
        <v>0</v>
      </c>
    </row>
    <row r="300" spans="2:10" x14ac:dyDescent="0.25">
      <c r="B300" t="s">
        <v>338</v>
      </c>
      <c r="C300" t="s">
        <v>302</v>
      </c>
      <c r="D300">
        <v>701802</v>
      </c>
      <c r="E300" t="s">
        <v>113</v>
      </c>
      <c r="F300" t="s">
        <v>21</v>
      </c>
      <c r="G300" t="s">
        <v>61</v>
      </c>
      <c r="H300" t="s">
        <v>62</v>
      </c>
      <c r="J300">
        <v>0</v>
      </c>
    </row>
    <row r="301" spans="2:10" x14ac:dyDescent="0.25">
      <c r="B301" t="s">
        <v>338</v>
      </c>
      <c r="C301" t="s">
        <v>302</v>
      </c>
      <c r="D301">
        <v>703010</v>
      </c>
      <c r="E301" t="s">
        <v>114</v>
      </c>
      <c r="F301" t="s">
        <v>21</v>
      </c>
      <c r="G301" t="s">
        <v>22</v>
      </c>
      <c r="H301" t="s">
        <v>115</v>
      </c>
      <c r="J301">
        <v>0</v>
      </c>
    </row>
    <row r="302" spans="2:10" x14ac:dyDescent="0.25">
      <c r="B302" t="s">
        <v>338</v>
      </c>
      <c r="C302" t="s">
        <v>302</v>
      </c>
      <c r="D302">
        <v>703011</v>
      </c>
      <c r="E302" t="s">
        <v>116</v>
      </c>
      <c r="F302" t="s">
        <v>21</v>
      </c>
      <c r="G302" t="s">
        <v>22</v>
      </c>
      <c r="H302" t="s">
        <v>115</v>
      </c>
      <c r="J302">
        <v>0</v>
      </c>
    </row>
    <row r="303" spans="2:10" x14ac:dyDescent="0.25">
      <c r="B303" t="s">
        <v>338</v>
      </c>
      <c r="C303" t="s">
        <v>302</v>
      </c>
      <c r="D303">
        <v>703012</v>
      </c>
      <c r="E303" t="s">
        <v>117</v>
      </c>
      <c r="F303" t="s">
        <v>21</v>
      </c>
      <c r="G303" t="s">
        <v>22</v>
      </c>
      <c r="H303" t="s">
        <v>115</v>
      </c>
      <c r="J303">
        <v>0</v>
      </c>
    </row>
    <row r="304" spans="2:10" x14ac:dyDescent="0.25">
      <c r="B304" t="s">
        <v>338</v>
      </c>
      <c r="C304" t="s">
        <v>302</v>
      </c>
      <c r="D304">
        <v>703013</v>
      </c>
      <c r="E304" t="s">
        <v>118</v>
      </c>
      <c r="F304" t="s">
        <v>21</v>
      </c>
      <c r="G304" t="s">
        <v>22</v>
      </c>
      <c r="H304" t="s">
        <v>115</v>
      </c>
      <c r="J304">
        <v>0</v>
      </c>
    </row>
    <row r="305" spans="2:10" x14ac:dyDescent="0.25">
      <c r="B305" t="s">
        <v>338</v>
      </c>
      <c r="C305" t="s">
        <v>302</v>
      </c>
      <c r="D305">
        <v>703014</v>
      </c>
      <c r="E305" t="s">
        <v>119</v>
      </c>
      <c r="F305" t="s">
        <v>21</v>
      </c>
      <c r="G305" t="s">
        <v>22</v>
      </c>
      <c r="H305" t="s">
        <v>115</v>
      </c>
      <c r="J305">
        <v>0</v>
      </c>
    </row>
    <row r="306" spans="2:10" x14ac:dyDescent="0.25">
      <c r="B306" t="s">
        <v>338</v>
      </c>
      <c r="C306" t="s">
        <v>302</v>
      </c>
      <c r="D306">
        <v>703015</v>
      </c>
      <c r="E306" t="s">
        <v>120</v>
      </c>
      <c r="F306" t="s">
        <v>21</v>
      </c>
      <c r="G306" t="s">
        <v>22</v>
      </c>
      <c r="H306" t="s">
        <v>115</v>
      </c>
      <c r="J306">
        <v>0</v>
      </c>
    </row>
    <row r="307" spans="2:10" x14ac:dyDescent="0.25">
      <c r="B307" t="s">
        <v>338</v>
      </c>
      <c r="C307" t="s">
        <v>302</v>
      </c>
      <c r="D307">
        <v>703016</v>
      </c>
      <c r="E307" t="s">
        <v>121</v>
      </c>
      <c r="F307" t="s">
        <v>21</v>
      </c>
      <c r="G307" t="s">
        <v>22</v>
      </c>
      <c r="H307" t="s">
        <v>115</v>
      </c>
      <c r="J307">
        <v>0</v>
      </c>
    </row>
    <row r="308" spans="2:10" x14ac:dyDescent="0.25">
      <c r="B308" t="s">
        <v>338</v>
      </c>
      <c r="C308" t="s">
        <v>302</v>
      </c>
      <c r="D308">
        <v>703017</v>
      </c>
      <c r="E308" t="s">
        <v>122</v>
      </c>
      <c r="F308" t="s">
        <v>21</v>
      </c>
      <c r="G308" t="s">
        <v>22</v>
      </c>
      <c r="H308" t="s">
        <v>115</v>
      </c>
      <c r="J308">
        <v>0</v>
      </c>
    </row>
    <row r="309" spans="2:10" x14ac:dyDescent="0.25">
      <c r="B309" t="s">
        <v>338</v>
      </c>
      <c r="C309" t="s">
        <v>302</v>
      </c>
      <c r="D309">
        <v>703018</v>
      </c>
      <c r="E309" t="s">
        <v>123</v>
      </c>
      <c r="F309" t="s">
        <v>21</v>
      </c>
      <c r="G309" t="s">
        <v>22</v>
      </c>
      <c r="H309" t="s">
        <v>115</v>
      </c>
      <c r="J309">
        <v>0</v>
      </c>
    </row>
    <row r="310" spans="2:10" x14ac:dyDescent="0.25">
      <c r="B310" t="s">
        <v>338</v>
      </c>
      <c r="C310" t="s">
        <v>302</v>
      </c>
      <c r="D310">
        <v>703019</v>
      </c>
      <c r="E310" t="s">
        <v>124</v>
      </c>
      <c r="F310" t="s">
        <v>21</v>
      </c>
      <c r="G310" t="s">
        <v>22</v>
      </c>
      <c r="H310" t="s">
        <v>115</v>
      </c>
      <c r="J310">
        <v>0</v>
      </c>
    </row>
    <row r="311" spans="2:10" x14ac:dyDescent="0.25">
      <c r="B311" t="s">
        <v>338</v>
      </c>
      <c r="C311" t="s">
        <v>302</v>
      </c>
      <c r="D311">
        <v>703210</v>
      </c>
      <c r="E311" t="s">
        <v>125</v>
      </c>
      <c r="F311" t="s">
        <v>21</v>
      </c>
      <c r="G311" t="s">
        <v>22</v>
      </c>
      <c r="H311" t="s">
        <v>23</v>
      </c>
      <c r="J311">
        <v>0</v>
      </c>
    </row>
    <row r="312" spans="2:10" x14ac:dyDescent="0.25">
      <c r="B312" t="s">
        <v>338</v>
      </c>
      <c r="C312" t="s">
        <v>302</v>
      </c>
      <c r="D312">
        <v>703211</v>
      </c>
      <c r="E312" t="s">
        <v>126</v>
      </c>
      <c r="F312" t="s">
        <v>21</v>
      </c>
      <c r="G312" t="s">
        <v>22</v>
      </c>
      <c r="H312" t="s">
        <v>23</v>
      </c>
      <c r="J312">
        <v>0</v>
      </c>
    </row>
    <row r="313" spans="2:10" x14ac:dyDescent="0.25">
      <c r="B313" t="s">
        <v>338</v>
      </c>
      <c r="C313" t="s">
        <v>302</v>
      </c>
      <c r="D313">
        <v>703212</v>
      </c>
      <c r="E313" t="s">
        <v>127</v>
      </c>
      <c r="F313" t="s">
        <v>21</v>
      </c>
      <c r="G313" t="s">
        <v>22</v>
      </c>
      <c r="H313" t="s">
        <v>23</v>
      </c>
      <c r="J313">
        <v>0</v>
      </c>
    </row>
    <row r="314" spans="2:10" x14ac:dyDescent="0.25">
      <c r="B314" t="s">
        <v>338</v>
      </c>
      <c r="C314" t="s">
        <v>302</v>
      </c>
      <c r="D314">
        <v>703213</v>
      </c>
      <c r="E314" t="s">
        <v>128</v>
      </c>
      <c r="F314" t="s">
        <v>21</v>
      </c>
      <c r="G314" t="s">
        <v>22</v>
      </c>
      <c r="H314" t="s">
        <v>23</v>
      </c>
      <c r="J314">
        <v>0</v>
      </c>
    </row>
    <row r="315" spans="2:10" x14ac:dyDescent="0.25">
      <c r="B315" t="s">
        <v>338</v>
      </c>
      <c r="C315" t="s">
        <v>302</v>
      </c>
      <c r="D315">
        <v>703214</v>
      </c>
      <c r="E315" t="s">
        <v>129</v>
      </c>
      <c r="F315" t="s">
        <v>21</v>
      </c>
      <c r="G315" t="s">
        <v>22</v>
      </c>
      <c r="H315" t="s">
        <v>23</v>
      </c>
      <c r="J315">
        <v>0</v>
      </c>
    </row>
    <row r="316" spans="2:10" x14ac:dyDescent="0.25">
      <c r="B316" t="s">
        <v>338</v>
      </c>
      <c r="C316" t="s">
        <v>302</v>
      </c>
      <c r="D316">
        <v>703215</v>
      </c>
      <c r="E316" t="s">
        <v>130</v>
      </c>
      <c r="F316" t="s">
        <v>21</v>
      </c>
      <c r="G316" t="s">
        <v>22</v>
      </c>
      <c r="H316" t="s">
        <v>23</v>
      </c>
      <c r="J316">
        <v>0</v>
      </c>
    </row>
    <row r="317" spans="2:10" x14ac:dyDescent="0.25">
      <c r="B317" t="s">
        <v>338</v>
      </c>
      <c r="C317" t="s">
        <v>302</v>
      </c>
      <c r="D317">
        <v>703216</v>
      </c>
      <c r="E317" t="s">
        <v>131</v>
      </c>
      <c r="F317" t="s">
        <v>21</v>
      </c>
      <c r="G317" t="s">
        <v>22</v>
      </c>
      <c r="H317" t="s">
        <v>23</v>
      </c>
      <c r="J317">
        <v>0</v>
      </c>
    </row>
    <row r="318" spans="2:10" x14ac:dyDescent="0.25">
      <c r="B318" t="s">
        <v>338</v>
      </c>
      <c r="C318" t="s">
        <v>302</v>
      </c>
      <c r="D318">
        <v>703217</v>
      </c>
      <c r="E318" t="s">
        <v>132</v>
      </c>
      <c r="F318" t="s">
        <v>21</v>
      </c>
      <c r="G318" t="s">
        <v>22</v>
      </c>
      <c r="H318" t="s">
        <v>23</v>
      </c>
      <c r="J318">
        <v>0</v>
      </c>
    </row>
    <row r="319" spans="2:10" x14ac:dyDescent="0.25">
      <c r="B319" t="s">
        <v>338</v>
      </c>
      <c r="C319" t="s">
        <v>302</v>
      </c>
      <c r="D319">
        <v>703219</v>
      </c>
      <c r="E319" t="s">
        <v>133</v>
      </c>
      <c r="F319" t="s">
        <v>21</v>
      </c>
      <c r="G319" t="s">
        <v>22</v>
      </c>
      <c r="H319" t="s">
        <v>23</v>
      </c>
      <c r="J319">
        <v>0</v>
      </c>
    </row>
    <row r="320" spans="2:10" x14ac:dyDescent="0.25">
      <c r="B320" t="s">
        <v>338</v>
      </c>
      <c r="C320" t="s">
        <v>302</v>
      </c>
      <c r="D320">
        <v>703220</v>
      </c>
      <c r="E320" t="s">
        <v>134</v>
      </c>
      <c r="F320" t="s">
        <v>21</v>
      </c>
      <c r="G320" t="s">
        <v>71</v>
      </c>
      <c r="H320" t="s">
        <v>135</v>
      </c>
      <c r="J320">
        <v>0</v>
      </c>
    </row>
    <row r="321" spans="2:10" x14ac:dyDescent="0.25">
      <c r="B321" t="s">
        <v>338</v>
      </c>
      <c r="C321" t="s">
        <v>302</v>
      </c>
      <c r="D321">
        <v>703221</v>
      </c>
      <c r="E321" t="s">
        <v>136</v>
      </c>
      <c r="F321" t="s">
        <v>21</v>
      </c>
      <c r="G321" t="s">
        <v>137</v>
      </c>
      <c r="H321" t="s">
        <v>138</v>
      </c>
      <c r="J321">
        <v>0</v>
      </c>
    </row>
    <row r="322" spans="2:10" x14ac:dyDescent="0.25">
      <c r="B322" t="s">
        <v>338</v>
      </c>
      <c r="C322" t="s">
        <v>302</v>
      </c>
      <c r="D322">
        <v>703222</v>
      </c>
      <c r="E322" t="s">
        <v>139</v>
      </c>
      <c r="F322" t="s">
        <v>21</v>
      </c>
      <c r="G322" t="s">
        <v>137</v>
      </c>
      <c r="H322" t="s">
        <v>138</v>
      </c>
      <c r="J322">
        <v>0</v>
      </c>
    </row>
    <row r="323" spans="2:10" x14ac:dyDescent="0.25">
      <c r="B323" t="s">
        <v>338</v>
      </c>
      <c r="C323" t="s">
        <v>302</v>
      </c>
      <c r="D323">
        <v>703223</v>
      </c>
      <c r="E323" t="s">
        <v>140</v>
      </c>
      <c r="F323" t="s">
        <v>21</v>
      </c>
      <c r="G323" t="s">
        <v>137</v>
      </c>
      <c r="H323" t="s">
        <v>141</v>
      </c>
      <c r="J323">
        <v>0</v>
      </c>
    </row>
    <row r="324" spans="2:10" x14ac:dyDescent="0.25">
      <c r="B324" t="s">
        <v>338</v>
      </c>
      <c r="C324" t="s">
        <v>302</v>
      </c>
      <c r="D324">
        <v>703224</v>
      </c>
      <c r="E324" t="s">
        <v>142</v>
      </c>
      <c r="F324" t="s">
        <v>21</v>
      </c>
      <c r="G324" t="s">
        <v>71</v>
      </c>
      <c r="H324" t="s">
        <v>88</v>
      </c>
      <c r="J324">
        <v>0</v>
      </c>
    </row>
    <row r="325" spans="2:10" x14ac:dyDescent="0.25">
      <c r="B325" t="s">
        <v>338</v>
      </c>
      <c r="C325" t="s">
        <v>302</v>
      </c>
      <c r="D325">
        <v>703225</v>
      </c>
      <c r="E325" t="s">
        <v>143</v>
      </c>
      <c r="F325" t="s">
        <v>21</v>
      </c>
      <c r="G325" t="s">
        <v>71</v>
      </c>
      <c r="H325" t="s">
        <v>88</v>
      </c>
      <c r="J325">
        <v>0</v>
      </c>
    </row>
    <row r="326" spans="2:10" x14ac:dyDescent="0.25">
      <c r="B326" t="s">
        <v>338</v>
      </c>
      <c r="C326" t="s">
        <v>302</v>
      </c>
      <c r="D326">
        <v>703226</v>
      </c>
      <c r="E326" t="s">
        <v>144</v>
      </c>
      <c r="F326" t="s">
        <v>21</v>
      </c>
      <c r="G326" t="s">
        <v>71</v>
      </c>
      <c r="H326" t="s">
        <v>82</v>
      </c>
      <c r="J326">
        <v>0</v>
      </c>
    </row>
    <row r="327" spans="2:10" x14ac:dyDescent="0.25">
      <c r="B327" t="s">
        <v>338</v>
      </c>
      <c r="C327" t="s">
        <v>302</v>
      </c>
      <c r="D327">
        <v>703227</v>
      </c>
      <c r="E327" t="s">
        <v>145</v>
      </c>
      <c r="F327" t="s">
        <v>21</v>
      </c>
      <c r="G327" t="s">
        <v>137</v>
      </c>
      <c r="H327" t="s">
        <v>138</v>
      </c>
      <c r="J327">
        <v>0</v>
      </c>
    </row>
    <row r="328" spans="2:10" x14ac:dyDescent="0.25">
      <c r="B328" t="s">
        <v>338</v>
      </c>
      <c r="C328" t="s">
        <v>302</v>
      </c>
      <c r="D328">
        <v>703228</v>
      </c>
      <c r="E328" t="s">
        <v>146</v>
      </c>
      <c r="F328" t="s">
        <v>21</v>
      </c>
      <c r="G328" t="s">
        <v>147</v>
      </c>
      <c r="H328" t="s">
        <v>147</v>
      </c>
      <c r="J328">
        <v>0</v>
      </c>
    </row>
    <row r="329" spans="2:10" x14ac:dyDescent="0.25">
      <c r="B329" t="s">
        <v>338</v>
      </c>
      <c r="C329" t="s">
        <v>302</v>
      </c>
      <c r="D329">
        <v>703229</v>
      </c>
      <c r="E329" t="s">
        <v>148</v>
      </c>
      <c r="F329" t="s">
        <v>21</v>
      </c>
      <c r="G329" t="s">
        <v>147</v>
      </c>
      <c r="H329" t="s">
        <v>147</v>
      </c>
      <c r="J329">
        <v>0</v>
      </c>
    </row>
    <row r="330" spans="2:10" x14ac:dyDescent="0.25">
      <c r="B330" t="s">
        <v>338</v>
      </c>
      <c r="C330" t="s">
        <v>302</v>
      </c>
      <c r="D330">
        <v>703230</v>
      </c>
      <c r="E330" t="s">
        <v>149</v>
      </c>
      <c r="F330" t="s">
        <v>21</v>
      </c>
      <c r="G330" t="s">
        <v>147</v>
      </c>
      <c r="H330" t="s">
        <v>147</v>
      </c>
      <c r="J330">
        <v>0</v>
      </c>
    </row>
    <row r="331" spans="2:10" x14ac:dyDescent="0.25">
      <c r="B331" t="s">
        <v>338</v>
      </c>
      <c r="C331" t="s">
        <v>302</v>
      </c>
      <c r="D331">
        <v>703231</v>
      </c>
      <c r="E331" t="s">
        <v>150</v>
      </c>
      <c r="F331" t="s">
        <v>21</v>
      </c>
      <c r="G331" t="s">
        <v>137</v>
      </c>
      <c r="H331" t="s">
        <v>141</v>
      </c>
      <c r="J331">
        <v>0</v>
      </c>
    </row>
    <row r="332" spans="2:10" x14ac:dyDescent="0.25">
      <c r="B332" t="s">
        <v>338</v>
      </c>
      <c r="C332" t="s">
        <v>302</v>
      </c>
      <c r="D332">
        <v>703232</v>
      </c>
      <c r="E332" t="s">
        <v>151</v>
      </c>
      <c r="F332" t="s">
        <v>21</v>
      </c>
      <c r="G332" t="s">
        <v>147</v>
      </c>
      <c r="H332" t="s">
        <v>147</v>
      </c>
      <c r="J332">
        <v>0</v>
      </c>
    </row>
    <row r="333" spans="2:10" x14ac:dyDescent="0.25">
      <c r="B333" t="s">
        <v>338</v>
      </c>
      <c r="C333" t="s">
        <v>302</v>
      </c>
      <c r="D333">
        <v>703233</v>
      </c>
      <c r="E333" t="s">
        <v>152</v>
      </c>
      <c r="F333" t="s">
        <v>21</v>
      </c>
      <c r="G333" t="s">
        <v>71</v>
      </c>
      <c r="H333" t="s">
        <v>153</v>
      </c>
      <c r="J333">
        <v>0</v>
      </c>
    </row>
    <row r="334" spans="2:10" x14ac:dyDescent="0.25">
      <c r="B334" t="s">
        <v>338</v>
      </c>
      <c r="C334" t="s">
        <v>302</v>
      </c>
      <c r="D334">
        <v>703234</v>
      </c>
      <c r="E334" t="s">
        <v>154</v>
      </c>
      <c r="F334" t="s">
        <v>21</v>
      </c>
      <c r="G334" t="s">
        <v>71</v>
      </c>
      <c r="H334" t="s">
        <v>153</v>
      </c>
      <c r="J334">
        <v>0</v>
      </c>
    </row>
    <row r="335" spans="2:10" x14ac:dyDescent="0.25">
      <c r="B335" t="s">
        <v>338</v>
      </c>
      <c r="C335" t="s">
        <v>302</v>
      </c>
      <c r="D335">
        <v>703235</v>
      </c>
      <c r="E335" t="s">
        <v>155</v>
      </c>
      <c r="F335" t="s">
        <v>21</v>
      </c>
      <c r="G335" t="s">
        <v>71</v>
      </c>
      <c r="H335" t="s">
        <v>153</v>
      </c>
      <c r="J335">
        <v>0</v>
      </c>
    </row>
    <row r="336" spans="2:10" x14ac:dyDescent="0.25">
      <c r="B336" t="s">
        <v>338</v>
      </c>
      <c r="C336" t="s">
        <v>302</v>
      </c>
      <c r="D336">
        <v>703236</v>
      </c>
      <c r="E336" t="s">
        <v>156</v>
      </c>
      <c r="F336" t="s">
        <v>21</v>
      </c>
      <c r="G336" t="s">
        <v>76</v>
      </c>
      <c r="H336" t="s">
        <v>77</v>
      </c>
      <c r="J336">
        <v>0</v>
      </c>
    </row>
    <row r="337" spans="2:10" x14ac:dyDescent="0.25">
      <c r="B337" t="s">
        <v>338</v>
      </c>
      <c r="C337" t="s">
        <v>302</v>
      </c>
      <c r="D337">
        <v>703237</v>
      </c>
      <c r="E337" t="s">
        <v>157</v>
      </c>
      <c r="F337" t="s">
        <v>21</v>
      </c>
      <c r="G337" t="s">
        <v>22</v>
      </c>
      <c r="H337" t="s">
        <v>23</v>
      </c>
      <c r="J337">
        <v>0</v>
      </c>
    </row>
    <row r="338" spans="2:10" x14ac:dyDescent="0.25">
      <c r="B338" t="s">
        <v>338</v>
      </c>
      <c r="C338" t="s">
        <v>302</v>
      </c>
      <c r="D338">
        <v>703238</v>
      </c>
      <c r="E338" t="s">
        <v>158</v>
      </c>
      <c r="F338" t="s">
        <v>21</v>
      </c>
      <c r="G338" t="s">
        <v>61</v>
      </c>
      <c r="H338" t="s">
        <v>68</v>
      </c>
      <c r="J338">
        <v>0</v>
      </c>
    </row>
    <row r="339" spans="2:10" x14ac:dyDescent="0.25">
      <c r="B339" t="s">
        <v>338</v>
      </c>
      <c r="C339" t="s">
        <v>302</v>
      </c>
      <c r="D339">
        <v>703239</v>
      </c>
      <c r="E339" t="s">
        <v>159</v>
      </c>
      <c r="F339" t="s">
        <v>21</v>
      </c>
      <c r="G339" t="s">
        <v>61</v>
      </c>
      <c r="H339" t="s">
        <v>68</v>
      </c>
      <c r="J339">
        <v>0</v>
      </c>
    </row>
    <row r="340" spans="2:10" x14ac:dyDescent="0.25">
      <c r="B340" t="s">
        <v>338</v>
      </c>
      <c r="C340" t="s">
        <v>302</v>
      </c>
      <c r="D340">
        <v>703240</v>
      </c>
      <c r="E340" t="s">
        <v>160</v>
      </c>
      <c r="F340" t="s">
        <v>21</v>
      </c>
      <c r="G340" t="s">
        <v>61</v>
      </c>
      <c r="H340" t="s">
        <v>68</v>
      </c>
      <c r="J340">
        <v>0</v>
      </c>
    </row>
    <row r="341" spans="2:10" x14ac:dyDescent="0.25">
      <c r="B341" t="s">
        <v>338</v>
      </c>
      <c r="C341" t="s">
        <v>302</v>
      </c>
      <c r="D341">
        <v>703241</v>
      </c>
      <c r="E341" t="s">
        <v>161</v>
      </c>
      <c r="F341" t="s">
        <v>21</v>
      </c>
      <c r="G341" t="s">
        <v>137</v>
      </c>
      <c r="H341" t="s">
        <v>141</v>
      </c>
      <c r="I341" t="s">
        <v>105</v>
      </c>
      <c r="J341">
        <v>554452</v>
      </c>
    </row>
    <row r="342" spans="2:10" x14ac:dyDescent="0.25">
      <c r="B342" t="s">
        <v>338</v>
      </c>
      <c r="C342" t="s">
        <v>302</v>
      </c>
      <c r="D342">
        <v>703242</v>
      </c>
      <c r="E342" t="s">
        <v>162</v>
      </c>
      <c r="F342" t="s">
        <v>21</v>
      </c>
      <c r="G342" t="s">
        <v>137</v>
      </c>
      <c r="H342" t="s">
        <v>141</v>
      </c>
      <c r="J342">
        <v>0</v>
      </c>
    </row>
    <row r="343" spans="2:10" x14ac:dyDescent="0.25">
      <c r="B343" t="s">
        <v>338</v>
      </c>
      <c r="C343" t="s">
        <v>302</v>
      </c>
      <c r="D343">
        <v>703243</v>
      </c>
      <c r="E343" t="s">
        <v>163</v>
      </c>
      <c r="F343" t="s">
        <v>21</v>
      </c>
      <c r="G343" t="s">
        <v>137</v>
      </c>
      <c r="H343" t="s">
        <v>141</v>
      </c>
      <c r="J343">
        <v>0</v>
      </c>
    </row>
    <row r="344" spans="2:10" x14ac:dyDescent="0.25">
      <c r="B344" t="s">
        <v>338</v>
      </c>
      <c r="C344" t="s">
        <v>302</v>
      </c>
      <c r="D344">
        <v>703244</v>
      </c>
      <c r="E344" t="s">
        <v>164</v>
      </c>
      <c r="F344" t="s">
        <v>21</v>
      </c>
      <c r="G344" t="s">
        <v>71</v>
      </c>
      <c r="H344" t="s">
        <v>88</v>
      </c>
      <c r="J344">
        <v>0</v>
      </c>
    </row>
    <row r="345" spans="2:10" x14ac:dyDescent="0.25">
      <c r="B345" t="s">
        <v>338</v>
      </c>
      <c r="C345" t="s">
        <v>302</v>
      </c>
      <c r="D345">
        <v>703245</v>
      </c>
      <c r="E345" t="s">
        <v>165</v>
      </c>
      <c r="F345" t="s">
        <v>21</v>
      </c>
      <c r="G345" t="s">
        <v>137</v>
      </c>
      <c r="H345" t="s">
        <v>138</v>
      </c>
      <c r="J345">
        <v>0</v>
      </c>
    </row>
    <row r="346" spans="2:10" x14ac:dyDescent="0.25">
      <c r="B346" t="s">
        <v>338</v>
      </c>
      <c r="C346" t="s">
        <v>302</v>
      </c>
      <c r="D346">
        <v>703246</v>
      </c>
      <c r="E346" t="s">
        <v>166</v>
      </c>
      <c r="F346" t="s">
        <v>21</v>
      </c>
      <c r="G346" t="s">
        <v>137</v>
      </c>
      <c r="H346" t="s">
        <v>138</v>
      </c>
      <c r="J346">
        <v>0</v>
      </c>
    </row>
    <row r="347" spans="2:10" x14ac:dyDescent="0.25">
      <c r="B347" t="s">
        <v>338</v>
      </c>
      <c r="C347" t="s">
        <v>302</v>
      </c>
      <c r="D347">
        <v>703247</v>
      </c>
      <c r="E347" t="s">
        <v>167</v>
      </c>
      <c r="F347" t="s">
        <v>21</v>
      </c>
      <c r="G347" t="s">
        <v>137</v>
      </c>
      <c r="H347" t="s">
        <v>138</v>
      </c>
      <c r="J347">
        <v>0</v>
      </c>
    </row>
    <row r="348" spans="2:10" x14ac:dyDescent="0.25">
      <c r="B348" t="s">
        <v>338</v>
      </c>
      <c r="C348" t="s">
        <v>302</v>
      </c>
      <c r="D348">
        <v>703248</v>
      </c>
      <c r="E348" t="s">
        <v>168</v>
      </c>
      <c r="F348" t="s">
        <v>21</v>
      </c>
      <c r="G348" t="s">
        <v>137</v>
      </c>
      <c r="H348" t="s">
        <v>141</v>
      </c>
      <c r="J348">
        <v>0</v>
      </c>
    </row>
    <row r="349" spans="2:10" x14ac:dyDescent="0.25">
      <c r="B349" t="s">
        <v>338</v>
      </c>
      <c r="C349" t="s">
        <v>302</v>
      </c>
      <c r="D349">
        <v>703249</v>
      </c>
      <c r="E349" t="s">
        <v>169</v>
      </c>
      <c r="F349" t="s">
        <v>21</v>
      </c>
      <c r="G349" t="s">
        <v>147</v>
      </c>
      <c r="H349" t="s">
        <v>147</v>
      </c>
      <c r="J349">
        <v>0</v>
      </c>
    </row>
    <row r="350" spans="2:10" x14ac:dyDescent="0.25">
      <c r="B350" t="s">
        <v>338</v>
      </c>
      <c r="C350" t="s">
        <v>302</v>
      </c>
      <c r="D350">
        <v>703250</v>
      </c>
      <c r="E350" t="s">
        <v>170</v>
      </c>
      <c r="F350" t="s">
        <v>21</v>
      </c>
      <c r="G350" t="s">
        <v>71</v>
      </c>
      <c r="H350" t="s">
        <v>171</v>
      </c>
      <c r="J350">
        <v>0</v>
      </c>
    </row>
    <row r="351" spans="2:10" x14ac:dyDescent="0.25">
      <c r="B351" t="s">
        <v>338</v>
      </c>
      <c r="C351" t="s">
        <v>302</v>
      </c>
      <c r="D351">
        <v>703251</v>
      </c>
      <c r="E351" t="s">
        <v>172</v>
      </c>
      <c r="F351" t="s">
        <v>21</v>
      </c>
      <c r="G351" t="s">
        <v>22</v>
      </c>
      <c r="H351" t="s">
        <v>115</v>
      </c>
      <c r="J351">
        <v>0</v>
      </c>
    </row>
    <row r="352" spans="2:10" x14ac:dyDescent="0.25">
      <c r="B352" t="s">
        <v>338</v>
      </c>
      <c r="C352" t="s">
        <v>302</v>
      </c>
      <c r="D352">
        <v>703252</v>
      </c>
      <c r="E352" t="s">
        <v>173</v>
      </c>
      <c r="F352" t="s">
        <v>21</v>
      </c>
      <c r="G352" t="s">
        <v>22</v>
      </c>
      <c r="H352" t="s">
        <v>115</v>
      </c>
      <c r="J352">
        <v>0</v>
      </c>
    </row>
    <row r="353" spans="2:10" x14ac:dyDescent="0.25">
      <c r="B353" t="s">
        <v>338</v>
      </c>
      <c r="C353" t="s">
        <v>302</v>
      </c>
      <c r="D353">
        <v>703253</v>
      </c>
      <c r="E353" t="s">
        <v>174</v>
      </c>
      <c r="F353" t="s">
        <v>21</v>
      </c>
      <c r="G353" t="s">
        <v>22</v>
      </c>
      <c r="H353" t="s">
        <v>115</v>
      </c>
      <c r="J353">
        <v>0</v>
      </c>
    </row>
    <row r="354" spans="2:10" x14ac:dyDescent="0.25">
      <c r="B354" t="s">
        <v>338</v>
      </c>
      <c r="C354" t="s">
        <v>302</v>
      </c>
      <c r="D354">
        <v>703254</v>
      </c>
      <c r="E354" t="s">
        <v>175</v>
      </c>
      <c r="F354" t="s">
        <v>21</v>
      </c>
      <c r="G354" t="s">
        <v>22</v>
      </c>
      <c r="H354" t="s">
        <v>115</v>
      </c>
      <c r="J354">
        <v>0</v>
      </c>
    </row>
    <row r="355" spans="2:10" x14ac:dyDescent="0.25">
      <c r="B355" t="s">
        <v>338</v>
      </c>
      <c r="C355" t="s">
        <v>302</v>
      </c>
      <c r="D355">
        <v>703255</v>
      </c>
      <c r="E355" t="s">
        <v>176</v>
      </c>
      <c r="F355" t="s">
        <v>21</v>
      </c>
      <c r="G355" t="s">
        <v>22</v>
      </c>
      <c r="H355" t="s">
        <v>115</v>
      </c>
      <c r="J355">
        <v>0</v>
      </c>
    </row>
    <row r="356" spans="2:10" x14ac:dyDescent="0.25">
      <c r="B356" t="s">
        <v>338</v>
      </c>
      <c r="C356" t="s">
        <v>302</v>
      </c>
      <c r="D356">
        <v>703257</v>
      </c>
      <c r="E356" t="s">
        <v>177</v>
      </c>
      <c r="F356" t="s">
        <v>21</v>
      </c>
      <c r="G356" t="s">
        <v>147</v>
      </c>
      <c r="H356" t="s">
        <v>147</v>
      </c>
      <c r="J356">
        <v>0</v>
      </c>
    </row>
    <row r="357" spans="2:10" x14ac:dyDescent="0.25">
      <c r="B357" t="s">
        <v>338</v>
      </c>
      <c r="C357" t="s">
        <v>302</v>
      </c>
      <c r="D357">
        <v>703258</v>
      </c>
      <c r="E357" t="s">
        <v>178</v>
      </c>
      <c r="F357" t="s">
        <v>21</v>
      </c>
      <c r="G357" t="s">
        <v>147</v>
      </c>
      <c r="H357" t="s">
        <v>147</v>
      </c>
      <c r="J357">
        <v>0</v>
      </c>
    </row>
    <row r="358" spans="2:10" x14ac:dyDescent="0.25">
      <c r="B358" t="s">
        <v>338</v>
      </c>
      <c r="C358" t="s">
        <v>302</v>
      </c>
      <c r="D358">
        <v>703260</v>
      </c>
      <c r="E358" t="s">
        <v>179</v>
      </c>
      <c r="F358" t="s">
        <v>21</v>
      </c>
      <c r="G358" t="s">
        <v>76</v>
      </c>
      <c r="H358" t="s">
        <v>77</v>
      </c>
      <c r="J358">
        <v>0</v>
      </c>
    </row>
    <row r="359" spans="2:10" x14ac:dyDescent="0.25">
      <c r="B359" t="s">
        <v>338</v>
      </c>
      <c r="C359" t="s">
        <v>302</v>
      </c>
      <c r="D359">
        <v>703261</v>
      </c>
      <c r="E359" t="s">
        <v>180</v>
      </c>
      <c r="F359" t="s">
        <v>21</v>
      </c>
      <c r="G359" t="s">
        <v>22</v>
      </c>
      <c r="H359" t="s">
        <v>115</v>
      </c>
      <c r="J359">
        <v>0</v>
      </c>
    </row>
    <row r="360" spans="2:10" x14ac:dyDescent="0.25">
      <c r="B360" t="s">
        <v>338</v>
      </c>
      <c r="C360" t="s">
        <v>302</v>
      </c>
      <c r="D360">
        <v>703262</v>
      </c>
      <c r="E360" t="s">
        <v>181</v>
      </c>
      <c r="F360" t="s">
        <v>21</v>
      </c>
      <c r="G360" t="s">
        <v>22</v>
      </c>
      <c r="H360" t="s">
        <v>23</v>
      </c>
      <c r="J360">
        <v>0</v>
      </c>
    </row>
    <row r="361" spans="2:10" x14ac:dyDescent="0.25">
      <c r="B361" t="s">
        <v>338</v>
      </c>
      <c r="C361" t="s">
        <v>302</v>
      </c>
      <c r="D361">
        <v>703263</v>
      </c>
      <c r="E361" t="s">
        <v>182</v>
      </c>
      <c r="F361" t="s">
        <v>21</v>
      </c>
      <c r="G361" t="s">
        <v>22</v>
      </c>
      <c r="H361" t="s">
        <v>115</v>
      </c>
      <c r="J361">
        <v>0</v>
      </c>
    </row>
    <row r="362" spans="2:10" x14ac:dyDescent="0.25">
      <c r="B362" t="s">
        <v>338</v>
      </c>
      <c r="C362" t="s">
        <v>302</v>
      </c>
      <c r="D362">
        <v>703264</v>
      </c>
      <c r="E362" t="s">
        <v>183</v>
      </c>
      <c r="F362" t="s">
        <v>21</v>
      </c>
      <c r="G362" t="s">
        <v>22</v>
      </c>
      <c r="H362" t="s">
        <v>115</v>
      </c>
      <c r="J362">
        <v>0</v>
      </c>
    </row>
    <row r="363" spans="2:10" x14ac:dyDescent="0.25">
      <c r="B363" t="s">
        <v>338</v>
      </c>
      <c r="C363" t="s">
        <v>302</v>
      </c>
      <c r="D363">
        <v>703265</v>
      </c>
      <c r="E363" t="s">
        <v>184</v>
      </c>
      <c r="F363" t="s">
        <v>21</v>
      </c>
      <c r="G363" t="s">
        <v>22</v>
      </c>
      <c r="H363" t="s">
        <v>115</v>
      </c>
      <c r="J363">
        <v>0</v>
      </c>
    </row>
    <row r="364" spans="2:10" x14ac:dyDescent="0.25">
      <c r="B364" t="s">
        <v>338</v>
      </c>
      <c r="C364" t="s">
        <v>302</v>
      </c>
      <c r="D364">
        <v>703266</v>
      </c>
      <c r="E364" t="s">
        <v>185</v>
      </c>
      <c r="F364" t="s">
        <v>21</v>
      </c>
      <c r="G364" t="s">
        <v>71</v>
      </c>
      <c r="H364" t="s">
        <v>186</v>
      </c>
      <c r="J364">
        <v>0</v>
      </c>
    </row>
    <row r="365" spans="2:10" x14ac:dyDescent="0.25">
      <c r="B365" t="s">
        <v>338</v>
      </c>
      <c r="C365" t="s">
        <v>302</v>
      </c>
      <c r="D365">
        <v>703267</v>
      </c>
      <c r="E365" t="s">
        <v>187</v>
      </c>
      <c r="F365" t="s">
        <v>21</v>
      </c>
      <c r="G365" t="s">
        <v>71</v>
      </c>
      <c r="H365" t="s">
        <v>88</v>
      </c>
      <c r="J365">
        <v>0</v>
      </c>
    </row>
    <row r="366" spans="2:10" x14ac:dyDescent="0.25">
      <c r="B366" t="s">
        <v>338</v>
      </c>
      <c r="C366" t="s">
        <v>302</v>
      </c>
      <c r="D366">
        <v>703268</v>
      </c>
      <c r="E366" t="s">
        <v>188</v>
      </c>
      <c r="F366" t="s">
        <v>21</v>
      </c>
      <c r="G366" t="s">
        <v>147</v>
      </c>
      <c r="H366" t="s">
        <v>147</v>
      </c>
      <c r="J366">
        <v>0</v>
      </c>
    </row>
    <row r="367" spans="2:10" x14ac:dyDescent="0.25">
      <c r="B367" t="s">
        <v>338</v>
      </c>
      <c r="C367" t="s">
        <v>302</v>
      </c>
      <c r="D367">
        <v>703269</v>
      </c>
      <c r="E367" t="s">
        <v>189</v>
      </c>
      <c r="F367" t="s">
        <v>21</v>
      </c>
      <c r="G367" t="s">
        <v>147</v>
      </c>
      <c r="H367" t="s">
        <v>147</v>
      </c>
      <c r="J367">
        <v>0</v>
      </c>
    </row>
    <row r="368" spans="2:10" x14ac:dyDescent="0.25">
      <c r="B368" t="s">
        <v>338</v>
      </c>
      <c r="C368" t="s">
        <v>302</v>
      </c>
      <c r="D368">
        <v>703270</v>
      </c>
      <c r="E368" t="s">
        <v>190</v>
      </c>
      <c r="F368" t="s">
        <v>21</v>
      </c>
      <c r="G368" t="s">
        <v>137</v>
      </c>
      <c r="H368" t="s">
        <v>141</v>
      </c>
      <c r="J368">
        <v>0</v>
      </c>
    </row>
    <row r="369" spans="2:10" x14ac:dyDescent="0.25">
      <c r="B369" t="s">
        <v>338</v>
      </c>
      <c r="C369" t="s">
        <v>302</v>
      </c>
      <c r="D369">
        <v>703271</v>
      </c>
      <c r="E369" t="s">
        <v>191</v>
      </c>
      <c r="F369" t="s">
        <v>21</v>
      </c>
      <c r="G369" t="s">
        <v>22</v>
      </c>
      <c r="H369" t="s">
        <v>115</v>
      </c>
      <c r="I369" t="s">
        <v>105</v>
      </c>
      <c r="J369">
        <v>16000</v>
      </c>
    </row>
    <row r="370" spans="2:10" x14ac:dyDescent="0.25">
      <c r="B370" t="s">
        <v>338</v>
      </c>
      <c r="C370" t="s">
        <v>302</v>
      </c>
      <c r="D370">
        <v>703272</v>
      </c>
      <c r="E370" t="s">
        <v>192</v>
      </c>
      <c r="F370" t="s">
        <v>21</v>
      </c>
      <c r="G370" t="s">
        <v>22</v>
      </c>
      <c r="H370" t="s">
        <v>23</v>
      </c>
      <c r="J370">
        <v>0</v>
      </c>
    </row>
    <row r="371" spans="2:10" x14ac:dyDescent="0.25">
      <c r="B371" t="s">
        <v>338</v>
      </c>
      <c r="C371" t="s">
        <v>302</v>
      </c>
      <c r="D371">
        <v>703273</v>
      </c>
      <c r="E371" t="s">
        <v>193</v>
      </c>
      <c r="F371" t="s">
        <v>21</v>
      </c>
      <c r="G371" t="s">
        <v>147</v>
      </c>
      <c r="H371" t="s">
        <v>147</v>
      </c>
      <c r="J371">
        <v>0</v>
      </c>
    </row>
    <row r="372" spans="2:10" x14ac:dyDescent="0.25">
      <c r="B372" t="s">
        <v>338</v>
      </c>
      <c r="C372" t="s">
        <v>302</v>
      </c>
      <c r="D372">
        <v>703274</v>
      </c>
      <c r="E372" t="s">
        <v>194</v>
      </c>
      <c r="F372" t="s">
        <v>21</v>
      </c>
      <c r="G372" t="s">
        <v>147</v>
      </c>
      <c r="H372" t="s">
        <v>147</v>
      </c>
      <c r="J372">
        <v>0</v>
      </c>
    </row>
    <row r="373" spans="2:10" x14ac:dyDescent="0.25">
      <c r="B373" t="s">
        <v>338</v>
      </c>
      <c r="C373" t="s">
        <v>302</v>
      </c>
      <c r="D373">
        <v>703275</v>
      </c>
      <c r="E373" t="s">
        <v>195</v>
      </c>
      <c r="F373" t="s">
        <v>21</v>
      </c>
      <c r="G373" t="s">
        <v>137</v>
      </c>
      <c r="H373" t="s">
        <v>138</v>
      </c>
      <c r="J373">
        <v>0</v>
      </c>
    </row>
    <row r="374" spans="2:10" x14ac:dyDescent="0.25">
      <c r="B374" t="s">
        <v>338</v>
      </c>
      <c r="C374" t="s">
        <v>302</v>
      </c>
      <c r="D374">
        <v>703280</v>
      </c>
      <c r="E374" t="s">
        <v>196</v>
      </c>
      <c r="F374" t="s">
        <v>21</v>
      </c>
      <c r="G374" t="s">
        <v>71</v>
      </c>
      <c r="H374" t="s">
        <v>171</v>
      </c>
      <c r="J374">
        <v>0</v>
      </c>
    </row>
    <row r="375" spans="2:10" x14ac:dyDescent="0.25">
      <c r="B375" t="s">
        <v>338</v>
      </c>
      <c r="C375" t="s">
        <v>302</v>
      </c>
      <c r="D375">
        <v>703281</v>
      </c>
      <c r="E375" t="s">
        <v>197</v>
      </c>
      <c r="F375" t="s">
        <v>21</v>
      </c>
      <c r="G375" t="s">
        <v>76</v>
      </c>
      <c r="H375" t="s">
        <v>77</v>
      </c>
      <c r="J375">
        <v>0</v>
      </c>
    </row>
    <row r="376" spans="2:10" x14ac:dyDescent="0.25">
      <c r="B376" t="s">
        <v>338</v>
      </c>
      <c r="C376" t="s">
        <v>302</v>
      </c>
      <c r="D376">
        <v>703282</v>
      </c>
      <c r="E376" t="s">
        <v>198</v>
      </c>
      <c r="F376" t="s">
        <v>21</v>
      </c>
      <c r="G376" t="s">
        <v>76</v>
      </c>
      <c r="H376" t="s">
        <v>77</v>
      </c>
      <c r="J376">
        <v>0</v>
      </c>
    </row>
    <row r="377" spans="2:10" x14ac:dyDescent="0.25">
      <c r="B377" t="s">
        <v>338</v>
      </c>
      <c r="C377" t="s">
        <v>302</v>
      </c>
      <c r="D377">
        <v>703283</v>
      </c>
      <c r="E377" t="s">
        <v>199</v>
      </c>
      <c r="F377" t="s">
        <v>21</v>
      </c>
      <c r="G377" t="s">
        <v>61</v>
      </c>
      <c r="H377" t="s">
        <v>68</v>
      </c>
      <c r="J377">
        <v>0</v>
      </c>
    </row>
    <row r="378" spans="2:10" x14ac:dyDescent="0.25">
      <c r="B378" t="s">
        <v>338</v>
      </c>
      <c r="C378" t="s">
        <v>302</v>
      </c>
      <c r="D378">
        <v>703310</v>
      </c>
      <c r="E378" t="s">
        <v>200</v>
      </c>
      <c r="F378" t="s">
        <v>21</v>
      </c>
      <c r="G378" t="s">
        <v>22</v>
      </c>
      <c r="H378" t="s">
        <v>23</v>
      </c>
      <c r="J378">
        <v>0</v>
      </c>
    </row>
    <row r="379" spans="2:10" x14ac:dyDescent="0.25">
      <c r="B379" t="s">
        <v>338</v>
      </c>
      <c r="C379" t="s">
        <v>302</v>
      </c>
      <c r="D379">
        <v>703311</v>
      </c>
      <c r="E379" t="s">
        <v>201</v>
      </c>
      <c r="F379" t="s">
        <v>21</v>
      </c>
      <c r="G379" t="s">
        <v>71</v>
      </c>
      <c r="H379" t="s">
        <v>171</v>
      </c>
      <c r="J379">
        <v>0</v>
      </c>
    </row>
    <row r="380" spans="2:10" x14ac:dyDescent="0.25">
      <c r="B380" t="s">
        <v>338</v>
      </c>
      <c r="C380" t="s">
        <v>302</v>
      </c>
      <c r="D380">
        <v>703312</v>
      </c>
      <c r="E380" t="s">
        <v>202</v>
      </c>
      <c r="F380" t="s">
        <v>21</v>
      </c>
      <c r="G380" t="s">
        <v>76</v>
      </c>
      <c r="H380" t="s">
        <v>77</v>
      </c>
      <c r="J380">
        <v>0</v>
      </c>
    </row>
    <row r="381" spans="2:10" x14ac:dyDescent="0.25">
      <c r="B381" t="s">
        <v>338</v>
      </c>
      <c r="C381" t="s">
        <v>302</v>
      </c>
      <c r="D381">
        <v>703313</v>
      </c>
      <c r="E381" t="s">
        <v>203</v>
      </c>
      <c r="F381" t="s">
        <v>21</v>
      </c>
      <c r="G381" t="s">
        <v>76</v>
      </c>
      <c r="H381" t="s">
        <v>77</v>
      </c>
      <c r="J381">
        <v>0</v>
      </c>
    </row>
    <row r="382" spans="2:10" x14ac:dyDescent="0.25">
      <c r="B382" t="s">
        <v>338</v>
      </c>
      <c r="C382" t="s">
        <v>302</v>
      </c>
      <c r="D382">
        <v>703314</v>
      </c>
      <c r="E382" t="s">
        <v>204</v>
      </c>
      <c r="F382" t="s">
        <v>21</v>
      </c>
      <c r="G382" t="s">
        <v>76</v>
      </c>
      <c r="H382" t="s">
        <v>77</v>
      </c>
      <c r="J382">
        <v>0</v>
      </c>
    </row>
    <row r="383" spans="2:10" x14ac:dyDescent="0.25">
      <c r="B383" t="s">
        <v>338</v>
      </c>
      <c r="C383" t="s">
        <v>302</v>
      </c>
      <c r="D383">
        <v>703315</v>
      </c>
      <c r="E383" t="s">
        <v>205</v>
      </c>
      <c r="F383" t="s">
        <v>21</v>
      </c>
      <c r="G383" t="s">
        <v>76</v>
      </c>
      <c r="H383" t="s">
        <v>135</v>
      </c>
      <c r="J383">
        <v>0</v>
      </c>
    </row>
    <row r="384" spans="2:10" x14ac:dyDescent="0.25">
      <c r="B384" t="s">
        <v>338</v>
      </c>
      <c r="C384" t="s">
        <v>302</v>
      </c>
      <c r="D384">
        <v>703316</v>
      </c>
      <c r="E384" t="s">
        <v>206</v>
      </c>
      <c r="F384" t="s">
        <v>21</v>
      </c>
      <c r="G384" t="s">
        <v>76</v>
      </c>
      <c r="H384" t="s">
        <v>77</v>
      </c>
      <c r="J384">
        <v>0</v>
      </c>
    </row>
    <row r="385" spans="2:10" x14ac:dyDescent="0.25">
      <c r="B385" t="s">
        <v>338</v>
      </c>
      <c r="C385" t="s">
        <v>302</v>
      </c>
      <c r="D385">
        <v>703317</v>
      </c>
      <c r="E385" t="s">
        <v>207</v>
      </c>
      <c r="F385" t="s">
        <v>21</v>
      </c>
      <c r="G385" t="s">
        <v>76</v>
      </c>
      <c r="H385" t="s">
        <v>77</v>
      </c>
      <c r="J385">
        <v>0</v>
      </c>
    </row>
    <row r="386" spans="2:10" x14ac:dyDescent="0.25">
      <c r="B386" t="s">
        <v>338</v>
      </c>
      <c r="C386" t="s">
        <v>302</v>
      </c>
      <c r="D386">
        <v>703318</v>
      </c>
      <c r="E386" t="s">
        <v>208</v>
      </c>
      <c r="F386" t="s">
        <v>21</v>
      </c>
      <c r="G386" t="s">
        <v>71</v>
      </c>
      <c r="H386" t="s">
        <v>209</v>
      </c>
      <c r="J386">
        <v>0</v>
      </c>
    </row>
    <row r="387" spans="2:10" x14ac:dyDescent="0.25">
      <c r="B387" t="s">
        <v>338</v>
      </c>
      <c r="C387" t="s">
        <v>302</v>
      </c>
      <c r="D387">
        <v>703319</v>
      </c>
      <c r="E387" t="s">
        <v>210</v>
      </c>
      <c r="F387" t="s">
        <v>21</v>
      </c>
      <c r="G387" t="s">
        <v>61</v>
      </c>
      <c r="H387" t="s">
        <v>79</v>
      </c>
      <c r="J387">
        <v>0</v>
      </c>
    </row>
    <row r="388" spans="2:10" x14ac:dyDescent="0.25">
      <c r="B388" t="s">
        <v>338</v>
      </c>
      <c r="C388" t="s">
        <v>302</v>
      </c>
      <c r="D388">
        <v>703320</v>
      </c>
      <c r="E388" t="s">
        <v>211</v>
      </c>
      <c r="F388" t="s">
        <v>21</v>
      </c>
      <c r="G388" t="s">
        <v>71</v>
      </c>
      <c r="H388" t="s">
        <v>135</v>
      </c>
      <c r="J388">
        <v>0</v>
      </c>
    </row>
    <row r="389" spans="2:10" x14ac:dyDescent="0.25">
      <c r="B389" t="s">
        <v>338</v>
      </c>
      <c r="C389" t="s">
        <v>302</v>
      </c>
      <c r="D389">
        <v>703321</v>
      </c>
      <c r="E389" t="s">
        <v>212</v>
      </c>
      <c r="F389" t="s">
        <v>21</v>
      </c>
      <c r="G389" t="s">
        <v>22</v>
      </c>
      <c r="H389" t="s">
        <v>23</v>
      </c>
      <c r="J389">
        <v>0</v>
      </c>
    </row>
    <row r="390" spans="2:10" x14ac:dyDescent="0.25">
      <c r="B390" t="s">
        <v>338</v>
      </c>
      <c r="C390" t="s">
        <v>302</v>
      </c>
      <c r="D390">
        <v>703322</v>
      </c>
      <c r="E390" t="s">
        <v>213</v>
      </c>
      <c r="F390" t="s">
        <v>21</v>
      </c>
      <c r="G390" t="s">
        <v>22</v>
      </c>
      <c r="H390" t="s">
        <v>23</v>
      </c>
      <c r="J390">
        <v>0</v>
      </c>
    </row>
    <row r="391" spans="2:10" x14ac:dyDescent="0.25">
      <c r="B391" t="s">
        <v>338</v>
      </c>
      <c r="C391" t="s">
        <v>302</v>
      </c>
      <c r="D391">
        <v>703323</v>
      </c>
      <c r="E391" t="s">
        <v>214</v>
      </c>
      <c r="F391" t="s">
        <v>21</v>
      </c>
      <c r="G391" t="s">
        <v>22</v>
      </c>
      <c r="H391" t="s">
        <v>23</v>
      </c>
      <c r="J391">
        <v>0</v>
      </c>
    </row>
    <row r="392" spans="2:10" x14ac:dyDescent="0.25">
      <c r="B392" t="s">
        <v>338</v>
      </c>
      <c r="C392" t="s">
        <v>302</v>
      </c>
      <c r="D392">
        <v>703324</v>
      </c>
      <c r="E392" t="s">
        <v>215</v>
      </c>
      <c r="F392" t="s">
        <v>21</v>
      </c>
      <c r="G392" t="s">
        <v>22</v>
      </c>
      <c r="H392" t="s">
        <v>23</v>
      </c>
      <c r="J392">
        <v>0</v>
      </c>
    </row>
    <row r="393" spans="2:10" x14ac:dyDescent="0.25">
      <c r="B393" t="s">
        <v>338</v>
      </c>
      <c r="C393" t="s">
        <v>302</v>
      </c>
      <c r="D393">
        <v>703325</v>
      </c>
      <c r="E393" t="s">
        <v>216</v>
      </c>
      <c r="F393" t="s">
        <v>21</v>
      </c>
      <c r="G393" t="s">
        <v>22</v>
      </c>
      <c r="H393" t="s">
        <v>23</v>
      </c>
      <c r="J393">
        <v>0</v>
      </c>
    </row>
    <row r="394" spans="2:10" x14ac:dyDescent="0.25">
      <c r="B394" t="s">
        <v>338</v>
      </c>
      <c r="C394" t="s">
        <v>302</v>
      </c>
      <c r="D394">
        <v>703326</v>
      </c>
      <c r="E394" t="s">
        <v>217</v>
      </c>
      <c r="F394" t="s">
        <v>21</v>
      </c>
      <c r="G394" t="s">
        <v>22</v>
      </c>
      <c r="H394" t="s">
        <v>23</v>
      </c>
      <c r="J394">
        <v>0</v>
      </c>
    </row>
    <row r="395" spans="2:10" x14ac:dyDescent="0.25">
      <c r="B395" t="s">
        <v>338</v>
      </c>
      <c r="C395" t="s">
        <v>302</v>
      </c>
      <c r="D395">
        <v>703327</v>
      </c>
      <c r="E395" t="s">
        <v>218</v>
      </c>
      <c r="F395" t="s">
        <v>21</v>
      </c>
      <c r="G395" t="s">
        <v>76</v>
      </c>
      <c r="H395" t="s">
        <v>77</v>
      </c>
      <c r="J395">
        <v>0</v>
      </c>
    </row>
    <row r="396" spans="2:10" x14ac:dyDescent="0.25">
      <c r="B396" t="s">
        <v>338</v>
      </c>
      <c r="C396" t="s">
        <v>302</v>
      </c>
      <c r="D396">
        <v>703328</v>
      </c>
      <c r="E396" t="s">
        <v>219</v>
      </c>
      <c r="F396" t="s">
        <v>21</v>
      </c>
      <c r="G396" t="s">
        <v>22</v>
      </c>
      <c r="H396" t="s">
        <v>23</v>
      </c>
      <c r="J396">
        <v>0</v>
      </c>
    </row>
    <row r="397" spans="2:10" x14ac:dyDescent="0.25">
      <c r="B397" t="s">
        <v>338</v>
      </c>
      <c r="C397" t="s">
        <v>302</v>
      </c>
      <c r="D397">
        <v>703329</v>
      </c>
      <c r="E397" t="s">
        <v>220</v>
      </c>
      <c r="F397" t="s">
        <v>21</v>
      </c>
      <c r="G397" t="s">
        <v>22</v>
      </c>
      <c r="H397" t="s">
        <v>23</v>
      </c>
      <c r="J397">
        <v>0</v>
      </c>
    </row>
    <row r="398" spans="2:10" x14ac:dyDescent="0.25">
      <c r="B398" t="s">
        <v>338</v>
      </c>
      <c r="C398" t="s">
        <v>302</v>
      </c>
      <c r="D398">
        <v>703330</v>
      </c>
      <c r="E398" t="s">
        <v>221</v>
      </c>
      <c r="F398" t="s">
        <v>21</v>
      </c>
      <c r="G398" t="s">
        <v>22</v>
      </c>
      <c r="H398" t="s">
        <v>23</v>
      </c>
      <c r="J398">
        <v>0</v>
      </c>
    </row>
    <row r="399" spans="2:10" x14ac:dyDescent="0.25">
      <c r="B399" t="s">
        <v>338</v>
      </c>
      <c r="C399" t="s">
        <v>302</v>
      </c>
      <c r="D399">
        <v>703340</v>
      </c>
      <c r="E399" t="s">
        <v>222</v>
      </c>
      <c r="F399" t="s">
        <v>21</v>
      </c>
      <c r="G399" t="s">
        <v>61</v>
      </c>
      <c r="H399" t="s">
        <v>68</v>
      </c>
      <c r="J399">
        <v>0</v>
      </c>
    </row>
    <row r="400" spans="2:10" x14ac:dyDescent="0.25">
      <c r="B400" t="s">
        <v>338</v>
      </c>
      <c r="C400" t="s">
        <v>302</v>
      </c>
      <c r="D400">
        <v>703350</v>
      </c>
      <c r="E400" t="s">
        <v>223</v>
      </c>
      <c r="F400" t="s">
        <v>21</v>
      </c>
      <c r="G400" t="s">
        <v>22</v>
      </c>
      <c r="H400" t="s">
        <v>23</v>
      </c>
      <c r="J400">
        <v>0</v>
      </c>
    </row>
    <row r="401" spans="2:10" x14ac:dyDescent="0.25">
      <c r="B401" t="s">
        <v>338</v>
      </c>
      <c r="C401" t="s">
        <v>302</v>
      </c>
      <c r="D401">
        <v>703351</v>
      </c>
      <c r="E401" t="s">
        <v>224</v>
      </c>
      <c r="F401" t="s">
        <v>21</v>
      </c>
      <c r="G401" t="s">
        <v>22</v>
      </c>
      <c r="H401" t="s">
        <v>23</v>
      </c>
      <c r="J401">
        <v>0</v>
      </c>
    </row>
    <row r="402" spans="2:10" x14ac:dyDescent="0.25">
      <c r="B402" t="s">
        <v>338</v>
      </c>
      <c r="C402" t="s">
        <v>302</v>
      </c>
      <c r="D402">
        <v>703352</v>
      </c>
      <c r="E402" t="s">
        <v>225</v>
      </c>
      <c r="F402" t="s">
        <v>21</v>
      </c>
      <c r="G402" t="s">
        <v>22</v>
      </c>
      <c r="H402" t="s">
        <v>23</v>
      </c>
      <c r="J402">
        <v>0</v>
      </c>
    </row>
    <row r="403" spans="2:10" x14ac:dyDescent="0.25">
      <c r="B403" t="s">
        <v>338</v>
      </c>
      <c r="C403" t="s">
        <v>302</v>
      </c>
      <c r="D403">
        <v>703360</v>
      </c>
      <c r="E403" t="s">
        <v>226</v>
      </c>
      <c r="F403" t="s">
        <v>21</v>
      </c>
      <c r="G403" t="s">
        <v>22</v>
      </c>
      <c r="H403" t="s">
        <v>23</v>
      </c>
      <c r="J403">
        <v>0</v>
      </c>
    </row>
    <row r="404" spans="2:10" x14ac:dyDescent="0.25">
      <c r="B404" t="s">
        <v>338</v>
      </c>
      <c r="C404" t="s">
        <v>302</v>
      </c>
      <c r="D404">
        <v>703370</v>
      </c>
      <c r="E404" t="s">
        <v>227</v>
      </c>
      <c r="F404" t="s">
        <v>21</v>
      </c>
      <c r="G404" t="s">
        <v>22</v>
      </c>
      <c r="H404" t="s">
        <v>23</v>
      </c>
      <c r="J404">
        <v>0</v>
      </c>
    </row>
    <row r="405" spans="2:10" x14ac:dyDescent="0.25">
      <c r="B405" t="s">
        <v>338</v>
      </c>
      <c r="C405" t="s">
        <v>302</v>
      </c>
      <c r="D405">
        <v>703410</v>
      </c>
      <c r="E405" t="s">
        <v>228</v>
      </c>
      <c r="F405" t="s">
        <v>21</v>
      </c>
      <c r="G405" t="s">
        <v>22</v>
      </c>
      <c r="H405" t="s">
        <v>23</v>
      </c>
      <c r="J405">
        <v>0</v>
      </c>
    </row>
    <row r="406" spans="2:10" x14ac:dyDescent="0.25">
      <c r="B406" t="s">
        <v>338</v>
      </c>
      <c r="C406" t="s">
        <v>302</v>
      </c>
      <c r="D406">
        <v>703411</v>
      </c>
      <c r="E406" t="s">
        <v>229</v>
      </c>
      <c r="F406" t="s">
        <v>21</v>
      </c>
      <c r="G406" t="s">
        <v>22</v>
      </c>
      <c r="H406" t="s">
        <v>23</v>
      </c>
      <c r="J406">
        <v>0</v>
      </c>
    </row>
    <row r="407" spans="2:10" x14ac:dyDescent="0.25">
      <c r="B407" t="s">
        <v>338</v>
      </c>
      <c r="C407" t="s">
        <v>302</v>
      </c>
      <c r="D407">
        <v>703412</v>
      </c>
      <c r="E407" t="s">
        <v>230</v>
      </c>
      <c r="F407" t="s">
        <v>21</v>
      </c>
      <c r="G407" t="s">
        <v>22</v>
      </c>
      <c r="H407" t="s">
        <v>23</v>
      </c>
      <c r="J407">
        <v>0</v>
      </c>
    </row>
    <row r="408" spans="2:10" x14ac:dyDescent="0.25">
      <c r="B408" t="s">
        <v>338</v>
      </c>
      <c r="C408" t="s">
        <v>302</v>
      </c>
      <c r="D408">
        <v>703420</v>
      </c>
      <c r="E408" t="s">
        <v>231</v>
      </c>
      <c r="F408" t="s">
        <v>21</v>
      </c>
      <c r="G408" t="s">
        <v>71</v>
      </c>
      <c r="H408" t="s">
        <v>171</v>
      </c>
      <c r="J408">
        <v>0</v>
      </c>
    </row>
    <row r="409" spans="2:10" x14ac:dyDescent="0.25">
      <c r="B409" t="s">
        <v>338</v>
      </c>
      <c r="C409" t="s">
        <v>302</v>
      </c>
      <c r="D409">
        <v>703421</v>
      </c>
      <c r="E409" t="s">
        <v>232</v>
      </c>
      <c r="F409" t="s">
        <v>21</v>
      </c>
      <c r="G409" t="s">
        <v>22</v>
      </c>
      <c r="H409" t="s">
        <v>23</v>
      </c>
      <c r="J409">
        <v>0</v>
      </c>
    </row>
    <row r="410" spans="2:10" x14ac:dyDescent="0.25">
      <c r="B410" t="s">
        <v>338</v>
      </c>
      <c r="C410" t="s">
        <v>302</v>
      </c>
      <c r="D410">
        <v>703422</v>
      </c>
      <c r="E410" t="s">
        <v>233</v>
      </c>
      <c r="F410" t="s">
        <v>21</v>
      </c>
      <c r="G410" t="s">
        <v>76</v>
      </c>
      <c r="H410" t="s">
        <v>77</v>
      </c>
      <c r="J410">
        <v>0</v>
      </c>
    </row>
    <row r="411" spans="2:10" x14ac:dyDescent="0.25">
      <c r="B411" t="s">
        <v>338</v>
      </c>
      <c r="C411" t="s">
        <v>302</v>
      </c>
      <c r="D411">
        <v>703423</v>
      </c>
      <c r="E411" t="s">
        <v>234</v>
      </c>
      <c r="F411" t="s">
        <v>21</v>
      </c>
      <c r="G411" t="s">
        <v>71</v>
      </c>
      <c r="H411" t="s">
        <v>88</v>
      </c>
      <c r="J411">
        <v>0</v>
      </c>
    </row>
    <row r="412" spans="2:10" x14ac:dyDescent="0.25">
      <c r="B412" t="s">
        <v>338</v>
      </c>
      <c r="C412" t="s">
        <v>302</v>
      </c>
      <c r="D412">
        <v>703424</v>
      </c>
      <c r="E412" t="s">
        <v>235</v>
      </c>
      <c r="F412" t="s">
        <v>21</v>
      </c>
      <c r="G412" t="s">
        <v>71</v>
      </c>
      <c r="H412" t="s">
        <v>88</v>
      </c>
      <c r="J412">
        <v>0</v>
      </c>
    </row>
    <row r="413" spans="2:10" x14ac:dyDescent="0.25">
      <c r="B413" t="s">
        <v>338</v>
      </c>
      <c r="C413" t="s">
        <v>302</v>
      </c>
      <c r="D413">
        <v>703425</v>
      </c>
      <c r="E413" t="s">
        <v>236</v>
      </c>
      <c r="F413" t="s">
        <v>21</v>
      </c>
      <c r="G413" t="s">
        <v>76</v>
      </c>
      <c r="H413" t="s">
        <v>77</v>
      </c>
      <c r="J413">
        <v>0</v>
      </c>
    </row>
    <row r="414" spans="2:10" x14ac:dyDescent="0.25">
      <c r="B414" t="s">
        <v>338</v>
      </c>
      <c r="C414" t="s">
        <v>302</v>
      </c>
      <c r="D414">
        <v>703426</v>
      </c>
      <c r="E414" t="s">
        <v>237</v>
      </c>
      <c r="F414" t="s">
        <v>21</v>
      </c>
      <c r="G414" t="s">
        <v>22</v>
      </c>
      <c r="H414" t="s">
        <v>23</v>
      </c>
      <c r="J414">
        <v>0</v>
      </c>
    </row>
    <row r="415" spans="2:10" x14ac:dyDescent="0.25">
      <c r="B415" t="s">
        <v>338</v>
      </c>
      <c r="C415" t="s">
        <v>302</v>
      </c>
      <c r="D415">
        <v>703427</v>
      </c>
      <c r="E415" t="s">
        <v>238</v>
      </c>
      <c r="F415" t="s">
        <v>21</v>
      </c>
      <c r="G415" t="s">
        <v>76</v>
      </c>
      <c r="H415" t="s">
        <v>77</v>
      </c>
      <c r="J415">
        <v>0</v>
      </c>
    </row>
    <row r="416" spans="2:10" x14ac:dyDescent="0.25">
      <c r="B416" t="s">
        <v>338</v>
      </c>
      <c r="C416" t="s">
        <v>302</v>
      </c>
      <c r="D416">
        <v>703428</v>
      </c>
      <c r="E416" t="s">
        <v>239</v>
      </c>
      <c r="F416" t="s">
        <v>21</v>
      </c>
      <c r="G416" t="s">
        <v>76</v>
      </c>
      <c r="H416" t="s">
        <v>77</v>
      </c>
      <c r="J416">
        <v>0</v>
      </c>
    </row>
    <row r="417" spans="2:10" x14ac:dyDescent="0.25">
      <c r="B417" t="s">
        <v>338</v>
      </c>
      <c r="C417" t="s">
        <v>302</v>
      </c>
      <c r="D417">
        <v>703429</v>
      </c>
      <c r="E417" t="s">
        <v>240</v>
      </c>
      <c r="F417" t="s">
        <v>21</v>
      </c>
      <c r="G417" t="s">
        <v>76</v>
      </c>
      <c r="H417" t="s">
        <v>77</v>
      </c>
      <c r="J417">
        <v>0</v>
      </c>
    </row>
    <row r="418" spans="2:10" x14ac:dyDescent="0.25">
      <c r="B418" t="s">
        <v>338</v>
      </c>
      <c r="C418" t="s">
        <v>302</v>
      </c>
      <c r="D418">
        <v>703430</v>
      </c>
      <c r="E418" t="s">
        <v>20</v>
      </c>
      <c r="F418" t="s">
        <v>21</v>
      </c>
      <c r="G418" t="s">
        <v>22</v>
      </c>
      <c r="H418" t="s">
        <v>23</v>
      </c>
      <c r="J418">
        <v>0</v>
      </c>
    </row>
    <row r="419" spans="2:10" x14ac:dyDescent="0.25">
      <c r="B419" t="s">
        <v>338</v>
      </c>
      <c r="C419" t="s">
        <v>302</v>
      </c>
      <c r="D419">
        <v>703431</v>
      </c>
      <c r="E419" t="s">
        <v>241</v>
      </c>
      <c r="F419" t="s">
        <v>21</v>
      </c>
      <c r="G419" t="s">
        <v>22</v>
      </c>
      <c r="H419" t="s">
        <v>23</v>
      </c>
      <c r="J419">
        <v>0</v>
      </c>
    </row>
    <row r="420" spans="2:10" x14ac:dyDescent="0.25">
      <c r="B420" t="s">
        <v>338</v>
      </c>
      <c r="C420" t="s">
        <v>302</v>
      </c>
      <c r="D420">
        <v>703432</v>
      </c>
      <c r="E420" t="s">
        <v>242</v>
      </c>
      <c r="F420" t="s">
        <v>21</v>
      </c>
      <c r="G420" t="s">
        <v>22</v>
      </c>
      <c r="H420" t="s">
        <v>23</v>
      </c>
      <c r="J420">
        <v>0</v>
      </c>
    </row>
    <row r="421" spans="2:10" x14ac:dyDescent="0.25">
      <c r="B421" t="s">
        <v>338</v>
      </c>
      <c r="C421" t="s">
        <v>302</v>
      </c>
      <c r="D421">
        <v>703433</v>
      </c>
      <c r="E421" t="s">
        <v>243</v>
      </c>
      <c r="F421" t="s">
        <v>21</v>
      </c>
      <c r="G421" t="s">
        <v>71</v>
      </c>
      <c r="H421" t="s">
        <v>88</v>
      </c>
      <c r="J421">
        <v>0</v>
      </c>
    </row>
    <row r="422" spans="2:10" x14ac:dyDescent="0.25">
      <c r="B422" t="s">
        <v>338</v>
      </c>
      <c r="C422" t="s">
        <v>302</v>
      </c>
      <c r="D422">
        <v>703434</v>
      </c>
      <c r="E422" t="s">
        <v>244</v>
      </c>
      <c r="F422" t="s">
        <v>21</v>
      </c>
      <c r="G422" t="s">
        <v>22</v>
      </c>
      <c r="H422" t="s">
        <v>23</v>
      </c>
      <c r="J422">
        <v>0</v>
      </c>
    </row>
    <row r="423" spans="2:10" x14ac:dyDescent="0.25">
      <c r="B423" t="s">
        <v>338</v>
      </c>
      <c r="C423" t="s">
        <v>302</v>
      </c>
      <c r="D423">
        <v>703435</v>
      </c>
      <c r="E423" t="s">
        <v>245</v>
      </c>
      <c r="F423" t="s">
        <v>21</v>
      </c>
      <c r="G423" t="s">
        <v>71</v>
      </c>
      <c r="H423" t="s">
        <v>88</v>
      </c>
      <c r="J423">
        <v>0</v>
      </c>
    </row>
    <row r="424" spans="2:10" x14ac:dyDescent="0.25">
      <c r="B424" t="s">
        <v>338</v>
      </c>
      <c r="C424" t="s">
        <v>302</v>
      </c>
      <c r="D424">
        <v>703436</v>
      </c>
      <c r="E424" t="s">
        <v>246</v>
      </c>
      <c r="F424" t="s">
        <v>21</v>
      </c>
      <c r="G424" t="s">
        <v>71</v>
      </c>
      <c r="H424" t="s">
        <v>88</v>
      </c>
      <c r="J424">
        <v>0</v>
      </c>
    </row>
    <row r="425" spans="2:10" x14ac:dyDescent="0.25">
      <c r="B425" t="s">
        <v>338</v>
      </c>
      <c r="C425" t="s">
        <v>302</v>
      </c>
      <c r="D425">
        <v>703437</v>
      </c>
      <c r="E425" t="s">
        <v>247</v>
      </c>
      <c r="F425" t="s">
        <v>21</v>
      </c>
      <c r="G425" t="s">
        <v>71</v>
      </c>
      <c r="H425" t="s">
        <v>88</v>
      </c>
      <c r="J425">
        <v>0</v>
      </c>
    </row>
    <row r="426" spans="2:10" x14ac:dyDescent="0.25">
      <c r="B426" t="s">
        <v>338</v>
      </c>
      <c r="C426" t="s">
        <v>302</v>
      </c>
      <c r="D426">
        <v>703438</v>
      </c>
      <c r="E426" t="s">
        <v>248</v>
      </c>
      <c r="F426" t="s">
        <v>21</v>
      </c>
      <c r="G426" t="s">
        <v>71</v>
      </c>
      <c r="H426" t="s">
        <v>88</v>
      </c>
      <c r="J426">
        <v>0</v>
      </c>
    </row>
    <row r="427" spans="2:10" x14ac:dyDescent="0.25">
      <c r="B427" t="s">
        <v>338</v>
      </c>
      <c r="C427" t="s">
        <v>302</v>
      </c>
      <c r="D427">
        <v>703439</v>
      </c>
      <c r="E427" t="s">
        <v>249</v>
      </c>
      <c r="F427" t="s">
        <v>21</v>
      </c>
      <c r="G427" t="s">
        <v>22</v>
      </c>
      <c r="H427" t="s">
        <v>23</v>
      </c>
      <c r="J427">
        <v>0</v>
      </c>
    </row>
    <row r="428" spans="2:10" x14ac:dyDescent="0.25">
      <c r="B428" t="s">
        <v>338</v>
      </c>
      <c r="C428" t="s">
        <v>302</v>
      </c>
      <c r="D428">
        <v>703440</v>
      </c>
      <c r="E428" t="s">
        <v>250</v>
      </c>
      <c r="F428" t="s">
        <v>21</v>
      </c>
      <c r="G428" t="s">
        <v>61</v>
      </c>
      <c r="H428" t="s">
        <v>68</v>
      </c>
      <c r="J428">
        <v>0</v>
      </c>
    </row>
    <row r="429" spans="2:10" x14ac:dyDescent="0.25">
      <c r="B429" t="s">
        <v>338</v>
      </c>
      <c r="C429" t="s">
        <v>302</v>
      </c>
      <c r="D429">
        <v>703441</v>
      </c>
      <c r="E429" t="s">
        <v>251</v>
      </c>
      <c r="F429" t="s">
        <v>21</v>
      </c>
      <c r="G429" t="s">
        <v>61</v>
      </c>
      <c r="H429" t="s">
        <v>79</v>
      </c>
      <c r="J429">
        <v>0</v>
      </c>
    </row>
    <row r="430" spans="2:10" x14ac:dyDescent="0.25">
      <c r="B430" t="s">
        <v>338</v>
      </c>
      <c r="C430" t="s">
        <v>302</v>
      </c>
      <c r="D430">
        <v>703442</v>
      </c>
      <c r="E430" t="s">
        <v>252</v>
      </c>
      <c r="F430" t="s">
        <v>21</v>
      </c>
      <c r="G430" t="s">
        <v>76</v>
      </c>
      <c r="H430" t="s">
        <v>77</v>
      </c>
      <c r="J430">
        <v>0</v>
      </c>
    </row>
    <row r="431" spans="2:10" x14ac:dyDescent="0.25">
      <c r="B431" t="s">
        <v>338</v>
      </c>
      <c r="C431" t="s">
        <v>302</v>
      </c>
      <c r="D431">
        <v>703443</v>
      </c>
      <c r="E431" t="s">
        <v>253</v>
      </c>
      <c r="F431" t="s">
        <v>21</v>
      </c>
      <c r="G431" t="s">
        <v>71</v>
      </c>
      <c r="H431" t="s">
        <v>88</v>
      </c>
      <c r="J431">
        <v>0</v>
      </c>
    </row>
    <row r="432" spans="2:10" x14ac:dyDescent="0.25">
      <c r="B432" t="s">
        <v>338</v>
      </c>
      <c r="C432" t="s">
        <v>302</v>
      </c>
      <c r="D432">
        <v>703444</v>
      </c>
      <c r="E432" t="s">
        <v>254</v>
      </c>
      <c r="F432" t="s">
        <v>21</v>
      </c>
      <c r="G432" t="s">
        <v>22</v>
      </c>
      <c r="H432" t="s">
        <v>23</v>
      </c>
      <c r="J432">
        <v>0</v>
      </c>
    </row>
    <row r="433" spans="2:10" x14ac:dyDescent="0.25">
      <c r="B433" t="s">
        <v>338</v>
      </c>
      <c r="C433" t="s">
        <v>302</v>
      </c>
      <c r="D433">
        <v>703445</v>
      </c>
      <c r="E433" t="s">
        <v>255</v>
      </c>
      <c r="F433" t="s">
        <v>21</v>
      </c>
      <c r="G433" t="s">
        <v>22</v>
      </c>
      <c r="H433" t="s">
        <v>23</v>
      </c>
      <c r="J433">
        <v>0</v>
      </c>
    </row>
    <row r="434" spans="2:10" x14ac:dyDescent="0.25">
      <c r="B434" t="s">
        <v>338</v>
      </c>
      <c r="C434" t="s">
        <v>302</v>
      </c>
      <c r="D434">
        <v>703446</v>
      </c>
      <c r="E434" t="s">
        <v>256</v>
      </c>
      <c r="F434" t="s">
        <v>21</v>
      </c>
      <c r="G434" t="s">
        <v>22</v>
      </c>
      <c r="H434" t="s">
        <v>23</v>
      </c>
      <c r="J434">
        <v>0</v>
      </c>
    </row>
    <row r="435" spans="2:10" x14ac:dyDescent="0.25">
      <c r="B435" t="s">
        <v>338</v>
      </c>
      <c r="C435" t="s">
        <v>302</v>
      </c>
      <c r="D435">
        <v>703447</v>
      </c>
      <c r="E435" t="s">
        <v>257</v>
      </c>
      <c r="F435" t="s">
        <v>21</v>
      </c>
      <c r="G435" t="s">
        <v>22</v>
      </c>
      <c r="H435" t="s">
        <v>23</v>
      </c>
      <c r="J435">
        <v>0</v>
      </c>
    </row>
    <row r="436" spans="2:10" x14ac:dyDescent="0.25">
      <c r="B436" t="s">
        <v>338</v>
      </c>
      <c r="C436" t="s">
        <v>302</v>
      </c>
      <c r="D436">
        <v>703448</v>
      </c>
      <c r="E436" t="s">
        <v>258</v>
      </c>
      <c r="F436" t="s">
        <v>21</v>
      </c>
      <c r="G436" t="s">
        <v>22</v>
      </c>
      <c r="H436" t="s">
        <v>23</v>
      </c>
      <c r="J436">
        <v>0</v>
      </c>
    </row>
    <row r="437" spans="2:10" x14ac:dyDescent="0.25">
      <c r="B437" t="s">
        <v>338</v>
      </c>
      <c r="C437" t="s">
        <v>302</v>
      </c>
      <c r="D437">
        <v>703449</v>
      </c>
      <c r="E437" t="s">
        <v>259</v>
      </c>
      <c r="F437" t="s">
        <v>21</v>
      </c>
      <c r="G437" t="s">
        <v>22</v>
      </c>
      <c r="H437" t="s">
        <v>23</v>
      </c>
      <c r="J437">
        <v>0</v>
      </c>
    </row>
    <row r="438" spans="2:10" x14ac:dyDescent="0.25">
      <c r="B438" t="s">
        <v>338</v>
      </c>
      <c r="C438" t="s">
        <v>302</v>
      </c>
      <c r="D438">
        <v>703450</v>
      </c>
      <c r="E438" t="s">
        <v>260</v>
      </c>
      <c r="F438" t="s">
        <v>21</v>
      </c>
      <c r="G438" t="s">
        <v>71</v>
      </c>
      <c r="H438" t="s">
        <v>88</v>
      </c>
      <c r="J438">
        <v>0</v>
      </c>
    </row>
    <row r="439" spans="2:10" x14ac:dyDescent="0.25">
      <c r="B439" t="s">
        <v>338</v>
      </c>
      <c r="C439" t="s">
        <v>302</v>
      </c>
      <c r="D439">
        <v>703510</v>
      </c>
      <c r="E439" t="s">
        <v>261</v>
      </c>
      <c r="F439" t="s">
        <v>21</v>
      </c>
      <c r="G439" t="s">
        <v>22</v>
      </c>
      <c r="H439" t="s">
        <v>23</v>
      </c>
      <c r="J439">
        <v>0</v>
      </c>
    </row>
    <row r="440" spans="2:10" x14ac:dyDescent="0.25">
      <c r="B440" t="s">
        <v>338</v>
      </c>
      <c r="C440" t="s">
        <v>302</v>
      </c>
      <c r="D440">
        <v>703511</v>
      </c>
      <c r="E440" t="s">
        <v>262</v>
      </c>
      <c r="F440" t="s">
        <v>21</v>
      </c>
      <c r="G440" t="s">
        <v>22</v>
      </c>
      <c r="H440" t="s">
        <v>23</v>
      </c>
      <c r="J440">
        <v>0</v>
      </c>
    </row>
    <row r="441" spans="2:10" x14ac:dyDescent="0.25">
      <c r="B441" t="s">
        <v>338</v>
      </c>
      <c r="C441" t="s">
        <v>302</v>
      </c>
      <c r="D441">
        <v>703512</v>
      </c>
      <c r="E441" t="s">
        <v>263</v>
      </c>
      <c r="F441" t="s">
        <v>21</v>
      </c>
      <c r="G441" t="s">
        <v>22</v>
      </c>
      <c r="H441" t="s">
        <v>23</v>
      </c>
      <c r="J441">
        <v>0</v>
      </c>
    </row>
    <row r="442" spans="2:10" x14ac:dyDescent="0.25">
      <c r="B442" t="s">
        <v>338</v>
      </c>
      <c r="C442" t="s">
        <v>302</v>
      </c>
      <c r="D442">
        <v>703513</v>
      </c>
      <c r="E442" t="s">
        <v>264</v>
      </c>
      <c r="F442" t="s">
        <v>21</v>
      </c>
      <c r="G442" t="s">
        <v>22</v>
      </c>
      <c r="H442" t="s">
        <v>23</v>
      </c>
      <c r="J442">
        <v>0</v>
      </c>
    </row>
    <row r="443" spans="2:10" x14ac:dyDescent="0.25">
      <c r="B443" t="s">
        <v>338</v>
      </c>
      <c r="C443" t="s">
        <v>302</v>
      </c>
      <c r="D443">
        <v>703514</v>
      </c>
      <c r="E443" t="s">
        <v>265</v>
      </c>
      <c r="F443" t="s">
        <v>21</v>
      </c>
      <c r="G443" t="s">
        <v>22</v>
      </c>
      <c r="H443" t="s">
        <v>23</v>
      </c>
      <c r="J443">
        <v>0</v>
      </c>
    </row>
    <row r="444" spans="2:10" x14ac:dyDescent="0.25">
      <c r="B444" t="s">
        <v>338</v>
      </c>
      <c r="C444" t="s">
        <v>302</v>
      </c>
      <c r="D444">
        <v>703515</v>
      </c>
      <c r="E444" t="s">
        <v>266</v>
      </c>
      <c r="F444" t="s">
        <v>21</v>
      </c>
      <c r="G444" t="s">
        <v>22</v>
      </c>
      <c r="H444" t="s">
        <v>23</v>
      </c>
      <c r="J444">
        <v>0</v>
      </c>
    </row>
    <row r="445" spans="2:10" x14ac:dyDescent="0.25">
      <c r="B445" t="s">
        <v>338</v>
      </c>
      <c r="C445" t="s">
        <v>302</v>
      </c>
      <c r="D445">
        <v>703520</v>
      </c>
      <c r="E445" t="s">
        <v>267</v>
      </c>
      <c r="F445" t="s">
        <v>21</v>
      </c>
      <c r="G445" t="s">
        <v>22</v>
      </c>
      <c r="H445" t="s">
        <v>23</v>
      </c>
      <c r="J445">
        <v>0</v>
      </c>
    </row>
    <row r="446" spans="2:10" x14ac:dyDescent="0.25">
      <c r="B446" t="s">
        <v>338</v>
      </c>
      <c r="C446" t="s">
        <v>302</v>
      </c>
      <c r="D446">
        <v>703530</v>
      </c>
      <c r="E446" t="s">
        <v>268</v>
      </c>
      <c r="F446" t="s">
        <v>21</v>
      </c>
      <c r="G446" t="s">
        <v>22</v>
      </c>
      <c r="H446" t="s">
        <v>23</v>
      </c>
      <c r="J446">
        <v>0</v>
      </c>
    </row>
    <row r="447" spans="2:10" x14ac:dyDescent="0.25">
      <c r="B447" t="s">
        <v>338</v>
      </c>
      <c r="C447" t="s">
        <v>302</v>
      </c>
      <c r="D447">
        <v>703540</v>
      </c>
      <c r="E447" t="s">
        <v>269</v>
      </c>
      <c r="F447" t="s">
        <v>21</v>
      </c>
      <c r="G447" t="s">
        <v>22</v>
      </c>
      <c r="H447" t="s">
        <v>23</v>
      </c>
      <c r="J447">
        <v>0</v>
      </c>
    </row>
    <row r="448" spans="2:10" x14ac:dyDescent="0.25">
      <c r="B448" t="s">
        <v>338</v>
      </c>
      <c r="C448" t="s">
        <v>302</v>
      </c>
      <c r="D448">
        <v>703550</v>
      </c>
      <c r="E448" t="s">
        <v>270</v>
      </c>
      <c r="F448" t="s">
        <v>21</v>
      </c>
      <c r="G448" t="s">
        <v>22</v>
      </c>
      <c r="H448" t="s">
        <v>23</v>
      </c>
      <c r="J448">
        <v>0</v>
      </c>
    </row>
    <row r="449" spans="2:10" x14ac:dyDescent="0.25">
      <c r="B449" t="s">
        <v>338</v>
      </c>
      <c r="C449" t="s">
        <v>302</v>
      </c>
      <c r="D449">
        <v>703560</v>
      </c>
      <c r="E449" t="s">
        <v>271</v>
      </c>
      <c r="F449" t="s">
        <v>21</v>
      </c>
      <c r="G449" t="s">
        <v>22</v>
      </c>
      <c r="H449" t="s">
        <v>23</v>
      </c>
      <c r="J449">
        <v>0</v>
      </c>
    </row>
    <row r="450" spans="2:10" x14ac:dyDescent="0.25">
      <c r="B450" t="s">
        <v>338</v>
      </c>
      <c r="C450" t="s">
        <v>302</v>
      </c>
      <c r="D450">
        <v>703570</v>
      </c>
      <c r="E450" t="s">
        <v>272</v>
      </c>
      <c r="F450" t="s">
        <v>21</v>
      </c>
      <c r="G450" t="s">
        <v>22</v>
      </c>
      <c r="H450" t="s">
        <v>23</v>
      </c>
      <c r="J450">
        <v>0</v>
      </c>
    </row>
    <row r="451" spans="2:10" x14ac:dyDescent="0.25">
      <c r="B451" t="s">
        <v>338</v>
      </c>
      <c r="C451" t="s">
        <v>302</v>
      </c>
      <c r="D451">
        <v>703571</v>
      </c>
      <c r="E451" t="s">
        <v>273</v>
      </c>
      <c r="F451" t="s">
        <v>21</v>
      </c>
      <c r="G451" t="s">
        <v>22</v>
      </c>
      <c r="H451" t="s">
        <v>23</v>
      </c>
    </row>
    <row r="452" spans="2:10" x14ac:dyDescent="0.25">
      <c r="B452" t="s">
        <v>338</v>
      </c>
      <c r="C452" t="s">
        <v>302</v>
      </c>
      <c r="D452">
        <v>703572</v>
      </c>
      <c r="E452" t="s">
        <v>274</v>
      </c>
      <c r="F452" t="s">
        <v>21</v>
      </c>
      <c r="G452" t="s">
        <v>22</v>
      </c>
      <c r="H452" t="s">
        <v>23</v>
      </c>
    </row>
    <row r="453" spans="2:10" x14ac:dyDescent="0.25">
      <c r="B453" t="s">
        <v>338</v>
      </c>
      <c r="C453" t="s">
        <v>302</v>
      </c>
      <c r="D453">
        <v>703573</v>
      </c>
      <c r="E453" t="s">
        <v>275</v>
      </c>
      <c r="F453" t="s">
        <v>21</v>
      </c>
      <c r="G453" t="s">
        <v>22</v>
      </c>
      <c r="H453" t="s">
        <v>23</v>
      </c>
    </row>
    <row r="454" spans="2:10" x14ac:dyDescent="0.25">
      <c r="B454" t="s">
        <v>338</v>
      </c>
      <c r="C454" t="s">
        <v>302</v>
      </c>
      <c r="D454">
        <v>703574</v>
      </c>
      <c r="E454" t="s">
        <v>276</v>
      </c>
      <c r="F454" t="s">
        <v>21</v>
      </c>
      <c r="G454" t="s">
        <v>22</v>
      </c>
      <c r="H454" t="s">
        <v>23</v>
      </c>
    </row>
    <row r="455" spans="2:10" x14ac:dyDescent="0.25">
      <c r="B455" t="s">
        <v>338</v>
      </c>
      <c r="C455" t="s">
        <v>302</v>
      </c>
      <c r="D455">
        <v>703580</v>
      </c>
      <c r="E455" t="s">
        <v>277</v>
      </c>
      <c r="F455" t="s">
        <v>21</v>
      </c>
      <c r="G455" t="s">
        <v>22</v>
      </c>
      <c r="H455" t="s">
        <v>23</v>
      </c>
      <c r="J455">
        <v>0</v>
      </c>
    </row>
    <row r="456" spans="2:10" x14ac:dyDescent="0.25">
      <c r="B456" t="s">
        <v>338</v>
      </c>
      <c r="C456" t="s">
        <v>302</v>
      </c>
      <c r="D456">
        <v>703590</v>
      </c>
      <c r="E456" t="s">
        <v>278</v>
      </c>
      <c r="F456" t="s">
        <v>21</v>
      </c>
      <c r="G456" t="s">
        <v>22</v>
      </c>
      <c r="H456" t="s">
        <v>23</v>
      </c>
      <c r="J456">
        <v>0</v>
      </c>
    </row>
    <row r="457" spans="2:10" x14ac:dyDescent="0.25">
      <c r="B457" t="s">
        <v>338</v>
      </c>
      <c r="C457" t="s">
        <v>302</v>
      </c>
      <c r="D457">
        <v>703650</v>
      </c>
      <c r="E457" t="s">
        <v>279</v>
      </c>
      <c r="F457" t="s">
        <v>21</v>
      </c>
      <c r="G457" t="s">
        <v>22</v>
      </c>
      <c r="H457" t="s">
        <v>23</v>
      </c>
      <c r="J457">
        <v>0</v>
      </c>
    </row>
    <row r="458" spans="2:10" x14ac:dyDescent="0.25">
      <c r="B458" t="s">
        <v>338</v>
      </c>
      <c r="C458" t="s">
        <v>302</v>
      </c>
      <c r="D458">
        <v>703651</v>
      </c>
      <c r="E458" t="s">
        <v>280</v>
      </c>
      <c r="F458" t="s">
        <v>21</v>
      </c>
      <c r="G458" t="s">
        <v>22</v>
      </c>
      <c r="H458" t="s">
        <v>23</v>
      </c>
      <c r="J458">
        <v>0</v>
      </c>
    </row>
    <row r="459" spans="2:10" x14ac:dyDescent="0.25">
      <c r="B459" t="s">
        <v>338</v>
      </c>
      <c r="C459" t="s">
        <v>302</v>
      </c>
      <c r="D459">
        <v>703850</v>
      </c>
      <c r="E459" t="s">
        <v>281</v>
      </c>
      <c r="F459" t="s">
        <v>21</v>
      </c>
      <c r="G459" t="s">
        <v>22</v>
      </c>
      <c r="H459" t="s">
        <v>23</v>
      </c>
      <c r="J459">
        <v>0</v>
      </c>
    </row>
    <row r="460" spans="2:10" x14ac:dyDescent="0.25">
      <c r="B460" t="s">
        <v>338</v>
      </c>
      <c r="C460" t="s">
        <v>302</v>
      </c>
      <c r="D460">
        <v>703851</v>
      </c>
      <c r="E460" t="s">
        <v>282</v>
      </c>
      <c r="F460" t="s">
        <v>21</v>
      </c>
      <c r="G460" t="s">
        <v>22</v>
      </c>
      <c r="H460" t="s">
        <v>23</v>
      </c>
      <c r="J460">
        <v>0</v>
      </c>
    </row>
    <row r="461" spans="2:10" x14ac:dyDescent="0.25">
      <c r="B461" t="s">
        <v>338</v>
      </c>
      <c r="C461" t="s">
        <v>302</v>
      </c>
      <c r="D461">
        <v>703852</v>
      </c>
      <c r="E461" t="s">
        <v>283</v>
      </c>
      <c r="F461" t="s">
        <v>21</v>
      </c>
      <c r="G461" t="s">
        <v>22</v>
      </c>
      <c r="H461" t="s">
        <v>23</v>
      </c>
      <c r="J461">
        <v>0</v>
      </c>
    </row>
    <row r="462" spans="2:10" x14ac:dyDescent="0.25">
      <c r="B462" t="s">
        <v>338</v>
      </c>
      <c r="C462" t="s">
        <v>302</v>
      </c>
      <c r="D462">
        <v>703853</v>
      </c>
      <c r="E462" t="s">
        <v>284</v>
      </c>
      <c r="F462" t="s">
        <v>21</v>
      </c>
      <c r="G462" t="s">
        <v>22</v>
      </c>
      <c r="H462" t="s">
        <v>23</v>
      </c>
      <c r="J462">
        <v>0</v>
      </c>
    </row>
    <row r="463" spans="2:10" x14ac:dyDescent="0.25">
      <c r="B463" t="s">
        <v>338</v>
      </c>
      <c r="C463" t="s">
        <v>302</v>
      </c>
      <c r="D463">
        <v>703854</v>
      </c>
      <c r="E463" t="s">
        <v>285</v>
      </c>
      <c r="F463" t="s">
        <v>21</v>
      </c>
      <c r="G463" t="s">
        <v>22</v>
      </c>
      <c r="H463" t="s">
        <v>115</v>
      </c>
      <c r="J463">
        <v>0</v>
      </c>
    </row>
    <row r="464" spans="2:10" x14ac:dyDescent="0.25">
      <c r="B464" t="s">
        <v>338</v>
      </c>
      <c r="C464" t="s">
        <v>302</v>
      </c>
      <c r="D464">
        <v>703855</v>
      </c>
      <c r="E464" t="s">
        <v>286</v>
      </c>
      <c r="F464" t="s">
        <v>21</v>
      </c>
      <c r="G464" t="s">
        <v>22</v>
      </c>
      <c r="H464" t="s">
        <v>23</v>
      </c>
      <c r="J464">
        <v>0</v>
      </c>
    </row>
    <row r="465" spans="2:10" x14ac:dyDescent="0.25">
      <c r="B465" t="s">
        <v>338</v>
      </c>
      <c r="C465" t="s">
        <v>302</v>
      </c>
      <c r="D465">
        <v>703856</v>
      </c>
      <c r="E465" t="s">
        <v>287</v>
      </c>
      <c r="F465" t="s">
        <v>21</v>
      </c>
      <c r="G465" t="s">
        <v>22</v>
      </c>
      <c r="H465" t="s">
        <v>23</v>
      </c>
      <c r="J465">
        <v>0</v>
      </c>
    </row>
    <row r="466" spans="2:10" x14ac:dyDescent="0.25">
      <c r="B466" t="s">
        <v>338</v>
      </c>
      <c r="C466" t="s">
        <v>302</v>
      </c>
      <c r="D466">
        <v>703857</v>
      </c>
      <c r="E466" t="s">
        <v>288</v>
      </c>
      <c r="F466" t="s">
        <v>21</v>
      </c>
      <c r="G466" t="s">
        <v>71</v>
      </c>
      <c r="H466" t="s">
        <v>88</v>
      </c>
      <c r="J466">
        <v>0</v>
      </c>
    </row>
    <row r="467" spans="2:10" x14ac:dyDescent="0.25">
      <c r="B467" t="s">
        <v>338</v>
      </c>
      <c r="C467" t="s">
        <v>302</v>
      </c>
      <c r="D467">
        <v>703858</v>
      </c>
      <c r="E467" t="s">
        <v>289</v>
      </c>
      <c r="F467" t="s">
        <v>21</v>
      </c>
      <c r="G467" t="s">
        <v>22</v>
      </c>
      <c r="H467" t="s">
        <v>23</v>
      </c>
      <c r="J467">
        <v>0</v>
      </c>
    </row>
    <row r="468" spans="2:10" x14ac:dyDescent="0.25">
      <c r="B468" t="s">
        <v>338</v>
      </c>
      <c r="C468" t="s">
        <v>302</v>
      </c>
      <c r="D468">
        <v>703859</v>
      </c>
      <c r="E468" t="s">
        <v>290</v>
      </c>
      <c r="F468" t="s">
        <v>21</v>
      </c>
      <c r="G468" t="s">
        <v>22</v>
      </c>
      <c r="H468" t="s">
        <v>23</v>
      </c>
      <c r="J468">
        <v>0</v>
      </c>
    </row>
    <row r="469" spans="2:10" x14ac:dyDescent="0.25">
      <c r="B469" t="s">
        <v>338</v>
      </c>
      <c r="C469" t="s">
        <v>302</v>
      </c>
      <c r="D469">
        <v>703860</v>
      </c>
      <c r="E469" t="s">
        <v>291</v>
      </c>
      <c r="F469" t="s">
        <v>21</v>
      </c>
      <c r="G469" t="s">
        <v>22</v>
      </c>
      <c r="H469" t="s">
        <v>23</v>
      </c>
      <c r="J469">
        <v>0</v>
      </c>
    </row>
    <row r="470" spans="2:10" x14ac:dyDescent="0.25">
      <c r="B470" t="s">
        <v>338</v>
      </c>
      <c r="C470" t="s">
        <v>302</v>
      </c>
      <c r="D470">
        <v>703861</v>
      </c>
      <c r="E470" t="s">
        <v>292</v>
      </c>
      <c r="F470" t="s">
        <v>21</v>
      </c>
      <c r="G470" t="s">
        <v>22</v>
      </c>
      <c r="H470" t="s">
        <v>23</v>
      </c>
      <c r="J470">
        <v>0</v>
      </c>
    </row>
    <row r="471" spans="2:10" x14ac:dyDescent="0.25">
      <c r="B471" t="s">
        <v>338</v>
      </c>
      <c r="C471" t="s">
        <v>302</v>
      </c>
      <c r="D471">
        <v>703862</v>
      </c>
      <c r="E471" t="s">
        <v>293</v>
      </c>
      <c r="F471" t="s">
        <v>21</v>
      </c>
      <c r="G471" t="s">
        <v>22</v>
      </c>
      <c r="H471" t="s">
        <v>23</v>
      </c>
      <c r="J471">
        <v>0</v>
      </c>
    </row>
    <row r="472" spans="2:10" x14ac:dyDescent="0.25">
      <c r="B472" t="s">
        <v>338</v>
      </c>
      <c r="C472" t="s">
        <v>302</v>
      </c>
      <c r="D472">
        <v>703870</v>
      </c>
      <c r="E472" t="s">
        <v>294</v>
      </c>
      <c r="F472" t="s">
        <v>21</v>
      </c>
      <c r="G472" t="s">
        <v>22</v>
      </c>
      <c r="H472" t="s">
        <v>23</v>
      </c>
      <c r="J472">
        <v>0</v>
      </c>
    </row>
    <row r="473" spans="2:10" x14ac:dyDescent="0.25">
      <c r="B473" t="s">
        <v>338</v>
      </c>
      <c r="C473" t="s">
        <v>302</v>
      </c>
      <c r="D473">
        <v>703880</v>
      </c>
      <c r="E473" t="s">
        <v>295</v>
      </c>
      <c r="F473" t="s">
        <v>21</v>
      </c>
      <c r="G473" t="s">
        <v>22</v>
      </c>
      <c r="H473" t="s">
        <v>23</v>
      </c>
      <c r="J473">
        <v>0</v>
      </c>
    </row>
    <row r="474" spans="2:10" x14ac:dyDescent="0.25">
      <c r="B474" t="s">
        <v>338</v>
      </c>
      <c r="C474" t="s">
        <v>302</v>
      </c>
      <c r="D474">
        <v>703899</v>
      </c>
      <c r="E474" t="s">
        <v>296</v>
      </c>
      <c r="F474" t="s">
        <v>21</v>
      </c>
      <c r="G474" t="s">
        <v>22</v>
      </c>
      <c r="H474" t="s">
        <v>23</v>
      </c>
      <c r="J474">
        <v>0</v>
      </c>
    </row>
    <row r="475" spans="2:10" x14ac:dyDescent="0.25">
      <c r="B475" t="s">
        <v>338</v>
      </c>
      <c r="C475" t="s">
        <v>302</v>
      </c>
      <c r="D475">
        <v>706700</v>
      </c>
      <c r="E475" t="s">
        <v>25</v>
      </c>
      <c r="F475" t="s">
        <v>26</v>
      </c>
      <c r="G475" t="s">
        <v>27</v>
      </c>
      <c r="H475" t="s">
        <v>28</v>
      </c>
      <c r="J475">
        <v>1818804.2</v>
      </c>
    </row>
    <row r="476" spans="2:10" x14ac:dyDescent="0.25">
      <c r="B476" t="s">
        <v>338</v>
      </c>
      <c r="C476" t="s">
        <v>302</v>
      </c>
      <c r="D476" t="s">
        <v>29</v>
      </c>
      <c r="E476" t="s">
        <v>30</v>
      </c>
      <c r="F476" t="s">
        <v>26</v>
      </c>
      <c r="G476" t="s">
        <v>27</v>
      </c>
      <c r="H476" t="s">
        <v>31</v>
      </c>
      <c r="J476">
        <v>0</v>
      </c>
    </row>
    <row r="477" spans="2:10" x14ac:dyDescent="0.25">
      <c r="B477" t="s">
        <v>338</v>
      </c>
      <c r="C477" t="s">
        <v>302</v>
      </c>
      <c r="D477" t="s">
        <v>32</v>
      </c>
      <c r="E477" t="s">
        <v>33</v>
      </c>
      <c r="F477" t="s">
        <v>26</v>
      </c>
      <c r="G477" t="s">
        <v>27</v>
      </c>
      <c r="H477" t="s">
        <v>28</v>
      </c>
      <c r="J477">
        <v>0</v>
      </c>
    </row>
    <row r="478" spans="2:10" x14ac:dyDescent="0.25">
      <c r="B478" t="s">
        <v>338</v>
      </c>
      <c r="C478" t="s">
        <v>302</v>
      </c>
      <c r="D478" t="s">
        <v>34</v>
      </c>
      <c r="E478" t="s">
        <v>35</v>
      </c>
      <c r="F478" t="s">
        <v>26</v>
      </c>
      <c r="G478" t="s">
        <v>36</v>
      </c>
      <c r="H478" t="s">
        <v>36</v>
      </c>
      <c r="J478">
        <v>0</v>
      </c>
    </row>
    <row r="479" spans="2:10" x14ac:dyDescent="0.25">
      <c r="B479" t="s">
        <v>338</v>
      </c>
      <c r="C479" t="s">
        <v>302</v>
      </c>
      <c r="D479" t="s">
        <v>37</v>
      </c>
      <c r="E479" t="s">
        <v>38</v>
      </c>
      <c r="F479" t="s">
        <v>21</v>
      </c>
      <c r="G479" t="s">
        <v>39</v>
      </c>
      <c r="H479" t="s">
        <v>39</v>
      </c>
      <c r="J479">
        <v>0</v>
      </c>
    </row>
    <row r="480" spans="2:10" x14ac:dyDescent="0.25">
      <c r="B480" t="s">
        <v>338</v>
      </c>
      <c r="C480" t="s">
        <v>302</v>
      </c>
      <c r="D480" t="s">
        <v>40</v>
      </c>
      <c r="E480" t="s">
        <v>41</v>
      </c>
      <c r="F480" t="s">
        <v>26</v>
      </c>
      <c r="G480" t="s">
        <v>39</v>
      </c>
      <c r="H480" t="s">
        <v>39</v>
      </c>
      <c r="I480" t="s">
        <v>105</v>
      </c>
      <c r="J480">
        <v>462684</v>
      </c>
    </row>
    <row r="481" spans="2:10" x14ac:dyDescent="0.25">
      <c r="B481" t="s">
        <v>338</v>
      </c>
      <c r="C481" t="s">
        <v>302</v>
      </c>
      <c r="D481" t="s">
        <v>42</v>
      </c>
      <c r="E481" t="s">
        <v>43</v>
      </c>
      <c r="F481" t="s">
        <v>21</v>
      </c>
      <c r="G481" t="s">
        <v>44</v>
      </c>
      <c r="H481" t="s">
        <v>44</v>
      </c>
      <c r="J481">
        <v>0</v>
      </c>
    </row>
    <row r="482" spans="2:10" x14ac:dyDescent="0.25">
      <c r="B482" t="s">
        <v>338</v>
      </c>
      <c r="C482" t="s">
        <v>302</v>
      </c>
      <c r="D482" t="s">
        <v>45</v>
      </c>
      <c r="E482" t="s">
        <v>46</v>
      </c>
      <c r="F482" t="s">
        <v>26</v>
      </c>
      <c r="G482" t="s">
        <v>44</v>
      </c>
      <c r="H482" t="s">
        <v>44</v>
      </c>
      <c r="J482">
        <v>0</v>
      </c>
    </row>
    <row r="483" spans="2:10" x14ac:dyDescent="0.25">
      <c r="B483" t="s">
        <v>338</v>
      </c>
      <c r="C483" t="s">
        <v>302</v>
      </c>
      <c r="D483" t="s">
        <v>297</v>
      </c>
      <c r="E483" t="s">
        <v>298</v>
      </c>
      <c r="F483" t="s">
        <v>26</v>
      </c>
      <c r="G483" t="s">
        <v>299</v>
      </c>
      <c r="H483" t="s">
        <v>299</v>
      </c>
    </row>
    <row r="484" spans="2:10" x14ac:dyDescent="0.25">
      <c r="B484" t="s">
        <v>338</v>
      </c>
      <c r="C484" t="s">
        <v>302</v>
      </c>
      <c r="D484" t="s">
        <v>300</v>
      </c>
      <c r="E484" t="s">
        <v>301</v>
      </c>
      <c r="F484" t="s">
        <v>21</v>
      </c>
      <c r="G484" t="s">
        <v>299</v>
      </c>
      <c r="H484" t="s">
        <v>299</v>
      </c>
    </row>
    <row r="485" spans="2:10" x14ac:dyDescent="0.25">
      <c r="B485" t="s">
        <v>338</v>
      </c>
      <c r="C485" t="s">
        <v>302</v>
      </c>
      <c r="D485" t="s">
        <v>47</v>
      </c>
      <c r="E485" t="s">
        <v>48</v>
      </c>
      <c r="F485" t="s">
        <v>26</v>
      </c>
      <c r="G485" t="s">
        <v>49</v>
      </c>
      <c r="H485" t="s">
        <v>49</v>
      </c>
      <c r="J485">
        <v>0</v>
      </c>
    </row>
    <row r="486" spans="2:10" x14ac:dyDescent="0.25">
      <c r="B486" t="s">
        <v>339</v>
      </c>
      <c r="C486" t="s">
        <v>303</v>
      </c>
      <c r="D486">
        <v>701000</v>
      </c>
      <c r="E486" t="s">
        <v>51</v>
      </c>
      <c r="F486" t="s">
        <v>21</v>
      </c>
      <c r="G486" t="s">
        <v>52</v>
      </c>
      <c r="H486" t="s">
        <v>53</v>
      </c>
      <c r="J486">
        <v>0</v>
      </c>
    </row>
    <row r="487" spans="2:10" x14ac:dyDescent="0.25">
      <c r="B487" t="s">
        <v>339</v>
      </c>
      <c r="C487" t="s">
        <v>303</v>
      </c>
      <c r="D487">
        <v>701008</v>
      </c>
      <c r="E487" t="s">
        <v>54</v>
      </c>
      <c r="F487" t="s">
        <v>21</v>
      </c>
      <c r="G487" t="s">
        <v>52</v>
      </c>
      <c r="H487" t="s">
        <v>53</v>
      </c>
      <c r="J487">
        <v>0</v>
      </c>
    </row>
    <row r="488" spans="2:10" x14ac:dyDescent="0.25">
      <c r="B488" t="s">
        <v>339</v>
      </c>
      <c r="C488" t="s">
        <v>303</v>
      </c>
      <c r="D488">
        <v>701009</v>
      </c>
      <c r="E488" t="s">
        <v>55</v>
      </c>
      <c r="F488" t="s">
        <v>21</v>
      </c>
      <c r="G488" t="s">
        <v>52</v>
      </c>
      <c r="H488" t="s">
        <v>53</v>
      </c>
      <c r="J488">
        <v>0</v>
      </c>
    </row>
    <row r="489" spans="2:10" x14ac:dyDescent="0.25">
      <c r="B489" t="s">
        <v>339</v>
      </c>
      <c r="C489" t="s">
        <v>303</v>
      </c>
      <c r="D489">
        <v>701010</v>
      </c>
      <c r="E489" t="s">
        <v>56</v>
      </c>
      <c r="F489" t="s">
        <v>21</v>
      </c>
      <c r="G489" t="s">
        <v>52</v>
      </c>
      <c r="H489" t="s">
        <v>57</v>
      </c>
      <c r="J489">
        <v>0</v>
      </c>
    </row>
    <row r="490" spans="2:10" x14ac:dyDescent="0.25">
      <c r="B490" t="s">
        <v>339</v>
      </c>
      <c r="C490" t="s">
        <v>303</v>
      </c>
      <c r="D490">
        <v>701011</v>
      </c>
      <c r="E490" t="s">
        <v>58</v>
      </c>
      <c r="F490" t="s">
        <v>21</v>
      </c>
      <c r="G490" t="s">
        <v>52</v>
      </c>
      <c r="H490" t="s">
        <v>53</v>
      </c>
      <c r="J490">
        <v>0</v>
      </c>
    </row>
    <row r="491" spans="2:10" x14ac:dyDescent="0.25">
      <c r="B491" t="s">
        <v>339</v>
      </c>
      <c r="C491" t="s">
        <v>303</v>
      </c>
      <c r="D491">
        <v>701012</v>
      </c>
      <c r="E491" t="s">
        <v>59</v>
      </c>
      <c r="F491" t="s">
        <v>21</v>
      </c>
      <c r="G491" t="s">
        <v>52</v>
      </c>
      <c r="H491" t="s">
        <v>53</v>
      </c>
      <c r="J491">
        <v>0</v>
      </c>
    </row>
    <row r="492" spans="2:10" x14ac:dyDescent="0.25">
      <c r="B492" t="s">
        <v>339</v>
      </c>
      <c r="C492" t="s">
        <v>303</v>
      </c>
      <c r="D492">
        <v>701013</v>
      </c>
      <c r="E492" t="s">
        <v>60</v>
      </c>
      <c r="F492" t="s">
        <v>21</v>
      </c>
      <c r="G492" t="s">
        <v>61</v>
      </c>
      <c r="H492" t="s">
        <v>62</v>
      </c>
      <c r="J492">
        <v>0</v>
      </c>
    </row>
    <row r="493" spans="2:10" x14ac:dyDescent="0.25">
      <c r="B493" t="s">
        <v>339</v>
      </c>
      <c r="C493" t="s">
        <v>303</v>
      </c>
      <c r="D493">
        <v>701014</v>
      </c>
      <c r="E493" t="s">
        <v>63</v>
      </c>
      <c r="F493" t="s">
        <v>21</v>
      </c>
      <c r="G493" t="s">
        <v>61</v>
      </c>
      <c r="H493" t="s">
        <v>64</v>
      </c>
      <c r="J493">
        <v>0</v>
      </c>
    </row>
    <row r="494" spans="2:10" x14ac:dyDescent="0.25">
      <c r="B494" t="s">
        <v>339</v>
      </c>
      <c r="C494" t="s">
        <v>303</v>
      </c>
      <c r="D494">
        <v>701015</v>
      </c>
      <c r="E494" t="s">
        <v>65</v>
      </c>
      <c r="F494" t="s">
        <v>21</v>
      </c>
      <c r="G494" t="s">
        <v>52</v>
      </c>
      <c r="H494" t="s">
        <v>53</v>
      </c>
      <c r="I494" t="s">
        <v>105</v>
      </c>
      <c r="J494">
        <v>5964300.0800000001</v>
      </c>
    </row>
    <row r="495" spans="2:10" x14ac:dyDescent="0.25">
      <c r="B495" t="s">
        <v>339</v>
      </c>
      <c r="C495" t="s">
        <v>303</v>
      </c>
      <c r="D495">
        <v>701016</v>
      </c>
      <c r="E495" t="s">
        <v>66</v>
      </c>
      <c r="F495" t="s">
        <v>21</v>
      </c>
      <c r="G495" t="s">
        <v>52</v>
      </c>
      <c r="H495" t="s">
        <v>53</v>
      </c>
      <c r="I495" t="s">
        <v>105</v>
      </c>
      <c r="J495">
        <v>19816981.710000001</v>
      </c>
    </row>
    <row r="496" spans="2:10" x14ac:dyDescent="0.25">
      <c r="B496" t="s">
        <v>339</v>
      </c>
      <c r="C496" t="s">
        <v>303</v>
      </c>
      <c r="D496">
        <v>701017</v>
      </c>
      <c r="E496" t="s">
        <v>67</v>
      </c>
      <c r="F496" t="s">
        <v>21</v>
      </c>
      <c r="G496" t="s">
        <v>61</v>
      </c>
      <c r="H496" t="s">
        <v>68</v>
      </c>
      <c r="J496">
        <v>0</v>
      </c>
    </row>
    <row r="497" spans="2:10" x14ac:dyDescent="0.25">
      <c r="B497" t="s">
        <v>339</v>
      </c>
      <c r="C497" t="s">
        <v>303</v>
      </c>
      <c r="D497">
        <v>701018</v>
      </c>
      <c r="E497" t="s">
        <v>69</v>
      </c>
      <c r="F497" t="s">
        <v>21</v>
      </c>
      <c r="G497" t="s">
        <v>61</v>
      </c>
      <c r="H497" t="s">
        <v>68</v>
      </c>
      <c r="J497">
        <v>0</v>
      </c>
    </row>
    <row r="498" spans="2:10" x14ac:dyDescent="0.25">
      <c r="B498" t="s">
        <v>339</v>
      </c>
      <c r="C498" t="s">
        <v>303</v>
      </c>
      <c r="D498">
        <v>701019</v>
      </c>
      <c r="E498" t="s">
        <v>70</v>
      </c>
      <c r="F498" t="s">
        <v>21</v>
      </c>
      <c r="G498" t="s">
        <v>71</v>
      </c>
      <c r="H498" t="s">
        <v>72</v>
      </c>
      <c r="J498">
        <v>0</v>
      </c>
    </row>
    <row r="499" spans="2:10" x14ac:dyDescent="0.25">
      <c r="B499" t="s">
        <v>339</v>
      </c>
      <c r="C499" t="s">
        <v>303</v>
      </c>
      <c r="D499">
        <v>701020</v>
      </c>
      <c r="E499" t="s">
        <v>73</v>
      </c>
      <c r="F499" t="s">
        <v>21</v>
      </c>
      <c r="G499" t="s">
        <v>52</v>
      </c>
      <c r="H499" t="s">
        <v>53</v>
      </c>
      <c r="I499" t="s">
        <v>105</v>
      </c>
      <c r="J499">
        <v>8220006</v>
      </c>
    </row>
    <row r="500" spans="2:10" x14ac:dyDescent="0.25">
      <c r="B500" t="s">
        <v>339</v>
      </c>
      <c r="C500" t="s">
        <v>303</v>
      </c>
      <c r="D500">
        <v>701021</v>
      </c>
      <c r="E500" t="s">
        <v>74</v>
      </c>
      <c r="F500" t="s">
        <v>21</v>
      </c>
      <c r="G500" t="s">
        <v>61</v>
      </c>
      <c r="H500" t="s">
        <v>74</v>
      </c>
      <c r="J500">
        <v>0</v>
      </c>
    </row>
    <row r="501" spans="2:10" x14ac:dyDescent="0.25">
      <c r="B501" t="s">
        <v>339</v>
      </c>
      <c r="C501" t="s">
        <v>303</v>
      </c>
      <c r="D501">
        <v>701022</v>
      </c>
      <c r="E501" t="s">
        <v>75</v>
      </c>
      <c r="F501" t="s">
        <v>21</v>
      </c>
      <c r="G501" t="s">
        <v>76</v>
      </c>
      <c r="H501" t="s">
        <v>77</v>
      </c>
      <c r="J501">
        <v>0</v>
      </c>
    </row>
    <row r="502" spans="2:10" x14ac:dyDescent="0.25">
      <c r="B502" t="s">
        <v>339</v>
      </c>
      <c r="C502" t="s">
        <v>303</v>
      </c>
      <c r="D502">
        <v>701023</v>
      </c>
      <c r="E502" t="s">
        <v>78</v>
      </c>
      <c r="F502" t="s">
        <v>21</v>
      </c>
      <c r="G502" t="s">
        <v>61</v>
      </c>
      <c r="H502" t="s">
        <v>79</v>
      </c>
      <c r="J502">
        <v>0</v>
      </c>
    </row>
    <row r="503" spans="2:10" x14ac:dyDescent="0.25">
      <c r="B503" t="s">
        <v>339</v>
      </c>
      <c r="C503" t="s">
        <v>303</v>
      </c>
      <c r="D503">
        <v>701024</v>
      </c>
      <c r="E503" t="s">
        <v>80</v>
      </c>
      <c r="F503" t="s">
        <v>21</v>
      </c>
      <c r="G503" t="s">
        <v>76</v>
      </c>
      <c r="H503" t="s">
        <v>77</v>
      </c>
      <c r="J503">
        <v>0</v>
      </c>
    </row>
    <row r="504" spans="2:10" x14ac:dyDescent="0.25">
      <c r="B504" t="s">
        <v>339</v>
      </c>
      <c r="C504" t="s">
        <v>303</v>
      </c>
      <c r="D504">
        <v>701025</v>
      </c>
      <c r="E504" t="s">
        <v>81</v>
      </c>
      <c r="F504" t="s">
        <v>21</v>
      </c>
      <c r="G504" t="s">
        <v>71</v>
      </c>
      <c r="H504" t="s">
        <v>82</v>
      </c>
      <c r="J504">
        <v>0</v>
      </c>
    </row>
    <row r="505" spans="2:10" x14ac:dyDescent="0.25">
      <c r="B505" t="s">
        <v>339</v>
      </c>
      <c r="C505" t="s">
        <v>303</v>
      </c>
      <c r="D505">
        <v>701026</v>
      </c>
      <c r="E505" t="s">
        <v>83</v>
      </c>
      <c r="F505" t="s">
        <v>21</v>
      </c>
      <c r="G505" t="s">
        <v>76</v>
      </c>
      <c r="H505" t="s">
        <v>77</v>
      </c>
      <c r="J505">
        <v>0</v>
      </c>
    </row>
    <row r="506" spans="2:10" x14ac:dyDescent="0.25">
      <c r="B506" t="s">
        <v>339</v>
      </c>
      <c r="C506" t="s">
        <v>303</v>
      </c>
      <c r="D506">
        <v>701027</v>
      </c>
      <c r="E506" t="s">
        <v>84</v>
      </c>
      <c r="F506" t="s">
        <v>21</v>
      </c>
      <c r="G506" t="s">
        <v>76</v>
      </c>
      <c r="H506" t="s">
        <v>77</v>
      </c>
      <c r="J506">
        <v>0</v>
      </c>
    </row>
    <row r="507" spans="2:10" x14ac:dyDescent="0.25">
      <c r="B507" t="s">
        <v>339</v>
      </c>
      <c r="C507" t="s">
        <v>303</v>
      </c>
      <c r="D507">
        <v>701028</v>
      </c>
      <c r="E507" t="s">
        <v>85</v>
      </c>
      <c r="F507" t="s">
        <v>21</v>
      </c>
      <c r="G507" t="s">
        <v>61</v>
      </c>
      <c r="H507" t="s">
        <v>68</v>
      </c>
      <c r="J507">
        <v>0</v>
      </c>
    </row>
    <row r="508" spans="2:10" x14ac:dyDescent="0.25">
      <c r="B508" t="s">
        <v>339</v>
      </c>
      <c r="C508" t="s">
        <v>303</v>
      </c>
      <c r="D508">
        <v>701029</v>
      </c>
      <c r="E508" t="s">
        <v>86</v>
      </c>
      <c r="F508" t="s">
        <v>21</v>
      </c>
      <c r="G508" t="s">
        <v>61</v>
      </c>
      <c r="H508" t="s">
        <v>68</v>
      </c>
      <c r="J508">
        <v>0</v>
      </c>
    </row>
    <row r="509" spans="2:10" x14ac:dyDescent="0.25">
      <c r="B509" t="s">
        <v>339</v>
      </c>
      <c r="C509" t="s">
        <v>303</v>
      </c>
      <c r="D509">
        <v>701030</v>
      </c>
      <c r="E509" t="s">
        <v>87</v>
      </c>
      <c r="F509" t="s">
        <v>21</v>
      </c>
      <c r="G509" t="s">
        <v>71</v>
      </c>
      <c r="H509" t="s">
        <v>88</v>
      </c>
      <c r="J509">
        <v>0</v>
      </c>
    </row>
    <row r="510" spans="2:10" x14ac:dyDescent="0.25">
      <c r="B510" t="s">
        <v>339</v>
      </c>
      <c r="C510" t="s">
        <v>303</v>
      </c>
      <c r="D510">
        <v>701031</v>
      </c>
      <c r="E510" t="s">
        <v>89</v>
      </c>
      <c r="F510" t="s">
        <v>21</v>
      </c>
      <c r="G510" t="s">
        <v>76</v>
      </c>
      <c r="H510" t="s">
        <v>77</v>
      </c>
      <c r="J510">
        <v>0</v>
      </c>
    </row>
    <row r="511" spans="2:10" x14ac:dyDescent="0.25">
      <c r="B511" t="s">
        <v>339</v>
      </c>
      <c r="C511" t="s">
        <v>303</v>
      </c>
      <c r="D511">
        <v>701032</v>
      </c>
      <c r="E511" t="s">
        <v>90</v>
      </c>
      <c r="F511" t="s">
        <v>21</v>
      </c>
      <c r="G511" t="s">
        <v>52</v>
      </c>
      <c r="H511" t="s">
        <v>53</v>
      </c>
      <c r="J511">
        <v>0</v>
      </c>
    </row>
    <row r="512" spans="2:10" x14ac:dyDescent="0.25">
      <c r="B512" t="s">
        <v>339</v>
      </c>
      <c r="C512" t="s">
        <v>303</v>
      </c>
      <c r="D512">
        <v>701034</v>
      </c>
      <c r="E512" t="s">
        <v>91</v>
      </c>
      <c r="F512" t="s">
        <v>21</v>
      </c>
      <c r="G512" t="s">
        <v>76</v>
      </c>
      <c r="H512" t="s">
        <v>77</v>
      </c>
      <c r="J512">
        <v>0</v>
      </c>
    </row>
    <row r="513" spans="2:10" x14ac:dyDescent="0.25">
      <c r="B513" t="s">
        <v>339</v>
      </c>
      <c r="C513" t="s">
        <v>303</v>
      </c>
      <c r="D513">
        <v>701035</v>
      </c>
      <c r="E513" t="s">
        <v>92</v>
      </c>
      <c r="F513" t="s">
        <v>21</v>
      </c>
      <c r="G513" t="s">
        <v>61</v>
      </c>
      <c r="H513" t="s">
        <v>68</v>
      </c>
      <c r="J513">
        <v>0</v>
      </c>
    </row>
    <row r="514" spans="2:10" x14ac:dyDescent="0.25">
      <c r="B514" t="s">
        <v>339</v>
      </c>
      <c r="C514" t="s">
        <v>303</v>
      </c>
      <c r="D514">
        <v>701036</v>
      </c>
      <c r="E514" t="s">
        <v>93</v>
      </c>
      <c r="F514" t="s">
        <v>21</v>
      </c>
      <c r="G514" t="s">
        <v>52</v>
      </c>
      <c r="H514" t="s">
        <v>53</v>
      </c>
      <c r="J514">
        <v>0</v>
      </c>
    </row>
    <row r="515" spans="2:10" x14ac:dyDescent="0.25">
      <c r="B515" t="s">
        <v>339</v>
      </c>
      <c r="C515" t="s">
        <v>303</v>
      </c>
      <c r="D515">
        <v>701113</v>
      </c>
      <c r="E515" t="s">
        <v>94</v>
      </c>
      <c r="F515" t="s">
        <v>21</v>
      </c>
      <c r="G515" t="s">
        <v>61</v>
      </c>
      <c r="H515" t="s">
        <v>62</v>
      </c>
      <c r="J515">
        <v>0</v>
      </c>
    </row>
    <row r="516" spans="2:10" x14ac:dyDescent="0.25">
      <c r="B516" t="s">
        <v>339</v>
      </c>
      <c r="C516" t="s">
        <v>303</v>
      </c>
      <c r="D516">
        <v>701119</v>
      </c>
      <c r="E516" t="s">
        <v>95</v>
      </c>
      <c r="F516" t="s">
        <v>21</v>
      </c>
      <c r="G516" t="s">
        <v>22</v>
      </c>
      <c r="H516" t="s">
        <v>23</v>
      </c>
      <c r="J516">
        <v>0</v>
      </c>
    </row>
    <row r="517" spans="2:10" x14ac:dyDescent="0.25">
      <c r="B517" t="s">
        <v>339</v>
      </c>
      <c r="C517" t="s">
        <v>303</v>
      </c>
      <c r="D517">
        <v>701120</v>
      </c>
      <c r="E517" t="s">
        <v>96</v>
      </c>
      <c r="F517" t="s">
        <v>21</v>
      </c>
      <c r="G517" t="s">
        <v>22</v>
      </c>
      <c r="H517" t="s">
        <v>23</v>
      </c>
      <c r="I517" t="s">
        <v>105</v>
      </c>
      <c r="J517">
        <v>65000</v>
      </c>
    </row>
    <row r="518" spans="2:10" x14ac:dyDescent="0.25">
      <c r="B518" t="s">
        <v>339</v>
      </c>
      <c r="C518" t="s">
        <v>303</v>
      </c>
      <c r="D518">
        <v>701121</v>
      </c>
      <c r="E518" t="s">
        <v>97</v>
      </c>
      <c r="F518" t="s">
        <v>21</v>
      </c>
      <c r="G518" t="s">
        <v>22</v>
      </c>
      <c r="H518" t="s">
        <v>23</v>
      </c>
      <c r="J518">
        <v>0</v>
      </c>
    </row>
    <row r="519" spans="2:10" x14ac:dyDescent="0.25">
      <c r="B519" t="s">
        <v>339</v>
      </c>
      <c r="C519" t="s">
        <v>303</v>
      </c>
      <c r="D519">
        <v>701122</v>
      </c>
      <c r="E519" t="s">
        <v>98</v>
      </c>
      <c r="F519" t="s">
        <v>21</v>
      </c>
      <c r="G519" t="s">
        <v>71</v>
      </c>
      <c r="H519" t="s">
        <v>88</v>
      </c>
      <c r="I519" t="s">
        <v>105</v>
      </c>
      <c r="J519">
        <v>354829.89</v>
      </c>
    </row>
    <row r="520" spans="2:10" x14ac:dyDescent="0.25">
      <c r="B520" t="s">
        <v>339</v>
      </c>
      <c r="C520" t="s">
        <v>303</v>
      </c>
      <c r="D520">
        <v>701123</v>
      </c>
      <c r="E520" t="s">
        <v>99</v>
      </c>
      <c r="F520" t="s">
        <v>21</v>
      </c>
      <c r="G520" t="s">
        <v>22</v>
      </c>
      <c r="H520" t="s">
        <v>23</v>
      </c>
      <c r="J520">
        <v>0</v>
      </c>
    </row>
    <row r="521" spans="2:10" x14ac:dyDescent="0.25">
      <c r="B521" t="s">
        <v>339</v>
      </c>
      <c r="C521" t="s">
        <v>303</v>
      </c>
      <c r="D521">
        <v>701127</v>
      </c>
      <c r="E521" t="s">
        <v>100</v>
      </c>
      <c r="F521" t="s">
        <v>21</v>
      </c>
      <c r="G521" t="s">
        <v>76</v>
      </c>
      <c r="H521" t="s">
        <v>77</v>
      </c>
      <c r="J521">
        <v>0</v>
      </c>
    </row>
    <row r="522" spans="2:10" x14ac:dyDescent="0.25">
      <c r="B522" t="s">
        <v>339</v>
      </c>
      <c r="C522" t="s">
        <v>303</v>
      </c>
      <c r="D522">
        <v>701213</v>
      </c>
      <c r="E522" t="s">
        <v>101</v>
      </c>
      <c r="F522" t="s">
        <v>21</v>
      </c>
      <c r="G522" t="s">
        <v>61</v>
      </c>
      <c r="H522" t="s">
        <v>62</v>
      </c>
      <c r="J522">
        <v>0</v>
      </c>
    </row>
    <row r="523" spans="2:10" x14ac:dyDescent="0.25">
      <c r="B523" t="s">
        <v>339</v>
      </c>
      <c r="C523" t="s">
        <v>303</v>
      </c>
      <c r="D523">
        <v>701214</v>
      </c>
      <c r="E523" t="s">
        <v>102</v>
      </c>
      <c r="F523" t="s">
        <v>21</v>
      </c>
      <c r="G523" t="s">
        <v>61</v>
      </c>
      <c r="H523" t="s">
        <v>62</v>
      </c>
      <c r="J523">
        <v>0</v>
      </c>
    </row>
    <row r="524" spans="2:10" x14ac:dyDescent="0.25">
      <c r="B524" t="s">
        <v>339</v>
      </c>
      <c r="C524" t="s">
        <v>303</v>
      </c>
      <c r="D524">
        <v>701215</v>
      </c>
      <c r="E524" t="s">
        <v>103</v>
      </c>
      <c r="F524" t="s">
        <v>21</v>
      </c>
      <c r="G524" t="s">
        <v>61</v>
      </c>
      <c r="H524" t="s">
        <v>62</v>
      </c>
      <c r="J524">
        <v>0</v>
      </c>
    </row>
    <row r="525" spans="2:10" x14ac:dyDescent="0.25">
      <c r="B525" t="s">
        <v>339</v>
      </c>
      <c r="C525" t="s">
        <v>303</v>
      </c>
      <c r="D525">
        <v>701227</v>
      </c>
      <c r="E525" t="s">
        <v>104</v>
      </c>
      <c r="F525" t="s">
        <v>21</v>
      </c>
      <c r="G525" t="s">
        <v>76</v>
      </c>
      <c r="H525" t="s">
        <v>77</v>
      </c>
      <c r="J525">
        <v>0</v>
      </c>
    </row>
    <row r="526" spans="2:10" x14ac:dyDescent="0.25">
      <c r="B526" t="s">
        <v>339</v>
      </c>
      <c r="C526" t="s">
        <v>303</v>
      </c>
      <c r="D526">
        <v>701327</v>
      </c>
      <c r="E526" t="s">
        <v>106</v>
      </c>
      <c r="F526" t="s">
        <v>21</v>
      </c>
      <c r="G526" t="s">
        <v>76</v>
      </c>
      <c r="H526" t="s">
        <v>77</v>
      </c>
      <c r="J526">
        <v>0</v>
      </c>
    </row>
    <row r="527" spans="2:10" x14ac:dyDescent="0.25">
      <c r="B527" t="s">
        <v>339</v>
      </c>
      <c r="C527" t="s">
        <v>303</v>
      </c>
      <c r="D527">
        <v>701427</v>
      </c>
      <c r="E527" t="s">
        <v>107</v>
      </c>
      <c r="F527" t="s">
        <v>21</v>
      </c>
      <c r="G527" t="s">
        <v>76</v>
      </c>
      <c r="H527" t="s">
        <v>108</v>
      </c>
      <c r="J527">
        <v>0</v>
      </c>
    </row>
    <row r="528" spans="2:10" x14ac:dyDescent="0.25">
      <c r="B528" t="s">
        <v>339</v>
      </c>
      <c r="C528" t="s">
        <v>303</v>
      </c>
      <c r="D528">
        <v>701527</v>
      </c>
      <c r="E528" t="s">
        <v>109</v>
      </c>
      <c r="F528" t="s">
        <v>21</v>
      </c>
      <c r="G528" t="s">
        <v>76</v>
      </c>
      <c r="H528" t="s">
        <v>77</v>
      </c>
      <c r="J528">
        <v>0</v>
      </c>
    </row>
    <row r="529" spans="2:10" x14ac:dyDescent="0.25">
      <c r="B529" t="s">
        <v>339</v>
      </c>
      <c r="C529" t="s">
        <v>303</v>
      </c>
      <c r="D529">
        <v>701627</v>
      </c>
      <c r="E529" t="s">
        <v>110</v>
      </c>
      <c r="F529" t="s">
        <v>21</v>
      </c>
      <c r="G529" t="s">
        <v>76</v>
      </c>
      <c r="H529" t="s">
        <v>77</v>
      </c>
      <c r="J529">
        <v>0</v>
      </c>
    </row>
    <row r="530" spans="2:10" x14ac:dyDescent="0.25">
      <c r="B530" t="s">
        <v>339</v>
      </c>
      <c r="C530" t="s">
        <v>303</v>
      </c>
      <c r="D530">
        <v>701727</v>
      </c>
      <c r="E530" t="s">
        <v>111</v>
      </c>
      <c r="F530" t="s">
        <v>21</v>
      </c>
      <c r="G530" t="s">
        <v>76</v>
      </c>
      <c r="H530" t="s">
        <v>77</v>
      </c>
      <c r="J530">
        <v>0</v>
      </c>
    </row>
    <row r="531" spans="2:10" x14ac:dyDescent="0.25">
      <c r="B531" t="s">
        <v>339</v>
      </c>
      <c r="C531" t="s">
        <v>303</v>
      </c>
      <c r="D531">
        <v>701801</v>
      </c>
      <c r="E531" t="s">
        <v>112</v>
      </c>
      <c r="F531" t="s">
        <v>21</v>
      </c>
      <c r="G531" t="s">
        <v>76</v>
      </c>
      <c r="H531" t="s">
        <v>77</v>
      </c>
      <c r="J531">
        <v>0</v>
      </c>
    </row>
    <row r="532" spans="2:10" x14ac:dyDescent="0.25">
      <c r="B532" t="s">
        <v>339</v>
      </c>
      <c r="C532" t="s">
        <v>303</v>
      </c>
      <c r="D532">
        <v>701802</v>
      </c>
      <c r="E532" t="s">
        <v>113</v>
      </c>
      <c r="F532" t="s">
        <v>21</v>
      </c>
      <c r="G532" t="s">
        <v>61</v>
      </c>
      <c r="H532" t="s">
        <v>62</v>
      </c>
      <c r="J532">
        <v>0</v>
      </c>
    </row>
    <row r="533" spans="2:10" x14ac:dyDescent="0.25">
      <c r="B533" t="s">
        <v>339</v>
      </c>
      <c r="C533" t="s">
        <v>303</v>
      </c>
      <c r="D533">
        <v>703010</v>
      </c>
      <c r="E533" t="s">
        <v>114</v>
      </c>
      <c r="F533" t="s">
        <v>21</v>
      </c>
      <c r="G533" t="s">
        <v>22</v>
      </c>
      <c r="H533" t="s">
        <v>115</v>
      </c>
      <c r="J533">
        <v>0</v>
      </c>
    </row>
    <row r="534" spans="2:10" x14ac:dyDescent="0.25">
      <c r="B534" t="s">
        <v>339</v>
      </c>
      <c r="C534" t="s">
        <v>303</v>
      </c>
      <c r="D534">
        <v>703011</v>
      </c>
      <c r="E534" t="s">
        <v>116</v>
      </c>
      <c r="F534" t="s">
        <v>21</v>
      </c>
      <c r="G534" t="s">
        <v>22</v>
      </c>
      <c r="H534" t="s">
        <v>115</v>
      </c>
      <c r="J534">
        <v>0</v>
      </c>
    </row>
    <row r="535" spans="2:10" x14ac:dyDescent="0.25">
      <c r="B535" t="s">
        <v>339</v>
      </c>
      <c r="C535" t="s">
        <v>303</v>
      </c>
      <c r="D535">
        <v>703012</v>
      </c>
      <c r="E535" t="s">
        <v>117</v>
      </c>
      <c r="F535" t="s">
        <v>21</v>
      </c>
      <c r="G535" t="s">
        <v>22</v>
      </c>
      <c r="H535" t="s">
        <v>115</v>
      </c>
      <c r="J535">
        <v>0</v>
      </c>
    </row>
    <row r="536" spans="2:10" x14ac:dyDescent="0.25">
      <c r="B536" t="s">
        <v>339</v>
      </c>
      <c r="C536" t="s">
        <v>303</v>
      </c>
      <c r="D536">
        <v>703013</v>
      </c>
      <c r="E536" t="s">
        <v>118</v>
      </c>
      <c r="F536" t="s">
        <v>21</v>
      </c>
      <c r="G536" t="s">
        <v>22</v>
      </c>
      <c r="H536" t="s">
        <v>115</v>
      </c>
      <c r="J536">
        <v>0</v>
      </c>
    </row>
    <row r="537" spans="2:10" x14ac:dyDescent="0.25">
      <c r="B537" t="s">
        <v>339</v>
      </c>
      <c r="C537" t="s">
        <v>303</v>
      </c>
      <c r="D537">
        <v>703014</v>
      </c>
      <c r="E537" t="s">
        <v>119</v>
      </c>
      <c r="F537" t="s">
        <v>21</v>
      </c>
      <c r="G537" t="s">
        <v>22</v>
      </c>
      <c r="H537" t="s">
        <v>115</v>
      </c>
      <c r="J537">
        <v>0</v>
      </c>
    </row>
    <row r="538" spans="2:10" x14ac:dyDescent="0.25">
      <c r="B538" t="s">
        <v>339</v>
      </c>
      <c r="C538" t="s">
        <v>303</v>
      </c>
      <c r="D538">
        <v>703015</v>
      </c>
      <c r="E538" t="s">
        <v>120</v>
      </c>
      <c r="F538" t="s">
        <v>21</v>
      </c>
      <c r="G538" t="s">
        <v>22</v>
      </c>
      <c r="H538" t="s">
        <v>115</v>
      </c>
      <c r="J538">
        <v>0</v>
      </c>
    </row>
    <row r="539" spans="2:10" x14ac:dyDescent="0.25">
      <c r="B539" t="s">
        <v>339</v>
      </c>
      <c r="C539" t="s">
        <v>303</v>
      </c>
      <c r="D539">
        <v>703016</v>
      </c>
      <c r="E539" t="s">
        <v>121</v>
      </c>
      <c r="F539" t="s">
        <v>21</v>
      </c>
      <c r="G539" t="s">
        <v>22</v>
      </c>
      <c r="H539" t="s">
        <v>115</v>
      </c>
      <c r="J539">
        <v>0</v>
      </c>
    </row>
    <row r="540" spans="2:10" x14ac:dyDescent="0.25">
      <c r="B540" t="s">
        <v>339</v>
      </c>
      <c r="C540" t="s">
        <v>303</v>
      </c>
      <c r="D540">
        <v>703017</v>
      </c>
      <c r="E540" t="s">
        <v>122</v>
      </c>
      <c r="F540" t="s">
        <v>21</v>
      </c>
      <c r="G540" t="s">
        <v>22</v>
      </c>
      <c r="H540" t="s">
        <v>115</v>
      </c>
      <c r="J540">
        <v>0</v>
      </c>
    </row>
    <row r="541" spans="2:10" x14ac:dyDescent="0.25">
      <c r="B541" t="s">
        <v>339</v>
      </c>
      <c r="C541" t="s">
        <v>303</v>
      </c>
      <c r="D541">
        <v>703018</v>
      </c>
      <c r="E541" t="s">
        <v>123</v>
      </c>
      <c r="F541" t="s">
        <v>21</v>
      </c>
      <c r="G541" t="s">
        <v>22</v>
      </c>
      <c r="H541" t="s">
        <v>115</v>
      </c>
      <c r="J541">
        <v>0</v>
      </c>
    </row>
    <row r="542" spans="2:10" x14ac:dyDescent="0.25">
      <c r="B542" t="s">
        <v>339</v>
      </c>
      <c r="C542" t="s">
        <v>303</v>
      </c>
      <c r="D542">
        <v>703019</v>
      </c>
      <c r="E542" t="s">
        <v>124</v>
      </c>
      <c r="F542" t="s">
        <v>21</v>
      </c>
      <c r="G542" t="s">
        <v>22</v>
      </c>
      <c r="H542" t="s">
        <v>115</v>
      </c>
      <c r="J542">
        <v>0</v>
      </c>
    </row>
    <row r="543" spans="2:10" x14ac:dyDescent="0.25">
      <c r="B543" t="s">
        <v>339</v>
      </c>
      <c r="C543" t="s">
        <v>303</v>
      </c>
      <c r="D543">
        <v>703210</v>
      </c>
      <c r="E543" t="s">
        <v>125</v>
      </c>
      <c r="F543" t="s">
        <v>21</v>
      </c>
      <c r="G543" t="s">
        <v>22</v>
      </c>
      <c r="H543" t="s">
        <v>23</v>
      </c>
      <c r="J543">
        <v>0</v>
      </c>
    </row>
    <row r="544" spans="2:10" x14ac:dyDescent="0.25">
      <c r="B544" t="s">
        <v>339</v>
      </c>
      <c r="C544" t="s">
        <v>303</v>
      </c>
      <c r="D544">
        <v>703211</v>
      </c>
      <c r="E544" t="s">
        <v>126</v>
      </c>
      <c r="F544" t="s">
        <v>21</v>
      </c>
      <c r="G544" t="s">
        <v>22</v>
      </c>
      <c r="H544" t="s">
        <v>23</v>
      </c>
      <c r="J544">
        <v>0</v>
      </c>
    </row>
    <row r="545" spans="2:10" x14ac:dyDescent="0.25">
      <c r="B545" t="s">
        <v>339</v>
      </c>
      <c r="C545" t="s">
        <v>303</v>
      </c>
      <c r="D545">
        <v>703212</v>
      </c>
      <c r="E545" t="s">
        <v>127</v>
      </c>
      <c r="F545" t="s">
        <v>21</v>
      </c>
      <c r="G545" t="s">
        <v>22</v>
      </c>
      <c r="H545" t="s">
        <v>23</v>
      </c>
      <c r="J545">
        <v>0</v>
      </c>
    </row>
    <row r="546" spans="2:10" x14ac:dyDescent="0.25">
      <c r="B546" t="s">
        <v>339</v>
      </c>
      <c r="C546" t="s">
        <v>303</v>
      </c>
      <c r="D546">
        <v>703213</v>
      </c>
      <c r="E546" t="s">
        <v>128</v>
      </c>
      <c r="F546" t="s">
        <v>21</v>
      </c>
      <c r="G546" t="s">
        <v>22</v>
      </c>
      <c r="H546" t="s">
        <v>23</v>
      </c>
      <c r="J546">
        <v>0</v>
      </c>
    </row>
    <row r="547" spans="2:10" x14ac:dyDescent="0.25">
      <c r="B547" t="s">
        <v>339</v>
      </c>
      <c r="C547" t="s">
        <v>303</v>
      </c>
      <c r="D547">
        <v>703214</v>
      </c>
      <c r="E547" t="s">
        <v>129</v>
      </c>
      <c r="F547" t="s">
        <v>21</v>
      </c>
      <c r="G547" t="s">
        <v>22</v>
      </c>
      <c r="H547" t="s">
        <v>23</v>
      </c>
      <c r="J547">
        <v>0</v>
      </c>
    </row>
    <row r="548" spans="2:10" x14ac:dyDescent="0.25">
      <c r="B548" t="s">
        <v>339</v>
      </c>
      <c r="C548" t="s">
        <v>303</v>
      </c>
      <c r="D548">
        <v>703215</v>
      </c>
      <c r="E548" t="s">
        <v>130</v>
      </c>
      <c r="F548" t="s">
        <v>21</v>
      </c>
      <c r="G548" t="s">
        <v>22</v>
      </c>
      <c r="H548" t="s">
        <v>23</v>
      </c>
      <c r="J548">
        <v>0</v>
      </c>
    </row>
    <row r="549" spans="2:10" x14ac:dyDescent="0.25">
      <c r="B549" t="s">
        <v>339</v>
      </c>
      <c r="C549" t="s">
        <v>303</v>
      </c>
      <c r="D549">
        <v>703216</v>
      </c>
      <c r="E549" t="s">
        <v>131</v>
      </c>
      <c r="F549" t="s">
        <v>21</v>
      </c>
      <c r="G549" t="s">
        <v>22</v>
      </c>
      <c r="H549" t="s">
        <v>23</v>
      </c>
      <c r="J549">
        <v>0</v>
      </c>
    </row>
    <row r="550" spans="2:10" x14ac:dyDescent="0.25">
      <c r="B550" t="s">
        <v>339</v>
      </c>
      <c r="C550" t="s">
        <v>303</v>
      </c>
      <c r="D550">
        <v>703217</v>
      </c>
      <c r="E550" t="s">
        <v>132</v>
      </c>
      <c r="F550" t="s">
        <v>21</v>
      </c>
      <c r="G550" t="s">
        <v>22</v>
      </c>
      <c r="H550" t="s">
        <v>23</v>
      </c>
      <c r="J550">
        <v>0</v>
      </c>
    </row>
    <row r="551" spans="2:10" x14ac:dyDescent="0.25">
      <c r="B551" t="s">
        <v>339</v>
      </c>
      <c r="C551" t="s">
        <v>303</v>
      </c>
      <c r="D551">
        <v>703219</v>
      </c>
      <c r="E551" t="s">
        <v>133</v>
      </c>
      <c r="F551" t="s">
        <v>21</v>
      </c>
      <c r="G551" t="s">
        <v>22</v>
      </c>
      <c r="H551" t="s">
        <v>23</v>
      </c>
      <c r="J551">
        <v>0</v>
      </c>
    </row>
    <row r="552" spans="2:10" x14ac:dyDescent="0.25">
      <c r="B552" t="s">
        <v>339</v>
      </c>
      <c r="C552" t="s">
        <v>303</v>
      </c>
      <c r="D552">
        <v>703220</v>
      </c>
      <c r="E552" t="s">
        <v>134</v>
      </c>
      <c r="F552" t="s">
        <v>21</v>
      </c>
      <c r="G552" t="s">
        <v>71</v>
      </c>
      <c r="H552" t="s">
        <v>135</v>
      </c>
      <c r="J552">
        <v>0</v>
      </c>
    </row>
    <row r="553" spans="2:10" x14ac:dyDescent="0.25">
      <c r="B553" t="s">
        <v>339</v>
      </c>
      <c r="C553" t="s">
        <v>303</v>
      </c>
      <c r="D553">
        <v>703221</v>
      </c>
      <c r="E553" t="s">
        <v>136</v>
      </c>
      <c r="F553" t="s">
        <v>21</v>
      </c>
      <c r="G553" t="s">
        <v>137</v>
      </c>
      <c r="H553" t="s">
        <v>138</v>
      </c>
      <c r="J553">
        <v>0</v>
      </c>
    </row>
    <row r="554" spans="2:10" x14ac:dyDescent="0.25">
      <c r="B554" t="s">
        <v>339</v>
      </c>
      <c r="C554" t="s">
        <v>303</v>
      </c>
      <c r="D554">
        <v>703222</v>
      </c>
      <c r="E554" t="s">
        <v>139</v>
      </c>
      <c r="F554" t="s">
        <v>21</v>
      </c>
      <c r="G554" t="s">
        <v>137</v>
      </c>
      <c r="H554" t="s">
        <v>138</v>
      </c>
      <c r="J554">
        <v>0</v>
      </c>
    </row>
    <row r="555" spans="2:10" x14ac:dyDescent="0.25">
      <c r="B555" t="s">
        <v>339</v>
      </c>
      <c r="C555" t="s">
        <v>303</v>
      </c>
      <c r="D555">
        <v>703223</v>
      </c>
      <c r="E555" t="s">
        <v>140</v>
      </c>
      <c r="F555" t="s">
        <v>21</v>
      </c>
      <c r="G555" t="s">
        <v>137</v>
      </c>
      <c r="H555" t="s">
        <v>141</v>
      </c>
      <c r="J555">
        <v>0</v>
      </c>
    </row>
    <row r="556" spans="2:10" x14ac:dyDescent="0.25">
      <c r="B556" t="s">
        <v>339</v>
      </c>
      <c r="C556" t="s">
        <v>303</v>
      </c>
      <c r="D556">
        <v>703224</v>
      </c>
      <c r="E556" t="s">
        <v>142</v>
      </c>
      <c r="F556" t="s">
        <v>21</v>
      </c>
      <c r="G556" t="s">
        <v>71</v>
      </c>
      <c r="H556" t="s">
        <v>88</v>
      </c>
      <c r="J556">
        <v>0</v>
      </c>
    </row>
    <row r="557" spans="2:10" x14ac:dyDescent="0.25">
      <c r="B557" t="s">
        <v>339</v>
      </c>
      <c r="C557" t="s">
        <v>303</v>
      </c>
      <c r="D557">
        <v>703225</v>
      </c>
      <c r="E557" t="s">
        <v>143</v>
      </c>
      <c r="F557" t="s">
        <v>21</v>
      </c>
      <c r="G557" t="s">
        <v>71</v>
      </c>
      <c r="H557" t="s">
        <v>88</v>
      </c>
      <c r="J557">
        <v>0</v>
      </c>
    </row>
    <row r="558" spans="2:10" x14ac:dyDescent="0.25">
      <c r="B558" t="s">
        <v>339</v>
      </c>
      <c r="C558" t="s">
        <v>303</v>
      </c>
      <c r="D558">
        <v>703226</v>
      </c>
      <c r="E558" t="s">
        <v>144</v>
      </c>
      <c r="F558" t="s">
        <v>21</v>
      </c>
      <c r="G558" t="s">
        <v>71</v>
      </c>
      <c r="H558" t="s">
        <v>82</v>
      </c>
      <c r="J558">
        <v>0</v>
      </c>
    </row>
    <row r="559" spans="2:10" x14ac:dyDescent="0.25">
      <c r="B559" t="s">
        <v>339</v>
      </c>
      <c r="C559" t="s">
        <v>303</v>
      </c>
      <c r="D559">
        <v>703227</v>
      </c>
      <c r="E559" t="s">
        <v>145</v>
      </c>
      <c r="F559" t="s">
        <v>21</v>
      </c>
      <c r="G559" t="s">
        <v>137</v>
      </c>
      <c r="H559" t="s">
        <v>138</v>
      </c>
      <c r="J559">
        <v>0</v>
      </c>
    </row>
    <row r="560" spans="2:10" x14ac:dyDescent="0.25">
      <c r="B560" t="s">
        <v>339</v>
      </c>
      <c r="C560" t="s">
        <v>303</v>
      </c>
      <c r="D560">
        <v>703228</v>
      </c>
      <c r="E560" t="s">
        <v>146</v>
      </c>
      <c r="F560" t="s">
        <v>21</v>
      </c>
      <c r="G560" t="s">
        <v>147</v>
      </c>
      <c r="H560" t="s">
        <v>147</v>
      </c>
      <c r="J560">
        <v>0</v>
      </c>
    </row>
    <row r="561" spans="2:10" x14ac:dyDescent="0.25">
      <c r="B561" t="s">
        <v>339</v>
      </c>
      <c r="C561" t="s">
        <v>303</v>
      </c>
      <c r="D561">
        <v>703229</v>
      </c>
      <c r="E561" t="s">
        <v>148</v>
      </c>
      <c r="F561" t="s">
        <v>21</v>
      </c>
      <c r="G561" t="s">
        <v>147</v>
      </c>
      <c r="H561" t="s">
        <v>147</v>
      </c>
      <c r="J561">
        <v>0</v>
      </c>
    </row>
    <row r="562" spans="2:10" x14ac:dyDescent="0.25">
      <c r="B562" t="s">
        <v>339</v>
      </c>
      <c r="C562" t="s">
        <v>303</v>
      </c>
      <c r="D562">
        <v>703230</v>
      </c>
      <c r="E562" t="s">
        <v>149</v>
      </c>
      <c r="F562" t="s">
        <v>21</v>
      </c>
      <c r="G562" t="s">
        <v>147</v>
      </c>
      <c r="H562" t="s">
        <v>147</v>
      </c>
      <c r="J562">
        <v>0</v>
      </c>
    </row>
    <row r="563" spans="2:10" x14ac:dyDescent="0.25">
      <c r="B563" t="s">
        <v>339</v>
      </c>
      <c r="C563" t="s">
        <v>303</v>
      </c>
      <c r="D563">
        <v>703231</v>
      </c>
      <c r="E563" t="s">
        <v>150</v>
      </c>
      <c r="F563" t="s">
        <v>21</v>
      </c>
      <c r="G563" t="s">
        <v>137</v>
      </c>
      <c r="H563" t="s">
        <v>141</v>
      </c>
      <c r="J563">
        <v>0</v>
      </c>
    </row>
    <row r="564" spans="2:10" x14ac:dyDescent="0.25">
      <c r="B564" t="s">
        <v>339</v>
      </c>
      <c r="C564" t="s">
        <v>303</v>
      </c>
      <c r="D564">
        <v>703232</v>
      </c>
      <c r="E564" t="s">
        <v>151</v>
      </c>
      <c r="F564" t="s">
        <v>21</v>
      </c>
      <c r="G564" t="s">
        <v>147</v>
      </c>
      <c r="H564" t="s">
        <v>147</v>
      </c>
      <c r="J564">
        <v>0</v>
      </c>
    </row>
    <row r="565" spans="2:10" x14ac:dyDescent="0.25">
      <c r="B565" t="s">
        <v>339</v>
      </c>
      <c r="C565" t="s">
        <v>303</v>
      </c>
      <c r="D565">
        <v>703233</v>
      </c>
      <c r="E565" t="s">
        <v>152</v>
      </c>
      <c r="F565" t="s">
        <v>21</v>
      </c>
      <c r="G565" t="s">
        <v>71</v>
      </c>
      <c r="H565" t="s">
        <v>153</v>
      </c>
      <c r="J565">
        <v>0</v>
      </c>
    </row>
    <row r="566" spans="2:10" x14ac:dyDescent="0.25">
      <c r="B566" t="s">
        <v>339</v>
      </c>
      <c r="C566" t="s">
        <v>303</v>
      </c>
      <c r="D566">
        <v>703234</v>
      </c>
      <c r="E566" t="s">
        <v>154</v>
      </c>
      <c r="F566" t="s">
        <v>21</v>
      </c>
      <c r="G566" t="s">
        <v>71</v>
      </c>
      <c r="H566" t="s">
        <v>153</v>
      </c>
      <c r="J566">
        <v>0</v>
      </c>
    </row>
    <row r="567" spans="2:10" x14ac:dyDescent="0.25">
      <c r="B567" t="s">
        <v>339</v>
      </c>
      <c r="C567" t="s">
        <v>303</v>
      </c>
      <c r="D567">
        <v>703235</v>
      </c>
      <c r="E567" t="s">
        <v>155</v>
      </c>
      <c r="F567" t="s">
        <v>21</v>
      </c>
      <c r="G567" t="s">
        <v>71</v>
      </c>
      <c r="H567" t="s">
        <v>153</v>
      </c>
      <c r="J567">
        <v>0</v>
      </c>
    </row>
    <row r="568" spans="2:10" x14ac:dyDescent="0.25">
      <c r="B568" t="s">
        <v>339</v>
      </c>
      <c r="C568" t="s">
        <v>303</v>
      </c>
      <c r="D568">
        <v>703236</v>
      </c>
      <c r="E568" t="s">
        <v>156</v>
      </c>
      <c r="F568" t="s">
        <v>21</v>
      </c>
      <c r="G568" t="s">
        <v>76</v>
      </c>
      <c r="H568" t="s">
        <v>77</v>
      </c>
      <c r="J568">
        <v>0</v>
      </c>
    </row>
    <row r="569" spans="2:10" x14ac:dyDescent="0.25">
      <c r="B569" t="s">
        <v>339</v>
      </c>
      <c r="C569" t="s">
        <v>303</v>
      </c>
      <c r="D569">
        <v>703237</v>
      </c>
      <c r="E569" t="s">
        <v>157</v>
      </c>
      <c r="F569" t="s">
        <v>21</v>
      </c>
      <c r="G569" t="s">
        <v>22</v>
      </c>
      <c r="H569" t="s">
        <v>23</v>
      </c>
      <c r="I569" t="s">
        <v>105</v>
      </c>
      <c r="J569">
        <v>507630.75</v>
      </c>
    </row>
    <row r="570" spans="2:10" x14ac:dyDescent="0.25">
      <c r="B570" t="s">
        <v>339</v>
      </c>
      <c r="C570" t="s">
        <v>303</v>
      </c>
      <c r="D570">
        <v>703238</v>
      </c>
      <c r="E570" t="s">
        <v>158</v>
      </c>
      <c r="F570" t="s">
        <v>21</v>
      </c>
      <c r="G570" t="s">
        <v>61</v>
      </c>
      <c r="H570" t="s">
        <v>68</v>
      </c>
      <c r="J570">
        <v>0</v>
      </c>
    </row>
    <row r="571" spans="2:10" x14ac:dyDescent="0.25">
      <c r="B571" t="s">
        <v>339</v>
      </c>
      <c r="C571" t="s">
        <v>303</v>
      </c>
      <c r="D571">
        <v>703239</v>
      </c>
      <c r="E571" t="s">
        <v>159</v>
      </c>
      <c r="F571" t="s">
        <v>21</v>
      </c>
      <c r="G571" t="s">
        <v>61</v>
      </c>
      <c r="H571" t="s">
        <v>68</v>
      </c>
      <c r="J571">
        <v>0</v>
      </c>
    </row>
    <row r="572" spans="2:10" x14ac:dyDescent="0.25">
      <c r="B572" t="s">
        <v>339</v>
      </c>
      <c r="C572" t="s">
        <v>303</v>
      </c>
      <c r="D572">
        <v>703240</v>
      </c>
      <c r="E572" t="s">
        <v>160</v>
      </c>
      <c r="F572" t="s">
        <v>21</v>
      </c>
      <c r="G572" t="s">
        <v>61</v>
      </c>
      <c r="H572" t="s">
        <v>68</v>
      </c>
      <c r="J572">
        <v>0</v>
      </c>
    </row>
    <row r="573" spans="2:10" x14ac:dyDescent="0.25">
      <c r="B573" t="s">
        <v>339</v>
      </c>
      <c r="C573" t="s">
        <v>303</v>
      </c>
      <c r="D573">
        <v>703241</v>
      </c>
      <c r="E573" t="s">
        <v>161</v>
      </c>
      <c r="F573" t="s">
        <v>21</v>
      </c>
      <c r="G573" t="s">
        <v>137</v>
      </c>
      <c r="H573" t="s">
        <v>141</v>
      </c>
      <c r="J573">
        <v>0</v>
      </c>
    </row>
    <row r="574" spans="2:10" x14ac:dyDescent="0.25">
      <c r="B574" t="s">
        <v>339</v>
      </c>
      <c r="C574" t="s">
        <v>303</v>
      </c>
      <c r="D574">
        <v>703242</v>
      </c>
      <c r="E574" t="s">
        <v>162</v>
      </c>
      <c r="F574" t="s">
        <v>21</v>
      </c>
      <c r="G574" t="s">
        <v>137</v>
      </c>
      <c r="H574" t="s">
        <v>141</v>
      </c>
      <c r="J574">
        <v>0</v>
      </c>
    </row>
    <row r="575" spans="2:10" x14ac:dyDescent="0.25">
      <c r="B575" t="s">
        <v>339</v>
      </c>
      <c r="C575" t="s">
        <v>303</v>
      </c>
      <c r="D575">
        <v>703243</v>
      </c>
      <c r="E575" t="s">
        <v>163</v>
      </c>
      <c r="F575" t="s">
        <v>21</v>
      </c>
      <c r="G575" t="s">
        <v>137</v>
      </c>
      <c r="H575" t="s">
        <v>141</v>
      </c>
      <c r="J575">
        <v>0</v>
      </c>
    </row>
    <row r="576" spans="2:10" x14ac:dyDescent="0.25">
      <c r="B576" t="s">
        <v>339</v>
      </c>
      <c r="C576" t="s">
        <v>303</v>
      </c>
      <c r="D576">
        <v>703244</v>
      </c>
      <c r="E576" t="s">
        <v>164</v>
      </c>
      <c r="F576" t="s">
        <v>21</v>
      </c>
      <c r="G576" t="s">
        <v>71</v>
      </c>
      <c r="H576" t="s">
        <v>88</v>
      </c>
      <c r="J576">
        <v>0</v>
      </c>
    </row>
    <row r="577" spans="2:10" x14ac:dyDescent="0.25">
      <c r="B577" t="s">
        <v>339</v>
      </c>
      <c r="C577" t="s">
        <v>303</v>
      </c>
      <c r="D577">
        <v>703245</v>
      </c>
      <c r="E577" t="s">
        <v>165</v>
      </c>
      <c r="F577" t="s">
        <v>21</v>
      </c>
      <c r="G577" t="s">
        <v>137</v>
      </c>
      <c r="H577" t="s">
        <v>138</v>
      </c>
      <c r="J577">
        <v>0</v>
      </c>
    </row>
    <row r="578" spans="2:10" x14ac:dyDescent="0.25">
      <c r="B578" t="s">
        <v>339</v>
      </c>
      <c r="C578" t="s">
        <v>303</v>
      </c>
      <c r="D578">
        <v>703246</v>
      </c>
      <c r="E578" t="s">
        <v>166</v>
      </c>
      <c r="F578" t="s">
        <v>21</v>
      </c>
      <c r="G578" t="s">
        <v>137</v>
      </c>
      <c r="H578" t="s">
        <v>138</v>
      </c>
      <c r="J578">
        <v>0</v>
      </c>
    </row>
    <row r="579" spans="2:10" x14ac:dyDescent="0.25">
      <c r="B579" t="s">
        <v>339</v>
      </c>
      <c r="C579" t="s">
        <v>303</v>
      </c>
      <c r="D579">
        <v>703247</v>
      </c>
      <c r="E579" t="s">
        <v>167</v>
      </c>
      <c r="F579" t="s">
        <v>21</v>
      </c>
      <c r="G579" t="s">
        <v>137</v>
      </c>
      <c r="H579" t="s">
        <v>138</v>
      </c>
      <c r="J579">
        <v>0</v>
      </c>
    </row>
    <row r="580" spans="2:10" x14ac:dyDescent="0.25">
      <c r="B580" t="s">
        <v>339</v>
      </c>
      <c r="C580" t="s">
        <v>303</v>
      </c>
      <c r="D580">
        <v>703248</v>
      </c>
      <c r="E580" t="s">
        <v>168</v>
      </c>
      <c r="F580" t="s">
        <v>21</v>
      </c>
      <c r="G580" t="s">
        <v>137</v>
      </c>
      <c r="H580" t="s">
        <v>141</v>
      </c>
      <c r="J580">
        <v>0</v>
      </c>
    </row>
    <row r="581" spans="2:10" x14ac:dyDescent="0.25">
      <c r="B581" t="s">
        <v>339</v>
      </c>
      <c r="C581" t="s">
        <v>303</v>
      </c>
      <c r="D581">
        <v>703249</v>
      </c>
      <c r="E581" t="s">
        <v>169</v>
      </c>
      <c r="F581" t="s">
        <v>21</v>
      </c>
      <c r="G581" t="s">
        <v>147</v>
      </c>
      <c r="H581" t="s">
        <v>147</v>
      </c>
      <c r="J581">
        <v>0</v>
      </c>
    </row>
    <row r="582" spans="2:10" x14ac:dyDescent="0.25">
      <c r="B582" t="s">
        <v>339</v>
      </c>
      <c r="C582" t="s">
        <v>303</v>
      </c>
      <c r="D582">
        <v>703250</v>
      </c>
      <c r="E582" t="s">
        <v>170</v>
      </c>
      <c r="F582" t="s">
        <v>21</v>
      </c>
      <c r="G582" t="s">
        <v>71</v>
      </c>
      <c r="H582" t="s">
        <v>171</v>
      </c>
      <c r="J582">
        <v>0</v>
      </c>
    </row>
    <row r="583" spans="2:10" x14ac:dyDescent="0.25">
      <c r="B583" t="s">
        <v>339</v>
      </c>
      <c r="C583" t="s">
        <v>303</v>
      </c>
      <c r="D583">
        <v>703251</v>
      </c>
      <c r="E583" t="s">
        <v>172</v>
      </c>
      <c r="F583" t="s">
        <v>21</v>
      </c>
      <c r="G583" t="s">
        <v>22</v>
      </c>
      <c r="H583" t="s">
        <v>115</v>
      </c>
      <c r="J583">
        <v>0</v>
      </c>
    </row>
    <row r="584" spans="2:10" x14ac:dyDescent="0.25">
      <c r="B584" t="s">
        <v>339</v>
      </c>
      <c r="C584" t="s">
        <v>303</v>
      </c>
      <c r="D584">
        <v>703252</v>
      </c>
      <c r="E584" t="s">
        <v>173</v>
      </c>
      <c r="F584" t="s">
        <v>21</v>
      </c>
      <c r="G584" t="s">
        <v>22</v>
      </c>
      <c r="H584" t="s">
        <v>115</v>
      </c>
      <c r="J584">
        <v>0</v>
      </c>
    </row>
    <row r="585" spans="2:10" x14ac:dyDescent="0.25">
      <c r="B585" t="s">
        <v>339</v>
      </c>
      <c r="C585" t="s">
        <v>303</v>
      </c>
      <c r="D585">
        <v>703253</v>
      </c>
      <c r="E585" t="s">
        <v>174</v>
      </c>
      <c r="F585" t="s">
        <v>21</v>
      </c>
      <c r="G585" t="s">
        <v>22</v>
      </c>
      <c r="H585" t="s">
        <v>115</v>
      </c>
      <c r="J585">
        <v>0</v>
      </c>
    </row>
    <row r="586" spans="2:10" x14ac:dyDescent="0.25">
      <c r="B586" t="s">
        <v>339</v>
      </c>
      <c r="C586" t="s">
        <v>303</v>
      </c>
      <c r="D586">
        <v>703254</v>
      </c>
      <c r="E586" t="s">
        <v>175</v>
      </c>
      <c r="F586" t="s">
        <v>21</v>
      </c>
      <c r="G586" t="s">
        <v>22</v>
      </c>
      <c r="H586" t="s">
        <v>115</v>
      </c>
      <c r="J586">
        <v>0</v>
      </c>
    </row>
    <row r="587" spans="2:10" x14ac:dyDescent="0.25">
      <c r="B587" t="s">
        <v>339</v>
      </c>
      <c r="C587" t="s">
        <v>303</v>
      </c>
      <c r="D587">
        <v>703255</v>
      </c>
      <c r="E587" t="s">
        <v>176</v>
      </c>
      <c r="F587" t="s">
        <v>21</v>
      </c>
      <c r="G587" t="s">
        <v>22</v>
      </c>
      <c r="H587" t="s">
        <v>115</v>
      </c>
      <c r="J587">
        <v>0</v>
      </c>
    </row>
    <row r="588" spans="2:10" x14ac:dyDescent="0.25">
      <c r="B588" t="s">
        <v>339</v>
      </c>
      <c r="C588" t="s">
        <v>303</v>
      </c>
      <c r="D588">
        <v>703257</v>
      </c>
      <c r="E588" t="s">
        <v>177</v>
      </c>
      <c r="F588" t="s">
        <v>21</v>
      </c>
      <c r="G588" t="s">
        <v>147</v>
      </c>
      <c r="H588" t="s">
        <v>147</v>
      </c>
      <c r="J588">
        <v>0</v>
      </c>
    </row>
    <row r="589" spans="2:10" x14ac:dyDescent="0.25">
      <c r="B589" t="s">
        <v>339</v>
      </c>
      <c r="C589" t="s">
        <v>303</v>
      </c>
      <c r="D589">
        <v>703258</v>
      </c>
      <c r="E589" t="s">
        <v>178</v>
      </c>
      <c r="F589" t="s">
        <v>21</v>
      </c>
      <c r="G589" t="s">
        <v>147</v>
      </c>
      <c r="H589" t="s">
        <v>147</v>
      </c>
      <c r="J589">
        <v>0</v>
      </c>
    </row>
    <row r="590" spans="2:10" x14ac:dyDescent="0.25">
      <c r="B590" t="s">
        <v>339</v>
      </c>
      <c r="C590" t="s">
        <v>303</v>
      </c>
      <c r="D590">
        <v>703260</v>
      </c>
      <c r="E590" t="s">
        <v>179</v>
      </c>
      <c r="F590" t="s">
        <v>21</v>
      </c>
      <c r="G590" t="s">
        <v>76</v>
      </c>
      <c r="H590" t="s">
        <v>77</v>
      </c>
      <c r="J590">
        <v>0</v>
      </c>
    </row>
    <row r="591" spans="2:10" x14ac:dyDescent="0.25">
      <c r="B591" t="s">
        <v>339</v>
      </c>
      <c r="C591" t="s">
        <v>303</v>
      </c>
      <c r="D591">
        <v>703261</v>
      </c>
      <c r="E591" t="s">
        <v>180</v>
      </c>
      <c r="F591" t="s">
        <v>21</v>
      </c>
      <c r="G591" t="s">
        <v>22</v>
      </c>
      <c r="H591" t="s">
        <v>115</v>
      </c>
      <c r="J591">
        <v>0</v>
      </c>
    </row>
    <row r="592" spans="2:10" x14ac:dyDescent="0.25">
      <c r="B592" t="s">
        <v>339</v>
      </c>
      <c r="C592" t="s">
        <v>303</v>
      </c>
      <c r="D592">
        <v>703262</v>
      </c>
      <c r="E592" t="s">
        <v>181</v>
      </c>
      <c r="F592" t="s">
        <v>21</v>
      </c>
      <c r="G592" t="s">
        <v>22</v>
      </c>
      <c r="H592" t="s">
        <v>23</v>
      </c>
      <c r="J592">
        <v>0</v>
      </c>
    </row>
    <row r="593" spans="2:10" x14ac:dyDescent="0.25">
      <c r="B593" t="s">
        <v>339</v>
      </c>
      <c r="C593" t="s">
        <v>303</v>
      </c>
      <c r="D593">
        <v>703263</v>
      </c>
      <c r="E593" t="s">
        <v>182</v>
      </c>
      <c r="F593" t="s">
        <v>21</v>
      </c>
      <c r="G593" t="s">
        <v>22</v>
      </c>
      <c r="H593" t="s">
        <v>115</v>
      </c>
      <c r="J593">
        <v>0</v>
      </c>
    </row>
    <row r="594" spans="2:10" x14ac:dyDescent="0.25">
      <c r="B594" t="s">
        <v>339</v>
      </c>
      <c r="C594" t="s">
        <v>303</v>
      </c>
      <c r="D594">
        <v>703264</v>
      </c>
      <c r="E594" t="s">
        <v>183</v>
      </c>
      <c r="F594" t="s">
        <v>21</v>
      </c>
      <c r="G594" t="s">
        <v>22</v>
      </c>
      <c r="H594" t="s">
        <v>115</v>
      </c>
      <c r="J594">
        <v>0</v>
      </c>
    </row>
    <row r="595" spans="2:10" x14ac:dyDescent="0.25">
      <c r="B595" t="s">
        <v>339</v>
      </c>
      <c r="C595" t="s">
        <v>303</v>
      </c>
      <c r="D595">
        <v>703265</v>
      </c>
      <c r="E595" t="s">
        <v>184</v>
      </c>
      <c r="F595" t="s">
        <v>21</v>
      </c>
      <c r="G595" t="s">
        <v>22</v>
      </c>
      <c r="H595" t="s">
        <v>115</v>
      </c>
      <c r="J595">
        <v>0</v>
      </c>
    </row>
    <row r="596" spans="2:10" x14ac:dyDescent="0.25">
      <c r="B596" t="s">
        <v>339</v>
      </c>
      <c r="C596" t="s">
        <v>303</v>
      </c>
      <c r="D596">
        <v>703266</v>
      </c>
      <c r="E596" t="s">
        <v>185</v>
      </c>
      <c r="F596" t="s">
        <v>21</v>
      </c>
      <c r="G596" t="s">
        <v>71</v>
      </c>
      <c r="H596" t="s">
        <v>186</v>
      </c>
      <c r="J596">
        <v>0</v>
      </c>
    </row>
    <row r="597" spans="2:10" x14ac:dyDescent="0.25">
      <c r="B597" t="s">
        <v>339</v>
      </c>
      <c r="C597" t="s">
        <v>303</v>
      </c>
      <c r="D597">
        <v>703267</v>
      </c>
      <c r="E597" t="s">
        <v>187</v>
      </c>
      <c r="F597" t="s">
        <v>21</v>
      </c>
      <c r="G597" t="s">
        <v>71</v>
      </c>
      <c r="H597" t="s">
        <v>88</v>
      </c>
      <c r="J597">
        <v>0</v>
      </c>
    </row>
    <row r="598" spans="2:10" x14ac:dyDescent="0.25">
      <c r="B598" t="s">
        <v>339</v>
      </c>
      <c r="C598" t="s">
        <v>303</v>
      </c>
      <c r="D598">
        <v>703268</v>
      </c>
      <c r="E598" t="s">
        <v>188</v>
      </c>
      <c r="F598" t="s">
        <v>21</v>
      </c>
      <c r="G598" t="s">
        <v>147</v>
      </c>
      <c r="H598" t="s">
        <v>147</v>
      </c>
      <c r="J598">
        <v>0</v>
      </c>
    </row>
    <row r="599" spans="2:10" x14ac:dyDescent="0.25">
      <c r="B599" t="s">
        <v>339</v>
      </c>
      <c r="C599" t="s">
        <v>303</v>
      </c>
      <c r="D599">
        <v>703269</v>
      </c>
      <c r="E599" t="s">
        <v>189</v>
      </c>
      <c r="F599" t="s">
        <v>21</v>
      </c>
      <c r="G599" t="s">
        <v>147</v>
      </c>
      <c r="H599" t="s">
        <v>147</v>
      </c>
      <c r="J599">
        <v>0</v>
      </c>
    </row>
    <row r="600" spans="2:10" x14ac:dyDescent="0.25">
      <c r="B600" t="s">
        <v>339</v>
      </c>
      <c r="C600" t="s">
        <v>303</v>
      </c>
      <c r="D600">
        <v>703270</v>
      </c>
      <c r="E600" t="s">
        <v>190</v>
      </c>
      <c r="F600" t="s">
        <v>21</v>
      </c>
      <c r="G600" t="s">
        <v>137</v>
      </c>
      <c r="H600" t="s">
        <v>141</v>
      </c>
      <c r="J600">
        <v>0</v>
      </c>
    </row>
    <row r="601" spans="2:10" x14ac:dyDescent="0.25">
      <c r="B601" t="s">
        <v>339</v>
      </c>
      <c r="C601" t="s">
        <v>303</v>
      </c>
      <c r="D601">
        <v>703271</v>
      </c>
      <c r="E601" t="s">
        <v>191</v>
      </c>
      <c r="F601" t="s">
        <v>21</v>
      </c>
      <c r="G601" t="s">
        <v>22</v>
      </c>
      <c r="H601" t="s">
        <v>115</v>
      </c>
      <c r="I601" t="s">
        <v>105</v>
      </c>
      <c r="J601">
        <v>246400</v>
      </c>
    </row>
    <row r="602" spans="2:10" x14ac:dyDescent="0.25">
      <c r="B602" t="s">
        <v>339</v>
      </c>
      <c r="C602" t="s">
        <v>303</v>
      </c>
      <c r="D602">
        <v>703272</v>
      </c>
      <c r="E602" t="s">
        <v>192</v>
      </c>
      <c r="F602" t="s">
        <v>21</v>
      </c>
      <c r="G602" t="s">
        <v>22</v>
      </c>
      <c r="H602" t="s">
        <v>23</v>
      </c>
      <c r="J602">
        <v>0</v>
      </c>
    </row>
    <row r="603" spans="2:10" x14ac:dyDescent="0.25">
      <c r="B603" t="s">
        <v>339</v>
      </c>
      <c r="C603" t="s">
        <v>303</v>
      </c>
      <c r="D603">
        <v>703273</v>
      </c>
      <c r="E603" t="s">
        <v>193</v>
      </c>
      <c r="F603" t="s">
        <v>21</v>
      </c>
      <c r="G603" t="s">
        <v>147</v>
      </c>
      <c r="H603" t="s">
        <v>147</v>
      </c>
      <c r="J603">
        <v>0</v>
      </c>
    </row>
    <row r="604" spans="2:10" x14ac:dyDescent="0.25">
      <c r="B604" t="s">
        <v>339</v>
      </c>
      <c r="C604" t="s">
        <v>303</v>
      </c>
      <c r="D604">
        <v>703274</v>
      </c>
      <c r="E604" t="s">
        <v>194</v>
      </c>
      <c r="F604" t="s">
        <v>21</v>
      </c>
      <c r="G604" t="s">
        <v>147</v>
      </c>
      <c r="H604" t="s">
        <v>147</v>
      </c>
      <c r="J604">
        <v>0</v>
      </c>
    </row>
    <row r="605" spans="2:10" x14ac:dyDescent="0.25">
      <c r="B605" t="s">
        <v>339</v>
      </c>
      <c r="C605" t="s">
        <v>303</v>
      </c>
      <c r="D605">
        <v>703275</v>
      </c>
      <c r="E605" t="s">
        <v>195</v>
      </c>
      <c r="F605" t="s">
        <v>21</v>
      </c>
      <c r="G605" t="s">
        <v>137</v>
      </c>
      <c r="H605" t="s">
        <v>138</v>
      </c>
      <c r="J605">
        <v>0</v>
      </c>
    </row>
    <row r="606" spans="2:10" x14ac:dyDescent="0.25">
      <c r="B606" t="s">
        <v>339</v>
      </c>
      <c r="C606" t="s">
        <v>303</v>
      </c>
      <c r="D606">
        <v>703280</v>
      </c>
      <c r="E606" t="s">
        <v>196</v>
      </c>
      <c r="F606" t="s">
        <v>21</v>
      </c>
      <c r="G606" t="s">
        <v>71</v>
      </c>
      <c r="H606" t="s">
        <v>171</v>
      </c>
      <c r="J606">
        <v>0</v>
      </c>
    </row>
    <row r="607" spans="2:10" x14ac:dyDescent="0.25">
      <c r="B607" t="s">
        <v>339</v>
      </c>
      <c r="C607" t="s">
        <v>303</v>
      </c>
      <c r="D607">
        <v>703281</v>
      </c>
      <c r="E607" t="s">
        <v>197</v>
      </c>
      <c r="F607" t="s">
        <v>21</v>
      </c>
      <c r="G607" t="s">
        <v>76</v>
      </c>
      <c r="H607" t="s">
        <v>77</v>
      </c>
      <c r="J607">
        <v>0</v>
      </c>
    </row>
    <row r="608" spans="2:10" x14ac:dyDescent="0.25">
      <c r="B608" t="s">
        <v>339</v>
      </c>
      <c r="C608" t="s">
        <v>303</v>
      </c>
      <c r="D608">
        <v>703282</v>
      </c>
      <c r="E608" t="s">
        <v>198</v>
      </c>
      <c r="F608" t="s">
        <v>21</v>
      </c>
      <c r="G608" t="s">
        <v>76</v>
      </c>
      <c r="H608" t="s">
        <v>77</v>
      </c>
      <c r="J608">
        <v>0</v>
      </c>
    </row>
    <row r="609" spans="2:10" x14ac:dyDescent="0.25">
      <c r="B609" t="s">
        <v>339</v>
      </c>
      <c r="C609" t="s">
        <v>303</v>
      </c>
      <c r="D609">
        <v>703283</v>
      </c>
      <c r="E609" t="s">
        <v>199</v>
      </c>
      <c r="F609" t="s">
        <v>21</v>
      </c>
      <c r="G609" t="s">
        <v>61</v>
      </c>
      <c r="H609" t="s">
        <v>68</v>
      </c>
      <c r="J609">
        <v>0</v>
      </c>
    </row>
    <row r="610" spans="2:10" x14ac:dyDescent="0.25">
      <c r="B610" t="s">
        <v>339</v>
      </c>
      <c r="C610" t="s">
        <v>303</v>
      </c>
      <c r="D610">
        <v>703310</v>
      </c>
      <c r="E610" t="s">
        <v>200</v>
      </c>
      <c r="F610" t="s">
        <v>21</v>
      </c>
      <c r="G610" t="s">
        <v>22</v>
      </c>
      <c r="H610" t="s">
        <v>23</v>
      </c>
      <c r="J610">
        <v>0</v>
      </c>
    </row>
    <row r="611" spans="2:10" x14ac:dyDescent="0.25">
      <c r="B611" t="s">
        <v>339</v>
      </c>
      <c r="C611" t="s">
        <v>303</v>
      </c>
      <c r="D611">
        <v>703311</v>
      </c>
      <c r="E611" t="s">
        <v>201</v>
      </c>
      <c r="F611" t="s">
        <v>21</v>
      </c>
      <c r="G611" t="s">
        <v>71</v>
      </c>
      <c r="H611" t="s">
        <v>171</v>
      </c>
      <c r="J611">
        <v>0</v>
      </c>
    </row>
    <row r="612" spans="2:10" x14ac:dyDescent="0.25">
      <c r="B612" t="s">
        <v>339</v>
      </c>
      <c r="C612" t="s">
        <v>303</v>
      </c>
      <c r="D612">
        <v>703312</v>
      </c>
      <c r="E612" t="s">
        <v>202</v>
      </c>
      <c r="F612" t="s">
        <v>21</v>
      </c>
      <c r="G612" t="s">
        <v>76</v>
      </c>
      <c r="H612" t="s">
        <v>77</v>
      </c>
      <c r="J612">
        <v>0</v>
      </c>
    </row>
    <row r="613" spans="2:10" x14ac:dyDescent="0.25">
      <c r="B613" t="s">
        <v>339</v>
      </c>
      <c r="C613" t="s">
        <v>303</v>
      </c>
      <c r="D613">
        <v>703313</v>
      </c>
      <c r="E613" t="s">
        <v>203</v>
      </c>
      <c r="F613" t="s">
        <v>21</v>
      </c>
      <c r="G613" t="s">
        <v>76</v>
      </c>
      <c r="H613" t="s">
        <v>77</v>
      </c>
      <c r="J613">
        <v>0</v>
      </c>
    </row>
    <row r="614" spans="2:10" x14ac:dyDescent="0.25">
      <c r="B614" t="s">
        <v>339</v>
      </c>
      <c r="C614" t="s">
        <v>303</v>
      </c>
      <c r="D614">
        <v>703314</v>
      </c>
      <c r="E614" t="s">
        <v>204</v>
      </c>
      <c r="F614" t="s">
        <v>21</v>
      </c>
      <c r="G614" t="s">
        <v>76</v>
      </c>
      <c r="H614" t="s">
        <v>77</v>
      </c>
      <c r="J614">
        <v>0</v>
      </c>
    </row>
    <row r="615" spans="2:10" x14ac:dyDescent="0.25">
      <c r="B615" t="s">
        <v>339</v>
      </c>
      <c r="C615" t="s">
        <v>303</v>
      </c>
      <c r="D615">
        <v>703315</v>
      </c>
      <c r="E615" t="s">
        <v>205</v>
      </c>
      <c r="F615" t="s">
        <v>21</v>
      </c>
      <c r="G615" t="s">
        <v>76</v>
      </c>
      <c r="H615" t="s">
        <v>135</v>
      </c>
      <c r="J615">
        <v>0</v>
      </c>
    </row>
    <row r="616" spans="2:10" x14ac:dyDescent="0.25">
      <c r="B616" t="s">
        <v>339</v>
      </c>
      <c r="C616" t="s">
        <v>303</v>
      </c>
      <c r="D616">
        <v>703316</v>
      </c>
      <c r="E616" t="s">
        <v>206</v>
      </c>
      <c r="F616" t="s">
        <v>21</v>
      </c>
      <c r="G616" t="s">
        <v>76</v>
      </c>
      <c r="H616" t="s">
        <v>77</v>
      </c>
      <c r="J616">
        <v>0</v>
      </c>
    </row>
    <row r="617" spans="2:10" x14ac:dyDescent="0.25">
      <c r="B617" t="s">
        <v>339</v>
      </c>
      <c r="C617" t="s">
        <v>303</v>
      </c>
      <c r="D617">
        <v>703317</v>
      </c>
      <c r="E617" t="s">
        <v>207</v>
      </c>
      <c r="F617" t="s">
        <v>21</v>
      </c>
      <c r="G617" t="s">
        <v>76</v>
      </c>
      <c r="H617" t="s">
        <v>77</v>
      </c>
      <c r="J617">
        <v>0</v>
      </c>
    </row>
    <row r="618" spans="2:10" x14ac:dyDescent="0.25">
      <c r="B618" t="s">
        <v>339</v>
      </c>
      <c r="C618" t="s">
        <v>303</v>
      </c>
      <c r="D618">
        <v>703318</v>
      </c>
      <c r="E618" t="s">
        <v>208</v>
      </c>
      <c r="F618" t="s">
        <v>21</v>
      </c>
      <c r="G618" t="s">
        <v>71</v>
      </c>
      <c r="H618" t="s">
        <v>209</v>
      </c>
      <c r="J618">
        <v>0</v>
      </c>
    </row>
    <row r="619" spans="2:10" x14ac:dyDescent="0.25">
      <c r="B619" t="s">
        <v>339</v>
      </c>
      <c r="C619" t="s">
        <v>303</v>
      </c>
      <c r="D619">
        <v>703319</v>
      </c>
      <c r="E619" t="s">
        <v>210</v>
      </c>
      <c r="F619" t="s">
        <v>21</v>
      </c>
      <c r="G619" t="s">
        <v>61</v>
      </c>
      <c r="H619" t="s">
        <v>79</v>
      </c>
      <c r="J619">
        <v>0</v>
      </c>
    </row>
    <row r="620" spans="2:10" x14ac:dyDescent="0.25">
      <c r="B620" t="s">
        <v>339</v>
      </c>
      <c r="C620" t="s">
        <v>303</v>
      </c>
      <c r="D620">
        <v>703320</v>
      </c>
      <c r="E620" t="s">
        <v>211</v>
      </c>
      <c r="F620" t="s">
        <v>21</v>
      </c>
      <c r="G620" t="s">
        <v>71</v>
      </c>
      <c r="H620" t="s">
        <v>135</v>
      </c>
      <c r="J620">
        <v>0</v>
      </c>
    </row>
    <row r="621" spans="2:10" x14ac:dyDescent="0.25">
      <c r="B621" t="s">
        <v>339</v>
      </c>
      <c r="C621" t="s">
        <v>303</v>
      </c>
      <c r="D621">
        <v>703321</v>
      </c>
      <c r="E621" t="s">
        <v>212</v>
      </c>
      <c r="F621" t="s">
        <v>21</v>
      </c>
      <c r="G621" t="s">
        <v>22</v>
      </c>
      <c r="H621" t="s">
        <v>23</v>
      </c>
      <c r="J621">
        <v>0</v>
      </c>
    </row>
    <row r="622" spans="2:10" x14ac:dyDescent="0.25">
      <c r="B622" t="s">
        <v>339</v>
      </c>
      <c r="C622" t="s">
        <v>303</v>
      </c>
      <c r="D622">
        <v>703322</v>
      </c>
      <c r="E622" t="s">
        <v>213</v>
      </c>
      <c r="F622" t="s">
        <v>21</v>
      </c>
      <c r="G622" t="s">
        <v>22</v>
      </c>
      <c r="H622" t="s">
        <v>23</v>
      </c>
      <c r="J622">
        <v>0</v>
      </c>
    </row>
    <row r="623" spans="2:10" x14ac:dyDescent="0.25">
      <c r="B623" t="s">
        <v>339</v>
      </c>
      <c r="C623" t="s">
        <v>303</v>
      </c>
      <c r="D623">
        <v>703323</v>
      </c>
      <c r="E623" t="s">
        <v>214</v>
      </c>
      <c r="F623" t="s">
        <v>21</v>
      </c>
      <c r="G623" t="s">
        <v>22</v>
      </c>
      <c r="H623" t="s">
        <v>23</v>
      </c>
      <c r="J623">
        <v>0</v>
      </c>
    </row>
    <row r="624" spans="2:10" x14ac:dyDescent="0.25">
      <c r="B624" t="s">
        <v>339</v>
      </c>
      <c r="C624" t="s">
        <v>303</v>
      </c>
      <c r="D624">
        <v>703324</v>
      </c>
      <c r="E624" t="s">
        <v>215</v>
      </c>
      <c r="F624" t="s">
        <v>21</v>
      </c>
      <c r="G624" t="s">
        <v>22</v>
      </c>
      <c r="H624" t="s">
        <v>23</v>
      </c>
      <c r="J624">
        <v>0</v>
      </c>
    </row>
    <row r="625" spans="2:10" x14ac:dyDescent="0.25">
      <c r="B625" t="s">
        <v>339</v>
      </c>
      <c r="C625" t="s">
        <v>303</v>
      </c>
      <c r="D625">
        <v>703325</v>
      </c>
      <c r="E625" t="s">
        <v>216</v>
      </c>
      <c r="F625" t="s">
        <v>21</v>
      </c>
      <c r="G625" t="s">
        <v>22</v>
      </c>
      <c r="H625" t="s">
        <v>23</v>
      </c>
      <c r="J625">
        <v>0</v>
      </c>
    </row>
    <row r="626" spans="2:10" x14ac:dyDescent="0.25">
      <c r="B626" t="s">
        <v>339</v>
      </c>
      <c r="C626" t="s">
        <v>303</v>
      </c>
      <c r="D626">
        <v>703326</v>
      </c>
      <c r="E626" t="s">
        <v>217</v>
      </c>
      <c r="F626" t="s">
        <v>21</v>
      </c>
      <c r="G626" t="s">
        <v>22</v>
      </c>
      <c r="H626" t="s">
        <v>23</v>
      </c>
      <c r="J626">
        <v>0</v>
      </c>
    </row>
    <row r="627" spans="2:10" x14ac:dyDescent="0.25">
      <c r="B627" t="s">
        <v>339</v>
      </c>
      <c r="C627" t="s">
        <v>303</v>
      </c>
      <c r="D627">
        <v>703327</v>
      </c>
      <c r="E627" t="s">
        <v>218</v>
      </c>
      <c r="F627" t="s">
        <v>21</v>
      </c>
      <c r="G627" t="s">
        <v>76</v>
      </c>
      <c r="H627" t="s">
        <v>77</v>
      </c>
      <c r="J627">
        <v>0</v>
      </c>
    </row>
    <row r="628" spans="2:10" x14ac:dyDescent="0.25">
      <c r="B628" t="s">
        <v>339</v>
      </c>
      <c r="C628" t="s">
        <v>303</v>
      </c>
      <c r="D628">
        <v>703328</v>
      </c>
      <c r="E628" t="s">
        <v>219</v>
      </c>
      <c r="F628" t="s">
        <v>21</v>
      </c>
      <c r="G628" t="s">
        <v>22</v>
      </c>
      <c r="H628" t="s">
        <v>23</v>
      </c>
      <c r="J628">
        <v>0</v>
      </c>
    </row>
    <row r="629" spans="2:10" x14ac:dyDescent="0.25">
      <c r="B629" t="s">
        <v>339</v>
      </c>
      <c r="C629" t="s">
        <v>303</v>
      </c>
      <c r="D629">
        <v>703329</v>
      </c>
      <c r="E629" t="s">
        <v>220</v>
      </c>
      <c r="F629" t="s">
        <v>21</v>
      </c>
      <c r="G629" t="s">
        <v>22</v>
      </c>
      <c r="H629" t="s">
        <v>23</v>
      </c>
      <c r="J629">
        <v>0</v>
      </c>
    </row>
    <row r="630" spans="2:10" x14ac:dyDescent="0.25">
      <c r="B630" t="s">
        <v>339</v>
      </c>
      <c r="C630" t="s">
        <v>303</v>
      </c>
      <c r="D630">
        <v>703330</v>
      </c>
      <c r="E630" t="s">
        <v>221</v>
      </c>
      <c r="F630" t="s">
        <v>21</v>
      </c>
      <c r="G630" t="s">
        <v>22</v>
      </c>
      <c r="H630" t="s">
        <v>23</v>
      </c>
      <c r="J630">
        <v>0</v>
      </c>
    </row>
    <row r="631" spans="2:10" x14ac:dyDescent="0.25">
      <c r="B631" t="s">
        <v>339</v>
      </c>
      <c r="C631" t="s">
        <v>303</v>
      </c>
      <c r="D631">
        <v>703340</v>
      </c>
      <c r="E631" t="s">
        <v>222</v>
      </c>
      <c r="F631" t="s">
        <v>21</v>
      </c>
      <c r="G631" t="s">
        <v>61</v>
      </c>
      <c r="H631" t="s">
        <v>68</v>
      </c>
      <c r="J631">
        <v>0</v>
      </c>
    </row>
    <row r="632" spans="2:10" x14ac:dyDescent="0.25">
      <c r="B632" t="s">
        <v>339</v>
      </c>
      <c r="C632" t="s">
        <v>303</v>
      </c>
      <c r="D632">
        <v>703350</v>
      </c>
      <c r="E632" t="s">
        <v>223</v>
      </c>
      <c r="F632" t="s">
        <v>21</v>
      </c>
      <c r="G632" t="s">
        <v>22</v>
      </c>
      <c r="H632" t="s">
        <v>23</v>
      </c>
      <c r="J632">
        <v>0</v>
      </c>
    </row>
    <row r="633" spans="2:10" x14ac:dyDescent="0.25">
      <c r="B633" t="s">
        <v>339</v>
      </c>
      <c r="C633" t="s">
        <v>303</v>
      </c>
      <c r="D633">
        <v>703351</v>
      </c>
      <c r="E633" t="s">
        <v>224</v>
      </c>
      <c r="F633" t="s">
        <v>21</v>
      </c>
      <c r="G633" t="s">
        <v>22</v>
      </c>
      <c r="H633" t="s">
        <v>23</v>
      </c>
      <c r="J633">
        <v>0</v>
      </c>
    </row>
    <row r="634" spans="2:10" x14ac:dyDescent="0.25">
      <c r="B634" t="s">
        <v>339</v>
      </c>
      <c r="C634" t="s">
        <v>303</v>
      </c>
      <c r="D634">
        <v>703352</v>
      </c>
      <c r="E634" t="s">
        <v>225</v>
      </c>
      <c r="F634" t="s">
        <v>21</v>
      </c>
      <c r="G634" t="s">
        <v>22</v>
      </c>
      <c r="H634" t="s">
        <v>23</v>
      </c>
      <c r="J634">
        <v>0</v>
      </c>
    </row>
    <row r="635" spans="2:10" x14ac:dyDescent="0.25">
      <c r="B635" t="s">
        <v>339</v>
      </c>
      <c r="C635" t="s">
        <v>303</v>
      </c>
      <c r="D635">
        <v>703360</v>
      </c>
      <c r="E635" t="s">
        <v>226</v>
      </c>
      <c r="F635" t="s">
        <v>21</v>
      </c>
      <c r="G635" t="s">
        <v>22</v>
      </c>
      <c r="H635" t="s">
        <v>23</v>
      </c>
      <c r="J635">
        <v>0</v>
      </c>
    </row>
    <row r="636" spans="2:10" x14ac:dyDescent="0.25">
      <c r="B636" t="s">
        <v>339</v>
      </c>
      <c r="C636" t="s">
        <v>303</v>
      </c>
      <c r="D636">
        <v>703370</v>
      </c>
      <c r="E636" t="s">
        <v>227</v>
      </c>
      <c r="F636" t="s">
        <v>21</v>
      </c>
      <c r="G636" t="s">
        <v>22</v>
      </c>
      <c r="H636" t="s">
        <v>23</v>
      </c>
      <c r="J636">
        <v>0</v>
      </c>
    </row>
    <row r="637" spans="2:10" x14ac:dyDescent="0.25">
      <c r="B637" t="s">
        <v>339</v>
      </c>
      <c r="C637" t="s">
        <v>303</v>
      </c>
      <c r="D637">
        <v>703410</v>
      </c>
      <c r="E637" t="s">
        <v>228</v>
      </c>
      <c r="F637" t="s">
        <v>21</v>
      </c>
      <c r="G637" t="s">
        <v>22</v>
      </c>
      <c r="H637" t="s">
        <v>23</v>
      </c>
      <c r="J637">
        <v>0</v>
      </c>
    </row>
    <row r="638" spans="2:10" x14ac:dyDescent="0.25">
      <c r="B638" t="s">
        <v>339</v>
      </c>
      <c r="C638" t="s">
        <v>303</v>
      </c>
      <c r="D638">
        <v>703411</v>
      </c>
      <c r="E638" t="s">
        <v>229</v>
      </c>
      <c r="F638" t="s">
        <v>21</v>
      </c>
      <c r="G638" t="s">
        <v>22</v>
      </c>
      <c r="H638" t="s">
        <v>23</v>
      </c>
      <c r="J638">
        <v>0</v>
      </c>
    </row>
    <row r="639" spans="2:10" x14ac:dyDescent="0.25">
      <c r="B639" t="s">
        <v>339</v>
      </c>
      <c r="C639" t="s">
        <v>303</v>
      </c>
      <c r="D639">
        <v>703412</v>
      </c>
      <c r="E639" t="s">
        <v>230</v>
      </c>
      <c r="F639" t="s">
        <v>21</v>
      </c>
      <c r="G639" t="s">
        <v>22</v>
      </c>
      <c r="H639" t="s">
        <v>23</v>
      </c>
      <c r="J639">
        <v>0</v>
      </c>
    </row>
    <row r="640" spans="2:10" x14ac:dyDescent="0.25">
      <c r="B640" t="s">
        <v>339</v>
      </c>
      <c r="C640" t="s">
        <v>303</v>
      </c>
      <c r="D640">
        <v>703420</v>
      </c>
      <c r="E640" t="s">
        <v>231</v>
      </c>
      <c r="F640" t="s">
        <v>21</v>
      </c>
      <c r="G640" t="s">
        <v>71</v>
      </c>
      <c r="H640" t="s">
        <v>171</v>
      </c>
      <c r="J640">
        <v>0</v>
      </c>
    </row>
    <row r="641" spans="2:10" x14ac:dyDescent="0.25">
      <c r="B641" t="s">
        <v>339</v>
      </c>
      <c r="C641" t="s">
        <v>303</v>
      </c>
      <c r="D641">
        <v>703421</v>
      </c>
      <c r="E641" t="s">
        <v>232</v>
      </c>
      <c r="F641" t="s">
        <v>21</v>
      </c>
      <c r="G641" t="s">
        <v>22</v>
      </c>
      <c r="H641" t="s">
        <v>23</v>
      </c>
      <c r="J641">
        <v>0</v>
      </c>
    </row>
    <row r="642" spans="2:10" x14ac:dyDescent="0.25">
      <c r="B642" t="s">
        <v>339</v>
      </c>
      <c r="C642" t="s">
        <v>303</v>
      </c>
      <c r="D642">
        <v>703422</v>
      </c>
      <c r="E642" t="s">
        <v>233</v>
      </c>
      <c r="F642" t="s">
        <v>21</v>
      </c>
      <c r="G642" t="s">
        <v>76</v>
      </c>
      <c r="H642" t="s">
        <v>77</v>
      </c>
      <c r="J642">
        <v>0</v>
      </c>
    </row>
    <row r="643" spans="2:10" x14ac:dyDescent="0.25">
      <c r="B643" t="s">
        <v>339</v>
      </c>
      <c r="C643" t="s">
        <v>303</v>
      </c>
      <c r="D643">
        <v>703423</v>
      </c>
      <c r="E643" t="s">
        <v>234</v>
      </c>
      <c r="F643" t="s">
        <v>21</v>
      </c>
      <c r="G643" t="s">
        <v>71</v>
      </c>
      <c r="H643" t="s">
        <v>88</v>
      </c>
      <c r="J643">
        <v>0</v>
      </c>
    </row>
    <row r="644" spans="2:10" x14ac:dyDescent="0.25">
      <c r="B644" t="s">
        <v>339</v>
      </c>
      <c r="C644" t="s">
        <v>303</v>
      </c>
      <c r="D644">
        <v>703424</v>
      </c>
      <c r="E644" t="s">
        <v>235</v>
      </c>
      <c r="F644" t="s">
        <v>21</v>
      </c>
      <c r="G644" t="s">
        <v>71</v>
      </c>
      <c r="H644" t="s">
        <v>88</v>
      </c>
      <c r="J644">
        <v>0</v>
      </c>
    </row>
    <row r="645" spans="2:10" x14ac:dyDescent="0.25">
      <c r="B645" t="s">
        <v>339</v>
      </c>
      <c r="C645" t="s">
        <v>303</v>
      </c>
      <c r="D645">
        <v>703425</v>
      </c>
      <c r="E645" t="s">
        <v>236</v>
      </c>
      <c r="F645" t="s">
        <v>21</v>
      </c>
      <c r="G645" t="s">
        <v>76</v>
      </c>
      <c r="H645" t="s">
        <v>77</v>
      </c>
      <c r="J645">
        <v>0</v>
      </c>
    </row>
    <row r="646" spans="2:10" x14ac:dyDescent="0.25">
      <c r="B646" t="s">
        <v>339</v>
      </c>
      <c r="C646" t="s">
        <v>303</v>
      </c>
      <c r="D646">
        <v>703426</v>
      </c>
      <c r="E646" t="s">
        <v>237</v>
      </c>
      <c r="F646" t="s">
        <v>21</v>
      </c>
      <c r="G646" t="s">
        <v>22</v>
      </c>
      <c r="H646" t="s">
        <v>23</v>
      </c>
      <c r="J646">
        <v>0</v>
      </c>
    </row>
    <row r="647" spans="2:10" x14ac:dyDescent="0.25">
      <c r="B647" t="s">
        <v>339</v>
      </c>
      <c r="C647" t="s">
        <v>303</v>
      </c>
      <c r="D647">
        <v>703427</v>
      </c>
      <c r="E647" t="s">
        <v>238</v>
      </c>
      <c r="F647" t="s">
        <v>21</v>
      </c>
      <c r="G647" t="s">
        <v>76</v>
      </c>
      <c r="H647" t="s">
        <v>77</v>
      </c>
      <c r="J647">
        <v>0</v>
      </c>
    </row>
    <row r="648" spans="2:10" x14ac:dyDescent="0.25">
      <c r="B648" t="s">
        <v>339</v>
      </c>
      <c r="C648" t="s">
        <v>303</v>
      </c>
      <c r="D648">
        <v>703428</v>
      </c>
      <c r="E648" t="s">
        <v>239</v>
      </c>
      <c r="F648" t="s">
        <v>21</v>
      </c>
      <c r="G648" t="s">
        <v>76</v>
      </c>
      <c r="H648" t="s">
        <v>77</v>
      </c>
      <c r="J648">
        <v>0</v>
      </c>
    </row>
    <row r="649" spans="2:10" x14ac:dyDescent="0.25">
      <c r="B649" t="s">
        <v>339</v>
      </c>
      <c r="C649" t="s">
        <v>303</v>
      </c>
      <c r="D649">
        <v>703429</v>
      </c>
      <c r="E649" t="s">
        <v>240</v>
      </c>
      <c r="F649" t="s">
        <v>21</v>
      </c>
      <c r="G649" t="s">
        <v>76</v>
      </c>
      <c r="H649" t="s">
        <v>77</v>
      </c>
      <c r="J649">
        <v>0</v>
      </c>
    </row>
    <row r="650" spans="2:10" x14ac:dyDescent="0.25">
      <c r="B650" t="s">
        <v>339</v>
      </c>
      <c r="C650" t="s">
        <v>303</v>
      </c>
      <c r="D650">
        <v>703430</v>
      </c>
      <c r="E650" t="s">
        <v>20</v>
      </c>
      <c r="F650" t="s">
        <v>21</v>
      </c>
      <c r="G650" t="s">
        <v>22</v>
      </c>
      <c r="H650" t="s">
        <v>23</v>
      </c>
      <c r="J650">
        <v>0</v>
      </c>
    </row>
    <row r="651" spans="2:10" x14ac:dyDescent="0.25">
      <c r="B651" t="s">
        <v>339</v>
      </c>
      <c r="C651" t="s">
        <v>303</v>
      </c>
      <c r="D651">
        <v>703431</v>
      </c>
      <c r="E651" t="s">
        <v>241</v>
      </c>
      <c r="F651" t="s">
        <v>21</v>
      </c>
      <c r="G651" t="s">
        <v>22</v>
      </c>
      <c r="H651" t="s">
        <v>23</v>
      </c>
      <c r="J651">
        <v>0</v>
      </c>
    </row>
    <row r="652" spans="2:10" x14ac:dyDescent="0.25">
      <c r="B652" t="s">
        <v>339</v>
      </c>
      <c r="C652" t="s">
        <v>303</v>
      </c>
      <c r="D652">
        <v>703432</v>
      </c>
      <c r="E652" t="s">
        <v>242</v>
      </c>
      <c r="F652" t="s">
        <v>21</v>
      </c>
      <c r="G652" t="s">
        <v>22</v>
      </c>
      <c r="H652" t="s">
        <v>23</v>
      </c>
      <c r="J652">
        <v>0</v>
      </c>
    </row>
    <row r="653" spans="2:10" x14ac:dyDescent="0.25">
      <c r="B653" t="s">
        <v>339</v>
      </c>
      <c r="C653" t="s">
        <v>303</v>
      </c>
      <c r="D653">
        <v>703433</v>
      </c>
      <c r="E653" t="s">
        <v>243</v>
      </c>
      <c r="F653" t="s">
        <v>21</v>
      </c>
      <c r="G653" t="s">
        <v>71</v>
      </c>
      <c r="H653" t="s">
        <v>88</v>
      </c>
      <c r="J653">
        <v>0</v>
      </c>
    </row>
    <row r="654" spans="2:10" x14ac:dyDescent="0.25">
      <c r="B654" t="s">
        <v>339</v>
      </c>
      <c r="C654" t="s">
        <v>303</v>
      </c>
      <c r="D654">
        <v>703434</v>
      </c>
      <c r="E654" t="s">
        <v>244</v>
      </c>
      <c r="F654" t="s">
        <v>21</v>
      </c>
      <c r="G654" t="s">
        <v>22</v>
      </c>
      <c r="H654" t="s">
        <v>23</v>
      </c>
      <c r="J654">
        <v>0</v>
      </c>
    </row>
    <row r="655" spans="2:10" x14ac:dyDescent="0.25">
      <c r="B655" t="s">
        <v>339</v>
      </c>
      <c r="C655" t="s">
        <v>303</v>
      </c>
      <c r="D655">
        <v>703435</v>
      </c>
      <c r="E655" t="s">
        <v>245</v>
      </c>
      <c r="F655" t="s">
        <v>21</v>
      </c>
      <c r="G655" t="s">
        <v>71</v>
      </c>
      <c r="H655" t="s">
        <v>88</v>
      </c>
      <c r="J655">
        <v>0</v>
      </c>
    </row>
    <row r="656" spans="2:10" x14ac:dyDescent="0.25">
      <c r="B656" t="s">
        <v>339</v>
      </c>
      <c r="C656" t="s">
        <v>303</v>
      </c>
      <c r="D656">
        <v>703436</v>
      </c>
      <c r="E656" t="s">
        <v>246</v>
      </c>
      <c r="F656" t="s">
        <v>21</v>
      </c>
      <c r="G656" t="s">
        <v>71</v>
      </c>
      <c r="H656" t="s">
        <v>88</v>
      </c>
      <c r="J656">
        <v>0</v>
      </c>
    </row>
    <row r="657" spans="2:10" x14ac:dyDescent="0.25">
      <c r="B657" t="s">
        <v>339</v>
      </c>
      <c r="C657" t="s">
        <v>303</v>
      </c>
      <c r="D657">
        <v>703437</v>
      </c>
      <c r="E657" t="s">
        <v>247</v>
      </c>
      <c r="F657" t="s">
        <v>21</v>
      </c>
      <c r="G657" t="s">
        <v>71</v>
      </c>
      <c r="H657" t="s">
        <v>88</v>
      </c>
      <c r="J657">
        <v>0</v>
      </c>
    </row>
    <row r="658" spans="2:10" x14ac:dyDescent="0.25">
      <c r="B658" t="s">
        <v>339</v>
      </c>
      <c r="C658" t="s">
        <v>303</v>
      </c>
      <c r="D658">
        <v>703438</v>
      </c>
      <c r="E658" t="s">
        <v>248</v>
      </c>
      <c r="F658" t="s">
        <v>21</v>
      </c>
      <c r="G658" t="s">
        <v>71</v>
      </c>
      <c r="H658" t="s">
        <v>88</v>
      </c>
      <c r="J658">
        <v>0</v>
      </c>
    </row>
    <row r="659" spans="2:10" x14ac:dyDescent="0.25">
      <c r="B659" t="s">
        <v>339</v>
      </c>
      <c r="C659" t="s">
        <v>303</v>
      </c>
      <c r="D659">
        <v>703439</v>
      </c>
      <c r="E659" t="s">
        <v>249</v>
      </c>
      <c r="F659" t="s">
        <v>21</v>
      </c>
      <c r="G659" t="s">
        <v>22</v>
      </c>
      <c r="H659" t="s">
        <v>23</v>
      </c>
      <c r="J659">
        <v>0</v>
      </c>
    </row>
    <row r="660" spans="2:10" x14ac:dyDescent="0.25">
      <c r="B660" t="s">
        <v>339</v>
      </c>
      <c r="C660" t="s">
        <v>303</v>
      </c>
      <c r="D660">
        <v>703440</v>
      </c>
      <c r="E660" t="s">
        <v>250</v>
      </c>
      <c r="F660" t="s">
        <v>21</v>
      </c>
      <c r="G660" t="s">
        <v>61</v>
      </c>
      <c r="H660" t="s">
        <v>68</v>
      </c>
      <c r="J660">
        <v>0</v>
      </c>
    </row>
    <row r="661" spans="2:10" x14ac:dyDescent="0.25">
      <c r="B661" t="s">
        <v>339</v>
      </c>
      <c r="C661" t="s">
        <v>303</v>
      </c>
      <c r="D661">
        <v>703441</v>
      </c>
      <c r="E661" t="s">
        <v>251</v>
      </c>
      <c r="F661" t="s">
        <v>21</v>
      </c>
      <c r="G661" t="s">
        <v>61</v>
      </c>
      <c r="H661" t="s">
        <v>79</v>
      </c>
      <c r="J661">
        <v>0</v>
      </c>
    </row>
    <row r="662" spans="2:10" x14ac:dyDescent="0.25">
      <c r="B662" t="s">
        <v>339</v>
      </c>
      <c r="C662" t="s">
        <v>303</v>
      </c>
      <c r="D662">
        <v>703442</v>
      </c>
      <c r="E662" t="s">
        <v>252</v>
      </c>
      <c r="F662" t="s">
        <v>21</v>
      </c>
      <c r="G662" t="s">
        <v>76</v>
      </c>
      <c r="H662" t="s">
        <v>77</v>
      </c>
      <c r="J662">
        <v>0</v>
      </c>
    </row>
    <row r="663" spans="2:10" x14ac:dyDescent="0.25">
      <c r="B663" t="s">
        <v>339</v>
      </c>
      <c r="C663" t="s">
        <v>303</v>
      </c>
      <c r="D663">
        <v>703443</v>
      </c>
      <c r="E663" t="s">
        <v>253</v>
      </c>
      <c r="F663" t="s">
        <v>21</v>
      </c>
      <c r="G663" t="s">
        <v>71</v>
      </c>
      <c r="H663" t="s">
        <v>88</v>
      </c>
      <c r="J663">
        <v>0</v>
      </c>
    </row>
    <row r="664" spans="2:10" x14ac:dyDescent="0.25">
      <c r="B664" t="s">
        <v>339</v>
      </c>
      <c r="C664" t="s">
        <v>303</v>
      </c>
      <c r="D664">
        <v>703444</v>
      </c>
      <c r="E664" t="s">
        <v>254</v>
      </c>
      <c r="F664" t="s">
        <v>21</v>
      </c>
      <c r="G664" t="s">
        <v>22</v>
      </c>
      <c r="H664" t="s">
        <v>23</v>
      </c>
      <c r="J664">
        <v>0</v>
      </c>
    </row>
    <row r="665" spans="2:10" x14ac:dyDescent="0.25">
      <c r="B665" t="s">
        <v>339</v>
      </c>
      <c r="C665" t="s">
        <v>303</v>
      </c>
      <c r="D665">
        <v>703445</v>
      </c>
      <c r="E665" t="s">
        <v>255</v>
      </c>
      <c r="F665" t="s">
        <v>21</v>
      </c>
      <c r="G665" t="s">
        <v>22</v>
      </c>
      <c r="H665" t="s">
        <v>23</v>
      </c>
      <c r="J665">
        <v>0</v>
      </c>
    </row>
    <row r="666" spans="2:10" x14ac:dyDescent="0.25">
      <c r="B666" t="s">
        <v>339</v>
      </c>
      <c r="C666" t="s">
        <v>303</v>
      </c>
      <c r="D666">
        <v>703446</v>
      </c>
      <c r="E666" t="s">
        <v>256</v>
      </c>
      <c r="F666" t="s">
        <v>21</v>
      </c>
      <c r="G666" t="s">
        <v>22</v>
      </c>
      <c r="H666" t="s">
        <v>23</v>
      </c>
      <c r="J666">
        <v>0</v>
      </c>
    </row>
    <row r="667" spans="2:10" x14ac:dyDescent="0.25">
      <c r="B667" t="s">
        <v>339</v>
      </c>
      <c r="C667" t="s">
        <v>303</v>
      </c>
      <c r="D667">
        <v>703447</v>
      </c>
      <c r="E667" t="s">
        <v>257</v>
      </c>
      <c r="F667" t="s">
        <v>21</v>
      </c>
      <c r="G667" t="s">
        <v>22</v>
      </c>
      <c r="H667" t="s">
        <v>23</v>
      </c>
      <c r="J667">
        <v>0</v>
      </c>
    </row>
    <row r="668" spans="2:10" x14ac:dyDescent="0.25">
      <c r="B668" t="s">
        <v>339</v>
      </c>
      <c r="C668" t="s">
        <v>303</v>
      </c>
      <c r="D668">
        <v>703448</v>
      </c>
      <c r="E668" t="s">
        <v>258</v>
      </c>
      <c r="F668" t="s">
        <v>21</v>
      </c>
      <c r="G668" t="s">
        <v>22</v>
      </c>
      <c r="H668" t="s">
        <v>23</v>
      </c>
      <c r="J668">
        <v>0</v>
      </c>
    </row>
    <row r="669" spans="2:10" x14ac:dyDescent="0.25">
      <c r="B669" t="s">
        <v>339</v>
      </c>
      <c r="C669" t="s">
        <v>303</v>
      </c>
      <c r="D669">
        <v>703449</v>
      </c>
      <c r="E669" t="s">
        <v>259</v>
      </c>
      <c r="F669" t="s">
        <v>21</v>
      </c>
      <c r="G669" t="s">
        <v>22</v>
      </c>
      <c r="H669" t="s">
        <v>23</v>
      </c>
      <c r="J669">
        <v>0</v>
      </c>
    </row>
    <row r="670" spans="2:10" x14ac:dyDescent="0.25">
      <c r="B670" t="s">
        <v>339</v>
      </c>
      <c r="C670" t="s">
        <v>303</v>
      </c>
      <c r="D670">
        <v>703450</v>
      </c>
      <c r="E670" t="s">
        <v>260</v>
      </c>
      <c r="F670" t="s">
        <v>21</v>
      </c>
      <c r="G670" t="s">
        <v>71</v>
      </c>
      <c r="H670" t="s">
        <v>88</v>
      </c>
      <c r="J670">
        <v>0</v>
      </c>
    </row>
    <row r="671" spans="2:10" x14ac:dyDescent="0.25">
      <c r="B671" t="s">
        <v>339</v>
      </c>
      <c r="C671" t="s">
        <v>303</v>
      </c>
      <c r="D671">
        <v>703510</v>
      </c>
      <c r="E671" t="s">
        <v>261</v>
      </c>
      <c r="F671" t="s">
        <v>21</v>
      </c>
      <c r="G671" t="s">
        <v>22</v>
      </c>
      <c r="H671" t="s">
        <v>23</v>
      </c>
      <c r="J671">
        <v>0</v>
      </c>
    </row>
    <row r="672" spans="2:10" x14ac:dyDescent="0.25">
      <c r="B672" t="s">
        <v>339</v>
      </c>
      <c r="C672" t="s">
        <v>303</v>
      </c>
      <c r="D672">
        <v>703511</v>
      </c>
      <c r="E672" t="s">
        <v>262</v>
      </c>
      <c r="F672" t="s">
        <v>21</v>
      </c>
      <c r="G672" t="s">
        <v>22</v>
      </c>
      <c r="H672" t="s">
        <v>23</v>
      </c>
      <c r="J672">
        <v>0</v>
      </c>
    </row>
    <row r="673" spans="2:10" x14ac:dyDescent="0.25">
      <c r="B673" t="s">
        <v>339</v>
      </c>
      <c r="C673" t="s">
        <v>303</v>
      </c>
      <c r="D673">
        <v>703512</v>
      </c>
      <c r="E673" t="s">
        <v>263</v>
      </c>
      <c r="F673" t="s">
        <v>21</v>
      </c>
      <c r="G673" t="s">
        <v>22</v>
      </c>
      <c r="H673" t="s">
        <v>23</v>
      </c>
      <c r="J673">
        <v>0</v>
      </c>
    </row>
    <row r="674" spans="2:10" x14ac:dyDescent="0.25">
      <c r="B674" t="s">
        <v>339</v>
      </c>
      <c r="C674" t="s">
        <v>303</v>
      </c>
      <c r="D674">
        <v>703513</v>
      </c>
      <c r="E674" t="s">
        <v>264</v>
      </c>
      <c r="F674" t="s">
        <v>21</v>
      </c>
      <c r="G674" t="s">
        <v>22</v>
      </c>
      <c r="H674" t="s">
        <v>23</v>
      </c>
      <c r="J674">
        <v>0</v>
      </c>
    </row>
    <row r="675" spans="2:10" x14ac:dyDescent="0.25">
      <c r="B675" t="s">
        <v>339</v>
      </c>
      <c r="C675" t="s">
        <v>303</v>
      </c>
      <c r="D675">
        <v>703514</v>
      </c>
      <c r="E675" t="s">
        <v>265</v>
      </c>
      <c r="F675" t="s">
        <v>21</v>
      </c>
      <c r="G675" t="s">
        <v>22</v>
      </c>
      <c r="H675" t="s">
        <v>23</v>
      </c>
      <c r="J675">
        <v>0</v>
      </c>
    </row>
    <row r="676" spans="2:10" x14ac:dyDescent="0.25">
      <c r="B676" t="s">
        <v>339</v>
      </c>
      <c r="C676" t="s">
        <v>303</v>
      </c>
      <c r="D676">
        <v>703515</v>
      </c>
      <c r="E676" t="s">
        <v>266</v>
      </c>
      <c r="F676" t="s">
        <v>21</v>
      </c>
      <c r="G676" t="s">
        <v>22</v>
      </c>
      <c r="H676" t="s">
        <v>23</v>
      </c>
      <c r="J676">
        <v>0</v>
      </c>
    </row>
    <row r="677" spans="2:10" x14ac:dyDescent="0.25">
      <c r="B677" t="s">
        <v>339</v>
      </c>
      <c r="C677" t="s">
        <v>303</v>
      </c>
      <c r="D677">
        <v>703520</v>
      </c>
      <c r="E677" t="s">
        <v>267</v>
      </c>
      <c r="F677" t="s">
        <v>21</v>
      </c>
      <c r="G677" t="s">
        <v>22</v>
      </c>
      <c r="H677" t="s">
        <v>23</v>
      </c>
      <c r="J677">
        <v>0</v>
      </c>
    </row>
    <row r="678" spans="2:10" x14ac:dyDescent="0.25">
      <c r="B678" t="s">
        <v>339</v>
      </c>
      <c r="C678" t="s">
        <v>303</v>
      </c>
      <c r="D678">
        <v>703530</v>
      </c>
      <c r="E678" t="s">
        <v>268</v>
      </c>
      <c r="F678" t="s">
        <v>21</v>
      </c>
      <c r="G678" t="s">
        <v>22</v>
      </c>
      <c r="H678" t="s">
        <v>23</v>
      </c>
      <c r="J678">
        <v>0</v>
      </c>
    </row>
    <row r="679" spans="2:10" x14ac:dyDescent="0.25">
      <c r="B679" t="s">
        <v>339</v>
      </c>
      <c r="C679" t="s">
        <v>303</v>
      </c>
      <c r="D679">
        <v>703540</v>
      </c>
      <c r="E679" t="s">
        <v>269</v>
      </c>
      <c r="F679" t="s">
        <v>21</v>
      </c>
      <c r="G679" t="s">
        <v>22</v>
      </c>
      <c r="H679" t="s">
        <v>23</v>
      </c>
      <c r="J679">
        <v>0</v>
      </c>
    </row>
    <row r="680" spans="2:10" x14ac:dyDescent="0.25">
      <c r="B680" t="s">
        <v>339</v>
      </c>
      <c r="C680" t="s">
        <v>303</v>
      </c>
      <c r="D680">
        <v>703550</v>
      </c>
      <c r="E680" t="s">
        <v>270</v>
      </c>
      <c r="F680" t="s">
        <v>21</v>
      </c>
      <c r="G680" t="s">
        <v>22</v>
      </c>
      <c r="H680" t="s">
        <v>23</v>
      </c>
      <c r="J680">
        <v>0</v>
      </c>
    </row>
    <row r="681" spans="2:10" x14ac:dyDescent="0.25">
      <c r="B681" t="s">
        <v>339</v>
      </c>
      <c r="C681" t="s">
        <v>303</v>
      </c>
      <c r="D681">
        <v>703560</v>
      </c>
      <c r="E681" t="s">
        <v>271</v>
      </c>
      <c r="F681" t="s">
        <v>21</v>
      </c>
      <c r="G681" t="s">
        <v>22</v>
      </c>
      <c r="H681" t="s">
        <v>23</v>
      </c>
      <c r="J681">
        <v>0</v>
      </c>
    </row>
    <row r="682" spans="2:10" x14ac:dyDescent="0.25">
      <c r="B682" t="s">
        <v>339</v>
      </c>
      <c r="C682" t="s">
        <v>303</v>
      </c>
      <c r="D682">
        <v>703570</v>
      </c>
      <c r="E682" t="s">
        <v>272</v>
      </c>
      <c r="F682" t="s">
        <v>21</v>
      </c>
      <c r="G682" t="s">
        <v>22</v>
      </c>
      <c r="H682" t="s">
        <v>23</v>
      </c>
      <c r="J682">
        <v>0</v>
      </c>
    </row>
    <row r="683" spans="2:10" x14ac:dyDescent="0.25">
      <c r="B683" t="s">
        <v>339</v>
      </c>
      <c r="C683" t="s">
        <v>303</v>
      </c>
      <c r="D683">
        <v>703571</v>
      </c>
      <c r="E683" t="s">
        <v>273</v>
      </c>
      <c r="F683" t="s">
        <v>21</v>
      </c>
      <c r="G683" t="s">
        <v>22</v>
      </c>
      <c r="H683" t="s">
        <v>23</v>
      </c>
    </row>
    <row r="684" spans="2:10" x14ac:dyDescent="0.25">
      <c r="B684" t="s">
        <v>339</v>
      </c>
      <c r="C684" t="s">
        <v>303</v>
      </c>
      <c r="D684">
        <v>703572</v>
      </c>
      <c r="E684" t="s">
        <v>274</v>
      </c>
      <c r="F684" t="s">
        <v>21</v>
      </c>
      <c r="G684" t="s">
        <v>22</v>
      </c>
      <c r="H684" t="s">
        <v>23</v>
      </c>
    </row>
    <row r="685" spans="2:10" x14ac:dyDescent="0.25">
      <c r="B685" t="s">
        <v>339</v>
      </c>
      <c r="C685" t="s">
        <v>303</v>
      </c>
      <c r="D685">
        <v>703573</v>
      </c>
      <c r="E685" t="s">
        <v>275</v>
      </c>
      <c r="F685" t="s">
        <v>21</v>
      </c>
      <c r="G685" t="s">
        <v>22</v>
      </c>
      <c r="H685" t="s">
        <v>23</v>
      </c>
    </row>
    <row r="686" spans="2:10" x14ac:dyDescent="0.25">
      <c r="B686" t="s">
        <v>339</v>
      </c>
      <c r="C686" t="s">
        <v>303</v>
      </c>
      <c r="D686">
        <v>703574</v>
      </c>
      <c r="E686" t="s">
        <v>276</v>
      </c>
      <c r="F686" t="s">
        <v>21</v>
      </c>
      <c r="G686" t="s">
        <v>22</v>
      </c>
      <c r="H686" t="s">
        <v>23</v>
      </c>
    </row>
    <row r="687" spans="2:10" x14ac:dyDescent="0.25">
      <c r="B687" t="s">
        <v>339</v>
      </c>
      <c r="C687" t="s">
        <v>303</v>
      </c>
      <c r="D687">
        <v>703580</v>
      </c>
      <c r="E687" t="s">
        <v>277</v>
      </c>
      <c r="F687" t="s">
        <v>21</v>
      </c>
      <c r="G687" t="s">
        <v>22</v>
      </c>
      <c r="H687" t="s">
        <v>23</v>
      </c>
      <c r="J687">
        <v>0</v>
      </c>
    </row>
    <row r="688" spans="2:10" x14ac:dyDescent="0.25">
      <c r="B688" t="s">
        <v>339</v>
      </c>
      <c r="C688" t="s">
        <v>303</v>
      </c>
      <c r="D688">
        <v>703590</v>
      </c>
      <c r="E688" t="s">
        <v>278</v>
      </c>
      <c r="F688" t="s">
        <v>21</v>
      </c>
      <c r="G688" t="s">
        <v>22</v>
      </c>
      <c r="H688" t="s">
        <v>23</v>
      </c>
      <c r="J688">
        <v>0</v>
      </c>
    </row>
    <row r="689" spans="2:10" x14ac:dyDescent="0.25">
      <c r="B689" t="s">
        <v>339</v>
      </c>
      <c r="C689" t="s">
        <v>303</v>
      </c>
      <c r="D689">
        <v>703650</v>
      </c>
      <c r="E689" t="s">
        <v>279</v>
      </c>
      <c r="F689" t="s">
        <v>21</v>
      </c>
      <c r="G689" t="s">
        <v>22</v>
      </c>
      <c r="H689" t="s">
        <v>23</v>
      </c>
      <c r="J689">
        <v>0</v>
      </c>
    </row>
    <row r="690" spans="2:10" x14ac:dyDescent="0.25">
      <c r="B690" t="s">
        <v>339</v>
      </c>
      <c r="C690" t="s">
        <v>303</v>
      </c>
      <c r="D690">
        <v>703651</v>
      </c>
      <c r="E690" t="s">
        <v>280</v>
      </c>
      <c r="F690" t="s">
        <v>21</v>
      </c>
      <c r="G690" t="s">
        <v>22</v>
      </c>
      <c r="H690" t="s">
        <v>23</v>
      </c>
      <c r="J690">
        <v>0</v>
      </c>
    </row>
    <row r="691" spans="2:10" x14ac:dyDescent="0.25">
      <c r="B691" t="s">
        <v>339</v>
      </c>
      <c r="C691" t="s">
        <v>303</v>
      </c>
      <c r="D691">
        <v>703850</v>
      </c>
      <c r="E691" t="s">
        <v>281</v>
      </c>
      <c r="F691" t="s">
        <v>21</v>
      </c>
      <c r="G691" t="s">
        <v>22</v>
      </c>
      <c r="H691" t="s">
        <v>23</v>
      </c>
      <c r="J691">
        <v>0</v>
      </c>
    </row>
    <row r="692" spans="2:10" x14ac:dyDescent="0.25">
      <c r="B692" t="s">
        <v>339</v>
      </c>
      <c r="C692" t="s">
        <v>303</v>
      </c>
      <c r="D692">
        <v>703851</v>
      </c>
      <c r="E692" t="s">
        <v>282</v>
      </c>
      <c r="F692" t="s">
        <v>21</v>
      </c>
      <c r="G692" t="s">
        <v>22</v>
      </c>
      <c r="H692" t="s">
        <v>23</v>
      </c>
      <c r="J692">
        <v>0</v>
      </c>
    </row>
    <row r="693" spans="2:10" x14ac:dyDescent="0.25">
      <c r="B693" t="s">
        <v>339</v>
      </c>
      <c r="C693" t="s">
        <v>303</v>
      </c>
      <c r="D693">
        <v>703852</v>
      </c>
      <c r="E693" t="s">
        <v>283</v>
      </c>
      <c r="F693" t="s">
        <v>21</v>
      </c>
      <c r="G693" t="s">
        <v>22</v>
      </c>
      <c r="H693" t="s">
        <v>23</v>
      </c>
      <c r="J693">
        <v>0</v>
      </c>
    </row>
    <row r="694" spans="2:10" x14ac:dyDescent="0.25">
      <c r="B694" t="s">
        <v>339</v>
      </c>
      <c r="C694" t="s">
        <v>303</v>
      </c>
      <c r="D694">
        <v>703853</v>
      </c>
      <c r="E694" t="s">
        <v>284</v>
      </c>
      <c r="F694" t="s">
        <v>21</v>
      </c>
      <c r="G694" t="s">
        <v>22</v>
      </c>
      <c r="H694" t="s">
        <v>23</v>
      </c>
      <c r="J694">
        <v>0</v>
      </c>
    </row>
    <row r="695" spans="2:10" x14ac:dyDescent="0.25">
      <c r="B695" t="s">
        <v>339</v>
      </c>
      <c r="C695" t="s">
        <v>303</v>
      </c>
      <c r="D695">
        <v>703854</v>
      </c>
      <c r="E695" t="s">
        <v>285</v>
      </c>
      <c r="F695" t="s">
        <v>21</v>
      </c>
      <c r="G695" t="s">
        <v>22</v>
      </c>
      <c r="H695" t="s">
        <v>115</v>
      </c>
      <c r="J695">
        <v>0</v>
      </c>
    </row>
    <row r="696" spans="2:10" x14ac:dyDescent="0.25">
      <c r="B696" t="s">
        <v>339</v>
      </c>
      <c r="C696" t="s">
        <v>303</v>
      </c>
      <c r="D696">
        <v>703855</v>
      </c>
      <c r="E696" t="s">
        <v>286</v>
      </c>
      <c r="F696" t="s">
        <v>21</v>
      </c>
      <c r="G696" t="s">
        <v>22</v>
      </c>
      <c r="H696" t="s">
        <v>23</v>
      </c>
      <c r="J696">
        <v>0</v>
      </c>
    </row>
    <row r="697" spans="2:10" x14ac:dyDescent="0.25">
      <c r="B697" t="s">
        <v>339</v>
      </c>
      <c r="C697" t="s">
        <v>303</v>
      </c>
      <c r="D697">
        <v>703856</v>
      </c>
      <c r="E697" t="s">
        <v>287</v>
      </c>
      <c r="F697" t="s">
        <v>21</v>
      </c>
      <c r="G697" t="s">
        <v>22</v>
      </c>
      <c r="H697" t="s">
        <v>23</v>
      </c>
      <c r="J697">
        <v>0</v>
      </c>
    </row>
    <row r="698" spans="2:10" x14ac:dyDescent="0.25">
      <c r="B698" t="s">
        <v>339</v>
      </c>
      <c r="C698" t="s">
        <v>303</v>
      </c>
      <c r="D698">
        <v>703857</v>
      </c>
      <c r="E698" t="s">
        <v>288</v>
      </c>
      <c r="F698" t="s">
        <v>21</v>
      </c>
      <c r="G698" t="s">
        <v>71</v>
      </c>
      <c r="H698" t="s">
        <v>88</v>
      </c>
      <c r="J698">
        <v>0</v>
      </c>
    </row>
    <row r="699" spans="2:10" x14ac:dyDescent="0.25">
      <c r="B699" t="s">
        <v>339</v>
      </c>
      <c r="C699" t="s">
        <v>303</v>
      </c>
      <c r="D699">
        <v>703858</v>
      </c>
      <c r="E699" t="s">
        <v>289</v>
      </c>
      <c r="F699" t="s">
        <v>21</v>
      </c>
      <c r="G699" t="s">
        <v>22</v>
      </c>
      <c r="H699" t="s">
        <v>23</v>
      </c>
      <c r="J699">
        <v>0</v>
      </c>
    </row>
    <row r="700" spans="2:10" x14ac:dyDescent="0.25">
      <c r="B700" t="s">
        <v>339</v>
      </c>
      <c r="C700" t="s">
        <v>303</v>
      </c>
      <c r="D700">
        <v>703859</v>
      </c>
      <c r="E700" t="s">
        <v>290</v>
      </c>
      <c r="F700" t="s">
        <v>21</v>
      </c>
      <c r="G700" t="s">
        <v>22</v>
      </c>
      <c r="H700" t="s">
        <v>23</v>
      </c>
      <c r="J700">
        <v>0</v>
      </c>
    </row>
    <row r="701" spans="2:10" x14ac:dyDescent="0.25">
      <c r="B701" t="s">
        <v>339</v>
      </c>
      <c r="C701" t="s">
        <v>303</v>
      </c>
      <c r="D701">
        <v>703860</v>
      </c>
      <c r="E701" t="s">
        <v>291</v>
      </c>
      <c r="F701" t="s">
        <v>21</v>
      </c>
      <c r="G701" t="s">
        <v>22</v>
      </c>
      <c r="H701" t="s">
        <v>23</v>
      </c>
      <c r="J701">
        <v>0</v>
      </c>
    </row>
    <row r="702" spans="2:10" x14ac:dyDescent="0.25">
      <c r="B702" t="s">
        <v>339</v>
      </c>
      <c r="C702" t="s">
        <v>303</v>
      </c>
      <c r="D702">
        <v>703861</v>
      </c>
      <c r="E702" t="s">
        <v>292</v>
      </c>
      <c r="F702" t="s">
        <v>21</v>
      </c>
      <c r="G702" t="s">
        <v>22</v>
      </c>
      <c r="H702" t="s">
        <v>23</v>
      </c>
      <c r="J702">
        <v>0</v>
      </c>
    </row>
    <row r="703" spans="2:10" x14ac:dyDescent="0.25">
      <c r="B703" t="s">
        <v>339</v>
      </c>
      <c r="C703" t="s">
        <v>303</v>
      </c>
      <c r="D703">
        <v>703862</v>
      </c>
      <c r="E703" t="s">
        <v>293</v>
      </c>
      <c r="F703" t="s">
        <v>21</v>
      </c>
      <c r="G703" t="s">
        <v>22</v>
      </c>
      <c r="H703" t="s">
        <v>23</v>
      </c>
      <c r="J703">
        <v>0</v>
      </c>
    </row>
    <row r="704" spans="2:10" x14ac:dyDescent="0.25">
      <c r="B704" t="s">
        <v>339</v>
      </c>
      <c r="C704" t="s">
        <v>303</v>
      </c>
      <c r="D704">
        <v>703870</v>
      </c>
      <c r="E704" t="s">
        <v>294</v>
      </c>
      <c r="F704" t="s">
        <v>21</v>
      </c>
      <c r="G704" t="s">
        <v>22</v>
      </c>
      <c r="H704" t="s">
        <v>23</v>
      </c>
      <c r="J704">
        <v>0</v>
      </c>
    </row>
    <row r="705" spans="2:10" x14ac:dyDescent="0.25">
      <c r="B705" t="s">
        <v>339</v>
      </c>
      <c r="C705" t="s">
        <v>303</v>
      </c>
      <c r="D705">
        <v>703880</v>
      </c>
      <c r="E705" t="s">
        <v>295</v>
      </c>
      <c r="F705" t="s">
        <v>21</v>
      </c>
      <c r="G705" t="s">
        <v>22</v>
      </c>
      <c r="H705" t="s">
        <v>23</v>
      </c>
      <c r="J705">
        <v>0</v>
      </c>
    </row>
    <row r="706" spans="2:10" x14ac:dyDescent="0.25">
      <c r="B706" t="s">
        <v>339</v>
      </c>
      <c r="C706" t="s">
        <v>303</v>
      </c>
      <c r="D706">
        <v>703899</v>
      </c>
      <c r="E706" t="s">
        <v>296</v>
      </c>
      <c r="F706" t="s">
        <v>21</v>
      </c>
      <c r="G706" t="s">
        <v>22</v>
      </c>
      <c r="H706" t="s">
        <v>23</v>
      </c>
      <c r="J706">
        <v>0</v>
      </c>
    </row>
    <row r="707" spans="2:10" x14ac:dyDescent="0.25">
      <c r="B707" t="s">
        <v>339</v>
      </c>
      <c r="C707" t="s">
        <v>303</v>
      </c>
      <c r="D707">
        <v>706700</v>
      </c>
      <c r="E707" t="s">
        <v>25</v>
      </c>
      <c r="F707" t="s">
        <v>26</v>
      </c>
      <c r="G707" t="s">
        <v>27</v>
      </c>
      <c r="H707" t="s">
        <v>28</v>
      </c>
      <c r="J707">
        <v>1256402.5</v>
      </c>
    </row>
    <row r="708" spans="2:10" x14ac:dyDescent="0.25">
      <c r="B708" t="s">
        <v>339</v>
      </c>
      <c r="C708" t="s">
        <v>303</v>
      </c>
      <c r="D708" t="s">
        <v>29</v>
      </c>
      <c r="E708" t="s">
        <v>30</v>
      </c>
      <c r="F708" t="s">
        <v>26</v>
      </c>
      <c r="G708" t="s">
        <v>27</v>
      </c>
      <c r="H708" t="s">
        <v>31</v>
      </c>
      <c r="J708">
        <v>0</v>
      </c>
    </row>
    <row r="709" spans="2:10" x14ac:dyDescent="0.25">
      <c r="B709" t="s">
        <v>339</v>
      </c>
      <c r="C709" t="s">
        <v>303</v>
      </c>
      <c r="D709" t="s">
        <v>32</v>
      </c>
      <c r="E709" t="s">
        <v>33</v>
      </c>
      <c r="F709" t="s">
        <v>26</v>
      </c>
      <c r="G709" t="s">
        <v>27</v>
      </c>
      <c r="H709" t="s">
        <v>28</v>
      </c>
      <c r="J709">
        <v>0</v>
      </c>
    </row>
    <row r="710" spans="2:10" x14ac:dyDescent="0.25">
      <c r="B710" t="s">
        <v>339</v>
      </c>
      <c r="C710" t="s">
        <v>303</v>
      </c>
      <c r="D710" t="s">
        <v>34</v>
      </c>
      <c r="E710" t="s">
        <v>35</v>
      </c>
      <c r="F710" t="s">
        <v>26</v>
      </c>
      <c r="G710" t="s">
        <v>36</v>
      </c>
      <c r="H710" t="s">
        <v>36</v>
      </c>
      <c r="J710">
        <v>0</v>
      </c>
    </row>
    <row r="711" spans="2:10" x14ac:dyDescent="0.25">
      <c r="B711" t="s">
        <v>339</v>
      </c>
      <c r="C711" t="s">
        <v>303</v>
      </c>
      <c r="D711" t="s">
        <v>37</v>
      </c>
      <c r="E711" t="s">
        <v>38</v>
      </c>
      <c r="F711" t="s">
        <v>21</v>
      </c>
      <c r="G711" t="s">
        <v>39</v>
      </c>
      <c r="H711" t="s">
        <v>39</v>
      </c>
      <c r="J711">
        <v>0</v>
      </c>
    </row>
    <row r="712" spans="2:10" x14ac:dyDescent="0.25">
      <c r="B712" t="s">
        <v>339</v>
      </c>
      <c r="C712" t="s">
        <v>303</v>
      </c>
      <c r="D712" t="s">
        <v>40</v>
      </c>
      <c r="E712" t="s">
        <v>41</v>
      </c>
      <c r="F712" t="s">
        <v>26</v>
      </c>
      <c r="G712" t="s">
        <v>39</v>
      </c>
      <c r="H712" t="s">
        <v>39</v>
      </c>
      <c r="I712" t="s">
        <v>105</v>
      </c>
      <c r="J712">
        <v>31420.55</v>
      </c>
    </row>
    <row r="713" spans="2:10" x14ac:dyDescent="0.25">
      <c r="B713" t="s">
        <v>339</v>
      </c>
      <c r="C713" t="s">
        <v>303</v>
      </c>
      <c r="D713" t="s">
        <v>42</v>
      </c>
      <c r="E713" t="s">
        <v>43</v>
      </c>
      <c r="F713" t="s">
        <v>21</v>
      </c>
      <c r="G713" t="s">
        <v>44</v>
      </c>
      <c r="H713" t="s">
        <v>44</v>
      </c>
      <c r="J713">
        <v>0</v>
      </c>
    </row>
    <row r="714" spans="2:10" x14ac:dyDescent="0.25">
      <c r="B714" t="s">
        <v>339</v>
      </c>
      <c r="C714" t="s">
        <v>303</v>
      </c>
      <c r="D714" t="s">
        <v>45</v>
      </c>
      <c r="E714" t="s">
        <v>46</v>
      </c>
      <c r="F714" t="s">
        <v>26</v>
      </c>
      <c r="G714" t="s">
        <v>44</v>
      </c>
      <c r="H714" t="s">
        <v>44</v>
      </c>
      <c r="J714">
        <v>0</v>
      </c>
    </row>
    <row r="715" spans="2:10" x14ac:dyDescent="0.25">
      <c r="B715" t="s">
        <v>339</v>
      </c>
      <c r="C715" t="s">
        <v>303</v>
      </c>
      <c r="D715" t="s">
        <v>297</v>
      </c>
      <c r="E715" t="s">
        <v>298</v>
      </c>
      <c r="F715" t="s">
        <v>26</v>
      </c>
      <c r="G715" t="s">
        <v>299</v>
      </c>
      <c r="H715" t="s">
        <v>299</v>
      </c>
    </row>
    <row r="716" spans="2:10" x14ac:dyDescent="0.25">
      <c r="B716" t="s">
        <v>339</v>
      </c>
      <c r="C716" t="s">
        <v>303</v>
      </c>
      <c r="D716" t="s">
        <v>300</v>
      </c>
      <c r="E716" t="s">
        <v>301</v>
      </c>
      <c r="F716" t="s">
        <v>21</v>
      </c>
      <c r="G716" t="s">
        <v>299</v>
      </c>
      <c r="H716" t="s">
        <v>299</v>
      </c>
    </row>
    <row r="717" spans="2:10" x14ac:dyDescent="0.25">
      <c r="B717" t="s">
        <v>339</v>
      </c>
      <c r="C717" t="s">
        <v>303</v>
      </c>
      <c r="D717" t="s">
        <v>47</v>
      </c>
      <c r="E717" t="s">
        <v>48</v>
      </c>
      <c r="F717" t="s">
        <v>26</v>
      </c>
      <c r="G717" t="s">
        <v>49</v>
      </c>
      <c r="H717" t="s">
        <v>49</v>
      </c>
      <c r="J717">
        <v>0</v>
      </c>
    </row>
    <row r="718" spans="2:10" x14ac:dyDescent="0.25">
      <c r="B718" t="s">
        <v>341</v>
      </c>
      <c r="C718" t="s">
        <v>304</v>
      </c>
      <c r="D718">
        <v>701000</v>
      </c>
      <c r="E718" t="s">
        <v>51</v>
      </c>
      <c r="F718" t="s">
        <v>21</v>
      </c>
      <c r="G718" t="s">
        <v>52</v>
      </c>
      <c r="H718" t="s">
        <v>53</v>
      </c>
      <c r="J718">
        <v>0</v>
      </c>
    </row>
    <row r="719" spans="2:10" x14ac:dyDescent="0.25">
      <c r="B719" t="s">
        <v>341</v>
      </c>
      <c r="C719" t="s">
        <v>304</v>
      </c>
      <c r="D719">
        <v>701008</v>
      </c>
      <c r="E719" t="s">
        <v>54</v>
      </c>
      <c r="F719" t="s">
        <v>21</v>
      </c>
      <c r="G719" t="s">
        <v>52</v>
      </c>
      <c r="H719" t="s">
        <v>53</v>
      </c>
      <c r="J719">
        <v>0</v>
      </c>
    </row>
    <row r="720" spans="2:10" x14ac:dyDescent="0.25">
      <c r="B720" t="s">
        <v>341</v>
      </c>
      <c r="C720" t="s">
        <v>304</v>
      </c>
      <c r="D720">
        <v>701009</v>
      </c>
      <c r="E720" t="s">
        <v>55</v>
      </c>
      <c r="F720" t="s">
        <v>21</v>
      </c>
      <c r="G720" t="s">
        <v>52</v>
      </c>
      <c r="H720" t="s">
        <v>53</v>
      </c>
      <c r="J720">
        <v>0</v>
      </c>
    </row>
    <row r="721" spans="2:10" x14ac:dyDescent="0.25">
      <c r="B721" t="s">
        <v>341</v>
      </c>
      <c r="C721" t="s">
        <v>304</v>
      </c>
      <c r="D721">
        <v>701010</v>
      </c>
      <c r="E721" t="s">
        <v>56</v>
      </c>
      <c r="F721" t="s">
        <v>21</v>
      </c>
      <c r="G721" t="s">
        <v>52</v>
      </c>
      <c r="H721" t="s">
        <v>57</v>
      </c>
      <c r="J721">
        <v>0</v>
      </c>
    </row>
    <row r="722" spans="2:10" x14ac:dyDescent="0.25">
      <c r="B722" t="s">
        <v>341</v>
      </c>
      <c r="C722" t="s">
        <v>304</v>
      </c>
      <c r="D722">
        <v>701011</v>
      </c>
      <c r="E722" t="s">
        <v>58</v>
      </c>
      <c r="F722" t="s">
        <v>21</v>
      </c>
      <c r="G722" t="s">
        <v>52</v>
      </c>
      <c r="H722" t="s">
        <v>53</v>
      </c>
      <c r="J722">
        <v>0</v>
      </c>
    </row>
    <row r="723" spans="2:10" x14ac:dyDescent="0.25">
      <c r="B723" t="s">
        <v>341</v>
      </c>
      <c r="C723" t="s">
        <v>304</v>
      </c>
      <c r="D723">
        <v>701012</v>
      </c>
      <c r="E723" t="s">
        <v>59</v>
      </c>
      <c r="F723" t="s">
        <v>21</v>
      </c>
      <c r="G723" t="s">
        <v>52</v>
      </c>
      <c r="H723" t="s">
        <v>53</v>
      </c>
      <c r="J723">
        <v>0</v>
      </c>
    </row>
    <row r="724" spans="2:10" x14ac:dyDescent="0.25">
      <c r="B724" t="s">
        <v>341</v>
      </c>
      <c r="C724" t="s">
        <v>304</v>
      </c>
      <c r="D724">
        <v>701013</v>
      </c>
      <c r="E724" t="s">
        <v>60</v>
      </c>
      <c r="F724" t="s">
        <v>21</v>
      </c>
      <c r="G724" t="s">
        <v>61</v>
      </c>
      <c r="H724" t="s">
        <v>62</v>
      </c>
      <c r="J724">
        <v>0</v>
      </c>
    </row>
    <row r="725" spans="2:10" x14ac:dyDescent="0.25">
      <c r="B725" t="s">
        <v>341</v>
      </c>
      <c r="C725" t="s">
        <v>304</v>
      </c>
      <c r="D725">
        <v>701014</v>
      </c>
      <c r="E725" t="s">
        <v>63</v>
      </c>
      <c r="F725" t="s">
        <v>21</v>
      </c>
      <c r="G725" t="s">
        <v>61</v>
      </c>
      <c r="H725" t="s">
        <v>64</v>
      </c>
      <c r="J725">
        <v>0</v>
      </c>
    </row>
    <row r="726" spans="2:10" x14ac:dyDescent="0.25">
      <c r="B726" t="s">
        <v>341</v>
      </c>
      <c r="C726" t="s">
        <v>304</v>
      </c>
      <c r="D726">
        <v>701015</v>
      </c>
      <c r="E726" t="s">
        <v>65</v>
      </c>
      <c r="F726" t="s">
        <v>21</v>
      </c>
      <c r="G726" t="s">
        <v>52</v>
      </c>
      <c r="H726" t="s">
        <v>53</v>
      </c>
      <c r="J726">
        <v>0</v>
      </c>
    </row>
    <row r="727" spans="2:10" x14ac:dyDescent="0.25">
      <c r="B727" t="s">
        <v>341</v>
      </c>
      <c r="C727" t="s">
        <v>304</v>
      </c>
      <c r="D727">
        <v>701016</v>
      </c>
      <c r="E727" t="s">
        <v>66</v>
      </c>
      <c r="F727" t="s">
        <v>21</v>
      </c>
      <c r="G727" t="s">
        <v>52</v>
      </c>
      <c r="H727" t="s">
        <v>53</v>
      </c>
      <c r="J727">
        <v>0</v>
      </c>
    </row>
    <row r="728" spans="2:10" x14ac:dyDescent="0.25">
      <c r="B728" t="s">
        <v>341</v>
      </c>
      <c r="C728" t="s">
        <v>304</v>
      </c>
      <c r="D728">
        <v>701017</v>
      </c>
      <c r="E728" t="s">
        <v>67</v>
      </c>
      <c r="F728" t="s">
        <v>21</v>
      </c>
      <c r="G728" t="s">
        <v>61</v>
      </c>
      <c r="H728" t="s">
        <v>68</v>
      </c>
      <c r="J728">
        <v>0</v>
      </c>
    </row>
    <row r="729" spans="2:10" x14ac:dyDescent="0.25">
      <c r="B729" t="s">
        <v>341</v>
      </c>
      <c r="C729" t="s">
        <v>304</v>
      </c>
      <c r="D729">
        <v>701018</v>
      </c>
      <c r="E729" t="s">
        <v>69</v>
      </c>
      <c r="F729" t="s">
        <v>21</v>
      </c>
      <c r="G729" t="s">
        <v>61</v>
      </c>
      <c r="H729" t="s">
        <v>68</v>
      </c>
      <c r="J729">
        <v>0</v>
      </c>
    </row>
    <row r="730" spans="2:10" x14ac:dyDescent="0.25">
      <c r="B730" t="s">
        <v>341</v>
      </c>
      <c r="C730" t="s">
        <v>304</v>
      </c>
      <c r="D730">
        <v>701019</v>
      </c>
      <c r="E730" t="s">
        <v>70</v>
      </c>
      <c r="F730" t="s">
        <v>21</v>
      </c>
      <c r="G730" t="s">
        <v>71</v>
      </c>
      <c r="H730" t="s">
        <v>72</v>
      </c>
      <c r="J730">
        <v>0</v>
      </c>
    </row>
    <row r="731" spans="2:10" x14ac:dyDescent="0.25">
      <c r="B731" t="s">
        <v>341</v>
      </c>
      <c r="C731" t="s">
        <v>304</v>
      </c>
      <c r="D731">
        <v>701020</v>
      </c>
      <c r="E731" t="s">
        <v>73</v>
      </c>
      <c r="F731" t="s">
        <v>21</v>
      </c>
      <c r="G731" t="s">
        <v>52</v>
      </c>
      <c r="H731" t="s">
        <v>53</v>
      </c>
      <c r="J731">
        <v>0</v>
      </c>
    </row>
    <row r="732" spans="2:10" x14ac:dyDescent="0.25">
      <c r="B732" t="s">
        <v>341</v>
      </c>
      <c r="C732" t="s">
        <v>304</v>
      </c>
      <c r="D732">
        <v>701021</v>
      </c>
      <c r="E732" t="s">
        <v>74</v>
      </c>
      <c r="F732" t="s">
        <v>21</v>
      </c>
      <c r="G732" t="s">
        <v>61</v>
      </c>
      <c r="H732" t="s">
        <v>74</v>
      </c>
      <c r="J732">
        <v>0</v>
      </c>
    </row>
    <row r="733" spans="2:10" x14ac:dyDescent="0.25">
      <c r="B733" t="s">
        <v>341</v>
      </c>
      <c r="C733" t="s">
        <v>304</v>
      </c>
      <c r="D733">
        <v>701022</v>
      </c>
      <c r="E733" t="s">
        <v>75</v>
      </c>
      <c r="F733" t="s">
        <v>21</v>
      </c>
      <c r="G733" t="s">
        <v>76</v>
      </c>
      <c r="H733" t="s">
        <v>77</v>
      </c>
      <c r="J733">
        <v>0</v>
      </c>
    </row>
    <row r="734" spans="2:10" x14ac:dyDescent="0.25">
      <c r="B734" t="s">
        <v>341</v>
      </c>
      <c r="C734" t="s">
        <v>304</v>
      </c>
      <c r="D734">
        <v>701023</v>
      </c>
      <c r="E734" t="s">
        <v>78</v>
      </c>
      <c r="F734" t="s">
        <v>21</v>
      </c>
      <c r="G734" t="s">
        <v>61</v>
      </c>
      <c r="H734" t="s">
        <v>79</v>
      </c>
      <c r="J734">
        <v>0</v>
      </c>
    </row>
    <row r="735" spans="2:10" x14ac:dyDescent="0.25">
      <c r="B735" t="s">
        <v>341</v>
      </c>
      <c r="C735" t="s">
        <v>304</v>
      </c>
      <c r="D735">
        <v>701024</v>
      </c>
      <c r="E735" t="s">
        <v>80</v>
      </c>
      <c r="F735" t="s">
        <v>21</v>
      </c>
      <c r="G735" t="s">
        <v>76</v>
      </c>
      <c r="H735" t="s">
        <v>77</v>
      </c>
      <c r="J735">
        <v>0</v>
      </c>
    </row>
    <row r="736" spans="2:10" x14ac:dyDescent="0.25">
      <c r="B736" t="s">
        <v>341</v>
      </c>
      <c r="C736" t="s">
        <v>304</v>
      </c>
      <c r="D736">
        <v>701025</v>
      </c>
      <c r="E736" t="s">
        <v>81</v>
      </c>
      <c r="F736" t="s">
        <v>21</v>
      </c>
      <c r="G736" t="s">
        <v>71</v>
      </c>
      <c r="H736" t="s">
        <v>82</v>
      </c>
      <c r="J736">
        <v>0</v>
      </c>
    </row>
    <row r="737" spans="2:10" x14ac:dyDescent="0.25">
      <c r="B737" t="s">
        <v>341</v>
      </c>
      <c r="C737" t="s">
        <v>304</v>
      </c>
      <c r="D737">
        <v>701026</v>
      </c>
      <c r="E737" t="s">
        <v>83</v>
      </c>
      <c r="F737" t="s">
        <v>21</v>
      </c>
      <c r="G737" t="s">
        <v>76</v>
      </c>
      <c r="H737" t="s">
        <v>77</v>
      </c>
      <c r="J737">
        <v>0</v>
      </c>
    </row>
    <row r="738" spans="2:10" x14ac:dyDescent="0.25">
      <c r="B738" t="s">
        <v>341</v>
      </c>
      <c r="C738" t="s">
        <v>304</v>
      </c>
      <c r="D738">
        <v>701027</v>
      </c>
      <c r="E738" t="s">
        <v>84</v>
      </c>
      <c r="F738" t="s">
        <v>21</v>
      </c>
      <c r="G738" t="s">
        <v>76</v>
      </c>
      <c r="H738" t="s">
        <v>77</v>
      </c>
      <c r="J738">
        <v>0</v>
      </c>
    </row>
    <row r="739" spans="2:10" x14ac:dyDescent="0.25">
      <c r="B739" t="s">
        <v>341</v>
      </c>
      <c r="C739" t="s">
        <v>304</v>
      </c>
      <c r="D739">
        <v>701028</v>
      </c>
      <c r="E739" t="s">
        <v>85</v>
      </c>
      <c r="F739" t="s">
        <v>21</v>
      </c>
      <c r="G739" t="s">
        <v>61</v>
      </c>
      <c r="H739" t="s">
        <v>68</v>
      </c>
      <c r="J739">
        <v>0</v>
      </c>
    </row>
    <row r="740" spans="2:10" x14ac:dyDescent="0.25">
      <c r="B740" t="s">
        <v>341</v>
      </c>
      <c r="C740" t="s">
        <v>304</v>
      </c>
      <c r="D740">
        <v>701029</v>
      </c>
      <c r="E740" t="s">
        <v>86</v>
      </c>
      <c r="F740" t="s">
        <v>21</v>
      </c>
      <c r="G740" t="s">
        <v>61</v>
      </c>
      <c r="H740" t="s">
        <v>68</v>
      </c>
      <c r="J740">
        <v>0</v>
      </c>
    </row>
    <row r="741" spans="2:10" x14ac:dyDescent="0.25">
      <c r="B741" t="s">
        <v>341</v>
      </c>
      <c r="C741" t="s">
        <v>304</v>
      </c>
      <c r="D741">
        <v>701030</v>
      </c>
      <c r="E741" t="s">
        <v>87</v>
      </c>
      <c r="F741" t="s">
        <v>21</v>
      </c>
      <c r="G741" t="s">
        <v>71</v>
      </c>
      <c r="H741" t="s">
        <v>88</v>
      </c>
      <c r="J741">
        <v>0</v>
      </c>
    </row>
    <row r="742" spans="2:10" x14ac:dyDescent="0.25">
      <c r="B742" t="s">
        <v>341</v>
      </c>
      <c r="C742" t="s">
        <v>304</v>
      </c>
      <c r="D742">
        <v>701031</v>
      </c>
      <c r="E742" t="s">
        <v>89</v>
      </c>
      <c r="F742" t="s">
        <v>21</v>
      </c>
      <c r="G742" t="s">
        <v>76</v>
      </c>
      <c r="H742" t="s">
        <v>77</v>
      </c>
      <c r="J742">
        <v>0</v>
      </c>
    </row>
    <row r="743" spans="2:10" x14ac:dyDescent="0.25">
      <c r="B743" t="s">
        <v>341</v>
      </c>
      <c r="C743" t="s">
        <v>304</v>
      </c>
      <c r="D743">
        <v>701032</v>
      </c>
      <c r="E743" t="s">
        <v>90</v>
      </c>
      <c r="F743" t="s">
        <v>21</v>
      </c>
      <c r="G743" t="s">
        <v>52</v>
      </c>
      <c r="H743" t="s">
        <v>53</v>
      </c>
      <c r="J743">
        <v>0</v>
      </c>
    </row>
    <row r="744" spans="2:10" x14ac:dyDescent="0.25">
      <c r="B744" t="s">
        <v>341</v>
      </c>
      <c r="C744" t="s">
        <v>304</v>
      </c>
      <c r="D744">
        <v>701034</v>
      </c>
      <c r="E744" t="s">
        <v>91</v>
      </c>
      <c r="F744" t="s">
        <v>21</v>
      </c>
      <c r="G744" t="s">
        <v>76</v>
      </c>
      <c r="H744" t="s">
        <v>77</v>
      </c>
      <c r="J744">
        <v>0</v>
      </c>
    </row>
    <row r="745" spans="2:10" x14ac:dyDescent="0.25">
      <c r="B745" t="s">
        <v>341</v>
      </c>
      <c r="C745" t="s">
        <v>304</v>
      </c>
      <c r="D745">
        <v>701035</v>
      </c>
      <c r="E745" t="s">
        <v>92</v>
      </c>
      <c r="F745" t="s">
        <v>21</v>
      </c>
      <c r="G745" t="s">
        <v>61</v>
      </c>
      <c r="H745" t="s">
        <v>68</v>
      </c>
      <c r="J745">
        <v>0</v>
      </c>
    </row>
    <row r="746" spans="2:10" x14ac:dyDescent="0.25">
      <c r="B746" t="s">
        <v>341</v>
      </c>
      <c r="C746" t="s">
        <v>304</v>
      </c>
      <c r="D746">
        <v>701036</v>
      </c>
      <c r="E746" t="s">
        <v>93</v>
      </c>
      <c r="F746" t="s">
        <v>21</v>
      </c>
      <c r="G746" t="s">
        <v>52</v>
      </c>
      <c r="H746" t="s">
        <v>53</v>
      </c>
      <c r="J746">
        <v>0</v>
      </c>
    </row>
    <row r="747" spans="2:10" x14ac:dyDescent="0.25">
      <c r="B747" t="s">
        <v>341</v>
      </c>
      <c r="C747" t="s">
        <v>304</v>
      </c>
      <c r="D747">
        <v>701113</v>
      </c>
      <c r="E747" t="s">
        <v>94</v>
      </c>
      <c r="F747" t="s">
        <v>21</v>
      </c>
      <c r="G747" t="s">
        <v>61</v>
      </c>
      <c r="H747" t="s">
        <v>62</v>
      </c>
      <c r="J747">
        <v>0</v>
      </c>
    </row>
    <row r="748" spans="2:10" x14ac:dyDescent="0.25">
      <c r="B748" t="s">
        <v>341</v>
      </c>
      <c r="C748" t="s">
        <v>304</v>
      </c>
      <c r="D748">
        <v>701119</v>
      </c>
      <c r="E748" t="s">
        <v>95</v>
      </c>
      <c r="F748" t="s">
        <v>21</v>
      </c>
      <c r="G748" t="s">
        <v>22</v>
      </c>
      <c r="H748" t="s">
        <v>23</v>
      </c>
      <c r="I748" t="s">
        <v>105</v>
      </c>
      <c r="J748">
        <v>50000</v>
      </c>
    </row>
    <row r="749" spans="2:10" x14ac:dyDescent="0.25">
      <c r="B749" t="s">
        <v>341</v>
      </c>
      <c r="C749" t="s">
        <v>304</v>
      </c>
      <c r="D749">
        <v>701120</v>
      </c>
      <c r="E749" t="s">
        <v>96</v>
      </c>
      <c r="F749" t="s">
        <v>21</v>
      </c>
      <c r="G749" t="s">
        <v>22</v>
      </c>
      <c r="H749" t="s">
        <v>23</v>
      </c>
      <c r="J749">
        <v>0</v>
      </c>
    </row>
    <row r="750" spans="2:10" x14ac:dyDescent="0.25">
      <c r="B750" t="s">
        <v>341</v>
      </c>
      <c r="C750" t="s">
        <v>304</v>
      </c>
      <c r="D750">
        <v>701121</v>
      </c>
      <c r="E750" t="s">
        <v>97</v>
      </c>
      <c r="F750" t="s">
        <v>21</v>
      </c>
      <c r="G750" t="s">
        <v>22</v>
      </c>
      <c r="H750" t="s">
        <v>23</v>
      </c>
      <c r="J750">
        <v>0</v>
      </c>
    </row>
    <row r="751" spans="2:10" x14ac:dyDescent="0.25">
      <c r="B751" t="s">
        <v>341</v>
      </c>
      <c r="C751" t="s">
        <v>304</v>
      </c>
      <c r="D751">
        <v>701122</v>
      </c>
      <c r="E751" t="s">
        <v>98</v>
      </c>
      <c r="F751" t="s">
        <v>21</v>
      </c>
      <c r="G751" t="s">
        <v>71</v>
      </c>
      <c r="H751" t="s">
        <v>88</v>
      </c>
      <c r="J751">
        <v>0</v>
      </c>
    </row>
    <row r="752" spans="2:10" x14ac:dyDescent="0.25">
      <c r="B752" t="s">
        <v>341</v>
      </c>
      <c r="C752" t="s">
        <v>304</v>
      </c>
      <c r="D752">
        <v>701123</v>
      </c>
      <c r="E752" t="s">
        <v>99</v>
      </c>
      <c r="F752" t="s">
        <v>21</v>
      </c>
      <c r="G752" t="s">
        <v>22</v>
      </c>
      <c r="H752" t="s">
        <v>23</v>
      </c>
      <c r="J752">
        <v>0</v>
      </c>
    </row>
    <row r="753" spans="2:10" x14ac:dyDescent="0.25">
      <c r="B753" t="s">
        <v>341</v>
      </c>
      <c r="C753" t="s">
        <v>304</v>
      </c>
      <c r="D753">
        <v>701127</v>
      </c>
      <c r="E753" t="s">
        <v>100</v>
      </c>
      <c r="F753" t="s">
        <v>21</v>
      </c>
      <c r="G753" t="s">
        <v>76</v>
      </c>
      <c r="H753" t="s">
        <v>77</v>
      </c>
      <c r="J753">
        <v>0</v>
      </c>
    </row>
    <row r="754" spans="2:10" x14ac:dyDescent="0.25">
      <c r="B754" t="s">
        <v>341</v>
      </c>
      <c r="C754" t="s">
        <v>304</v>
      </c>
      <c r="D754">
        <v>701213</v>
      </c>
      <c r="E754" t="s">
        <v>101</v>
      </c>
      <c r="F754" t="s">
        <v>21</v>
      </c>
      <c r="G754" t="s">
        <v>61</v>
      </c>
      <c r="H754" t="s">
        <v>62</v>
      </c>
      <c r="J754">
        <v>0</v>
      </c>
    </row>
    <row r="755" spans="2:10" x14ac:dyDescent="0.25">
      <c r="B755" t="s">
        <v>341</v>
      </c>
      <c r="C755" t="s">
        <v>304</v>
      </c>
      <c r="D755">
        <v>701214</v>
      </c>
      <c r="E755" t="s">
        <v>102</v>
      </c>
      <c r="F755" t="s">
        <v>21</v>
      </c>
      <c r="G755" t="s">
        <v>61</v>
      </c>
      <c r="H755" t="s">
        <v>62</v>
      </c>
      <c r="J755">
        <v>0</v>
      </c>
    </row>
    <row r="756" spans="2:10" x14ac:dyDescent="0.25">
      <c r="B756" t="s">
        <v>341</v>
      </c>
      <c r="C756" t="s">
        <v>304</v>
      </c>
      <c r="D756">
        <v>701215</v>
      </c>
      <c r="E756" t="s">
        <v>103</v>
      </c>
      <c r="F756" t="s">
        <v>21</v>
      </c>
      <c r="G756" t="s">
        <v>61</v>
      </c>
      <c r="H756" t="s">
        <v>62</v>
      </c>
      <c r="J756">
        <v>0</v>
      </c>
    </row>
    <row r="757" spans="2:10" x14ac:dyDescent="0.25">
      <c r="B757" t="s">
        <v>341</v>
      </c>
      <c r="C757" t="s">
        <v>304</v>
      </c>
      <c r="D757">
        <v>701227</v>
      </c>
      <c r="E757" t="s">
        <v>104</v>
      </c>
      <c r="F757" t="s">
        <v>21</v>
      </c>
      <c r="G757" t="s">
        <v>76</v>
      </c>
      <c r="H757" t="s">
        <v>77</v>
      </c>
      <c r="J757">
        <v>0</v>
      </c>
    </row>
    <row r="758" spans="2:10" x14ac:dyDescent="0.25">
      <c r="B758" t="s">
        <v>341</v>
      </c>
      <c r="C758" t="s">
        <v>304</v>
      </c>
      <c r="D758">
        <v>701327</v>
      </c>
      <c r="E758" t="s">
        <v>106</v>
      </c>
      <c r="F758" t="s">
        <v>21</v>
      </c>
      <c r="G758" t="s">
        <v>76</v>
      </c>
      <c r="H758" t="s">
        <v>77</v>
      </c>
      <c r="J758">
        <v>0</v>
      </c>
    </row>
    <row r="759" spans="2:10" x14ac:dyDescent="0.25">
      <c r="B759" t="s">
        <v>341</v>
      </c>
      <c r="C759" t="s">
        <v>304</v>
      </c>
      <c r="D759">
        <v>701427</v>
      </c>
      <c r="E759" t="s">
        <v>107</v>
      </c>
      <c r="F759" t="s">
        <v>21</v>
      </c>
      <c r="G759" t="s">
        <v>76</v>
      </c>
      <c r="H759" t="s">
        <v>108</v>
      </c>
      <c r="J759">
        <v>0</v>
      </c>
    </row>
    <row r="760" spans="2:10" x14ac:dyDescent="0.25">
      <c r="B760" t="s">
        <v>341</v>
      </c>
      <c r="C760" t="s">
        <v>304</v>
      </c>
      <c r="D760">
        <v>701527</v>
      </c>
      <c r="E760" t="s">
        <v>109</v>
      </c>
      <c r="F760" t="s">
        <v>21</v>
      </c>
      <c r="G760" t="s">
        <v>76</v>
      </c>
      <c r="H760" t="s">
        <v>77</v>
      </c>
      <c r="J760">
        <v>0</v>
      </c>
    </row>
    <row r="761" spans="2:10" x14ac:dyDescent="0.25">
      <c r="B761" t="s">
        <v>341</v>
      </c>
      <c r="C761" t="s">
        <v>304</v>
      </c>
      <c r="D761">
        <v>701627</v>
      </c>
      <c r="E761" t="s">
        <v>110</v>
      </c>
      <c r="F761" t="s">
        <v>21</v>
      </c>
      <c r="G761" t="s">
        <v>76</v>
      </c>
      <c r="H761" t="s">
        <v>77</v>
      </c>
      <c r="J761">
        <v>0</v>
      </c>
    </row>
    <row r="762" spans="2:10" x14ac:dyDescent="0.25">
      <c r="B762" t="s">
        <v>341</v>
      </c>
      <c r="C762" t="s">
        <v>304</v>
      </c>
      <c r="D762">
        <v>701727</v>
      </c>
      <c r="E762" t="s">
        <v>111</v>
      </c>
      <c r="F762" t="s">
        <v>21</v>
      </c>
      <c r="G762" t="s">
        <v>76</v>
      </c>
      <c r="H762" t="s">
        <v>77</v>
      </c>
      <c r="J762">
        <v>0</v>
      </c>
    </row>
    <row r="763" spans="2:10" x14ac:dyDescent="0.25">
      <c r="B763" t="s">
        <v>341</v>
      </c>
      <c r="C763" t="s">
        <v>304</v>
      </c>
      <c r="D763">
        <v>701801</v>
      </c>
      <c r="E763" t="s">
        <v>112</v>
      </c>
      <c r="F763" t="s">
        <v>21</v>
      </c>
      <c r="G763" t="s">
        <v>76</v>
      </c>
      <c r="H763" t="s">
        <v>77</v>
      </c>
      <c r="J763">
        <v>0</v>
      </c>
    </row>
    <row r="764" spans="2:10" x14ac:dyDescent="0.25">
      <c r="B764" t="s">
        <v>341</v>
      </c>
      <c r="C764" t="s">
        <v>304</v>
      </c>
      <c r="D764">
        <v>701802</v>
      </c>
      <c r="E764" t="s">
        <v>113</v>
      </c>
      <c r="F764" t="s">
        <v>21</v>
      </c>
      <c r="G764" t="s">
        <v>61</v>
      </c>
      <c r="H764" t="s">
        <v>62</v>
      </c>
      <c r="J764">
        <v>0</v>
      </c>
    </row>
    <row r="765" spans="2:10" x14ac:dyDescent="0.25">
      <c r="B765" t="s">
        <v>341</v>
      </c>
      <c r="C765" t="s">
        <v>304</v>
      </c>
      <c r="D765">
        <v>703010</v>
      </c>
      <c r="E765" t="s">
        <v>114</v>
      </c>
      <c r="F765" t="s">
        <v>21</v>
      </c>
      <c r="G765" t="s">
        <v>22</v>
      </c>
      <c r="H765" t="s">
        <v>115</v>
      </c>
      <c r="J765">
        <v>0</v>
      </c>
    </row>
    <row r="766" spans="2:10" x14ac:dyDescent="0.25">
      <c r="B766" t="s">
        <v>341</v>
      </c>
      <c r="C766" t="s">
        <v>304</v>
      </c>
      <c r="D766">
        <v>703011</v>
      </c>
      <c r="E766" t="s">
        <v>116</v>
      </c>
      <c r="F766" t="s">
        <v>21</v>
      </c>
      <c r="G766" t="s">
        <v>22</v>
      </c>
      <c r="H766" t="s">
        <v>115</v>
      </c>
      <c r="J766">
        <v>0</v>
      </c>
    </row>
    <row r="767" spans="2:10" x14ac:dyDescent="0.25">
      <c r="B767" t="s">
        <v>341</v>
      </c>
      <c r="C767" t="s">
        <v>304</v>
      </c>
      <c r="D767">
        <v>703012</v>
      </c>
      <c r="E767" t="s">
        <v>117</v>
      </c>
      <c r="F767" t="s">
        <v>21</v>
      </c>
      <c r="G767" t="s">
        <v>22</v>
      </c>
      <c r="H767" t="s">
        <v>115</v>
      </c>
      <c r="J767">
        <v>0</v>
      </c>
    </row>
    <row r="768" spans="2:10" x14ac:dyDescent="0.25">
      <c r="B768" t="s">
        <v>341</v>
      </c>
      <c r="C768" t="s">
        <v>304</v>
      </c>
      <c r="D768">
        <v>703013</v>
      </c>
      <c r="E768" t="s">
        <v>118</v>
      </c>
      <c r="F768" t="s">
        <v>21</v>
      </c>
      <c r="G768" t="s">
        <v>22</v>
      </c>
      <c r="H768" t="s">
        <v>115</v>
      </c>
      <c r="J768">
        <v>0</v>
      </c>
    </row>
    <row r="769" spans="2:10" x14ac:dyDescent="0.25">
      <c r="B769" t="s">
        <v>341</v>
      </c>
      <c r="C769" t="s">
        <v>304</v>
      </c>
      <c r="D769">
        <v>703014</v>
      </c>
      <c r="E769" t="s">
        <v>119</v>
      </c>
      <c r="F769" t="s">
        <v>21</v>
      </c>
      <c r="G769" t="s">
        <v>22</v>
      </c>
      <c r="H769" t="s">
        <v>115</v>
      </c>
      <c r="J769">
        <v>0</v>
      </c>
    </row>
    <row r="770" spans="2:10" x14ac:dyDescent="0.25">
      <c r="B770" t="s">
        <v>341</v>
      </c>
      <c r="C770" t="s">
        <v>304</v>
      </c>
      <c r="D770">
        <v>703015</v>
      </c>
      <c r="E770" t="s">
        <v>120</v>
      </c>
      <c r="F770" t="s">
        <v>21</v>
      </c>
      <c r="G770" t="s">
        <v>22</v>
      </c>
      <c r="H770" t="s">
        <v>115</v>
      </c>
      <c r="J770">
        <v>0</v>
      </c>
    </row>
    <row r="771" spans="2:10" x14ac:dyDescent="0.25">
      <c r="B771" t="s">
        <v>341</v>
      </c>
      <c r="C771" t="s">
        <v>304</v>
      </c>
      <c r="D771">
        <v>703016</v>
      </c>
      <c r="E771" t="s">
        <v>121</v>
      </c>
      <c r="F771" t="s">
        <v>21</v>
      </c>
      <c r="G771" t="s">
        <v>22</v>
      </c>
      <c r="H771" t="s">
        <v>115</v>
      </c>
      <c r="J771">
        <v>0</v>
      </c>
    </row>
    <row r="772" spans="2:10" x14ac:dyDescent="0.25">
      <c r="B772" t="s">
        <v>341</v>
      </c>
      <c r="C772" t="s">
        <v>304</v>
      </c>
      <c r="D772">
        <v>703017</v>
      </c>
      <c r="E772" t="s">
        <v>122</v>
      </c>
      <c r="F772" t="s">
        <v>21</v>
      </c>
      <c r="G772" t="s">
        <v>22</v>
      </c>
      <c r="H772" t="s">
        <v>115</v>
      </c>
      <c r="J772">
        <v>0</v>
      </c>
    </row>
    <row r="773" spans="2:10" x14ac:dyDescent="0.25">
      <c r="B773" t="s">
        <v>341</v>
      </c>
      <c r="C773" t="s">
        <v>304</v>
      </c>
      <c r="D773">
        <v>703018</v>
      </c>
      <c r="E773" t="s">
        <v>123</v>
      </c>
      <c r="F773" t="s">
        <v>21</v>
      </c>
      <c r="G773" t="s">
        <v>22</v>
      </c>
      <c r="H773" t="s">
        <v>115</v>
      </c>
      <c r="J773">
        <v>0</v>
      </c>
    </row>
    <row r="774" spans="2:10" x14ac:dyDescent="0.25">
      <c r="B774" t="s">
        <v>341</v>
      </c>
      <c r="C774" t="s">
        <v>304</v>
      </c>
      <c r="D774">
        <v>703019</v>
      </c>
      <c r="E774" t="s">
        <v>124</v>
      </c>
      <c r="F774" t="s">
        <v>21</v>
      </c>
      <c r="G774" t="s">
        <v>22</v>
      </c>
      <c r="H774" t="s">
        <v>115</v>
      </c>
      <c r="I774" t="s">
        <v>105</v>
      </c>
      <c r="J774">
        <v>300000</v>
      </c>
    </row>
    <row r="775" spans="2:10" x14ac:dyDescent="0.25">
      <c r="B775" t="s">
        <v>341</v>
      </c>
      <c r="C775" t="s">
        <v>304</v>
      </c>
      <c r="D775">
        <v>703210</v>
      </c>
      <c r="E775" t="s">
        <v>125</v>
      </c>
      <c r="F775" t="s">
        <v>21</v>
      </c>
      <c r="G775" t="s">
        <v>22</v>
      </c>
      <c r="H775" t="s">
        <v>23</v>
      </c>
      <c r="J775">
        <v>0</v>
      </c>
    </row>
    <row r="776" spans="2:10" x14ac:dyDescent="0.25">
      <c r="B776" t="s">
        <v>341</v>
      </c>
      <c r="C776" t="s">
        <v>304</v>
      </c>
      <c r="D776">
        <v>703211</v>
      </c>
      <c r="E776" t="s">
        <v>126</v>
      </c>
      <c r="F776" t="s">
        <v>21</v>
      </c>
      <c r="G776" t="s">
        <v>22</v>
      </c>
      <c r="H776" t="s">
        <v>23</v>
      </c>
      <c r="J776">
        <v>0</v>
      </c>
    </row>
    <row r="777" spans="2:10" x14ac:dyDescent="0.25">
      <c r="B777" t="s">
        <v>341</v>
      </c>
      <c r="C777" t="s">
        <v>304</v>
      </c>
      <c r="D777">
        <v>703212</v>
      </c>
      <c r="E777" t="s">
        <v>127</v>
      </c>
      <c r="F777" t="s">
        <v>21</v>
      </c>
      <c r="G777" t="s">
        <v>22</v>
      </c>
      <c r="H777" t="s">
        <v>23</v>
      </c>
      <c r="J777">
        <v>0</v>
      </c>
    </row>
    <row r="778" spans="2:10" x14ac:dyDescent="0.25">
      <c r="B778" t="s">
        <v>341</v>
      </c>
      <c r="C778" t="s">
        <v>304</v>
      </c>
      <c r="D778">
        <v>703213</v>
      </c>
      <c r="E778" t="s">
        <v>128</v>
      </c>
      <c r="F778" t="s">
        <v>21</v>
      </c>
      <c r="G778" t="s">
        <v>22</v>
      </c>
      <c r="H778" t="s">
        <v>23</v>
      </c>
      <c r="J778">
        <v>0</v>
      </c>
    </row>
    <row r="779" spans="2:10" x14ac:dyDescent="0.25">
      <c r="B779" t="s">
        <v>341</v>
      </c>
      <c r="C779" t="s">
        <v>304</v>
      </c>
      <c r="D779">
        <v>703214</v>
      </c>
      <c r="E779" t="s">
        <v>129</v>
      </c>
      <c r="F779" t="s">
        <v>21</v>
      </c>
      <c r="G779" t="s">
        <v>22</v>
      </c>
      <c r="H779" t="s">
        <v>23</v>
      </c>
      <c r="J779">
        <v>0</v>
      </c>
    </row>
    <row r="780" spans="2:10" x14ac:dyDescent="0.25">
      <c r="B780" t="s">
        <v>341</v>
      </c>
      <c r="C780" t="s">
        <v>304</v>
      </c>
      <c r="D780">
        <v>703215</v>
      </c>
      <c r="E780" t="s">
        <v>130</v>
      </c>
      <c r="F780" t="s">
        <v>21</v>
      </c>
      <c r="G780" t="s">
        <v>22</v>
      </c>
      <c r="H780" t="s">
        <v>23</v>
      </c>
      <c r="J780">
        <v>0</v>
      </c>
    </row>
    <row r="781" spans="2:10" x14ac:dyDescent="0.25">
      <c r="B781" t="s">
        <v>341</v>
      </c>
      <c r="C781" t="s">
        <v>304</v>
      </c>
      <c r="D781">
        <v>703216</v>
      </c>
      <c r="E781" t="s">
        <v>131</v>
      </c>
      <c r="F781" t="s">
        <v>21</v>
      </c>
      <c r="G781" t="s">
        <v>22</v>
      </c>
      <c r="H781" t="s">
        <v>23</v>
      </c>
      <c r="J781">
        <v>0</v>
      </c>
    </row>
    <row r="782" spans="2:10" x14ac:dyDescent="0.25">
      <c r="B782" t="s">
        <v>341</v>
      </c>
      <c r="C782" t="s">
        <v>304</v>
      </c>
      <c r="D782">
        <v>703217</v>
      </c>
      <c r="E782" t="s">
        <v>132</v>
      </c>
      <c r="F782" t="s">
        <v>21</v>
      </c>
      <c r="G782" t="s">
        <v>22</v>
      </c>
      <c r="H782" t="s">
        <v>23</v>
      </c>
      <c r="J782">
        <v>0</v>
      </c>
    </row>
    <row r="783" spans="2:10" x14ac:dyDescent="0.25">
      <c r="B783" t="s">
        <v>341</v>
      </c>
      <c r="C783" t="s">
        <v>304</v>
      </c>
      <c r="D783">
        <v>703219</v>
      </c>
      <c r="E783" t="s">
        <v>133</v>
      </c>
      <c r="F783" t="s">
        <v>21</v>
      </c>
      <c r="G783" t="s">
        <v>22</v>
      </c>
      <c r="H783" t="s">
        <v>23</v>
      </c>
      <c r="J783">
        <v>0</v>
      </c>
    </row>
    <row r="784" spans="2:10" x14ac:dyDescent="0.25">
      <c r="B784" t="s">
        <v>341</v>
      </c>
      <c r="C784" t="s">
        <v>304</v>
      </c>
      <c r="D784">
        <v>703220</v>
      </c>
      <c r="E784" t="s">
        <v>134</v>
      </c>
      <c r="F784" t="s">
        <v>21</v>
      </c>
      <c r="G784" t="s">
        <v>71</v>
      </c>
      <c r="H784" t="s">
        <v>135</v>
      </c>
      <c r="J784">
        <v>0</v>
      </c>
    </row>
    <row r="785" spans="2:10" x14ac:dyDescent="0.25">
      <c r="B785" t="s">
        <v>341</v>
      </c>
      <c r="C785" t="s">
        <v>304</v>
      </c>
      <c r="D785">
        <v>703221</v>
      </c>
      <c r="E785" t="s">
        <v>136</v>
      </c>
      <c r="F785" t="s">
        <v>21</v>
      </c>
      <c r="G785" t="s">
        <v>137</v>
      </c>
      <c r="H785" t="s">
        <v>138</v>
      </c>
      <c r="J785">
        <v>0</v>
      </c>
    </row>
    <row r="786" spans="2:10" x14ac:dyDescent="0.25">
      <c r="B786" t="s">
        <v>341</v>
      </c>
      <c r="C786" t="s">
        <v>304</v>
      </c>
      <c r="D786">
        <v>703222</v>
      </c>
      <c r="E786" t="s">
        <v>139</v>
      </c>
      <c r="F786" t="s">
        <v>21</v>
      </c>
      <c r="G786" t="s">
        <v>137</v>
      </c>
      <c r="H786" t="s">
        <v>138</v>
      </c>
      <c r="J786">
        <v>0</v>
      </c>
    </row>
    <row r="787" spans="2:10" x14ac:dyDescent="0.25">
      <c r="B787" t="s">
        <v>341</v>
      </c>
      <c r="C787" t="s">
        <v>304</v>
      </c>
      <c r="D787">
        <v>703223</v>
      </c>
      <c r="E787" t="s">
        <v>140</v>
      </c>
      <c r="F787" t="s">
        <v>21</v>
      </c>
      <c r="G787" t="s">
        <v>137</v>
      </c>
      <c r="H787" t="s">
        <v>141</v>
      </c>
      <c r="J787">
        <v>0</v>
      </c>
    </row>
    <row r="788" spans="2:10" x14ac:dyDescent="0.25">
      <c r="B788" t="s">
        <v>341</v>
      </c>
      <c r="C788" t="s">
        <v>304</v>
      </c>
      <c r="D788">
        <v>703224</v>
      </c>
      <c r="E788" t="s">
        <v>142</v>
      </c>
      <c r="F788" t="s">
        <v>21</v>
      </c>
      <c r="G788" t="s">
        <v>71</v>
      </c>
      <c r="H788" t="s">
        <v>88</v>
      </c>
      <c r="J788">
        <v>0</v>
      </c>
    </row>
    <row r="789" spans="2:10" x14ac:dyDescent="0.25">
      <c r="B789" t="s">
        <v>341</v>
      </c>
      <c r="C789" t="s">
        <v>304</v>
      </c>
      <c r="D789">
        <v>703225</v>
      </c>
      <c r="E789" t="s">
        <v>143</v>
      </c>
      <c r="F789" t="s">
        <v>21</v>
      </c>
      <c r="G789" t="s">
        <v>71</v>
      </c>
      <c r="H789" t="s">
        <v>88</v>
      </c>
      <c r="J789">
        <v>0</v>
      </c>
    </row>
    <row r="790" spans="2:10" x14ac:dyDescent="0.25">
      <c r="B790" t="s">
        <v>341</v>
      </c>
      <c r="C790" t="s">
        <v>304</v>
      </c>
      <c r="D790">
        <v>703226</v>
      </c>
      <c r="E790" t="s">
        <v>144</v>
      </c>
      <c r="F790" t="s">
        <v>21</v>
      </c>
      <c r="G790" t="s">
        <v>71</v>
      </c>
      <c r="H790" t="s">
        <v>82</v>
      </c>
      <c r="J790">
        <v>0</v>
      </c>
    </row>
    <row r="791" spans="2:10" x14ac:dyDescent="0.25">
      <c r="B791" t="s">
        <v>341</v>
      </c>
      <c r="C791" t="s">
        <v>304</v>
      </c>
      <c r="D791">
        <v>703227</v>
      </c>
      <c r="E791" t="s">
        <v>145</v>
      </c>
      <c r="F791" t="s">
        <v>21</v>
      </c>
      <c r="G791" t="s">
        <v>137</v>
      </c>
      <c r="H791" t="s">
        <v>138</v>
      </c>
      <c r="J791">
        <v>0</v>
      </c>
    </row>
    <row r="792" spans="2:10" x14ac:dyDescent="0.25">
      <c r="B792" t="s">
        <v>341</v>
      </c>
      <c r="C792" t="s">
        <v>304</v>
      </c>
      <c r="D792">
        <v>703228</v>
      </c>
      <c r="E792" t="s">
        <v>146</v>
      </c>
      <c r="F792" t="s">
        <v>21</v>
      </c>
      <c r="G792" t="s">
        <v>147</v>
      </c>
      <c r="H792" t="s">
        <v>147</v>
      </c>
      <c r="J792">
        <v>0</v>
      </c>
    </row>
    <row r="793" spans="2:10" x14ac:dyDescent="0.25">
      <c r="B793" t="s">
        <v>341</v>
      </c>
      <c r="C793" t="s">
        <v>304</v>
      </c>
      <c r="D793">
        <v>703229</v>
      </c>
      <c r="E793" t="s">
        <v>148</v>
      </c>
      <c r="F793" t="s">
        <v>21</v>
      </c>
      <c r="G793" t="s">
        <v>147</v>
      </c>
      <c r="H793" t="s">
        <v>147</v>
      </c>
      <c r="J793">
        <v>0</v>
      </c>
    </row>
    <row r="794" spans="2:10" x14ac:dyDescent="0.25">
      <c r="B794" t="s">
        <v>341</v>
      </c>
      <c r="C794" t="s">
        <v>304</v>
      </c>
      <c r="D794">
        <v>703230</v>
      </c>
      <c r="E794" t="s">
        <v>149</v>
      </c>
      <c r="F794" t="s">
        <v>21</v>
      </c>
      <c r="G794" t="s">
        <v>147</v>
      </c>
      <c r="H794" t="s">
        <v>147</v>
      </c>
      <c r="J794">
        <v>0</v>
      </c>
    </row>
    <row r="795" spans="2:10" x14ac:dyDescent="0.25">
      <c r="B795" t="s">
        <v>341</v>
      </c>
      <c r="C795" t="s">
        <v>304</v>
      </c>
      <c r="D795">
        <v>703231</v>
      </c>
      <c r="E795" t="s">
        <v>150</v>
      </c>
      <c r="F795" t="s">
        <v>21</v>
      </c>
      <c r="G795" t="s">
        <v>137</v>
      </c>
      <c r="H795" t="s">
        <v>141</v>
      </c>
      <c r="J795">
        <v>0</v>
      </c>
    </row>
    <row r="796" spans="2:10" x14ac:dyDescent="0.25">
      <c r="B796" t="s">
        <v>341</v>
      </c>
      <c r="C796" t="s">
        <v>304</v>
      </c>
      <c r="D796">
        <v>703232</v>
      </c>
      <c r="E796" t="s">
        <v>151</v>
      </c>
      <c r="F796" t="s">
        <v>21</v>
      </c>
      <c r="G796" t="s">
        <v>147</v>
      </c>
      <c r="H796" t="s">
        <v>147</v>
      </c>
      <c r="J796">
        <v>0</v>
      </c>
    </row>
    <row r="797" spans="2:10" x14ac:dyDescent="0.25">
      <c r="B797" t="s">
        <v>341</v>
      </c>
      <c r="C797" t="s">
        <v>304</v>
      </c>
      <c r="D797">
        <v>703233</v>
      </c>
      <c r="E797" t="s">
        <v>152</v>
      </c>
      <c r="F797" t="s">
        <v>21</v>
      </c>
      <c r="G797" t="s">
        <v>71</v>
      </c>
      <c r="H797" t="s">
        <v>153</v>
      </c>
      <c r="J797">
        <v>0</v>
      </c>
    </row>
    <row r="798" spans="2:10" x14ac:dyDescent="0.25">
      <c r="B798" t="s">
        <v>341</v>
      </c>
      <c r="C798" t="s">
        <v>304</v>
      </c>
      <c r="D798">
        <v>703234</v>
      </c>
      <c r="E798" t="s">
        <v>154</v>
      </c>
      <c r="F798" t="s">
        <v>21</v>
      </c>
      <c r="G798" t="s">
        <v>71</v>
      </c>
      <c r="H798" t="s">
        <v>153</v>
      </c>
      <c r="J798">
        <v>0</v>
      </c>
    </row>
    <row r="799" spans="2:10" x14ac:dyDescent="0.25">
      <c r="B799" t="s">
        <v>341</v>
      </c>
      <c r="C799" t="s">
        <v>304</v>
      </c>
      <c r="D799">
        <v>703235</v>
      </c>
      <c r="E799" t="s">
        <v>155</v>
      </c>
      <c r="F799" t="s">
        <v>21</v>
      </c>
      <c r="G799" t="s">
        <v>71</v>
      </c>
      <c r="H799" t="s">
        <v>153</v>
      </c>
      <c r="J799">
        <v>0</v>
      </c>
    </row>
    <row r="800" spans="2:10" x14ac:dyDescent="0.25">
      <c r="B800" t="s">
        <v>341</v>
      </c>
      <c r="C800" t="s">
        <v>304</v>
      </c>
      <c r="D800">
        <v>703236</v>
      </c>
      <c r="E800" t="s">
        <v>156</v>
      </c>
      <c r="F800" t="s">
        <v>21</v>
      </c>
      <c r="G800" t="s">
        <v>76</v>
      </c>
      <c r="H800" t="s">
        <v>77</v>
      </c>
      <c r="J800">
        <v>0</v>
      </c>
    </row>
    <row r="801" spans="2:10" x14ac:dyDescent="0.25">
      <c r="B801" t="s">
        <v>341</v>
      </c>
      <c r="C801" t="s">
        <v>304</v>
      </c>
      <c r="D801">
        <v>703237</v>
      </c>
      <c r="E801" t="s">
        <v>157</v>
      </c>
      <c r="F801" t="s">
        <v>21</v>
      </c>
      <c r="G801" t="s">
        <v>22</v>
      </c>
      <c r="H801" t="s">
        <v>23</v>
      </c>
      <c r="J801">
        <v>0</v>
      </c>
    </row>
    <row r="802" spans="2:10" x14ac:dyDescent="0.25">
      <c r="B802" t="s">
        <v>341</v>
      </c>
      <c r="C802" t="s">
        <v>304</v>
      </c>
      <c r="D802">
        <v>703238</v>
      </c>
      <c r="E802" t="s">
        <v>158</v>
      </c>
      <c r="F802" t="s">
        <v>21</v>
      </c>
      <c r="G802" t="s">
        <v>61</v>
      </c>
      <c r="H802" t="s">
        <v>68</v>
      </c>
      <c r="J802">
        <v>0</v>
      </c>
    </row>
    <row r="803" spans="2:10" x14ac:dyDescent="0.25">
      <c r="B803" t="s">
        <v>341</v>
      </c>
      <c r="C803" t="s">
        <v>304</v>
      </c>
      <c r="D803">
        <v>703239</v>
      </c>
      <c r="E803" t="s">
        <v>159</v>
      </c>
      <c r="F803" t="s">
        <v>21</v>
      </c>
      <c r="G803" t="s">
        <v>61</v>
      </c>
      <c r="H803" t="s">
        <v>68</v>
      </c>
      <c r="J803">
        <v>0</v>
      </c>
    </row>
    <row r="804" spans="2:10" x14ac:dyDescent="0.25">
      <c r="B804" t="s">
        <v>341</v>
      </c>
      <c r="C804" t="s">
        <v>304</v>
      </c>
      <c r="D804">
        <v>703240</v>
      </c>
      <c r="E804" t="s">
        <v>160</v>
      </c>
      <c r="F804" t="s">
        <v>21</v>
      </c>
      <c r="G804" t="s">
        <v>61</v>
      </c>
      <c r="H804" t="s">
        <v>68</v>
      </c>
      <c r="J804">
        <v>0</v>
      </c>
    </row>
    <row r="805" spans="2:10" x14ac:dyDescent="0.25">
      <c r="B805" t="s">
        <v>341</v>
      </c>
      <c r="C805" t="s">
        <v>304</v>
      </c>
      <c r="D805">
        <v>703241</v>
      </c>
      <c r="E805" t="s">
        <v>161</v>
      </c>
      <c r="F805" t="s">
        <v>21</v>
      </c>
      <c r="G805" t="s">
        <v>137</v>
      </c>
      <c r="H805" t="s">
        <v>141</v>
      </c>
      <c r="J805">
        <v>0</v>
      </c>
    </row>
    <row r="806" spans="2:10" x14ac:dyDescent="0.25">
      <c r="B806" t="s">
        <v>341</v>
      </c>
      <c r="C806" t="s">
        <v>304</v>
      </c>
      <c r="D806">
        <v>703242</v>
      </c>
      <c r="E806" t="s">
        <v>162</v>
      </c>
      <c r="F806" t="s">
        <v>21</v>
      </c>
      <c r="G806" t="s">
        <v>137</v>
      </c>
      <c r="H806" t="s">
        <v>141</v>
      </c>
      <c r="J806">
        <v>0</v>
      </c>
    </row>
    <row r="807" spans="2:10" x14ac:dyDescent="0.25">
      <c r="B807" t="s">
        <v>341</v>
      </c>
      <c r="C807" t="s">
        <v>304</v>
      </c>
      <c r="D807">
        <v>703243</v>
      </c>
      <c r="E807" t="s">
        <v>163</v>
      </c>
      <c r="F807" t="s">
        <v>21</v>
      </c>
      <c r="G807" t="s">
        <v>137</v>
      </c>
      <c r="H807" t="s">
        <v>141</v>
      </c>
      <c r="J807">
        <v>0</v>
      </c>
    </row>
    <row r="808" spans="2:10" x14ac:dyDescent="0.25">
      <c r="B808" t="s">
        <v>341</v>
      </c>
      <c r="C808" t="s">
        <v>304</v>
      </c>
      <c r="D808">
        <v>703244</v>
      </c>
      <c r="E808" t="s">
        <v>164</v>
      </c>
      <c r="F808" t="s">
        <v>21</v>
      </c>
      <c r="G808" t="s">
        <v>71</v>
      </c>
      <c r="H808" t="s">
        <v>88</v>
      </c>
      <c r="J808">
        <v>0</v>
      </c>
    </row>
    <row r="809" spans="2:10" x14ac:dyDescent="0.25">
      <c r="B809" t="s">
        <v>341</v>
      </c>
      <c r="C809" t="s">
        <v>304</v>
      </c>
      <c r="D809">
        <v>703245</v>
      </c>
      <c r="E809" t="s">
        <v>165</v>
      </c>
      <c r="F809" t="s">
        <v>21</v>
      </c>
      <c r="G809" t="s">
        <v>137</v>
      </c>
      <c r="H809" t="s">
        <v>138</v>
      </c>
      <c r="J809">
        <v>0</v>
      </c>
    </row>
    <row r="810" spans="2:10" x14ac:dyDescent="0.25">
      <c r="B810" t="s">
        <v>341</v>
      </c>
      <c r="C810" t="s">
        <v>304</v>
      </c>
      <c r="D810">
        <v>703246</v>
      </c>
      <c r="E810" t="s">
        <v>166</v>
      </c>
      <c r="F810" t="s">
        <v>21</v>
      </c>
      <c r="G810" t="s">
        <v>137</v>
      </c>
      <c r="H810" t="s">
        <v>138</v>
      </c>
      <c r="J810">
        <v>0</v>
      </c>
    </row>
    <row r="811" spans="2:10" x14ac:dyDescent="0.25">
      <c r="B811" t="s">
        <v>341</v>
      </c>
      <c r="C811" t="s">
        <v>304</v>
      </c>
      <c r="D811">
        <v>703247</v>
      </c>
      <c r="E811" t="s">
        <v>167</v>
      </c>
      <c r="F811" t="s">
        <v>21</v>
      </c>
      <c r="G811" t="s">
        <v>137</v>
      </c>
      <c r="H811" t="s">
        <v>138</v>
      </c>
      <c r="J811">
        <v>0</v>
      </c>
    </row>
    <row r="812" spans="2:10" x14ac:dyDescent="0.25">
      <c r="B812" t="s">
        <v>341</v>
      </c>
      <c r="C812" t="s">
        <v>304</v>
      </c>
      <c r="D812">
        <v>703248</v>
      </c>
      <c r="E812" t="s">
        <v>168</v>
      </c>
      <c r="F812" t="s">
        <v>21</v>
      </c>
      <c r="G812" t="s">
        <v>137</v>
      </c>
      <c r="H812" t="s">
        <v>141</v>
      </c>
      <c r="J812">
        <v>0</v>
      </c>
    </row>
    <row r="813" spans="2:10" x14ac:dyDescent="0.25">
      <c r="B813" t="s">
        <v>341</v>
      </c>
      <c r="C813" t="s">
        <v>304</v>
      </c>
      <c r="D813">
        <v>703249</v>
      </c>
      <c r="E813" t="s">
        <v>169</v>
      </c>
      <c r="F813" t="s">
        <v>21</v>
      </c>
      <c r="G813" t="s">
        <v>147</v>
      </c>
      <c r="H813" t="s">
        <v>147</v>
      </c>
      <c r="J813">
        <v>0</v>
      </c>
    </row>
    <row r="814" spans="2:10" x14ac:dyDescent="0.25">
      <c r="B814" t="s">
        <v>341</v>
      </c>
      <c r="C814" t="s">
        <v>304</v>
      </c>
      <c r="D814">
        <v>703250</v>
      </c>
      <c r="E814" t="s">
        <v>170</v>
      </c>
      <c r="F814" t="s">
        <v>21</v>
      </c>
      <c r="G814" t="s">
        <v>71</v>
      </c>
      <c r="H814" t="s">
        <v>171</v>
      </c>
      <c r="J814">
        <v>0</v>
      </c>
    </row>
    <row r="815" spans="2:10" x14ac:dyDescent="0.25">
      <c r="B815" t="s">
        <v>341</v>
      </c>
      <c r="C815" t="s">
        <v>304</v>
      </c>
      <c r="D815">
        <v>703251</v>
      </c>
      <c r="E815" t="s">
        <v>172</v>
      </c>
      <c r="F815" t="s">
        <v>21</v>
      </c>
      <c r="G815" t="s">
        <v>22</v>
      </c>
      <c r="H815" t="s">
        <v>115</v>
      </c>
      <c r="J815">
        <v>0</v>
      </c>
    </row>
    <row r="816" spans="2:10" x14ac:dyDescent="0.25">
      <c r="B816" t="s">
        <v>341</v>
      </c>
      <c r="C816" t="s">
        <v>304</v>
      </c>
      <c r="D816">
        <v>703252</v>
      </c>
      <c r="E816" t="s">
        <v>173</v>
      </c>
      <c r="F816" t="s">
        <v>21</v>
      </c>
      <c r="G816" t="s">
        <v>22</v>
      </c>
      <c r="H816" t="s">
        <v>115</v>
      </c>
      <c r="J816">
        <v>0</v>
      </c>
    </row>
    <row r="817" spans="2:10" x14ac:dyDescent="0.25">
      <c r="B817" t="s">
        <v>341</v>
      </c>
      <c r="C817" t="s">
        <v>304</v>
      </c>
      <c r="D817">
        <v>703253</v>
      </c>
      <c r="E817" t="s">
        <v>174</v>
      </c>
      <c r="F817" t="s">
        <v>21</v>
      </c>
      <c r="G817" t="s">
        <v>22</v>
      </c>
      <c r="H817" t="s">
        <v>115</v>
      </c>
      <c r="J817">
        <v>0</v>
      </c>
    </row>
    <row r="818" spans="2:10" x14ac:dyDescent="0.25">
      <c r="B818" t="s">
        <v>341</v>
      </c>
      <c r="C818" t="s">
        <v>304</v>
      </c>
      <c r="D818">
        <v>703254</v>
      </c>
      <c r="E818" t="s">
        <v>175</v>
      </c>
      <c r="F818" t="s">
        <v>21</v>
      </c>
      <c r="G818" t="s">
        <v>22</v>
      </c>
      <c r="H818" t="s">
        <v>115</v>
      </c>
      <c r="J818">
        <v>0</v>
      </c>
    </row>
    <row r="819" spans="2:10" x14ac:dyDescent="0.25">
      <c r="B819" t="s">
        <v>341</v>
      </c>
      <c r="C819" t="s">
        <v>304</v>
      </c>
      <c r="D819">
        <v>703255</v>
      </c>
      <c r="E819" t="s">
        <v>176</v>
      </c>
      <c r="F819" t="s">
        <v>21</v>
      </c>
      <c r="G819" t="s">
        <v>22</v>
      </c>
      <c r="H819" t="s">
        <v>115</v>
      </c>
      <c r="J819">
        <v>0</v>
      </c>
    </row>
    <row r="820" spans="2:10" x14ac:dyDescent="0.25">
      <c r="B820" t="s">
        <v>341</v>
      </c>
      <c r="C820" t="s">
        <v>304</v>
      </c>
      <c r="D820">
        <v>703257</v>
      </c>
      <c r="E820" t="s">
        <v>177</v>
      </c>
      <c r="F820" t="s">
        <v>21</v>
      </c>
      <c r="G820" t="s">
        <v>147</v>
      </c>
      <c r="H820" t="s">
        <v>147</v>
      </c>
      <c r="J820">
        <v>0</v>
      </c>
    </row>
    <row r="821" spans="2:10" x14ac:dyDescent="0.25">
      <c r="B821" t="s">
        <v>341</v>
      </c>
      <c r="C821" t="s">
        <v>304</v>
      </c>
      <c r="D821">
        <v>703258</v>
      </c>
      <c r="E821" t="s">
        <v>178</v>
      </c>
      <c r="F821" t="s">
        <v>21</v>
      </c>
      <c r="G821" t="s">
        <v>147</v>
      </c>
      <c r="H821" t="s">
        <v>147</v>
      </c>
      <c r="J821">
        <v>0</v>
      </c>
    </row>
    <row r="822" spans="2:10" x14ac:dyDescent="0.25">
      <c r="B822" t="s">
        <v>341</v>
      </c>
      <c r="C822" t="s">
        <v>304</v>
      </c>
      <c r="D822">
        <v>703260</v>
      </c>
      <c r="E822" t="s">
        <v>179</v>
      </c>
      <c r="F822" t="s">
        <v>21</v>
      </c>
      <c r="G822" t="s">
        <v>76</v>
      </c>
      <c r="H822" t="s">
        <v>77</v>
      </c>
      <c r="J822">
        <v>0</v>
      </c>
    </row>
    <row r="823" spans="2:10" x14ac:dyDescent="0.25">
      <c r="B823" t="s">
        <v>341</v>
      </c>
      <c r="C823" t="s">
        <v>304</v>
      </c>
      <c r="D823">
        <v>703261</v>
      </c>
      <c r="E823" t="s">
        <v>180</v>
      </c>
      <c r="F823" t="s">
        <v>21</v>
      </c>
      <c r="G823" t="s">
        <v>22</v>
      </c>
      <c r="H823" t="s">
        <v>115</v>
      </c>
      <c r="J823">
        <v>0</v>
      </c>
    </row>
    <row r="824" spans="2:10" x14ac:dyDescent="0.25">
      <c r="B824" t="s">
        <v>341</v>
      </c>
      <c r="C824" t="s">
        <v>304</v>
      </c>
      <c r="D824">
        <v>703262</v>
      </c>
      <c r="E824" t="s">
        <v>181</v>
      </c>
      <c r="F824" t="s">
        <v>21</v>
      </c>
      <c r="G824" t="s">
        <v>22</v>
      </c>
      <c r="H824" t="s">
        <v>23</v>
      </c>
      <c r="J824">
        <v>0</v>
      </c>
    </row>
    <row r="825" spans="2:10" x14ac:dyDescent="0.25">
      <c r="B825" t="s">
        <v>341</v>
      </c>
      <c r="C825" t="s">
        <v>304</v>
      </c>
      <c r="D825">
        <v>703263</v>
      </c>
      <c r="E825" t="s">
        <v>182</v>
      </c>
      <c r="F825" t="s">
        <v>21</v>
      </c>
      <c r="G825" t="s">
        <v>22</v>
      </c>
      <c r="H825" t="s">
        <v>115</v>
      </c>
      <c r="J825">
        <v>0</v>
      </c>
    </row>
    <row r="826" spans="2:10" x14ac:dyDescent="0.25">
      <c r="B826" t="s">
        <v>341</v>
      </c>
      <c r="C826" t="s">
        <v>304</v>
      </c>
      <c r="D826">
        <v>703264</v>
      </c>
      <c r="E826" t="s">
        <v>183</v>
      </c>
      <c r="F826" t="s">
        <v>21</v>
      </c>
      <c r="G826" t="s">
        <v>22</v>
      </c>
      <c r="H826" t="s">
        <v>115</v>
      </c>
      <c r="J826">
        <v>0</v>
      </c>
    </row>
    <row r="827" spans="2:10" x14ac:dyDescent="0.25">
      <c r="B827" t="s">
        <v>341</v>
      </c>
      <c r="C827" t="s">
        <v>304</v>
      </c>
      <c r="D827">
        <v>703265</v>
      </c>
      <c r="E827" t="s">
        <v>184</v>
      </c>
      <c r="F827" t="s">
        <v>21</v>
      </c>
      <c r="G827" t="s">
        <v>22</v>
      </c>
      <c r="H827" t="s">
        <v>115</v>
      </c>
      <c r="J827">
        <v>0</v>
      </c>
    </row>
    <row r="828" spans="2:10" x14ac:dyDescent="0.25">
      <c r="B828" t="s">
        <v>341</v>
      </c>
      <c r="C828" t="s">
        <v>304</v>
      </c>
      <c r="D828">
        <v>703266</v>
      </c>
      <c r="E828" t="s">
        <v>185</v>
      </c>
      <c r="F828" t="s">
        <v>21</v>
      </c>
      <c r="G828" t="s">
        <v>71</v>
      </c>
      <c r="H828" t="s">
        <v>186</v>
      </c>
      <c r="J828">
        <v>0</v>
      </c>
    </row>
    <row r="829" spans="2:10" x14ac:dyDescent="0.25">
      <c r="B829" t="s">
        <v>341</v>
      </c>
      <c r="C829" t="s">
        <v>304</v>
      </c>
      <c r="D829">
        <v>703267</v>
      </c>
      <c r="E829" t="s">
        <v>187</v>
      </c>
      <c r="F829" t="s">
        <v>21</v>
      </c>
      <c r="G829" t="s">
        <v>71</v>
      </c>
      <c r="H829" t="s">
        <v>88</v>
      </c>
      <c r="J829">
        <v>0</v>
      </c>
    </row>
    <row r="830" spans="2:10" x14ac:dyDescent="0.25">
      <c r="B830" t="s">
        <v>341</v>
      </c>
      <c r="C830" t="s">
        <v>304</v>
      </c>
      <c r="D830">
        <v>703268</v>
      </c>
      <c r="E830" t="s">
        <v>188</v>
      </c>
      <c r="F830" t="s">
        <v>21</v>
      </c>
      <c r="G830" t="s">
        <v>147</v>
      </c>
      <c r="H830" t="s">
        <v>147</v>
      </c>
      <c r="J830">
        <v>0</v>
      </c>
    </row>
    <row r="831" spans="2:10" x14ac:dyDescent="0.25">
      <c r="B831" t="s">
        <v>341</v>
      </c>
      <c r="C831" t="s">
        <v>304</v>
      </c>
      <c r="D831">
        <v>703269</v>
      </c>
      <c r="E831" t="s">
        <v>189</v>
      </c>
      <c r="F831" t="s">
        <v>21</v>
      </c>
      <c r="G831" t="s">
        <v>147</v>
      </c>
      <c r="H831" t="s">
        <v>147</v>
      </c>
      <c r="J831">
        <v>0</v>
      </c>
    </row>
    <row r="832" spans="2:10" x14ac:dyDescent="0.25">
      <c r="B832" t="s">
        <v>341</v>
      </c>
      <c r="C832" t="s">
        <v>304</v>
      </c>
      <c r="D832">
        <v>703270</v>
      </c>
      <c r="E832" t="s">
        <v>190</v>
      </c>
      <c r="F832" t="s">
        <v>21</v>
      </c>
      <c r="G832" t="s">
        <v>137</v>
      </c>
      <c r="H832" t="s">
        <v>141</v>
      </c>
      <c r="J832">
        <v>0</v>
      </c>
    </row>
    <row r="833" spans="2:10" x14ac:dyDescent="0.25">
      <c r="B833" t="s">
        <v>341</v>
      </c>
      <c r="C833" t="s">
        <v>304</v>
      </c>
      <c r="D833">
        <v>703271</v>
      </c>
      <c r="E833" t="s">
        <v>191</v>
      </c>
      <c r="F833" t="s">
        <v>21</v>
      </c>
      <c r="G833" t="s">
        <v>22</v>
      </c>
      <c r="H833" t="s">
        <v>115</v>
      </c>
      <c r="I833" t="s">
        <v>105</v>
      </c>
      <c r="J833">
        <v>61750</v>
      </c>
    </row>
    <row r="834" spans="2:10" x14ac:dyDescent="0.25">
      <c r="B834" t="s">
        <v>341</v>
      </c>
      <c r="C834" t="s">
        <v>304</v>
      </c>
      <c r="D834">
        <v>703272</v>
      </c>
      <c r="E834" t="s">
        <v>192</v>
      </c>
      <c r="F834" t="s">
        <v>21</v>
      </c>
      <c r="G834" t="s">
        <v>22</v>
      </c>
      <c r="H834" t="s">
        <v>23</v>
      </c>
      <c r="J834">
        <v>0</v>
      </c>
    </row>
    <row r="835" spans="2:10" x14ac:dyDescent="0.25">
      <c r="B835" t="s">
        <v>341</v>
      </c>
      <c r="C835" t="s">
        <v>304</v>
      </c>
      <c r="D835">
        <v>703273</v>
      </c>
      <c r="E835" t="s">
        <v>193</v>
      </c>
      <c r="F835" t="s">
        <v>21</v>
      </c>
      <c r="G835" t="s">
        <v>147</v>
      </c>
      <c r="H835" t="s">
        <v>147</v>
      </c>
      <c r="J835">
        <v>0</v>
      </c>
    </row>
    <row r="836" spans="2:10" x14ac:dyDescent="0.25">
      <c r="B836" t="s">
        <v>341</v>
      </c>
      <c r="C836" t="s">
        <v>304</v>
      </c>
      <c r="D836">
        <v>703274</v>
      </c>
      <c r="E836" t="s">
        <v>194</v>
      </c>
      <c r="F836" t="s">
        <v>21</v>
      </c>
      <c r="G836" t="s">
        <v>147</v>
      </c>
      <c r="H836" t="s">
        <v>147</v>
      </c>
      <c r="J836">
        <v>0</v>
      </c>
    </row>
    <row r="837" spans="2:10" x14ac:dyDescent="0.25">
      <c r="B837" t="s">
        <v>341</v>
      </c>
      <c r="C837" t="s">
        <v>304</v>
      </c>
      <c r="D837">
        <v>703275</v>
      </c>
      <c r="E837" t="s">
        <v>195</v>
      </c>
      <c r="F837" t="s">
        <v>21</v>
      </c>
      <c r="G837" t="s">
        <v>137</v>
      </c>
      <c r="H837" t="s">
        <v>138</v>
      </c>
      <c r="J837">
        <v>0</v>
      </c>
    </row>
    <row r="838" spans="2:10" x14ac:dyDescent="0.25">
      <c r="B838" t="s">
        <v>341</v>
      </c>
      <c r="C838" t="s">
        <v>304</v>
      </c>
      <c r="D838">
        <v>703280</v>
      </c>
      <c r="E838" t="s">
        <v>196</v>
      </c>
      <c r="F838" t="s">
        <v>21</v>
      </c>
      <c r="G838" t="s">
        <v>71</v>
      </c>
      <c r="H838" t="s">
        <v>171</v>
      </c>
      <c r="J838">
        <v>0</v>
      </c>
    </row>
    <row r="839" spans="2:10" x14ac:dyDescent="0.25">
      <c r="B839" t="s">
        <v>341</v>
      </c>
      <c r="C839" t="s">
        <v>304</v>
      </c>
      <c r="D839">
        <v>703281</v>
      </c>
      <c r="E839" t="s">
        <v>197</v>
      </c>
      <c r="F839" t="s">
        <v>21</v>
      </c>
      <c r="G839" t="s">
        <v>76</v>
      </c>
      <c r="H839" t="s">
        <v>77</v>
      </c>
      <c r="J839">
        <v>0</v>
      </c>
    </row>
    <row r="840" spans="2:10" x14ac:dyDescent="0.25">
      <c r="B840" t="s">
        <v>341</v>
      </c>
      <c r="C840" t="s">
        <v>304</v>
      </c>
      <c r="D840">
        <v>703282</v>
      </c>
      <c r="E840" t="s">
        <v>198</v>
      </c>
      <c r="F840" t="s">
        <v>21</v>
      </c>
      <c r="G840" t="s">
        <v>76</v>
      </c>
      <c r="H840" t="s">
        <v>77</v>
      </c>
      <c r="J840">
        <v>0</v>
      </c>
    </row>
    <row r="841" spans="2:10" x14ac:dyDescent="0.25">
      <c r="B841" t="s">
        <v>341</v>
      </c>
      <c r="C841" t="s">
        <v>304</v>
      </c>
      <c r="D841">
        <v>703283</v>
      </c>
      <c r="E841" t="s">
        <v>199</v>
      </c>
      <c r="F841" t="s">
        <v>21</v>
      </c>
      <c r="G841" t="s">
        <v>61</v>
      </c>
      <c r="H841" t="s">
        <v>68</v>
      </c>
      <c r="J841">
        <v>0</v>
      </c>
    </row>
    <row r="842" spans="2:10" x14ac:dyDescent="0.25">
      <c r="B842" t="s">
        <v>341</v>
      </c>
      <c r="C842" t="s">
        <v>304</v>
      </c>
      <c r="D842">
        <v>703310</v>
      </c>
      <c r="E842" t="s">
        <v>200</v>
      </c>
      <c r="F842" t="s">
        <v>21</v>
      </c>
      <c r="G842" t="s">
        <v>22</v>
      </c>
      <c r="H842" t="s">
        <v>23</v>
      </c>
      <c r="J842">
        <v>0</v>
      </c>
    </row>
    <row r="843" spans="2:10" x14ac:dyDescent="0.25">
      <c r="B843" t="s">
        <v>341</v>
      </c>
      <c r="C843" t="s">
        <v>304</v>
      </c>
      <c r="D843">
        <v>703311</v>
      </c>
      <c r="E843" t="s">
        <v>201</v>
      </c>
      <c r="F843" t="s">
        <v>21</v>
      </c>
      <c r="G843" t="s">
        <v>71</v>
      </c>
      <c r="H843" t="s">
        <v>171</v>
      </c>
      <c r="J843">
        <v>0</v>
      </c>
    </row>
    <row r="844" spans="2:10" x14ac:dyDescent="0.25">
      <c r="B844" t="s">
        <v>341</v>
      </c>
      <c r="C844" t="s">
        <v>304</v>
      </c>
      <c r="D844">
        <v>703312</v>
      </c>
      <c r="E844" t="s">
        <v>202</v>
      </c>
      <c r="F844" t="s">
        <v>21</v>
      </c>
      <c r="G844" t="s">
        <v>76</v>
      </c>
      <c r="H844" t="s">
        <v>77</v>
      </c>
      <c r="J844">
        <v>0</v>
      </c>
    </row>
    <row r="845" spans="2:10" x14ac:dyDescent="0.25">
      <c r="B845" t="s">
        <v>341</v>
      </c>
      <c r="C845" t="s">
        <v>304</v>
      </c>
      <c r="D845">
        <v>703313</v>
      </c>
      <c r="E845" t="s">
        <v>203</v>
      </c>
      <c r="F845" t="s">
        <v>21</v>
      </c>
      <c r="G845" t="s">
        <v>76</v>
      </c>
      <c r="H845" t="s">
        <v>77</v>
      </c>
      <c r="J845">
        <v>0</v>
      </c>
    </row>
    <row r="846" spans="2:10" x14ac:dyDescent="0.25">
      <c r="B846" t="s">
        <v>341</v>
      </c>
      <c r="C846" t="s">
        <v>304</v>
      </c>
      <c r="D846">
        <v>703314</v>
      </c>
      <c r="E846" t="s">
        <v>204</v>
      </c>
      <c r="F846" t="s">
        <v>21</v>
      </c>
      <c r="G846" t="s">
        <v>76</v>
      </c>
      <c r="H846" t="s">
        <v>77</v>
      </c>
      <c r="J846">
        <v>0</v>
      </c>
    </row>
    <row r="847" spans="2:10" x14ac:dyDescent="0.25">
      <c r="B847" t="s">
        <v>341</v>
      </c>
      <c r="C847" t="s">
        <v>304</v>
      </c>
      <c r="D847">
        <v>703315</v>
      </c>
      <c r="E847" t="s">
        <v>205</v>
      </c>
      <c r="F847" t="s">
        <v>21</v>
      </c>
      <c r="G847" t="s">
        <v>76</v>
      </c>
      <c r="H847" t="s">
        <v>135</v>
      </c>
      <c r="J847">
        <v>0</v>
      </c>
    </row>
    <row r="848" spans="2:10" x14ac:dyDescent="0.25">
      <c r="B848" t="s">
        <v>341</v>
      </c>
      <c r="C848" t="s">
        <v>304</v>
      </c>
      <c r="D848">
        <v>703316</v>
      </c>
      <c r="E848" t="s">
        <v>206</v>
      </c>
      <c r="F848" t="s">
        <v>21</v>
      </c>
      <c r="G848" t="s">
        <v>76</v>
      </c>
      <c r="H848" t="s">
        <v>77</v>
      </c>
      <c r="J848">
        <v>0</v>
      </c>
    </row>
    <row r="849" spans="2:10" x14ac:dyDescent="0.25">
      <c r="B849" t="s">
        <v>341</v>
      </c>
      <c r="C849" t="s">
        <v>304</v>
      </c>
      <c r="D849">
        <v>703317</v>
      </c>
      <c r="E849" t="s">
        <v>207</v>
      </c>
      <c r="F849" t="s">
        <v>21</v>
      </c>
      <c r="G849" t="s">
        <v>76</v>
      </c>
      <c r="H849" t="s">
        <v>77</v>
      </c>
      <c r="J849">
        <v>0</v>
      </c>
    </row>
    <row r="850" spans="2:10" x14ac:dyDescent="0.25">
      <c r="B850" t="s">
        <v>341</v>
      </c>
      <c r="C850" t="s">
        <v>304</v>
      </c>
      <c r="D850">
        <v>703318</v>
      </c>
      <c r="E850" t="s">
        <v>208</v>
      </c>
      <c r="F850" t="s">
        <v>21</v>
      </c>
      <c r="G850" t="s">
        <v>71</v>
      </c>
      <c r="H850" t="s">
        <v>209</v>
      </c>
      <c r="J850">
        <v>0</v>
      </c>
    </row>
    <row r="851" spans="2:10" x14ac:dyDescent="0.25">
      <c r="B851" t="s">
        <v>341</v>
      </c>
      <c r="C851" t="s">
        <v>304</v>
      </c>
      <c r="D851">
        <v>703319</v>
      </c>
      <c r="E851" t="s">
        <v>210</v>
      </c>
      <c r="F851" t="s">
        <v>21</v>
      </c>
      <c r="G851" t="s">
        <v>61</v>
      </c>
      <c r="H851" t="s">
        <v>79</v>
      </c>
      <c r="J851">
        <v>0</v>
      </c>
    </row>
    <row r="852" spans="2:10" x14ac:dyDescent="0.25">
      <c r="B852" t="s">
        <v>341</v>
      </c>
      <c r="C852" t="s">
        <v>304</v>
      </c>
      <c r="D852">
        <v>703320</v>
      </c>
      <c r="E852" t="s">
        <v>211</v>
      </c>
      <c r="F852" t="s">
        <v>21</v>
      </c>
      <c r="G852" t="s">
        <v>71</v>
      </c>
      <c r="H852" t="s">
        <v>135</v>
      </c>
      <c r="J852">
        <v>0</v>
      </c>
    </row>
    <row r="853" spans="2:10" x14ac:dyDescent="0.25">
      <c r="B853" t="s">
        <v>341</v>
      </c>
      <c r="C853" t="s">
        <v>304</v>
      </c>
      <c r="D853">
        <v>703321</v>
      </c>
      <c r="E853" t="s">
        <v>212</v>
      </c>
      <c r="F853" t="s">
        <v>21</v>
      </c>
      <c r="G853" t="s">
        <v>22</v>
      </c>
      <c r="H853" t="s">
        <v>23</v>
      </c>
      <c r="J853">
        <v>0</v>
      </c>
    </row>
    <row r="854" spans="2:10" x14ac:dyDescent="0.25">
      <c r="B854" t="s">
        <v>341</v>
      </c>
      <c r="C854" t="s">
        <v>304</v>
      </c>
      <c r="D854">
        <v>703322</v>
      </c>
      <c r="E854" t="s">
        <v>213</v>
      </c>
      <c r="F854" t="s">
        <v>21</v>
      </c>
      <c r="G854" t="s">
        <v>22</v>
      </c>
      <c r="H854" t="s">
        <v>23</v>
      </c>
      <c r="J854">
        <v>0</v>
      </c>
    </row>
    <row r="855" spans="2:10" x14ac:dyDescent="0.25">
      <c r="B855" t="s">
        <v>341</v>
      </c>
      <c r="C855" t="s">
        <v>304</v>
      </c>
      <c r="D855">
        <v>703323</v>
      </c>
      <c r="E855" t="s">
        <v>214</v>
      </c>
      <c r="F855" t="s">
        <v>21</v>
      </c>
      <c r="G855" t="s">
        <v>22</v>
      </c>
      <c r="H855" t="s">
        <v>23</v>
      </c>
      <c r="J855">
        <v>0</v>
      </c>
    </row>
    <row r="856" spans="2:10" x14ac:dyDescent="0.25">
      <c r="B856" t="s">
        <v>341</v>
      </c>
      <c r="C856" t="s">
        <v>304</v>
      </c>
      <c r="D856">
        <v>703324</v>
      </c>
      <c r="E856" t="s">
        <v>215</v>
      </c>
      <c r="F856" t="s">
        <v>21</v>
      </c>
      <c r="G856" t="s">
        <v>22</v>
      </c>
      <c r="H856" t="s">
        <v>23</v>
      </c>
      <c r="J856">
        <v>0</v>
      </c>
    </row>
    <row r="857" spans="2:10" x14ac:dyDescent="0.25">
      <c r="B857" t="s">
        <v>341</v>
      </c>
      <c r="C857" t="s">
        <v>304</v>
      </c>
      <c r="D857">
        <v>703325</v>
      </c>
      <c r="E857" t="s">
        <v>216</v>
      </c>
      <c r="F857" t="s">
        <v>21</v>
      </c>
      <c r="G857" t="s">
        <v>22</v>
      </c>
      <c r="H857" t="s">
        <v>23</v>
      </c>
      <c r="J857">
        <v>0</v>
      </c>
    </row>
    <row r="858" spans="2:10" x14ac:dyDescent="0.25">
      <c r="B858" t="s">
        <v>341</v>
      </c>
      <c r="C858" t="s">
        <v>304</v>
      </c>
      <c r="D858">
        <v>703326</v>
      </c>
      <c r="E858" t="s">
        <v>217</v>
      </c>
      <c r="F858" t="s">
        <v>21</v>
      </c>
      <c r="G858" t="s">
        <v>22</v>
      </c>
      <c r="H858" t="s">
        <v>23</v>
      </c>
      <c r="J858">
        <v>0</v>
      </c>
    </row>
    <row r="859" spans="2:10" x14ac:dyDescent="0.25">
      <c r="B859" t="s">
        <v>341</v>
      </c>
      <c r="C859" t="s">
        <v>304</v>
      </c>
      <c r="D859">
        <v>703327</v>
      </c>
      <c r="E859" t="s">
        <v>218</v>
      </c>
      <c r="F859" t="s">
        <v>21</v>
      </c>
      <c r="G859" t="s">
        <v>76</v>
      </c>
      <c r="H859" t="s">
        <v>77</v>
      </c>
      <c r="J859">
        <v>0</v>
      </c>
    </row>
    <row r="860" spans="2:10" x14ac:dyDescent="0.25">
      <c r="B860" t="s">
        <v>341</v>
      </c>
      <c r="C860" t="s">
        <v>304</v>
      </c>
      <c r="D860">
        <v>703328</v>
      </c>
      <c r="E860" t="s">
        <v>219</v>
      </c>
      <c r="F860" t="s">
        <v>21</v>
      </c>
      <c r="G860" t="s">
        <v>22</v>
      </c>
      <c r="H860" t="s">
        <v>23</v>
      </c>
      <c r="I860" t="s">
        <v>105</v>
      </c>
      <c r="J860">
        <v>225000</v>
      </c>
    </row>
    <row r="861" spans="2:10" x14ac:dyDescent="0.25">
      <c r="B861" t="s">
        <v>341</v>
      </c>
      <c r="C861" t="s">
        <v>304</v>
      </c>
      <c r="D861">
        <v>703329</v>
      </c>
      <c r="E861" t="s">
        <v>220</v>
      </c>
      <c r="F861" t="s">
        <v>21</v>
      </c>
      <c r="G861" t="s">
        <v>22</v>
      </c>
      <c r="H861" t="s">
        <v>23</v>
      </c>
      <c r="J861">
        <v>0</v>
      </c>
    </row>
    <row r="862" spans="2:10" x14ac:dyDescent="0.25">
      <c r="B862" t="s">
        <v>341</v>
      </c>
      <c r="C862" t="s">
        <v>304</v>
      </c>
      <c r="D862">
        <v>703330</v>
      </c>
      <c r="E862" t="s">
        <v>221</v>
      </c>
      <c r="F862" t="s">
        <v>21</v>
      </c>
      <c r="G862" t="s">
        <v>22</v>
      </c>
      <c r="H862" t="s">
        <v>23</v>
      </c>
      <c r="J862">
        <v>0</v>
      </c>
    </row>
    <row r="863" spans="2:10" x14ac:dyDescent="0.25">
      <c r="B863" t="s">
        <v>341</v>
      </c>
      <c r="C863" t="s">
        <v>304</v>
      </c>
      <c r="D863">
        <v>703340</v>
      </c>
      <c r="E863" t="s">
        <v>222</v>
      </c>
      <c r="F863" t="s">
        <v>21</v>
      </c>
      <c r="G863" t="s">
        <v>61</v>
      </c>
      <c r="H863" t="s">
        <v>68</v>
      </c>
      <c r="J863">
        <v>0</v>
      </c>
    </row>
    <row r="864" spans="2:10" x14ac:dyDescent="0.25">
      <c r="B864" t="s">
        <v>341</v>
      </c>
      <c r="C864" t="s">
        <v>304</v>
      </c>
      <c r="D864">
        <v>703350</v>
      </c>
      <c r="E864" t="s">
        <v>223</v>
      </c>
      <c r="F864" t="s">
        <v>21</v>
      </c>
      <c r="G864" t="s">
        <v>22</v>
      </c>
      <c r="H864" t="s">
        <v>23</v>
      </c>
      <c r="J864">
        <v>0</v>
      </c>
    </row>
    <row r="865" spans="2:10" x14ac:dyDescent="0.25">
      <c r="B865" t="s">
        <v>341</v>
      </c>
      <c r="C865" t="s">
        <v>304</v>
      </c>
      <c r="D865">
        <v>703351</v>
      </c>
      <c r="E865" t="s">
        <v>224</v>
      </c>
      <c r="F865" t="s">
        <v>21</v>
      </c>
      <c r="G865" t="s">
        <v>22</v>
      </c>
      <c r="H865" t="s">
        <v>23</v>
      </c>
      <c r="J865">
        <v>0</v>
      </c>
    </row>
    <row r="866" spans="2:10" x14ac:dyDescent="0.25">
      <c r="B866" t="s">
        <v>341</v>
      </c>
      <c r="C866" t="s">
        <v>304</v>
      </c>
      <c r="D866">
        <v>703352</v>
      </c>
      <c r="E866" t="s">
        <v>225</v>
      </c>
      <c r="F866" t="s">
        <v>21</v>
      </c>
      <c r="G866" t="s">
        <v>22</v>
      </c>
      <c r="H866" t="s">
        <v>23</v>
      </c>
      <c r="J866">
        <v>0</v>
      </c>
    </row>
    <row r="867" spans="2:10" x14ac:dyDescent="0.25">
      <c r="B867" t="s">
        <v>341</v>
      </c>
      <c r="C867" t="s">
        <v>304</v>
      </c>
      <c r="D867">
        <v>703360</v>
      </c>
      <c r="E867" t="s">
        <v>226</v>
      </c>
      <c r="F867" t="s">
        <v>21</v>
      </c>
      <c r="G867" t="s">
        <v>22</v>
      </c>
      <c r="H867" t="s">
        <v>23</v>
      </c>
      <c r="J867">
        <v>0</v>
      </c>
    </row>
    <row r="868" spans="2:10" x14ac:dyDescent="0.25">
      <c r="B868" t="s">
        <v>341</v>
      </c>
      <c r="C868" t="s">
        <v>304</v>
      </c>
      <c r="D868">
        <v>703370</v>
      </c>
      <c r="E868" t="s">
        <v>227</v>
      </c>
      <c r="F868" t="s">
        <v>21</v>
      </c>
      <c r="G868" t="s">
        <v>22</v>
      </c>
      <c r="H868" t="s">
        <v>23</v>
      </c>
      <c r="J868">
        <v>0</v>
      </c>
    </row>
    <row r="869" spans="2:10" x14ac:dyDescent="0.25">
      <c r="B869" t="s">
        <v>341</v>
      </c>
      <c r="C869" t="s">
        <v>304</v>
      </c>
      <c r="D869">
        <v>703410</v>
      </c>
      <c r="E869" t="s">
        <v>228</v>
      </c>
      <c r="F869" t="s">
        <v>21</v>
      </c>
      <c r="G869" t="s">
        <v>22</v>
      </c>
      <c r="H869" t="s">
        <v>23</v>
      </c>
      <c r="J869">
        <v>0</v>
      </c>
    </row>
    <row r="870" spans="2:10" x14ac:dyDescent="0.25">
      <c r="B870" t="s">
        <v>341</v>
      </c>
      <c r="C870" t="s">
        <v>304</v>
      </c>
      <c r="D870">
        <v>703411</v>
      </c>
      <c r="E870" t="s">
        <v>229</v>
      </c>
      <c r="F870" t="s">
        <v>21</v>
      </c>
      <c r="G870" t="s">
        <v>22</v>
      </c>
      <c r="H870" t="s">
        <v>23</v>
      </c>
      <c r="J870">
        <v>0</v>
      </c>
    </row>
    <row r="871" spans="2:10" x14ac:dyDescent="0.25">
      <c r="B871" t="s">
        <v>341</v>
      </c>
      <c r="C871" t="s">
        <v>304</v>
      </c>
      <c r="D871">
        <v>703412</v>
      </c>
      <c r="E871" t="s">
        <v>230</v>
      </c>
      <c r="F871" t="s">
        <v>21</v>
      </c>
      <c r="G871" t="s">
        <v>22</v>
      </c>
      <c r="H871" t="s">
        <v>23</v>
      </c>
      <c r="J871">
        <v>0</v>
      </c>
    </row>
    <row r="872" spans="2:10" x14ac:dyDescent="0.25">
      <c r="B872" t="s">
        <v>341</v>
      </c>
      <c r="C872" t="s">
        <v>304</v>
      </c>
      <c r="D872">
        <v>703420</v>
      </c>
      <c r="E872" t="s">
        <v>231</v>
      </c>
      <c r="F872" t="s">
        <v>21</v>
      </c>
      <c r="G872" t="s">
        <v>71</v>
      </c>
      <c r="H872" t="s">
        <v>171</v>
      </c>
      <c r="J872">
        <v>0</v>
      </c>
    </row>
    <row r="873" spans="2:10" x14ac:dyDescent="0.25">
      <c r="B873" t="s">
        <v>341</v>
      </c>
      <c r="C873" t="s">
        <v>304</v>
      </c>
      <c r="D873">
        <v>703421</v>
      </c>
      <c r="E873" t="s">
        <v>232</v>
      </c>
      <c r="F873" t="s">
        <v>21</v>
      </c>
      <c r="G873" t="s">
        <v>22</v>
      </c>
      <c r="H873" t="s">
        <v>23</v>
      </c>
      <c r="J873">
        <v>0</v>
      </c>
    </row>
    <row r="874" spans="2:10" x14ac:dyDescent="0.25">
      <c r="B874" t="s">
        <v>341</v>
      </c>
      <c r="C874" t="s">
        <v>304</v>
      </c>
      <c r="D874">
        <v>703422</v>
      </c>
      <c r="E874" t="s">
        <v>233</v>
      </c>
      <c r="F874" t="s">
        <v>21</v>
      </c>
      <c r="G874" t="s">
        <v>76</v>
      </c>
      <c r="H874" t="s">
        <v>77</v>
      </c>
      <c r="J874">
        <v>0</v>
      </c>
    </row>
    <row r="875" spans="2:10" x14ac:dyDescent="0.25">
      <c r="B875" t="s">
        <v>341</v>
      </c>
      <c r="C875" t="s">
        <v>304</v>
      </c>
      <c r="D875">
        <v>703423</v>
      </c>
      <c r="E875" t="s">
        <v>234</v>
      </c>
      <c r="F875" t="s">
        <v>21</v>
      </c>
      <c r="G875" t="s">
        <v>71</v>
      </c>
      <c r="H875" t="s">
        <v>88</v>
      </c>
      <c r="J875">
        <v>0</v>
      </c>
    </row>
    <row r="876" spans="2:10" x14ac:dyDescent="0.25">
      <c r="B876" t="s">
        <v>341</v>
      </c>
      <c r="C876" t="s">
        <v>304</v>
      </c>
      <c r="D876">
        <v>703424</v>
      </c>
      <c r="E876" t="s">
        <v>235</v>
      </c>
      <c r="F876" t="s">
        <v>21</v>
      </c>
      <c r="G876" t="s">
        <v>71</v>
      </c>
      <c r="H876" t="s">
        <v>88</v>
      </c>
      <c r="J876">
        <v>0</v>
      </c>
    </row>
    <row r="877" spans="2:10" x14ac:dyDescent="0.25">
      <c r="B877" t="s">
        <v>341</v>
      </c>
      <c r="C877" t="s">
        <v>304</v>
      </c>
      <c r="D877">
        <v>703425</v>
      </c>
      <c r="E877" t="s">
        <v>236</v>
      </c>
      <c r="F877" t="s">
        <v>21</v>
      </c>
      <c r="G877" t="s">
        <v>76</v>
      </c>
      <c r="H877" t="s">
        <v>77</v>
      </c>
      <c r="J877">
        <v>0</v>
      </c>
    </row>
    <row r="878" spans="2:10" x14ac:dyDescent="0.25">
      <c r="B878" t="s">
        <v>341</v>
      </c>
      <c r="C878" t="s">
        <v>304</v>
      </c>
      <c r="D878">
        <v>703426</v>
      </c>
      <c r="E878" t="s">
        <v>237</v>
      </c>
      <c r="F878" t="s">
        <v>21</v>
      </c>
      <c r="G878" t="s">
        <v>22</v>
      </c>
      <c r="H878" t="s">
        <v>23</v>
      </c>
      <c r="J878">
        <v>0</v>
      </c>
    </row>
    <row r="879" spans="2:10" x14ac:dyDescent="0.25">
      <c r="B879" t="s">
        <v>341</v>
      </c>
      <c r="C879" t="s">
        <v>304</v>
      </c>
      <c r="D879">
        <v>703427</v>
      </c>
      <c r="E879" t="s">
        <v>238</v>
      </c>
      <c r="F879" t="s">
        <v>21</v>
      </c>
      <c r="G879" t="s">
        <v>76</v>
      </c>
      <c r="H879" t="s">
        <v>77</v>
      </c>
      <c r="J879">
        <v>0</v>
      </c>
    </row>
    <row r="880" spans="2:10" x14ac:dyDescent="0.25">
      <c r="B880" t="s">
        <v>341</v>
      </c>
      <c r="C880" t="s">
        <v>304</v>
      </c>
      <c r="D880">
        <v>703428</v>
      </c>
      <c r="E880" t="s">
        <v>239</v>
      </c>
      <c r="F880" t="s">
        <v>21</v>
      </c>
      <c r="G880" t="s">
        <v>76</v>
      </c>
      <c r="H880" t="s">
        <v>77</v>
      </c>
      <c r="J880">
        <v>0</v>
      </c>
    </row>
    <row r="881" spans="2:10" x14ac:dyDescent="0.25">
      <c r="B881" t="s">
        <v>341</v>
      </c>
      <c r="C881" t="s">
        <v>304</v>
      </c>
      <c r="D881">
        <v>703429</v>
      </c>
      <c r="E881" t="s">
        <v>240</v>
      </c>
      <c r="F881" t="s">
        <v>21</v>
      </c>
      <c r="G881" t="s">
        <v>76</v>
      </c>
      <c r="H881" t="s">
        <v>77</v>
      </c>
      <c r="J881">
        <v>0</v>
      </c>
    </row>
    <row r="882" spans="2:10" x14ac:dyDescent="0.25">
      <c r="B882" t="s">
        <v>341</v>
      </c>
      <c r="C882" t="s">
        <v>304</v>
      </c>
      <c r="D882">
        <v>703430</v>
      </c>
      <c r="E882" t="s">
        <v>20</v>
      </c>
      <c r="F882" t="s">
        <v>21</v>
      </c>
      <c r="G882" t="s">
        <v>22</v>
      </c>
      <c r="H882" t="s">
        <v>23</v>
      </c>
      <c r="I882" t="s">
        <v>105</v>
      </c>
      <c r="J882">
        <v>1014273</v>
      </c>
    </row>
    <row r="883" spans="2:10" x14ac:dyDescent="0.25">
      <c r="B883" t="s">
        <v>341</v>
      </c>
      <c r="C883" t="s">
        <v>304</v>
      </c>
      <c r="D883">
        <v>703431</v>
      </c>
      <c r="E883" t="s">
        <v>241</v>
      </c>
      <c r="F883" t="s">
        <v>21</v>
      </c>
      <c r="G883" t="s">
        <v>22</v>
      </c>
      <c r="H883" t="s">
        <v>23</v>
      </c>
      <c r="J883">
        <v>0</v>
      </c>
    </row>
    <row r="884" spans="2:10" x14ac:dyDescent="0.25">
      <c r="B884" t="s">
        <v>341</v>
      </c>
      <c r="C884" t="s">
        <v>304</v>
      </c>
      <c r="D884">
        <v>703432</v>
      </c>
      <c r="E884" t="s">
        <v>242</v>
      </c>
      <c r="F884" t="s">
        <v>21</v>
      </c>
      <c r="G884" t="s">
        <v>22</v>
      </c>
      <c r="H884" t="s">
        <v>23</v>
      </c>
      <c r="J884">
        <v>0</v>
      </c>
    </row>
    <row r="885" spans="2:10" x14ac:dyDescent="0.25">
      <c r="B885" t="s">
        <v>341</v>
      </c>
      <c r="C885" t="s">
        <v>304</v>
      </c>
      <c r="D885">
        <v>703433</v>
      </c>
      <c r="E885" t="s">
        <v>243</v>
      </c>
      <c r="F885" t="s">
        <v>21</v>
      </c>
      <c r="G885" t="s">
        <v>71</v>
      </c>
      <c r="H885" t="s">
        <v>88</v>
      </c>
      <c r="J885">
        <v>0</v>
      </c>
    </row>
    <row r="886" spans="2:10" x14ac:dyDescent="0.25">
      <c r="B886" t="s">
        <v>341</v>
      </c>
      <c r="C886" t="s">
        <v>304</v>
      </c>
      <c r="D886">
        <v>703434</v>
      </c>
      <c r="E886" t="s">
        <v>244</v>
      </c>
      <c r="F886" t="s">
        <v>21</v>
      </c>
      <c r="G886" t="s">
        <v>22</v>
      </c>
      <c r="H886" t="s">
        <v>23</v>
      </c>
      <c r="J886">
        <v>0</v>
      </c>
    </row>
    <row r="887" spans="2:10" x14ac:dyDescent="0.25">
      <c r="B887" t="s">
        <v>341</v>
      </c>
      <c r="C887" t="s">
        <v>304</v>
      </c>
      <c r="D887">
        <v>703435</v>
      </c>
      <c r="E887" t="s">
        <v>245</v>
      </c>
      <c r="F887" t="s">
        <v>21</v>
      </c>
      <c r="G887" t="s">
        <v>71</v>
      </c>
      <c r="H887" t="s">
        <v>88</v>
      </c>
      <c r="J887">
        <v>0</v>
      </c>
    </row>
    <row r="888" spans="2:10" x14ac:dyDescent="0.25">
      <c r="B888" t="s">
        <v>341</v>
      </c>
      <c r="C888" t="s">
        <v>304</v>
      </c>
      <c r="D888">
        <v>703436</v>
      </c>
      <c r="E888" t="s">
        <v>246</v>
      </c>
      <c r="F888" t="s">
        <v>21</v>
      </c>
      <c r="G888" t="s">
        <v>71</v>
      </c>
      <c r="H888" t="s">
        <v>88</v>
      </c>
      <c r="J888">
        <v>0</v>
      </c>
    </row>
    <row r="889" spans="2:10" x14ac:dyDescent="0.25">
      <c r="B889" t="s">
        <v>341</v>
      </c>
      <c r="C889" t="s">
        <v>304</v>
      </c>
      <c r="D889">
        <v>703437</v>
      </c>
      <c r="E889" t="s">
        <v>247</v>
      </c>
      <c r="F889" t="s">
        <v>21</v>
      </c>
      <c r="G889" t="s">
        <v>71</v>
      </c>
      <c r="H889" t="s">
        <v>88</v>
      </c>
      <c r="J889">
        <v>0</v>
      </c>
    </row>
    <row r="890" spans="2:10" x14ac:dyDescent="0.25">
      <c r="B890" t="s">
        <v>341</v>
      </c>
      <c r="C890" t="s">
        <v>304</v>
      </c>
      <c r="D890">
        <v>703438</v>
      </c>
      <c r="E890" t="s">
        <v>248</v>
      </c>
      <c r="F890" t="s">
        <v>21</v>
      </c>
      <c r="G890" t="s">
        <v>71</v>
      </c>
      <c r="H890" t="s">
        <v>88</v>
      </c>
      <c r="J890">
        <v>0</v>
      </c>
    </row>
    <row r="891" spans="2:10" x14ac:dyDescent="0.25">
      <c r="B891" t="s">
        <v>341</v>
      </c>
      <c r="C891" t="s">
        <v>304</v>
      </c>
      <c r="D891">
        <v>703439</v>
      </c>
      <c r="E891" t="s">
        <v>249</v>
      </c>
      <c r="F891" t="s">
        <v>21</v>
      </c>
      <c r="G891" t="s">
        <v>22</v>
      </c>
      <c r="H891" t="s">
        <v>23</v>
      </c>
      <c r="J891">
        <v>0</v>
      </c>
    </row>
    <row r="892" spans="2:10" x14ac:dyDescent="0.25">
      <c r="B892" t="s">
        <v>341</v>
      </c>
      <c r="C892" t="s">
        <v>304</v>
      </c>
      <c r="D892">
        <v>703440</v>
      </c>
      <c r="E892" t="s">
        <v>250</v>
      </c>
      <c r="F892" t="s">
        <v>21</v>
      </c>
      <c r="G892" t="s">
        <v>61</v>
      </c>
      <c r="H892" t="s">
        <v>68</v>
      </c>
      <c r="J892">
        <v>0</v>
      </c>
    </row>
    <row r="893" spans="2:10" x14ac:dyDescent="0.25">
      <c r="B893" t="s">
        <v>341</v>
      </c>
      <c r="C893" t="s">
        <v>304</v>
      </c>
      <c r="D893">
        <v>703441</v>
      </c>
      <c r="E893" t="s">
        <v>251</v>
      </c>
      <c r="F893" t="s">
        <v>21</v>
      </c>
      <c r="G893" t="s">
        <v>61</v>
      </c>
      <c r="H893" t="s">
        <v>79</v>
      </c>
      <c r="J893">
        <v>0</v>
      </c>
    </row>
    <row r="894" spans="2:10" x14ac:dyDescent="0.25">
      <c r="B894" t="s">
        <v>341</v>
      </c>
      <c r="C894" t="s">
        <v>304</v>
      </c>
      <c r="D894">
        <v>703442</v>
      </c>
      <c r="E894" t="s">
        <v>252</v>
      </c>
      <c r="F894" t="s">
        <v>21</v>
      </c>
      <c r="G894" t="s">
        <v>76</v>
      </c>
      <c r="H894" t="s">
        <v>77</v>
      </c>
      <c r="J894">
        <v>0</v>
      </c>
    </row>
    <row r="895" spans="2:10" x14ac:dyDescent="0.25">
      <c r="B895" t="s">
        <v>341</v>
      </c>
      <c r="C895" t="s">
        <v>304</v>
      </c>
      <c r="D895">
        <v>703443</v>
      </c>
      <c r="E895" t="s">
        <v>253</v>
      </c>
      <c r="F895" t="s">
        <v>21</v>
      </c>
      <c r="G895" t="s">
        <v>71</v>
      </c>
      <c r="H895" t="s">
        <v>88</v>
      </c>
      <c r="J895">
        <v>0</v>
      </c>
    </row>
    <row r="896" spans="2:10" x14ac:dyDescent="0.25">
      <c r="B896" t="s">
        <v>341</v>
      </c>
      <c r="C896" t="s">
        <v>304</v>
      </c>
      <c r="D896">
        <v>703444</v>
      </c>
      <c r="E896" t="s">
        <v>254</v>
      </c>
      <c r="F896" t="s">
        <v>21</v>
      </c>
      <c r="G896" t="s">
        <v>22</v>
      </c>
      <c r="H896" t="s">
        <v>23</v>
      </c>
      <c r="J896">
        <v>0</v>
      </c>
    </row>
    <row r="897" spans="2:10" x14ac:dyDescent="0.25">
      <c r="B897" t="s">
        <v>341</v>
      </c>
      <c r="C897" t="s">
        <v>304</v>
      </c>
      <c r="D897">
        <v>703445</v>
      </c>
      <c r="E897" t="s">
        <v>255</v>
      </c>
      <c r="F897" t="s">
        <v>21</v>
      </c>
      <c r="G897" t="s">
        <v>22</v>
      </c>
      <c r="H897" t="s">
        <v>23</v>
      </c>
      <c r="J897">
        <v>0</v>
      </c>
    </row>
    <row r="898" spans="2:10" x14ac:dyDescent="0.25">
      <c r="B898" t="s">
        <v>341</v>
      </c>
      <c r="C898" t="s">
        <v>304</v>
      </c>
      <c r="D898">
        <v>703446</v>
      </c>
      <c r="E898" t="s">
        <v>256</v>
      </c>
      <c r="F898" t="s">
        <v>21</v>
      </c>
      <c r="G898" t="s">
        <v>22</v>
      </c>
      <c r="H898" t="s">
        <v>23</v>
      </c>
      <c r="J898">
        <v>0</v>
      </c>
    </row>
    <row r="899" spans="2:10" x14ac:dyDescent="0.25">
      <c r="B899" t="s">
        <v>341</v>
      </c>
      <c r="C899" t="s">
        <v>304</v>
      </c>
      <c r="D899">
        <v>703447</v>
      </c>
      <c r="E899" t="s">
        <v>257</v>
      </c>
      <c r="F899" t="s">
        <v>21</v>
      </c>
      <c r="G899" t="s">
        <v>22</v>
      </c>
      <c r="H899" t="s">
        <v>23</v>
      </c>
      <c r="J899">
        <v>0</v>
      </c>
    </row>
    <row r="900" spans="2:10" x14ac:dyDescent="0.25">
      <c r="B900" t="s">
        <v>341</v>
      </c>
      <c r="C900" t="s">
        <v>304</v>
      </c>
      <c r="D900">
        <v>703448</v>
      </c>
      <c r="E900" t="s">
        <v>258</v>
      </c>
      <c r="F900" t="s">
        <v>21</v>
      </c>
      <c r="G900" t="s">
        <v>22</v>
      </c>
      <c r="H900" t="s">
        <v>23</v>
      </c>
      <c r="J900">
        <v>0</v>
      </c>
    </row>
    <row r="901" spans="2:10" x14ac:dyDescent="0.25">
      <c r="B901" t="s">
        <v>341</v>
      </c>
      <c r="C901" t="s">
        <v>304</v>
      </c>
      <c r="D901">
        <v>703449</v>
      </c>
      <c r="E901" t="s">
        <v>259</v>
      </c>
      <c r="F901" t="s">
        <v>21</v>
      </c>
      <c r="G901" t="s">
        <v>22</v>
      </c>
      <c r="H901" t="s">
        <v>23</v>
      </c>
      <c r="J901">
        <v>0</v>
      </c>
    </row>
    <row r="902" spans="2:10" x14ac:dyDescent="0.25">
      <c r="B902" t="s">
        <v>341</v>
      </c>
      <c r="C902" t="s">
        <v>304</v>
      </c>
      <c r="D902">
        <v>703450</v>
      </c>
      <c r="E902" t="s">
        <v>260</v>
      </c>
      <c r="F902" t="s">
        <v>21</v>
      </c>
      <c r="G902" t="s">
        <v>71</v>
      </c>
      <c r="H902" t="s">
        <v>88</v>
      </c>
      <c r="J902">
        <v>0</v>
      </c>
    </row>
    <row r="903" spans="2:10" x14ac:dyDescent="0.25">
      <c r="B903" t="s">
        <v>341</v>
      </c>
      <c r="C903" t="s">
        <v>304</v>
      </c>
      <c r="D903">
        <v>703510</v>
      </c>
      <c r="E903" t="s">
        <v>261</v>
      </c>
      <c r="F903" t="s">
        <v>21</v>
      </c>
      <c r="G903" t="s">
        <v>22</v>
      </c>
      <c r="H903" t="s">
        <v>23</v>
      </c>
      <c r="J903">
        <v>0</v>
      </c>
    </row>
    <row r="904" spans="2:10" x14ac:dyDescent="0.25">
      <c r="B904" t="s">
        <v>341</v>
      </c>
      <c r="C904" t="s">
        <v>304</v>
      </c>
      <c r="D904">
        <v>703511</v>
      </c>
      <c r="E904" t="s">
        <v>262</v>
      </c>
      <c r="F904" t="s">
        <v>21</v>
      </c>
      <c r="G904" t="s">
        <v>22</v>
      </c>
      <c r="H904" t="s">
        <v>23</v>
      </c>
      <c r="J904">
        <v>0</v>
      </c>
    </row>
    <row r="905" spans="2:10" x14ac:dyDescent="0.25">
      <c r="B905" t="s">
        <v>341</v>
      </c>
      <c r="C905" t="s">
        <v>304</v>
      </c>
      <c r="D905">
        <v>703512</v>
      </c>
      <c r="E905" t="s">
        <v>263</v>
      </c>
      <c r="F905" t="s">
        <v>21</v>
      </c>
      <c r="G905" t="s">
        <v>22</v>
      </c>
      <c r="H905" t="s">
        <v>23</v>
      </c>
      <c r="J905">
        <v>0</v>
      </c>
    </row>
    <row r="906" spans="2:10" x14ac:dyDescent="0.25">
      <c r="B906" t="s">
        <v>341</v>
      </c>
      <c r="C906" t="s">
        <v>304</v>
      </c>
      <c r="D906">
        <v>703513</v>
      </c>
      <c r="E906" t="s">
        <v>264</v>
      </c>
      <c r="F906" t="s">
        <v>21</v>
      </c>
      <c r="G906" t="s">
        <v>22</v>
      </c>
      <c r="H906" t="s">
        <v>23</v>
      </c>
      <c r="J906">
        <v>0</v>
      </c>
    </row>
    <row r="907" spans="2:10" x14ac:dyDescent="0.25">
      <c r="B907" t="s">
        <v>341</v>
      </c>
      <c r="C907" t="s">
        <v>304</v>
      </c>
      <c r="D907">
        <v>703514</v>
      </c>
      <c r="E907" t="s">
        <v>265</v>
      </c>
      <c r="F907" t="s">
        <v>21</v>
      </c>
      <c r="G907" t="s">
        <v>22</v>
      </c>
      <c r="H907" t="s">
        <v>23</v>
      </c>
      <c r="J907">
        <v>0</v>
      </c>
    </row>
    <row r="908" spans="2:10" x14ac:dyDescent="0.25">
      <c r="B908" t="s">
        <v>341</v>
      </c>
      <c r="C908" t="s">
        <v>304</v>
      </c>
      <c r="D908">
        <v>703515</v>
      </c>
      <c r="E908" t="s">
        <v>266</v>
      </c>
      <c r="F908" t="s">
        <v>21</v>
      </c>
      <c r="G908" t="s">
        <v>22</v>
      </c>
      <c r="H908" t="s">
        <v>23</v>
      </c>
      <c r="J908">
        <v>0</v>
      </c>
    </row>
    <row r="909" spans="2:10" x14ac:dyDescent="0.25">
      <c r="B909" t="s">
        <v>341</v>
      </c>
      <c r="C909" t="s">
        <v>304</v>
      </c>
      <c r="D909">
        <v>703520</v>
      </c>
      <c r="E909" t="s">
        <v>267</v>
      </c>
      <c r="F909" t="s">
        <v>21</v>
      </c>
      <c r="G909" t="s">
        <v>22</v>
      </c>
      <c r="H909" t="s">
        <v>23</v>
      </c>
      <c r="J909">
        <v>0</v>
      </c>
    </row>
    <row r="910" spans="2:10" x14ac:dyDescent="0.25">
      <c r="B910" t="s">
        <v>341</v>
      </c>
      <c r="C910" t="s">
        <v>304</v>
      </c>
      <c r="D910">
        <v>703530</v>
      </c>
      <c r="E910" t="s">
        <v>268</v>
      </c>
      <c r="F910" t="s">
        <v>21</v>
      </c>
      <c r="G910" t="s">
        <v>22</v>
      </c>
      <c r="H910" t="s">
        <v>23</v>
      </c>
      <c r="J910">
        <v>0</v>
      </c>
    </row>
    <row r="911" spans="2:10" x14ac:dyDescent="0.25">
      <c r="B911" t="s">
        <v>341</v>
      </c>
      <c r="C911" t="s">
        <v>304</v>
      </c>
      <c r="D911">
        <v>703540</v>
      </c>
      <c r="E911" t="s">
        <v>269</v>
      </c>
      <c r="F911" t="s">
        <v>21</v>
      </c>
      <c r="G911" t="s">
        <v>22</v>
      </c>
      <c r="H911" t="s">
        <v>23</v>
      </c>
      <c r="J911">
        <v>0</v>
      </c>
    </row>
    <row r="912" spans="2:10" x14ac:dyDescent="0.25">
      <c r="B912" t="s">
        <v>341</v>
      </c>
      <c r="C912" t="s">
        <v>304</v>
      </c>
      <c r="D912">
        <v>703550</v>
      </c>
      <c r="E912" t="s">
        <v>270</v>
      </c>
      <c r="F912" t="s">
        <v>21</v>
      </c>
      <c r="G912" t="s">
        <v>22</v>
      </c>
      <c r="H912" t="s">
        <v>23</v>
      </c>
      <c r="J912">
        <v>0</v>
      </c>
    </row>
    <row r="913" spans="2:10" x14ac:dyDescent="0.25">
      <c r="B913" t="s">
        <v>341</v>
      </c>
      <c r="C913" t="s">
        <v>304</v>
      </c>
      <c r="D913">
        <v>703560</v>
      </c>
      <c r="E913" t="s">
        <v>271</v>
      </c>
      <c r="F913" t="s">
        <v>21</v>
      </c>
      <c r="G913" t="s">
        <v>22</v>
      </c>
      <c r="H913" t="s">
        <v>23</v>
      </c>
      <c r="J913">
        <v>0</v>
      </c>
    </row>
    <row r="914" spans="2:10" x14ac:dyDescent="0.25">
      <c r="B914" t="s">
        <v>341</v>
      </c>
      <c r="C914" t="s">
        <v>304</v>
      </c>
      <c r="D914">
        <v>703570</v>
      </c>
      <c r="E914" t="s">
        <v>272</v>
      </c>
      <c r="F914" t="s">
        <v>21</v>
      </c>
      <c r="G914" t="s">
        <v>22</v>
      </c>
      <c r="H914" t="s">
        <v>23</v>
      </c>
      <c r="J914">
        <v>0</v>
      </c>
    </row>
    <row r="915" spans="2:10" x14ac:dyDescent="0.25">
      <c r="B915" t="s">
        <v>341</v>
      </c>
      <c r="C915" t="s">
        <v>304</v>
      </c>
      <c r="D915">
        <v>703571</v>
      </c>
      <c r="E915" t="s">
        <v>273</v>
      </c>
      <c r="F915" t="s">
        <v>21</v>
      </c>
      <c r="G915" t="s">
        <v>22</v>
      </c>
      <c r="H915" t="s">
        <v>23</v>
      </c>
    </row>
    <row r="916" spans="2:10" x14ac:dyDescent="0.25">
      <c r="B916" t="s">
        <v>341</v>
      </c>
      <c r="C916" t="s">
        <v>304</v>
      </c>
      <c r="D916">
        <v>703572</v>
      </c>
      <c r="E916" t="s">
        <v>274</v>
      </c>
      <c r="F916" t="s">
        <v>21</v>
      </c>
      <c r="G916" t="s">
        <v>22</v>
      </c>
      <c r="H916" t="s">
        <v>23</v>
      </c>
    </row>
    <row r="917" spans="2:10" x14ac:dyDescent="0.25">
      <c r="B917" t="s">
        <v>341</v>
      </c>
      <c r="C917" t="s">
        <v>304</v>
      </c>
      <c r="D917">
        <v>703573</v>
      </c>
      <c r="E917" t="s">
        <v>275</v>
      </c>
      <c r="F917" t="s">
        <v>21</v>
      </c>
      <c r="G917" t="s">
        <v>22</v>
      </c>
      <c r="H917" t="s">
        <v>23</v>
      </c>
    </row>
    <row r="918" spans="2:10" x14ac:dyDescent="0.25">
      <c r="B918" t="s">
        <v>341</v>
      </c>
      <c r="C918" t="s">
        <v>304</v>
      </c>
      <c r="D918">
        <v>703574</v>
      </c>
      <c r="E918" t="s">
        <v>276</v>
      </c>
      <c r="F918" t="s">
        <v>21</v>
      </c>
      <c r="G918" t="s">
        <v>22</v>
      </c>
      <c r="H918" t="s">
        <v>23</v>
      </c>
    </row>
    <row r="919" spans="2:10" x14ac:dyDescent="0.25">
      <c r="B919" t="s">
        <v>341</v>
      </c>
      <c r="C919" t="s">
        <v>304</v>
      </c>
      <c r="D919">
        <v>703580</v>
      </c>
      <c r="E919" t="s">
        <v>277</v>
      </c>
      <c r="F919" t="s">
        <v>21</v>
      </c>
      <c r="G919" t="s">
        <v>22</v>
      </c>
      <c r="H919" t="s">
        <v>23</v>
      </c>
      <c r="J919">
        <v>0</v>
      </c>
    </row>
    <row r="920" spans="2:10" x14ac:dyDescent="0.25">
      <c r="B920" t="s">
        <v>341</v>
      </c>
      <c r="C920" t="s">
        <v>304</v>
      </c>
      <c r="D920">
        <v>703590</v>
      </c>
      <c r="E920" t="s">
        <v>278</v>
      </c>
      <c r="F920" t="s">
        <v>21</v>
      </c>
      <c r="G920" t="s">
        <v>22</v>
      </c>
      <c r="H920" t="s">
        <v>23</v>
      </c>
      <c r="J920">
        <v>0</v>
      </c>
    </row>
    <row r="921" spans="2:10" x14ac:dyDescent="0.25">
      <c r="B921" t="s">
        <v>341</v>
      </c>
      <c r="C921" t="s">
        <v>304</v>
      </c>
      <c r="D921">
        <v>703650</v>
      </c>
      <c r="E921" t="s">
        <v>279</v>
      </c>
      <c r="F921" t="s">
        <v>21</v>
      </c>
      <c r="G921" t="s">
        <v>22</v>
      </c>
      <c r="H921" t="s">
        <v>23</v>
      </c>
      <c r="J921">
        <v>0</v>
      </c>
    </row>
    <row r="922" spans="2:10" x14ac:dyDescent="0.25">
      <c r="B922" t="s">
        <v>341</v>
      </c>
      <c r="C922" t="s">
        <v>304</v>
      </c>
      <c r="D922">
        <v>703651</v>
      </c>
      <c r="E922" t="s">
        <v>280</v>
      </c>
      <c r="F922" t="s">
        <v>21</v>
      </c>
      <c r="G922" t="s">
        <v>22</v>
      </c>
      <c r="H922" t="s">
        <v>23</v>
      </c>
      <c r="J922">
        <v>0</v>
      </c>
    </row>
    <row r="923" spans="2:10" x14ac:dyDescent="0.25">
      <c r="B923" t="s">
        <v>341</v>
      </c>
      <c r="C923" t="s">
        <v>304</v>
      </c>
      <c r="D923">
        <v>703850</v>
      </c>
      <c r="E923" t="s">
        <v>281</v>
      </c>
      <c r="F923" t="s">
        <v>21</v>
      </c>
      <c r="G923" t="s">
        <v>22</v>
      </c>
      <c r="H923" t="s">
        <v>23</v>
      </c>
      <c r="J923">
        <v>0</v>
      </c>
    </row>
    <row r="924" spans="2:10" x14ac:dyDescent="0.25">
      <c r="B924" t="s">
        <v>341</v>
      </c>
      <c r="C924" t="s">
        <v>304</v>
      </c>
      <c r="D924">
        <v>703851</v>
      </c>
      <c r="E924" t="s">
        <v>282</v>
      </c>
      <c r="F924" t="s">
        <v>21</v>
      </c>
      <c r="G924" t="s">
        <v>22</v>
      </c>
      <c r="H924" t="s">
        <v>23</v>
      </c>
      <c r="J924">
        <v>0</v>
      </c>
    </row>
    <row r="925" spans="2:10" x14ac:dyDescent="0.25">
      <c r="B925" t="s">
        <v>341</v>
      </c>
      <c r="C925" t="s">
        <v>304</v>
      </c>
      <c r="D925">
        <v>703852</v>
      </c>
      <c r="E925" t="s">
        <v>283</v>
      </c>
      <c r="F925" t="s">
        <v>21</v>
      </c>
      <c r="G925" t="s">
        <v>22</v>
      </c>
      <c r="H925" t="s">
        <v>23</v>
      </c>
      <c r="I925" t="s">
        <v>105</v>
      </c>
      <c r="J925">
        <v>211729.45</v>
      </c>
    </row>
    <row r="926" spans="2:10" x14ac:dyDescent="0.25">
      <c r="B926" t="s">
        <v>341</v>
      </c>
      <c r="C926" t="s">
        <v>304</v>
      </c>
      <c r="D926">
        <v>703853</v>
      </c>
      <c r="E926" t="s">
        <v>284</v>
      </c>
      <c r="F926" t="s">
        <v>21</v>
      </c>
      <c r="G926" t="s">
        <v>22</v>
      </c>
      <c r="H926" t="s">
        <v>23</v>
      </c>
      <c r="J926">
        <v>0</v>
      </c>
    </row>
    <row r="927" spans="2:10" x14ac:dyDescent="0.25">
      <c r="B927" t="s">
        <v>341</v>
      </c>
      <c r="C927" t="s">
        <v>304</v>
      </c>
      <c r="D927">
        <v>703854</v>
      </c>
      <c r="E927" t="s">
        <v>285</v>
      </c>
      <c r="F927" t="s">
        <v>21</v>
      </c>
      <c r="G927" t="s">
        <v>22</v>
      </c>
      <c r="H927" t="s">
        <v>115</v>
      </c>
      <c r="J927">
        <v>0</v>
      </c>
    </row>
    <row r="928" spans="2:10" x14ac:dyDescent="0.25">
      <c r="B928" t="s">
        <v>341</v>
      </c>
      <c r="C928" t="s">
        <v>304</v>
      </c>
      <c r="D928">
        <v>703855</v>
      </c>
      <c r="E928" t="s">
        <v>286</v>
      </c>
      <c r="F928" t="s">
        <v>21</v>
      </c>
      <c r="G928" t="s">
        <v>22</v>
      </c>
      <c r="H928" t="s">
        <v>23</v>
      </c>
      <c r="I928" t="s">
        <v>105</v>
      </c>
      <c r="J928">
        <v>150000</v>
      </c>
    </row>
    <row r="929" spans="2:10" x14ac:dyDescent="0.25">
      <c r="B929" t="s">
        <v>341</v>
      </c>
      <c r="C929" t="s">
        <v>304</v>
      </c>
      <c r="D929">
        <v>703856</v>
      </c>
      <c r="E929" t="s">
        <v>287</v>
      </c>
      <c r="F929" t="s">
        <v>21</v>
      </c>
      <c r="G929" t="s">
        <v>22</v>
      </c>
      <c r="H929" t="s">
        <v>23</v>
      </c>
      <c r="J929">
        <v>0</v>
      </c>
    </row>
    <row r="930" spans="2:10" x14ac:dyDescent="0.25">
      <c r="B930" t="s">
        <v>341</v>
      </c>
      <c r="C930" t="s">
        <v>304</v>
      </c>
      <c r="D930">
        <v>703857</v>
      </c>
      <c r="E930" t="s">
        <v>288</v>
      </c>
      <c r="F930" t="s">
        <v>21</v>
      </c>
      <c r="G930" t="s">
        <v>71</v>
      </c>
      <c r="H930" t="s">
        <v>88</v>
      </c>
      <c r="J930">
        <v>0</v>
      </c>
    </row>
    <row r="931" spans="2:10" x14ac:dyDescent="0.25">
      <c r="B931" t="s">
        <v>341</v>
      </c>
      <c r="C931" t="s">
        <v>304</v>
      </c>
      <c r="D931">
        <v>703858</v>
      </c>
      <c r="E931" t="s">
        <v>289</v>
      </c>
      <c r="F931" t="s">
        <v>21</v>
      </c>
      <c r="G931" t="s">
        <v>22</v>
      </c>
      <c r="H931" t="s">
        <v>23</v>
      </c>
      <c r="J931">
        <v>0</v>
      </c>
    </row>
    <row r="932" spans="2:10" x14ac:dyDescent="0.25">
      <c r="B932" t="s">
        <v>341</v>
      </c>
      <c r="C932" t="s">
        <v>304</v>
      </c>
      <c r="D932">
        <v>703859</v>
      </c>
      <c r="E932" t="s">
        <v>290</v>
      </c>
      <c r="F932" t="s">
        <v>21</v>
      </c>
      <c r="G932" t="s">
        <v>22</v>
      </c>
      <c r="H932" t="s">
        <v>23</v>
      </c>
      <c r="J932">
        <v>0</v>
      </c>
    </row>
    <row r="933" spans="2:10" x14ac:dyDescent="0.25">
      <c r="B933" t="s">
        <v>341</v>
      </c>
      <c r="C933" t="s">
        <v>304</v>
      </c>
      <c r="D933">
        <v>703860</v>
      </c>
      <c r="E933" t="s">
        <v>291</v>
      </c>
      <c r="F933" t="s">
        <v>21</v>
      </c>
      <c r="G933" t="s">
        <v>22</v>
      </c>
      <c r="H933" t="s">
        <v>23</v>
      </c>
      <c r="J933">
        <v>0</v>
      </c>
    </row>
    <row r="934" spans="2:10" x14ac:dyDescent="0.25">
      <c r="B934" t="s">
        <v>341</v>
      </c>
      <c r="C934" t="s">
        <v>304</v>
      </c>
      <c r="D934">
        <v>703861</v>
      </c>
      <c r="E934" t="s">
        <v>292</v>
      </c>
      <c r="F934" t="s">
        <v>21</v>
      </c>
      <c r="G934" t="s">
        <v>22</v>
      </c>
      <c r="H934" t="s">
        <v>23</v>
      </c>
      <c r="J934">
        <v>0</v>
      </c>
    </row>
    <row r="935" spans="2:10" x14ac:dyDescent="0.25">
      <c r="B935" t="s">
        <v>341</v>
      </c>
      <c r="C935" t="s">
        <v>304</v>
      </c>
      <c r="D935">
        <v>703862</v>
      </c>
      <c r="E935" t="s">
        <v>293</v>
      </c>
      <c r="F935" t="s">
        <v>21</v>
      </c>
      <c r="G935" t="s">
        <v>22</v>
      </c>
      <c r="H935" t="s">
        <v>23</v>
      </c>
      <c r="J935">
        <v>0</v>
      </c>
    </row>
    <row r="936" spans="2:10" x14ac:dyDescent="0.25">
      <c r="B936" t="s">
        <v>341</v>
      </c>
      <c r="C936" t="s">
        <v>304</v>
      </c>
      <c r="D936">
        <v>703870</v>
      </c>
      <c r="E936" t="s">
        <v>294</v>
      </c>
      <c r="F936" t="s">
        <v>21</v>
      </c>
      <c r="G936" t="s">
        <v>22</v>
      </c>
      <c r="H936" t="s">
        <v>23</v>
      </c>
      <c r="J936">
        <v>0</v>
      </c>
    </row>
    <row r="937" spans="2:10" x14ac:dyDescent="0.25">
      <c r="B937" t="s">
        <v>341</v>
      </c>
      <c r="C937" t="s">
        <v>304</v>
      </c>
      <c r="D937">
        <v>703880</v>
      </c>
      <c r="E937" t="s">
        <v>295</v>
      </c>
      <c r="F937" t="s">
        <v>21</v>
      </c>
      <c r="G937" t="s">
        <v>22</v>
      </c>
      <c r="H937" t="s">
        <v>23</v>
      </c>
      <c r="J937">
        <v>0</v>
      </c>
    </row>
    <row r="938" spans="2:10" x14ac:dyDescent="0.25">
      <c r="B938" t="s">
        <v>341</v>
      </c>
      <c r="C938" t="s">
        <v>304</v>
      </c>
      <c r="D938">
        <v>703899</v>
      </c>
      <c r="E938" t="s">
        <v>296</v>
      </c>
      <c r="F938" t="s">
        <v>21</v>
      </c>
      <c r="G938" t="s">
        <v>22</v>
      </c>
      <c r="H938" t="s">
        <v>23</v>
      </c>
      <c r="J938">
        <v>0</v>
      </c>
    </row>
    <row r="939" spans="2:10" x14ac:dyDescent="0.25">
      <c r="B939" t="s">
        <v>341</v>
      </c>
      <c r="C939" t="s">
        <v>304</v>
      </c>
      <c r="D939">
        <v>706700</v>
      </c>
      <c r="E939" t="s">
        <v>25</v>
      </c>
      <c r="F939" t="s">
        <v>26</v>
      </c>
      <c r="G939" t="s">
        <v>27</v>
      </c>
      <c r="H939" t="s">
        <v>28</v>
      </c>
      <c r="J939">
        <v>3148603.6</v>
      </c>
    </row>
    <row r="940" spans="2:10" x14ac:dyDescent="0.25">
      <c r="B940" t="s">
        <v>341</v>
      </c>
      <c r="C940" t="s">
        <v>304</v>
      </c>
      <c r="D940" t="s">
        <v>29</v>
      </c>
      <c r="E940" t="s">
        <v>30</v>
      </c>
      <c r="F940" t="s">
        <v>26</v>
      </c>
      <c r="G940" t="s">
        <v>27</v>
      </c>
      <c r="H940" t="s">
        <v>31</v>
      </c>
      <c r="J940">
        <v>0</v>
      </c>
    </row>
    <row r="941" spans="2:10" x14ac:dyDescent="0.25">
      <c r="B941" t="s">
        <v>341</v>
      </c>
      <c r="C941" t="s">
        <v>304</v>
      </c>
      <c r="D941" t="s">
        <v>32</v>
      </c>
      <c r="E941" t="s">
        <v>33</v>
      </c>
      <c r="F941" t="s">
        <v>26</v>
      </c>
      <c r="G941" t="s">
        <v>27</v>
      </c>
      <c r="H941" t="s">
        <v>28</v>
      </c>
      <c r="J941">
        <v>0</v>
      </c>
    </row>
    <row r="942" spans="2:10" x14ac:dyDescent="0.25">
      <c r="B942" t="s">
        <v>341</v>
      </c>
      <c r="C942" t="s">
        <v>304</v>
      </c>
      <c r="D942" t="s">
        <v>34</v>
      </c>
      <c r="E942" t="s">
        <v>35</v>
      </c>
      <c r="F942" t="s">
        <v>26</v>
      </c>
      <c r="G942" t="s">
        <v>36</v>
      </c>
      <c r="H942" t="s">
        <v>36</v>
      </c>
      <c r="J942">
        <v>0</v>
      </c>
    </row>
    <row r="943" spans="2:10" x14ac:dyDescent="0.25">
      <c r="B943" t="s">
        <v>341</v>
      </c>
      <c r="C943" t="s">
        <v>304</v>
      </c>
      <c r="D943" t="s">
        <v>37</v>
      </c>
      <c r="E943" t="s">
        <v>38</v>
      </c>
      <c r="F943" t="s">
        <v>21</v>
      </c>
      <c r="G943" t="s">
        <v>39</v>
      </c>
      <c r="H943" t="s">
        <v>39</v>
      </c>
      <c r="J943">
        <v>0</v>
      </c>
    </row>
    <row r="944" spans="2:10" x14ac:dyDescent="0.25">
      <c r="B944" t="s">
        <v>341</v>
      </c>
      <c r="C944" t="s">
        <v>304</v>
      </c>
      <c r="D944" t="s">
        <v>40</v>
      </c>
      <c r="E944" t="s">
        <v>41</v>
      </c>
      <c r="F944" t="s">
        <v>26</v>
      </c>
      <c r="G944" t="s">
        <v>39</v>
      </c>
      <c r="H944" t="s">
        <v>39</v>
      </c>
      <c r="I944" t="s">
        <v>105</v>
      </c>
      <c r="J944">
        <v>365072.5</v>
      </c>
    </row>
    <row r="945" spans="2:10" x14ac:dyDescent="0.25">
      <c r="B945" t="s">
        <v>341</v>
      </c>
      <c r="C945" t="s">
        <v>304</v>
      </c>
      <c r="D945" t="s">
        <v>42</v>
      </c>
      <c r="E945" t="s">
        <v>43</v>
      </c>
      <c r="F945" t="s">
        <v>21</v>
      </c>
      <c r="G945" t="s">
        <v>44</v>
      </c>
      <c r="H945" t="s">
        <v>44</v>
      </c>
      <c r="J945">
        <v>0</v>
      </c>
    </row>
    <row r="946" spans="2:10" x14ac:dyDescent="0.25">
      <c r="B946" t="s">
        <v>341</v>
      </c>
      <c r="C946" t="s">
        <v>304</v>
      </c>
      <c r="D946" t="s">
        <v>45</v>
      </c>
      <c r="E946" t="s">
        <v>46</v>
      </c>
      <c r="F946" t="s">
        <v>26</v>
      </c>
      <c r="G946" t="s">
        <v>44</v>
      </c>
      <c r="H946" t="s">
        <v>44</v>
      </c>
      <c r="J946">
        <v>0</v>
      </c>
    </row>
    <row r="947" spans="2:10" x14ac:dyDescent="0.25">
      <c r="B947" t="s">
        <v>341</v>
      </c>
      <c r="C947" t="s">
        <v>304</v>
      </c>
      <c r="D947" t="s">
        <v>297</v>
      </c>
      <c r="E947" t="s">
        <v>298</v>
      </c>
      <c r="F947" t="s">
        <v>26</v>
      </c>
      <c r="G947" t="s">
        <v>299</v>
      </c>
      <c r="H947" t="s">
        <v>299</v>
      </c>
    </row>
    <row r="948" spans="2:10" x14ac:dyDescent="0.25">
      <c r="B948" t="s">
        <v>341</v>
      </c>
      <c r="C948" t="s">
        <v>304</v>
      </c>
      <c r="D948" t="s">
        <v>300</v>
      </c>
      <c r="E948" t="s">
        <v>301</v>
      </c>
      <c r="F948" t="s">
        <v>21</v>
      </c>
      <c r="G948" t="s">
        <v>299</v>
      </c>
      <c r="H948" t="s">
        <v>299</v>
      </c>
    </row>
    <row r="949" spans="2:10" x14ac:dyDescent="0.25">
      <c r="B949" t="s">
        <v>341</v>
      </c>
      <c r="C949" t="s">
        <v>304</v>
      </c>
      <c r="D949" t="s">
        <v>47</v>
      </c>
      <c r="E949" t="s">
        <v>48</v>
      </c>
      <c r="F949" t="s">
        <v>26</v>
      </c>
      <c r="G949" t="s">
        <v>49</v>
      </c>
      <c r="H949" t="s">
        <v>49</v>
      </c>
      <c r="J949">
        <v>0</v>
      </c>
    </row>
    <row r="950" spans="2:10" x14ac:dyDescent="0.25">
      <c r="B950" t="s">
        <v>6</v>
      </c>
      <c r="C950" t="s">
        <v>7</v>
      </c>
      <c r="D950">
        <v>701000</v>
      </c>
      <c r="E950" t="s">
        <v>51</v>
      </c>
      <c r="F950" t="s">
        <v>21</v>
      </c>
      <c r="G950" t="s">
        <v>52</v>
      </c>
      <c r="H950" t="s">
        <v>53</v>
      </c>
      <c r="J950" s="20">
        <v>0</v>
      </c>
    </row>
    <row r="951" spans="2:10" x14ac:dyDescent="0.25">
      <c r="B951" t="s">
        <v>6</v>
      </c>
      <c r="C951" t="s">
        <v>7</v>
      </c>
      <c r="D951">
        <v>701008</v>
      </c>
      <c r="E951" t="s">
        <v>54</v>
      </c>
      <c r="F951" t="s">
        <v>21</v>
      </c>
      <c r="G951" t="s">
        <v>52</v>
      </c>
      <c r="H951" t="s">
        <v>53</v>
      </c>
      <c r="J951" s="20">
        <v>0</v>
      </c>
    </row>
    <row r="952" spans="2:10" x14ac:dyDescent="0.25">
      <c r="B952" t="s">
        <v>6</v>
      </c>
      <c r="C952" t="s">
        <v>7</v>
      </c>
      <c r="D952">
        <v>701009</v>
      </c>
      <c r="E952" t="s">
        <v>55</v>
      </c>
      <c r="F952" t="s">
        <v>21</v>
      </c>
      <c r="G952" t="s">
        <v>52</v>
      </c>
      <c r="H952" t="s">
        <v>53</v>
      </c>
      <c r="J952" s="20">
        <v>0</v>
      </c>
    </row>
    <row r="953" spans="2:10" x14ac:dyDescent="0.25">
      <c r="B953" t="s">
        <v>6</v>
      </c>
      <c r="C953" t="s">
        <v>7</v>
      </c>
      <c r="D953">
        <v>701010</v>
      </c>
      <c r="E953" t="s">
        <v>56</v>
      </c>
      <c r="F953" t="s">
        <v>21</v>
      </c>
      <c r="G953" t="s">
        <v>52</v>
      </c>
      <c r="H953" t="s">
        <v>57</v>
      </c>
      <c r="J953" s="20">
        <v>0</v>
      </c>
    </row>
    <row r="954" spans="2:10" x14ac:dyDescent="0.25">
      <c r="B954" t="s">
        <v>6</v>
      </c>
      <c r="C954" t="s">
        <v>7</v>
      </c>
      <c r="D954">
        <v>701011</v>
      </c>
      <c r="E954" t="s">
        <v>58</v>
      </c>
      <c r="F954" t="s">
        <v>21</v>
      </c>
      <c r="G954" t="s">
        <v>52</v>
      </c>
      <c r="H954" t="s">
        <v>53</v>
      </c>
      <c r="J954" s="20">
        <v>0</v>
      </c>
    </row>
    <row r="955" spans="2:10" x14ac:dyDescent="0.25">
      <c r="B955" t="s">
        <v>6</v>
      </c>
      <c r="C955" t="s">
        <v>7</v>
      </c>
      <c r="D955">
        <v>701012</v>
      </c>
      <c r="E955" t="s">
        <v>59</v>
      </c>
      <c r="F955" t="s">
        <v>21</v>
      </c>
      <c r="G955" t="s">
        <v>52</v>
      </c>
      <c r="H955" t="s">
        <v>53</v>
      </c>
      <c r="J955" s="20">
        <v>0</v>
      </c>
    </row>
    <row r="956" spans="2:10" x14ac:dyDescent="0.25">
      <c r="B956" t="s">
        <v>6</v>
      </c>
      <c r="C956" t="s">
        <v>7</v>
      </c>
      <c r="D956">
        <v>701013</v>
      </c>
      <c r="E956" t="s">
        <v>60</v>
      </c>
      <c r="F956" t="s">
        <v>21</v>
      </c>
      <c r="G956" t="s">
        <v>61</v>
      </c>
      <c r="H956" t="s">
        <v>62</v>
      </c>
      <c r="J956" s="20">
        <v>0</v>
      </c>
    </row>
    <row r="957" spans="2:10" x14ac:dyDescent="0.25">
      <c r="B957" t="s">
        <v>6</v>
      </c>
      <c r="C957" t="s">
        <v>7</v>
      </c>
      <c r="D957">
        <v>701014</v>
      </c>
      <c r="E957" t="s">
        <v>63</v>
      </c>
      <c r="F957" t="s">
        <v>21</v>
      </c>
      <c r="G957" t="s">
        <v>61</v>
      </c>
      <c r="H957" t="s">
        <v>64</v>
      </c>
      <c r="J957" s="20">
        <v>0</v>
      </c>
    </row>
    <row r="958" spans="2:10" x14ac:dyDescent="0.25">
      <c r="B958" t="s">
        <v>6</v>
      </c>
      <c r="C958" t="s">
        <v>7</v>
      </c>
      <c r="D958">
        <v>701015</v>
      </c>
      <c r="E958" t="s">
        <v>65</v>
      </c>
      <c r="F958" t="s">
        <v>21</v>
      </c>
      <c r="G958" t="s">
        <v>52</v>
      </c>
      <c r="H958" t="s">
        <v>53</v>
      </c>
      <c r="J958" s="20">
        <v>0</v>
      </c>
    </row>
    <row r="959" spans="2:10" x14ac:dyDescent="0.25">
      <c r="B959" t="s">
        <v>6</v>
      </c>
      <c r="C959" t="s">
        <v>7</v>
      </c>
      <c r="D959">
        <v>701016</v>
      </c>
      <c r="E959" t="s">
        <v>66</v>
      </c>
      <c r="F959" t="s">
        <v>21</v>
      </c>
      <c r="G959" t="s">
        <v>52</v>
      </c>
      <c r="H959" t="s">
        <v>53</v>
      </c>
      <c r="J959" s="20">
        <v>0</v>
      </c>
    </row>
    <row r="960" spans="2:10" x14ac:dyDescent="0.25">
      <c r="B960" t="s">
        <v>6</v>
      </c>
      <c r="C960" t="s">
        <v>7</v>
      </c>
      <c r="D960">
        <v>701017</v>
      </c>
      <c r="E960" t="s">
        <v>67</v>
      </c>
      <c r="F960" t="s">
        <v>21</v>
      </c>
      <c r="G960" t="s">
        <v>61</v>
      </c>
      <c r="H960" t="s">
        <v>68</v>
      </c>
      <c r="J960" s="20">
        <v>0</v>
      </c>
    </row>
    <row r="961" spans="2:10" x14ac:dyDescent="0.25">
      <c r="B961" t="s">
        <v>6</v>
      </c>
      <c r="C961" t="s">
        <v>7</v>
      </c>
      <c r="D961">
        <v>701018</v>
      </c>
      <c r="E961" t="s">
        <v>69</v>
      </c>
      <c r="F961" t="s">
        <v>21</v>
      </c>
      <c r="G961" t="s">
        <v>61</v>
      </c>
      <c r="H961" t="s">
        <v>68</v>
      </c>
      <c r="J961" s="20">
        <v>0</v>
      </c>
    </row>
    <row r="962" spans="2:10" x14ac:dyDescent="0.25">
      <c r="B962" t="s">
        <v>6</v>
      </c>
      <c r="C962" t="s">
        <v>7</v>
      </c>
      <c r="D962">
        <v>701019</v>
      </c>
      <c r="E962" t="s">
        <v>70</v>
      </c>
      <c r="F962" t="s">
        <v>21</v>
      </c>
      <c r="G962" t="s">
        <v>71</v>
      </c>
      <c r="H962" t="s">
        <v>72</v>
      </c>
      <c r="J962" s="20">
        <v>0</v>
      </c>
    </row>
    <row r="963" spans="2:10" x14ac:dyDescent="0.25">
      <c r="B963" t="s">
        <v>6</v>
      </c>
      <c r="C963" t="s">
        <v>7</v>
      </c>
      <c r="D963">
        <v>701020</v>
      </c>
      <c r="E963" t="s">
        <v>73</v>
      </c>
      <c r="F963" t="s">
        <v>21</v>
      </c>
      <c r="G963" t="s">
        <v>52</v>
      </c>
      <c r="H963" t="s">
        <v>53</v>
      </c>
      <c r="J963" s="20">
        <v>0</v>
      </c>
    </row>
    <row r="964" spans="2:10" x14ac:dyDescent="0.25">
      <c r="B964" t="s">
        <v>6</v>
      </c>
      <c r="C964" t="s">
        <v>7</v>
      </c>
      <c r="D964">
        <v>701021</v>
      </c>
      <c r="E964" t="s">
        <v>74</v>
      </c>
      <c r="F964" t="s">
        <v>21</v>
      </c>
      <c r="G964" t="s">
        <v>61</v>
      </c>
      <c r="H964" t="s">
        <v>74</v>
      </c>
      <c r="J964" s="20">
        <v>0</v>
      </c>
    </row>
    <row r="965" spans="2:10" x14ac:dyDescent="0.25">
      <c r="B965" t="s">
        <v>6</v>
      </c>
      <c r="C965" t="s">
        <v>7</v>
      </c>
      <c r="D965">
        <v>701022</v>
      </c>
      <c r="E965" t="s">
        <v>75</v>
      </c>
      <c r="F965" t="s">
        <v>21</v>
      </c>
      <c r="G965" t="s">
        <v>76</v>
      </c>
      <c r="H965" t="s">
        <v>77</v>
      </c>
      <c r="J965" s="20">
        <v>0</v>
      </c>
    </row>
    <row r="966" spans="2:10" x14ac:dyDescent="0.25">
      <c r="B966" t="s">
        <v>6</v>
      </c>
      <c r="C966" t="s">
        <v>7</v>
      </c>
      <c r="D966">
        <v>701023</v>
      </c>
      <c r="E966" t="s">
        <v>78</v>
      </c>
      <c r="F966" t="s">
        <v>21</v>
      </c>
      <c r="G966" t="s">
        <v>61</v>
      </c>
      <c r="H966" t="s">
        <v>79</v>
      </c>
      <c r="J966" s="20">
        <v>0</v>
      </c>
    </row>
    <row r="967" spans="2:10" x14ac:dyDescent="0.25">
      <c r="B967" t="s">
        <v>6</v>
      </c>
      <c r="C967" t="s">
        <v>7</v>
      </c>
      <c r="D967">
        <v>701024</v>
      </c>
      <c r="E967" t="s">
        <v>80</v>
      </c>
      <c r="F967" t="s">
        <v>21</v>
      </c>
      <c r="G967" t="s">
        <v>76</v>
      </c>
      <c r="H967" t="s">
        <v>77</v>
      </c>
      <c r="J967" s="20">
        <v>0</v>
      </c>
    </row>
    <row r="968" spans="2:10" x14ac:dyDescent="0.25">
      <c r="B968" t="s">
        <v>6</v>
      </c>
      <c r="C968" t="s">
        <v>7</v>
      </c>
      <c r="D968">
        <v>701025</v>
      </c>
      <c r="E968" t="s">
        <v>81</v>
      </c>
      <c r="F968" t="s">
        <v>21</v>
      </c>
      <c r="G968" t="s">
        <v>71</v>
      </c>
      <c r="H968" t="s">
        <v>82</v>
      </c>
      <c r="J968" s="20">
        <v>0</v>
      </c>
    </row>
    <row r="969" spans="2:10" x14ac:dyDescent="0.25">
      <c r="B969" t="s">
        <v>6</v>
      </c>
      <c r="C969" t="s">
        <v>7</v>
      </c>
      <c r="D969">
        <v>701026</v>
      </c>
      <c r="E969" t="s">
        <v>83</v>
      </c>
      <c r="F969" t="s">
        <v>21</v>
      </c>
      <c r="G969" t="s">
        <v>76</v>
      </c>
      <c r="H969" t="s">
        <v>77</v>
      </c>
      <c r="J969" s="20">
        <v>0</v>
      </c>
    </row>
    <row r="970" spans="2:10" x14ac:dyDescent="0.25">
      <c r="B970" t="s">
        <v>6</v>
      </c>
      <c r="C970" t="s">
        <v>7</v>
      </c>
      <c r="D970">
        <v>701027</v>
      </c>
      <c r="E970" t="s">
        <v>84</v>
      </c>
      <c r="F970" t="s">
        <v>21</v>
      </c>
      <c r="G970" t="s">
        <v>76</v>
      </c>
      <c r="H970" t="s">
        <v>77</v>
      </c>
      <c r="J970" s="20">
        <v>0</v>
      </c>
    </row>
    <row r="971" spans="2:10" x14ac:dyDescent="0.25">
      <c r="B971" t="s">
        <v>6</v>
      </c>
      <c r="C971" t="s">
        <v>7</v>
      </c>
      <c r="D971">
        <v>701028</v>
      </c>
      <c r="E971" t="s">
        <v>85</v>
      </c>
      <c r="F971" t="s">
        <v>21</v>
      </c>
      <c r="G971" t="s">
        <v>61</v>
      </c>
      <c r="H971" t="s">
        <v>68</v>
      </c>
      <c r="J971" s="20">
        <v>0</v>
      </c>
    </row>
    <row r="972" spans="2:10" x14ac:dyDescent="0.25">
      <c r="B972" t="s">
        <v>6</v>
      </c>
      <c r="C972" t="s">
        <v>7</v>
      </c>
      <c r="D972">
        <v>701029</v>
      </c>
      <c r="E972" t="s">
        <v>86</v>
      </c>
      <c r="F972" t="s">
        <v>21</v>
      </c>
      <c r="G972" t="s">
        <v>61</v>
      </c>
      <c r="H972" t="s">
        <v>68</v>
      </c>
      <c r="J972" s="20">
        <v>0</v>
      </c>
    </row>
    <row r="973" spans="2:10" x14ac:dyDescent="0.25">
      <c r="B973" t="s">
        <v>6</v>
      </c>
      <c r="C973" t="s">
        <v>7</v>
      </c>
      <c r="D973">
        <v>701030</v>
      </c>
      <c r="E973" t="s">
        <v>87</v>
      </c>
      <c r="F973" t="s">
        <v>21</v>
      </c>
      <c r="G973" t="s">
        <v>71</v>
      </c>
      <c r="H973" t="s">
        <v>88</v>
      </c>
      <c r="J973" s="20">
        <v>0</v>
      </c>
    </row>
    <row r="974" spans="2:10" x14ac:dyDescent="0.25">
      <c r="B974" t="s">
        <v>6</v>
      </c>
      <c r="C974" t="s">
        <v>7</v>
      </c>
      <c r="D974">
        <v>701031</v>
      </c>
      <c r="E974" t="s">
        <v>89</v>
      </c>
      <c r="F974" t="s">
        <v>21</v>
      </c>
      <c r="G974" t="s">
        <v>76</v>
      </c>
      <c r="H974" t="s">
        <v>77</v>
      </c>
      <c r="J974" s="20">
        <v>0</v>
      </c>
    </row>
    <row r="975" spans="2:10" x14ac:dyDescent="0.25">
      <c r="B975" t="s">
        <v>6</v>
      </c>
      <c r="C975" t="s">
        <v>7</v>
      </c>
      <c r="D975">
        <v>701032</v>
      </c>
      <c r="E975" t="s">
        <v>90</v>
      </c>
      <c r="F975" t="s">
        <v>21</v>
      </c>
      <c r="G975" t="s">
        <v>52</v>
      </c>
      <c r="H975" t="s">
        <v>53</v>
      </c>
      <c r="J975" s="20">
        <v>0</v>
      </c>
    </row>
    <row r="976" spans="2:10" x14ac:dyDescent="0.25">
      <c r="B976" t="s">
        <v>6</v>
      </c>
      <c r="C976" t="s">
        <v>7</v>
      </c>
      <c r="D976">
        <v>701034</v>
      </c>
      <c r="E976" t="s">
        <v>91</v>
      </c>
      <c r="F976" t="s">
        <v>21</v>
      </c>
      <c r="G976" t="s">
        <v>76</v>
      </c>
      <c r="H976" t="s">
        <v>77</v>
      </c>
      <c r="J976" s="20">
        <v>0</v>
      </c>
    </row>
    <row r="977" spans="2:10" x14ac:dyDescent="0.25">
      <c r="B977" t="s">
        <v>6</v>
      </c>
      <c r="C977" t="s">
        <v>7</v>
      </c>
      <c r="D977">
        <v>701035</v>
      </c>
      <c r="E977" t="s">
        <v>92</v>
      </c>
      <c r="F977" t="s">
        <v>21</v>
      </c>
      <c r="G977" t="s">
        <v>61</v>
      </c>
      <c r="H977" t="s">
        <v>68</v>
      </c>
      <c r="J977" s="20">
        <v>0</v>
      </c>
    </row>
    <row r="978" spans="2:10" x14ac:dyDescent="0.25">
      <c r="B978" t="s">
        <v>6</v>
      </c>
      <c r="C978" t="s">
        <v>7</v>
      </c>
      <c r="D978">
        <v>701036</v>
      </c>
      <c r="E978" t="s">
        <v>93</v>
      </c>
      <c r="F978" t="s">
        <v>21</v>
      </c>
      <c r="G978" t="s">
        <v>52</v>
      </c>
      <c r="H978" t="s">
        <v>53</v>
      </c>
      <c r="J978" s="20">
        <v>0</v>
      </c>
    </row>
    <row r="979" spans="2:10" x14ac:dyDescent="0.25">
      <c r="B979" t="s">
        <v>6</v>
      </c>
      <c r="C979" t="s">
        <v>7</v>
      </c>
      <c r="D979">
        <v>701113</v>
      </c>
      <c r="E979" t="s">
        <v>94</v>
      </c>
      <c r="F979" t="s">
        <v>21</v>
      </c>
      <c r="G979" t="s">
        <v>61</v>
      </c>
      <c r="H979" t="s">
        <v>62</v>
      </c>
      <c r="J979" s="20">
        <v>0</v>
      </c>
    </row>
    <row r="980" spans="2:10" x14ac:dyDescent="0.25">
      <c r="B980" t="s">
        <v>6</v>
      </c>
      <c r="C980" t="s">
        <v>7</v>
      </c>
      <c r="D980">
        <v>701119</v>
      </c>
      <c r="E980" t="s">
        <v>95</v>
      </c>
      <c r="F980" t="s">
        <v>21</v>
      </c>
      <c r="G980" t="s">
        <v>22</v>
      </c>
      <c r="H980" t="s">
        <v>23</v>
      </c>
      <c r="J980" s="20">
        <v>0</v>
      </c>
    </row>
    <row r="981" spans="2:10" x14ac:dyDescent="0.25">
      <c r="B981" t="s">
        <v>6</v>
      </c>
      <c r="C981" t="s">
        <v>7</v>
      </c>
      <c r="D981">
        <v>701120</v>
      </c>
      <c r="E981" t="s">
        <v>96</v>
      </c>
      <c r="F981" t="s">
        <v>21</v>
      </c>
      <c r="G981" t="s">
        <v>22</v>
      </c>
      <c r="H981" t="s">
        <v>23</v>
      </c>
      <c r="J981" s="20">
        <v>0</v>
      </c>
    </row>
    <row r="982" spans="2:10" x14ac:dyDescent="0.25">
      <c r="B982" t="s">
        <v>6</v>
      </c>
      <c r="C982" t="s">
        <v>7</v>
      </c>
      <c r="D982">
        <v>701121</v>
      </c>
      <c r="E982" t="s">
        <v>97</v>
      </c>
      <c r="F982" t="s">
        <v>21</v>
      </c>
      <c r="G982" t="s">
        <v>22</v>
      </c>
      <c r="H982" t="s">
        <v>23</v>
      </c>
      <c r="J982" s="20">
        <v>0</v>
      </c>
    </row>
    <row r="983" spans="2:10" x14ac:dyDescent="0.25">
      <c r="B983" t="s">
        <v>6</v>
      </c>
      <c r="C983" t="s">
        <v>7</v>
      </c>
      <c r="D983">
        <v>701122</v>
      </c>
      <c r="E983" t="s">
        <v>98</v>
      </c>
      <c r="F983" t="s">
        <v>21</v>
      </c>
      <c r="G983" t="s">
        <v>71</v>
      </c>
      <c r="H983" t="s">
        <v>88</v>
      </c>
      <c r="J983" s="20">
        <v>0</v>
      </c>
    </row>
    <row r="984" spans="2:10" x14ac:dyDescent="0.25">
      <c r="B984" t="s">
        <v>6</v>
      </c>
      <c r="C984" t="s">
        <v>7</v>
      </c>
      <c r="D984">
        <v>701123</v>
      </c>
      <c r="E984" t="s">
        <v>99</v>
      </c>
      <c r="F984" t="s">
        <v>21</v>
      </c>
      <c r="G984" t="s">
        <v>22</v>
      </c>
      <c r="H984" t="s">
        <v>23</v>
      </c>
      <c r="J984" s="20">
        <v>0</v>
      </c>
    </row>
    <row r="985" spans="2:10" x14ac:dyDescent="0.25">
      <c r="B985" t="s">
        <v>6</v>
      </c>
      <c r="C985" t="s">
        <v>7</v>
      </c>
      <c r="D985">
        <v>701127</v>
      </c>
      <c r="E985" t="s">
        <v>100</v>
      </c>
      <c r="F985" t="s">
        <v>21</v>
      </c>
      <c r="G985" t="s">
        <v>76</v>
      </c>
      <c r="H985" t="s">
        <v>77</v>
      </c>
      <c r="J985" s="20">
        <v>0</v>
      </c>
    </row>
    <row r="986" spans="2:10" x14ac:dyDescent="0.25">
      <c r="B986" t="s">
        <v>6</v>
      </c>
      <c r="C986" t="s">
        <v>7</v>
      </c>
      <c r="D986">
        <v>701213</v>
      </c>
      <c r="E986" t="s">
        <v>101</v>
      </c>
      <c r="F986" t="s">
        <v>21</v>
      </c>
      <c r="G986" t="s">
        <v>61</v>
      </c>
      <c r="H986" t="s">
        <v>62</v>
      </c>
      <c r="J986" s="20">
        <v>0</v>
      </c>
    </row>
    <row r="987" spans="2:10" x14ac:dyDescent="0.25">
      <c r="B987" t="s">
        <v>6</v>
      </c>
      <c r="C987" t="s">
        <v>7</v>
      </c>
      <c r="D987">
        <v>701214</v>
      </c>
      <c r="E987" t="s">
        <v>102</v>
      </c>
      <c r="F987" t="s">
        <v>21</v>
      </c>
      <c r="G987" t="s">
        <v>61</v>
      </c>
      <c r="H987" t="s">
        <v>62</v>
      </c>
      <c r="J987" s="20">
        <v>0</v>
      </c>
    </row>
    <row r="988" spans="2:10" x14ac:dyDescent="0.25">
      <c r="B988" t="s">
        <v>6</v>
      </c>
      <c r="C988" t="s">
        <v>7</v>
      </c>
      <c r="D988">
        <v>701215</v>
      </c>
      <c r="E988" t="s">
        <v>103</v>
      </c>
      <c r="F988" t="s">
        <v>21</v>
      </c>
      <c r="G988" t="s">
        <v>61</v>
      </c>
      <c r="H988" t="s">
        <v>62</v>
      </c>
      <c r="J988" s="20">
        <v>0</v>
      </c>
    </row>
    <row r="989" spans="2:10" x14ac:dyDescent="0.25">
      <c r="B989" t="s">
        <v>6</v>
      </c>
      <c r="C989" t="s">
        <v>7</v>
      </c>
      <c r="D989">
        <v>701227</v>
      </c>
      <c r="E989" t="s">
        <v>104</v>
      </c>
      <c r="F989" t="s">
        <v>21</v>
      </c>
      <c r="G989" t="s">
        <v>76</v>
      </c>
      <c r="H989" t="s">
        <v>77</v>
      </c>
      <c r="J989" s="20">
        <v>0</v>
      </c>
    </row>
    <row r="990" spans="2:10" x14ac:dyDescent="0.25">
      <c r="B990" t="s">
        <v>6</v>
      </c>
      <c r="C990" t="s">
        <v>7</v>
      </c>
      <c r="D990">
        <v>701327</v>
      </c>
      <c r="E990" t="s">
        <v>106</v>
      </c>
      <c r="F990" t="s">
        <v>21</v>
      </c>
      <c r="G990" t="s">
        <v>76</v>
      </c>
      <c r="H990" t="s">
        <v>77</v>
      </c>
      <c r="J990" s="20">
        <v>0</v>
      </c>
    </row>
    <row r="991" spans="2:10" x14ac:dyDescent="0.25">
      <c r="B991" t="s">
        <v>6</v>
      </c>
      <c r="C991" t="s">
        <v>7</v>
      </c>
      <c r="D991">
        <v>701427</v>
      </c>
      <c r="E991" t="s">
        <v>107</v>
      </c>
      <c r="F991" t="s">
        <v>21</v>
      </c>
      <c r="G991" t="s">
        <v>76</v>
      </c>
      <c r="H991" t="s">
        <v>108</v>
      </c>
      <c r="J991" s="20">
        <v>0</v>
      </c>
    </row>
    <row r="992" spans="2:10" x14ac:dyDescent="0.25">
      <c r="B992" t="s">
        <v>6</v>
      </c>
      <c r="C992" t="s">
        <v>7</v>
      </c>
      <c r="D992">
        <v>701527</v>
      </c>
      <c r="E992" t="s">
        <v>109</v>
      </c>
      <c r="F992" t="s">
        <v>21</v>
      </c>
      <c r="G992" t="s">
        <v>76</v>
      </c>
      <c r="H992" t="s">
        <v>77</v>
      </c>
      <c r="J992" s="20">
        <v>0</v>
      </c>
    </row>
    <row r="993" spans="2:10" x14ac:dyDescent="0.25">
      <c r="B993" t="s">
        <v>6</v>
      </c>
      <c r="C993" t="s">
        <v>7</v>
      </c>
      <c r="D993">
        <v>701627</v>
      </c>
      <c r="E993" t="s">
        <v>110</v>
      </c>
      <c r="F993" t="s">
        <v>21</v>
      </c>
      <c r="G993" t="s">
        <v>76</v>
      </c>
      <c r="H993" t="s">
        <v>77</v>
      </c>
      <c r="J993" s="20">
        <v>0</v>
      </c>
    </row>
    <row r="994" spans="2:10" x14ac:dyDescent="0.25">
      <c r="B994" t="s">
        <v>6</v>
      </c>
      <c r="C994" t="s">
        <v>7</v>
      </c>
      <c r="D994">
        <v>701727</v>
      </c>
      <c r="E994" t="s">
        <v>111</v>
      </c>
      <c r="F994" t="s">
        <v>21</v>
      </c>
      <c r="G994" t="s">
        <v>76</v>
      </c>
      <c r="H994" t="s">
        <v>77</v>
      </c>
      <c r="J994" s="20">
        <v>0</v>
      </c>
    </row>
    <row r="995" spans="2:10" x14ac:dyDescent="0.25">
      <c r="B995" t="s">
        <v>6</v>
      </c>
      <c r="C995" t="s">
        <v>7</v>
      </c>
      <c r="D995">
        <v>701801</v>
      </c>
      <c r="E995" t="s">
        <v>112</v>
      </c>
      <c r="F995" t="s">
        <v>21</v>
      </c>
      <c r="G995" t="s">
        <v>76</v>
      </c>
      <c r="H995" t="s">
        <v>77</v>
      </c>
      <c r="J995" s="20">
        <v>0</v>
      </c>
    </row>
    <row r="996" spans="2:10" x14ac:dyDescent="0.25">
      <c r="B996" t="s">
        <v>6</v>
      </c>
      <c r="C996" t="s">
        <v>7</v>
      </c>
      <c r="D996">
        <v>701802</v>
      </c>
      <c r="E996" t="s">
        <v>113</v>
      </c>
      <c r="F996" t="s">
        <v>21</v>
      </c>
      <c r="G996" t="s">
        <v>61</v>
      </c>
      <c r="H996" t="s">
        <v>62</v>
      </c>
      <c r="J996" s="20">
        <v>0</v>
      </c>
    </row>
    <row r="997" spans="2:10" x14ac:dyDescent="0.25">
      <c r="B997" t="s">
        <v>6</v>
      </c>
      <c r="C997" t="s">
        <v>7</v>
      </c>
      <c r="D997">
        <v>703010</v>
      </c>
      <c r="E997" t="s">
        <v>114</v>
      </c>
      <c r="F997" t="s">
        <v>21</v>
      </c>
      <c r="G997" t="s">
        <v>22</v>
      </c>
      <c r="H997" t="s">
        <v>115</v>
      </c>
      <c r="J997" s="20">
        <v>0</v>
      </c>
    </row>
    <row r="998" spans="2:10" x14ac:dyDescent="0.25">
      <c r="B998" t="s">
        <v>6</v>
      </c>
      <c r="C998" t="s">
        <v>7</v>
      </c>
      <c r="D998">
        <v>703011</v>
      </c>
      <c r="E998" t="s">
        <v>116</v>
      </c>
      <c r="F998" t="s">
        <v>21</v>
      </c>
      <c r="G998" t="s">
        <v>22</v>
      </c>
      <c r="H998" t="s">
        <v>115</v>
      </c>
      <c r="J998" s="20">
        <v>0</v>
      </c>
    </row>
    <row r="999" spans="2:10" x14ac:dyDescent="0.25">
      <c r="B999" t="s">
        <v>6</v>
      </c>
      <c r="C999" t="s">
        <v>7</v>
      </c>
      <c r="D999">
        <v>703012</v>
      </c>
      <c r="E999" t="s">
        <v>117</v>
      </c>
      <c r="F999" t="s">
        <v>21</v>
      </c>
      <c r="G999" t="s">
        <v>22</v>
      </c>
      <c r="H999" t="s">
        <v>115</v>
      </c>
      <c r="J999" s="20">
        <v>0</v>
      </c>
    </row>
    <row r="1000" spans="2:10" x14ac:dyDescent="0.25">
      <c r="B1000" t="s">
        <v>6</v>
      </c>
      <c r="C1000" t="s">
        <v>7</v>
      </c>
      <c r="D1000">
        <v>703013</v>
      </c>
      <c r="E1000" t="s">
        <v>118</v>
      </c>
      <c r="F1000" t="s">
        <v>21</v>
      </c>
      <c r="G1000" t="s">
        <v>22</v>
      </c>
      <c r="H1000" t="s">
        <v>115</v>
      </c>
      <c r="J1000" s="20">
        <v>0</v>
      </c>
    </row>
    <row r="1001" spans="2:10" x14ac:dyDescent="0.25">
      <c r="B1001" t="s">
        <v>6</v>
      </c>
      <c r="C1001" t="s">
        <v>7</v>
      </c>
      <c r="D1001">
        <v>703014</v>
      </c>
      <c r="E1001" t="s">
        <v>119</v>
      </c>
      <c r="F1001" t="s">
        <v>21</v>
      </c>
      <c r="G1001" t="s">
        <v>22</v>
      </c>
      <c r="H1001" t="s">
        <v>115</v>
      </c>
      <c r="J1001" s="20">
        <v>0</v>
      </c>
    </row>
    <row r="1002" spans="2:10" x14ac:dyDescent="0.25">
      <c r="B1002" t="s">
        <v>6</v>
      </c>
      <c r="C1002" t="s">
        <v>7</v>
      </c>
      <c r="D1002">
        <v>703015</v>
      </c>
      <c r="E1002" t="s">
        <v>120</v>
      </c>
      <c r="F1002" t="s">
        <v>21</v>
      </c>
      <c r="G1002" t="s">
        <v>22</v>
      </c>
      <c r="H1002" t="s">
        <v>115</v>
      </c>
      <c r="J1002" s="20">
        <v>0</v>
      </c>
    </row>
    <row r="1003" spans="2:10" x14ac:dyDescent="0.25">
      <c r="B1003" t="s">
        <v>6</v>
      </c>
      <c r="C1003" t="s">
        <v>7</v>
      </c>
      <c r="D1003">
        <v>703016</v>
      </c>
      <c r="E1003" t="s">
        <v>121</v>
      </c>
      <c r="F1003" t="s">
        <v>21</v>
      </c>
      <c r="G1003" t="s">
        <v>22</v>
      </c>
      <c r="H1003" t="s">
        <v>115</v>
      </c>
      <c r="J1003" s="20">
        <v>0</v>
      </c>
    </row>
    <row r="1004" spans="2:10" x14ac:dyDescent="0.25">
      <c r="B1004" t="s">
        <v>6</v>
      </c>
      <c r="C1004" t="s">
        <v>7</v>
      </c>
      <c r="D1004">
        <v>703017</v>
      </c>
      <c r="E1004" t="s">
        <v>122</v>
      </c>
      <c r="F1004" t="s">
        <v>21</v>
      </c>
      <c r="G1004" t="s">
        <v>22</v>
      </c>
      <c r="H1004" t="s">
        <v>115</v>
      </c>
      <c r="J1004" s="20">
        <v>0</v>
      </c>
    </row>
    <row r="1005" spans="2:10" x14ac:dyDescent="0.25">
      <c r="B1005" t="s">
        <v>6</v>
      </c>
      <c r="C1005" t="s">
        <v>7</v>
      </c>
      <c r="D1005">
        <v>703018</v>
      </c>
      <c r="E1005" t="s">
        <v>123</v>
      </c>
      <c r="F1005" t="s">
        <v>21</v>
      </c>
      <c r="G1005" t="s">
        <v>22</v>
      </c>
      <c r="H1005" t="s">
        <v>115</v>
      </c>
      <c r="J1005" s="20">
        <v>0</v>
      </c>
    </row>
    <row r="1006" spans="2:10" x14ac:dyDescent="0.25">
      <c r="B1006" t="s">
        <v>6</v>
      </c>
      <c r="C1006" t="s">
        <v>7</v>
      </c>
      <c r="D1006">
        <v>703019</v>
      </c>
      <c r="E1006" t="s">
        <v>124</v>
      </c>
      <c r="F1006" t="s">
        <v>21</v>
      </c>
      <c r="G1006" t="s">
        <v>22</v>
      </c>
      <c r="H1006" t="s">
        <v>115</v>
      </c>
      <c r="J1006" s="20">
        <v>0</v>
      </c>
    </row>
    <row r="1007" spans="2:10" x14ac:dyDescent="0.25">
      <c r="B1007" t="s">
        <v>6</v>
      </c>
      <c r="C1007" t="s">
        <v>7</v>
      </c>
      <c r="D1007">
        <v>703210</v>
      </c>
      <c r="E1007" t="s">
        <v>125</v>
      </c>
      <c r="F1007" t="s">
        <v>21</v>
      </c>
      <c r="G1007" t="s">
        <v>22</v>
      </c>
      <c r="H1007" t="s">
        <v>23</v>
      </c>
      <c r="J1007" s="20">
        <v>0</v>
      </c>
    </row>
    <row r="1008" spans="2:10" x14ac:dyDescent="0.25">
      <c r="B1008" t="s">
        <v>6</v>
      </c>
      <c r="C1008" t="s">
        <v>7</v>
      </c>
      <c r="D1008">
        <v>703211</v>
      </c>
      <c r="E1008" t="s">
        <v>126</v>
      </c>
      <c r="F1008" t="s">
        <v>21</v>
      </c>
      <c r="G1008" t="s">
        <v>22</v>
      </c>
      <c r="H1008" t="s">
        <v>23</v>
      </c>
      <c r="J1008" s="20">
        <v>0</v>
      </c>
    </row>
    <row r="1009" spans="2:10" x14ac:dyDescent="0.25">
      <c r="B1009" t="s">
        <v>6</v>
      </c>
      <c r="C1009" t="s">
        <v>7</v>
      </c>
      <c r="D1009">
        <v>703212</v>
      </c>
      <c r="E1009" t="s">
        <v>127</v>
      </c>
      <c r="F1009" t="s">
        <v>21</v>
      </c>
      <c r="G1009" t="s">
        <v>22</v>
      </c>
      <c r="H1009" t="s">
        <v>23</v>
      </c>
      <c r="J1009" s="20">
        <v>0</v>
      </c>
    </row>
    <row r="1010" spans="2:10" x14ac:dyDescent="0.25">
      <c r="B1010" t="s">
        <v>6</v>
      </c>
      <c r="C1010" t="s">
        <v>7</v>
      </c>
      <c r="D1010">
        <v>703213</v>
      </c>
      <c r="E1010" t="s">
        <v>128</v>
      </c>
      <c r="F1010" t="s">
        <v>21</v>
      </c>
      <c r="G1010" t="s">
        <v>22</v>
      </c>
      <c r="H1010" t="s">
        <v>23</v>
      </c>
      <c r="J1010" s="20">
        <v>0</v>
      </c>
    </row>
    <row r="1011" spans="2:10" x14ac:dyDescent="0.25">
      <c r="B1011" t="s">
        <v>6</v>
      </c>
      <c r="C1011" t="s">
        <v>7</v>
      </c>
      <c r="D1011">
        <v>703214</v>
      </c>
      <c r="E1011" t="s">
        <v>129</v>
      </c>
      <c r="F1011" t="s">
        <v>21</v>
      </c>
      <c r="G1011" t="s">
        <v>22</v>
      </c>
      <c r="H1011" t="s">
        <v>23</v>
      </c>
      <c r="J1011" s="20">
        <v>0</v>
      </c>
    </row>
    <row r="1012" spans="2:10" x14ac:dyDescent="0.25">
      <c r="B1012" t="s">
        <v>6</v>
      </c>
      <c r="C1012" t="s">
        <v>7</v>
      </c>
      <c r="D1012">
        <v>703215</v>
      </c>
      <c r="E1012" t="s">
        <v>130</v>
      </c>
      <c r="F1012" t="s">
        <v>21</v>
      </c>
      <c r="G1012" t="s">
        <v>22</v>
      </c>
      <c r="H1012" t="s">
        <v>23</v>
      </c>
      <c r="J1012" s="20">
        <v>0</v>
      </c>
    </row>
    <row r="1013" spans="2:10" x14ac:dyDescent="0.25">
      <c r="B1013" t="s">
        <v>6</v>
      </c>
      <c r="C1013" t="s">
        <v>7</v>
      </c>
      <c r="D1013">
        <v>703216</v>
      </c>
      <c r="E1013" t="s">
        <v>131</v>
      </c>
      <c r="F1013" t="s">
        <v>21</v>
      </c>
      <c r="G1013" t="s">
        <v>22</v>
      </c>
      <c r="H1013" t="s">
        <v>23</v>
      </c>
      <c r="J1013" s="20">
        <v>0</v>
      </c>
    </row>
    <row r="1014" spans="2:10" x14ac:dyDescent="0.25">
      <c r="B1014" t="s">
        <v>6</v>
      </c>
      <c r="C1014" t="s">
        <v>7</v>
      </c>
      <c r="D1014">
        <v>703217</v>
      </c>
      <c r="E1014" t="s">
        <v>132</v>
      </c>
      <c r="F1014" t="s">
        <v>21</v>
      </c>
      <c r="G1014" t="s">
        <v>22</v>
      </c>
      <c r="H1014" t="s">
        <v>23</v>
      </c>
      <c r="J1014" s="20">
        <v>0</v>
      </c>
    </row>
    <row r="1015" spans="2:10" x14ac:dyDescent="0.25">
      <c r="B1015" t="s">
        <v>6</v>
      </c>
      <c r="C1015" t="s">
        <v>7</v>
      </c>
      <c r="D1015">
        <v>703219</v>
      </c>
      <c r="E1015" t="s">
        <v>133</v>
      </c>
      <c r="F1015" t="s">
        <v>21</v>
      </c>
      <c r="G1015" t="s">
        <v>22</v>
      </c>
      <c r="H1015" t="s">
        <v>23</v>
      </c>
      <c r="J1015" s="20">
        <v>0</v>
      </c>
    </row>
    <row r="1016" spans="2:10" x14ac:dyDescent="0.25">
      <c r="B1016" t="s">
        <v>6</v>
      </c>
      <c r="C1016" t="s">
        <v>7</v>
      </c>
      <c r="D1016">
        <v>703220</v>
      </c>
      <c r="E1016" t="s">
        <v>134</v>
      </c>
      <c r="F1016" t="s">
        <v>21</v>
      </c>
      <c r="G1016" t="s">
        <v>71</v>
      </c>
      <c r="H1016" t="s">
        <v>135</v>
      </c>
      <c r="J1016" s="20">
        <v>0</v>
      </c>
    </row>
    <row r="1017" spans="2:10" x14ac:dyDescent="0.25">
      <c r="B1017" t="s">
        <v>6</v>
      </c>
      <c r="C1017" t="s">
        <v>7</v>
      </c>
      <c r="D1017">
        <v>703221</v>
      </c>
      <c r="E1017" t="s">
        <v>136</v>
      </c>
      <c r="F1017" t="s">
        <v>21</v>
      </c>
      <c r="G1017" t="s">
        <v>137</v>
      </c>
      <c r="H1017" t="s">
        <v>138</v>
      </c>
      <c r="J1017" s="20">
        <v>0</v>
      </c>
    </row>
    <row r="1018" spans="2:10" x14ac:dyDescent="0.25">
      <c r="B1018" t="s">
        <v>6</v>
      </c>
      <c r="C1018" t="s">
        <v>7</v>
      </c>
      <c r="D1018">
        <v>703222</v>
      </c>
      <c r="E1018" t="s">
        <v>139</v>
      </c>
      <c r="F1018" t="s">
        <v>21</v>
      </c>
      <c r="G1018" t="s">
        <v>137</v>
      </c>
      <c r="H1018" t="s">
        <v>138</v>
      </c>
      <c r="J1018" s="20">
        <v>0</v>
      </c>
    </row>
    <row r="1019" spans="2:10" x14ac:dyDescent="0.25">
      <c r="B1019" t="s">
        <v>6</v>
      </c>
      <c r="C1019" t="s">
        <v>7</v>
      </c>
      <c r="D1019">
        <v>703223</v>
      </c>
      <c r="E1019" t="s">
        <v>140</v>
      </c>
      <c r="F1019" t="s">
        <v>21</v>
      </c>
      <c r="G1019" t="s">
        <v>137</v>
      </c>
      <c r="H1019" t="s">
        <v>141</v>
      </c>
      <c r="J1019" s="20">
        <v>0</v>
      </c>
    </row>
    <row r="1020" spans="2:10" x14ac:dyDescent="0.25">
      <c r="B1020" t="s">
        <v>6</v>
      </c>
      <c r="C1020" t="s">
        <v>7</v>
      </c>
      <c r="D1020">
        <v>703224</v>
      </c>
      <c r="E1020" t="s">
        <v>142</v>
      </c>
      <c r="F1020" t="s">
        <v>21</v>
      </c>
      <c r="G1020" t="s">
        <v>71</v>
      </c>
      <c r="H1020" t="s">
        <v>88</v>
      </c>
      <c r="J1020" s="20">
        <v>0</v>
      </c>
    </row>
    <row r="1021" spans="2:10" x14ac:dyDescent="0.25">
      <c r="B1021" t="s">
        <v>6</v>
      </c>
      <c r="C1021" t="s">
        <v>7</v>
      </c>
      <c r="D1021">
        <v>703225</v>
      </c>
      <c r="E1021" t="s">
        <v>143</v>
      </c>
      <c r="F1021" t="s">
        <v>21</v>
      </c>
      <c r="G1021" t="s">
        <v>71</v>
      </c>
      <c r="H1021" t="s">
        <v>88</v>
      </c>
      <c r="J1021" s="20">
        <v>0</v>
      </c>
    </row>
    <row r="1022" spans="2:10" x14ac:dyDescent="0.25">
      <c r="B1022" t="s">
        <v>6</v>
      </c>
      <c r="C1022" t="s">
        <v>7</v>
      </c>
      <c r="D1022">
        <v>703226</v>
      </c>
      <c r="E1022" t="s">
        <v>144</v>
      </c>
      <c r="F1022" t="s">
        <v>21</v>
      </c>
      <c r="G1022" t="s">
        <v>71</v>
      </c>
      <c r="H1022" t="s">
        <v>82</v>
      </c>
      <c r="J1022" s="20">
        <v>0</v>
      </c>
    </row>
    <row r="1023" spans="2:10" x14ac:dyDescent="0.25">
      <c r="B1023" t="s">
        <v>6</v>
      </c>
      <c r="C1023" t="s">
        <v>7</v>
      </c>
      <c r="D1023">
        <v>703227</v>
      </c>
      <c r="E1023" t="s">
        <v>145</v>
      </c>
      <c r="F1023" t="s">
        <v>21</v>
      </c>
      <c r="G1023" t="s">
        <v>137</v>
      </c>
      <c r="H1023" t="s">
        <v>138</v>
      </c>
      <c r="J1023" s="20">
        <v>0</v>
      </c>
    </row>
    <row r="1024" spans="2:10" x14ac:dyDescent="0.25">
      <c r="B1024" t="s">
        <v>6</v>
      </c>
      <c r="C1024" t="s">
        <v>7</v>
      </c>
      <c r="D1024">
        <v>703228</v>
      </c>
      <c r="E1024" t="s">
        <v>146</v>
      </c>
      <c r="F1024" t="s">
        <v>21</v>
      </c>
      <c r="G1024" t="s">
        <v>147</v>
      </c>
      <c r="H1024" t="s">
        <v>147</v>
      </c>
      <c r="J1024" s="20">
        <v>0</v>
      </c>
    </row>
    <row r="1025" spans="2:10" x14ac:dyDescent="0.25">
      <c r="B1025" t="s">
        <v>6</v>
      </c>
      <c r="C1025" t="s">
        <v>7</v>
      </c>
      <c r="D1025">
        <v>703229</v>
      </c>
      <c r="E1025" t="s">
        <v>148</v>
      </c>
      <c r="F1025" t="s">
        <v>21</v>
      </c>
      <c r="G1025" t="s">
        <v>147</v>
      </c>
      <c r="H1025" t="s">
        <v>147</v>
      </c>
      <c r="J1025" s="20">
        <v>0</v>
      </c>
    </row>
    <row r="1026" spans="2:10" x14ac:dyDescent="0.25">
      <c r="B1026" t="s">
        <v>6</v>
      </c>
      <c r="C1026" t="s">
        <v>7</v>
      </c>
      <c r="D1026">
        <v>703230</v>
      </c>
      <c r="E1026" t="s">
        <v>149</v>
      </c>
      <c r="F1026" t="s">
        <v>21</v>
      </c>
      <c r="G1026" t="s">
        <v>147</v>
      </c>
      <c r="H1026" t="s">
        <v>147</v>
      </c>
      <c r="J1026" s="20">
        <v>0</v>
      </c>
    </row>
    <row r="1027" spans="2:10" x14ac:dyDescent="0.25">
      <c r="B1027" t="s">
        <v>6</v>
      </c>
      <c r="C1027" t="s">
        <v>7</v>
      </c>
      <c r="D1027">
        <v>703231</v>
      </c>
      <c r="E1027" t="s">
        <v>150</v>
      </c>
      <c r="F1027" t="s">
        <v>21</v>
      </c>
      <c r="G1027" t="s">
        <v>137</v>
      </c>
      <c r="H1027" t="s">
        <v>141</v>
      </c>
      <c r="J1027" s="20">
        <v>0</v>
      </c>
    </row>
    <row r="1028" spans="2:10" x14ac:dyDescent="0.25">
      <c r="B1028" t="s">
        <v>6</v>
      </c>
      <c r="C1028" t="s">
        <v>7</v>
      </c>
      <c r="D1028">
        <v>703232</v>
      </c>
      <c r="E1028" t="s">
        <v>151</v>
      </c>
      <c r="F1028" t="s">
        <v>21</v>
      </c>
      <c r="G1028" t="s">
        <v>147</v>
      </c>
      <c r="H1028" t="s">
        <v>147</v>
      </c>
      <c r="J1028" s="20">
        <v>0</v>
      </c>
    </row>
    <row r="1029" spans="2:10" x14ac:dyDescent="0.25">
      <c r="B1029" t="s">
        <v>6</v>
      </c>
      <c r="C1029" t="s">
        <v>7</v>
      </c>
      <c r="D1029">
        <v>703233</v>
      </c>
      <c r="E1029" t="s">
        <v>152</v>
      </c>
      <c r="F1029" t="s">
        <v>21</v>
      </c>
      <c r="G1029" t="s">
        <v>71</v>
      </c>
      <c r="H1029" t="s">
        <v>153</v>
      </c>
      <c r="J1029" s="20">
        <v>0</v>
      </c>
    </row>
    <row r="1030" spans="2:10" x14ac:dyDescent="0.25">
      <c r="B1030" t="s">
        <v>6</v>
      </c>
      <c r="C1030" t="s">
        <v>7</v>
      </c>
      <c r="D1030">
        <v>703234</v>
      </c>
      <c r="E1030" t="s">
        <v>154</v>
      </c>
      <c r="F1030" t="s">
        <v>21</v>
      </c>
      <c r="G1030" t="s">
        <v>71</v>
      </c>
      <c r="H1030" t="s">
        <v>153</v>
      </c>
      <c r="J1030" s="20">
        <v>0</v>
      </c>
    </row>
    <row r="1031" spans="2:10" x14ac:dyDescent="0.25">
      <c r="B1031" t="s">
        <v>6</v>
      </c>
      <c r="C1031" t="s">
        <v>7</v>
      </c>
      <c r="D1031">
        <v>703235</v>
      </c>
      <c r="E1031" t="s">
        <v>155</v>
      </c>
      <c r="F1031" t="s">
        <v>21</v>
      </c>
      <c r="G1031" t="s">
        <v>71</v>
      </c>
      <c r="H1031" t="s">
        <v>153</v>
      </c>
      <c r="J1031" s="20">
        <v>0</v>
      </c>
    </row>
    <row r="1032" spans="2:10" x14ac:dyDescent="0.25">
      <c r="B1032" t="s">
        <v>6</v>
      </c>
      <c r="C1032" t="s">
        <v>7</v>
      </c>
      <c r="D1032">
        <v>703236</v>
      </c>
      <c r="E1032" t="s">
        <v>156</v>
      </c>
      <c r="F1032" t="s">
        <v>21</v>
      </c>
      <c r="G1032" t="s">
        <v>76</v>
      </c>
      <c r="H1032" t="s">
        <v>77</v>
      </c>
      <c r="J1032" s="20">
        <v>0</v>
      </c>
    </row>
    <row r="1033" spans="2:10" x14ac:dyDescent="0.25">
      <c r="B1033" t="s">
        <v>6</v>
      </c>
      <c r="C1033" t="s">
        <v>7</v>
      </c>
      <c r="D1033">
        <v>703237</v>
      </c>
      <c r="E1033" t="s">
        <v>157</v>
      </c>
      <c r="F1033" t="s">
        <v>21</v>
      </c>
      <c r="G1033" t="s">
        <v>22</v>
      </c>
      <c r="H1033" t="s">
        <v>23</v>
      </c>
      <c r="J1033" s="20">
        <v>0</v>
      </c>
    </row>
    <row r="1034" spans="2:10" x14ac:dyDescent="0.25">
      <c r="B1034" t="s">
        <v>6</v>
      </c>
      <c r="C1034" t="s">
        <v>7</v>
      </c>
      <c r="D1034">
        <v>703238</v>
      </c>
      <c r="E1034" t="s">
        <v>158</v>
      </c>
      <c r="F1034" t="s">
        <v>21</v>
      </c>
      <c r="G1034" t="s">
        <v>61</v>
      </c>
      <c r="H1034" t="s">
        <v>68</v>
      </c>
      <c r="J1034" s="20">
        <v>0</v>
      </c>
    </row>
    <row r="1035" spans="2:10" x14ac:dyDescent="0.25">
      <c r="B1035" t="s">
        <v>6</v>
      </c>
      <c r="C1035" t="s">
        <v>7</v>
      </c>
      <c r="D1035">
        <v>703239</v>
      </c>
      <c r="E1035" t="s">
        <v>159</v>
      </c>
      <c r="F1035" t="s">
        <v>21</v>
      </c>
      <c r="G1035" t="s">
        <v>61</v>
      </c>
      <c r="H1035" t="s">
        <v>68</v>
      </c>
      <c r="J1035" s="20">
        <v>0</v>
      </c>
    </row>
    <row r="1036" spans="2:10" x14ac:dyDescent="0.25">
      <c r="B1036" t="s">
        <v>6</v>
      </c>
      <c r="C1036" t="s">
        <v>7</v>
      </c>
      <c r="D1036">
        <v>703240</v>
      </c>
      <c r="E1036" t="s">
        <v>160</v>
      </c>
      <c r="F1036" t="s">
        <v>21</v>
      </c>
      <c r="G1036" t="s">
        <v>61</v>
      </c>
      <c r="H1036" t="s">
        <v>68</v>
      </c>
      <c r="J1036" s="20">
        <v>0</v>
      </c>
    </row>
    <row r="1037" spans="2:10" x14ac:dyDescent="0.25">
      <c r="B1037" t="s">
        <v>6</v>
      </c>
      <c r="C1037" t="s">
        <v>7</v>
      </c>
      <c r="D1037">
        <v>703241</v>
      </c>
      <c r="E1037" t="s">
        <v>161</v>
      </c>
      <c r="F1037" t="s">
        <v>21</v>
      </c>
      <c r="G1037" t="s">
        <v>137</v>
      </c>
      <c r="H1037" t="s">
        <v>141</v>
      </c>
      <c r="J1037" s="20">
        <v>0</v>
      </c>
    </row>
    <row r="1038" spans="2:10" x14ac:dyDescent="0.25">
      <c r="B1038" t="s">
        <v>6</v>
      </c>
      <c r="C1038" t="s">
        <v>7</v>
      </c>
      <c r="D1038">
        <v>703242</v>
      </c>
      <c r="E1038" t="s">
        <v>162</v>
      </c>
      <c r="F1038" t="s">
        <v>21</v>
      </c>
      <c r="G1038" t="s">
        <v>137</v>
      </c>
      <c r="H1038" t="s">
        <v>141</v>
      </c>
      <c r="J1038" s="20">
        <v>0</v>
      </c>
    </row>
    <row r="1039" spans="2:10" x14ac:dyDescent="0.25">
      <c r="B1039" t="s">
        <v>6</v>
      </c>
      <c r="C1039" t="s">
        <v>7</v>
      </c>
      <c r="D1039">
        <v>703243</v>
      </c>
      <c r="E1039" t="s">
        <v>163</v>
      </c>
      <c r="F1039" t="s">
        <v>21</v>
      </c>
      <c r="G1039" t="s">
        <v>137</v>
      </c>
      <c r="H1039" t="s">
        <v>141</v>
      </c>
      <c r="J1039" s="20">
        <v>0</v>
      </c>
    </row>
    <row r="1040" spans="2:10" x14ac:dyDescent="0.25">
      <c r="B1040" t="s">
        <v>6</v>
      </c>
      <c r="C1040" t="s">
        <v>7</v>
      </c>
      <c r="D1040">
        <v>703244</v>
      </c>
      <c r="E1040" t="s">
        <v>164</v>
      </c>
      <c r="F1040" t="s">
        <v>21</v>
      </c>
      <c r="G1040" t="s">
        <v>71</v>
      </c>
      <c r="H1040" t="s">
        <v>88</v>
      </c>
      <c r="J1040" s="20">
        <v>0</v>
      </c>
    </row>
    <row r="1041" spans="2:10" x14ac:dyDescent="0.25">
      <c r="B1041" t="s">
        <v>6</v>
      </c>
      <c r="C1041" t="s">
        <v>7</v>
      </c>
      <c r="D1041">
        <v>703245</v>
      </c>
      <c r="E1041" t="s">
        <v>165</v>
      </c>
      <c r="F1041" t="s">
        <v>21</v>
      </c>
      <c r="G1041" t="s">
        <v>137</v>
      </c>
      <c r="H1041" t="s">
        <v>138</v>
      </c>
      <c r="J1041" s="20">
        <v>0</v>
      </c>
    </row>
    <row r="1042" spans="2:10" x14ac:dyDescent="0.25">
      <c r="B1042" t="s">
        <v>6</v>
      </c>
      <c r="C1042" t="s">
        <v>7</v>
      </c>
      <c r="D1042">
        <v>703246</v>
      </c>
      <c r="E1042" t="s">
        <v>166</v>
      </c>
      <c r="F1042" t="s">
        <v>21</v>
      </c>
      <c r="G1042" t="s">
        <v>137</v>
      </c>
      <c r="H1042" t="s">
        <v>138</v>
      </c>
      <c r="J1042" s="20">
        <v>0</v>
      </c>
    </row>
    <row r="1043" spans="2:10" x14ac:dyDescent="0.25">
      <c r="B1043" t="s">
        <v>6</v>
      </c>
      <c r="C1043" t="s">
        <v>7</v>
      </c>
      <c r="D1043">
        <v>703247</v>
      </c>
      <c r="E1043" t="s">
        <v>167</v>
      </c>
      <c r="F1043" t="s">
        <v>21</v>
      </c>
      <c r="G1043" t="s">
        <v>137</v>
      </c>
      <c r="H1043" t="s">
        <v>138</v>
      </c>
      <c r="J1043" s="20">
        <v>0</v>
      </c>
    </row>
    <row r="1044" spans="2:10" x14ac:dyDescent="0.25">
      <c r="B1044" t="s">
        <v>6</v>
      </c>
      <c r="C1044" t="s">
        <v>7</v>
      </c>
      <c r="D1044">
        <v>703248</v>
      </c>
      <c r="E1044" t="s">
        <v>168</v>
      </c>
      <c r="F1044" t="s">
        <v>21</v>
      </c>
      <c r="G1044" t="s">
        <v>137</v>
      </c>
      <c r="H1044" t="s">
        <v>141</v>
      </c>
      <c r="J1044" s="20">
        <v>0</v>
      </c>
    </row>
    <row r="1045" spans="2:10" x14ac:dyDescent="0.25">
      <c r="B1045" t="s">
        <v>6</v>
      </c>
      <c r="C1045" t="s">
        <v>7</v>
      </c>
      <c r="D1045">
        <v>703249</v>
      </c>
      <c r="E1045" t="s">
        <v>169</v>
      </c>
      <c r="F1045" t="s">
        <v>21</v>
      </c>
      <c r="G1045" t="s">
        <v>147</v>
      </c>
      <c r="H1045" t="s">
        <v>147</v>
      </c>
      <c r="J1045" s="20">
        <v>0</v>
      </c>
    </row>
    <row r="1046" spans="2:10" x14ac:dyDescent="0.25">
      <c r="B1046" t="s">
        <v>6</v>
      </c>
      <c r="C1046" t="s">
        <v>7</v>
      </c>
      <c r="D1046">
        <v>703250</v>
      </c>
      <c r="E1046" t="s">
        <v>170</v>
      </c>
      <c r="F1046" t="s">
        <v>21</v>
      </c>
      <c r="G1046" t="s">
        <v>71</v>
      </c>
      <c r="H1046" t="s">
        <v>171</v>
      </c>
      <c r="J1046" s="20">
        <v>0</v>
      </c>
    </row>
    <row r="1047" spans="2:10" x14ac:dyDescent="0.25">
      <c r="B1047" t="s">
        <v>6</v>
      </c>
      <c r="C1047" t="s">
        <v>7</v>
      </c>
      <c r="D1047">
        <v>703251</v>
      </c>
      <c r="E1047" t="s">
        <v>172</v>
      </c>
      <c r="F1047" t="s">
        <v>21</v>
      </c>
      <c r="G1047" t="s">
        <v>22</v>
      </c>
      <c r="H1047" t="s">
        <v>115</v>
      </c>
      <c r="J1047" s="20">
        <v>0</v>
      </c>
    </row>
    <row r="1048" spans="2:10" x14ac:dyDescent="0.25">
      <c r="B1048" t="s">
        <v>6</v>
      </c>
      <c r="C1048" t="s">
        <v>7</v>
      </c>
      <c r="D1048">
        <v>703252</v>
      </c>
      <c r="E1048" t="s">
        <v>173</v>
      </c>
      <c r="F1048" t="s">
        <v>21</v>
      </c>
      <c r="G1048" t="s">
        <v>22</v>
      </c>
      <c r="H1048" t="s">
        <v>115</v>
      </c>
      <c r="J1048" s="20">
        <v>0</v>
      </c>
    </row>
    <row r="1049" spans="2:10" x14ac:dyDescent="0.25">
      <c r="B1049" t="s">
        <v>6</v>
      </c>
      <c r="C1049" t="s">
        <v>7</v>
      </c>
      <c r="D1049">
        <v>703253</v>
      </c>
      <c r="E1049" t="s">
        <v>174</v>
      </c>
      <c r="F1049" t="s">
        <v>21</v>
      </c>
      <c r="G1049" t="s">
        <v>22</v>
      </c>
      <c r="H1049" t="s">
        <v>115</v>
      </c>
      <c r="J1049" s="20">
        <v>0</v>
      </c>
    </row>
    <row r="1050" spans="2:10" x14ac:dyDescent="0.25">
      <c r="B1050" t="s">
        <v>6</v>
      </c>
      <c r="C1050" t="s">
        <v>7</v>
      </c>
      <c r="D1050">
        <v>703254</v>
      </c>
      <c r="E1050" t="s">
        <v>175</v>
      </c>
      <c r="F1050" t="s">
        <v>21</v>
      </c>
      <c r="G1050" t="s">
        <v>22</v>
      </c>
      <c r="H1050" t="s">
        <v>115</v>
      </c>
      <c r="J1050" s="20">
        <v>0</v>
      </c>
    </row>
    <row r="1051" spans="2:10" x14ac:dyDescent="0.25">
      <c r="B1051" t="s">
        <v>6</v>
      </c>
      <c r="C1051" t="s">
        <v>7</v>
      </c>
      <c r="D1051">
        <v>703255</v>
      </c>
      <c r="E1051" t="s">
        <v>176</v>
      </c>
      <c r="F1051" t="s">
        <v>21</v>
      </c>
      <c r="G1051" t="s">
        <v>22</v>
      </c>
      <c r="H1051" t="s">
        <v>115</v>
      </c>
      <c r="J1051" s="20">
        <v>0</v>
      </c>
    </row>
    <row r="1052" spans="2:10" x14ac:dyDescent="0.25">
      <c r="B1052" t="s">
        <v>6</v>
      </c>
      <c r="C1052" t="s">
        <v>7</v>
      </c>
      <c r="D1052">
        <v>703257</v>
      </c>
      <c r="E1052" t="s">
        <v>177</v>
      </c>
      <c r="F1052" t="s">
        <v>21</v>
      </c>
      <c r="G1052" t="s">
        <v>147</v>
      </c>
      <c r="H1052" t="s">
        <v>147</v>
      </c>
      <c r="J1052" s="20">
        <v>0</v>
      </c>
    </row>
    <row r="1053" spans="2:10" x14ac:dyDescent="0.25">
      <c r="B1053" t="s">
        <v>6</v>
      </c>
      <c r="C1053" t="s">
        <v>7</v>
      </c>
      <c r="D1053">
        <v>703258</v>
      </c>
      <c r="E1053" t="s">
        <v>178</v>
      </c>
      <c r="F1053" t="s">
        <v>21</v>
      </c>
      <c r="G1053" t="s">
        <v>147</v>
      </c>
      <c r="H1053" t="s">
        <v>147</v>
      </c>
      <c r="J1053" s="20">
        <v>0</v>
      </c>
    </row>
    <row r="1054" spans="2:10" x14ac:dyDescent="0.25">
      <c r="B1054" t="s">
        <v>6</v>
      </c>
      <c r="C1054" t="s">
        <v>7</v>
      </c>
      <c r="D1054">
        <v>703260</v>
      </c>
      <c r="E1054" t="s">
        <v>179</v>
      </c>
      <c r="F1054" t="s">
        <v>21</v>
      </c>
      <c r="G1054" t="s">
        <v>76</v>
      </c>
      <c r="H1054" t="s">
        <v>77</v>
      </c>
      <c r="J1054" s="20">
        <v>0</v>
      </c>
    </row>
    <row r="1055" spans="2:10" x14ac:dyDescent="0.25">
      <c r="B1055" t="s">
        <v>6</v>
      </c>
      <c r="C1055" t="s">
        <v>7</v>
      </c>
      <c r="D1055">
        <v>703261</v>
      </c>
      <c r="E1055" t="s">
        <v>180</v>
      </c>
      <c r="F1055" t="s">
        <v>21</v>
      </c>
      <c r="G1055" t="s">
        <v>22</v>
      </c>
      <c r="H1055" t="s">
        <v>115</v>
      </c>
      <c r="J1055" s="20">
        <v>0</v>
      </c>
    </row>
    <row r="1056" spans="2:10" x14ac:dyDescent="0.25">
      <c r="B1056" t="s">
        <v>6</v>
      </c>
      <c r="C1056" t="s">
        <v>7</v>
      </c>
      <c r="D1056">
        <v>703262</v>
      </c>
      <c r="E1056" t="s">
        <v>181</v>
      </c>
      <c r="F1056" t="s">
        <v>21</v>
      </c>
      <c r="G1056" t="s">
        <v>22</v>
      </c>
      <c r="H1056" t="s">
        <v>23</v>
      </c>
      <c r="J1056" s="20">
        <v>0</v>
      </c>
    </row>
    <row r="1057" spans="2:10" x14ac:dyDescent="0.25">
      <c r="B1057" t="s">
        <v>6</v>
      </c>
      <c r="C1057" t="s">
        <v>7</v>
      </c>
      <c r="D1057">
        <v>703263</v>
      </c>
      <c r="E1057" t="s">
        <v>182</v>
      </c>
      <c r="F1057" t="s">
        <v>21</v>
      </c>
      <c r="G1057" t="s">
        <v>22</v>
      </c>
      <c r="H1057" t="s">
        <v>115</v>
      </c>
      <c r="J1057" s="20">
        <v>0</v>
      </c>
    </row>
    <row r="1058" spans="2:10" x14ac:dyDescent="0.25">
      <c r="B1058" t="s">
        <v>6</v>
      </c>
      <c r="C1058" t="s">
        <v>7</v>
      </c>
      <c r="D1058">
        <v>703264</v>
      </c>
      <c r="E1058" t="s">
        <v>183</v>
      </c>
      <c r="F1058" t="s">
        <v>21</v>
      </c>
      <c r="G1058" t="s">
        <v>22</v>
      </c>
      <c r="H1058" t="s">
        <v>115</v>
      </c>
      <c r="J1058" s="20">
        <v>0</v>
      </c>
    </row>
    <row r="1059" spans="2:10" x14ac:dyDescent="0.25">
      <c r="B1059" t="s">
        <v>6</v>
      </c>
      <c r="C1059" t="s">
        <v>7</v>
      </c>
      <c r="D1059">
        <v>703265</v>
      </c>
      <c r="E1059" t="s">
        <v>184</v>
      </c>
      <c r="F1059" t="s">
        <v>21</v>
      </c>
      <c r="G1059" t="s">
        <v>22</v>
      </c>
      <c r="H1059" t="s">
        <v>115</v>
      </c>
      <c r="J1059" s="20">
        <v>0</v>
      </c>
    </row>
    <row r="1060" spans="2:10" x14ac:dyDescent="0.25">
      <c r="B1060" t="s">
        <v>6</v>
      </c>
      <c r="C1060" t="s">
        <v>7</v>
      </c>
      <c r="D1060">
        <v>703266</v>
      </c>
      <c r="E1060" t="s">
        <v>185</v>
      </c>
      <c r="F1060" t="s">
        <v>21</v>
      </c>
      <c r="G1060" t="s">
        <v>71</v>
      </c>
      <c r="H1060" t="s">
        <v>186</v>
      </c>
      <c r="J1060" s="20">
        <v>0</v>
      </c>
    </row>
    <row r="1061" spans="2:10" x14ac:dyDescent="0.25">
      <c r="B1061" t="s">
        <v>6</v>
      </c>
      <c r="C1061" t="s">
        <v>7</v>
      </c>
      <c r="D1061">
        <v>703267</v>
      </c>
      <c r="E1061" t="s">
        <v>187</v>
      </c>
      <c r="F1061" t="s">
        <v>21</v>
      </c>
      <c r="G1061" t="s">
        <v>71</v>
      </c>
      <c r="H1061" t="s">
        <v>88</v>
      </c>
      <c r="J1061" s="20">
        <v>0</v>
      </c>
    </row>
    <row r="1062" spans="2:10" x14ac:dyDescent="0.25">
      <c r="B1062" t="s">
        <v>6</v>
      </c>
      <c r="C1062" t="s">
        <v>7</v>
      </c>
      <c r="D1062">
        <v>703268</v>
      </c>
      <c r="E1062" t="s">
        <v>188</v>
      </c>
      <c r="F1062" t="s">
        <v>21</v>
      </c>
      <c r="G1062" t="s">
        <v>147</v>
      </c>
      <c r="H1062" t="s">
        <v>147</v>
      </c>
      <c r="J1062" s="20">
        <v>0</v>
      </c>
    </row>
    <row r="1063" spans="2:10" x14ac:dyDescent="0.25">
      <c r="B1063" t="s">
        <v>6</v>
      </c>
      <c r="C1063" t="s">
        <v>7</v>
      </c>
      <c r="D1063">
        <v>703269</v>
      </c>
      <c r="E1063" t="s">
        <v>189</v>
      </c>
      <c r="F1063" t="s">
        <v>21</v>
      </c>
      <c r="G1063" t="s">
        <v>147</v>
      </c>
      <c r="H1063" t="s">
        <v>147</v>
      </c>
      <c r="J1063" s="20">
        <v>0</v>
      </c>
    </row>
    <row r="1064" spans="2:10" x14ac:dyDescent="0.25">
      <c r="B1064" t="s">
        <v>6</v>
      </c>
      <c r="C1064" t="s">
        <v>7</v>
      </c>
      <c r="D1064">
        <v>703270</v>
      </c>
      <c r="E1064" t="s">
        <v>190</v>
      </c>
      <c r="F1064" t="s">
        <v>21</v>
      </c>
      <c r="G1064" t="s">
        <v>137</v>
      </c>
      <c r="H1064" t="s">
        <v>141</v>
      </c>
      <c r="J1064" s="20">
        <v>0</v>
      </c>
    </row>
    <row r="1065" spans="2:10" x14ac:dyDescent="0.25">
      <c r="B1065" t="s">
        <v>6</v>
      </c>
      <c r="C1065" t="s">
        <v>7</v>
      </c>
      <c r="D1065">
        <v>703271</v>
      </c>
      <c r="E1065" t="s">
        <v>191</v>
      </c>
      <c r="F1065" t="s">
        <v>21</v>
      </c>
      <c r="G1065" t="s">
        <v>22</v>
      </c>
      <c r="H1065" t="s">
        <v>115</v>
      </c>
      <c r="J1065" s="20">
        <v>0</v>
      </c>
    </row>
    <row r="1066" spans="2:10" x14ac:dyDescent="0.25">
      <c r="B1066" t="s">
        <v>6</v>
      </c>
      <c r="C1066" t="s">
        <v>7</v>
      </c>
      <c r="D1066">
        <v>703272</v>
      </c>
      <c r="E1066" t="s">
        <v>192</v>
      </c>
      <c r="F1066" t="s">
        <v>21</v>
      </c>
      <c r="G1066" t="s">
        <v>22</v>
      </c>
      <c r="H1066" t="s">
        <v>23</v>
      </c>
      <c r="J1066" s="20">
        <v>0</v>
      </c>
    </row>
    <row r="1067" spans="2:10" x14ac:dyDescent="0.25">
      <c r="B1067" t="s">
        <v>6</v>
      </c>
      <c r="C1067" t="s">
        <v>7</v>
      </c>
      <c r="D1067">
        <v>703273</v>
      </c>
      <c r="E1067" t="s">
        <v>193</v>
      </c>
      <c r="F1067" t="s">
        <v>21</v>
      </c>
      <c r="G1067" t="s">
        <v>147</v>
      </c>
      <c r="H1067" t="s">
        <v>147</v>
      </c>
      <c r="J1067" s="20">
        <v>0</v>
      </c>
    </row>
    <row r="1068" spans="2:10" x14ac:dyDescent="0.25">
      <c r="B1068" t="s">
        <v>6</v>
      </c>
      <c r="C1068" t="s">
        <v>7</v>
      </c>
      <c r="D1068">
        <v>703274</v>
      </c>
      <c r="E1068" t="s">
        <v>194</v>
      </c>
      <c r="F1068" t="s">
        <v>21</v>
      </c>
      <c r="G1068" t="s">
        <v>147</v>
      </c>
      <c r="H1068" t="s">
        <v>147</v>
      </c>
      <c r="J1068" s="20">
        <v>0</v>
      </c>
    </row>
    <row r="1069" spans="2:10" x14ac:dyDescent="0.25">
      <c r="B1069" t="s">
        <v>6</v>
      </c>
      <c r="C1069" t="s">
        <v>7</v>
      </c>
      <c r="D1069">
        <v>703275</v>
      </c>
      <c r="E1069" t="s">
        <v>195</v>
      </c>
      <c r="F1069" t="s">
        <v>21</v>
      </c>
      <c r="G1069" t="s">
        <v>137</v>
      </c>
      <c r="H1069" t="s">
        <v>138</v>
      </c>
      <c r="J1069" s="20">
        <v>0</v>
      </c>
    </row>
    <row r="1070" spans="2:10" x14ac:dyDescent="0.25">
      <c r="B1070" t="s">
        <v>6</v>
      </c>
      <c r="C1070" t="s">
        <v>7</v>
      </c>
      <c r="D1070">
        <v>703280</v>
      </c>
      <c r="E1070" t="s">
        <v>196</v>
      </c>
      <c r="F1070" t="s">
        <v>21</v>
      </c>
      <c r="G1070" t="s">
        <v>71</v>
      </c>
      <c r="H1070" t="s">
        <v>171</v>
      </c>
      <c r="J1070" s="20">
        <v>0</v>
      </c>
    </row>
    <row r="1071" spans="2:10" x14ac:dyDescent="0.25">
      <c r="B1071" t="s">
        <v>6</v>
      </c>
      <c r="C1071" t="s">
        <v>7</v>
      </c>
      <c r="D1071">
        <v>703281</v>
      </c>
      <c r="E1071" t="s">
        <v>197</v>
      </c>
      <c r="F1071" t="s">
        <v>21</v>
      </c>
      <c r="G1071" t="s">
        <v>76</v>
      </c>
      <c r="H1071" t="s">
        <v>77</v>
      </c>
      <c r="J1071" s="20">
        <v>0</v>
      </c>
    </row>
    <row r="1072" spans="2:10" x14ac:dyDescent="0.25">
      <c r="B1072" t="s">
        <v>6</v>
      </c>
      <c r="C1072" t="s">
        <v>7</v>
      </c>
      <c r="D1072">
        <v>703282</v>
      </c>
      <c r="E1072" t="s">
        <v>198</v>
      </c>
      <c r="F1072" t="s">
        <v>21</v>
      </c>
      <c r="G1072" t="s">
        <v>76</v>
      </c>
      <c r="H1072" t="s">
        <v>77</v>
      </c>
      <c r="J1072" s="20">
        <v>0</v>
      </c>
    </row>
    <row r="1073" spans="2:10" x14ac:dyDescent="0.25">
      <c r="B1073" t="s">
        <v>6</v>
      </c>
      <c r="C1073" t="s">
        <v>7</v>
      </c>
      <c r="D1073">
        <v>703283</v>
      </c>
      <c r="E1073" t="s">
        <v>199</v>
      </c>
      <c r="F1073" t="s">
        <v>21</v>
      </c>
      <c r="G1073" t="s">
        <v>61</v>
      </c>
      <c r="H1073" t="s">
        <v>68</v>
      </c>
      <c r="J1073" s="20">
        <v>0</v>
      </c>
    </row>
    <row r="1074" spans="2:10" x14ac:dyDescent="0.25">
      <c r="B1074" t="s">
        <v>6</v>
      </c>
      <c r="C1074" t="s">
        <v>7</v>
      </c>
      <c r="D1074">
        <v>703310</v>
      </c>
      <c r="E1074" t="s">
        <v>200</v>
      </c>
      <c r="F1074" t="s">
        <v>21</v>
      </c>
      <c r="G1074" t="s">
        <v>22</v>
      </c>
      <c r="H1074" t="s">
        <v>23</v>
      </c>
      <c r="J1074" s="20">
        <v>0</v>
      </c>
    </row>
    <row r="1075" spans="2:10" x14ac:dyDescent="0.25">
      <c r="B1075" t="s">
        <v>6</v>
      </c>
      <c r="C1075" t="s">
        <v>7</v>
      </c>
      <c r="D1075">
        <v>703311</v>
      </c>
      <c r="E1075" t="s">
        <v>201</v>
      </c>
      <c r="F1075" t="s">
        <v>21</v>
      </c>
      <c r="G1075" t="s">
        <v>71</v>
      </c>
      <c r="H1075" t="s">
        <v>171</v>
      </c>
      <c r="J1075" s="20">
        <v>0</v>
      </c>
    </row>
    <row r="1076" spans="2:10" x14ac:dyDescent="0.25">
      <c r="B1076" t="s">
        <v>6</v>
      </c>
      <c r="C1076" t="s">
        <v>7</v>
      </c>
      <c r="D1076">
        <v>703312</v>
      </c>
      <c r="E1076" t="s">
        <v>202</v>
      </c>
      <c r="F1076" t="s">
        <v>21</v>
      </c>
      <c r="G1076" t="s">
        <v>76</v>
      </c>
      <c r="H1076" t="s">
        <v>77</v>
      </c>
      <c r="J1076" s="20">
        <v>0</v>
      </c>
    </row>
    <row r="1077" spans="2:10" x14ac:dyDescent="0.25">
      <c r="B1077" t="s">
        <v>6</v>
      </c>
      <c r="C1077" t="s">
        <v>7</v>
      </c>
      <c r="D1077">
        <v>703313</v>
      </c>
      <c r="E1077" t="s">
        <v>203</v>
      </c>
      <c r="F1077" t="s">
        <v>21</v>
      </c>
      <c r="G1077" t="s">
        <v>76</v>
      </c>
      <c r="H1077" t="s">
        <v>77</v>
      </c>
      <c r="J1077" s="20">
        <v>0</v>
      </c>
    </row>
    <row r="1078" spans="2:10" x14ac:dyDescent="0.25">
      <c r="B1078" t="s">
        <v>6</v>
      </c>
      <c r="C1078" t="s">
        <v>7</v>
      </c>
      <c r="D1078">
        <v>703314</v>
      </c>
      <c r="E1078" t="s">
        <v>204</v>
      </c>
      <c r="F1078" t="s">
        <v>21</v>
      </c>
      <c r="G1078" t="s">
        <v>76</v>
      </c>
      <c r="H1078" t="s">
        <v>77</v>
      </c>
      <c r="J1078" s="20">
        <v>0</v>
      </c>
    </row>
    <row r="1079" spans="2:10" x14ac:dyDescent="0.25">
      <c r="B1079" t="s">
        <v>6</v>
      </c>
      <c r="C1079" t="s">
        <v>7</v>
      </c>
      <c r="D1079">
        <v>703315</v>
      </c>
      <c r="E1079" t="s">
        <v>205</v>
      </c>
      <c r="F1079" t="s">
        <v>21</v>
      </c>
      <c r="G1079" t="s">
        <v>76</v>
      </c>
      <c r="H1079" t="s">
        <v>135</v>
      </c>
      <c r="J1079" s="20">
        <v>0</v>
      </c>
    </row>
    <row r="1080" spans="2:10" x14ac:dyDescent="0.25">
      <c r="B1080" t="s">
        <v>6</v>
      </c>
      <c r="C1080" t="s">
        <v>7</v>
      </c>
      <c r="D1080">
        <v>703316</v>
      </c>
      <c r="E1080" t="s">
        <v>206</v>
      </c>
      <c r="F1080" t="s">
        <v>21</v>
      </c>
      <c r="G1080" t="s">
        <v>76</v>
      </c>
      <c r="H1080" t="s">
        <v>77</v>
      </c>
      <c r="J1080" s="20">
        <v>0</v>
      </c>
    </row>
    <row r="1081" spans="2:10" x14ac:dyDescent="0.25">
      <c r="B1081" t="s">
        <v>6</v>
      </c>
      <c r="C1081" t="s">
        <v>7</v>
      </c>
      <c r="D1081">
        <v>703317</v>
      </c>
      <c r="E1081" t="s">
        <v>207</v>
      </c>
      <c r="F1081" t="s">
        <v>21</v>
      </c>
      <c r="G1081" t="s">
        <v>76</v>
      </c>
      <c r="H1081" t="s">
        <v>77</v>
      </c>
      <c r="J1081" s="20">
        <v>0</v>
      </c>
    </row>
    <row r="1082" spans="2:10" x14ac:dyDescent="0.25">
      <c r="B1082" t="s">
        <v>6</v>
      </c>
      <c r="C1082" t="s">
        <v>7</v>
      </c>
      <c r="D1082">
        <v>703318</v>
      </c>
      <c r="E1082" t="s">
        <v>208</v>
      </c>
      <c r="F1082" t="s">
        <v>21</v>
      </c>
      <c r="G1082" t="s">
        <v>71</v>
      </c>
      <c r="H1082" t="s">
        <v>209</v>
      </c>
      <c r="J1082" s="20">
        <v>0</v>
      </c>
    </row>
    <row r="1083" spans="2:10" x14ac:dyDescent="0.25">
      <c r="B1083" t="s">
        <v>6</v>
      </c>
      <c r="C1083" t="s">
        <v>7</v>
      </c>
      <c r="D1083">
        <v>703319</v>
      </c>
      <c r="E1083" t="s">
        <v>210</v>
      </c>
      <c r="F1083" t="s">
        <v>21</v>
      </c>
      <c r="G1083" t="s">
        <v>61</v>
      </c>
      <c r="H1083" t="s">
        <v>79</v>
      </c>
      <c r="J1083" s="20">
        <v>0</v>
      </c>
    </row>
    <row r="1084" spans="2:10" x14ac:dyDescent="0.25">
      <c r="B1084" t="s">
        <v>6</v>
      </c>
      <c r="C1084" t="s">
        <v>7</v>
      </c>
      <c r="D1084">
        <v>703320</v>
      </c>
      <c r="E1084" t="s">
        <v>211</v>
      </c>
      <c r="F1084" t="s">
        <v>21</v>
      </c>
      <c r="G1084" t="s">
        <v>71</v>
      </c>
      <c r="H1084" t="s">
        <v>135</v>
      </c>
      <c r="J1084" s="20">
        <v>0</v>
      </c>
    </row>
    <row r="1085" spans="2:10" x14ac:dyDescent="0.25">
      <c r="B1085" t="s">
        <v>6</v>
      </c>
      <c r="C1085" t="s">
        <v>7</v>
      </c>
      <c r="D1085">
        <v>703321</v>
      </c>
      <c r="E1085" t="s">
        <v>212</v>
      </c>
      <c r="F1085" t="s">
        <v>21</v>
      </c>
      <c r="G1085" t="s">
        <v>22</v>
      </c>
      <c r="H1085" t="s">
        <v>23</v>
      </c>
      <c r="J1085" s="20">
        <v>0</v>
      </c>
    </row>
    <row r="1086" spans="2:10" x14ac:dyDescent="0.25">
      <c r="B1086" t="s">
        <v>6</v>
      </c>
      <c r="C1086" t="s">
        <v>7</v>
      </c>
      <c r="D1086">
        <v>703322</v>
      </c>
      <c r="E1086" t="s">
        <v>213</v>
      </c>
      <c r="F1086" t="s">
        <v>21</v>
      </c>
      <c r="G1086" t="s">
        <v>22</v>
      </c>
      <c r="H1086" t="s">
        <v>23</v>
      </c>
      <c r="J1086" s="20">
        <v>0</v>
      </c>
    </row>
    <row r="1087" spans="2:10" x14ac:dyDescent="0.25">
      <c r="B1087" t="s">
        <v>6</v>
      </c>
      <c r="C1087" t="s">
        <v>7</v>
      </c>
      <c r="D1087">
        <v>703323</v>
      </c>
      <c r="E1087" t="s">
        <v>214</v>
      </c>
      <c r="F1087" t="s">
        <v>21</v>
      </c>
      <c r="G1087" t="s">
        <v>22</v>
      </c>
      <c r="H1087" t="s">
        <v>23</v>
      </c>
      <c r="J1087" s="20">
        <v>0</v>
      </c>
    </row>
    <row r="1088" spans="2:10" x14ac:dyDescent="0.25">
      <c r="B1088" t="s">
        <v>6</v>
      </c>
      <c r="C1088" t="s">
        <v>7</v>
      </c>
      <c r="D1088">
        <v>703324</v>
      </c>
      <c r="E1088" t="s">
        <v>215</v>
      </c>
      <c r="F1088" t="s">
        <v>21</v>
      </c>
      <c r="G1088" t="s">
        <v>22</v>
      </c>
      <c r="H1088" t="s">
        <v>23</v>
      </c>
      <c r="J1088" s="20">
        <v>0</v>
      </c>
    </row>
    <row r="1089" spans="2:10" x14ac:dyDescent="0.25">
      <c r="B1089" t="s">
        <v>6</v>
      </c>
      <c r="C1089" t="s">
        <v>7</v>
      </c>
      <c r="D1089">
        <v>703325</v>
      </c>
      <c r="E1089" t="s">
        <v>216</v>
      </c>
      <c r="F1089" t="s">
        <v>21</v>
      </c>
      <c r="G1089" t="s">
        <v>22</v>
      </c>
      <c r="H1089" t="s">
        <v>23</v>
      </c>
      <c r="J1089" s="20">
        <v>0</v>
      </c>
    </row>
    <row r="1090" spans="2:10" x14ac:dyDescent="0.25">
      <c r="B1090" t="s">
        <v>6</v>
      </c>
      <c r="C1090" t="s">
        <v>7</v>
      </c>
      <c r="D1090">
        <v>703326</v>
      </c>
      <c r="E1090" t="s">
        <v>217</v>
      </c>
      <c r="F1090" t="s">
        <v>21</v>
      </c>
      <c r="G1090" t="s">
        <v>22</v>
      </c>
      <c r="H1090" t="s">
        <v>23</v>
      </c>
      <c r="J1090" s="20">
        <v>0</v>
      </c>
    </row>
    <row r="1091" spans="2:10" x14ac:dyDescent="0.25">
      <c r="B1091" t="s">
        <v>6</v>
      </c>
      <c r="C1091" t="s">
        <v>7</v>
      </c>
      <c r="D1091">
        <v>703327</v>
      </c>
      <c r="E1091" t="s">
        <v>218</v>
      </c>
      <c r="F1091" t="s">
        <v>21</v>
      </c>
      <c r="G1091" t="s">
        <v>76</v>
      </c>
      <c r="H1091" t="s">
        <v>77</v>
      </c>
      <c r="J1091" s="20">
        <v>0</v>
      </c>
    </row>
    <row r="1092" spans="2:10" x14ac:dyDescent="0.25">
      <c r="B1092" t="s">
        <v>6</v>
      </c>
      <c r="C1092" t="s">
        <v>7</v>
      </c>
      <c r="D1092">
        <v>703328</v>
      </c>
      <c r="E1092" t="s">
        <v>219</v>
      </c>
      <c r="F1092" t="s">
        <v>21</v>
      </c>
      <c r="G1092" t="s">
        <v>22</v>
      </c>
      <c r="H1092" t="s">
        <v>23</v>
      </c>
      <c r="J1092" s="20">
        <v>0</v>
      </c>
    </row>
    <row r="1093" spans="2:10" x14ac:dyDescent="0.25">
      <c r="B1093" t="s">
        <v>6</v>
      </c>
      <c r="C1093" t="s">
        <v>7</v>
      </c>
      <c r="D1093">
        <v>703329</v>
      </c>
      <c r="E1093" t="s">
        <v>220</v>
      </c>
      <c r="F1093" t="s">
        <v>21</v>
      </c>
      <c r="G1093" t="s">
        <v>22</v>
      </c>
      <c r="H1093" t="s">
        <v>23</v>
      </c>
      <c r="J1093" s="20">
        <v>0</v>
      </c>
    </row>
    <row r="1094" spans="2:10" x14ac:dyDescent="0.25">
      <c r="B1094" t="s">
        <v>6</v>
      </c>
      <c r="C1094" t="s">
        <v>7</v>
      </c>
      <c r="D1094">
        <v>703330</v>
      </c>
      <c r="E1094" t="s">
        <v>221</v>
      </c>
      <c r="F1094" t="s">
        <v>21</v>
      </c>
      <c r="G1094" t="s">
        <v>22</v>
      </c>
      <c r="H1094" t="s">
        <v>23</v>
      </c>
      <c r="J1094" s="20">
        <v>0</v>
      </c>
    </row>
    <row r="1095" spans="2:10" x14ac:dyDescent="0.25">
      <c r="B1095" t="s">
        <v>6</v>
      </c>
      <c r="C1095" t="s">
        <v>7</v>
      </c>
      <c r="D1095">
        <v>703340</v>
      </c>
      <c r="E1095" t="s">
        <v>222</v>
      </c>
      <c r="F1095" t="s">
        <v>21</v>
      </c>
      <c r="G1095" t="s">
        <v>61</v>
      </c>
      <c r="H1095" t="s">
        <v>68</v>
      </c>
      <c r="J1095" s="20">
        <v>0</v>
      </c>
    </row>
    <row r="1096" spans="2:10" x14ac:dyDescent="0.25">
      <c r="B1096" t="s">
        <v>6</v>
      </c>
      <c r="C1096" t="s">
        <v>7</v>
      </c>
      <c r="D1096">
        <v>703350</v>
      </c>
      <c r="E1096" t="s">
        <v>223</v>
      </c>
      <c r="F1096" t="s">
        <v>21</v>
      </c>
      <c r="G1096" t="s">
        <v>22</v>
      </c>
      <c r="H1096" t="s">
        <v>23</v>
      </c>
      <c r="J1096" s="20">
        <v>0</v>
      </c>
    </row>
    <row r="1097" spans="2:10" x14ac:dyDescent="0.25">
      <c r="B1097" t="s">
        <v>6</v>
      </c>
      <c r="C1097" t="s">
        <v>7</v>
      </c>
      <c r="D1097">
        <v>703351</v>
      </c>
      <c r="E1097" t="s">
        <v>224</v>
      </c>
      <c r="F1097" t="s">
        <v>21</v>
      </c>
      <c r="G1097" t="s">
        <v>22</v>
      </c>
      <c r="H1097" t="s">
        <v>23</v>
      </c>
      <c r="J1097" s="20">
        <v>0</v>
      </c>
    </row>
    <row r="1098" spans="2:10" x14ac:dyDescent="0.25">
      <c r="B1098" t="s">
        <v>6</v>
      </c>
      <c r="C1098" t="s">
        <v>7</v>
      </c>
      <c r="D1098">
        <v>703352</v>
      </c>
      <c r="E1098" t="s">
        <v>225</v>
      </c>
      <c r="F1098" t="s">
        <v>21</v>
      </c>
      <c r="G1098" t="s">
        <v>22</v>
      </c>
      <c r="H1098" t="s">
        <v>23</v>
      </c>
      <c r="J1098" s="20">
        <v>0</v>
      </c>
    </row>
    <row r="1099" spans="2:10" x14ac:dyDescent="0.25">
      <c r="B1099" t="s">
        <v>6</v>
      </c>
      <c r="C1099" t="s">
        <v>7</v>
      </c>
      <c r="D1099">
        <v>703360</v>
      </c>
      <c r="E1099" t="s">
        <v>226</v>
      </c>
      <c r="F1099" t="s">
        <v>21</v>
      </c>
      <c r="G1099" t="s">
        <v>22</v>
      </c>
      <c r="H1099" t="s">
        <v>23</v>
      </c>
      <c r="J1099" s="20">
        <v>0</v>
      </c>
    </row>
    <row r="1100" spans="2:10" x14ac:dyDescent="0.25">
      <c r="B1100" t="s">
        <v>6</v>
      </c>
      <c r="C1100" t="s">
        <v>7</v>
      </c>
      <c r="D1100">
        <v>703370</v>
      </c>
      <c r="E1100" t="s">
        <v>227</v>
      </c>
      <c r="F1100" t="s">
        <v>21</v>
      </c>
      <c r="G1100" t="s">
        <v>22</v>
      </c>
      <c r="H1100" t="s">
        <v>23</v>
      </c>
      <c r="J1100" s="20">
        <v>0</v>
      </c>
    </row>
    <row r="1101" spans="2:10" x14ac:dyDescent="0.25">
      <c r="B1101" t="s">
        <v>6</v>
      </c>
      <c r="C1101" t="s">
        <v>7</v>
      </c>
      <c r="D1101">
        <v>703410</v>
      </c>
      <c r="E1101" t="s">
        <v>228</v>
      </c>
      <c r="F1101" t="s">
        <v>21</v>
      </c>
      <c r="G1101" t="s">
        <v>22</v>
      </c>
      <c r="H1101" t="s">
        <v>23</v>
      </c>
      <c r="J1101" s="20">
        <v>0</v>
      </c>
    </row>
    <row r="1102" spans="2:10" x14ac:dyDescent="0.25">
      <c r="B1102" t="s">
        <v>6</v>
      </c>
      <c r="C1102" t="s">
        <v>7</v>
      </c>
      <c r="D1102">
        <v>703411</v>
      </c>
      <c r="E1102" t="s">
        <v>229</v>
      </c>
      <c r="F1102" t="s">
        <v>21</v>
      </c>
      <c r="G1102" t="s">
        <v>22</v>
      </c>
      <c r="H1102" t="s">
        <v>23</v>
      </c>
      <c r="J1102" s="20">
        <v>0</v>
      </c>
    </row>
    <row r="1103" spans="2:10" x14ac:dyDescent="0.25">
      <c r="B1103" t="s">
        <v>6</v>
      </c>
      <c r="C1103" t="s">
        <v>7</v>
      </c>
      <c r="D1103">
        <v>703412</v>
      </c>
      <c r="E1103" t="s">
        <v>230</v>
      </c>
      <c r="F1103" t="s">
        <v>21</v>
      </c>
      <c r="G1103" t="s">
        <v>22</v>
      </c>
      <c r="H1103" t="s">
        <v>23</v>
      </c>
      <c r="J1103" s="20">
        <v>0</v>
      </c>
    </row>
    <row r="1104" spans="2:10" x14ac:dyDescent="0.25">
      <c r="B1104" t="s">
        <v>6</v>
      </c>
      <c r="C1104" t="s">
        <v>7</v>
      </c>
      <c r="D1104">
        <v>703420</v>
      </c>
      <c r="E1104" t="s">
        <v>231</v>
      </c>
      <c r="F1104" t="s">
        <v>21</v>
      </c>
      <c r="G1104" t="s">
        <v>71</v>
      </c>
      <c r="H1104" t="s">
        <v>171</v>
      </c>
      <c r="J1104" s="20">
        <v>0</v>
      </c>
    </row>
    <row r="1105" spans="2:10" x14ac:dyDescent="0.25">
      <c r="B1105" t="s">
        <v>6</v>
      </c>
      <c r="C1105" t="s">
        <v>7</v>
      </c>
      <c r="D1105">
        <v>703421</v>
      </c>
      <c r="E1105" t="s">
        <v>232</v>
      </c>
      <c r="F1105" t="s">
        <v>21</v>
      </c>
      <c r="G1105" t="s">
        <v>22</v>
      </c>
      <c r="H1105" t="s">
        <v>23</v>
      </c>
      <c r="J1105" s="20">
        <v>0</v>
      </c>
    </row>
    <row r="1106" spans="2:10" x14ac:dyDescent="0.25">
      <c r="B1106" t="s">
        <v>6</v>
      </c>
      <c r="C1106" t="s">
        <v>7</v>
      </c>
      <c r="D1106">
        <v>703422</v>
      </c>
      <c r="E1106" t="s">
        <v>233</v>
      </c>
      <c r="F1106" t="s">
        <v>21</v>
      </c>
      <c r="G1106" t="s">
        <v>76</v>
      </c>
      <c r="H1106" t="s">
        <v>77</v>
      </c>
      <c r="J1106" s="20">
        <v>0</v>
      </c>
    </row>
    <row r="1107" spans="2:10" x14ac:dyDescent="0.25">
      <c r="B1107" t="s">
        <v>6</v>
      </c>
      <c r="C1107" t="s">
        <v>7</v>
      </c>
      <c r="D1107">
        <v>703423</v>
      </c>
      <c r="E1107" t="s">
        <v>234</v>
      </c>
      <c r="F1107" t="s">
        <v>21</v>
      </c>
      <c r="G1107" t="s">
        <v>71</v>
      </c>
      <c r="H1107" t="s">
        <v>88</v>
      </c>
      <c r="J1107" s="20">
        <v>0</v>
      </c>
    </row>
    <row r="1108" spans="2:10" x14ac:dyDescent="0.25">
      <c r="B1108" t="s">
        <v>6</v>
      </c>
      <c r="C1108" t="s">
        <v>7</v>
      </c>
      <c r="D1108">
        <v>703424</v>
      </c>
      <c r="E1108" t="s">
        <v>235</v>
      </c>
      <c r="F1108" t="s">
        <v>21</v>
      </c>
      <c r="G1108" t="s">
        <v>71</v>
      </c>
      <c r="H1108" t="s">
        <v>88</v>
      </c>
      <c r="J1108" s="20">
        <v>0</v>
      </c>
    </row>
    <row r="1109" spans="2:10" x14ac:dyDescent="0.25">
      <c r="B1109" t="s">
        <v>6</v>
      </c>
      <c r="C1109" t="s">
        <v>7</v>
      </c>
      <c r="D1109">
        <v>703425</v>
      </c>
      <c r="E1109" t="s">
        <v>236</v>
      </c>
      <c r="F1109" t="s">
        <v>21</v>
      </c>
      <c r="G1109" t="s">
        <v>76</v>
      </c>
      <c r="H1109" t="s">
        <v>77</v>
      </c>
      <c r="J1109" s="20">
        <v>0</v>
      </c>
    </row>
    <row r="1110" spans="2:10" x14ac:dyDescent="0.25">
      <c r="B1110" t="s">
        <v>6</v>
      </c>
      <c r="C1110" t="s">
        <v>7</v>
      </c>
      <c r="D1110">
        <v>703426</v>
      </c>
      <c r="E1110" t="s">
        <v>237</v>
      </c>
      <c r="F1110" t="s">
        <v>21</v>
      </c>
      <c r="G1110" t="s">
        <v>22</v>
      </c>
      <c r="H1110" t="s">
        <v>23</v>
      </c>
      <c r="J1110" s="20">
        <v>0</v>
      </c>
    </row>
    <row r="1111" spans="2:10" x14ac:dyDescent="0.25">
      <c r="B1111" t="s">
        <v>6</v>
      </c>
      <c r="C1111" t="s">
        <v>7</v>
      </c>
      <c r="D1111">
        <v>703427</v>
      </c>
      <c r="E1111" t="s">
        <v>238</v>
      </c>
      <c r="F1111" t="s">
        <v>21</v>
      </c>
      <c r="G1111" t="s">
        <v>76</v>
      </c>
      <c r="H1111" t="s">
        <v>77</v>
      </c>
      <c r="J1111" s="20">
        <v>0</v>
      </c>
    </row>
    <row r="1112" spans="2:10" x14ac:dyDescent="0.25">
      <c r="B1112" t="s">
        <v>6</v>
      </c>
      <c r="C1112" t="s">
        <v>7</v>
      </c>
      <c r="D1112">
        <v>703428</v>
      </c>
      <c r="E1112" t="s">
        <v>239</v>
      </c>
      <c r="F1112" t="s">
        <v>21</v>
      </c>
      <c r="G1112" t="s">
        <v>76</v>
      </c>
      <c r="H1112" t="s">
        <v>77</v>
      </c>
      <c r="J1112" s="20">
        <v>0</v>
      </c>
    </row>
    <row r="1113" spans="2:10" x14ac:dyDescent="0.25">
      <c r="B1113" t="s">
        <v>6</v>
      </c>
      <c r="C1113" t="s">
        <v>7</v>
      </c>
      <c r="D1113">
        <v>703429</v>
      </c>
      <c r="E1113" t="s">
        <v>240</v>
      </c>
      <c r="F1113" t="s">
        <v>21</v>
      </c>
      <c r="G1113" t="s">
        <v>76</v>
      </c>
      <c r="H1113" t="s">
        <v>77</v>
      </c>
      <c r="J1113" s="20">
        <v>0</v>
      </c>
    </row>
    <row r="1114" spans="2:10" x14ac:dyDescent="0.25">
      <c r="B1114" t="s">
        <v>6</v>
      </c>
      <c r="C1114" t="s">
        <v>7</v>
      </c>
      <c r="D1114">
        <v>703430</v>
      </c>
      <c r="E1114" t="s">
        <v>20</v>
      </c>
      <c r="F1114" t="s">
        <v>21</v>
      </c>
      <c r="G1114" t="s">
        <v>22</v>
      </c>
      <c r="H1114" t="s">
        <v>23</v>
      </c>
      <c r="J1114" s="20">
        <v>0</v>
      </c>
    </row>
    <row r="1115" spans="2:10" x14ac:dyDescent="0.25">
      <c r="B1115" t="s">
        <v>6</v>
      </c>
      <c r="C1115" t="s">
        <v>7</v>
      </c>
      <c r="D1115">
        <v>703431</v>
      </c>
      <c r="E1115" t="s">
        <v>241</v>
      </c>
      <c r="F1115" t="s">
        <v>21</v>
      </c>
      <c r="G1115" t="s">
        <v>22</v>
      </c>
      <c r="H1115" t="s">
        <v>23</v>
      </c>
      <c r="J1115" s="20">
        <v>0</v>
      </c>
    </row>
    <row r="1116" spans="2:10" x14ac:dyDescent="0.25">
      <c r="B1116" t="s">
        <v>6</v>
      </c>
      <c r="C1116" t="s">
        <v>7</v>
      </c>
      <c r="D1116">
        <v>703432</v>
      </c>
      <c r="E1116" t="s">
        <v>242</v>
      </c>
      <c r="F1116" t="s">
        <v>21</v>
      </c>
      <c r="G1116" t="s">
        <v>22</v>
      </c>
      <c r="H1116" t="s">
        <v>23</v>
      </c>
      <c r="J1116" s="20">
        <v>0</v>
      </c>
    </row>
    <row r="1117" spans="2:10" x14ac:dyDescent="0.25">
      <c r="B1117" t="s">
        <v>6</v>
      </c>
      <c r="C1117" t="s">
        <v>7</v>
      </c>
      <c r="D1117">
        <v>703433</v>
      </c>
      <c r="E1117" t="s">
        <v>243</v>
      </c>
      <c r="F1117" t="s">
        <v>21</v>
      </c>
      <c r="G1117" t="s">
        <v>71</v>
      </c>
      <c r="H1117" t="s">
        <v>88</v>
      </c>
      <c r="J1117" s="20">
        <v>0</v>
      </c>
    </row>
    <row r="1118" spans="2:10" x14ac:dyDescent="0.25">
      <c r="B1118" t="s">
        <v>6</v>
      </c>
      <c r="C1118" t="s">
        <v>7</v>
      </c>
      <c r="D1118">
        <v>703434</v>
      </c>
      <c r="E1118" t="s">
        <v>244</v>
      </c>
      <c r="F1118" t="s">
        <v>21</v>
      </c>
      <c r="G1118" t="s">
        <v>22</v>
      </c>
      <c r="H1118" t="s">
        <v>23</v>
      </c>
      <c r="J1118" s="20">
        <v>0</v>
      </c>
    </row>
    <row r="1119" spans="2:10" x14ac:dyDescent="0.25">
      <c r="B1119" t="s">
        <v>6</v>
      </c>
      <c r="C1119" t="s">
        <v>7</v>
      </c>
      <c r="D1119">
        <v>703435</v>
      </c>
      <c r="E1119" t="s">
        <v>245</v>
      </c>
      <c r="F1119" t="s">
        <v>21</v>
      </c>
      <c r="G1119" t="s">
        <v>71</v>
      </c>
      <c r="H1119" t="s">
        <v>88</v>
      </c>
      <c r="J1119" s="20">
        <v>0</v>
      </c>
    </row>
    <row r="1120" spans="2:10" x14ac:dyDescent="0.25">
      <c r="B1120" t="s">
        <v>6</v>
      </c>
      <c r="C1120" t="s">
        <v>7</v>
      </c>
      <c r="D1120">
        <v>703436</v>
      </c>
      <c r="E1120" t="s">
        <v>246</v>
      </c>
      <c r="F1120" t="s">
        <v>21</v>
      </c>
      <c r="G1120" t="s">
        <v>71</v>
      </c>
      <c r="H1120" t="s">
        <v>88</v>
      </c>
      <c r="J1120" s="20">
        <v>0</v>
      </c>
    </row>
    <row r="1121" spans="2:10" x14ac:dyDescent="0.25">
      <c r="B1121" t="s">
        <v>6</v>
      </c>
      <c r="C1121" t="s">
        <v>7</v>
      </c>
      <c r="D1121">
        <v>703437</v>
      </c>
      <c r="E1121" t="s">
        <v>247</v>
      </c>
      <c r="F1121" t="s">
        <v>21</v>
      </c>
      <c r="G1121" t="s">
        <v>71</v>
      </c>
      <c r="H1121" t="s">
        <v>88</v>
      </c>
      <c r="J1121" s="20">
        <v>0</v>
      </c>
    </row>
    <row r="1122" spans="2:10" x14ac:dyDescent="0.25">
      <c r="B1122" t="s">
        <v>6</v>
      </c>
      <c r="C1122" t="s">
        <v>7</v>
      </c>
      <c r="D1122">
        <v>703438</v>
      </c>
      <c r="E1122" t="s">
        <v>248</v>
      </c>
      <c r="F1122" t="s">
        <v>21</v>
      </c>
      <c r="G1122" t="s">
        <v>71</v>
      </c>
      <c r="H1122" t="s">
        <v>88</v>
      </c>
      <c r="J1122" s="20">
        <v>0</v>
      </c>
    </row>
    <row r="1123" spans="2:10" x14ac:dyDescent="0.25">
      <c r="B1123" t="s">
        <v>6</v>
      </c>
      <c r="C1123" t="s">
        <v>7</v>
      </c>
      <c r="D1123">
        <v>703439</v>
      </c>
      <c r="E1123" t="s">
        <v>249</v>
      </c>
      <c r="F1123" t="s">
        <v>21</v>
      </c>
      <c r="G1123" t="s">
        <v>22</v>
      </c>
      <c r="H1123" t="s">
        <v>23</v>
      </c>
      <c r="J1123" s="20">
        <v>0</v>
      </c>
    </row>
    <row r="1124" spans="2:10" x14ac:dyDescent="0.25">
      <c r="B1124" t="s">
        <v>6</v>
      </c>
      <c r="C1124" t="s">
        <v>7</v>
      </c>
      <c r="D1124">
        <v>703440</v>
      </c>
      <c r="E1124" t="s">
        <v>250</v>
      </c>
      <c r="F1124" t="s">
        <v>21</v>
      </c>
      <c r="G1124" t="s">
        <v>61</v>
      </c>
      <c r="H1124" t="s">
        <v>68</v>
      </c>
      <c r="J1124" s="20">
        <v>0</v>
      </c>
    </row>
    <row r="1125" spans="2:10" x14ac:dyDescent="0.25">
      <c r="B1125" t="s">
        <v>6</v>
      </c>
      <c r="C1125" t="s">
        <v>7</v>
      </c>
      <c r="D1125">
        <v>703441</v>
      </c>
      <c r="E1125" t="s">
        <v>251</v>
      </c>
      <c r="F1125" t="s">
        <v>21</v>
      </c>
      <c r="G1125" t="s">
        <v>61</v>
      </c>
      <c r="H1125" t="s">
        <v>79</v>
      </c>
      <c r="J1125" s="20">
        <v>0</v>
      </c>
    </row>
    <row r="1126" spans="2:10" x14ac:dyDescent="0.25">
      <c r="B1126" t="s">
        <v>6</v>
      </c>
      <c r="C1126" t="s">
        <v>7</v>
      </c>
      <c r="D1126">
        <v>703442</v>
      </c>
      <c r="E1126" t="s">
        <v>252</v>
      </c>
      <c r="F1126" t="s">
        <v>21</v>
      </c>
      <c r="G1126" t="s">
        <v>76</v>
      </c>
      <c r="H1126" t="s">
        <v>77</v>
      </c>
      <c r="J1126" s="20">
        <v>0</v>
      </c>
    </row>
    <row r="1127" spans="2:10" x14ac:dyDescent="0.25">
      <c r="B1127" t="s">
        <v>6</v>
      </c>
      <c r="C1127" t="s">
        <v>7</v>
      </c>
      <c r="D1127">
        <v>703443</v>
      </c>
      <c r="E1127" t="s">
        <v>253</v>
      </c>
      <c r="F1127" t="s">
        <v>21</v>
      </c>
      <c r="G1127" t="s">
        <v>71</v>
      </c>
      <c r="H1127" t="s">
        <v>88</v>
      </c>
      <c r="J1127" s="20">
        <v>0</v>
      </c>
    </row>
    <row r="1128" spans="2:10" x14ac:dyDescent="0.25">
      <c r="B1128" t="s">
        <v>6</v>
      </c>
      <c r="C1128" t="s">
        <v>7</v>
      </c>
      <c r="D1128">
        <v>703444</v>
      </c>
      <c r="E1128" t="s">
        <v>254</v>
      </c>
      <c r="F1128" t="s">
        <v>21</v>
      </c>
      <c r="G1128" t="s">
        <v>22</v>
      </c>
      <c r="H1128" t="s">
        <v>23</v>
      </c>
      <c r="J1128" s="20">
        <v>0</v>
      </c>
    </row>
    <row r="1129" spans="2:10" x14ac:dyDescent="0.25">
      <c r="B1129" t="s">
        <v>6</v>
      </c>
      <c r="C1129" t="s">
        <v>7</v>
      </c>
      <c r="D1129">
        <v>703445</v>
      </c>
      <c r="E1129" t="s">
        <v>255</v>
      </c>
      <c r="F1129" t="s">
        <v>21</v>
      </c>
      <c r="G1129" t="s">
        <v>22</v>
      </c>
      <c r="H1129" t="s">
        <v>23</v>
      </c>
      <c r="J1129" s="20">
        <v>0</v>
      </c>
    </row>
    <row r="1130" spans="2:10" x14ac:dyDescent="0.25">
      <c r="B1130" t="s">
        <v>6</v>
      </c>
      <c r="C1130" t="s">
        <v>7</v>
      </c>
      <c r="D1130">
        <v>703446</v>
      </c>
      <c r="E1130" t="s">
        <v>256</v>
      </c>
      <c r="F1130" t="s">
        <v>21</v>
      </c>
      <c r="G1130" t="s">
        <v>22</v>
      </c>
      <c r="H1130" t="s">
        <v>23</v>
      </c>
      <c r="J1130" s="20">
        <v>0</v>
      </c>
    </row>
    <row r="1131" spans="2:10" x14ac:dyDescent="0.25">
      <c r="B1131" t="s">
        <v>6</v>
      </c>
      <c r="C1131" t="s">
        <v>7</v>
      </c>
      <c r="D1131">
        <v>703447</v>
      </c>
      <c r="E1131" t="s">
        <v>257</v>
      </c>
      <c r="F1131" t="s">
        <v>21</v>
      </c>
      <c r="G1131" t="s">
        <v>22</v>
      </c>
      <c r="H1131" t="s">
        <v>23</v>
      </c>
      <c r="J1131" s="20">
        <v>0</v>
      </c>
    </row>
    <row r="1132" spans="2:10" x14ac:dyDescent="0.25">
      <c r="B1132" t="s">
        <v>6</v>
      </c>
      <c r="C1132" t="s">
        <v>7</v>
      </c>
      <c r="D1132">
        <v>703448</v>
      </c>
      <c r="E1132" t="s">
        <v>258</v>
      </c>
      <c r="F1132" t="s">
        <v>21</v>
      </c>
      <c r="G1132" t="s">
        <v>22</v>
      </c>
      <c r="H1132" t="s">
        <v>23</v>
      </c>
      <c r="J1132" s="20">
        <v>0</v>
      </c>
    </row>
    <row r="1133" spans="2:10" x14ac:dyDescent="0.25">
      <c r="B1133" t="s">
        <v>6</v>
      </c>
      <c r="C1133" t="s">
        <v>7</v>
      </c>
      <c r="D1133">
        <v>703449</v>
      </c>
      <c r="E1133" t="s">
        <v>259</v>
      </c>
      <c r="F1133" t="s">
        <v>21</v>
      </c>
      <c r="G1133" t="s">
        <v>22</v>
      </c>
      <c r="H1133" t="s">
        <v>23</v>
      </c>
      <c r="J1133" s="20">
        <v>0</v>
      </c>
    </row>
    <row r="1134" spans="2:10" x14ac:dyDescent="0.25">
      <c r="B1134" t="s">
        <v>6</v>
      </c>
      <c r="C1134" t="s">
        <v>7</v>
      </c>
      <c r="D1134">
        <v>703450</v>
      </c>
      <c r="E1134" t="s">
        <v>260</v>
      </c>
      <c r="F1134" t="s">
        <v>21</v>
      </c>
      <c r="G1134" t="s">
        <v>71</v>
      </c>
      <c r="H1134" t="s">
        <v>88</v>
      </c>
      <c r="J1134" s="20">
        <v>0</v>
      </c>
    </row>
    <row r="1135" spans="2:10" x14ac:dyDescent="0.25">
      <c r="B1135" t="s">
        <v>6</v>
      </c>
      <c r="C1135" t="s">
        <v>7</v>
      </c>
      <c r="D1135">
        <v>703510</v>
      </c>
      <c r="E1135" t="s">
        <v>261</v>
      </c>
      <c r="F1135" t="s">
        <v>21</v>
      </c>
      <c r="G1135" t="s">
        <v>22</v>
      </c>
      <c r="H1135" t="s">
        <v>23</v>
      </c>
      <c r="J1135" s="20">
        <v>0</v>
      </c>
    </row>
    <row r="1136" spans="2:10" x14ac:dyDescent="0.25">
      <c r="B1136" t="s">
        <v>6</v>
      </c>
      <c r="C1136" t="s">
        <v>7</v>
      </c>
      <c r="D1136">
        <v>703511</v>
      </c>
      <c r="E1136" t="s">
        <v>262</v>
      </c>
      <c r="F1136" t="s">
        <v>21</v>
      </c>
      <c r="G1136" t="s">
        <v>22</v>
      </c>
      <c r="H1136" t="s">
        <v>23</v>
      </c>
      <c r="J1136" s="20">
        <v>0</v>
      </c>
    </row>
    <row r="1137" spans="2:10" x14ac:dyDescent="0.25">
      <c r="B1137" t="s">
        <v>6</v>
      </c>
      <c r="C1137" t="s">
        <v>7</v>
      </c>
      <c r="D1137">
        <v>703512</v>
      </c>
      <c r="E1137" t="s">
        <v>263</v>
      </c>
      <c r="F1137" t="s">
        <v>21</v>
      </c>
      <c r="G1137" t="s">
        <v>22</v>
      </c>
      <c r="H1137" t="s">
        <v>23</v>
      </c>
      <c r="J1137" s="20">
        <v>0</v>
      </c>
    </row>
    <row r="1138" spans="2:10" x14ac:dyDescent="0.25">
      <c r="B1138" t="s">
        <v>6</v>
      </c>
      <c r="C1138" t="s">
        <v>7</v>
      </c>
      <c r="D1138">
        <v>703513</v>
      </c>
      <c r="E1138" t="s">
        <v>264</v>
      </c>
      <c r="F1138" t="s">
        <v>21</v>
      </c>
      <c r="G1138" t="s">
        <v>22</v>
      </c>
      <c r="H1138" t="s">
        <v>23</v>
      </c>
      <c r="J1138" s="20">
        <v>0</v>
      </c>
    </row>
    <row r="1139" spans="2:10" x14ac:dyDescent="0.25">
      <c r="B1139" t="s">
        <v>6</v>
      </c>
      <c r="C1139" t="s">
        <v>7</v>
      </c>
      <c r="D1139">
        <v>703514</v>
      </c>
      <c r="E1139" t="s">
        <v>265</v>
      </c>
      <c r="F1139" t="s">
        <v>21</v>
      </c>
      <c r="G1139" t="s">
        <v>22</v>
      </c>
      <c r="H1139" t="s">
        <v>23</v>
      </c>
      <c r="J1139" s="20">
        <v>0</v>
      </c>
    </row>
    <row r="1140" spans="2:10" x14ac:dyDescent="0.25">
      <c r="B1140" t="s">
        <v>6</v>
      </c>
      <c r="C1140" t="s">
        <v>7</v>
      </c>
      <c r="D1140">
        <v>703515</v>
      </c>
      <c r="E1140" t="s">
        <v>266</v>
      </c>
      <c r="F1140" t="s">
        <v>21</v>
      </c>
      <c r="G1140" t="s">
        <v>22</v>
      </c>
      <c r="H1140" t="s">
        <v>23</v>
      </c>
      <c r="J1140" s="20">
        <v>0</v>
      </c>
    </row>
    <row r="1141" spans="2:10" x14ac:dyDescent="0.25">
      <c r="B1141" t="s">
        <v>6</v>
      </c>
      <c r="C1141" t="s">
        <v>7</v>
      </c>
      <c r="D1141">
        <v>703520</v>
      </c>
      <c r="E1141" t="s">
        <v>267</v>
      </c>
      <c r="F1141" t="s">
        <v>21</v>
      </c>
      <c r="G1141" t="s">
        <v>22</v>
      </c>
      <c r="H1141" t="s">
        <v>23</v>
      </c>
      <c r="J1141" s="20">
        <v>0</v>
      </c>
    </row>
    <row r="1142" spans="2:10" x14ac:dyDescent="0.25">
      <c r="B1142" t="s">
        <v>6</v>
      </c>
      <c r="C1142" t="s">
        <v>7</v>
      </c>
      <c r="D1142">
        <v>703530</v>
      </c>
      <c r="E1142" t="s">
        <v>268</v>
      </c>
      <c r="F1142" t="s">
        <v>21</v>
      </c>
      <c r="G1142" t="s">
        <v>22</v>
      </c>
      <c r="H1142" t="s">
        <v>23</v>
      </c>
      <c r="J1142" s="20">
        <v>0</v>
      </c>
    </row>
    <row r="1143" spans="2:10" x14ac:dyDescent="0.25">
      <c r="B1143" t="s">
        <v>6</v>
      </c>
      <c r="C1143" t="s">
        <v>7</v>
      </c>
      <c r="D1143">
        <v>703540</v>
      </c>
      <c r="E1143" t="s">
        <v>269</v>
      </c>
      <c r="F1143" t="s">
        <v>21</v>
      </c>
      <c r="G1143" t="s">
        <v>22</v>
      </c>
      <c r="H1143" t="s">
        <v>23</v>
      </c>
      <c r="J1143" s="20">
        <v>0</v>
      </c>
    </row>
    <row r="1144" spans="2:10" x14ac:dyDescent="0.25">
      <c r="B1144" t="s">
        <v>6</v>
      </c>
      <c r="C1144" t="s">
        <v>7</v>
      </c>
      <c r="D1144">
        <v>703550</v>
      </c>
      <c r="E1144" t="s">
        <v>270</v>
      </c>
      <c r="F1144" t="s">
        <v>21</v>
      </c>
      <c r="G1144" t="s">
        <v>22</v>
      </c>
      <c r="H1144" t="s">
        <v>23</v>
      </c>
      <c r="J1144" s="20">
        <v>0</v>
      </c>
    </row>
    <row r="1145" spans="2:10" x14ac:dyDescent="0.25">
      <c r="B1145" t="s">
        <v>6</v>
      </c>
      <c r="C1145" t="s">
        <v>7</v>
      </c>
      <c r="D1145">
        <v>703560</v>
      </c>
      <c r="E1145" t="s">
        <v>271</v>
      </c>
      <c r="F1145" t="s">
        <v>21</v>
      </c>
      <c r="G1145" t="s">
        <v>22</v>
      </c>
      <c r="H1145" t="s">
        <v>23</v>
      </c>
      <c r="J1145" s="20">
        <v>0</v>
      </c>
    </row>
    <row r="1146" spans="2:10" x14ac:dyDescent="0.25">
      <c r="B1146" t="s">
        <v>6</v>
      </c>
      <c r="C1146" t="s">
        <v>7</v>
      </c>
      <c r="D1146">
        <v>703570</v>
      </c>
      <c r="E1146" t="s">
        <v>272</v>
      </c>
      <c r="F1146" t="s">
        <v>21</v>
      </c>
      <c r="G1146" t="s">
        <v>22</v>
      </c>
      <c r="H1146" t="s">
        <v>23</v>
      </c>
      <c r="J1146" s="20">
        <v>0</v>
      </c>
    </row>
    <row r="1147" spans="2:10" x14ac:dyDescent="0.25">
      <c r="B1147" t="s">
        <v>6</v>
      </c>
      <c r="C1147" t="s">
        <v>7</v>
      </c>
      <c r="D1147">
        <v>703571</v>
      </c>
      <c r="E1147" t="s">
        <v>273</v>
      </c>
      <c r="F1147" t="s">
        <v>21</v>
      </c>
      <c r="G1147" t="s">
        <v>22</v>
      </c>
      <c r="H1147" t="s">
        <v>23</v>
      </c>
      <c r="J1147" s="20"/>
    </row>
    <row r="1148" spans="2:10" x14ac:dyDescent="0.25">
      <c r="B1148" t="s">
        <v>6</v>
      </c>
      <c r="C1148" t="s">
        <v>7</v>
      </c>
      <c r="D1148">
        <v>703572</v>
      </c>
      <c r="E1148" t="s">
        <v>274</v>
      </c>
      <c r="F1148" t="s">
        <v>21</v>
      </c>
      <c r="G1148" t="s">
        <v>22</v>
      </c>
      <c r="H1148" t="s">
        <v>23</v>
      </c>
      <c r="J1148" s="20"/>
    </row>
    <row r="1149" spans="2:10" x14ac:dyDescent="0.25">
      <c r="B1149" t="s">
        <v>6</v>
      </c>
      <c r="C1149" t="s">
        <v>7</v>
      </c>
      <c r="D1149">
        <v>703573</v>
      </c>
      <c r="E1149" t="s">
        <v>275</v>
      </c>
      <c r="F1149" t="s">
        <v>21</v>
      </c>
      <c r="G1149" t="s">
        <v>22</v>
      </c>
      <c r="H1149" t="s">
        <v>23</v>
      </c>
      <c r="J1149" s="20"/>
    </row>
    <row r="1150" spans="2:10" x14ac:dyDescent="0.25">
      <c r="B1150" t="s">
        <v>6</v>
      </c>
      <c r="C1150" t="s">
        <v>7</v>
      </c>
      <c r="D1150">
        <v>703574</v>
      </c>
      <c r="E1150" t="s">
        <v>276</v>
      </c>
      <c r="F1150" t="s">
        <v>21</v>
      </c>
      <c r="G1150" t="s">
        <v>22</v>
      </c>
      <c r="H1150" t="s">
        <v>23</v>
      </c>
      <c r="J1150" s="20"/>
    </row>
    <row r="1151" spans="2:10" x14ac:dyDescent="0.25">
      <c r="B1151" t="s">
        <v>6</v>
      </c>
      <c r="C1151" t="s">
        <v>7</v>
      </c>
      <c r="D1151">
        <v>703580</v>
      </c>
      <c r="E1151" t="s">
        <v>277</v>
      </c>
      <c r="F1151" t="s">
        <v>21</v>
      </c>
      <c r="G1151" t="s">
        <v>22</v>
      </c>
      <c r="H1151" t="s">
        <v>23</v>
      </c>
      <c r="J1151" s="20">
        <v>0</v>
      </c>
    </row>
    <row r="1152" spans="2:10" x14ac:dyDescent="0.25">
      <c r="B1152" t="s">
        <v>6</v>
      </c>
      <c r="C1152" t="s">
        <v>7</v>
      </c>
      <c r="D1152">
        <v>703590</v>
      </c>
      <c r="E1152" t="s">
        <v>278</v>
      </c>
      <c r="F1152" t="s">
        <v>21</v>
      </c>
      <c r="G1152" t="s">
        <v>22</v>
      </c>
      <c r="H1152" t="s">
        <v>23</v>
      </c>
      <c r="J1152" s="20">
        <v>0</v>
      </c>
    </row>
    <row r="1153" spans="2:10" x14ac:dyDescent="0.25">
      <c r="B1153" t="s">
        <v>6</v>
      </c>
      <c r="C1153" t="s">
        <v>7</v>
      </c>
      <c r="D1153">
        <v>703650</v>
      </c>
      <c r="E1153" t="s">
        <v>279</v>
      </c>
      <c r="F1153" t="s">
        <v>21</v>
      </c>
      <c r="G1153" t="s">
        <v>22</v>
      </c>
      <c r="H1153" t="s">
        <v>23</v>
      </c>
      <c r="J1153" s="20">
        <v>0</v>
      </c>
    </row>
    <row r="1154" spans="2:10" x14ac:dyDescent="0.25">
      <c r="B1154" t="s">
        <v>6</v>
      </c>
      <c r="C1154" t="s">
        <v>7</v>
      </c>
      <c r="D1154">
        <v>703651</v>
      </c>
      <c r="E1154" t="s">
        <v>280</v>
      </c>
      <c r="F1154" t="s">
        <v>21</v>
      </c>
      <c r="G1154" t="s">
        <v>22</v>
      </c>
      <c r="H1154" t="s">
        <v>23</v>
      </c>
      <c r="J1154" s="20">
        <v>0</v>
      </c>
    </row>
    <row r="1155" spans="2:10" x14ac:dyDescent="0.25">
      <c r="B1155" t="s">
        <v>6</v>
      </c>
      <c r="C1155" t="s">
        <v>7</v>
      </c>
      <c r="D1155">
        <v>703850</v>
      </c>
      <c r="E1155" t="s">
        <v>281</v>
      </c>
      <c r="F1155" t="s">
        <v>21</v>
      </c>
      <c r="G1155" t="s">
        <v>22</v>
      </c>
      <c r="H1155" t="s">
        <v>23</v>
      </c>
      <c r="J1155" s="20">
        <v>0</v>
      </c>
    </row>
    <row r="1156" spans="2:10" x14ac:dyDescent="0.25">
      <c r="B1156" t="s">
        <v>6</v>
      </c>
      <c r="C1156" t="s">
        <v>7</v>
      </c>
      <c r="D1156">
        <v>703851</v>
      </c>
      <c r="E1156" t="s">
        <v>282</v>
      </c>
      <c r="F1156" t="s">
        <v>21</v>
      </c>
      <c r="G1156" t="s">
        <v>22</v>
      </c>
      <c r="H1156" t="s">
        <v>23</v>
      </c>
      <c r="J1156" s="20">
        <v>0</v>
      </c>
    </row>
    <row r="1157" spans="2:10" x14ac:dyDescent="0.25">
      <c r="B1157" t="s">
        <v>6</v>
      </c>
      <c r="C1157" t="s">
        <v>7</v>
      </c>
      <c r="D1157">
        <v>703852</v>
      </c>
      <c r="E1157" t="s">
        <v>283</v>
      </c>
      <c r="F1157" t="s">
        <v>21</v>
      </c>
      <c r="G1157" t="s">
        <v>22</v>
      </c>
      <c r="H1157" t="s">
        <v>23</v>
      </c>
      <c r="J1157" s="20">
        <v>0</v>
      </c>
    </row>
    <row r="1158" spans="2:10" x14ac:dyDescent="0.25">
      <c r="B1158" t="s">
        <v>6</v>
      </c>
      <c r="C1158" t="s">
        <v>7</v>
      </c>
      <c r="D1158">
        <v>703853</v>
      </c>
      <c r="E1158" t="s">
        <v>284</v>
      </c>
      <c r="F1158" t="s">
        <v>21</v>
      </c>
      <c r="G1158" t="s">
        <v>22</v>
      </c>
      <c r="H1158" t="s">
        <v>23</v>
      </c>
      <c r="J1158" s="20">
        <v>0</v>
      </c>
    </row>
    <row r="1159" spans="2:10" x14ac:dyDescent="0.25">
      <c r="B1159" t="s">
        <v>6</v>
      </c>
      <c r="C1159" t="s">
        <v>7</v>
      </c>
      <c r="D1159">
        <v>703854</v>
      </c>
      <c r="E1159" t="s">
        <v>285</v>
      </c>
      <c r="F1159" t="s">
        <v>21</v>
      </c>
      <c r="G1159" t="s">
        <v>22</v>
      </c>
      <c r="H1159" t="s">
        <v>115</v>
      </c>
      <c r="J1159" s="20">
        <v>0</v>
      </c>
    </row>
    <row r="1160" spans="2:10" x14ac:dyDescent="0.25">
      <c r="B1160" t="s">
        <v>6</v>
      </c>
      <c r="C1160" t="s">
        <v>7</v>
      </c>
      <c r="D1160">
        <v>703855</v>
      </c>
      <c r="E1160" t="s">
        <v>286</v>
      </c>
      <c r="F1160" t="s">
        <v>21</v>
      </c>
      <c r="G1160" t="s">
        <v>22</v>
      </c>
      <c r="H1160" t="s">
        <v>23</v>
      </c>
      <c r="J1160" s="20">
        <v>0</v>
      </c>
    </row>
    <row r="1161" spans="2:10" x14ac:dyDescent="0.25">
      <c r="B1161" t="s">
        <v>6</v>
      </c>
      <c r="C1161" t="s">
        <v>7</v>
      </c>
      <c r="D1161">
        <v>703856</v>
      </c>
      <c r="E1161" t="s">
        <v>287</v>
      </c>
      <c r="F1161" t="s">
        <v>21</v>
      </c>
      <c r="G1161" t="s">
        <v>22</v>
      </c>
      <c r="H1161" t="s">
        <v>23</v>
      </c>
      <c r="J1161" s="20">
        <v>0</v>
      </c>
    </row>
    <row r="1162" spans="2:10" x14ac:dyDescent="0.25">
      <c r="B1162" t="s">
        <v>6</v>
      </c>
      <c r="C1162" t="s">
        <v>7</v>
      </c>
      <c r="D1162">
        <v>703857</v>
      </c>
      <c r="E1162" t="s">
        <v>288</v>
      </c>
      <c r="F1162" t="s">
        <v>21</v>
      </c>
      <c r="G1162" t="s">
        <v>71</v>
      </c>
      <c r="H1162" t="s">
        <v>88</v>
      </c>
      <c r="J1162" s="20">
        <v>0</v>
      </c>
    </row>
    <row r="1163" spans="2:10" x14ac:dyDescent="0.25">
      <c r="B1163" t="s">
        <v>6</v>
      </c>
      <c r="C1163" t="s">
        <v>7</v>
      </c>
      <c r="D1163">
        <v>703858</v>
      </c>
      <c r="E1163" t="s">
        <v>289</v>
      </c>
      <c r="F1163" t="s">
        <v>21</v>
      </c>
      <c r="G1163" t="s">
        <v>22</v>
      </c>
      <c r="H1163" t="s">
        <v>23</v>
      </c>
      <c r="J1163" s="20">
        <v>0</v>
      </c>
    </row>
    <row r="1164" spans="2:10" x14ac:dyDescent="0.25">
      <c r="B1164" t="s">
        <v>6</v>
      </c>
      <c r="C1164" t="s">
        <v>7</v>
      </c>
      <c r="D1164">
        <v>703859</v>
      </c>
      <c r="E1164" t="s">
        <v>290</v>
      </c>
      <c r="F1164" t="s">
        <v>21</v>
      </c>
      <c r="G1164" t="s">
        <v>22</v>
      </c>
      <c r="H1164" t="s">
        <v>23</v>
      </c>
      <c r="J1164" s="20">
        <v>0</v>
      </c>
    </row>
    <row r="1165" spans="2:10" x14ac:dyDescent="0.25">
      <c r="B1165" t="s">
        <v>6</v>
      </c>
      <c r="C1165" t="s">
        <v>7</v>
      </c>
      <c r="D1165">
        <v>703860</v>
      </c>
      <c r="E1165" t="s">
        <v>291</v>
      </c>
      <c r="F1165" t="s">
        <v>21</v>
      </c>
      <c r="G1165" t="s">
        <v>22</v>
      </c>
      <c r="H1165" t="s">
        <v>23</v>
      </c>
      <c r="J1165" s="20">
        <v>0</v>
      </c>
    </row>
    <row r="1166" spans="2:10" x14ac:dyDescent="0.25">
      <c r="B1166" t="s">
        <v>6</v>
      </c>
      <c r="C1166" t="s">
        <v>7</v>
      </c>
      <c r="D1166">
        <v>703861</v>
      </c>
      <c r="E1166" t="s">
        <v>292</v>
      </c>
      <c r="F1166" t="s">
        <v>21</v>
      </c>
      <c r="G1166" t="s">
        <v>22</v>
      </c>
      <c r="H1166" t="s">
        <v>23</v>
      </c>
      <c r="J1166" s="20">
        <v>0</v>
      </c>
    </row>
    <row r="1167" spans="2:10" x14ac:dyDescent="0.25">
      <c r="B1167" t="s">
        <v>6</v>
      </c>
      <c r="C1167" t="s">
        <v>7</v>
      </c>
      <c r="D1167">
        <v>703862</v>
      </c>
      <c r="E1167" t="s">
        <v>293</v>
      </c>
      <c r="F1167" t="s">
        <v>21</v>
      </c>
      <c r="G1167" t="s">
        <v>22</v>
      </c>
      <c r="H1167" t="s">
        <v>23</v>
      </c>
      <c r="J1167" s="20">
        <v>0</v>
      </c>
    </row>
    <row r="1168" spans="2:10" x14ac:dyDescent="0.25">
      <c r="B1168" t="s">
        <v>6</v>
      </c>
      <c r="C1168" t="s">
        <v>7</v>
      </c>
      <c r="D1168">
        <v>703870</v>
      </c>
      <c r="E1168" t="s">
        <v>294</v>
      </c>
      <c r="F1168" t="s">
        <v>21</v>
      </c>
      <c r="G1168" t="s">
        <v>22</v>
      </c>
      <c r="H1168" t="s">
        <v>23</v>
      </c>
      <c r="J1168" s="20">
        <v>0</v>
      </c>
    </row>
    <row r="1169" spans="2:10" x14ac:dyDescent="0.25">
      <c r="B1169" t="s">
        <v>6</v>
      </c>
      <c r="C1169" t="s">
        <v>7</v>
      </c>
      <c r="D1169">
        <v>703880</v>
      </c>
      <c r="E1169" t="s">
        <v>295</v>
      </c>
      <c r="F1169" t="s">
        <v>21</v>
      </c>
      <c r="G1169" t="s">
        <v>22</v>
      </c>
      <c r="H1169" t="s">
        <v>23</v>
      </c>
      <c r="J1169" s="20">
        <v>0</v>
      </c>
    </row>
    <row r="1170" spans="2:10" x14ac:dyDescent="0.25">
      <c r="B1170" t="s">
        <v>6</v>
      </c>
      <c r="C1170" t="s">
        <v>7</v>
      </c>
      <c r="D1170">
        <v>703899</v>
      </c>
      <c r="E1170" t="s">
        <v>296</v>
      </c>
      <c r="F1170" t="s">
        <v>21</v>
      </c>
      <c r="G1170" t="s">
        <v>22</v>
      </c>
      <c r="H1170" t="s">
        <v>23</v>
      </c>
      <c r="J1170" s="20">
        <v>0</v>
      </c>
    </row>
    <row r="1171" spans="2:10" x14ac:dyDescent="0.25">
      <c r="B1171" t="s">
        <v>6</v>
      </c>
      <c r="C1171" t="s">
        <v>7</v>
      </c>
      <c r="D1171">
        <v>706700</v>
      </c>
      <c r="E1171" t="s">
        <v>25</v>
      </c>
      <c r="F1171" t="s">
        <v>26</v>
      </c>
      <c r="G1171" t="s">
        <v>27</v>
      </c>
      <c r="H1171" t="s">
        <v>28</v>
      </c>
      <c r="J1171" s="20">
        <v>0</v>
      </c>
    </row>
    <row r="1172" spans="2:10" x14ac:dyDescent="0.25">
      <c r="B1172" t="s">
        <v>6</v>
      </c>
      <c r="C1172" t="s">
        <v>7</v>
      </c>
      <c r="D1172" t="s">
        <v>29</v>
      </c>
      <c r="E1172" t="s">
        <v>30</v>
      </c>
      <c r="F1172" t="s">
        <v>26</v>
      </c>
      <c r="G1172" t="s">
        <v>27</v>
      </c>
      <c r="H1172" t="s">
        <v>31</v>
      </c>
      <c r="J1172" s="20">
        <v>0</v>
      </c>
    </row>
    <row r="1173" spans="2:10" x14ac:dyDescent="0.25">
      <c r="B1173" t="s">
        <v>6</v>
      </c>
      <c r="C1173" t="s">
        <v>7</v>
      </c>
      <c r="D1173" t="s">
        <v>32</v>
      </c>
      <c r="E1173" t="s">
        <v>33</v>
      </c>
      <c r="F1173" t="s">
        <v>26</v>
      </c>
      <c r="G1173" t="s">
        <v>27</v>
      </c>
      <c r="H1173" t="s">
        <v>28</v>
      </c>
      <c r="J1173" s="20">
        <v>0</v>
      </c>
    </row>
    <row r="1174" spans="2:10" x14ac:dyDescent="0.25">
      <c r="B1174" t="s">
        <v>6</v>
      </c>
      <c r="C1174" t="s">
        <v>7</v>
      </c>
      <c r="D1174" t="s">
        <v>34</v>
      </c>
      <c r="E1174" t="s">
        <v>35</v>
      </c>
      <c r="F1174" t="s">
        <v>26</v>
      </c>
      <c r="G1174" t="s">
        <v>36</v>
      </c>
      <c r="H1174" t="s">
        <v>36</v>
      </c>
      <c r="J1174" s="20">
        <v>0</v>
      </c>
    </row>
    <row r="1175" spans="2:10" x14ac:dyDescent="0.25">
      <c r="B1175" t="s">
        <v>6</v>
      </c>
      <c r="C1175" t="s">
        <v>7</v>
      </c>
      <c r="D1175" t="s">
        <v>37</v>
      </c>
      <c r="E1175" t="s">
        <v>38</v>
      </c>
      <c r="F1175" t="s">
        <v>21</v>
      </c>
      <c r="G1175" t="s">
        <v>39</v>
      </c>
      <c r="H1175" t="s">
        <v>39</v>
      </c>
      <c r="J1175" s="20">
        <v>0</v>
      </c>
    </row>
    <row r="1176" spans="2:10" x14ac:dyDescent="0.25">
      <c r="B1176" t="s">
        <v>6</v>
      </c>
      <c r="C1176" t="s">
        <v>7</v>
      </c>
      <c r="D1176" t="s">
        <v>40</v>
      </c>
      <c r="E1176" t="s">
        <v>41</v>
      </c>
      <c r="F1176" t="s">
        <v>26</v>
      </c>
      <c r="G1176" t="s">
        <v>39</v>
      </c>
      <c r="H1176" t="s">
        <v>39</v>
      </c>
      <c r="J1176" s="20">
        <v>0</v>
      </c>
    </row>
    <row r="1177" spans="2:10" x14ac:dyDescent="0.25">
      <c r="B1177" t="s">
        <v>6</v>
      </c>
      <c r="C1177" t="s">
        <v>7</v>
      </c>
      <c r="D1177" t="s">
        <v>42</v>
      </c>
      <c r="E1177" t="s">
        <v>43</v>
      </c>
      <c r="F1177" t="s">
        <v>21</v>
      </c>
      <c r="G1177" t="s">
        <v>44</v>
      </c>
      <c r="H1177" t="s">
        <v>44</v>
      </c>
      <c r="J1177" s="20">
        <v>0</v>
      </c>
    </row>
    <row r="1178" spans="2:10" x14ac:dyDescent="0.25">
      <c r="B1178" t="s">
        <v>6</v>
      </c>
      <c r="C1178" t="s">
        <v>7</v>
      </c>
      <c r="D1178" t="s">
        <v>45</v>
      </c>
      <c r="E1178" t="s">
        <v>46</v>
      </c>
      <c r="F1178" t="s">
        <v>26</v>
      </c>
      <c r="G1178" t="s">
        <v>44</v>
      </c>
      <c r="H1178" t="s">
        <v>44</v>
      </c>
      <c r="J1178" s="20">
        <v>0</v>
      </c>
    </row>
    <row r="1179" spans="2:10" x14ac:dyDescent="0.25">
      <c r="B1179" t="s">
        <v>6</v>
      </c>
      <c r="C1179" t="s">
        <v>7</v>
      </c>
      <c r="D1179" t="s">
        <v>297</v>
      </c>
      <c r="E1179" t="s">
        <v>298</v>
      </c>
      <c r="F1179" t="s">
        <v>26</v>
      </c>
      <c r="G1179" t="s">
        <v>299</v>
      </c>
      <c r="H1179" t="s">
        <v>299</v>
      </c>
      <c r="J1179" s="20"/>
    </row>
    <row r="1180" spans="2:10" x14ac:dyDescent="0.25">
      <c r="B1180" t="s">
        <v>6</v>
      </c>
      <c r="C1180" t="s">
        <v>7</v>
      </c>
      <c r="D1180" t="s">
        <v>300</v>
      </c>
      <c r="E1180" t="s">
        <v>301</v>
      </c>
      <c r="F1180" t="s">
        <v>21</v>
      </c>
      <c r="G1180" t="s">
        <v>299</v>
      </c>
      <c r="H1180" t="s">
        <v>299</v>
      </c>
      <c r="J1180" s="20"/>
    </row>
    <row r="1181" spans="2:10" x14ac:dyDescent="0.25">
      <c r="B1181" t="s">
        <v>6</v>
      </c>
      <c r="C1181" t="s">
        <v>7</v>
      </c>
      <c r="D1181" t="s">
        <v>47</v>
      </c>
      <c r="E1181" t="s">
        <v>48</v>
      </c>
      <c r="F1181" t="s">
        <v>26</v>
      </c>
      <c r="G1181" t="s">
        <v>49</v>
      </c>
      <c r="H1181" t="s">
        <v>49</v>
      </c>
      <c r="J1181" s="20">
        <v>0</v>
      </c>
    </row>
    <row r="1182" spans="2:10" x14ac:dyDescent="0.25">
      <c r="B1182" t="s">
        <v>6</v>
      </c>
      <c r="C1182" t="s">
        <v>305</v>
      </c>
      <c r="D1182">
        <v>701000</v>
      </c>
      <c r="E1182" t="s">
        <v>51</v>
      </c>
      <c r="F1182" t="s">
        <v>21</v>
      </c>
      <c r="G1182" t="s">
        <v>52</v>
      </c>
      <c r="H1182" t="s">
        <v>53</v>
      </c>
      <c r="J1182" s="20">
        <v>0</v>
      </c>
    </row>
    <row r="1183" spans="2:10" x14ac:dyDescent="0.25">
      <c r="B1183" t="s">
        <v>6</v>
      </c>
      <c r="C1183" t="s">
        <v>305</v>
      </c>
      <c r="D1183">
        <v>701008</v>
      </c>
      <c r="E1183" t="s">
        <v>54</v>
      </c>
      <c r="F1183" t="s">
        <v>21</v>
      </c>
      <c r="G1183" t="s">
        <v>52</v>
      </c>
      <c r="H1183" t="s">
        <v>53</v>
      </c>
      <c r="J1183" s="20">
        <v>0</v>
      </c>
    </row>
    <row r="1184" spans="2:10" x14ac:dyDescent="0.25">
      <c r="B1184" t="s">
        <v>6</v>
      </c>
      <c r="C1184" t="s">
        <v>305</v>
      </c>
      <c r="D1184">
        <v>701009</v>
      </c>
      <c r="E1184" t="s">
        <v>55</v>
      </c>
      <c r="F1184" t="s">
        <v>21</v>
      </c>
      <c r="G1184" t="s">
        <v>52</v>
      </c>
      <c r="H1184" t="s">
        <v>53</v>
      </c>
      <c r="J1184" s="20">
        <v>0</v>
      </c>
    </row>
    <row r="1185" spans="2:10" x14ac:dyDescent="0.25">
      <c r="B1185" t="s">
        <v>6</v>
      </c>
      <c r="C1185" t="s">
        <v>305</v>
      </c>
      <c r="D1185">
        <v>701010</v>
      </c>
      <c r="E1185" t="s">
        <v>56</v>
      </c>
      <c r="F1185" t="s">
        <v>21</v>
      </c>
      <c r="G1185" t="s">
        <v>52</v>
      </c>
      <c r="H1185" t="s">
        <v>57</v>
      </c>
      <c r="J1185" s="20">
        <v>0</v>
      </c>
    </row>
    <row r="1186" spans="2:10" x14ac:dyDescent="0.25">
      <c r="B1186" t="s">
        <v>6</v>
      </c>
      <c r="C1186" t="s">
        <v>305</v>
      </c>
      <c r="D1186">
        <v>701011</v>
      </c>
      <c r="E1186" t="s">
        <v>58</v>
      </c>
      <c r="F1186" t="s">
        <v>21</v>
      </c>
      <c r="G1186" t="s">
        <v>52</v>
      </c>
      <c r="H1186" t="s">
        <v>53</v>
      </c>
      <c r="J1186" s="20">
        <v>0</v>
      </c>
    </row>
    <row r="1187" spans="2:10" x14ac:dyDescent="0.25">
      <c r="B1187" t="s">
        <v>6</v>
      </c>
      <c r="C1187" t="s">
        <v>305</v>
      </c>
      <c r="D1187">
        <v>701012</v>
      </c>
      <c r="E1187" t="s">
        <v>59</v>
      </c>
      <c r="F1187" t="s">
        <v>21</v>
      </c>
      <c r="G1187" t="s">
        <v>52</v>
      </c>
      <c r="H1187" t="s">
        <v>53</v>
      </c>
      <c r="J1187" s="20">
        <v>0</v>
      </c>
    </row>
    <row r="1188" spans="2:10" x14ac:dyDescent="0.25">
      <c r="B1188" t="s">
        <v>6</v>
      </c>
      <c r="C1188" t="s">
        <v>305</v>
      </c>
      <c r="D1188">
        <v>701013</v>
      </c>
      <c r="E1188" t="s">
        <v>60</v>
      </c>
      <c r="F1188" t="s">
        <v>21</v>
      </c>
      <c r="G1188" t="s">
        <v>61</v>
      </c>
      <c r="H1188" t="s">
        <v>62</v>
      </c>
      <c r="J1188" s="20">
        <v>0</v>
      </c>
    </row>
    <row r="1189" spans="2:10" x14ac:dyDescent="0.25">
      <c r="B1189" t="s">
        <v>6</v>
      </c>
      <c r="C1189" t="s">
        <v>305</v>
      </c>
      <c r="D1189">
        <v>701014</v>
      </c>
      <c r="E1189" t="s">
        <v>63</v>
      </c>
      <c r="F1189" t="s">
        <v>21</v>
      </c>
      <c r="G1189" t="s">
        <v>61</v>
      </c>
      <c r="H1189" t="s">
        <v>64</v>
      </c>
      <c r="J1189" s="20">
        <v>0</v>
      </c>
    </row>
    <row r="1190" spans="2:10" x14ac:dyDescent="0.25">
      <c r="B1190" t="s">
        <v>6</v>
      </c>
      <c r="C1190" t="s">
        <v>305</v>
      </c>
      <c r="D1190">
        <v>701015</v>
      </c>
      <c r="E1190" t="s">
        <v>65</v>
      </c>
      <c r="F1190" t="s">
        <v>21</v>
      </c>
      <c r="G1190" t="s">
        <v>52</v>
      </c>
      <c r="H1190" t="s">
        <v>53</v>
      </c>
      <c r="J1190" s="20">
        <v>0</v>
      </c>
    </row>
    <row r="1191" spans="2:10" x14ac:dyDescent="0.25">
      <c r="B1191" t="s">
        <v>6</v>
      </c>
      <c r="C1191" t="s">
        <v>305</v>
      </c>
      <c r="D1191">
        <v>701016</v>
      </c>
      <c r="E1191" t="s">
        <v>66</v>
      </c>
      <c r="F1191" t="s">
        <v>21</v>
      </c>
      <c r="G1191" t="s">
        <v>52</v>
      </c>
      <c r="H1191" t="s">
        <v>53</v>
      </c>
      <c r="J1191" s="20">
        <v>0</v>
      </c>
    </row>
    <row r="1192" spans="2:10" x14ac:dyDescent="0.25">
      <c r="B1192" t="s">
        <v>6</v>
      </c>
      <c r="C1192" t="s">
        <v>305</v>
      </c>
      <c r="D1192">
        <v>701017</v>
      </c>
      <c r="E1192" t="s">
        <v>67</v>
      </c>
      <c r="F1192" t="s">
        <v>21</v>
      </c>
      <c r="G1192" t="s">
        <v>61</v>
      </c>
      <c r="H1192" t="s">
        <v>68</v>
      </c>
      <c r="J1192" s="20">
        <v>0</v>
      </c>
    </row>
    <row r="1193" spans="2:10" x14ac:dyDescent="0.25">
      <c r="B1193" t="s">
        <v>6</v>
      </c>
      <c r="C1193" t="s">
        <v>305</v>
      </c>
      <c r="D1193">
        <v>701018</v>
      </c>
      <c r="E1193" t="s">
        <v>69</v>
      </c>
      <c r="F1193" t="s">
        <v>21</v>
      </c>
      <c r="G1193" t="s">
        <v>61</v>
      </c>
      <c r="H1193" t="s">
        <v>68</v>
      </c>
      <c r="J1193" s="20">
        <v>0</v>
      </c>
    </row>
    <row r="1194" spans="2:10" x14ac:dyDescent="0.25">
      <c r="B1194" t="s">
        <v>6</v>
      </c>
      <c r="C1194" t="s">
        <v>305</v>
      </c>
      <c r="D1194">
        <v>701019</v>
      </c>
      <c r="E1194" t="s">
        <v>70</v>
      </c>
      <c r="F1194" t="s">
        <v>21</v>
      </c>
      <c r="G1194" t="s">
        <v>71</v>
      </c>
      <c r="H1194" t="s">
        <v>72</v>
      </c>
      <c r="J1194" s="20">
        <v>0</v>
      </c>
    </row>
    <row r="1195" spans="2:10" x14ac:dyDescent="0.25">
      <c r="B1195" t="s">
        <v>6</v>
      </c>
      <c r="C1195" t="s">
        <v>305</v>
      </c>
      <c r="D1195">
        <v>701020</v>
      </c>
      <c r="E1195" t="s">
        <v>73</v>
      </c>
      <c r="F1195" t="s">
        <v>21</v>
      </c>
      <c r="G1195" t="s">
        <v>52</v>
      </c>
      <c r="H1195" t="s">
        <v>53</v>
      </c>
      <c r="J1195" s="20">
        <v>0</v>
      </c>
    </row>
    <row r="1196" spans="2:10" x14ac:dyDescent="0.25">
      <c r="B1196" t="s">
        <v>6</v>
      </c>
      <c r="C1196" t="s">
        <v>305</v>
      </c>
      <c r="D1196">
        <v>701021</v>
      </c>
      <c r="E1196" t="s">
        <v>74</v>
      </c>
      <c r="F1196" t="s">
        <v>21</v>
      </c>
      <c r="G1196" t="s">
        <v>61</v>
      </c>
      <c r="H1196" t="s">
        <v>74</v>
      </c>
      <c r="J1196" s="20">
        <v>0</v>
      </c>
    </row>
    <row r="1197" spans="2:10" x14ac:dyDescent="0.25">
      <c r="B1197" t="s">
        <v>6</v>
      </c>
      <c r="C1197" t="s">
        <v>305</v>
      </c>
      <c r="D1197">
        <v>701022</v>
      </c>
      <c r="E1197" t="s">
        <v>75</v>
      </c>
      <c r="F1197" t="s">
        <v>21</v>
      </c>
      <c r="G1197" t="s">
        <v>76</v>
      </c>
      <c r="H1197" t="s">
        <v>77</v>
      </c>
      <c r="J1197" s="20">
        <v>0</v>
      </c>
    </row>
    <row r="1198" spans="2:10" x14ac:dyDescent="0.25">
      <c r="B1198" t="s">
        <v>6</v>
      </c>
      <c r="C1198" t="s">
        <v>305</v>
      </c>
      <c r="D1198">
        <v>701023</v>
      </c>
      <c r="E1198" t="s">
        <v>78</v>
      </c>
      <c r="F1198" t="s">
        <v>21</v>
      </c>
      <c r="G1198" t="s">
        <v>61</v>
      </c>
      <c r="H1198" t="s">
        <v>79</v>
      </c>
      <c r="J1198" s="20">
        <v>0</v>
      </c>
    </row>
    <row r="1199" spans="2:10" x14ac:dyDescent="0.25">
      <c r="B1199" t="s">
        <v>6</v>
      </c>
      <c r="C1199" t="s">
        <v>305</v>
      </c>
      <c r="D1199">
        <v>701024</v>
      </c>
      <c r="E1199" t="s">
        <v>80</v>
      </c>
      <c r="F1199" t="s">
        <v>21</v>
      </c>
      <c r="G1199" t="s">
        <v>76</v>
      </c>
      <c r="H1199" t="s">
        <v>77</v>
      </c>
      <c r="J1199" s="20">
        <v>0</v>
      </c>
    </row>
    <row r="1200" spans="2:10" x14ac:dyDescent="0.25">
      <c r="B1200" t="s">
        <v>6</v>
      </c>
      <c r="C1200" t="s">
        <v>305</v>
      </c>
      <c r="D1200">
        <v>701025</v>
      </c>
      <c r="E1200" t="s">
        <v>81</v>
      </c>
      <c r="F1200" t="s">
        <v>21</v>
      </c>
      <c r="G1200" t="s">
        <v>71</v>
      </c>
      <c r="H1200" t="s">
        <v>82</v>
      </c>
      <c r="J1200" s="20">
        <v>0</v>
      </c>
    </row>
    <row r="1201" spans="2:10" x14ac:dyDescent="0.25">
      <c r="B1201" t="s">
        <v>6</v>
      </c>
      <c r="C1201" t="s">
        <v>305</v>
      </c>
      <c r="D1201">
        <v>701026</v>
      </c>
      <c r="E1201" t="s">
        <v>83</v>
      </c>
      <c r="F1201" t="s">
        <v>21</v>
      </c>
      <c r="G1201" t="s">
        <v>76</v>
      </c>
      <c r="H1201" t="s">
        <v>77</v>
      </c>
      <c r="J1201" s="20">
        <v>0</v>
      </c>
    </row>
    <row r="1202" spans="2:10" x14ac:dyDescent="0.25">
      <c r="B1202" t="s">
        <v>6</v>
      </c>
      <c r="C1202" t="s">
        <v>305</v>
      </c>
      <c r="D1202">
        <v>701027</v>
      </c>
      <c r="E1202" t="s">
        <v>84</v>
      </c>
      <c r="F1202" t="s">
        <v>21</v>
      </c>
      <c r="G1202" t="s">
        <v>76</v>
      </c>
      <c r="H1202" t="s">
        <v>77</v>
      </c>
      <c r="J1202" s="20">
        <v>0</v>
      </c>
    </row>
    <row r="1203" spans="2:10" x14ac:dyDescent="0.25">
      <c r="B1203" t="s">
        <v>6</v>
      </c>
      <c r="C1203" t="s">
        <v>305</v>
      </c>
      <c r="D1203">
        <v>701028</v>
      </c>
      <c r="E1203" t="s">
        <v>85</v>
      </c>
      <c r="F1203" t="s">
        <v>21</v>
      </c>
      <c r="G1203" t="s">
        <v>61</v>
      </c>
      <c r="H1203" t="s">
        <v>68</v>
      </c>
      <c r="J1203" s="20">
        <v>0</v>
      </c>
    </row>
    <row r="1204" spans="2:10" x14ac:dyDescent="0.25">
      <c r="B1204" t="s">
        <v>6</v>
      </c>
      <c r="C1204" t="s">
        <v>305</v>
      </c>
      <c r="D1204">
        <v>701029</v>
      </c>
      <c r="E1204" t="s">
        <v>86</v>
      </c>
      <c r="F1204" t="s">
        <v>21</v>
      </c>
      <c r="G1204" t="s">
        <v>61</v>
      </c>
      <c r="H1204" t="s">
        <v>68</v>
      </c>
      <c r="J1204" s="20">
        <v>0</v>
      </c>
    </row>
    <row r="1205" spans="2:10" x14ac:dyDescent="0.25">
      <c r="B1205" t="s">
        <v>6</v>
      </c>
      <c r="C1205" t="s">
        <v>305</v>
      </c>
      <c r="D1205">
        <v>701030</v>
      </c>
      <c r="E1205" t="s">
        <v>87</v>
      </c>
      <c r="F1205" t="s">
        <v>21</v>
      </c>
      <c r="G1205" t="s">
        <v>71</v>
      </c>
      <c r="H1205" t="s">
        <v>88</v>
      </c>
      <c r="J1205" s="20">
        <v>0</v>
      </c>
    </row>
    <row r="1206" spans="2:10" x14ac:dyDescent="0.25">
      <c r="B1206" t="s">
        <v>6</v>
      </c>
      <c r="C1206" t="s">
        <v>305</v>
      </c>
      <c r="D1206">
        <v>701031</v>
      </c>
      <c r="E1206" t="s">
        <v>89</v>
      </c>
      <c r="F1206" t="s">
        <v>21</v>
      </c>
      <c r="G1206" t="s">
        <v>76</v>
      </c>
      <c r="H1206" t="s">
        <v>77</v>
      </c>
      <c r="J1206" s="20">
        <v>0</v>
      </c>
    </row>
    <row r="1207" spans="2:10" x14ac:dyDescent="0.25">
      <c r="B1207" t="s">
        <v>6</v>
      </c>
      <c r="C1207" t="s">
        <v>305</v>
      </c>
      <c r="D1207">
        <v>701032</v>
      </c>
      <c r="E1207" t="s">
        <v>90</v>
      </c>
      <c r="F1207" t="s">
        <v>21</v>
      </c>
      <c r="G1207" t="s">
        <v>52</v>
      </c>
      <c r="H1207" t="s">
        <v>53</v>
      </c>
      <c r="J1207" s="20">
        <v>0</v>
      </c>
    </row>
    <row r="1208" spans="2:10" x14ac:dyDescent="0.25">
      <c r="B1208" t="s">
        <v>6</v>
      </c>
      <c r="C1208" t="s">
        <v>305</v>
      </c>
      <c r="D1208">
        <v>701034</v>
      </c>
      <c r="E1208" t="s">
        <v>91</v>
      </c>
      <c r="F1208" t="s">
        <v>21</v>
      </c>
      <c r="G1208" t="s">
        <v>76</v>
      </c>
      <c r="H1208" t="s">
        <v>77</v>
      </c>
      <c r="J1208" s="20">
        <v>0</v>
      </c>
    </row>
    <row r="1209" spans="2:10" x14ac:dyDescent="0.25">
      <c r="B1209" t="s">
        <v>6</v>
      </c>
      <c r="C1209" t="s">
        <v>305</v>
      </c>
      <c r="D1209">
        <v>701035</v>
      </c>
      <c r="E1209" t="s">
        <v>92</v>
      </c>
      <c r="F1209" t="s">
        <v>21</v>
      </c>
      <c r="G1209" t="s">
        <v>61</v>
      </c>
      <c r="H1209" t="s">
        <v>68</v>
      </c>
      <c r="J1209" s="20">
        <v>0</v>
      </c>
    </row>
    <row r="1210" spans="2:10" x14ac:dyDescent="0.25">
      <c r="B1210" t="s">
        <v>6</v>
      </c>
      <c r="C1210" t="s">
        <v>305</v>
      </c>
      <c r="D1210">
        <v>701036</v>
      </c>
      <c r="E1210" t="s">
        <v>93</v>
      </c>
      <c r="F1210" t="s">
        <v>21</v>
      </c>
      <c r="G1210" t="s">
        <v>52</v>
      </c>
      <c r="H1210" t="s">
        <v>53</v>
      </c>
      <c r="J1210" s="20">
        <v>0</v>
      </c>
    </row>
    <row r="1211" spans="2:10" x14ac:dyDescent="0.25">
      <c r="B1211" t="s">
        <v>6</v>
      </c>
      <c r="C1211" t="s">
        <v>305</v>
      </c>
      <c r="D1211">
        <v>701113</v>
      </c>
      <c r="E1211" t="s">
        <v>94</v>
      </c>
      <c r="F1211" t="s">
        <v>21</v>
      </c>
      <c r="G1211" t="s">
        <v>61</v>
      </c>
      <c r="H1211" t="s">
        <v>62</v>
      </c>
      <c r="J1211" s="20">
        <v>0</v>
      </c>
    </row>
    <row r="1212" spans="2:10" x14ac:dyDescent="0.25">
      <c r="B1212" t="s">
        <v>6</v>
      </c>
      <c r="C1212" t="s">
        <v>305</v>
      </c>
      <c r="D1212">
        <v>701119</v>
      </c>
      <c r="E1212" t="s">
        <v>95</v>
      </c>
      <c r="F1212" t="s">
        <v>21</v>
      </c>
      <c r="G1212" t="s">
        <v>22</v>
      </c>
      <c r="H1212" t="s">
        <v>23</v>
      </c>
      <c r="J1212" s="20">
        <v>0</v>
      </c>
    </row>
    <row r="1213" spans="2:10" x14ac:dyDescent="0.25">
      <c r="B1213" t="s">
        <v>6</v>
      </c>
      <c r="C1213" t="s">
        <v>305</v>
      </c>
      <c r="D1213">
        <v>701120</v>
      </c>
      <c r="E1213" t="s">
        <v>96</v>
      </c>
      <c r="F1213" t="s">
        <v>21</v>
      </c>
      <c r="G1213" t="s">
        <v>22</v>
      </c>
      <c r="H1213" t="s">
        <v>23</v>
      </c>
      <c r="J1213" s="20">
        <v>0</v>
      </c>
    </row>
    <row r="1214" spans="2:10" x14ac:dyDescent="0.25">
      <c r="B1214" t="s">
        <v>6</v>
      </c>
      <c r="C1214" t="s">
        <v>305</v>
      </c>
      <c r="D1214">
        <v>701121</v>
      </c>
      <c r="E1214" t="s">
        <v>97</v>
      </c>
      <c r="F1214" t="s">
        <v>21</v>
      </c>
      <c r="G1214" t="s">
        <v>22</v>
      </c>
      <c r="H1214" t="s">
        <v>23</v>
      </c>
      <c r="J1214" s="20">
        <v>0</v>
      </c>
    </row>
    <row r="1215" spans="2:10" x14ac:dyDescent="0.25">
      <c r="B1215" t="s">
        <v>6</v>
      </c>
      <c r="C1215" t="s">
        <v>305</v>
      </c>
      <c r="D1215">
        <v>701122</v>
      </c>
      <c r="E1215" t="s">
        <v>98</v>
      </c>
      <c r="F1215" t="s">
        <v>21</v>
      </c>
      <c r="G1215" t="s">
        <v>71</v>
      </c>
      <c r="H1215" t="s">
        <v>88</v>
      </c>
      <c r="J1215" s="20">
        <v>0</v>
      </c>
    </row>
    <row r="1216" spans="2:10" x14ac:dyDescent="0.25">
      <c r="B1216" t="s">
        <v>6</v>
      </c>
      <c r="C1216" t="s">
        <v>305</v>
      </c>
      <c r="D1216">
        <v>701123</v>
      </c>
      <c r="E1216" t="s">
        <v>99</v>
      </c>
      <c r="F1216" t="s">
        <v>21</v>
      </c>
      <c r="G1216" t="s">
        <v>22</v>
      </c>
      <c r="H1216" t="s">
        <v>23</v>
      </c>
      <c r="J1216" s="20">
        <v>0</v>
      </c>
    </row>
    <row r="1217" spans="2:10" x14ac:dyDescent="0.25">
      <c r="B1217" t="s">
        <v>6</v>
      </c>
      <c r="C1217" t="s">
        <v>305</v>
      </c>
      <c r="D1217">
        <v>701127</v>
      </c>
      <c r="E1217" t="s">
        <v>100</v>
      </c>
      <c r="F1217" t="s">
        <v>21</v>
      </c>
      <c r="G1217" t="s">
        <v>76</v>
      </c>
      <c r="H1217" t="s">
        <v>77</v>
      </c>
      <c r="J1217" s="20">
        <v>0</v>
      </c>
    </row>
    <row r="1218" spans="2:10" x14ac:dyDescent="0.25">
      <c r="B1218" t="s">
        <v>6</v>
      </c>
      <c r="C1218" t="s">
        <v>305</v>
      </c>
      <c r="D1218">
        <v>701213</v>
      </c>
      <c r="E1218" t="s">
        <v>101</v>
      </c>
      <c r="F1218" t="s">
        <v>21</v>
      </c>
      <c r="G1218" t="s">
        <v>61</v>
      </c>
      <c r="H1218" t="s">
        <v>62</v>
      </c>
      <c r="J1218" s="20">
        <v>0</v>
      </c>
    </row>
    <row r="1219" spans="2:10" x14ac:dyDescent="0.25">
      <c r="B1219" t="s">
        <v>6</v>
      </c>
      <c r="C1219" t="s">
        <v>305</v>
      </c>
      <c r="D1219">
        <v>701214</v>
      </c>
      <c r="E1219" t="s">
        <v>102</v>
      </c>
      <c r="F1219" t="s">
        <v>21</v>
      </c>
      <c r="G1219" t="s">
        <v>61</v>
      </c>
      <c r="H1219" t="s">
        <v>62</v>
      </c>
      <c r="J1219" s="20">
        <v>0</v>
      </c>
    </row>
    <row r="1220" spans="2:10" x14ac:dyDescent="0.25">
      <c r="B1220" t="s">
        <v>6</v>
      </c>
      <c r="C1220" t="s">
        <v>305</v>
      </c>
      <c r="D1220">
        <v>701215</v>
      </c>
      <c r="E1220" t="s">
        <v>103</v>
      </c>
      <c r="F1220" t="s">
        <v>21</v>
      </c>
      <c r="G1220" t="s">
        <v>61</v>
      </c>
      <c r="H1220" t="s">
        <v>62</v>
      </c>
      <c r="J1220" s="20">
        <v>0</v>
      </c>
    </row>
    <row r="1221" spans="2:10" x14ac:dyDescent="0.25">
      <c r="B1221" t="s">
        <v>6</v>
      </c>
      <c r="C1221" t="s">
        <v>305</v>
      </c>
      <c r="D1221">
        <v>701227</v>
      </c>
      <c r="E1221" t="s">
        <v>104</v>
      </c>
      <c r="F1221" t="s">
        <v>21</v>
      </c>
      <c r="G1221" t="s">
        <v>76</v>
      </c>
      <c r="H1221" t="s">
        <v>77</v>
      </c>
      <c r="J1221" s="20">
        <v>0</v>
      </c>
    </row>
    <row r="1222" spans="2:10" x14ac:dyDescent="0.25">
      <c r="B1222" t="s">
        <v>6</v>
      </c>
      <c r="C1222" t="s">
        <v>305</v>
      </c>
      <c r="D1222">
        <v>701327</v>
      </c>
      <c r="E1222" t="s">
        <v>106</v>
      </c>
      <c r="F1222" t="s">
        <v>21</v>
      </c>
      <c r="G1222" t="s">
        <v>76</v>
      </c>
      <c r="H1222" t="s">
        <v>77</v>
      </c>
      <c r="J1222" s="20">
        <v>0</v>
      </c>
    </row>
    <row r="1223" spans="2:10" x14ac:dyDescent="0.25">
      <c r="B1223" t="s">
        <v>6</v>
      </c>
      <c r="C1223" t="s">
        <v>305</v>
      </c>
      <c r="D1223">
        <v>701427</v>
      </c>
      <c r="E1223" t="s">
        <v>107</v>
      </c>
      <c r="F1223" t="s">
        <v>21</v>
      </c>
      <c r="G1223" t="s">
        <v>76</v>
      </c>
      <c r="H1223" t="s">
        <v>108</v>
      </c>
      <c r="J1223" s="20">
        <v>0</v>
      </c>
    </row>
    <row r="1224" spans="2:10" x14ac:dyDescent="0.25">
      <c r="B1224" t="s">
        <v>6</v>
      </c>
      <c r="C1224" t="s">
        <v>305</v>
      </c>
      <c r="D1224">
        <v>701527</v>
      </c>
      <c r="E1224" t="s">
        <v>109</v>
      </c>
      <c r="F1224" t="s">
        <v>21</v>
      </c>
      <c r="G1224" t="s">
        <v>76</v>
      </c>
      <c r="H1224" t="s">
        <v>77</v>
      </c>
      <c r="J1224" s="20">
        <v>0</v>
      </c>
    </row>
    <row r="1225" spans="2:10" x14ac:dyDescent="0.25">
      <c r="B1225" t="s">
        <v>6</v>
      </c>
      <c r="C1225" t="s">
        <v>305</v>
      </c>
      <c r="D1225">
        <v>701627</v>
      </c>
      <c r="E1225" t="s">
        <v>110</v>
      </c>
      <c r="F1225" t="s">
        <v>21</v>
      </c>
      <c r="G1225" t="s">
        <v>76</v>
      </c>
      <c r="H1225" t="s">
        <v>77</v>
      </c>
      <c r="J1225" s="20">
        <v>0</v>
      </c>
    </row>
    <row r="1226" spans="2:10" x14ac:dyDescent="0.25">
      <c r="B1226" t="s">
        <v>6</v>
      </c>
      <c r="C1226" t="s">
        <v>305</v>
      </c>
      <c r="D1226">
        <v>701727</v>
      </c>
      <c r="E1226" t="s">
        <v>111</v>
      </c>
      <c r="F1226" t="s">
        <v>21</v>
      </c>
      <c r="G1226" t="s">
        <v>76</v>
      </c>
      <c r="H1226" t="s">
        <v>77</v>
      </c>
      <c r="J1226" s="20">
        <v>0</v>
      </c>
    </row>
    <row r="1227" spans="2:10" x14ac:dyDescent="0.25">
      <c r="B1227" t="s">
        <v>6</v>
      </c>
      <c r="C1227" t="s">
        <v>305</v>
      </c>
      <c r="D1227">
        <v>701801</v>
      </c>
      <c r="E1227" t="s">
        <v>112</v>
      </c>
      <c r="F1227" t="s">
        <v>21</v>
      </c>
      <c r="G1227" t="s">
        <v>76</v>
      </c>
      <c r="H1227" t="s">
        <v>77</v>
      </c>
      <c r="J1227" s="20">
        <v>0</v>
      </c>
    </row>
    <row r="1228" spans="2:10" x14ac:dyDescent="0.25">
      <c r="B1228" t="s">
        <v>6</v>
      </c>
      <c r="C1228" t="s">
        <v>305</v>
      </c>
      <c r="D1228">
        <v>701802</v>
      </c>
      <c r="E1228" t="s">
        <v>113</v>
      </c>
      <c r="F1228" t="s">
        <v>21</v>
      </c>
      <c r="G1228" t="s">
        <v>61</v>
      </c>
      <c r="H1228" t="s">
        <v>62</v>
      </c>
      <c r="J1228" s="20">
        <v>0</v>
      </c>
    </row>
    <row r="1229" spans="2:10" x14ac:dyDescent="0.25">
      <c r="B1229" t="s">
        <v>6</v>
      </c>
      <c r="C1229" t="s">
        <v>305</v>
      </c>
      <c r="D1229">
        <v>703010</v>
      </c>
      <c r="E1229" t="s">
        <v>114</v>
      </c>
      <c r="F1229" t="s">
        <v>21</v>
      </c>
      <c r="G1229" t="s">
        <v>22</v>
      </c>
      <c r="H1229" t="s">
        <v>115</v>
      </c>
      <c r="J1229" s="20">
        <v>0</v>
      </c>
    </row>
    <row r="1230" spans="2:10" x14ac:dyDescent="0.25">
      <c r="B1230" t="s">
        <v>6</v>
      </c>
      <c r="C1230" t="s">
        <v>305</v>
      </c>
      <c r="D1230">
        <v>703011</v>
      </c>
      <c r="E1230" t="s">
        <v>116</v>
      </c>
      <c r="F1230" t="s">
        <v>21</v>
      </c>
      <c r="G1230" t="s">
        <v>22</v>
      </c>
      <c r="H1230" t="s">
        <v>115</v>
      </c>
      <c r="J1230" s="20">
        <v>0</v>
      </c>
    </row>
    <row r="1231" spans="2:10" x14ac:dyDescent="0.25">
      <c r="B1231" t="s">
        <v>6</v>
      </c>
      <c r="C1231" t="s">
        <v>305</v>
      </c>
      <c r="D1231">
        <v>703012</v>
      </c>
      <c r="E1231" t="s">
        <v>117</v>
      </c>
      <c r="F1231" t="s">
        <v>21</v>
      </c>
      <c r="G1231" t="s">
        <v>22</v>
      </c>
      <c r="H1231" t="s">
        <v>115</v>
      </c>
      <c r="J1231" s="20">
        <v>0</v>
      </c>
    </row>
    <row r="1232" spans="2:10" x14ac:dyDescent="0.25">
      <c r="B1232" t="s">
        <v>6</v>
      </c>
      <c r="C1232" t="s">
        <v>305</v>
      </c>
      <c r="D1232">
        <v>703013</v>
      </c>
      <c r="E1232" t="s">
        <v>118</v>
      </c>
      <c r="F1232" t="s">
        <v>21</v>
      </c>
      <c r="G1232" t="s">
        <v>22</v>
      </c>
      <c r="H1232" t="s">
        <v>115</v>
      </c>
      <c r="J1232" s="20">
        <v>0</v>
      </c>
    </row>
    <row r="1233" spans="2:10" x14ac:dyDescent="0.25">
      <c r="B1233" t="s">
        <v>6</v>
      </c>
      <c r="C1233" t="s">
        <v>305</v>
      </c>
      <c r="D1233">
        <v>703014</v>
      </c>
      <c r="E1233" t="s">
        <v>119</v>
      </c>
      <c r="F1233" t="s">
        <v>21</v>
      </c>
      <c r="G1233" t="s">
        <v>22</v>
      </c>
      <c r="H1233" t="s">
        <v>115</v>
      </c>
      <c r="J1233" s="20">
        <v>0</v>
      </c>
    </row>
    <row r="1234" spans="2:10" x14ac:dyDescent="0.25">
      <c r="B1234" t="s">
        <v>6</v>
      </c>
      <c r="C1234" t="s">
        <v>305</v>
      </c>
      <c r="D1234">
        <v>703015</v>
      </c>
      <c r="E1234" t="s">
        <v>120</v>
      </c>
      <c r="F1234" t="s">
        <v>21</v>
      </c>
      <c r="G1234" t="s">
        <v>22</v>
      </c>
      <c r="H1234" t="s">
        <v>115</v>
      </c>
      <c r="J1234" s="20">
        <v>0</v>
      </c>
    </row>
    <row r="1235" spans="2:10" x14ac:dyDescent="0.25">
      <c r="B1235" t="s">
        <v>6</v>
      </c>
      <c r="C1235" t="s">
        <v>305</v>
      </c>
      <c r="D1235">
        <v>703016</v>
      </c>
      <c r="E1235" t="s">
        <v>121</v>
      </c>
      <c r="F1235" t="s">
        <v>21</v>
      </c>
      <c r="G1235" t="s">
        <v>22</v>
      </c>
      <c r="H1235" t="s">
        <v>115</v>
      </c>
      <c r="J1235" s="20">
        <v>0</v>
      </c>
    </row>
    <row r="1236" spans="2:10" x14ac:dyDescent="0.25">
      <c r="B1236" t="s">
        <v>6</v>
      </c>
      <c r="C1236" t="s">
        <v>305</v>
      </c>
      <c r="D1236">
        <v>703017</v>
      </c>
      <c r="E1236" t="s">
        <v>122</v>
      </c>
      <c r="F1236" t="s">
        <v>21</v>
      </c>
      <c r="G1236" t="s">
        <v>22</v>
      </c>
      <c r="H1236" t="s">
        <v>115</v>
      </c>
      <c r="J1236" s="20">
        <v>0</v>
      </c>
    </row>
    <row r="1237" spans="2:10" x14ac:dyDescent="0.25">
      <c r="B1237" t="s">
        <v>6</v>
      </c>
      <c r="C1237" t="s">
        <v>305</v>
      </c>
      <c r="D1237">
        <v>703018</v>
      </c>
      <c r="E1237" t="s">
        <v>123</v>
      </c>
      <c r="F1237" t="s">
        <v>21</v>
      </c>
      <c r="G1237" t="s">
        <v>22</v>
      </c>
      <c r="H1237" t="s">
        <v>115</v>
      </c>
      <c r="J1237" s="20">
        <v>0</v>
      </c>
    </row>
    <row r="1238" spans="2:10" x14ac:dyDescent="0.25">
      <c r="B1238" t="s">
        <v>6</v>
      </c>
      <c r="C1238" t="s">
        <v>305</v>
      </c>
      <c r="D1238">
        <v>703019</v>
      </c>
      <c r="E1238" t="s">
        <v>124</v>
      </c>
      <c r="F1238" t="s">
        <v>21</v>
      </c>
      <c r="G1238" t="s">
        <v>22</v>
      </c>
      <c r="H1238" t="s">
        <v>115</v>
      </c>
      <c r="J1238" s="20">
        <v>0</v>
      </c>
    </row>
    <row r="1239" spans="2:10" x14ac:dyDescent="0.25">
      <c r="B1239" t="s">
        <v>6</v>
      </c>
      <c r="C1239" t="s">
        <v>305</v>
      </c>
      <c r="D1239">
        <v>703210</v>
      </c>
      <c r="E1239" t="s">
        <v>125</v>
      </c>
      <c r="F1239" t="s">
        <v>21</v>
      </c>
      <c r="G1239" t="s">
        <v>22</v>
      </c>
      <c r="H1239" t="s">
        <v>23</v>
      </c>
      <c r="J1239" s="20">
        <v>0</v>
      </c>
    </row>
    <row r="1240" spans="2:10" x14ac:dyDescent="0.25">
      <c r="B1240" t="s">
        <v>6</v>
      </c>
      <c r="C1240" t="s">
        <v>305</v>
      </c>
      <c r="D1240">
        <v>703211</v>
      </c>
      <c r="E1240" t="s">
        <v>126</v>
      </c>
      <c r="F1240" t="s">
        <v>21</v>
      </c>
      <c r="G1240" t="s">
        <v>22</v>
      </c>
      <c r="H1240" t="s">
        <v>23</v>
      </c>
      <c r="J1240" s="20">
        <v>0</v>
      </c>
    </row>
    <row r="1241" spans="2:10" x14ac:dyDescent="0.25">
      <c r="B1241" t="s">
        <v>6</v>
      </c>
      <c r="C1241" t="s">
        <v>305</v>
      </c>
      <c r="D1241">
        <v>703212</v>
      </c>
      <c r="E1241" t="s">
        <v>127</v>
      </c>
      <c r="F1241" t="s">
        <v>21</v>
      </c>
      <c r="G1241" t="s">
        <v>22</v>
      </c>
      <c r="H1241" t="s">
        <v>23</v>
      </c>
      <c r="J1241" s="20">
        <v>0</v>
      </c>
    </row>
    <row r="1242" spans="2:10" x14ac:dyDescent="0.25">
      <c r="B1242" t="s">
        <v>6</v>
      </c>
      <c r="C1242" t="s">
        <v>305</v>
      </c>
      <c r="D1242">
        <v>703213</v>
      </c>
      <c r="E1242" t="s">
        <v>128</v>
      </c>
      <c r="F1242" t="s">
        <v>21</v>
      </c>
      <c r="G1242" t="s">
        <v>22</v>
      </c>
      <c r="H1242" t="s">
        <v>23</v>
      </c>
      <c r="J1242" s="20">
        <v>0</v>
      </c>
    </row>
    <row r="1243" spans="2:10" x14ac:dyDescent="0.25">
      <c r="B1243" t="s">
        <v>6</v>
      </c>
      <c r="C1243" t="s">
        <v>305</v>
      </c>
      <c r="D1243">
        <v>703214</v>
      </c>
      <c r="E1243" t="s">
        <v>129</v>
      </c>
      <c r="F1243" t="s">
        <v>21</v>
      </c>
      <c r="G1243" t="s">
        <v>22</v>
      </c>
      <c r="H1243" t="s">
        <v>23</v>
      </c>
      <c r="J1243" s="20">
        <v>0</v>
      </c>
    </row>
    <row r="1244" spans="2:10" x14ac:dyDescent="0.25">
      <c r="B1244" t="s">
        <v>6</v>
      </c>
      <c r="C1244" t="s">
        <v>305</v>
      </c>
      <c r="D1244">
        <v>703215</v>
      </c>
      <c r="E1244" t="s">
        <v>130</v>
      </c>
      <c r="F1244" t="s">
        <v>21</v>
      </c>
      <c r="G1244" t="s">
        <v>22</v>
      </c>
      <c r="H1244" t="s">
        <v>23</v>
      </c>
      <c r="J1244" s="20">
        <v>0</v>
      </c>
    </row>
    <row r="1245" spans="2:10" x14ac:dyDescent="0.25">
      <c r="B1245" t="s">
        <v>6</v>
      </c>
      <c r="C1245" t="s">
        <v>305</v>
      </c>
      <c r="D1245">
        <v>703216</v>
      </c>
      <c r="E1245" t="s">
        <v>131</v>
      </c>
      <c r="F1245" t="s">
        <v>21</v>
      </c>
      <c r="G1245" t="s">
        <v>22</v>
      </c>
      <c r="H1245" t="s">
        <v>23</v>
      </c>
      <c r="J1245" s="20">
        <v>0</v>
      </c>
    </row>
    <row r="1246" spans="2:10" x14ac:dyDescent="0.25">
      <c r="B1246" t="s">
        <v>6</v>
      </c>
      <c r="C1246" t="s">
        <v>305</v>
      </c>
      <c r="D1246">
        <v>703217</v>
      </c>
      <c r="E1246" t="s">
        <v>132</v>
      </c>
      <c r="F1246" t="s">
        <v>21</v>
      </c>
      <c r="G1246" t="s">
        <v>22</v>
      </c>
      <c r="H1246" t="s">
        <v>23</v>
      </c>
      <c r="J1246" s="20">
        <v>0</v>
      </c>
    </row>
    <row r="1247" spans="2:10" x14ac:dyDescent="0.25">
      <c r="B1247" t="s">
        <v>6</v>
      </c>
      <c r="C1247" t="s">
        <v>305</v>
      </c>
      <c r="D1247">
        <v>703219</v>
      </c>
      <c r="E1247" t="s">
        <v>133</v>
      </c>
      <c r="F1247" t="s">
        <v>21</v>
      </c>
      <c r="G1247" t="s">
        <v>22</v>
      </c>
      <c r="H1247" t="s">
        <v>23</v>
      </c>
      <c r="J1247" s="20">
        <v>0</v>
      </c>
    </row>
    <row r="1248" spans="2:10" x14ac:dyDescent="0.25">
      <c r="B1248" t="s">
        <v>6</v>
      </c>
      <c r="C1248" t="s">
        <v>305</v>
      </c>
      <c r="D1248">
        <v>703220</v>
      </c>
      <c r="E1248" t="s">
        <v>134</v>
      </c>
      <c r="F1248" t="s">
        <v>21</v>
      </c>
      <c r="G1248" t="s">
        <v>71</v>
      </c>
      <c r="H1248" t="s">
        <v>135</v>
      </c>
      <c r="J1248" s="20">
        <v>0</v>
      </c>
    </row>
    <row r="1249" spans="2:10" x14ac:dyDescent="0.25">
      <c r="B1249" t="s">
        <v>6</v>
      </c>
      <c r="C1249" t="s">
        <v>305</v>
      </c>
      <c r="D1249">
        <v>703221</v>
      </c>
      <c r="E1249" t="s">
        <v>136</v>
      </c>
      <c r="F1249" t="s">
        <v>21</v>
      </c>
      <c r="G1249" t="s">
        <v>137</v>
      </c>
      <c r="H1249" t="s">
        <v>138</v>
      </c>
      <c r="J1249" s="20">
        <v>0</v>
      </c>
    </row>
    <row r="1250" spans="2:10" x14ac:dyDescent="0.25">
      <c r="B1250" t="s">
        <v>6</v>
      </c>
      <c r="C1250" t="s">
        <v>305</v>
      </c>
      <c r="D1250">
        <v>703222</v>
      </c>
      <c r="E1250" t="s">
        <v>139</v>
      </c>
      <c r="F1250" t="s">
        <v>21</v>
      </c>
      <c r="G1250" t="s">
        <v>137</v>
      </c>
      <c r="H1250" t="s">
        <v>138</v>
      </c>
      <c r="J1250" s="20">
        <v>0</v>
      </c>
    </row>
    <row r="1251" spans="2:10" x14ac:dyDescent="0.25">
      <c r="B1251" t="s">
        <v>6</v>
      </c>
      <c r="C1251" t="s">
        <v>305</v>
      </c>
      <c r="D1251">
        <v>703223</v>
      </c>
      <c r="E1251" t="s">
        <v>140</v>
      </c>
      <c r="F1251" t="s">
        <v>21</v>
      </c>
      <c r="G1251" t="s">
        <v>137</v>
      </c>
      <c r="H1251" t="s">
        <v>141</v>
      </c>
      <c r="J1251" s="20">
        <v>0</v>
      </c>
    </row>
    <row r="1252" spans="2:10" x14ac:dyDescent="0.25">
      <c r="B1252" t="s">
        <v>6</v>
      </c>
      <c r="C1252" t="s">
        <v>305</v>
      </c>
      <c r="D1252">
        <v>703224</v>
      </c>
      <c r="E1252" t="s">
        <v>142</v>
      </c>
      <c r="F1252" t="s">
        <v>21</v>
      </c>
      <c r="G1252" t="s">
        <v>71</v>
      </c>
      <c r="H1252" t="s">
        <v>88</v>
      </c>
      <c r="J1252" s="20">
        <v>0</v>
      </c>
    </row>
    <row r="1253" spans="2:10" x14ac:dyDescent="0.25">
      <c r="B1253" t="s">
        <v>6</v>
      </c>
      <c r="C1253" t="s">
        <v>305</v>
      </c>
      <c r="D1253">
        <v>703225</v>
      </c>
      <c r="E1253" t="s">
        <v>143</v>
      </c>
      <c r="F1253" t="s">
        <v>21</v>
      </c>
      <c r="G1253" t="s">
        <v>71</v>
      </c>
      <c r="H1253" t="s">
        <v>88</v>
      </c>
      <c r="J1253" s="20">
        <v>0</v>
      </c>
    </row>
    <row r="1254" spans="2:10" x14ac:dyDescent="0.25">
      <c r="B1254" t="s">
        <v>6</v>
      </c>
      <c r="C1254" t="s">
        <v>305</v>
      </c>
      <c r="D1254">
        <v>703226</v>
      </c>
      <c r="E1254" t="s">
        <v>144</v>
      </c>
      <c r="F1254" t="s">
        <v>21</v>
      </c>
      <c r="G1254" t="s">
        <v>71</v>
      </c>
      <c r="H1254" t="s">
        <v>82</v>
      </c>
      <c r="J1254" s="20">
        <v>0</v>
      </c>
    </row>
    <row r="1255" spans="2:10" x14ac:dyDescent="0.25">
      <c r="B1255" t="s">
        <v>6</v>
      </c>
      <c r="C1255" t="s">
        <v>305</v>
      </c>
      <c r="D1255">
        <v>703227</v>
      </c>
      <c r="E1255" t="s">
        <v>145</v>
      </c>
      <c r="F1255" t="s">
        <v>21</v>
      </c>
      <c r="G1255" t="s">
        <v>137</v>
      </c>
      <c r="H1255" t="s">
        <v>138</v>
      </c>
      <c r="J1255" s="20">
        <v>0</v>
      </c>
    </row>
    <row r="1256" spans="2:10" x14ac:dyDescent="0.25">
      <c r="B1256" t="s">
        <v>6</v>
      </c>
      <c r="C1256" t="s">
        <v>305</v>
      </c>
      <c r="D1256">
        <v>703228</v>
      </c>
      <c r="E1256" t="s">
        <v>146</v>
      </c>
      <c r="F1256" t="s">
        <v>21</v>
      </c>
      <c r="G1256" t="s">
        <v>147</v>
      </c>
      <c r="H1256" t="s">
        <v>147</v>
      </c>
      <c r="J1256" s="20">
        <v>0</v>
      </c>
    </row>
    <row r="1257" spans="2:10" x14ac:dyDescent="0.25">
      <c r="B1257" t="s">
        <v>6</v>
      </c>
      <c r="C1257" t="s">
        <v>305</v>
      </c>
      <c r="D1257">
        <v>703229</v>
      </c>
      <c r="E1257" t="s">
        <v>148</v>
      </c>
      <c r="F1257" t="s">
        <v>21</v>
      </c>
      <c r="G1257" t="s">
        <v>147</v>
      </c>
      <c r="H1257" t="s">
        <v>147</v>
      </c>
      <c r="J1257" s="20">
        <v>0</v>
      </c>
    </row>
    <row r="1258" spans="2:10" x14ac:dyDescent="0.25">
      <c r="B1258" t="s">
        <v>6</v>
      </c>
      <c r="C1258" t="s">
        <v>305</v>
      </c>
      <c r="D1258">
        <v>703230</v>
      </c>
      <c r="E1258" t="s">
        <v>149</v>
      </c>
      <c r="F1258" t="s">
        <v>21</v>
      </c>
      <c r="G1258" t="s">
        <v>147</v>
      </c>
      <c r="H1258" t="s">
        <v>147</v>
      </c>
      <c r="J1258" s="20">
        <v>0</v>
      </c>
    </row>
    <row r="1259" spans="2:10" x14ac:dyDescent="0.25">
      <c r="B1259" t="s">
        <v>6</v>
      </c>
      <c r="C1259" t="s">
        <v>305</v>
      </c>
      <c r="D1259">
        <v>703231</v>
      </c>
      <c r="E1259" t="s">
        <v>150</v>
      </c>
      <c r="F1259" t="s">
        <v>21</v>
      </c>
      <c r="G1259" t="s">
        <v>137</v>
      </c>
      <c r="H1259" t="s">
        <v>141</v>
      </c>
      <c r="J1259" s="20">
        <v>0</v>
      </c>
    </row>
    <row r="1260" spans="2:10" x14ac:dyDescent="0.25">
      <c r="B1260" t="s">
        <v>6</v>
      </c>
      <c r="C1260" t="s">
        <v>305</v>
      </c>
      <c r="D1260">
        <v>703232</v>
      </c>
      <c r="E1260" t="s">
        <v>151</v>
      </c>
      <c r="F1260" t="s">
        <v>21</v>
      </c>
      <c r="G1260" t="s">
        <v>147</v>
      </c>
      <c r="H1260" t="s">
        <v>147</v>
      </c>
      <c r="J1260" s="20">
        <v>0</v>
      </c>
    </row>
    <row r="1261" spans="2:10" x14ac:dyDescent="0.25">
      <c r="B1261" t="s">
        <v>6</v>
      </c>
      <c r="C1261" t="s">
        <v>305</v>
      </c>
      <c r="D1261">
        <v>703233</v>
      </c>
      <c r="E1261" t="s">
        <v>152</v>
      </c>
      <c r="F1261" t="s">
        <v>21</v>
      </c>
      <c r="G1261" t="s">
        <v>71</v>
      </c>
      <c r="H1261" t="s">
        <v>153</v>
      </c>
      <c r="J1261" s="20">
        <v>0</v>
      </c>
    </row>
    <row r="1262" spans="2:10" x14ac:dyDescent="0.25">
      <c r="B1262" t="s">
        <v>6</v>
      </c>
      <c r="C1262" t="s">
        <v>305</v>
      </c>
      <c r="D1262">
        <v>703234</v>
      </c>
      <c r="E1262" t="s">
        <v>154</v>
      </c>
      <c r="F1262" t="s">
        <v>21</v>
      </c>
      <c r="G1262" t="s">
        <v>71</v>
      </c>
      <c r="H1262" t="s">
        <v>153</v>
      </c>
      <c r="J1262" s="20">
        <v>0</v>
      </c>
    </row>
    <row r="1263" spans="2:10" x14ac:dyDescent="0.25">
      <c r="B1263" t="s">
        <v>6</v>
      </c>
      <c r="C1263" t="s">
        <v>305</v>
      </c>
      <c r="D1263">
        <v>703235</v>
      </c>
      <c r="E1263" t="s">
        <v>155</v>
      </c>
      <c r="F1263" t="s">
        <v>21</v>
      </c>
      <c r="G1263" t="s">
        <v>71</v>
      </c>
      <c r="H1263" t="s">
        <v>153</v>
      </c>
      <c r="J1263" s="20">
        <v>0</v>
      </c>
    </row>
    <row r="1264" spans="2:10" x14ac:dyDescent="0.25">
      <c r="B1264" t="s">
        <v>6</v>
      </c>
      <c r="C1264" t="s">
        <v>305</v>
      </c>
      <c r="D1264">
        <v>703236</v>
      </c>
      <c r="E1264" t="s">
        <v>156</v>
      </c>
      <c r="F1264" t="s">
        <v>21</v>
      </c>
      <c r="G1264" t="s">
        <v>76</v>
      </c>
      <c r="H1264" t="s">
        <v>77</v>
      </c>
      <c r="J1264" s="20">
        <v>0</v>
      </c>
    </row>
    <row r="1265" spans="2:10" x14ac:dyDescent="0.25">
      <c r="B1265" t="s">
        <v>6</v>
      </c>
      <c r="C1265" t="s">
        <v>305</v>
      </c>
      <c r="D1265">
        <v>703237</v>
      </c>
      <c r="E1265" t="s">
        <v>157</v>
      </c>
      <c r="F1265" t="s">
        <v>21</v>
      </c>
      <c r="G1265" t="s">
        <v>22</v>
      </c>
      <c r="H1265" t="s">
        <v>23</v>
      </c>
      <c r="J1265" s="20">
        <v>0</v>
      </c>
    </row>
    <row r="1266" spans="2:10" x14ac:dyDescent="0.25">
      <c r="B1266" t="s">
        <v>6</v>
      </c>
      <c r="C1266" t="s">
        <v>305</v>
      </c>
      <c r="D1266">
        <v>703238</v>
      </c>
      <c r="E1266" t="s">
        <v>158</v>
      </c>
      <c r="F1266" t="s">
        <v>21</v>
      </c>
      <c r="G1266" t="s">
        <v>61</v>
      </c>
      <c r="H1266" t="s">
        <v>68</v>
      </c>
      <c r="J1266" s="20">
        <v>0</v>
      </c>
    </row>
    <row r="1267" spans="2:10" x14ac:dyDescent="0.25">
      <c r="B1267" t="s">
        <v>6</v>
      </c>
      <c r="C1267" t="s">
        <v>305</v>
      </c>
      <c r="D1267">
        <v>703239</v>
      </c>
      <c r="E1267" t="s">
        <v>159</v>
      </c>
      <c r="F1267" t="s">
        <v>21</v>
      </c>
      <c r="G1267" t="s">
        <v>61</v>
      </c>
      <c r="H1267" t="s">
        <v>68</v>
      </c>
      <c r="J1267" s="20">
        <v>0</v>
      </c>
    </row>
    <row r="1268" spans="2:10" x14ac:dyDescent="0.25">
      <c r="B1268" t="s">
        <v>6</v>
      </c>
      <c r="C1268" t="s">
        <v>305</v>
      </c>
      <c r="D1268">
        <v>703240</v>
      </c>
      <c r="E1268" t="s">
        <v>160</v>
      </c>
      <c r="F1268" t="s">
        <v>21</v>
      </c>
      <c r="G1268" t="s">
        <v>61</v>
      </c>
      <c r="H1268" t="s">
        <v>68</v>
      </c>
      <c r="J1268" s="20">
        <v>0</v>
      </c>
    </row>
    <row r="1269" spans="2:10" x14ac:dyDescent="0.25">
      <c r="B1269" t="s">
        <v>6</v>
      </c>
      <c r="C1269" t="s">
        <v>305</v>
      </c>
      <c r="D1269">
        <v>703241</v>
      </c>
      <c r="E1269" t="s">
        <v>161</v>
      </c>
      <c r="F1269" t="s">
        <v>21</v>
      </c>
      <c r="G1269" t="s">
        <v>137</v>
      </c>
      <c r="H1269" t="s">
        <v>141</v>
      </c>
      <c r="J1269" s="20">
        <v>0</v>
      </c>
    </row>
    <row r="1270" spans="2:10" x14ac:dyDescent="0.25">
      <c r="B1270" t="s">
        <v>6</v>
      </c>
      <c r="C1270" t="s">
        <v>305</v>
      </c>
      <c r="D1270">
        <v>703242</v>
      </c>
      <c r="E1270" t="s">
        <v>162</v>
      </c>
      <c r="F1270" t="s">
        <v>21</v>
      </c>
      <c r="G1270" t="s">
        <v>137</v>
      </c>
      <c r="H1270" t="s">
        <v>141</v>
      </c>
      <c r="J1270" s="20">
        <v>0</v>
      </c>
    </row>
    <row r="1271" spans="2:10" x14ac:dyDescent="0.25">
      <c r="B1271" t="s">
        <v>6</v>
      </c>
      <c r="C1271" t="s">
        <v>305</v>
      </c>
      <c r="D1271">
        <v>703243</v>
      </c>
      <c r="E1271" t="s">
        <v>163</v>
      </c>
      <c r="F1271" t="s">
        <v>21</v>
      </c>
      <c r="G1271" t="s">
        <v>137</v>
      </c>
      <c r="H1271" t="s">
        <v>141</v>
      </c>
      <c r="J1271" s="20">
        <v>0</v>
      </c>
    </row>
    <row r="1272" spans="2:10" x14ac:dyDescent="0.25">
      <c r="B1272" t="s">
        <v>6</v>
      </c>
      <c r="C1272" t="s">
        <v>305</v>
      </c>
      <c r="D1272">
        <v>703244</v>
      </c>
      <c r="E1272" t="s">
        <v>164</v>
      </c>
      <c r="F1272" t="s">
        <v>21</v>
      </c>
      <c r="G1272" t="s">
        <v>71</v>
      </c>
      <c r="H1272" t="s">
        <v>88</v>
      </c>
      <c r="J1272" s="20">
        <v>0</v>
      </c>
    </row>
    <row r="1273" spans="2:10" x14ac:dyDescent="0.25">
      <c r="B1273" t="s">
        <v>6</v>
      </c>
      <c r="C1273" t="s">
        <v>305</v>
      </c>
      <c r="D1273">
        <v>703245</v>
      </c>
      <c r="E1273" t="s">
        <v>165</v>
      </c>
      <c r="F1273" t="s">
        <v>21</v>
      </c>
      <c r="G1273" t="s">
        <v>137</v>
      </c>
      <c r="H1273" t="s">
        <v>138</v>
      </c>
      <c r="J1273" s="20">
        <v>0</v>
      </c>
    </row>
    <row r="1274" spans="2:10" x14ac:dyDescent="0.25">
      <c r="B1274" t="s">
        <v>6</v>
      </c>
      <c r="C1274" t="s">
        <v>305</v>
      </c>
      <c r="D1274">
        <v>703246</v>
      </c>
      <c r="E1274" t="s">
        <v>166</v>
      </c>
      <c r="F1274" t="s">
        <v>21</v>
      </c>
      <c r="G1274" t="s">
        <v>137</v>
      </c>
      <c r="H1274" t="s">
        <v>138</v>
      </c>
      <c r="J1274" s="20">
        <v>0</v>
      </c>
    </row>
    <row r="1275" spans="2:10" x14ac:dyDescent="0.25">
      <c r="B1275" t="s">
        <v>6</v>
      </c>
      <c r="C1275" t="s">
        <v>305</v>
      </c>
      <c r="D1275">
        <v>703247</v>
      </c>
      <c r="E1275" t="s">
        <v>167</v>
      </c>
      <c r="F1275" t="s">
        <v>21</v>
      </c>
      <c r="G1275" t="s">
        <v>137</v>
      </c>
      <c r="H1275" t="s">
        <v>138</v>
      </c>
      <c r="J1275" s="20">
        <v>0</v>
      </c>
    </row>
    <row r="1276" spans="2:10" x14ac:dyDescent="0.25">
      <c r="B1276" t="s">
        <v>6</v>
      </c>
      <c r="C1276" t="s">
        <v>305</v>
      </c>
      <c r="D1276">
        <v>703248</v>
      </c>
      <c r="E1276" t="s">
        <v>168</v>
      </c>
      <c r="F1276" t="s">
        <v>21</v>
      </c>
      <c r="G1276" t="s">
        <v>137</v>
      </c>
      <c r="H1276" t="s">
        <v>141</v>
      </c>
      <c r="J1276" s="20">
        <v>0</v>
      </c>
    </row>
    <row r="1277" spans="2:10" x14ac:dyDescent="0.25">
      <c r="B1277" t="s">
        <v>6</v>
      </c>
      <c r="C1277" t="s">
        <v>305</v>
      </c>
      <c r="D1277">
        <v>703249</v>
      </c>
      <c r="E1277" t="s">
        <v>169</v>
      </c>
      <c r="F1277" t="s">
        <v>21</v>
      </c>
      <c r="G1277" t="s">
        <v>147</v>
      </c>
      <c r="H1277" t="s">
        <v>147</v>
      </c>
      <c r="J1277" s="20">
        <v>0</v>
      </c>
    </row>
    <row r="1278" spans="2:10" x14ac:dyDescent="0.25">
      <c r="B1278" t="s">
        <v>6</v>
      </c>
      <c r="C1278" t="s">
        <v>305</v>
      </c>
      <c r="D1278">
        <v>703250</v>
      </c>
      <c r="E1278" t="s">
        <v>170</v>
      </c>
      <c r="F1278" t="s">
        <v>21</v>
      </c>
      <c r="G1278" t="s">
        <v>71</v>
      </c>
      <c r="H1278" t="s">
        <v>171</v>
      </c>
      <c r="J1278" s="20">
        <v>0</v>
      </c>
    </row>
    <row r="1279" spans="2:10" x14ac:dyDescent="0.25">
      <c r="B1279" t="s">
        <v>6</v>
      </c>
      <c r="C1279" t="s">
        <v>305</v>
      </c>
      <c r="D1279">
        <v>703251</v>
      </c>
      <c r="E1279" t="s">
        <v>172</v>
      </c>
      <c r="F1279" t="s">
        <v>21</v>
      </c>
      <c r="G1279" t="s">
        <v>22</v>
      </c>
      <c r="H1279" t="s">
        <v>115</v>
      </c>
      <c r="J1279" s="20">
        <v>0</v>
      </c>
    </row>
    <row r="1280" spans="2:10" x14ac:dyDescent="0.25">
      <c r="B1280" t="s">
        <v>6</v>
      </c>
      <c r="C1280" t="s">
        <v>305</v>
      </c>
      <c r="D1280">
        <v>703252</v>
      </c>
      <c r="E1280" t="s">
        <v>173</v>
      </c>
      <c r="F1280" t="s">
        <v>21</v>
      </c>
      <c r="G1280" t="s">
        <v>22</v>
      </c>
      <c r="H1280" t="s">
        <v>115</v>
      </c>
      <c r="J1280" s="20">
        <v>0</v>
      </c>
    </row>
    <row r="1281" spans="2:10" x14ac:dyDescent="0.25">
      <c r="B1281" t="s">
        <v>6</v>
      </c>
      <c r="C1281" t="s">
        <v>305</v>
      </c>
      <c r="D1281">
        <v>703253</v>
      </c>
      <c r="E1281" t="s">
        <v>174</v>
      </c>
      <c r="F1281" t="s">
        <v>21</v>
      </c>
      <c r="G1281" t="s">
        <v>22</v>
      </c>
      <c r="H1281" t="s">
        <v>115</v>
      </c>
      <c r="J1281" s="20">
        <v>0</v>
      </c>
    </row>
    <row r="1282" spans="2:10" x14ac:dyDescent="0.25">
      <c r="B1282" t="s">
        <v>6</v>
      </c>
      <c r="C1282" t="s">
        <v>305</v>
      </c>
      <c r="D1282">
        <v>703254</v>
      </c>
      <c r="E1282" t="s">
        <v>175</v>
      </c>
      <c r="F1282" t="s">
        <v>21</v>
      </c>
      <c r="G1282" t="s">
        <v>22</v>
      </c>
      <c r="H1282" t="s">
        <v>115</v>
      </c>
      <c r="J1282" s="20">
        <v>0</v>
      </c>
    </row>
    <row r="1283" spans="2:10" x14ac:dyDescent="0.25">
      <c r="B1283" t="s">
        <v>6</v>
      </c>
      <c r="C1283" t="s">
        <v>305</v>
      </c>
      <c r="D1283">
        <v>703255</v>
      </c>
      <c r="E1283" t="s">
        <v>176</v>
      </c>
      <c r="F1283" t="s">
        <v>21</v>
      </c>
      <c r="G1283" t="s">
        <v>22</v>
      </c>
      <c r="H1283" t="s">
        <v>115</v>
      </c>
      <c r="J1283" s="20">
        <v>0</v>
      </c>
    </row>
    <row r="1284" spans="2:10" x14ac:dyDescent="0.25">
      <c r="B1284" t="s">
        <v>6</v>
      </c>
      <c r="C1284" t="s">
        <v>305</v>
      </c>
      <c r="D1284">
        <v>703257</v>
      </c>
      <c r="E1284" t="s">
        <v>177</v>
      </c>
      <c r="F1284" t="s">
        <v>21</v>
      </c>
      <c r="G1284" t="s">
        <v>147</v>
      </c>
      <c r="H1284" t="s">
        <v>147</v>
      </c>
      <c r="J1284" s="20">
        <v>0</v>
      </c>
    </row>
    <row r="1285" spans="2:10" x14ac:dyDescent="0.25">
      <c r="B1285" t="s">
        <v>6</v>
      </c>
      <c r="C1285" t="s">
        <v>305</v>
      </c>
      <c r="D1285">
        <v>703258</v>
      </c>
      <c r="E1285" t="s">
        <v>178</v>
      </c>
      <c r="F1285" t="s">
        <v>21</v>
      </c>
      <c r="G1285" t="s">
        <v>147</v>
      </c>
      <c r="H1285" t="s">
        <v>147</v>
      </c>
      <c r="J1285" s="20">
        <v>0</v>
      </c>
    </row>
    <row r="1286" spans="2:10" x14ac:dyDescent="0.25">
      <c r="B1286" t="s">
        <v>6</v>
      </c>
      <c r="C1286" t="s">
        <v>305</v>
      </c>
      <c r="D1286">
        <v>703260</v>
      </c>
      <c r="E1286" t="s">
        <v>179</v>
      </c>
      <c r="F1286" t="s">
        <v>21</v>
      </c>
      <c r="G1286" t="s">
        <v>76</v>
      </c>
      <c r="H1286" t="s">
        <v>77</v>
      </c>
      <c r="J1286" s="20">
        <v>0</v>
      </c>
    </row>
    <row r="1287" spans="2:10" x14ac:dyDescent="0.25">
      <c r="B1287" t="s">
        <v>6</v>
      </c>
      <c r="C1287" t="s">
        <v>305</v>
      </c>
      <c r="D1287">
        <v>703261</v>
      </c>
      <c r="E1287" t="s">
        <v>180</v>
      </c>
      <c r="F1287" t="s">
        <v>21</v>
      </c>
      <c r="G1287" t="s">
        <v>22</v>
      </c>
      <c r="H1287" t="s">
        <v>115</v>
      </c>
      <c r="J1287" s="20">
        <v>0</v>
      </c>
    </row>
    <row r="1288" spans="2:10" x14ac:dyDescent="0.25">
      <c r="B1288" t="s">
        <v>6</v>
      </c>
      <c r="C1288" t="s">
        <v>305</v>
      </c>
      <c r="D1288">
        <v>703262</v>
      </c>
      <c r="E1288" t="s">
        <v>181</v>
      </c>
      <c r="F1288" t="s">
        <v>21</v>
      </c>
      <c r="G1288" t="s">
        <v>22</v>
      </c>
      <c r="H1288" t="s">
        <v>23</v>
      </c>
      <c r="J1288" s="20">
        <v>0</v>
      </c>
    </row>
    <row r="1289" spans="2:10" x14ac:dyDescent="0.25">
      <c r="B1289" t="s">
        <v>6</v>
      </c>
      <c r="C1289" t="s">
        <v>305</v>
      </c>
      <c r="D1289">
        <v>703263</v>
      </c>
      <c r="E1289" t="s">
        <v>182</v>
      </c>
      <c r="F1289" t="s">
        <v>21</v>
      </c>
      <c r="G1289" t="s">
        <v>22</v>
      </c>
      <c r="H1289" t="s">
        <v>115</v>
      </c>
      <c r="J1289" s="20">
        <v>0</v>
      </c>
    </row>
    <row r="1290" spans="2:10" x14ac:dyDescent="0.25">
      <c r="B1290" t="s">
        <v>6</v>
      </c>
      <c r="C1290" t="s">
        <v>305</v>
      </c>
      <c r="D1290">
        <v>703264</v>
      </c>
      <c r="E1290" t="s">
        <v>183</v>
      </c>
      <c r="F1290" t="s">
        <v>21</v>
      </c>
      <c r="G1290" t="s">
        <v>22</v>
      </c>
      <c r="H1290" t="s">
        <v>115</v>
      </c>
      <c r="J1290" s="20">
        <v>0</v>
      </c>
    </row>
    <row r="1291" spans="2:10" x14ac:dyDescent="0.25">
      <c r="B1291" t="s">
        <v>6</v>
      </c>
      <c r="C1291" t="s">
        <v>305</v>
      </c>
      <c r="D1291">
        <v>703265</v>
      </c>
      <c r="E1291" t="s">
        <v>184</v>
      </c>
      <c r="F1291" t="s">
        <v>21</v>
      </c>
      <c r="G1291" t="s">
        <v>22</v>
      </c>
      <c r="H1291" t="s">
        <v>115</v>
      </c>
      <c r="J1291" s="20">
        <v>0</v>
      </c>
    </row>
    <row r="1292" spans="2:10" x14ac:dyDescent="0.25">
      <c r="B1292" t="s">
        <v>6</v>
      </c>
      <c r="C1292" t="s">
        <v>305</v>
      </c>
      <c r="D1292">
        <v>703266</v>
      </c>
      <c r="E1292" t="s">
        <v>185</v>
      </c>
      <c r="F1292" t="s">
        <v>21</v>
      </c>
      <c r="G1292" t="s">
        <v>71</v>
      </c>
      <c r="H1292" t="s">
        <v>186</v>
      </c>
      <c r="J1292" s="20">
        <v>0</v>
      </c>
    </row>
    <row r="1293" spans="2:10" x14ac:dyDescent="0.25">
      <c r="B1293" t="s">
        <v>6</v>
      </c>
      <c r="C1293" t="s">
        <v>305</v>
      </c>
      <c r="D1293">
        <v>703267</v>
      </c>
      <c r="E1293" t="s">
        <v>187</v>
      </c>
      <c r="F1293" t="s">
        <v>21</v>
      </c>
      <c r="G1293" t="s">
        <v>71</v>
      </c>
      <c r="H1293" t="s">
        <v>88</v>
      </c>
      <c r="J1293" s="20">
        <v>0</v>
      </c>
    </row>
    <row r="1294" spans="2:10" x14ac:dyDescent="0.25">
      <c r="B1294" t="s">
        <v>6</v>
      </c>
      <c r="C1294" t="s">
        <v>305</v>
      </c>
      <c r="D1294">
        <v>703268</v>
      </c>
      <c r="E1294" t="s">
        <v>188</v>
      </c>
      <c r="F1294" t="s">
        <v>21</v>
      </c>
      <c r="G1294" t="s">
        <v>147</v>
      </c>
      <c r="H1294" t="s">
        <v>147</v>
      </c>
      <c r="J1294" s="20">
        <v>0</v>
      </c>
    </row>
    <row r="1295" spans="2:10" x14ac:dyDescent="0.25">
      <c r="B1295" t="s">
        <v>6</v>
      </c>
      <c r="C1295" t="s">
        <v>305</v>
      </c>
      <c r="D1295">
        <v>703269</v>
      </c>
      <c r="E1295" t="s">
        <v>189</v>
      </c>
      <c r="F1295" t="s">
        <v>21</v>
      </c>
      <c r="G1295" t="s">
        <v>147</v>
      </c>
      <c r="H1295" t="s">
        <v>147</v>
      </c>
      <c r="J1295" s="20">
        <v>0</v>
      </c>
    </row>
    <row r="1296" spans="2:10" x14ac:dyDescent="0.25">
      <c r="B1296" t="s">
        <v>6</v>
      </c>
      <c r="C1296" t="s">
        <v>305</v>
      </c>
      <c r="D1296">
        <v>703270</v>
      </c>
      <c r="E1296" t="s">
        <v>190</v>
      </c>
      <c r="F1296" t="s">
        <v>21</v>
      </c>
      <c r="G1296" t="s">
        <v>137</v>
      </c>
      <c r="H1296" t="s">
        <v>141</v>
      </c>
      <c r="J1296" s="20">
        <v>0</v>
      </c>
    </row>
    <row r="1297" spans="2:10" x14ac:dyDescent="0.25">
      <c r="B1297" t="s">
        <v>6</v>
      </c>
      <c r="C1297" t="s">
        <v>305</v>
      </c>
      <c r="D1297">
        <v>703271</v>
      </c>
      <c r="E1297" t="s">
        <v>191</v>
      </c>
      <c r="F1297" t="s">
        <v>21</v>
      </c>
      <c r="G1297" t="s">
        <v>22</v>
      </c>
      <c r="H1297" t="s">
        <v>115</v>
      </c>
      <c r="J1297" s="20">
        <v>0</v>
      </c>
    </row>
    <row r="1298" spans="2:10" x14ac:dyDescent="0.25">
      <c r="B1298" t="s">
        <v>6</v>
      </c>
      <c r="C1298" t="s">
        <v>305</v>
      </c>
      <c r="D1298">
        <v>703272</v>
      </c>
      <c r="E1298" t="s">
        <v>192</v>
      </c>
      <c r="F1298" t="s">
        <v>21</v>
      </c>
      <c r="G1298" t="s">
        <v>22</v>
      </c>
      <c r="H1298" t="s">
        <v>23</v>
      </c>
      <c r="J1298" s="20">
        <v>0</v>
      </c>
    </row>
    <row r="1299" spans="2:10" x14ac:dyDescent="0.25">
      <c r="B1299" t="s">
        <v>6</v>
      </c>
      <c r="C1299" t="s">
        <v>305</v>
      </c>
      <c r="D1299">
        <v>703273</v>
      </c>
      <c r="E1299" t="s">
        <v>193</v>
      </c>
      <c r="F1299" t="s">
        <v>21</v>
      </c>
      <c r="G1299" t="s">
        <v>147</v>
      </c>
      <c r="H1299" t="s">
        <v>147</v>
      </c>
      <c r="J1299" s="20">
        <v>0</v>
      </c>
    </row>
    <row r="1300" spans="2:10" x14ac:dyDescent="0.25">
      <c r="B1300" t="s">
        <v>6</v>
      </c>
      <c r="C1300" t="s">
        <v>305</v>
      </c>
      <c r="D1300">
        <v>703274</v>
      </c>
      <c r="E1300" t="s">
        <v>194</v>
      </c>
      <c r="F1300" t="s">
        <v>21</v>
      </c>
      <c r="G1300" t="s">
        <v>147</v>
      </c>
      <c r="H1300" t="s">
        <v>147</v>
      </c>
      <c r="J1300" s="20">
        <v>0</v>
      </c>
    </row>
    <row r="1301" spans="2:10" x14ac:dyDescent="0.25">
      <c r="B1301" t="s">
        <v>6</v>
      </c>
      <c r="C1301" t="s">
        <v>305</v>
      </c>
      <c r="D1301">
        <v>703275</v>
      </c>
      <c r="E1301" t="s">
        <v>195</v>
      </c>
      <c r="F1301" t="s">
        <v>21</v>
      </c>
      <c r="G1301" t="s">
        <v>137</v>
      </c>
      <c r="H1301" t="s">
        <v>138</v>
      </c>
      <c r="J1301" s="20">
        <v>0</v>
      </c>
    </row>
    <row r="1302" spans="2:10" x14ac:dyDescent="0.25">
      <c r="B1302" t="s">
        <v>6</v>
      </c>
      <c r="C1302" t="s">
        <v>305</v>
      </c>
      <c r="D1302">
        <v>703280</v>
      </c>
      <c r="E1302" t="s">
        <v>196</v>
      </c>
      <c r="F1302" t="s">
        <v>21</v>
      </c>
      <c r="G1302" t="s">
        <v>71</v>
      </c>
      <c r="H1302" t="s">
        <v>171</v>
      </c>
      <c r="J1302" s="20">
        <v>0</v>
      </c>
    </row>
    <row r="1303" spans="2:10" x14ac:dyDescent="0.25">
      <c r="B1303" t="s">
        <v>6</v>
      </c>
      <c r="C1303" t="s">
        <v>305</v>
      </c>
      <c r="D1303">
        <v>703281</v>
      </c>
      <c r="E1303" t="s">
        <v>197</v>
      </c>
      <c r="F1303" t="s">
        <v>21</v>
      </c>
      <c r="G1303" t="s">
        <v>76</v>
      </c>
      <c r="H1303" t="s">
        <v>77</v>
      </c>
      <c r="J1303" s="20">
        <v>0</v>
      </c>
    </row>
    <row r="1304" spans="2:10" x14ac:dyDescent="0.25">
      <c r="B1304" t="s">
        <v>6</v>
      </c>
      <c r="C1304" t="s">
        <v>305</v>
      </c>
      <c r="D1304">
        <v>703282</v>
      </c>
      <c r="E1304" t="s">
        <v>198</v>
      </c>
      <c r="F1304" t="s">
        <v>21</v>
      </c>
      <c r="G1304" t="s">
        <v>76</v>
      </c>
      <c r="H1304" t="s">
        <v>77</v>
      </c>
      <c r="J1304" s="20">
        <v>0</v>
      </c>
    </row>
    <row r="1305" spans="2:10" x14ac:dyDescent="0.25">
      <c r="B1305" t="s">
        <v>6</v>
      </c>
      <c r="C1305" t="s">
        <v>305</v>
      </c>
      <c r="D1305">
        <v>703283</v>
      </c>
      <c r="E1305" t="s">
        <v>199</v>
      </c>
      <c r="F1305" t="s">
        <v>21</v>
      </c>
      <c r="G1305" t="s">
        <v>61</v>
      </c>
      <c r="H1305" t="s">
        <v>68</v>
      </c>
      <c r="J1305" s="20">
        <v>0</v>
      </c>
    </row>
    <row r="1306" spans="2:10" x14ac:dyDescent="0.25">
      <c r="B1306" t="s">
        <v>6</v>
      </c>
      <c r="C1306" t="s">
        <v>305</v>
      </c>
      <c r="D1306">
        <v>703310</v>
      </c>
      <c r="E1306" t="s">
        <v>200</v>
      </c>
      <c r="F1306" t="s">
        <v>21</v>
      </c>
      <c r="G1306" t="s">
        <v>22</v>
      </c>
      <c r="H1306" t="s">
        <v>23</v>
      </c>
      <c r="J1306" s="20">
        <v>0</v>
      </c>
    </row>
    <row r="1307" spans="2:10" x14ac:dyDescent="0.25">
      <c r="B1307" t="s">
        <v>6</v>
      </c>
      <c r="C1307" t="s">
        <v>305</v>
      </c>
      <c r="D1307">
        <v>703311</v>
      </c>
      <c r="E1307" t="s">
        <v>201</v>
      </c>
      <c r="F1307" t="s">
        <v>21</v>
      </c>
      <c r="G1307" t="s">
        <v>71</v>
      </c>
      <c r="H1307" t="s">
        <v>171</v>
      </c>
      <c r="J1307" s="20">
        <v>0</v>
      </c>
    </row>
    <row r="1308" spans="2:10" x14ac:dyDescent="0.25">
      <c r="B1308" t="s">
        <v>6</v>
      </c>
      <c r="C1308" t="s">
        <v>305</v>
      </c>
      <c r="D1308">
        <v>703312</v>
      </c>
      <c r="E1308" t="s">
        <v>202</v>
      </c>
      <c r="F1308" t="s">
        <v>21</v>
      </c>
      <c r="G1308" t="s">
        <v>76</v>
      </c>
      <c r="H1308" t="s">
        <v>77</v>
      </c>
      <c r="J1308" s="20">
        <v>0</v>
      </c>
    </row>
    <row r="1309" spans="2:10" x14ac:dyDescent="0.25">
      <c r="B1309" t="s">
        <v>6</v>
      </c>
      <c r="C1309" t="s">
        <v>305</v>
      </c>
      <c r="D1309">
        <v>703313</v>
      </c>
      <c r="E1309" t="s">
        <v>203</v>
      </c>
      <c r="F1309" t="s">
        <v>21</v>
      </c>
      <c r="G1309" t="s">
        <v>76</v>
      </c>
      <c r="H1309" t="s">
        <v>77</v>
      </c>
      <c r="J1309" s="20">
        <v>0</v>
      </c>
    </row>
    <row r="1310" spans="2:10" x14ac:dyDescent="0.25">
      <c r="B1310" t="s">
        <v>6</v>
      </c>
      <c r="C1310" t="s">
        <v>305</v>
      </c>
      <c r="D1310">
        <v>703314</v>
      </c>
      <c r="E1310" t="s">
        <v>204</v>
      </c>
      <c r="F1310" t="s">
        <v>21</v>
      </c>
      <c r="G1310" t="s">
        <v>76</v>
      </c>
      <c r="H1310" t="s">
        <v>77</v>
      </c>
      <c r="J1310" s="20">
        <v>0</v>
      </c>
    </row>
    <row r="1311" spans="2:10" x14ac:dyDescent="0.25">
      <c r="B1311" t="s">
        <v>6</v>
      </c>
      <c r="C1311" t="s">
        <v>305</v>
      </c>
      <c r="D1311">
        <v>703315</v>
      </c>
      <c r="E1311" t="s">
        <v>205</v>
      </c>
      <c r="F1311" t="s">
        <v>21</v>
      </c>
      <c r="G1311" t="s">
        <v>76</v>
      </c>
      <c r="H1311" t="s">
        <v>135</v>
      </c>
      <c r="J1311" s="20">
        <v>0</v>
      </c>
    </row>
    <row r="1312" spans="2:10" x14ac:dyDescent="0.25">
      <c r="B1312" t="s">
        <v>6</v>
      </c>
      <c r="C1312" t="s">
        <v>305</v>
      </c>
      <c r="D1312">
        <v>703316</v>
      </c>
      <c r="E1312" t="s">
        <v>206</v>
      </c>
      <c r="F1312" t="s">
        <v>21</v>
      </c>
      <c r="G1312" t="s">
        <v>76</v>
      </c>
      <c r="H1312" t="s">
        <v>77</v>
      </c>
      <c r="J1312" s="20">
        <v>0</v>
      </c>
    </row>
    <row r="1313" spans="2:10" x14ac:dyDescent="0.25">
      <c r="B1313" t="s">
        <v>6</v>
      </c>
      <c r="C1313" t="s">
        <v>305</v>
      </c>
      <c r="D1313">
        <v>703317</v>
      </c>
      <c r="E1313" t="s">
        <v>207</v>
      </c>
      <c r="F1313" t="s">
        <v>21</v>
      </c>
      <c r="G1313" t="s">
        <v>76</v>
      </c>
      <c r="H1313" t="s">
        <v>77</v>
      </c>
      <c r="J1313" s="20">
        <v>0</v>
      </c>
    </row>
    <row r="1314" spans="2:10" x14ac:dyDescent="0.25">
      <c r="B1314" t="s">
        <v>6</v>
      </c>
      <c r="C1314" t="s">
        <v>305</v>
      </c>
      <c r="D1314">
        <v>703318</v>
      </c>
      <c r="E1314" t="s">
        <v>208</v>
      </c>
      <c r="F1314" t="s">
        <v>21</v>
      </c>
      <c r="G1314" t="s">
        <v>71</v>
      </c>
      <c r="H1314" t="s">
        <v>209</v>
      </c>
      <c r="J1314" s="20">
        <v>0</v>
      </c>
    </row>
    <row r="1315" spans="2:10" x14ac:dyDescent="0.25">
      <c r="B1315" t="s">
        <v>6</v>
      </c>
      <c r="C1315" t="s">
        <v>305</v>
      </c>
      <c r="D1315">
        <v>703319</v>
      </c>
      <c r="E1315" t="s">
        <v>210</v>
      </c>
      <c r="F1315" t="s">
        <v>21</v>
      </c>
      <c r="G1315" t="s">
        <v>61</v>
      </c>
      <c r="H1315" t="s">
        <v>79</v>
      </c>
      <c r="J1315" s="20">
        <v>0</v>
      </c>
    </row>
    <row r="1316" spans="2:10" x14ac:dyDescent="0.25">
      <c r="B1316" t="s">
        <v>6</v>
      </c>
      <c r="C1316" t="s">
        <v>305</v>
      </c>
      <c r="D1316">
        <v>703320</v>
      </c>
      <c r="E1316" t="s">
        <v>211</v>
      </c>
      <c r="F1316" t="s">
        <v>21</v>
      </c>
      <c r="G1316" t="s">
        <v>71</v>
      </c>
      <c r="H1316" t="s">
        <v>135</v>
      </c>
      <c r="J1316" s="20">
        <v>0</v>
      </c>
    </row>
    <row r="1317" spans="2:10" x14ac:dyDescent="0.25">
      <c r="B1317" t="s">
        <v>6</v>
      </c>
      <c r="C1317" t="s">
        <v>305</v>
      </c>
      <c r="D1317">
        <v>703321</v>
      </c>
      <c r="E1317" t="s">
        <v>212</v>
      </c>
      <c r="F1317" t="s">
        <v>21</v>
      </c>
      <c r="G1317" t="s">
        <v>22</v>
      </c>
      <c r="H1317" t="s">
        <v>23</v>
      </c>
      <c r="J1317" s="20">
        <v>0</v>
      </c>
    </row>
    <row r="1318" spans="2:10" x14ac:dyDescent="0.25">
      <c r="B1318" t="s">
        <v>6</v>
      </c>
      <c r="C1318" t="s">
        <v>305</v>
      </c>
      <c r="D1318">
        <v>703322</v>
      </c>
      <c r="E1318" t="s">
        <v>213</v>
      </c>
      <c r="F1318" t="s">
        <v>21</v>
      </c>
      <c r="G1318" t="s">
        <v>22</v>
      </c>
      <c r="H1318" t="s">
        <v>23</v>
      </c>
      <c r="J1318" s="20">
        <v>0</v>
      </c>
    </row>
    <row r="1319" spans="2:10" x14ac:dyDescent="0.25">
      <c r="B1319" t="s">
        <v>6</v>
      </c>
      <c r="C1319" t="s">
        <v>305</v>
      </c>
      <c r="D1319">
        <v>703323</v>
      </c>
      <c r="E1319" t="s">
        <v>214</v>
      </c>
      <c r="F1319" t="s">
        <v>21</v>
      </c>
      <c r="G1319" t="s">
        <v>22</v>
      </c>
      <c r="H1319" t="s">
        <v>23</v>
      </c>
      <c r="J1319" s="20">
        <v>0</v>
      </c>
    </row>
    <row r="1320" spans="2:10" x14ac:dyDescent="0.25">
      <c r="B1320" t="s">
        <v>6</v>
      </c>
      <c r="C1320" t="s">
        <v>305</v>
      </c>
      <c r="D1320">
        <v>703324</v>
      </c>
      <c r="E1320" t="s">
        <v>215</v>
      </c>
      <c r="F1320" t="s">
        <v>21</v>
      </c>
      <c r="G1320" t="s">
        <v>22</v>
      </c>
      <c r="H1320" t="s">
        <v>23</v>
      </c>
      <c r="J1320" s="20">
        <v>0</v>
      </c>
    </row>
    <row r="1321" spans="2:10" x14ac:dyDescent="0.25">
      <c r="B1321" t="s">
        <v>6</v>
      </c>
      <c r="C1321" t="s">
        <v>305</v>
      </c>
      <c r="D1321">
        <v>703325</v>
      </c>
      <c r="E1321" t="s">
        <v>216</v>
      </c>
      <c r="F1321" t="s">
        <v>21</v>
      </c>
      <c r="G1321" t="s">
        <v>22</v>
      </c>
      <c r="H1321" t="s">
        <v>23</v>
      </c>
      <c r="J1321" s="20">
        <v>0</v>
      </c>
    </row>
    <row r="1322" spans="2:10" x14ac:dyDescent="0.25">
      <c r="B1322" t="s">
        <v>6</v>
      </c>
      <c r="C1322" t="s">
        <v>305</v>
      </c>
      <c r="D1322">
        <v>703326</v>
      </c>
      <c r="E1322" t="s">
        <v>217</v>
      </c>
      <c r="F1322" t="s">
        <v>21</v>
      </c>
      <c r="G1322" t="s">
        <v>22</v>
      </c>
      <c r="H1322" t="s">
        <v>23</v>
      </c>
      <c r="J1322" s="20">
        <v>0</v>
      </c>
    </row>
    <row r="1323" spans="2:10" x14ac:dyDescent="0.25">
      <c r="B1323" t="s">
        <v>6</v>
      </c>
      <c r="C1323" t="s">
        <v>305</v>
      </c>
      <c r="D1323">
        <v>703327</v>
      </c>
      <c r="E1323" t="s">
        <v>218</v>
      </c>
      <c r="F1323" t="s">
        <v>21</v>
      </c>
      <c r="G1323" t="s">
        <v>76</v>
      </c>
      <c r="H1323" t="s">
        <v>77</v>
      </c>
      <c r="J1323" s="20">
        <v>0</v>
      </c>
    </row>
    <row r="1324" spans="2:10" x14ac:dyDescent="0.25">
      <c r="B1324" t="s">
        <v>6</v>
      </c>
      <c r="C1324" t="s">
        <v>305</v>
      </c>
      <c r="D1324">
        <v>703328</v>
      </c>
      <c r="E1324" t="s">
        <v>219</v>
      </c>
      <c r="F1324" t="s">
        <v>21</v>
      </c>
      <c r="G1324" t="s">
        <v>22</v>
      </c>
      <c r="H1324" t="s">
        <v>23</v>
      </c>
      <c r="J1324" s="20">
        <v>0</v>
      </c>
    </row>
    <row r="1325" spans="2:10" x14ac:dyDescent="0.25">
      <c r="B1325" t="s">
        <v>6</v>
      </c>
      <c r="C1325" t="s">
        <v>305</v>
      </c>
      <c r="D1325">
        <v>703329</v>
      </c>
      <c r="E1325" t="s">
        <v>220</v>
      </c>
      <c r="F1325" t="s">
        <v>21</v>
      </c>
      <c r="G1325" t="s">
        <v>22</v>
      </c>
      <c r="H1325" t="s">
        <v>23</v>
      </c>
      <c r="J1325" s="20">
        <v>0</v>
      </c>
    </row>
    <row r="1326" spans="2:10" x14ac:dyDescent="0.25">
      <c r="B1326" t="s">
        <v>6</v>
      </c>
      <c r="C1326" t="s">
        <v>305</v>
      </c>
      <c r="D1326">
        <v>703330</v>
      </c>
      <c r="E1326" t="s">
        <v>221</v>
      </c>
      <c r="F1326" t="s">
        <v>21</v>
      </c>
      <c r="G1326" t="s">
        <v>22</v>
      </c>
      <c r="H1326" t="s">
        <v>23</v>
      </c>
      <c r="J1326" s="20">
        <v>0</v>
      </c>
    </row>
    <row r="1327" spans="2:10" x14ac:dyDescent="0.25">
      <c r="B1327" t="s">
        <v>6</v>
      </c>
      <c r="C1327" t="s">
        <v>305</v>
      </c>
      <c r="D1327">
        <v>703340</v>
      </c>
      <c r="E1327" t="s">
        <v>222</v>
      </c>
      <c r="F1327" t="s">
        <v>21</v>
      </c>
      <c r="G1327" t="s">
        <v>61</v>
      </c>
      <c r="H1327" t="s">
        <v>68</v>
      </c>
      <c r="J1327" s="20">
        <v>0</v>
      </c>
    </row>
    <row r="1328" spans="2:10" x14ac:dyDescent="0.25">
      <c r="B1328" t="s">
        <v>6</v>
      </c>
      <c r="C1328" t="s">
        <v>305</v>
      </c>
      <c r="D1328">
        <v>703350</v>
      </c>
      <c r="E1328" t="s">
        <v>223</v>
      </c>
      <c r="F1328" t="s">
        <v>21</v>
      </c>
      <c r="G1328" t="s">
        <v>22</v>
      </c>
      <c r="H1328" t="s">
        <v>23</v>
      </c>
      <c r="J1328" s="20">
        <v>0</v>
      </c>
    </row>
    <row r="1329" spans="2:10" x14ac:dyDescent="0.25">
      <c r="B1329" t="s">
        <v>6</v>
      </c>
      <c r="C1329" t="s">
        <v>305</v>
      </c>
      <c r="D1329">
        <v>703351</v>
      </c>
      <c r="E1329" t="s">
        <v>224</v>
      </c>
      <c r="F1329" t="s">
        <v>21</v>
      </c>
      <c r="G1329" t="s">
        <v>22</v>
      </c>
      <c r="H1329" t="s">
        <v>23</v>
      </c>
      <c r="J1329" s="20">
        <v>0</v>
      </c>
    </row>
    <row r="1330" spans="2:10" x14ac:dyDescent="0.25">
      <c r="B1330" t="s">
        <v>6</v>
      </c>
      <c r="C1330" t="s">
        <v>305</v>
      </c>
      <c r="D1330">
        <v>703352</v>
      </c>
      <c r="E1330" t="s">
        <v>225</v>
      </c>
      <c r="F1330" t="s">
        <v>21</v>
      </c>
      <c r="G1330" t="s">
        <v>22</v>
      </c>
      <c r="H1330" t="s">
        <v>23</v>
      </c>
      <c r="J1330" s="20">
        <v>0</v>
      </c>
    </row>
    <row r="1331" spans="2:10" x14ac:dyDescent="0.25">
      <c r="B1331" t="s">
        <v>6</v>
      </c>
      <c r="C1331" t="s">
        <v>305</v>
      </c>
      <c r="D1331">
        <v>703360</v>
      </c>
      <c r="E1331" t="s">
        <v>226</v>
      </c>
      <c r="F1331" t="s">
        <v>21</v>
      </c>
      <c r="G1331" t="s">
        <v>22</v>
      </c>
      <c r="H1331" t="s">
        <v>23</v>
      </c>
      <c r="J1331" s="20">
        <v>0</v>
      </c>
    </row>
    <row r="1332" spans="2:10" x14ac:dyDescent="0.25">
      <c r="B1332" t="s">
        <v>6</v>
      </c>
      <c r="C1332" t="s">
        <v>305</v>
      </c>
      <c r="D1332">
        <v>703370</v>
      </c>
      <c r="E1332" t="s">
        <v>227</v>
      </c>
      <c r="F1332" t="s">
        <v>21</v>
      </c>
      <c r="G1332" t="s">
        <v>22</v>
      </c>
      <c r="H1332" t="s">
        <v>23</v>
      </c>
      <c r="J1332" s="20">
        <v>0</v>
      </c>
    </row>
    <row r="1333" spans="2:10" x14ac:dyDescent="0.25">
      <c r="B1333" t="s">
        <v>6</v>
      </c>
      <c r="C1333" t="s">
        <v>305</v>
      </c>
      <c r="D1333">
        <v>703410</v>
      </c>
      <c r="E1333" t="s">
        <v>228</v>
      </c>
      <c r="F1333" t="s">
        <v>21</v>
      </c>
      <c r="G1333" t="s">
        <v>22</v>
      </c>
      <c r="H1333" t="s">
        <v>23</v>
      </c>
      <c r="J1333" s="20">
        <v>0</v>
      </c>
    </row>
    <row r="1334" spans="2:10" x14ac:dyDescent="0.25">
      <c r="B1334" t="s">
        <v>6</v>
      </c>
      <c r="C1334" t="s">
        <v>305</v>
      </c>
      <c r="D1334">
        <v>703411</v>
      </c>
      <c r="E1334" t="s">
        <v>229</v>
      </c>
      <c r="F1334" t="s">
        <v>21</v>
      </c>
      <c r="G1334" t="s">
        <v>22</v>
      </c>
      <c r="H1334" t="s">
        <v>23</v>
      </c>
      <c r="J1334" s="20">
        <v>0</v>
      </c>
    </row>
    <row r="1335" spans="2:10" x14ac:dyDescent="0.25">
      <c r="B1335" t="s">
        <v>6</v>
      </c>
      <c r="C1335" t="s">
        <v>305</v>
      </c>
      <c r="D1335">
        <v>703412</v>
      </c>
      <c r="E1335" t="s">
        <v>230</v>
      </c>
      <c r="F1335" t="s">
        <v>21</v>
      </c>
      <c r="G1335" t="s">
        <v>22</v>
      </c>
      <c r="H1335" t="s">
        <v>23</v>
      </c>
      <c r="J1335" s="20">
        <v>0</v>
      </c>
    </row>
    <row r="1336" spans="2:10" x14ac:dyDescent="0.25">
      <c r="B1336" t="s">
        <v>6</v>
      </c>
      <c r="C1336" t="s">
        <v>305</v>
      </c>
      <c r="D1336">
        <v>703420</v>
      </c>
      <c r="E1336" t="s">
        <v>231</v>
      </c>
      <c r="F1336" t="s">
        <v>21</v>
      </c>
      <c r="G1336" t="s">
        <v>71</v>
      </c>
      <c r="H1336" t="s">
        <v>171</v>
      </c>
      <c r="J1336" s="20">
        <v>0</v>
      </c>
    </row>
    <row r="1337" spans="2:10" x14ac:dyDescent="0.25">
      <c r="B1337" t="s">
        <v>6</v>
      </c>
      <c r="C1337" t="s">
        <v>305</v>
      </c>
      <c r="D1337">
        <v>703421</v>
      </c>
      <c r="E1337" t="s">
        <v>232</v>
      </c>
      <c r="F1337" t="s">
        <v>21</v>
      </c>
      <c r="G1337" t="s">
        <v>22</v>
      </c>
      <c r="H1337" t="s">
        <v>23</v>
      </c>
      <c r="J1337" s="20">
        <v>0</v>
      </c>
    </row>
    <row r="1338" spans="2:10" x14ac:dyDescent="0.25">
      <c r="B1338" t="s">
        <v>6</v>
      </c>
      <c r="C1338" t="s">
        <v>305</v>
      </c>
      <c r="D1338">
        <v>703422</v>
      </c>
      <c r="E1338" t="s">
        <v>233</v>
      </c>
      <c r="F1338" t="s">
        <v>21</v>
      </c>
      <c r="G1338" t="s">
        <v>76</v>
      </c>
      <c r="H1338" t="s">
        <v>77</v>
      </c>
      <c r="J1338" s="20">
        <v>0</v>
      </c>
    </row>
    <row r="1339" spans="2:10" x14ac:dyDescent="0.25">
      <c r="B1339" t="s">
        <v>6</v>
      </c>
      <c r="C1339" t="s">
        <v>305</v>
      </c>
      <c r="D1339">
        <v>703423</v>
      </c>
      <c r="E1339" t="s">
        <v>234</v>
      </c>
      <c r="F1339" t="s">
        <v>21</v>
      </c>
      <c r="G1339" t="s">
        <v>71</v>
      </c>
      <c r="H1339" t="s">
        <v>88</v>
      </c>
      <c r="J1339" s="20">
        <v>0</v>
      </c>
    </row>
    <row r="1340" spans="2:10" x14ac:dyDescent="0.25">
      <c r="B1340" t="s">
        <v>6</v>
      </c>
      <c r="C1340" t="s">
        <v>305</v>
      </c>
      <c r="D1340">
        <v>703424</v>
      </c>
      <c r="E1340" t="s">
        <v>235</v>
      </c>
      <c r="F1340" t="s">
        <v>21</v>
      </c>
      <c r="G1340" t="s">
        <v>71</v>
      </c>
      <c r="H1340" t="s">
        <v>88</v>
      </c>
      <c r="J1340" s="20">
        <v>0</v>
      </c>
    </row>
    <row r="1341" spans="2:10" x14ac:dyDescent="0.25">
      <c r="B1341" t="s">
        <v>6</v>
      </c>
      <c r="C1341" t="s">
        <v>305</v>
      </c>
      <c r="D1341">
        <v>703425</v>
      </c>
      <c r="E1341" t="s">
        <v>236</v>
      </c>
      <c r="F1341" t="s">
        <v>21</v>
      </c>
      <c r="G1341" t="s">
        <v>76</v>
      </c>
      <c r="H1341" t="s">
        <v>77</v>
      </c>
      <c r="J1341" s="20">
        <v>0</v>
      </c>
    </row>
    <row r="1342" spans="2:10" x14ac:dyDescent="0.25">
      <c r="B1342" t="s">
        <v>6</v>
      </c>
      <c r="C1342" t="s">
        <v>305</v>
      </c>
      <c r="D1342">
        <v>703426</v>
      </c>
      <c r="E1342" t="s">
        <v>237</v>
      </c>
      <c r="F1342" t="s">
        <v>21</v>
      </c>
      <c r="G1342" t="s">
        <v>22</v>
      </c>
      <c r="H1342" t="s">
        <v>23</v>
      </c>
      <c r="J1342" s="20">
        <v>0</v>
      </c>
    </row>
    <row r="1343" spans="2:10" x14ac:dyDescent="0.25">
      <c r="B1343" t="s">
        <v>6</v>
      </c>
      <c r="C1343" t="s">
        <v>305</v>
      </c>
      <c r="D1343">
        <v>703427</v>
      </c>
      <c r="E1343" t="s">
        <v>238</v>
      </c>
      <c r="F1343" t="s">
        <v>21</v>
      </c>
      <c r="G1343" t="s">
        <v>76</v>
      </c>
      <c r="H1343" t="s">
        <v>77</v>
      </c>
      <c r="J1343" s="20">
        <v>0</v>
      </c>
    </row>
    <row r="1344" spans="2:10" x14ac:dyDescent="0.25">
      <c r="B1344" t="s">
        <v>6</v>
      </c>
      <c r="C1344" t="s">
        <v>305</v>
      </c>
      <c r="D1344">
        <v>703428</v>
      </c>
      <c r="E1344" t="s">
        <v>239</v>
      </c>
      <c r="F1344" t="s">
        <v>21</v>
      </c>
      <c r="G1344" t="s">
        <v>76</v>
      </c>
      <c r="H1344" t="s">
        <v>77</v>
      </c>
      <c r="J1344" s="20">
        <v>0</v>
      </c>
    </row>
    <row r="1345" spans="2:10" x14ac:dyDescent="0.25">
      <c r="B1345" t="s">
        <v>6</v>
      </c>
      <c r="C1345" t="s">
        <v>305</v>
      </c>
      <c r="D1345">
        <v>703429</v>
      </c>
      <c r="E1345" t="s">
        <v>240</v>
      </c>
      <c r="F1345" t="s">
        <v>21</v>
      </c>
      <c r="G1345" t="s">
        <v>76</v>
      </c>
      <c r="H1345" t="s">
        <v>77</v>
      </c>
      <c r="J1345" s="20">
        <v>0</v>
      </c>
    </row>
    <row r="1346" spans="2:10" x14ac:dyDescent="0.25">
      <c r="B1346" t="s">
        <v>6</v>
      </c>
      <c r="C1346" t="s">
        <v>305</v>
      </c>
      <c r="D1346">
        <v>703430</v>
      </c>
      <c r="E1346" t="s">
        <v>20</v>
      </c>
      <c r="F1346" t="s">
        <v>21</v>
      </c>
      <c r="G1346" t="s">
        <v>22</v>
      </c>
      <c r="H1346" t="s">
        <v>23</v>
      </c>
      <c r="J1346" s="20">
        <v>0</v>
      </c>
    </row>
    <row r="1347" spans="2:10" x14ac:dyDescent="0.25">
      <c r="B1347" t="s">
        <v>6</v>
      </c>
      <c r="C1347" t="s">
        <v>305</v>
      </c>
      <c r="D1347">
        <v>703431</v>
      </c>
      <c r="E1347" t="s">
        <v>241</v>
      </c>
      <c r="F1347" t="s">
        <v>21</v>
      </c>
      <c r="G1347" t="s">
        <v>22</v>
      </c>
      <c r="H1347" t="s">
        <v>23</v>
      </c>
      <c r="J1347" s="20">
        <v>0</v>
      </c>
    </row>
    <row r="1348" spans="2:10" x14ac:dyDescent="0.25">
      <c r="B1348" t="s">
        <v>6</v>
      </c>
      <c r="C1348" t="s">
        <v>305</v>
      </c>
      <c r="D1348">
        <v>703432</v>
      </c>
      <c r="E1348" t="s">
        <v>242</v>
      </c>
      <c r="F1348" t="s">
        <v>21</v>
      </c>
      <c r="G1348" t="s">
        <v>22</v>
      </c>
      <c r="H1348" t="s">
        <v>23</v>
      </c>
      <c r="J1348" s="20">
        <v>0</v>
      </c>
    </row>
    <row r="1349" spans="2:10" x14ac:dyDescent="0.25">
      <c r="B1349" t="s">
        <v>6</v>
      </c>
      <c r="C1349" t="s">
        <v>305</v>
      </c>
      <c r="D1349">
        <v>703433</v>
      </c>
      <c r="E1349" t="s">
        <v>243</v>
      </c>
      <c r="F1349" t="s">
        <v>21</v>
      </c>
      <c r="G1349" t="s">
        <v>71</v>
      </c>
      <c r="H1349" t="s">
        <v>88</v>
      </c>
      <c r="J1349" s="20">
        <v>0</v>
      </c>
    </row>
    <row r="1350" spans="2:10" x14ac:dyDescent="0.25">
      <c r="B1350" t="s">
        <v>6</v>
      </c>
      <c r="C1350" t="s">
        <v>305</v>
      </c>
      <c r="D1350">
        <v>703434</v>
      </c>
      <c r="E1350" t="s">
        <v>244</v>
      </c>
      <c r="F1350" t="s">
        <v>21</v>
      </c>
      <c r="G1350" t="s">
        <v>22</v>
      </c>
      <c r="H1350" t="s">
        <v>23</v>
      </c>
      <c r="J1350" s="20">
        <v>0</v>
      </c>
    </row>
    <row r="1351" spans="2:10" x14ac:dyDescent="0.25">
      <c r="B1351" t="s">
        <v>6</v>
      </c>
      <c r="C1351" t="s">
        <v>305</v>
      </c>
      <c r="D1351">
        <v>703435</v>
      </c>
      <c r="E1351" t="s">
        <v>245</v>
      </c>
      <c r="F1351" t="s">
        <v>21</v>
      </c>
      <c r="G1351" t="s">
        <v>71</v>
      </c>
      <c r="H1351" t="s">
        <v>88</v>
      </c>
      <c r="J1351" s="20">
        <v>0</v>
      </c>
    </row>
    <row r="1352" spans="2:10" x14ac:dyDescent="0.25">
      <c r="B1352" t="s">
        <v>6</v>
      </c>
      <c r="C1352" t="s">
        <v>305</v>
      </c>
      <c r="D1352">
        <v>703436</v>
      </c>
      <c r="E1352" t="s">
        <v>246</v>
      </c>
      <c r="F1352" t="s">
        <v>21</v>
      </c>
      <c r="G1352" t="s">
        <v>71</v>
      </c>
      <c r="H1352" t="s">
        <v>88</v>
      </c>
      <c r="J1352" s="20">
        <v>0</v>
      </c>
    </row>
    <row r="1353" spans="2:10" x14ac:dyDescent="0.25">
      <c r="B1353" t="s">
        <v>6</v>
      </c>
      <c r="C1353" t="s">
        <v>305</v>
      </c>
      <c r="D1353">
        <v>703437</v>
      </c>
      <c r="E1353" t="s">
        <v>247</v>
      </c>
      <c r="F1353" t="s">
        <v>21</v>
      </c>
      <c r="G1353" t="s">
        <v>71</v>
      </c>
      <c r="H1353" t="s">
        <v>88</v>
      </c>
      <c r="J1353" s="20">
        <v>0</v>
      </c>
    </row>
    <row r="1354" spans="2:10" x14ac:dyDescent="0.25">
      <c r="B1354" t="s">
        <v>6</v>
      </c>
      <c r="C1354" t="s">
        <v>305</v>
      </c>
      <c r="D1354">
        <v>703438</v>
      </c>
      <c r="E1354" t="s">
        <v>248</v>
      </c>
      <c r="F1354" t="s">
        <v>21</v>
      </c>
      <c r="G1354" t="s">
        <v>71</v>
      </c>
      <c r="H1354" t="s">
        <v>88</v>
      </c>
      <c r="J1354" s="20">
        <v>0</v>
      </c>
    </row>
    <row r="1355" spans="2:10" x14ac:dyDescent="0.25">
      <c r="B1355" t="s">
        <v>6</v>
      </c>
      <c r="C1355" t="s">
        <v>305</v>
      </c>
      <c r="D1355">
        <v>703439</v>
      </c>
      <c r="E1355" t="s">
        <v>249</v>
      </c>
      <c r="F1355" t="s">
        <v>21</v>
      </c>
      <c r="G1355" t="s">
        <v>22</v>
      </c>
      <c r="H1355" t="s">
        <v>23</v>
      </c>
      <c r="J1355" s="20">
        <v>0</v>
      </c>
    </row>
    <row r="1356" spans="2:10" x14ac:dyDescent="0.25">
      <c r="B1356" t="s">
        <v>6</v>
      </c>
      <c r="C1356" t="s">
        <v>305</v>
      </c>
      <c r="D1356">
        <v>703440</v>
      </c>
      <c r="E1356" t="s">
        <v>250</v>
      </c>
      <c r="F1356" t="s">
        <v>21</v>
      </c>
      <c r="G1356" t="s">
        <v>61</v>
      </c>
      <c r="H1356" t="s">
        <v>68</v>
      </c>
      <c r="J1356" s="20">
        <v>0</v>
      </c>
    </row>
    <row r="1357" spans="2:10" x14ac:dyDescent="0.25">
      <c r="B1357" t="s">
        <v>6</v>
      </c>
      <c r="C1357" t="s">
        <v>305</v>
      </c>
      <c r="D1357">
        <v>703441</v>
      </c>
      <c r="E1357" t="s">
        <v>251</v>
      </c>
      <c r="F1357" t="s">
        <v>21</v>
      </c>
      <c r="G1357" t="s">
        <v>61</v>
      </c>
      <c r="H1357" t="s">
        <v>79</v>
      </c>
      <c r="J1357" s="20">
        <v>0</v>
      </c>
    </row>
    <row r="1358" spans="2:10" x14ac:dyDescent="0.25">
      <c r="B1358" t="s">
        <v>6</v>
      </c>
      <c r="C1358" t="s">
        <v>305</v>
      </c>
      <c r="D1358">
        <v>703442</v>
      </c>
      <c r="E1358" t="s">
        <v>252</v>
      </c>
      <c r="F1358" t="s">
        <v>21</v>
      </c>
      <c r="G1358" t="s">
        <v>76</v>
      </c>
      <c r="H1358" t="s">
        <v>77</v>
      </c>
      <c r="J1358" s="20">
        <v>0</v>
      </c>
    </row>
    <row r="1359" spans="2:10" x14ac:dyDescent="0.25">
      <c r="B1359" t="s">
        <v>6</v>
      </c>
      <c r="C1359" t="s">
        <v>305</v>
      </c>
      <c r="D1359">
        <v>703443</v>
      </c>
      <c r="E1359" t="s">
        <v>253</v>
      </c>
      <c r="F1359" t="s">
        <v>21</v>
      </c>
      <c r="G1359" t="s">
        <v>71</v>
      </c>
      <c r="H1359" t="s">
        <v>88</v>
      </c>
      <c r="J1359" s="20">
        <v>0</v>
      </c>
    </row>
    <row r="1360" spans="2:10" x14ac:dyDescent="0.25">
      <c r="B1360" t="s">
        <v>6</v>
      </c>
      <c r="C1360" t="s">
        <v>305</v>
      </c>
      <c r="D1360">
        <v>703444</v>
      </c>
      <c r="E1360" t="s">
        <v>254</v>
      </c>
      <c r="F1360" t="s">
        <v>21</v>
      </c>
      <c r="G1360" t="s">
        <v>22</v>
      </c>
      <c r="H1360" t="s">
        <v>23</v>
      </c>
      <c r="J1360" s="20">
        <v>0</v>
      </c>
    </row>
    <row r="1361" spans="2:10" x14ac:dyDescent="0.25">
      <c r="B1361" t="s">
        <v>6</v>
      </c>
      <c r="C1361" t="s">
        <v>305</v>
      </c>
      <c r="D1361">
        <v>703445</v>
      </c>
      <c r="E1361" t="s">
        <v>255</v>
      </c>
      <c r="F1361" t="s">
        <v>21</v>
      </c>
      <c r="G1361" t="s">
        <v>22</v>
      </c>
      <c r="H1361" t="s">
        <v>23</v>
      </c>
      <c r="J1361" s="20">
        <v>0</v>
      </c>
    </row>
    <row r="1362" spans="2:10" x14ac:dyDescent="0.25">
      <c r="B1362" t="s">
        <v>6</v>
      </c>
      <c r="C1362" t="s">
        <v>305</v>
      </c>
      <c r="D1362">
        <v>703446</v>
      </c>
      <c r="E1362" t="s">
        <v>256</v>
      </c>
      <c r="F1362" t="s">
        <v>21</v>
      </c>
      <c r="G1362" t="s">
        <v>22</v>
      </c>
      <c r="H1362" t="s">
        <v>23</v>
      </c>
      <c r="J1362" s="20">
        <v>0</v>
      </c>
    </row>
    <row r="1363" spans="2:10" x14ac:dyDescent="0.25">
      <c r="B1363" t="s">
        <v>6</v>
      </c>
      <c r="C1363" t="s">
        <v>305</v>
      </c>
      <c r="D1363">
        <v>703447</v>
      </c>
      <c r="E1363" t="s">
        <v>257</v>
      </c>
      <c r="F1363" t="s">
        <v>21</v>
      </c>
      <c r="G1363" t="s">
        <v>22</v>
      </c>
      <c r="H1363" t="s">
        <v>23</v>
      </c>
      <c r="J1363" s="20">
        <v>0</v>
      </c>
    </row>
    <row r="1364" spans="2:10" x14ac:dyDescent="0.25">
      <c r="B1364" t="s">
        <v>6</v>
      </c>
      <c r="C1364" t="s">
        <v>305</v>
      </c>
      <c r="D1364">
        <v>703448</v>
      </c>
      <c r="E1364" t="s">
        <v>258</v>
      </c>
      <c r="F1364" t="s">
        <v>21</v>
      </c>
      <c r="G1364" t="s">
        <v>22</v>
      </c>
      <c r="H1364" t="s">
        <v>23</v>
      </c>
      <c r="J1364" s="20">
        <v>0</v>
      </c>
    </row>
    <row r="1365" spans="2:10" x14ac:dyDescent="0.25">
      <c r="B1365" t="s">
        <v>6</v>
      </c>
      <c r="C1365" t="s">
        <v>305</v>
      </c>
      <c r="D1365">
        <v>703449</v>
      </c>
      <c r="E1365" t="s">
        <v>259</v>
      </c>
      <c r="F1365" t="s">
        <v>21</v>
      </c>
      <c r="G1365" t="s">
        <v>22</v>
      </c>
      <c r="H1365" t="s">
        <v>23</v>
      </c>
      <c r="J1365" s="20">
        <v>0</v>
      </c>
    </row>
    <row r="1366" spans="2:10" x14ac:dyDescent="0.25">
      <c r="B1366" t="s">
        <v>6</v>
      </c>
      <c r="C1366" t="s">
        <v>305</v>
      </c>
      <c r="D1366">
        <v>703450</v>
      </c>
      <c r="E1366" t="s">
        <v>260</v>
      </c>
      <c r="F1366" t="s">
        <v>21</v>
      </c>
      <c r="G1366" t="s">
        <v>71</v>
      </c>
      <c r="H1366" t="s">
        <v>88</v>
      </c>
      <c r="J1366" s="20">
        <v>0</v>
      </c>
    </row>
    <row r="1367" spans="2:10" x14ac:dyDescent="0.25">
      <c r="B1367" t="s">
        <v>6</v>
      </c>
      <c r="C1367" t="s">
        <v>305</v>
      </c>
      <c r="D1367">
        <v>703510</v>
      </c>
      <c r="E1367" t="s">
        <v>261</v>
      </c>
      <c r="F1367" t="s">
        <v>21</v>
      </c>
      <c r="G1367" t="s">
        <v>22</v>
      </c>
      <c r="H1367" t="s">
        <v>23</v>
      </c>
      <c r="J1367" s="20">
        <v>0</v>
      </c>
    </row>
    <row r="1368" spans="2:10" x14ac:dyDescent="0.25">
      <c r="B1368" t="s">
        <v>6</v>
      </c>
      <c r="C1368" t="s">
        <v>305</v>
      </c>
      <c r="D1368">
        <v>703511</v>
      </c>
      <c r="E1368" t="s">
        <v>262</v>
      </c>
      <c r="F1368" t="s">
        <v>21</v>
      </c>
      <c r="G1368" t="s">
        <v>22</v>
      </c>
      <c r="H1368" t="s">
        <v>23</v>
      </c>
      <c r="J1368" s="20">
        <v>0</v>
      </c>
    </row>
    <row r="1369" spans="2:10" x14ac:dyDescent="0.25">
      <c r="B1369" t="s">
        <v>6</v>
      </c>
      <c r="C1369" t="s">
        <v>305</v>
      </c>
      <c r="D1369">
        <v>703512</v>
      </c>
      <c r="E1369" t="s">
        <v>263</v>
      </c>
      <c r="F1369" t="s">
        <v>21</v>
      </c>
      <c r="G1369" t="s">
        <v>22</v>
      </c>
      <c r="H1369" t="s">
        <v>23</v>
      </c>
      <c r="J1369" s="20">
        <v>0</v>
      </c>
    </row>
    <row r="1370" spans="2:10" x14ac:dyDescent="0.25">
      <c r="B1370" t="s">
        <v>6</v>
      </c>
      <c r="C1370" t="s">
        <v>305</v>
      </c>
      <c r="D1370">
        <v>703513</v>
      </c>
      <c r="E1370" t="s">
        <v>264</v>
      </c>
      <c r="F1370" t="s">
        <v>21</v>
      </c>
      <c r="G1370" t="s">
        <v>22</v>
      </c>
      <c r="H1370" t="s">
        <v>23</v>
      </c>
      <c r="J1370" s="20">
        <v>0</v>
      </c>
    </row>
    <row r="1371" spans="2:10" x14ac:dyDescent="0.25">
      <c r="B1371" t="s">
        <v>6</v>
      </c>
      <c r="C1371" t="s">
        <v>305</v>
      </c>
      <c r="D1371">
        <v>703514</v>
      </c>
      <c r="E1371" t="s">
        <v>265</v>
      </c>
      <c r="F1371" t="s">
        <v>21</v>
      </c>
      <c r="G1371" t="s">
        <v>22</v>
      </c>
      <c r="H1371" t="s">
        <v>23</v>
      </c>
      <c r="J1371" s="20">
        <v>0</v>
      </c>
    </row>
    <row r="1372" spans="2:10" x14ac:dyDescent="0.25">
      <c r="B1372" t="s">
        <v>6</v>
      </c>
      <c r="C1372" t="s">
        <v>305</v>
      </c>
      <c r="D1372">
        <v>703515</v>
      </c>
      <c r="E1372" t="s">
        <v>266</v>
      </c>
      <c r="F1372" t="s">
        <v>21</v>
      </c>
      <c r="G1372" t="s">
        <v>22</v>
      </c>
      <c r="H1372" t="s">
        <v>23</v>
      </c>
      <c r="J1372" s="20">
        <v>0</v>
      </c>
    </row>
    <row r="1373" spans="2:10" x14ac:dyDescent="0.25">
      <c r="B1373" t="s">
        <v>6</v>
      </c>
      <c r="C1373" t="s">
        <v>305</v>
      </c>
      <c r="D1373">
        <v>703520</v>
      </c>
      <c r="E1373" t="s">
        <v>267</v>
      </c>
      <c r="F1373" t="s">
        <v>21</v>
      </c>
      <c r="G1373" t="s">
        <v>22</v>
      </c>
      <c r="H1373" t="s">
        <v>23</v>
      </c>
      <c r="J1373" s="20">
        <v>0</v>
      </c>
    </row>
    <row r="1374" spans="2:10" x14ac:dyDescent="0.25">
      <c r="B1374" t="s">
        <v>6</v>
      </c>
      <c r="C1374" t="s">
        <v>305</v>
      </c>
      <c r="D1374">
        <v>703530</v>
      </c>
      <c r="E1374" t="s">
        <v>268</v>
      </c>
      <c r="F1374" t="s">
        <v>21</v>
      </c>
      <c r="G1374" t="s">
        <v>22</v>
      </c>
      <c r="H1374" t="s">
        <v>23</v>
      </c>
      <c r="J1374" s="20">
        <v>0</v>
      </c>
    </row>
    <row r="1375" spans="2:10" x14ac:dyDescent="0.25">
      <c r="B1375" t="s">
        <v>6</v>
      </c>
      <c r="C1375" t="s">
        <v>305</v>
      </c>
      <c r="D1375">
        <v>703540</v>
      </c>
      <c r="E1375" t="s">
        <v>269</v>
      </c>
      <c r="F1375" t="s">
        <v>21</v>
      </c>
      <c r="G1375" t="s">
        <v>22</v>
      </c>
      <c r="H1375" t="s">
        <v>23</v>
      </c>
      <c r="J1375" s="20">
        <v>0</v>
      </c>
    </row>
    <row r="1376" spans="2:10" x14ac:dyDescent="0.25">
      <c r="B1376" t="s">
        <v>6</v>
      </c>
      <c r="C1376" t="s">
        <v>305</v>
      </c>
      <c r="D1376">
        <v>703550</v>
      </c>
      <c r="E1376" t="s">
        <v>270</v>
      </c>
      <c r="F1376" t="s">
        <v>21</v>
      </c>
      <c r="G1376" t="s">
        <v>22</v>
      </c>
      <c r="H1376" t="s">
        <v>23</v>
      </c>
      <c r="J1376" s="20">
        <v>0</v>
      </c>
    </row>
    <row r="1377" spans="2:10" x14ac:dyDescent="0.25">
      <c r="B1377" t="s">
        <v>6</v>
      </c>
      <c r="C1377" t="s">
        <v>305</v>
      </c>
      <c r="D1377">
        <v>703560</v>
      </c>
      <c r="E1377" t="s">
        <v>271</v>
      </c>
      <c r="F1377" t="s">
        <v>21</v>
      </c>
      <c r="G1377" t="s">
        <v>22</v>
      </c>
      <c r="H1377" t="s">
        <v>23</v>
      </c>
      <c r="J1377" s="20">
        <v>0</v>
      </c>
    </row>
    <row r="1378" spans="2:10" x14ac:dyDescent="0.25">
      <c r="B1378" t="s">
        <v>6</v>
      </c>
      <c r="C1378" t="s">
        <v>305</v>
      </c>
      <c r="D1378">
        <v>703570</v>
      </c>
      <c r="E1378" t="s">
        <v>272</v>
      </c>
      <c r="F1378" t="s">
        <v>21</v>
      </c>
      <c r="G1378" t="s">
        <v>22</v>
      </c>
      <c r="H1378" t="s">
        <v>23</v>
      </c>
      <c r="J1378" s="20">
        <v>0</v>
      </c>
    </row>
    <row r="1379" spans="2:10" x14ac:dyDescent="0.25">
      <c r="B1379" t="s">
        <v>6</v>
      </c>
      <c r="C1379" t="s">
        <v>305</v>
      </c>
      <c r="D1379">
        <v>703571</v>
      </c>
      <c r="E1379" t="s">
        <v>273</v>
      </c>
      <c r="F1379" t="s">
        <v>21</v>
      </c>
      <c r="G1379" t="s">
        <v>22</v>
      </c>
      <c r="H1379" t="s">
        <v>23</v>
      </c>
      <c r="J1379" s="20"/>
    </row>
    <row r="1380" spans="2:10" x14ac:dyDescent="0.25">
      <c r="B1380" t="s">
        <v>6</v>
      </c>
      <c r="C1380" t="s">
        <v>305</v>
      </c>
      <c r="D1380">
        <v>703572</v>
      </c>
      <c r="E1380" t="s">
        <v>274</v>
      </c>
      <c r="F1380" t="s">
        <v>21</v>
      </c>
      <c r="G1380" t="s">
        <v>22</v>
      </c>
      <c r="H1380" t="s">
        <v>23</v>
      </c>
      <c r="J1380" s="20"/>
    </row>
    <row r="1381" spans="2:10" x14ac:dyDescent="0.25">
      <c r="B1381" t="s">
        <v>6</v>
      </c>
      <c r="C1381" t="s">
        <v>305</v>
      </c>
      <c r="D1381">
        <v>703573</v>
      </c>
      <c r="E1381" t="s">
        <v>275</v>
      </c>
      <c r="F1381" t="s">
        <v>21</v>
      </c>
      <c r="G1381" t="s">
        <v>22</v>
      </c>
      <c r="H1381" t="s">
        <v>23</v>
      </c>
      <c r="J1381" s="20"/>
    </row>
    <row r="1382" spans="2:10" x14ac:dyDescent="0.25">
      <c r="B1382" t="s">
        <v>6</v>
      </c>
      <c r="C1382" t="s">
        <v>305</v>
      </c>
      <c r="D1382">
        <v>703574</v>
      </c>
      <c r="E1382" t="s">
        <v>276</v>
      </c>
      <c r="F1382" t="s">
        <v>21</v>
      </c>
      <c r="G1382" t="s">
        <v>22</v>
      </c>
      <c r="H1382" t="s">
        <v>23</v>
      </c>
      <c r="J1382" s="20"/>
    </row>
    <row r="1383" spans="2:10" x14ac:dyDescent="0.25">
      <c r="B1383" t="s">
        <v>6</v>
      </c>
      <c r="C1383" t="s">
        <v>305</v>
      </c>
      <c r="D1383">
        <v>703580</v>
      </c>
      <c r="E1383" t="s">
        <v>277</v>
      </c>
      <c r="F1383" t="s">
        <v>21</v>
      </c>
      <c r="G1383" t="s">
        <v>22</v>
      </c>
      <c r="H1383" t="s">
        <v>23</v>
      </c>
      <c r="J1383" s="20">
        <v>0</v>
      </c>
    </row>
    <row r="1384" spans="2:10" x14ac:dyDescent="0.25">
      <c r="B1384" t="s">
        <v>6</v>
      </c>
      <c r="C1384" t="s">
        <v>305</v>
      </c>
      <c r="D1384">
        <v>703590</v>
      </c>
      <c r="E1384" t="s">
        <v>278</v>
      </c>
      <c r="F1384" t="s">
        <v>21</v>
      </c>
      <c r="G1384" t="s">
        <v>22</v>
      </c>
      <c r="H1384" t="s">
        <v>23</v>
      </c>
      <c r="J1384" s="20">
        <v>0</v>
      </c>
    </row>
    <row r="1385" spans="2:10" x14ac:dyDescent="0.25">
      <c r="B1385" t="s">
        <v>6</v>
      </c>
      <c r="C1385" t="s">
        <v>305</v>
      </c>
      <c r="D1385">
        <v>703650</v>
      </c>
      <c r="E1385" t="s">
        <v>279</v>
      </c>
      <c r="F1385" t="s">
        <v>21</v>
      </c>
      <c r="G1385" t="s">
        <v>22</v>
      </c>
      <c r="H1385" t="s">
        <v>23</v>
      </c>
      <c r="J1385" s="20">
        <v>0</v>
      </c>
    </row>
    <row r="1386" spans="2:10" x14ac:dyDescent="0.25">
      <c r="B1386" t="s">
        <v>6</v>
      </c>
      <c r="C1386" t="s">
        <v>305</v>
      </c>
      <c r="D1386">
        <v>703651</v>
      </c>
      <c r="E1386" t="s">
        <v>280</v>
      </c>
      <c r="F1386" t="s">
        <v>21</v>
      </c>
      <c r="G1386" t="s">
        <v>22</v>
      </c>
      <c r="H1386" t="s">
        <v>23</v>
      </c>
      <c r="J1386" s="20">
        <v>0</v>
      </c>
    </row>
    <row r="1387" spans="2:10" x14ac:dyDescent="0.25">
      <c r="B1387" t="s">
        <v>6</v>
      </c>
      <c r="C1387" t="s">
        <v>305</v>
      </c>
      <c r="D1387">
        <v>703850</v>
      </c>
      <c r="E1387" t="s">
        <v>281</v>
      </c>
      <c r="F1387" t="s">
        <v>21</v>
      </c>
      <c r="G1387" t="s">
        <v>22</v>
      </c>
      <c r="H1387" t="s">
        <v>23</v>
      </c>
      <c r="J1387" s="20">
        <v>0</v>
      </c>
    </row>
    <row r="1388" spans="2:10" x14ac:dyDescent="0.25">
      <c r="B1388" t="s">
        <v>6</v>
      </c>
      <c r="C1388" t="s">
        <v>305</v>
      </c>
      <c r="D1388">
        <v>703851</v>
      </c>
      <c r="E1388" t="s">
        <v>282</v>
      </c>
      <c r="F1388" t="s">
        <v>21</v>
      </c>
      <c r="G1388" t="s">
        <v>22</v>
      </c>
      <c r="H1388" t="s">
        <v>23</v>
      </c>
      <c r="J1388" s="20">
        <v>0</v>
      </c>
    </row>
    <row r="1389" spans="2:10" x14ac:dyDescent="0.25">
      <c r="B1389" t="s">
        <v>6</v>
      </c>
      <c r="C1389" t="s">
        <v>305</v>
      </c>
      <c r="D1389">
        <v>703852</v>
      </c>
      <c r="E1389" t="s">
        <v>283</v>
      </c>
      <c r="F1389" t="s">
        <v>21</v>
      </c>
      <c r="G1389" t="s">
        <v>22</v>
      </c>
      <c r="H1389" t="s">
        <v>23</v>
      </c>
      <c r="J1389" s="20">
        <v>0</v>
      </c>
    </row>
    <row r="1390" spans="2:10" x14ac:dyDescent="0.25">
      <c r="B1390" t="s">
        <v>6</v>
      </c>
      <c r="C1390" t="s">
        <v>305</v>
      </c>
      <c r="D1390">
        <v>703853</v>
      </c>
      <c r="E1390" t="s">
        <v>284</v>
      </c>
      <c r="F1390" t="s">
        <v>21</v>
      </c>
      <c r="G1390" t="s">
        <v>22</v>
      </c>
      <c r="H1390" t="s">
        <v>23</v>
      </c>
      <c r="J1390" s="20">
        <v>0</v>
      </c>
    </row>
    <row r="1391" spans="2:10" x14ac:dyDescent="0.25">
      <c r="B1391" t="s">
        <v>6</v>
      </c>
      <c r="C1391" t="s">
        <v>305</v>
      </c>
      <c r="D1391">
        <v>703854</v>
      </c>
      <c r="E1391" t="s">
        <v>285</v>
      </c>
      <c r="F1391" t="s">
        <v>21</v>
      </c>
      <c r="G1391" t="s">
        <v>22</v>
      </c>
      <c r="H1391" t="s">
        <v>115</v>
      </c>
      <c r="J1391" s="20">
        <v>0</v>
      </c>
    </row>
    <row r="1392" spans="2:10" x14ac:dyDescent="0.25">
      <c r="B1392" t="s">
        <v>6</v>
      </c>
      <c r="C1392" t="s">
        <v>305</v>
      </c>
      <c r="D1392">
        <v>703855</v>
      </c>
      <c r="E1392" t="s">
        <v>286</v>
      </c>
      <c r="F1392" t="s">
        <v>21</v>
      </c>
      <c r="G1392" t="s">
        <v>22</v>
      </c>
      <c r="H1392" t="s">
        <v>23</v>
      </c>
      <c r="J1392" s="20">
        <v>0</v>
      </c>
    </row>
    <row r="1393" spans="2:10" x14ac:dyDescent="0.25">
      <c r="B1393" t="s">
        <v>6</v>
      </c>
      <c r="C1393" t="s">
        <v>305</v>
      </c>
      <c r="D1393">
        <v>703856</v>
      </c>
      <c r="E1393" t="s">
        <v>287</v>
      </c>
      <c r="F1393" t="s">
        <v>21</v>
      </c>
      <c r="G1393" t="s">
        <v>22</v>
      </c>
      <c r="H1393" t="s">
        <v>23</v>
      </c>
      <c r="J1393" s="20">
        <v>0</v>
      </c>
    </row>
    <row r="1394" spans="2:10" x14ac:dyDescent="0.25">
      <c r="B1394" t="s">
        <v>6</v>
      </c>
      <c r="C1394" t="s">
        <v>305</v>
      </c>
      <c r="D1394">
        <v>703857</v>
      </c>
      <c r="E1394" t="s">
        <v>288</v>
      </c>
      <c r="F1394" t="s">
        <v>21</v>
      </c>
      <c r="G1394" t="s">
        <v>71</v>
      </c>
      <c r="H1394" t="s">
        <v>88</v>
      </c>
      <c r="J1394" s="20">
        <v>0</v>
      </c>
    </row>
    <row r="1395" spans="2:10" x14ac:dyDescent="0.25">
      <c r="B1395" t="s">
        <v>6</v>
      </c>
      <c r="C1395" t="s">
        <v>305</v>
      </c>
      <c r="D1395">
        <v>703858</v>
      </c>
      <c r="E1395" t="s">
        <v>289</v>
      </c>
      <c r="F1395" t="s">
        <v>21</v>
      </c>
      <c r="G1395" t="s">
        <v>22</v>
      </c>
      <c r="H1395" t="s">
        <v>23</v>
      </c>
      <c r="J1395" s="20">
        <v>0</v>
      </c>
    </row>
    <row r="1396" spans="2:10" x14ac:dyDescent="0.25">
      <c r="B1396" t="s">
        <v>6</v>
      </c>
      <c r="C1396" t="s">
        <v>305</v>
      </c>
      <c r="D1396">
        <v>703859</v>
      </c>
      <c r="E1396" t="s">
        <v>290</v>
      </c>
      <c r="F1396" t="s">
        <v>21</v>
      </c>
      <c r="G1396" t="s">
        <v>22</v>
      </c>
      <c r="H1396" t="s">
        <v>23</v>
      </c>
      <c r="J1396" s="20">
        <v>0</v>
      </c>
    </row>
    <row r="1397" spans="2:10" x14ac:dyDescent="0.25">
      <c r="B1397" t="s">
        <v>6</v>
      </c>
      <c r="C1397" t="s">
        <v>305</v>
      </c>
      <c r="D1397">
        <v>703860</v>
      </c>
      <c r="E1397" t="s">
        <v>291</v>
      </c>
      <c r="F1397" t="s">
        <v>21</v>
      </c>
      <c r="G1397" t="s">
        <v>22</v>
      </c>
      <c r="H1397" t="s">
        <v>23</v>
      </c>
      <c r="J1397" s="20">
        <v>0</v>
      </c>
    </row>
    <row r="1398" spans="2:10" x14ac:dyDescent="0.25">
      <c r="B1398" t="s">
        <v>6</v>
      </c>
      <c r="C1398" t="s">
        <v>305</v>
      </c>
      <c r="D1398">
        <v>703861</v>
      </c>
      <c r="E1398" t="s">
        <v>292</v>
      </c>
      <c r="F1398" t="s">
        <v>21</v>
      </c>
      <c r="G1398" t="s">
        <v>22</v>
      </c>
      <c r="H1398" t="s">
        <v>23</v>
      </c>
      <c r="J1398" s="20">
        <v>0</v>
      </c>
    </row>
    <row r="1399" spans="2:10" x14ac:dyDescent="0.25">
      <c r="B1399" t="s">
        <v>6</v>
      </c>
      <c r="C1399" t="s">
        <v>305</v>
      </c>
      <c r="D1399">
        <v>703862</v>
      </c>
      <c r="E1399" t="s">
        <v>293</v>
      </c>
      <c r="F1399" t="s">
        <v>21</v>
      </c>
      <c r="G1399" t="s">
        <v>22</v>
      </c>
      <c r="H1399" t="s">
        <v>23</v>
      </c>
      <c r="J1399" s="20">
        <v>0</v>
      </c>
    </row>
    <row r="1400" spans="2:10" x14ac:dyDescent="0.25">
      <c r="B1400" t="s">
        <v>6</v>
      </c>
      <c r="C1400" t="s">
        <v>305</v>
      </c>
      <c r="D1400">
        <v>703870</v>
      </c>
      <c r="E1400" t="s">
        <v>294</v>
      </c>
      <c r="F1400" t="s">
        <v>21</v>
      </c>
      <c r="G1400" t="s">
        <v>22</v>
      </c>
      <c r="H1400" t="s">
        <v>23</v>
      </c>
      <c r="J1400" s="20">
        <v>0</v>
      </c>
    </row>
    <row r="1401" spans="2:10" x14ac:dyDescent="0.25">
      <c r="B1401" t="s">
        <v>6</v>
      </c>
      <c r="C1401" t="s">
        <v>305</v>
      </c>
      <c r="D1401">
        <v>703880</v>
      </c>
      <c r="E1401" t="s">
        <v>295</v>
      </c>
      <c r="F1401" t="s">
        <v>21</v>
      </c>
      <c r="G1401" t="s">
        <v>22</v>
      </c>
      <c r="H1401" t="s">
        <v>23</v>
      </c>
      <c r="J1401" s="20">
        <v>0</v>
      </c>
    </row>
    <row r="1402" spans="2:10" x14ac:dyDescent="0.25">
      <c r="B1402" t="s">
        <v>6</v>
      </c>
      <c r="C1402" t="s">
        <v>305</v>
      </c>
      <c r="D1402">
        <v>703899</v>
      </c>
      <c r="E1402" t="s">
        <v>296</v>
      </c>
      <c r="F1402" t="s">
        <v>21</v>
      </c>
      <c r="G1402" t="s">
        <v>22</v>
      </c>
      <c r="H1402" t="s">
        <v>23</v>
      </c>
      <c r="J1402" s="20">
        <v>0</v>
      </c>
    </row>
    <row r="1403" spans="2:10" x14ac:dyDescent="0.25">
      <c r="B1403" t="s">
        <v>6</v>
      </c>
      <c r="C1403" t="s">
        <v>305</v>
      </c>
      <c r="D1403">
        <v>706700</v>
      </c>
      <c r="E1403" t="s">
        <v>25</v>
      </c>
      <c r="F1403" t="s">
        <v>26</v>
      </c>
      <c r="G1403" t="s">
        <v>27</v>
      </c>
      <c r="H1403" t="s">
        <v>28</v>
      </c>
      <c r="J1403" s="20">
        <v>0</v>
      </c>
    </row>
    <row r="1404" spans="2:10" x14ac:dyDescent="0.25">
      <c r="B1404" t="s">
        <v>6</v>
      </c>
      <c r="C1404" t="s">
        <v>305</v>
      </c>
      <c r="D1404" t="s">
        <v>29</v>
      </c>
      <c r="E1404" t="s">
        <v>30</v>
      </c>
      <c r="F1404" t="s">
        <v>26</v>
      </c>
      <c r="G1404" t="s">
        <v>27</v>
      </c>
      <c r="H1404" t="s">
        <v>31</v>
      </c>
      <c r="J1404" s="20">
        <v>0</v>
      </c>
    </row>
    <row r="1405" spans="2:10" x14ac:dyDescent="0.25">
      <c r="B1405" t="s">
        <v>6</v>
      </c>
      <c r="C1405" t="s">
        <v>305</v>
      </c>
      <c r="D1405" t="s">
        <v>32</v>
      </c>
      <c r="E1405" t="s">
        <v>33</v>
      </c>
      <c r="F1405" t="s">
        <v>26</v>
      </c>
      <c r="G1405" t="s">
        <v>27</v>
      </c>
      <c r="H1405" t="s">
        <v>28</v>
      </c>
      <c r="J1405" s="20">
        <v>0</v>
      </c>
    </row>
    <row r="1406" spans="2:10" x14ac:dyDescent="0.25">
      <c r="B1406" t="s">
        <v>6</v>
      </c>
      <c r="C1406" t="s">
        <v>305</v>
      </c>
      <c r="D1406" t="s">
        <v>34</v>
      </c>
      <c r="E1406" t="s">
        <v>35</v>
      </c>
      <c r="F1406" t="s">
        <v>26</v>
      </c>
      <c r="G1406" t="s">
        <v>36</v>
      </c>
      <c r="H1406" t="s">
        <v>36</v>
      </c>
      <c r="J1406" s="20">
        <v>0</v>
      </c>
    </row>
    <row r="1407" spans="2:10" x14ac:dyDescent="0.25">
      <c r="B1407" t="s">
        <v>6</v>
      </c>
      <c r="C1407" t="s">
        <v>305</v>
      </c>
      <c r="D1407" t="s">
        <v>37</v>
      </c>
      <c r="E1407" t="s">
        <v>38</v>
      </c>
      <c r="F1407" t="s">
        <v>21</v>
      </c>
      <c r="G1407" t="s">
        <v>39</v>
      </c>
      <c r="H1407" t="s">
        <v>39</v>
      </c>
      <c r="J1407" s="20">
        <v>0</v>
      </c>
    </row>
    <row r="1408" spans="2:10" x14ac:dyDescent="0.25">
      <c r="B1408" t="s">
        <v>6</v>
      </c>
      <c r="C1408" t="s">
        <v>305</v>
      </c>
      <c r="D1408" t="s">
        <v>40</v>
      </c>
      <c r="E1408" t="s">
        <v>41</v>
      </c>
      <c r="F1408" t="s">
        <v>26</v>
      </c>
      <c r="G1408" t="s">
        <v>39</v>
      </c>
      <c r="H1408" t="s">
        <v>39</v>
      </c>
      <c r="J1408" s="20">
        <v>0</v>
      </c>
    </row>
    <row r="1409" spans="2:10" x14ac:dyDescent="0.25">
      <c r="B1409" t="s">
        <v>6</v>
      </c>
      <c r="C1409" t="s">
        <v>305</v>
      </c>
      <c r="D1409" t="s">
        <v>42</v>
      </c>
      <c r="E1409" t="s">
        <v>43</v>
      </c>
      <c r="F1409" t="s">
        <v>21</v>
      </c>
      <c r="G1409" t="s">
        <v>44</v>
      </c>
      <c r="H1409" t="s">
        <v>44</v>
      </c>
      <c r="J1409" s="20">
        <v>0</v>
      </c>
    </row>
    <row r="1410" spans="2:10" x14ac:dyDescent="0.25">
      <c r="B1410" t="s">
        <v>6</v>
      </c>
      <c r="C1410" t="s">
        <v>305</v>
      </c>
      <c r="D1410" t="s">
        <v>45</v>
      </c>
      <c r="E1410" t="s">
        <v>46</v>
      </c>
      <c r="F1410" t="s">
        <v>26</v>
      </c>
      <c r="G1410" t="s">
        <v>44</v>
      </c>
      <c r="H1410" t="s">
        <v>44</v>
      </c>
      <c r="J1410" s="20">
        <v>0</v>
      </c>
    </row>
    <row r="1411" spans="2:10" x14ac:dyDescent="0.25">
      <c r="B1411" t="s">
        <v>6</v>
      </c>
      <c r="C1411" t="s">
        <v>305</v>
      </c>
      <c r="D1411" t="s">
        <v>297</v>
      </c>
      <c r="E1411" t="s">
        <v>298</v>
      </c>
      <c r="F1411" t="s">
        <v>26</v>
      </c>
      <c r="G1411" t="s">
        <v>299</v>
      </c>
      <c r="H1411" t="s">
        <v>299</v>
      </c>
      <c r="J1411" s="20"/>
    </row>
    <row r="1412" spans="2:10" x14ac:dyDescent="0.25">
      <c r="B1412" t="s">
        <v>6</v>
      </c>
      <c r="C1412" t="s">
        <v>305</v>
      </c>
      <c r="D1412" t="s">
        <v>300</v>
      </c>
      <c r="E1412" t="s">
        <v>301</v>
      </c>
      <c r="F1412" t="s">
        <v>21</v>
      </c>
      <c r="G1412" t="s">
        <v>299</v>
      </c>
      <c r="H1412" t="s">
        <v>299</v>
      </c>
      <c r="J1412" s="20"/>
    </row>
    <row r="1413" spans="2:10" x14ac:dyDescent="0.25">
      <c r="B1413" t="s">
        <v>6</v>
      </c>
      <c r="C1413" t="s">
        <v>305</v>
      </c>
      <c r="D1413" t="s">
        <v>47</v>
      </c>
      <c r="E1413" t="s">
        <v>48</v>
      </c>
      <c r="F1413" t="s">
        <v>26</v>
      </c>
      <c r="G1413" t="s">
        <v>49</v>
      </c>
      <c r="H1413" t="s">
        <v>49</v>
      </c>
      <c r="J1413" s="20">
        <v>0</v>
      </c>
    </row>
    <row r="1414" spans="2:10" x14ac:dyDescent="0.25">
      <c r="B1414" t="s">
        <v>6</v>
      </c>
      <c r="C1414" t="s">
        <v>306</v>
      </c>
      <c r="D1414">
        <v>701000</v>
      </c>
      <c r="E1414" t="s">
        <v>51</v>
      </c>
      <c r="F1414" t="s">
        <v>21</v>
      </c>
      <c r="G1414" t="s">
        <v>52</v>
      </c>
      <c r="H1414" t="s">
        <v>53</v>
      </c>
      <c r="J1414" s="20">
        <v>0</v>
      </c>
    </row>
    <row r="1415" spans="2:10" x14ac:dyDescent="0.25">
      <c r="B1415" t="s">
        <v>6</v>
      </c>
      <c r="C1415" t="s">
        <v>306</v>
      </c>
      <c r="D1415">
        <v>701008</v>
      </c>
      <c r="E1415" t="s">
        <v>54</v>
      </c>
      <c r="F1415" t="s">
        <v>21</v>
      </c>
      <c r="G1415" t="s">
        <v>52</v>
      </c>
      <c r="H1415" t="s">
        <v>53</v>
      </c>
      <c r="J1415" s="20">
        <v>0</v>
      </c>
    </row>
    <row r="1416" spans="2:10" x14ac:dyDescent="0.25">
      <c r="B1416" t="s">
        <v>6</v>
      </c>
      <c r="C1416" t="s">
        <v>306</v>
      </c>
      <c r="D1416">
        <v>701009</v>
      </c>
      <c r="E1416" t="s">
        <v>55</v>
      </c>
      <c r="F1416" t="s">
        <v>21</v>
      </c>
      <c r="G1416" t="s">
        <v>52</v>
      </c>
      <c r="H1416" t="s">
        <v>53</v>
      </c>
      <c r="J1416" s="20">
        <v>0</v>
      </c>
    </row>
    <row r="1417" spans="2:10" x14ac:dyDescent="0.25">
      <c r="B1417" t="s">
        <v>6</v>
      </c>
      <c r="C1417" t="s">
        <v>306</v>
      </c>
      <c r="D1417">
        <v>701010</v>
      </c>
      <c r="E1417" t="s">
        <v>56</v>
      </c>
      <c r="F1417" t="s">
        <v>21</v>
      </c>
      <c r="G1417" t="s">
        <v>52</v>
      </c>
      <c r="H1417" t="s">
        <v>57</v>
      </c>
      <c r="J1417" s="20">
        <v>0</v>
      </c>
    </row>
    <row r="1418" spans="2:10" x14ac:dyDescent="0.25">
      <c r="B1418" t="s">
        <v>6</v>
      </c>
      <c r="C1418" t="s">
        <v>306</v>
      </c>
      <c r="D1418">
        <v>701011</v>
      </c>
      <c r="E1418" t="s">
        <v>58</v>
      </c>
      <c r="F1418" t="s">
        <v>21</v>
      </c>
      <c r="G1418" t="s">
        <v>52</v>
      </c>
      <c r="H1418" t="s">
        <v>53</v>
      </c>
      <c r="J1418" s="20">
        <v>0</v>
      </c>
    </row>
    <row r="1419" spans="2:10" x14ac:dyDescent="0.25">
      <c r="B1419" t="s">
        <v>6</v>
      </c>
      <c r="C1419" t="s">
        <v>306</v>
      </c>
      <c r="D1419">
        <v>701012</v>
      </c>
      <c r="E1419" t="s">
        <v>59</v>
      </c>
      <c r="F1419" t="s">
        <v>21</v>
      </c>
      <c r="G1419" t="s">
        <v>52</v>
      </c>
      <c r="H1419" t="s">
        <v>53</v>
      </c>
      <c r="J1419" s="20">
        <v>0</v>
      </c>
    </row>
    <row r="1420" spans="2:10" x14ac:dyDescent="0.25">
      <c r="B1420" t="s">
        <v>6</v>
      </c>
      <c r="C1420" t="s">
        <v>306</v>
      </c>
      <c r="D1420">
        <v>701013</v>
      </c>
      <c r="E1420" t="s">
        <v>60</v>
      </c>
      <c r="F1420" t="s">
        <v>21</v>
      </c>
      <c r="G1420" t="s">
        <v>61</v>
      </c>
      <c r="H1420" t="s">
        <v>62</v>
      </c>
      <c r="J1420" s="20">
        <v>0</v>
      </c>
    </row>
    <row r="1421" spans="2:10" x14ac:dyDescent="0.25">
      <c r="B1421" t="s">
        <v>6</v>
      </c>
      <c r="C1421" t="s">
        <v>306</v>
      </c>
      <c r="D1421">
        <v>701014</v>
      </c>
      <c r="E1421" t="s">
        <v>63</v>
      </c>
      <c r="F1421" t="s">
        <v>21</v>
      </c>
      <c r="G1421" t="s">
        <v>61</v>
      </c>
      <c r="H1421" t="s">
        <v>64</v>
      </c>
      <c r="J1421" s="20">
        <v>0</v>
      </c>
    </row>
    <row r="1422" spans="2:10" x14ac:dyDescent="0.25">
      <c r="B1422" t="s">
        <v>6</v>
      </c>
      <c r="C1422" t="s">
        <v>306</v>
      </c>
      <c r="D1422">
        <v>701015</v>
      </c>
      <c r="E1422" t="s">
        <v>65</v>
      </c>
      <c r="F1422" t="s">
        <v>21</v>
      </c>
      <c r="G1422" t="s">
        <v>52</v>
      </c>
      <c r="H1422" t="s">
        <v>53</v>
      </c>
      <c r="J1422" s="20">
        <v>0</v>
      </c>
    </row>
    <row r="1423" spans="2:10" x14ac:dyDescent="0.25">
      <c r="B1423" t="s">
        <v>6</v>
      </c>
      <c r="C1423" t="s">
        <v>306</v>
      </c>
      <c r="D1423">
        <v>701016</v>
      </c>
      <c r="E1423" t="s">
        <v>66</v>
      </c>
      <c r="F1423" t="s">
        <v>21</v>
      </c>
      <c r="G1423" t="s">
        <v>52</v>
      </c>
      <c r="H1423" t="s">
        <v>53</v>
      </c>
      <c r="J1423" s="20">
        <v>0</v>
      </c>
    </row>
    <row r="1424" spans="2:10" x14ac:dyDescent="0.25">
      <c r="B1424" t="s">
        <v>6</v>
      </c>
      <c r="C1424" t="s">
        <v>306</v>
      </c>
      <c r="D1424">
        <v>701017</v>
      </c>
      <c r="E1424" t="s">
        <v>67</v>
      </c>
      <c r="F1424" t="s">
        <v>21</v>
      </c>
      <c r="G1424" t="s">
        <v>61</v>
      </c>
      <c r="H1424" t="s">
        <v>68</v>
      </c>
      <c r="J1424" s="20">
        <v>0</v>
      </c>
    </row>
    <row r="1425" spans="2:10" x14ac:dyDescent="0.25">
      <c r="B1425" t="s">
        <v>6</v>
      </c>
      <c r="C1425" t="s">
        <v>306</v>
      </c>
      <c r="D1425">
        <v>701018</v>
      </c>
      <c r="E1425" t="s">
        <v>69</v>
      </c>
      <c r="F1425" t="s">
        <v>21</v>
      </c>
      <c r="G1425" t="s">
        <v>61</v>
      </c>
      <c r="H1425" t="s">
        <v>68</v>
      </c>
      <c r="J1425" s="20">
        <v>0</v>
      </c>
    </row>
    <row r="1426" spans="2:10" x14ac:dyDescent="0.25">
      <c r="B1426" t="s">
        <v>6</v>
      </c>
      <c r="C1426" t="s">
        <v>306</v>
      </c>
      <c r="D1426">
        <v>701019</v>
      </c>
      <c r="E1426" t="s">
        <v>70</v>
      </c>
      <c r="F1426" t="s">
        <v>21</v>
      </c>
      <c r="G1426" t="s">
        <v>71</v>
      </c>
      <c r="H1426" t="s">
        <v>72</v>
      </c>
      <c r="J1426" s="20">
        <v>0</v>
      </c>
    </row>
    <row r="1427" spans="2:10" x14ac:dyDescent="0.25">
      <c r="B1427" t="s">
        <v>6</v>
      </c>
      <c r="C1427" t="s">
        <v>306</v>
      </c>
      <c r="D1427">
        <v>701020</v>
      </c>
      <c r="E1427" t="s">
        <v>73</v>
      </c>
      <c r="F1427" t="s">
        <v>21</v>
      </c>
      <c r="G1427" t="s">
        <v>52</v>
      </c>
      <c r="H1427" t="s">
        <v>53</v>
      </c>
      <c r="J1427" s="20">
        <v>0</v>
      </c>
    </row>
    <row r="1428" spans="2:10" x14ac:dyDescent="0.25">
      <c r="B1428" t="s">
        <v>6</v>
      </c>
      <c r="C1428" t="s">
        <v>306</v>
      </c>
      <c r="D1428">
        <v>701021</v>
      </c>
      <c r="E1428" t="s">
        <v>74</v>
      </c>
      <c r="F1428" t="s">
        <v>21</v>
      </c>
      <c r="G1428" t="s">
        <v>61</v>
      </c>
      <c r="H1428" t="s">
        <v>74</v>
      </c>
      <c r="J1428" s="20">
        <v>0</v>
      </c>
    </row>
    <row r="1429" spans="2:10" x14ac:dyDescent="0.25">
      <c r="B1429" t="s">
        <v>6</v>
      </c>
      <c r="C1429" t="s">
        <v>306</v>
      </c>
      <c r="D1429">
        <v>701022</v>
      </c>
      <c r="E1429" t="s">
        <v>75</v>
      </c>
      <c r="F1429" t="s">
        <v>21</v>
      </c>
      <c r="G1429" t="s">
        <v>76</v>
      </c>
      <c r="H1429" t="s">
        <v>77</v>
      </c>
      <c r="J1429" s="20">
        <v>0</v>
      </c>
    </row>
    <row r="1430" spans="2:10" x14ac:dyDescent="0.25">
      <c r="B1430" t="s">
        <v>6</v>
      </c>
      <c r="C1430" t="s">
        <v>306</v>
      </c>
      <c r="D1430">
        <v>701023</v>
      </c>
      <c r="E1430" t="s">
        <v>78</v>
      </c>
      <c r="F1430" t="s">
        <v>21</v>
      </c>
      <c r="G1430" t="s">
        <v>61</v>
      </c>
      <c r="H1430" t="s">
        <v>79</v>
      </c>
      <c r="J1430" s="20">
        <v>0</v>
      </c>
    </row>
    <row r="1431" spans="2:10" x14ac:dyDescent="0.25">
      <c r="B1431" t="s">
        <v>6</v>
      </c>
      <c r="C1431" t="s">
        <v>306</v>
      </c>
      <c r="D1431">
        <v>701024</v>
      </c>
      <c r="E1431" t="s">
        <v>80</v>
      </c>
      <c r="F1431" t="s">
        <v>21</v>
      </c>
      <c r="G1431" t="s">
        <v>76</v>
      </c>
      <c r="H1431" t="s">
        <v>77</v>
      </c>
      <c r="J1431" s="20">
        <v>0</v>
      </c>
    </row>
    <row r="1432" spans="2:10" x14ac:dyDescent="0.25">
      <c r="B1432" t="s">
        <v>6</v>
      </c>
      <c r="C1432" t="s">
        <v>306</v>
      </c>
      <c r="D1432">
        <v>701025</v>
      </c>
      <c r="E1432" t="s">
        <v>81</v>
      </c>
      <c r="F1432" t="s">
        <v>21</v>
      </c>
      <c r="G1432" t="s">
        <v>71</v>
      </c>
      <c r="H1432" t="s">
        <v>82</v>
      </c>
      <c r="J1432" s="20">
        <v>0</v>
      </c>
    </row>
    <row r="1433" spans="2:10" x14ac:dyDescent="0.25">
      <c r="B1433" t="s">
        <v>6</v>
      </c>
      <c r="C1433" t="s">
        <v>306</v>
      </c>
      <c r="D1433">
        <v>701026</v>
      </c>
      <c r="E1433" t="s">
        <v>83</v>
      </c>
      <c r="F1433" t="s">
        <v>21</v>
      </c>
      <c r="G1433" t="s">
        <v>76</v>
      </c>
      <c r="H1433" t="s">
        <v>77</v>
      </c>
      <c r="J1433" s="20">
        <v>0</v>
      </c>
    </row>
    <row r="1434" spans="2:10" x14ac:dyDescent="0.25">
      <c r="B1434" t="s">
        <v>6</v>
      </c>
      <c r="C1434" t="s">
        <v>306</v>
      </c>
      <c r="D1434">
        <v>701027</v>
      </c>
      <c r="E1434" t="s">
        <v>84</v>
      </c>
      <c r="F1434" t="s">
        <v>21</v>
      </c>
      <c r="G1434" t="s">
        <v>76</v>
      </c>
      <c r="H1434" t="s">
        <v>77</v>
      </c>
      <c r="J1434" s="20">
        <v>0</v>
      </c>
    </row>
    <row r="1435" spans="2:10" x14ac:dyDescent="0.25">
      <c r="B1435" t="s">
        <v>6</v>
      </c>
      <c r="C1435" t="s">
        <v>306</v>
      </c>
      <c r="D1435">
        <v>701028</v>
      </c>
      <c r="E1435" t="s">
        <v>85</v>
      </c>
      <c r="F1435" t="s">
        <v>21</v>
      </c>
      <c r="G1435" t="s">
        <v>61</v>
      </c>
      <c r="H1435" t="s">
        <v>68</v>
      </c>
      <c r="J1435" s="20">
        <v>0</v>
      </c>
    </row>
    <row r="1436" spans="2:10" x14ac:dyDescent="0.25">
      <c r="B1436" t="s">
        <v>6</v>
      </c>
      <c r="C1436" t="s">
        <v>306</v>
      </c>
      <c r="D1436">
        <v>701029</v>
      </c>
      <c r="E1436" t="s">
        <v>86</v>
      </c>
      <c r="F1436" t="s">
        <v>21</v>
      </c>
      <c r="G1436" t="s">
        <v>61</v>
      </c>
      <c r="H1436" t="s">
        <v>68</v>
      </c>
      <c r="J1436" s="20">
        <v>0</v>
      </c>
    </row>
    <row r="1437" spans="2:10" x14ac:dyDescent="0.25">
      <c r="B1437" t="s">
        <v>6</v>
      </c>
      <c r="C1437" t="s">
        <v>306</v>
      </c>
      <c r="D1437">
        <v>701030</v>
      </c>
      <c r="E1437" t="s">
        <v>87</v>
      </c>
      <c r="F1437" t="s">
        <v>21</v>
      </c>
      <c r="G1437" t="s">
        <v>71</v>
      </c>
      <c r="H1437" t="s">
        <v>88</v>
      </c>
      <c r="J1437" s="20">
        <v>0</v>
      </c>
    </row>
    <row r="1438" spans="2:10" x14ac:dyDescent="0.25">
      <c r="B1438" t="s">
        <v>6</v>
      </c>
      <c r="C1438" t="s">
        <v>306</v>
      </c>
      <c r="D1438">
        <v>701031</v>
      </c>
      <c r="E1438" t="s">
        <v>89</v>
      </c>
      <c r="F1438" t="s">
        <v>21</v>
      </c>
      <c r="G1438" t="s">
        <v>76</v>
      </c>
      <c r="H1438" t="s">
        <v>77</v>
      </c>
      <c r="J1438" s="20">
        <v>0</v>
      </c>
    </row>
    <row r="1439" spans="2:10" x14ac:dyDescent="0.25">
      <c r="B1439" t="s">
        <v>6</v>
      </c>
      <c r="C1439" t="s">
        <v>306</v>
      </c>
      <c r="D1439">
        <v>701032</v>
      </c>
      <c r="E1439" t="s">
        <v>90</v>
      </c>
      <c r="F1439" t="s">
        <v>21</v>
      </c>
      <c r="G1439" t="s">
        <v>52</v>
      </c>
      <c r="H1439" t="s">
        <v>53</v>
      </c>
      <c r="J1439" s="20">
        <v>0</v>
      </c>
    </row>
    <row r="1440" spans="2:10" x14ac:dyDescent="0.25">
      <c r="B1440" t="s">
        <v>6</v>
      </c>
      <c r="C1440" t="s">
        <v>306</v>
      </c>
      <c r="D1440">
        <v>701034</v>
      </c>
      <c r="E1440" t="s">
        <v>91</v>
      </c>
      <c r="F1440" t="s">
        <v>21</v>
      </c>
      <c r="G1440" t="s">
        <v>76</v>
      </c>
      <c r="H1440" t="s">
        <v>77</v>
      </c>
      <c r="J1440" s="20">
        <v>0</v>
      </c>
    </row>
    <row r="1441" spans="2:10" x14ac:dyDescent="0.25">
      <c r="B1441" t="s">
        <v>6</v>
      </c>
      <c r="C1441" t="s">
        <v>306</v>
      </c>
      <c r="D1441">
        <v>701035</v>
      </c>
      <c r="E1441" t="s">
        <v>92</v>
      </c>
      <c r="F1441" t="s">
        <v>21</v>
      </c>
      <c r="G1441" t="s">
        <v>61</v>
      </c>
      <c r="H1441" t="s">
        <v>68</v>
      </c>
      <c r="J1441" s="20">
        <v>0</v>
      </c>
    </row>
    <row r="1442" spans="2:10" x14ac:dyDescent="0.25">
      <c r="B1442" t="s">
        <v>6</v>
      </c>
      <c r="C1442" t="s">
        <v>306</v>
      </c>
      <c r="D1442">
        <v>701036</v>
      </c>
      <c r="E1442" t="s">
        <v>93</v>
      </c>
      <c r="F1442" t="s">
        <v>21</v>
      </c>
      <c r="G1442" t="s">
        <v>52</v>
      </c>
      <c r="H1442" t="s">
        <v>53</v>
      </c>
      <c r="J1442" s="20">
        <v>0</v>
      </c>
    </row>
    <row r="1443" spans="2:10" x14ac:dyDescent="0.25">
      <c r="B1443" t="s">
        <v>6</v>
      </c>
      <c r="C1443" t="s">
        <v>306</v>
      </c>
      <c r="D1443">
        <v>701113</v>
      </c>
      <c r="E1443" t="s">
        <v>94</v>
      </c>
      <c r="F1443" t="s">
        <v>21</v>
      </c>
      <c r="G1443" t="s">
        <v>61</v>
      </c>
      <c r="H1443" t="s">
        <v>62</v>
      </c>
      <c r="J1443" s="20">
        <v>0</v>
      </c>
    </row>
    <row r="1444" spans="2:10" x14ac:dyDescent="0.25">
      <c r="B1444" t="s">
        <v>6</v>
      </c>
      <c r="C1444" t="s">
        <v>306</v>
      </c>
      <c r="D1444">
        <v>701119</v>
      </c>
      <c r="E1444" t="s">
        <v>95</v>
      </c>
      <c r="F1444" t="s">
        <v>21</v>
      </c>
      <c r="G1444" t="s">
        <v>22</v>
      </c>
      <c r="H1444" t="s">
        <v>23</v>
      </c>
      <c r="J1444" s="20">
        <v>0</v>
      </c>
    </row>
    <row r="1445" spans="2:10" x14ac:dyDescent="0.25">
      <c r="B1445" t="s">
        <v>6</v>
      </c>
      <c r="C1445" t="s">
        <v>306</v>
      </c>
      <c r="D1445">
        <v>701120</v>
      </c>
      <c r="E1445" t="s">
        <v>96</v>
      </c>
      <c r="F1445" t="s">
        <v>21</v>
      </c>
      <c r="G1445" t="s">
        <v>22</v>
      </c>
      <c r="H1445" t="s">
        <v>23</v>
      </c>
      <c r="J1445" s="20">
        <v>0</v>
      </c>
    </row>
    <row r="1446" spans="2:10" x14ac:dyDescent="0.25">
      <c r="B1446" t="s">
        <v>6</v>
      </c>
      <c r="C1446" t="s">
        <v>306</v>
      </c>
      <c r="D1446">
        <v>701121</v>
      </c>
      <c r="E1446" t="s">
        <v>97</v>
      </c>
      <c r="F1446" t="s">
        <v>21</v>
      </c>
      <c r="G1446" t="s">
        <v>22</v>
      </c>
      <c r="H1446" t="s">
        <v>23</v>
      </c>
      <c r="J1446" s="20">
        <v>0</v>
      </c>
    </row>
    <row r="1447" spans="2:10" x14ac:dyDescent="0.25">
      <c r="B1447" t="s">
        <v>6</v>
      </c>
      <c r="C1447" t="s">
        <v>306</v>
      </c>
      <c r="D1447">
        <v>701122</v>
      </c>
      <c r="E1447" t="s">
        <v>98</v>
      </c>
      <c r="F1447" t="s">
        <v>21</v>
      </c>
      <c r="G1447" t="s">
        <v>71</v>
      </c>
      <c r="H1447" t="s">
        <v>88</v>
      </c>
      <c r="J1447" s="20">
        <v>0</v>
      </c>
    </row>
    <row r="1448" spans="2:10" x14ac:dyDescent="0.25">
      <c r="B1448" t="s">
        <v>6</v>
      </c>
      <c r="C1448" t="s">
        <v>306</v>
      </c>
      <c r="D1448">
        <v>701123</v>
      </c>
      <c r="E1448" t="s">
        <v>99</v>
      </c>
      <c r="F1448" t="s">
        <v>21</v>
      </c>
      <c r="G1448" t="s">
        <v>22</v>
      </c>
      <c r="H1448" t="s">
        <v>23</v>
      </c>
      <c r="J1448" s="20">
        <v>0</v>
      </c>
    </row>
    <row r="1449" spans="2:10" x14ac:dyDescent="0.25">
      <c r="B1449" t="s">
        <v>6</v>
      </c>
      <c r="C1449" t="s">
        <v>306</v>
      </c>
      <c r="D1449">
        <v>701127</v>
      </c>
      <c r="E1449" t="s">
        <v>100</v>
      </c>
      <c r="F1449" t="s">
        <v>21</v>
      </c>
      <c r="G1449" t="s">
        <v>76</v>
      </c>
      <c r="H1449" t="s">
        <v>77</v>
      </c>
      <c r="J1449" s="20">
        <v>0</v>
      </c>
    </row>
    <row r="1450" spans="2:10" x14ac:dyDescent="0.25">
      <c r="B1450" t="s">
        <v>6</v>
      </c>
      <c r="C1450" t="s">
        <v>306</v>
      </c>
      <c r="D1450">
        <v>701213</v>
      </c>
      <c r="E1450" t="s">
        <v>101</v>
      </c>
      <c r="F1450" t="s">
        <v>21</v>
      </c>
      <c r="G1450" t="s">
        <v>61</v>
      </c>
      <c r="H1450" t="s">
        <v>62</v>
      </c>
      <c r="J1450" s="20">
        <v>0</v>
      </c>
    </row>
    <row r="1451" spans="2:10" x14ac:dyDescent="0.25">
      <c r="B1451" t="s">
        <v>6</v>
      </c>
      <c r="C1451" t="s">
        <v>306</v>
      </c>
      <c r="D1451">
        <v>701214</v>
      </c>
      <c r="E1451" t="s">
        <v>102</v>
      </c>
      <c r="F1451" t="s">
        <v>21</v>
      </c>
      <c r="G1451" t="s">
        <v>61</v>
      </c>
      <c r="H1451" t="s">
        <v>62</v>
      </c>
      <c r="J1451" s="20">
        <v>0</v>
      </c>
    </row>
    <row r="1452" spans="2:10" x14ac:dyDescent="0.25">
      <c r="B1452" t="s">
        <v>6</v>
      </c>
      <c r="C1452" t="s">
        <v>306</v>
      </c>
      <c r="D1452">
        <v>701215</v>
      </c>
      <c r="E1452" t="s">
        <v>103</v>
      </c>
      <c r="F1452" t="s">
        <v>21</v>
      </c>
      <c r="G1452" t="s">
        <v>61</v>
      </c>
      <c r="H1452" t="s">
        <v>62</v>
      </c>
      <c r="J1452" s="20">
        <v>0</v>
      </c>
    </row>
    <row r="1453" spans="2:10" x14ac:dyDescent="0.25">
      <c r="B1453" t="s">
        <v>6</v>
      </c>
      <c r="C1453" t="s">
        <v>306</v>
      </c>
      <c r="D1453">
        <v>701227</v>
      </c>
      <c r="E1453" t="s">
        <v>104</v>
      </c>
      <c r="F1453" t="s">
        <v>21</v>
      </c>
      <c r="G1453" t="s">
        <v>76</v>
      </c>
      <c r="H1453" t="s">
        <v>77</v>
      </c>
      <c r="J1453" s="20">
        <v>0</v>
      </c>
    </row>
    <row r="1454" spans="2:10" x14ac:dyDescent="0.25">
      <c r="B1454" t="s">
        <v>6</v>
      </c>
      <c r="C1454" t="s">
        <v>306</v>
      </c>
      <c r="D1454">
        <v>701327</v>
      </c>
      <c r="E1454" t="s">
        <v>106</v>
      </c>
      <c r="F1454" t="s">
        <v>21</v>
      </c>
      <c r="G1454" t="s">
        <v>76</v>
      </c>
      <c r="H1454" t="s">
        <v>77</v>
      </c>
      <c r="J1454" s="20">
        <v>0</v>
      </c>
    </row>
    <row r="1455" spans="2:10" x14ac:dyDescent="0.25">
      <c r="B1455" t="s">
        <v>6</v>
      </c>
      <c r="C1455" t="s">
        <v>306</v>
      </c>
      <c r="D1455">
        <v>701427</v>
      </c>
      <c r="E1455" t="s">
        <v>107</v>
      </c>
      <c r="F1455" t="s">
        <v>21</v>
      </c>
      <c r="G1455" t="s">
        <v>76</v>
      </c>
      <c r="H1455" t="s">
        <v>108</v>
      </c>
      <c r="J1455" s="20">
        <v>0</v>
      </c>
    </row>
    <row r="1456" spans="2:10" x14ac:dyDescent="0.25">
      <c r="B1456" t="s">
        <v>6</v>
      </c>
      <c r="C1456" t="s">
        <v>306</v>
      </c>
      <c r="D1456">
        <v>701527</v>
      </c>
      <c r="E1456" t="s">
        <v>109</v>
      </c>
      <c r="F1456" t="s">
        <v>21</v>
      </c>
      <c r="G1456" t="s">
        <v>76</v>
      </c>
      <c r="H1456" t="s">
        <v>77</v>
      </c>
      <c r="J1456" s="20">
        <v>0</v>
      </c>
    </row>
    <row r="1457" spans="2:10" x14ac:dyDescent="0.25">
      <c r="B1457" t="s">
        <v>6</v>
      </c>
      <c r="C1457" t="s">
        <v>306</v>
      </c>
      <c r="D1457">
        <v>701627</v>
      </c>
      <c r="E1457" t="s">
        <v>110</v>
      </c>
      <c r="F1457" t="s">
        <v>21</v>
      </c>
      <c r="G1457" t="s">
        <v>76</v>
      </c>
      <c r="H1457" t="s">
        <v>77</v>
      </c>
      <c r="J1457" s="20">
        <v>0</v>
      </c>
    </row>
    <row r="1458" spans="2:10" x14ac:dyDescent="0.25">
      <c r="B1458" t="s">
        <v>6</v>
      </c>
      <c r="C1458" t="s">
        <v>306</v>
      </c>
      <c r="D1458">
        <v>701727</v>
      </c>
      <c r="E1458" t="s">
        <v>111</v>
      </c>
      <c r="F1458" t="s">
        <v>21</v>
      </c>
      <c r="G1458" t="s">
        <v>76</v>
      </c>
      <c r="H1458" t="s">
        <v>77</v>
      </c>
      <c r="J1458" s="20">
        <v>0</v>
      </c>
    </row>
    <row r="1459" spans="2:10" x14ac:dyDescent="0.25">
      <c r="B1459" t="s">
        <v>6</v>
      </c>
      <c r="C1459" t="s">
        <v>306</v>
      </c>
      <c r="D1459">
        <v>701801</v>
      </c>
      <c r="E1459" t="s">
        <v>112</v>
      </c>
      <c r="F1459" t="s">
        <v>21</v>
      </c>
      <c r="G1459" t="s">
        <v>76</v>
      </c>
      <c r="H1459" t="s">
        <v>77</v>
      </c>
      <c r="J1459" s="20">
        <v>0</v>
      </c>
    </row>
    <row r="1460" spans="2:10" x14ac:dyDescent="0.25">
      <c r="B1460" t="s">
        <v>6</v>
      </c>
      <c r="C1460" t="s">
        <v>306</v>
      </c>
      <c r="D1460">
        <v>701802</v>
      </c>
      <c r="E1460" t="s">
        <v>113</v>
      </c>
      <c r="F1460" t="s">
        <v>21</v>
      </c>
      <c r="G1460" t="s">
        <v>61</v>
      </c>
      <c r="H1460" t="s">
        <v>62</v>
      </c>
      <c r="J1460" s="20">
        <v>0</v>
      </c>
    </row>
    <row r="1461" spans="2:10" x14ac:dyDescent="0.25">
      <c r="B1461" t="s">
        <v>6</v>
      </c>
      <c r="C1461" t="s">
        <v>306</v>
      </c>
      <c r="D1461">
        <v>703010</v>
      </c>
      <c r="E1461" t="s">
        <v>114</v>
      </c>
      <c r="F1461" t="s">
        <v>21</v>
      </c>
      <c r="G1461" t="s">
        <v>22</v>
      </c>
      <c r="H1461" t="s">
        <v>115</v>
      </c>
      <c r="J1461" s="20">
        <v>0</v>
      </c>
    </row>
    <row r="1462" spans="2:10" x14ac:dyDescent="0.25">
      <c r="B1462" t="s">
        <v>6</v>
      </c>
      <c r="C1462" t="s">
        <v>306</v>
      </c>
      <c r="D1462">
        <v>703011</v>
      </c>
      <c r="E1462" t="s">
        <v>116</v>
      </c>
      <c r="F1462" t="s">
        <v>21</v>
      </c>
      <c r="G1462" t="s">
        <v>22</v>
      </c>
      <c r="H1462" t="s">
        <v>115</v>
      </c>
      <c r="J1462" s="20">
        <v>0</v>
      </c>
    </row>
    <row r="1463" spans="2:10" x14ac:dyDescent="0.25">
      <c r="B1463" t="s">
        <v>6</v>
      </c>
      <c r="C1463" t="s">
        <v>306</v>
      </c>
      <c r="D1463">
        <v>703012</v>
      </c>
      <c r="E1463" t="s">
        <v>117</v>
      </c>
      <c r="F1463" t="s">
        <v>21</v>
      </c>
      <c r="G1463" t="s">
        <v>22</v>
      </c>
      <c r="H1463" t="s">
        <v>115</v>
      </c>
      <c r="J1463" s="20">
        <v>0</v>
      </c>
    </row>
    <row r="1464" spans="2:10" x14ac:dyDescent="0.25">
      <c r="B1464" t="s">
        <v>6</v>
      </c>
      <c r="C1464" t="s">
        <v>306</v>
      </c>
      <c r="D1464">
        <v>703013</v>
      </c>
      <c r="E1464" t="s">
        <v>118</v>
      </c>
      <c r="F1464" t="s">
        <v>21</v>
      </c>
      <c r="G1464" t="s">
        <v>22</v>
      </c>
      <c r="H1464" t="s">
        <v>115</v>
      </c>
      <c r="J1464" s="20">
        <v>0</v>
      </c>
    </row>
    <row r="1465" spans="2:10" x14ac:dyDescent="0.25">
      <c r="B1465" t="s">
        <v>6</v>
      </c>
      <c r="C1465" t="s">
        <v>306</v>
      </c>
      <c r="D1465">
        <v>703014</v>
      </c>
      <c r="E1465" t="s">
        <v>119</v>
      </c>
      <c r="F1465" t="s">
        <v>21</v>
      </c>
      <c r="G1465" t="s">
        <v>22</v>
      </c>
      <c r="H1465" t="s">
        <v>115</v>
      </c>
      <c r="J1465" s="20">
        <v>0</v>
      </c>
    </row>
    <row r="1466" spans="2:10" x14ac:dyDescent="0.25">
      <c r="B1466" t="s">
        <v>6</v>
      </c>
      <c r="C1466" t="s">
        <v>306</v>
      </c>
      <c r="D1466">
        <v>703015</v>
      </c>
      <c r="E1466" t="s">
        <v>120</v>
      </c>
      <c r="F1466" t="s">
        <v>21</v>
      </c>
      <c r="G1466" t="s">
        <v>22</v>
      </c>
      <c r="H1466" t="s">
        <v>115</v>
      </c>
      <c r="J1466" s="20">
        <v>0</v>
      </c>
    </row>
    <row r="1467" spans="2:10" x14ac:dyDescent="0.25">
      <c r="B1467" t="s">
        <v>6</v>
      </c>
      <c r="C1467" t="s">
        <v>306</v>
      </c>
      <c r="D1467">
        <v>703016</v>
      </c>
      <c r="E1467" t="s">
        <v>121</v>
      </c>
      <c r="F1467" t="s">
        <v>21</v>
      </c>
      <c r="G1467" t="s">
        <v>22</v>
      </c>
      <c r="H1467" t="s">
        <v>115</v>
      </c>
      <c r="J1467" s="20">
        <v>0</v>
      </c>
    </row>
    <row r="1468" spans="2:10" x14ac:dyDescent="0.25">
      <c r="B1468" t="s">
        <v>6</v>
      </c>
      <c r="C1468" t="s">
        <v>306</v>
      </c>
      <c r="D1468">
        <v>703017</v>
      </c>
      <c r="E1468" t="s">
        <v>122</v>
      </c>
      <c r="F1468" t="s">
        <v>21</v>
      </c>
      <c r="G1468" t="s">
        <v>22</v>
      </c>
      <c r="H1468" t="s">
        <v>115</v>
      </c>
      <c r="J1468" s="20">
        <v>0</v>
      </c>
    </row>
    <row r="1469" spans="2:10" x14ac:dyDescent="0.25">
      <c r="B1469" t="s">
        <v>6</v>
      </c>
      <c r="C1469" t="s">
        <v>306</v>
      </c>
      <c r="D1469">
        <v>703018</v>
      </c>
      <c r="E1469" t="s">
        <v>123</v>
      </c>
      <c r="F1469" t="s">
        <v>21</v>
      </c>
      <c r="G1469" t="s">
        <v>22</v>
      </c>
      <c r="H1469" t="s">
        <v>115</v>
      </c>
      <c r="J1469" s="20">
        <v>0</v>
      </c>
    </row>
    <row r="1470" spans="2:10" x14ac:dyDescent="0.25">
      <c r="B1470" t="s">
        <v>6</v>
      </c>
      <c r="C1470" t="s">
        <v>306</v>
      </c>
      <c r="D1470">
        <v>703019</v>
      </c>
      <c r="E1470" t="s">
        <v>124</v>
      </c>
      <c r="F1470" t="s">
        <v>21</v>
      </c>
      <c r="G1470" t="s">
        <v>22</v>
      </c>
      <c r="H1470" t="s">
        <v>115</v>
      </c>
      <c r="J1470" s="20">
        <v>0</v>
      </c>
    </row>
    <row r="1471" spans="2:10" x14ac:dyDescent="0.25">
      <c r="B1471" t="s">
        <v>6</v>
      </c>
      <c r="C1471" t="s">
        <v>306</v>
      </c>
      <c r="D1471">
        <v>703210</v>
      </c>
      <c r="E1471" t="s">
        <v>125</v>
      </c>
      <c r="F1471" t="s">
        <v>21</v>
      </c>
      <c r="G1471" t="s">
        <v>22</v>
      </c>
      <c r="H1471" t="s">
        <v>23</v>
      </c>
      <c r="J1471" s="20">
        <v>0</v>
      </c>
    </row>
    <row r="1472" spans="2:10" x14ac:dyDescent="0.25">
      <c r="B1472" t="s">
        <v>6</v>
      </c>
      <c r="C1472" t="s">
        <v>306</v>
      </c>
      <c r="D1472">
        <v>703211</v>
      </c>
      <c r="E1472" t="s">
        <v>126</v>
      </c>
      <c r="F1472" t="s">
        <v>21</v>
      </c>
      <c r="G1472" t="s">
        <v>22</v>
      </c>
      <c r="H1472" t="s">
        <v>23</v>
      </c>
      <c r="J1472" s="20">
        <v>0</v>
      </c>
    </row>
    <row r="1473" spans="2:10" x14ac:dyDescent="0.25">
      <c r="B1473" t="s">
        <v>6</v>
      </c>
      <c r="C1473" t="s">
        <v>306</v>
      </c>
      <c r="D1473">
        <v>703212</v>
      </c>
      <c r="E1473" t="s">
        <v>127</v>
      </c>
      <c r="F1473" t="s">
        <v>21</v>
      </c>
      <c r="G1473" t="s">
        <v>22</v>
      </c>
      <c r="H1473" t="s">
        <v>23</v>
      </c>
      <c r="J1473" s="20">
        <v>0</v>
      </c>
    </row>
    <row r="1474" spans="2:10" x14ac:dyDescent="0.25">
      <c r="B1474" t="s">
        <v>6</v>
      </c>
      <c r="C1474" t="s">
        <v>306</v>
      </c>
      <c r="D1474">
        <v>703213</v>
      </c>
      <c r="E1474" t="s">
        <v>128</v>
      </c>
      <c r="F1474" t="s">
        <v>21</v>
      </c>
      <c r="G1474" t="s">
        <v>22</v>
      </c>
      <c r="H1474" t="s">
        <v>23</v>
      </c>
      <c r="J1474" s="20">
        <v>0</v>
      </c>
    </row>
    <row r="1475" spans="2:10" x14ac:dyDescent="0.25">
      <c r="B1475" t="s">
        <v>6</v>
      </c>
      <c r="C1475" t="s">
        <v>306</v>
      </c>
      <c r="D1475">
        <v>703214</v>
      </c>
      <c r="E1475" t="s">
        <v>129</v>
      </c>
      <c r="F1475" t="s">
        <v>21</v>
      </c>
      <c r="G1475" t="s">
        <v>22</v>
      </c>
      <c r="H1475" t="s">
        <v>23</v>
      </c>
      <c r="J1475" s="20">
        <v>0</v>
      </c>
    </row>
    <row r="1476" spans="2:10" x14ac:dyDescent="0.25">
      <c r="B1476" t="s">
        <v>6</v>
      </c>
      <c r="C1476" t="s">
        <v>306</v>
      </c>
      <c r="D1476">
        <v>703215</v>
      </c>
      <c r="E1476" t="s">
        <v>130</v>
      </c>
      <c r="F1476" t="s">
        <v>21</v>
      </c>
      <c r="G1476" t="s">
        <v>22</v>
      </c>
      <c r="H1476" t="s">
        <v>23</v>
      </c>
      <c r="J1476" s="20">
        <v>0</v>
      </c>
    </row>
    <row r="1477" spans="2:10" x14ac:dyDescent="0.25">
      <c r="B1477" t="s">
        <v>6</v>
      </c>
      <c r="C1477" t="s">
        <v>306</v>
      </c>
      <c r="D1477">
        <v>703216</v>
      </c>
      <c r="E1477" t="s">
        <v>131</v>
      </c>
      <c r="F1477" t="s">
        <v>21</v>
      </c>
      <c r="G1477" t="s">
        <v>22</v>
      </c>
      <c r="H1477" t="s">
        <v>23</v>
      </c>
      <c r="J1477" s="20">
        <v>0</v>
      </c>
    </row>
    <row r="1478" spans="2:10" x14ac:dyDescent="0.25">
      <c r="B1478" t="s">
        <v>6</v>
      </c>
      <c r="C1478" t="s">
        <v>306</v>
      </c>
      <c r="D1478">
        <v>703217</v>
      </c>
      <c r="E1478" t="s">
        <v>132</v>
      </c>
      <c r="F1478" t="s">
        <v>21</v>
      </c>
      <c r="G1478" t="s">
        <v>22</v>
      </c>
      <c r="H1478" t="s">
        <v>23</v>
      </c>
      <c r="J1478" s="20">
        <v>0</v>
      </c>
    </row>
    <row r="1479" spans="2:10" x14ac:dyDescent="0.25">
      <c r="B1479" t="s">
        <v>6</v>
      </c>
      <c r="C1479" t="s">
        <v>306</v>
      </c>
      <c r="D1479">
        <v>703219</v>
      </c>
      <c r="E1479" t="s">
        <v>133</v>
      </c>
      <c r="F1479" t="s">
        <v>21</v>
      </c>
      <c r="G1479" t="s">
        <v>22</v>
      </c>
      <c r="H1479" t="s">
        <v>23</v>
      </c>
      <c r="J1479" s="20">
        <v>0</v>
      </c>
    </row>
    <row r="1480" spans="2:10" x14ac:dyDescent="0.25">
      <c r="B1480" t="s">
        <v>6</v>
      </c>
      <c r="C1480" t="s">
        <v>306</v>
      </c>
      <c r="D1480">
        <v>703220</v>
      </c>
      <c r="E1480" t="s">
        <v>134</v>
      </c>
      <c r="F1480" t="s">
        <v>21</v>
      </c>
      <c r="G1480" t="s">
        <v>71</v>
      </c>
      <c r="H1480" t="s">
        <v>135</v>
      </c>
      <c r="J1480" s="20">
        <v>0</v>
      </c>
    </row>
    <row r="1481" spans="2:10" x14ac:dyDescent="0.25">
      <c r="B1481" t="s">
        <v>6</v>
      </c>
      <c r="C1481" t="s">
        <v>306</v>
      </c>
      <c r="D1481">
        <v>703221</v>
      </c>
      <c r="E1481" t="s">
        <v>136</v>
      </c>
      <c r="F1481" t="s">
        <v>21</v>
      </c>
      <c r="G1481" t="s">
        <v>137</v>
      </c>
      <c r="H1481" t="s">
        <v>138</v>
      </c>
      <c r="J1481" s="20">
        <v>0</v>
      </c>
    </row>
    <row r="1482" spans="2:10" x14ac:dyDescent="0.25">
      <c r="B1482" t="s">
        <v>6</v>
      </c>
      <c r="C1482" t="s">
        <v>306</v>
      </c>
      <c r="D1482">
        <v>703222</v>
      </c>
      <c r="E1482" t="s">
        <v>139</v>
      </c>
      <c r="F1482" t="s">
        <v>21</v>
      </c>
      <c r="G1482" t="s">
        <v>137</v>
      </c>
      <c r="H1482" t="s">
        <v>138</v>
      </c>
      <c r="J1482" s="20">
        <v>0</v>
      </c>
    </row>
    <row r="1483" spans="2:10" x14ac:dyDescent="0.25">
      <c r="B1483" t="s">
        <v>6</v>
      </c>
      <c r="C1483" t="s">
        <v>306</v>
      </c>
      <c r="D1483">
        <v>703223</v>
      </c>
      <c r="E1483" t="s">
        <v>140</v>
      </c>
      <c r="F1483" t="s">
        <v>21</v>
      </c>
      <c r="G1483" t="s">
        <v>137</v>
      </c>
      <c r="H1483" t="s">
        <v>141</v>
      </c>
      <c r="J1483" s="20">
        <v>0</v>
      </c>
    </row>
    <row r="1484" spans="2:10" x14ac:dyDescent="0.25">
      <c r="B1484" t="s">
        <v>6</v>
      </c>
      <c r="C1484" t="s">
        <v>306</v>
      </c>
      <c r="D1484">
        <v>703224</v>
      </c>
      <c r="E1484" t="s">
        <v>142</v>
      </c>
      <c r="F1484" t="s">
        <v>21</v>
      </c>
      <c r="G1484" t="s">
        <v>71</v>
      </c>
      <c r="H1484" t="s">
        <v>88</v>
      </c>
      <c r="J1484" s="20">
        <v>0</v>
      </c>
    </row>
    <row r="1485" spans="2:10" x14ac:dyDescent="0.25">
      <c r="B1485" t="s">
        <v>6</v>
      </c>
      <c r="C1485" t="s">
        <v>306</v>
      </c>
      <c r="D1485">
        <v>703225</v>
      </c>
      <c r="E1485" t="s">
        <v>143</v>
      </c>
      <c r="F1485" t="s">
        <v>21</v>
      </c>
      <c r="G1485" t="s">
        <v>71</v>
      </c>
      <c r="H1485" t="s">
        <v>88</v>
      </c>
      <c r="J1485" s="20">
        <v>0</v>
      </c>
    </row>
    <row r="1486" spans="2:10" x14ac:dyDescent="0.25">
      <c r="B1486" t="s">
        <v>6</v>
      </c>
      <c r="C1486" t="s">
        <v>306</v>
      </c>
      <c r="D1486">
        <v>703226</v>
      </c>
      <c r="E1486" t="s">
        <v>144</v>
      </c>
      <c r="F1486" t="s">
        <v>21</v>
      </c>
      <c r="G1486" t="s">
        <v>71</v>
      </c>
      <c r="H1486" t="s">
        <v>82</v>
      </c>
      <c r="J1486" s="20">
        <v>0</v>
      </c>
    </row>
    <row r="1487" spans="2:10" x14ac:dyDescent="0.25">
      <c r="B1487" t="s">
        <v>6</v>
      </c>
      <c r="C1487" t="s">
        <v>306</v>
      </c>
      <c r="D1487">
        <v>703227</v>
      </c>
      <c r="E1487" t="s">
        <v>145</v>
      </c>
      <c r="F1487" t="s">
        <v>21</v>
      </c>
      <c r="G1487" t="s">
        <v>137</v>
      </c>
      <c r="H1487" t="s">
        <v>138</v>
      </c>
      <c r="J1487" s="20">
        <v>0</v>
      </c>
    </row>
    <row r="1488" spans="2:10" x14ac:dyDescent="0.25">
      <c r="B1488" t="s">
        <v>6</v>
      </c>
      <c r="C1488" t="s">
        <v>306</v>
      </c>
      <c r="D1488">
        <v>703228</v>
      </c>
      <c r="E1488" t="s">
        <v>146</v>
      </c>
      <c r="F1488" t="s">
        <v>21</v>
      </c>
      <c r="G1488" t="s">
        <v>147</v>
      </c>
      <c r="H1488" t="s">
        <v>147</v>
      </c>
      <c r="J1488" s="20">
        <v>0</v>
      </c>
    </row>
    <row r="1489" spans="2:10" x14ac:dyDescent="0.25">
      <c r="B1489" t="s">
        <v>6</v>
      </c>
      <c r="C1489" t="s">
        <v>306</v>
      </c>
      <c r="D1489">
        <v>703229</v>
      </c>
      <c r="E1489" t="s">
        <v>148</v>
      </c>
      <c r="F1489" t="s">
        <v>21</v>
      </c>
      <c r="G1489" t="s">
        <v>147</v>
      </c>
      <c r="H1489" t="s">
        <v>147</v>
      </c>
      <c r="J1489" s="20">
        <v>0</v>
      </c>
    </row>
    <row r="1490" spans="2:10" x14ac:dyDescent="0.25">
      <c r="B1490" t="s">
        <v>6</v>
      </c>
      <c r="C1490" t="s">
        <v>306</v>
      </c>
      <c r="D1490">
        <v>703230</v>
      </c>
      <c r="E1490" t="s">
        <v>149</v>
      </c>
      <c r="F1490" t="s">
        <v>21</v>
      </c>
      <c r="G1490" t="s">
        <v>147</v>
      </c>
      <c r="H1490" t="s">
        <v>147</v>
      </c>
      <c r="J1490" s="20">
        <v>0</v>
      </c>
    </row>
    <row r="1491" spans="2:10" x14ac:dyDescent="0.25">
      <c r="B1491" t="s">
        <v>6</v>
      </c>
      <c r="C1491" t="s">
        <v>306</v>
      </c>
      <c r="D1491">
        <v>703231</v>
      </c>
      <c r="E1491" t="s">
        <v>150</v>
      </c>
      <c r="F1491" t="s">
        <v>21</v>
      </c>
      <c r="G1491" t="s">
        <v>137</v>
      </c>
      <c r="H1491" t="s">
        <v>141</v>
      </c>
      <c r="J1491" s="20">
        <v>0</v>
      </c>
    </row>
    <row r="1492" spans="2:10" x14ac:dyDescent="0.25">
      <c r="B1492" t="s">
        <v>6</v>
      </c>
      <c r="C1492" t="s">
        <v>306</v>
      </c>
      <c r="D1492">
        <v>703232</v>
      </c>
      <c r="E1492" t="s">
        <v>151</v>
      </c>
      <c r="F1492" t="s">
        <v>21</v>
      </c>
      <c r="G1492" t="s">
        <v>147</v>
      </c>
      <c r="H1492" t="s">
        <v>147</v>
      </c>
      <c r="J1492" s="20">
        <v>0</v>
      </c>
    </row>
    <row r="1493" spans="2:10" x14ac:dyDescent="0.25">
      <c r="B1493" t="s">
        <v>6</v>
      </c>
      <c r="C1493" t="s">
        <v>306</v>
      </c>
      <c r="D1493">
        <v>703233</v>
      </c>
      <c r="E1493" t="s">
        <v>152</v>
      </c>
      <c r="F1493" t="s">
        <v>21</v>
      </c>
      <c r="G1493" t="s">
        <v>71</v>
      </c>
      <c r="H1493" t="s">
        <v>153</v>
      </c>
      <c r="J1493" s="20">
        <v>0</v>
      </c>
    </row>
    <row r="1494" spans="2:10" x14ac:dyDescent="0.25">
      <c r="B1494" t="s">
        <v>6</v>
      </c>
      <c r="C1494" t="s">
        <v>306</v>
      </c>
      <c r="D1494">
        <v>703234</v>
      </c>
      <c r="E1494" t="s">
        <v>154</v>
      </c>
      <c r="F1494" t="s">
        <v>21</v>
      </c>
      <c r="G1494" t="s">
        <v>71</v>
      </c>
      <c r="H1494" t="s">
        <v>153</v>
      </c>
      <c r="J1494" s="20">
        <v>0</v>
      </c>
    </row>
    <row r="1495" spans="2:10" x14ac:dyDescent="0.25">
      <c r="B1495" t="s">
        <v>6</v>
      </c>
      <c r="C1495" t="s">
        <v>306</v>
      </c>
      <c r="D1495">
        <v>703235</v>
      </c>
      <c r="E1495" t="s">
        <v>155</v>
      </c>
      <c r="F1495" t="s">
        <v>21</v>
      </c>
      <c r="G1495" t="s">
        <v>71</v>
      </c>
      <c r="H1495" t="s">
        <v>153</v>
      </c>
      <c r="J1495" s="20">
        <v>0</v>
      </c>
    </row>
    <row r="1496" spans="2:10" x14ac:dyDescent="0.25">
      <c r="B1496" t="s">
        <v>6</v>
      </c>
      <c r="C1496" t="s">
        <v>306</v>
      </c>
      <c r="D1496">
        <v>703236</v>
      </c>
      <c r="E1496" t="s">
        <v>156</v>
      </c>
      <c r="F1496" t="s">
        <v>21</v>
      </c>
      <c r="G1496" t="s">
        <v>76</v>
      </c>
      <c r="H1496" t="s">
        <v>77</v>
      </c>
      <c r="J1496" s="20">
        <v>0</v>
      </c>
    </row>
    <row r="1497" spans="2:10" x14ac:dyDescent="0.25">
      <c r="B1497" t="s">
        <v>6</v>
      </c>
      <c r="C1497" t="s">
        <v>306</v>
      </c>
      <c r="D1497">
        <v>703237</v>
      </c>
      <c r="E1497" t="s">
        <v>157</v>
      </c>
      <c r="F1497" t="s">
        <v>21</v>
      </c>
      <c r="G1497" t="s">
        <v>22</v>
      </c>
      <c r="H1497" t="s">
        <v>23</v>
      </c>
      <c r="J1497" s="20">
        <v>0</v>
      </c>
    </row>
    <row r="1498" spans="2:10" x14ac:dyDescent="0.25">
      <c r="B1498" t="s">
        <v>6</v>
      </c>
      <c r="C1498" t="s">
        <v>306</v>
      </c>
      <c r="D1498">
        <v>703238</v>
      </c>
      <c r="E1498" t="s">
        <v>158</v>
      </c>
      <c r="F1498" t="s">
        <v>21</v>
      </c>
      <c r="G1498" t="s">
        <v>61</v>
      </c>
      <c r="H1498" t="s">
        <v>68</v>
      </c>
      <c r="J1498" s="20">
        <v>0</v>
      </c>
    </row>
    <row r="1499" spans="2:10" x14ac:dyDescent="0.25">
      <c r="B1499" t="s">
        <v>6</v>
      </c>
      <c r="C1499" t="s">
        <v>306</v>
      </c>
      <c r="D1499">
        <v>703239</v>
      </c>
      <c r="E1499" t="s">
        <v>159</v>
      </c>
      <c r="F1499" t="s">
        <v>21</v>
      </c>
      <c r="G1499" t="s">
        <v>61</v>
      </c>
      <c r="H1499" t="s">
        <v>68</v>
      </c>
      <c r="J1499" s="20">
        <v>0</v>
      </c>
    </row>
    <row r="1500" spans="2:10" x14ac:dyDescent="0.25">
      <c r="B1500" t="s">
        <v>6</v>
      </c>
      <c r="C1500" t="s">
        <v>306</v>
      </c>
      <c r="D1500">
        <v>703240</v>
      </c>
      <c r="E1500" t="s">
        <v>160</v>
      </c>
      <c r="F1500" t="s">
        <v>21</v>
      </c>
      <c r="G1500" t="s">
        <v>61</v>
      </c>
      <c r="H1500" t="s">
        <v>68</v>
      </c>
      <c r="J1500" s="20">
        <v>0</v>
      </c>
    </row>
    <row r="1501" spans="2:10" x14ac:dyDescent="0.25">
      <c r="B1501" t="s">
        <v>6</v>
      </c>
      <c r="C1501" t="s">
        <v>306</v>
      </c>
      <c r="D1501">
        <v>703241</v>
      </c>
      <c r="E1501" t="s">
        <v>161</v>
      </c>
      <c r="F1501" t="s">
        <v>21</v>
      </c>
      <c r="G1501" t="s">
        <v>137</v>
      </c>
      <c r="H1501" t="s">
        <v>141</v>
      </c>
      <c r="J1501" s="20">
        <v>0</v>
      </c>
    </row>
    <row r="1502" spans="2:10" x14ac:dyDescent="0.25">
      <c r="B1502" t="s">
        <v>6</v>
      </c>
      <c r="C1502" t="s">
        <v>306</v>
      </c>
      <c r="D1502">
        <v>703242</v>
      </c>
      <c r="E1502" t="s">
        <v>162</v>
      </c>
      <c r="F1502" t="s">
        <v>21</v>
      </c>
      <c r="G1502" t="s">
        <v>137</v>
      </c>
      <c r="H1502" t="s">
        <v>141</v>
      </c>
      <c r="J1502" s="20">
        <v>0</v>
      </c>
    </row>
    <row r="1503" spans="2:10" x14ac:dyDescent="0.25">
      <c r="B1503" t="s">
        <v>6</v>
      </c>
      <c r="C1503" t="s">
        <v>306</v>
      </c>
      <c r="D1503">
        <v>703243</v>
      </c>
      <c r="E1503" t="s">
        <v>163</v>
      </c>
      <c r="F1503" t="s">
        <v>21</v>
      </c>
      <c r="G1503" t="s">
        <v>137</v>
      </c>
      <c r="H1503" t="s">
        <v>141</v>
      </c>
      <c r="J1503" s="20">
        <v>0</v>
      </c>
    </row>
    <row r="1504" spans="2:10" x14ac:dyDescent="0.25">
      <c r="B1504" t="s">
        <v>6</v>
      </c>
      <c r="C1504" t="s">
        <v>306</v>
      </c>
      <c r="D1504">
        <v>703244</v>
      </c>
      <c r="E1504" t="s">
        <v>164</v>
      </c>
      <c r="F1504" t="s">
        <v>21</v>
      </c>
      <c r="G1504" t="s">
        <v>71</v>
      </c>
      <c r="H1504" t="s">
        <v>88</v>
      </c>
      <c r="J1504" s="20">
        <v>0</v>
      </c>
    </row>
    <row r="1505" spans="2:10" x14ac:dyDescent="0.25">
      <c r="B1505" t="s">
        <v>6</v>
      </c>
      <c r="C1505" t="s">
        <v>306</v>
      </c>
      <c r="D1505">
        <v>703245</v>
      </c>
      <c r="E1505" t="s">
        <v>165</v>
      </c>
      <c r="F1505" t="s">
        <v>21</v>
      </c>
      <c r="G1505" t="s">
        <v>137</v>
      </c>
      <c r="H1505" t="s">
        <v>138</v>
      </c>
      <c r="J1505" s="20">
        <v>0</v>
      </c>
    </row>
    <row r="1506" spans="2:10" x14ac:dyDescent="0.25">
      <c r="B1506" t="s">
        <v>6</v>
      </c>
      <c r="C1506" t="s">
        <v>306</v>
      </c>
      <c r="D1506">
        <v>703246</v>
      </c>
      <c r="E1506" t="s">
        <v>166</v>
      </c>
      <c r="F1506" t="s">
        <v>21</v>
      </c>
      <c r="G1506" t="s">
        <v>137</v>
      </c>
      <c r="H1506" t="s">
        <v>138</v>
      </c>
      <c r="J1506" s="20">
        <v>0</v>
      </c>
    </row>
    <row r="1507" spans="2:10" x14ac:dyDescent="0.25">
      <c r="B1507" t="s">
        <v>6</v>
      </c>
      <c r="C1507" t="s">
        <v>306</v>
      </c>
      <c r="D1507">
        <v>703247</v>
      </c>
      <c r="E1507" t="s">
        <v>167</v>
      </c>
      <c r="F1507" t="s">
        <v>21</v>
      </c>
      <c r="G1507" t="s">
        <v>137</v>
      </c>
      <c r="H1507" t="s">
        <v>138</v>
      </c>
      <c r="J1507" s="20">
        <v>0</v>
      </c>
    </row>
    <row r="1508" spans="2:10" x14ac:dyDescent="0.25">
      <c r="B1508" t="s">
        <v>6</v>
      </c>
      <c r="C1508" t="s">
        <v>306</v>
      </c>
      <c r="D1508">
        <v>703248</v>
      </c>
      <c r="E1508" t="s">
        <v>168</v>
      </c>
      <c r="F1508" t="s">
        <v>21</v>
      </c>
      <c r="G1508" t="s">
        <v>137</v>
      </c>
      <c r="H1508" t="s">
        <v>141</v>
      </c>
      <c r="J1508" s="20">
        <v>0</v>
      </c>
    </row>
    <row r="1509" spans="2:10" x14ac:dyDescent="0.25">
      <c r="B1509" t="s">
        <v>6</v>
      </c>
      <c r="C1509" t="s">
        <v>306</v>
      </c>
      <c r="D1509">
        <v>703249</v>
      </c>
      <c r="E1509" t="s">
        <v>169</v>
      </c>
      <c r="F1509" t="s">
        <v>21</v>
      </c>
      <c r="G1509" t="s">
        <v>147</v>
      </c>
      <c r="H1509" t="s">
        <v>147</v>
      </c>
      <c r="J1509" s="20">
        <v>0</v>
      </c>
    </row>
    <row r="1510" spans="2:10" x14ac:dyDescent="0.25">
      <c r="B1510" t="s">
        <v>6</v>
      </c>
      <c r="C1510" t="s">
        <v>306</v>
      </c>
      <c r="D1510">
        <v>703250</v>
      </c>
      <c r="E1510" t="s">
        <v>170</v>
      </c>
      <c r="F1510" t="s">
        <v>21</v>
      </c>
      <c r="G1510" t="s">
        <v>71</v>
      </c>
      <c r="H1510" t="s">
        <v>171</v>
      </c>
      <c r="J1510" s="20">
        <v>0</v>
      </c>
    </row>
    <row r="1511" spans="2:10" x14ac:dyDescent="0.25">
      <c r="B1511" t="s">
        <v>6</v>
      </c>
      <c r="C1511" t="s">
        <v>306</v>
      </c>
      <c r="D1511">
        <v>703251</v>
      </c>
      <c r="E1511" t="s">
        <v>172</v>
      </c>
      <c r="F1511" t="s">
        <v>21</v>
      </c>
      <c r="G1511" t="s">
        <v>22</v>
      </c>
      <c r="H1511" t="s">
        <v>115</v>
      </c>
      <c r="J1511" s="20">
        <v>0</v>
      </c>
    </row>
    <row r="1512" spans="2:10" x14ac:dyDescent="0.25">
      <c r="B1512" t="s">
        <v>6</v>
      </c>
      <c r="C1512" t="s">
        <v>306</v>
      </c>
      <c r="D1512">
        <v>703252</v>
      </c>
      <c r="E1512" t="s">
        <v>173</v>
      </c>
      <c r="F1512" t="s">
        <v>21</v>
      </c>
      <c r="G1512" t="s">
        <v>22</v>
      </c>
      <c r="H1512" t="s">
        <v>115</v>
      </c>
      <c r="J1512" s="20">
        <v>0</v>
      </c>
    </row>
    <row r="1513" spans="2:10" x14ac:dyDescent="0.25">
      <c r="B1513" t="s">
        <v>6</v>
      </c>
      <c r="C1513" t="s">
        <v>306</v>
      </c>
      <c r="D1513">
        <v>703253</v>
      </c>
      <c r="E1513" t="s">
        <v>174</v>
      </c>
      <c r="F1513" t="s">
        <v>21</v>
      </c>
      <c r="G1513" t="s">
        <v>22</v>
      </c>
      <c r="H1513" t="s">
        <v>115</v>
      </c>
      <c r="J1513" s="20">
        <v>0</v>
      </c>
    </row>
    <row r="1514" spans="2:10" x14ac:dyDescent="0.25">
      <c r="B1514" t="s">
        <v>6</v>
      </c>
      <c r="C1514" t="s">
        <v>306</v>
      </c>
      <c r="D1514">
        <v>703254</v>
      </c>
      <c r="E1514" t="s">
        <v>175</v>
      </c>
      <c r="F1514" t="s">
        <v>21</v>
      </c>
      <c r="G1514" t="s">
        <v>22</v>
      </c>
      <c r="H1514" t="s">
        <v>115</v>
      </c>
      <c r="J1514" s="20">
        <v>0</v>
      </c>
    </row>
    <row r="1515" spans="2:10" x14ac:dyDescent="0.25">
      <c r="B1515" t="s">
        <v>6</v>
      </c>
      <c r="C1515" t="s">
        <v>306</v>
      </c>
      <c r="D1515">
        <v>703255</v>
      </c>
      <c r="E1515" t="s">
        <v>176</v>
      </c>
      <c r="F1515" t="s">
        <v>21</v>
      </c>
      <c r="G1515" t="s">
        <v>22</v>
      </c>
      <c r="H1515" t="s">
        <v>115</v>
      </c>
      <c r="J1515" s="20">
        <v>0</v>
      </c>
    </row>
    <row r="1516" spans="2:10" x14ac:dyDescent="0.25">
      <c r="B1516" t="s">
        <v>6</v>
      </c>
      <c r="C1516" t="s">
        <v>306</v>
      </c>
      <c r="D1516">
        <v>703257</v>
      </c>
      <c r="E1516" t="s">
        <v>177</v>
      </c>
      <c r="F1516" t="s">
        <v>21</v>
      </c>
      <c r="G1516" t="s">
        <v>147</v>
      </c>
      <c r="H1516" t="s">
        <v>147</v>
      </c>
      <c r="J1516" s="20">
        <v>0</v>
      </c>
    </row>
    <row r="1517" spans="2:10" x14ac:dyDescent="0.25">
      <c r="B1517" t="s">
        <v>6</v>
      </c>
      <c r="C1517" t="s">
        <v>306</v>
      </c>
      <c r="D1517">
        <v>703258</v>
      </c>
      <c r="E1517" t="s">
        <v>178</v>
      </c>
      <c r="F1517" t="s">
        <v>21</v>
      </c>
      <c r="G1517" t="s">
        <v>147</v>
      </c>
      <c r="H1517" t="s">
        <v>147</v>
      </c>
      <c r="J1517" s="20">
        <v>0</v>
      </c>
    </row>
    <row r="1518" spans="2:10" x14ac:dyDescent="0.25">
      <c r="B1518" t="s">
        <v>6</v>
      </c>
      <c r="C1518" t="s">
        <v>306</v>
      </c>
      <c r="D1518">
        <v>703260</v>
      </c>
      <c r="E1518" t="s">
        <v>179</v>
      </c>
      <c r="F1518" t="s">
        <v>21</v>
      </c>
      <c r="G1518" t="s">
        <v>76</v>
      </c>
      <c r="H1518" t="s">
        <v>77</v>
      </c>
      <c r="J1518" s="20">
        <v>0</v>
      </c>
    </row>
    <row r="1519" spans="2:10" x14ac:dyDescent="0.25">
      <c r="B1519" t="s">
        <v>6</v>
      </c>
      <c r="C1519" t="s">
        <v>306</v>
      </c>
      <c r="D1519">
        <v>703261</v>
      </c>
      <c r="E1519" t="s">
        <v>180</v>
      </c>
      <c r="F1519" t="s">
        <v>21</v>
      </c>
      <c r="G1519" t="s">
        <v>22</v>
      </c>
      <c r="H1519" t="s">
        <v>115</v>
      </c>
      <c r="J1519" s="20">
        <v>0</v>
      </c>
    </row>
    <row r="1520" spans="2:10" x14ac:dyDescent="0.25">
      <c r="B1520" t="s">
        <v>6</v>
      </c>
      <c r="C1520" t="s">
        <v>306</v>
      </c>
      <c r="D1520">
        <v>703262</v>
      </c>
      <c r="E1520" t="s">
        <v>181</v>
      </c>
      <c r="F1520" t="s">
        <v>21</v>
      </c>
      <c r="G1520" t="s">
        <v>22</v>
      </c>
      <c r="H1520" t="s">
        <v>23</v>
      </c>
      <c r="J1520" s="20">
        <v>0</v>
      </c>
    </row>
    <row r="1521" spans="2:10" x14ac:dyDescent="0.25">
      <c r="B1521" t="s">
        <v>6</v>
      </c>
      <c r="C1521" t="s">
        <v>306</v>
      </c>
      <c r="D1521">
        <v>703263</v>
      </c>
      <c r="E1521" t="s">
        <v>182</v>
      </c>
      <c r="F1521" t="s">
        <v>21</v>
      </c>
      <c r="G1521" t="s">
        <v>22</v>
      </c>
      <c r="H1521" t="s">
        <v>115</v>
      </c>
      <c r="J1521" s="20">
        <v>0</v>
      </c>
    </row>
    <row r="1522" spans="2:10" x14ac:dyDescent="0.25">
      <c r="B1522" t="s">
        <v>6</v>
      </c>
      <c r="C1522" t="s">
        <v>306</v>
      </c>
      <c r="D1522">
        <v>703264</v>
      </c>
      <c r="E1522" t="s">
        <v>183</v>
      </c>
      <c r="F1522" t="s">
        <v>21</v>
      </c>
      <c r="G1522" t="s">
        <v>22</v>
      </c>
      <c r="H1522" t="s">
        <v>115</v>
      </c>
      <c r="J1522" s="20">
        <v>0</v>
      </c>
    </row>
    <row r="1523" spans="2:10" x14ac:dyDescent="0.25">
      <c r="B1523" t="s">
        <v>6</v>
      </c>
      <c r="C1523" t="s">
        <v>306</v>
      </c>
      <c r="D1523">
        <v>703265</v>
      </c>
      <c r="E1523" t="s">
        <v>184</v>
      </c>
      <c r="F1523" t="s">
        <v>21</v>
      </c>
      <c r="G1523" t="s">
        <v>22</v>
      </c>
      <c r="H1523" t="s">
        <v>115</v>
      </c>
      <c r="J1523" s="20">
        <v>0</v>
      </c>
    </row>
    <row r="1524" spans="2:10" x14ac:dyDescent="0.25">
      <c r="B1524" t="s">
        <v>6</v>
      </c>
      <c r="C1524" t="s">
        <v>306</v>
      </c>
      <c r="D1524">
        <v>703266</v>
      </c>
      <c r="E1524" t="s">
        <v>185</v>
      </c>
      <c r="F1524" t="s">
        <v>21</v>
      </c>
      <c r="G1524" t="s">
        <v>71</v>
      </c>
      <c r="H1524" t="s">
        <v>186</v>
      </c>
      <c r="J1524" s="20">
        <v>0</v>
      </c>
    </row>
    <row r="1525" spans="2:10" x14ac:dyDescent="0.25">
      <c r="B1525" t="s">
        <v>6</v>
      </c>
      <c r="C1525" t="s">
        <v>306</v>
      </c>
      <c r="D1525">
        <v>703267</v>
      </c>
      <c r="E1525" t="s">
        <v>187</v>
      </c>
      <c r="F1525" t="s">
        <v>21</v>
      </c>
      <c r="G1525" t="s">
        <v>71</v>
      </c>
      <c r="H1525" t="s">
        <v>88</v>
      </c>
      <c r="J1525" s="20">
        <v>0</v>
      </c>
    </row>
    <row r="1526" spans="2:10" x14ac:dyDescent="0.25">
      <c r="B1526" t="s">
        <v>6</v>
      </c>
      <c r="C1526" t="s">
        <v>306</v>
      </c>
      <c r="D1526">
        <v>703268</v>
      </c>
      <c r="E1526" t="s">
        <v>188</v>
      </c>
      <c r="F1526" t="s">
        <v>21</v>
      </c>
      <c r="G1526" t="s">
        <v>147</v>
      </c>
      <c r="H1526" t="s">
        <v>147</v>
      </c>
      <c r="J1526" s="20">
        <v>0</v>
      </c>
    </row>
    <row r="1527" spans="2:10" x14ac:dyDescent="0.25">
      <c r="B1527" t="s">
        <v>6</v>
      </c>
      <c r="C1527" t="s">
        <v>306</v>
      </c>
      <c r="D1527">
        <v>703269</v>
      </c>
      <c r="E1527" t="s">
        <v>189</v>
      </c>
      <c r="F1527" t="s">
        <v>21</v>
      </c>
      <c r="G1527" t="s">
        <v>147</v>
      </c>
      <c r="H1527" t="s">
        <v>147</v>
      </c>
      <c r="J1527" s="20">
        <v>0</v>
      </c>
    </row>
    <row r="1528" spans="2:10" x14ac:dyDescent="0.25">
      <c r="B1528" t="s">
        <v>6</v>
      </c>
      <c r="C1528" t="s">
        <v>306</v>
      </c>
      <c r="D1528">
        <v>703270</v>
      </c>
      <c r="E1528" t="s">
        <v>190</v>
      </c>
      <c r="F1528" t="s">
        <v>21</v>
      </c>
      <c r="G1528" t="s">
        <v>137</v>
      </c>
      <c r="H1528" t="s">
        <v>141</v>
      </c>
      <c r="J1528" s="20">
        <v>0</v>
      </c>
    </row>
    <row r="1529" spans="2:10" x14ac:dyDescent="0.25">
      <c r="B1529" t="s">
        <v>6</v>
      </c>
      <c r="C1529" t="s">
        <v>306</v>
      </c>
      <c r="D1529">
        <v>703271</v>
      </c>
      <c r="E1529" t="s">
        <v>191</v>
      </c>
      <c r="F1529" t="s">
        <v>21</v>
      </c>
      <c r="G1529" t="s">
        <v>22</v>
      </c>
      <c r="H1529" t="s">
        <v>115</v>
      </c>
      <c r="J1529" s="20">
        <v>0</v>
      </c>
    </row>
    <row r="1530" spans="2:10" x14ac:dyDescent="0.25">
      <c r="B1530" t="s">
        <v>6</v>
      </c>
      <c r="C1530" t="s">
        <v>306</v>
      </c>
      <c r="D1530">
        <v>703272</v>
      </c>
      <c r="E1530" t="s">
        <v>192</v>
      </c>
      <c r="F1530" t="s">
        <v>21</v>
      </c>
      <c r="G1530" t="s">
        <v>22</v>
      </c>
      <c r="H1530" t="s">
        <v>23</v>
      </c>
      <c r="J1530" s="20">
        <v>0</v>
      </c>
    </row>
    <row r="1531" spans="2:10" x14ac:dyDescent="0.25">
      <c r="B1531" t="s">
        <v>6</v>
      </c>
      <c r="C1531" t="s">
        <v>306</v>
      </c>
      <c r="D1531">
        <v>703273</v>
      </c>
      <c r="E1531" t="s">
        <v>193</v>
      </c>
      <c r="F1531" t="s">
        <v>21</v>
      </c>
      <c r="G1531" t="s">
        <v>147</v>
      </c>
      <c r="H1531" t="s">
        <v>147</v>
      </c>
      <c r="J1531" s="20">
        <v>0</v>
      </c>
    </row>
    <row r="1532" spans="2:10" x14ac:dyDescent="0.25">
      <c r="B1532" t="s">
        <v>6</v>
      </c>
      <c r="C1532" t="s">
        <v>306</v>
      </c>
      <c r="D1532">
        <v>703274</v>
      </c>
      <c r="E1532" t="s">
        <v>194</v>
      </c>
      <c r="F1532" t="s">
        <v>21</v>
      </c>
      <c r="G1532" t="s">
        <v>147</v>
      </c>
      <c r="H1532" t="s">
        <v>147</v>
      </c>
      <c r="J1532" s="20">
        <v>0</v>
      </c>
    </row>
    <row r="1533" spans="2:10" x14ac:dyDescent="0.25">
      <c r="B1533" t="s">
        <v>6</v>
      </c>
      <c r="C1533" t="s">
        <v>306</v>
      </c>
      <c r="D1533">
        <v>703275</v>
      </c>
      <c r="E1533" t="s">
        <v>195</v>
      </c>
      <c r="F1533" t="s">
        <v>21</v>
      </c>
      <c r="G1533" t="s">
        <v>137</v>
      </c>
      <c r="H1533" t="s">
        <v>138</v>
      </c>
      <c r="J1533" s="20">
        <v>0</v>
      </c>
    </row>
    <row r="1534" spans="2:10" x14ac:dyDescent="0.25">
      <c r="B1534" t="s">
        <v>6</v>
      </c>
      <c r="C1534" t="s">
        <v>306</v>
      </c>
      <c r="D1534">
        <v>703280</v>
      </c>
      <c r="E1534" t="s">
        <v>196</v>
      </c>
      <c r="F1534" t="s">
        <v>21</v>
      </c>
      <c r="G1534" t="s">
        <v>71</v>
      </c>
      <c r="H1534" t="s">
        <v>171</v>
      </c>
      <c r="J1534" s="20">
        <v>0</v>
      </c>
    </row>
    <row r="1535" spans="2:10" x14ac:dyDescent="0.25">
      <c r="B1535" t="s">
        <v>6</v>
      </c>
      <c r="C1535" t="s">
        <v>306</v>
      </c>
      <c r="D1535">
        <v>703281</v>
      </c>
      <c r="E1535" t="s">
        <v>197</v>
      </c>
      <c r="F1535" t="s">
        <v>21</v>
      </c>
      <c r="G1535" t="s">
        <v>76</v>
      </c>
      <c r="H1535" t="s">
        <v>77</v>
      </c>
      <c r="J1535" s="20">
        <v>0</v>
      </c>
    </row>
    <row r="1536" spans="2:10" x14ac:dyDescent="0.25">
      <c r="B1536" t="s">
        <v>6</v>
      </c>
      <c r="C1536" t="s">
        <v>306</v>
      </c>
      <c r="D1536">
        <v>703282</v>
      </c>
      <c r="E1536" t="s">
        <v>198</v>
      </c>
      <c r="F1536" t="s">
        <v>21</v>
      </c>
      <c r="G1536" t="s">
        <v>76</v>
      </c>
      <c r="H1536" t="s">
        <v>77</v>
      </c>
      <c r="J1536" s="20">
        <v>0</v>
      </c>
    </row>
    <row r="1537" spans="2:10" x14ac:dyDescent="0.25">
      <c r="B1537" t="s">
        <v>6</v>
      </c>
      <c r="C1537" t="s">
        <v>306</v>
      </c>
      <c r="D1537">
        <v>703283</v>
      </c>
      <c r="E1537" t="s">
        <v>199</v>
      </c>
      <c r="F1537" t="s">
        <v>21</v>
      </c>
      <c r="G1537" t="s">
        <v>61</v>
      </c>
      <c r="H1537" t="s">
        <v>68</v>
      </c>
      <c r="J1537" s="20">
        <v>0</v>
      </c>
    </row>
    <row r="1538" spans="2:10" x14ac:dyDescent="0.25">
      <c r="B1538" t="s">
        <v>6</v>
      </c>
      <c r="C1538" t="s">
        <v>306</v>
      </c>
      <c r="D1538">
        <v>703310</v>
      </c>
      <c r="E1538" t="s">
        <v>200</v>
      </c>
      <c r="F1538" t="s">
        <v>21</v>
      </c>
      <c r="G1538" t="s">
        <v>22</v>
      </c>
      <c r="H1538" t="s">
        <v>23</v>
      </c>
      <c r="J1538" s="20">
        <v>0</v>
      </c>
    </row>
    <row r="1539" spans="2:10" x14ac:dyDescent="0.25">
      <c r="B1539" t="s">
        <v>6</v>
      </c>
      <c r="C1539" t="s">
        <v>306</v>
      </c>
      <c r="D1539">
        <v>703311</v>
      </c>
      <c r="E1539" t="s">
        <v>201</v>
      </c>
      <c r="F1539" t="s">
        <v>21</v>
      </c>
      <c r="G1539" t="s">
        <v>71</v>
      </c>
      <c r="H1539" t="s">
        <v>171</v>
      </c>
      <c r="J1539" s="20">
        <v>0</v>
      </c>
    </row>
    <row r="1540" spans="2:10" x14ac:dyDescent="0.25">
      <c r="B1540" t="s">
        <v>6</v>
      </c>
      <c r="C1540" t="s">
        <v>306</v>
      </c>
      <c r="D1540">
        <v>703312</v>
      </c>
      <c r="E1540" t="s">
        <v>202</v>
      </c>
      <c r="F1540" t="s">
        <v>21</v>
      </c>
      <c r="G1540" t="s">
        <v>76</v>
      </c>
      <c r="H1540" t="s">
        <v>77</v>
      </c>
      <c r="J1540" s="20">
        <v>0</v>
      </c>
    </row>
    <row r="1541" spans="2:10" x14ac:dyDescent="0.25">
      <c r="B1541" t="s">
        <v>6</v>
      </c>
      <c r="C1541" t="s">
        <v>306</v>
      </c>
      <c r="D1541">
        <v>703313</v>
      </c>
      <c r="E1541" t="s">
        <v>203</v>
      </c>
      <c r="F1541" t="s">
        <v>21</v>
      </c>
      <c r="G1541" t="s">
        <v>76</v>
      </c>
      <c r="H1541" t="s">
        <v>77</v>
      </c>
      <c r="J1541" s="20">
        <v>0</v>
      </c>
    </row>
    <row r="1542" spans="2:10" x14ac:dyDescent="0.25">
      <c r="B1542" t="s">
        <v>6</v>
      </c>
      <c r="C1542" t="s">
        <v>306</v>
      </c>
      <c r="D1542">
        <v>703314</v>
      </c>
      <c r="E1542" t="s">
        <v>204</v>
      </c>
      <c r="F1542" t="s">
        <v>21</v>
      </c>
      <c r="G1542" t="s">
        <v>76</v>
      </c>
      <c r="H1542" t="s">
        <v>77</v>
      </c>
      <c r="J1542" s="20">
        <v>0</v>
      </c>
    </row>
    <row r="1543" spans="2:10" x14ac:dyDescent="0.25">
      <c r="B1543" t="s">
        <v>6</v>
      </c>
      <c r="C1543" t="s">
        <v>306</v>
      </c>
      <c r="D1543">
        <v>703315</v>
      </c>
      <c r="E1543" t="s">
        <v>205</v>
      </c>
      <c r="F1543" t="s">
        <v>21</v>
      </c>
      <c r="G1543" t="s">
        <v>76</v>
      </c>
      <c r="H1543" t="s">
        <v>135</v>
      </c>
      <c r="J1543" s="20">
        <v>0</v>
      </c>
    </row>
    <row r="1544" spans="2:10" x14ac:dyDescent="0.25">
      <c r="B1544" t="s">
        <v>6</v>
      </c>
      <c r="C1544" t="s">
        <v>306</v>
      </c>
      <c r="D1544">
        <v>703316</v>
      </c>
      <c r="E1544" t="s">
        <v>206</v>
      </c>
      <c r="F1544" t="s">
        <v>21</v>
      </c>
      <c r="G1544" t="s">
        <v>76</v>
      </c>
      <c r="H1544" t="s">
        <v>77</v>
      </c>
      <c r="J1544" s="20">
        <v>0</v>
      </c>
    </row>
    <row r="1545" spans="2:10" x14ac:dyDescent="0.25">
      <c r="B1545" t="s">
        <v>6</v>
      </c>
      <c r="C1545" t="s">
        <v>306</v>
      </c>
      <c r="D1545">
        <v>703317</v>
      </c>
      <c r="E1545" t="s">
        <v>207</v>
      </c>
      <c r="F1545" t="s">
        <v>21</v>
      </c>
      <c r="G1545" t="s">
        <v>76</v>
      </c>
      <c r="H1545" t="s">
        <v>77</v>
      </c>
      <c r="J1545" s="20">
        <v>0</v>
      </c>
    </row>
    <row r="1546" spans="2:10" x14ac:dyDescent="0.25">
      <c r="B1546" t="s">
        <v>6</v>
      </c>
      <c r="C1546" t="s">
        <v>306</v>
      </c>
      <c r="D1546">
        <v>703318</v>
      </c>
      <c r="E1546" t="s">
        <v>208</v>
      </c>
      <c r="F1546" t="s">
        <v>21</v>
      </c>
      <c r="G1546" t="s">
        <v>71</v>
      </c>
      <c r="H1546" t="s">
        <v>209</v>
      </c>
      <c r="J1546" s="20">
        <v>0</v>
      </c>
    </row>
    <row r="1547" spans="2:10" x14ac:dyDescent="0.25">
      <c r="B1547" t="s">
        <v>6</v>
      </c>
      <c r="C1547" t="s">
        <v>306</v>
      </c>
      <c r="D1547">
        <v>703319</v>
      </c>
      <c r="E1547" t="s">
        <v>210</v>
      </c>
      <c r="F1547" t="s">
        <v>21</v>
      </c>
      <c r="G1547" t="s">
        <v>61</v>
      </c>
      <c r="H1547" t="s">
        <v>79</v>
      </c>
      <c r="J1547" s="20">
        <v>0</v>
      </c>
    </row>
    <row r="1548" spans="2:10" x14ac:dyDescent="0.25">
      <c r="B1548" t="s">
        <v>6</v>
      </c>
      <c r="C1548" t="s">
        <v>306</v>
      </c>
      <c r="D1548">
        <v>703320</v>
      </c>
      <c r="E1548" t="s">
        <v>211</v>
      </c>
      <c r="F1548" t="s">
        <v>21</v>
      </c>
      <c r="G1548" t="s">
        <v>71</v>
      </c>
      <c r="H1548" t="s">
        <v>135</v>
      </c>
      <c r="J1548" s="20">
        <v>0</v>
      </c>
    </row>
    <row r="1549" spans="2:10" x14ac:dyDescent="0.25">
      <c r="B1549" t="s">
        <v>6</v>
      </c>
      <c r="C1549" t="s">
        <v>306</v>
      </c>
      <c r="D1549">
        <v>703321</v>
      </c>
      <c r="E1549" t="s">
        <v>212</v>
      </c>
      <c r="F1549" t="s">
        <v>21</v>
      </c>
      <c r="G1549" t="s">
        <v>22</v>
      </c>
      <c r="H1549" t="s">
        <v>23</v>
      </c>
      <c r="J1549" s="20">
        <v>0</v>
      </c>
    </row>
    <row r="1550" spans="2:10" x14ac:dyDescent="0.25">
      <c r="B1550" t="s">
        <v>6</v>
      </c>
      <c r="C1550" t="s">
        <v>306</v>
      </c>
      <c r="D1550">
        <v>703322</v>
      </c>
      <c r="E1550" t="s">
        <v>213</v>
      </c>
      <c r="F1550" t="s">
        <v>21</v>
      </c>
      <c r="G1550" t="s">
        <v>22</v>
      </c>
      <c r="H1550" t="s">
        <v>23</v>
      </c>
      <c r="J1550" s="20">
        <v>0</v>
      </c>
    </row>
    <row r="1551" spans="2:10" x14ac:dyDescent="0.25">
      <c r="B1551" t="s">
        <v>6</v>
      </c>
      <c r="C1551" t="s">
        <v>306</v>
      </c>
      <c r="D1551">
        <v>703323</v>
      </c>
      <c r="E1551" t="s">
        <v>214</v>
      </c>
      <c r="F1551" t="s">
        <v>21</v>
      </c>
      <c r="G1551" t="s">
        <v>22</v>
      </c>
      <c r="H1551" t="s">
        <v>23</v>
      </c>
      <c r="J1551" s="20">
        <v>0</v>
      </c>
    </row>
    <row r="1552" spans="2:10" x14ac:dyDescent="0.25">
      <c r="B1552" t="s">
        <v>6</v>
      </c>
      <c r="C1552" t="s">
        <v>306</v>
      </c>
      <c r="D1552">
        <v>703324</v>
      </c>
      <c r="E1552" t="s">
        <v>215</v>
      </c>
      <c r="F1552" t="s">
        <v>21</v>
      </c>
      <c r="G1552" t="s">
        <v>22</v>
      </c>
      <c r="H1552" t="s">
        <v>23</v>
      </c>
      <c r="J1552" s="20">
        <v>0</v>
      </c>
    </row>
    <row r="1553" spans="2:10" x14ac:dyDescent="0.25">
      <c r="B1553" t="s">
        <v>6</v>
      </c>
      <c r="C1553" t="s">
        <v>306</v>
      </c>
      <c r="D1553">
        <v>703325</v>
      </c>
      <c r="E1553" t="s">
        <v>216</v>
      </c>
      <c r="F1553" t="s">
        <v>21</v>
      </c>
      <c r="G1553" t="s">
        <v>22</v>
      </c>
      <c r="H1553" t="s">
        <v>23</v>
      </c>
      <c r="J1553" s="20">
        <v>0</v>
      </c>
    </row>
    <row r="1554" spans="2:10" x14ac:dyDescent="0.25">
      <c r="B1554" t="s">
        <v>6</v>
      </c>
      <c r="C1554" t="s">
        <v>306</v>
      </c>
      <c r="D1554">
        <v>703326</v>
      </c>
      <c r="E1554" t="s">
        <v>217</v>
      </c>
      <c r="F1554" t="s">
        <v>21</v>
      </c>
      <c r="G1554" t="s">
        <v>22</v>
      </c>
      <c r="H1554" t="s">
        <v>23</v>
      </c>
      <c r="J1554" s="20">
        <v>0</v>
      </c>
    </row>
    <row r="1555" spans="2:10" x14ac:dyDescent="0.25">
      <c r="B1555" t="s">
        <v>6</v>
      </c>
      <c r="C1555" t="s">
        <v>306</v>
      </c>
      <c r="D1555">
        <v>703327</v>
      </c>
      <c r="E1555" t="s">
        <v>218</v>
      </c>
      <c r="F1555" t="s">
        <v>21</v>
      </c>
      <c r="G1555" t="s">
        <v>76</v>
      </c>
      <c r="H1555" t="s">
        <v>77</v>
      </c>
      <c r="J1555" s="20">
        <v>0</v>
      </c>
    </row>
    <row r="1556" spans="2:10" x14ac:dyDescent="0.25">
      <c r="B1556" t="s">
        <v>6</v>
      </c>
      <c r="C1556" t="s">
        <v>306</v>
      </c>
      <c r="D1556">
        <v>703328</v>
      </c>
      <c r="E1556" t="s">
        <v>219</v>
      </c>
      <c r="F1556" t="s">
        <v>21</v>
      </c>
      <c r="G1556" t="s">
        <v>22</v>
      </c>
      <c r="H1556" t="s">
        <v>23</v>
      </c>
      <c r="J1556" s="20">
        <v>0</v>
      </c>
    </row>
    <row r="1557" spans="2:10" x14ac:dyDescent="0.25">
      <c r="B1557" t="s">
        <v>6</v>
      </c>
      <c r="C1557" t="s">
        <v>306</v>
      </c>
      <c r="D1557">
        <v>703329</v>
      </c>
      <c r="E1557" t="s">
        <v>220</v>
      </c>
      <c r="F1557" t="s">
        <v>21</v>
      </c>
      <c r="G1557" t="s">
        <v>22</v>
      </c>
      <c r="H1557" t="s">
        <v>23</v>
      </c>
      <c r="J1557" s="20">
        <v>0</v>
      </c>
    </row>
    <row r="1558" spans="2:10" x14ac:dyDescent="0.25">
      <c r="B1558" t="s">
        <v>6</v>
      </c>
      <c r="C1558" t="s">
        <v>306</v>
      </c>
      <c r="D1558">
        <v>703330</v>
      </c>
      <c r="E1558" t="s">
        <v>221</v>
      </c>
      <c r="F1558" t="s">
        <v>21</v>
      </c>
      <c r="G1558" t="s">
        <v>22</v>
      </c>
      <c r="H1558" t="s">
        <v>23</v>
      </c>
      <c r="J1558" s="20">
        <v>0</v>
      </c>
    </row>
    <row r="1559" spans="2:10" x14ac:dyDescent="0.25">
      <c r="B1559" t="s">
        <v>6</v>
      </c>
      <c r="C1559" t="s">
        <v>306</v>
      </c>
      <c r="D1559">
        <v>703340</v>
      </c>
      <c r="E1559" t="s">
        <v>222</v>
      </c>
      <c r="F1559" t="s">
        <v>21</v>
      </c>
      <c r="G1559" t="s">
        <v>61</v>
      </c>
      <c r="H1559" t="s">
        <v>68</v>
      </c>
      <c r="J1559" s="20">
        <v>0</v>
      </c>
    </row>
    <row r="1560" spans="2:10" x14ac:dyDescent="0.25">
      <c r="B1560" t="s">
        <v>6</v>
      </c>
      <c r="C1560" t="s">
        <v>306</v>
      </c>
      <c r="D1560">
        <v>703350</v>
      </c>
      <c r="E1560" t="s">
        <v>223</v>
      </c>
      <c r="F1560" t="s">
        <v>21</v>
      </c>
      <c r="G1560" t="s">
        <v>22</v>
      </c>
      <c r="H1560" t="s">
        <v>23</v>
      </c>
      <c r="J1560" s="20">
        <v>0</v>
      </c>
    </row>
    <row r="1561" spans="2:10" x14ac:dyDescent="0.25">
      <c r="B1561" t="s">
        <v>6</v>
      </c>
      <c r="C1561" t="s">
        <v>306</v>
      </c>
      <c r="D1561">
        <v>703351</v>
      </c>
      <c r="E1561" t="s">
        <v>224</v>
      </c>
      <c r="F1561" t="s">
        <v>21</v>
      </c>
      <c r="G1561" t="s">
        <v>22</v>
      </c>
      <c r="H1561" t="s">
        <v>23</v>
      </c>
      <c r="J1561" s="20">
        <v>0</v>
      </c>
    </row>
    <row r="1562" spans="2:10" x14ac:dyDescent="0.25">
      <c r="B1562" t="s">
        <v>6</v>
      </c>
      <c r="C1562" t="s">
        <v>306</v>
      </c>
      <c r="D1562">
        <v>703352</v>
      </c>
      <c r="E1562" t="s">
        <v>225</v>
      </c>
      <c r="F1562" t="s">
        <v>21</v>
      </c>
      <c r="G1562" t="s">
        <v>22</v>
      </c>
      <c r="H1562" t="s">
        <v>23</v>
      </c>
      <c r="J1562" s="20">
        <v>0</v>
      </c>
    </row>
    <row r="1563" spans="2:10" x14ac:dyDescent="0.25">
      <c r="B1563" t="s">
        <v>6</v>
      </c>
      <c r="C1563" t="s">
        <v>306</v>
      </c>
      <c r="D1563">
        <v>703360</v>
      </c>
      <c r="E1563" t="s">
        <v>226</v>
      </c>
      <c r="F1563" t="s">
        <v>21</v>
      </c>
      <c r="G1563" t="s">
        <v>22</v>
      </c>
      <c r="H1563" t="s">
        <v>23</v>
      </c>
      <c r="J1563" s="20">
        <v>0</v>
      </c>
    </row>
    <row r="1564" spans="2:10" x14ac:dyDescent="0.25">
      <c r="B1564" t="s">
        <v>6</v>
      </c>
      <c r="C1564" t="s">
        <v>306</v>
      </c>
      <c r="D1564">
        <v>703370</v>
      </c>
      <c r="E1564" t="s">
        <v>227</v>
      </c>
      <c r="F1564" t="s">
        <v>21</v>
      </c>
      <c r="G1564" t="s">
        <v>22</v>
      </c>
      <c r="H1564" t="s">
        <v>23</v>
      </c>
      <c r="J1564" s="20">
        <v>0</v>
      </c>
    </row>
    <row r="1565" spans="2:10" x14ac:dyDescent="0.25">
      <c r="B1565" t="s">
        <v>6</v>
      </c>
      <c r="C1565" t="s">
        <v>306</v>
      </c>
      <c r="D1565">
        <v>703410</v>
      </c>
      <c r="E1565" t="s">
        <v>228</v>
      </c>
      <c r="F1565" t="s">
        <v>21</v>
      </c>
      <c r="G1565" t="s">
        <v>22</v>
      </c>
      <c r="H1565" t="s">
        <v>23</v>
      </c>
      <c r="J1565" s="20">
        <v>0</v>
      </c>
    </row>
    <row r="1566" spans="2:10" x14ac:dyDescent="0.25">
      <c r="B1566" t="s">
        <v>6</v>
      </c>
      <c r="C1566" t="s">
        <v>306</v>
      </c>
      <c r="D1566">
        <v>703411</v>
      </c>
      <c r="E1566" t="s">
        <v>229</v>
      </c>
      <c r="F1566" t="s">
        <v>21</v>
      </c>
      <c r="G1566" t="s">
        <v>22</v>
      </c>
      <c r="H1566" t="s">
        <v>23</v>
      </c>
      <c r="J1566" s="20">
        <v>0</v>
      </c>
    </row>
    <row r="1567" spans="2:10" x14ac:dyDescent="0.25">
      <c r="B1567" t="s">
        <v>6</v>
      </c>
      <c r="C1567" t="s">
        <v>306</v>
      </c>
      <c r="D1567">
        <v>703412</v>
      </c>
      <c r="E1567" t="s">
        <v>230</v>
      </c>
      <c r="F1567" t="s">
        <v>21</v>
      </c>
      <c r="G1567" t="s">
        <v>22</v>
      </c>
      <c r="H1567" t="s">
        <v>23</v>
      </c>
      <c r="J1567" s="20">
        <v>0</v>
      </c>
    </row>
    <row r="1568" spans="2:10" x14ac:dyDescent="0.25">
      <c r="B1568" t="s">
        <v>6</v>
      </c>
      <c r="C1568" t="s">
        <v>306</v>
      </c>
      <c r="D1568">
        <v>703420</v>
      </c>
      <c r="E1568" t="s">
        <v>231</v>
      </c>
      <c r="F1568" t="s">
        <v>21</v>
      </c>
      <c r="G1568" t="s">
        <v>71</v>
      </c>
      <c r="H1568" t="s">
        <v>171</v>
      </c>
      <c r="J1568" s="20">
        <v>0</v>
      </c>
    </row>
    <row r="1569" spans="2:10" x14ac:dyDescent="0.25">
      <c r="B1569" t="s">
        <v>6</v>
      </c>
      <c r="C1569" t="s">
        <v>306</v>
      </c>
      <c r="D1569">
        <v>703421</v>
      </c>
      <c r="E1569" t="s">
        <v>232</v>
      </c>
      <c r="F1569" t="s">
        <v>21</v>
      </c>
      <c r="G1569" t="s">
        <v>22</v>
      </c>
      <c r="H1569" t="s">
        <v>23</v>
      </c>
      <c r="J1569" s="20">
        <v>0</v>
      </c>
    </row>
    <row r="1570" spans="2:10" x14ac:dyDescent="0.25">
      <c r="B1570" t="s">
        <v>6</v>
      </c>
      <c r="C1570" t="s">
        <v>306</v>
      </c>
      <c r="D1570">
        <v>703422</v>
      </c>
      <c r="E1570" t="s">
        <v>233</v>
      </c>
      <c r="F1570" t="s">
        <v>21</v>
      </c>
      <c r="G1570" t="s">
        <v>76</v>
      </c>
      <c r="H1570" t="s">
        <v>77</v>
      </c>
      <c r="J1570" s="20">
        <v>0</v>
      </c>
    </row>
    <row r="1571" spans="2:10" x14ac:dyDescent="0.25">
      <c r="B1571" t="s">
        <v>6</v>
      </c>
      <c r="C1571" t="s">
        <v>306</v>
      </c>
      <c r="D1571">
        <v>703423</v>
      </c>
      <c r="E1571" t="s">
        <v>234</v>
      </c>
      <c r="F1571" t="s">
        <v>21</v>
      </c>
      <c r="G1571" t="s">
        <v>71</v>
      </c>
      <c r="H1571" t="s">
        <v>88</v>
      </c>
      <c r="J1571" s="20">
        <v>0</v>
      </c>
    </row>
    <row r="1572" spans="2:10" x14ac:dyDescent="0.25">
      <c r="B1572" t="s">
        <v>6</v>
      </c>
      <c r="C1572" t="s">
        <v>306</v>
      </c>
      <c r="D1572">
        <v>703424</v>
      </c>
      <c r="E1572" t="s">
        <v>235</v>
      </c>
      <c r="F1572" t="s">
        <v>21</v>
      </c>
      <c r="G1572" t="s">
        <v>71</v>
      </c>
      <c r="H1572" t="s">
        <v>88</v>
      </c>
      <c r="J1572" s="20">
        <v>0</v>
      </c>
    </row>
    <row r="1573" spans="2:10" x14ac:dyDescent="0.25">
      <c r="B1573" t="s">
        <v>6</v>
      </c>
      <c r="C1573" t="s">
        <v>306</v>
      </c>
      <c r="D1573">
        <v>703425</v>
      </c>
      <c r="E1573" t="s">
        <v>236</v>
      </c>
      <c r="F1573" t="s">
        <v>21</v>
      </c>
      <c r="G1573" t="s">
        <v>76</v>
      </c>
      <c r="H1573" t="s">
        <v>77</v>
      </c>
      <c r="J1573" s="20">
        <v>0</v>
      </c>
    </row>
    <row r="1574" spans="2:10" x14ac:dyDescent="0.25">
      <c r="B1574" t="s">
        <v>6</v>
      </c>
      <c r="C1574" t="s">
        <v>306</v>
      </c>
      <c r="D1574">
        <v>703426</v>
      </c>
      <c r="E1574" t="s">
        <v>237</v>
      </c>
      <c r="F1574" t="s">
        <v>21</v>
      </c>
      <c r="G1574" t="s">
        <v>22</v>
      </c>
      <c r="H1574" t="s">
        <v>23</v>
      </c>
      <c r="J1574" s="20">
        <v>0</v>
      </c>
    </row>
    <row r="1575" spans="2:10" x14ac:dyDescent="0.25">
      <c r="B1575" t="s">
        <v>6</v>
      </c>
      <c r="C1575" t="s">
        <v>306</v>
      </c>
      <c r="D1575">
        <v>703427</v>
      </c>
      <c r="E1575" t="s">
        <v>238</v>
      </c>
      <c r="F1575" t="s">
        <v>21</v>
      </c>
      <c r="G1575" t="s">
        <v>76</v>
      </c>
      <c r="H1575" t="s">
        <v>77</v>
      </c>
      <c r="J1575" s="20">
        <v>0</v>
      </c>
    </row>
    <row r="1576" spans="2:10" x14ac:dyDescent="0.25">
      <c r="B1576" t="s">
        <v>6</v>
      </c>
      <c r="C1576" t="s">
        <v>306</v>
      </c>
      <c r="D1576">
        <v>703428</v>
      </c>
      <c r="E1576" t="s">
        <v>239</v>
      </c>
      <c r="F1576" t="s">
        <v>21</v>
      </c>
      <c r="G1576" t="s">
        <v>76</v>
      </c>
      <c r="H1576" t="s">
        <v>77</v>
      </c>
      <c r="J1576" s="20">
        <v>0</v>
      </c>
    </row>
    <row r="1577" spans="2:10" x14ac:dyDescent="0.25">
      <c r="B1577" t="s">
        <v>6</v>
      </c>
      <c r="C1577" t="s">
        <v>306</v>
      </c>
      <c r="D1577">
        <v>703429</v>
      </c>
      <c r="E1577" t="s">
        <v>240</v>
      </c>
      <c r="F1577" t="s">
        <v>21</v>
      </c>
      <c r="G1577" t="s">
        <v>76</v>
      </c>
      <c r="H1577" t="s">
        <v>77</v>
      </c>
      <c r="J1577" s="20">
        <v>0</v>
      </c>
    </row>
    <row r="1578" spans="2:10" x14ac:dyDescent="0.25">
      <c r="B1578" t="s">
        <v>6</v>
      </c>
      <c r="C1578" t="s">
        <v>306</v>
      </c>
      <c r="D1578">
        <v>703430</v>
      </c>
      <c r="E1578" t="s">
        <v>20</v>
      </c>
      <c r="F1578" t="s">
        <v>21</v>
      </c>
      <c r="G1578" t="s">
        <v>22</v>
      </c>
      <c r="H1578" t="s">
        <v>23</v>
      </c>
      <c r="J1578" s="20">
        <v>0</v>
      </c>
    </row>
    <row r="1579" spans="2:10" x14ac:dyDescent="0.25">
      <c r="B1579" t="s">
        <v>6</v>
      </c>
      <c r="C1579" t="s">
        <v>306</v>
      </c>
      <c r="D1579">
        <v>703431</v>
      </c>
      <c r="E1579" t="s">
        <v>241</v>
      </c>
      <c r="F1579" t="s">
        <v>21</v>
      </c>
      <c r="G1579" t="s">
        <v>22</v>
      </c>
      <c r="H1579" t="s">
        <v>23</v>
      </c>
      <c r="J1579" s="20">
        <v>0</v>
      </c>
    </row>
    <row r="1580" spans="2:10" x14ac:dyDescent="0.25">
      <c r="B1580" t="s">
        <v>6</v>
      </c>
      <c r="C1580" t="s">
        <v>306</v>
      </c>
      <c r="D1580">
        <v>703432</v>
      </c>
      <c r="E1580" t="s">
        <v>242</v>
      </c>
      <c r="F1580" t="s">
        <v>21</v>
      </c>
      <c r="G1580" t="s">
        <v>22</v>
      </c>
      <c r="H1580" t="s">
        <v>23</v>
      </c>
      <c r="J1580" s="20">
        <v>0</v>
      </c>
    </row>
    <row r="1581" spans="2:10" x14ac:dyDescent="0.25">
      <c r="B1581" t="s">
        <v>6</v>
      </c>
      <c r="C1581" t="s">
        <v>306</v>
      </c>
      <c r="D1581">
        <v>703433</v>
      </c>
      <c r="E1581" t="s">
        <v>243</v>
      </c>
      <c r="F1581" t="s">
        <v>21</v>
      </c>
      <c r="G1581" t="s">
        <v>71</v>
      </c>
      <c r="H1581" t="s">
        <v>88</v>
      </c>
      <c r="J1581" s="20">
        <v>0</v>
      </c>
    </row>
    <row r="1582" spans="2:10" x14ac:dyDescent="0.25">
      <c r="B1582" t="s">
        <v>6</v>
      </c>
      <c r="C1582" t="s">
        <v>306</v>
      </c>
      <c r="D1582">
        <v>703434</v>
      </c>
      <c r="E1582" t="s">
        <v>244</v>
      </c>
      <c r="F1582" t="s">
        <v>21</v>
      </c>
      <c r="G1582" t="s">
        <v>22</v>
      </c>
      <c r="H1582" t="s">
        <v>23</v>
      </c>
      <c r="J1582" s="20">
        <v>0</v>
      </c>
    </row>
    <row r="1583" spans="2:10" x14ac:dyDescent="0.25">
      <c r="B1583" t="s">
        <v>6</v>
      </c>
      <c r="C1583" t="s">
        <v>306</v>
      </c>
      <c r="D1583">
        <v>703435</v>
      </c>
      <c r="E1583" t="s">
        <v>245</v>
      </c>
      <c r="F1583" t="s">
        <v>21</v>
      </c>
      <c r="G1583" t="s">
        <v>71</v>
      </c>
      <c r="H1583" t="s">
        <v>88</v>
      </c>
      <c r="J1583" s="20">
        <v>0</v>
      </c>
    </row>
    <row r="1584" spans="2:10" x14ac:dyDescent="0.25">
      <c r="B1584" t="s">
        <v>6</v>
      </c>
      <c r="C1584" t="s">
        <v>306</v>
      </c>
      <c r="D1584">
        <v>703436</v>
      </c>
      <c r="E1584" t="s">
        <v>246</v>
      </c>
      <c r="F1584" t="s">
        <v>21</v>
      </c>
      <c r="G1584" t="s">
        <v>71</v>
      </c>
      <c r="H1584" t="s">
        <v>88</v>
      </c>
      <c r="J1584" s="20">
        <v>0</v>
      </c>
    </row>
    <row r="1585" spans="2:10" x14ac:dyDescent="0.25">
      <c r="B1585" t="s">
        <v>6</v>
      </c>
      <c r="C1585" t="s">
        <v>306</v>
      </c>
      <c r="D1585">
        <v>703437</v>
      </c>
      <c r="E1585" t="s">
        <v>247</v>
      </c>
      <c r="F1585" t="s">
        <v>21</v>
      </c>
      <c r="G1585" t="s">
        <v>71</v>
      </c>
      <c r="H1585" t="s">
        <v>88</v>
      </c>
      <c r="J1585" s="20">
        <v>0</v>
      </c>
    </row>
    <row r="1586" spans="2:10" x14ac:dyDescent="0.25">
      <c r="B1586" t="s">
        <v>6</v>
      </c>
      <c r="C1586" t="s">
        <v>306</v>
      </c>
      <c r="D1586">
        <v>703438</v>
      </c>
      <c r="E1586" t="s">
        <v>248</v>
      </c>
      <c r="F1586" t="s">
        <v>21</v>
      </c>
      <c r="G1586" t="s">
        <v>71</v>
      </c>
      <c r="H1586" t="s">
        <v>88</v>
      </c>
      <c r="J1586" s="20">
        <v>0</v>
      </c>
    </row>
    <row r="1587" spans="2:10" x14ac:dyDescent="0.25">
      <c r="B1587" t="s">
        <v>6</v>
      </c>
      <c r="C1587" t="s">
        <v>306</v>
      </c>
      <c r="D1587">
        <v>703439</v>
      </c>
      <c r="E1587" t="s">
        <v>249</v>
      </c>
      <c r="F1587" t="s">
        <v>21</v>
      </c>
      <c r="G1587" t="s">
        <v>22</v>
      </c>
      <c r="H1587" t="s">
        <v>23</v>
      </c>
      <c r="J1587" s="20">
        <v>0</v>
      </c>
    </row>
    <row r="1588" spans="2:10" x14ac:dyDescent="0.25">
      <c r="B1588" t="s">
        <v>6</v>
      </c>
      <c r="C1588" t="s">
        <v>306</v>
      </c>
      <c r="D1588">
        <v>703440</v>
      </c>
      <c r="E1588" t="s">
        <v>250</v>
      </c>
      <c r="F1588" t="s">
        <v>21</v>
      </c>
      <c r="G1588" t="s">
        <v>61</v>
      </c>
      <c r="H1588" t="s">
        <v>68</v>
      </c>
      <c r="J1588" s="20">
        <v>0</v>
      </c>
    </row>
    <row r="1589" spans="2:10" x14ac:dyDescent="0.25">
      <c r="B1589" t="s">
        <v>6</v>
      </c>
      <c r="C1589" t="s">
        <v>306</v>
      </c>
      <c r="D1589">
        <v>703441</v>
      </c>
      <c r="E1589" t="s">
        <v>251</v>
      </c>
      <c r="F1589" t="s">
        <v>21</v>
      </c>
      <c r="G1589" t="s">
        <v>61</v>
      </c>
      <c r="H1589" t="s">
        <v>79</v>
      </c>
      <c r="J1589" s="20">
        <v>0</v>
      </c>
    </row>
    <row r="1590" spans="2:10" x14ac:dyDescent="0.25">
      <c r="B1590" t="s">
        <v>6</v>
      </c>
      <c r="C1590" t="s">
        <v>306</v>
      </c>
      <c r="D1590">
        <v>703442</v>
      </c>
      <c r="E1590" t="s">
        <v>252</v>
      </c>
      <c r="F1590" t="s">
        <v>21</v>
      </c>
      <c r="G1590" t="s">
        <v>76</v>
      </c>
      <c r="H1590" t="s">
        <v>77</v>
      </c>
      <c r="J1590" s="20">
        <v>0</v>
      </c>
    </row>
    <row r="1591" spans="2:10" x14ac:dyDescent="0.25">
      <c r="B1591" t="s">
        <v>6</v>
      </c>
      <c r="C1591" t="s">
        <v>306</v>
      </c>
      <c r="D1591">
        <v>703443</v>
      </c>
      <c r="E1591" t="s">
        <v>253</v>
      </c>
      <c r="F1591" t="s">
        <v>21</v>
      </c>
      <c r="G1591" t="s">
        <v>71</v>
      </c>
      <c r="H1591" t="s">
        <v>88</v>
      </c>
      <c r="J1591" s="20">
        <v>0</v>
      </c>
    </row>
    <row r="1592" spans="2:10" x14ac:dyDescent="0.25">
      <c r="B1592" t="s">
        <v>6</v>
      </c>
      <c r="C1592" t="s">
        <v>306</v>
      </c>
      <c r="D1592">
        <v>703444</v>
      </c>
      <c r="E1592" t="s">
        <v>254</v>
      </c>
      <c r="F1592" t="s">
        <v>21</v>
      </c>
      <c r="G1592" t="s">
        <v>22</v>
      </c>
      <c r="H1592" t="s">
        <v>23</v>
      </c>
      <c r="J1592" s="20">
        <v>0</v>
      </c>
    </row>
    <row r="1593" spans="2:10" x14ac:dyDescent="0.25">
      <c r="B1593" t="s">
        <v>6</v>
      </c>
      <c r="C1593" t="s">
        <v>306</v>
      </c>
      <c r="D1593">
        <v>703445</v>
      </c>
      <c r="E1593" t="s">
        <v>255</v>
      </c>
      <c r="F1593" t="s">
        <v>21</v>
      </c>
      <c r="G1593" t="s">
        <v>22</v>
      </c>
      <c r="H1593" t="s">
        <v>23</v>
      </c>
      <c r="J1593" s="20">
        <v>0</v>
      </c>
    </row>
    <row r="1594" spans="2:10" x14ac:dyDescent="0.25">
      <c r="B1594" t="s">
        <v>6</v>
      </c>
      <c r="C1594" t="s">
        <v>306</v>
      </c>
      <c r="D1594">
        <v>703446</v>
      </c>
      <c r="E1594" t="s">
        <v>256</v>
      </c>
      <c r="F1594" t="s">
        <v>21</v>
      </c>
      <c r="G1594" t="s">
        <v>22</v>
      </c>
      <c r="H1594" t="s">
        <v>23</v>
      </c>
      <c r="J1594" s="20">
        <v>0</v>
      </c>
    </row>
    <row r="1595" spans="2:10" x14ac:dyDescent="0.25">
      <c r="B1595" t="s">
        <v>6</v>
      </c>
      <c r="C1595" t="s">
        <v>306</v>
      </c>
      <c r="D1595">
        <v>703447</v>
      </c>
      <c r="E1595" t="s">
        <v>257</v>
      </c>
      <c r="F1595" t="s">
        <v>21</v>
      </c>
      <c r="G1595" t="s">
        <v>22</v>
      </c>
      <c r="H1595" t="s">
        <v>23</v>
      </c>
      <c r="J1595" s="20">
        <v>0</v>
      </c>
    </row>
    <row r="1596" spans="2:10" x14ac:dyDescent="0.25">
      <c r="B1596" t="s">
        <v>6</v>
      </c>
      <c r="C1596" t="s">
        <v>306</v>
      </c>
      <c r="D1596">
        <v>703448</v>
      </c>
      <c r="E1596" t="s">
        <v>258</v>
      </c>
      <c r="F1596" t="s">
        <v>21</v>
      </c>
      <c r="G1596" t="s">
        <v>22</v>
      </c>
      <c r="H1596" t="s">
        <v>23</v>
      </c>
      <c r="J1596" s="20">
        <v>0</v>
      </c>
    </row>
    <row r="1597" spans="2:10" x14ac:dyDescent="0.25">
      <c r="B1597" t="s">
        <v>6</v>
      </c>
      <c r="C1597" t="s">
        <v>306</v>
      </c>
      <c r="D1597">
        <v>703449</v>
      </c>
      <c r="E1597" t="s">
        <v>259</v>
      </c>
      <c r="F1597" t="s">
        <v>21</v>
      </c>
      <c r="G1597" t="s">
        <v>22</v>
      </c>
      <c r="H1597" t="s">
        <v>23</v>
      </c>
      <c r="J1597" s="20">
        <v>0</v>
      </c>
    </row>
    <row r="1598" spans="2:10" x14ac:dyDescent="0.25">
      <c r="B1598" t="s">
        <v>6</v>
      </c>
      <c r="C1598" t="s">
        <v>306</v>
      </c>
      <c r="D1598">
        <v>703450</v>
      </c>
      <c r="E1598" t="s">
        <v>260</v>
      </c>
      <c r="F1598" t="s">
        <v>21</v>
      </c>
      <c r="G1598" t="s">
        <v>71</v>
      </c>
      <c r="H1598" t="s">
        <v>88</v>
      </c>
      <c r="J1598" s="20">
        <v>0</v>
      </c>
    </row>
    <row r="1599" spans="2:10" x14ac:dyDescent="0.25">
      <c r="B1599" t="s">
        <v>6</v>
      </c>
      <c r="C1599" t="s">
        <v>306</v>
      </c>
      <c r="D1599">
        <v>703510</v>
      </c>
      <c r="E1599" t="s">
        <v>261</v>
      </c>
      <c r="F1599" t="s">
        <v>21</v>
      </c>
      <c r="G1599" t="s">
        <v>22</v>
      </c>
      <c r="H1599" t="s">
        <v>23</v>
      </c>
      <c r="J1599" s="20">
        <v>0</v>
      </c>
    </row>
    <row r="1600" spans="2:10" x14ac:dyDescent="0.25">
      <c r="B1600" t="s">
        <v>6</v>
      </c>
      <c r="C1600" t="s">
        <v>306</v>
      </c>
      <c r="D1600">
        <v>703511</v>
      </c>
      <c r="E1600" t="s">
        <v>262</v>
      </c>
      <c r="F1600" t="s">
        <v>21</v>
      </c>
      <c r="G1600" t="s">
        <v>22</v>
      </c>
      <c r="H1600" t="s">
        <v>23</v>
      </c>
      <c r="J1600" s="20">
        <v>0</v>
      </c>
    </row>
    <row r="1601" spans="2:10" x14ac:dyDescent="0.25">
      <c r="B1601" t="s">
        <v>6</v>
      </c>
      <c r="C1601" t="s">
        <v>306</v>
      </c>
      <c r="D1601">
        <v>703512</v>
      </c>
      <c r="E1601" t="s">
        <v>263</v>
      </c>
      <c r="F1601" t="s">
        <v>21</v>
      </c>
      <c r="G1601" t="s">
        <v>22</v>
      </c>
      <c r="H1601" t="s">
        <v>23</v>
      </c>
      <c r="J1601" s="20">
        <v>0</v>
      </c>
    </row>
    <row r="1602" spans="2:10" x14ac:dyDescent="0.25">
      <c r="B1602" t="s">
        <v>6</v>
      </c>
      <c r="C1602" t="s">
        <v>306</v>
      </c>
      <c r="D1602">
        <v>703513</v>
      </c>
      <c r="E1602" t="s">
        <v>264</v>
      </c>
      <c r="F1602" t="s">
        <v>21</v>
      </c>
      <c r="G1602" t="s">
        <v>22</v>
      </c>
      <c r="H1602" t="s">
        <v>23</v>
      </c>
      <c r="J1602" s="20">
        <v>0</v>
      </c>
    </row>
    <row r="1603" spans="2:10" x14ac:dyDescent="0.25">
      <c r="B1603" t="s">
        <v>6</v>
      </c>
      <c r="C1603" t="s">
        <v>306</v>
      </c>
      <c r="D1603">
        <v>703514</v>
      </c>
      <c r="E1603" t="s">
        <v>265</v>
      </c>
      <c r="F1603" t="s">
        <v>21</v>
      </c>
      <c r="G1603" t="s">
        <v>22</v>
      </c>
      <c r="H1603" t="s">
        <v>23</v>
      </c>
      <c r="J1603" s="20">
        <v>0</v>
      </c>
    </row>
    <row r="1604" spans="2:10" x14ac:dyDescent="0.25">
      <c r="B1604" t="s">
        <v>6</v>
      </c>
      <c r="C1604" t="s">
        <v>306</v>
      </c>
      <c r="D1604">
        <v>703515</v>
      </c>
      <c r="E1604" t="s">
        <v>266</v>
      </c>
      <c r="F1604" t="s">
        <v>21</v>
      </c>
      <c r="G1604" t="s">
        <v>22</v>
      </c>
      <c r="H1604" t="s">
        <v>23</v>
      </c>
      <c r="J1604" s="20">
        <v>0</v>
      </c>
    </row>
    <row r="1605" spans="2:10" x14ac:dyDescent="0.25">
      <c r="B1605" t="s">
        <v>6</v>
      </c>
      <c r="C1605" t="s">
        <v>306</v>
      </c>
      <c r="D1605">
        <v>703520</v>
      </c>
      <c r="E1605" t="s">
        <v>267</v>
      </c>
      <c r="F1605" t="s">
        <v>21</v>
      </c>
      <c r="G1605" t="s">
        <v>22</v>
      </c>
      <c r="H1605" t="s">
        <v>23</v>
      </c>
      <c r="J1605" s="20">
        <v>0</v>
      </c>
    </row>
    <row r="1606" spans="2:10" x14ac:dyDescent="0.25">
      <c r="B1606" t="s">
        <v>6</v>
      </c>
      <c r="C1606" t="s">
        <v>306</v>
      </c>
      <c r="D1606">
        <v>703530</v>
      </c>
      <c r="E1606" t="s">
        <v>268</v>
      </c>
      <c r="F1606" t="s">
        <v>21</v>
      </c>
      <c r="G1606" t="s">
        <v>22</v>
      </c>
      <c r="H1606" t="s">
        <v>23</v>
      </c>
      <c r="J1606" s="20">
        <v>0</v>
      </c>
    </row>
    <row r="1607" spans="2:10" x14ac:dyDescent="0.25">
      <c r="B1607" t="s">
        <v>6</v>
      </c>
      <c r="C1607" t="s">
        <v>306</v>
      </c>
      <c r="D1607">
        <v>703540</v>
      </c>
      <c r="E1607" t="s">
        <v>269</v>
      </c>
      <c r="F1607" t="s">
        <v>21</v>
      </c>
      <c r="G1607" t="s">
        <v>22</v>
      </c>
      <c r="H1607" t="s">
        <v>23</v>
      </c>
      <c r="J1607" s="20">
        <v>0</v>
      </c>
    </row>
    <row r="1608" spans="2:10" x14ac:dyDescent="0.25">
      <c r="B1608" t="s">
        <v>6</v>
      </c>
      <c r="C1608" t="s">
        <v>306</v>
      </c>
      <c r="D1608">
        <v>703550</v>
      </c>
      <c r="E1608" t="s">
        <v>270</v>
      </c>
      <c r="F1608" t="s">
        <v>21</v>
      </c>
      <c r="G1608" t="s">
        <v>22</v>
      </c>
      <c r="H1608" t="s">
        <v>23</v>
      </c>
      <c r="J1608" s="20">
        <v>0</v>
      </c>
    </row>
    <row r="1609" spans="2:10" x14ac:dyDescent="0.25">
      <c r="B1609" t="s">
        <v>6</v>
      </c>
      <c r="C1609" t="s">
        <v>306</v>
      </c>
      <c r="D1609">
        <v>703560</v>
      </c>
      <c r="E1609" t="s">
        <v>271</v>
      </c>
      <c r="F1609" t="s">
        <v>21</v>
      </c>
      <c r="G1609" t="s">
        <v>22</v>
      </c>
      <c r="H1609" t="s">
        <v>23</v>
      </c>
      <c r="J1609" s="20">
        <v>0</v>
      </c>
    </row>
    <row r="1610" spans="2:10" x14ac:dyDescent="0.25">
      <c r="B1610" t="s">
        <v>6</v>
      </c>
      <c r="C1610" t="s">
        <v>306</v>
      </c>
      <c r="D1610">
        <v>703570</v>
      </c>
      <c r="E1610" t="s">
        <v>272</v>
      </c>
      <c r="F1610" t="s">
        <v>21</v>
      </c>
      <c r="G1610" t="s">
        <v>22</v>
      </c>
      <c r="H1610" t="s">
        <v>23</v>
      </c>
      <c r="J1610" s="20">
        <v>0</v>
      </c>
    </row>
    <row r="1611" spans="2:10" x14ac:dyDescent="0.25">
      <c r="B1611" t="s">
        <v>6</v>
      </c>
      <c r="C1611" t="s">
        <v>306</v>
      </c>
      <c r="D1611">
        <v>703571</v>
      </c>
      <c r="E1611" t="s">
        <v>273</v>
      </c>
      <c r="F1611" t="s">
        <v>21</v>
      </c>
      <c r="G1611" t="s">
        <v>22</v>
      </c>
      <c r="H1611" t="s">
        <v>23</v>
      </c>
      <c r="J1611" s="20"/>
    </row>
    <row r="1612" spans="2:10" x14ac:dyDescent="0.25">
      <c r="B1612" t="s">
        <v>6</v>
      </c>
      <c r="C1612" t="s">
        <v>306</v>
      </c>
      <c r="D1612">
        <v>703572</v>
      </c>
      <c r="E1612" t="s">
        <v>274</v>
      </c>
      <c r="F1612" t="s">
        <v>21</v>
      </c>
      <c r="G1612" t="s">
        <v>22</v>
      </c>
      <c r="H1612" t="s">
        <v>23</v>
      </c>
      <c r="J1612" s="20"/>
    </row>
    <row r="1613" spans="2:10" x14ac:dyDescent="0.25">
      <c r="B1613" t="s">
        <v>6</v>
      </c>
      <c r="C1613" t="s">
        <v>306</v>
      </c>
      <c r="D1613">
        <v>703573</v>
      </c>
      <c r="E1613" t="s">
        <v>275</v>
      </c>
      <c r="F1613" t="s">
        <v>21</v>
      </c>
      <c r="G1613" t="s">
        <v>22</v>
      </c>
      <c r="H1613" t="s">
        <v>23</v>
      </c>
      <c r="J1613" s="20"/>
    </row>
    <row r="1614" spans="2:10" x14ac:dyDescent="0.25">
      <c r="B1614" t="s">
        <v>6</v>
      </c>
      <c r="C1614" t="s">
        <v>306</v>
      </c>
      <c r="D1614">
        <v>703574</v>
      </c>
      <c r="E1614" t="s">
        <v>276</v>
      </c>
      <c r="F1614" t="s">
        <v>21</v>
      </c>
      <c r="G1614" t="s">
        <v>22</v>
      </c>
      <c r="H1614" t="s">
        <v>23</v>
      </c>
      <c r="J1614" s="20"/>
    </row>
    <row r="1615" spans="2:10" x14ac:dyDescent="0.25">
      <c r="B1615" t="s">
        <v>6</v>
      </c>
      <c r="C1615" t="s">
        <v>306</v>
      </c>
      <c r="D1615">
        <v>703580</v>
      </c>
      <c r="E1615" t="s">
        <v>277</v>
      </c>
      <c r="F1615" t="s">
        <v>21</v>
      </c>
      <c r="G1615" t="s">
        <v>22</v>
      </c>
      <c r="H1615" t="s">
        <v>23</v>
      </c>
      <c r="J1615" s="20">
        <v>0</v>
      </c>
    </row>
    <row r="1616" spans="2:10" x14ac:dyDescent="0.25">
      <c r="B1616" t="s">
        <v>6</v>
      </c>
      <c r="C1616" t="s">
        <v>306</v>
      </c>
      <c r="D1616">
        <v>703590</v>
      </c>
      <c r="E1616" t="s">
        <v>278</v>
      </c>
      <c r="F1616" t="s">
        <v>21</v>
      </c>
      <c r="G1616" t="s">
        <v>22</v>
      </c>
      <c r="H1616" t="s">
        <v>23</v>
      </c>
      <c r="J1616" s="20">
        <v>0</v>
      </c>
    </row>
    <row r="1617" spans="2:10" x14ac:dyDescent="0.25">
      <c r="B1617" t="s">
        <v>6</v>
      </c>
      <c r="C1617" t="s">
        <v>306</v>
      </c>
      <c r="D1617">
        <v>703650</v>
      </c>
      <c r="E1617" t="s">
        <v>279</v>
      </c>
      <c r="F1617" t="s">
        <v>21</v>
      </c>
      <c r="G1617" t="s">
        <v>22</v>
      </c>
      <c r="H1617" t="s">
        <v>23</v>
      </c>
      <c r="J1617" s="20">
        <v>0</v>
      </c>
    </row>
    <row r="1618" spans="2:10" x14ac:dyDescent="0.25">
      <c r="B1618" t="s">
        <v>6</v>
      </c>
      <c r="C1618" t="s">
        <v>306</v>
      </c>
      <c r="D1618">
        <v>703651</v>
      </c>
      <c r="E1618" t="s">
        <v>280</v>
      </c>
      <c r="F1618" t="s">
        <v>21</v>
      </c>
      <c r="G1618" t="s">
        <v>22</v>
      </c>
      <c r="H1618" t="s">
        <v>23</v>
      </c>
      <c r="J1618" s="20">
        <v>0</v>
      </c>
    </row>
    <row r="1619" spans="2:10" x14ac:dyDescent="0.25">
      <c r="B1619" t="s">
        <v>6</v>
      </c>
      <c r="C1619" t="s">
        <v>306</v>
      </c>
      <c r="D1619">
        <v>703850</v>
      </c>
      <c r="E1619" t="s">
        <v>281</v>
      </c>
      <c r="F1619" t="s">
        <v>21</v>
      </c>
      <c r="G1619" t="s">
        <v>22</v>
      </c>
      <c r="H1619" t="s">
        <v>23</v>
      </c>
      <c r="J1619" s="20">
        <v>0</v>
      </c>
    </row>
    <row r="1620" spans="2:10" x14ac:dyDescent="0.25">
      <c r="B1620" t="s">
        <v>6</v>
      </c>
      <c r="C1620" t="s">
        <v>306</v>
      </c>
      <c r="D1620">
        <v>703851</v>
      </c>
      <c r="E1620" t="s">
        <v>282</v>
      </c>
      <c r="F1620" t="s">
        <v>21</v>
      </c>
      <c r="G1620" t="s">
        <v>22</v>
      </c>
      <c r="H1620" t="s">
        <v>23</v>
      </c>
      <c r="J1620" s="20">
        <v>0</v>
      </c>
    </row>
    <row r="1621" spans="2:10" x14ac:dyDescent="0.25">
      <c r="B1621" t="s">
        <v>6</v>
      </c>
      <c r="C1621" t="s">
        <v>306</v>
      </c>
      <c r="D1621">
        <v>703852</v>
      </c>
      <c r="E1621" t="s">
        <v>283</v>
      </c>
      <c r="F1621" t="s">
        <v>21</v>
      </c>
      <c r="G1621" t="s">
        <v>22</v>
      </c>
      <c r="H1621" t="s">
        <v>23</v>
      </c>
      <c r="J1621" s="20">
        <v>0</v>
      </c>
    </row>
    <row r="1622" spans="2:10" x14ac:dyDescent="0.25">
      <c r="B1622" t="s">
        <v>6</v>
      </c>
      <c r="C1622" t="s">
        <v>306</v>
      </c>
      <c r="D1622">
        <v>703853</v>
      </c>
      <c r="E1622" t="s">
        <v>284</v>
      </c>
      <c r="F1622" t="s">
        <v>21</v>
      </c>
      <c r="G1622" t="s">
        <v>22</v>
      </c>
      <c r="H1622" t="s">
        <v>23</v>
      </c>
      <c r="J1622" s="20">
        <v>0</v>
      </c>
    </row>
    <row r="1623" spans="2:10" x14ac:dyDescent="0.25">
      <c r="B1623" t="s">
        <v>6</v>
      </c>
      <c r="C1623" t="s">
        <v>306</v>
      </c>
      <c r="D1623">
        <v>703854</v>
      </c>
      <c r="E1623" t="s">
        <v>285</v>
      </c>
      <c r="F1623" t="s">
        <v>21</v>
      </c>
      <c r="G1623" t="s">
        <v>22</v>
      </c>
      <c r="H1623" t="s">
        <v>115</v>
      </c>
      <c r="J1623" s="20">
        <v>0</v>
      </c>
    </row>
    <row r="1624" spans="2:10" x14ac:dyDescent="0.25">
      <c r="B1624" t="s">
        <v>6</v>
      </c>
      <c r="C1624" t="s">
        <v>306</v>
      </c>
      <c r="D1624">
        <v>703855</v>
      </c>
      <c r="E1624" t="s">
        <v>286</v>
      </c>
      <c r="F1624" t="s">
        <v>21</v>
      </c>
      <c r="G1624" t="s">
        <v>22</v>
      </c>
      <c r="H1624" t="s">
        <v>23</v>
      </c>
      <c r="J1624" s="20">
        <v>0</v>
      </c>
    </row>
    <row r="1625" spans="2:10" x14ac:dyDescent="0.25">
      <c r="B1625" t="s">
        <v>6</v>
      </c>
      <c r="C1625" t="s">
        <v>306</v>
      </c>
      <c r="D1625">
        <v>703856</v>
      </c>
      <c r="E1625" t="s">
        <v>287</v>
      </c>
      <c r="F1625" t="s">
        <v>21</v>
      </c>
      <c r="G1625" t="s">
        <v>22</v>
      </c>
      <c r="H1625" t="s">
        <v>23</v>
      </c>
      <c r="J1625" s="20">
        <v>0</v>
      </c>
    </row>
    <row r="1626" spans="2:10" x14ac:dyDescent="0.25">
      <c r="B1626" t="s">
        <v>6</v>
      </c>
      <c r="C1626" t="s">
        <v>306</v>
      </c>
      <c r="D1626">
        <v>703857</v>
      </c>
      <c r="E1626" t="s">
        <v>288</v>
      </c>
      <c r="F1626" t="s">
        <v>21</v>
      </c>
      <c r="G1626" t="s">
        <v>71</v>
      </c>
      <c r="H1626" t="s">
        <v>88</v>
      </c>
      <c r="J1626" s="20">
        <v>0</v>
      </c>
    </row>
    <row r="1627" spans="2:10" x14ac:dyDescent="0.25">
      <c r="B1627" t="s">
        <v>6</v>
      </c>
      <c r="C1627" t="s">
        <v>306</v>
      </c>
      <c r="D1627">
        <v>703858</v>
      </c>
      <c r="E1627" t="s">
        <v>289</v>
      </c>
      <c r="F1627" t="s">
        <v>21</v>
      </c>
      <c r="G1627" t="s">
        <v>22</v>
      </c>
      <c r="H1627" t="s">
        <v>23</v>
      </c>
      <c r="J1627" s="20">
        <v>0</v>
      </c>
    </row>
    <row r="1628" spans="2:10" x14ac:dyDescent="0.25">
      <c r="B1628" t="s">
        <v>6</v>
      </c>
      <c r="C1628" t="s">
        <v>306</v>
      </c>
      <c r="D1628">
        <v>703859</v>
      </c>
      <c r="E1628" t="s">
        <v>290</v>
      </c>
      <c r="F1628" t="s">
        <v>21</v>
      </c>
      <c r="G1628" t="s">
        <v>22</v>
      </c>
      <c r="H1628" t="s">
        <v>23</v>
      </c>
      <c r="J1628" s="20">
        <v>0</v>
      </c>
    </row>
    <row r="1629" spans="2:10" x14ac:dyDescent="0.25">
      <c r="B1629" t="s">
        <v>6</v>
      </c>
      <c r="C1629" t="s">
        <v>306</v>
      </c>
      <c r="D1629">
        <v>703860</v>
      </c>
      <c r="E1629" t="s">
        <v>291</v>
      </c>
      <c r="F1629" t="s">
        <v>21</v>
      </c>
      <c r="G1629" t="s">
        <v>22</v>
      </c>
      <c r="H1629" t="s">
        <v>23</v>
      </c>
      <c r="J1629" s="20">
        <v>0</v>
      </c>
    </row>
    <row r="1630" spans="2:10" x14ac:dyDescent="0.25">
      <c r="B1630" t="s">
        <v>6</v>
      </c>
      <c r="C1630" t="s">
        <v>306</v>
      </c>
      <c r="D1630">
        <v>703861</v>
      </c>
      <c r="E1630" t="s">
        <v>292</v>
      </c>
      <c r="F1630" t="s">
        <v>21</v>
      </c>
      <c r="G1630" t="s">
        <v>22</v>
      </c>
      <c r="H1630" t="s">
        <v>23</v>
      </c>
      <c r="J1630" s="20">
        <v>0</v>
      </c>
    </row>
    <row r="1631" spans="2:10" x14ac:dyDescent="0.25">
      <c r="B1631" t="s">
        <v>6</v>
      </c>
      <c r="C1631" t="s">
        <v>306</v>
      </c>
      <c r="D1631">
        <v>703862</v>
      </c>
      <c r="E1631" t="s">
        <v>293</v>
      </c>
      <c r="F1631" t="s">
        <v>21</v>
      </c>
      <c r="G1631" t="s">
        <v>22</v>
      </c>
      <c r="H1631" t="s">
        <v>23</v>
      </c>
      <c r="J1631" s="20">
        <v>0</v>
      </c>
    </row>
    <row r="1632" spans="2:10" x14ac:dyDescent="0.25">
      <c r="B1632" t="s">
        <v>6</v>
      </c>
      <c r="C1632" t="s">
        <v>306</v>
      </c>
      <c r="D1632">
        <v>703870</v>
      </c>
      <c r="E1632" t="s">
        <v>294</v>
      </c>
      <c r="F1632" t="s">
        <v>21</v>
      </c>
      <c r="G1632" t="s">
        <v>22</v>
      </c>
      <c r="H1632" t="s">
        <v>23</v>
      </c>
      <c r="J1632" s="20">
        <v>0</v>
      </c>
    </row>
    <row r="1633" spans="2:10" x14ac:dyDescent="0.25">
      <c r="B1633" t="s">
        <v>6</v>
      </c>
      <c r="C1633" t="s">
        <v>306</v>
      </c>
      <c r="D1633">
        <v>703880</v>
      </c>
      <c r="E1633" t="s">
        <v>295</v>
      </c>
      <c r="F1633" t="s">
        <v>21</v>
      </c>
      <c r="G1633" t="s">
        <v>22</v>
      </c>
      <c r="H1633" t="s">
        <v>23</v>
      </c>
      <c r="J1633" s="20">
        <v>0</v>
      </c>
    </row>
    <row r="1634" spans="2:10" x14ac:dyDescent="0.25">
      <c r="B1634" t="s">
        <v>6</v>
      </c>
      <c r="C1634" t="s">
        <v>306</v>
      </c>
      <c r="D1634">
        <v>703899</v>
      </c>
      <c r="E1634" t="s">
        <v>296</v>
      </c>
      <c r="F1634" t="s">
        <v>21</v>
      </c>
      <c r="G1634" t="s">
        <v>22</v>
      </c>
      <c r="H1634" t="s">
        <v>23</v>
      </c>
      <c r="J1634" s="20">
        <v>0</v>
      </c>
    </row>
    <row r="1635" spans="2:10" x14ac:dyDescent="0.25">
      <c r="B1635" t="s">
        <v>6</v>
      </c>
      <c r="C1635" t="s">
        <v>306</v>
      </c>
      <c r="D1635">
        <v>706700</v>
      </c>
      <c r="E1635" t="s">
        <v>25</v>
      </c>
      <c r="F1635" t="s">
        <v>26</v>
      </c>
      <c r="G1635" t="s">
        <v>27</v>
      </c>
      <c r="H1635" t="s">
        <v>28</v>
      </c>
      <c r="J1635" s="20">
        <v>0</v>
      </c>
    </row>
    <row r="1636" spans="2:10" x14ac:dyDescent="0.25">
      <c r="B1636" t="s">
        <v>6</v>
      </c>
      <c r="C1636" t="s">
        <v>306</v>
      </c>
      <c r="D1636" t="s">
        <v>29</v>
      </c>
      <c r="E1636" t="s">
        <v>30</v>
      </c>
      <c r="F1636" t="s">
        <v>26</v>
      </c>
      <c r="G1636" t="s">
        <v>27</v>
      </c>
      <c r="H1636" t="s">
        <v>31</v>
      </c>
      <c r="J1636" s="20">
        <v>0</v>
      </c>
    </row>
    <row r="1637" spans="2:10" x14ac:dyDescent="0.25">
      <c r="B1637" t="s">
        <v>6</v>
      </c>
      <c r="C1637" t="s">
        <v>306</v>
      </c>
      <c r="D1637" t="s">
        <v>32</v>
      </c>
      <c r="E1637" t="s">
        <v>33</v>
      </c>
      <c r="F1637" t="s">
        <v>26</v>
      </c>
      <c r="G1637" t="s">
        <v>27</v>
      </c>
      <c r="H1637" t="s">
        <v>28</v>
      </c>
      <c r="J1637" s="20">
        <v>0</v>
      </c>
    </row>
    <row r="1638" spans="2:10" x14ac:dyDescent="0.25">
      <c r="B1638" t="s">
        <v>6</v>
      </c>
      <c r="C1638" t="s">
        <v>306</v>
      </c>
      <c r="D1638" t="s">
        <v>34</v>
      </c>
      <c r="E1638" t="s">
        <v>35</v>
      </c>
      <c r="F1638" t="s">
        <v>26</v>
      </c>
      <c r="G1638" t="s">
        <v>36</v>
      </c>
      <c r="H1638" t="s">
        <v>36</v>
      </c>
      <c r="J1638" s="20">
        <v>0</v>
      </c>
    </row>
    <row r="1639" spans="2:10" x14ac:dyDescent="0.25">
      <c r="B1639" t="s">
        <v>6</v>
      </c>
      <c r="C1639" t="s">
        <v>306</v>
      </c>
      <c r="D1639" t="s">
        <v>37</v>
      </c>
      <c r="E1639" t="s">
        <v>38</v>
      </c>
      <c r="F1639" t="s">
        <v>21</v>
      </c>
      <c r="G1639" t="s">
        <v>39</v>
      </c>
      <c r="H1639" t="s">
        <v>39</v>
      </c>
      <c r="J1639" s="20">
        <v>0</v>
      </c>
    </row>
    <row r="1640" spans="2:10" x14ac:dyDescent="0.25">
      <c r="B1640" t="s">
        <v>6</v>
      </c>
      <c r="C1640" t="s">
        <v>306</v>
      </c>
      <c r="D1640" t="s">
        <v>40</v>
      </c>
      <c r="E1640" t="s">
        <v>41</v>
      </c>
      <c r="F1640" t="s">
        <v>26</v>
      </c>
      <c r="G1640" t="s">
        <v>39</v>
      </c>
      <c r="H1640" t="s">
        <v>39</v>
      </c>
      <c r="J1640" s="20">
        <v>0</v>
      </c>
    </row>
    <row r="1641" spans="2:10" x14ac:dyDescent="0.25">
      <c r="B1641" t="s">
        <v>6</v>
      </c>
      <c r="C1641" t="s">
        <v>306</v>
      </c>
      <c r="D1641" t="s">
        <v>42</v>
      </c>
      <c r="E1641" t="s">
        <v>43</v>
      </c>
      <c r="F1641" t="s">
        <v>21</v>
      </c>
      <c r="G1641" t="s">
        <v>44</v>
      </c>
      <c r="H1641" t="s">
        <v>44</v>
      </c>
      <c r="J1641" s="20">
        <v>0</v>
      </c>
    </row>
    <row r="1642" spans="2:10" x14ac:dyDescent="0.25">
      <c r="B1642" t="s">
        <v>6</v>
      </c>
      <c r="C1642" t="s">
        <v>306</v>
      </c>
      <c r="D1642" t="s">
        <v>45</v>
      </c>
      <c r="E1642" t="s">
        <v>46</v>
      </c>
      <c r="F1642" t="s">
        <v>26</v>
      </c>
      <c r="G1642" t="s">
        <v>44</v>
      </c>
      <c r="H1642" t="s">
        <v>44</v>
      </c>
      <c r="J1642" s="20">
        <v>0</v>
      </c>
    </row>
    <row r="1643" spans="2:10" x14ac:dyDescent="0.25">
      <c r="B1643" t="s">
        <v>6</v>
      </c>
      <c r="C1643" t="s">
        <v>306</v>
      </c>
      <c r="D1643" t="s">
        <v>297</v>
      </c>
      <c r="E1643" t="s">
        <v>298</v>
      </c>
      <c r="F1643" t="s">
        <v>26</v>
      </c>
      <c r="G1643" t="s">
        <v>299</v>
      </c>
      <c r="H1643" t="s">
        <v>299</v>
      </c>
      <c r="J1643" s="20"/>
    </row>
    <row r="1644" spans="2:10" x14ac:dyDescent="0.25">
      <c r="B1644" t="s">
        <v>6</v>
      </c>
      <c r="C1644" t="s">
        <v>306</v>
      </c>
      <c r="D1644" t="s">
        <v>300</v>
      </c>
      <c r="E1644" t="s">
        <v>301</v>
      </c>
      <c r="F1644" t="s">
        <v>21</v>
      </c>
      <c r="G1644" t="s">
        <v>299</v>
      </c>
      <c r="H1644" t="s">
        <v>299</v>
      </c>
      <c r="J1644" s="20"/>
    </row>
    <row r="1645" spans="2:10" x14ac:dyDescent="0.25">
      <c r="B1645" t="s">
        <v>6</v>
      </c>
      <c r="C1645" t="s">
        <v>306</v>
      </c>
      <c r="D1645" t="s">
        <v>47</v>
      </c>
      <c r="E1645" t="s">
        <v>48</v>
      </c>
      <c r="F1645" t="s">
        <v>26</v>
      </c>
      <c r="G1645" t="s">
        <v>49</v>
      </c>
      <c r="H1645" t="s">
        <v>49</v>
      </c>
      <c r="J1645" s="20">
        <v>0</v>
      </c>
    </row>
    <row r="1646" spans="2:10" x14ac:dyDescent="0.25">
      <c r="B1646" t="s">
        <v>6</v>
      </c>
      <c r="C1646" t="s">
        <v>307</v>
      </c>
      <c r="D1646">
        <v>701000</v>
      </c>
      <c r="E1646" t="s">
        <v>51</v>
      </c>
      <c r="F1646" t="s">
        <v>21</v>
      </c>
      <c r="G1646" t="s">
        <v>52</v>
      </c>
      <c r="H1646" t="s">
        <v>53</v>
      </c>
      <c r="J1646" s="20">
        <v>0</v>
      </c>
    </row>
    <row r="1647" spans="2:10" x14ac:dyDescent="0.25">
      <c r="B1647" t="s">
        <v>6</v>
      </c>
      <c r="C1647" t="s">
        <v>307</v>
      </c>
      <c r="D1647">
        <v>701008</v>
      </c>
      <c r="E1647" t="s">
        <v>54</v>
      </c>
      <c r="F1647" t="s">
        <v>21</v>
      </c>
      <c r="G1647" t="s">
        <v>52</v>
      </c>
      <c r="H1647" t="s">
        <v>53</v>
      </c>
      <c r="J1647" s="20">
        <v>0</v>
      </c>
    </row>
    <row r="1648" spans="2:10" x14ac:dyDescent="0.25">
      <c r="B1648" t="s">
        <v>6</v>
      </c>
      <c r="C1648" t="s">
        <v>307</v>
      </c>
      <c r="D1648">
        <v>701009</v>
      </c>
      <c r="E1648" t="s">
        <v>55</v>
      </c>
      <c r="F1648" t="s">
        <v>21</v>
      </c>
      <c r="G1648" t="s">
        <v>52</v>
      </c>
      <c r="H1648" t="s">
        <v>53</v>
      </c>
      <c r="J1648" s="20">
        <v>0</v>
      </c>
    </row>
    <row r="1649" spans="2:10" x14ac:dyDescent="0.25">
      <c r="B1649" t="s">
        <v>6</v>
      </c>
      <c r="C1649" t="s">
        <v>307</v>
      </c>
      <c r="D1649">
        <v>701010</v>
      </c>
      <c r="E1649" t="s">
        <v>56</v>
      </c>
      <c r="F1649" t="s">
        <v>21</v>
      </c>
      <c r="G1649" t="s">
        <v>52</v>
      </c>
      <c r="H1649" t="s">
        <v>57</v>
      </c>
      <c r="J1649" s="20">
        <v>0</v>
      </c>
    </row>
    <row r="1650" spans="2:10" x14ac:dyDescent="0.25">
      <c r="B1650" t="s">
        <v>6</v>
      </c>
      <c r="C1650" t="s">
        <v>307</v>
      </c>
      <c r="D1650">
        <v>701011</v>
      </c>
      <c r="E1650" t="s">
        <v>58</v>
      </c>
      <c r="F1650" t="s">
        <v>21</v>
      </c>
      <c r="G1650" t="s">
        <v>52</v>
      </c>
      <c r="H1650" t="s">
        <v>53</v>
      </c>
      <c r="J1650" s="20">
        <v>0</v>
      </c>
    </row>
    <row r="1651" spans="2:10" x14ac:dyDescent="0.25">
      <c r="B1651" t="s">
        <v>6</v>
      </c>
      <c r="C1651" t="s">
        <v>307</v>
      </c>
      <c r="D1651">
        <v>701012</v>
      </c>
      <c r="E1651" t="s">
        <v>59</v>
      </c>
      <c r="F1651" t="s">
        <v>21</v>
      </c>
      <c r="G1651" t="s">
        <v>52</v>
      </c>
      <c r="H1651" t="s">
        <v>53</v>
      </c>
      <c r="J1651" s="20">
        <v>0</v>
      </c>
    </row>
    <row r="1652" spans="2:10" x14ac:dyDescent="0.25">
      <c r="B1652" t="s">
        <v>6</v>
      </c>
      <c r="C1652" t="s">
        <v>307</v>
      </c>
      <c r="D1652">
        <v>701013</v>
      </c>
      <c r="E1652" t="s">
        <v>60</v>
      </c>
      <c r="F1652" t="s">
        <v>21</v>
      </c>
      <c r="G1652" t="s">
        <v>61</v>
      </c>
      <c r="H1652" t="s">
        <v>62</v>
      </c>
      <c r="J1652" s="20">
        <v>0</v>
      </c>
    </row>
    <row r="1653" spans="2:10" x14ac:dyDescent="0.25">
      <c r="B1653" t="s">
        <v>6</v>
      </c>
      <c r="C1653" t="s">
        <v>307</v>
      </c>
      <c r="D1653">
        <v>701014</v>
      </c>
      <c r="E1653" t="s">
        <v>63</v>
      </c>
      <c r="F1653" t="s">
        <v>21</v>
      </c>
      <c r="G1653" t="s">
        <v>61</v>
      </c>
      <c r="H1653" t="s">
        <v>64</v>
      </c>
      <c r="J1653" s="20">
        <v>0</v>
      </c>
    </row>
    <row r="1654" spans="2:10" x14ac:dyDescent="0.25">
      <c r="B1654" t="s">
        <v>6</v>
      </c>
      <c r="C1654" t="s">
        <v>307</v>
      </c>
      <c r="D1654">
        <v>701015</v>
      </c>
      <c r="E1654" t="s">
        <v>65</v>
      </c>
      <c r="F1654" t="s">
        <v>21</v>
      </c>
      <c r="G1654" t="s">
        <v>52</v>
      </c>
      <c r="H1654" t="s">
        <v>53</v>
      </c>
      <c r="J1654" s="20">
        <v>0</v>
      </c>
    </row>
    <row r="1655" spans="2:10" x14ac:dyDescent="0.25">
      <c r="B1655" t="s">
        <v>6</v>
      </c>
      <c r="C1655" t="s">
        <v>307</v>
      </c>
      <c r="D1655">
        <v>701016</v>
      </c>
      <c r="E1655" t="s">
        <v>66</v>
      </c>
      <c r="F1655" t="s">
        <v>21</v>
      </c>
      <c r="G1655" t="s">
        <v>52</v>
      </c>
      <c r="H1655" t="s">
        <v>53</v>
      </c>
      <c r="J1655" s="20">
        <v>0</v>
      </c>
    </row>
    <row r="1656" spans="2:10" x14ac:dyDescent="0.25">
      <c r="B1656" t="s">
        <v>6</v>
      </c>
      <c r="C1656" t="s">
        <v>307</v>
      </c>
      <c r="D1656">
        <v>701017</v>
      </c>
      <c r="E1656" t="s">
        <v>67</v>
      </c>
      <c r="F1656" t="s">
        <v>21</v>
      </c>
      <c r="G1656" t="s">
        <v>61</v>
      </c>
      <c r="H1656" t="s">
        <v>68</v>
      </c>
      <c r="J1656" s="20">
        <v>0</v>
      </c>
    </row>
    <row r="1657" spans="2:10" x14ac:dyDescent="0.25">
      <c r="B1657" t="s">
        <v>6</v>
      </c>
      <c r="C1657" t="s">
        <v>307</v>
      </c>
      <c r="D1657">
        <v>701018</v>
      </c>
      <c r="E1657" t="s">
        <v>69</v>
      </c>
      <c r="F1657" t="s">
        <v>21</v>
      </c>
      <c r="G1657" t="s">
        <v>61</v>
      </c>
      <c r="H1657" t="s">
        <v>68</v>
      </c>
      <c r="J1657" s="20">
        <v>0</v>
      </c>
    </row>
    <row r="1658" spans="2:10" x14ac:dyDescent="0.25">
      <c r="B1658" t="s">
        <v>6</v>
      </c>
      <c r="C1658" t="s">
        <v>307</v>
      </c>
      <c r="D1658">
        <v>701019</v>
      </c>
      <c r="E1658" t="s">
        <v>70</v>
      </c>
      <c r="F1658" t="s">
        <v>21</v>
      </c>
      <c r="G1658" t="s">
        <v>71</v>
      </c>
      <c r="H1658" t="s">
        <v>72</v>
      </c>
      <c r="J1658" s="20">
        <v>0</v>
      </c>
    </row>
    <row r="1659" spans="2:10" x14ac:dyDescent="0.25">
      <c r="B1659" t="s">
        <v>6</v>
      </c>
      <c r="C1659" t="s">
        <v>307</v>
      </c>
      <c r="D1659">
        <v>701020</v>
      </c>
      <c r="E1659" t="s">
        <v>73</v>
      </c>
      <c r="F1659" t="s">
        <v>21</v>
      </c>
      <c r="G1659" t="s">
        <v>52</v>
      </c>
      <c r="H1659" t="s">
        <v>53</v>
      </c>
      <c r="J1659" s="20">
        <v>0</v>
      </c>
    </row>
    <row r="1660" spans="2:10" x14ac:dyDescent="0.25">
      <c r="B1660" t="s">
        <v>6</v>
      </c>
      <c r="C1660" t="s">
        <v>307</v>
      </c>
      <c r="D1660">
        <v>701021</v>
      </c>
      <c r="E1660" t="s">
        <v>74</v>
      </c>
      <c r="F1660" t="s">
        <v>21</v>
      </c>
      <c r="G1660" t="s">
        <v>61</v>
      </c>
      <c r="H1660" t="s">
        <v>74</v>
      </c>
      <c r="J1660" s="20">
        <v>0</v>
      </c>
    </row>
    <row r="1661" spans="2:10" x14ac:dyDescent="0.25">
      <c r="B1661" t="s">
        <v>6</v>
      </c>
      <c r="C1661" t="s">
        <v>307</v>
      </c>
      <c r="D1661">
        <v>701022</v>
      </c>
      <c r="E1661" t="s">
        <v>75</v>
      </c>
      <c r="F1661" t="s">
        <v>21</v>
      </c>
      <c r="G1661" t="s">
        <v>76</v>
      </c>
      <c r="H1661" t="s">
        <v>77</v>
      </c>
      <c r="J1661" s="20">
        <v>0</v>
      </c>
    </row>
    <row r="1662" spans="2:10" x14ac:dyDescent="0.25">
      <c r="B1662" t="s">
        <v>6</v>
      </c>
      <c r="C1662" t="s">
        <v>307</v>
      </c>
      <c r="D1662">
        <v>701023</v>
      </c>
      <c r="E1662" t="s">
        <v>78</v>
      </c>
      <c r="F1662" t="s">
        <v>21</v>
      </c>
      <c r="G1662" t="s">
        <v>61</v>
      </c>
      <c r="H1662" t="s">
        <v>79</v>
      </c>
      <c r="J1662" s="20">
        <v>0</v>
      </c>
    </row>
    <row r="1663" spans="2:10" x14ac:dyDescent="0.25">
      <c r="B1663" t="s">
        <v>6</v>
      </c>
      <c r="C1663" t="s">
        <v>307</v>
      </c>
      <c r="D1663">
        <v>701024</v>
      </c>
      <c r="E1663" t="s">
        <v>80</v>
      </c>
      <c r="F1663" t="s">
        <v>21</v>
      </c>
      <c r="G1663" t="s">
        <v>76</v>
      </c>
      <c r="H1663" t="s">
        <v>77</v>
      </c>
      <c r="J1663" s="20">
        <v>0</v>
      </c>
    </row>
    <row r="1664" spans="2:10" x14ac:dyDescent="0.25">
      <c r="B1664" t="s">
        <v>6</v>
      </c>
      <c r="C1664" t="s">
        <v>307</v>
      </c>
      <c r="D1664">
        <v>701025</v>
      </c>
      <c r="E1664" t="s">
        <v>81</v>
      </c>
      <c r="F1664" t="s">
        <v>21</v>
      </c>
      <c r="G1664" t="s">
        <v>71</v>
      </c>
      <c r="H1664" t="s">
        <v>82</v>
      </c>
      <c r="J1664" s="20">
        <v>0</v>
      </c>
    </row>
    <row r="1665" spans="2:10" x14ac:dyDescent="0.25">
      <c r="B1665" t="s">
        <v>6</v>
      </c>
      <c r="C1665" t="s">
        <v>307</v>
      </c>
      <c r="D1665">
        <v>701026</v>
      </c>
      <c r="E1665" t="s">
        <v>83</v>
      </c>
      <c r="F1665" t="s">
        <v>21</v>
      </c>
      <c r="G1665" t="s">
        <v>76</v>
      </c>
      <c r="H1665" t="s">
        <v>77</v>
      </c>
      <c r="J1665" s="20">
        <v>0</v>
      </c>
    </row>
    <row r="1666" spans="2:10" x14ac:dyDescent="0.25">
      <c r="B1666" t="s">
        <v>6</v>
      </c>
      <c r="C1666" t="s">
        <v>307</v>
      </c>
      <c r="D1666">
        <v>701027</v>
      </c>
      <c r="E1666" t="s">
        <v>84</v>
      </c>
      <c r="F1666" t="s">
        <v>21</v>
      </c>
      <c r="G1666" t="s">
        <v>76</v>
      </c>
      <c r="H1666" t="s">
        <v>77</v>
      </c>
      <c r="J1666" s="20">
        <v>0</v>
      </c>
    </row>
    <row r="1667" spans="2:10" x14ac:dyDescent="0.25">
      <c r="B1667" t="s">
        <v>6</v>
      </c>
      <c r="C1667" t="s">
        <v>307</v>
      </c>
      <c r="D1667">
        <v>701028</v>
      </c>
      <c r="E1667" t="s">
        <v>85</v>
      </c>
      <c r="F1667" t="s">
        <v>21</v>
      </c>
      <c r="G1667" t="s">
        <v>61</v>
      </c>
      <c r="H1667" t="s">
        <v>68</v>
      </c>
      <c r="J1667" s="20">
        <v>0</v>
      </c>
    </row>
    <row r="1668" spans="2:10" x14ac:dyDescent="0.25">
      <c r="B1668" t="s">
        <v>6</v>
      </c>
      <c r="C1668" t="s">
        <v>307</v>
      </c>
      <c r="D1668">
        <v>701029</v>
      </c>
      <c r="E1668" t="s">
        <v>86</v>
      </c>
      <c r="F1668" t="s">
        <v>21</v>
      </c>
      <c r="G1668" t="s">
        <v>61</v>
      </c>
      <c r="H1668" t="s">
        <v>68</v>
      </c>
      <c r="J1668" s="20">
        <v>0</v>
      </c>
    </row>
    <row r="1669" spans="2:10" x14ac:dyDescent="0.25">
      <c r="B1669" t="s">
        <v>6</v>
      </c>
      <c r="C1669" t="s">
        <v>307</v>
      </c>
      <c r="D1669">
        <v>701030</v>
      </c>
      <c r="E1669" t="s">
        <v>87</v>
      </c>
      <c r="F1669" t="s">
        <v>21</v>
      </c>
      <c r="G1669" t="s">
        <v>71</v>
      </c>
      <c r="H1669" t="s">
        <v>88</v>
      </c>
      <c r="J1669" s="20">
        <v>0</v>
      </c>
    </row>
    <row r="1670" spans="2:10" x14ac:dyDescent="0.25">
      <c r="B1670" t="s">
        <v>6</v>
      </c>
      <c r="C1670" t="s">
        <v>307</v>
      </c>
      <c r="D1670">
        <v>701031</v>
      </c>
      <c r="E1670" t="s">
        <v>89</v>
      </c>
      <c r="F1670" t="s">
        <v>21</v>
      </c>
      <c r="G1670" t="s">
        <v>76</v>
      </c>
      <c r="H1670" t="s">
        <v>77</v>
      </c>
      <c r="J1670" s="20">
        <v>0</v>
      </c>
    </row>
    <row r="1671" spans="2:10" x14ac:dyDescent="0.25">
      <c r="B1671" t="s">
        <v>6</v>
      </c>
      <c r="C1671" t="s">
        <v>307</v>
      </c>
      <c r="D1671">
        <v>701032</v>
      </c>
      <c r="E1671" t="s">
        <v>90</v>
      </c>
      <c r="F1671" t="s">
        <v>21</v>
      </c>
      <c r="G1671" t="s">
        <v>52</v>
      </c>
      <c r="H1671" t="s">
        <v>53</v>
      </c>
      <c r="J1671" s="20">
        <v>0</v>
      </c>
    </row>
    <row r="1672" spans="2:10" x14ac:dyDescent="0.25">
      <c r="B1672" t="s">
        <v>6</v>
      </c>
      <c r="C1672" t="s">
        <v>307</v>
      </c>
      <c r="D1672">
        <v>701034</v>
      </c>
      <c r="E1672" t="s">
        <v>91</v>
      </c>
      <c r="F1672" t="s">
        <v>21</v>
      </c>
      <c r="G1672" t="s">
        <v>76</v>
      </c>
      <c r="H1672" t="s">
        <v>77</v>
      </c>
      <c r="J1672" s="20">
        <v>0</v>
      </c>
    </row>
    <row r="1673" spans="2:10" x14ac:dyDescent="0.25">
      <c r="B1673" t="s">
        <v>6</v>
      </c>
      <c r="C1673" t="s">
        <v>307</v>
      </c>
      <c r="D1673">
        <v>701035</v>
      </c>
      <c r="E1673" t="s">
        <v>92</v>
      </c>
      <c r="F1673" t="s">
        <v>21</v>
      </c>
      <c r="G1673" t="s">
        <v>61</v>
      </c>
      <c r="H1673" t="s">
        <v>68</v>
      </c>
      <c r="J1673" s="20">
        <v>0</v>
      </c>
    </row>
    <row r="1674" spans="2:10" x14ac:dyDescent="0.25">
      <c r="B1674" t="s">
        <v>6</v>
      </c>
      <c r="C1674" t="s">
        <v>307</v>
      </c>
      <c r="D1674">
        <v>701036</v>
      </c>
      <c r="E1674" t="s">
        <v>93</v>
      </c>
      <c r="F1674" t="s">
        <v>21</v>
      </c>
      <c r="G1674" t="s">
        <v>52</v>
      </c>
      <c r="H1674" t="s">
        <v>53</v>
      </c>
      <c r="J1674" s="20">
        <v>0</v>
      </c>
    </row>
    <row r="1675" spans="2:10" x14ac:dyDescent="0.25">
      <c r="B1675" t="s">
        <v>6</v>
      </c>
      <c r="C1675" t="s">
        <v>307</v>
      </c>
      <c r="D1675">
        <v>701113</v>
      </c>
      <c r="E1675" t="s">
        <v>94</v>
      </c>
      <c r="F1675" t="s">
        <v>21</v>
      </c>
      <c r="G1675" t="s">
        <v>61</v>
      </c>
      <c r="H1675" t="s">
        <v>62</v>
      </c>
      <c r="J1675" s="20">
        <v>0</v>
      </c>
    </row>
    <row r="1676" spans="2:10" x14ac:dyDescent="0.25">
      <c r="B1676" t="s">
        <v>6</v>
      </c>
      <c r="C1676" t="s">
        <v>307</v>
      </c>
      <c r="D1676">
        <v>701119</v>
      </c>
      <c r="E1676" t="s">
        <v>95</v>
      </c>
      <c r="F1676" t="s">
        <v>21</v>
      </c>
      <c r="G1676" t="s">
        <v>22</v>
      </c>
      <c r="H1676" t="s">
        <v>23</v>
      </c>
      <c r="J1676" s="20">
        <v>0</v>
      </c>
    </row>
    <row r="1677" spans="2:10" x14ac:dyDescent="0.25">
      <c r="B1677" t="s">
        <v>6</v>
      </c>
      <c r="C1677" t="s">
        <v>307</v>
      </c>
      <c r="D1677">
        <v>701120</v>
      </c>
      <c r="E1677" t="s">
        <v>96</v>
      </c>
      <c r="F1677" t="s">
        <v>21</v>
      </c>
      <c r="G1677" t="s">
        <v>22</v>
      </c>
      <c r="H1677" t="s">
        <v>23</v>
      </c>
      <c r="J1677" s="20">
        <v>0</v>
      </c>
    </row>
    <row r="1678" spans="2:10" x14ac:dyDescent="0.25">
      <c r="B1678" t="s">
        <v>6</v>
      </c>
      <c r="C1678" t="s">
        <v>307</v>
      </c>
      <c r="D1678">
        <v>701121</v>
      </c>
      <c r="E1678" t="s">
        <v>97</v>
      </c>
      <c r="F1678" t="s">
        <v>21</v>
      </c>
      <c r="G1678" t="s">
        <v>22</v>
      </c>
      <c r="H1678" t="s">
        <v>23</v>
      </c>
      <c r="J1678" s="20">
        <v>0</v>
      </c>
    </row>
    <row r="1679" spans="2:10" x14ac:dyDescent="0.25">
      <c r="B1679" t="s">
        <v>6</v>
      </c>
      <c r="C1679" t="s">
        <v>307</v>
      </c>
      <c r="D1679">
        <v>701122</v>
      </c>
      <c r="E1679" t="s">
        <v>98</v>
      </c>
      <c r="F1679" t="s">
        <v>21</v>
      </c>
      <c r="G1679" t="s">
        <v>71</v>
      </c>
      <c r="H1679" t="s">
        <v>88</v>
      </c>
      <c r="J1679" s="20">
        <v>0</v>
      </c>
    </row>
    <row r="1680" spans="2:10" x14ac:dyDescent="0.25">
      <c r="B1680" t="s">
        <v>6</v>
      </c>
      <c r="C1680" t="s">
        <v>307</v>
      </c>
      <c r="D1680">
        <v>701123</v>
      </c>
      <c r="E1680" t="s">
        <v>99</v>
      </c>
      <c r="F1680" t="s">
        <v>21</v>
      </c>
      <c r="G1680" t="s">
        <v>22</v>
      </c>
      <c r="H1680" t="s">
        <v>23</v>
      </c>
      <c r="J1680" s="20">
        <v>0</v>
      </c>
    </row>
    <row r="1681" spans="2:10" x14ac:dyDescent="0.25">
      <c r="B1681" t="s">
        <v>6</v>
      </c>
      <c r="C1681" t="s">
        <v>307</v>
      </c>
      <c r="D1681">
        <v>701127</v>
      </c>
      <c r="E1681" t="s">
        <v>100</v>
      </c>
      <c r="F1681" t="s">
        <v>21</v>
      </c>
      <c r="G1681" t="s">
        <v>76</v>
      </c>
      <c r="H1681" t="s">
        <v>77</v>
      </c>
      <c r="J1681" s="20">
        <v>0</v>
      </c>
    </row>
    <row r="1682" spans="2:10" x14ac:dyDescent="0.25">
      <c r="B1682" t="s">
        <v>6</v>
      </c>
      <c r="C1682" t="s">
        <v>307</v>
      </c>
      <c r="D1682">
        <v>701213</v>
      </c>
      <c r="E1682" t="s">
        <v>101</v>
      </c>
      <c r="F1682" t="s">
        <v>21</v>
      </c>
      <c r="G1682" t="s">
        <v>61</v>
      </c>
      <c r="H1682" t="s">
        <v>62</v>
      </c>
      <c r="J1682" s="20">
        <v>0</v>
      </c>
    </row>
    <row r="1683" spans="2:10" x14ac:dyDescent="0.25">
      <c r="B1683" t="s">
        <v>6</v>
      </c>
      <c r="C1683" t="s">
        <v>307</v>
      </c>
      <c r="D1683">
        <v>701214</v>
      </c>
      <c r="E1683" t="s">
        <v>102</v>
      </c>
      <c r="F1683" t="s">
        <v>21</v>
      </c>
      <c r="G1683" t="s">
        <v>61</v>
      </c>
      <c r="H1683" t="s">
        <v>62</v>
      </c>
      <c r="J1683" s="20">
        <v>0</v>
      </c>
    </row>
    <row r="1684" spans="2:10" x14ac:dyDescent="0.25">
      <c r="B1684" t="s">
        <v>6</v>
      </c>
      <c r="C1684" t="s">
        <v>307</v>
      </c>
      <c r="D1684">
        <v>701215</v>
      </c>
      <c r="E1684" t="s">
        <v>103</v>
      </c>
      <c r="F1684" t="s">
        <v>21</v>
      </c>
      <c r="G1684" t="s">
        <v>61</v>
      </c>
      <c r="H1684" t="s">
        <v>62</v>
      </c>
      <c r="J1684" s="20">
        <v>0</v>
      </c>
    </row>
    <row r="1685" spans="2:10" x14ac:dyDescent="0.25">
      <c r="B1685" t="s">
        <v>6</v>
      </c>
      <c r="C1685" t="s">
        <v>307</v>
      </c>
      <c r="D1685">
        <v>701227</v>
      </c>
      <c r="E1685" t="s">
        <v>104</v>
      </c>
      <c r="F1685" t="s">
        <v>21</v>
      </c>
      <c r="G1685" t="s">
        <v>76</v>
      </c>
      <c r="H1685" t="s">
        <v>77</v>
      </c>
      <c r="J1685" s="20">
        <v>0</v>
      </c>
    </row>
    <row r="1686" spans="2:10" x14ac:dyDescent="0.25">
      <c r="B1686" t="s">
        <v>6</v>
      </c>
      <c r="C1686" t="s">
        <v>307</v>
      </c>
      <c r="D1686">
        <v>701327</v>
      </c>
      <c r="E1686" t="s">
        <v>106</v>
      </c>
      <c r="F1686" t="s">
        <v>21</v>
      </c>
      <c r="G1686" t="s">
        <v>76</v>
      </c>
      <c r="H1686" t="s">
        <v>77</v>
      </c>
      <c r="J1686" s="20">
        <v>0</v>
      </c>
    </row>
    <row r="1687" spans="2:10" x14ac:dyDescent="0.25">
      <c r="B1687" t="s">
        <v>6</v>
      </c>
      <c r="C1687" t="s">
        <v>307</v>
      </c>
      <c r="D1687">
        <v>701427</v>
      </c>
      <c r="E1687" t="s">
        <v>107</v>
      </c>
      <c r="F1687" t="s">
        <v>21</v>
      </c>
      <c r="G1687" t="s">
        <v>76</v>
      </c>
      <c r="H1687" t="s">
        <v>108</v>
      </c>
      <c r="J1687" s="20">
        <v>0</v>
      </c>
    </row>
    <row r="1688" spans="2:10" x14ac:dyDescent="0.25">
      <c r="B1688" t="s">
        <v>6</v>
      </c>
      <c r="C1688" t="s">
        <v>307</v>
      </c>
      <c r="D1688">
        <v>701527</v>
      </c>
      <c r="E1688" t="s">
        <v>109</v>
      </c>
      <c r="F1688" t="s">
        <v>21</v>
      </c>
      <c r="G1688" t="s">
        <v>76</v>
      </c>
      <c r="H1688" t="s">
        <v>77</v>
      </c>
      <c r="J1688" s="20">
        <v>0</v>
      </c>
    </row>
    <row r="1689" spans="2:10" x14ac:dyDescent="0.25">
      <c r="B1689" t="s">
        <v>6</v>
      </c>
      <c r="C1689" t="s">
        <v>307</v>
      </c>
      <c r="D1689">
        <v>701627</v>
      </c>
      <c r="E1689" t="s">
        <v>110</v>
      </c>
      <c r="F1689" t="s">
        <v>21</v>
      </c>
      <c r="G1689" t="s">
        <v>76</v>
      </c>
      <c r="H1689" t="s">
        <v>77</v>
      </c>
      <c r="J1689" s="20">
        <v>0</v>
      </c>
    </row>
    <row r="1690" spans="2:10" x14ac:dyDescent="0.25">
      <c r="B1690" t="s">
        <v>6</v>
      </c>
      <c r="C1690" t="s">
        <v>307</v>
      </c>
      <c r="D1690">
        <v>701727</v>
      </c>
      <c r="E1690" t="s">
        <v>111</v>
      </c>
      <c r="F1690" t="s">
        <v>21</v>
      </c>
      <c r="G1690" t="s">
        <v>76</v>
      </c>
      <c r="H1690" t="s">
        <v>77</v>
      </c>
      <c r="J1690" s="20">
        <v>0</v>
      </c>
    </row>
    <row r="1691" spans="2:10" x14ac:dyDescent="0.25">
      <c r="B1691" t="s">
        <v>6</v>
      </c>
      <c r="C1691" t="s">
        <v>307</v>
      </c>
      <c r="D1691">
        <v>701801</v>
      </c>
      <c r="E1691" t="s">
        <v>112</v>
      </c>
      <c r="F1691" t="s">
        <v>21</v>
      </c>
      <c r="G1691" t="s">
        <v>76</v>
      </c>
      <c r="H1691" t="s">
        <v>77</v>
      </c>
      <c r="J1691" s="20">
        <v>0</v>
      </c>
    </row>
    <row r="1692" spans="2:10" x14ac:dyDescent="0.25">
      <c r="B1692" t="s">
        <v>6</v>
      </c>
      <c r="C1692" t="s">
        <v>307</v>
      </c>
      <c r="D1692">
        <v>701802</v>
      </c>
      <c r="E1692" t="s">
        <v>113</v>
      </c>
      <c r="F1692" t="s">
        <v>21</v>
      </c>
      <c r="G1692" t="s">
        <v>61</v>
      </c>
      <c r="H1692" t="s">
        <v>62</v>
      </c>
      <c r="J1692" s="20">
        <v>0</v>
      </c>
    </row>
    <row r="1693" spans="2:10" x14ac:dyDescent="0.25">
      <c r="B1693" t="s">
        <v>6</v>
      </c>
      <c r="C1693" t="s">
        <v>307</v>
      </c>
      <c r="D1693">
        <v>703010</v>
      </c>
      <c r="E1693" t="s">
        <v>114</v>
      </c>
      <c r="F1693" t="s">
        <v>21</v>
      </c>
      <c r="G1693" t="s">
        <v>22</v>
      </c>
      <c r="H1693" t="s">
        <v>115</v>
      </c>
      <c r="J1693" s="20">
        <v>0</v>
      </c>
    </row>
    <row r="1694" spans="2:10" x14ac:dyDescent="0.25">
      <c r="B1694" t="s">
        <v>6</v>
      </c>
      <c r="C1694" t="s">
        <v>307</v>
      </c>
      <c r="D1694">
        <v>703011</v>
      </c>
      <c r="E1694" t="s">
        <v>116</v>
      </c>
      <c r="F1694" t="s">
        <v>21</v>
      </c>
      <c r="G1694" t="s">
        <v>22</v>
      </c>
      <c r="H1694" t="s">
        <v>115</v>
      </c>
      <c r="J1694" s="20">
        <v>0</v>
      </c>
    </row>
    <row r="1695" spans="2:10" x14ac:dyDescent="0.25">
      <c r="B1695" t="s">
        <v>6</v>
      </c>
      <c r="C1695" t="s">
        <v>307</v>
      </c>
      <c r="D1695">
        <v>703012</v>
      </c>
      <c r="E1695" t="s">
        <v>117</v>
      </c>
      <c r="F1695" t="s">
        <v>21</v>
      </c>
      <c r="G1695" t="s">
        <v>22</v>
      </c>
      <c r="H1695" t="s">
        <v>115</v>
      </c>
      <c r="J1695" s="20">
        <v>0</v>
      </c>
    </row>
    <row r="1696" spans="2:10" x14ac:dyDescent="0.25">
      <c r="B1696" t="s">
        <v>6</v>
      </c>
      <c r="C1696" t="s">
        <v>307</v>
      </c>
      <c r="D1696">
        <v>703013</v>
      </c>
      <c r="E1696" t="s">
        <v>118</v>
      </c>
      <c r="F1696" t="s">
        <v>21</v>
      </c>
      <c r="G1696" t="s">
        <v>22</v>
      </c>
      <c r="H1696" t="s">
        <v>115</v>
      </c>
      <c r="J1696" s="20">
        <v>0</v>
      </c>
    </row>
    <row r="1697" spans="2:10" x14ac:dyDescent="0.25">
      <c r="B1697" t="s">
        <v>6</v>
      </c>
      <c r="C1697" t="s">
        <v>307</v>
      </c>
      <c r="D1697">
        <v>703014</v>
      </c>
      <c r="E1697" t="s">
        <v>119</v>
      </c>
      <c r="F1697" t="s">
        <v>21</v>
      </c>
      <c r="G1697" t="s">
        <v>22</v>
      </c>
      <c r="H1697" t="s">
        <v>115</v>
      </c>
      <c r="J1697" s="20">
        <v>0</v>
      </c>
    </row>
    <row r="1698" spans="2:10" x14ac:dyDescent="0.25">
      <c r="B1698" t="s">
        <v>6</v>
      </c>
      <c r="C1698" t="s">
        <v>307</v>
      </c>
      <c r="D1698">
        <v>703015</v>
      </c>
      <c r="E1698" t="s">
        <v>120</v>
      </c>
      <c r="F1698" t="s">
        <v>21</v>
      </c>
      <c r="G1698" t="s">
        <v>22</v>
      </c>
      <c r="H1698" t="s">
        <v>115</v>
      </c>
      <c r="J1698" s="20">
        <v>0</v>
      </c>
    </row>
    <row r="1699" spans="2:10" x14ac:dyDescent="0.25">
      <c r="B1699" t="s">
        <v>6</v>
      </c>
      <c r="C1699" t="s">
        <v>307</v>
      </c>
      <c r="D1699">
        <v>703016</v>
      </c>
      <c r="E1699" t="s">
        <v>121</v>
      </c>
      <c r="F1699" t="s">
        <v>21</v>
      </c>
      <c r="G1699" t="s">
        <v>22</v>
      </c>
      <c r="H1699" t="s">
        <v>115</v>
      </c>
      <c r="J1699" s="20">
        <v>0</v>
      </c>
    </row>
    <row r="1700" spans="2:10" x14ac:dyDescent="0.25">
      <c r="B1700" t="s">
        <v>6</v>
      </c>
      <c r="C1700" t="s">
        <v>307</v>
      </c>
      <c r="D1700">
        <v>703017</v>
      </c>
      <c r="E1700" t="s">
        <v>122</v>
      </c>
      <c r="F1700" t="s">
        <v>21</v>
      </c>
      <c r="G1700" t="s">
        <v>22</v>
      </c>
      <c r="H1700" t="s">
        <v>115</v>
      </c>
      <c r="J1700" s="20">
        <v>0</v>
      </c>
    </row>
    <row r="1701" spans="2:10" x14ac:dyDescent="0.25">
      <c r="B1701" t="s">
        <v>6</v>
      </c>
      <c r="C1701" t="s">
        <v>307</v>
      </c>
      <c r="D1701">
        <v>703018</v>
      </c>
      <c r="E1701" t="s">
        <v>123</v>
      </c>
      <c r="F1701" t="s">
        <v>21</v>
      </c>
      <c r="G1701" t="s">
        <v>22</v>
      </c>
      <c r="H1701" t="s">
        <v>115</v>
      </c>
      <c r="J1701" s="20">
        <v>0</v>
      </c>
    </row>
    <row r="1702" spans="2:10" x14ac:dyDescent="0.25">
      <c r="B1702" t="s">
        <v>6</v>
      </c>
      <c r="C1702" t="s">
        <v>307</v>
      </c>
      <c r="D1702">
        <v>703019</v>
      </c>
      <c r="E1702" t="s">
        <v>124</v>
      </c>
      <c r="F1702" t="s">
        <v>21</v>
      </c>
      <c r="G1702" t="s">
        <v>22</v>
      </c>
      <c r="H1702" t="s">
        <v>115</v>
      </c>
      <c r="J1702" s="20">
        <v>0</v>
      </c>
    </row>
    <row r="1703" spans="2:10" x14ac:dyDescent="0.25">
      <c r="B1703" t="s">
        <v>6</v>
      </c>
      <c r="C1703" t="s">
        <v>307</v>
      </c>
      <c r="D1703">
        <v>703210</v>
      </c>
      <c r="E1703" t="s">
        <v>125</v>
      </c>
      <c r="F1703" t="s">
        <v>21</v>
      </c>
      <c r="G1703" t="s">
        <v>22</v>
      </c>
      <c r="H1703" t="s">
        <v>23</v>
      </c>
      <c r="J1703" s="20">
        <v>0</v>
      </c>
    </row>
    <row r="1704" spans="2:10" x14ac:dyDescent="0.25">
      <c r="B1704" t="s">
        <v>6</v>
      </c>
      <c r="C1704" t="s">
        <v>307</v>
      </c>
      <c r="D1704">
        <v>703211</v>
      </c>
      <c r="E1704" t="s">
        <v>126</v>
      </c>
      <c r="F1704" t="s">
        <v>21</v>
      </c>
      <c r="G1704" t="s">
        <v>22</v>
      </c>
      <c r="H1704" t="s">
        <v>23</v>
      </c>
      <c r="J1704" s="20">
        <v>0</v>
      </c>
    </row>
    <row r="1705" spans="2:10" x14ac:dyDescent="0.25">
      <c r="B1705" t="s">
        <v>6</v>
      </c>
      <c r="C1705" t="s">
        <v>307</v>
      </c>
      <c r="D1705">
        <v>703212</v>
      </c>
      <c r="E1705" t="s">
        <v>127</v>
      </c>
      <c r="F1705" t="s">
        <v>21</v>
      </c>
      <c r="G1705" t="s">
        <v>22</v>
      </c>
      <c r="H1705" t="s">
        <v>23</v>
      </c>
      <c r="J1705" s="20">
        <v>0</v>
      </c>
    </row>
    <row r="1706" spans="2:10" x14ac:dyDescent="0.25">
      <c r="B1706" t="s">
        <v>6</v>
      </c>
      <c r="C1706" t="s">
        <v>307</v>
      </c>
      <c r="D1706">
        <v>703213</v>
      </c>
      <c r="E1706" t="s">
        <v>128</v>
      </c>
      <c r="F1706" t="s">
        <v>21</v>
      </c>
      <c r="G1706" t="s">
        <v>22</v>
      </c>
      <c r="H1706" t="s">
        <v>23</v>
      </c>
      <c r="J1706" s="20">
        <v>0</v>
      </c>
    </row>
    <row r="1707" spans="2:10" x14ac:dyDescent="0.25">
      <c r="B1707" t="s">
        <v>6</v>
      </c>
      <c r="C1707" t="s">
        <v>307</v>
      </c>
      <c r="D1707">
        <v>703214</v>
      </c>
      <c r="E1707" t="s">
        <v>129</v>
      </c>
      <c r="F1707" t="s">
        <v>21</v>
      </c>
      <c r="G1707" t="s">
        <v>22</v>
      </c>
      <c r="H1707" t="s">
        <v>23</v>
      </c>
      <c r="J1707" s="20">
        <v>0</v>
      </c>
    </row>
    <row r="1708" spans="2:10" x14ac:dyDescent="0.25">
      <c r="B1708" t="s">
        <v>6</v>
      </c>
      <c r="C1708" t="s">
        <v>307</v>
      </c>
      <c r="D1708">
        <v>703215</v>
      </c>
      <c r="E1708" t="s">
        <v>130</v>
      </c>
      <c r="F1708" t="s">
        <v>21</v>
      </c>
      <c r="G1708" t="s">
        <v>22</v>
      </c>
      <c r="H1708" t="s">
        <v>23</v>
      </c>
      <c r="J1708" s="20">
        <v>0</v>
      </c>
    </row>
    <row r="1709" spans="2:10" x14ac:dyDescent="0.25">
      <c r="B1709" t="s">
        <v>6</v>
      </c>
      <c r="C1709" t="s">
        <v>307</v>
      </c>
      <c r="D1709">
        <v>703216</v>
      </c>
      <c r="E1709" t="s">
        <v>131</v>
      </c>
      <c r="F1709" t="s">
        <v>21</v>
      </c>
      <c r="G1709" t="s">
        <v>22</v>
      </c>
      <c r="H1709" t="s">
        <v>23</v>
      </c>
      <c r="J1709" s="20">
        <v>0</v>
      </c>
    </row>
    <row r="1710" spans="2:10" x14ac:dyDescent="0.25">
      <c r="B1710" t="s">
        <v>6</v>
      </c>
      <c r="C1710" t="s">
        <v>307</v>
      </c>
      <c r="D1710">
        <v>703217</v>
      </c>
      <c r="E1710" t="s">
        <v>132</v>
      </c>
      <c r="F1710" t="s">
        <v>21</v>
      </c>
      <c r="G1710" t="s">
        <v>22</v>
      </c>
      <c r="H1710" t="s">
        <v>23</v>
      </c>
      <c r="J1710" s="20">
        <v>0</v>
      </c>
    </row>
    <row r="1711" spans="2:10" x14ac:dyDescent="0.25">
      <c r="B1711" t="s">
        <v>6</v>
      </c>
      <c r="C1711" t="s">
        <v>307</v>
      </c>
      <c r="D1711">
        <v>703219</v>
      </c>
      <c r="E1711" t="s">
        <v>133</v>
      </c>
      <c r="F1711" t="s">
        <v>21</v>
      </c>
      <c r="G1711" t="s">
        <v>22</v>
      </c>
      <c r="H1711" t="s">
        <v>23</v>
      </c>
      <c r="J1711" s="20">
        <v>0</v>
      </c>
    </row>
    <row r="1712" spans="2:10" x14ac:dyDescent="0.25">
      <c r="B1712" t="s">
        <v>6</v>
      </c>
      <c r="C1712" t="s">
        <v>307</v>
      </c>
      <c r="D1712">
        <v>703220</v>
      </c>
      <c r="E1712" t="s">
        <v>134</v>
      </c>
      <c r="F1712" t="s">
        <v>21</v>
      </c>
      <c r="G1712" t="s">
        <v>71</v>
      </c>
      <c r="H1712" t="s">
        <v>135</v>
      </c>
      <c r="J1712" s="20">
        <v>0</v>
      </c>
    </row>
    <row r="1713" spans="2:10" x14ac:dyDescent="0.25">
      <c r="B1713" t="s">
        <v>6</v>
      </c>
      <c r="C1713" t="s">
        <v>307</v>
      </c>
      <c r="D1713">
        <v>703221</v>
      </c>
      <c r="E1713" t="s">
        <v>136</v>
      </c>
      <c r="F1713" t="s">
        <v>21</v>
      </c>
      <c r="G1713" t="s">
        <v>137</v>
      </c>
      <c r="H1713" t="s">
        <v>138</v>
      </c>
      <c r="J1713" s="20">
        <v>0</v>
      </c>
    </row>
    <row r="1714" spans="2:10" x14ac:dyDescent="0.25">
      <c r="B1714" t="s">
        <v>6</v>
      </c>
      <c r="C1714" t="s">
        <v>307</v>
      </c>
      <c r="D1714">
        <v>703222</v>
      </c>
      <c r="E1714" t="s">
        <v>139</v>
      </c>
      <c r="F1714" t="s">
        <v>21</v>
      </c>
      <c r="G1714" t="s">
        <v>137</v>
      </c>
      <c r="H1714" t="s">
        <v>138</v>
      </c>
      <c r="J1714" s="20">
        <v>0</v>
      </c>
    </row>
    <row r="1715" spans="2:10" x14ac:dyDescent="0.25">
      <c r="B1715" t="s">
        <v>6</v>
      </c>
      <c r="C1715" t="s">
        <v>307</v>
      </c>
      <c r="D1715">
        <v>703223</v>
      </c>
      <c r="E1715" t="s">
        <v>140</v>
      </c>
      <c r="F1715" t="s">
        <v>21</v>
      </c>
      <c r="G1715" t="s">
        <v>137</v>
      </c>
      <c r="H1715" t="s">
        <v>141</v>
      </c>
      <c r="J1715" s="20">
        <v>0</v>
      </c>
    </row>
    <row r="1716" spans="2:10" x14ac:dyDescent="0.25">
      <c r="B1716" t="s">
        <v>6</v>
      </c>
      <c r="C1716" t="s">
        <v>307</v>
      </c>
      <c r="D1716">
        <v>703224</v>
      </c>
      <c r="E1716" t="s">
        <v>142</v>
      </c>
      <c r="F1716" t="s">
        <v>21</v>
      </c>
      <c r="G1716" t="s">
        <v>71</v>
      </c>
      <c r="H1716" t="s">
        <v>88</v>
      </c>
      <c r="J1716" s="20">
        <v>0</v>
      </c>
    </row>
    <row r="1717" spans="2:10" x14ac:dyDescent="0.25">
      <c r="B1717" t="s">
        <v>6</v>
      </c>
      <c r="C1717" t="s">
        <v>307</v>
      </c>
      <c r="D1717">
        <v>703225</v>
      </c>
      <c r="E1717" t="s">
        <v>143</v>
      </c>
      <c r="F1717" t="s">
        <v>21</v>
      </c>
      <c r="G1717" t="s">
        <v>71</v>
      </c>
      <c r="H1717" t="s">
        <v>88</v>
      </c>
      <c r="J1717" s="20">
        <v>0</v>
      </c>
    </row>
    <row r="1718" spans="2:10" x14ac:dyDescent="0.25">
      <c r="B1718" t="s">
        <v>6</v>
      </c>
      <c r="C1718" t="s">
        <v>307</v>
      </c>
      <c r="D1718">
        <v>703226</v>
      </c>
      <c r="E1718" t="s">
        <v>144</v>
      </c>
      <c r="F1718" t="s">
        <v>21</v>
      </c>
      <c r="G1718" t="s">
        <v>71</v>
      </c>
      <c r="H1718" t="s">
        <v>82</v>
      </c>
      <c r="J1718" s="20">
        <v>0</v>
      </c>
    </row>
    <row r="1719" spans="2:10" x14ac:dyDescent="0.25">
      <c r="B1719" t="s">
        <v>6</v>
      </c>
      <c r="C1719" t="s">
        <v>307</v>
      </c>
      <c r="D1719">
        <v>703227</v>
      </c>
      <c r="E1719" t="s">
        <v>145</v>
      </c>
      <c r="F1719" t="s">
        <v>21</v>
      </c>
      <c r="G1719" t="s">
        <v>137</v>
      </c>
      <c r="H1719" t="s">
        <v>138</v>
      </c>
      <c r="J1719" s="20">
        <v>0</v>
      </c>
    </row>
    <row r="1720" spans="2:10" x14ac:dyDescent="0.25">
      <c r="B1720" t="s">
        <v>6</v>
      </c>
      <c r="C1720" t="s">
        <v>307</v>
      </c>
      <c r="D1720">
        <v>703228</v>
      </c>
      <c r="E1720" t="s">
        <v>146</v>
      </c>
      <c r="F1720" t="s">
        <v>21</v>
      </c>
      <c r="G1720" t="s">
        <v>147</v>
      </c>
      <c r="H1720" t="s">
        <v>147</v>
      </c>
      <c r="J1720" s="20">
        <v>0</v>
      </c>
    </row>
    <row r="1721" spans="2:10" x14ac:dyDescent="0.25">
      <c r="B1721" t="s">
        <v>6</v>
      </c>
      <c r="C1721" t="s">
        <v>307</v>
      </c>
      <c r="D1721">
        <v>703229</v>
      </c>
      <c r="E1721" t="s">
        <v>148</v>
      </c>
      <c r="F1721" t="s">
        <v>21</v>
      </c>
      <c r="G1721" t="s">
        <v>147</v>
      </c>
      <c r="H1721" t="s">
        <v>147</v>
      </c>
      <c r="J1721" s="20">
        <v>0</v>
      </c>
    </row>
    <row r="1722" spans="2:10" x14ac:dyDescent="0.25">
      <c r="B1722" t="s">
        <v>6</v>
      </c>
      <c r="C1722" t="s">
        <v>307</v>
      </c>
      <c r="D1722">
        <v>703230</v>
      </c>
      <c r="E1722" t="s">
        <v>149</v>
      </c>
      <c r="F1722" t="s">
        <v>21</v>
      </c>
      <c r="G1722" t="s">
        <v>147</v>
      </c>
      <c r="H1722" t="s">
        <v>147</v>
      </c>
      <c r="J1722" s="20">
        <v>0</v>
      </c>
    </row>
    <row r="1723" spans="2:10" x14ac:dyDescent="0.25">
      <c r="B1723" t="s">
        <v>6</v>
      </c>
      <c r="C1723" t="s">
        <v>307</v>
      </c>
      <c r="D1723">
        <v>703231</v>
      </c>
      <c r="E1723" t="s">
        <v>150</v>
      </c>
      <c r="F1723" t="s">
        <v>21</v>
      </c>
      <c r="G1723" t="s">
        <v>137</v>
      </c>
      <c r="H1723" t="s">
        <v>141</v>
      </c>
      <c r="J1723" s="20">
        <v>0</v>
      </c>
    </row>
    <row r="1724" spans="2:10" x14ac:dyDescent="0.25">
      <c r="B1724" t="s">
        <v>6</v>
      </c>
      <c r="C1724" t="s">
        <v>307</v>
      </c>
      <c r="D1724">
        <v>703232</v>
      </c>
      <c r="E1724" t="s">
        <v>151</v>
      </c>
      <c r="F1724" t="s">
        <v>21</v>
      </c>
      <c r="G1724" t="s">
        <v>147</v>
      </c>
      <c r="H1724" t="s">
        <v>147</v>
      </c>
      <c r="J1724" s="20">
        <v>0</v>
      </c>
    </row>
    <row r="1725" spans="2:10" x14ac:dyDescent="0.25">
      <c r="B1725" t="s">
        <v>6</v>
      </c>
      <c r="C1725" t="s">
        <v>307</v>
      </c>
      <c r="D1725">
        <v>703233</v>
      </c>
      <c r="E1725" t="s">
        <v>152</v>
      </c>
      <c r="F1725" t="s">
        <v>21</v>
      </c>
      <c r="G1725" t="s">
        <v>71</v>
      </c>
      <c r="H1725" t="s">
        <v>153</v>
      </c>
      <c r="J1725" s="20">
        <v>0</v>
      </c>
    </row>
    <row r="1726" spans="2:10" x14ac:dyDescent="0.25">
      <c r="B1726" t="s">
        <v>6</v>
      </c>
      <c r="C1726" t="s">
        <v>307</v>
      </c>
      <c r="D1726">
        <v>703234</v>
      </c>
      <c r="E1726" t="s">
        <v>154</v>
      </c>
      <c r="F1726" t="s">
        <v>21</v>
      </c>
      <c r="G1726" t="s">
        <v>71</v>
      </c>
      <c r="H1726" t="s">
        <v>153</v>
      </c>
      <c r="J1726" s="20">
        <v>0</v>
      </c>
    </row>
    <row r="1727" spans="2:10" x14ac:dyDescent="0.25">
      <c r="B1727" t="s">
        <v>6</v>
      </c>
      <c r="C1727" t="s">
        <v>307</v>
      </c>
      <c r="D1727">
        <v>703235</v>
      </c>
      <c r="E1727" t="s">
        <v>155</v>
      </c>
      <c r="F1727" t="s">
        <v>21</v>
      </c>
      <c r="G1727" t="s">
        <v>71</v>
      </c>
      <c r="H1727" t="s">
        <v>153</v>
      </c>
      <c r="J1727" s="20">
        <v>0</v>
      </c>
    </row>
    <row r="1728" spans="2:10" x14ac:dyDescent="0.25">
      <c r="B1728" t="s">
        <v>6</v>
      </c>
      <c r="C1728" t="s">
        <v>307</v>
      </c>
      <c r="D1728">
        <v>703236</v>
      </c>
      <c r="E1728" t="s">
        <v>156</v>
      </c>
      <c r="F1728" t="s">
        <v>21</v>
      </c>
      <c r="G1728" t="s">
        <v>76</v>
      </c>
      <c r="H1728" t="s">
        <v>77</v>
      </c>
      <c r="J1728" s="20">
        <v>0</v>
      </c>
    </row>
    <row r="1729" spans="2:10" x14ac:dyDescent="0.25">
      <c r="B1729" t="s">
        <v>6</v>
      </c>
      <c r="C1729" t="s">
        <v>307</v>
      </c>
      <c r="D1729">
        <v>703237</v>
      </c>
      <c r="E1729" t="s">
        <v>157</v>
      </c>
      <c r="F1729" t="s">
        <v>21</v>
      </c>
      <c r="G1729" t="s">
        <v>22</v>
      </c>
      <c r="H1729" t="s">
        <v>23</v>
      </c>
      <c r="J1729" s="20">
        <v>0</v>
      </c>
    </row>
    <row r="1730" spans="2:10" x14ac:dyDescent="0.25">
      <c r="B1730" t="s">
        <v>6</v>
      </c>
      <c r="C1730" t="s">
        <v>307</v>
      </c>
      <c r="D1730">
        <v>703238</v>
      </c>
      <c r="E1730" t="s">
        <v>158</v>
      </c>
      <c r="F1730" t="s">
        <v>21</v>
      </c>
      <c r="G1730" t="s">
        <v>61</v>
      </c>
      <c r="H1730" t="s">
        <v>68</v>
      </c>
      <c r="J1730" s="20">
        <v>0</v>
      </c>
    </row>
    <row r="1731" spans="2:10" x14ac:dyDescent="0.25">
      <c r="B1731" t="s">
        <v>6</v>
      </c>
      <c r="C1731" t="s">
        <v>307</v>
      </c>
      <c r="D1731">
        <v>703239</v>
      </c>
      <c r="E1731" t="s">
        <v>159</v>
      </c>
      <c r="F1731" t="s">
        <v>21</v>
      </c>
      <c r="G1731" t="s">
        <v>61</v>
      </c>
      <c r="H1731" t="s">
        <v>68</v>
      </c>
      <c r="J1731" s="20">
        <v>0</v>
      </c>
    </row>
    <row r="1732" spans="2:10" x14ac:dyDescent="0.25">
      <c r="B1732" t="s">
        <v>6</v>
      </c>
      <c r="C1732" t="s">
        <v>307</v>
      </c>
      <c r="D1732">
        <v>703240</v>
      </c>
      <c r="E1732" t="s">
        <v>160</v>
      </c>
      <c r="F1732" t="s">
        <v>21</v>
      </c>
      <c r="G1732" t="s">
        <v>61</v>
      </c>
      <c r="H1732" t="s">
        <v>68</v>
      </c>
      <c r="J1732" s="20">
        <v>0</v>
      </c>
    </row>
    <row r="1733" spans="2:10" x14ac:dyDescent="0.25">
      <c r="B1733" t="s">
        <v>6</v>
      </c>
      <c r="C1733" t="s">
        <v>307</v>
      </c>
      <c r="D1733">
        <v>703241</v>
      </c>
      <c r="E1733" t="s">
        <v>161</v>
      </c>
      <c r="F1733" t="s">
        <v>21</v>
      </c>
      <c r="G1733" t="s">
        <v>137</v>
      </c>
      <c r="H1733" t="s">
        <v>141</v>
      </c>
      <c r="J1733" s="20">
        <v>0</v>
      </c>
    </row>
    <row r="1734" spans="2:10" x14ac:dyDescent="0.25">
      <c r="B1734" t="s">
        <v>6</v>
      </c>
      <c r="C1734" t="s">
        <v>307</v>
      </c>
      <c r="D1734">
        <v>703242</v>
      </c>
      <c r="E1734" t="s">
        <v>162</v>
      </c>
      <c r="F1734" t="s">
        <v>21</v>
      </c>
      <c r="G1734" t="s">
        <v>137</v>
      </c>
      <c r="H1734" t="s">
        <v>141</v>
      </c>
      <c r="J1734" s="20">
        <v>0</v>
      </c>
    </row>
    <row r="1735" spans="2:10" x14ac:dyDescent="0.25">
      <c r="B1735" t="s">
        <v>6</v>
      </c>
      <c r="C1735" t="s">
        <v>307</v>
      </c>
      <c r="D1735">
        <v>703243</v>
      </c>
      <c r="E1735" t="s">
        <v>163</v>
      </c>
      <c r="F1735" t="s">
        <v>21</v>
      </c>
      <c r="G1735" t="s">
        <v>137</v>
      </c>
      <c r="H1735" t="s">
        <v>141</v>
      </c>
      <c r="J1735" s="20">
        <v>0</v>
      </c>
    </row>
    <row r="1736" spans="2:10" x14ac:dyDescent="0.25">
      <c r="B1736" t="s">
        <v>6</v>
      </c>
      <c r="C1736" t="s">
        <v>307</v>
      </c>
      <c r="D1736">
        <v>703244</v>
      </c>
      <c r="E1736" t="s">
        <v>164</v>
      </c>
      <c r="F1736" t="s">
        <v>21</v>
      </c>
      <c r="G1736" t="s">
        <v>71</v>
      </c>
      <c r="H1736" t="s">
        <v>88</v>
      </c>
      <c r="J1736" s="20">
        <v>0</v>
      </c>
    </row>
    <row r="1737" spans="2:10" x14ac:dyDescent="0.25">
      <c r="B1737" t="s">
        <v>6</v>
      </c>
      <c r="C1737" t="s">
        <v>307</v>
      </c>
      <c r="D1737">
        <v>703245</v>
      </c>
      <c r="E1737" t="s">
        <v>165</v>
      </c>
      <c r="F1737" t="s">
        <v>21</v>
      </c>
      <c r="G1737" t="s">
        <v>137</v>
      </c>
      <c r="H1737" t="s">
        <v>138</v>
      </c>
      <c r="J1737" s="20">
        <v>0</v>
      </c>
    </row>
    <row r="1738" spans="2:10" x14ac:dyDescent="0.25">
      <c r="B1738" t="s">
        <v>6</v>
      </c>
      <c r="C1738" t="s">
        <v>307</v>
      </c>
      <c r="D1738">
        <v>703246</v>
      </c>
      <c r="E1738" t="s">
        <v>166</v>
      </c>
      <c r="F1738" t="s">
        <v>21</v>
      </c>
      <c r="G1738" t="s">
        <v>137</v>
      </c>
      <c r="H1738" t="s">
        <v>138</v>
      </c>
      <c r="J1738" s="20">
        <v>0</v>
      </c>
    </row>
    <row r="1739" spans="2:10" x14ac:dyDescent="0.25">
      <c r="B1739" t="s">
        <v>6</v>
      </c>
      <c r="C1739" t="s">
        <v>307</v>
      </c>
      <c r="D1739">
        <v>703247</v>
      </c>
      <c r="E1739" t="s">
        <v>167</v>
      </c>
      <c r="F1739" t="s">
        <v>21</v>
      </c>
      <c r="G1739" t="s">
        <v>137</v>
      </c>
      <c r="H1739" t="s">
        <v>138</v>
      </c>
      <c r="J1739" s="20">
        <v>0</v>
      </c>
    </row>
    <row r="1740" spans="2:10" x14ac:dyDescent="0.25">
      <c r="B1740" t="s">
        <v>6</v>
      </c>
      <c r="C1740" t="s">
        <v>307</v>
      </c>
      <c r="D1740">
        <v>703248</v>
      </c>
      <c r="E1740" t="s">
        <v>168</v>
      </c>
      <c r="F1740" t="s">
        <v>21</v>
      </c>
      <c r="G1740" t="s">
        <v>137</v>
      </c>
      <c r="H1740" t="s">
        <v>141</v>
      </c>
      <c r="J1740" s="20">
        <v>0</v>
      </c>
    </row>
    <row r="1741" spans="2:10" x14ac:dyDescent="0.25">
      <c r="B1741" t="s">
        <v>6</v>
      </c>
      <c r="C1741" t="s">
        <v>307</v>
      </c>
      <c r="D1741">
        <v>703249</v>
      </c>
      <c r="E1741" t="s">
        <v>169</v>
      </c>
      <c r="F1741" t="s">
        <v>21</v>
      </c>
      <c r="G1741" t="s">
        <v>147</v>
      </c>
      <c r="H1741" t="s">
        <v>147</v>
      </c>
      <c r="J1741" s="20">
        <v>0</v>
      </c>
    </row>
    <row r="1742" spans="2:10" x14ac:dyDescent="0.25">
      <c r="B1742" t="s">
        <v>6</v>
      </c>
      <c r="C1742" t="s">
        <v>307</v>
      </c>
      <c r="D1742">
        <v>703250</v>
      </c>
      <c r="E1742" t="s">
        <v>170</v>
      </c>
      <c r="F1742" t="s">
        <v>21</v>
      </c>
      <c r="G1742" t="s">
        <v>71</v>
      </c>
      <c r="H1742" t="s">
        <v>171</v>
      </c>
      <c r="J1742" s="20">
        <v>0</v>
      </c>
    </row>
    <row r="1743" spans="2:10" x14ac:dyDescent="0.25">
      <c r="B1743" t="s">
        <v>6</v>
      </c>
      <c r="C1743" t="s">
        <v>307</v>
      </c>
      <c r="D1743">
        <v>703251</v>
      </c>
      <c r="E1743" t="s">
        <v>172</v>
      </c>
      <c r="F1743" t="s">
        <v>21</v>
      </c>
      <c r="G1743" t="s">
        <v>22</v>
      </c>
      <c r="H1743" t="s">
        <v>115</v>
      </c>
      <c r="J1743" s="20">
        <v>0</v>
      </c>
    </row>
    <row r="1744" spans="2:10" x14ac:dyDescent="0.25">
      <c r="B1744" t="s">
        <v>6</v>
      </c>
      <c r="C1744" t="s">
        <v>307</v>
      </c>
      <c r="D1744">
        <v>703252</v>
      </c>
      <c r="E1744" t="s">
        <v>173</v>
      </c>
      <c r="F1744" t="s">
        <v>21</v>
      </c>
      <c r="G1744" t="s">
        <v>22</v>
      </c>
      <c r="H1744" t="s">
        <v>115</v>
      </c>
      <c r="J1744" s="20">
        <v>0</v>
      </c>
    </row>
    <row r="1745" spans="2:10" x14ac:dyDescent="0.25">
      <c r="B1745" t="s">
        <v>6</v>
      </c>
      <c r="C1745" t="s">
        <v>307</v>
      </c>
      <c r="D1745">
        <v>703253</v>
      </c>
      <c r="E1745" t="s">
        <v>174</v>
      </c>
      <c r="F1745" t="s">
        <v>21</v>
      </c>
      <c r="G1745" t="s">
        <v>22</v>
      </c>
      <c r="H1745" t="s">
        <v>115</v>
      </c>
      <c r="J1745" s="20">
        <v>0</v>
      </c>
    </row>
    <row r="1746" spans="2:10" x14ac:dyDescent="0.25">
      <c r="B1746" t="s">
        <v>6</v>
      </c>
      <c r="C1746" t="s">
        <v>307</v>
      </c>
      <c r="D1746">
        <v>703254</v>
      </c>
      <c r="E1746" t="s">
        <v>175</v>
      </c>
      <c r="F1746" t="s">
        <v>21</v>
      </c>
      <c r="G1746" t="s">
        <v>22</v>
      </c>
      <c r="H1746" t="s">
        <v>115</v>
      </c>
      <c r="J1746" s="20">
        <v>0</v>
      </c>
    </row>
    <row r="1747" spans="2:10" x14ac:dyDescent="0.25">
      <c r="B1747" t="s">
        <v>6</v>
      </c>
      <c r="C1747" t="s">
        <v>307</v>
      </c>
      <c r="D1747">
        <v>703255</v>
      </c>
      <c r="E1747" t="s">
        <v>176</v>
      </c>
      <c r="F1747" t="s">
        <v>21</v>
      </c>
      <c r="G1747" t="s">
        <v>22</v>
      </c>
      <c r="H1747" t="s">
        <v>115</v>
      </c>
      <c r="J1747" s="20">
        <v>0</v>
      </c>
    </row>
    <row r="1748" spans="2:10" x14ac:dyDescent="0.25">
      <c r="B1748" t="s">
        <v>6</v>
      </c>
      <c r="C1748" t="s">
        <v>307</v>
      </c>
      <c r="D1748">
        <v>703257</v>
      </c>
      <c r="E1748" t="s">
        <v>177</v>
      </c>
      <c r="F1748" t="s">
        <v>21</v>
      </c>
      <c r="G1748" t="s">
        <v>147</v>
      </c>
      <c r="H1748" t="s">
        <v>147</v>
      </c>
      <c r="J1748" s="20">
        <v>0</v>
      </c>
    </row>
    <row r="1749" spans="2:10" x14ac:dyDescent="0.25">
      <c r="B1749" t="s">
        <v>6</v>
      </c>
      <c r="C1749" t="s">
        <v>307</v>
      </c>
      <c r="D1749">
        <v>703258</v>
      </c>
      <c r="E1749" t="s">
        <v>178</v>
      </c>
      <c r="F1749" t="s">
        <v>21</v>
      </c>
      <c r="G1749" t="s">
        <v>147</v>
      </c>
      <c r="H1749" t="s">
        <v>147</v>
      </c>
      <c r="J1749" s="20">
        <v>0</v>
      </c>
    </row>
    <row r="1750" spans="2:10" x14ac:dyDescent="0.25">
      <c r="B1750" t="s">
        <v>6</v>
      </c>
      <c r="C1750" t="s">
        <v>307</v>
      </c>
      <c r="D1750">
        <v>703260</v>
      </c>
      <c r="E1750" t="s">
        <v>179</v>
      </c>
      <c r="F1750" t="s">
        <v>21</v>
      </c>
      <c r="G1750" t="s">
        <v>76</v>
      </c>
      <c r="H1750" t="s">
        <v>77</v>
      </c>
      <c r="J1750" s="20">
        <v>0</v>
      </c>
    </row>
    <row r="1751" spans="2:10" x14ac:dyDescent="0.25">
      <c r="B1751" t="s">
        <v>6</v>
      </c>
      <c r="C1751" t="s">
        <v>307</v>
      </c>
      <c r="D1751">
        <v>703261</v>
      </c>
      <c r="E1751" t="s">
        <v>180</v>
      </c>
      <c r="F1751" t="s">
        <v>21</v>
      </c>
      <c r="G1751" t="s">
        <v>22</v>
      </c>
      <c r="H1751" t="s">
        <v>115</v>
      </c>
      <c r="J1751" s="20">
        <v>0</v>
      </c>
    </row>
    <row r="1752" spans="2:10" x14ac:dyDescent="0.25">
      <c r="B1752" t="s">
        <v>6</v>
      </c>
      <c r="C1752" t="s">
        <v>307</v>
      </c>
      <c r="D1752">
        <v>703262</v>
      </c>
      <c r="E1752" t="s">
        <v>181</v>
      </c>
      <c r="F1752" t="s">
        <v>21</v>
      </c>
      <c r="G1752" t="s">
        <v>22</v>
      </c>
      <c r="H1752" t="s">
        <v>23</v>
      </c>
      <c r="J1752" s="20">
        <v>0</v>
      </c>
    </row>
    <row r="1753" spans="2:10" x14ac:dyDescent="0.25">
      <c r="B1753" t="s">
        <v>6</v>
      </c>
      <c r="C1753" t="s">
        <v>307</v>
      </c>
      <c r="D1753">
        <v>703263</v>
      </c>
      <c r="E1753" t="s">
        <v>182</v>
      </c>
      <c r="F1753" t="s">
        <v>21</v>
      </c>
      <c r="G1753" t="s">
        <v>22</v>
      </c>
      <c r="H1753" t="s">
        <v>115</v>
      </c>
      <c r="J1753" s="20">
        <v>0</v>
      </c>
    </row>
    <row r="1754" spans="2:10" x14ac:dyDescent="0.25">
      <c r="B1754" t="s">
        <v>6</v>
      </c>
      <c r="C1754" t="s">
        <v>307</v>
      </c>
      <c r="D1754">
        <v>703264</v>
      </c>
      <c r="E1754" t="s">
        <v>183</v>
      </c>
      <c r="F1754" t="s">
        <v>21</v>
      </c>
      <c r="G1754" t="s">
        <v>22</v>
      </c>
      <c r="H1754" t="s">
        <v>115</v>
      </c>
      <c r="J1754" s="20">
        <v>0</v>
      </c>
    </row>
    <row r="1755" spans="2:10" x14ac:dyDescent="0.25">
      <c r="B1755" t="s">
        <v>6</v>
      </c>
      <c r="C1755" t="s">
        <v>307</v>
      </c>
      <c r="D1755">
        <v>703265</v>
      </c>
      <c r="E1755" t="s">
        <v>184</v>
      </c>
      <c r="F1755" t="s">
        <v>21</v>
      </c>
      <c r="G1755" t="s">
        <v>22</v>
      </c>
      <c r="H1755" t="s">
        <v>115</v>
      </c>
      <c r="J1755" s="20">
        <v>0</v>
      </c>
    </row>
    <row r="1756" spans="2:10" x14ac:dyDescent="0.25">
      <c r="B1756" t="s">
        <v>6</v>
      </c>
      <c r="C1756" t="s">
        <v>307</v>
      </c>
      <c r="D1756">
        <v>703266</v>
      </c>
      <c r="E1756" t="s">
        <v>185</v>
      </c>
      <c r="F1756" t="s">
        <v>21</v>
      </c>
      <c r="G1756" t="s">
        <v>71</v>
      </c>
      <c r="H1756" t="s">
        <v>186</v>
      </c>
      <c r="J1756" s="20">
        <v>0</v>
      </c>
    </row>
    <row r="1757" spans="2:10" x14ac:dyDescent="0.25">
      <c r="B1757" t="s">
        <v>6</v>
      </c>
      <c r="C1757" t="s">
        <v>307</v>
      </c>
      <c r="D1757">
        <v>703267</v>
      </c>
      <c r="E1757" t="s">
        <v>187</v>
      </c>
      <c r="F1757" t="s">
        <v>21</v>
      </c>
      <c r="G1757" t="s">
        <v>71</v>
      </c>
      <c r="H1757" t="s">
        <v>88</v>
      </c>
      <c r="J1757" s="20">
        <v>0</v>
      </c>
    </row>
    <row r="1758" spans="2:10" x14ac:dyDescent="0.25">
      <c r="B1758" t="s">
        <v>6</v>
      </c>
      <c r="C1758" t="s">
        <v>307</v>
      </c>
      <c r="D1758">
        <v>703268</v>
      </c>
      <c r="E1758" t="s">
        <v>188</v>
      </c>
      <c r="F1758" t="s">
        <v>21</v>
      </c>
      <c r="G1758" t="s">
        <v>147</v>
      </c>
      <c r="H1758" t="s">
        <v>147</v>
      </c>
      <c r="J1758" s="20">
        <v>0</v>
      </c>
    </row>
    <row r="1759" spans="2:10" x14ac:dyDescent="0.25">
      <c r="B1759" t="s">
        <v>6</v>
      </c>
      <c r="C1759" t="s">
        <v>307</v>
      </c>
      <c r="D1759">
        <v>703269</v>
      </c>
      <c r="E1759" t="s">
        <v>189</v>
      </c>
      <c r="F1759" t="s">
        <v>21</v>
      </c>
      <c r="G1759" t="s">
        <v>147</v>
      </c>
      <c r="H1759" t="s">
        <v>147</v>
      </c>
      <c r="J1759" s="20">
        <v>0</v>
      </c>
    </row>
    <row r="1760" spans="2:10" x14ac:dyDescent="0.25">
      <c r="B1760" t="s">
        <v>6</v>
      </c>
      <c r="C1760" t="s">
        <v>307</v>
      </c>
      <c r="D1760">
        <v>703270</v>
      </c>
      <c r="E1760" t="s">
        <v>190</v>
      </c>
      <c r="F1760" t="s">
        <v>21</v>
      </c>
      <c r="G1760" t="s">
        <v>137</v>
      </c>
      <c r="H1760" t="s">
        <v>141</v>
      </c>
      <c r="J1760" s="20">
        <v>0</v>
      </c>
    </row>
    <row r="1761" spans="2:10" x14ac:dyDescent="0.25">
      <c r="B1761" t="s">
        <v>6</v>
      </c>
      <c r="C1761" t="s">
        <v>307</v>
      </c>
      <c r="D1761">
        <v>703271</v>
      </c>
      <c r="E1761" t="s">
        <v>191</v>
      </c>
      <c r="F1761" t="s">
        <v>21</v>
      </c>
      <c r="G1761" t="s">
        <v>22</v>
      </c>
      <c r="H1761" t="s">
        <v>115</v>
      </c>
      <c r="J1761" s="20">
        <v>0</v>
      </c>
    </row>
    <row r="1762" spans="2:10" x14ac:dyDescent="0.25">
      <c r="B1762" t="s">
        <v>6</v>
      </c>
      <c r="C1762" t="s">
        <v>307</v>
      </c>
      <c r="D1762">
        <v>703272</v>
      </c>
      <c r="E1762" t="s">
        <v>192</v>
      </c>
      <c r="F1762" t="s">
        <v>21</v>
      </c>
      <c r="G1762" t="s">
        <v>22</v>
      </c>
      <c r="H1762" t="s">
        <v>23</v>
      </c>
      <c r="J1762" s="20">
        <v>0</v>
      </c>
    </row>
    <row r="1763" spans="2:10" x14ac:dyDescent="0.25">
      <c r="B1763" t="s">
        <v>6</v>
      </c>
      <c r="C1763" t="s">
        <v>307</v>
      </c>
      <c r="D1763">
        <v>703273</v>
      </c>
      <c r="E1763" t="s">
        <v>193</v>
      </c>
      <c r="F1763" t="s">
        <v>21</v>
      </c>
      <c r="G1763" t="s">
        <v>147</v>
      </c>
      <c r="H1763" t="s">
        <v>147</v>
      </c>
      <c r="J1763" s="20">
        <v>0</v>
      </c>
    </row>
    <row r="1764" spans="2:10" x14ac:dyDescent="0.25">
      <c r="B1764" t="s">
        <v>6</v>
      </c>
      <c r="C1764" t="s">
        <v>307</v>
      </c>
      <c r="D1764">
        <v>703274</v>
      </c>
      <c r="E1764" t="s">
        <v>194</v>
      </c>
      <c r="F1764" t="s">
        <v>21</v>
      </c>
      <c r="G1764" t="s">
        <v>147</v>
      </c>
      <c r="H1764" t="s">
        <v>147</v>
      </c>
      <c r="J1764" s="20">
        <v>0</v>
      </c>
    </row>
    <row r="1765" spans="2:10" x14ac:dyDescent="0.25">
      <c r="B1765" t="s">
        <v>6</v>
      </c>
      <c r="C1765" t="s">
        <v>307</v>
      </c>
      <c r="D1765">
        <v>703275</v>
      </c>
      <c r="E1765" t="s">
        <v>195</v>
      </c>
      <c r="F1765" t="s">
        <v>21</v>
      </c>
      <c r="G1765" t="s">
        <v>137</v>
      </c>
      <c r="H1765" t="s">
        <v>138</v>
      </c>
      <c r="J1765" s="20">
        <v>0</v>
      </c>
    </row>
    <row r="1766" spans="2:10" x14ac:dyDescent="0.25">
      <c r="B1766" t="s">
        <v>6</v>
      </c>
      <c r="C1766" t="s">
        <v>307</v>
      </c>
      <c r="D1766">
        <v>703280</v>
      </c>
      <c r="E1766" t="s">
        <v>196</v>
      </c>
      <c r="F1766" t="s">
        <v>21</v>
      </c>
      <c r="G1766" t="s">
        <v>71</v>
      </c>
      <c r="H1766" t="s">
        <v>171</v>
      </c>
      <c r="J1766" s="20">
        <v>0</v>
      </c>
    </row>
    <row r="1767" spans="2:10" x14ac:dyDescent="0.25">
      <c r="B1767" t="s">
        <v>6</v>
      </c>
      <c r="C1767" t="s">
        <v>307</v>
      </c>
      <c r="D1767">
        <v>703281</v>
      </c>
      <c r="E1767" t="s">
        <v>197</v>
      </c>
      <c r="F1767" t="s">
        <v>21</v>
      </c>
      <c r="G1767" t="s">
        <v>76</v>
      </c>
      <c r="H1767" t="s">
        <v>77</v>
      </c>
      <c r="J1767" s="20">
        <v>0</v>
      </c>
    </row>
    <row r="1768" spans="2:10" x14ac:dyDescent="0.25">
      <c r="B1768" t="s">
        <v>6</v>
      </c>
      <c r="C1768" t="s">
        <v>307</v>
      </c>
      <c r="D1768">
        <v>703282</v>
      </c>
      <c r="E1768" t="s">
        <v>198</v>
      </c>
      <c r="F1768" t="s">
        <v>21</v>
      </c>
      <c r="G1768" t="s">
        <v>76</v>
      </c>
      <c r="H1768" t="s">
        <v>77</v>
      </c>
      <c r="J1768" s="20">
        <v>0</v>
      </c>
    </row>
    <row r="1769" spans="2:10" x14ac:dyDescent="0.25">
      <c r="B1769" t="s">
        <v>6</v>
      </c>
      <c r="C1769" t="s">
        <v>307</v>
      </c>
      <c r="D1769">
        <v>703283</v>
      </c>
      <c r="E1769" t="s">
        <v>199</v>
      </c>
      <c r="F1769" t="s">
        <v>21</v>
      </c>
      <c r="G1769" t="s">
        <v>61</v>
      </c>
      <c r="H1769" t="s">
        <v>68</v>
      </c>
      <c r="J1769" s="20">
        <v>0</v>
      </c>
    </row>
    <row r="1770" spans="2:10" x14ac:dyDescent="0.25">
      <c r="B1770" t="s">
        <v>6</v>
      </c>
      <c r="C1770" t="s">
        <v>307</v>
      </c>
      <c r="D1770">
        <v>703310</v>
      </c>
      <c r="E1770" t="s">
        <v>200</v>
      </c>
      <c r="F1770" t="s">
        <v>21</v>
      </c>
      <c r="G1770" t="s">
        <v>22</v>
      </c>
      <c r="H1770" t="s">
        <v>23</v>
      </c>
      <c r="J1770" s="20">
        <v>0</v>
      </c>
    </row>
    <row r="1771" spans="2:10" x14ac:dyDescent="0.25">
      <c r="B1771" t="s">
        <v>6</v>
      </c>
      <c r="C1771" t="s">
        <v>307</v>
      </c>
      <c r="D1771">
        <v>703311</v>
      </c>
      <c r="E1771" t="s">
        <v>201</v>
      </c>
      <c r="F1771" t="s">
        <v>21</v>
      </c>
      <c r="G1771" t="s">
        <v>71</v>
      </c>
      <c r="H1771" t="s">
        <v>171</v>
      </c>
      <c r="J1771" s="20">
        <v>0</v>
      </c>
    </row>
    <row r="1772" spans="2:10" x14ac:dyDescent="0.25">
      <c r="B1772" t="s">
        <v>6</v>
      </c>
      <c r="C1772" t="s">
        <v>307</v>
      </c>
      <c r="D1772">
        <v>703312</v>
      </c>
      <c r="E1772" t="s">
        <v>202</v>
      </c>
      <c r="F1772" t="s">
        <v>21</v>
      </c>
      <c r="G1772" t="s">
        <v>76</v>
      </c>
      <c r="H1772" t="s">
        <v>77</v>
      </c>
      <c r="J1772" s="20">
        <v>0</v>
      </c>
    </row>
    <row r="1773" spans="2:10" x14ac:dyDescent="0.25">
      <c r="B1773" t="s">
        <v>6</v>
      </c>
      <c r="C1773" t="s">
        <v>307</v>
      </c>
      <c r="D1773">
        <v>703313</v>
      </c>
      <c r="E1773" t="s">
        <v>203</v>
      </c>
      <c r="F1773" t="s">
        <v>21</v>
      </c>
      <c r="G1773" t="s">
        <v>76</v>
      </c>
      <c r="H1773" t="s">
        <v>77</v>
      </c>
      <c r="J1773" s="20">
        <v>0</v>
      </c>
    </row>
    <row r="1774" spans="2:10" x14ac:dyDescent="0.25">
      <c r="B1774" t="s">
        <v>6</v>
      </c>
      <c r="C1774" t="s">
        <v>307</v>
      </c>
      <c r="D1774">
        <v>703314</v>
      </c>
      <c r="E1774" t="s">
        <v>204</v>
      </c>
      <c r="F1774" t="s">
        <v>21</v>
      </c>
      <c r="G1774" t="s">
        <v>76</v>
      </c>
      <c r="H1774" t="s">
        <v>77</v>
      </c>
      <c r="J1774" s="20">
        <v>0</v>
      </c>
    </row>
    <row r="1775" spans="2:10" x14ac:dyDescent="0.25">
      <c r="B1775" t="s">
        <v>6</v>
      </c>
      <c r="C1775" t="s">
        <v>307</v>
      </c>
      <c r="D1775">
        <v>703315</v>
      </c>
      <c r="E1775" t="s">
        <v>205</v>
      </c>
      <c r="F1775" t="s">
        <v>21</v>
      </c>
      <c r="G1775" t="s">
        <v>76</v>
      </c>
      <c r="H1775" t="s">
        <v>135</v>
      </c>
      <c r="J1775" s="20">
        <v>0</v>
      </c>
    </row>
    <row r="1776" spans="2:10" x14ac:dyDescent="0.25">
      <c r="B1776" t="s">
        <v>6</v>
      </c>
      <c r="C1776" t="s">
        <v>307</v>
      </c>
      <c r="D1776">
        <v>703316</v>
      </c>
      <c r="E1776" t="s">
        <v>206</v>
      </c>
      <c r="F1776" t="s">
        <v>21</v>
      </c>
      <c r="G1776" t="s">
        <v>76</v>
      </c>
      <c r="H1776" t="s">
        <v>77</v>
      </c>
      <c r="J1776" s="20">
        <v>0</v>
      </c>
    </row>
    <row r="1777" spans="2:10" x14ac:dyDescent="0.25">
      <c r="B1777" t="s">
        <v>6</v>
      </c>
      <c r="C1777" t="s">
        <v>307</v>
      </c>
      <c r="D1777">
        <v>703317</v>
      </c>
      <c r="E1777" t="s">
        <v>207</v>
      </c>
      <c r="F1777" t="s">
        <v>21</v>
      </c>
      <c r="G1777" t="s">
        <v>76</v>
      </c>
      <c r="H1777" t="s">
        <v>77</v>
      </c>
      <c r="J1777" s="20">
        <v>0</v>
      </c>
    </row>
    <row r="1778" spans="2:10" x14ac:dyDescent="0.25">
      <c r="B1778" t="s">
        <v>6</v>
      </c>
      <c r="C1778" t="s">
        <v>307</v>
      </c>
      <c r="D1778">
        <v>703318</v>
      </c>
      <c r="E1778" t="s">
        <v>208</v>
      </c>
      <c r="F1778" t="s">
        <v>21</v>
      </c>
      <c r="G1778" t="s">
        <v>71</v>
      </c>
      <c r="H1778" t="s">
        <v>209</v>
      </c>
      <c r="J1778" s="20">
        <v>0</v>
      </c>
    </row>
    <row r="1779" spans="2:10" x14ac:dyDescent="0.25">
      <c r="B1779" t="s">
        <v>6</v>
      </c>
      <c r="C1779" t="s">
        <v>307</v>
      </c>
      <c r="D1779">
        <v>703319</v>
      </c>
      <c r="E1779" t="s">
        <v>210</v>
      </c>
      <c r="F1779" t="s">
        <v>21</v>
      </c>
      <c r="G1779" t="s">
        <v>61</v>
      </c>
      <c r="H1779" t="s">
        <v>79</v>
      </c>
      <c r="J1779" s="20">
        <v>0</v>
      </c>
    </row>
    <row r="1780" spans="2:10" x14ac:dyDescent="0.25">
      <c r="B1780" t="s">
        <v>6</v>
      </c>
      <c r="C1780" t="s">
        <v>307</v>
      </c>
      <c r="D1780">
        <v>703320</v>
      </c>
      <c r="E1780" t="s">
        <v>211</v>
      </c>
      <c r="F1780" t="s">
        <v>21</v>
      </c>
      <c r="G1780" t="s">
        <v>71</v>
      </c>
      <c r="H1780" t="s">
        <v>135</v>
      </c>
      <c r="J1780" s="20">
        <v>0</v>
      </c>
    </row>
    <row r="1781" spans="2:10" x14ac:dyDescent="0.25">
      <c r="B1781" t="s">
        <v>6</v>
      </c>
      <c r="C1781" t="s">
        <v>307</v>
      </c>
      <c r="D1781">
        <v>703321</v>
      </c>
      <c r="E1781" t="s">
        <v>212</v>
      </c>
      <c r="F1781" t="s">
        <v>21</v>
      </c>
      <c r="G1781" t="s">
        <v>22</v>
      </c>
      <c r="H1781" t="s">
        <v>23</v>
      </c>
      <c r="J1781" s="20">
        <v>0</v>
      </c>
    </row>
    <row r="1782" spans="2:10" x14ac:dyDescent="0.25">
      <c r="B1782" t="s">
        <v>6</v>
      </c>
      <c r="C1782" t="s">
        <v>307</v>
      </c>
      <c r="D1782">
        <v>703322</v>
      </c>
      <c r="E1782" t="s">
        <v>213</v>
      </c>
      <c r="F1782" t="s">
        <v>21</v>
      </c>
      <c r="G1782" t="s">
        <v>22</v>
      </c>
      <c r="H1782" t="s">
        <v>23</v>
      </c>
      <c r="J1782" s="20">
        <v>0</v>
      </c>
    </row>
    <row r="1783" spans="2:10" x14ac:dyDescent="0.25">
      <c r="B1783" t="s">
        <v>6</v>
      </c>
      <c r="C1783" t="s">
        <v>307</v>
      </c>
      <c r="D1783">
        <v>703323</v>
      </c>
      <c r="E1783" t="s">
        <v>214</v>
      </c>
      <c r="F1783" t="s">
        <v>21</v>
      </c>
      <c r="G1783" t="s">
        <v>22</v>
      </c>
      <c r="H1783" t="s">
        <v>23</v>
      </c>
      <c r="J1783" s="20">
        <v>0</v>
      </c>
    </row>
    <row r="1784" spans="2:10" x14ac:dyDescent="0.25">
      <c r="B1784" t="s">
        <v>6</v>
      </c>
      <c r="C1784" t="s">
        <v>307</v>
      </c>
      <c r="D1784">
        <v>703324</v>
      </c>
      <c r="E1784" t="s">
        <v>215</v>
      </c>
      <c r="F1784" t="s">
        <v>21</v>
      </c>
      <c r="G1784" t="s">
        <v>22</v>
      </c>
      <c r="H1784" t="s">
        <v>23</v>
      </c>
      <c r="J1784" s="20">
        <v>0</v>
      </c>
    </row>
    <row r="1785" spans="2:10" x14ac:dyDescent="0.25">
      <c r="B1785" t="s">
        <v>6</v>
      </c>
      <c r="C1785" t="s">
        <v>307</v>
      </c>
      <c r="D1785">
        <v>703325</v>
      </c>
      <c r="E1785" t="s">
        <v>216</v>
      </c>
      <c r="F1785" t="s">
        <v>21</v>
      </c>
      <c r="G1785" t="s">
        <v>22</v>
      </c>
      <c r="H1785" t="s">
        <v>23</v>
      </c>
      <c r="J1785" s="20">
        <v>0</v>
      </c>
    </row>
    <row r="1786" spans="2:10" x14ac:dyDescent="0.25">
      <c r="B1786" t="s">
        <v>6</v>
      </c>
      <c r="C1786" t="s">
        <v>307</v>
      </c>
      <c r="D1786">
        <v>703326</v>
      </c>
      <c r="E1786" t="s">
        <v>217</v>
      </c>
      <c r="F1786" t="s">
        <v>21</v>
      </c>
      <c r="G1786" t="s">
        <v>22</v>
      </c>
      <c r="H1786" t="s">
        <v>23</v>
      </c>
      <c r="J1786" s="20">
        <v>0</v>
      </c>
    </row>
    <row r="1787" spans="2:10" x14ac:dyDescent="0.25">
      <c r="B1787" t="s">
        <v>6</v>
      </c>
      <c r="C1787" t="s">
        <v>307</v>
      </c>
      <c r="D1787">
        <v>703327</v>
      </c>
      <c r="E1787" t="s">
        <v>218</v>
      </c>
      <c r="F1787" t="s">
        <v>21</v>
      </c>
      <c r="G1787" t="s">
        <v>76</v>
      </c>
      <c r="H1787" t="s">
        <v>77</v>
      </c>
      <c r="J1787" s="20">
        <v>0</v>
      </c>
    </row>
    <row r="1788" spans="2:10" x14ac:dyDescent="0.25">
      <c r="B1788" t="s">
        <v>6</v>
      </c>
      <c r="C1788" t="s">
        <v>307</v>
      </c>
      <c r="D1788">
        <v>703328</v>
      </c>
      <c r="E1788" t="s">
        <v>219</v>
      </c>
      <c r="F1788" t="s">
        <v>21</v>
      </c>
      <c r="G1788" t="s">
        <v>22</v>
      </c>
      <c r="H1788" t="s">
        <v>23</v>
      </c>
      <c r="J1788" s="20">
        <v>0</v>
      </c>
    </row>
    <row r="1789" spans="2:10" x14ac:dyDescent="0.25">
      <c r="B1789" t="s">
        <v>6</v>
      </c>
      <c r="C1789" t="s">
        <v>307</v>
      </c>
      <c r="D1789">
        <v>703329</v>
      </c>
      <c r="E1789" t="s">
        <v>220</v>
      </c>
      <c r="F1789" t="s">
        <v>21</v>
      </c>
      <c r="G1789" t="s">
        <v>22</v>
      </c>
      <c r="H1789" t="s">
        <v>23</v>
      </c>
      <c r="J1789" s="20">
        <v>0</v>
      </c>
    </row>
    <row r="1790" spans="2:10" x14ac:dyDescent="0.25">
      <c r="B1790" t="s">
        <v>6</v>
      </c>
      <c r="C1790" t="s">
        <v>307</v>
      </c>
      <c r="D1790">
        <v>703330</v>
      </c>
      <c r="E1790" t="s">
        <v>221</v>
      </c>
      <c r="F1790" t="s">
        <v>21</v>
      </c>
      <c r="G1790" t="s">
        <v>22</v>
      </c>
      <c r="H1790" t="s">
        <v>23</v>
      </c>
      <c r="J1790" s="20">
        <v>0</v>
      </c>
    </row>
    <row r="1791" spans="2:10" x14ac:dyDescent="0.25">
      <c r="B1791" t="s">
        <v>6</v>
      </c>
      <c r="C1791" t="s">
        <v>307</v>
      </c>
      <c r="D1791">
        <v>703340</v>
      </c>
      <c r="E1791" t="s">
        <v>222</v>
      </c>
      <c r="F1791" t="s">
        <v>21</v>
      </c>
      <c r="G1791" t="s">
        <v>61</v>
      </c>
      <c r="H1791" t="s">
        <v>68</v>
      </c>
      <c r="J1791" s="20">
        <v>0</v>
      </c>
    </row>
    <row r="1792" spans="2:10" x14ac:dyDescent="0.25">
      <c r="B1792" t="s">
        <v>6</v>
      </c>
      <c r="C1792" t="s">
        <v>307</v>
      </c>
      <c r="D1792">
        <v>703350</v>
      </c>
      <c r="E1792" t="s">
        <v>223</v>
      </c>
      <c r="F1792" t="s">
        <v>21</v>
      </c>
      <c r="G1792" t="s">
        <v>22</v>
      </c>
      <c r="H1792" t="s">
        <v>23</v>
      </c>
      <c r="J1792" s="20">
        <v>0</v>
      </c>
    </row>
    <row r="1793" spans="2:10" x14ac:dyDescent="0.25">
      <c r="B1793" t="s">
        <v>6</v>
      </c>
      <c r="C1793" t="s">
        <v>307</v>
      </c>
      <c r="D1793">
        <v>703351</v>
      </c>
      <c r="E1793" t="s">
        <v>224</v>
      </c>
      <c r="F1793" t="s">
        <v>21</v>
      </c>
      <c r="G1793" t="s">
        <v>22</v>
      </c>
      <c r="H1793" t="s">
        <v>23</v>
      </c>
      <c r="J1793" s="20">
        <v>0</v>
      </c>
    </row>
    <row r="1794" spans="2:10" x14ac:dyDescent="0.25">
      <c r="B1794" t="s">
        <v>6</v>
      </c>
      <c r="C1794" t="s">
        <v>307</v>
      </c>
      <c r="D1794">
        <v>703352</v>
      </c>
      <c r="E1794" t="s">
        <v>225</v>
      </c>
      <c r="F1794" t="s">
        <v>21</v>
      </c>
      <c r="G1794" t="s">
        <v>22</v>
      </c>
      <c r="H1794" t="s">
        <v>23</v>
      </c>
      <c r="J1794" s="20">
        <v>0</v>
      </c>
    </row>
    <row r="1795" spans="2:10" x14ac:dyDescent="0.25">
      <c r="B1795" t="s">
        <v>6</v>
      </c>
      <c r="C1795" t="s">
        <v>307</v>
      </c>
      <c r="D1795">
        <v>703360</v>
      </c>
      <c r="E1795" t="s">
        <v>226</v>
      </c>
      <c r="F1795" t="s">
        <v>21</v>
      </c>
      <c r="G1795" t="s">
        <v>22</v>
      </c>
      <c r="H1795" t="s">
        <v>23</v>
      </c>
      <c r="J1795" s="20">
        <v>0</v>
      </c>
    </row>
    <row r="1796" spans="2:10" x14ac:dyDescent="0.25">
      <c r="B1796" t="s">
        <v>6</v>
      </c>
      <c r="C1796" t="s">
        <v>307</v>
      </c>
      <c r="D1796">
        <v>703370</v>
      </c>
      <c r="E1796" t="s">
        <v>227</v>
      </c>
      <c r="F1796" t="s">
        <v>21</v>
      </c>
      <c r="G1796" t="s">
        <v>22</v>
      </c>
      <c r="H1796" t="s">
        <v>23</v>
      </c>
      <c r="J1796" s="20">
        <v>0</v>
      </c>
    </row>
    <row r="1797" spans="2:10" x14ac:dyDescent="0.25">
      <c r="B1797" t="s">
        <v>6</v>
      </c>
      <c r="C1797" t="s">
        <v>307</v>
      </c>
      <c r="D1797">
        <v>703410</v>
      </c>
      <c r="E1797" t="s">
        <v>228</v>
      </c>
      <c r="F1797" t="s">
        <v>21</v>
      </c>
      <c r="G1797" t="s">
        <v>22</v>
      </c>
      <c r="H1797" t="s">
        <v>23</v>
      </c>
      <c r="J1797" s="20">
        <v>0</v>
      </c>
    </row>
    <row r="1798" spans="2:10" x14ac:dyDescent="0.25">
      <c r="B1798" t="s">
        <v>6</v>
      </c>
      <c r="C1798" t="s">
        <v>307</v>
      </c>
      <c r="D1798">
        <v>703411</v>
      </c>
      <c r="E1798" t="s">
        <v>229</v>
      </c>
      <c r="F1798" t="s">
        <v>21</v>
      </c>
      <c r="G1798" t="s">
        <v>22</v>
      </c>
      <c r="H1798" t="s">
        <v>23</v>
      </c>
      <c r="J1798" s="20">
        <v>0</v>
      </c>
    </row>
    <row r="1799" spans="2:10" x14ac:dyDescent="0.25">
      <c r="B1799" t="s">
        <v>6</v>
      </c>
      <c r="C1799" t="s">
        <v>307</v>
      </c>
      <c r="D1799">
        <v>703412</v>
      </c>
      <c r="E1799" t="s">
        <v>230</v>
      </c>
      <c r="F1799" t="s">
        <v>21</v>
      </c>
      <c r="G1799" t="s">
        <v>22</v>
      </c>
      <c r="H1799" t="s">
        <v>23</v>
      </c>
      <c r="J1799" s="20">
        <v>0</v>
      </c>
    </row>
    <row r="1800" spans="2:10" x14ac:dyDescent="0.25">
      <c r="B1800" t="s">
        <v>6</v>
      </c>
      <c r="C1800" t="s">
        <v>307</v>
      </c>
      <c r="D1800">
        <v>703420</v>
      </c>
      <c r="E1800" t="s">
        <v>231</v>
      </c>
      <c r="F1800" t="s">
        <v>21</v>
      </c>
      <c r="G1800" t="s">
        <v>71</v>
      </c>
      <c r="H1800" t="s">
        <v>171</v>
      </c>
      <c r="J1800" s="20">
        <v>0</v>
      </c>
    </row>
    <row r="1801" spans="2:10" x14ac:dyDescent="0.25">
      <c r="B1801" t="s">
        <v>6</v>
      </c>
      <c r="C1801" t="s">
        <v>307</v>
      </c>
      <c r="D1801">
        <v>703421</v>
      </c>
      <c r="E1801" t="s">
        <v>232</v>
      </c>
      <c r="F1801" t="s">
        <v>21</v>
      </c>
      <c r="G1801" t="s">
        <v>22</v>
      </c>
      <c r="H1801" t="s">
        <v>23</v>
      </c>
      <c r="J1801" s="20">
        <v>0</v>
      </c>
    </row>
    <row r="1802" spans="2:10" x14ac:dyDescent="0.25">
      <c r="B1802" t="s">
        <v>6</v>
      </c>
      <c r="C1802" t="s">
        <v>307</v>
      </c>
      <c r="D1802">
        <v>703422</v>
      </c>
      <c r="E1802" t="s">
        <v>233</v>
      </c>
      <c r="F1802" t="s">
        <v>21</v>
      </c>
      <c r="G1802" t="s">
        <v>76</v>
      </c>
      <c r="H1802" t="s">
        <v>77</v>
      </c>
      <c r="J1802" s="20">
        <v>0</v>
      </c>
    </row>
    <row r="1803" spans="2:10" x14ac:dyDescent="0.25">
      <c r="B1803" t="s">
        <v>6</v>
      </c>
      <c r="C1803" t="s">
        <v>307</v>
      </c>
      <c r="D1803">
        <v>703423</v>
      </c>
      <c r="E1803" t="s">
        <v>234</v>
      </c>
      <c r="F1803" t="s">
        <v>21</v>
      </c>
      <c r="G1803" t="s">
        <v>71</v>
      </c>
      <c r="H1803" t="s">
        <v>88</v>
      </c>
      <c r="J1803" s="20">
        <v>0</v>
      </c>
    </row>
    <row r="1804" spans="2:10" x14ac:dyDescent="0.25">
      <c r="B1804" t="s">
        <v>6</v>
      </c>
      <c r="C1804" t="s">
        <v>307</v>
      </c>
      <c r="D1804">
        <v>703424</v>
      </c>
      <c r="E1804" t="s">
        <v>235</v>
      </c>
      <c r="F1804" t="s">
        <v>21</v>
      </c>
      <c r="G1804" t="s">
        <v>71</v>
      </c>
      <c r="H1804" t="s">
        <v>88</v>
      </c>
      <c r="J1804" s="20">
        <v>0</v>
      </c>
    </row>
    <row r="1805" spans="2:10" x14ac:dyDescent="0.25">
      <c r="B1805" t="s">
        <v>6</v>
      </c>
      <c r="C1805" t="s">
        <v>307</v>
      </c>
      <c r="D1805">
        <v>703425</v>
      </c>
      <c r="E1805" t="s">
        <v>236</v>
      </c>
      <c r="F1805" t="s">
        <v>21</v>
      </c>
      <c r="G1805" t="s">
        <v>76</v>
      </c>
      <c r="H1805" t="s">
        <v>77</v>
      </c>
      <c r="J1805" s="20">
        <v>0</v>
      </c>
    </row>
    <row r="1806" spans="2:10" x14ac:dyDescent="0.25">
      <c r="B1806" t="s">
        <v>6</v>
      </c>
      <c r="C1806" t="s">
        <v>307</v>
      </c>
      <c r="D1806">
        <v>703426</v>
      </c>
      <c r="E1806" t="s">
        <v>237</v>
      </c>
      <c r="F1806" t="s">
        <v>21</v>
      </c>
      <c r="G1806" t="s">
        <v>22</v>
      </c>
      <c r="H1806" t="s">
        <v>23</v>
      </c>
      <c r="J1806" s="20">
        <v>0</v>
      </c>
    </row>
    <row r="1807" spans="2:10" x14ac:dyDescent="0.25">
      <c r="B1807" t="s">
        <v>6</v>
      </c>
      <c r="C1807" t="s">
        <v>307</v>
      </c>
      <c r="D1807">
        <v>703427</v>
      </c>
      <c r="E1807" t="s">
        <v>238</v>
      </c>
      <c r="F1807" t="s">
        <v>21</v>
      </c>
      <c r="G1807" t="s">
        <v>76</v>
      </c>
      <c r="H1807" t="s">
        <v>77</v>
      </c>
      <c r="J1807" s="20">
        <v>0</v>
      </c>
    </row>
    <row r="1808" spans="2:10" x14ac:dyDescent="0.25">
      <c r="B1808" t="s">
        <v>6</v>
      </c>
      <c r="C1808" t="s">
        <v>307</v>
      </c>
      <c r="D1808">
        <v>703428</v>
      </c>
      <c r="E1808" t="s">
        <v>239</v>
      </c>
      <c r="F1808" t="s">
        <v>21</v>
      </c>
      <c r="G1808" t="s">
        <v>76</v>
      </c>
      <c r="H1808" t="s">
        <v>77</v>
      </c>
      <c r="J1808" s="20">
        <v>0</v>
      </c>
    </row>
    <row r="1809" spans="2:10" x14ac:dyDescent="0.25">
      <c r="B1809" t="s">
        <v>6</v>
      </c>
      <c r="C1809" t="s">
        <v>307</v>
      </c>
      <c r="D1809">
        <v>703429</v>
      </c>
      <c r="E1809" t="s">
        <v>240</v>
      </c>
      <c r="F1809" t="s">
        <v>21</v>
      </c>
      <c r="G1809" t="s">
        <v>76</v>
      </c>
      <c r="H1809" t="s">
        <v>77</v>
      </c>
      <c r="J1809" s="20">
        <v>0</v>
      </c>
    </row>
    <row r="1810" spans="2:10" x14ac:dyDescent="0.25">
      <c r="B1810" t="s">
        <v>6</v>
      </c>
      <c r="C1810" t="s">
        <v>307</v>
      </c>
      <c r="D1810">
        <v>703430</v>
      </c>
      <c r="E1810" t="s">
        <v>20</v>
      </c>
      <c r="F1810" t="s">
        <v>21</v>
      </c>
      <c r="G1810" t="s">
        <v>22</v>
      </c>
      <c r="H1810" t="s">
        <v>23</v>
      </c>
      <c r="J1810" s="20">
        <v>0</v>
      </c>
    </row>
    <row r="1811" spans="2:10" x14ac:dyDescent="0.25">
      <c r="B1811" t="s">
        <v>6</v>
      </c>
      <c r="C1811" t="s">
        <v>307</v>
      </c>
      <c r="D1811">
        <v>703431</v>
      </c>
      <c r="E1811" t="s">
        <v>241</v>
      </c>
      <c r="F1811" t="s">
        <v>21</v>
      </c>
      <c r="G1811" t="s">
        <v>22</v>
      </c>
      <c r="H1811" t="s">
        <v>23</v>
      </c>
      <c r="J1811" s="20">
        <v>0</v>
      </c>
    </row>
    <row r="1812" spans="2:10" x14ac:dyDescent="0.25">
      <c r="B1812" t="s">
        <v>6</v>
      </c>
      <c r="C1812" t="s">
        <v>307</v>
      </c>
      <c r="D1812">
        <v>703432</v>
      </c>
      <c r="E1812" t="s">
        <v>242</v>
      </c>
      <c r="F1812" t="s">
        <v>21</v>
      </c>
      <c r="G1812" t="s">
        <v>22</v>
      </c>
      <c r="H1812" t="s">
        <v>23</v>
      </c>
      <c r="J1812" s="20">
        <v>0</v>
      </c>
    </row>
    <row r="1813" spans="2:10" x14ac:dyDescent="0.25">
      <c r="B1813" t="s">
        <v>6</v>
      </c>
      <c r="C1813" t="s">
        <v>307</v>
      </c>
      <c r="D1813">
        <v>703433</v>
      </c>
      <c r="E1813" t="s">
        <v>243</v>
      </c>
      <c r="F1813" t="s">
        <v>21</v>
      </c>
      <c r="G1813" t="s">
        <v>71</v>
      </c>
      <c r="H1813" t="s">
        <v>88</v>
      </c>
      <c r="J1813" s="20">
        <v>0</v>
      </c>
    </row>
    <row r="1814" spans="2:10" x14ac:dyDescent="0.25">
      <c r="B1814" t="s">
        <v>6</v>
      </c>
      <c r="C1814" t="s">
        <v>307</v>
      </c>
      <c r="D1814">
        <v>703434</v>
      </c>
      <c r="E1814" t="s">
        <v>244</v>
      </c>
      <c r="F1814" t="s">
        <v>21</v>
      </c>
      <c r="G1814" t="s">
        <v>22</v>
      </c>
      <c r="H1814" t="s">
        <v>23</v>
      </c>
      <c r="J1814" s="20">
        <v>0</v>
      </c>
    </row>
    <row r="1815" spans="2:10" x14ac:dyDescent="0.25">
      <c r="B1815" t="s">
        <v>6</v>
      </c>
      <c r="C1815" t="s">
        <v>307</v>
      </c>
      <c r="D1815">
        <v>703435</v>
      </c>
      <c r="E1815" t="s">
        <v>245</v>
      </c>
      <c r="F1815" t="s">
        <v>21</v>
      </c>
      <c r="G1815" t="s">
        <v>71</v>
      </c>
      <c r="H1815" t="s">
        <v>88</v>
      </c>
      <c r="J1815" s="20">
        <v>0</v>
      </c>
    </row>
    <row r="1816" spans="2:10" x14ac:dyDescent="0.25">
      <c r="B1816" t="s">
        <v>6</v>
      </c>
      <c r="C1816" t="s">
        <v>307</v>
      </c>
      <c r="D1816">
        <v>703436</v>
      </c>
      <c r="E1816" t="s">
        <v>246</v>
      </c>
      <c r="F1816" t="s">
        <v>21</v>
      </c>
      <c r="G1816" t="s">
        <v>71</v>
      </c>
      <c r="H1816" t="s">
        <v>88</v>
      </c>
      <c r="J1816" s="20">
        <v>0</v>
      </c>
    </row>
    <row r="1817" spans="2:10" x14ac:dyDescent="0.25">
      <c r="B1817" t="s">
        <v>6</v>
      </c>
      <c r="C1817" t="s">
        <v>307</v>
      </c>
      <c r="D1817">
        <v>703437</v>
      </c>
      <c r="E1817" t="s">
        <v>247</v>
      </c>
      <c r="F1817" t="s">
        <v>21</v>
      </c>
      <c r="G1817" t="s">
        <v>71</v>
      </c>
      <c r="H1817" t="s">
        <v>88</v>
      </c>
      <c r="J1817" s="20">
        <v>0</v>
      </c>
    </row>
    <row r="1818" spans="2:10" x14ac:dyDescent="0.25">
      <c r="B1818" t="s">
        <v>6</v>
      </c>
      <c r="C1818" t="s">
        <v>307</v>
      </c>
      <c r="D1818">
        <v>703438</v>
      </c>
      <c r="E1818" t="s">
        <v>248</v>
      </c>
      <c r="F1818" t="s">
        <v>21</v>
      </c>
      <c r="G1818" t="s">
        <v>71</v>
      </c>
      <c r="H1818" t="s">
        <v>88</v>
      </c>
      <c r="J1818" s="20">
        <v>0</v>
      </c>
    </row>
    <row r="1819" spans="2:10" x14ac:dyDescent="0.25">
      <c r="B1819" t="s">
        <v>6</v>
      </c>
      <c r="C1819" t="s">
        <v>307</v>
      </c>
      <c r="D1819">
        <v>703439</v>
      </c>
      <c r="E1819" t="s">
        <v>249</v>
      </c>
      <c r="F1819" t="s">
        <v>21</v>
      </c>
      <c r="G1819" t="s">
        <v>22</v>
      </c>
      <c r="H1819" t="s">
        <v>23</v>
      </c>
      <c r="J1819" s="20">
        <v>0</v>
      </c>
    </row>
    <row r="1820" spans="2:10" x14ac:dyDescent="0.25">
      <c r="B1820" t="s">
        <v>6</v>
      </c>
      <c r="C1820" t="s">
        <v>307</v>
      </c>
      <c r="D1820">
        <v>703440</v>
      </c>
      <c r="E1820" t="s">
        <v>250</v>
      </c>
      <c r="F1820" t="s">
        <v>21</v>
      </c>
      <c r="G1820" t="s">
        <v>61</v>
      </c>
      <c r="H1820" t="s">
        <v>68</v>
      </c>
      <c r="J1820" s="20">
        <v>0</v>
      </c>
    </row>
    <row r="1821" spans="2:10" x14ac:dyDescent="0.25">
      <c r="B1821" t="s">
        <v>6</v>
      </c>
      <c r="C1821" t="s">
        <v>307</v>
      </c>
      <c r="D1821">
        <v>703441</v>
      </c>
      <c r="E1821" t="s">
        <v>251</v>
      </c>
      <c r="F1821" t="s">
        <v>21</v>
      </c>
      <c r="G1821" t="s">
        <v>61</v>
      </c>
      <c r="H1821" t="s">
        <v>79</v>
      </c>
      <c r="J1821" s="20">
        <v>0</v>
      </c>
    </row>
    <row r="1822" spans="2:10" x14ac:dyDescent="0.25">
      <c r="B1822" t="s">
        <v>6</v>
      </c>
      <c r="C1822" t="s">
        <v>307</v>
      </c>
      <c r="D1822">
        <v>703442</v>
      </c>
      <c r="E1822" t="s">
        <v>252</v>
      </c>
      <c r="F1822" t="s">
        <v>21</v>
      </c>
      <c r="G1822" t="s">
        <v>76</v>
      </c>
      <c r="H1822" t="s">
        <v>77</v>
      </c>
      <c r="J1822" s="20">
        <v>0</v>
      </c>
    </row>
    <row r="1823" spans="2:10" x14ac:dyDescent="0.25">
      <c r="B1823" t="s">
        <v>6</v>
      </c>
      <c r="C1823" t="s">
        <v>307</v>
      </c>
      <c r="D1823">
        <v>703443</v>
      </c>
      <c r="E1823" t="s">
        <v>253</v>
      </c>
      <c r="F1823" t="s">
        <v>21</v>
      </c>
      <c r="G1823" t="s">
        <v>71</v>
      </c>
      <c r="H1823" t="s">
        <v>88</v>
      </c>
      <c r="J1823" s="20">
        <v>0</v>
      </c>
    </row>
    <row r="1824" spans="2:10" x14ac:dyDescent="0.25">
      <c r="B1824" t="s">
        <v>6</v>
      </c>
      <c r="C1824" t="s">
        <v>307</v>
      </c>
      <c r="D1824">
        <v>703444</v>
      </c>
      <c r="E1824" t="s">
        <v>254</v>
      </c>
      <c r="F1824" t="s">
        <v>21</v>
      </c>
      <c r="G1824" t="s">
        <v>22</v>
      </c>
      <c r="H1824" t="s">
        <v>23</v>
      </c>
      <c r="J1824" s="20">
        <v>0</v>
      </c>
    </row>
    <row r="1825" spans="2:10" x14ac:dyDescent="0.25">
      <c r="B1825" t="s">
        <v>6</v>
      </c>
      <c r="C1825" t="s">
        <v>307</v>
      </c>
      <c r="D1825">
        <v>703445</v>
      </c>
      <c r="E1825" t="s">
        <v>255</v>
      </c>
      <c r="F1825" t="s">
        <v>21</v>
      </c>
      <c r="G1825" t="s">
        <v>22</v>
      </c>
      <c r="H1825" t="s">
        <v>23</v>
      </c>
      <c r="J1825" s="20">
        <v>0</v>
      </c>
    </row>
    <row r="1826" spans="2:10" x14ac:dyDescent="0.25">
      <c r="B1826" t="s">
        <v>6</v>
      </c>
      <c r="C1826" t="s">
        <v>307</v>
      </c>
      <c r="D1826">
        <v>703446</v>
      </c>
      <c r="E1826" t="s">
        <v>256</v>
      </c>
      <c r="F1826" t="s">
        <v>21</v>
      </c>
      <c r="G1826" t="s">
        <v>22</v>
      </c>
      <c r="H1826" t="s">
        <v>23</v>
      </c>
      <c r="J1826" s="20">
        <v>0</v>
      </c>
    </row>
    <row r="1827" spans="2:10" x14ac:dyDescent="0.25">
      <c r="B1827" t="s">
        <v>6</v>
      </c>
      <c r="C1827" t="s">
        <v>307</v>
      </c>
      <c r="D1827">
        <v>703447</v>
      </c>
      <c r="E1827" t="s">
        <v>257</v>
      </c>
      <c r="F1827" t="s">
        <v>21</v>
      </c>
      <c r="G1827" t="s">
        <v>22</v>
      </c>
      <c r="H1827" t="s">
        <v>23</v>
      </c>
      <c r="J1827" s="20">
        <v>0</v>
      </c>
    </row>
    <row r="1828" spans="2:10" x14ac:dyDescent="0.25">
      <c r="B1828" t="s">
        <v>6</v>
      </c>
      <c r="C1828" t="s">
        <v>307</v>
      </c>
      <c r="D1828">
        <v>703448</v>
      </c>
      <c r="E1828" t="s">
        <v>258</v>
      </c>
      <c r="F1828" t="s">
        <v>21</v>
      </c>
      <c r="G1828" t="s">
        <v>22</v>
      </c>
      <c r="H1828" t="s">
        <v>23</v>
      </c>
      <c r="J1828" s="20">
        <v>0</v>
      </c>
    </row>
    <row r="1829" spans="2:10" x14ac:dyDescent="0.25">
      <c r="B1829" t="s">
        <v>6</v>
      </c>
      <c r="C1829" t="s">
        <v>307</v>
      </c>
      <c r="D1829">
        <v>703449</v>
      </c>
      <c r="E1829" t="s">
        <v>259</v>
      </c>
      <c r="F1829" t="s">
        <v>21</v>
      </c>
      <c r="G1829" t="s">
        <v>22</v>
      </c>
      <c r="H1829" t="s">
        <v>23</v>
      </c>
      <c r="J1829" s="20">
        <v>0</v>
      </c>
    </row>
    <row r="1830" spans="2:10" x14ac:dyDescent="0.25">
      <c r="B1830" t="s">
        <v>6</v>
      </c>
      <c r="C1830" t="s">
        <v>307</v>
      </c>
      <c r="D1830">
        <v>703450</v>
      </c>
      <c r="E1830" t="s">
        <v>260</v>
      </c>
      <c r="F1830" t="s">
        <v>21</v>
      </c>
      <c r="G1830" t="s">
        <v>71</v>
      </c>
      <c r="H1830" t="s">
        <v>88</v>
      </c>
      <c r="J1830" s="20">
        <v>0</v>
      </c>
    </row>
    <row r="1831" spans="2:10" x14ac:dyDescent="0.25">
      <c r="B1831" t="s">
        <v>6</v>
      </c>
      <c r="C1831" t="s">
        <v>307</v>
      </c>
      <c r="D1831">
        <v>703510</v>
      </c>
      <c r="E1831" t="s">
        <v>261</v>
      </c>
      <c r="F1831" t="s">
        <v>21</v>
      </c>
      <c r="G1831" t="s">
        <v>22</v>
      </c>
      <c r="H1831" t="s">
        <v>23</v>
      </c>
      <c r="J1831" s="20">
        <v>0</v>
      </c>
    </row>
    <row r="1832" spans="2:10" x14ac:dyDescent="0.25">
      <c r="B1832" t="s">
        <v>6</v>
      </c>
      <c r="C1832" t="s">
        <v>307</v>
      </c>
      <c r="D1832">
        <v>703511</v>
      </c>
      <c r="E1832" t="s">
        <v>262</v>
      </c>
      <c r="F1832" t="s">
        <v>21</v>
      </c>
      <c r="G1832" t="s">
        <v>22</v>
      </c>
      <c r="H1832" t="s">
        <v>23</v>
      </c>
      <c r="J1832" s="20">
        <v>0</v>
      </c>
    </row>
    <row r="1833" spans="2:10" x14ac:dyDescent="0.25">
      <c r="B1833" t="s">
        <v>6</v>
      </c>
      <c r="C1833" t="s">
        <v>307</v>
      </c>
      <c r="D1833">
        <v>703512</v>
      </c>
      <c r="E1833" t="s">
        <v>263</v>
      </c>
      <c r="F1833" t="s">
        <v>21</v>
      </c>
      <c r="G1833" t="s">
        <v>22</v>
      </c>
      <c r="H1833" t="s">
        <v>23</v>
      </c>
      <c r="J1833" s="20">
        <v>0</v>
      </c>
    </row>
    <row r="1834" spans="2:10" x14ac:dyDescent="0.25">
      <c r="B1834" t="s">
        <v>6</v>
      </c>
      <c r="C1834" t="s">
        <v>307</v>
      </c>
      <c r="D1834">
        <v>703513</v>
      </c>
      <c r="E1834" t="s">
        <v>264</v>
      </c>
      <c r="F1834" t="s">
        <v>21</v>
      </c>
      <c r="G1834" t="s">
        <v>22</v>
      </c>
      <c r="H1834" t="s">
        <v>23</v>
      </c>
      <c r="J1834" s="20">
        <v>0</v>
      </c>
    </row>
    <row r="1835" spans="2:10" x14ac:dyDescent="0.25">
      <c r="B1835" t="s">
        <v>6</v>
      </c>
      <c r="C1835" t="s">
        <v>307</v>
      </c>
      <c r="D1835">
        <v>703514</v>
      </c>
      <c r="E1835" t="s">
        <v>265</v>
      </c>
      <c r="F1835" t="s">
        <v>21</v>
      </c>
      <c r="G1835" t="s">
        <v>22</v>
      </c>
      <c r="H1835" t="s">
        <v>23</v>
      </c>
      <c r="J1835" s="20">
        <v>0</v>
      </c>
    </row>
    <row r="1836" spans="2:10" x14ac:dyDescent="0.25">
      <c r="B1836" t="s">
        <v>6</v>
      </c>
      <c r="C1836" t="s">
        <v>307</v>
      </c>
      <c r="D1836">
        <v>703515</v>
      </c>
      <c r="E1836" t="s">
        <v>266</v>
      </c>
      <c r="F1836" t="s">
        <v>21</v>
      </c>
      <c r="G1836" t="s">
        <v>22</v>
      </c>
      <c r="H1836" t="s">
        <v>23</v>
      </c>
      <c r="J1836" s="20">
        <v>0</v>
      </c>
    </row>
    <row r="1837" spans="2:10" x14ac:dyDescent="0.25">
      <c r="B1837" t="s">
        <v>6</v>
      </c>
      <c r="C1837" t="s">
        <v>307</v>
      </c>
      <c r="D1837">
        <v>703520</v>
      </c>
      <c r="E1837" t="s">
        <v>267</v>
      </c>
      <c r="F1837" t="s">
        <v>21</v>
      </c>
      <c r="G1837" t="s">
        <v>22</v>
      </c>
      <c r="H1837" t="s">
        <v>23</v>
      </c>
      <c r="J1837" s="20">
        <v>0</v>
      </c>
    </row>
    <row r="1838" spans="2:10" x14ac:dyDescent="0.25">
      <c r="B1838" t="s">
        <v>6</v>
      </c>
      <c r="C1838" t="s">
        <v>307</v>
      </c>
      <c r="D1838">
        <v>703530</v>
      </c>
      <c r="E1838" t="s">
        <v>268</v>
      </c>
      <c r="F1838" t="s">
        <v>21</v>
      </c>
      <c r="G1838" t="s">
        <v>22</v>
      </c>
      <c r="H1838" t="s">
        <v>23</v>
      </c>
      <c r="J1838" s="20">
        <v>0</v>
      </c>
    </row>
    <row r="1839" spans="2:10" x14ac:dyDescent="0.25">
      <c r="B1839" t="s">
        <v>6</v>
      </c>
      <c r="C1839" t="s">
        <v>307</v>
      </c>
      <c r="D1839">
        <v>703540</v>
      </c>
      <c r="E1839" t="s">
        <v>269</v>
      </c>
      <c r="F1839" t="s">
        <v>21</v>
      </c>
      <c r="G1839" t="s">
        <v>22</v>
      </c>
      <c r="H1839" t="s">
        <v>23</v>
      </c>
      <c r="J1839" s="20">
        <v>0</v>
      </c>
    </row>
    <row r="1840" spans="2:10" x14ac:dyDescent="0.25">
      <c r="B1840" t="s">
        <v>6</v>
      </c>
      <c r="C1840" t="s">
        <v>307</v>
      </c>
      <c r="D1840">
        <v>703550</v>
      </c>
      <c r="E1840" t="s">
        <v>270</v>
      </c>
      <c r="F1840" t="s">
        <v>21</v>
      </c>
      <c r="G1840" t="s">
        <v>22</v>
      </c>
      <c r="H1840" t="s">
        <v>23</v>
      </c>
      <c r="J1840" s="20">
        <v>0</v>
      </c>
    </row>
    <row r="1841" spans="2:10" x14ac:dyDescent="0.25">
      <c r="B1841" t="s">
        <v>6</v>
      </c>
      <c r="C1841" t="s">
        <v>307</v>
      </c>
      <c r="D1841">
        <v>703560</v>
      </c>
      <c r="E1841" t="s">
        <v>271</v>
      </c>
      <c r="F1841" t="s">
        <v>21</v>
      </c>
      <c r="G1841" t="s">
        <v>22</v>
      </c>
      <c r="H1841" t="s">
        <v>23</v>
      </c>
      <c r="J1841" s="20">
        <v>0</v>
      </c>
    </row>
    <row r="1842" spans="2:10" x14ac:dyDescent="0.25">
      <c r="B1842" t="s">
        <v>6</v>
      </c>
      <c r="C1842" t="s">
        <v>307</v>
      </c>
      <c r="D1842">
        <v>703570</v>
      </c>
      <c r="E1842" t="s">
        <v>272</v>
      </c>
      <c r="F1842" t="s">
        <v>21</v>
      </c>
      <c r="G1842" t="s">
        <v>22</v>
      </c>
      <c r="H1842" t="s">
        <v>23</v>
      </c>
      <c r="J1842" s="20">
        <v>0</v>
      </c>
    </row>
    <row r="1843" spans="2:10" x14ac:dyDescent="0.25">
      <c r="B1843" t="s">
        <v>6</v>
      </c>
      <c r="C1843" t="s">
        <v>307</v>
      </c>
      <c r="D1843">
        <v>703571</v>
      </c>
      <c r="E1843" t="s">
        <v>273</v>
      </c>
      <c r="F1843" t="s">
        <v>21</v>
      </c>
      <c r="G1843" t="s">
        <v>22</v>
      </c>
      <c r="H1843" t="s">
        <v>23</v>
      </c>
      <c r="J1843" s="20"/>
    </row>
    <row r="1844" spans="2:10" x14ac:dyDescent="0.25">
      <c r="B1844" t="s">
        <v>6</v>
      </c>
      <c r="C1844" t="s">
        <v>307</v>
      </c>
      <c r="D1844">
        <v>703572</v>
      </c>
      <c r="E1844" t="s">
        <v>274</v>
      </c>
      <c r="F1844" t="s">
        <v>21</v>
      </c>
      <c r="G1844" t="s">
        <v>22</v>
      </c>
      <c r="H1844" t="s">
        <v>23</v>
      </c>
      <c r="J1844" s="20"/>
    </row>
    <row r="1845" spans="2:10" x14ac:dyDescent="0.25">
      <c r="B1845" t="s">
        <v>6</v>
      </c>
      <c r="C1845" t="s">
        <v>307</v>
      </c>
      <c r="D1845">
        <v>703573</v>
      </c>
      <c r="E1845" t="s">
        <v>275</v>
      </c>
      <c r="F1845" t="s">
        <v>21</v>
      </c>
      <c r="G1845" t="s">
        <v>22</v>
      </c>
      <c r="H1845" t="s">
        <v>23</v>
      </c>
      <c r="J1845" s="20"/>
    </row>
    <row r="1846" spans="2:10" x14ac:dyDescent="0.25">
      <c r="B1846" t="s">
        <v>6</v>
      </c>
      <c r="C1846" t="s">
        <v>307</v>
      </c>
      <c r="D1846">
        <v>703574</v>
      </c>
      <c r="E1846" t="s">
        <v>276</v>
      </c>
      <c r="F1846" t="s">
        <v>21</v>
      </c>
      <c r="G1846" t="s">
        <v>22</v>
      </c>
      <c r="H1846" t="s">
        <v>23</v>
      </c>
      <c r="J1846" s="20"/>
    </row>
    <row r="1847" spans="2:10" x14ac:dyDescent="0.25">
      <c r="B1847" t="s">
        <v>6</v>
      </c>
      <c r="C1847" t="s">
        <v>307</v>
      </c>
      <c r="D1847">
        <v>703580</v>
      </c>
      <c r="E1847" t="s">
        <v>277</v>
      </c>
      <c r="F1847" t="s">
        <v>21</v>
      </c>
      <c r="G1847" t="s">
        <v>22</v>
      </c>
      <c r="H1847" t="s">
        <v>23</v>
      </c>
      <c r="J1847" s="20">
        <v>0</v>
      </c>
    </row>
    <row r="1848" spans="2:10" x14ac:dyDescent="0.25">
      <c r="B1848" t="s">
        <v>6</v>
      </c>
      <c r="C1848" t="s">
        <v>307</v>
      </c>
      <c r="D1848">
        <v>703590</v>
      </c>
      <c r="E1848" t="s">
        <v>278</v>
      </c>
      <c r="F1848" t="s">
        <v>21</v>
      </c>
      <c r="G1848" t="s">
        <v>22</v>
      </c>
      <c r="H1848" t="s">
        <v>23</v>
      </c>
      <c r="J1848" s="20">
        <v>0</v>
      </c>
    </row>
    <row r="1849" spans="2:10" x14ac:dyDescent="0.25">
      <c r="B1849" t="s">
        <v>6</v>
      </c>
      <c r="C1849" t="s">
        <v>307</v>
      </c>
      <c r="D1849">
        <v>703650</v>
      </c>
      <c r="E1849" t="s">
        <v>279</v>
      </c>
      <c r="F1849" t="s">
        <v>21</v>
      </c>
      <c r="G1849" t="s">
        <v>22</v>
      </c>
      <c r="H1849" t="s">
        <v>23</v>
      </c>
      <c r="J1849" s="20">
        <v>0</v>
      </c>
    </row>
    <row r="1850" spans="2:10" x14ac:dyDescent="0.25">
      <c r="B1850" t="s">
        <v>6</v>
      </c>
      <c r="C1850" t="s">
        <v>307</v>
      </c>
      <c r="D1850">
        <v>703651</v>
      </c>
      <c r="E1850" t="s">
        <v>280</v>
      </c>
      <c r="F1850" t="s">
        <v>21</v>
      </c>
      <c r="G1850" t="s">
        <v>22</v>
      </c>
      <c r="H1850" t="s">
        <v>23</v>
      </c>
      <c r="J1850" s="20">
        <v>0</v>
      </c>
    </row>
    <row r="1851" spans="2:10" x14ac:dyDescent="0.25">
      <c r="B1851" t="s">
        <v>6</v>
      </c>
      <c r="C1851" t="s">
        <v>307</v>
      </c>
      <c r="D1851">
        <v>703850</v>
      </c>
      <c r="E1851" t="s">
        <v>281</v>
      </c>
      <c r="F1851" t="s">
        <v>21</v>
      </c>
      <c r="G1851" t="s">
        <v>22</v>
      </c>
      <c r="H1851" t="s">
        <v>23</v>
      </c>
      <c r="J1851" s="20">
        <v>0</v>
      </c>
    </row>
    <row r="1852" spans="2:10" x14ac:dyDescent="0.25">
      <c r="B1852" t="s">
        <v>6</v>
      </c>
      <c r="C1852" t="s">
        <v>307</v>
      </c>
      <c r="D1852">
        <v>703851</v>
      </c>
      <c r="E1852" t="s">
        <v>282</v>
      </c>
      <c r="F1852" t="s">
        <v>21</v>
      </c>
      <c r="G1852" t="s">
        <v>22</v>
      </c>
      <c r="H1852" t="s">
        <v>23</v>
      </c>
      <c r="J1852" s="20">
        <v>0</v>
      </c>
    </row>
    <row r="1853" spans="2:10" x14ac:dyDescent="0.25">
      <c r="B1853" t="s">
        <v>6</v>
      </c>
      <c r="C1853" t="s">
        <v>307</v>
      </c>
      <c r="D1853">
        <v>703852</v>
      </c>
      <c r="E1853" t="s">
        <v>283</v>
      </c>
      <c r="F1853" t="s">
        <v>21</v>
      </c>
      <c r="G1853" t="s">
        <v>22</v>
      </c>
      <c r="H1853" t="s">
        <v>23</v>
      </c>
      <c r="J1853" s="20">
        <v>0</v>
      </c>
    </row>
    <row r="1854" spans="2:10" x14ac:dyDescent="0.25">
      <c r="B1854" t="s">
        <v>6</v>
      </c>
      <c r="C1854" t="s">
        <v>307</v>
      </c>
      <c r="D1854">
        <v>703853</v>
      </c>
      <c r="E1854" t="s">
        <v>284</v>
      </c>
      <c r="F1854" t="s">
        <v>21</v>
      </c>
      <c r="G1854" t="s">
        <v>22</v>
      </c>
      <c r="H1854" t="s">
        <v>23</v>
      </c>
      <c r="J1854" s="20">
        <v>0</v>
      </c>
    </row>
    <row r="1855" spans="2:10" x14ac:dyDescent="0.25">
      <c r="B1855" t="s">
        <v>6</v>
      </c>
      <c r="C1855" t="s">
        <v>307</v>
      </c>
      <c r="D1855">
        <v>703854</v>
      </c>
      <c r="E1855" t="s">
        <v>285</v>
      </c>
      <c r="F1855" t="s">
        <v>21</v>
      </c>
      <c r="G1855" t="s">
        <v>22</v>
      </c>
      <c r="H1855" t="s">
        <v>115</v>
      </c>
      <c r="J1855" s="20">
        <v>0</v>
      </c>
    </row>
    <row r="1856" spans="2:10" x14ac:dyDescent="0.25">
      <c r="B1856" t="s">
        <v>6</v>
      </c>
      <c r="C1856" t="s">
        <v>307</v>
      </c>
      <c r="D1856">
        <v>703855</v>
      </c>
      <c r="E1856" t="s">
        <v>286</v>
      </c>
      <c r="F1856" t="s">
        <v>21</v>
      </c>
      <c r="G1856" t="s">
        <v>22</v>
      </c>
      <c r="H1856" t="s">
        <v>23</v>
      </c>
      <c r="J1856" s="20">
        <v>0</v>
      </c>
    </row>
    <row r="1857" spans="2:10" x14ac:dyDescent="0.25">
      <c r="B1857" t="s">
        <v>6</v>
      </c>
      <c r="C1857" t="s">
        <v>307</v>
      </c>
      <c r="D1857">
        <v>703856</v>
      </c>
      <c r="E1857" t="s">
        <v>287</v>
      </c>
      <c r="F1857" t="s">
        <v>21</v>
      </c>
      <c r="G1857" t="s">
        <v>22</v>
      </c>
      <c r="H1857" t="s">
        <v>23</v>
      </c>
      <c r="J1857" s="20">
        <v>0</v>
      </c>
    </row>
    <row r="1858" spans="2:10" x14ac:dyDescent="0.25">
      <c r="B1858" t="s">
        <v>6</v>
      </c>
      <c r="C1858" t="s">
        <v>307</v>
      </c>
      <c r="D1858">
        <v>703857</v>
      </c>
      <c r="E1858" t="s">
        <v>288</v>
      </c>
      <c r="F1858" t="s">
        <v>21</v>
      </c>
      <c r="G1858" t="s">
        <v>71</v>
      </c>
      <c r="H1858" t="s">
        <v>88</v>
      </c>
      <c r="J1858" s="20">
        <v>0</v>
      </c>
    </row>
    <row r="1859" spans="2:10" x14ac:dyDescent="0.25">
      <c r="B1859" t="s">
        <v>6</v>
      </c>
      <c r="C1859" t="s">
        <v>307</v>
      </c>
      <c r="D1859">
        <v>703858</v>
      </c>
      <c r="E1859" t="s">
        <v>289</v>
      </c>
      <c r="F1859" t="s">
        <v>21</v>
      </c>
      <c r="G1859" t="s">
        <v>22</v>
      </c>
      <c r="H1859" t="s">
        <v>23</v>
      </c>
      <c r="J1859" s="20">
        <v>0</v>
      </c>
    </row>
    <row r="1860" spans="2:10" x14ac:dyDescent="0.25">
      <c r="B1860" t="s">
        <v>6</v>
      </c>
      <c r="C1860" t="s">
        <v>307</v>
      </c>
      <c r="D1860">
        <v>703859</v>
      </c>
      <c r="E1860" t="s">
        <v>290</v>
      </c>
      <c r="F1860" t="s">
        <v>21</v>
      </c>
      <c r="G1860" t="s">
        <v>22</v>
      </c>
      <c r="H1860" t="s">
        <v>23</v>
      </c>
      <c r="J1860" s="20">
        <v>0</v>
      </c>
    </row>
    <row r="1861" spans="2:10" x14ac:dyDescent="0.25">
      <c r="B1861" t="s">
        <v>6</v>
      </c>
      <c r="C1861" t="s">
        <v>307</v>
      </c>
      <c r="D1861">
        <v>703860</v>
      </c>
      <c r="E1861" t="s">
        <v>291</v>
      </c>
      <c r="F1861" t="s">
        <v>21</v>
      </c>
      <c r="G1861" t="s">
        <v>22</v>
      </c>
      <c r="H1861" t="s">
        <v>23</v>
      </c>
      <c r="J1861" s="20">
        <v>0</v>
      </c>
    </row>
    <row r="1862" spans="2:10" x14ac:dyDescent="0.25">
      <c r="B1862" t="s">
        <v>6</v>
      </c>
      <c r="C1862" t="s">
        <v>307</v>
      </c>
      <c r="D1862">
        <v>703861</v>
      </c>
      <c r="E1862" t="s">
        <v>292</v>
      </c>
      <c r="F1862" t="s">
        <v>21</v>
      </c>
      <c r="G1862" t="s">
        <v>22</v>
      </c>
      <c r="H1862" t="s">
        <v>23</v>
      </c>
      <c r="J1862" s="20">
        <v>0</v>
      </c>
    </row>
    <row r="1863" spans="2:10" x14ac:dyDescent="0.25">
      <c r="B1863" t="s">
        <v>6</v>
      </c>
      <c r="C1863" t="s">
        <v>307</v>
      </c>
      <c r="D1863">
        <v>703862</v>
      </c>
      <c r="E1863" t="s">
        <v>293</v>
      </c>
      <c r="F1863" t="s">
        <v>21</v>
      </c>
      <c r="G1863" t="s">
        <v>22</v>
      </c>
      <c r="H1863" t="s">
        <v>23</v>
      </c>
      <c r="J1863" s="20">
        <v>0</v>
      </c>
    </row>
    <row r="1864" spans="2:10" x14ac:dyDescent="0.25">
      <c r="B1864" t="s">
        <v>6</v>
      </c>
      <c r="C1864" t="s">
        <v>307</v>
      </c>
      <c r="D1864">
        <v>703870</v>
      </c>
      <c r="E1864" t="s">
        <v>294</v>
      </c>
      <c r="F1864" t="s">
        <v>21</v>
      </c>
      <c r="G1864" t="s">
        <v>22</v>
      </c>
      <c r="H1864" t="s">
        <v>23</v>
      </c>
      <c r="J1864" s="20">
        <v>0</v>
      </c>
    </row>
    <row r="1865" spans="2:10" x14ac:dyDescent="0.25">
      <c r="B1865" t="s">
        <v>6</v>
      </c>
      <c r="C1865" t="s">
        <v>307</v>
      </c>
      <c r="D1865">
        <v>703880</v>
      </c>
      <c r="E1865" t="s">
        <v>295</v>
      </c>
      <c r="F1865" t="s">
        <v>21</v>
      </c>
      <c r="G1865" t="s">
        <v>22</v>
      </c>
      <c r="H1865" t="s">
        <v>23</v>
      </c>
      <c r="J1865" s="20">
        <v>0</v>
      </c>
    </row>
    <row r="1866" spans="2:10" x14ac:dyDescent="0.25">
      <c r="B1866" t="s">
        <v>6</v>
      </c>
      <c r="C1866" t="s">
        <v>307</v>
      </c>
      <c r="D1866">
        <v>703899</v>
      </c>
      <c r="E1866" t="s">
        <v>296</v>
      </c>
      <c r="F1866" t="s">
        <v>21</v>
      </c>
      <c r="G1866" t="s">
        <v>22</v>
      </c>
      <c r="H1866" t="s">
        <v>23</v>
      </c>
      <c r="J1866" s="20">
        <v>0</v>
      </c>
    </row>
    <row r="1867" spans="2:10" x14ac:dyDescent="0.25">
      <c r="B1867" t="s">
        <v>6</v>
      </c>
      <c r="C1867" t="s">
        <v>307</v>
      </c>
      <c r="D1867">
        <v>706700</v>
      </c>
      <c r="E1867" t="s">
        <v>25</v>
      </c>
      <c r="F1867" t="s">
        <v>26</v>
      </c>
      <c r="G1867" t="s">
        <v>27</v>
      </c>
      <c r="H1867" t="s">
        <v>28</v>
      </c>
      <c r="J1867" s="20">
        <v>0</v>
      </c>
    </row>
    <row r="1868" spans="2:10" x14ac:dyDescent="0.25">
      <c r="B1868" t="s">
        <v>6</v>
      </c>
      <c r="C1868" t="s">
        <v>307</v>
      </c>
      <c r="D1868" t="s">
        <v>29</v>
      </c>
      <c r="E1868" t="s">
        <v>30</v>
      </c>
      <c r="F1868" t="s">
        <v>26</v>
      </c>
      <c r="G1868" t="s">
        <v>27</v>
      </c>
      <c r="H1868" t="s">
        <v>31</v>
      </c>
      <c r="J1868" s="20">
        <v>0</v>
      </c>
    </row>
    <row r="1869" spans="2:10" x14ac:dyDescent="0.25">
      <c r="B1869" t="s">
        <v>6</v>
      </c>
      <c r="C1869" t="s">
        <v>307</v>
      </c>
      <c r="D1869" t="s">
        <v>32</v>
      </c>
      <c r="E1869" t="s">
        <v>33</v>
      </c>
      <c r="F1869" t="s">
        <v>26</v>
      </c>
      <c r="G1869" t="s">
        <v>27</v>
      </c>
      <c r="H1869" t="s">
        <v>28</v>
      </c>
      <c r="J1869" s="20">
        <v>0</v>
      </c>
    </row>
    <row r="1870" spans="2:10" x14ac:dyDescent="0.25">
      <c r="B1870" t="s">
        <v>6</v>
      </c>
      <c r="C1870" t="s">
        <v>307</v>
      </c>
      <c r="D1870" t="s">
        <v>34</v>
      </c>
      <c r="E1870" t="s">
        <v>35</v>
      </c>
      <c r="F1870" t="s">
        <v>26</v>
      </c>
      <c r="G1870" t="s">
        <v>36</v>
      </c>
      <c r="H1870" t="s">
        <v>36</v>
      </c>
      <c r="J1870" s="20">
        <v>0</v>
      </c>
    </row>
    <row r="1871" spans="2:10" x14ac:dyDescent="0.25">
      <c r="B1871" t="s">
        <v>6</v>
      </c>
      <c r="C1871" t="s">
        <v>307</v>
      </c>
      <c r="D1871" t="s">
        <v>37</v>
      </c>
      <c r="E1871" t="s">
        <v>38</v>
      </c>
      <c r="F1871" t="s">
        <v>21</v>
      </c>
      <c r="G1871" t="s">
        <v>39</v>
      </c>
      <c r="H1871" t="s">
        <v>39</v>
      </c>
      <c r="J1871" s="20">
        <v>0</v>
      </c>
    </row>
    <row r="1872" spans="2:10" x14ac:dyDescent="0.25">
      <c r="B1872" t="s">
        <v>6</v>
      </c>
      <c r="C1872" t="s">
        <v>307</v>
      </c>
      <c r="D1872" t="s">
        <v>40</v>
      </c>
      <c r="E1872" t="s">
        <v>41</v>
      </c>
      <c r="F1872" t="s">
        <v>26</v>
      </c>
      <c r="G1872" t="s">
        <v>39</v>
      </c>
      <c r="H1872" t="s">
        <v>39</v>
      </c>
      <c r="J1872" s="20">
        <v>0</v>
      </c>
    </row>
    <row r="1873" spans="2:10" x14ac:dyDescent="0.25">
      <c r="B1873" t="s">
        <v>6</v>
      </c>
      <c r="C1873" t="s">
        <v>307</v>
      </c>
      <c r="D1873" t="s">
        <v>42</v>
      </c>
      <c r="E1873" t="s">
        <v>43</v>
      </c>
      <c r="F1873" t="s">
        <v>21</v>
      </c>
      <c r="G1873" t="s">
        <v>44</v>
      </c>
      <c r="H1873" t="s">
        <v>44</v>
      </c>
      <c r="J1873" s="20">
        <v>0</v>
      </c>
    </row>
    <row r="1874" spans="2:10" x14ac:dyDescent="0.25">
      <c r="B1874" t="s">
        <v>6</v>
      </c>
      <c r="C1874" t="s">
        <v>307</v>
      </c>
      <c r="D1874" t="s">
        <v>45</v>
      </c>
      <c r="E1874" t="s">
        <v>46</v>
      </c>
      <c r="F1874" t="s">
        <v>26</v>
      </c>
      <c r="G1874" t="s">
        <v>44</v>
      </c>
      <c r="H1874" t="s">
        <v>44</v>
      </c>
      <c r="J1874" s="20">
        <v>0</v>
      </c>
    </row>
    <row r="1875" spans="2:10" x14ac:dyDescent="0.25">
      <c r="B1875" t="s">
        <v>6</v>
      </c>
      <c r="C1875" t="s">
        <v>307</v>
      </c>
      <c r="D1875" t="s">
        <v>297</v>
      </c>
      <c r="E1875" t="s">
        <v>298</v>
      </c>
      <c r="F1875" t="s">
        <v>26</v>
      </c>
      <c r="G1875" t="s">
        <v>299</v>
      </c>
      <c r="H1875" t="s">
        <v>299</v>
      </c>
      <c r="J1875" s="20"/>
    </row>
    <row r="1876" spans="2:10" x14ac:dyDescent="0.25">
      <c r="B1876" t="s">
        <v>6</v>
      </c>
      <c r="C1876" t="s">
        <v>307</v>
      </c>
      <c r="D1876" t="s">
        <v>300</v>
      </c>
      <c r="E1876" t="s">
        <v>301</v>
      </c>
      <c r="F1876" t="s">
        <v>21</v>
      </c>
      <c r="G1876" t="s">
        <v>299</v>
      </c>
      <c r="H1876" t="s">
        <v>299</v>
      </c>
      <c r="J1876" s="20"/>
    </row>
    <row r="1877" spans="2:10" x14ac:dyDescent="0.25">
      <c r="B1877" t="s">
        <v>6</v>
      </c>
      <c r="C1877" t="s">
        <v>307</v>
      </c>
      <c r="D1877" t="s">
        <v>47</v>
      </c>
      <c r="E1877" t="s">
        <v>48</v>
      </c>
      <c r="F1877" t="s">
        <v>26</v>
      </c>
      <c r="G1877" t="s">
        <v>49</v>
      </c>
      <c r="H1877" t="s">
        <v>49</v>
      </c>
      <c r="J1877" s="20">
        <v>0</v>
      </c>
    </row>
    <row r="1878" spans="2:10" x14ac:dyDescent="0.25">
      <c r="B1878" t="s">
        <v>6</v>
      </c>
      <c r="C1878" t="s">
        <v>308</v>
      </c>
      <c r="D1878">
        <v>701000</v>
      </c>
      <c r="E1878" t="s">
        <v>51</v>
      </c>
      <c r="F1878" t="s">
        <v>21</v>
      </c>
      <c r="G1878" t="s">
        <v>52</v>
      </c>
      <c r="H1878" t="s">
        <v>53</v>
      </c>
      <c r="J1878" s="20">
        <v>0</v>
      </c>
    </row>
    <row r="1879" spans="2:10" x14ac:dyDescent="0.25">
      <c r="B1879" t="s">
        <v>6</v>
      </c>
      <c r="C1879" t="s">
        <v>308</v>
      </c>
      <c r="D1879">
        <v>701008</v>
      </c>
      <c r="E1879" t="s">
        <v>54</v>
      </c>
      <c r="F1879" t="s">
        <v>21</v>
      </c>
      <c r="G1879" t="s">
        <v>52</v>
      </c>
      <c r="H1879" t="s">
        <v>53</v>
      </c>
      <c r="J1879" s="20">
        <v>0</v>
      </c>
    </row>
    <row r="1880" spans="2:10" x14ac:dyDescent="0.25">
      <c r="B1880" t="s">
        <v>6</v>
      </c>
      <c r="C1880" t="s">
        <v>308</v>
      </c>
      <c r="D1880">
        <v>701009</v>
      </c>
      <c r="E1880" t="s">
        <v>55</v>
      </c>
      <c r="F1880" t="s">
        <v>21</v>
      </c>
      <c r="G1880" t="s">
        <v>52</v>
      </c>
      <c r="H1880" t="s">
        <v>53</v>
      </c>
      <c r="J1880" s="20">
        <v>0</v>
      </c>
    </row>
    <row r="1881" spans="2:10" x14ac:dyDescent="0.25">
      <c r="B1881" t="s">
        <v>6</v>
      </c>
      <c r="C1881" t="s">
        <v>308</v>
      </c>
      <c r="D1881">
        <v>701010</v>
      </c>
      <c r="E1881" t="s">
        <v>56</v>
      </c>
      <c r="F1881" t="s">
        <v>21</v>
      </c>
      <c r="G1881" t="s">
        <v>52</v>
      </c>
      <c r="H1881" t="s">
        <v>57</v>
      </c>
      <c r="J1881" s="20">
        <v>0</v>
      </c>
    </row>
    <row r="1882" spans="2:10" x14ac:dyDescent="0.25">
      <c r="B1882" t="s">
        <v>6</v>
      </c>
      <c r="C1882" t="s">
        <v>308</v>
      </c>
      <c r="D1882">
        <v>701011</v>
      </c>
      <c r="E1882" t="s">
        <v>58</v>
      </c>
      <c r="F1882" t="s">
        <v>21</v>
      </c>
      <c r="G1882" t="s">
        <v>52</v>
      </c>
      <c r="H1882" t="s">
        <v>53</v>
      </c>
      <c r="J1882" s="20">
        <v>0</v>
      </c>
    </row>
    <row r="1883" spans="2:10" x14ac:dyDescent="0.25">
      <c r="B1883" t="s">
        <v>6</v>
      </c>
      <c r="C1883" t="s">
        <v>308</v>
      </c>
      <c r="D1883">
        <v>701012</v>
      </c>
      <c r="E1883" t="s">
        <v>59</v>
      </c>
      <c r="F1883" t="s">
        <v>21</v>
      </c>
      <c r="G1883" t="s">
        <v>52</v>
      </c>
      <c r="H1883" t="s">
        <v>53</v>
      </c>
      <c r="J1883" s="20">
        <v>0</v>
      </c>
    </row>
    <row r="1884" spans="2:10" x14ac:dyDescent="0.25">
      <c r="B1884" t="s">
        <v>6</v>
      </c>
      <c r="C1884" t="s">
        <v>308</v>
      </c>
      <c r="D1884">
        <v>701013</v>
      </c>
      <c r="E1884" t="s">
        <v>60</v>
      </c>
      <c r="F1884" t="s">
        <v>21</v>
      </c>
      <c r="G1884" t="s">
        <v>61</v>
      </c>
      <c r="H1884" t="s">
        <v>62</v>
      </c>
      <c r="J1884" s="20">
        <v>0</v>
      </c>
    </row>
    <row r="1885" spans="2:10" x14ac:dyDescent="0.25">
      <c r="B1885" t="s">
        <v>6</v>
      </c>
      <c r="C1885" t="s">
        <v>308</v>
      </c>
      <c r="D1885">
        <v>701014</v>
      </c>
      <c r="E1885" t="s">
        <v>63</v>
      </c>
      <c r="F1885" t="s">
        <v>21</v>
      </c>
      <c r="G1885" t="s">
        <v>61</v>
      </c>
      <c r="H1885" t="s">
        <v>64</v>
      </c>
      <c r="J1885" s="20">
        <v>0</v>
      </c>
    </row>
    <row r="1886" spans="2:10" x14ac:dyDescent="0.25">
      <c r="B1886" t="s">
        <v>6</v>
      </c>
      <c r="C1886" t="s">
        <v>308</v>
      </c>
      <c r="D1886">
        <v>701015</v>
      </c>
      <c r="E1886" t="s">
        <v>65</v>
      </c>
      <c r="F1886" t="s">
        <v>21</v>
      </c>
      <c r="G1886" t="s">
        <v>52</v>
      </c>
      <c r="H1886" t="s">
        <v>53</v>
      </c>
      <c r="J1886" s="20">
        <v>0</v>
      </c>
    </row>
    <row r="1887" spans="2:10" x14ac:dyDescent="0.25">
      <c r="B1887" t="s">
        <v>6</v>
      </c>
      <c r="C1887" t="s">
        <v>308</v>
      </c>
      <c r="D1887">
        <v>701016</v>
      </c>
      <c r="E1887" t="s">
        <v>66</v>
      </c>
      <c r="F1887" t="s">
        <v>21</v>
      </c>
      <c r="G1887" t="s">
        <v>52</v>
      </c>
      <c r="H1887" t="s">
        <v>53</v>
      </c>
      <c r="J1887" s="20">
        <v>0</v>
      </c>
    </row>
    <row r="1888" spans="2:10" x14ac:dyDescent="0.25">
      <c r="B1888" t="s">
        <v>6</v>
      </c>
      <c r="C1888" t="s">
        <v>308</v>
      </c>
      <c r="D1888">
        <v>701017</v>
      </c>
      <c r="E1888" t="s">
        <v>67</v>
      </c>
      <c r="F1888" t="s">
        <v>21</v>
      </c>
      <c r="G1888" t="s">
        <v>61</v>
      </c>
      <c r="H1888" t="s">
        <v>68</v>
      </c>
      <c r="J1888" s="20">
        <v>0</v>
      </c>
    </row>
    <row r="1889" spans="2:10" x14ac:dyDescent="0.25">
      <c r="B1889" t="s">
        <v>6</v>
      </c>
      <c r="C1889" t="s">
        <v>308</v>
      </c>
      <c r="D1889">
        <v>701018</v>
      </c>
      <c r="E1889" t="s">
        <v>69</v>
      </c>
      <c r="F1889" t="s">
        <v>21</v>
      </c>
      <c r="G1889" t="s">
        <v>61</v>
      </c>
      <c r="H1889" t="s">
        <v>68</v>
      </c>
      <c r="J1889" s="20">
        <v>0</v>
      </c>
    </row>
    <row r="1890" spans="2:10" x14ac:dyDescent="0.25">
      <c r="B1890" t="s">
        <v>6</v>
      </c>
      <c r="C1890" t="s">
        <v>308</v>
      </c>
      <c r="D1890">
        <v>701019</v>
      </c>
      <c r="E1890" t="s">
        <v>70</v>
      </c>
      <c r="F1890" t="s">
        <v>21</v>
      </c>
      <c r="G1890" t="s">
        <v>71</v>
      </c>
      <c r="H1890" t="s">
        <v>72</v>
      </c>
      <c r="J1890" s="20">
        <v>0</v>
      </c>
    </row>
    <row r="1891" spans="2:10" x14ac:dyDescent="0.25">
      <c r="B1891" t="s">
        <v>6</v>
      </c>
      <c r="C1891" t="s">
        <v>308</v>
      </c>
      <c r="D1891">
        <v>701020</v>
      </c>
      <c r="E1891" t="s">
        <v>73</v>
      </c>
      <c r="F1891" t="s">
        <v>21</v>
      </c>
      <c r="G1891" t="s">
        <v>52</v>
      </c>
      <c r="H1891" t="s">
        <v>53</v>
      </c>
      <c r="J1891" s="20">
        <v>0</v>
      </c>
    </row>
    <row r="1892" spans="2:10" x14ac:dyDescent="0.25">
      <c r="B1892" t="s">
        <v>6</v>
      </c>
      <c r="C1892" t="s">
        <v>308</v>
      </c>
      <c r="D1892">
        <v>701021</v>
      </c>
      <c r="E1892" t="s">
        <v>74</v>
      </c>
      <c r="F1892" t="s">
        <v>21</v>
      </c>
      <c r="G1892" t="s">
        <v>61</v>
      </c>
      <c r="H1892" t="s">
        <v>74</v>
      </c>
      <c r="J1892" s="20">
        <v>0</v>
      </c>
    </row>
    <row r="1893" spans="2:10" x14ac:dyDescent="0.25">
      <c r="B1893" t="s">
        <v>6</v>
      </c>
      <c r="C1893" t="s">
        <v>308</v>
      </c>
      <c r="D1893">
        <v>701022</v>
      </c>
      <c r="E1893" t="s">
        <v>75</v>
      </c>
      <c r="F1893" t="s">
        <v>21</v>
      </c>
      <c r="G1893" t="s">
        <v>76</v>
      </c>
      <c r="H1893" t="s">
        <v>77</v>
      </c>
      <c r="J1893" s="20">
        <v>0</v>
      </c>
    </row>
    <row r="1894" spans="2:10" x14ac:dyDescent="0.25">
      <c r="B1894" t="s">
        <v>6</v>
      </c>
      <c r="C1894" t="s">
        <v>308</v>
      </c>
      <c r="D1894">
        <v>701023</v>
      </c>
      <c r="E1894" t="s">
        <v>78</v>
      </c>
      <c r="F1894" t="s">
        <v>21</v>
      </c>
      <c r="G1894" t="s">
        <v>61</v>
      </c>
      <c r="H1894" t="s">
        <v>79</v>
      </c>
      <c r="J1894" s="20">
        <v>0</v>
      </c>
    </row>
    <row r="1895" spans="2:10" x14ac:dyDescent="0.25">
      <c r="B1895" t="s">
        <v>6</v>
      </c>
      <c r="C1895" t="s">
        <v>308</v>
      </c>
      <c r="D1895">
        <v>701024</v>
      </c>
      <c r="E1895" t="s">
        <v>80</v>
      </c>
      <c r="F1895" t="s">
        <v>21</v>
      </c>
      <c r="G1895" t="s">
        <v>76</v>
      </c>
      <c r="H1895" t="s">
        <v>77</v>
      </c>
      <c r="J1895" s="20">
        <v>0</v>
      </c>
    </row>
    <row r="1896" spans="2:10" x14ac:dyDescent="0.25">
      <c r="B1896" t="s">
        <v>6</v>
      </c>
      <c r="C1896" t="s">
        <v>308</v>
      </c>
      <c r="D1896">
        <v>701025</v>
      </c>
      <c r="E1896" t="s">
        <v>81</v>
      </c>
      <c r="F1896" t="s">
        <v>21</v>
      </c>
      <c r="G1896" t="s">
        <v>71</v>
      </c>
      <c r="H1896" t="s">
        <v>82</v>
      </c>
      <c r="J1896" s="20">
        <v>0</v>
      </c>
    </row>
    <row r="1897" spans="2:10" x14ac:dyDescent="0.25">
      <c r="B1897" t="s">
        <v>6</v>
      </c>
      <c r="C1897" t="s">
        <v>308</v>
      </c>
      <c r="D1897">
        <v>701026</v>
      </c>
      <c r="E1897" t="s">
        <v>83</v>
      </c>
      <c r="F1897" t="s">
        <v>21</v>
      </c>
      <c r="G1897" t="s">
        <v>76</v>
      </c>
      <c r="H1897" t="s">
        <v>77</v>
      </c>
      <c r="J1897" s="20">
        <v>0</v>
      </c>
    </row>
    <row r="1898" spans="2:10" x14ac:dyDescent="0.25">
      <c r="B1898" t="s">
        <v>6</v>
      </c>
      <c r="C1898" t="s">
        <v>308</v>
      </c>
      <c r="D1898">
        <v>701027</v>
      </c>
      <c r="E1898" t="s">
        <v>84</v>
      </c>
      <c r="F1898" t="s">
        <v>21</v>
      </c>
      <c r="G1898" t="s">
        <v>76</v>
      </c>
      <c r="H1898" t="s">
        <v>77</v>
      </c>
      <c r="J1898" s="20">
        <v>0</v>
      </c>
    </row>
    <row r="1899" spans="2:10" x14ac:dyDescent="0.25">
      <c r="B1899" t="s">
        <v>6</v>
      </c>
      <c r="C1899" t="s">
        <v>308</v>
      </c>
      <c r="D1899">
        <v>701028</v>
      </c>
      <c r="E1899" t="s">
        <v>85</v>
      </c>
      <c r="F1899" t="s">
        <v>21</v>
      </c>
      <c r="G1899" t="s">
        <v>61</v>
      </c>
      <c r="H1899" t="s">
        <v>68</v>
      </c>
      <c r="J1899" s="20">
        <v>0</v>
      </c>
    </row>
    <row r="1900" spans="2:10" x14ac:dyDescent="0.25">
      <c r="B1900" t="s">
        <v>6</v>
      </c>
      <c r="C1900" t="s">
        <v>308</v>
      </c>
      <c r="D1900">
        <v>701029</v>
      </c>
      <c r="E1900" t="s">
        <v>86</v>
      </c>
      <c r="F1900" t="s">
        <v>21</v>
      </c>
      <c r="G1900" t="s">
        <v>61</v>
      </c>
      <c r="H1900" t="s">
        <v>68</v>
      </c>
      <c r="J1900" s="20">
        <v>0</v>
      </c>
    </row>
    <row r="1901" spans="2:10" x14ac:dyDescent="0.25">
      <c r="B1901" t="s">
        <v>6</v>
      </c>
      <c r="C1901" t="s">
        <v>308</v>
      </c>
      <c r="D1901">
        <v>701030</v>
      </c>
      <c r="E1901" t="s">
        <v>87</v>
      </c>
      <c r="F1901" t="s">
        <v>21</v>
      </c>
      <c r="G1901" t="s">
        <v>71</v>
      </c>
      <c r="H1901" t="s">
        <v>88</v>
      </c>
      <c r="J1901" s="20">
        <v>0</v>
      </c>
    </row>
    <row r="1902" spans="2:10" x14ac:dyDescent="0.25">
      <c r="B1902" t="s">
        <v>6</v>
      </c>
      <c r="C1902" t="s">
        <v>308</v>
      </c>
      <c r="D1902">
        <v>701031</v>
      </c>
      <c r="E1902" t="s">
        <v>89</v>
      </c>
      <c r="F1902" t="s">
        <v>21</v>
      </c>
      <c r="G1902" t="s">
        <v>76</v>
      </c>
      <c r="H1902" t="s">
        <v>77</v>
      </c>
      <c r="J1902" s="20">
        <v>0</v>
      </c>
    </row>
    <row r="1903" spans="2:10" x14ac:dyDescent="0.25">
      <c r="B1903" t="s">
        <v>6</v>
      </c>
      <c r="C1903" t="s">
        <v>308</v>
      </c>
      <c r="D1903">
        <v>701032</v>
      </c>
      <c r="E1903" t="s">
        <v>90</v>
      </c>
      <c r="F1903" t="s">
        <v>21</v>
      </c>
      <c r="G1903" t="s">
        <v>52</v>
      </c>
      <c r="H1903" t="s">
        <v>53</v>
      </c>
      <c r="J1903" s="20">
        <v>0</v>
      </c>
    </row>
    <row r="1904" spans="2:10" x14ac:dyDescent="0.25">
      <c r="B1904" t="s">
        <v>6</v>
      </c>
      <c r="C1904" t="s">
        <v>308</v>
      </c>
      <c r="D1904">
        <v>701034</v>
      </c>
      <c r="E1904" t="s">
        <v>91</v>
      </c>
      <c r="F1904" t="s">
        <v>21</v>
      </c>
      <c r="G1904" t="s">
        <v>76</v>
      </c>
      <c r="H1904" t="s">
        <v>77</v>
      </c>
      <c r="J1904" s="20">
        <v>0</v>
      </c>
    </row>
    <row r="1905" spans="2:10" x14ac:dyDescent="0.25">
      <c r="B1905" t="s">
        <v>6</v>
      </c>
      <c r="C1905" t="s">
        <v>308</v>
      </c>
      <c r="D1905">
        <v>701035</v>
      </c>
      <c r="E1905" t="s">
        <v>92</v>
      </c>
      <c r="F1905" t="s">
        <v>21</v>
      </c>
      <c r="G1905" t="s">
        <v>61</v>
      </c>
      <c r="H1905" t="s">
        <v>68</v>
      </c>
      <c r="J1905" s="20">
        <v>0</v>
      </c>
    </row>
    <row r="1906" spans="2:10" x14ac:dyDescent="0.25">
      <c r="B1906" t="s">
        <v>6</v>
      </c>
      <c r="C1906" t="s">
        <v>308</v>
      </c>
      <c r="D1906">
        <v>701036</v>
      </c>
      <c r="E1906" t="s">
        <v>93</v>
      </c>
      <c r="F1906" t="s">
        <v>21</v>
      </c>
      <c r="G1906" t="s">
        <v>52</v>
      </c>
      <c r="H1906" t="s">
        <v>53</v>
      </c>
      <c r="J1906" s="20">
        <v>0</v>
      </c>
    </row>
    <row r="1907" spans="2:10" x14ac:dyDescent="0.25">
      <c r="B1907" t="s">
        <v>6</v>
      </c>
      <c r="C1907" t="s">
        <v>308</v>
      </c>
      <c r="D1907">
        <v>701113</v>
      </c>
      <c r="E1907" t="s">
        <v>94</v>
      </c>
      <c r="F1907" t="s">
        <v>21</v>
      </c>
      <c r="G1907" t="s">
        <v>61</v>
      </c>
      <c r="H1907" t="s">
        <v>62</v>
      </c>
      <c r="J1907" s="20">
        <v>0</v>
      </c>
    </row>
    <row r="1908" spans="2:10" x14ac:dyDescent="0.25">
      <c r="B1908" t="s">
        <v>6</v>
      </c>
      <c r="C1908" t="s">
        <v>308</v>
      </c>
      <c r="D1908">
        <v>701119</v>
      </c>
      <c r="E1908" t="s">
        <v>95</v>
      </c>
      <c r="F1908" t="s">
        <v>21</v>
      </c>
      <c r="G1908" t="s">
        <v>22</v>
      </c>
      <c r="H1908" t="s">
        <v>23</v>
      </c>
      <c r="J1908" s="20">
        <v>0</v>
      </c>
    </row>
    <row r="1909" spans="2:10" x14ac:dyDescent="0.25">
      <c r="B1909" t="s">
        <v>6</v>
      </c>
      <c r="C1909" t="s">
        <v>308</v>
      </c>
      <c r="D1909">
        <v>701120</v>
      </c>
      <c r="E1909" t="s">
        <v>96</v>
      </c>
      <c r="F1909" t="s">
        <v>21</v>
      </c>
      <c r="G1909" t="s">
        <v>22</v>
      </c>
      <c r="H1909" t="s">
        <v>23</v>
      </c>
      <c r="J1909" s="20">
        <v>0</v>
      </c>
    </row>
    <row r="1910" spans="2:10" x14ac:dyDescent="0.25">
      <c r="B1910" t="s">
        <v>6</v>
      </c>
      <c r="C1910" t="s">
        <v>308</v>
      </c>
      <c r="D1910">
        <v>701121</v>
      </c>
      <c r="E1910" t="s">
        <v>97</v>
      </c>
      <c r="F1910" t="s">
        <v>21</v>
      </c>
      <c r="G1910" t="s">
        <v>22</v>
      </c>
      <c r="H1910" t="s">
        <v>23</v>
      </c>
      <c r="J1910" s="20">
        <v>0</v>
      </c>
    </row>
    <row r="1911" spans="2:10" x14ac:dyDescent="0.25">
      <c r="B1911" t="s">
        <v>6</v>
      </c>
      <c r="C1911" t="s">
        <v>308</v>
      </c>
      <c r="D1911">
        <v>701122</v>
      </c>
      <c r="E1911" t="s">
        <v>98</v>
      </c>
      <c r="F1911" t="s">
        <v>21</v>
      </c>
      <c r="G1911" t="s">
        <v>71</v>
      </c>
      <c r="H1911" t="s">
        <v>88</v>
      </c>
      <c r="J1911" s="20">
        <v>0</v>
      </c>
    </row>
    <row r="1912" spans="2:10" x14ac:dyDescent="0.25">
      <c r="B1912" t="s">
        <v>6</v>
      </c>
      <c r="C1912" t="s">
        <v>308</v>
      </c>
      <c r="D1912">
        <v>701123</v>
      </c>
      <c r="E1912" t="s">
        <v>99</v>
      </c>
      <c r="F1912" t="s">
        <v>21</v>
      </c>
      <c r="G1912" t="s">
        <v>22</v>
      </c>
      <c r="H1912" t="s">
        <v>23</v>
      </c>
      <c r="J1912" s="20">
        <v>0</v>
      </c>
    </row>
    <row r="1913" spans="2:10" x14ac:dyDescent="0.25">
      <c r="B1913" t="s">
        <v>6</v>
      </c>
      <c r="C1913" t="s">
        <v>308</v>
      </c>
      <c r="D1913">
        <v>701127</v>
      </c>
      <c r="E1913" t="s">
        <v>100</v>
      </c>
      <c r="F1913" t="s">
        <v>21</v>
      </c>
      <c r="G1913" t="s">
        <v>76</v>
      </c>
      <c r="H1913" t="s">
        <v>77</v>
      </c>
      <c r="J1913" s="20">
        <v>0</v>
      </c>
    </row>
    <row r="1914" spans="2:10" x14ac:dyDescent="0.25">
      <c r="B1914" t="s">
        <v>6</v>
      </c>
      <c r="C1914" t="s">
        <v>308</v>
      </c>
      <c r="D1914">
        <v>701213</v>
      </c>
      <c r="E1914" t="s">
        <v>101</v>
      </c>
      <c r="F1914" t="s">
        <v>21</v>
      </c>
      <c r="G1914" t="s">
        <v>61</v>
      </c>
      <c r="H1914" t="s">
        <v>62</v>
      </c>
      <c r="J1914" s="20">
        <v>0</v>
      </c>
    </row>
    <row r="1915" spans="2:10" x14ac:dyDescent="0.25">
      <c r="B1915" t="s">
        <v>6</v>
      </c>
      <c r="C1915" t="s">
        <v>308</v>
      </c>
      <c r="D1915">
        <v>701214</v>
      </c>
      <c r="E1915" t="s">
        <v>102</v>
      </c>
      <c r="F1915" t="s">
        <v>21</v>
      </c>
      <c r="G1915" t="s">
        <v>61</v>
      </c>
      <c r="H1915" t="s">
        <v>62</v>
      </c>
      <c r="J1915" s="20">
        <v>0</v>
      </c>
    </row>
    <row r="1916" spans="2:10" x14ac:dyDescent="0.25">
      <c r="B1916" t="s">
        <v>6</v>
      </c>
      <c r="C1916" t="s">
        <v>308</v>
      </c>
      <c r="D1916">
        <v>701215</v>
      </c>
      <c r="E1916" t="s">
        <v>103</v>
      </c>
      <c r="F1916" t="s">
        <v>21</v>
      </c>
      <c r="G1916" t="s">
        <v>61</v>
      </c>
      <c r="H1916" t="s">
        <v>62</v>
      </c>
      <c r="J1916" s="20">
        <v>0</v>
      </c>
    </row>
    <row r="1917" spans="2:10" x14ac:dyDescent="0.25">
      <c r="B1917" t="s">
        <v>6</v>
      </c>
      <c r="C1917" t="s">
        <v>308</v>
      </c>
      <c r="D1917">
        <v>701227</v>
      </c>
      <c r="E1917" t="s">
        <v>104</v>
      </c>
      <c r="F1917" t="s">
        <v>21</v>
      </c>
      <c r="G1917" t="s">
        <v>76</v>
      </c>
      <c r="H1917" t="s">
        <v>77</v>
      </c>
      <c r="J1917" s="20">
        <v>0</v>
      </c>
    </row>
    <row r="1918" spans="2:10" x14ac:dyDescent="0.25">
      <c r="B1918" t="s">
        <v>6</v>
      </c>
      <c r="C1918" t="s">
        <v>308</v>
      </c>
      <c r="D1918">
        <v>701327</v>
      </c>
      <c r="E1918" t="s">
        <v>106</v>
      </c>
      <c r="F1918" t="s">
        <v>21</v>
      </c>
      <c r="G1918" t="s">
        <v>76</v>
      </c>
      <c r="H1918" t="s">
        <v>77</v>
      </c>
      <c r="J1918" s="20">
        <v>0</v>
      </c>
    </row>
    <row r="1919" spans="2:10" x14ac:dyDescent="0.25">
      <c r="B1919" t="s">
        <v>6</v>
      </c>
      <c r="C1919" t="s">
        <v>308</v>
      </c>
      <c r="D1919">
        <v>701427</v>
      </c>
      <c r="E1919" t="s">
        <v>107</v>
      </c>
      <c r="F1919" t="s">
        <v>21</v>
      </c>
      <c r="G1919" t="s">
        <v>76</v>
      </c>
      <c r="H1919" t="s">
        <v>108</v>
      </c>
      <c r="J1919" s="20">
        <v>0</v>
      </c>
    </row>
    <row r="1920" spans="2:10" x14ac:dyDescent="0.25">
      <c r="B1920" t="s">
        <v>6</v>
      </c>
      <c r="C1920" t="s">
        <v>308</v>
      </c>
      <c r="D1920">
        <v>701527</v>
      </c>
      <c r="E1920" t="s">
        <v>109</v>
      </c>
      <c r="F1920" t="s">
        <v>21</v>
      </c>
      <c r="G1920" t="s">
        <v>76</v>
      </c>
      <c r="H1920" t="s">
        <v>77</v>
      </c>
      <c r="J1920" s="20">
        <v>0</v>
      </c>
    </row>
    <row r="1921" spans="2:10" x14ac:dyDescent="0.25">
      <c r="B1921" t="s">
        <v>6</v>
      </c>
      <c r="C1921" t="s">
        <v>308</v>
      </c>
      <c r="D1921">
        <v>701627</v>
      </c>
      <c r="E1921" t="s">
        <v>110</v>
      </c>
      <c r="F1921" t="s">
        <v>21</v>
      </c>
      <c r="G1921" t="s">
        <v>76</v>
      </c>
      <c r="H1921" t="s">
        <v>77</v>
      </c>
      <c r="J1921" s="20">
        <v>0</v>
      </c>
    </row>
    <row r="1922" spans="2:10" x14ac:dyDescent="0.25">
      <c r="B1922" t="s">
        <v>6</v>
      </c>
      <c r="C1922" t="s">
        <v>308</v>
      </c>
      <c r="D1922">
        <v>701727</v>
      </c>
      <c r="E1922" t="s">
        <v>111</v>
      </c>
      <c r="F1922" t="s">
        <v>21</v>
      </c>
      <c r="G1922" t="s">
        <v>76</v>
      </c>
      <c r="H1922" t="s">
        <v>77</v>
      </c>
      <c r="J1922" s="20">
        <v>0</v>
      </c>
    </row>
    <row r="1923" spans="2:10" x14ac:dyDescent="0.25">
      <c r="B1923" t="s">
        <v>6</v>
      </c>
      <c r="C1923" t="s">
        <v>308</v>
      </c>
      <c r="D1923">
        <v>701801</v>
      </c>
      <c r="E1923" t="s">
        <v>112</v>
      </c>
      <c r="F1923" t="s">
        <v>21</v>
      </c>
      <c r="G1923" t="s">
        <v>76</v>
      </c>
      <c r="H1923" t="s">
        <v>77</v>
      </c>
      <c r="J1923" s="20">
        <v>0</v>
      </c>
    </row>
    <row r="1924" spans="2:10" x14ac:dyDescent="0.25">
      <c r="B1924" t="s">
        <v>6</v>
      </c>
      <c r="C1924" t="s">
        <v>308</v>
      </c>
      <c r="D1924">
        <v>701802</v>
      </c>
      <c r="E1924" t="s">
        <v>113</v>
      </c>
      <c r="F1924" t="s">
        <v>21</v>
      </c>
      <c r="G1924" t="s">
        <v>61</v>
      </c>
      <c r="H1924" t="s">
        <v>62</v>
      </c>
      <c r="J1924" s="20">
        <v>0</v>
      </c>
    </row>
    <row r="1925" spans="2:10" x14ac:dyDescent="0.25">
      <c r="B1925" t="s">
        <v>6</v>
      </c>
      <c r="C1925" t="s">
        <v>308</v>
      </c>
      <c r="D1925">
        <v>703010</v>
      </c>
      <c r="E1925" t="s">
        <v>114</v>
      </c>
      <c r="F1925" t="s">
        <v>21</v>
      </c>
      <c r="G1925" t="s">
        <v>22</v>
      </c>
      <c r="H1925" t="s">
        <v>115</v>
      </c>
      <c r="J1925" s="20">
        <v>0</v>
      </c>
    </row>
    <row r="1926" spans="2:10" x14ac:dyDescent="0.25">
      <c r="B1926" t="s">
        <v>6</v>
      </c>
      <c r="C1926" t="s">
        <v>308</v>
      </c>
      <c r="D1926">
        <v>703011</v>
      </c>
      <c r="E1926" t="s">
        <v>116</v>
      </c>
      <c r="F1926" t="s">
        <v>21</v>
      </c>
      <c r="G1926" t="s">
        <v>22</v>
      </c>
      <c r="H1926" t="s">
        <v>115</v>
      </c>
      <c r="J1926" s="20">
        <v>0</v>
      </c>
    </row>
    <row r="1927" spans="2:10" x14ac:dyDescent="0.25">
      <c r="B1927" t="s">
        <v>6</v>
      </c>
      <c r="C1927" t="s">
        <v>308</v>
      </c>
      <c r="D1927">
        <v>703012</v>
      </c>
      <c r="E1927" t="s">
        <v>117</v>
      </c>
      <c r="F1927" t="s">
        <v>21</v>
      </c>
      <c r="G1927" t="s">
        <v>22</v>
      </c>
      <c r="H1927" t="s">
        <v>115</v>
      </c>
      <c r="J1927" s="20">
        <v>0</v>
      </c>
    </row>
    <row r="1928" spans="2:10" x14ac:dyDescent="0.25">
      <c r="B1928" t="s">
        <v>6</v>
      </c>
      <c r="C1928" t="s">
        <v>308</v>
      </c>
      <c r="D1928">
        <v>703013</v>
      </c>
      <c r="E1928" t="s">
        <v>118</v>
      </c>
      <c r="F1928" t="s">
        <v>21</v>
      </c>
      <c r="G1928" t="s">
        <v>22</v>
      </c>
      <c r="H1928" t="s">
        <v>115</v>
      </c>
      <c r="J1928" s="20">
        <v>0</v>
      </c>
    </row>
    <row r="1929" spans="2:10" x14ac:dyDescent="0.25">
      <c r="B1929" t="s">
        <v>6</v>
      </c>
      <c r="C1929" t="s">
        <v>308</v>
      </c>
      <c r="D1929">
        <v>703014</v>
      </c>
      <c r="E1929" t="s">
        <v>119</v>
      </c>
      <c r="F1929" t="s">
        <v>21</v>
      </c>
      <c r="G1929" t="s">
        <v>22</v>
      </c>
      <c r="H1929" t="s">
        <v>115</v>
      </c>
      <c r="J1929" s="20">
        <v>0</v>
      </c>
    </row>
    <row r="1930" spans="2:10" x14ac:dyDescent="0.25">
      <c r="B1930" t="s">
        <v>6</v>
      </c>
      <c r="C1930" t="s">
        <v>308</v>
      </c>
      <c r="D1930">
        <v>703015</v>
      </c>
      <c r="E1930" t="s">
        <v>120</v>
      </c>
      <c r="F1930" t="s">
        <v>21</v>
      </c>
      <c r="G1930" t="s">
        <v>22</v>
      </c>
      <c r="H1930" t="s">
        <v>115</v>
      </c>
      <c r="J1930" s="20">
        <v>0</v>
      </c>
    </row>
    <row r="1931" spans="2:10" x14ac:dyDescent="0.25">
      <c r="B1931" t="s">
        <v>6</v>
      </c>
      <c r="C1931" t="s">
        <v>308</v>
      </c>
      <c r="D1931">
        <v>703016</v>
      </c>
      <c r="E1931" t="s">
        <v>121</v>
      </c>
      <c r="F1931" t="s">
        <v>21</v>
      </c>
      <c r="G1931" t="s">
        <v>22</v>
      </c>
      <c r="H1931" t="s">
        <v>115</v>
      </c>
      <c r="J1931" s="20">
        <v>0</v>
      </c>
    </row>
    <row r="1932" spans="2:10" x14ac:dyDescent="0.25">
      <c r="B1932" t="s">
        <v>6</v>
      </c>
      <c r="C1932" t="s">
        <v>308</v>
      </c>
      <c r="D1932">
        <v>703017</v>
      </c>
      <c r="E1932" t="s">
        <v>122</v>
      </c>
      <c r="F1932" t="s">
        <v>21</v>
      </c>
      <c r="G1932" t="s">
        <v>22</v>
      </c>
      <c r="H1932" t="s">
        <v>115</v>
      </c>
      <c r="J1932" s="20">
        <v>0</v>
      </c>
    </row>
    <row r="1933" spans="2:10" x14ac:dyDescent="0.25">
      <c r="B1933" t="s">
        <v>6</v>
      </c>
      <c r="C1933" t="s">
        <v>308</v>
      </c>
      <c r="D1933">
        <v>703018</v>
      </c>
      <c r="E1933" t="s">
        <v>123</v>
      </c>
      <c r="F1933" t="s">
        <v>21</v>
      </c>
      <c r="G1933" t="s">
        <v>22</v>
      </c>
      <c r="H1933" t="s">
        <v>115</v>
      </c>
      <c r="J1933" s="20">
        <v>0</v>
      </c>
    </row>
    <row r="1934" spans="2:10" x14ac:dyDescent="0.25">
      <c r="B1934" t="s">
        <v>6</v>
      </c>
      <c r="C1934" t="s">
        <v>308</v>
      </c>
      <c r="D1934">
        <v>703019</v>
      </c>
      <c r="E1934" t="s">
        <v>124</v>
      </c>
      <c r="F1934" t="s">
        <v>21</v>
      </c>
      <c r="G1934" t="s">
        <v>22</v>
      </c>
      <c r="H1934" t="s">
        <v>115</v>
      </c>
      <c r="J1934" s="20">
        <v>0</v>
      </c>
    </row>
    <row r="1935" spans="2:10" x14ac:dyDescent="0.25">
      <c r="B1935" t="s">
        <v>6</v>
      </c>
      <c r="C1935" t="s">
        <v>308</v>
      </c>
      <c r="D1935">
        <v>703210</v>
      </c>
      <c r="E1935" t="s">
        <v>125</v>
      </c>
      <c r="F1935" t="s">
        <v>21</v>
      </c>
      <c r="G1935" t="s">
        <v>22</v>
      </c>
      <c r="H1935" t="s">
        <v>23</v>
      </c>
      <c r="J1935" s="20">
        <v>0</v>
      </c>
    </row>
    <row r="1936" spans="2:10" x14ac:dyDescent="0.25">
      <c r="B1936" t="s">
        <v>6</v>
      </c>
      <c r="C1936" t="s">
        <v>308</v>
      </c>
      <c r="D1936">
        <v>703211</v>
      </c>
      <c r="E1936" t="s">
        <v>126</v>
      </c>
      <c r="F1936" t="s">
        <v>21</v>
      </c>
      <c r="G1936" t="s">
        <v>22</v>
      </c>
      <c r="H1936" t="s">
        <v>23</v>
      </c>
      <c r="J1936" s="20">
        <v>0</v>
      </c>
    </row>
    <row r="1937" spans="2:10" x14ac:dyDescent="0.25">
      <c r="B1937" t="s">
        <v>6</v>
      </c>
      <c r="C1937" t="s">
        <v>308</v>
      </c>
      <c r="D1937">
        <v>703212</v>
      </c>
      <c r="E1937" t="s">
        <v>127</v>
      </c>
      <c r="F1937" t="s">
        <v>21</v>
      </c>
      <c r="G1937" t="s">
        <v>22</v>
      </c>
      <c r="H1937" t="s">
        <v>23</v>
      </c>
      <c r="J1937" s="20">
        <v>0</v>
      </c>
    </row>
    <row r="1938" spans="2:10" x14ac:dyDescent="0.25">
      <c r="B1938" t="s">
        <v>6</v>
      </c>
      <c r="C1938" t="s">
        <v>308</v>
      </c>
      <c r="D1938">
        <v>703213</v>
      </c>
      <c r="E1938" t="s">
        <v>128</v>
      </c>
      <c r="F1938" t="s">
        <v>21</v>
      </c>
      <c r="G1938" t="s">
        <v>22</v>
      </c>
      <c r="H1938" t="s">
        <v>23</v>
      </c>
      <c r="J1938" s="20">
        <v>0</v>
      </c>
    </row>
    <row r="1939" spans="2:10" x14ac:dyDescent="0.25">
      <c r="B1939" t="s">
        <v>6</v>
      </c>
      <c r="C1939" t="s">
        <v>308</v>
      </c>
      <c r="D1939">
        <v>703214</v>
      </c>
      <c r="E1939" t="s">
        <v>129</v>
      </c>
      <c r="F1939" t="s">
        <v>21</v>
      </c>
      <c r="G1939" t="s">
        <v>22</v>
      </c>
      <c r="H1939" t="s">
        <v>23</v>
      </c>
      <c r="J1939" s="20">
        <v>0</v>
      </c>
    </row>
    <row r="1940" spans="2:10" x14ac:dyDescent="0.25">
      <c r="B1940" t="s">
        <v>6</v>
      </c>
      <c r="C1940" t="s">
        <v>308</v>
      </c>
      <c r="D1940">
        <v>703215</v>
      </c>
      <c r="E1940" t="s">
        <v>130</v>
      </c>
      <c r="F1940" t="s">
        <v>21</v>
      </c>
      <c r="G1940" t="s">
        <v>22</v>
      </c>
      <c r="H1940" t="s">
        <v>23</v>
      </c>
      <c r="J1940" s="20">
        <v>0</v>
      </c>
    </row>
    <row r="1941" spans="2:10" x14ac:dyDescent="0.25">
      <c r="B1941" t="s">
        <v>6</v>
      </c>
      <c r="C1941" t="s">
        <v>308</v>
      </c>
      <c r="D1941">
        <v>703216</v>
      </c>
      <c r="E1941" t="s">
        <v>131</v>
      </c>
      <c r="F1941" t="s">
        <v>21</v>
      </c>
      <c r="G1941" t="s">
        <v>22</v>
      </c>
      <c r="H1941" t="s">
        <v>23</v>
      </c>
      <c r="J1941" s="20">
        <v>0</v>
      </c>
    </row>
    <row r="1942" spans="2:10" x14ac:dyDescent="0.25">
      <c r="B1942" t="s">
        <v>6</v>
      </c>
      <c r="C1942" t="s">
        <v>308</v>
      </c>
      <c r="D1942">
        <v>703217</v>
      </c>
      <c r="E1942" t="s">
        <v>132</v>
      </c>
      <c r="F1942" t="s">
        <v>21</v>
      </c>
      <c r="G1942" t="s">
        <v>22</v>
      </c>
      <c r="H1942" t="s">
        <v>23</v>
      </c>
      <c r="J1942" s="20">
        <v>0</v>
      </c>
    </row>
    <row r="1943" spans="2:10" x14ac:dyDescent="0.25">
      <c r="B1943" t="s">
        <v>6</v>
      </c>
      <c r="C1943" t="s">
        <v>308</v>
      </c>
      <c r="D1943">
        <v>703219</v>
      </c>
      <c r="E1943" t="s">
        <v>133</v>
      </c>
      <c r="F1943" t="s">
        <v>21</v>
      </c>
      <c r="G1943" t="s">
        <v>22</v>
      </c>
      <c r="H1943" t="s">
        <v>23</v>
      </c>
      <c r="J1943" s="20">
        <v>0</v>
      </c>
    </row>
    <row r="1944" spans="2:10" x14ac:dyDescent="0.25">
      <c r="B1944" t="s">
        <v>6</v>
      </c>
      <c r="C1944" t="s">
        <v>308</v>
      </c>
      <c r="D1944">
        <v>703220</v>
      </c>
      <c r="E1944" t="s">
        <v>134</v>
      </c>
      <c r="F1944" t="s">
        <v>21</v>
      </c>
      <c r="G1944" t="s">
        <v>71</v>
      </c>
      <c r="H1944" t="s">
        <v>135</v>
      </c>
      <c r="J1944" s="20">
        <v>0</v>
      </c>
    </row>
    <row r="1945" spans="2:10" x14ac:dyDescent="0.25">
      <c r="B1945" t="s">
        <v>6</v>
      </c>
      <c r="C1945" t="s">
        <v>308</v>
      </c>
      <c r="D1945">
        <v>703221</v>
      </c>
      <c r="E1945" t="s">
        <v>136</v>
      </c>
      <c r="F1945" t="s">
        <v>21</v>
      </c>
      <c r="G1945" t="s">
        <v>137</v>
      </c>
      <c r="H1945" t="s">
        <v>138</v>
      </c>
      <c r="J1945" s="20">
        <v>0</v>
      </c>
    </row>
    <row r="1946" spans="2:10" x14ac:dyDescent="0.25">
      <c r="B1946" t="s">
        <v>6</v>
      </c>
      <c r="C1946" t="s">
        <v>308</v>
      </c>
      <c r="D1946">
        <v>703222</v>
      </c>
      <c r="E1946" t="s">
        <v>139</v>
      </c>
      <c r="F1946" t="s">
        <v>21</v>
      </c>
      <c r="G1946" t="s">
        <v>137</v>
      </c>
      <c r="H1946" t="s">
        <v>138</v>
      </c>
      <c r="J1946" s="20">
        <v>0</v>
      </c>
    </row>
    <row r="1947" spans="2:10" x14ac:dyDescent="0.25">
      <c r="B1947" t="s">
        <v>6</v>
      </c>
      <c r="C1947" t="s">
        <v>308</v>
      </c>
      <c r="D1947">
        <v>703223</v>
      </c>
      <c r="E1947" t="s">
        <v>140</v>
      </c>
      <c r="F1947" t="s">
        <v>21</v>
      </c>
      <c r="G1947" t="s">
        <v>137</v>
      </c>
      <c r="H1947" t="s">
        <v>141</v>
      </c>
      <c r="J1947" s="20">
        <v>0</v>
      </c>
    </row>
    <row r="1948" spans="2:10" x14ac:dyDescent="0.25">
      <c r="B1948" t="s">
        <v>6</v>
      </c>
      <c r="C1948" t="s">
        <v>308</v>
      </c>
      <c r="D1948">
        <v>703224</v>
      </c>
      <c r="E1948" t="s">
        <v>142</v>
      </c>
      <c r="F1948" t="s">
        <v>21</v>
      </c>
      <c r="G1948" t="s">
        <v>71</v>
      </c>
      <c r="H1948" t="s">
        <v>88</v>
      </c>
      <c r="J1948" s="20">
        <v>0</v>
      </c>
    </row>
    <row r="1949" spans="2:10" x14ac:dyDescent="0.25">
      <c r="B1949" t="s">
        <v>6</v>
      </c>
      <c r="C1949" t="s">
        <v>308</v>
      </c>
      <c r="D1949">
        <v>703225</v>
      </c>
      <c r="E1949" t="s">
        <v>143</v>
      </c>
      <c r="F1949" t="s">
        <v>21</v>
      </c>
      <c r="G1949" t="s">
        <v>71</v>
      </c>
      <c r="H1949" t="s">
        <v>88</v>
      </c>
      <c r="J1949" s="20">
        <v>0</v>
      </c>
    </row>
    <row r="1950" spans="2:10" x14ac:dyDescent="0.25">
      <c r="B1950" t="s">
        <v>6</v>
      </c>
      <c r="C1950" t="s">
        <v>308</v>
      </c>
      <c r="D1950">
        <v>703226</v>
      </c>
      <c r="E1950" t="s">
        <v>144</v>
      </c>
      <c r="F1950" t="s">
        <v>21</v>
      </c>
      <c r="G1950" t="s">
        <v>71</v>
      </c>
      <c r="H1950" t="s">
        <v>82</v>
      </c>
      <c r="J1950" s="20">
        <v>0</v>
      </c>
    </row>
    <row r="1951" spans="2:10" x14ac:dyDescent="0.25">
      <c r="B1951" t="s">
        <v>6</v>
      </c>
      <c r="C1951" t="s">
        <v>308</v>
      </c>
      <c r="D1951">
        <v>703227</v>
      </c>
      <c r="E1951" t="s">
        <v>145</v>
      </c>
      <c r="F1951" t="s">
        <v>21</v>
      </c>
      <c r="G1951" t="s">
        <v>137</v>
      </c>
      <c r="H1951" t="s">
        <v>138</v>
      </c>
      <c r="J1951" s="20">
        <v>0</v>
      </c>
    </row>
    <row r="1952" spans="2:10" x14ac:dyDescent="0.25">
      <c r="B1952" t="s">
        <v>6</v>
      </c>
      <c r="C1952" t="s">
        <v>308</v>
      </c>
      <c r="D1952">
        <v>703228</v>
      </c>
      <c r="E1952" t="s">
        <v>146</v>
      </c>
      <c r="F1952" t="s">
        <v>21</v>
      </c>
      <c r="G1952" t="s">
        <v>147</v>
      </c>
      <c r="H1952" t="s">
        <v>147</v>
      </c>
      <c r="J1952" s="20">
        <v>0</v>
      </c>
    </row>
    <row r="1953" spans="2:10" x14ac:dyDescent="0.25">
      <c r="B1953" t="s">
        <v>6</v>
      </c>
      <c r="C1953" t="s">
        <v>308</v>
      </c>
      <c r="D1953">
        <v>703229</v>
      </c>
      <c r="E1953" t="s">
        <v>148</v>
      </c>
      <c r="F1953" t="s">
        <v>21</v>
      </c>
      <c r="G1953" t="s">
        <v>147</v>
      </c>
      <c r="H1953" t="s">
        <v>147</v>
      </c>
      <c r="J1953" s="20">
        <v>0</v>
      </c>
    </row>
    <row r="1954" spans="2:10" x14ac:dyDescent="0.25">
      <c r="B1954" t="s">
        <v>6</v>
      </c>
      <c r="C1954" t="s">
        <v>308</v>
      </c>
      <c r="D1954">
        <v>703230</v>
      </c>
      <c r="E1954" t="s">
        <v>149</v>
      </c>
      <c r="F1954" t="s">
        <v>21</v>
      </c>
      <c r="G1954" t="s">
        <v>147</v>
      </c>
      <c r="H1954" t="s">
        <v>147</v>
      </c>
      <c r="J1954" s="20">
        <v>0</v>
      </c>
    </row>
    <row r="1955" spans="2:10" x14ac:dyDescent="0.25">
      <c r="B1955" t="s">
        <v>6</v>
      </c>
      <c r="C1955" t="s">
        <v>308</v>
      </c>
      <c r="D1955">
        <v>703231</v>
      </c>
      <c r="E1955" t="s">
        <v>150</v>
      </c>
      <c r="F1955" t="s">
        <v>21</v>
      </c>
      <c r="G1955" t="s">
        <v>137</v>
      </c>
      <c r="H1955" t="s">
        <v>141</v>
      </c>
      <c r="J1955" s="20">
        <v>0</v>
      </c>
    </row>
    <row r="1956" spans="2:10" x14ac:dyDescent="0.25">
      <c r="B1956" t="s">
        <v>6</v>
      </c>
      <c r="C1956" t="s">
        <v>308</v>
      </c>
      <c r="D1956">
        <v>703232</v>
      </c>
      <c r="E1956" t="s">
        <v>151</v>
      </c>
      <c r="F1956" t="s">
        <v>21</v>
      </c>
      <c r="G1956" t="s">
        <v>147</v>
      </c>
      <c r="H1956" t="s">
        <v>147</v>
      </c>
      <c r="J1956" s="20">
        <v>0</v>
      </c>
    </row>
    <row r="1957" spans="2:10" x14ac:dyDescent="0.25">
      <c r="B1957" t="s">
        <v>6</v>
      </c>
      <c r="C1957" t="s">
        <v>308</v>
      </c>
      <c r="D1957">
        <v>703233</v>
      </c>
      <c r="E1957" t="s">
        <v>152</v>
      </c>
      <c r="F1957" t="s">
        <v>21</v>
      </c>
      <c r="G1957" t="s">
        <v>71</v>
      </c>
      <c r="H1957" t="s">
        <v>153</v>
      </c>
      <c r="J1957" s="20">
        <v>0</v>
      </c>
    </row>
    <row r="1958" spans="2:10" x14ac:dyDescent="0.25">
      <c r="B1958" t="s">
        <v>6</v>
      </c>
      <c r="C1958" t="s">
        <v>308</v>
      </c>
      <c r="D1958">
        <v>703234</v>
      </c>
      <c r="E1958" t="s">
        <v>154</v>
      </c>
      <c r="F1958" t="s">
        <v>21</v>
      </c>
      <c r="G1958" t="s">
        <v>71</v>
      </c>
      <c r="H1958" t="s">
        <v>153</v>
      </c>
      <c r="J1958" s="20">
        <v>0</v>
      </c>
    </row>
    <row r="1959" spans="2:10" x14ac:dyDescent="0.25">
      <c r="B1959" t="s">
        <v>6</v>
      </c>
      <c r="C1959" t="s">
        <v>308</v>
      </c>
      <c r="D1959">
        <v>703235</v>
      </c>
      <c r="E1959" t="s">
        <v>155</v>
      </c>
      <c r="F1959" t="s">
        <v>21</v>
      </c>
      <c r="G1959" t="s">
        <v>71</v>
      </c>
      <c r="H1959" t="s">
        <v>153</v>
      </c>
      <c r="J1959" s="20">
        <v>0</v>
      </c>
    </row>
    <row r="1960" spans="2:10" x14ac:dyDescent="0.25">
      <c r="B1960" t="s">
        <v>6</v>
      </c>
      <c r="C1960" t="s">
        <v>308</v>
      </c>
      <c r="D1960">
        <v>703236</v>
      </c>
      <c r="E1960" t="s">
        <v>156</v>
      </c>
      <c r="F1960" t="s">
        <v>21</v>
      </c>
      <c r="G1960" t="s">
        <v>76</v>
      </c>
      <c r="H1960" t="s">
        <v>77</v>
      </c>
      <c r="J1960" s="20">
        <v>0</v>
      </c>
    </row>
    <row r="1961" spans="2:10" x14ac:dyDescent="0.25">
      <c r="B1961" t="s">
        <v>6</v>
      </c>
      <c r="C1961" t="s">
        <v>308</v>
      </c>
      <c r="D1961">
        <v>703237</v>
      </c>
      <c r="E1961" t="s">
        <v>157</v>
      </c>
      <c r="F1961" t="s">
        <v>21</v>
      </c>
      <c r="G1961" t="s">
        <v>22</v>
      </c>
      <c r="H1961" t="s">
        <v>23</v>
      </c>
      <c r="J1961" s="20">
        <v>0</v>
      </c>
    </row>
    <row r="1962" spans="2:10" x14ac:dyDescent="0.25">
      <c r="B1962" t="s">
        <v>6</v>
      </c>
      <c r="C1962" t="s">
        <v>308</v>
      </c>
      <c r="D1962">
        <v>703238</v>
      </c>
      <c r="E1962" t="s">
        <v>158</v>
      </c>
      <c r="F1962" t="s">
        <v>21</v>
      </c>
      <c r="G1962" t="s">
        <v>61</v>
      </c>
      <c r="H1962" t="s">
        <v>68</v>
      </c>
      <c r="J1962" s="20">
        <v>0</v>
      </c>
    </row>
    <row r="1963" spans="2:10" x14ac:dyDescent="0.25">
      <c r="B1963" t="s">
        <v>6</v>
      </c>
      <c r="C1963" t="s">
        <v>308</v>
      </c>
      <c r="D1963">
        <v>703239</v>
      </c>
      <c r="E1963" t="s">
        <v>159</v>
      </c>
      <c r="F1963" t="s">
        <v>21</v>
      </c>
      <c r="G1963" t="s">
        <v>61</v>
      </c>
      <c r="H1963" t="s">
        <v>68</v>
      </c>
      <c r="J1963" s="20">
        <v>0</v>
      </c>
    </row>
    <row r="1964" spans="2:10" x14ac:dyDescent="0.25">
      <c r="B1964" t="s">
        <v>6</v>
      </c>
      <c r="C1964" t="s">
        <v>308</v>
      </c>
      <c r="D1964">
        <v>703240</v>
      </c>
      <c r="E1964" t="s">
        <v>160</v>
      </c>
      <c r="F1964" t="s">
        <v>21</v>
      </c>
      <c r="G1964" t="s">
        <v>61</v>
      </c>
      <c r="H1964" t="s">
        <v>68</v>
      </c>
      <c r="J1964" s="20">
        <v>0</v>
      </c>
    </row>
    <row r="1965" spans="2:10" x14ac:dyDescent="0.25">
      <c r="B1965" t="s">
        <v>6</v>
      </c>
      <c r="C1965" t="s">
        <v>308</v>
      </c>
      <c r="D1965">
        <v>703241</v>
      </c>
      <c r="E1965" t="s">
        <v>161</v>
      </c>
      <c r="F1965" t="s">
        <v>21</v>
      </c>
      <c r="G1965" t="s">
        <v>137</v>
      </c>
      <c r="H1965" t="s">
        <v>141</v>
      </c>
      <c r="J1965" s="20">
        <v>0</v>
      </c>
    </row>
    <row r="1966" spans="2:10" x14ac:dyDescent="0.25">
      <c r="B1966" t="s">
        <v>6</v>
      </c>
      <c r="C1966" t="s">
        <v>308</v>
      </c>
      <c r="D1966">
        <v>703242</v>
      </c>
      <c r="E1966" t="s">
        <v>162</v>
      </c>
      <c r="F1966" t="s">
        <v>21</v>
      </c>
      <c r="G1966" t="s">
        <v>137</v>
      </c>
      <c r="H1966" t="s">
        <v>141</v>
      </c>
      <c r="J1966" s="20">
        <v>0</v>
      </c>
    </row>
    <row r="1967" spans="2:10" x14ac:dyDescent="0.25">
      <c r="B1967" t="s">
        <v>6</v>
      </c>
      <c r="C1967" t="s">
        <v>308</v>
      </c>
      <c r="D1967">
        <v>703243</v>
      </c>
      <c r="E1967" t="s">
        <v>163</v>
      </c>
      <c r="F1967" t="s">
        <v>21</v>
      </c>
      <c r="G1967" t="s">
        <v>137</v>
      </c>
      <c r="H1967" t="s">
        <v>141</v>
      </c>
      <c r="J1967" s="20">
        <v>0</v>
      </c>
    </row>
    <row r="1968" spans="2:10" x14ac:dyDescent="0.25">
      <c r="B1968" t="s">
        <v>6</v>
      </c>
      <c r="C1968" t="s">
        <v>308</v>
      </c>
      <c r="D1968">
        <v>703244</v>
      </c>
      <c r="E1968" t="s">
        <v>164</v>
      </c>
      <c r="F1968" t="s">
        <v>21</v>
      </c>
      <c r="G1968" t="s">
        <v>71</v>
      </c>
      <c r="H1968" t="s">
        <v>88</v>
      </c>
      <c r="J1968" s="20">
        <v>0</v>
      </c>
    </row>
    <row r="1969" spans="2:10" x14ac:dyDescent="0.25">
      <c r="B1969" t="s">
        <v>6</v>
      </c>
      <c r="C1969" t="s">
        <v>308</v>
      </c>
      <c r="D1969">
        <v>703245</v>
      </c>
      <c r="E1969" t="s">
        <v>165</v>
      </c>
      <c r="F1969" t="s">
        <v>21</v>
      </c>
      <c r="G1969" t="s">
        <v>137</v>
      </c>
      <c r="H1969" t="s">
        <v>138</v>
      </c>
      <c r="J1969" s="20">
        <v>0</v>
      </c>
    </row>
    <row r="1970" spans="2:10" x14ac:dyDescent="0.25">
      <c r="B1970" t="s">
        <v>6</v>
      </c>
      <c r="C1970" t="s">
        <v>308</v>
      </c>
      <c r="D1970">
        <v>703246</v>
      </c>
      <c r="E1970" t="s">
        <v>166</v>
      </c>
      <c r="F1970" t="s">
        <v>21</v>
      </c>
      <c r="G1970" t="s">
        <v>137</v>
      </c>
      <c r="H1970" t="s">
        <v>138</v>
      </c>
      <c r="J1970" s="20">
        <v>0</v>
      </c>
    </row>
    <row r="1971" spans="2:10" x14ac:dyDescent="0.25">
      <c r="B1971" t="s">
        <v>6</v>
      </c>
      <c r="C1971" t="s">
        <v>308</v>
      </c>
      <c r="D1971">
        <v>703247</v>
      </c>
      <c r="E1971" t="s">
        <v>167</v>
      </c>
      <c r="F1971" t="s">
        <v>21</v>
      </c>
      <c r="G1971" t="s">
        <v>137</v>
      </c>
      <c r="H1971" t="s">
        <v>138</v>
      </c>
      <c r="J1971" s="20">
        <v>0</v>
      </c>
    </row>
    <row r="1972" spans="2:10" x14ac:dyDescent="0.25">
      <c r="B1972" t="s">
        <v>6</v>
      </c>
      <c r="C1972" t="s">
        <v>308</v>
      </c>
      <c r="D1972">
        <v>703248</v>
      </c>
      <c r="E1972" t="s">
        <v>168</v>
      </c>
      <c r="F1972" t="s">
        <v>21</v>
      </c>
      <c r="G1972" t="s">
        <v>137</v>
      </c>
      <c r="H1972" t="s">
        <v>141</v>
      </c>
      <c r="J1972" s="20">
        <v>0</v>
      </c>
    </row>
    <row r="1973" spans="2:10" x14ac:dyDescent="0.25">
      <c r="B1973" t="s">
        <v>6</v>
      </c>
      <c r="C1973" t="s">
        <v>308</v>
      </c>
      <c r="D1973">
        <v>703249</v>
      </c>
      <c r="E1973" t="s">
        <v>169</v>
      </c>
      <c r="F1973" t="s">
        <v>21</v>
      </c>
      <c r="G1973" t="s">
        <v>147</v>
      </c>
      <c r="H1973" t="s">
        <v>147</v>
      </c>
      <c r="J1973" s="20">
        <v>0</v>
      </c>
    </row>
    <row r="1974" spans="2:10" x14ac:dyDescent="0.25">
      <c r="B1974" t="s">
        <v>6</v>
      </c>
      <c r="C1974" t="s">
        <v>308</v>
      </c>
      <c r="D1974">
        <v>703250</v>
      </c>
      <c r="E1974" t="s">
        <v>170</v>
      </c>
      <c r="F1974" t="s">
        <v>21</v>
      </c>
      <c r="G1974" t="s">
        <v>71</v>
      </c>
      <c r="H1974" t="s">
        <v>171</v>
      </c>
      <c r="J1974" s="20">
        <v>0</v>
      </c>
    </row>
    <row r="1975" spans="2:10" x14ac:dyDescent="0.25">
      <c r="B1975" t="s">
        <v>6</v>
      </c>
      <c r="C1975" t="s">
        <v>308</v>
      </c>
      <c r="D1975">
        <v>703251</v>
      </c>
      <c r="E1975" t="s">
        <v>172</v>
      </c>
      <c r="F1975" t="s">
        <v>21</v>
      </c>
      <c r="G1975" t="s">
        <v>22</v>
      </c>
      <c r="H1975" t="s">
        <v>115</v>
      </c>
      <c r="J1975" s="20">
        <v>0</v>
      </c>
    </row>
    <row r="1976" spans="2:10" x14ac:dyDescent="0.25">
      <c r="B1976" t="s">
        <v>6</v>
      </c>
      <c r="C1976" t="s">
        <v>308</v>
      </c>
      <c r="D1976">
        <v>703252</v>
      </c>
      <c r="E1976" t="s">
        <v>173</v>
      </c>
      <c r="F1976" t="s">
        <v>21</v>
      </c>
      <c r="G1976" t="s">
        <v>22</v>
      </c>
      <c r="H1976" t="s">
        <v>115</v>
      </c>
      <c r="J1976" s="20">
        <v>0</v>
      </c>
    </row>
    <row r="1977" spans="2:10" x14ac:dyDescent="0.25">
      <c r="B1977" t="s">
        <v>6</v>
      </c>
      <c r="C1977" t="s">
        <v>308</v>
      </c>
      <c r="D1977">
        <v>703253</v>
      </c>
      <c r="E1977" t="s">
        <v>174</v>
      </c>
      <c r="F1977" t="s">
        <v>21</v>
      </c>
      <c r="G1977" t="s">
        <v>22</v>
      </c>
      <c r="H1977" t="s">
        <v>115</v>
      </c>
      <c r="J1977" s="20">
        <v>0</v>
      </c>
    </row>
    <row r="1978" spans="2:10" x14ac:dyDescent="0.25">
      <c r="B1978" t="s">
        <v>6</v>
      </c>
      <c r="C1978" t="s">
        <v>308</v>
      </c>
      <c r="D1978">
        <v>703254</v>
      </c>
      <c r="E1978" t="s">
        <v>175</v>
      </c>
      <c r="F1978" t="s">
        <v>21</v>
      </c>
      <c r="G1978" t="s">
        <v>22</v>
      </c>
      <c r="H1978" t="s">
        <v>115</v>
      </c>
      <c r="J1978" s="20">
        <v>0</v>
      </c>
    </row>
    <row r="1979" spans="2:10" x14ac:dyDescent="0.25">
      <c r="B1979" t="s">
        <v>6</v>
      </c>
      <c r="C1979" t="s">
        <v>308</v>
      </c>
      <c r="D1979">
        <v>703255</v>
      </c>
      <c r="E1979" t="s">
        <v>176</v>
      </c>
      <c r="F1979" t="s">
        <v>21</v>
      </c>
      <c r="G1979" t="s">
        <v>22</v>
      </c>
      <c r="H1979" t="s">
        <v>115</v>
      </c>
      <c r="J1979" s="20">
        <v>0</v>
      </c>
    </row>
    <row r="1980" spans="2:10" x14ac:dyDescent="0.25">
      <c r="B1980" t="s">
        <v>6</v>
      </c>
      <c r="C1980" t="s">
        <v>308</v>
      </c>
      <c r="D1980">
        <v>703257</v>
      </c>
      <c r="E1980" t="s">
        <v>177</v>
      </c>
      <c r="F1980" t="s">
        <v>21</v>
      </c>
      <c r="G1980" t="s">
        <v>147</v>
      </c>
      <c r="H1980" t="s">
        <v>147</v>
      </c>
      <c r="J1980" s="20">
        <v>0</v>
      </c>
    </row>
    <row r="1981" spans="2:10" x14ac:dyDescent="0.25">
      <c r="B1981" t="s">
        <v>6</v>
      </c>
      <c r="C1981" t="s">
        <v>308</v>
      </c>
      <c r="D1981">
        <v>703258</v>
      </c>
      <c r="E1981" t="s">
        <v>178</v>
      </c>
      <c r="F1981" t="s">
        <v>21</v>
      </c>
      <c r="G1981" t="s">
        <v>147</v>
      </c>
      <c r="H1981" t="s">
        <v>147</v>
      </c>
      <c r="J1981" s="20">
        <v>0</v>
      </c>
    </row>
    <row r="1982" spans="2:10" x14ac:dyDescent="0.25">
      <c r="B1982" t="s">
        <v>6</v>
      </c>
      <c r="C1982" t="s">
        <v>308</v>
      </c>
      <c r="D1982">
        <v>703260</v>
      </c>
      <c r="E1982" t="s">
        <v>179</v>
      </c>
      <c r="F1982" t="s">
        <v>21</v>
      </c>
      <c r="G1982" t="s">
        <v>76</v>
      </c>
      <c r="H1982" t="s">
        <v>77</v>
      </c>
      <c r="J1982" s="20">
        <v>0</v>
      </c>
    </row>
    <row r="1983" spans="2:10" x14ac:dyDescent="0.25">
      <c r="B1983" t="s">
        <v>6</v>
      </c>
      <c r="C1983" t="s">
        <v>308</v>
      </c>
      <c r="D1983">
        <v>703261</v>
      </c>
      <c r="E1983" t="s">
        <v>180</v>
      </c>
      <c r="F1983" t="s">
        <v>21</v>
      </c>
      <c r="G1983" t="s">
        <v>22</v>
      </c>
      <c r="H1983" t="s">
        <v>115</v>
      </c>
      <c r="J1983" s="20">
        <v>0</v>
      </c>
    </row>
    <row r="1984" spans="2:10" x14ac:dyDescent="0.25">
      <c r="B1984" t="s">
        <v>6</v>
      </c>
      <c r="C1984" t="s">
        <v>308</v>
      </c>
      <c r="D1984">
        <v>703262</v>
      </c>
      <c r="E1984" t="s">
        <v>181</v>
      </c>
      <c r="F1984" t="s">
        <v>21</v>
      </c>
      <c r="G1984" t="s">
        <v>22</v>
      </c>
      <c r="H1984" t="s">
        <v>23</v>
      </c>
      <c r="J1984" s="20">
        <v>0</v>
      </c>
    </row>
    <row r="1985" spans="2:10" x14ac:dyDescent="0.25">
      <c r="B1985" t="s">
        <v>6</v>
      </c>
      <c r="C1985" t="s">
        <v>308</v>
      </c>
      <c r="D1985">
        <v>703263</v>
      </c>
      <c r="E1985" t="s">
        <v>182</v>
      </c>
      <c r="F1985" t="s">
        <v>21</v>
      </c>
      <c r="G1985" t="s">
        <v>22</v>
      </c>
      <c r="H1985" t="s">
        <v>115</v>
      </c>
      <c r="J1985" s="20">
        <v>0</v>
      </c>
    </row>
    <row r="1986" spans="2:10" x14ac:dyDescent="0.25">
      <c r="B1986" t="s">
        <v>6</v>
      </c>
      <c r="C1986" t="s">
        <v>308</v>
      </c>
      <c r="D1986">
        <v>703264</v>
      </c>
      <c r="E1986" t="s">
        <v>183</v>
      </c>
      <c r="F1986" t="s">
        <v>21</v>
      </c>
      <c r="G1986" t="s">
        <v>22</v>
      </c>
      <c r="H1986" t="s">
        <v>115</v>
      </c>
      <c r="J1986" s="20">
        <v>0</v>
      </c>
    </row>
    <row r="1987" spans="2:10" x14ac:dyDescent="0.25">
      <c r="B1987" t="s">
        <v>6</v>
      </c>
      <c r="C1987" t="s">
        <v>308</v>
      </c>
      <c r="D1987">
        <v>703265</v>
      </c>
      <c r="E1987" t="s">
        <v>184</v>
      </c>
      <c r="F1987" t="s">
        <v>21</v>
      </c>
      <c r="G1987" t="s">
        <v>22</v>
      </c>
      <c r="H1987" t="s">
        <v>115</v>
      </c>
      <c r="J1987" s="20">
        <v>0</v>
      </c>
    </row>
    <row r="1988" spans="2:10" x14ac:dyDescent="0.25">
      <c r="B1988" t="s">
        <v>6</v>
      </c>
      <c r="C1988" t="s">
        <v>308</v>
      </c>
      <c r="D1988">
        <v>703266</v>
      </c>
      <c r="E1988" t="s">
        <v>185</v>
      </c>
      <c r="F1988" t="s">
        <v>21</v>
      </c>
      <c r="G1988" t="s">
        <v>71</v>
      </c>
      <c r="H1988" t="s">
        <v>186</v>
      </c>
      <c r="J1988" s="20">
        <v>0</v>
      </c>
    </row>
    <row r="1989" spans="2:10" x14ac:dyDescent="0.25">
      <c r="B1989" t="s">
        <v>6</v>
      </c>
      <c r="C1989" t="s">
        <v>308</v>
      </c>
      <c r="D1989">
        <v>703267</v>
      </c>
      <c r="E1989" t="s">
        <v>187</v>
      </c>
      <c r="F1989" t="s">
        <v>21</v>
      </c>
      <c r="G1989" t="s">
        <v>71</v>
      </c>
      <c r="H1989" t="s">
        <v>88</v>
      </c>
      <c r="J1989" s="20">
        <v>0</v>
      </c>
    </row>
    <row r="1990" spans="2:10" x14ac:dyDescent="0.25">
      <c r="B1990" t="s">
        <v>6</v>
      </c>
      <c r="C1990" t="s">
        <v>308</v>
      </c>
      <c r="D1990">
        <v>703268</v>
      </c>
      <c r="E1990" t="s">
        <v>188</v>
      </c>
      <c r="F1990" t="s">
        <v>21</v>
      </c>
      <c r="G1990" t="s">
        <v>147</v>
      </c>
      <c r="H1990" t="s">
        <v>147</v>
      </c>
      <c r="J1990" s="20">
        <v>0</v>
      </c>
    </row>
    <row r="1991" spans="2:10" x14ac:dyDescent="0.25">
      <c r="B1991" t="s">
        <v>6</v>
      </c>
      <c r="C1991" t="s">
        <v>308</v>
      </c>
      <c r="D1991">
        <v>703269</v>
      </c>
      <c r="E1991" t="s">
        <v>189</v>
      </c>
      <c r="F1991" t="s">
        <v>21</v>
      </c>
      <c r="G1991" t="s">
        <v>147</v>
      </c>
      <c r="H1991" t="s">
        <v>147</v>
      </c>
      <c r="J1991" s="20">
        <v>0</v>
      </c>
    </row>
    <row r="1992" spans="2:10" x14ac:dyDescent="0.25">
      <c r="B1992" t="s">
        <v>6</v>
      </c>
      <c r="C1992" t="s">
        <v>308</v>
      </c>
      <c r="D1992">
        <v>703270</v>
      </c>
      <c r="E1992" t="s">
        <v>190</v>
      </c>
      <c r="F1992" t="s">
        <v>21</v>
      </c>
      <c r="G1992" t="s">
        <v>137</v>
      </c>
      <c r="H1992" t="s">
        <v>141</v>
      </c>
      <c r="J1992" s="20">
        <v>0</v>
      </c>
    </row>
    <row r="1993" spans="2:10" x14ac:dyDescent="0.25">
      <c r="B1993" t="s">
        <v>6</v>
      </c>
      <c r="C1993" t="s">
        <v>308</v>
      </c>
      <c r="D1993">
        <v>703271</v>
      </c>
      <c r="E1993" t="s">
        <v>191</v>
      </c>
      <c r="F1993" t="s">
        <v>21</v>
      </c>
      <c r="G1993" t="s">
        <v>22</v>
      </c>
      <c r="H1993" t="s">
        <v>115</v>
      </c>
      <c r="J1993" s="20">
        <v>0</v>
      </c>
    </row>
    <row r="1994" spans="2:10" x14ac:dyDescent="0.25">
      <c r="B1994" t="s">
        <v>6</v>
      </c>
      <c r="C1994" t="s">
        <v>308</v>
      </c>
      <c r="D1994">
        <v>703272</v>
      </c>
      <c r="E1994" t="s">
        <v>192</v>
      </c>
      <c r="F1994" t="s">
        <v>21</v>
      </c>
      <c r="G1994" t="s">
        <v>22</v>
      </c>
      <c r="H1994" t="s">
        <v>23</v>
      </c>
      <c r="J1994" s="20">
        <v>0</v>
      </c>
    </row>
    <row r="1995" spans="2:10" x14ac:dyDescent="0.25">
      <c r="B1995" t="s">
        <v>6</v>
      </c>
      <c r="C1995" t="s">
        <v>308</v>
      </c>
      <c r="D1995">
        <v>703273</v>
      </c>
      <c r="E1995" t="s">
        <v>193</v>
      </c>
      <c r="F1995" t="s">
        <v>21</v>
      </c>
      <c r="G1995" t="s">
        <v>147</v>
      </c>
      <c r="H1995" t="s">
        <v>147</v>
      </c>
      <c r="J1995" s="20">
        <v>0</v>
      </c>
    </row>
    <row r="1996" spans="2:10" x14ac:dyDescent="0.25">
      <c r="B1996" t="s">
        <v>6</v>
      </c>
      <c r="C1996" t="s">
        <v>308</v>
      </c>
      <c r="D1996">
        <v>703274</v>
      </c>
      <c r="E1996" t="s">
        <v>194</v>
      </c>
      <c r="F1996" t="s">
        <v>21</v>
      </c>
      <c r="G1996" t="s">
        <v>147</v>
      </c>
      <c r="H1996" t="s">
        <v>147</v>
      </c>
      <c r="J1996" s="20">
        <v>0</v>
      </c>
    </row>
    <row r="1997" spans="2:10" x14ac:dyDescent="0.25">
      <c r="B1997" t="s">
        <v>6</v>
      </c>
      <c r="C1997" t="s">
        <v>308</v>
      </c>
      <c r="D1997">
        <v>703275</v>
      </c>
      <c r="E1997" t="s">
        <v>195</v>
      </c>
      <c r="F1997" t="s">
        <v>21</v>
      </c>
      <c r="G1997" t="s">
        <v>137</v>
      </c>
      <c r="H1997" t="s">
        <v>138</v>
      </c>
      <c r="J1997" s="20">
        <v>0</v>
      </c>
    </row>
    <row r="1998" spans="2:10" x14ac:dyDescent="0.25">
      <c r="B1998" t="s">
        <v>6</v>
      </c>
      <c r="C1998" t="s">
        <v>308</v>
      </c>
      <c r="D1998">
        <v>703280</v>
      </c>
      <c r="E1998" t="s">
        <v>196</v>
      </c>
      <c r="F1998" t="s">
        <v>21</v>
      </c>
      <c r="G1998" t="s">
        <v>71</v>
      </c>
      <c r="H1998" t="s">
        <v>171</v>
      </c>
      <c r="J1998" s="20">
        <v>0</v>
      </c>
    </row>
    <row r="1999" spans="2:10" x14ac:dyDescent="0.25">
      <c r="B1999" t="s">
        <v>6</v>
      </c>
      <c r="C1999" t="s">
        <v>308</v>
      </c>
      <c r="D1999">
        <v>703281</v>
      </c>
      <c r="E1999" t="s">
        <v>197</v>
      </c>
      <c r="F1999" t="s">
        <v>21</v>
      </c>
      <c r="G1999" t="s">
        <v>76</v>
      </c>
      <c r="H1999" t="s">
        <v>77</v>
      </c>
      <c r="J1999" s="20">
        <v>0</v>
      </c>
    </row>
    <row r="2000" spans="2:10" x14ac:dyDescent="0.25">
      <c r="B2000" t="s">
        <v>6</v>
      </c>
      <c r="C2000" t="s">
        <v>308</v>
      </c>
      <c r="D2000">
        <v>703282</v>
      </c>
      <c r="E2000" t="s">
        <v>198</v>
      </c>
      <c r="F2000" t="s">
        <v>21</v>
      </c>
      <c r="G2000" t="s">
        <v>76</v>
      </c>
      <c r="H2000" t="s">
        <v>77</v>
      </c>
      <c r="J2000" s="20">
        <v>0</v>
      </c>
    </row>
    <row r="2001" spans="2:10" x14ac:dyDescent="0.25">
      <c r="B2001" t="s">
        <v>6</v>
      </c>
      <c r="C2001" t="s">
        <v>308</v>
      </c>
      <c r="D2001">
        <v>703283</v>
      </c>
      <c r="E2001" t="s">
        <v>199</v>
      </c>
      <c r="F2001" t="s">
        <v>21</v>
      </c>
      <c r="G2001" t="s">
        <v>61</v>
      </c>
      <c r="H2001" t="s">
        <v>68</v>
      </c>
      <c r="J2001" s="20">
        <v>0</v>
      </c>
    </row>
    <row r="2002" spans="2:10" x14ac:dyDescent="0.25">
      <c r="B2002" t="s">
        <v>6</v>
      </c>
      <c r="C2002" t="s">
        <v>308</v>
      </c>
      <c r="D2002">
        <v>703310</v>
      </c>
      <c r="E2002" t="s">
        <v>200</v>
      </c>
      <c r="F2002" t="s">
        <v>21</v>
      </c>
      <c r="G2002" t="s">
        <v>22</v>
      </c>
      <c r="H2002" t="s">
        <v>23</v>
      </c>
      <c r="J2002" s="20">
        <v>0</v>
      </c>
    </row>
    <row r="2003" spans="2:10" x14ac:dyDescent="0.25">
      <c r="B2003" t="s">
        <v>6</v>
      </c>
      <c r="C2003" t="s">
        <v>308</v>
      </c>
      <c r="D2003">
        <v>703311</v>
      </c>
      <c r="E2003" t="s">
        <v>201</v>
      </c>
      <c r="F2003" t="s">
        <v>21</v>
      </c>
      <c r="G2003" t="s">
        <v>71</v>
      </c>
      <c r="H2003" t="s">
        <v>171</v>
      </c>
      <c r="J2003" s="20">
        <v>0</v>
      </c>
    </row>
    <row r="2004" spans="2:10" x14ac:dyDescent="0.25">
      <c r="B2004" t="s">
        <v>6</v>
      </c>
      <c r="C2004" t="s">
        <v>308</v>
      </c>
      <c r="D2004">
        <v>703312</v>
      </c>
      <c r="E2004" t="s">
        <v>202</v>
      </c>
      <c r="F2004" t="s">
        <v>21</v>
      </c>
      <c r="G2004" t="s">
        <v>76</v>
      </c>
      <c r="H2004" t="s">
        <v>77</v>
      </c>
      <c r="J2004" s="20">
        <v>0</v>
      </c>
    </row>
    <row r="2005" spans="2:10" x14ac:dyDescent="0.25">
      <c r="B2005" t="s">
        <v>6</v>
      </c>
      <c r="C2005" t="s">
        <v>308</v>
      </c>
      <c r="D2005">
        <v>703313</v>
      </c>
      <c r="E2005" t="s">
        <v>203</v>
      </c>
      <c r="F2005" t="s">
        <v>21</v>
      </c>
      <c r="G2005" t="s">
        <v>76</v>
      </c>
      <c r="H2005" t="s">
        <v>77</v>
      </c>
      <c r="J2005" s="20">
        <v>0</v>
      </c>
    </row>
    <row r="2006" spans="2:10" x14ac:dyDescent="0.25">
      <c r="B2006" t="s">
        <v>6</v>
      </c>
      <c r="C2006" t="s">
        <v>308</v>
      </c>
      <c r="D2006">
        <v>703314</v>
      </c>
      <c r="E2006" t="s">
        <v>204</v>
      </c>
      <c r="F2006" t="s">
        <v>21</v>
      </c>
      <c r="G2006" t="s">
        <v>76</v>
      </c>
      <c r="H2006" t="s">
        <v>77</v>
      </c>
      <c r="J2006" s="20">
        <v>0</v>
      </c>
    </row>
    <row r="2007" spans="2:10" x14ac:dyDescent="0.25">
      <c r="B2007" t="s">
        <v>6</v>
      </c>
      <c r="C2007" t="s">
        <v>308</v>
      </c>
      <c r="D2007">
        <v>703315</v>
      </c>
      <c r="E2007" t="s">
        <v>205</v>
      </c>
      <c r="F2007" t="s">
        <v>21</v>
      </c>
      <c r="G2007" t="s">
        <v>76</v>
      </c>
      <c r="H2007" t="s">
        <v>135</v>
      </c>
      <c r="J2007" s="20">
        <v>0</v>
      </c>
    </row>
    <row r="2008" spans="2:10" x14ac:dyDescent="0.25">
      <c r="B2008" t="s">
        <v>6</v>
      </c>
      <c r="C2008" t="s">
        <v>308</v>
      </c>
      <c r="D2008">
        <v>703316</v>
      </c>
      <c r="E2008" t="s">
        <v>206</v>
      </c>
      <c r="F2008" t="s">
        <v>21</v>
      </c>
      <c r="G2008" t="s">
        <v>76</v>
      </c>
      <c r="H2008" t="s">
        <v>77</v>
      </c>
      <c r="J2008" s="20">
        <v>0</v>
      </c>
    </row>
    <row r="2009" spans="2:10" x14ac:dyDescent="0.25">
      <c r="B2009" t="s">
        <v>6</v>
      </c>
      <c r="C2009" t="s">
        <v>308</v>
      </c>
      <c r="D2009">
        <v>703317</v>
      </c>
      <c r="E2009" t="s">
        <v>207</v>
      </c>
      <c r="F2009" t="s">
        <v>21</v>
      </c>
      <c r="G2009" t="s">
        <v>76</v>
      </c>
      <c r="H2009" t="s">
        <v>77</v>
      </c>
      <c r="J2009" s="20">
        <v>0</v>
      </c>
    </row>
    <row r="2010" spans="2:10" x14ac:dyDescent="0.25">
      <c r="B2010" t="s">
        <v>6</v>
      </c>
      <c r="C2010" t="s">
        <v>308</v>
      </c>
      <c r="D2010">
        <v>703318</v>
      </c>
      <c r="E2010" t="s">
        <v>208</v>
      </c>
      <c r="F2010" t="s">
        <v>21</v>
      </c>
      <c r="G2010" t="s">
        <v>71</v>
      </c>
      <c r="H2010" t="s">
        <v>209</v>
      </c>
      <c r="J2010" s="20">
        <v>0</v>
      </c>
    </row>
    <row r="2011" spans="2:10" x14ac:dyDescent="0.25">
      <c r="B2011" t="s">
        <v>6</v>
      </c>
      <c r="C2011" t="s">
        <v>308</v>
      </c>
      <c r="D2011">
        <v>703319</v>
      </c>
      <c r="E2011" t="s">
        <v>210</v>
      </c>
      <c r="F2011" t="s">
        <v>21</v>
      </c>
      <c r="G2011" t="s">
        <v>61</v>
      </c>
      <c r="H2011" t="s">
        <v>79</v>
      </c>
      <c r="J2011" s="20">
        <v>0</v>
      </c>
    </row>
    <row r="2012" spans="2:10" x14ac:dyDescent="0.25">
      <c r="B2012" t="s">
        <v>6</v>
      </c>
      <c r="C2012" t="s">
        <v>308</v>
      </c>
      <c r="D2012">
        <v>703320</v>
      </c>
      <c r="E2012" t="s">
        <v>211</v>
      </c>
      <c r="F2012" t="s">
        <v>21</v>
      </c>
      <c r="G2012" t="s">
        <v>71</v>
      </c>
      <c r="H2012" t="s">
        <v>135</v>
      </c>
      <c r="J2012" s="20">
        <v>0</v>
      </c>
    </row>
    <row r="2013" spans="2:10" x14ac:dyDescent="0.25">
      <c r="B2013" t="s">
        <v>6</v>
      </c>
      <c r="C2013" t="s">
        <v>308</v>
      </c>
      <c r="D2013">
        <v>703321</v>
      </c>
      <c r="E2013" t="s">
        <v>212</v>
      </c>
      <c r="F2013" t="s">
        <v>21</v>
      </c>
      <c r="G2013" t="s">
        <v>22</v>
      </c>
      <c r="H2013" t="s">
        <v>23</v>
      </c>
      <c r="J2013" s="20">
        <v>0</v>
      </c>
    </row>
    <row r="2014" spans="2:10" x14ac:dyDescent="0.25">
      <c r="B2014" t="s">
        <v>6</v>
      </c>
      <c r="C2014" t="s">
        <v>308</v>
      </c>
      <c r="D2014">
        <v>703322</v>
      </c>
      <c r="E2014" t="s">
        <v>213</v>
      </c>
      <c r="F2014" t="s">
        <v>21</v>
      </c>
      <c r="G2014" t="s">
        <v>22</v>
      </c>
      <c r="H2014" t="s">
        <v>23</v>
      </c>
      <c r="J2014" s="20">
        <v>0</v>
      </c>
    </row>
    <row r="2015" spans="2:10" x14ac:dyDescent="0.25">
      <c r="B2015" t="s">
        <v>6</v>
      </c>
      <c r="C2015" t="s">
        <v>308</v>
      </c>
      <c r="D2015">
        <v>703323</v>
      </c>
      <c r="E2015" t="s">
        <v>214</v>
      </c>
      <c r="F2015" t="s">
        <v>21</v>
      </c>
      <c r="G2015" t="s">
        <v>22</v>
      </c>
      <c r="H2015" t="s">
        <v>23</v>
      </c>
      <c r="J2015" s="20">
        <v>0</v>
      </c>
    </row>
    <row r="2016" spans="2:10" x14ac:dyDescent="0.25">
      <c r="B2016" t="s">
        <v>6</v>
      </c>
      <c r="C2016" t="s">
        <v>308</v>
      </c>
      <c r="D2016">
        <v>703324</v>
      </c>
      <c r="E2016" t="s">
        <v>215</v>
      </c>
      <c r="F2016" t="s">
        <v>21</v>
      </c>
      <c r="G2016" t="s">
        <v>22</v>
      </c>
      <c r="H2016" t="s">
        <v>23</v>
      </c>
      <c r="J2016" s="20">
        <v>0</v>
      </c>
    </row>
    <row r="2017" spans="2:10" x14ac:dyDescent="0.25">
      <c r="B2017" t="s">
        <v>6</v>
      </c>
      <c r="C2017" t="s">
        <v>308</v>
      </c>
      <c r="D2017">
        <v>703325</v>
      </c>
      <c r="E2017" t="s">
        <v>216</v>
      </c>
      <c r="F2017" t="s">
        <v>21</v>
      </c>
      <c r="G2017" t="s">
        <v>22</v>
      </c>
      <c r="H2017" t="s">
        <v>23</v>
      </c>
      <c r="J2017" s="20">
        <v>0</v>
      </c>
    </row>
    <row r="2018" spans="2:10" x14ac:dyDescent="0.25">
      <c r="B2018" t="s">
        <v>6</v>
      </c>
      <c r="C2018" t="s">
        <v>308</v>
      </c>
      <c r="D2018">
        <v>703326</v>
      </c>
      <c r="E2018" t="s">
        <v>217</v>
      </c>
      <c r="F2018" t="s">
        <v>21</v>
      </c>
      <c r="G2018" t="s">
        <v>22</v>
      </c>
      <c r="H2018" t="s">
        <v>23</v>
      </c>
      <c r="J2018" s="20">
        <v>0</v>
      </c>
    </row>
    <row r="2019" spans="2:10" x14ac:dyDescent="0.25">
      <c r="B2019" t="s">
        <v>6</v>
      </c>
      <c r="C2019" t="s">
        <v>308</v>
      </c>
      <c r="D2019">
        <v>703327</v>
      </c>
      <c r="E2019" t="s">
        <v>218</v>
      </c>
      <c r="F2019" t="s">
        <v>21</v>
      </c>
      <c r="G2019" t="s">
        <v>76</v>
      </c>
      <c r="H2019" t="s">
        <v>77</v>
      </c>
      <c r="J2019" s="20">
        <v>0</v>
      </c>
    </row>
    <row r="2020" spans="2:10" x14ac:dyDescent="0.25">
      <c r="B2020" t="s">
        <v>6</v>
      </c>
      <c r="C2020" t="s">
        <v>308</v>
      </c>
      <c r="D2020">
        <v>703328</v>
      </c>
      <c r="E2020" t="s">
        <v>219</v>
      </c>
      <c r="F2020" t="s">
        <v>21</v>
      </c>
      <c r="G2020" t="s">
        <v>22</v>
      </c>
      <c r="H2020" t="s">
        <v>23</v>
      </c>
      <c r="J2020" s="20">
        <v>0</v>
      </c>
    </row>
    <row r="2021" spans="2:10" x14ac:dyDescent="0.25">
      <c r="B2021" t="s">
        <v>6</v>
      </c>
      <c r="C2021" t="s">
        <v>308</v>
      </c>
      <c r="D2021">
        <v>703329</v>
      </c>
      <c r="E2021" t="s">
        <v>220</v>
      </c>
      <c r="F2021" t="s">
        <v>21</v>
      </c>
      <c r="G2021" t="s">
        <v>22</v>
      </c>
      <c r="H2021" t="s">
        <v>23</v>
      </c>
      <c r="J2021" s="20">
        <v>0</v>
      </c>
    </row>
    <row r="2022" spans="2:10" x14ac:dyDescent="0.25">
      <c r="B2022" t="s">
        <v>6</v>
      </c>
      <c r="C2022" t="s">
        <v>308</v>
      </c>
      <c r="D2022">
        <v>703330</v>
      </c>
      <c r="E2022" t="s">
        <v>221</v>
      </c>
      <c r="F2022" t="s">
        <v>21</v>
      </c>
      <c r="G2022" t="s">
        <v>22</v>
      </c>
      <c r="H2022" t="s">
        <v>23</v>
      </c>
      <c r="J2022" s="20">
        <v>0</v>
      </c>
    </row>
    <row r="2023" spans="2:10" x14ac:dyDescent="0.25">
      <c r="B2023" t="s">
        <v>6</v>
      </c>
      <c r="C2023" t="s">
        <v>308</v>
      </c>
      <c r="D2023">
        <v>703340</v>
      </c>
      <c r="E2023" t="s">
        <v>222</v>
      </c>
      <c r="F2023" t="s">
        <v>21</v>
      </c>
      <c r="G2023" t="s">
        <v>61</v>
      </c>
      <c r="H2023" t="s">
        <v>68</v>
      </c>
      <c r="J2023" s="20">
        <v>0</v>
      </c>
    </row>
    <row r="2024" spans="2:10" x14ac:dyDescent="0.25">
      <c r="B2024" t="s">
        <v>6</v>
      </c>
      <c r="C2024" t="s">
        <v>308</v>
      </c>
      <c r="D2024">
        <v>703350</v>
      </c>
      <c r="E2024" t="s">
        <v>223</v>
      </c>
      <c r="F2024" t="s">
        <v>21</v>
      </c>
      <c r="G2024" t="s">
        <v>22</v>
      </c>
      <c r="H2024" t="s">
        <v>23</v>
      </c>
      <c r="J2024" s="20">
        <v>0</v>
      </c>
    </row>
    <row r="2025" spans="2:10" x14ac:dyDescent="0.25">
      <c r="B2025" t="s">
        <v>6</v>
      </c>
      <c r="C2025" t="s">
        <v>308</v>
      </c>
      <c r="D2025">
        <v>703351</v>
      </c>
      <c r="E2025" t="s">
        <v>224</v>
      </c>
      <c r="F2025" t="s">
        <v>21</v>
      </c>
      <c r="G2025" t="s">
        <v>22</v>
      </c>
      <c r="H2025" t="s">
        <v>23</v>
      </c>
      <c r="J2025" s="20">
        <v>0</v>
      </c>
    </row>
    <row r="2026" spans="2:10" x14ac:dyDescent="0.25">
      <c r="B2026" t="s">
        <v>6</v>
      </c>
      <c r="C2026" t="s">
        <v>308</v>
      </c>
      <c r="D2026">
        <v>703352</v>
      </c>
      <c r="E2026" t="s">
        <v>225</v>
      </c>
      <c r="F2026" t="s">
        <v>21</v>
      </c>
      <c r="G2026" t="s">
        <v>22</v>
      </c>
      <c r="H2026" t="s">
        <v>23</v>
      </c>
      <c r="J2026" s="20">
        <v>0</v>
      </c>
    </row>
    <row r="2027" spans="2:10" x14ac:dyDescent="0.25">
      <c r="B2027" t="s">
        <v>6</v>
      </c>
      <c r="C2027" t="s">
        <v>308</v>
      </c>
      <c r="D2027">
        <v>703360</v>
      </c>
      <c r="E2027" t="s">
        <v>226</v>
      </c>
      <c r="F2027" t="s">
        <v>21</v>
      </c>
      <c r="G2027" t="s">
        <v>22</v>
      </c>
      <c r="H2027" t="s">
        <v>23</v>
      </c>
      <c r="J2027" s="20">
        <v>0</v>
      </c>
    </row>
    <row r="2028" spans="2:10" x14ac:dyDescent="0.25">
      <c r="B2028" t="s">
        <v>6</v>
      </c>
      <c r="C2028" t="s">
        <v>308</v>
      </c>
      <c r="D2028">
        <v>703370</v>
      </c>
      <c r="E2028" t="s">
        <v>227</v>
      </c>
      <c r="F2028" t="s">
        <v>21</v>
      </c>
      <c r="G2028" t="s">
        <v>22</v>
      </c>
      <c r="H2028" t="s">
        <v>23</v>
      </c>
      <c r="J2028" s="20">
        <v>0</v>
      </c>
    </row>
    <row r="2029" spans="2:10" x14ac:dyDescent="0.25">
      <c r="B2029" t="s">
        <v>6</v>
      </c>
      <c r="C2029" t="s">
        <v>308</v>
      </c>
      <c r="D2029">
        <v>703410</v>
      </c>
      <c r="E2029" t="s">
        <v>228</v>
      </c>
      <c r="F2029" t="s">
        <v>21</v>
      </c>
      <c r="G2029" t="s">
        <v>22</v>
      </c>
      <c r="H2029" t="s">
        <v>23</v>
      </c>
      <c r="J2029" s="20">
        <v>0</v>
      </c>
    </row>
    <row r="2030" spans="2:10" x14ac:dyDescent="0.25">
      <c r="B2030" t="s">
        <v>6</v>
      </c>
      <c r="C2030" t="s">
        <v>308</v>
      </c>
      <c r="D2030">
        <v>703411</v>
      </c>
      <c r="E2030" t="s">
        <v>229</v>
      </c>
      <c r="F2030" t="s">
        <v>21</v>
      </c>
      <c r="G2030" t="s">
        <v>22</v>
      </c>
      <c r="H2030" t="s">
        <v>23</v>
      </c>
      <c r="J2030" s="20">
        <v>0</v>
      </c>
    </row>
    <row r="2031" spans="2:10" x14ac:dyDescent="0.25">
      <c r="B2031" t="s">
        <v>6</v>
      </c>
      <c r="C2031" t="s">
        <v>308</v>
      </c>
      <c r="D2031">
        <v>703412</v>
      </c>
      <c r="E2031" t="s">
        <v>230</v>
      </c>
      <c r="F2031" t="s">
        <v>21</v>
      </c>
      <c r="G2031" t="s">
        <v>22</v>
      </c>
      <c r="H2031" t="s">
        <v>23</v>
      </c>
      <c r="J2031" s="20">
        <v>0</v>
      </c>
    </row>
    <row r="2032" spans="2:10" x14ac:dyDescent="0.25">
      <c r="B2032" t="s">
        <v>6</v>
      </c>
      <c r="C2032" t="s">
        <v>308</v>
      </c>
      <c r="D2032">
        <v>703420</v>
      </c>
      <c r="E2032" t="s">
        <v>231</v>
      </c>
      <c r="F2032" t="s">
        <v>21</v>
      </c>
      <c r="G2032" t="s">
        <v>71</v>
      </c>
      <c r="H2032" t="s">
        <v>171</v>
      </c>
      <c r="J2032" s="20">
        <v>0</v>
      </c>
    </row>
    <row r="2033" spans="2:10" x14ac:dyDescent="0.25">
      <c r="B2033" t="s">
        <v>6</v>
      </c>
      <c r="C2033" t="s">
        <v>308</v>
      </c>
      <c r="D2033">
        <v>703421</v>
      </c>
      <c r="E2033" t="s">
        <v>232</v>
      </c>
      <c r="F2033" t="s">
        <v>21</v>
      </c>
      <c r="G2033" t="s">
        <v>22</v>
      </c>
      <c r="H2033" t="s">
        <v>23</v>
      </c>
      <c r="J2033" s="20">
        <v>0</v>
      </c>
    </row>
    <row r="2034" spans="2:10" x14ac:dyDescent="0.25">
      <c r="B2034" t="s">
        <v>6</v>
      </c>
      <c r="C2034" t="s">
        <v>308</v>
      </c>
      <c r="D2034">
        <v>703422</v>
      </c>
      <c r="E2034" t="s">
        <v>233</v>
      </c>
      <c r="F2034" t="s">
        <v>21</v>
      </c>
      <c r="G2034" t="s">
        <v>76</v>
      </c>
      <c r="H2034" t="s">
        <v>77</v>
      </c>
      <c r="J2034" s="20">
        <v>0</v>
      </c>
    </row>
    <row r="2035" spans="2:10" x14ac:dyDescent="0.25">
      <c r="B2035" t="s">
        <v>6</v>
      </c>
      <c r="C2035" t="s">
        <v>308</v>
      </c>
      <c r="D2035">
        <v>703423</v>
      </c>
      <c r="E2035" t="s">
        <v>234</v>
      </c>
      <c r="F2035" t="s">
        <v>21</v>
      </c>
      <c r="G2035" t="s">
        <v>71</v>
      </c>
      <c r="H2035" t="s">
        <v>88</v>
      </c>
      <c r="J2035" s="20">
        <v>0</v>
      </c>
    </row>
    <row r="2036" spans="2:10" x14ac:dyDescent="0.25">
      <c r="B2036" t="s">
        <v>6</v>
      </c>
      <c r="C2036" t="s">
        <v>308</v>
      </c>
      <c r="D2036">
        <v>703424</v>
      </c>
      <c r="E2036" t="s">
        <v>235</v>
      </c>
      <c r="F2036" t="s">
        <v>21</v>
      </c>
      <c r="G2036" t="s">
        <v>71</v>
      </c>
      <c r="H2036" t="s">
        <v>88</v>
      </c>
      <c r="J2036" s="20">
        <v>0</v>
      </c>
    </row>
    <row r="2037" spans="2:10" x14ac:dyDescent="0.25">
      <c r="B2037" t="s">
        <v>6</v>
      </c>
      <c r="C2037" t="s">
        <v>308</v>
      </c>
      <c r="D2037">
        <v>703425</v>
      </c>
      <c r="E2037" t="s">
        <v>236</v>
      </c>
      <c r="F2037" t="s">
        <v>21</v>
      </c>
      <c r="G2037" t="s">
        <v>76</v>
      </c>
      <c r="H2037" t="s">
        <v>77</v>
      </c>
      <c r="J2037" s="20">
        <v>0</v>
      </c>
    </row>
    <row r="2038" spans="2:10" x14ac:dyDescent="0.25">
      <c r="B2038" t="s">
        <v>6</v>
      </c>
      <c r="C2038" t="s">
        <v>308</v>
      </c>
      <c r="D2038">
        <v>703426</v>
      </c>
      <c r="E2038" t="s">
        <v>237</v>
      </c>
      <c r="F2038" t="s">
        <v>21</v>
      </c>
      <c r="G2038" t="s">
        <v>22</v>
      </c>
      <c r="H2038" t="s">
        <v>23</v>
      </c>
      <c r="J2038" s="20">
        <v>0</v>
      </c>
    </row>
    <row r="2039" spans="2:10" x14ac:dyDescent="0.25">
      <c r="B2039" t="s">
        <v>6</v>
      </c>
      <c r="C2039" t="s">
        <v>308</v>
      </c>
      <c r="D2039">
        <v>703427</v>
      </c>
      <c r="E2039" t="s">
        <v>238</v>
      </c>
      <c r="F2039" t="s">
        <v>21</v>
      </c>
      <c r="G2039" t="s">
        <v>76</v>
      </c>
      <c r="H2039" t="s">
        <v>77</v>
      </c>
      <c r="J2039" s="20">
        <v>0</v>
      </c>
    </row>
    <row r="2040" spans="2:10" x14ac:dyDescent="0.25">
      <c r="B2040" t="s">
        <v>6</v>
      </c>
      <c r="C2040" t="s">
        <v>308</v>
      </c>
      <c r="D2040">
        <v>703428</v>
      </c>
      <c r="E2040" t="s">
        <v>239</v>
      </c>
      <c r="F2040" t="s">
        <v>21</v>
      </c>
      <c r="G2040" t="s">
        <v>76</v>
      </c>
      <c r="H2040" t="s">
        <v>77</v>
      </c>
      <c r="J2040" s="20">
        <v>0</v>
      </c>
    </row>
    <row r="2041" spans="2:10" x14ac:dyDescent="0.25">
      <c r="B2041" t="s">
        <v>6</v>
      </c>
      <c r="C2041" t="s">
        <v>308</v>
      </c>
      <c r="D2041">
        <v>703429</v>
      </c>
      <c r="E2041" t="s">
        <v>240</v>
      </c>
      <c r="F2041" t="s">
        <v>21</v>
      </c>
      <c r="G2041" t="s">
        <v>76</v>
      </c>
      <c r="H2041" t="s">
        <v>77</v>
      </c>
      <c r="J2041" s="20">
        <v>0</v>
      </c>
    </row>
    <row r="2042" spans="2:10" x14ac:dyDescent="0.25">
      <c r="B2042" t="s">
        <v>6</v>
      </c>
      <c r="C2042" t="s">
        <v>308</v>
      </c>
      <c r="D2042">
        <v>703430</v>
      </c>
      <c r="E2042" t="s">
        <v>20</v>
      </c>
      <c r="F2042" t="s">
        <v>21</v>
      </c>
      <c r="G2042" t="s">
        <v>22</v>
      </c>
      <c r="H2042" t="s">
        <v>23</v>
      </c>
      <c r="J2042" s="20">
        <v>0</v>
      </c>
    </row>
    <row r="2043" spans="2:10" x14ac:dyDescent="0.25">
      <c r="B2043" t="s">
        <v>6</v>
      </c>
      <c r="C2043" t="s">
        <v>308</v>
      </c>
      <c r="D2043">
        <v>703431</v>
      </c>
      <c r="E2043" t="s">
        <v>241</v>
      </c>
      <c r="F2043" t="s">
        <v>21</v>
      </c>
      <c r="G2043" t="s">
        <v>22</v>
      </c>
      <c r="H2043" t="s">
        <v>23</v>
      </c>
      <c r="J2043" s="20">
        <v>0</v>
      </c>
    </row>
    <row r="2044" spans="2:10" x14ac:dyDescent="0.25">
      <c r="B2044" t="s">
        <v>6</v>
      </c>
      <c r="C2044" t="s">
        <v>308</v>
      </c>
      <c r="D2044">
        <v>703432</v>
      </c>
      <c r="E2044" t="s">
        <v>242</v>
      </c>
      <c r="F2044" t="s">
        <v>21</v>
      </c>
      <c r="G2044" t="s">
        <v>22</v>
      </c>
      <c r="H2044" t="s">
        <v>23</v>
      </c>
      <c r="J2044" s="20">
        <v>0</v>
      </c>
    </row>
    <row r="2045" spans="2:10" x14ac:dyDescent="0.25">
      <c r="B2045" t="s">
        <v>6</v>
      </c>
      <c r="C2045" t="s">
        <v>308</v>
      </c>
      <c r="D2045">
        <v>703433</v>
      </c>
      <c r="E2045" t="s">
        <v>243</v>
      </c>
      <c r="F2045" t="s">
        <v>21</v>
      </c>
      <c r="G2045" t="s">
        <v>71</v>
      </c>
      <c r="H2045" t="s">
        <v>88</v>
      </c>
      <c r="J2045" s="20">
        <v>0</v>
      </c>
    </row>
    <row r="2046" spans="2:10" x14ac:dyDescent="0.25">
      <c r="B2046" t="s">
        <v>6</v>
      </c>
      <c r="C2046" t="s">
        <v>308</v>
      </c>
      <c r="D2046">
        <v>703434</v>
      </c>
      <c r="E2046" t="s">
        <v>244</v>
      </c>
      <c r="F2046" t="s">
        <v>21</v>
      </c>
      <c r="G2046" t="s">
        <v>22</v>
      </c>
      <c r="H2046" t="s">
        <v>23</v>
      </c>
      <c r="J2046" s="20">
        <v>0</v>
      </c>
    </row>
    <row r="2047" spans="2:10" x14ac:dyDescent="0.25">
      <c r="B2047" t="s">
        <v>6</v>
      </c>
      <c r="C2047" t="s">
        <v>308</v>
      </c>
      <c r="D2047">
        <v>703435</v>
      </c>
      <c r="E2047" t="s">
        <v>245</v>
      </c>
      <c r="F2047" t="s">
        <v>21</v>
      </c>
      <c r="G2047" t="s">
        <v>71</v>
      </c>
      <c r="H2047" t="s">
        <v>88</v>
      </c>
      <c r="J2047" s="20">
        <v>0</v>
      </c>
    </row>
    <row r="2048" spans="2:10" x14ac:dyDescent="0.25">
      <c r="B2048" t="s">
        <v>6</v>
      </c>
      <c r="C2048" t="s">
        <v>308</v>
      </c>
      <c r="D2048">
        <v>703436</v>
      </c>
      <c r="E2048" t="s">
        <v>246</v>
      </c>
      <c r="F2048" t="s">
        <v>21</v>
      </c>
      <c r="G2048" t="s">
        <v>71</v>
      </c>
      <c r="H2048" t="s">
        <v>88</v>
      </c>
      <c r="J2048" s="20">
        <v>0</v>
      </c>
    </row>
    <row r="2049" spans="2:10" x14ac:dyDescent="0.25">
      <c r="B2049" t="s">
        <v>6</v>
      </c>
      <c r="C2049" t="s">
        <v>308</v>
      </c>
      <c r="D2049">
        <v>703437</v>
      </c>
      <c r="E2049" t="s">
        <v>247</v>
      </c>
      <c r="F2049" t="s">
        <v>21</v>
      </c>
      <c r="G2049" t="s">
        <v>71</v>
      </c>
      <c r="H2049" t="s">
        <v>88</v>
      </c>
      <c r="J2049" s="20">
        <v>0</v>
      </c>
    </row>
    <row r="2050" spans="2:10" x14ac:dyDescent="0.25">
      <c r="B2050" t="s">
        <v>6</v>
      </c>
      <c r="C2050" t="s">
        <v>308</v>
      </c>
      <c r="D2050">
        <v>703438</v>
      </c>
      <c r="E2050" t="s">
        <v>248</v>
      </c>
      <c r="F2050" t="s">
        <v>21</v>
      </c>
      <c r="G2050" t="s">
        <v>71</v>
      </c>
      <c r="H2050" t="s">
        <v>88</v>
      </c>
      <c r="J2050" s="20">
        <v>0</v>
      </c>
    </row>
    <row r="2051" spans="2:10" x14ac:dyDescent="0.25">
      <c r="B2051" t="s">
        <v>6</v>
      </c>
      <c r="C2051" t="s">
        <v>308</v>
      </c>
      <c r="D2051">
        <v>703439</v>
      </c>
      <c r="E2051" t="s">
        <v>249</v>
      </c>
      <c r="F2051" t="s">
        <v>21</v>
      </c>
      <c r="G2051" t="s">
        <v>22</v>
      </c>
      <c r="H2051" t="s">
        <v>23</v>
      </c>
      <c r="J2051" s="20">
        <v>0</v>
      </c>
    </row>
    <row r="2052" spans="2:10" x14ac:dyDescent="0.25">
      <c r="B2052" t="s">
        <v>6</v>
      </c>
      <c r="C2052" t="s">
        <v>308</v>
      </c>
      <c r="D2052">
        <v>703440</v>
      </c>
      <c r="E2052" t="s">
        <v>250</v>
      </c>
      <c r="F2052" t="s">
        <v>21</v>
      </c>
      <c r="G2052" t="s">
        <v>61</v>
      </c>
      <c r="H2052" t="s">
        <v>68</v>
      </c>
      <c r="J2052" s="20">
        <v>0</v>
      </c>
    </row>
    <row r="2053" spans="2:10" x14ac:dyDescent="0.25">
      <c r="B2053" t="s">
        <v>6</v>
      </c>
      <c r="C2053" t="s">
        <v>308</v>
      </c>
      <c r="D2053">
        <v>703441</v>
      </c>
      <c r="E2053" t="s">
        <v>251</v>
      </c>
      <c r="F2053" t="s">
        <v>21</v>
      </c>
      <c r="G2053" t="s">
        <v>61</v>
      </c>
      <c r="H2053" t="s">
        <v>79</v>
      </c>
      <c r="J2053" s="20">
        <v>0</v>
      </c>
    </row>
    <row r="2054" spans="2:10" x14ac:dyDescent="0.25">
      <c r="B2054" t="s">
        <v>6</v>
      </c>
      <c r="C2054" t="s">
        <v>308</v>
      </c>
      <c r="D2054">
        <v>703442</v>
      </c>
      <c r="E2054" t="s">
        <v>252</v>
      </c>
      <c r="F2054" t="s">
        <v>21</v>
      </c>
      <c r="G2054" t="s">
        <v>76</v>
      </c>
      <c r="H2054" t="s">
        <v>77</v>
      </c>
      <c r="J2054" s="20">
        <v>0</v>
      </c>
    </row>
    <row r="2055" spans="2:10" x14ac:dyDescent="0.25">
      <c r="B2055" t="s">
        <v>6</v>
      </c>
      <c r="C2055" t="s">
        <v>308</v>
      </c>
      <c r="D2055">
        <v>703443</v>
      </c>
      <c r="E2055" t="s">
        <v>253</v>
      </c>
      <c r="F2055" t="s">
        <v>21</v>
      </c>
      <c r="G2055" t="s">
        <v>71</v>
      </c>
      <c r="H2055" t="s">
        <v>88</v>
      </c>
      <c r="J2055" s="20">
        <v>0</v>
      </c>
    </row>
    <row r="2056" spans="2:10" x14ac:dyDescent="0.25">
      <c r="B2056" t="s">
        <v>6</v>
      </c>
      <c r="C2056" t="s">
        <v>308</v>
      </c>
      <c r="D2056">
        <v>703444</v>
      </c>
      <c r="E2056" t="s">
        <v>254</v>
      </c>
      <c r="F2056" t="s">
        <v>21</v>
      </c>
      <c r="G2056" t="s">
        <v>22</v>
      </c>
      <c r="H2056" t="s">
        <v>23</v>
      </c>
      <c r="J2056" s="20">
        <v>0</v>
      </c>
    </row>
    <row r="2057" spans="2:10" x14ac:dyDescent="0.25">
      <c r="B2057" t="s">
        <v>6</v>
      </c>
      <c r="C2057" t="s">
        <v>308</v>
      </c>
      <c r="D2057">
        <v>703445</v>
      </c>
      <c r="E2057" t="s">
        <v>255</v>
      </c>
      <c r="F2057" t="s">
        <v>21</v>
      </c>
      <c r="G2057" t="s">
        <v>22</v>
      </c>
      <c r="H2057" t="s">
        <v>23</v>
      </c>
      <c r="J2057" s="20">
        <v>0</v>
      </c>
    </row>
    <row r="2058" spans="2:10" x14ac:dyDescent="0.25">
      <c r="B2058" t="s">
        <v>6</v>
      </c>
      <c r="C2058" t="s">
        <v>308</v>
      </c>
      <c r="D2058">
        <v>703446</v>
      </c>
      <c r="E2058" t="s">
        <v>256</v>
      </c>
      <c r="F2058" t="s">
        <v>21</v>
      </c>
      <c r="G2058" t="s">
        <v>22</v>
      </c>
      <c r="H2058" t="s">
        <v>23</v>
      </c>
      <c r="J2058" s="20">
        <v>0</v>
      </c>
    </row>
    <row r="2059" spans="2:10" x14ac:dyDescent="0.25">
      <c r="B2059" t="s">
        <v>6</v>
      </c>
      <c r="C2059" t="s">
        <v>308</v>
      </c>
      <c r="D2059">
        <v>703447</v>
      </c>
      <c r="E2059" t="s">
        <v>257</v>
      </c>
      <c r="F2059" t="s">
        <v>21</v>
      </c>
      <c r="G2059" t="s">
        <v>22</v>
      </c>
      <c r="H2059" t="s">
        <v>23</v>
      </c>
      <c r="J2059" s="20">
        <v>0</v>
      </c>
    </row>
    <row r="2060" spans="2:10" x14ac:dyDescent="0.25">
      <c r="B2060" t="s">
        <v>6</v>
      </c>
      <c r="C2060" t="s">
        <v>308</v>
      </c>
      <c r="D2060">
        <v>703448</v>
      </c>
      <c r="E2060" t="s">
        <v>258</v>
      </c>
      <c r="F2060" t="s">
        <v>21</v>
      </c>
      <c r="G2060" t="s">
        <v>22</v>
      </c>
      <c r="H2060" t="s">
        <v>23</v>
      </c>
      <c r="J2060" s="20">
        <v>0</v>
      </c>
    </row>
    <row r="2061" spans="2:10" x14ac:dyDescent="0.25">
      <c r="B2061" t="s">
        <v>6</v>
      </c>
      <c r="C2061" t="s">
        <v>308</v>
      </c>
      <c r="D2061">
        <v>703449</v>
      </c>
      <c r="E2061" t="s">
        <v>259</v>
      </c>
      <c r="F2061" t="s">
        <v>21</v>
      </c>
      <c r="G2061" t="s">
        <v>22</v>
      </c>
      <c r="H2061" t="s">
        <v>23</v>
      </c>
      <c r="J2061" s="20">
        <v>0</v>
      </c>
    </row>
    <row r="2062" spans="2:10" x14ac:dyDescent="0.25">
      <c r="B2062" t="s">
        <v>6</v>
      </c>
      <c r="C2062" t="s">
        <v>308</v>
      </c>
      <c r="D2062">
        <v>703450</v>
      </c>
      <c r="E2062" t="s">
        <v>260</v>
      </c>
      <c r="F2062" t="s">
        <v>21</v>
      </c>
      <c r="G2062" t="s">
        <v>71</v>
      </c>
      <c r="H2062" t="s">
        <v>88</v>
      </c>
      <c r="J2062" s="20">
        <v>0</v>
      </c>
    </row>
    <row r="2063" spans="2:10" x14ac:dyDescent="0.25">
      <c r="B2063" t="s">
        <v>6</v>
      </c>
      <c r="C2063" t="s">
        <v>308</v>
      </c>
      <c r="D2063">
        <v>703510</v>
      </c>
      <c r="E2063" t="s">
        <v>261</v>
      </c>
      <c r="F2063" t="s">
        <v>21</v>
      </c>
      <c r="G2063" t="s">
        <v>22</v>
      </c>
      <c r="H2063" t="s">
        <v>23</v>
      </c>
      <c r="J2063" s="20">
        <v>0</v>
      </c>
    </row>
    <row r="2064" spans="2:10" x14ac:dyDescent="0.25">
      <c r="B2064" t="s">
        <v>6</v>
      </c>
      <c r="C2064" t="s">
        <v>308</v>
      </c>
      <c r="D2064">
        <v>703511</v>
      </c>
      <c r="E2064" t="s">
        <v>262</v>
      </c>
      <c r="F2064" t="s">
        <v>21</v>
      </c>
      <c r="G2064" t="s">
        <v>22</v>
      </c>
      <c r="H2064" t="s">
        <v>23</v>
      </c>
      <c r="J2064" s="20">
        <v>0</v>
      </c>
    </row>
    <row r="2065" spans="2:10" x14ac:dyDescent="0.25">
      <c r="B2065" t="s">
        <v>6</v>
      </c>
      <c r="C2065" t="s">
        <v>308</v>
      </c>
      <c r="D2065">
        <v>703512</v>
      </c>
      <c r="E2065" t="s">
        <v>263</v>
      </c>
      <c r="F2065" t="s">
        <v>21</v>
      </c>
      <c r="G2065" t="s">
        <v>22</v>
      </c>
      <c r="H2065" t="s">
        <v>23</v>
      </c>
      <c r="J2065" s="20">
        <v>0</v>
      </c>
    </row>
    <row r="2066" spans="2:10" x14ac:dyDescent="0.25">
      <c r="B2066" t="s">
        <v>6</v>
      </c>
      <c r="C2066" t="s">
        <v>308</v>
      </c>
      <c r="D2066">
        <v>703513</v>
      </c>
      <c r="E2066" t="s">
        <v>264</v>
      </c>
      <c r="F2066" t="s">
        <v>21</v>
      </c>
      <c r="G2066" t="s">
        <v>22</v>
      </c>
      <c r="H2066" t="s">
        <v>23</v>
      </c>
      <c r="J2066" s="20">
        <v>0</v>
      </c>
    </row>
    <row r="2067" spans="2:10" x14ac:dyDescent="0.25">
      <c r="B2067" t="s">
        <v>6</v>
      </c>
      <c r="C2067" t="s">
        <v>308</v>
      </c>
      <c r="D2067">
        <v>703514</v>
      </c>
      <c r="E2067" t="s">
        <v>265</v>
      </c>
      <c r="F2067" t="s">
        <v>21</v>
      </c>
      <c r="G2067" t="s">
        <v>22</v>
      </c>
      <c r="H2067" t="s">
        <v>23</v>
      </c>
      <c r="J2067" s="20">
        <v>0</v>
      </c>
    </row>
    <row r="2068" spans="2:10" x14ac:dyDescent="0.25">
      <c r="B2068" t="s">
        <v>6</v>
      </c>
      <c r="C2068" t="s">
        <v>308</v>
      </c>
      <c r="D2068">
        <v>703515</v>
      </c>
      <c r="E2068" t="s">
        <v>266</v>
      </c>
      <c r="F2068" t="s">
        <v>21</v>
      </c>
      <c r="G2068" t="s">
        <v>22</v>
      </c>
      <c r="H2068" t="s">
        <v>23</v>
      </c>
      <c r="J2068" s="20">
        <v>0</v>
      </c>
    </row>
    <row r="2069" spans="2:10" x14ac:dyDescent="0.25">
      <c r="B2069" t="s">
        <v>6</v>
      </c>
      <c r="C2069" t="s">
        <v>308</v>
      </c>
      <c r="D2069">
        <v>703520</v>
      </c>
      <c r="E2069" t="s">
        <v>267</v>
      </c>
      <c r="F2069" t="s">
        <v>21</v>
      </c>
      <c r="G2069" t="s">
        <v>22</v>
      </c>
      <c r="H2069" t="s">
        <v>23</v>
      </c>
      <c r="J2069" s="20">
        <v>0</v>
      </c>
    </row>
    <row r="2070" spans="2:10" x14ac:dyDescent="0.25">
      <c r="B2070" t="s">
        <v>6</v>
      </c>
      <c r="C2070" t="s">
        <v>308</v>
      </c>
      <c r="D2070">
        <v>703530</v>
      </c>
      <c r="E2070" t="s">
        <v>268</v>
      </c>
      <c r="F2070" t="s">
        <v>21</v>
      </c>
      <c r="G2070" t="s">
        <v>22</v>
      </c>
      <c r="H2070" t="s">
        <v>23</v>
      </c>
      <c r="J2070" s="20">
        <v>0</v>
      </c>
    </row>
    <row r="2071" spans="2:10" x14ac:dyDescent="0.25">
      <c r="B2071" t="s">
        <v>6</v>
      </c>
      <c r="C2071" t="s">
        <v>308</v>
      </c>
      <c r="D2071">
        <v>703540</v>
      </c>
      <c r="E2071" t="s">
        <v>269</v>
      </c>
      <c r="F2071" t="s">
        <v>21</v>
      </c>
      <c r="G2071" t="s">
        <v>22</v>
      </c>
      <c r="H2071" t="s">
        <v>23</v>
      </c>
      <c r="J2071" s="20">
        <v>0</v>
      </c>
    </row>
    <row r="2072" spans="2:10" x14ac:dyDescent="0.25">
      <c r="B2072" t="s">
        <v>6</v>
      </c>
      <c r="C2072" t="s">
        <v>308</v>
      </c>
      <c r="D2072">
        <v>703550</v>
      </c>
      <c r="E2072" t="s">
        <v>270</v>
      </c>
      <c r="F2072" t="s">
        <v>21</v>
      </c>
      <c r="G2072" t="s">
        <v>22</v>
      </c>
      <c r="H2072" t="s">
        <v>23</v>
      </c>
      <c r="J2072" s="20">
        <v>0</v>
      </c>
    </row>
    <row r="2073" spans="2:10" x14ac:dyDescent="0.25">
      <c r="B2073" t="s">
        <v>6</v>
      </c>
      <c r="C2073" t="s">
        <v>308</v>
      </c>
      <c r="D2073">
        <v>703560</v>
      </c>
      <c r="E2073" t="s">
        <v>271</v>
      </c>
      <c r="F2073" t="s">
        <v>21</v>
      </c>
      <c r="G2073" t="s">
        <v>22</v>
      </c>
      <c r="H2073" t="s">
        <v>23</v>
      </c>
      <c r="J2073" s="20">
        <v>0</v>
      </c>
    </row>
    <row r="2074" spans="2:10" x14ac:dyDescent="0.25">
      <c r="B2074" t="s">
        <v>6</v>
      </c>
      <c r="C2074" t="s">
        <v>308</v>
      </c>
      <c r="D2074">
        <v>703570</v>
      </c>
      <c r="E2074" t="s">
        <v>272</v>
      </c>
      <c r="F2074" t="s">
        <v>21</v>
      </c>
      <c r="G2074" t="s">
        <v>22</v>
      </c>
      <c r="H2074" t="s">
        <v>23</v>
      </c>
      <c r="J2074" s="20">
        <v>0</v>
      </c>
    </row>
    <row r="2075" spans="2:10" x14ac:dyDescent="0.25">
      <c r="B2075" t="s">
        <v>6</v>
      </c>
      <c r="C2075" t="s">
        <v>308</v>
      </c>
      <c r="D2075">
        <v>703571</v>
      </c>
      <c r="E2075" t="s">
        <v>273</v>
      </c>
      <c r="F2075" t="s">
        <v>21</v>
      </c>
      <c r="G2075" t="s">
        <v>22</v>
      </c>
      <c r="H2075" t="s">
        <v>23</v>
      </c>
      <c r="J2075" s="20"/>
    </row>
    <row r="2076" spans="2:10" x14ac:dyDescent="0.25">
      <c r="B2076" t="s">
        <v>6</v>
      </c>
      <c r="C2076" t="s">
        <v>308</v>
      </c>
      <c r="D2076">
        <v>703572</v>
      </c>
      <c r="E2076" t="s">
        <v>274</v>
      </c>
      <c r="F2076" t="s">
        <v>21</v>
      </c>
      <c r="G2076" t="s">
        <v>22</v>
      </c>
      <c r="H2076" t="s">
        <v>23</v>
      </c>
      <c r="J2076" s="20"/>
    </row>
    <row r="2077" spans="2:10" x14ac:dyDescent="0.25">
      <c r="B2077" t="s">
        <v>6</v>
      </c>
      <c r="C2077" t="s">
        <v>308</v>
      </c>
      <c r="D2077">
        <v>703573</v>
      </c>
      <c r="E2077" t="s">
        <v>275</v>
      </c>
      <c r="F2077" t="s">
        <v>21</v>
      </c>
      <c r="G2077" t="s">
        <v>22</v>
      </c>
      <c r="H2077" t="s">
        <v>23</v>
      </c>
      <c r="J2077" s="20"/>
    </row>
    <row r="2078" spans="2:10" x14ac:dyDescent="0.25">
      <c r="B2078" t="s">
        <v>6</v>
      </c>
      <c r="C2078" t="s">
        <v>308</v>
      </c>
      <c r="D2078">
        <v>703574</v>
      </c>
      <c r="E2078" t="s">
        <v>276</v>
      </c>
      <c r="F2078" t="s">
        <v>21</v>
      </c>
      <c r="G2078" t="s">
        <v>22</v>
      </c>
      <c r="H2078" t="s">
        <v>23</v>
      </c>
      <c r="J2078" s="20"/>
    </row>
    <row r="2079" spans="2:10" x14ac:dyDescent="0.25">
      <c r="B2079" t="s">
        <v>6</v>
      </c>
      <c r="C2079" t="s">
        <v>308</v>
      </c>
      <c r="D2079">
        <v>703580</v>
      </c>
      <c r="E2079" t="s">
        <v>277</v>
      </c>
      <c r="F2079" t="s">
        <v>21</v>
      </c>
      <c r="G2079" t="s">
        <v>22</v>
      </c>
      <c r="H2079" t="s">
        <v>23</v>
      </c>
      <c r="J2079" s="20">
        <v>0</v>
      </c>
    </row>
    <row r="2080" spans="2:10" x14ac:dyDescent="0.25">
      <c r="B2080" t="s">
        <v>6</v>
      </c>
      <c r="C2080" t="s">
        <v>308</v>
      </c>
      <c r="D2080">
        <v>703590</v>
      </c>
      <c r="E2080" t="s">
        <v>278</v>
      </c>
      <c r="F2080" t="s">
        <v>21</v>
      </c>
      <c r="G2080" t="s">
        <v>22</v>
      </c>
      <c r="H2080" t="s">
        <v>23</v>
      </c>
      <c r="J2080" s="20">
        <v>0</v>
      </c>
    </row>
    <row r="2081" spans="2:10" x14ac:dyDescent="0.25">
      <c r="B2081" t="s">
        <v>6</v>
      </c>
      <c r="C2081" t="s">
        <v>308</v>
      </c>
      <c r="D2081">
        <v>703650</v>
      </c>
      <c r="E2081" t="s">
        <v>279</v>
      </c>
      <c r="F2081" t="s">
        <v>21</v>
      </c>
      <c r="G2081" t="s">
        <v>22</v>
      </c>
      <c r="H2081" t="s">
        <v>23</v>
      </c>
      <c r="J2081" s="20">
        <v>0</v>
      </c>
    </row>
    <row r="2082" spans="2:10" x14ac:dyDescent="0.25">
      <c r="B2082" t="s">
        <v>6</v>
      </c>
      <c r="C2082" t="s">
        <v>308</v>
      </c>
      <c r="D2082">
        <v>703651</v>
      </c>
      <c r="E2082" t="s">
        <v>280</v>
      </c>
      <c r="F2082" t="s">
        <v>21</v>
      </c>
      <c r="G2082" t="s">
        <v>22</v>
      </c>
      <c r="H2082" t="s">
        <v>23</v>
      </c>
      <c r="J2082" s="20">
        <v>0</v>
      </c>
    </row>
    <row r="2083" spans="2:10" x14ac:dyDescent="0.25">
      <c r="B2083" t="s">
        <v>6</v>
      </c>
      <c r="C2083" t="s">
        <v>308</v>
      </c>
      <c r="D2083">
        <v>703850</v>
      </c>
      <c r="E2083" t="s">
        <v>281</v>
      </c>
      <c r="F2083" t="s">
        <v>21</v>
      </c>
      <c r="G2083" t="s">
        <v>22</v>
      </c>
      <c r="H2083" t="s">
        <v>23</v>
      </c>
      <c r="J2083" s="20">
        <v>0</v>
      </c>
    </row>
    <row r="2084" spans="2:10" x14ac:dyDescent="0.25">
      <c r="B2084" t="s">
        <v>6</v>
      </c>
      <c r="C2084" t="s">
        <v>308</v>
      </c>
      <c r="D2084">
        <v>703851</v>
      </c>
      <c r="E2084" t="s">
        <v>282</v>
      </c>
      <c r="F2084" t="s">
        <v>21</v>
      </c>
      <c r="G2084" t="s">
        <v>22</v>
      </c>
      <c r="H2084" t="s">
        <v>23</v>
      </c>
      <c r="J2084" s="20">
        <v>0</v>
      </c>
    </row>
    <row r="2085" spans="2:10" x14ac:dyDescent="0.25">
      <c r="B2085" t="s">
        <v>6</v>
      </c>
      <c r="C2085" t="s">
        <v>308</v>
      </c>
      <c r="D2085">
        <v>703852</v>
      </c>
      <c r="E2085" t="s">
        <v>283</v>
      </c>
      <c r="F2085" t="s">
        <v>21</v>
      </c>
      <c r="G2085" t="s">
        <v>22</v>
      </c>
      <c r="H2085" t="s">
        <v>23</v>
      </c>
      <c r="J2085" s="20">
        <v>0</v>
      </c>
    </row>
    <row r="2086" spans="2:10" x14ac:dyDescent="0.25">
      <c r="B2086" t="s">
        <v>6</v>
      </c>
      <c r="C2086" t="s">
        <v>308</v>
      </c>
      <c r="D2086">
        <v>703853</v>
      </c>
      <c r="E2086" t="s">
        <v>284</v>
      </c>
      <c r="F2086" t="s">
        <v>21</v>
      </c>
      <c r="G2086" t="s">
        <v>22</v>
      </c>
      <c r="H2086" t="s">
        <v>23</v>
      </c>
      <c r="J2086" s="20">
        <v>0</v>
      </c>
    </row>
    <row r="2087" spans="2:10" x14ac:dyDescent="0.25">
      <c r="B2087" t="s">
        <v>6</v>
      </c>
      <c r="C2087" t="s">
        <v>308</v>
      </c>
      <c r="D2087">
        <v>703854</v>
      </c>
      <c r="E2087" t="s">
        <v>285</v>
      </c>
      <c r="F2087" t="s">
        <v>21</v>
      </c>
      <c r="G2087" t="s">
        <v>22</v>
      </c>
      <c r="H2087" t="s">
        <v>115</v>
      </c>
      <c r="J2087" s="20">
        <v>0</v>
      </c>
    </row>
    <row r="2088" spans="2:10" x14ac:dyDescent="0.25">
      <c r="B2088" t="s">
        <v>6</v>
      </c>
      <c r="C2088" t="s">
        <v>308</v>
      </c>
      <c r="D2088">
        <v>703855</v>
      </c>
      <c r="E2088" t="s">
        <v>286</v>
      </c>
      <c r="F2088" t="s">
        <v>21</v>
      </c>
      <c r="G2088" t="s">
        <v>22</v>
      </c>
      <c r="H2088" t="s">
        <v>23</v>
      </c>
      <c r="J2088" s="20">
        <v>0</v>
      </c>
    </row>
    <row r="2089" spans="2:10" x14ac:dyDescent="0.25">
      <c r="B2089" t="s">
        <v>6</v>
      </c>
      <c r="C2089" t="s">
        <v>308</v>
      </c>
      <c r="D2089">
        <v>703856</v>
      </c>
      <c r="E2089" t="s">
        <v>287</v>
      </c>
      <c r="F2089" t="s">
        <v>21</v>
      </c>
      <c r="G2089" t="s">
        <v>22</v>
      </c>
      <c r="H2089" t="s">
        <v>23</v>
      </c>
      <c r="J2089" s="20">
        <v>0</v>
      </c>
    </row>
    <row r="2090" spans="2:10" x14ac:dyDescent="0.25">
      <c r="B2090" t="s">
        <v>6</v>
      </c>
      <c r="C2090" t="s">
        <v>308</v>
      </c>
      <c r="D2090">
        <v>703857</v>
      </c>
      <c r="E2090" t="s">
        <v>288</v>
      </c>
      <c r="F2090" t="s">
        <v>21</v>
      </c>
      <c r="G2090" t="s">
        <v>71</v>
      </c>
      <c r="H2090" t="s">
        <v>88</v>
      </c>
      <c r="J2090" s="20">
        <v>0</v>
      </c>
    </row>
    <row r="2091" spans="2:10" x14ac:dyDescent="0.25">
      <c r="B2091" t="s">
        <v>6</v>
      </c>
      <c r="C2091" t="s">
        <v>308</v>
      </c>
      <c r="D2091">
        <v>703858</v>
      </c>
      <c r="E2091" t="s">
        <v>289</v>
      </c>
      <c r="F2091" t="s">
        <v>21</v>
      </c>
      <c r="G2091" t="s">
        <v>22</v>
      </c>
      <c r="H2091" t="s">
        <v>23</v>
      </c>
      <c r="J2091" s="20">
        <v>0</v>
      </c>
    </row>
    <row r="2092" spans="2:10" x14ac:dyDescent="0.25">
      <c r="B2092" t="s">
        <v>6</v>
      </c>
      <c r="C2092" t="s">
        <v>308</v>
      </c>
      <c r="D2092">
        <v>703859</v>
      </c>
      <c r="E2092" t="s">
        <v>290</v>
      </c>
      <c r="F2092" t="s">
        <v>21</v>
      </c>
      <c r="G2092" t="s">
        <v>22</v>
      </c>
      <c r="H2092" t="s">
        <v>23</v>
      </c>
      <c r="J2092" s="20">
        <v>0</v>
      </c>
    </row>
    <row r="2093" spans="2:10" x14ac:dyDescent="0.25">
      <c r="B2093" t="s">
        <v>6</v>
      </c>
      <c r="C2093" t="s">
        <v>308</v>
      </c>
      <c r="D2093">
        <v>703860</v>
      </c>
      <c r="E2093" t="s">
        <v>291</v>
      </c>
      <c r="F2093" t="s">
        <v>21</v>
      </c>
      <c r="G2093" t="s">
        <v>22</v>
      </c>
      <c r="H2093" t="s">
        <v>23</v>
      </c>
      <c r="J2093" s="20">
        <v>0</v>
      </c>
    </row>
    <row r="2094" spans="2:10" x14ac:dyDescent="0.25">
      <c r="B2094" t="s">
        <v>6</v>
      </c>
      <c r="C2094" t="s">
        <v>308</v>
      </c>
      <c r="D2094">
        <v>703861</v>
      </c>
      <c r="E2094" t="s">
        <v>292</v>
      </c>
      <c r="F2094" t="s">
        <v>21</v>
      </c>
      <c r="G2094" t="s">
        <v>22</v>
      </c>
      <c r="H2094" t="s">
        <v>23</v>
      </c>
      <c r="J2094" s="20">
        <v>0</v>
      </c>
    </row>
    <row r="2095" spans="2:10" x14ac:dyDescent="0.25">
      <c r="B2095" t="s">
        <v>6</v>
      </c>
      <c r="C2095" t="s">
        <v>308</v>
      </c>
      <c r="D2095">
        <v>703862</v>
      </c>
      <c r="E2095" t="s">
        <v>293</v>
      </c>
      <c r="F2095" t="s">
        <v>21</v>
      </c>
      <c r="G2095" t="s">
        <v>22</v>
      </c>
      <c r="H2095" t="s">
        <v>23</v>
      </c>
      <c r="J2095" s="20">
        <v>0</v>
      </c>
    </row>
    <row r="2096" spans="2:10" x14ac:dyDescent="0.25">
      <c r="B2096" t="s">
        <v>6</v>
      </c>
      <c r="C2096" t="s">
        <v>308</v>
      </c>
      <c r="D2096">
        <v>703870</v>
      </c>
      <c r="E2096" t="s">
        <v>294</v>
      </c>
      <c r="F2096" t="s">
        <v>21</v>
      </c>
      <c r="G2096" t="s">
        <v>22</v>
      </c>
      <c r="H2096" t="s">
        <v>23</v>
      </c>
      <c r="J2096" s="20">
        <v>0</v>
      </c>
    </row>
    <row r="2097" spans="2:10" x14ac:dyDescent="0.25">
      <c r="B2097" t="s">
        <v>6</v>
      </c>
      <c r="C2097" t="s">
        <v>308</v>
      </c>
      <c r="D2097">
        <v>703880</v>
      </c>
      <c r="E2097" t="s">
        <v>295</v>
      </c>
      <c r="F2097" t="s">
        <v>21</v>
      </c>
      <c r="G2097" t="s">
        <v>22</v>
      </c>
      <c r="H2097" t="s">
        <v>23</v>
      </c>
      <c r="J2097" s="20">
        <v>0</v>
      </c>
    </row>
    <row r="2098" spans="2:10" x14ac:dyDescent="0.25">
      <c r="B2098" t="s">
        <v>6</v>
      </c>
      <c r="C2098" t="s">
        <v>308</v>
      </c>
      <c r="D2098">
        <v>703899</v>
      </c>
      <c r="E2098" t="s">
        <v>296</v>
      </c>
      <c r="F2098" t="s">
        <v>21</v>
      </c>
      <c r="G2098" t="s">
        <v>22</v>
      </c>
      <c r="H2098" t="s">
        <v>23</v>
      </c>
      <c r="J2098" s="20">
        <v>0</v>
      </c>
    </row>
    <row r="2099" spans="2:10" x14ac:dyDescent="0.25">
      <c r="B2099" t="s">
        <v>6</v>
      </c>
      <c r="C2099" t="s">
        <v>308</v>
      </c>
      <c r="D2099">
        <v>706700</v>
      </c>
      <c r="E2099" t="s">
        <v>25</v>
      </c>
      <c r="F2099" t="s">
        <v>26</v>
      </c>
      <c r="G2099" t="s">
        <v>27</v>
      </c>
      <c r="H2099" t="s">
        <v>28</v>
      </c>
      <c r="J2099" s="20">
        <v>0</v>
      </c>
    </row>
    <row r="2100" spans="2:10" x14ac:dyDescent="0.25">
      <c r="B2100" t="s">
        <v>6</v>
      </c>
      <c r="C2100" t="s">
        <v>308</v>
      </c>
      <c r="D2100" t="s">
        <v>29</v>
      </c>
      <c r="E2100" t="s">
        <v>30</v>
      </c>
      <c r="F2100" t="s">
        <v>26</v>
      </c>
      <c r="G2100" t="s">
        <v>27</v>
      </c>
      <c r="H2100" t="s">
        <v>31</v>
      </c>
      <c r="J2100" s="20">
        <v>0</v>
      </c>
    </row>
    <row r="2101" spans="2:10" x14ac:dyDescent="0.25">
      <c r="B2101" t="s">
        <v>6</v>
      </c>
      <c r="C2101" t="s">
        <v>308</v>
      </c>
      <c r="D2101" t="s">
        <v>32</v>
      </c>
      <c r="E2101" t="s">
        <v>33</v>
      </c>
      <c r="F2101" t="s">
        <v>26</v>
      </c>
      <c r="G2101" t="s">
        <v>27</v>
      </c>
      <c r="H2101" t="s">
        <v>28</v>
      </c>
      <c r="J2101" s="20">
        <v>0</v>
      </c>
    </row>
    <row r="2102" spans="2:10" x14ac:dyDescent="0.25">
      <c r="B2102" t="s">
        <v>6</v>
      </c>
      <c r="C2102" t="s">
        <v>308</v>
      </c>
      <c r="D2102" t="s">
        <v>34</v>
      </c>
      <c r="E2102" t="s">
        <v>35</v>
      </c>
      <c r="F2102" t="s">
        <v>26</v>
      </c>
      <c r="G2102" t="s">
        <v>36</v>
      </c>
      <c r="H2102" t="s">
        <v>36</v>
      </c>
      <c r="J2102" s="20">
        <v>0</v>
      </c>
    </row>
    <row r="2103" spans="2:10" x14ac:dyDescent="0.25">
      <c r="B2103" t="s">
        <v>6</v>
      </c>
      <c r="C2103" t="s">
        <v>308</v>
      </c>
      <c r="D2103" t="s">
        <v>37</v>
      </c>
      <c r="E2103" t="s">
        <v>38</v>
      </c>
      <c r="F2103" t="s">
        <v>21</v>
      </c>
      <c r="G2103" t="s">
        <v>39</v>
      </c>
      <c r="H2103" t="s">
        <v>39</v>
      </c>
      <c r="J2103" s="20">
        <v>0</v>
      </c>
    </row>
    <row r="2104" spans="2:10" x14ac:dyDescent="0.25">
      <c r="B2104" t="s">
        <v>6</v>
      </c>
      <c r="C2104" t="s">
        <v>308</v>
      </c>
      <c r="D2104" t="s">
        <v>40</v>
      </c>
      <c r="E2104" t="s">
        <v>41</v>
      </c>
      <c r="F2104" t="s">
        <v>26</v>
      </c>
      <c r="G2104" t="s">
        <v>39</v>
      </c>
      <c r="H2104" t="s">
        <v>39</v>
      </c>
      <c r="J2104" s="20">
        <v>0</v>
      </c>
    </row>
    <row r="2105" spans="2:10" x14ac:dyDescent="0.25">
      <c r="B2105" t="s">
        <v>6</v>
      </c>
      <c r="C2105" t="s">
        <v>308</v>
      </c>
      <c r="D2105" t="s">
        <v>42</v>
      </c>
      <c r="E2105" t="s">
        <v>43</v>
      </c>
      <c r="F2105" t="s">
        <v>21</v>
      </c>
      <c r="G2105" t="s">
        <v>44</v>
      </c>
      <c r="H2105" t="s">
        <v>44</v>
      </c>
      <c r="J2105" s="20">
        <v>0</v>
      </c>
    </row>
    <row r="2106" spans="2:10" x14ac:dyDescent="0.25">
      <c r="B2106" t="s">
        <v>6</v>
      </c>
      <c r="C2106" t="s">
        <v>308</v>
      </c>
      <c r="D2106" t="s">
        <v>45</v>
      </c>
      <c r="E2106" t="s">
        <v>46</v>
      </c>
      <c r="F2106" t="s">
        <v>26</v>
      </c>
      <c r="G2106" t="s">
        <v>44</v>
      </c>
      <c r="H2106" t="s">
        <v>44</v>
      </c>
      <c r="J2106" s="20">
        <v>0</v>
      </c>
    </row>
    <row r="2107" spans="2:10" x14ac:dyDescent="0.25">
      <c r="B2107" t="s">
        <v>6</v>
      </c>
      <c r="C2107" t="s">
        <v>308</v>
      </c>
      <c r="D2107" t="s">
        <v>297</v>
      </c>
      <c r="E2107" t="s">
        <v>298</v>
      </c>
      <c r="F2107" t="s">
        <v>26</v>
      </c>
      <c r="G2107" t="s">
        <v>299</v>
      </c>
      <c r="H2107" t="s">
        <v>299</v>
      </c>
      <c r="J2107" s="20"/>
    </row>
    <row r="2108" spans="2:10" x14ac:dyDescent="0.25">
      <c r="B2108" t="s">
        <v>6</v>
      </c>
      <c r="C2108" t="s">
        <v>308</v>
      </c>
      <c r="D2108" t="s">
        <v>300</v>
      </c>
      <c r="E2108" t="s">
        <v>301</v>
      </c>
      <c r="F2108" t="s">
        <v>21</v>
      </c>
      <c r="G2108" t="s">
        <v>299</v>
      </c>
      <c r="H2108" t="s">
        <v>299</v>
      </c>
      <c r="J2108" s="20"/>
    </row>
    <row r="2109" spans="2:10" x14ac:dyDescent="0.25">
      <c r="B2109" t="s">
        <v>6</v>
      </c>
      <c r="C2109" t="s">
        <v>308</v>
      </c>
      <c r="D2109" t="s">
        <v>47</v>
      </c>
      <c r="E2109" t="s">
        <v>48</v>
      </c>
      <c r="F2109" t="s">
        <v>26</v>
      </c>
      <c r="G2109" t="s">
        <v>49</v>
      </c>
      <c r="H2109" t="s">
        <v>49</v>
      </c>
      <c r="J2109" s="20">
        <v>0</v>
      </c>
    </row>
    <row r="2110" spans="2:10" x14ac:dyDescent="0.25">
      <c r="B2110" t="s">
        <v>6</v>
      </c>
      <c r="C2110" t="s">
        <v>309</v>
      </c>
      <c r="D2110">
        <v>701000</v>
      </c>
      <c r="E2110" t="s">
        <v>51</v>
      </c>
      <c r="F2110" t="s">
        <v>21</v>
      </c>
      <c r="G2110" t="s">
        <v>52</v>
      </c>
      <c r="H2110" t="s">
        <v>53</v>
      </c>
      <c r="J2110" s="20">
        <v>0</v>
      </c>
    </row>
    <row r="2111" spans="2:10" x14ac:dyDescent="0.25">
      <c r="B2111" t="s">
        <v>6</v>
      </c>
      <c r="C2111" t="s">
        <v>309</v>
      </c>
      <c r="D2111">
        <v>701008</v>
      </c>
      <c r="E2111" t="s">
        <v>54</v>
      </c>
      <c r="F2111" t="s">
        <v>21</v>
      </c>
      <c r="G2111" t="s">
        <v>52</v>
      </c>
      <c r="H2111" t="s">
        <v>53</v>
      </c>
      <c r="J2111" s="20">
        <v>0</v>
      </c>
    </row>
    <row r="2112" spans="2:10" x14ac:dyDescent="0.25">
      <c r="B2112" t="s">
        <v>6</v>
      </c>
      <c r="C2112" t="s">
        <v>309</v>
      </c>
      <c r="D2112">
        <v>701009</v>
      </c>
      <c r="E2112" t="s">
        <v>55</v>
      </c>
      <c r="F2112" t="s">
        <v>21</v>
      </c>
      <c r="G2112" t="s">
        <v>52</v>
      </c>
      <c r="H2112" t="s">
        <v>53</v>
      </c>
      <c r="J2112" s="20">
        <v>0</v>
      </c>
    </row>
    <row r="2113" spans="2:10" x14ac:dyDescent="0.25">
      <c r="B2113" t="s">
        <v>6</v>
      </c>
      <c r="C2113" t="s">
        <v>309</v>
      </c>
      <c r="D2113">
        <v>701010</v>
      </c>
      <c r="E2113" t="s">
        <v>56</v>
      </c>
      <c r="F2113" t="s">
        <v>21</v>
      </c>
      <c r="G2113" t="s">
        <v>52</v>
      </c>
      <c r="H2113" t="s">
        <v>57</v>
      </c>
      <c r="J2113" s="20">
        <v>0</v>
      </c>
    </row>
    <row r="2114" spans="2:10" x14ac:dyDescent="0.25">
      <c r="B2114" t="s">
        <v>6</v>
      </c>
      <c r="C2114" t="s">
        <v>309</v>
      </c>
      <c r="D2114">
        <v>701011</v>
      </c>
      <c r="E2114" t="s">
        <v>58</v>
      </c>
      <c r="F2114" t="s">
        <v>21</v>
      </c>
      <c r="G2114" t="s">
        <v>52</v>
      </c>
      <c r="H2114" t="s">
        <v>53</v>
      </c>
      <c r="J2114" s="20">
        <v>0</v>
      </c>
    </row>
    <row r="2115" spans="2:10" x14ac:dyDescent="0.25">
      <c r="B2115" t="s">
        <v>6</v>
      </c>
      <c r="C2115" t="s">
        <v>309</v>
      </c>
      <c r="D2115">
        <v>701012</v>
      </c>
      <c r="E2115" t="s">
        <v>59</v>
      </c>
      <c r="F2115" t="s">
        <v>21</v>
      </c>
      <c r="G2115" t="s">
        <v>52</v>
      </c>
      <c r="H2115" t="s">
        <v>53</v>
      </c>
      <c r="J2115" s="20">
        <v>0</v>
      </c>
    </row>
    <row r="2116" spans="2:10" x14ac:dyDescent="0.25">
      <c r="B2116" t="s">
        <v>6</v>
      </c>
      <c r="C2116" t="s">
        <v>309</v>
      </c>
      <c r="D2116">
        <v>701013</v>
      </c>
      <c r="E2116" t="s">
        <v>60</v>
      </c>
      <c r="F2116" t="s">
        <v>21</v>
      </c>
      <c r="G2116" t="s">
        <v>61</v>
      </c>
      <c r="H2116" t="s">
        <v>62</v>
      </c>
      <c r="J2116" s="20">
        <v>0</v>
      </c>
    </row>
    <row r="2117" spans="2:10" x14ac:dyDescent="0.25">
      <c r="B2117" t="s">
        <v>6</v>
      </c>
      <c r="C2117" t="s">
        <v>309</v>
      </c>
      <c r="D2117">
        <v>701014</v>
      </c>
      <c r="E2117" t="s">
        <v>63</v>
      </c>
      <c r="F2117" t="s">
        <v>21</v>
      </c>
      <c r="G2117" t="s">
        <v>61</v>
      </c>
      <c r="H2117" t="s">
        <v>64</v>
      </c>
      <c r="J2117" s="20">
        <v>0</v>
      </c>
    </row>
    <row r="2118" spans="2:10" x14ac:dyDescent="0.25">
      <c r="B2118" t="s">
        <v>6</v>
      </c>
      <c r="C2118" t="s">
        <v>309</v>
      </c>
      <c r="D2118">
        <v>701015</v>
      </c>
      <c r="E2118" t="s">
        <v>65</v>
      </c>
      <c r="F2118" t="s">
        <v>21</v>
      </c>
      <c r="G2118" t="s">
        <v>52</v>
      </c>
      <c r="H2118" t="s">
        <v>53</v>
      </c>
      <c r="J2118" s="20">
        <v>0</v>
      </c>
    </row>
    <row r="2119" spans="2:10" x14ac:dyDescent="0.25">
      <c r="B2119" t="s">
        <v>6</v>
      </c>
      <c r="C2119" t="s">
        <v>309</v>
      </c>
      <c r="D2119">
        <v>701016</v>
      </c>
      <c r="E2119" t="s">
        <v>66</v>
      </c>
      <c r="F2119" t="s">
        <v>21</v>
      </c>
      <c r="G2119" t="s">
        <v>52</v>
      </c>
      <c r="H2119" t="s">
        <v>53</v>
      </c>
      <c r="J2119" s="20">
        <v>0</v>
      </c>
    </row>
    <row r="2120" spans="2:10" x14ac:dyDescent="0.25">
      <c r="B2120" t="s">
        <v>6</v>
      </c>
      <c r="C2120" t="s">
        <v>309</v>
      </c>
      <c r="D2120">
        <v>701017</v>
      </c>
      <c r="E2120" t="s">
        <v>67</v>
      </c>
      <c r="F2120" t="s">
        <v>21</v>
      </c>
      <c r="G2120" t="s">
        <v>61</v>
      </c>
      <c r="H2120" t="s">
        <v>68</v>
      </c>
      <c r="J2120" s="20">
        <v>0</v>
      </c>
    </row>
    <row r="2121" spans="2:10" x14ac:dyDescent="0.25">
      <c r="B2121" t="s">
        <v>6</v>
      </c>
      <c r="C2121" t="s">
        <v>309</v>
      </c>
      <c r="D2121">
        <v>701018</v>
      </c>
      <c r="E2121" t="s">
        <v>69</v>
      </c>
      <c r="F2121" t="s">
        <v>21</v>
      </c>
      <c r="G2121" t="s">
        <v>61</v>
      </c>
      <c r="H2121" t="s">
        <v>68</v>
      </c>
      <c r="J2121" s="20">
        <v>0</v>
      </c>
    </row>
    <row r="2122" spans="2:10" x14ac:dyDescent="0.25">
      <c r="B2122" t="s">
        <v>6</v>
      </c>
      <c r="C2122" t="s">
        <v>309</v>
      </c>
      <c r="D2122">
        <v>701019</v>
      </c>
      <c r="E2122" t="s">
        <v>70</v>
      </c>
      <c r="F2122" t="s">
        <v>21</v>
      </c>
      <c r="G2122" t="s">
        <v>71</v>
      </c>
      <c r="H2122" t="s">
        <v>72</v>
      </c>
      <c r="J2122" s="20">
        <v>0</v>
      </c>
    </row>
    <row r="2123" spans="2:10" x14ac:dyDescent="0.25">
      <c r="B2123" t="s">
        <v>6</v>
      </c>
      <c r="C2123" t="s">
        <v>309</v>
      </c>
      <c r="D2123">
        <v>701020</v>
      </c>
      <c r="E2123" t="s">
        <v>73</v>
      </c>
      <c r="F2123" t="s">
        <v>21</v>
      </c>
      <c r="G2123" t="s">
        <v>52</v>
      </c>
      <c r="H2123" t="s">
        <v>53</v>
      </c>
      <c r="J2123" s="20">
        <v>0</v>
      </c>
    </row>
    <row r="2124" spans="2:10" x14ac:dyDescent="0.25">
      <c r="B2124" t="s">
        <v>6</v>
      </c>
      <c r="C2124" t="s">
        <v>309</v>
      </c>
      <c r="D2124">
        <v>701021</v>
      </c>
      <c r="E2124" t="s">
        <v>74</v>
      </c>
      <c r="F2124" t="s">
        <v>21</v>
      </c>
      <c r="G2124" t="s">
        <v>61</v>
      </c>
      <c r="H2124" t="s">
        <v>74</v>
      </c>
      <c r="J2124" s="20">
        <v>0</v>
      </c>
    </row>
    <row r="2125" spans="2:10" x14ac:dyDescent="0.25">
      <c r="B2125" t="s">
        <v>6</v>
      </c>
      <c r="C2125" t="s">
        <v>309</v>
      </c>
      <c r="D2125">
        <v>701022</v>
      </c>
      <c r="E2125" t="s">
        <v>75</v>
      </c>
      <c r="F2125" t="s">
        <v>21</v>
      </c>
      <c r="G2125" t="s">
        <v>76</v>
      </c>
      <c r="H2125" t="s">
        <v>77</v>
      </c>
      <c r="J2125" s="20">
        <v>0</v>
      </c>
    </row>
    <row r="2126" spans="2:10" x14ac:dyDescent="0.25">
      <c r="B2126" t="s">
        <v>6</v>
      </c>
      <c r="C2126" t="s">
        <v>309</v>
      </c>
      <c r="D2126">
        <v>701023</v>
      </c>
      <c r="E2126" t="s">
        <v>78</v>
      </c>
      <c r="F2126" t="s">
        <v>21</v>
      </c>
      <c r="G2126" t="s">
        <v>61</v>
      </c>
      <c r="H2126" t="s">
        <v>79</v>
      </c>
      <c r="J2126" s="20">
        <v>0</v>
      </c>
    </row>
    <row r="2127" spans="2:10" x14ac:dyDescent="0.25">
      <c r="B2127" t="s">
        <v>6</v>
      </c>
      <c r="C2127" t="s">
        <v>309</v>
      </c>
      <c r="D2127">
        <v>701024</v>
      </c>
      <c r="E2127" t="s">
        <v>80</v>
      </c>
      <c r="F2127" t="s">
        <v>21</v>
      </c>
      <c r="G2127" t="s">
        <v>76</v>
      </c>
      <c r="H2127" t="s">
        <v>77</v>
      </c>
      <c r="J2127" s="20">
        <v>0</v>
      </c>
    </row>
    <row r="2128" spans="2:10" x14ac:dyDescent="0.25">
      <c r="B2128" t="s">
        <v>6</v>
      </c>
      <c r="C2128" t="s">
        <v>309</v>
      </c>
      <c r="D2128">
        <v>701025</v>
      </c>
      <c r="E2128" t="s">
        <v>81</v>
      </c>
      <c r="F2128" t="s">
        <v>21</v>
      </c>
      <c r="G2128" t="s">
        <v>71</v>
      </c>
      <c r="H2128" t="s">
        <v>82</v>
      </c>
      <c r="J2128" s="20">
        <v>0</v>
      </c>
    </row>
    <row r="2129" spans="2:10" x14ac:dyDescent="0.25">
      <c r="B2129" t="s">
        <v>6</v>
      </c>
      <c r="C2129" t="s">
        <v>309</v>
      </c>
      <c r="D2129">
        <v>701026</v>
      </c>
      <c r="E2129" t="s">
        <v>83</v>
      </c>
      <c r="F2129" t="s">
        <v>21</v>
      </c>
      <c r="G2129" t="s">
        <v>76</v>
      </c>
      <c r="H2129" t="s">
        <v>77</v>
      </c>
      <c r="J2129" s="20">
        <v>0</v>
      </c>
    </row>
    <row r="2130" spans="2:10" x14ac:dyDescent="0.25">
      <c r="B2130" t="s">
        <v>6</v>
      </c>
      <c r="C2130" t="s">
        <v>309</v>
      </c>
      <c r="D2130">
        <v>701027</v>
      </c>
      <c r="E2130" t="s">
        <v>84</v>
      </c>
      <c r="F2130" t="s">
        <v>21</v>
      </c>
      <c r="G2130" t="s">
        <v>76</v>
      </c>
      <c r="H2130" t="s">
        <v>77</v>
      </c>
      <c r="J2130" s="20">
        <v>0</v>
      </c>
    </row>
    <row r="2131" spans="2:10" x14ac:dyDescent="0.25">
      <c r="B2131" t="s">
        <v>6</v>
      </c>
      <c r="C2131" t="s">
        <v>309</v>
      </c>
      <c r="D2131">
        <v>701028</v>
      </c>
      <c r="E2131" t="s">
        <v>85</v>
      </c>
      <c r="F2131" t="s">
        <v>21</v>
      </c>
      <c r="G2131" t="s">
        <v>61</v>
      </c>
      <c r="H2131" t="s">
        <v>68</v>
      </c>
      <c r="J2131" s="20">
        <v>0</v>
      </c>
    </row>
    <row r="2132" spans="2:10" x14ac:dyDescent="0.25">
      <c r="B2132" t="s">
        <v>6</v>
      </c>
      <c r="C2132" t="s">
        <v>309</v>
      </c>
      <c r="D2132">
        <v>701029</v>
      </c>
      <c r="E2132" t="s">
        <v>86</v>
      </c>
      <c r="F2132" t="s">
        <v>21</v>
      </c>
      <c r="G2132" t="s">
        <v>61</v>
      </c>
      <c r="H2132" t="s">
        <v>68</v>
      </c>
      <c r="J2132" s="20">
        <v>0</v>
      </c>
    </row>
    <row r="2133" spans="2:10" x14ac:dyDescent="0.25">
      <c r="B2133" t="s">
        <v>6</v>
      </c>
      <c r="C2133" t="s">
        <v>309</v>
      </c>
      <c r="D2133">
        <v>701030</v>
      </c>
      <c r="E2133" t="s">
        <v>87</v>
      </c>
      <c r="F2133" t="s">
        <v>21</v>
      </c>
      <c r="G2133" t="s">
        <v>71</v>
      </c>
      <c r="H2133" t="s">
        <v>88</v>
      </c>
      <c r="J2133" s="20">
        <v>0</v>
      </c>
    </row>
    <row r="2134" spans="2:10" x14ac:dyDescent="0.25">
      <c r="B2134" t="s">
        <v>6</v>
      </c>
      <c r="C2134" t="s">
        <v>309</v>
      </c>
      <c r="D2134">
        <v>701031</v>
      </c>
      <c r="E2134" t="s">
        <v>89</v>
      </c>
      <c r="F2134" t="s">
        <v>21</v>
      </c>
      <c r="G2134" t="s">
        <v>76</v>
      </c>
      <c r="H2134" t="s">
        <v>77</v>
      </c>
      <c r="J2134" s="20">
        <v>0</v>
      </c>
    </row>
    <row r="2135" spans="2:10" x14ac:dyDescent="0.25">
      <c r="B2135" t="s">
        <v>6</v>
      </c>
      <c r="C2135" t="s">
        <v>309</v>
      </c>
      <c r="D2135">
        <v>701032</v>
      </c>
      <c r="E2135" t="s">
        <v>90</v>
      </c>
      <c r="F2135" t="s">
        <v>21</v>
      </c>
      <c r="G2135" t="s">
        <v>52</v>
      </c>
      <c r="H2135" t="s">
        <v>53</v>
      </c>
      <c r="J2135" s="20">
        <v>0</v>
      </c>
    </row>
    <row r="2136" spans="2:10" x14ac:dyDescent="0.25">
      <c r="B2136" t="s">
        <v>6</v>
      </c>
      <c r="C2136" t="s">
        <v>309</v>
      </c>
      <c r="D2136">
        <v>701034</v>
      </c>
      <c r="E2136" t="s">
        <v>91</v>
      </c>
      <c r="F2136" t="s">
        <v>21</v>
      </c>
      <c r="G2136" t="s">
        <v>76</v>
      </c>
      <c r="H2136" t="s">
        <v>77</v>
      </c>
      <c r="J2136" s="20">
        <v>0</v>
      </c>
    </row>
    <row r="2137" spans="2:10" x14ac:dyDescent="0.25">
      <c r="B2137" t="s">
        <v>6</v>
      </c>
      <c r="C2137" t="s">
        <v>309</v>
      </c>
      <c r="D2137">
        <v>701035</v>
      </c>
      <c r="E2137" t="s">
        <v>92</v>
      </c>
      <c r="F2137" t="s">
        <v>21</v>
      </c>
      <c r="G2137" t="s">
        <v>61</v>
      </c>
      <c r="H2137" t="s">
        <v>68</v>
      </c>
      <c r="J2137" s="20">
        <v>0</v>
      </c>
    </row>
    <row r="2138" spans="2:10" x14ac:dyDescent="0.25">
      <c r="B2138" t="s">
        <v>6</v>
      </c>
      <c r="C2138" t="s">
        <v>309</v>
      </c>
      <c r="D2138">
        <v>701036</v>
      </c>
      <c r="E2138" t="s">
        <v>93</v>
      </c>
      <c r="F2138" t="s">
        <v>21</v>
      </c>
      <c r="G2138" t="s">
        <v>52</v>
      </c>
      <c r="H2138" t="s">
        <v>53</v>
      </c>
      <c r="J2138" s="20">
        <v>0</v>
      </c>
    </row>
    <row r="2139" spans="2:10" x14ac:dyDescent="0.25">
      <c r="B2139" t="s">
        <v>6</v>
      </c>
      <c r="C2139" t="s">
        <v>309</v>
      </c>
      <c r="D2139">
        <v>701113</v>
      </c>
      <c r="E2139" t="s">
        <v>94</v>
      </c>
      <c r="F2139" t="s">
        <v>21</v>
      </c>
      <c r="G2139" t="s">
        <v>61</v>
      </c>
      <c r="H2139" t="s">
        <v>62</v>
      </c>
      <c r="J2139" s="20">
        <v>0</v>
      </c>
    </row>
    <row r="2140" spans="2:10" x14ac:dyDescent="0.25">
      <c r="B2140" t="s">
        <v>6</v>
      </c>
      <c r="C2140" t="s">
        <v>309</v>
      </c>
      <c r="D2140">
        <v>701119</v>
      </c>
      <c r="E2140" t="s">
        <v>95</v>
      </c>
      <c r="F2140" t="s">
        <v>21</v>
      </c>
      <c r="G2140" t="s">
        <v>22</v>
      </c>
      <c r="H2140" t="s">
        <v>23</v>
      </c>
      <c r="J2140" s="20">
        <v>0</v>
      </c>
    </row>
    <row r="2141" spans="2:10" x14ac:dyDescent="0.25">
      <c r="B2141" t="s">
        <v>6</v>
      </c>
      <c r="C2141" t="s">
        <v>309</v>
      </c>
      <c r="D2141">
        <v>701120</v>
      </c>
      <c r="E2141" t="s">
        <v>96</v>
      </c>
      <c r="F2141" t="s">
        <v>21</v>
      </c>
      <c r="G2141" t="s">
        <v>22</v>
      </c>
      <c r="H2141" t="s">
        <v>23</v>
      </c>
      <c r="J2141" s="20">
        <v>0</v>
      </c>
    </row>
    <row r="2142" spans="2:10" x14ac:dyDescent="0.25">
      <c r="B2142" t="s">
        <v>6</v>
      </c>
      <c r="C2142" t="s">
        <v>309</v>
      </c>
      <c r="D2142">
        <v>701121</v>
      </c>
      <c r="E2142" t="s">
        <v>97</v>
      </c>
      <c r="F2142" t="s">
        <v>21</v>
      </c>
      <c r="G2142" t="s">
        <v>22</v>
      </c>
      <c r="H2142" t="s">
        <v>23</v>
      </c>
      <c r="J2142" s="20">
        <v>0</v>
      </c>
    </row>
    <row r="2143" spans="2:10" x14ac:dyDescent="0.25">
      <c r="B2143" t="s">
        <v>6</v>
      </c>
      <c r="C2143" t="s">
        <v>309</v>
      </c>
      <c r="D2143">
        <v>701122</v>
      </c>
      <c r="E2143" t="s">
        <v>98</v>
      </c>
      <c r="F2143" t="s">
        <v>21</v>
      </c>
      <c r="G2143" t="s">
        <v>71</v>
      </c>
      <c r="H2143" t="s">
        <v>88</v>
      </c>
      <c r="J2143" s="20">
        <v>0</v>
      </c>
    </row>
    <row r="2144" spans="2:10" x14ac:dyDescent="0.25">
      <c r="B2144" t="s">
        <v>6</v>
      </c>
      <c r="C2144" t="s">
        <v>309</v>
      </c>
      <c r="D2144">
        <v>701123</v>
      </c>
      <c r="E2144" t="s">
        <v>99</v>
      </c>
      <c r="F2144" t="s">
        <v>21</v>
      </c>
      <c r="G2144" t="s">
        <v>22</v>
      </c>
      <c r="H2144" t="s">
        <v>23</v>
      </c>
      <c r="J2144" s="20">
        <v>0</v>
      </c>
    </row>
    <row r="2145" spans="2:10" x14ac:dyDescent="0.25">
      <c r="B2145" t="s">
        <v>6</v>
      </c>
      <c r="C2145" t="s">
        <v>309</v>
      </c>
      <c r="D2145">
        <v>701127</v>
      </c>
      <c r="E2145" t="s">
        <v>100</v>
      </c>
      <c r="F2145" t="s">
        <v>21</v>
      </c>
      <c r="G2145" t="s">
        <v>76</v>
      </c>
      <c r="H2145" t="s">
        <v>77</v>
      </c>
      <c r="J2145" s="20">
        <v>0</v>
      </c>
    </row>
    <row r="2146" spans="2:10" x14ac:dyDescent="0.25">
      <c r="B2146" t="s">
        <v>6</v>
      </c>
      <c r="C2146" t="s">
        <v>309</v>
      </c>
      <c r="D2146">
        <v>701213</v>
      </c>
      <c r="E2146" t="s">
        <v>101</v>
      </c>
      <c r="F2146" t="s">
        <v>21</v>
      </c>
      <c r="G2146" t="s">
        <v>61</v>
      </c>
      <c r="H2146" t="s">
        <v>62</v>
      </c>
      <c r="J2146" s="20">
        <v>0</v>
      </c>
    </row>
    <row r="2147" spans="2:10" x14ac:dyDescent="0.25">
      <c r="B2147" t="s">
        <v>6</v>
      </c>
      <c r="C2147" t="s">
        <v>309</v>
      </c>
      <c r="D2147">
        <v>701214</v>
      </c>
      <c r="E2147" t="s">
        <v>102</v>
      </c>
      <c r="F2147" t="s">
        <v>21</v>
      </c>
      <c r="G2147" t="s">
        <v>61</v>
      </c>
      <c r="H2147" t="s">
        <v>62</v>
      </c>
      <c r="J2147" s="20">
        <v>0</v>
      </c>
    </row>
    <row r="2148" spans="2:10" x14ac:dyDescent="0.25">
      <c r="B2148" t="s">
        <v>6</v>
      </c>
      <c r="C2148" t="s">
        <v>309</v>
      </c>
      <c r="D2148">
        <v>701215</v>
      </c>
      <c r="E2148" t="s">
        <v>103</v>
      </c>
      <c r="F2148" t="s">
        <v>21</v>
      </c>
      <c r="G2148" t="s">
        <v>61</v>
      </c>
      <c r="H2148" t="s">
        <v>62</v>
      </c>
      <c r="J2148" s="20">
        <v>0</v>
      </c>
    </row>
    <row r="2149" spans="2:10" x14ac:dyDescent="0.25">
      <c r="B2149" t="s">
        <v>6</v>
      </c>
      <c r="C2149" t="s">
        <v>309</v>
      </c>
      <c r="D2149">
        <v>701227</v>
      </c>
      <c r="E2149" t="s">
        <v>104</v>
      </c>
      <c r="F2149" t="s">
        <v>21</v>
      </c>
      <c r="G2149" t="s">
        <v>76</v>
      </c>
      <c r="H2149" t="s">
        <v>77</v>
      </c>
      <c r="J2149" s="20">
        <v>0</v>
      </c>
    </row>
    <row r="2150" spans="2:10" x14ac:dyDescent="0.25">
      <c r="B2150" t="s">
        <v>6</v>
      </c>
      <c r="C2150" t="s">
        <v>309</v>
      </c>
      <c r="D2150">
        <v>701327</v>
      </c>
      <c r="E2150" t="s">
        <v>106</v>
      </c>
      <c r="F2150" t="s">
        <v>21</v>
      </c>
      <c r="G2150" t="s">
        <v>76</v>
      </c>
      <c r="H2150" t="s">
        <v>77</v>
      </c>
      <c r="J2150" s="20">
        <v>0</v>
      </c>
    </row>
    <row r="2151" spans="2:10" x14ac:dyDescent="0.25">
      <c r="B2151" t="s">
        <v>6</v>
      </c>
      <c r="C2151" t="s">
        <v>309</v>
      </c>
      <c r="D2151">
        <v>701427</v>
      </c>
      <c r="E2151" t="s">
        <v>107</v>
      </c>
      <c r="F2151" t="s">
        <v>21</v>
      </c>
      <c r="G2151" t="s">
        <v>76</v>
      </c>
      <c r="H2151" t="s">
        <v>108</v>
      </c>
      <c r="J2151" s="20">
        <v>0</v>
      </c>
    </row>
    <row r="2152" spans="2:10" x14ac:dyDescent="0.25">
      <c r="B2152" t="s">
        <v>6</v>
      </c>
      <c r="C2152" t="s">
        <v>309</v>
      </c>
      <c r="D2152">
        <v>701527</v>
      </c>
      <c r="E2152" t="s">
        <v>109</v>
      </c>
      <c r="F2152" t="s">
        <v>21</v>
      </c>
      <c r="G2152" t="s">
        <v>76</v>
      </c>
      <c r="H2152" t="s">
        <v>77</v>
      </c>
      <c r="J2152" s="20">
        <v>0</v>
      </c>
    </row>
    <row r="2153" spans="2:10" x14ac:dyDescent="0.25">
      <c r="B2153" t="s">
        <v>6</v>
      </c>
      <c r="C2153" t="s">
        <v>309</v>
      </c>
      <c r="D2153">
        <v>701627</v>
      </c>
      <c r="E2153" t="s">
        <v>110</v>
      </c>
      <c r="F2153" t="s">
        <v>21</v>
      </c>
      <c r="G2153" t="s">
        <v>76</v>
      </c>
      <c r="H2153" t="s">
        <v>77</v>
      </c>
      <c r="J2153" s="20">
        <v>0</v>
      </c>
    </row>
    <row r="2154" spans="2:10" x14ac:dyDescent="0.25">
      <c r="B2154" t="s">
        <v>6</v>
      </c>
      <c r="C2154" t="s">
        <v>309</v>
      </c>
      <c r="D2154">
        <v>701727</v>
      </c>
      <c r="E2154" t="s">
        <v>111</v>
      </c>
      <c r="F2154" t="s">
        <v>21</v>
      </c>
      <c r="G2154" t="s">
        <v>76</v>
      </c>
      <c r="H2154" t="s">
        <v>77</v>
      </c>
      <c r="J2154" s="20">
        <v>0</v>
      </c>
    </row>
    <row r="2155" spans="2:10" x14ac:dyDescent="0.25">
      <c r="B2155" t="s">
        <v>6</v>
      </c>
      <c r="C2155" t="s">
        <v>309</v>
      </c>
      <c r="D2155">
        <v>701801</v>
      </c>
      <c r="E2155" t="s">
        <v>112</v>
      </c>
      <c r="F2155" t="s">
        <v>21</v>
      </c>
      <c r="G2155" t="s">
        <v>76</v>
      </c>
      <c r="H2155" t="s">
        <v>77</v>
      </c>
      <c r="J2155" s="20">
        <v>0</v>
      </c>
    </row>
    <row r="2156" spans="2:10" x14ac:dyDescent="0.25">
      <c r="B2156" t="s">
        <v>6</v>
      </c>
      <c r="C2156" t="s">
        <v>309</v>
      </c>
      <c r="D2156">
        <v>701802</v>
      </c>
      <c r="E2156" t="s">
        <v>113</v>
      </c>
      <c r="F2156" t="s">
        <v>21</v>
      </c>
      <c r="G2156" t="s">
        <v>61</v>
      </c>
      <c r="H2156" t="s">
        <v>62</v>
      </c>
      <c r="J2156" s="20">
        <v>0</v>
      </c>
    </row>
    <row r="2157" spans="2:10" x14ac:dyDescent="0.25">
      <c r="B2157" t="s">
        <v>6</v>
      </c>
      <c r="C2157" t="s">
        <v>309</v>
      </c>
      <c r="D2157">
        <v>703010</v>
      </c>
      <c r="E2157" t="s">
        <v>114</v>
      </c>
      <c r="F2157" t="s">
        <v>21</v>
      </c>
      <c r="G2157" t="s">
        <v>22</v>
      </c>
      <c r="H2157" t="s">
        <v>115</v>
      </c>
      <c r="J2157" s="20">
        <v>0</v>
      </c>
    </row>
    <row r="2158" spans="2:10" x14ac:dyDescent="0.25">
      <c r="B2158" t="s">
        <v>6</v>
      </c>
      <c r="C2158" t="s">
        <v>309</v>
      </c>
      <c r="D2158">
        <v>703011</v>
      </c>
      <c r="E2158" t="s">
        <v>116</v>
      </c>
      <c r="F2158" t="s">
        <v>21</v>
      </c>
      <c r="G2158" t="s">
        <v>22</v>
      </c>
      <c r="H2158" t="s">
        <v>115</v>
      </c>
      <c r="J2158" s="20">
        <v>0</v>
      </c>
    </row>
    <row r="2159" spans="2:10" x14ac:dyDescent="0.25">
      <c r="B2159" t="s">
        <v>6</v>
      </c>
      <c r="C2159" t="s">
        <v>309</v>
      </c>
      <c r="D2159">
        <v>703012</v>
      </c>
      <c r="E2159" t="s">
        <v>117</v>
      </c>
      <c r="F2159" t="s">
        <v>21</v>
      </c>
      <c r="G2159" t="s">
        <v>22</v>
      </c>
      <c r="H2159" t="s">
        <v>115</v>
      </c>
      <c r="J2159" s="20">
        <v>0</v>
      </c>
    </row>
    <row r="2160" spans="2:10" x14ac:dyDescent="0.25">
      <c r="B2160" t="s">
        <v>6</v>
      </c>
      <c r="C2160" t="s">
        <v>309</v>
      </c>
      <c r="D2160">
        <v>703013</v>
      </c>
      <c r="E2160" t="s">
        <v>118</v>
      </c>
      <c r="F2160" t="s">
        <v>21</v>
      </c>
      <c r="G2160" t="s">
        <v>22</v>
      </c>
      <c r="H2160" t="s">
        <v>115</v>
      </c>
      <c r="J2160" s="20">
        <v>0</v>
      </c>
    </row>
    <row r="2161" spans="2:10" x14ac:dyDescent="0.25">
      <c r="B2161" t="s">
        <v>6</v>
      </c>
      <c r="C2161" t="s">
        <v>309</v>
      </c>
      <c r="D2161">
        <v>703014</v>
      </c>
      <c r="E2161" t="s">
        <v>119</v>
      </c>
      <c r="F2161" t="s">
        <v>21</v>
      </c>
      <c r="G2161" t="s">
        <v>22</v>
      </c>
      <c r="H2161" t="s">
        <v>115</v>
      </c>
      <c r="J2161" s="20">
        <v>0</v>
      </c>
    </row>
    <row r="2162" spans="2:10" x14ac:dyDescent="0.25">
      <c r="B2162" t="s">
        <v>6</v>
      </c>
      <c r="C2162" t="s">
        <v>309</v>
      </c>
      <c r="D2162">
        <v>703015</v>
      </c>
      <c r="E2162" t="s">
        <v>120</v>
      </c>
      <c r="F2162" t="s">
        <v>21</v>
      </c>
      <c r="G2162" t="s">
        <v>22</v>
      </c>
      <c r="H2162" t="s">
        <v>115</v>
      </c>
      <c r="J2162" s="20">
        <v>0</v>
      </c>
    </row>
    <row r="2163" spans="2:10" x14ac:dyDescent="0.25">
      <c r="B2163" t="s">
        <v>6</v>
      </c>
      <c r="C2163" t="s">
        <v>309</v>
      </c>
      <c r="D2163">
        <v>703016</v>
      </c>
      <c r="E2163" t="s">
        <v>121</v>
      </c>
      <c r="F2163" t="s">
        <v>21</v>
      </c>
      <c r="G2163" t="s">
        <v>22</v>
      </c>
      <c r="H2163" t="s">
        <v>115</v>
      </c>
      <c r="J2163" s="20">
        <v>0</v>
      </c>
    </row>
    <row r="2164" spans="2:10" x14ac:dyDescent="0.25">
      <c r="B2164" t="s">
        <v>6</v>
      </c>
      <c r="C2164" t="s">
        <v>309</v>
      </c>
      <c r="D2164">
        <v>703017</v>
      </c>
      <c r="E2164" t="s">
        <v>122</v>
      </c>
      <c r="F2164" t="s">
        <v>21</v>
      </c>
      <c r="G2164" t="s">
        <v>22</v>
      </c>
      <c r="H2164" t="s">
        <v>115</v>
      </c>
      <c r="J2164" s="20">
        <v>0</v>
      </c>
    </row>
    <row r="2165" spans="2:10" x14ac:dyDescent="0.25">
      <c r="B2165" t="s">
        <v>6</v>
      </c>
      <c r="C2165" t="s">
        <v>309</v>
      </c>
      <c r="D2165">
        <v>703018</v>
      </c>
      <c r="E2165" t="s">
        <v>123</v>
      </c>
      <c r="F2165" t="s">
        <v>21</v>
      </c>
      <c r="G2165" t="s">
        <v>22</v>
      </c>
      <c r="H2165" t="s">
        <v>115</v>
      </c>
      <c r="J2165" s="20">
        <v>0</v>
      </c>
    </row>
    <row r="2166" spans="2:10" x14ac:dyDescent="0.25">
      <c r="B2166" t="s">
        <v>6</v>
      </c>
      <c r="C2166" t="s">
        <v>309</v>
      </c>
      <c r="D2166">
        <v>703019</v>
      </c>
      <c r="E2166" t="s">
        <v>124</v>
      </c>
      <c r="F2166" t="s">
        <v>21</v>
      </c>
      <c r="G2166" t="s">
        <v>22</v>
      </c>
      <c r="H2166" t="s">
        <v>115</v>
      </c>
      <c r="J2166" s="20">
        <v>0</v>
      </c>
    </row>
    <row r="2167" spans="2:10" x14ac:dyDescent="0.25">
      <c r="B2167" t="s">
        <v>6</v>
      </c>
      <c r="C2167" t="s">
        <v>309</v>
      </c>
      <c r="D2167">
        <v>703210</v>
      </c>
      <c r="E2167" t="s">
        <v>125</v>
      </c>
      <c r="F2167" t="s">
        <v>21</v>
      </c>
      <c r="G2167" t="s">
        <v>22</v>
      </c>
      <c r="H2167" t="s">
        <v>23</v>
      </c>
      <c r="J2167" s="20">
        <v>0</v>
      </c>
    </row>
    <row r="2168" spans="2:10" x14ac:dyDescent="0.25">
      <c r="B2168" t="s">
        <v>6</v>
      </c>
      <c r="C2168" t="s">
        <v>309</v>
      </c>
      <c r="D2168">
        <v>703211</v>
      </c>
      <c r="E2168" t="s">
        <v>126</v>
      </c>
      <c r="F2168" t="s">
        <v>21</v>
      </c>
      <c r="G2168" t="s">
        <v>22</v>
      </c>
      <c r="H2168" t="s">
        <v>23</v>
      </c>
      <c r="J2168" s="20">
        <v>0</v>
      </c>
    </row>
    <row r="2169" spans="2:10" x14ac:dyDescent="0.25">
      <c r="B2169" t="s">
        <v>6</v>
      </c>
      <c r="C2169" t="s">
        <v>309</v>
      </c>
      <c r="D2169">
        <v>703212</v>
      </c>
      <c r="E2169" t="s">
        <v>127</v>
      </c>
      <c r="F2169" t="s">
        <v>21</v>
      </c>
      <c r="G2169" t="s">
        <v>22</v>
      </c>
      <c r="H2169" t="s">
        <v>23</v>
      </c>
      <c r="J2169" s="20">
        <v>0</v>
      </c>
    </row>
    <row r="2170" spans="2:10" x14ac:dyDescent="0.25">
      <c r="B2170" t="s">
        <v>6</v>
      </c>
      <c r="C2170" t="s">
        <v>309</v>
      </c>
      <c r="D2170">
        <v>703213</v>
      </c>
      <c r="E2170" t="s">
        <v>128</v>
      </c>
      <c r="F2170" t="s">
        <v>21</v>
      </c>
      <c r="G2170" t="s">
        <v>22</v>
      </c>
      <c r="H2170" t="s">
        <v>23</v>
      </c>
      <c r="J2170" s="20">
        <v>0</v>
      </c>
    </row>
    <row r="2171" spans="2:10" x14ac:dyDescent="0.25">
      <c r="B2171" t="s">
        <v>6</v>
      </c>
      <c r="C2171" t="s">
        <v>309</v>
      </c>
      <c r="D2171">
        <v>703214</v>
      </c>
      <c r="E2171" t="s">
        <v>129</v>
      </c>
      <c r="F2171" t="s">
        <v>21</v>
      </c>
      <c r="G2171" t="s">
        <v>22</v>
      </c>
      <c r="H2171" t="s">
        <v>23</v>
      </c>
      <c r="J2171" s="20">
        <v>0</v>
      </c>
    </row>
    <row r="2172" spans="2:10" x14ac:dyDescent="0.25">
      <c r="B2172" t="s">
        <v>6</v>
      </c>
      <c r="C2172" t="s">
        <v>309</v>
      </c>
      <c r="D2172">
        <v>703215</v>
      </c>
      <c r="E2172" t="s">
        <v>130</v>
      </c>
      <c r="F2172" t="s">
        <v>21</v>
      </c>
      <c r="G2172" t="s">
        <v>22</v>
      </c>
      <c r="H2172" t="s">
        <v>23</v>
      </c>
      <c r="J2172" s="20">
        <v>0</v>
      </c>
    </row>
    <row r="2173" spans="2:10" x14ac:dyDescent="0.25">
      <c r="B2173" t="s">
        <v>6</v>
      </c>
      <c r="C2173" t="s">
        <v>309</v>
      </c>
      <c r="D2173">
        <v>703216</v>
      </c>
      <c r="E2173" t="s">
        <v>131</v>
      </c>
      <c r="F2173" t="s">
        <v>21</v>
      </c>
      <c r="G2173" t="s">
        <v>22</v>
      </c>
      <c r="H2173" t="s">
        <v>23</v>
      </c>
      <c r="J2173" s="20">
        <v>0</v>
      </c>
    </row>
    <row r="2174" spans="2:10" x14ac:dyDescent="0.25">
      <c r="B2174" t="s">
        <v>6</v>
      </c>
      <c r="C2174" t="s">
        <v>309</v>
      </c>
      <c r="D2174">
        <v>703217</v>
      </c>
      <c r="E2174" t="s">
        <v>132</v>
      </c>
      <c r="F2174" t="s">
        <v>21</v>
      </c>
      <c r="G2174" t="s">
        <v>22</v>
      </c>
      <c r="H2174" t="s">
        <v>23</v>
      </c>
      <c r="J2174" s="20">
        <v>0</v>
      </c>
    </row>
    <row r="2175" spans="2:10" x14ac:dyDescent="0.25">
      <c r="B2175" t="s">
        <v>6</v>
      </c>
      <c r="C2175" t="s">
        <v>309</v>
      </c>
      <c r="D2175">
        <v>703219</v>
      </c>
      <c r="E2175" t="s">
        <v>133</v>
      </c>
      <c r="F2175" t="s">
        <v>21</v>
      </c>
      <c r="G2175" t="s">
        <v>22</v>
      </c>
      <c r="H2175" t="s">
        <v>23</v>
      </c>
      <c r="J2175" s="20">
        <v>0</v>
      </c>
    </row>
    <row r="2176" spans="2:10" x14ac:dyDescent="0.25">
      <c r="B2176" t="s">
        <v>6</v>
      </c>
      <c r="C2176" t="s">
        <v>309</v>
      </c>
      <c r="D2176">
        <v>703220</v>
      </c>
      <c r="E2176" t="s">
        <v>134</v>
      </c>
      <c r="F2176" t="s">
        <v>21</v>
      </c>
      <c r="G2176" t="s">
        <v>71</v>
      </c>
      <c r="H2176" t="s">
        <v>135</v>
      </c>
      <c r="J2176" s="20">
        <v>0</v>
      </c>
    </row>
    <row r="2177" spans="2:10" x14ac:dyDescent="0.25">
      <c r="B2177" t="s">
        <v>6</v>
      </c>
      <c r="C2177" t="s">
        <v>309</v>
      </c>
      <c r="D2177">
        <v>703221</v>
      </c>
      <c r="E2177" t="s">
        <v>136</v>
      </c>
      <c r="F2177" t="s">
        <v>21</v>
      </c>
      <c r="G2177" t="s">
        <v>137</v>
      </c>
      <c r="H2177" t="s">
        <v>138</v>
      </c>
      <c r="J2177" s="20">
        <v>0</v>
      </c>
    </row>
    <row r="2178" spans="2:10" x14ac:dyDescent="0.25">
      <c r="B2178" t="s">
        <v>6</v>
      </c>
      <c r="C2178" t="s">
        <v>309</v>
      </c>
      <c r="D2178">
        <v>703222</v>
      </c>
      <c r="E2178" t="s">
        <v>139</v>
      </c>
      <c r="F2178" t="s">
        <v>21</v>
      </c>
      <c r="G2178" t="s">
        <v>137</v>
      </c>
      <c r="H2178" t="s">
        <v>138</v>
      </c>
      <c r="J2178" s="20">
        <v>0</v>
      </c>
    </row>
    <row r="2179" spans="2:10" x14ac:dyDescent="0.25">
      <c r="B2179" t="s">
        <v>6</v>
      </c>
      <c r="C2179" t="s">
        <v>309</v>
      </c>
      <c r="D2179">
        <v>703223</v>
      </c>
      <c r="E2179" t="s">
        <v>140</v>
      </c>
      <c r="F2179" t="s">
        <v>21</v>
      </c>
      <c r="G2179" t="s">
        <v>137</v>
      </c>
      <c r="H2179" t="s">
        <v>141</v>
      </c>
      <c r="J2179" s="20">
        <v>0</v>
      </c>
    </row>
    <row r="2180" spans="2:10" x14ac:dyDescent="0.25">
      <c r="B2180" t="s">
        <v>6</v>
      </c>
      <c r="C2180" t="s">
        <v>309</v>
      </c>
      <c r="D2180">
        <v>703224</v>
      </c>
      <c r="E2180" t="s">
        <v>142</v>
      </c>
      <c r="F2180" t="s">
        <v>21</v>
      </c>
      <c r="G2180" t="s">
        <v>71</v>
      </c>
      <c r="H2180" t="s">
        <v>88</v>
      </c>
      <c r="J2180" s="20">
        <v>0</v>
      </c>
    </row>
    <row r="2181" spans="2:10" x14ac:dyDescent="0.25">
      <c r="B2181" t="s">
        <v>6</v>
      </c>
      <c r="C2181" t="s">
        <v>309</v>
      </c>
      <c r="D2181">
        <v>703225</v>
      </c>
      <c r="E2181" t="s">
        <v>143</v>
      </c>
      <c r="F2181" t="s">
        <v>21</v>
      </c>
      <c r="G2181" t="s">
        <v>71</v>
      </c>
      <c r="H2181" t="s">
        <v>88</v>
      </c>
      <c r="J2181" s="20">
        <v>0</v>
      </c>
    </row>
    <row r="2182" spans="2:10" x14ac:dyDescent="0.25">
      <c r="B2182" t="s">
        <v>6</v>
      </c>
      <c r="C2182" t="s">
        <v>309</v>
      </c>
      <c r="D2182">
        <v>703226</v>
      </c>
      <c r="E2182" t="s">
        <v>144</v>
      </c>
      <c r="F2182" t="s">
        <v>21</v>
      </c>
      <c r="G2182" t="s">
        <v>71</v>
      </c>
      <c r="H2182" t="s">
        <v>82</v>
      </c>
      <c r="J2182" s="20">
        <v>0</v>
      </c>
    </row>
    <row r="2183" spans="2:10" x14ac:dyDescent="0.25">
      <c r="B2183" t="s">
        <v>6</v>
      </c>
      <c r="C2183" t="s">
        <v>309</v>
      </c>
      <c r="D2183">
        <v>703227</v>
      </c>
      <c r="E2183" t="s">
        <v>145</v>
      </c>
      <c r="F2183" t="s">
        <v>21</v>
      </c>
      <c r="G2183" t="s">
        <v>137</v>
      </c>
      <c r="H2183" t="s">
        <v>138</v>
      </c>
      <c r="J2183" s="20">
        <v>0</v>
      </c>
    </row>
    <row r="2184" spans="2:10" x14ac:dyDescent="0.25">
      <c r="B2184" t="s">
        <v>6</v>
      </c>
      <c r="C2184" t="s">
        <v>309</v>
      </c>
      <c r="D2184">
        <v>703228</v>
      </c>
      <c r="E2184" t="s">
        <v>146</v>
      </c>
      <c r="F2184" t="s">
        <v>21</v>
      </c>
      <c r="G2184" t="s">
        <v>147</v>
      </c>
      <c r="H2184" t="s">
        <v>147</v>
      </c>
      <c r="J2184" s="20">
        <v>0</v>
      </c>
    </row>
    <row r="2185" spans="2:10" x14ac:dyDescent="0.25">
      <c r="B2185" t="s">
        <v>6</v>
      </c>
      <c r="C2185" t="s">
        <v>309</v>
      </c>
      <c r="D2185">
        <v>703229</v>
      </c>
      <c r="E2185" t="s">
        <v>148</v>
      </c>
      <c r="F2185" t="s">
        <v>21</v>
      </c>
      <c r="G2185" t="s">
        <v>147</v>
      </c>
      <c r="H2185" t="s">
        <v>147</v>
      </c>
      <c r="J2185" s="20">
        <v>0</v>
      </c>
    </row>
    <row r="2186" spans="2:10" x14ac:dyDescent="0.25">
      <c r="B2186" t="s">
        <v>6</v>
      </c>
      <c r="C2186" t="s">
        <v>309</v>
      </c>
      <c r="D2186">
        <v>703230</v>
      </c>
      <c r="E2186" t="s">
        <v>149</v>
      </c>
      <c r="F2186" t="s">
        <v>21</v>
      </c>
      <c r="G2186" t="s">
        <v>147</v>
      </c>
      <c r="H2186" t="s">
        <v>147</v>
      </c>
      <c r="J2186" s="20">
        <v>0</v>
      </c>
    </row>
    <row r="2187" spans="2:10" x14ac:dyDescent="0.25">
      <c r="B2187" t="s">
        <v>6</v>
      </c>
      <c r="C2187" t="s">
        <v>309</v>
      </c>
      <c r="D2187">
        <v>703231</v>
      </c>
      <c r="E2187" t="s">
        <v>150</v>
      </c>
      <c r="F2187" t="s">
        <v>21</v>
      </c>
      <c r="G2187" t="s">
        <v>137</v>
      </c>
      <c r="H2187" t="s">
        <v>141</v>
      </c>
      <c r="J2187" s="20">
        <v>0</v>
      </c>
    </row>
    <row r="2188" spans="2:10" x14ac:dyDescent="0.25">
      <c r="B2188" t="s">
        <v>6</v>
      </c>
      <c r="C2188" t="s">
        <v>309</v>
      </c>
      <c r="D2188">
        <v>703232</v>
      </c>
      <c r="E2188" t="s">
        <v>151</v>
      </c>
      <c r="F2188" t="s">
        <v>21</v>
      </c>
      <c r="G2188" t="s">
        <v>147</v>
      </c>
      <c r="H2188" t="s">
        <v>147</v>
      </c>
      <c r="J2188" s="20">
        <v>0</v>
      </c>
    </row>
    <row r="2189" spans="2:10" x14ac:dyDescent="0.25">
      <c r="B2189" t="s">
        <v>6</v>
      </c>
      <c r="C2189" t="s">
        <v>309</v>
      </c>
      <c r="D2189">
        <v>703233</v>
      </c>
      <c r="E2189" t="s">
        <v>152</v>
      </c>
      <c r="F2189" t="s">
        <v>21</v>
      </c>
      <c r="G2189" t="s">
        <v>71</v>
      </c>
      <c r="H2189" t="s">
        <v>153</v>
      </c>
      <c r="J2189" s="20">
        <v>0</v>
      </c>
    </row>
    <row r="2190" spans="2:10" x14ac:dyDescent="0.25">
      <c r="B2190" t="s">
        <v>6</v>
      </c>
      <c r="C2190" t="s">
        <v>309</v>
      </c>
      <c r="D2190">
        <v>703234</v>
      </c>
      <c r="E2190" t="s">
        <v>154</v>
      </c>
      <c r="F2190" t="s">
        <v>21</v>
      </c>
      <c r="G2190" t="s">
        <v>71</v>
      </c>
      <c r="H2190" t="s">
        <v>153</v>
      </c>
      <c r="J2190" s="20">
        <v>0</v>
      </c>
    </row>
    <row r="2191" spans="2:10" x14ac:dyDescent="0.25">
      <c r="B2191" t="s">
        <v>6</v>
      </c>
      <c r="C2191" t="s">
        <v>309</v>
      </c>
      <c r="D2191">
        <v>703235</v>
      </c>
      <c r="E2191" t="s">
        <v>155</v>
      </c>
      <c r="F2191" t="s">
        <v>21</v>
      </c>
      <c r="G2191" t="s">
        <v>71</v>
      </c>
      <c r="H2191" t="s">
        <v>153</v>
      </c>
      <c r="J2191" s="20">
        <v>0</v>
      </c>
    </row>
    <row r="2192" spans="2:10" x14ac:dyDescent="0.25">
      <c r="B2192" t="s">
        <v>6</v>
      </c>
      <c r="C2192" t="s">
        <v>309</v>
      </c>
      <c r="D2192">
        <v>703236</v>
      </c>
      <c r="E2192" t="s">
        <v>156</v>
      </c>
      <c r="F2192" t="s">
        <v>21</v>
      </c>
      <c r="G2192" t="s">
        <v>76</v>
      </c>
      <c r="H2192" t="s">
        <v>77</v>
      </c>
      <c r="J2192" s="20">
        <v>0</v>
      </c>
    </row>
    <row r="2193" spans="2:10" x14ac:dyDescent="0.25">
      <c r="B2193" t="s">
        <v>6</v>
      </c>
      <c r="C2193" t="s">
        <v>309</v>
      </c>
      <c r="D2193">
        <v>703237</v>
      </c>
      <c r="E2193" t="s">
        <v>157</v>
      </c>
      <c r="F2193" t="s">
        <v>21</v>
      </c>
      <c r="G2193" t="s">
        <v>22</v>
      </c>
      <c r="H2193" t="s">
        <v>23</v>
      </c>
      <c r="J2193" s="20">
        <v>0</v>
      </c>
    </row>
    <row r="2194" spans="2:10" x14ac:dyDescent="0.25">
      <c r="B2194" t="s">
        <v>6</v>
      </c>
      <c r="C2194" t="s">
        <v>309</v>
      </c>
      <c r="D2194">
        <v>703238</v>
      </c>
      <c r="E2194" t="s">
        <v>158</v>
      </c>
      <c r="F2194" t="s">
        <v>21</v>
      </c>
      <c r="G2194" t="s">
        <v>61</v>
      </c>
      <c r="H2194" t="s">
        <v>68</v>
      </c>
      <c r="J2194" s="20">
        <v>0</v>
      </c>
    </row>
    <row r="2195" spans="2:10" x14ac:dyDescent="0.25">
      <c r="B2195" t="s">
        <v>6</v>
      </c>
      <c r="C2195" t="s">
        <v>309</v>
      </c>
      <c r="D2195">
        <v>703239</v>
      </c>
      <c r="E2195" t="s">
        <v>159</v>
      </c>
      <c r="F2195" t="s">
        <v>21</v>
      </c>
      <c r="G2195" t="s">
        <v>61</v>
      </c>
      <c r="H2195" t="s">
        <v>68</v>
      </c>
      <c r="J2195" s="20">
        <v>0</v>
      </c>
    </row>
    <row r="2196" spans="2:10" x14ac:dyDescent="0.25">
      <c r="B2196" t="s">
        <v>6</v>
      </c>
      <c r="C2196" t="s">
        <v>309</v>
      </c>
      <c r="D2196">
        <v>703240</v>
      </c>
      <c r="E2196" t="s">
        <v>160</v>
      </c>
      <c r="F2196" t="s">
        <v>21</v>
      </c>
      <c r="G2196" t="s">
        <v>61</v>
      </c>
      <c r="H2196" t="s">
        <v>68</v>
      </c>
      <c r="J2196" s="20">
        <v>0</v>
      </c>
    </row>
    <row r="2197" spans="2:10" x14ac:dyDescent="0.25">
      <c r="B2197" t="s">
        <v>6</v>
      </c>
      <c r="C2197" t="s">
        <v>309</v>
      </c>
      <c r="D2197">
        <v>703241</v>
      </c>
      <c r="E2197" t="s">
        <v>161</v>
      </c>
      <c r="F2197" t="s">
        <v>21</v>
      </c>
      <c r="G2197" t="s">
        <v>137</v>
      </c>
      <c r="H2197" t="s">
        <v>141</v>
      </c>
      <c r="J2197" s="20">
        <v>0</v>
      </c>
    </row>
    <row r="2198" spans="2:10" x14ac:dyDescent="0.25">
      <c r="B2198" t="s">
        <v>6</v>
      </c>
      <c r="C2198" t="s">
        <v>309</v>
      </c>
      <c r="D2198">
        <v>703242</v>
      </c>
      <c r="E2198" t="s">
        <v>162</v>
      </c>
      <c r="F2198" t="s">
        <v>21</v>
      </c>
      <c r="G2198" t="s">
        <v>137</v>
      </c>
      <c r="H2198" t="s">
        <v>141</v>
      </c>
      <c r="J2198" s="20">
        <v>0</v>
      </c>
    </row>
    <row r="2199" spans="2:10" x14ac:dyDescent="0.25">
      <c r="B2199" t="s">
        <v>6</v>
      </c>
      <c r="C2199" t="s">
        <v>309</v>
      </c>
      <c r="D2199">
        <v>703243</v>
      </c>
      <c r="E2199" t="s">
        <v>163</v>
      </c>
      <c r="F2199" t="s">
        <v>21</v>
      </c>
      <c r="G2199" t="s">
        <v>137</v>
      </c>
      <c r="H2199" t="s">
        <v>141</v>
      </c>
      <c r="J2199" s="20">
        <v>0</v>
      </c>
    </row>
    <row r="2200" spans="2:10" x14ac:dyDescent="0.25">
      <c r="B2200" t="s">
        <v>6</v>
      </c>
      <c r="C2200" t="s">
        <v>309</v>
      </c>
      <c r="D2200">
        <v>703244</v>
      </c>
      <c r="E2200" t="s">
        <v>164</v>
      </c>
      <c r="F2200" t="s">
        <v>21</v>
      </c>
      <c r="G2200" t="s">
        <v>71</v>
      </c>
      <c r="H2200" t="s">
        <v>88</v>
      </c>
      <c r="J2200" s="20">
        <v>0</v>
      </c>
    </row>
    <row r="2201" spans="2:10" x14ac:dyDescent="0.25">
      <c r="B2201" t="s">
        <v>6</v>
      </c>
      <c r="C2201" t="s">
        <v>309</v>
      </c>
      <c r="D2201">
        <v>703245</v>
      </c>
      <c r="E2201" t="s">
        <v>165</v>
      </c>
      <c r="F2201" t="s">
        <v>21</v>
      </c>
      <c r="G2201" t="s">
        <v>137</v>
      </c>
      <c r="H2201" t="s">
        <v>138</v>
      </c>
      <c r="J2201" s="20">
        <v>0</v>
      </c>
    </row>
    <row r="2202" spans="2:10" x14ac:dyDescent="0.25">
      <c r="B2202" t="s">
        <v>6</v>
      </c>
      <c r="C2202" t="s">
        <v>309</v>
      </c>
      <c r="D2202">
        <v>703246</v>
      </c>
      <c r="E2202" t="s">
        <v>166</v>
      </c>
      <c r="F2202" t="s">
        <v>21</v>
      </c>
      <c r="G2202" t="s">
        <v>137</v>
      </c>
      <c r="H2202" t="s">
        <v>138</v>
      </c>
      <c r="J2202" s="20">
        <v>0</v>
      </c>
    </row>
    <row r="2203" spans="2:10" x14ac:dyDescent="0.25">
      <c r="B2203" t="s">
        <v>6</v>
      </c>
      <c r="C2203" t="s">
        <v>309</v>
      </c>
      <c r="D2203">
        <v>703247</v>
      </c>
      <c r="E2203" t="s">
        <v>167</v>
      </c>
      <c r="F2203" t="s">
        <v>21</v>
      </c>
      <c r="G2203" t="s">
        <v>137</v>
      </c>
      <c r="H2203" t="s">
        <v>138</v>
      </c>
      <c r="J2203" s="20">
        <v>0</v>
      </c>
    </row>
    <row r="2204" spans="2:10" x14ac:dyDescent="0.25">
      <c r="B2204" t="s">
        <v>6</v>
      </c>
      <c r="C2204" t="s">
        <v>309</v>
      </c>
      <c r="D2204">
        <v>703248</v>
      </c>
      <c r="E2204" t="s">
        <v>168</v>
      </c>
      <c r="F2204" t="s">
        <v>21</v>
      </c>
      <c r="G2204" t="s">
        <v>137</v>
      </c>
      <c r="H2204" t="s">
        <v>141</v>
      </c>
      <c r="J2204" s="20">
        <v>0</v>
      </c>
    </row>
    <row r="2205" spans="2:10" x14ac:dyDescent="0.25">
      <c r="B2205" t="s">
        <v>6</v>
      </c>
      <c r="C2205" t="s">
        <v>309</v>
      </c>
      <c r="D2205">
        <v>703249</v>
      </c>
      <c r="E2205" t="s">
        <v>169</v>
      </c>
      <c r="F2205" t="s">
        <v>21</v>
      </c>
      <c r="G2205" t="s">
        <v>147</v>
      </c>
      <c r="H2205" t="s">
        <v>147</v>
      </c>
      <c r="J2205" s="20">
        <v>0</v>
      </c>
    </row>
    <row r="2206" spans="2:10" x14ac:dyDescent="0.25">
      <c r="B2206" t="s">
        <v>6</v>
      </c>
      <c r="C2206" t="s">
        <v>309</v>
      </c>
      <c r="D2206">
        <v>703250</v>
      </c>
      <c r="E2206" t="s">
        <v>170</v>
      </c>
      <c r="F2206" t="s">
        <v>21</v>
      </c>
      <c r="G2206" t="s">
        <v>71</v>
      </c>
      <c r="H2206" t="s">
        <v>171</v>
      </c>
      <c r="J2206" s="20">
        <v>0</v>
      </c>
    </row>
    <row r="2207" spans="2:10" x14ac:dyDescent="0.25">
      <c r="B2207" t="s">
        <v>6</v>
      </c>
      <c r="C2207" t="s">
        <v>309</v>
      </c>
      <c r="D2207">
        <v>703251</v>
      </c>
      <c r="E2207" t="s">
        <v>172</v>
      </c>
      <c r="F2207" t="s">
        <v>21</v>
      </c>
      <c r="G2207" t="s">
        <v>22</v>
      </c>
      <c r="H2207" t="s">
        <v>115</v>
      </c>
      <c r="J2207" s="20">
        <v>0</v>
      </c>
    </row>
    <row r="2208" spans="2:10" x14ac:dyDescent="0.25">
      <c r="B2208" t="s">
        <v>6</v>
      </c>
      <c r="C2208" t="s">
        <v>309</v>
      </c>
      <c r="D2208">
        <v>703252</v>
      </c>
      <c r="E2208" t="s">
        <v>173</v>
      </c>
      <c r="F2208" t="s">
        <v>21</v>
      </c>
      <c r="G2208" t="s">
        <v>22</v>
      </c>
      <c r="H2208" t="s">
        <v>115</v>
      </c>
      <c r="J2208" s="20">
        <v>0</v>
      </c>
    </row>
    <row r="2209" spans="2:10" x14ac:dyDescent="0.25">
      <c r="B2209" t="s">
        <v>6</v>
      </c>
      <c r="C2209" t="s">
        <v>309</v>
      </c>
      <c r="D2209">
        <v>703253</v>
      </c>
      <c r="E2209" t="s">
        <v>174</v>
      </c>
      <c r="F2209" t="s">
        <v>21</v>
      </c>
      <c r="G2209" t="s">
        <v>22</v>
      </c>
      <c r="H2209" t="s">
        <v>115</v>
      </c>
      <c r="J2209" s="20">
        <v>0</v>
      </c>
    </row>
    <row r="2210" spans="2:10" x14ac:dyDescent="0.25">
      <c r="B2210" t="s">
        <v>6</v>
      </c>
      <c r="C2210" t="s">
        <v>309</v>
      </c>
      <c r="D2210">
        <v>703254</v>
      </c>
      <c r="E2210" t="s">
        <v>175</v>
      </c>
      <c r="F2210" t="s">
        <v>21</v>
      </c>
      <c r="G2210" t="s">
        <v>22</v>
      </c>
      <c r="H2210" t="s">
        <v>115</v>
      </c>
      <c r="J2210" s="20">
        <v>0</v>
      </c>
    </row>
    <row r="2211" spans="2:10" x14ac:dyDescent="0.25">
      <c r="B2211" t="s">
        <v>6</v>
      </c>
      <c r="C2211" t="s">
        <v>309</v>
      </c>
      <c r="D2211">
        <v>703255</v>
      </c>
      <c r="E2211" t="s">
        <v>176</v>
      </c>
      <c r="F2211" t="s">
        <v>21</v>
      </c>
      <c r="G2211" t="s">
        <v>22</v>
      </c>
      <c r="H2211" t="s">
        <v>115</v>
      </c>
      <c r="J2211" s="20">
        <v>0</v>
      </c>
    </row>
    <row r="2212" spans="2:10" x14ac:dyDescent="0.25">
      <c r="B2212" t="s">
        <v>6</v>
      </c>
      <c r="C2212" t="s">
        <v>309</v>
      </c>
      <c r="D2212">
        <v>703257</v>
      </c>
      <c r="E2212" t="s">
        <v>177</v>
      </c>
      <c r="F2212" t="s">
        <v>21</v>
      </c>
      <c r="G2212" t="s">
        <v>147</v>
      </c>
      <c r="H2212" t="s">
        <v>147</v>
      </c>
      <c r="J2212" s="20">
        <v>0</v>
      </c>
    </row>
    <row r="2213" spans="2:10" x14ac:dyDescent="0.25">
      <c r="B2213" t="s">
        <v>6</v>
      </c>
      <c r="C2213" t="s">
        <v>309</v>
      </c>
      <c r="D2213">
        <v>703258</v>
      </c>
      <c r="E2213" t="s">
        <v>178</v>
      </c>
      <c r="F2213" t="s">
        <v>21</v>
      </c>
      <c r="G2213" t="s">
        <v>147</v>
      </c>
      <c r="H2213" t="s">
        <v>147</v>
      </c>
      <c r="J2213" s="20">
        <v>0</v>
      </c>
    </row>
    <row r="2214" spans="2:10" x14ac:dyDescent="0.25">
      <c r="B2214" t="s">
        <v>6</v>
      </c>
      <c r="C2214" t="s">
        <v>309</v>
      </c>
      <c r="D2214">
        <v>703260</v>
      </c>
      <c r="E2214" t="s">
        <v>179</v>
      </c>
      <c r="F2214" t="s">
        <v>21</v>
      </c>
      <c r="G2214" t="s">
        <v>76</v>
      </c>
      <c r="H2214" t="s">
        <v>77</v>
      </c>
      <c r="J2214" s="20">
        <v>0</v>
      </c>
    </row>
    <row r="2215" spans="2:10" x14ac:dyDescent="0.25">
      <c r="B2215" t="s">
        <v>6</v>
      </c>
      <c r="C2215" t="s">
        <v>309</v>
      </c>
      <c r="D2215">
        <v>703261</v>
      </c>
      <c r="E2215" t="s">
        <v>180</v>
      </c>
      <c r="F2215" t="s">
        <v>21</v>
      </c>
      <c r="G2215" t="s">
        <v>22</v>
      </c>
      <c r="H2215" t="s">
        <v>115</v>
      </c>
      <c r="J2215" s="20">
        <v>0</v>
      </c>
    </row>
    <row r="2216" spans="2:10" x14ac:dyDescent="0.25">
      <c r="B2216" t="s">
        <v>6</v>
      </c>
      <c r="C2216" t="s">
        <v>309</v>
      </c>
      <c r="D2216">
        <v>703262</v>
      </c>
      <c r="E2216" t="s">
        <v>181</v>
      </c>
      <c r="F2216" t="s">
        <v>21</v>
      </c>
      <c r="G2216" t="s">
        <v>22</v>
      </c>
      <c r="H2216" t="s">
        <v>23</v>
      </c>
      <c r="J2216" s="20">
        <v>0</v>
      </c>
    </row>
    <row r="2217" spans="2:10" x14ac:dyDescent="0.25">
      <c r="B2217" t="s">
        <v>6</v>
      </c>
      <c r="C2217" t="s">
        <v>309</v>
      </c>
      <c r="D2217">
        <v>703263</v>
      </c>
      <c r="E2217" t="s">
        <v>182</v>
      </c>
      <c r="F2217" t="s">
        <v>21</v>
      </c>
      <c r="G2217" t="s">
        <v>22</v>
      </c>
      <c r="H2217" t="s">
        <v>115</v>
      </c>
      <c r="J2217" s="20">
        <v>0</v>
      </c>
    </row>
    <row r="2218" spans="2:10" x14ac:dyDescent="0.25">
      <c r="B2218" t="s">
        <v>6</v>
      </c>
      <c r="C2218" t="s">
        <v>309</v>
      </c>
      <c r="D2218">
        <v>703264</v>
      </c>
      <c r="E2218" t="s">
        <v>183</v>
      </c>
      <c r="F2218" t="s">
        <v>21</v>
      </c>
      <c r="G2218" t="s">
        <v>22</v>
      </c>
      <c r="H2218" t="s">
        <v>115</v>
      </c>
      <c r="J2218" s="20">
        <v>0</v>
      </c>
    </row>
    <row r="2219" spans="2:10" x14ac:dyDescent="0.25">
      <c r="B2219" t="s">
        <v>6</v>
      </c>
      <c r="C2219" t="s">
        <v>309</v>
      </c>
      <c r="D2219">
        <v>703265</v>
      </c>
      <c r="E2219" t="s">
        <v>184</v>
      </c>
      <c r="F2219" t="s">
        <v>21</v>
      </c>
      <c r="G2219" t="s">
        <v>22</v>
      </c>
      <c r="H2219" t="s">
        <v>115</v>
      </c>
      <c r="J2219" s="20">
        <v>0</v>
      </c>
    </row>
    <row r="2220" spans="2:10" x14ac:dyDescent="0.25">
      <c r="B2220" t="s">
        <v>6</v>
      </c>
      <c r="C2220" t="s">
        <v>309</v>
      </c>
      <c r="D2220">
        <v>703266</v>
      </c>
      <c r="E2220" t="s">
        <v>185</v>
      </c>
      <c r="F2220" t="s">
        <v>21</v>
      </c>
      <c r="G2220" t="s">
        <v>71</v>
      </c>
      <c r="H2220" t="s">
        <v>186</v>
      </c>
      <c r="J2220" s="20">
        <v>0</v>
      </c>
    </row>
    <row r="2221" spans="2:10" x14ac:dyDescent="0.25">
      <c r="B2221" t="s">
        <v>6</v>
      </c>
      <c r="C2221" t="s">
        <v>309</v>
      </c>
      <c r="D2221">
        <v>703267</v>
      </c>
      <c r="E2221" t="s">
        <v>187</v>
      </c>
      <c r="F2221" t="s">
        <v>21</v>
      </c>
      <c r="G2221" t="s">
        <v>71</v>
      </c>
      <c r="H2221" t="s">
        <v>88</v>
      </c>
      <c r="J2221" s="20">
        <v>0</v>
      </c>
    </row>
    <row r="2222" spans="2:10" x14ac:dyDescent="0.25">
      <c r="B2222" t="s">
        <v>6</v>
      </c>
      <c r="C2222" t="s">
        <v>309</v>
      </c>
      <c r="D2222">
        <v>703268</v>
      </c>
      <c r="E2222" t="s">
        <v>188</v>
      </c>
      <c r="F2222" t="s">
        <v>21</v>
      </c>
      <c r="G2222" t="s">
        <v>147</v>
      </c>
      <c r="H2222" t="s">
        <v>147</v>
      </c>
      <c r="J2222" s="20">
        <v>0</v>
      </c>
    </row>
    <row r="2223" spans="2:10" x14ac:dyDescent="0.25">
      <c r="B2223" t="s">
        <v>6</v>
      </c>
      <c r="C2223" t="s">
        <v>309</v>
      </c>
      <c r="D2223">
        <v>703269</v>
      </c>
      <c r="E2223" t="s">
        <v>189</v>
      </c>
      <c r="F2223" t="s">
        <v>21</v>
      </c>
      <c r="G2223" t="s">
        <v>147</v>
      </c>
      <c r="H2223" t="s">
        <v>147</v>
      </c>
      <c r="J2223" s="20">
        <v>0</v>
      </c>
    </row>
    <row r="2224" spans="2:10" x14ac:dyDescent="0.25">
      <c r="B2224" t="s">
        <v>6</v>
      </c>
      <c r="C2224" t="s">
        <v>309</v>
      </c>
      <c r="D2224">
        <v>703270</v>
      </c>
      <c r="E2224" t="s">
        <v>190</v>
      </c>
      <c r="F2224" t="s">
        <v>21</v>
      </c>
      <c r="G2224" t="s">
        <v>137</v>
      </c>
      <c r="H2224" t="s">
        <v>141</v>
      </c>
      <c r="J2224" s="20">
        <v>0</v>
      </c>
    </row>
    <row r="2225" spans="2:10" x14ac:dyDescent="0.25">
      <c r="B2225" t="s">
        <v>6</v>
      </c>
      <c r="C2225" t="s">
        <v>309</v>
      </c>
      <c r="D2225">
        <v>703271</v>
      </c>
      <c r="E2225" t="s">
        <v>191</v>
      </c>
      <c r="F2225" t="s">
        <v>21</v>
      </c>
      <c r="G2225" t="s">
        <v>22</v>
      </c>
      <c r="H2225" t="s">
        <v>115</v>
      </c>
      <c r="J2225" s="20">
        <v>0</v>
      </c>
    </row>
    <row r="2226" spans="2:10" x14ac:dyDescent="0.25">
      <c r="B2226" t="s">
        <v>6</v>
      </c>
      <c r="C2226" t="s">
        <v>309</v>
      </c>
      <c r="D2226">
        <v>703272</v>
      </c>
      <c r="E2226" t="s">
        <v>192</v>
      </c>
      <c r="F2226" t="s">
        <v>21</v>
      </c>
      <c r="G2226" t="s">
        <v>22</v>
      </c>
      <c r="H2226" t="s">
        <v>23</v>
      </c>
      <c r="J2226" s="20">
        <v>0</v>
      </c>
    </row>
    <row r="2227" spans="2:10" x14ac:dyDescent="0.25">
      <c r="B2227" t="s">
        <v>6</v>
      </c>
      <c r="C2227" t="s">
        <v>309</v>
      </c>
      <c r="D2227">
        <v>703273</v>
      </c>
      <c r="E2227" t="s">
        <v>193</v>
      </c>
      <c r="F2227" t="s">
        <v>21</v>
      </c>
      <c r="G2227" t="s">
        <v>147</v>
      </c>
      <c r="H2227" t="s">
        <v>147</v>
      </c>
      <c r="J2227" s="20">
        <v>0</v>
      </c>
    </row>
    <row r="2228" spans="2:10" x14ac:dyDescent="0.25">
      <c r="B2228" t="s">
        <v>6</v>
      </c>
      <c r="C2228" t="s">
        <v>309</v>
      </c>
      <c r="D2228">
        <v>703274</v>
      </c>
      <c r="E2228" t="s">
        <v>194</v>
      </c>
      <c r="F2228" t="s">
        <v>21</v>
      </c>
      <c r="G2228" t="s">
        <v>147</v>
      </c>
      <c r="H2228" t="s">
        <v>147</v>
      </c>
      <c r="J2228" s="20">
        <v>0</v>
      </c>
    </row>
    <row r="2229" spans="2:10" x14ac:dyDescent="0.25">
      <c r="B2229" t="s">
        <v>6</v>
      </c>
      <c r="C2229" t="s">
        <v>309</v>
      </c>
      <c r="D2229">
        <v>703275</v>
      </c>
      <c r="E2229" t="s">
        <v>195</v>
      </c>
      <c r="F2229" t="s">
        <v>21</v>
      </c>
      <c r="G2229" t="s">
        <v>137</v>
      </c>
      <c r="H2229" t="s">
        <v>138</v>
      </c>
      <c r="J2229" s="20">
        <v>0</v>
      </c>
    </row>
    <row r="2230" spans="2:10" x14ac:dyDescent="0.25">
      <c r="B2230" t="s">
        <v>6</v>
      </c>
      <c r="C2230" t="s">
        <v>309</v>
      </c>
      <c r="D2230">
        <v>703280</v>
      </c>
      <c r="E2230" t="s">
        <v>196</v>
      </c>
      <c r="F2230" t="s">
        <v>21</v>
      </c>
      <c r="G2230" t="s">
        <v>71</v>
      </c>
      <c r="H2230" t="s">
        <v>171</v>
      </c>
      <c r="J2230" s="20">
        <v>0</v>
      </c>
    </row>
    <row r="2231" spans="2:10" x14ac:dyDescent="0.25">
      <c r="B2231" t="s">
        <v>6</v>
      </c>
      <c r="C2231" t="s">
        <v>309</v>
      </c>
      <c r="D2231">
        <v>703281</v>
      </c>
      <c r="E2231" t="s">
        <v>197</v>
      </c>
      <c r="F2231" t="s">
        <v>21</v>
      </c>
      <c r="G2231" t="s">
        <v>76</v>
      </c>
      <c r="H2231" t="s">
        <v>77</v>
      </c>
      <c r="J2231" s="20">
        <v>0</v>
      </c>
    </row>
    <row r="2232" spans="2:10" x14ac:dyDescent="0.25">
      <c r="B2232" t="s">
        <v>6</v>
      </c>
      <c r="C2232" t="s">
        <v>309</v>
      </c>
      <c r="D2232">
        <v>703282</v>
      </c>
      <c r="E2232" t="s">
        <v>198</v>
      </c>
      <c r="F2232" t="s">
        <v>21</v>
      </c>
      <c r="G2232" t="s">
        <v>76</v>
      </c>
      <c r="H2232" t="s">
        <v>77</v>
      </c>
      <c r="J2232" s="20">
        <v>0</v>
      </c>
    </row>
    <row r="2233" spans="2:10" x14ac:dyDescent="0.25">
      <c r="B2233" t="s">
        <v>6</v>
      </c>
      <c r="C2233" t="s">
        <v>309</v>
      </c>
      <c r="D2233">
        <v>703283</v>
      </c>
      <c r="E2233" t="s">
        <v>199</v>
      </c>
      <c r="F2233" t="s">
        <v>21</v>
      </c>
      <c r="G2233" t="s">
        <v>61</v>
      </c>
      <c r="H2233" t="s">
        <v>68</v>
      </c>
      <c r="J2233" s="20">
        <v>0</v>
      </c>
    </row>
    <row r="2234" spans="2:10" x14ac:dyDescent="0.25">
      <c r="B2234" t="s">
        <v>6</v>
      </c>
      <c r="C2234" t="s">
        <v>309</v>
      </c>
      <c r="D2234">
        <v>703310</v>
      </c>
      <c r="E2234" t="s">
        <v>200</v>
      </c>
      <c r="F2234" t="s">
        <v>21</v>
      </c>
      <c r="G2234" t="s">
        <v>22</v>
      </c>
      <c r="H2234" t="s">
        <v>23</v>
      </c>
      <c r="J2234" s="20">
        <v>0</v>
      </c>
    </row>
    <row r="2235" spans="2:10" x14ac:dyDescent="0.25">
      <c r="B2235" t="s">
        <v>6</v>
      </c>
      <c r="C2235" t="s">
        <v>309</v>
      </c>
      <c r="D2235">
        <v>703311</v>
      </c>
      <c r="E2235" t="s">
        <v>201</v>
      </c>
      <c r="F2235" t="s">
        <v>21</v>
      </c>
      <c r="G2235" t="s">
        <v>71</v>
      </c>
      <c r="H2235" t="s">
        <v>171</v>
      </c>
      <c r="J2235" s="20">
        <v>0</v>
      </c>
    </row>
    <row r="2236" spans="2:10" x14ac:dyDescent="0.25">
      <c r="B2236" t="s">
        <v>6</v>
      </c>
      <c r="C2236" t="s">
        <v>309</v>
      </c>
      <c r="D2236">
        <v>703312</v>
      </c>
      <c r="E2236" t="s">
        <v>202</v>
      </c>
      <c r="F2236" t="s">
        <v>21</v>
      </c>
      <c r="G2236" t="s">
        <v>76</v>
      </c>
      <c r="H2236" t="s">
        <v>77</v>
      </c>
      <c r="J2236" s="20">
        <v>0</v>
      </c>
    </row>
    <row r="2237" spans="2:10" x14ac:dyDescent="0.25">
      <c r="B2237" t="s">
        <v>6</v>
      </c>
      <c r="C2237" t="s">
        <v>309</v>
      </c>
      <c r="D2237">
        <v>703313</v>
      </c>
      <c r="E2237" t="s">
        <v>203</v>
      </c>
      <c r="F2237" t="s">
        <v>21</v>
      </c>
      <c r="G2237" t="s">
        <v>76</v>
      </c>
      <c r="H2237" t="s">
        <v>77</v>
      </c>
      <c r="J2237" s="20">
        <v>0</v>
      </c>
    </row>
    <row r="2238" spans="2:10" x14ac:dyDescent="0.25">
      <c r="B2238" t="s">
        <v>6</v>
      </c>
      <c r="C2238" t="s">
        <v>309</v>
      </c>
      <c r="D2238">
        <v>703314</v>
      </c>
      <c r="E2238" t="s">
        <v>204</v>
      </c>
      <c r="F2238" t="s">
        <v>21</v>
      </c>
      <c r="G2238" t="s">
        <v>76</v>
      </c>
      <c r="H2238" t="s">
        <v>77</v>
      </c>
      <c r="J2238" s="20">
        <v>0</v>
      </c>
    </row>
    <row r="2239" spans="2:10" x14ac:dyDescent="0.25">
      <c r="B2239" t="s">
        <v>6</v>
      </c>
      <c r="C2239" t="s">
        <v>309</v>
      </c>
      <c r="D2239">
        <v>703315</v>
      </c>
      <c r="E2239" t="s">
        <v>205</v>
      </c>
      <c r="F2239" t="s">
        <v>21</v>
      </c>
      <c r="G2239" t="s">
        <v>76</v>
      </c>
      <c r="H2239" t="s">
        <v>135</v>
      </c>
      <c r="J2239" s="20">
        <v>0</v>
      </c>
    </row>
    <row r="2240" spans="2:10" x14ac:dyDescent="0.25">
      <c r="B2240" t="s">
        <v>6</v>
      </c>
      <c r="C2240" t="s">
        <v>309</v>
      </c>
      <c r="D2240">
        <v>703316</v>
      </c>
      <c r="E2240" t="s">
        <v>206</v>
      </c>
      <c r="F2240" t="s">
        <v>21</v>
      </c>
      <c r="G2240" t="s">
        <v>76</v>
      </c>
      <c r="H2240" t="s">
        <v>77</v>
      </c>
      <c r="J2240" s="20">
        <v>0</v>
      </c>
    </row>
    <row r="2241" spans="2:10" x14ac:dyDescent="0.25">
      <c r="B2241" t="s">
        <v>6</v>
      </c>
      <c r="C2241" t="s">
        <v>309</v>
      </c>
      <c r="D2241">
        <v>703317</v>
      </c>
      <c r="E2241" t="s">
        <v>207</v>
      </c>
      <c r="F2241" t="s">
        <v>21</v>
      </c>
      <c r="G2241" t="s">
        <v>76</v>
      </c>
      <c r="H2241" t="s">
        <v>77</v>
      </c>
      <c r="J2241" s="20">
        <v>0</v>
      </c>
    </row>
    <row r="2242" spans="2:10" x14ac:dyDescent="0.25">
      <c r="B2242" t="s">
        <v>6</v>
      </c>
      <c r="C2242" t="s">
        <v>309</v>
      </c>
      <c r="D2242">
        <v>703318</v>
      </c>
      <c r="E2242" t="s">
        <v>208</v>
      </c>
      <c r="F2242" t="s">
        <v>21</v>
      </c>
      <c r="G2242" t="s">
        <v>71</v>
      </c>
      <c r="H2242" t="s">
        <v>209</v>
      </c>
      <c r="J2242" s="20">
        <v>0</v>
      </c>
    </row>
    <row r="2243" spans="2:10" x14ac:dyDescent="0.25">
      <c r="B2243" t="s">
        <v>6</v>
      </c>
      <c r="C2243" t="s">
        <v>309</v>
      </c>
      <c r="D2243">
        <v>703319</v>
      </c>
      <c r="E2243" t="s">
        <v>210</v>
      </c>
      <c r="F2243" t="s">
        <v>21</v>
      </c>
      <c r="G2243" t="s">
        <v>61</v>
      </c>
      <c r="H2243" t="s">
        <v>79</v>
      </c>
      <c r="J2243" s="20">
        <v>0</v>
      </c>
    </row>
    <row r="2244" spans="2:10" x14ac:dyDescent="0.25">
      <c r="B2244" t="s">
        <v>6</v>
      </c>
      <c r="C2244" t="s">
        <v>309</v>
      </c>
      <c r="D2244">
        <v>703320</v>
      </c>
      <c r="E2244" t="s">
        <v>211</v>
      </c>
      <c r="F2244" t="s">
        <v>21</v>
      </c>
      <c r="G2244" t="s">
        <v>71</v>
      </c>
      <c r="H2244" t="s">
        <v>135</v>
      </c>
      <c r="J2244" s="20">
        <v>0</v>
      </c>
    </row>
    <row r="2245" spans="2:10" x14ac:dyDescent="0.25">
      <c r="B2245" t="s">
        <v>6</v>
      </c>
      <c r="C2245" t="s">
        <v>309</v>
      </c>
      <c r="D2245">
        <v>703321</v>
      </c>
      <c r="E2245" t="s">
        <v>212</v>
      </c>
      <c r="F2245" t="s">
        <v>21</v>
      </c>
      <c r="G2245" t="s">
        <v>22</v>
      </c>
      <c r="H2245" t="s">
        <v>23</v>
      </c>
      <c r="J2245" s="20">
        <v>0</v>
      </c>
    </row>
    <row r="2246" spans="2:10" x14ac:dyDescent="0.25">
      <c r="B2246" t="s">
        <v>6</v>
      </c>
      <c r="C2246" t="s">
        <v>309</v>
      </c>
      <c r="D2246">
        <v>703322</v>
      </c>
      <c r="E2246" t="s">
        <v>213</v>
      </c>
      <c r="F2246" t="s">
        <v>21</v>
      </c>
      <c r="G2246" t="s">
        <v>22</v>
      </c>
      <c r="H2246" t="s">
        <v>23</v>
      </c>
      <c r="J2246" s="20">
        <v>0</v>
      </c>
    </row>
    <row r="2247" spans="2:10" x14ac:dyDescent="0.25">
      <c r="B2247" t="s">
        <v>6</v>
      </c>
      <c r="C2247" t="s">
        <v>309</v>
      </c>
      <c r="D2247">
        <v>703323</v>
      </c>
      <c r="E2247" t="s">
        <v>214</v>
      </c>
      <c r="F2247" t="s">
        <v>21</v>
      </c>
      <c r="G2247" t="s">
        <v>22</v>
      </c>
      <c r="H2247" t="s">
        <v>23</v>
      </c>
      <c r="J2247" s="20">
        <v>0</v>
      </c>
    </row>
    <row r="2248" spans="2:10" x14ac:dyDescent="0.25">
      <c r="B2248" t="s">
        <v>6</v>
      </c>
      <c r="C2248" t="s">
        <v>309</v>
      </c>
      <c r="D2248">
        <v>703324</v>
      </c>
      <c r="E2248" t="s">
        <v>215</v>
      </c>
      <c r="F2248" t="s">
        <v>21</v>
      </c>
      <c r="G2248" t="s">
        <v>22</v>
      </c>
      <c r="H2248" t="s">
        <v>23</v>
      </c>
      <c r="J2248" s="20">
        <v>0</v>
      </c>
    </row>
    <row r="2249" spans="2:10" x14ac:dyDescent="0.25">
      <c r="B2249" t="s">
        <v>6</v>
      </c>
      <c r="C2249" t="s">
        <v>309</v>
      </c>
      <c r="D2249">
        <v>703325</v>
      </c>
      <c r="E2249" t="s">
        <v>216</v>
      </c>
      <c r="F2249" t="s">
        <v>21</v>
      </c>
      <c r="G2249" t="s">
        <v>22</v>
      </c>
      <c r="H2249" t="s">
        <v>23</v>
      </c>
      <c r="J2249" s="20">
        <v>0</v>
      </c>
    </row>
    <row r="2250" spans="2:10" x14ac:dyDescent="0.25">
      <c r="B2250" t="s">
        <v>6</v>
      </c>
      <c r="C2250" t="s">
        <v>309</v>
      </c>
      <c r="D2250">
        <v>703326</v>
      </c>
      <c r="E2250" t="s">
        <v>217</v>
      </c>
      <c r="F2250" t="s">
        <v>21</v>
      </c>
      <c r="G2250" t="s">
        <v>22</v>
      </c>
      <c r="H2250" t="s">
        <v>23</v>
      </c>
      <c r="J2250" s="20">
        <v>0</v>
      </c>
    </row>
    <row r="2251" spans="2:10" x14ac:dyDescent="0.25">
      <c r="B2251" t="s">
        <v>6</v>
      </c>
      <c r="C2251" t="s">
        <v>309</v>
      </c>
      <c r="D2251">
        <v>703327</v>
      </c>
      <c r="E2251" t="s">
        <v>218</v>
      </c>
      <c r="F2251" t="s">
        <v>21</v>
      </c>
      <c r="G2251" t="s">
        <v>76</v>
      </c>
      <c r="H2251" t="s">
        <v>77</v>
      </c>
      <c r="J2251" s="20">
        <v>0</v>
      </c>
    </row>
    <row r="2252" spans="2:10" x14ac:dyDescent="0.25">
      <c r="B2252" t="s">
        <v>6</v>
      </c>
      <c r="C2252" t="s">
        <v>309</v>
      </c>
      <c r="D2252">
        <v>703328</v>
      </c>
      <c r="E2252" t="s">
        <v>219</v>
      </c>
      <c r="F2252" t="s">
        <v>21</v>
      </c>
      <c r="G2252" t="s">
        <v>22</v>
      </c>
      <c r="H2252" t="s">
        <v>23</v>
      </c>
      <c r="J2252" s="20">
        <v>0</v>
      </c>
    </row>
    <row r="2253" spans="2:10" x14ac:dyDescent="0.25">
      <c r="B2253" t="s">
        <v>6</v>
      </c>
      <c r="C2253" t="s">
        <v>309</v>
      </c>
      <c r="D2253">
        <v>703329</v>
      </c>
      <c r="E2253" t="s">
        <v>220</v>
      </c>
      <c r="F2253" t="s">
        <v>21</v>
      </c>
      <c r="G2253" t="s">
        <v>22</v>
      </c>
      <c r="H2253" t="s">
        <v>23</v>
      </c>
      <c r="J2253" s="20">
        <v>0</v>
      </c>
    </row>
    <row r="2254" spans="2:10" x14ac:dyDescent="0.25">
      <c r="B2254" t="s">
        <v>6</v>
      </c>
      <c r="C2254" t="s">
        <v>309</v>
      </c>
      <c r="D2254">
        <v>703330</v>
      </c>
      <c r="E2254" t="s">
        <v>221</v>
      </c>
      <c r="F2254" t="s">
        <v>21</v>
      </c>
      <c r="G2254" t="s">
        <v>22</v>
      </c>
      <c r="H2254" t="s">
        <v>23</v>
      </c>
      <c r="J2254" s="20">
        <v>0</v>
      </c>
    </row>
    <row r="2255" spans="2:10" x14ac:dyDescent="0.25">
      <c r="B2255" t="s">
        <v>6</v>
      </c>
      <c r="C2255" t="s">
        <v>309</v>
      </c>
      <c r="D2255">
        <v>703340</v>
      </c>
      <c r="E2255" t="s">
        <v>222</v>
      </c>
      <c r="F2255" t="s">
        <v>21</v>
      </c>
      <c r="G2255" t="s">
        <v>61</v>
      </c>
      <c r="H2255" t="s">
        <v>68</v>
      </c>
      <c r="J2255" s="20">
        <v>0</v>
      </c>
    </row>
    <row r="2256" spans="2:10" x14ac:dyDescent="0.25">
      <c r="B2256" t="s">
        <v>6</v>
      </c>
      <c r="C2256" t="s">
        <v>309</v>
      </c>
      <c r="D2256">
        <v>703350</v>
      </c>
      <c r="E2256" t="s">
        <v>223</v>
      </c>
      <c r="F2256" t="s">
        <v>21</v>
      </c>
      <c r="G2256" t="s">
        <v>22</v>
      </c>
      <c r="H2256" t="s">
        <v>23</v>
      </c>
      <c r="J2256" s="20">
        <v>0</v>
      </c>
    </row>
    <row r="2257" spans="2:10" x14ac:dyDescent="0.25">
      <c r="B2257" t="s">
        <v>6</v>
      </c>
      <c r="C2257" t="s">
        <v>309</v>
      </c>
      <c r="D2257">
        <v>703351</v>
      </c>
      <c r="E2257" t="s">
        <v>224</v>
      </c>
      <c r="F2257" t="s">
        <v>21</v>
      </c>
      <c r="G2257" t="s">
        <v>22</v>
      </c>
      <c r="H2257" t="s">
        <v>23</v>
      </c>
      <c r="J2257" s="20">
        <v>0</v>
      </c>
    </row>
    <row r="2258" spans="2:10" x14ac:dyDescent="0.25">
      <c r="B2258" t="s">
        <v>6</v>
      </c>
      <c r="C2258" t="s">
        <v>309</v>
      </c>
      <c r="D2258">
        <v>703352</v>
      </c>
      <c r="E2258" t="s">
        <v>225</v>
      </c>
      <c r="F2258" t="s">
        <v>21</v>
      </c>
      <c r="G2258" t="s">
        <v>22</v>
      </c>
      <c r="H2258" t="s">
        <v>23</v>
      </c>
      <c r="J2258" s="20">
        <v>0</v>
      </c>
    </row>
    <row r="2259" spans="2:10" x14ac:dyDescent="0.25">
      <c r="B2259" t="s">
        <v>6</v>
      </c>
      <c r="C2259" t="s">
        <v>309</v>
      </c>
      <c r="D2259">
        <v>703360</v>
      </c>
      <c r="E2259" t="s">
        <v>226</v>
      </c>
      <c r="F2259" t="s">
        <v>21</v>
      </c>
      <c r="G2259" t="s">
        <v>22</v>
      </c>
      <c r="H2259" t="s">
        <v>23</v>
      </c>
      <c r="J2259" s="20">
        <v>0</v>
      </c>
    </row>
    <row r="2260" spans="2:10" x14ac:dyDescent="0.25">
      <c r="B2260" t="s">
        <v>6</v>
      </c>
      <c r="C2260" t="s">
        <v>309</v>
      </c>
      <c r="D2260">
        <v>703370</v>
      </c>
      <c r="E2260" t="s">
        <v>227</v>
      </c>
      <c r="F2260" t="s">
        <v>21</v>
      </c>
      <c r="G2260" t="s">
        <v>22</v>
      </c>
      <c r="H2260" t="s">
        <v>23</v>
      </c>
      <c r="J2260" s="20">
        <v>0</v>
      </c>
    </row>
    <row r="2261" spans="2:10" x14ac:dyDescent="0.25">
      <c r="B2261" t="s">
        <v>6</v>
      </c>
      <c r="C2261" t="s">
        <v>309</v>
      </c>
      <c r="D2261">
        <v>703410</v>
      </c>
      <c r="E2261" t="s">
        <v>228</v>
      </c>
      <c r="F2261" t="s">
        <v>21</v>
      </c>
      <c r="G2261" t="s">
        <v>22</v>
      </c>
      <c r="H2261" t="s">
        <v>23</v>
      </c>
      <c r="J2261" s="20">
        <v>0</v>
      </c>
    </row>
    <row r="2262" spans="2:10" x14ac:dyDescent="0.25">
      <c r="B2262" t="s">
        <v>6</v>
      </c>
      <c r="C2262" t="s">
        <v>309</v>
      </c>
      <c r="D2262">
        <v>703411</v>
      </c>
      <c r="E2262" t="s">
        <v>229</v>
      </c>
      <c r="F2262" t="s">
        <v>21</v>
      </c>
      <c r="G2262" t="s">
        <v>22</v>
      </c>
      <c r="H2262" t="s">
        <v>23</v>
      </c>
      <c r="J2262" s="20">
        <v>0</v>
      </c>
    </row>
    <row r="2263" spans="2:10" x14ac:dyDescent="0.25">
      <c r="B2263" t="s">
        <v>6</v>
      </c>
      <c r="C2263" t="s">
        <v>309</v>
      </c>
      <c r="D2263">
        <v>703412</v>
      </c>
      <c r="E2263" t="s">
        <v>230</v>
      </c>
      <c r="F2263" t="s">
        <v>21</v>
      </c>
      <c r="G2263" t="s">
        <v>22</v>
      </c>
      <c r="H2263" t="s">
        <v>23</v>
      </c>
      <c r="J2263" s="20">
        <v>0</v>
      </c>
    </row>
    <row r="2264" spans="2:10" x14ac:dyDescent="0.25">
      <c r="B2264" t="s">
        <v>6</v>
      </c>
      <c r="C2264" t="s">
        <v>309</v>
      </c>
      <c r="D2264">
        <v>703420</v>
      </c>
      <c r="E2264" t="s">
        <v>231</v>
      </c>
      <c r="F2264" t="s">
        <v>21</v>
      </c>
      <c r="G2264" t="s">
        <v>71</v>
      </c>
      <c r="H2264" t="s">
        <v>171</v>
      </c>
      <c r="J2264" s="20">
        <v>0</v>
      </c>
    </row>
    <row r="2265" spans="2:10" x14ac:dyDescent="0.25">
      <c r="B2265" t="s">
        <v>6</v>
      </c>
      <c r="C2265" t="s">
        <v>309</v>
      </c>
      <c r="D2265">
        <v>703421</v>
      </c>
      <c r="E2265" t="s">
        <v>232</v>
      </c>
      <c r="F2265" t="s">
        <v>21</v>
      </c>
      <c r="G2265" t="s">
        <v>22</v>
      </c>
      <c r="H2265" t="s">
        <v>23</v>
      </c>
      <c r="J2265" s="20">
        <v>0</v>
      </c>
    </row>
    <row r="2266" spans="2:10" x14ac:dyDescent="0.25">
      <c r="B2266" t="s">
        <v>6</v>
      </c>
      <c r="C2266" t="s">
        <v>309</v>
      </c>
      <c r="D2266">
        <v>703422</v>
      </c>
      <c r="E2266" t="s">
        <v>233</v>
      </c>
      <c r="F2266" t="s">
        <v>21</v>
      </c>
      <c r="G2266" t="s">
        <v>76</v>
      </c>
      <c r="H2266" t="s">
        <v>77</v>
      </c>
      <c r="J2266" s="20">
        <v>0</v>
      </c>
    </row>
    <row r="2267" spans="2:10" x14ac:dyDescent="0.25">
      <c r="B2267" t="s">
        <v>6</v>
      </c>
      <c r="C2267" t="s">
        <v>309</v>
      </c>
      <c r="D2267">
        <v>703423</v>
      </c>
      <c r="E2267" t="s">
        <v>234</v>
      </c>
      <c r="F2267" t="s">
        <v>21</v>
      </c>
      <c r="G2267" t="s">
        <v>71</v>
      </c>
      <c r="H2267" t="s">
        <v>88</v>
      </c>
      <c r="J2267" s="20">
        <v>0</v>
      </c>
    </row>
    <row r="2268" spans="2:10" x14ac:dyDescent="0.25">
      <c r="B2268" t="s">
        <v>6</v>
      </c>
      <c r="C2268" t="s">
        <v>309</v>
      </c>
      <c r="D2268">
        <v>703424</v>
      </c>
      <c r="E2268" t="s">
        <v>235</v>
      </c>
      <c r="F2268" t="s">
        <v>21</v>
      </c>
      <c r="G2268" t="s">
        <v>71</v>
      </c>
      <c r="H2268" t="s">
        <v>88</v>
      </c>
      <c r="J2268" s="20">
        <v>0</v>
      </c>
    </row>
    <row r="2269" spans="2:10" x14ac:dyDescent="0.25">
      <c r="B2269" t="s">
        <v>6</v>
      </c>
      <c r="C2269" t="s">
        <v>309</v>
      </c>
      <c r="D2269">
        <v>703425</v>
      </c>
      <c r="E2269" t="s">
        <v>236</v>
      </c>
      <c r="F2269" t="s">
        <v>21</v>
      </c>
      <c r="G2269" t="s">
        <v>76</v>
      </c>
      <c r="H2269" t="s">
        <v>77</v>
      </c>
      <c r="J2269" s="20">
        <v>0</v>
      </c>
    </row>
    <row r="2270" spans="2:10" x14ac:dyDescent="0.25">
      <c r="B2270" t="s">
        <v>6</v>
      </c>
      <c r="C2270" t="s">
        <v>309</v>
      </c>
      <c r="D2270">
        <v>703426</v>
      </c>
      <c r="E2270" t="s">
        <v>237</v>
      </c>
      <c r="F2270" t="s">
        <v>21</v>
      </c>
      <c r="G2270" t="s">
        <v>22</v>
      </c>
      <c r="H2270" t="s">
        <v>23</v>
      </c>
      <c r="J2270" s="20">
        <v>0</v>
      </c>
    </row>
    <row r="2271" spans="2:10" x14ac:dyDescent="0.25">
      <c r="B2271" t="s">
        <v>6</v>
      </c>
      <c r="C2271" t="s">
        <v>309</v>
      </c>
      <c r="D2271">
        <v>703427</v>
      </c>
      <c r="E2271" t="s">
        <v>238</v>
      </c>
      <c r="F2271" t="s">
        <v>21</v>
      </c>
      <c r="G2271" t="s">
        <v>76</v>
      </c>
      <c r="H2271" t="s">
        <v>77</v>
      </c>
      <c r="J2271" s="20">
        <v>0</v>
      </c>
    </row>
    <row r="2272" spans="2:10" x14ac:dyDescent="0.25">
      <c r="B2272" t="s">
        <v>6</v>
      </c>
      <c r="C2272" t="s">
        <v>309</v>
      </c>
      <c r="D2272">
        <v>703428</v>
      </c>
      <c r="E2272" t="s">
        <v>239</v>
      </c>
      <c r="F2272" t="s">
        <v>21</v>
      </c>
      <c r="G2272" t="s">
        <v>76</v>
      </c>
      <c r="H2272" t="s">
        <v>77</v>
      </c>
      <c r="J2272" s="20">
        <v>0</v>
      </c>
    </row>
    <row r="2273" spans="2:10" x14ac:dyDescent="0.25">
      <c r="B2273" t="s">
        <v>6</v>
      </c>
      <c r="C2273" t="s">
        <v>309</v>
      </c>
      <c r="D2273">
        <v>703429</v>
      </c>
      <c r="E2273" t="s">
        <v>240</v>
      </c>
      <c r="F2273" t="s">
        <v>21</v>
      </c>
      <c r="G2273" t="s">
        <v>76</v>
      </c>
      <c r="H2273" t="s">
        <v>77</v>
      </c>
      <c r="J2273" s="20">
        <v>0</v>
      </c>
    </row>
    <row r="2274" spans="2:10" x14ac:dyDescent="0.25">
      <c r="B2274" t="s">
        <v>6</v>
      </c>
      <c r="C2274" t="s">
        <v>309</v>
      </c>
      <c r="D2274">
        <v>703430</v>
      </c>
      <c r="E2274" t="s">
        <v>20</v>
      </c>
      <c r="F2274" t="s">
        <v>21</v>
      </c>
      <c r="G2274" t="s">
        <v>22</v>
      </c>
      <c r="H2274" t="s">
        <v>23</v>
      </c>
      <c r="J2274" s="20">
        <v>0</v>
      </c>
    </row>
    <row r="2275" spans="2:10" x14ac:dyDescent="0.25">
      <c r="B2275" t="s">
        <v>6</v>
      </c>
      <c r="C2275" t="s">
        <v>309</v>
      </c>
      <c r="D2275">
        <v>703431</v>
      </c>
      <c r="E2275" t="s">
        <v>241</v>
      </c>
      <c r="F2275" t="s">
        <v>21</v>
      </c>
      <c r="G2275" t="s">
        <v>22</v>
      </c>
      <c r="H2275" t="s">
        <v>23</v>
      </c>
      <c r="J2275" s="20">
        <v>0</v>
      </c>
    </row>
    <row r="2276" spans="2:10" x14ac:dyDescent="0.25">
      <c r="B2276" t="s">
        <v>6</v>
      </c>
      <c r="C2276" t="s">
        <v>309</v>
      </c>
      <c r="D2276">
        <v>703432</v>
      </c>
      <c r="E2276" t="s">
        <v>242</v>
      </c>
      <c r="F2276" t="s">
        <v>21</v>
      </c>
      <c r="G2276" t="s">
        <v>22</v>
      </c>
      <c r="H2276" t="s">
        <v>23</v>
      </c>
      <c r="J2276" s="20">
        <v>0</v>
      </c>
    </row>
    <row r="2277" spans="2:10" x14ac:dyDescent="0.25">
      <c r="B2277" t="s">
        <v>6</v>
      </c>
      <c r="C2277" t="s">
        <v>309</v>
      </c>
      <c r="D2277">
        <v>703433</v>
      </c>
      <c r="E2277" t="s">
        <v>243</v>
      </c>
      <c r="F2277" t="s">
        <v>21</v>
      </c>
      <c r="G2277" t="s">
        <v>71</v>
      </c>
      <c r="H2277" t="s">
        <v>88</v>
      </c>
      <c r="J2277" s="20">
        <v>0</v>
      </c>
    </row>
    <row r="2278" spans="2:10" x14ac:dyDescent="0.25">
      <c r="B2278" t="s">
        <v>6</v>
      </c>
      <c r="C2278" t="s">
        <v>309</v>
      </c>
      <c r="D2278">
        <v>703434</v>
      </c>
      <c r="E2278" t="s">
        <v>244</v>
      </c>
      <c r="F2278" t="s">
        <v>21</v>
      </c>
      <c r="G2278" t="s">
        <v>22</v>
      </c>
      <c r="H2278" t="s">
        <v>23</v>
      </c>
      <c r="J2278" s="20">
        <v>0</v>
      </c>
    </row>
    <row r="2279" spans="2:10" x14ac:dyDescent="0.25">
      <c r="B2279" t="s">
        <v>6</v>
      </c>
      <c r="C2279" t="s">
        <v>309</v>
      </c>
      <c r="D2279">
        <v>703435</v>
      </c>
      <c r="E2279" t="s">
        <v>245</v>
      </c>
      <c r="F2279" t="s">
        <v>21</v>
      </c>
      <c r="G2279" t="s">
        <v>71</v>
      </c>
      <c r="H2279" t="s">
        <v>88</v>
      </c>
      <c r="J2279" s="20">
        <v>0</v>
      </c>
    </row>
    <row r="2280" spans="2:10" x14ac:dyDescent="0.25">
      <c r="B2280" t="s">
        <v>6</v>
      </c>
      <c r="C2280" t="s">
        <v>309</v>
      </c>
      <c r="D2280">
        <v>703436</v>
      </c>
      <c r="E2280" t="s">
        <v>246</v>
      </c>
      <c r="F2280" t="s">
        <v>21</v>
      </c>
      <c r="G2280" t="s">
        <v>71</v>
      </c>
      <c r="H2280" t="s">
        <v>88</v>
      </c>
      <c r="J2280" s="20">
        <v>0</v>
      </c>
    </row>
    <row r="2281" spans="2:10" x14ac:dyDescent="0.25">
      <c r="B2281" t="s">
        <v>6</v>
      </c>
      <c r="C2281" t="s">
        <v>309</v>
      </c>
      <c r="D2281">
        <v>703437</v>
      </c>
      <c r="E2281" t="s">
        <v>247</v>
      </c>
      <c r="F2281" t="s">
        <v>21</v>
      </c>
      <c r="G2281" t="s">
        <v>71</v>
      </c>
      <c r="H2281" t="s">
        <v>88</v>
      </c>
      <c r="J2281" s="20">
        <v>0</v>
      </c>
    </row>
    <row r="2282" spans="2:10" x14ac:dyDescent="0.25">
      <c r="B2282" t="s">
        <v>6</v>
      </c>
      <c r="C2282" t="s">
        <v>309</v>
      </c>
      <c r="D2282">
        <v>703438</v>
      </c>
      <c r="E2282" t="s">
        <v>248</v>
      </c>
      <c r="F2282" t="s">
        <v>21</v>
      </c>
      <c r="G2282" t="s">
        <v>71</v>
      </c>
      <c r="H2282" t="s">
        <v>88</v>
      </c>
      <c r="J2282" s="20">
        <v>0</v>
      </c>
    </row>
    <row r="2283" spans="2:10" x14ac:dyDescent="0.25">
      <c r="B2283" t="s">
        <v>6</v>
      </c>
      <c r="C2283" t="s">
        <v>309</v>
      </c>
      <c r="D2283">
        <v>703439</v>
      </c>
      <c r="E2283" t="s">
        <v>249</v>
      </c>
      <c r="F2283" t="s">
        <v>21</v>
      </c>
      <c r="G2283" t="s">
        <v>22</v>
      </c>
      <c r="H2283" t="s">
        <v>23</v>
      </c>
      <c r="J2283" s="20">
        <v>0</v>
      </c>
    </row>
    <row r="2284" spans="2:10" x14ac:dyDescent="0.25">
      <c r="B2284" t="s">
        <v>6</v>
      </c>
      <c r="C2284" t="s">
        <v>309</v>
      </c>
      <c r="D2284">
        <v>703440</v>
      </c>
      <c r="E2284" t="s">
        <v>250</v>
      </c>
      <c r="F2284" t="s">
        <v>21</v>
      </c>
      <c r="G2284" t="s">
        <v>61</v>
      </c>
      <c r="H2284" t="s">
        <v>68</v>
      </c>
      <c r="J2284" s="20">
        <v>0</v>
      </c>
    </row>
    <row r="2285" spans="2:10" x14ac:dyDescent="0.25">
      <c r="B2285" t="s">
        <v>6</v>
      </c>
      <c r="C2285" t="s">
        <v>309</v>
      </c>
      <c r="D2285">
        <v>703441</v>
      </c>
      <c r="E2285" t="s">
        <v>251</v>
      </c>
      <c r="F2285" t="s">
        <v>21</v>
      </c>
      <c r="G2285" t="s">
        <v>61</v>
      </c>
      <c r="H2285" t="s">
        <v>79</v>
      </c>
      <c r="J2285" s="20">
        <v>0</v>
      </c>
    </row>
    <row r="2286" spans="2:10" x14ac:dyDescent="0.25">
      <c r="B2286" t="s">
        <v>6</v>
      </c>
      <c r="C2286" t="s">
        <v>309</v>
      </c>
      <c r="D2286">
        <v>703442</v>
      </c>
      <c r="E2286" t="s">
        <v>252</v>
      </c>
      <c r="F2286" t="s">
        <v>21</v>
      </c>
      <c r="G2286" t="s">
        <v>76</v>
      </c>
      <c r="H2286" t="s">
        <v>77</v>
      </c>
      <c r="J2286" s="20">
        <v>0</v>
      </c>
    </row>
    <row r="2287" spans="2:10" x14ac:dyDescent="0.25">
      <c r="B2287" t="s">
        <v>6</v>
      </c>
      <c r="C2287" t="s">
        <v>309</v>
      </c>
      <c r="D2287">
        <v>703443</v>
      </c>
      <c r="E2287" t="s">
        <v>253</v>
      </c>
      <c r="F2287" t="s">
        <v>21</v>
      </c>
      <c r="G2287" t="s">
        <v>71</v>
      </c>
      <c r="H2287" t="s">
        <v>88</v>
      </c>
      <c r="J2287" s="20">
        <v>0</v>
      </c>
    </row>
    <row r="2288" spans="2:10" x14ac:dyDescent="0.25">
      <c r="B2288" t="s">
        <v>6</v>
      </c>
      <c r="C2288" t="s">
        <v>309</v>
      </c>
      <c r="D2288">
        <v>703444</v>
      </c>
      <c r="E2288" t="s">
        <v>254</v>
      </c>
      <c r="F2288" t="s">
        <v>21</v>
      </c>
      <c r="G2288" t="s">
        <v>22</v>
      </c>
      <c r="H2288" t="s">
        <v>23</v>
      </c>
      <c r="J2288" s="20">
        <v>0</v>
      </c>
    </row>
    <row r="2289" spans="2:10" x14ac:dyDescent="0.25">
      <c r="B2289" t="s">
        <v>6</v>
      </c>
      <c r="C2289" t="s">
        <v>309</v>
      </c>
      <c r="D2289">
        <v>703445</v>
      </c>
      <c r="E2289" t="s">
        <v>255</v>
      </c>
      <c r="F2289" t="s">
        <v>21</v>
      </c>
      <c r="G2289" t="s">
        <v>22</v>
      </c>
      <c r="H2289" t="s">
        <v>23</v>
      </c>
      <c r="J2289" s="20">
        <v>0</v>
      </c>
    </row>
    <row r="2290" spans="2:10" x14ac:dyDescent="0.25">
      <c r="B2290" t="s">
        <v>6</v>
      </c>
      <c r="C2290" t="s">
        <v>309</v>
      </c>
      <c r="D2290">
        <v>703446</v>
      </c>
      <c r="E2290" t="s">
        <v>256</v>
      </c>
      <c r="F2290" t="s">
        <v>21</v>
      </c>
      <c r="G2290" t="s">
        <v>22</v>
      </c>
      <c r="H2290" t="s">
        <v>23</v>
      </c>
      <c r="J2290" s="20">
        <v>0</v>
      </c>
    </row>
    <row r="2291" spans="2:10" x14ac:dyDescent="0.25">
      <c r="B2291" t="s">
        <v>6</v>
      </c>
      <c r="C2291" t="s">
        <v>309</v>
      </c>
      <c r="D2291">
        <v>703447</v>
      </c>
      <c r="E2291" t="s">
        <v>257</v>
      </c>
      <c r="F2291" t="s">
        <v>21</v>
      </c>
      <c r="G2291" t="s">
        <v>22</v>
      </c>
      <c r="H2291" t="s">
        <v>23</v>
      </c>
      <c r="J2291" s="20">
        <v>0</v>
      </c>
    </row>
    <row r="2292" spans="2:10" x14ac:dyDescent="0.25">
      <c r="B2292" t="s">
        <v>6</v>
      </c>
      <c r="C2292" t="s">
        <v>309</v>
      </c>
      <c r="D2292">
        <v>703448</v>
      </c>
      <c r="E2292" t="s">
        <v>258</v>
      </c>
      <c r="F2292" t="s">
        <v>21</v>
      </c>
      <c r="G2292" t="s">
        <v>22</v>
      </c>
      <c r="H2292" t="s">
        <v>23</v>
      </c>
      <c r="J2292" s="20">
        <v>0</v>
      </c>
    </row>
    <row r="2293" spans="2:10" x14ac:dyDescent="0.25">
      <c r="B2293" t="s">
        <v>6</v>
      </c>
      <c r="C2293" t="s">
        <v>309</v>
      </c>
      <c r="D2293">
        <v>703449</v>
      </c>
      <c r="E2293" t="s">
        <v>259</v>
      </c>
      <c r="F2293" t="s">
        <v>21</v>
      </c>
      <c r="G2293" t="s">
        <v>22</v>
      </c>
      <c r="H2293" t="s">
        <v>23</v>
      </c>
      <c r="J2293" s="20">
        <v>0</v>
      </c>
    </row>
    <row r="2294" spans="2:10" x14ac:dyDescent="0.25">
      <c r="B2294" t="s">
        <v>6</v>
      </c>
      <c r="C2294" t="s">
        <v>309</v>
      </c>
      <c r="D2294">
        <v>703450</v>
      </c>
      <c r="E2294" t="s">
        <v>260</v>
      </c>
      <c r="F2294" t="s">
        <v>21</v>
      </c>
      <c r="G2294" t="s">
        <v>71</v>
      </c>
      <c r="H2294" t="s">
        <v>88</v>
      </c>
      <c r="J2294" s="20">
        <v>0</v>
      </c>
    </row>
    <row r="2295" spans="2:10" x14ac:dyDescent="0.25">
      <c r="B2295" t="s">
        <v>6</v>
      </c>
      <c r="C2295" t="s">
        <v>309</v>
      </c>
      <c r="D2295">
        <v>703510</v>
      </c>
      <c r="E2295" t="s">
        <v>261</v>
      </c>
      <c r="F2295" t="s">
        <v>21</v>
      </c>
      <c r="G2295" t="s">
        <v>22</v>
      </c>
      <c r="H2295" t="s">
        <v>23</v>
      </c>
      <c r="J2295" s="20">
        <v>0</v>
      </c>
    </row>
    <row r="2296" spans="2:10" x14ac:dyDescent="0.25">
      <c r="B2296" t="s">
        <v>6</v>
      </c>
      <c r="C2296" t="s">
        <v>309</v>
      </c>
      <c r="D2296">
        <v>703511</v>
      </c>
      <c r="E2296" t="s">
        <v>262</v>
      </c>
      <c r="F2296" t="s">
        <v>21</v>
      </c>
      <c r="G2296" t="s">
        <v>22</v>
      </c>
      <c r="H2296" t="s">
        <v>23</v>
      </c>
      <c r="J2296" s="20">
        <v>0</v>
      </c>
    </row>
    <row r="2297" spans="2:10" x14ac:dyDescent="0.25">
      <c r="B2297" t="s">
        <v>6</v>
      </c>
      <c r="C2297" t="s">
        <v>309</v>
      </c>
      <c r="D2297">
        <v>703512</v>
      </c>
      <c r="E2297" t="s">
        <v>263</v>
      </c>
      <c r="F2297" t="s">
        <v>21</v>
      </c>
      <c r="G2297" t="s">
        <v>22</v>
      </c>
      <c r="H2297" t="s">
        <v>23</v>
      </c>
      <c r="J2297" s="20">
        <v>0</v>
      </c>
    </row>
    <row r="2298" spans="2:10" x14ac:dyDescent="0.25">
      <c r="B2298" t="s">
        <v>6</v>
      </c>
      <c r="C2298" t="s">
        <v>309</v>
      </c>
      <c r="D2298">
        <v>703513</v>
      </c>
      <c r="E2298" t="s">
        <v>264</v>
      </c>
      <c r="F2298" t="s">
        <v>21</v>
      </c>
      <c r="G2298" t="s">
        <v>22</v>
      </c>
      <c r="H2298" t="s">
        <v>23</v>
      </c>
      <c r="J2298" s="20">
        <v>0</v>
      </c>
    </row>
    <row r="2299" spans="2:10" x14ac:dyDescent="0.25">
      <c r="B2299" t="s">
        <v>6</v>
      </c>
      <c r="C2299" t="s">
        <v>309</v>
      </c>
      <c r="D2299">
        <v>703514</v>
      </c>
      <c r="E2299" t="s">
        <v>265</v>
      </c>
      <c r="F2299" t="s">
        <v>21</v>
      </c>
      <c r="G2299" t="s">
        <v>22</v>
      </c>
      <c r="H2299" t="s">
        <v>23</v>
      </c>
      <c r="J2299" s="20">
        <v>0</v>
      </c>
    </row>
    <row r="2300" spans="2:10" x14ac:dyDescent="0.25">
      <c r="B2300" t="s">
        <v>6</v>
      </c>
      <c r="C2300" t="s">
        <v>309</v>
      </c>
      <c r="D2300">
        <v>703515</v>
      </c>
      <c r="E2300" t="s">
        <v>266</v>
      </c>
      <c r="F2300" t="s">
        <v>21</v>
      </c>
      <c r="G2300" t="s">
        <v>22</v>
      </c>
      <c r="H2300" t="s">
        <v>23</v>
      </c>
      <c r="J2300" s="20">
        <v>0</v>
      </c>
    </row>
    <row r="2301" spans="2:10" x14ac:dyDescent="0.25">
      <c r="B2301" t="s">
        <v>6</v>
      </c>
      <c r="C2301" t="s">
        <v>309</v>
      </c>
      <c r="D2301">
        <v>703520</v>
      </c>
      <c r="E2301" t="s">
        <v>267</v>
      </c>
      <c r="F2301" t="s">
        <v>21</v>
      </c>
      <c r="G2301" t="s">
        <v>22</v>
      </c>
      <c r="H2301" t="s">
        <v>23</v>
      </c>
      <c r="J2301" s="20">
        <v>0</v>
      </c>
    </row>
    <row r="2302" spans="2:10" x14ac:dyDescent="0.25">
      <c r="B2302" t="s">
        <v>6</v>
      </c>
      <c r="C2302" t="s">
        <v>309</v>
      </c>
      <c r="D2302">
        <v>703530</v>
      </c>
      <c r="E2302" t="s">
        <v>268</v>
      </c>
      <c r="F2302" t="s">
        <v>21</v>
      </c>
      <c r="G2302" t="s">
        <v>22</v>
      </c>
      <c r="H2302" t="s">
        <v>23</v>
      </c>
      <c r="J2302" s="20">
        <v>0</v>
      </c>
    </row>
    <row r="2303" spans="2:10" x14ac:dyDescent="0.25">
      <c r="B2303" t="s">
        <v>6</v>
      </c>
      <c r="C2303" t="s">
        <v>309</v>
      </c>
      <c r="D2303">
        <v>703540</v>
      </c>
      <c r="E2303" t="s">
        <v>269</v>
      </c>
      <c r="F2303" t="s">
        <v>21</v>
      </c>
      <c r="G2303" t="s">
        <v>22</v>
      </c>
      <c r="H2303" t="s">
        <v>23</v>
      </c>
      <c r="J2303" s="20">
        <v>0</v>
      </c>
    </row>
    <row r="2304" spans="2:10" x14ac:dyDescent="0.25">
      <c r="B2304" t="s">
        <v>6</v>
      </c>
      <c r="C2304" t="s">
        <v>309</v>
      </c>
      <c r="D2304">
        <v>703550</v>
      </c>
      <c r="E2304" t="s">
        <v>270</v>
      </c>
      <c r="F2304" t="s">
        <v>21</v>
      </c>
      <c r="G2304" t="s">
        <v>22</v>
      </c>
      <c r="H2304" t="s">
        <v>23</v>
      </c>
      <c r="J2304" s="20">
        <v>0</v>
      </c>
    </row>
    <row r="2305" spans="2:10" x14ac:dyDescent="0.25">
      <c r="B2305" t="s">
        <v>6</v>
      </c>
      <c r="C2305" t="s">
        <v>309</v>
      </c>
      <c r="D2305">
        <v>703560</v>
      </c>
      <c r="E2305" t="s">
        <v>271</v>
      </c>
      <c r="F2305" t="s">
        <v>21</v>
      </c>
      <c r="G2305" t="s">
        <v>22</v>
      </c>
      <c r="H2305" t="s">
        <v>23</v>
      </c>
      <c r="J2305" s="20">
        <v>0</v>
      </c>
    </row>
    <row r="2306" spans="2:10" x14ac:dyDescent="0.25">
      <c r="B2306" t="s">
        <v>6</v>
      </c>
      <c r="C2306" t="s">
        <v>309</v>
      </c>
      <c r="D2306">
        <v>703570</v>
      </c>
      <c r="E2306" t="s">
        <v>272</v>
      </c>
      <c r="F2306" t="s">
        <v>21</v>
      </c>
      <c r="G2306" t="s">
        <v>22</v>
      </c>
      <c r="H2306" t="s">
        <v>23</v>
      </c>
      <c r="J2306" s="20">
        <v>0</v>
      </c>
    </row>
    <row r="2307" spans="2:10" x14ac:dyDescent="0.25">
      <c r="B2307" t="s">
        <v>6</v>
      </c>
      <c r="C2307" t="s">
        <v>309</v>
      </c>
      <c r="D2307">
        <v>703571</v>
      </c>
      <c r="E2307" t="s">
        <v>273</v>
      </c>
      <c r="F2307" t="s">
        <v>21</v>
      </c>
      <c r="G2307" t="s">
        <v>22</v>
      </c>
      <c r="H2307" t="s">
        <v>23</v>
      </c>
      <c r="J2307" s="20"/>
    </row>
    <row r="2308" spans="2:10" x14ac:dyDescent="0.25">
      <c r="B2308" t="s">
        <v>6</v>
      </c>
      <c r="C2308" t="s">
        <v>309</v>
      </c>
      <c r="D2308">
        <v>703572</v>
      </c>
      <c r="E2308" t="s">
        <v>274</v>
      </c>
      <c r="F2308" t="s">
        <v>21</v>
      </c>
      <c r="G2308" t="s">
        <v>22</v>
      </c>
      <c r="H2308" t="s">
        <v>23</v>
      </c>
      <c r="J2308" s="20"/>
    </row>
    <row r="2309" spans="2:10" x14ac:dyDescent="0.25">
      <c r="B2309" t="s">
        <v>6</v>
      </c>
      <c r="C2309" t="s">
        <v>309</v>
      </c>
      <c r="D2309">
        <v>703573</v>
      </c>
      <c r="E2309" t="s">
        <v>275</v>
      </c>
      <c r="F2309" t="s">
        <v>21</v>
      </c>
      <c r="G2309" t="s">
        <v>22</v>
      </c>
      <c r="H2309" t="s">
        <v>23</v>
      </c>
      <c r="J2309" s="20"/>
    </row>
    <row r="2310" spans="2:10" x14ac:dyDescent="0.25">
      <c r="B2310" t="s">
        <v>6</v>
      </c>
      <c r="C2310" t="s">
        <v>309</v>
      </c>
      <c r="D2310">
        <v>703574</v>
      </c>
      <c r="E2310" t="s">
        <v>276</v>
      </c>
      <c r="F2310" t="s">
        <v>21</v>
      </c>
      <c r="G2310" t="s">
        <v>22</v>
      </c>
      <c r="H2310" t="s">
        <v>23</v>
      </c>
      <c r="J2310" s="20"/>
    </row>
    <row r="2311" spans="2:10" x14ac:dyDescent="0.25">
      <c r="B2311" t="s">
        <v>6</v>
      </c>
      <c r="C2311" t="s">
        <v>309</v>
      </c>
      <c r="D2311">
        <v>703580</v>
      </c>
      <c r="E2311" t="s">
        <v>277</v>
      </c>
      <c r="F2311" t="s">
        <v>21</v>
      </c>
      <c r="G2311" t="s">
        <v>22</v>
      </c>
      <c r="H2311" t="s">
        <v>23</v>
      </c>
      <c r="J2311" s="20">
        <v>0</v>
      </c>
    </row>
    <row r="2312" spans="2:10" x14ac:dyDescent="0.25">
      <c r="B2312" t="s">
        <v>6</v>
      </c>
      <c r="C2312" t="s">
        <v>309</v>
      </c>
      <c r="D2312">
        <v>703590</v>
      </c>
      <c r="E2312" t="s">
        <v>278</v>
      </c>
      <c r="F2312" t="s">
        <v>21</v>
      </c>
      <c r="G2312" t="s">
        <v>22</v>
      </c>
      <c r="H2312" t="s">
        <v>23</v>
      </c>
      <c r="J2312" s="20">
        <v>0</v>
      </c>
    </row>
    <row r="2313" spans="2:10" x14ac:dyDescent="0.25">
      <c r="B2313" t="s">
        <v>6</v>
      </c>
      <c r="C2313" t="s">
        <v>309</v>
      </c>
      <c r="D2313">
        <v>703650</v>
      </c>
      <c r="E2313" t="s">
        <v>279</v>
      </c>
      <c r="F2313" t="s">
        <v>21</v>
      </c>
      <c r="G2313" t="s">
        <v>22</v>
      </c>
      <c r="H2313" t="s">
        <v>23</v>
      </c>
      <c r="J2313" s="20">
        <v>0</v>
      </c>
    </row>
    <row r="2314" spans="2:10" x14ac:dyDescent="0.25">
      <c r="B2314" t="s">
        <v>6</v>
      </c>
      <c r="C2314" t="s">
        <v>309</v>
      </c>
      <c r="D2314">
        <v>703651</v>
      </c>
      <c r="E2314" t="s">
        <v>280</v>
      </c>
      <c r="F2314" t="s">
        <v>21</v>
      </c>
      <c r="G2314" t="s">
        <v>22</v>
      </c>
      <c r="H2314" t="s">
        <v>23</v>
      </c>
      <c r="J2314" s="20">
        <v>0</v>
      </c>
    </row>
    <row r="2315" spans="2:10" x14ac:dyDescent="0.25">
      <c r="B2315" t="s">
        <v>6</v>
      </c>
      <c r="C2315" t="s">
        <v>309</v>
      </c>
      <c r="D2315">
        <v>703850</v>
      </c>
      <c r="E2315" t="s">
        <v>281</v>
      </c>
      <c r="F2315" t="s">
        <v>21</v>
      </c>
      <c r="G2315" t="s">
        <v>22</v>
      </c>
      <c r="H2315" t="s">
        <v>23</v>
      </c>
      <c r="J2315" s="20">
        <v>0</v>
      </c>
    </row>
    <row r="2316" spans="2:10" x14ac:dyDescent="0.25">
      <c r="B2316" t="s">
        <v>6</v>
      </c>
      <c r="C2316" t="s">
        <v>309</v>
      </c>
      <c r="D2316">
        <v>703851</v>
      </c>
      <c r="E2316" t="s">
        <v>282</v>
      </c>
      <c r="F2316" t="s">
        <v>21</v>
      </c>
      <c r="G2316" t="s">
        <v>22</v>
      </c>
      <c r="H2316" t="s">
        <v>23</v>
      </c>
      <c r="J2316" s="20">
        <v>0</v>
      </c>
    </row>
    <row r="2317" spans="2:10" x14ac:dyDescent="0.25">
      <c r="B2317" t="s">
        <v>6</v>
      </c>
      <c r="C2317" t="s">
        <v>309</v>
      </c>
      <c r="D2317">
        <v>703852</v>
      </c>
      <c r="E2317" t="s">
        <v>283</v>
      </c>
      <c r="F2317" t="s">
        <v>21</v>
      </c>
      <c r="G2317" t="s">
        <v>22</v>
      </c>
      <c r="H2317" t="s">
        <v>23</v>
      </c>
      <c r="J2317" s="20">
        <v>0</v>
      </c>
    </row>
    <row r="2318" spans="2:10" x14ac:dyDescent="0.25">
      <c r="B2318" t="s">
        <v>6</v>
      </c>
      <c r="C2318" t="s">
        <v>309</v>
      </c>
      <c r="D2318">
        <v>703853</v>
      </c>
      <c r="E2318" t="s">
        <v>284</v>
      </c>
      <c r="F2318" t="s">
        <v>21</v>
      </c>
      <c r="G2318" t="s">
        <v>22</v>
      </c>
      <c r="H2318" t="s">
        <v>23</v>
      </c>
      <c r="J2318" s="20">
        <v>0</v>
      </c>
    </row>
    <row r="2319" spans="2:10" x14ac:dyDescent="0.25">
      <c r="B2319" t="s">
        <v>6</v>
      </c>
      <c r="C2319" t="s">
        <v>309</v>
      </c>
      <c r="D2319">
        <v>703854</v>
      </c>
      <c r="E2319" t="s">
        <v>285</v>
      </c>
      <c r="F2319" t="s">
        <v>21</v>
      </c>
      <c r="G2319" t="s">
        <v>22</v>
      </c>
      <c r="H2319" t="s">
        <v>115</v>
      </c>
      <c r="J2319" s="20">
        <v>0</v>
      </c>
    </row>
    <row r="2320" spans="2:10" x14ac:dyDescent="0.25">
      <c r="B2320" t="s">
        <v>6</v>
      </c>
      <c r="C2320" t="s">
        <v>309</v>
      </c>
      <c r="D2320">
        <v>703855</v>
      </c>
      <c r="E2320" t="s">
        <v>286</v>
      </c>
      <c r="F2320" t="s">
        <v>21</v>
      </c>
      <c r="G2320" t="s">
        <v>22</v>
      </c>
      <c r="H2320" t="s">
        <v>23</v>
      </c>
      <c r="J2320" s="20">
        <v>0</v>
      </c>
    </row>
    <row r="2321" spans="2:10" x14ac:dyDescent="0.25">
      <c r="B2321" t="s">
        <v>6</v>
      </c>
      <c r="C2321" t="s">
        <v>309</v>
      </c>
      <c r="D2321">
        <v>703856</v>
      </c>
      <c r="E2321" t="s">
        <v>287</v>
      </c>
      <c r="F2321" t="s">
        <v>21</v>
      </c>
      <c r="G2321" t="s">
        <v>22</v>
      </c>
      <c r="H2321" t="s">
        <v>23</v>
      </c>
      <c r="J2321" s="20">
        <v>0</v>
      </c>
    </row>
    <row r="2322" spans="2:10" x14ac:dyDescent="0.25">
      <c r="B2322" t="s">
        <v>6</v>
      </c>
      <c r="C2322" t="s">
        <v>309</v>
      </c>
      <c r="D2322">
        <v>703857</v>
      </c>
      <c r="E2322" t="s">
        <v>288</v>
      </c>
      <c r="F2322" t="s">
        <v>21</v>
      </c>
      <c r="G2322" t="s">
        <v>71</v>
      </c>
      <c r="H2322" t="s">
        <v>88</v>
      </c>
      <c r="J2322" s="20">
        <v>0</v>
      </c>
    </row>
    <row r="2323" spans="2:10" x14ac:dyDescent="0.25">
      <c r="B2323" t="s">
        <v>6</v>
      </c>
      <c r="C2323" t="s">
        <v>309</v>
      </c>
      <c r="D2323">
        <v>703858</v>
      </c>
      <c r="E2323" t="s">
        <v>289</v>
      </c>
      <c r="F2323" t="s">
        <v>21</v>
      </c>
      <c r="G2323" t="s">
        <v>22</v>
      </c>
      <c r="H2323" t="s">
        <v>23</v>
      </c>
      <c r="J2323" s="20">
        <v>0</v>
      </c>
    </row>
    <row r="2324" spans="2:10" x14ac:dyDescent="0.25">
      <c r="B2324" t="s">
        <v>6</v>
      </c>
      <c r="C2324" t="s">
        <v>309</v>
      </c>
      <c r="D2324">
        <v>703859</v>
      </c>
      <c r="E2324" t="s">
        <v>290</v>
      </c>
      <c r="F2324" t="s">
        <v>21</v>
      </c>
      <c r="G2324" t="s">
        <v>22</v>
      </c>
      <c r="H2324" t="s">
        <v>23</v>
      </c>
      <c r="J2324" s="20">
        <v>0</v>
      </c>
    </row>
    <row r="2325" spans="2:10" x14ac:dyDescent="0.25">
      <c r="B2325" t="s">
        <v>6</v>
      </c>
      <c r="C2325" t="s">
        <v>309</v>
      </c>
      <c r="D2325">
        <v>703860</v>
      </c>
      <c r="E2325" t="s">
        <v>291</v>
      </c>
      <c r="F2325" t="s">
        <v>21</v>
      </c>
      <c r="G2325" t="s">
        <v>22</v>
      </c>
      <c r="H2325" t="s">
        <v>23</v>
      </c>
      <c r="J2325" s="20">
        <v>0</v>
      </c>
    </row>
    <row r="2326" spans="2:10" x14ac:dyDescent="0.25">
      <c r="B2326" t="s">
        <v>6</v>
      </c>
      <c r="C2326" t="s">
        <v>309</v>
      </c>
      <c r="D2326">
        <v>703861</v>
      </c>
      <c r="E2326" t="s">
        <v>292</v>
      </c>
      <c r="F2326" t="s">
        <v>21</v>
      </c>
      <c r="G2326" t="s">
        <v>22</v>
      </c>
      <c r="H2326" t="s">
        <v>23</v>
      </c>
      <c r="J2326" s="20">
        <v>0</v>
      </c>
    </row>
    <row r="2327" spans="2:10" x14ac:dyDescent="0.25">
      <c r="B2327" t="s">
        <v>6</v>
      </c>
      <c r="C2327" t="s">
        <v>309</v>
      </c>
      <c r="D2327">
        <v>703862</v>
      </c>
      <c r="E2327" t="s">
        <v>293</v>
      </c>
      <c r="F2327" t="s">
        <v>21</v>
      </c>
      <c r="G2327" t="s">
        <v>22</v>
      </c>
      <c r="H2327" t="s">
        <v>23</v>
      </c>
      <c r="J2327" s="20">
        <v>0</v>
      </c>
    </row>
    <row r="2328" spans="2:10" x14ac:dyDescent="0.25">
      <c r="B2328" t="s">
        <v>6</v>
      </c>
      <c r="C2328" t="s">
        <v>309</v>
      </c>
      <c r="D2328">
        <v>703870</v>
      </c>
      <c r="E2328" t="s">
        <v>294</v>
      </c>
      <c r="F2328" t="s">
        <v>21</v>
      </c>
      <c r="G2328" t="s">
        <v>22</v>
      </c>
      <c r="H2328" t="s">
        <v>23</v>
      </c>
      <c r="J2328" s="20">
        <v>0</v>
      </c>
    </row>
    <row r="2329" spans="2:10" x14ac:dyDescent="0.25">
      <c r="B2329" t="s">
        <v>6</v>
      </c>
      <c r="C2329" t="s">
        <v>309</v>
      </c>
      <c r="D2329">
        <v>703880</v>
      </c>
      <c r="E2329" t="s">
        <v>295</v>
      </c>
      <c r="F2329" t="s">
        <v>21</v>
      </c>
      <c r="G2329" t="s">
        <v>22</v>
      </c>
      <c r="H2329" t="s">
        <v>23</v>
      </c>
      <c r="J2329" s="20">
        <v>0</v>
      </c>
    </row>
    <row r="2330" spans="2:10" x14ac:dyDescent="0.25">
      <c r="B2330" t="s">
        <v>6</v>
      </c>
      <c r="C2330" t="s">
        <v>309</v>
      </c>
      <c r="D2330">
        <v>703899</v>
      </c>
      <c r="E2330" t="s">
        <v>296</v>
      </c>
      <c r="F2330" t="s">
        <v>21</v>
      </c>
      <c r="G2330" t="s">
        <v>22</v>
      </c>
      <c r="H2330" t="s">
        <v>23</v>
      </c>
      <c r="J2330" s="20">
        <v>0</v>
      </c>
    </row>
    <row r="2331" spans="2:10" x14ac:dyDescent="0.25">
      <c r="B2331" t="s">
        <v>6</v>
      </c>
      <c r="C2331" t="s">
        <v>309</v>
      </c>
      <c r="D2331">
        <v>706700</v>
      </c>
      <c r="E2331" t="s">
        <v>25</v>
      </c>
      <c r="F2331" t="s">
        <v>26</v>
      </c>
      <c r="G2331" t="s">
        <v>27</v>
      </c>
      <c r="H2331" t="s">
        <v>28</v>
      </c>
      <c r="J2331" s="20">
        <v>0</v>
      </c>
    </row>
    <row r="2332" spans="2:10" x14ac:dyDescent="0.25">
      <c r="B2332" t="s">
        <v>6</v>
      </c>
      <c r="C2332" t="s">
        <v>309</v>
      </c>
      <c r="D2332" t="s">
        <v>29</v>
      </c>
      <c r="E2332" t="s">
        <v>30</v>
      </c>
      <c r="F2332" t="s">
        <v>26</v>
      </c>
      <c r="G2332" t="s">
        <v>27</v>
      </c>
      <c r="H2332" t="s">
        <v>31</v>
      </c>
      <c r="J2332" s="20">
        <v>0</v>
      </c>
    </row>
    <row r="2333" spans="2:10" x14ac:dyDescent="0.25">
      <c r="B2333" t="s">
        <v>6</v>
      </c>
      <c r="C2333" t="s">
        <v>309</v>
      </c>
      <c r="D2333" t="s">
        <v>32</v>
      </c>
      <c r="E2333" t="s">
        <v>33</v>
      </c>
      <c r="F2333" t="s">
        <v>26</v>
      </c>
      <c r="G2333" t="s">
        <v>27</v>
      </c>
      <c r="H2333" t="s">
        <v>28</v>
      </c>
      <c r="J2333" s="20">
        <v>0</v>
      </c>
    </row>
    <row r="2334" spans="2:10" x14ac:dyDescent="0.25">
      <c r="B2334" t="s">
        <v>6</v>
      </c>
      <c r="C2334" t="s">
        <v>309</v>
      </c>
      <c r="D2334" t="s">
        <v>34</v>
      </c>
      <c r="E2334" t="s">
        <v>35</v>
      </c>
      <c r="F2334" t="s">
        <v>26</v>
      </c>
      <c r="G2334" t="s">
        <v>36</v>
      </c>
      <c r="H2334" t="s">
        <v>36</v>
      </c>
      <c r="J2334" s="20">
        <v>0</v>
      </c>
    </row>
    <row r="2335" spans="2:10" x14ac:dyDescent="0.25">
      <c r="B2335" t="s">
        <v>6</v>
      </c>
      <c r="C2335" t="s">
        <v>309</v>
      </c>
      <c r="D2335" t="s">
        <v>37</v>
      </c>
      <c r="E2335" t="s">
        <v>38</v>
      </c>
      <c r="F2335" t="s">
        <v>21</v>
      </c>
      <c r="G2335" t="s">
        <v>39</v>
      </c>
      <c r="H2335" t="s">
        <v>39</v>
      </c>
      <c r="J2335" s="20">
        <v>0</v>
      </c>
    </row>
    <row r="2336" spans="2:10" x14ac:dyDescent="0.25">
      <c r="B2336" t="s">
        <v>6</v>
      </c>
      <c r="C2336" t="s">
        <v>309</v>
      </c>
      <c r="D2336" t="s">
        <v>40</v>
      </c>
      <c r="E2336" t="s">
        <v>41</v>
      </c>
      <c r="F2336" t="s">
        <v>26</v>
      </c>
      <c r="G2336" t="s">
        <v>39</v>
      </c>
      <c r="H2336" t="s">
        <v>39</v>
      </c>
      <c r="J2336" s="20">
        <v>0</v>
      </c>
    </row>
    <row r="2337" spans="2:10" x14ac:dyDescent="0.25">
      <c r="B2337" t="s">
        <v>6</v>
      </c>
      <c r="C2337" t="s">
        <v>309</v>
      </c>
      <c r="D2337" t="s">
        <v>42</v>
      </c>
      <c r="E2337" t="s">
        <v>43</v>
      </c>
      <c r="F2337" t="s">
        <v>21</v>
      </c>
      <c r="G2337" t="s">
        <v>44</v>
      </c>
      <c r="H2337" t="s">
        <v>44</v>
      </c>
      <c r="J2337" s="20">
        <v>0</v>
      </c>
    </row>
    <row r="2338" spans="2:10" x14ac:dyDescent="0.25">
      <c r="B2338" t="s">
        <v>6</v>
      </c>
      <c r="C2338" t="s">
        <v>309</v>
      </c>
      <c r="D2338" t="s">
        <v>45</v>
      </c>
      <c r="E2338" t="s">
        <v>46</v>
      </c>
      <c r="F2338" t="s">
        <v>26</v>
      </c>
      <c r="G2338" t="s">
        <v>44</v>
      </c>
      <c r="H2338" t="s">
        <v>44</v>
      </c>
      <c r="J2338" s="20">
        <v>0</v>
      </c>
    </row>
    <row r="2339" spans="2:10" x14ac:dyDescent="0.25">
      <c r="B2339" t="s">
        <v>6</v>
      </c>
      <c r="C2339" t="s">
        <v>309</v>
      </c>
      <c r="D2339" t="s">
        <v>297</v>
      </c>
      <c r="E2339" t="s">
        <v>298</v>
      </c>
      <c r="F2339" t="s">
        <v>26</v>
      </c>
      <c r="G2339" t="s">
        <v>299</v>
      </c>
      <c r="H2339" t="s">
        <v>299</v>
      </c>
      <c r="J2339" s="20"/>
    </row>
    <row r="2340" spans="2:10" x14ac:dyDescent="0.25">
      <c r="B2340" t="s">
        <v>6</v>
      </c>
      <c r="C2340" t="s">
        <v>309</v>
      </c>
      <c r="D2340" t="s">
        <v>300</v>
      </c>
      <c r="E2340" t="s">
        <v>301</v>
      </c>
      <c r="F2340" t="s">
        <v>21</v>
      </c>
      <c r="G2340" t="s">
        <v>299</v>
      </c>
      <c r="H2340" t="s">
        <v>299</v>
      </c>
      <c r="J2340" s="20"/>
    </row>
    <row r="2341" spans="2:10" x14ac:dyDescent="0.25">
      <c r="B2341" t="s">
        <v>6</v>
      </c>
      <c r="C2341" t="s">
        <v>309</v>
      </c>
      <c r="D2341" t="s">
        <v>47</v>
      </c>
      <c r="E2341" t="s">
        <v>48</v>
      </c>
      <c r="F2341" t="s">
        <v>26</v>
      </c>
      <c r="G2341" t="s">
        <v>49</v>
      </c>
      <c r="H2341" t="s">
        <v>49</v>
      </c>
      <c r="J2341" s="20">
        <v>0</v>
      </c>
    </row>
    <row r="2342" spans="2:10" x14ac:dyDescent="0.25">
      <c r="B2342" t="s">
        <v>6</v>
      </c>
      <c r="C2342" t="s">
        <v>310</v>
      </c>
      <c r="D2342">
        <v>701000</v>
      </c>
      <c r="E2342" t="s">
        <v>51</v>
      </c>
      <c r="F2342" t="s">
        <v>21</v>
      </c>
      <c r="G2342" t="s">
        <v>52</v>
      </c>
      <c r="H2342" t="s">
        <v>53</v>
      </c>
      <c r="J2342" s="20">
        <v>0</v>
      </c>
    </row>
    <row r="2343" spans="2:10" x14ac:dyDescent="0.25">
      <c r="B2343" t="s">
        <v>6</v>
      </c>
      <c r="C2343" t="s">
        <v>310</v>
      </c>
      <c r="D2343">
        <v>701008</v>
      </c>
      <c r="E2343" t="s">
        <v>54</v>
      </c>
      <c r="F2343" t="s">
        <v>21</v>
      </c>
      <c r="G2343" t="s">
        <v>52</v>
      </c>
      <c r="H2343" t="s">
        <v>53</v>
      </c>
      <c r="J2343" s="20">
        <v>0</v>
      </c>
    </row>
    <row r="2344" spans="2:10" x14ac:dyDescent="0.25">
      <c r="B2344" t="s">
        <v>6</v>
      </c>
      <c r="C2344" t="s">
        <v>310</v>
      </c>
      <c r="D2344">
        <v>701009</v>
      </c>
      <c r="E2344" t="s">
        <v>55</v>
      </c>
      <c r="F2344" t="s">
        <v>21</v>
      </c>
      <c r="G2344" t="s">
        <v>52</v>
      </c>
      <c r="H2344" t="s">
        <v>53</v>
      </c>
      <c r="J2344" s="20">
        <v>0</v>
      </c>
    </row>
    <row r="2345" spans="2:10" x14ac:dyDescent="0.25">
      <c r="B2345" t="s">
        <v>6</v>
      </c>
      <c r="C2345" t="s">
        <v>310</v>
      </c>
      <c r="D2345">
        <v>701010</v>
      </c>
      <c r="E2345" t="s">
        <v>56</v>
      </c>
      <c r="F2345" t="s">
        <v>21</v>
      </c>
      <c r="G2345" t="s">
        <v>52</v>
      </c>
      <c r="H2345" t="s">
        <v>57</v>
      </c>
      <c r="J2345" s="20">
        <v>0</v>
      </c>
    </row>
    <row r="2346" spans="2:10" x14ac:dyDescent="0.25">
      <c r="B2346" t="s">
        <v>6</v>
      </c>
      <c r="C2346" t="s">
        <v>310</v>
      </c>
      <c r="D2346">
        <v>701011</v>
      </c>
      <c r="E2346" t="s">
        <v>58</v>
      </c>
      <c r="F2346" t="s">
        <v>21</v>
      </c>
      <c r="G2346" t="s">
        <v>52</v>
      </c>
      <c r="H2346" t="s">
        <v>53</v>
      </c>
      <c r="J2346" s="20">
        <v>0</v>
      </c>
    </row>
    <row r="2347" spans="2:10" x14ac:dyDescent="0.25">
      <c r="B2347" t="s">
        <v>6</v>
      </c>
      <c r="C2347" t="s">
        <v>310</v>
      </c>
      <c r="D2347">
        <v>701012</v>
      </c>
      <c r="E2347" t="s">
        <v>59</v>
      </c>
      <c r="F2347" t="s">
        <v>21</v>
      </c>
      <c r="G2347" t="s">
        <v>52</v>
      </c>
      <c r="H2347" t="s">
        <v>53</v>
      </c>
      <c r="J2347" s="20">
        <v>0</v>
      </c>
    </row>
    <row r="2348" spans="2:10" x14ac:dyDescent="0.25">
      <c r="B2348" t="s">
        <v>6</v>
      </c>
      <c r="C2348" t="s">
        <v>310</v>
      </c>
      <c r="D2348">
        <v>701013</v>
      </c>
      <c r="E2348" t="s">
        <v>60</v>
      </c>
      <c r="F2348" t="s">
        <v>21</v>
      </c>
      <c r="G2348" t="s">
        <v>61</v>
      </c>
      <c r="H2348" t="s">
        <v>62</v>
      </c>
      <c r="J2348" s="20">
        <v>0</v>
      </c>
    </row>
    <row r="2349" spans="2:10" x14ac:dyDescent="0.25">
      <c r="B2349" t="s">
        <v>6</v>
      </c>
      <c r="C2349" t="s">
        <v>310</v>
      </c>
      <c r="D2349">
        <v>701014</v>
      </c>
      <c r="E2349" t="s">
        <v>63</v>
      </c>
      <c r="F2349" t="s">
        <v>21</v>
      </c>
      <c r="G2349" t="s">
        <v>61</v>
      </c>
      <c r="H2349" t="s">
        <v>64</v>
      </c>
      <c r="J2349" s="20">
        <v>0</v>
      </c>
    </row>
    <row r="2350" spans="2:10" x14ac:dyDescent="0.25">
      <c r="B2350" t="s">
        <v>6</v>
      </c>
      <c r="C2350" t="s">
        <v>310</v>
      </c>
      <c r="D2350">
        <v>701015</v>
      </c>
      <c r="E2350" t="s">
        <v>65</v>
      </c>
      <c r="F2350" t="s">
        <v>21</v>
      </c>
      <c r="G2350" t="s">
        <v>52</v>
      </c>
      <c r="H2350" t="s">
        <v>53</v>
      </c>
      <c r="J2350" s="20">
        <v>0</v>
      </c>
    </row>
    <row r="2351" spans="2:10" x14ac:dyDescent="0.25">
      <c r="B2351" t="s">
        <v>6</v>
      </c>
      <c r="C2351" t="s">
        <v>310</v>
      </c>
      <c r="D2351">
        <v>701016</v>
      </c>
      <c r="E2351" t="s">
        <v>66</v>
      </c>
      <c r="F2351" t="s">
        <v>21</v>
      </c>
      <c r="G2351" t="s">
        <v>52</v>
      </c>
      <c r="H2351" t="s">
        <v>53</v>
      </c>
      <c r="J2351" s="20">
        <v>0</v>
      </c>
    </row>
    <row r="2352" spans="2:10" x14ac:dyDescent="0.25">
      <c r="B2352" t="s">
        <v>6</v>
      </c>
      <c r="C2352" t="s">
        <v>310</v>
      </c>
      <c r="D2352">
        <v>701017</v>
      </c>
      <c r="E2352" t="s">
        <v>67</v>
      </c>
      <c r="F2352" t="s">
        <v>21</v>
      </c>
      <c r="G2352" t="s">
        <v>61</v>
      </c>
      <c r="H2352" t="s">
        <v>68</v>
      </c>
      <c r="J2352" s="20">
        <v>0</v>
      </c>
    </row>
    <row r="2353" spans="2:10" x14ac:dyDescent="0.25">
      <c r="B2353" t="s">
        <v>6</v>
      </c>
      <c r="C2353" t="s">
        <v>310</v>
      </c>
      <c r="D2353">
        <v>701018</v>
      </c>
      <c r="E2353" t="s">
        <v>69</v>
      </c>
      <c r="F2353" t="s">
        <v>21</v>
      </c>
      <c r="G2353" t="s">
        <v>61</v>
      </c>
      <c r="H2353" t="s">
        <v>68</v>
      </c>
      <c r="J2353" s="20">
        <v>0</v>
      </c>
    </row>
    <row r="2354" spans="2:10" x14ac:dyDescent="0.25">
      <c r="B2354" t="s">
        <v>6</v>
      </c>
      <c r="C2354" t="s">
        <v>310</v>
      </c>
      <c r="D2354">
        <v>701019</v>
      </c>
      <c r="E2354" t="s">
        <v>70</v>
      </c>
      <c r="F2354" t="s">
        <v>21</v>
      </c>
      <c r="G2354" t="s">
        <v>71</v>
      </c>
      <c r="H2354" t="s">
        <v>72</v>
      </c>
      <c r="J2354" s="20">
        <v>0</v>
      </c>
    </row>
    <row r="2355" spans="2:10" x14ac:dyDescent="0.25">
      <c r="B2355" t="s">
        <v>6</v>
      </c>
      <c r="C2355" t="s">
        <v>310</v>
      </c>
      <c r="D2355">
        <v>701020</v>
      </c>
      <c r="E2355" t="s">
        <v>73</v>
      </c>
      <c r="F2355" t="s">
        <v>21</v>
      </c>
      <c r="G2355" t="s">
        <v>52</v>
      </c>
      <c r="H2355" t="s">
        <v>53</v>
      </c>
      <c r="J2355" s="20">
        <v>0</v>
      </c>
    </row>
    <row r="2356" spans="2:10" x14ac:dyDescent="0.25">
      <c r="B2356" t="s">
        <v>6</v>
      </c>
      <c r="C2356" t="s">
        <v>310</v>
      </c>
      <c r="D2356">
        <v>701021</v>
      </c>
      <c r="E2356" t="s">
        <v>74</v>
      </c>
      <c r="F2356" t="s">
        <v>21</v>
      </c>
      <c r="G2356" t="s">
        <v>61</v>
      </c>
      <c r="H2356" t="s">
        <v>74</v>
      </c>
      <c r="J2356" s="20">
        <v>0</v>
      </c>
    </row>
    <row r="2357" spans="2:10" x14ac:dyDescent="0.25">
      <c r="B2357" t="s">
        <v>6</v>
      </c>
      <c r="C2357" t="s">
        <v>310</v>
      </c>
      <c r="D2357">
        <v>701022</v>
      </c>
      <c r="E2357" t="s">
        <v>75</v>
      </c>
      <c r="F2357" t="s">
        <v>21</v>
      </c>
      <c r="G2357" t="s">
        <v>76</v>
      </c>
      <c r="H2357" t="s">
        <v>77</v>
      </c>
      <c r="J2357" s="20">
        <v>0</v>
      </c>
    </row>
    <row r="2358" spans="2:10" x14ac:dyDescent="0.25">
      <c r="B2358" t="s">
        <v>6</v>
      </c>
      <c r="C2358" t="s">
        <v>310</v>
      </c>
      <c r="D2358">
        <v>701023</v>
      </c>
      <c r="E2358" t="s">
        <v>78</v>
      </c>
      <c r="F2358" t="s">
        <v>21</v>
      </c>
      <c r="G2358" t="s">
        <v>61</v>
      </c>
      <c r="H2358" t="s">
        <v>79</v>
      </c>
      <c r="J2358" s="20">
        <v>0</v>
      </c>
    </row>
    <row r="2359" spans="2:10" x14ac:dyDescent="0.25">
      <c r="B2359" t="s">
        <v>6</v>
      </c>
      <c r="C2359" t="s">
        <v>310</v>
      </c>
      <c r="D2359">
        <v>701024</v>
      </c>
      <c r="E2359" t="s">
        <v>80</v>
      </c>
      <c r="F2359" t="s">
        <v>21</v>
      </c>
      <c r="G2359" t="s">
        <v>76</v>
      </c>
      <c r="H2359" t="s">
        <v>77</v>
      </c>
      <c r="J2359" s="20">
        <v>0</v>
      </c>
    </row>
    <row r="2360" spans="2:10" x14ac:dyDescent="0.25">
      <c r="B2360" t="s">
        <v>6</v>
      </c>
      <c r="C2360" t="s">
        <v>310</v>
      </c>
      <c r="D2360">
        <v>701025</v>
      </c>
      <c r="E2360" t="s">
        <v>81</v>
      </c>
      <c r="F2360" t="s">
        <v>21</v>
      </c>
      <c r="G2360" t="s">
        <v>71</v>
      </c>
      <c r="H2360" t="s">
        <v>82</v>
      </c>
      <c r="J2360" s="20">
        <v>0</v>
      </c>
    </row>
    <row r="2361" spans="2:10" x14ac:dyDescent="0.25">
      <c r="B2361" t="s">
        <v>6</v>
      </c>
      <c r="C2361" t="s">
        <v>310</v>
      </c>
      <c r="D2361">
        <v>701026</v>
      </c>
      <c r="E2361" t="s">
        <v>83</v>
      </c>
      <c r="F2361" t="s">
        <v>21</v>
      </c>
      <c r="G2361" t="s">
        <v>76</v>
      </c>
      <c r="H2361" t="s">
        <v>77</v>
      </c>
      <c r="J2361" s="20">
        <v>0</v>
      </c>
    </row>
    <row r="2362" spans="2:10" x14ac:dyDescent="0.25">
      <c r="B2362" t="s">
        <v>6</v>
      </c>
      <c r="C2362" t="s">
        <v>310</v>
      </c>
      <c r="D2362">
        <v>701027</v>
      </c>
      <c r="E2362" t="s">
        <v>84</v>
      </c>
      <c r="F2362" t="s">
        <v>21</v>
      </c>
      <c r="G2362" t="s">
        <v>76</v>
      </c>
      <c r="H2362" t="s">
        <v>77</v>
      </c>
      <c r="J2362" s="20">
        <v>0</v>
      </c>
    </row>
    <row r="2363" spans="2:10" x14ac:dyDescent="0.25">
      <c r="B2363" t="s">
        <v>6</v>
      </c>
      <c r="C2363" t="s">
        <v>310</v>
      </c>
      <c r="D2363">
        <v>701028</v>
      </c>
      <c r="E2363" t="s">
        <v>85</v>
      </c>
      <c r="F2363" t="s">
        <v>21</v>
      </c>
      <c r="G2363" t="s">
        <v>61</v>
      </c>
      <c r="H2363" t="s">
        <v>68</v>
      </c>
      <c r="J2363" s="20">
        <v>0</v>
      </c>
    </row>
    <row r="2364" spans="2:10" x14ac:dyDescent="0.25">
      <c r="B2364" t="s">
        <v>6</v>
      </c>
      <c r="C2364" t="s">
        <v>310</v>
      </c>
      <c r="D2364">
        <v>701029</v>
      </c>
      <c r="E2364" t="s">
        <v>86</v>
      </c>
      <c r="F2364" t="s">
        <v>21</v>
      </c>
      <c r="G2364" t="s">
        <v>61</v>
      </c>
      <c r="H2364" t="s">
        <v>68</v>
      </c>
      <c r="J2364" s="20">
        <v>0</v>
      </c>
    </row>
    <row r="2365" spans="2:10" x14ac:dyDescent="0.25">
      <c r="B2365" t="s">
        <v>6</v>
      </c>
      <c r="C2365" t="s">
        <v>310</v>
      </c>
      <c r="D2365">
        <v>701030</v>
      </c>
      <c r="E2365" t="s">
        <v>87</v>
      </c>
      <c r="F2365" t="s">
        <v>21</v>
      </c>
      <c r="G2365" t="s">
        <v>71</v>
      </c>
      <c r="H2365" t="s">
        <v>88</v>
      </c>
      <c r="J2365" s="20">
        <v>0</v>
      </c>
    </row>
    <row r="2366" spans="2:10" x14ac:dyDescent="0.25">
      <c r="B2366" t="s">
        <v>6</v>
      </c>
      <c r="C2366" t="s">
        <v>310</v>
      </c>
      <c r="D2366">
        <v>701031</v>
      </c>
      <c r="E2366" t="s">
        <v>89</v>
      </c>
      <c r="F2366" t="s">
        <v>21</v>
      </c>
      <c r="G2366" t="s">
        <v>76</v>
      </c>
      <c r="H2366" t="s">
        <v>77</v>
      </c>
      <c r="J2366" s="20">
        <v>0</v>
      </c>
    </row>
    <row r="2367" spans="2:10" x14ac:dyDescent="0.25">
      <c r="B2367" t="s">
        <v>6</v>
      </c>
      <c r="C2367" t="s">
        <v>310</v>
      </c>
      <c r="D2367">
        <v>701032</v>
      </c>
      <c r="E2367" t="s">
        <v>90</v>
      </c>
      <c r="F2367" t="s">
        <v>21</v>
      </c>
      <c r="G2367" t="s">
        <v>52</v>
      </c>
      <c r="H2367" t="s">
        <v>53</v>
      </c>
      <c r="J2367" s="20">
        <v>0</v>
      </c>
    </row>
    <row r="2368" spans="2:10" x14ac:dyDescent="0.25">
      <c r="B2368" t="s">
        <v>6</v>
      </c>
      <c r="C2368" t="s">
        <v>310</v>
      </c>
      <c r="D2368">
        <v>701034</v>
      </c>
      <c r="E2368" t="s">
        <v>91</v>
      </c>
      <c r="F2368" t="s">
        <v>21</v>
      </c>
      <c r="G2368" t="s">
        <v>76</v>
      </c>
      <c r="H2368" t="s">
        <v>77</v>
      </c>
      <c r="J2368" s="20">
        <v>0</v>
      </c>
    </row>
    <row r="2369" spans="2:10" x14ac:dyDescent="0.25">
      <c r="B2369" t="s">
        <v>6</v>
      </c>
      <c r="C2369" t="s">
        <v>310</v>
      </c>
      <c r="D2369">
        <v>701035</v>
      </c>
      <c r="E2369" t="s">
        <v>92</v>
      </c>
      <c r="F2369" t="s">
        <v>21</v>
      </c>
      <c r="G2369" t="s">
        <v>61</v>
      </c>
      <c r="H2369" t="s">
        <v>68</v>
      </c>
      <c r="J2369" s="20">
        <v>0</v>
      </c>
    </row>
    <row r="2370" spans="2:10" x14ac:dyDescent="0.25">
      <c r="B2370" t="s">
        <v>6</v>
      </c>
      <c r="C2370" t="s">
        <v>310</v>
      </c>
      <c r="D2370">
        <v>701036</v>
      </c>
      <c r="E2370" t="s">
        <v>93</v>
      </c>
      <c r="F2370" t="s">
        <v>21</v>
      </c>
      <c r="G2370" t="s">
        <v>52</v>
      </c>
      <c r="H2370" t="s">
        <v>53</v>
      </c>
      <c r="J2370" s="20">
        <v>0</v>
      </c>
    </row>
    <row r="2371" spans="2:10" x14ac:dyDescent="0.25">
      <c r="B2371" t="s">
        <v>6</v>
      </c>
      <c r="C2371" t="s">
        <v>310</v>
      </c>
      <c r="D2371">
        <v>701113</v>
      </c>
      <c r="E2371" t="s">
        <v>94</v>
      </c>
      <c r="F2371" t="s">
        <v>21</v>
      </c>
      <c r="G2371" t="s">
        <v>61</v>
      </c>
      <c r="H2371" t="s">
        <v>62</v>
      </c>
      <c r="J2371" s="20">
        <v>0</v>
      </c>
    </row>
    <row r="2372" spans="2:10" x14ac:dyDescent="0.25">
      <c r="B2372" t="s">
        <v>6</v>
      </c>
      <c r="C2372" t="s">
        <v>310</v>
      </c>
      <c r="D2372">
        <v>701119</v>
      </c>
      <c r="E2372" t="s">
        <v>95</v>
      </c>
      <c r="F2372" t="s">
        <v>21</v>
      </c>
      <c r="G2372" t="s">
        <v>22</v>
      </c>
      <c r="H2372" t="s">
        <v>23</v>
      </c>
      <c r="J2372" s="20">
        <v>0</v>
      </c>
    </row>
    <row r="2373" spans="2:10" x14ac:dyDescent="0.25">
      <c r="B2373" t="s">
        <v>6</v>
      </c>
      <c r="C2373" t="s">
        <v>310</v>
      </c>
      <c r="D2373">
        <v>701120</v>
      </c>
      <c r="E2373" t="s">
        <v>96</v>
      </c>
      <c r="F2373" t="s">
        <v>21</v>
      </c>
      <c r="G2373" t="s">
        <v>22</v>
      </c>
      <c r="H2373" t="s">
        <v>23</v>
      </c>
      <c r="J2373" s="20">
        <v>0</v>
      </c>
    </row>
    <row r="2374" spans="2:10" x14ac:dyDescent="0.25">
      <c r="B2374" t="s">
        <v>6</v>
      </c>
      <c r="C2374" t="s">
        <v>310</v>
      </c>
      <c r="D2374">
        <v>701121</v>
      </c>
      <c r="E2374" t="s">
        <v>97</v>
      </c>
      <c r="F2374" t="s">
        <v>21</v>
      </c>
      <c r="G2374" t="s">
        <v>22</v>
      </c>
      <c r="H2374" t="s">
        <v>23</v>
      </c>
      <c r="J2374" s="20">
        <v>0</v>
      </c>
    </row>
    <row r="2375" spans="2:10" x14ac:dyDescent="0.25">
      <c r="B2375" t="s">
        <v>6</v>
      </c>
      <c r="C2375" t="s">
        <v>310</v>
      </c>
      <c r="D2375">
        <v>701122</v>
      </c>
      <c r="E2375" t="s">
        <v>98</v>
      </c>
      <c r="F2375" t="s">
        <v>21</v>
      </c>
      <c r="G2375" t="s">
        <v>71</v>
      </c>
      <c r="H2375" t="s">
        <v>88</v>
      </c>
      <c r="J2375" s="20">
        <v>0</v>
      </c>
    </row>
    <row r="2376" spans="2:10" x14ac:dyDescent="0.25">
      <c r="B2376" t="s">
        <v>6</v>
      </c>
      <c r="C2376" t="s">
        <v>310</v>
      </c>
      <c r="D2376">
        <v>701123</v>
      </c>
      <c r="E2376" t="s">
        <v>99</v>
      </c>
      <c r="F2376" t="s">
        <v>21</v>
      </c>
      <c r="G2376" t="s">
        <v>22</v>
      </c>
      <c r="H2376" t="s">
        <v>23</v>
      </c>
      <c r="J2376" s="20">
        <v>0</v>
      </c>
    </row>
    <row r="2377" spans="2:10" x14ac:dyDescent="0.25">
      <c r="B2377" t="s">
        <v>6</v>
      </c>
      <c r="C2377" t="s">
        <v>310</v>
      </c>
      <c r="D2377">
        <v>701127</v>
      </c>
      <c r="E2377" t="s">
        <v>100</v>
      </c>
      <c r="F2377" t="s">
        <v>21</v>
      </c>
      <c r="G2377" t="s">
        <v>76</v>
      </c>
      <c r="H2377" t="s">
        <v>77</v>
      </c>
      <c r="J2377" s="20">
        <v>0</v>
      </c>
    </row>
    <row r="2378" spans="2:10" x14ac:dyDescent="0.25">
      <c r="B2378" t="s">
        <v>6</v>
      </c>
      <c r="C2378" t="s">
        <v>310</v>
      </c>
      <c r="D2378">
        <v>701213</v>
      </c>
      <c r="E2378" t="s">
        <v>101</v>
      </c>
      <c r="F2378" t="s">
        <v>21</v>
      </c>
      <c r="G2378" t="s">
        <v>61</v>
      </c>
      <c r="H2378" t="s">
        <v>62</v>
      </c>
      <c r="J2378" s="20">
        <v>0</v>
      </c>
    </row>
    <row r="2379" spans="2:10" x14ac:dyDescent="0.25">
      <c r="B2379" t="s">
        <v>6</v>
      </c>
      <c r="C2379" t="s">
        <v>310</v>
      </c>
      <c r="D2379">
        <v>701214</v>
      </c>
      <c r="E2379" t="s">
        <v>102</v>
      </c>
      <c r="F2379" t="s">
        <v>21</v>
      </c>
      <c r="G2379" t="s">
        <v>61</v>
      </c>
      <c r="H2379" t="s">
        <v>62</v>
      </c>
      <c r="J2379" s="20">
        <v>0</v>
      </c>
    </row>
    <row r="2380" spans="2:10" x14ac:dyDescent="0.25">
      <c r="B2380" t="s">
        <v>6</v>
      </c>
      <c r="C2380" t="s">
        <v>310</v>
      </c>
      <c r="D2380">
        <v>701215</v>
      </c>
      <c r="E2380" t="s">
        <v>103</v>
      </c>
      <c r="F2380" t="s">
        <v>21</v>
      </c>
      <c r="G2380" t="s">
        <v>61</v>
      </c>
      <c r="H2380" t="s">
        <v>62</v>
      </c>
      <c r="J2380" s="20">
        <v>0</v>
      </c>
    </row>
    <row r="2381" spans="2:10" x14ac:dyDescent="0.25">
      <c r="B2381" t="s">
        <v>6</v>
      </c>
      <c r="C2381" t="s">
        <v>310</v>
      </c>
      <c r="D2381">
        <v>701227</v>
      </c>
      <c r="E2381" t="s">
        <v>104</v>
      </c>
      <c r="F2381" t="s">
        <v>21</v>
      </c>
      <c r="G2381" t="s">
        <v>76</v>
      </c>
      <c r="H2381" t="s">
        <v>77</v>
      </c>
      <c r="J2381" s="20">
        <v>0</v>
      </c>
    </row>
    <row r="2382" spans="2:10" x14ac:dyDescent="0.25">
      <c r="B2382" t="s">
        <v>6</v>
      </c>
      <c r="C2382" t="s">
        <v>310</v>
      </c>
      <c r="D2382">
        <v>701327</v>
      </c>
      <c r="E2382" t="s">
        <v>106</v>
      </c>
      <c r="F2382" t="s">
        <v>21</v>
      </c>
      <c r="G2382" t="s">
        <v>76</v>
      </c>
      <c r="H2382" t="s">
        <v>77</v>
      </c>
      <c r="J2382" s="20">
        <v>0</v>
      </c>
    </row>
    <row r="2383" spans="2:10" x14ac:dyDescent="0.25">
      <c r="B2383" t="s">
        <v>6</v>
      </c>
      <c r="C2383" t="s">
        <v>310</v>
      </c>
      <c r="D2383">
        <v>701427</v>
      </c>
      <c r="E2383" t="s">
        <v>107</v>
      </c>
      <c r="F2383" t="s">
        <v>21</v>
      </c>
      <c r="G2383" t="s">
        <v>76</v>
      </c>
      <c r="H2383" t="s">
        <v>108</v>
      </c>
      <c r="J2383" s="20">
        <v>0</v>
      </c>
    </row>
    <row r="2384" spans="2:10" x14ac:dyDescent="0.25">
      <c r="B2384" t="s">
        <v>6</v>
      </c>
      <c r="C2384" t="s">
        <v>310</v>
      </c>
      <c r="D2384">
        <v>701527</v>
      </c>
      <c r="E2384" t="s">
        <v>109</v>
      </c>
      <c r="F2384" t="s">
        <v>21</v>
      </c>
      <c r="G2384" t="s">
        <v>76</v>
      </c>
      <c r="H2384" t="s">
        <v>77</v>
      </c>
      <c r="J2384" s="20">
        <v>0</v>
      </c>
    </row>
    <row r="2385" spans="2:10" x14ac:dyDescent="0.25">
      <c r="B2385" t="s">
        <v>6</v>
      </c>
      <c r="C2385" t="s">
        <v>310</v>
      </c>
      <c r="D2385">
        <v>701627</v>
      </c>
      <c r="E2385" t="s">
        <v>110</v>
      </c>
      <c r="F2385" t="s">
        <v>21</v>
      </c>
      <c r="G2385" t="s">
        <v>76</v>
      </c>
      <c r="H2385" t="s">
        <v>77</v>
      </c>
      <c r="J2385" s="20">
        <v>0</v>
      </c>
    </row>
    <row r="2386" spans="2:10" x14ac:dyDescent="0.25">
      <c r="B2386" t="s">
        <v>6</v>
      </c>
      <c r="C2386" t="s">
        <v>310</v>
      </c>
      <c r="D2386">
        <v>701727</v>
      </c>
      <c r="E2386" t="s">
        <v>111</v>
      </c>
      <c r="F2386" t="s">
        <v>21</v>
      </c>
      <c r="G2386" t="s">
        <v>76</v>
      </c>
      <c r="H2386" t="s">
        <v>77</v>
      </c>
      <c r="J2386" s="20">
        <v>0</v>
      </c>
    </row>
    <row r="2387" spans="2:10" x14ac:dyDescent="0.25">
      <c r="B2387" t="s">
        <v>6</v>
      </c>
      <c r="C2387" t="s">
        <v>310</v>
      </c>
      <c r="D2387">
        <v>701801</v>
      </c>
      <c r="E2387" t="s">
        <v>112</v>
      </c>
      <c r="F2387" t="s">
        <v>21</v>
      </c>
      <c r="G2387" t="s">
        <v>76</v>
      </c>
      <c r="H2387" t="s">
        <v>77</v>
      </c>
      <c r="J2387" s="20">
        <v>0</v>
      </c>
    </row>
    <row r="2388" spans="2:10" x14ac:dyDescent="0.25">
      <c r="B2388" t="s">
        <v>6</v>
      </c>
      <c r="C2388" t="s">
        <v>310</v>
      </c>
      <c r="D2388">
        <v>701802</v>
      </c>
      <c r="E2388" t="s">
        <v>113</v>
      </c>
      <c r="F2388" t="s">
        <v>21</v>
      </c>
      <c r="G2388" t="s">
        <v>61</v>
      </c>
      <c r="H2388" t="s">
        <v>62</v>
      </c>
      <c r="J2388" s="20">
        <v>0</v>
      </c>
    </row>
    <row r="2389" spans="2:10" x14ac:dyDescent="0.25">
      <c r="B2389" t="s">
        <v>6</v>
      </c>
      <c r="C2389" t="s">
        <v>310</v>
      </c>
      <c r="D2389">
        <v>703010</v>
      </c>
      <c r="E2389" t="s">
        <v>114</v>
      </c>
      <c r="F2389" t="s">
        <v>21</v>
      </c>
      <c r="G2389" t="s">
        <v>22</v>
      </c>
      <c r="H2389" t="s">
        <v>115</v>
      </c>
      <c r="J2389" s="20">
        <v>0</v>
      </c>
    </row>
    <row r="2390" spans="2:10" x14ac:dyDescent="0.25">
      <c r="B2390" t="s">
        <v>6</v>
      </c>
      <c r="C2390" t="s">
        <v>310</v>
      </c>
      <c r="D2390">
        <v>703011</v>
      </c>
      <c r="E2390" t="s">
        <v>116</v>
      </c>
      <c r="F2390" t="s">
        <v>21</v>
      </c>
      <c r="G2390" t="s">
        <v>22</v>
      </c>
      <c r="H2390" t="s">
        <v>115</v>
      </c>
      <c r="J2390" s="20">
        <v>0</v>
      </c>
    </row>
    <row r="2391" spans="2:10" x14ac:dyDescent="0.25">
      <c r="B2391" t="s">
        <v>6</v>
      </c>
      <c r="C2391" t="s">
        <v>310</v>
      </c>
      <c r="D2391">
        <v>703012</v>
      </c>
      <c r="E2391" t="s">
        <v>117</v>
      </c>
      <c r="F2391" t="s">
        <v>21</v>
      </c>
      <c r="G2391" t="s">
        <v>22</v>
      </c>
      <c r="H2391" t="s">
        <v>115</v>
      </c>
      <c r="J2391" s="20">
        <v>0</v>
      </c>
    </row>
    <row r="2392" spans="2:10" x14ac:dyDescent="0.25">
      <c r="B2392" t="s">
        <v>6</v>
      </c>
      <c r="C2392" t="s">
        <v>310</v>
      </c>
      <c r="D2392">
        <v>703013</v>
      </c>
      <c r="E2392" t="s">
        <v>118</v>
      </c>
      <c r="F2392" t="s">
        <v>21</v>
      </c>
      <c r="G2392" t="s">
        <v>22</v>
      </c>
      <c r="H2392" t="s">
        <v>115</v>
      </c>
      <c r="J2392" s="20">
        <v>0</v>
      </c>
    </row>
    <row r="2393" spans="2:10" x14ac:dyDescent="0.25">
      <c r="B2393" t="s">
        <v>6</v>
      </c>
      <c r="C2393" t="s">
        <v>310</v>
      </c>
      <c r="D2393">
        <v>703014</v>
      </c>
      <c r="E2393" t="s">
        <v>119</v>
      </c>
      <c r="F2393" t="s">
        <v>21</v>
      </c>
      <c r="G2393" t="s">
        <v>22</v>
      </c>
      <c r="H2393" t="s">
        <v>115</v>
      </c>
      <c r="J2393" s="20">
        <v>0</v>
      </c>
    </row>
    <row r="2394" spans="2:10" x14ac:dyDescent="0.25">
      <c r="B2394" t="s">
        <v>6</v>
      </c>
      <c r="C2394" t="s">
        <v>310</v>
      </c>
      <c r="D2394">
        <v>703015</v>
      </c>
      <c r="E2394" t="s">
        <v>120</v>
      </c>
      <c r="F2394" t="s">
        <v>21</v>
      </c>
      <c r="G2394" t="s">
        <v>22</v>
      </c>
      <c r="H2394" t="s">
        <v>115</v>
      </c>
      <c r="J2394" s="20">
        <v>0</v>
      </c>
    </row>
    <row r="2395" spans="2:10" x14ac:dyDescent="0.25">
      <c r="B2395" t="s">
        <v>6</v>
      </c>
      <c r="C2395" t="s">
        <v>310</v>
      </c>
      <c r="D2395">
        <v>703016</v>
      </c>
      <c r="E2395" t="s">
        <v>121</v>
      </c>
      <c r="F2395" t="s">
        <v>21</v>
      </c>
      <c r="G2395" t="s">
        <v>22</v>
      </c>
      <c r="H2395" t="s">
        <v>115</v>
      </c>
      <c r="J2395" s="20">
        <v>0</v>
      </c>
    </row>
    <row r="2396" spans="2:10" x14ac:dyDescent="0.25">
      <c r="B2396" t="s">
        <v>6</v>
      </c>
      <c r="C2396" t="s">
        <v>310</v>
      </c>
      <c r="D2396">
        <v>703017</v>
      </c>
      <c r="E2396" t="s">
        <v>122</v>
      </c>
      <c r="F2396" t="s">
        <v>21</v>
      </c>
      <c r="G2396" t="s">
        <v>22</v>
      </c>
      <c r="H2396" t="s">
        <v>115</v>
      </c>
      <c r="J2396" s="20">
        <v>0</v>
      </c>
    </row>
    <row r="2397" spans="2:10" x14ac:dyDescent="0.25">
      <c r="B2397" t="s">
        <v>6</v>
      </c>
      <c r="C2397" t="s">
        <v>310</v>
      </c>
      <c r="D2397">
        <v>703018</v>
      </c>
      <c r="E2397" t="s">
        <v>123</v>
      </c>
      <c r="F2397" t="s">
        <v>21</v>
      </c>
      <c r="G2397" t="s">
        <v>22</v>
      </c>
      <c r="H2397" t="s">
        <v>115</v>
      </c>
      <c r="J2397" s="20">
        <v>0</v>
      </c>
    </row>
    <row r="2398" spans="2:10" x14ac:dyDescent="0.25">
      <c r="B2398" t="s">
        <v>6</v>
      </c>
      <c r="C2398" t="s">
        <v>310</v>
      </c>
      <c r="D2398">
        <v>703019</v>
      </c>
      <c r="E2398" t="s">
        <v>124</v>
      </c>
      <c r="F2398" t="s">
        <v>21</v>
      </c>
      <c r="G2398" t="s">
        <v>22</v>
      </c>
      <c r="H2398" t="s">
        <v>115</v>
      </c>
      <c r="J2398" s="20">
        <v>0</v>
      </c>
    </row>
    <row r="2399" spans="2:10" x14ac:dyDescent="0.25">
      <c r="B2399" t="s">
        <v>6</v>
      </c>
      <c r="C2399" t="s">
        <v>310</v>
      </c>
      <c r="D2399">
        <v>703210</v>
      </c>
      <c r="E2399" t="s">
        <v>125</v>
      </c>
      <c r="F2399" t="s">
        <v>21</v>
      </c>
      <c r="G2399" t="s">
        <v>22</v>
      </c>
      <c r="H2399" t="s">
        <v>23</v>
      </c>
      <c r="J2399" s="20">
        <v>0</v>
      </c>
    </row>
    <row r="2400" spans="2:10" x14ac:dyDescent="0.25">
      <c r="B2400" t="s">
        <v>6</v>
      </c>
      <c r="C2400" t="s">
        <v>310</v>
      </c>
      <c r="D2400">
        <v>703211</v>
      </c>
      <c r="E2400" t="s">
        <v>126</v>
      </c>
      <c r="F2400" t="s">
        <v>21</v>
      </c>
      <c r="G2400" t="s">
        <v>22</v>
      </c>
      <c r="H2400" t="s">
        <v>23</v>
      </c>
      <c r="J2400" s="20">
        <v>0</v>
      </c>
    </row>
    <row r="2401" spans="2:10" x14ac:dyDescent="0.25">
      <c r="B2401" t="s">
        <v>6</v>
      </c>
      <c r="C2401" t="s">
        <v>310</v>
      </c>
      <c r="D2401">
        <v>703212</v>
      </c>
      <c r="E2401" t="s">
        <v>127</v>
      </c>
      <c r="F2401" t="s">
        <v>21</v>
      </c>
      <c r="G2401" t="s">
        <v>22</v>
      </c>
      <c r="H2401" t="s">
        <v>23</v>
      </c>
      <c r="J2401" s="20">
        <v>0</v>
      </c>
    </row>
    <row r="2402" spans="2:10" x14ac:dyDescent="0.25">
      <c r="B2402" t="s">
        <v>6</v>
      </c>
      <c r="C2402" t="s">
        <v>310</v>
      </c>
      <c r="D2402">
        <v>703213</v>
      </c>
      <c r="E2402" t="s">
        <v>128</v>
      </c>
      <c r="F2402" t="s">
        <v>21</v>
      </c>
      <c r="G2402" t="s">
        <v>22</v>
      </c>
      <c r="H2402" t="s">
        <v>23</v>
      </c>
      <c r="J2402" s="20">
        <v>0</v>
      </c>
    </row>
    <row r="2403" spans="2:10" x14ac:dyDescent="0.25">
      <c r="B2403" t="s">
        <v>6</v>
      </c>
      <c r="C2403" t="s">
        <v>310</v>
      </c>
      <c r="D2403">
        <v>703214</v>
      </c>
      <c r="E2403" t="s">
        <v>129</v>
      </c>
      <c r="F2403" t="s">
        <v>21</v>
      </c>
      <c r="G2403" t="s">
        <v>22</v>
      </c>
      <c r="H2403" t="s">
        <v>23</v>
      </c>
      <c r="J2403" s="20">
        <v>0</v>
      </c>
    </row>
    <row r="2404" spans="2:10" x14ac:dyDescent="0.25">
      <c r="B2404" t="s">
        <v>6</v>
      </c>
      <c r="C2404" t="s">
        <v>310</v>
      </c>
      <c r="D2404">
        <v>703215</v>
      </c>
      <c r="E2404" t="s">
        <v>130</v>
      </c>
      <c r="F2404" t="s">
        <v>21</v>
      </c>
      <c r="G2404" t="s">
        <v>22</v>
      </c>
      <c r="H2404" t="s">
        <v>23</v>
      </c>
      <c r="J2404" s="20">
        <v>0</v>
      </c>
    </row>
    <row r="2405" spans="2:10" x14ac:dyDescent="0.25">
      <c r="B2405" t="s">
        <v>6</v>
      </c>
      <c r="C2405" t="s">
        <v>310</v>
      </c>
      <c r="D2405">
        <v>703216</v>
      </c>
      <c r="E2405" t="s">
        <v>131</v>
      </c>
      <c r="F2405" t="s">
        <v>21</v>
      </c>
      <c r="G2405" t="s">
        <v>22</v>
      </c>
      <c r="H2405" t="s">
        <v>23</v>
      </c>
      <c r="J2405" s="20">
        <v>0</v>
      </c>
    </row>
    <row r="2406" spans="2:10" x14ac:dyDescent="0.25">
      <c r="B2406" t="s">
        <v>6</v>
      </c>
      <c r="C2406" t="s">
        <v>310</v>
      </c>
      <c r="D2406">
        <v>703217</v>
      </c>
      <c r="E2406" t="s">
        <v>132</v>
      </c>
      <c r="F2406" t="s">
        <v>21</v>
      </c>
      <c r="G2406" t="s">
        <v>22</v>
      </c>
      <c r="H2406" t="s">
        <v>23</v>
      </c>
      <c r="J2406" s="20">
        <v>0</v>
      </c>
    </row>
    <row r="2407" spans="2:10" x14ac:dyDescent="0.25">
      <c r="B2407" t="s">
        <v>6</v>
      </c>
      <c r="C2407" t="s">
        <v>310</v>
      </c>
      <c r="D2407">
        <v>703219</v>
      </c>
      <c r="E2407" t="s">
        <v>133</v>
      </c>
      <c r="F2407" t="s">
        <v>21</v>
      </c>
      <c r="G2407" t="s">
        <v>22</v>
      </c>
      <c r="H2407" t="s">
        <v>23</v>
      </c>
      <c r="J2407" s="20">
        <v>0</v>
      </c>
    </row>
    <row r="2408" spans="2:10" x14ac:dyDescent="0.25">
      <c r="B2408" t="s">
        <v>6</v>
      </c>
      <c r="C2408" t="s">
        <v>310</v>
      </c>
      <c r="D2408">
        <v>703220</v>
      </c>
      <c r="E2408" t="s">
        <v>134</v>
      </c>
      <c r="F2408" t="s">
        <v>21</v>
      </c>
      <c r="G2408" t="s">
        <v>71</v>
      </c>
      <c r="H2408" t="s">
        <v>135</v>
      </c>
      <c r="J2408" s="20">
        <v>0</v>
      </c>
    </row>
    <row r="2409" spans="2:10" x14ac:dyDescent="0.25">
      <c r="B2409" t="s">
        <v>6</v>
      </c>
      <c r="C2409" t="s">
        <v>310</v>
      </c>
      <c r="D2409">
        <v>703221</v>
      </c>
      <c r="E2409" t="s">
        <v>136</v>
      </c>
      <c r="F2409" t="s">
        <v>21</v>
      </c>
      <c r="G2409" t="s">
        <v>137</v>
      </c>
      <c r="H2409" t="s">
        <v>138</v>
      </c>
      <c r="J2409" s="20">
        <v>0</v>
      </c>
    </row>
    <row r="2410" spans="2:10" x14ac:dyDescent="0.25">
      <c r="B2410" t="s">
        <v>6</v>
      </c>
      <c r="C2410" t="s">
        <v>310</v>
      </c>
      <c r="D2410">
        <v>703222</v>
      </c>
      <c r="E2410" t="s">
        <v>139</v>
      </c>
      <c r="F2410" t="s">
        <v>21</v>
      </c>
      <c r="G2410" t="s">
        <v>137</v>
      </c>
      <c r="H2410" t="s">
        <v>138</v>
      </c>
      <c r="J2410" s="20">
        <v>0</v>
      </c>
    </row>
    <row r="2411" spans="2:10" x14ac:dyDescent="0.25">
      <c r="B2411" t="s">
        <v>6</v>
      </c>
      <c r="C2411" t="s">
        <v>310</v>
      </c>
      <c r="D2411">
        <v>703223</v>
      </c>
      <c r="E2411" t="s">
        <v>140</v>
      </c>
      <c r="F2411" t="s">
        <v>21</v>
      </c>
      <c r="G2411" t="s">
        <v>137</v>
      </c>
      <c r="H2411" t="s">
        <v>141</v>
      </c>
      <c r="J2411" s="20">
        <v>0</v>
      </c>
    </row>
    <row r="2412" spans="2:10" x14ac:dyDescent="0.25">
      <c r="B2412" t="s">
        <v>6</v>
      </c>
      <c r="C2412" t="s">
        <v>310</v>
      </c>
      <c r="D2412">
        <v>703224</v>
      </c>
      <c r="E2412" t="s">
        <v>142</v>
      </c>
      <c r="F2412" t="s">
        <v>21</v>
      </c>
      <c r="G2412" t="s">
        <v>71</v>
      </c>
      <c r="H2412" t="s">
        <v>88</v>
      </c>
      <c r="J2412" s="20">
        <v>0</v>
      </c>
    </row>
    <row r="2413" spans="2:10" x14ac:dyDescent="0.25">
      <c r="B2413" t="s">
        <v>6</v>
      </c>
      <c r="C2413" t="s">
        <v>310</v>
      </c>
      <c r="D2413">
        <v>703225</v>
      </c>
      <c r="E2413" t="s">
        <v>143</v>
      </c>
      <c r="F2413" t="s">
        <v>21</v>
      </c>
      <c r="G2413" t="s">
        <v>71</v>
      </c>
      <c r="H2413" t="s">
        <v>88</v>
      </c>
      <c r="J2413" s="20">
        <v>0</v>
      </c>
    </row>
    <row r="2414" spans="2:10" x14ac:dyDescent="0.25">
      <c r="B2414" t="s">
        <v>6</v>
      </c>
      <c r="C2414" t="s">
        <v>310</v>
      </c>
      <c r="D2414">
        <v>703226</v>
      </c>
      <c r="E2414" t="s">
        <v>144</v>
      </c>
      <c r="F2414" t="s">
        <v>21</v>
      </c>
      <c r="G2414" t="s">
        <v>71</v>
      </c>
      <c r="H2414" t="s">
        <v>82</v>
      </c>
      <c r="J2414" s="20">
        <v>0</v>
      </c>
    </row>
    <row r="2415" spans="2:10" x14ac:dyDescent="0.25">
      <c r="B2415" t="s">
        <v>6</v>
      </c>
      <c r="C2415" t="s">
        <v>310</v>
      </c>
      <c r="D2415">
        <v>703227</v>
      </c>
      <c r="E2415" t="s">
        <v>145</v>
      </c>
      <c r="F2415" t="s">
        <v>21</v>
      </c>
      <c r="G2415" t="s">
        <v>137</v>
      </c>
      <c r="H2415" t="s">
        <v>138</v>
      </c>
      <c r="J2415" s="20">
        <v>0</v>
      </c>
    </row>
    <row r="2416" spans="2:10" x14ac:dyDescent="0.25">
      <c r="B2416" t="s">
        <v>6</v>
      </c>
      <c r="C2416" t="s">
        <v>310</v>
      </c>
      <c r="D2416">
        <v>703228</v>
      </c>
      <c r="E2416" t="s">
        <v>146</v>
      </c>
      <c r="F2416" t="s">
        <v>21</v>
      </c>
      <c r="G2416" t="s">
        <v>147</v>
      </c>
      <c r="H2416" t="s">
        <v>147</v>
      </c>
      <c r="J2416" s="20">
        <v>0</v>
      </c>
    </row>
    <row r="2417" spans="2:10" x14ac:dyDescent="0.25">
      <c r="B2417" t="s">
        <v>6</v>
      </c>
      <c r="C2417" t="s">
        <v>310</v>
      </c>
      <c r="D2417">
        <v>703229</v>
      </c>
      <c r="E2417" t="s">
        <v>148</v>
      </c>
      <c r="F2417" t="s">
        <v>21</v>
      </c>
      <c r="G2417" t="s">
        <v>147</v>
      </c>
      <c r="H2417" t="s">
        <v>147</v>
      </c>
      <c r="J2417" s="20">
        <v>0</v>
      </c>
    </row>
    <row r="2418" spans="2:10" x14ac:dyDescent="0.25">
      <c r="B2418" t="s">
        <v>6</v>
      </c>
      <c r="C2418" t="s">
        <v>310</v>
      </c>
      <c r="D2418">
        <v>703230</v>
      </c>
      <c r="E2418" t="s">
        <v>149</v>
      </c>
      <c r="F2418" t="s">
        <v>21</v>
      </c>
      <c r="G2418" t="s">
        <v>147</v>
      </c>
      <c r="H2418" t="s">
        <v>147</v>
      </c>
      <c r="J2418" s="20">
        <v>0</v>
      </c>
    </row>
    <row r="2419" spans="2:10" x14ac:dyDescent="0.25">
      <c r="B2419" t="s">
        <v>6</v>
      </c>
      <c r="C2419" t="s">
        <v>310</v>
      </c>
      <c r="D2419">
        <v>703231</v>
      </c>
      <c r="E2419" t="s">
        <v>150</v>
      </c>
      <c r="F2419" t="s">
        <v>21</v>
      </c>
      <c r="G2419" t="s">
        <v>137</v>
      </c>
      <c r="H2419" t="s">
        <v>141</v>
      </c>
      <c r="J2419" s="20">
        <v>0</v>
      </c>
    </row>
    <row r="2420" spans="2:10" x14ac:dyDescent="0.25">
      <c r="B2420" t="s">
        <v>6</v>
      </c>
      <c r="C2420" t="s">
        <v>310</v>
      </c>
      <c r="D2420">
        <v>703232</v>
      </c>
      <c r="E2420" t="s">
        <v>151</v>
      </c>
      <c r="F2420" t="s">
        <v>21</v>
      </c>
      <c r="G2420" t="s">
        <v>147</v>
      </c>
      <c r="H2420" t="s">
        <v>147</v>
      </c>
      <c r="J2420" s="20">
        <v>0</v>
      </c>
    </row>
    <row r="2421" spans="2:10" x14ac:dyDescent="0.25">
      <c r="B2421" t="s">
        <v>6</v>
      </c>
      <c r="C2421" t="s">
        <v>310</v>
      </c>
      <c r="D2421">
        <v>703233</v>
      </c>
      <c r="E2421" t="s">
        <v>152</v>
      </c>
      <c r="F2421" t="s">
        <v>21</v>
      </c>
      <c r="G2421" t="s">
        <v>71</v>
      </c>
      <c r="H2421" t="s">
        <v>153</v>
      </c>
      <c r="J2421" s="20">
        <v>0</v>
      </c>
    </row>
    <row r="2422" spans="2:10" x14ac:dyDescent="0.25">
      <c r="B2422" t="s">
        <v>6</v>
      </c>
      <c r="C2422" t="s">
        <v>310</v>
      </c>
      <c r="D2422">
        <v>703234</v>
      </c>
      <c r="E2422" t="s">
        <v>154</v>
      </c>
      <c r="F2422" t="s">
        <v>21</v>
      </c>
      <c r="G2422" t="s">
        <v>71</v>
      </c>
      <c r="H2422" t="s">
        <v>153</v>
      </c>
      <c r="J2422" s="20">
        <v>0</v>
      </c>
    </row>
    <row r="2423" spans="2:10" x14ac:dyDescent="0.25">
      <c r="B2423" t="s">
        <v>6</v>
      </c>
      <c r="C2423" t="s">
        <v>310</v>
      </c>
      <c r="D2423">
        <v>703235</v>
      </c>
      <c r="E2423" t="s">
        <v>155</v>
      </c>
      <c r="F2423" t="s">
        <v>21</v>
      </c>
      <c r="G2423" t="s">
        <v>71</v>
      </c>
      <c r="H2423" t="s">
        <v>153</v>
      </c>
      <c r="J2423" s="20">
        <v>0</v>
      </c>
    </row>
    <row r="2424" spans="2:10" x14ac:dyDescent="0.25">
      <c r="B2424" t="s">
        <v>6</v>
      </c>
      <c r="C2424" t="s">
        <v>310</v>
      </c>
      <c r="D2424">
        <v>703236</v>
      </c>
      <c r="E2424" t="s">
        <v>156</v>
      </c>
      <c r="F2424" t="s">
        <v>21</v>
      </c>
      <c r="G2424" t="s">
        <v>76</v>
      </c>
      <c r="H2424" t="s">
        <v>77</v>
      </c>
      <c r="J2424" s="20">
        <v>0</v>
      </c>
    </row>
    <row r="2425" spans="2:10" x14ac:dyDescent="0.25">
      <c r="B2425" t="s">
        <v>6</v>
      </c>
      <c r="C2425" t="s">
        <v>310</v>
      </c>
      <c r="D2425">
        <v>703237</v>
      </c>
      <c r="E2425" t="s">
        <v>157</v>
      </c>
      <c r="F2425" t="s">
        <v>21</v>
      </c>
      <c r="G2425" t="s">
        <v>22</v>
      </c>
      <c r="H2425" t="s">
        <v>23</v>
      </c>
      <c r="J2425" s="20">
        <v>0</v>
      </c>
    </row>
    <row r="2426" spans="2:10" x14ac:dyDescent="0.25">
      <c r="B2426" t="s">
        <v>6</v>
      </c>
      <c r="C2426" t="s">
        <v>310</v>
      </c>
      <c r="D2426">
        <v>703238</v>
      </c>
      <c r="E2426" t="s">
        <v>158</v>
      </c>
      <c r="F2426" t="s">
        <v>21</v>
      </c>
      <c r="G2426" t="s">
        <v>61</v>
      </c>
      <c r="H2426" t="s">
        <v>68</v>
      </c>
      <c r="J2426" s="20">
        <v>0</v>
      </c>
    </row>
    <row r="2427" spans="2:10" x14ac:dyDescent="0.25">
      <c r="B2427" t="s">
        <v>6</v>
      </c>
      <c r="C2427" t="s">
        <v>310</v>
      </c>
      <c r="D2427">
        <v>703239</v>
      </c>
      <c r="E2427" t="s">
        <v>159</v>
      </c>
      <c r="F2427" t="s">
        <v>21</v>
      </c>
      <c r="G2427" t="s">
        <v>61</v>
      </c>
      <c r="H2427" t="s">
        <v>68</v>
      </c>
      <c r="J2427" s="20">
        <v>0</v>
      </c>
    </row>
    <row r="2428" spans="2:10" x14ac:dyDescent="0.25">
      <c r="B2428" t="s">
        <v>6</v>
      </c>
      <c r="C2428" t="s">
        <v>310</v>
      </c>
      <c r="D2428">
        <v>703240</v>
      </c>
      <c r="E2428" t="s">
        <v>160</v>
      </c>
      <c r="F2428" t="s">
        <v>21</v>
      </c>
      <c r="G2428" t="s">
        <v>61</v>
      </c>
      <c r="H2428" t="s">
        <v>68</v>
      </c>
      <c r="J2428" s="20">
        <v>0</v>
      </c>
    </row>
    <row r="2429" spans="2:10" x14ac:dyDescent="0.25">
      <c r="B2429" t="s">
        <v>6</v>
      </c>
      <c r="C2429" t="s">
        <v>310</v>
      </c>
      <c r="D2429">
        <v>703241</v>
      </c>
      <c r="E2429" t="s">
        <v>161</v>
      </c>
      <c r="F2429" t="s">
        <v>21</v>
      </c>
      <c r="G2429" t="s">
        <v>137</v>
      </c>
      <c r="H2429" t="s">
        <v>141</v>
      </c>
      <c r="J2429" s="20">
        <v>0</v>
      </c>
    </row>
    <row r="2430" spans="2:10" x14ac:dyDescent="0.25">
      <c r="B2430" t="s">
        <v>6</v>
      </c>
      <c r="C2430" t="s">
        <v>310</v>
      </c>
      <c r="D2430">
        <v>703242</v>
      </c>
      <c r="E2430" t="s">
        <v>162</v>
      </c>
      <c r="F2430" t="s">
        <v>21</v>
      </c>
      <c r="G2430" t="s">
        <v>137</v>
      </c>
      <c r="H2430" t="s">
        <v>141</v>
      </c>
      <c r="J2430" s="20">
        <v>0</v>
      </c>
    </row>
    <row r="2431" spans="2:10" x14ac:dyDescent="0.25">
      <c r="B2431" t="s">
        <v>6</v>
      </c>
      <c r="C2431" t="s">
        <v>310</v>
      </c>
      <c r="D2431">
        <v>703243</v>
      </c>
      <c r="E2431" t="s">
        <v>163</v>
      </c>
      <c r="F2431" t="s">
        <v>21</v>
      </c>
      <c r="G2431" t="s">
        <v>137</v>
      </c>
      <c r="H2431" t="s">
        <v>141</v>
      </c>
      <c r="J2431" s="20">
        <v>0</v>
      </c>
    </row>
    <row r="2432" spans="2:10" x14ac:dyDescent="0.25">
      <c r="B2432" t="s">
        <v>6</v>
      </c>
      <c r="C2432" t="s">
        <v>310</v>
      </c>
      <c r="D2432">
        <v>703244</v>
      </c>
      <c r="E2432" t="s">
        <v>164</v>
      </c>
      <c r="F2432" t="s">
        <v>21</v>
      </c>
      <c r="G2432" t="s">
        <v>71</v>
      </c>
      <c r="H2432" t="s">
        <v>88</v>
      </c>
      <c r="J2432" s="20">
        <v>0</v>
      </c>
    </row>
    <row r="2433" spans="2:10" x14ac:dyDescent="0.25">
      <c r="B2433" t="s">
        <v>6</v>
      </c>
      <c r="C2433" t="s">
        <v>310</v>
      </c>
      <c r="D2433">
        <v>703245</v>
      </c>
      <c r="E2433" t="s">
        <v>165</v>
      </c>
      <c r="F2433" t="s">
        <v>21</v>
      </c>
      <c r="G2433" t="s">
        <v>137</v>
      </c>
      <c r="H2433" t="s">
        <v>138</v>
      </c>
      <c r="J2433" s="20">
        <v>0</v>
      </c>
    </row>
    <row r="2434" spans="2:10" x14ac:dyDescent="0.25">
      <c r="B2434" t="s">
        <v>6</v>
      </c>
      <c r="C2434" t="s">
        <v>310</v>
      </c>
      <c r="D2434">
        <v>703246</v>
      </c>
      <c r="E2434" t="s">
        <v>166</v>
      </c>
      <c r="F2434" t="s">
        <v>21</v>
      </c>
      <c r="G2434" t="s">
        <v>137</v>
      </c>
      <c r="H2434" t="s">
        <v>138</v>
      </c>
      <c r="J2434" s="20">
        <v>0</v>
      </c>
    </row>
    <row r="2435" spans="2:10" x14ac:dyDescent="0.25">
      <c r="B2435" t="s">
        <v>6</v>
      </c>
      <c r="C2435" t="s">
        <v>310</v>
      </c>
      <c r="D2435">
        <v>703247</v>
      </c>
      <c r="E2435" t="s">
        <v>167</v>
      </c>
      <c r="F2435" t="s">
        <v>21</v>
      </c>
      <c r="G2435" t="s">
        <v>137</v>
      </c>
      <c r="H2435" t="s">
        <v>138</v>
      </c>
      <c r="J2435" s="20">
        <v>0</v>
      </c>
    </row>
    <row r="2436" spans="2:10" x14ac:dyDescent="0.25">
      <c r="B2436" t="s">
        <v>6</v>
      </c>
      <c r="C2436" t="s">
        <v>310</v>
      </c>
      <c r="D2436">
        <v>703248</v>
      </c>
      <c r="E2436" t="s">
        <v>168</v>
      </c>
      <c r="F2436" t="s">
        <v>21</v>
      </c>
      <c r="G2436" t="s">
        <v>137</v>
      </c>
      <c r="H2436" t="s">
        <v>141</v>
      </c>
      <c r="J2436" s="20">
        <v>0</v>
      </c>
    </row>
    <row r="2437" spans="2:10" x14ac:dyDescent="0.25">
      <c r="B2437" t="s">
        <v>6</v>
      </c>
      <c r="C2437" t="s">
        <v>310</v>
      </c>
      <c r="D2437">
        <v>703249</v>
      </c>
      <c r="E2437" t="s">
        <v>169</v>
      </c>
      <c r="F2437" t="s">
        <v>21</v>
      </c>
      <c r="G2437" t="s">
        <v>147</v>
      </c>
      <c r="H2437" t="s">
        <v>147</v>
      </c>
      <c r="J2437" s="20">
        <v>0</v>
      </c>
    </row>
    <row r="2438" spans="2:10" x14ac:dyDescent="0.25">
      <c r="B2438" t="s">
        <v>6</v>
      </c>
      <c r="C2438" t="s">
        <v>310</v>
      </c>
      <c r="D2438">
        <v>703250</v>
      </c>
      <c r="E2438" t="s">
        <v>170</v>
      </c>
      <c r="F2438" t="s">
        <v>21</v>
      </c>
      <c r="G2438" t="s">
        <v>71</v>
      </c>
      <c r="H2438" t="s">
        <v>171</v>
      </c>
      <c r="J2438" s="20">
        <v>0</v>
      </c>
    </row>
    <row r="2439" spans="2:10" x14ac:dyDescent="0.25">
      <c r="B2439" t="s">
        <v>6</v>
      </c>
      <c r="C2439" t="s">
        <v>310</v>
      </c>
      <c r="D2439">
        <v>703251</v>
      </c>
      <c r="E2439" t="s">
        <v>172</v>
      </c>
      <c r="F2439" t="s">
        <v>21</v>
      </c>
      <c r="G2439" t="s">
        <v>22</v>
      </c>
      <c r="H2439" t="s">
        <v>115</v>
      </c>
      <c r="J2439" s="20">
        <v>0</v>
      </c>
    </row>
    <row r="2440" spans="2:10" x14ac:dyDescent="0.25">
      <c r="B2440" t="s">
        <v>6</v>
      </c>
      <c r="C2440" t="s">
        <v>310</v>
      </c>
      <c r="D2440">
        <v>703252</v>
      </c>
      <c r="E2440" t="s">
        <v>173</v>
      </c>
      <c r="F2440" t="s">
        <v>21</v>
      </c>
      <c r="G2440" t="s">
        <v>22</v>
      </c>
      <c r="H2440" t="s">
        <v>115</v>
      </c>
      <c r="J2440" s="20">
        <v>0</v>
      </c>
    </row>
    <row r="2441" spans="2:10" x14ac:dyDescent="0.25">
      <c r="B2441" t="s">
        <v>6</v>
      </c>
      <c r="C2441" t="s">
        <v>310</v>
      </c>
      <c r="D2441">
        <v>703253</v>
      </c>
      <c r="E2441" t="s">
        <v>174</v>
      </c>
      <c r="F2441" t="s">
        <v>21</v>
      </c>
      <c r="G2441" t="s">
        <v>22</v>
      </c>
      <c r="H2441" t="s">
        <v>115</v>
      </c>
      <c r="J2441" s="20">
        <v>0</v>
      </c>
    </row>
    <row r="2442" spans="2:10" x14ac:dyDescent="0.25">
      <c r="B2442" t="s">
        <v>6</v>
      </c>
      <c r="C2442" t="s">
        <v>310</v>
      </c>
      <c r="D2442">
        <v>703254</v>
      </c>
      <c r="E2442" t="s">
        <v>175</v>
      </c>
      <c r="F2442" t="s">
        <v>21</v>
      </c>
      <c r="G2442" t="s">
        <v>22</v>
      </c>
      <c r="H2442" t="s">
        <v>115</v>
      </c>
      <c r="J2442" s="20">
        <v>0</v>
      </c>
    </row>
    <row r="2443" spans="2:10" x14ac:dyDescent="0.25">
      <c r="B2443" t="s">
        <v>6</v>
      </c>
      <c r="C2443" t="s">
        <v>310</v>
      </c>
      <c r="D2443">
        <v>703255</v>
      </c>
      <c r="E2443" t="s">
        <v>176</v>
      </c>
      <c r="F2443" t="s">
        <v>21</v>
      </c>
      <c r="G2443" t="s">
        <v>22</v>
      </c>
      <c r="H2443" t="s">
        <v>115</v>
      </c>
      <c r="J2443" s="20">
        <v>0</v>
      </c>
    </row>
    <row r="2444" spans="2:10" x14ac:dyDescent="0.25">
      <c r="B2444" t="s">
        <v>6</v>
      </c>
      <c r="C2444" t="s">
        <v>310</v>
      </c>
      <c r="D2444">
        <v>703257</v>
      </c>
      <c r="E2444" t="s">
        <v>177</v>
      </c>
      <c r="F2444" t="s">
        <v>21</v>
      </c>
      <c r="G2444" t="s">
        <v>147</v>
      </c>
      <c r="H2444" t="s">
        <v>147</v>
      </c>
      <c r="J2444" s="20">
        <v>0</v>
      </c>
    </row>
    <row r="2445" spans="2:10" x14ac:dyDescent="0.25">
      <c r="B2445" t="s">
        <v>6</v>
      </c>
      <c r="C2445" t="s">
        <v>310</v>
      </c>
      <c r="D2445">
        <v>703258</v>
      </c>
      <c r="E2445" t="s">
        <v>178</v>
      </c>
      <c r="F2445" t="s">
        <v>21</v>
      </c>
      <c r="G2445" t="s">
        <v>147</v>
      </c>
      <c r="H2445" t="s">
        <v>147</v>
      </c>
      <c r="J2445" s="20">
        <v>0</v>
      </c>
    </row>
    <row r="2446" spans="2:10" x14ac:dyDescent="0.25">
      <c r="B2446" t="s">
        <v>6</v>
      </c>
      <c r="C2446" t="s">
        <v>310</v>
      </c>
      <c r="D2446">
        <v>703260</v>
      </c>
      <c r="E2446" t="s">
        <v>179</v>
      </c>
      <c r="F2446" t="s">
        <v>21</v>
      </c>
      <c r="G2446" t="s">
        <v>76</v>
      </c>
      <c r="H2446" t="s">
        <v>77</v>
      </c>
      <c r="J2446" s="20">
        <v>0</v>
      </c>
    </row>
    <row r="2447" spans="2:10" x14ac:dyDescent="0.25">
      <c r="B2447" t="s">
        <v>6</v>
      </c>
      <c r="C2447" t="s">
        <v>310</v>
      </c>
      <c r="D2447">
        <v>703261</v>
      </c>
      <c r="E2447" t="s">
        <v>180</v>
      </c>
      <c r="F2447" t="s">
        <v>21</v>
      </c>
      <c r="G2447" t="s">
        <v>22</v>
      </c>
      <c r="H2447" t="s">
        <v>115</v>
      </c>
      <c r="J2447" s="20">
        <v>0</v>
      </c>
    </row>
    <row r="2448" spans="2:10" x14ac:dyDescent="0.25">
      <c r="B2448" t="s">
        <v>6</v>
      </c>
      <c r="C2448" t="s">
        <v>310</v>
      </c>
      <c r="D2448">
        <v>703262</v>
      </c>
      <c r="E2448" t="s">
        <v>181</v>
      </c>
      <c r="F2448" t="s">
        <v>21</v>
      </c>
      <c r="G2448" t="s">
        <v>22</v>
      </c>
      <c r="H2448" t="s">
        <v>23</v>
      </c>
      <c r="J2448" s="20">
        <v>0</v>
      </c>
    </row>
    <row r="2449" spans="2:10" x14ac:dyDescent="0.25">
      <c r="B2449" t="s">
        <v>6</v>
      </c>
      <c r="C2449" t="s">
        <v>310</v>
      </c>
      <c r="D2449">
        <v>703263</v>
      </c>
      <c r="E2449" t="s">
        <v>182</v>
      </c>
      <c r="F2449" t="s">
        <v>21</v>
      </c>
      <c r="G2449" t="s">
        <v>22</v>
      </c>
      <c r="H2449" t="s">
        <v>115</v>
      </c>
      <c r="J2449" s="20">
        <v>0</v>
      </c>
    </row>
    <row r="2450" spans="2:10" x14ac:dyDescent="0.25">
      <c r="B2450" t="s">
        <v>6</v>
      </c>
      <c r="C2450" t="s">
        <v>310</v>
      </c>
      <c r="D2450">
        <v>703264</v>
      </c>
      <c r="E2450" t="s">
        <v>183</v>
      </c>
      <c r="F2450" t="s">
        <v>21</v>
      </c>
      <c r="G2450" t="s">
        <v>22</v>
      </c>
      <c r="H2450" t="s">
        <v>115</v>
      </c>
      <c r="J2450" s="20">
        <v>0</v>
      </c>
    </row>
    <row r="2451" spans="2:10" x14ac:dyDescent="0.25">
      <c r="B2451" t="s">
        <v>6</v>
      </c>
      <c r="C2451" t="s">
        <v>310</v>
      </c>
      <c r="D2451">
        <v>703265</v>
      </c>
      <c r="E2451" t="s">
        <v>184</v>
      </c>
      <c r="F2451" t="s">
        <v>21</v>
      </c>
      <c r="G2451" t="s">
        <v>22</v>
      </c>
      <c r="H2451" t="s">
        <v>115</v>
      </c>
      <c r="J2451" s="20">
        <v>0</v>
      </c>
    </row>
    <row r="2452" spans="2:10" x14ac:dyDescent="0.25">
      <c r="B2452" t="s">
        <v>6</v>
      </c>
      <c r="C2452" t="s">
        <v>310</v>
      </c>
      <c r="D2452">
        <v>703266</v>
      </c>
      <c r="E2452" t="s">
        <v>185</v>
      </c>
      <c r="F2452" t="s">
        <v>21</v>
      </c>
      <c r="G2452" t="s">
        <v>71</v>
      </c>
      <c r="H2452" t="s">
        <v>186</v>
      </c>
      <c r="J2452" s="20">
        <v>0</v>
      </c>
    </row>
    <row r="2453" spans="2:10" x14ac:dyDescent="0.25">
      <c r="B2453" t="s">
        <v>6</v>
      </c>
      <c r="C2453" t="s">
        <v>310</v>
      </c>
      <c r="D2453">
        <v>703267</v>
      </c>
      <c r="E2453" t="s">
        <v>187</v>
      </c>
      <c r="F2453" t="s">
        <v>21</v>
      </c>
      <c r="G2453" t="s">
        <v>71</v>
      </c>
      <c r="H2453" t="s">
        <v>88</v>
      </c>
      <c r="J2453" s="20">
        <v>0</v>
      </c>
    </row>
    <row r="2454" spans="2:10" x14ac:dyDescent="0.25">
      <c r="B2454" t="s">
        <v>6</v>
      </c>
      <c r="C2454" t="s">
        <v>310</v>
      </c>
      <c r="D2454">
        <v>703268</v>
      </c>
      <c r="E2454" t="s">
        <v>188</v>
      </c>
      <c r="F2454" t="s">
        <v>21</v>
      </c>
      <c r="G2454" t="s">
        <v>147</v>
      </c>
      <c r="H2454" t="s">
        <v>147</v>
      </c>
      <c r="J2454" s="20">
        <v>0</v>
      </c>
    </row>
    <row r="2455" spans="2:10" x14ac:dyDescent="0.25">
      <c r="B2455" t="s">
        <v>6</v>
      </c>
      <c r="C2455" t="s">
        <v>310</v>
      </c>
      <c r="D2455">
        <v>703269</v>
      </c>
      <c r="E2455" t="s">
        <v>189</v>
      </c>
      <c r="F2455" t="s">
        <v>21</v>
      </c>
      <c r="G2455" t="s">
        <v>147</v>
      </c>
      <c r="H2455" t="s">
        <v>147</v>
      </c>
      <c r="J2455" s="20">
        <v>0</v>
      </c>
    </row>
    <row r="2456" spans="2:10" x14ac:dyDescent="0.25">
      <c r="B2456" t="s">
        <v>6</v>
      </c>
      <c r="C2456" t="s">
        <v>310</v>
      </c>
      <c r="D2456">
        <v>703270</v>
      </c>
      <c r="E2456" t="s">
        <v>190</v>
      </c>
      <c r="F2456" t="s">
        <v>21</v>
      </c>
      <c r="G2456" t="s">
        <v>137</v>
      </c>
      <c r="H2456" t="s">
        <v>141</v>
      </c>
      <c r="J2456" s="20">
        <v>0</v>
      </c>
    </row>
    <row r="2457" spans="2:10" x14ac:dyDescent="0.25">
      <c r="B2457" t="s">
        <v>6</v>
      </c>
      <c r="C2457" t="s">
        <v>310</v>
      </c>
      <c r="D2457">
        <v>703271</v>
      </c>
      <c r="E2457" t="s">
        <v>191</v>
      </c>
      <c r="F2457" t="s">
        <v>21</v>
      </c>
      <c r="G2457" t="s">
        <v>22</v>
      </c>
      <c r="H2457" t="s">
        <v>115</v>
      </c>
      <c r="J2457" s="20">
        <v>0</v>
      </c>
    </row>
    <row r="2458" spans="2:10" x14ac:dyDescent="0.25">
      <c r="B2458" t="s">
        <v>6</v>
      </c>
      <c r="C2458" t="s">
        <v>310</v>
      </c>
      <c r="D2458">
        <v>703272</v>
      </c>
      <c r="E2458" t="s">
        <v>192</v>
      </c>
      <c r="F2458" t="s">
        <v>21</v>
      </c>
      <c r="G2458" t="s">
        <v>22</v>
      </c>
      <c r="H2458" t="s">
        <v>23</v>
      </c>
      <c r="J2458" s="20">
        <v>0</v>
      </c>
    </row>
    <row r="2459" spans="2:10" x14ac:dyDescent="0.25">
      <c r="B2459" t="s">
        <v>6</v>
      </c>
      <c r="C2459" t="s">
        <v>310</v>
      </c>
      <c r="D2459">
        <v>703273</v>
      </c>
      <c r="E2459" t="s">
        <v>193</v>
      </c>
      <c r="F2459" t="s">
        <v>21</v>
      </c>
      <c r="G2459" t="s">
        <v>147</v>
      </c>
      <c r="H2459" t="s">
        <v>147</v>
      </c>
      <c r="J2459" s="20">
        <v>0</v>
      </c>
    </row>
    <row r="2460" spans="2:10" x14ac:dyDescent="0.25">
      <c r="B2460" t="s">
        <v>6</v>
      </c>
      <c r="C2460" t="s">
        <v>310</v>
      </c>
      <c r="D2460">
        <v>703274</v>
      </c>
      <c r="E2460" t="s">
        <v>194</v>
      </c>
      <c r="F2460" t="s">
        <v>21</v>
      </c>
      <c r="G2460" t="s">
        <v>147</v>
      </c>
      <c r="H2460" t="s">
        <v>147</v>
      </c>
      <c r="J2460" s="20">
        <v>0</v>
      </c>
    </row>
    <row r="2461" spans="2:10" x14ac:dyDescent="0.25">
      <c r="B2461" t="s">
        <v>6</v>
      </c>
      <c r="C2461" t="s">
        <v>310</v>
      </c>
      <c r="D2461">
        <v>703275</v>
      </c>
      <c r="E2461" t="s">
        <v>195</v>
      </c>
      <c r="F2461" t="s">
        <v>21</v>
      </c>
      <c r="G2461" t="s">
        <v>137</v>
      </c>
      <c r="H2461" t="s">
        <v>138</v>
      </c>
      <c r="J2461" s="20">
        <v>0</v>
      </c>
    </row>
    <row r="2462" spans="2:10" x14ac:dyDescent="0.25">
      <c r="B2462" t="s">
        <v>6</v>
      </c>
      <c r="C2462" t="s">
        <v>310</v>
      </c>
      <c r="D2462">
        <v>703280</v>
      </c>
      <c r="E2462" t="s">
        <v>196</v>
      </c>
      <c r="F2462" t="s">
        <v>21</v>
      </c>
      <c r="G2462" t="s">
        <v>71</v>
      </c>
      <c r="H2462" t="s">
        <v>171</v>
      </c>
      <c r="J2462" s="20">
        <v>0</v>
      </c>
    </row>
    <row r="2463" spans="2:10" x14ac:dyDescent="0.25">
      <c r="B2463" t="s">
        <v>6</v>
      </c>
      <c r="C2463" t="s">
        <v>310</v>
      </c>
      <c r="D2463">
        <v>703281</v>
      </c>
      <c r="E2463" t="s">
        <v>197</v>
      </c>
      <c r="F2463" t="s">
        <v>21</v>
      </c>
      <c r="G2463" t="s">
        <v>76</v>
      </c>
      <c r="H2463" t="s">
        <v>77</v>
      </c>
      <c r="J2463" s="20">
        <v>0</v>
      </c>
    </row>
    <row r="2464" spans="2:10" x14ac:dyDescent="0.25">
      <c r="B2464" t="s">
        <v>6</v>
      </c>
      <c r="C2464" t="s">
        <v>310</v>
      </c>
      <c r="D2464">
        <v>703282</v>
      </c>
      <c r="E2464" t="s">
        <v>198</v>
      </c>
      <c r="F2464" t="s">
        <v>21</v>
      </c>
      <c r="G2464" t="s">
        <v>76</v>
      </c>
      <c r="H2464" t="s">
        <v>77</v>
      </c>
      <c r="J2464" s="20">
        <v>0</v>
      </c>
    </row>
    <row r="2465" spans="2:10" x14ac:dyDescent="0.25">
      <c r="B2465" t="s">
        <v>6</v>
      </c>
      <c r="C2465" t="s">
        <v>310</v>
      </c>
      <c r="D2465">
        <v>703283</v>
      </c>
      <c r="E2465" t="s">
        <v>199</v>
      </c>
      <c r="F2465" t="s">
        <v>21</v>
      </c>
      <c r="G2465" t="s">
        <v>61</v>
      </c>
      <c r="H2465" t="s">
        <v>68</v>
      </c>
      <c r="J2465" s="20">
        <v>0</v>
      </c>
    </row>
    <row r="2466" spans="2:10" x14ac:dyDescent="0.25">
      <c r="B2466" t="s">
        <v>6</v>
      </c>
      <c r="C2466" t="s">
        <v>310</v>
      </c>
      <c r="D2466">
        <v>703310</v>
      </c>
      <c r="E2466" t="s">
        <v>200</v>
      </c>
      <c r="F2466" t="s">
        <v>21</v>
      </c>
      <c r="G2466" t="s">
        <v>22</v>
      </c>
      <c r="H2466" t="s">
        <v>23</v>
      </c>
      <c r="J2466" s="20">
        <v>0</v>
      </c>
    </row>
    <row r="2467" spans="2:10" x14ac:dyDescent="0.25">
      <c r="B2467" t="s">
        <v>6</v>
      </c>
      <c r="C2467" t="s">
        <v>310</v>
      </c>
      <c r="D2467">
        <v>703311</v>
      </c>
      <c r="E2467" t="s">
        <v>201</v>
      </c>
      <c r="F2467" t="s">
        <v>21</v>
      </c>
      <c r="G2467" t="s">
        <v>71</v>
      </c>
      <c r="H2467" t="s">
        <v>171</v>
      </c>
      <c r="J2467" s="20">
        <v>0</v>
      </c>
    </row>
    <row r="2468" spans="2:10" x14ac:dyDescent="0.25">
      <c r="B2468" t="s">
        <v>6</v>
      </c>
      <c r="C2468" t="s">
        <v>310</v>
      </c>
      <c r="D2468">
        <v>703312</v>
      </c>
      <c r="E2468" t="s">
        <v>202</v>
      </c>
      <c r="F2468" t="s">
        <v>21</v>
      </c>
      <c r="G2468" t="s">
        <v>76</v>
      </c>
      <c r="H2468" t="s">
        <v>77</v>
      </c>
      <c r="J2468" s="20">
        <v>0</v>
      </c>
    </row>
    <row r="2469" spans="2:10" x14ac:dyDescent="0.25">
      <c r="B2469" t="s">
        <v>6</v>
      </c>
      <c r="C2469" t="s">
        <v>310</v>
      </c>
      <c r="D2469">
        <v>703313</v>
      </c>
      <c r="E2469" t="s">
        <v>203</v>
      </c>
      <c r="F2469" t="s">
        <v>21</v>
      </c>
      <c r="G2469" t="s">
        <v>76</v>
      </c>
      <c r="H2469" t="s">
        <v>77</v>
      </c>
      <c r="J2469" s="20">
        <v>0</v>
      </c>
    </row>
    <row r="2470" spans="2:10" x14ac:dyDescent="0.25">
      <c r="B2470" t="s">
        <v>6</v>
      </c>
      <c r="C2470" t="s">
        <v>310</v>
      </c>
      <c r="D2470">
        <v>703314</v>
      </c>
      <c r="E2470" t="s">
        <v>204</v>
      </c>
      <c r="F2470" t="s">
        <v>21</v>
      </c>
      <c r="G2470" t="s">
        <v>76</v>
      </c>
      <c r="H2470" t="s">
        <v>77</v>
      </c>
      <c r="J2470" s="20">
        <v>0</v>
      </c>
    </row>
    <row r="2471" spans="2:10" x14ac:dyDescent="0.25">
      <c r="B2471" t="s">
        <v>6</v>
      </c>
      <c r="C2471" t="s">
        <v>310</v>
      </c>
      <c r="D2471">
        <v>703315</v>
      </c>
      <c r="E2471" t="s">
        <v>205</v>
      </c>
      <c r="F2471" t="s">
        <v>21</v>
      </c>
      <c r="G2471" t="s">
        <v>76</v>
      </c>
      <c r="H2471" t="s">
        <v>135</v>
      </c>
      <c r="J2471" s="20">
        <v>0</v>
      </c>
    </row>
    <row r="2472" spans="2:10" x14ac:dyDescent="0.25">
      <c r="B2472" t="s">
        <v>6</v>
      </c>
      <c r="C2472" t="s">
        <v>310</v>
      </c>
      <c r="D2472">
        <v>703316</v>
      </c>
      <c r="E2472" t="s">
        <v>206</v>
      </c>
      <c r="F2472" t="s">
        <v>21</v>
      </c>
      <c r="G2472" t="s">
        <v>76</v>
      </c>
      <c r="H2472" t="s">
        <v>77</v>
      </c>
      <c r="J2472" s="20">
        <v>0</v>
      </c>
    </row>
    <row r="2473" spans="2:10" x14ac:dyDescent="0.25">
      <c r="B2473" t="s">
        <v>6</v>
      </c>
      <c r="C2473" t="s">
        <v>310</v>
      </c>
      <c r="D2473">
        <v>703317</v>
      </c>
      <c r="E2473" t="s">
        <v>207</v>
      </c>
      <c r="F2473" t="s">
        <v>21</v>
      </c>
      <c r="G2473" t="s">
        <v>76</v>
      </c>
      <c r="H2473" t="s">
        <v>77</v>
      </c>
      <c r="J2473" s="20">
        <v>0</v>
      </c>
    </row>
    <row r="2474" spans="2:10" x14ac:dyDescent="0.25">
      <c r="B2474" t="s">
        <v>6</v>
      </c>
      <c r="C2474" t="s">
        <v>310</v>
      </c>
      <c r="D2474">
        <v>703318</v>
      </c>
      <c r="E2474" t="s">
        <v>208</v>
      </c>
      <c r="F2474" t="s">
        <v>21</v>
      </c>
      <c r="G2474" t="s">
        <v>71</v>
      </c>
      <c r="H2474" t="s">
        <v>209</v>
      </c>
      <c r="J2474" s="20">
        <v>0</v>
      </c>
    </row>
    <row r="2475" spans="2:10" x14ac:dyDescent="0.25">
      <c r="B2475" t="s">
        <v>6</v>
      </c>
      <c r="C2475" t="s">
        <v>310</v>
      </c>
      <c r="D2475">
        <v>703319</v>
      </c>
      <c r="E2475" t="s">
        <v>210</v>
      </c>
      <c r="F2475" t="s">
        <v>21</v>
      </c>
      <c r="G2475" t="s">
        <v>61</v>
      </c>
      <c r="H2475" t="s">
        <v>79</v>
      </c>
      <c r="J2475" s="20">
        <v>0</v>
      </c>
    </row>
    <row r="2476" spans="2:10" x14ac:dyDescent="0.25">
      <c r="B2476" t="s">
        <v>6</v>
      </c>
      <c r="C2476" t="s">
        <v>310</v>
      </c>
      <c r="D2476">
        <v>703320</v>
      </c>
      <c r="E2476" t="s">
        <v>211</v>
      </c>
      <c r="F2476" t="s">
        <v>21</v>
      </c>
      <c r="G2476" t="s">
        <v>71</v>
      </c>
      <c r="H2476" t="s">
        <v>135</v>
      </c>
      <c r="J2476" s="20">
        <v>0</v>
      </c>
    </row>
    <row r="2477" spans="2:10" x14ac:dyDescent="0.25">
      <c r="B2477" t="s">
        <v>6</v>
      </c>
      <c r="C2477" t="s">
        <v>310</v>
      </c>
      <c r="D2477">
        <v>703321</v>
      </c>
      <c r="E2477" t="s">
        <v>212</v>
      </c>
      <c r="F2477" t="s">
        <v>21</v>
      </c>
      <c r="G2477" t="s">
        <v>22</v>
      </c>
      <c r="H2477" t="s">
        <v>23</v>
      </c>
      <c r="J2477" s="20">
        <v>0</v>
      </c>
    </row>
    <row r="2478" spans="2:10" x14ac:dyDescent="0.25">
      <c r="B2478" t="s">
        <v>6</v>
      </c>
      <c r="C2478" t="s">
        <v>310</v>
      </c>
      <c r="D2478">
        <v>703322</v>
      </c>
      <c r="E2478" t="s">
        <v>213</v>
      </c>
      <c r="F2478" t="s">
        <v>21</v>
      </c>
      <c r="G2478" t="s">
        <v>22</v>
      </c>
      <c r="H2478" t="s">
        <v>23</v>
      </c>
      <c r="J2478" s="20">
        <v>0</v>
      </c>
    </row>
    <row r="2479" spans="2:10" x14ac:dyDescent="0.25">
      <c r="B2479" t="s">
        <v>6</v>
      </c>
      <c r="C2479" t="s">
        <v>310</v>
      </c>
      <c r="D2479">
        <v>703323</v>
      </c>
      <c r="E2479" t="s">
        <v>214</v>
      </c>
      <c r="F2479" t="s">
        <v>21</v>
      </c>
      <c r="G2479" t="s">
        <v>22</v>
      </c>
      <c r="H2479" t="s">
        <v>23</v>
      </c>
      <c r="J2479" s="20">
        <v>0</v>
      </c>
    </row>
    <row r="2480" spans="2:10" x14ac:dyDescent="0.25">
      <c r="B2480" t="s">
        <v>6</v>
      </c>
      <c r="C2480" t="s">
        <v>310</v>
      </c>
      <c r="D2480">
        <v>703324</v>
      </c>
      <c r="E2480" t="s">
        <v>215</v>
      </c>
      <c r="F2480" t="s">
        <v>21</v>
      </c>
      <c r="G2480" t="s">
        <v>22</v>
      </c>
      <c r="H2480" t="s">
        <v>23</v>
      </c>
      <c r="J2480" s="20">
        <v>0</v>
      </c>
    </row>
    <row r="2481" spans="2:10" x14ac:dyDescent="0.25">
      <c r="B2481" t="s">
        <v>6</v>
      </c>
      <c r="C2481" t="s">
        <v>310</v>
      </c>
      <c r="D2481">
        <v>703325</v>
      </c>
      <c r="E2481" t="s">
        <v>216</v>
      </c>
      <c r="F2481" t="s">
        <v>21</v>
      </c>
      <c r="G2481" t="s">
        <v>22</v>
      </c>
      <c r="H2481" t="s">
        <v>23</v>
      </c>
      <c r="J2481" s="20">
        <v>0</v>
      </c>
    </row>
    <row r="2482" spans="2:10" x14ac:dyDescent="0.25">
      <c r="B2482" t="s">
        <v>6</v>
      </c>
      <c r="C2482" t="s">
        <v>310</v>
      </c>
      <c r="D2482">
        <v>703326</v>
      </c>
      <c r="E2482" t="s">
        <v>217</v>
      </c>
      <c r="F2482" t="s">
        <v>21</v>
      </c>
      <c r="G2482" t="s">
        <v>22</v>
      </c>
      <c r="H2482" t="s">
        <v>23</v>
      </c>
      <c r="J2482" s="20">
        <v>0</v>
      </c>
    </row>
    <row r="2483" spans="2:10" x14ac:dyDescent="0.25">
      <c r="B2483" t="s">
        <v>6</v>
      </c>
      <c r="C2483" t="s">
        <v>310</v>
      </c>
      <c r="D2483">
        <v>703327</v>
      </c>
      <c r="E2483" t="s">
        <v>218</v>
      </c>
      <c r="F2483" t="s">
        <v>21</v>
      </c>
      <c r="G2483" t="s">
        <v>76</v>
      </c>
      <c r="H2483" t="s">
        <v>77</v>
      </c>
      <c r="J2483" s="20">
        <v>0</v>
      </c>
    </row>
    <row r="2484" spans="2:10" x14ac:dyDescent="0.25">
      <c r="B2484" t="s">
        <v>6</v>
      </c>
      <c r="C2484" t="s">
        <v>310</v>
      </c>
      <c r="D2484">
        <v>703328</v>
      </c>
      <c r="E2484" t="s">
        <v>219</v>
      </c>
      <c r="F2484" t="s">
        <v>21</v>
      </c>
      <c r="G2484" t="s">
        <v>22</v>
      </c>
      <c r="H2484" t="s">
        <v>23</v>
      </c>
      <c r="J2484" s="20">
        <v>0</v>
      </c>
    </row>
    <row r="2485" spans="2:10" x14ac:dyDescent="0.25">
      <c r="B2485" t="s">
        <v>6</v>
      </c>
      <c r="C2485" t="s">
        <v>310</v>
      </c>
      <c r="D2485">
        <v>703329</v>
      </c>
      <c r="E2485" t="s">
        <v>220</v>
      </c>
      <c r="F2485" t="s">
        <v>21</v>
      </c>
      <c r="G2485" t="s">
        <v>22</v>
      </c>
      <c r="H2485" t="s">
        <v>23</v>
      </c>
      <c r="J2485" s="20">
        <v>0</v>
      </c>
    </row>
    <row r="2486" spans="2:10" x14ac:dyDescent="0.25">
      <c r="B2486" t="s">
        <v>6</v>
      </c>
      <c r="C2486" t="s">
        <v>310</v>
      </c>
      <c r="D2486">
        <v>703330</v>
      </c>
      <c r="E2486" t="s">
        <v>221</v>
      </c>
      <c r="F2486" t="s">
        <v>21</v>
      </c>
      <c r="G2486" t="s">
        <v>22</v>
      </c>
      <c r="H2486" t="s">
        <v>23</v>
      </c>
      <c r="J2486" s="20">
        <v>0</v>
      </c>
    </row>
    <row r="2487" spans="2:10" x14ac:dyDescent="0.25">
      <c r="B2487" t="s">
        <v>6</v>
      </c>
      <c r="C2487" t="s">
        <v>310</v>
      </c>
      <c r="D2487">
        <v>703340</v>
      </c>
      <c r="E2487" t="s">
        <v>222</v>
      </c>
      <c r="F2487" t="s">
        <v>21</v>
      </c>
      <c r="G2487" t="s">
        <v>61</v>
      </c>
      <c r="H2487" t="s">
        <v>68</v>
      </c>
      <c r="J2487" s="20">
        <v>0</v>
      </c>
    </row>
    <row r="2488" spans="2:10" x14ac:dyDescent="0.25">
      <c r="B2488" t="s">
        <v>6</v>
      </c>
      <c r="C2488" t="s">
        <v>310</v>
      </c>
      <c r="D2488">
        <v>703350</v>
      </c>
      <c r="E2488" t="s">
        <v>223</v>
      </c>
      <c r="F2488" t="s">
        <v>21</v>
      </c>
      <c r="G2488" t="s">
        <v>22</v>
      </c>
      <c r="H2488" t="s">
        <v>23</v>
      </c>
      <c r="J2488" s="20">
        <v>0</v>
      </c>
    </row>
    <row r="2489" spans="2:10" x14ac:dyDescent="0.25">
      <c r="B2489" t="s">
        <v>6</v>
      </c>
      <c r="C2489" t="s">
        <v>310</v>
      </c>
      <c r="D2489">
        <v>703351</v>
      </c>
      <c r="E2489" t="s">
        <v>224</v>
      </c>
      <c r="F2489" t="s">
        <v>21</v>
      </c>
      <c r="G2489" t="s">
        <v>22</v>
      </c>
      <c r="H2489" t="s">
        <v>23</v>
      </c>
      <c r="J2489" s="20">
        <v>0</v>
      </c>
    </row>
    <row r="2490" spans="2:10" x14ac:dyDescent="0.25">
      <c r="B2490" t="s">
        <v>6</v>
      </c>
      <c r="C2490" t="s">
        <v>310</v>
      </c>
      <c r="D2490">
        <v>703352</v>
      </c>
      <c r="E2490" t="s">
        <v>225</v>
      </c>
      <c r="F2490" t="s">
        <v>21</v>
      </c>
      <c r="G2490" t="s">
        <v>22</v>
      </c>
      <c r="H2490" t="s">
        <v>23</v>
      </c>
      <c r="J2490" s="20">
        <v>0</v>
      </c>
    </row>
    <row r="2491" spans="2:10" x14ac:dyDescent="0.25">
      <c r="B2491" t="s">
        <v>6</v>
      </c>
      <c r="C2491" t="s">
        <v>310</v>
      </c>
      <c r="D2491">
        <v>703360</v>
      </c>
      <c r="E2491" t="s">
        <v>226</v>
      </c>
      <c r="F2491" t="s">
        <v>21</v>
      </c>
      <c r="G2491" t="s">
        <v>22</v>
      </c>
      <c r="H2491" t="s">
        <v>23</v>
      </c>
      <c r="J2491" s="20">
        <v>0</v>
      </c>
    </row>
    <row r="2492" spans="2:10" x14ac:dyDescent="0.25">
      <c r="B2492" t="s">
        <v>6</v>
      </c>
      <c r="C2492" t="s">
        <v>310</v>
      </c>
      <c r="D2492">
        <v>703370</v>
      </c>
      <c r="E2492" t="s">
        <v>227</v>
      </c>
      <c r="F2492" t="s">
        <v>21</v>
      </c>
      <c r="G2492" t="s">
        <v>22</v>
      </c>
      <c r="H2492" t="s">
        <v>23</v>
      </c>
      <c r="J2492" s="20">
        <v>0</v>
      </c>
    </row>
    <row r="2493" spans="2:10" x14ac:dyDescent="0.25">
      <c r="B2493" t="s">
        <v>6</v>
      </c>
      <c r="C2493" t="s">
        <v>310</v>
      </c>
      <c r="D2493">
        <v>703410</v>
      </c>
      <c r="E2493" t="s">
        <v>228</v>
      </c>
      <c r="F2493" t="s">
        <v>21</v>
      </c>
      <c r="G2493" t="s">
        <v>22</v>
      </c>
      <c r="H2493" t="s">
        <v>23</v>
      </c>
      <c r="J2493" s="20">
        <v>0</v>
      </c>
    </row>
    <row r="2494" spans="2:10" x14ac:dyDescent="0.25">
      <c r="B2494" t="s">
        <v>6</v>
      </c>
      <c r="C2494" t="s">
        <v>310</v>
      </c>
      <c r="D2494">
        <v>703411</v>
      </c>
      <c r="E2494" t="s">
        <v>229</v>
      </c>
      <c r="F2494" t="s">
        <v>21</v>
      </c>
      <c r="G2494" t="s">
        <v>22</v>
      </c>
      <c r="H2494" t="s">
        <v>23</v>
      </c>
      <c r="J2494" s="20">
        <v>0</v>
      </c>
    </row>
    <row r="2495" spans="2:10" x14ac:dyDescent="0.25">
      <c r="B2495" t="s">
        <v>6</v>
      </c>
      <c r="C2495" t="s">
        <v>310</v>
      </c>
      <c r="D2495">
        <v>703412</v>
      </c>
      <c r="E2495" t="s">
        <v>230</v>
      </c>
      <c r="F2495" t="s">
        <v>21</v>
      </c>
      <c r="G2495" t="s">
        <v>22</v>
      </c>
      <c r="H2495" t="s">
        <v>23</v>
      </c>
      <c r="J2495" s="20">
        <v>0</v>
      </c>
    </row>
    <row r="2496" spans="2:10" x14ac:dyDescent="0.25">
      <c r="B2496" t="s">
        <v>6</v>
      </c>
      <c r="C2496" t="s">
        <v>310</v>
      </c>
      <c r="D2496">
        <v>703420</v>
      </c>
      <c r="E2496" t="s">
        <v>231</v>
      </c>
      <c r="F2496" t="s">
        <v>21</v>
      </c>
      <c r="G2496" t="s">
        <v>71</v>
      </c>
      <c r="H2496" t="s">
        <v>171</v>
      </c>
      <c r="J2496" s="20">
        <v>0</v>
      </c>
    </row>
    <row r="2497" spans="2:10" x14ac:dyDescent="0.25">
      <c r="B2497" t="s">
        <v>6</v>
      </c>
      <c r="C2497" t="s">
        <v>310</v>
      </c>
      <c r="D2497">
        <v>703421</v>
      </c>
      <c r="E2497" t="s">
        <v>232</v>
      </c>
      <c r="F2497" t="s">
        <v>21</v>
      </c>
      <c r="G2497" t="s">
        <v>22</v>
      </c>
      <c r="H2497" t="s">
        <v>23</v>
      </c>
      <c r="J2497" s="20">
        <v>0</v>
      </c>
    </row>
    <row r="2498" spans="2:10" x14ac:dyDescent="0.25">
      <c r="B2498" t="s">
        <v>6</v>
      </c>
      <c r="C2498" t="s">
        <v>310</v>
      </c>
      <c r="D2498">
        <v>703422</v>
      </c>
      <c r="E2498" t="s">
        <v>233</v>
      </c>
      <c r="F2498" t="s">
        <v>21</v>
      </c>
      <c r="G2498" t="s">
        <v>76</v>
      </c>
      <c r="H2498" t="s">
        <v>77</v>
      </c>
      <c r="J2498" s="20">
        <v>0</v>
      </c>
    </row>
    <row r="2499" spans="2:10" x14ac:dyDescent="0.25">
      <c r="B2499" t="s">
        <v>6</v>
      </c>
      <c r="C2499" t="s">
        <v>310</v>
      </c>
      <c r="D2499">
        <v>703423</v>
      </c>
      <c r="E2499" t="s">
        <v>234</v>
      </c>
      <c r="F2499" t="s">
        <v>21</v>
      </c>
      <c r="G2499" t="s">
        <v>71</v>
      </c>
      <c r="H2499" t="s">
        <v>88</v>
      </c>
      <c r="J2499" s="20">
        <v>0</v>
      </c>
    </row>
    <row r="2500" spans="2:10" x14ac:dyDescent="0.25">
      <c r="B2500" t="s">
        <v>6</v>
      </c>
      <c r="C2500" t="s">
        <v>310</v>
      </c>
      <c r="D2500">
        <v>703424</v>
      </c>
      <c r="E2500" t="s">
        <v>235</v>
      </c>
      <c r="F2500" t="s">
        <v>21</v>
      </c>
      <c r="G2500" t="s">
        <v>71</v>
      </c>
      <c r="H2500" t="s">
        <v>88</v>
      </c>
      <c r="J2500" s="20">
        <v>0</v>
      </c>
    </row>
    <row r="2501" spans="2:10" x14ac:dyDescent="0.25">
      <c r="B2501" t="s">
        <v>6</v>
      </c>
      <c r="C2501" t="s">
        <v>310</v>
      </c>
      <c r="D2501">
        <v>703425</v>
      </c>
      <c r="E2501" t="s">
        <v>236</v>
      </c>
      <c r="F2501" t="s">
        <v>21</v>
      </c>
      <c r="G2501" t="s">
        <v>76</v>
      </c>
      <c r="H2501" t="s">
        <v>77</v>
      </c>
      <c r="J2501" s="20">
        <v>0</v>
      </c>
    </row>
    <row r="2502" spans="2:10" x14ac:dyDescent="0.25">
      <c r="B2502" t="s">
        <v>6</v>
      </c>
      <c r="C2502" t="s">
        <v>310</v>
      </c>
      <c r="D2502">
        <v>703426</v>
      </c>
      <c r="E2502" t="s">
        <v>237</v>
      </c>
      <c r="F2502" t="s">
        <v>21</v>
      </c>
      <c r="G2502" t="s">
        <v>22</v>
      </c>
      <c r="H2502" t="s">
        <v>23</v>
      </c>
      <c r="J2502" s="20">
        <v>0</v>
      </c>
    </row>
    <row r="2503" spans="2:10" x14ac:dyDescent="0.25">
      <c r="B2503" t="s">
        <v>6</v>
      </c>
      <c r="C2503" t="s">
        <v>310</v>
      </c>
      <c r="D2503">
        <v>703427</v>
      </c>
      <c r="E2503" t="s">
        <v>238</v>
      </c>
      <c r="F2503" t="s">
        <v>21</v>
      </c>
      <c r="G2503" t="s">
        <v>76</v>
      </c>
      <c r="H2503" t="s">
        <v>77</v>
      </c>
      <c r="J2503" s="20">
        <v>0</v>
      </c>
    </row>
    <row r="2504" spans="2:10" x14ac:dyDescent="0.25">
      <c r="B2504" t="s">
        <v>6</v>
      </c>
      <c r="C2504" t="s">
        <v>310</v>
      </c>
      <c r="D2504">
        <v>703428</v>
      </c>
      <c r="E2504" t="s">
        <v>239</v>
      </c>
      <c r="F2504" t="s">
        <v>21</v>
      </c>
      <c r="G2504" t="s">
        <v>76</v>
      </c>
      <c r="H2504" t="s">
        <v>77</v>
      </c>
      <c r="J2504" s="20">
        <v>0</v>
      </c>
    </row>
    <row r="2505" spans="2:10" x14ac:dyDescent="0.25">
      <c r="B2505" t="s">
        <v>6</v>
      </c>
      <c r="C2505" t="s">
        <v>310</v>
      </c>
      <c r="D2505">
        <v>703429</v>
      </c>
      <c r="E2505" t="s">
        <v>240</v>
      </c>
      <c r="F2505" t="s">
        <v>21</v>
      </c>
      <c r="G2505" t="s">
        <v>76</v>
      </c>
      <c r="H2505" t="s">
        <v>77</v>
      </c>
      <c r="J2505" s="20">
        <v>0</v>
      </c>
    </row>
    <row r="2506" spans="2:10" x14ac:dyDescent="0.25">
      <c r="B2506" t="s">
        <v>6</v>
      </c>
      <c r="C2506" t="s">
        <v>310</v>
      </c>
      <c r="D2506">
        <v>703430</v>
      </c>
      <c r="E2506" t="s">
        <v>20</v>
      </c>
      <c r="F2506" t="s">
        <v>21</v>
      </c>
      <c r="G2506" t="s">
        <v>22</v>
      </c>
      <c r="H2506" t="s">
        <v>23</v>
      </c>
      <c r="J2506" s="20">
        <v>0</v>
      </c>
    </row>
    <row r="2507" spans="2:10" x14ac:dyDescent="0.25">
      <c r="B2507" t="s">
        <v>6</v>
      </c>
      <c r="C2507" t="s">
        <v>310</v>
      </c>
      <c r="D2507">
        <v>703431</v>
      </c>
      <c r="E2507" t="s">
        <v>241</v>
      </c>
      <c r="F2507" t="s">
        <v>21</v>
      </c>
      <c r="G2507" t="s">
        <v>22</v>
      </c>
      <c r="H2507" t="s">
        <v>23</v>
      </c>
      <c r="J2507" s="20">
        <v>0</v>
      </c>
    </row>
    <row r="2508" spans="2:10" x14ac:dyDescent="0.25">
      <c r="B2508" t="s">
        <v>6</v>
      </c>
      <c r="C2508" t="s">
        <v>310</v>
      </c>
      <c r="D2508">
        <v>703432</v>
      </c>
      <c r="E2508" t="s">
        <v>242</v>
      </c>
      <c r="F2508" t="s">
        <v>21</v>
      </c>
      <c r="G2508" t="s">
        <v>22</v>
      </c>
      <c r="H2508" t="s">
        <v>23</v>
      </c>
      <c r="J2508" s="20">
        <v>0</v>
      </c>
    </row>
    <row r="2509" spans="2:10" x14ac:dyDescent="0.25">
      <c r="B2509" t="s">
        <v>6</v>
      </c>
      <c r="C2509" t="s">
        <v>310</v>
      </c>
      <c r="D2509">
        <v>703433</v>
      </c>
      <c r="E2509" t="s">
        <v>243</v>
      </c>
      <c r="F2509" t="s">
        <v>21</v>
      </c>
      <c r="G2509" t="s">
        <v>71</v>
      </c>
      <c r="H2509" t="s">
        <v>88</v>
      </c>
      <c r="J2509" s="20">
        <v>0</v>
      </c>
    </row>
    <row r="2510" spans="2:10" x14ac:dyDescent="0.25">
      <c r="B2510" t="s">
        <v>6</v>
      </c>
      <c r="C2510" t="s">
        <v>310</v>
      </c>
      <c r="D2510">
        <v>703434</v>
      </c>
      <c r="E2510" t="s">
        <v>244</v>
      </c>
      <c r="F2510" t="s">
        <v>21</v>
      </c>
      <c r="G2510" t="s">
        <v>22</v>
      </c>
      <c r="H2510" t="s">
        <v>23</v>
      </c>
      <c r="J2510" s="20">
        <v>0</v>
      </c>
    </row>
    <row r="2511" spans="2:10" x14ac:dyDescent="0.25">
      <c r="B2511" t="s">
        <v>6</v>
      </c>
      <c r="C2511" t="s">
        <v>310</v>
      </c>
      <c r="D2511">
        <v>703435</v>
      </c>
      <c r="E2511" t="s">
        <v>245</v>
      </c>
      <c r="F2511" t="s">
        <v>21</v>
      </c>
      <c r="G2511" t="s">
        <v>71</v>
      </c>
      <c r="H2511" t="s">
        <v>88</v>
      </c>
      <c r="J2511" s="20">
        <v>0</v>
      </c>
    </row>
    <row r="2512" spans="2:10" x14ac:dyDescent="0.25">
      <c r="B2512" t="s">
        <v>6</v>
      </c>
      <c r="C2512" t="s">
        <v>310</v>
      </c>
      <c r="D2512">
        <v>703436</v>
      </c>
      <c r="E2512" t="s">
        <v>246</v>
      </c>
      <c r="F2512" t="s">
        <v>21</v>
      </c>
      <c r="G2512" t="s">
        <v>71</v>
      </c>
      <c r="H2512" t="s">
        <v>88</v>
      </c>
      <c r="J2512" s="20">
        <v>0</v>
      </c>
    </row>
    <row r="2513" spans="2:10" x14ac:dyDescent="0.25">
      <c r="B2513" t="s">
        <v>6</v>
      </c>
      <c r="C2513" t="s">
        <v>310</v>
      </c>
      <c r="D2513">
        <v>703437</v>
      </c>
      <c r="E2513" t="s">
        <v>247</v>
      </c>
      <c r="F2513" t="s">
        <v>21</v>
      </c>
      <c r="G2513" t="s">
        <v>71</v>
      </c>
      <c r="H2513" t="s">
        <v>88</v>
      </c>
      <c r="J2513" s="20">
        <v>0</v>
      </c>
    </row>
    <row r="2514" spans="2:10" x14ac:dyDescent="0.25">
      <c r="B2514" t="s">
        <v>6</v>
      </c>
      <c r="C2514" t="s">
        <v>310</v>
      </c>
      <c r="D2514">
        <v>703438</v>
      </c>
      <c r="E2514" t="s">
        <v>248</v>
      </c>
      <c r="F2514" t="s">
        <v>21</v>
      </c>
      <c r="G2514" t="s">
        <v>71</v>
      </c>
      <c r="H2514" t="s">
        <v>88</v>
      </c>
      <c r="J2514" s="20">
        <v>0</v>
      </c>
    </row>
    <row r="2515" spans="2:10" x14ac:dyDescent="0.25">
      <c r="B2515" t="s">
        <v>6</v>
      </c>
      <c r="C2515" t="s">
        <v>310</v>
      </c>
      <c r="D2515">
        <v>703439</v>
      </c>
      <c r="E2515" t="s">
        <v>249</v>
      </c>
      <c r="F2515" t="s">
        <v>21</v>
      </c>
      <c r="G2515" t="s">
        <v>22</v>
      </c>
      <c r="H2515" t="s">
        <v>23</v>
      </c>
      <c r="J2515" s="20">
        <v>0</v>
      </c>
    </row>
    <row r="2516" spans="2:10" x14ac:dyDescent="0.25">
      <c r="B2516" t="s">
        <v>6</v>
      </c>
      <c r="C2516" t="s">
        <v>310</v>
      </c>
      <c r="D2516">
        <v>703440</v>
      </c>
      <c r="E2516" t="s">
        <v>250</v>
      </c>
      <c r="F2516" t="s">
        <v>21</v>
      </c>
      <c r="G2516" t="s">
        <v>61</v>
      </c>
      <c r="H2516" t="s">
        <v>68</v>
      </c>
      <c r="J2516" s="20">
        <v>0</v>
      </c>
    </row>
    <row r="2517" spans="2:10" x14ac:dyDescent="0.25">
      <c r="B2517" t="s">
        <v>6</v>
      </c>
      <c r="C2517" t="s">
        <v>310</v>
      </c>
      <c r="D2517">
        <v>703441</v>
      </c>
      <c r="E2517" t="s">
        <v>251</v>
      </c>
      <c r="F2517" t="s">
        <v>21</v>
      </c>
      <c r="G2517" t="s">
        <v>61</v>
      </c>
      <c r="H2517" t="s">
        <v>79</v>
      </c>
      <c r="J2517" s="20">
        <v>0</v>
      </c>
    </row>
    <row r="2518" spans="2:10" x14ac:dyDescent="0.25">
      <c r="B2518" t="s">
        <v>6</v>
      </c>
      <c r="C2518" t="s">
        <v>310</v>
      </c>
      <c r="D2518">
        <v>703442</v>
      </c>
      <c r="E2518" t="s">
        <v>252</v>
      </c>
      <c r="F2518" t="s">
        <v>21</v>
      </c>
      <c r="G2518" t="s">
        <v>76</v>
      </c>
      <c r="H2518" t="s">
        <v>77</v>
      </c>
      <c r="J2518" s="20">
        <v>0</v>
      </c>
    </row>
    <row r="2519" spans="2:10" x14ac:dyDescent="0.25">
      <c r="B2519" t="s">
        <v>6</v>
      </c>
      <c r="C2519" t="s">
        <v>310</v>
      </c>
      <c r="D2519">
        <v>703443</v>
      </c>
      <c r="E2519" t="s">
        <v>253</v>
      </c>
      <c r="F2519" t="s">
        <v>21</v>
      </c>
      <c r="G2519" t="s">
        <v>71</v>
      </c>
      <c r="H2519" t="s">
        <v>88</v>
      </c>
      <c r="J2519" s="20">
        <v>0</v>
      </c>
    </row>
    <row r="2520" spans="2:10" x14ac:dyDescent="0.25">
      <c r="B2520" t="s">
        <v>6</v>
      </c>
      <c r="C2520" t="s">
        <v>310</v>
      </c>
      <c r="D2520">
        <v>703444</v>
      </c>
      <c r="E2520" t="s">
        <v>254</v>
      </c>
      <c r="F2520" t="s">
        <v>21</v>
      </c>
      <c r="G2520" t="s">
        <v>22</v>
      </c>
      <c r="H2520" t="s">
        <v>23</v>
      </c>
      <c r="J2520" s="20">
        <v>0</v>
      </c>
    </row>
    <row r="2521" spans="2:10" x14ac:dyDescent="0.25">
      <c r="B2521" t="s">
        <v>6</v>
      </c>
      <c r="C2521" t="s">
        <v>310</v>
      </c>
      <c r="D2521">
        <v>703445</v>
      </c>
      <c r="E2521" t="s">
        <v>255</v>
      </c>
      <c r="F2521" t="s">
        <v>21</v>
      </c>
      <c r="G2521" t="s">
        <v>22</v>
      </c>
      <c r="H2521" t="s">
        <v>23</v>
      </c>
      <c r="J2521" s="20">
        <v>0</v>
      </c>
    </row>
    <row r="2522" spans="2:10" x14ac:dyDescent="0.25">
      <c r="B2522" t="s">
        <v>6</v>
      </c>
      <c r="C2522" t="s">
        <v>310</v>
      </c>
      <c r="D2522">
        <v>703446</v>
      </c>
      <c r="E2522" t="s">
        <v>256</v>
      </c>
      <c r="F2522" t="s">
        <v>21</v>
      </c>
      <c r="G2522" t="s">
        <v>22</v>
      </c>
      <c r="H2522" t="s">
        <v>23</v>
      </c>
      <c r="J2522" s="20">
        <v>0</v>
      </c>
    </row>
    <row r="2523" spans="2:10" x14ac:dyDescent="0.25">
      <c r="B2523" t="s">
        <v>6</v>
      </c>
      <c r="C2523" t="s">
        <v>310</v>
      </c>
      <c r="D2523">
        <v>703447</v>
      </c>
      <c r="E2523" t="s">
        <v>257</v>
      </c>
      <c r="F2523" t="s">
        <v>21</v>
      </c>
      <c r="G2523" t="s">
        <v>22</v>
      </c>
      <c r="H2523" t="s">
        <v>23</v>
      </c>
      <c r="J2523" s="20">
        <v>0</v>
      </c>
    </row>
    <row r="2524" spans="2:10" x14ac:dyDescent="0.25">
      <c r="B2524" t="s">
        <v>6</v>
      </c>
      <c r="C2524" t="s">
        <v>310</v>
      </c>
      <c r="D2524">
        <v>703448</v>
      </c>
      <c r="E2524" t="s">
        <v>258</v>
      </c>
      <c r="F2524" t="s">
        <v>21</v>
      </c>
      <c r="G2524" t="s">
        <v>22</v>
      </c>
      <c r="H2524" t="s">
        <v>23</v>
      </c>
      <c r="J2524" s="20">
        <v>0</v>
      </c>
    </row>
    <row r="2525" spans="2:10" x14ac:dyDescent="0.25">
      <c r="B2525" t="s">
        <v>6</v>
      </c>
      <c r="C2525" t="s">
        <v>310</v>
      </c>
      <c r="D2525">
        <v>703449</v>
      </c>
      <c r="E2525" t="s">
        <v>259</v>
      </c>
      <c r="F2525" t="s">
        <v>21</v>
      </c>
      <c r="G2525" t="s">
        <v>22</v>
      </c>
      <c r="H2525" t="s">
        <v>23</v>
      </c>
      <c r="J2525" s="20">
        <v>0</v>
      </c>
    </row>
    <row r="2526" spans="2:10" x14ac:dyDescent="0.25">
      <c r="B2526" t="s">
        <v>6</v>
      </c>
      <c r="C2526" t="s">
        <v>310</v>
      </c>
      <c r="D2526">
        <v>703450</v>
      </c>
      <c r="E2526" t="s">
        <v>260</v>
      </c>
      <c r="F2526" t="s">
        <v>21</v>
      </c>
      <c r="G2526" t="s">
        <v>71</v>
      </c>
      <c r="H2526" t="s">
        <v>88</v>
      </c>
      <c r="J2526" s="20">
        <v>0</v>
      </c>
    </row>
    <row r="2527" spans="2:10" x14ac:dyDescent="0.25">
      <c r="B2527" t="s">
        <v>6</v>
      </c>
      <c r="C2527" t="s">
        <v>310</v>
      </c>
      <c r="D2527">
        <v>703510</v>
      </c>
      <c r="E2527" t="s">
        <v>261</v>
      </c>
      <c r="F2527" t="s">
        <v>21</v>
      </c>
      <c r="G2527" t="s">
        <v>22</v>
      </c>
      <c r="H2527" t="s">
        <v>23</v>
      </c>
      <c r="J2527" s="20">
        <v>0</v>
      </c>
    </row>
    <row r="2528" spans="2:10" x14ac:dyDescent="0.25">
      <c r="B2528" t="s">
        <v>6</v>
      </c>
      <c r="C2528" t="s">
        <v>310</v>
      </c>
      <c r="D2528">
        <v>703511</v>
      </c>
      <c r="E2528" t="s">
        <v>262</v>
      </c>
      <c r="F2528" t="s">
        <v>21</v>
      </c>
      <c r="G2528" t="s">
        <v>22</v>
      </c>
      <c r="H2528" t="s">
        <v>23</v>
      </c>
      <c r="J2528" s="20">
        <v>0</v>
      </c>
    </row>
    <row r="2529" spans="2:10" x14ac:dyDescent="0.25">
      <c r="B2529" t="s">
        <v>6</v>
      </c>
      <c r="C2529" t="s">
        <v>310</v>
      </c>
      <c r="D2529">
        <v>703512</v>
      </c>
      <c r="E2529" t="s">
        <v>263</v>
      </c>
      <c r="F2529" t="s">
        <v>21</v>
      </c>
      <c r="G2529" t="s">
        <v>22</v>
      </c>
      <c r="H2529" t="s">
        <v>23</v>
      </c>
      <c r="J2529" s="20">
        <v>0</v>
      </c>
    </row>
    <row r="2530" spans="2:10" x14ac:dyDescent="0.25">
      <c r="B2530" t="s">
        <v>6</v>
      </c>
      <c r="C2530" t="s">
        <v>310</v>
      </c>
      <c r="D2530">
        <v>703513</v>
      </c>
      <c r="E2530" t="s">
        <v>264</v>
      </c>
      <c r="F2530" t="s">
        <v>21</v>
      </c>
      <c r="G2530" t="s">
        <v>22</v>
      </c>
      <c r="H2530" t="s">
        <v>23</v>
      </c>
      <c r="J2530" s="20">
        <v>0</v>
      </c>
    </row>
    <row r="2531" spans="2:10" x14ac:dyDescent="0.25">
      <c r="B2531" t="s">
        <v>6</v>
      </c>
      <c r="C2531" t="s">
        <v>310</v>
      </c>
      <c r="D2531">
        <v>703514</v>
      </c>
      <c r="E2531" t="s">
        <v>265</v>
      </c>
      <c r="F2531" t="s">
        <v>21</v>
      </c>
      <c r="G2531" t="s">
        <v>22</v>
      </c>
      <c r="H2531" t="s">
        <v>23</v>
      </c>
      <c r="J2531" s="20">
        <v>0</v>
      </c>
    </row>
    <row r="2532" spans="2:10" x14ac:dyDescent="0.25">
      <c r="B2532" t="s">
        <v>6</v>
      </c>
      <c r="C2532" t="s">
        <v>310</v>
      </c>
      <c r="D2532">
        <v>703515</v>
      </c>
      <c r="E2532" t="s">
        <v>266</v>
      </c>
      <c r="F2532" t="s">
        <v>21</v>
      </c>
      <c r="G2532" t="s">
        <v>22</v>
      </c>
      <c r="H2532" t="s">
        <v>23</v>
      </c>
      <c r="J2532" s="20">
        <v>0</v>
      </c>
    </row>
    <row r="2533" spans="2:10" x14ac:dyDescent="0.25">
      <c r="B2533" t="s">
        <v>6</v>
      </c>
      <c r="C2533" t="s">
        <v>310</v>
      </c>
      <c r="D2533">
        <v>703520</v>
      </c>
      <c r="E2533" t="s">
        <v>267</v>
      </c>
      <c r="F2533" t="s">
        <v>21</v>
      </c>
      <c r="G2533" t="s">
        <v>22</v>
      </c>
      <c r="H2533" t="s">
        <v>23</v>
      </c>
      <c r="J2533" s="20">
        <v>0</v>
      </c>
    </row>
    <row r="2534" spans="2:10" x14ac:dyDescent="0.25">
      <c r="B2534" t="s">
        <v>6</v>
      </c>
      <c r="C2534" t="s">
        <v>310</v>
      </c>
      <c r="D2534">
        <v>703530</v>
      </c>
      <c r="E2534" t="s">
        <v>268</v>
      </c>
      <c r="F2534" t="s">
        <v>21</v>
      </c>
      <c r="G2534" t="s">
        <v>22</v>
      </c>
      <c r="H2534" t="s">
        <v>23</v>
      </c>
      <c r="J2534" s="20">
        <v>0</v>
      </c>
    </row>
    <row r="2535" spans="2:10" x14ac:dyDescent="0.25">
      <c r="B2535" t="s">
        <v>6</v>
      </c>
      <c r="C2535" t="s">
        <v>310</v>
      </c>
      <c r="D2535">
        <v>703540</v>
      </c>
      <c r="E2535" t="s">
        <v>269</v>
      </c>
      <c r="F2535" t="s">
        <v>21</v>
      </c>
      <c r="G2535" t="s">
        <v>22</v>
      </c>
      <c r="H2535" t="s">
        <v>23</v>
      </c>
      <c r="J2535" s="20">
        <v>0</v>
      </c>
    </row>
    <row r="2536" spans="2:10" x14ac:dyDescent="0.25">
      <c r="B2536" t="s">
        <v>6</v>
      </c>
      <c r="C2536" t="s">
        <v>310</v>
      </c>
      <c r="D2536">
        <v>703550</v>
      </c>
      <c r="E2536" t="s">
        <v>270</v>
      </c>
      <c r="F2536" t="s">
        <v>21</v>
      </c>
      <c r="G2536" t="s">
        <v>22</v>
      </c>
      <c r="H2536" t="s">
        <v>23</v>
      </c>
      <c r="J2536" s="20">
        <v>0</v>
      </c>
    </row>
    <row r="2537" spans="2:10" x14ac:dyDescent="0.25">
      <c r="B2537" t="s">
        <v>6</v>
      </c>
      <c r="C2537" t="s">
        <v>310</v>
      </c>
      <c r="D2537">
        <v>703560</v>
      </c>
      <c r="E2537" t="s">
        <v>271</v>
      </c>
      <c r="F2537" t="s">
        <v>21</v>
      </c>
      <c r="G2537" t="s">
        <v>22</v>
      </c>
      <c r="H2537" t="s">
        <v>23</v>
      </c>
      <c r="J2537" s="20">
        <v>0</v>
      </c>
    </row>
    <row r="2538" spans="2:10" x14ac:dyDescent="0.25">
      <c r="B2538" t="s">
        <v>6</v>
      </c>
      <c r="C2538" t="s">
        <v>310</v>
      </c>
      <c r="D2538">
        <v>703570</v>
      </c>
      <c r="E2538" t="s">
        <v>272</v>
      </c>
      <c r="F2538" t="s">
        <v>21</v>
      </c>
      <c r="G2538" t="s">
        <v>22</v>
      </c>
      <c r="H2538" t="s">
        <v>23</v>
      </c>
      <c r="J2538" s="20">
        <v>0</v>
      </c>
    </row>
    <row r="2539" spans="2:10" x14ac:dyDescent="0.25">
      <c r="B2539" t="s">
        <v>6</v>
      </c>
      <c r="C2539" t="s">
        <v>310</v>
      </c>
      <c r="D2539">
        <v>703571</v>
      </c>
      <c r="E2539" t="s">
        <v>273</v>
      </c>
      <c r="F2539" t="s">
        <v>21</v>
      </c>
      <c r="G2539" t="s">
        <v>22</v>
      </c>
      <c r="H2539" t="s">
        <v>23</v>
      </c>
      <c r="J2539" s="20"/>
    </row>
    <row r="2540" spans="2:10" x14ac:dyDescent="0.25">
      <c r="B2540" t="s">
        <v>6</v>
      </c>
      <c r="C2540" t="s">
        <v>310</v>
      </c>
      <c r="D2540">
        <v>703572</v>
      </c>
      <c r="E2540" t="s">
        <v>274</v>
      </c>
      <c r="F2540" t="s">
        <v>21</v>
      </c>
      <c r="G2540" t="s">
        <v>22</v>
      </c>
      <c r="H2540" t="s">
        <v>23</v>
      </c>
      <c r="J2540" s="20"/>
    </row>
    <row r="2541" spans="2:10" x14ac:dyDescent="0.25">
      <c r="B2541" t="s">
        <v>6</v>
      </c>
      <c r="C2541" t="s">
        <v>310</v>
      </c>
      <c r="D2541">
        <v>703573</v>
      </c>
      <c r="E2541" t="s">
        <v>275</v>
      </c>
      <c r="F2541" t="s">
        <v>21</v>
      </c>
      <c r="G2541" t="s">
        <v>22</v>
      </c>
      <c r="H2541" t="s">
        <v>23</v>
      </c>
      <c r="J2541" s="20"/>
    </row>
    <row r="2542" spans="2:10" x14ac:dyDescent="0.25">
      <c r="B2542" t="s">
        <v>6</v>
      </c>
      <c r="C2542" t="s">
        <v>310</v>
      </c>
      <c r="D2542">
        <v>703574</v>
      </c>
      <c r="E2542" t="s">
        <v>276</v>
      </c>
      <c r="F2542" t="s">
        <v>21</v>
      </c>
      <c r="G2542" t="s">
        <v>22</v>
      </c>
      <c r="H2542" t="s">
        <v>23</v>
      </c>
      <c r="J2542" s="20"/>
    </row>
    <row r="2543" spans="2:10" x14ac:dyDescent="0.25">
      <c r="B2543" t="s">
        <v>6</v>
      </c>
      <c r="C2543" t="s">
        <v>310</v>
      </c>
      <c r="D2543">
        <v>703580</v>
      </c>
      <c r="E2543" t="s">
        <v>277</v>
      </c>
      <c r="F2543" t="s">
        <v>21</v>
      </c>
      <c r="G2543" t="s">
        <v>22</v>
      </c>
      <c r="H2543" t="s">
        <v>23</v>
      </c>
      <c r="J2543" s="20">
        <v>0</v>
      </c>
    </row>
    <row r="2544" spans="2:10" x14ac:dyDescent="0.25">
      <c r="B2544" t="s">
        <v>6</v>
      </c>
      <c r="C2544" t="s">
        <v>310</v>
      </c>
      <c r="D2544">
        <v>703590</v>
      </c>
      <c r="E2544" t="s">
        <v>278</v>
      </c>
      <c r="F2544" t="s">
        <v>21</v>
      </c>
      <c r="G2544" t="s">
        <v>22</v>
      </c>
      <c r="H2544" t="s">
        <v>23</v>
      </c>
      <c r="J2544" s="20">
        <v>0</v>
      </c>
    </row>
    <row r="2545" spans="2:10" x14ac:dyDescent="0.25">
      <c r="B2545" t="s">
        <v>6</v>
      </c>
      <c r="C2545" t="s">
        <v>310</v>
      </c>
      <c r="D2545">
        <v>703650</v>
      </c>
      <c r="E2545" t="s">
        <v>279</v>
      </c>
      <c r="F2545" t="s">
        <v>21</v>
      </c>
      <c r="G2545" t="s">
        <v>22</v>
      </c>
      <c r="H2545" t="s">
        <v>23</v>
      </c>
      <c r="J2545" s="20">
        <v>0</v>
      </c>
    </row>
    <row r="2546" spans="2:10" x14ac:dyDescent="0.25">
      <c r="B2546" t="s">
        <v>6</v>
      </c>
      <c r="C2546" t="s">
        <v>310</v>
      </c>
      <c r="D2546">
        <v>703651</v>
      </c>
      <c r="E2546" t="s">
        <v>280</v>
      </c>
      <c r="F2546" t="s">
        <v>21</v>
      </c>
      <c r="G2546" t="s">
        <v>22</v>
      </c>
      <c r="H2546" t="s">
        <v>23</v>
      </c>
      <c r="J2546" s="20">
        <v>0</v>
      </c>
    </row>
    <row r="2547" spans="2:10" x14ac:dyDescent="0.25">
      <c r="B2547" t="s">
        <v>6</v>
      </c>
      <c r="C2547" t="s">
        <v>310</v>
      </c>
      <c r="D2547">
        <v>703850</v>
      </c>
      <c r="E2547" t="s">
        <v>281</v>
      </c>
      <c r="F2547" t="s">
        <v>21</v>
      </c>
      <c r="G2547" t="s">
        <v>22</v>
      </c>
      <c r="H2547" t="s">
        <v>23</v>
      </c>
      <c r="J2547" s="20">
        <v>0</v>
      </c>
    </row>
    <row r="2548" spans="2:10" x14ac:dyDescent="0.25">
      <c r="B2548" t="s">
        <v>6</v>
      </c>
      <c r="C2548" t="s">
        <v>310</v>
      </c>
      <c r="D2548">
        <v>703851</v>
      </c>
      <c r="E2548" t="s">
        <v>282</v>
      </c>
      <c r="F2548" t="s">
        <v>21</v>
      </c>
      <c r="G2548" t="s">
        <v>22</v>
      </c>
      <c r="H2548" t="s">
        <v>23</v>
      </c>
      <c r="J2548" s="20">
        <v>0</v>
      </c>
    </row>
    <row r="2549" spans="2:10" x14ac:dyDescent="0.25">
      <c r="B2549" t="s">
        <v>6</v>
      </c>
      <c r="C2549" t="s">
        <v>310</v>
      </c>
      <c r="D2549">
        <v>703852</v>
      </c>
      <c r="E2549" t="s">
        <v>283</v>
      </c>
      <c r="F2549" t="s">
        <v>21</v>
      </c>
      <c r="G2549" t="s">
        <v>22</v>
      </c>
      <c r="H2549" t="s">
        <v>23</v>
      </c>
      <c r="J2549" s="20">
        <v>0</v>
      </c>
    </row>
    <row r="2550" spans="2:10" x14ac:dyDescent="0.25">
      <c r="B2550" t="s">
        <v>6</v>
      </c>
      <c r="C2550" t="s">
        <v>310</v>
      </c>
      <c r="D2550">
        <v>703853</v>
      </c>
      <c r="E2550" t="s">
        <v>284</v>
      </c>
      <c r="F2550" t="s">
        <v>21</v>
      </c>
      <c r="G2550" t="s">
        <v>22</v>
      </c>
      <c r="H2550" t="s">
        <v>23</v>
      </c>
      <c r="J2550" s="20">
        <v>0</v>
      </c>
    </row>
    <row r="2551" spans="2:10" x14ac:dyDescent="0.25">
      <c r="B2551" t="s">
        <v>6</v>
      </c>
      <c r="C2551" t="s">
        <v>310</v>
      </c>
      <c r="D2551">
        <v>703854</v>
      </c>
      <c r="E2551" t="s">
        <v>285</v>
      </c>
      <c r="F2551" t="s">
        <v>21</v>
      </c>
      <c r="G2551" t="s">
        <v>22</v>
      </c>
      <c r="H2551" t="s">
        <v>115</v>
      </c>
      <c r="J2551" s="20">
        <v>0</v>
      </c>
    </row>
    <row r="2552" spans="2:10" x14ac:dyDescent="0.25">
      <c r="B2552" t="s">
        <v>6</v>
      </c>
      <c r="C2552" t="s">
        <v>310</v>
      </c>
      <c r="D2552">
        <v>703855</v>
      </c>
      <c r="E2552" t="s">
        <v>286</v>
      </c>
      <c r="F2552" t="s">
        <v>21</v>
      </c>
      <c r="G2552" t="s">
        <v>22</v>
      </c>
      <c r="H2552" t="s">
        <v>23</v>
      </c>
      <c r="J2552" s="20">
        <v>0</v>
      </c>
    </row>
    <row r="2553" spans="2:10" x14ac:dyDescent="0.25">
      <c r="B2553" t="s">
        <v>6</v>
      </c>
      <c r="C2553" t="s">
        <v>310</v>
      </c>
      <c r="D2553">
        <v>703856</v>
      </c>
      <c r="E2553" t="s">
        <v>287</v>
      </c>
      <c r="F2553" t="s">
        <v>21</v>
      </c>
      <c r="G2553" t="s">
        <v>22</v>
      </c>
      <c r="H2553" t="s">
        <v>23</v>
      </c>
      <c r="J2553" s="20">
        <v>0</v>
      </c>
    </row>
    <row r="2554" spans="2:10" x14ac:dyDescent="0.25">
      <c r="B2554" t="s">
        <v>6</v>
      </c>
      <c r="C2554" t="s">
        <v>310</v>
      </c>
      <c r="D2554">
        <v>703857</v>
      </c>
      <c r="E2554" t="s">
        <v>288</v>
      </c>
      <c r="F2554" t="s">
        <v>21</v>
      </c>
      <c r="G2554" t="s">
        <v>71</v>
      </c>
      <c r="H2554" t="s">
        <v>88</v>
      </c>
      <c r="J2554" s="20">
        <v>0</v>
      </c>
    </row>
    <row r="2555" spans="2:10" x14ac:dyDescent="0.25">
      <c r="B2555" t="s">
        <v>6</v>
      </c>
      <c r="C2555" t="s">
        <v>310</v>
      </c>
      <c r="D2555">
        <v>703858</v>
      </c>
      <c r="E2555" t="s">
        <v>289</v>
      </c>
      <c r="F2555" t="s">
        <v>21</v>
      </c>
      <c r="G2555" t="s">
        <v>22</v>
      </c>
      <c r="H2555" t="s">
        <v>23</v>
      </c>
      <c r="J2555" s="20">
        <v>0</v>
      </c>
    </row>
    <row r="2556" spans="2:10" x14ac:dyDescent="0.25">
      <c r="B2556" t="s">
        <v>6</v>
      </c>
      <c r="C2556" t="s">
        <v>310</v>
      </c>
      <c r="D2556">
        <v>703859</v>
      </c>
      <c r="E2556" t="s">
        <v>290</v>
      </c>
      <c r="F2556" t="s">
        <v>21</v>
      </c>
      <c r="G2556" t="s">
        <v>22</v>
      </c>
      <c r="H2556" t="s">
        <v>23</v>
      </c>
      <c r="J2556" s="20">
        <v>0</v>
      </c>
    </row>
    <row r="2557" spans="2:10" x14ac:dyDescent="0.25">
      <c r="B2557" t="s">
        <v>6</v>
      </c>
      <c r="C2557" t="s">
        <v>310</v>
      </c>
      <c r="D2557">
        <v>703860</v>
      </c>
      <c r="E2557" t="s">
        <v>291</v>
      </c>
      <c r="F2557" t="s">
        <v>21</v>
      </c>
      <c r="G2557" t="s">
        <v>22</v>
      </c>
      <c r="H2557" t="s">
        <v>23</v>
      </c>
      <c r="J2557" s="20">
        <v>0</v>
      </c>
    </row>
    <row r="2558" spans="2:10" x14ac:dyDescent="0.25">
      <c r="B2558" t="s">
        <v>6</v>
      </c>
      <c r="C2558" t="s">
        <v>310</v>
      </c>
      <c r="D2558">
        <v>703861</v>
      </c>
      <c r="E2558" t="s">
        <v>292</v>
      </c>
      <c r="F2558" t="s">
        <v>21</v>
      </c>
      <c r="G2558" t="s">
        <v>22</v>
      </c>
      <c r="H2558" t="s">
        <v>23</v>
      </c>
      <c r="J2558" s="20">
        <v>0</v>
      </c>
    </row>
    <row r="2559" spans="2:10" x14ac:dyDescent="0.25">
      <c r="B2559" t="s">
        <v>6</v>
      </c>
      <c r="C2559" t="s">
        <v>310</v>
      </c>
      <c r="D2559">
        <v>703862</v>
      </c>
      <c r="E2559" t="s">
        <v>293</v>
      </c>
      <c r="F2559" t="s">
        <v>21</v>
      </c>
      <c r="G2559" t="s">
        <v>22</v>
      </c>
      <c r="H2559" t="s">
        <v>23</v>
      </c>
      <c r="J2559" s="20">
        <v>0</v>
      </c>
    </row>
    <row r="2560" spans="2:10" x14ac:dyDescent="0.25">
      <c r="B2560" t="s">
        <v>6</v>
      </c>
      <c r="C2560" t="s">
        <v>310</v>
      </c>
      <c r="D2560">
        <v>703870</v>
      </c>
      <c r="E2560" t="s">
        <v>294</v>
      </c>
      <c r="F2560" t="s">
        <v>21</v>
      </c>
      <c r="G2560" t="s">
        <v>22</v>
      </c>
      <c r="H2560" t="s">
        <v>23</v>
      </c>
      <c r="J2560" s="20">
        <v>0</v>
      </c>
    </row>
    <row r="2561" spans="2:10" x14ac:dyDescent="0.25">
      <c r="B2561" t="s">
        <v>6</v>
      </c>
      <c r="C2561" t="s">
        <v>310</v>
      </c>
      <c r="D2561">
        <v>703880</v>
      </c>
      <c r="E2561" t="s">
        <v>295</v>
      </c>
      <c r="F2561" t="s">
        <v>21</v>
      </c>
      <c r="G2561" t="s">
        <v>22</v>
      </c>
      <c r="H2561" t="s">
        <v>23</v>
      </c>
      <c r="J2561" s="20">
        <v>0</v>
      </c>
    </row>
    <row r="2562" spans="2:10" x14ac:dyDescent="0.25">
      <c r="B2562" t="s">
        <v>6</v>
      </c>
      <c r="C2562" t="s">
        <v>310</v>
      </c>
      <c r="D2562">
        <v>703899</v>
      </c>
      <c r="E2562" t="s">
        <v>296</v>
      </c>
      <c r="F2562" t="s">
        <v>21</v>
      </c>
      <c r="G2562" t="s">
        <v>22</v>
      </c>
      <c r="H2562" t="s">
        <v>23</v>
      </c>
      <c r="J2562" s="20">
        <v>0</v>
      </c>
    </row>
    <row r="2563" spans="2:10" x14ac:dyDescent="0.25">
      <c r="B2563" t="s">
        <v>6</v>
      </c>
      <c r="C2563" t="s">
        <v>310</v>
      </c>
      <c r="D2563">
        <v>706700</v>
      </c>
      <c r="E2563" t="s">
        <v>25</v>
      </c>
      <c r="F2563" t="s">
        <v>26</v>
      </c>
      <c r="G2563" t="s">
        <v>27</v>
      </c>
      <c r="H2563" t="s">
        <v>28</v>
      </c>
      <c r="J2563" s="20">
        <v>0</v>
      </c>
    </row>
    <row r="2564" spans="2:10" x14ac:dyDescent="0.25">
      <c r="B2564" t="s">
        <v>6</v>
      </c>
      <c r="C2564" t="s">
        <v>310</v>
      </c>
      <c r="D2564" t="s">
        <v>29</v>
      </c>
      <c r="E2564" t="s">
        <v>30</v>
      </c>
      <c r="F2564" t="s">
        <v>26</v>
      </c>
      <c r="G2564" t="s">
        <v>27</v>
      </c>
      <c r="H2564" t="s">
        <v>31</v>
      </c>
      <c r="J2564" s="20">
        <v>0</v>
      </c>
    </row>
    <row r="2565" spans="2:10" x14ac:dyDescent="0.25">
      <c r="B2565" t="s">
        <v>6</v>
      </c>
      <c r="C2565" t="s">
        <v>310</v>
      </c>
      <c r="D2565" t="s">
        <v>32</v>
      </c>
      <c r="E2565" t="s">
        <v>33</v>
      </c>
      <c r="F2565" t="s">
        <v>26</v>
      </c>
      <c r="G2565" t="s">
        <v>27</v>
      </c>
      <c r="H2565" t="s">
        <v>28</v>
      </c>
      <c r="J2565" s="20">
        <v>0</v>
      </c>
    </row>
    <row r="2566" spans="2:10" x14ac:dyDescent="0.25">
      <c r="B2566" t="s">
        <v>6</v>
      </c>
      <c r="C2566" t="s">
        <v>310</v>
      </c>
      <c r="D2566" t="s">
        <v>34</v>
      </c>
      <c r="E2566" t="s">
        <v>35</v>
      </c>
      <c r="F2566" t="s">
        <v>26</v>
      </c>
      <c r="G2566" t="s">
        <v>36</v>
      </c>
      <c r="H2566" t="s">
        <v>36</v>
      </c>
      <c r="J2566" s="20">
        <v>0</v>
      </c>
    </row>
    <row r="2567" spans="2:10" x14ac:dyDescent="0.25">
      <c r="B2567" t="s">
        <v>6</v>
      </c>
      <c r="C2567" t="s">
        <v>310</v>
      </c>
      <c r="D2567" t="s">
        <v>37</v>
      </c>
      <c r="E2567" t="s">
        <v>38</v>
      </c>
      <c r="F2567" t="s">
        <v>21</v>
      </c>
      <c r="G2567" t="s">
        <v>39</v>
      </c>
      <c r="H2567" t="s">
        <v>39</v>
      </c>
      <c r="J2567" s="20">
        <v>0</v>
      </c>
    </row>
    <row r="2568" spans="2:10" x14ac:dyDescent="0.25">
      <c r="B2568" t="s">
        <v>6</v>
      </c>
      <c r="C2568" t="s">
        <v>310</v>
      </c>
      <c r="D2568" t="s">
        <v>40</v>
      </c>
      <c r="E2568" t="s">
        <v>41</v>
      </c>
      <c r="F2568" t="s">
        <v>26</v>
      </c>
      <c r="G2568" t="s">
        <v>39</v>
      </c>
      <c r="H2568" t="s">
        <v>39</v>
      </c>
      <c r="J2568" s="20">
        <v>0</v>
      </c>
    </row>
    <row r="2569" spans="2:10" x14ac:dyDescent="0.25">
      <c r="B2569" t="s">
        <v>6</v>
      </c>
      <c r="C2569" t="s">
        <v>310</v>
      </c>
      <c r="D2569" t="s">
        <v>42</v>
      </c>
      <c r="E2569" t="s">
        <v>43</v>
      </c>
      <c r="F2569" t="s">
        <v>21</v>
      </c>
      <c r="G2569" t="s">
        <v>44</v>
      </c>
      <c r="H2569" t="s">
        <v>44</v>
      </c>
      <c r="J2569" s="20">
        <v>0</v>
      </c>
    </row>
    <row r="2570" spans="2:10" x14ac:dyDescent="0.25">
      <c r="B2570" t="s">
        <v>6</v>
      </c>
      <c r="C2570" t="s">
        <v>310</v>
      </c>
      <c r="D2570" t="s">
        <v>45</v>
      </c>
      <c r="E2570" t="s">
        <v>46</v>
      </c>
      <c r="F2570" t="s">
        <v>26</v>
      </c>
      <c r="G2570" t="s">
        <v>44</v>
      </c>
      <c r="H2570" t="s">
        <v>44</v>
      </c>
      <c r="J2570" s="20">
        <v>0</v>
      </c>
    </row>
    <row r="2571" spans="2:10" x14ac:dyDescent="0.25">
      <c r="B2571" t="s">
        <v>6</v>
      </c>
      <c r="C2571" t="s">
        <v>310</v>
      </c>
      <c r="D2571" t="s">
        <v>297</v>
      </c>
      <c r="E2571" t="s">
        <v>298</v>
      </c>
      <c r="F2571" t="s">
        <v>26</v>
      </c>
      <c r="G2571" t="s">
        <v>299</v>
      </c>
      <c r="H2571" t="s">
        <v>299</v>
      </c>
      <c r="J2571" s="20"/>
    </row>
    <row r="2572" spans="2:10" x14ac:dyDescent="0.25">
      <c r="B2572" t="s">
        <v>6</v>
      </c>
      <c r="C2572" t="s">
        <v>310</v>
      </c>
      <c r="D2572" t="s">
        <v>300</v>
      </c>
      <c r="E2572" t="s">
        <v>301</v>
      </c>
      <c r="F2572" t="s">
        <v>21</v>
      </c>
      <c r="G2572" t="s">
        <v>299</v>
      </c>
      <c r="H2572" t="s">
        <v>299</v>
      </c>
      <c r="J2572" s="20"/>
    </row>
    <row r="2573" spans="2:10" x14ac:dyDescent="0.25">
      <c r="B2573" t="s">
        <v>6</v>
      </c>
      <c r="C2573" t="s">
        <v>310</v>
      </c>
      <c r="D2573" t="s">
        <v>47</v>
      </c>
      <c r="E2573" t="s">
        <v>48</v>
      </c>
      <c r="F2573" t="s">
        <v>26</v>
      </c>
      <c r="G2573" t="s">
        <v>49</v>
      </c>
      <c r="H2573" t="s">
        <v>49</v>
      </c>
      <c r="J2573" s="20">
        <v>0</v>
      </c>
    </row>
    <row r="2574" spans="2:10" x14ac:dyDescent="0.25">
      <c r="B2574" t="s">
        <v>6</v>
      </c>
      <c r="C2574" t="s">
        <v>311</v>
      </c>
      <c r="D2574">
        <v>701000</v>
      </c>
      <c r="E2574" t="s">
        <v>51</v>
      </c>
      <c r="F2574" t="s">
        <v>21</v>
      </c>
      <c r="G2574" t="s">
        <v>52</v>
      </c>
      <c r="H2574" t="s">
        <v>53</v>
      </c>
      <c r="J2574" s="20">
        <v>0</v>
      </c>
    </row>
    <row r="2575" spans="2:10" x14ac:dyDescent="0.25">
      <c r="B2575" t="s">
        <v>6</v>
      </c>
      <c r="C2575" t="s">
        <v>311</v>
      </c>
      <c r="D2575">
        <v>701008</v>
      </c>
      <c r="E2575" t="s">
        <v>54</v>
      </c>
      <c r="F2575" t="s">
        <v>21</v>
      </c>
      <c r="G2575" t="s">
        <v>52</v>
      </c>
      <c r="H2575" t="s">
        <v>53</v>
      </c>
      <c r="J2575" s="20">
        <v>0</v>
      </c>
    </row>
    <row r="2576" spans="2:10" x14ac:dyDescent="0.25">
      <c r="B2576" t="s">
        <v>6</v>
      </c>
      <c r="C2576" t="s">
        <v>311</v>
      </c>
      <c r="D2576">
        <v>701009</v>
      </c>
      <c r="E2576" t="s">
        <v>55</v>
      </c>
      <c r="F2576" t="s">
        <v>21</v>
      </c>
      <c r="G2576" t="s">
        <v>52</v>
      </c>
      <c r="H2576" t="s">
        <v>53</v>
      </c>
      <c r="J2576" s="20">
        <v>0</v>
      </c>
    </row>
    <row r="2577" spans="2:10" x14ac:dyDescent="0.25">
      <c r="B2577" t="s">
        <v>6</v>
      </c>
      <c r="C2577" t="s">
        <v>311</v>
      </c>
      <c r="D2577">
        <v>701010</v>
      </c>
      <c r="E2577" t="s">
        <v>56</v>
      </c>
      <c r="F2577" t="s">
        <v>21</v>
      </c>
      <c r="G2577" t="s">
        <v>52</v>
      </c>
      <c r="H2577" t="s">
        <v>57</v>
      </c>
      <c r="J2577" s="20">
        <v>0</v>
      </c>
    </row>
    <row r="2578" spans="2:10" x14ac:dyDescent="0.25">
      <c r="B2578" t="s">
        <v>6</v>
      </c>
      <c r="C2578" t="s">
        <v>311</v>
      </c>
      <c r="D2578">
        <v>701011</v>
      </c>
      <c r="E2578" t="s">
        <v>58</v>
      </c>
      <c r="F2578" t="s">
        <v>21</v>
      </c>
      <c r="G2578" t="s">
        <v>52</v>
      </c>
      <c r="H2578" t="s">
        <v>53</v>
      </c>
      <c r="J2578" s="20">
        <v>0</v>
      </c>
    </row>
    <row r="2579" spans="2:10" x14ac:dyDescent="0.25">
      <c r="B2579" t="s">
        <v>6</v>
      </c>
      <c r="C2579" t="s">
        <v>311</v>
      </c>
      <c r="D2579">
        <v>701012</v>
      </c>
      <c r="E2579" t="s">
        <v>59</v>
      </c>
      <c r="F2579" t="s">
        <v>21</v>
      </c>
      <c r="G2579" t="s">
        <v>52</v>
      </c>
      <c r="H2579" t="s">
        <v>53</v>
      </c>
      <c r="J2579" s="20">
        <v>0</v>
      </c>
    </row>
    <row r="2580" spans="2:10" x14ac:dyDescent="0.25">
      <c r="B2580" t="s">
        <v>6</v>
      </c>
      <c r="C2580" t="s">
        <v>311</v>
      </c>
      <c r="D2580">
        <v>701013</v>
      </c>
      <c r="E2580" t="s">
        <v>60</v>
      </c>
      <c r="F2580" t="s">
        <v>21</v>
      </c>
      <c r="G2580" t="s">
        <v>61</v>
      </c>
      <c r="H2580" t="s">
        <v>62</v>
      </c>
      <c r="J2580" s="20">
        <v>0</v>
      </c>
    </row>
    <row r="2581" spans="2:10" x14ac:dyDescent="0.25">
      <c r="B2581" t="s">
        <v>6</v>
      </c>
      <c r="C2581" t="s">
        <v>311</v>
      </c>
      <c r="D2581">
        <v>701014</v>
      </c>
      <c r="E2581" t="s">
        <v>63</v>
      </c>
      <c r="F2581" t="s">
        <v>21</v>
      </c>
      <c r="G2581" t="s">
        <v>61</v>
      </c>
      <c r="H2581" t="s">
        <v>64</v>
      </c>
      <c r="J2581" s="20">
        <v>0</v>
      </c>
    </row>
    <row r="2582" spans="2:10" x14ac:dyDescent="0.25">
      <c r="B2582" t="s">
        <v>6</v>
      </c>
      <c r="C2582" t="s">
        <v>311</v>
      </c>
      <c r="D2582">
        <v>701015</v>
      </c>
      <c r="E2582" t="s">
        <v>65</v>
      </c>
      <c r="F2582" t="s">
        <v>21</v>
      </c>
      <c r="G2582" t="s">
        <v>52</v>
      </c>
      <c r="H2582" t="s">
        <v>53</v>
      </c>
      <c r="J2582" s="20">
        <v>0</v>
      </c>
    </row>
    <row r="2583" spans="2:10" x14ac:dyDescent="0.25">
      <c r="B2583" t="s">
        <v>6</v>
      </c>
      <c r="C2583" t="s">
        <v>311</v>
      </c>
      <c r="D2583">
        <v>701016</v>
      </c>
      <c r="E2583" t="s">
        <v>66</v>
      </c>
      <c r="F2583" t="s">
        <v>21</v>
      </c>
      <c r="G2583" t="s">
        <v>52</v>
      </c>
      <c r="H2583" t="s">
        <v>53</v>
      </c>
      <c r="J2583" s="20">
        <v>0</v>
      </c>
    </row>
    <row r="2584" spans="2:10" x14ac:dyDescent="0.25">
      <c r="B2584" t="s">
        <v>6</v>
      </c>
      <c r="C2584" t="s">
        <v>311</v>
      </c>
      <c r="D2584">
        <v>701017</v>
      </c>
      <c r="E2584" t="s">
        <v>67</v>
      </c>
      <c r="F2584" t="s">
        <v>21</v>
      </c>
      <c r="G2584" t="s">
        <v>61</v>
      </c>
      <c r="H2584" t="s">
        <v>68</v>
      </c>
      <c r="J2584" s="20">
        <v>0</v>
      </c>
    </row>
    <row r="2585" spans="2:10" x14ac:dyDescent="0.25">
      <c r="B2585" t="s">
        <v>6</v>
      </c>
      <c r="C2585" t="s">
        <v>311</v>
      </c>
      <c r="D2585">
        <v>701018</v>
      </c>
      <c r="E2585" t="s">
        <v>69</v>
      </c>
      <c r="F2585" t="s">
        <v>21</v>
      </c>
      <c r="G2585" t="s">
        <v>61</v>
      </c>
      <c r="H2585" t="s">
        <v>68</v>
      </c>
      <c r="J2585" s="20">
        <v>0</v>
      </c>
    </row>
    <row r="2586" spans="2:10" x14ac:dyDescent="0.25">
      <c r="B2586" t="s">
        <v>6</v>
      </c>
      <c r="C2586" t="s">
        <v>311</v>
      </c>
      <c r="D2586">
        <v>701019</v>
      </c>
      <c r="E2586" t="s">
        <v>70</v>
      </c>
      <c r="F2586" t="s">
        <v>21</v>
      </c>
      <c r="G2586" t="s">
        <v>71</v>
      </c>
      <c r="H2586" t="s">
        <v>72</v>
      </c>
      <c r="J2586" s="20">
        <v>0</v>
      </c>
    </row>
    <row r="2587" spans="2:10" x14ac:dyDescent="0.25">
      <c r="B2587" t="s">
        <v>6</v>
      </c>
      <c r="C2587" t="s">
        <v>311</v>
      </c>
      <c r="D2587">
        <v>701020</v>
      </c>
      <c r="E2587" t="s">
        <v>73</v>
      </c>
      <c r="F2587" t="s">
        <v>21</v>
      </c>
      <c r="G2587" t="s">
        <v>52</v>
      </c>
      <c r="H2587" t="s">
        <v>53</v>
      </c>
      <c r="J2587" s="20">
        <v>0</v>
      </c>
    </row>
    <row r="2588" spans="2:10" x14ac:dyDescent="0.25">
      <c r="B2588" t="s">
        <v>6</v>
      </c>
      <c r="C2588" t="s">
        <v>311</v>
      </c>
      <c r="D2588">
        <v>701021</v>
      </c>
      <c r="E2588" t="s">
        <v>74</v>
      </c>
      <c r="F2588" t="s">
        <v>21</v>
      </c>
      <c r="G2588" t="s">
        <v>61</v>
      </c>
      <c r="H2588" t="s">
        <v>74</v>
      </c>
      <c r="J2588" s="20">
        <v>0</v>
      </c>
    </row>
    <row r="2589" spans="2:10" x14ac:dyDescent="0.25">
      <c r="B2589" t="s">
        <v>6</v>
      </c>
      <c r="C2589" t="s">
        <v>311</v>
      </c>
      <c r="D2589">
        <v>701022</v>
      </c>
      <c r="E2589" t="s">
        <v>75</v>
      </c>
      <c r="F2589" t="s">
        <v>21</v>
      </c>
      <c r="G2589" t="s">
        <v>76</v>
      </c>
      <c r="H2589" t="s">
        <v>77</v>
      </c>
      <c r="J2589" s="20">
        <v>0</v>
      </c>
    </row>
    <row r="2590" spans="2:10" x14ac:dyDescent="0.25">
      <c r="B2590" t="s">
        <v>6</v>
      </c>
      <c r="C2590" t="s">
        <v>311</v>
      </c>
      <c r="D2590">
        <v>701023</v>
      </c>
      <c r="E2590" t="s">
        <v>78</v>
      </c>
      <c r="F2590" t="s">
        <v>21</v>
      </c>
      <c r="G2590" t="s">
        <v>61</v>
      </c>
      <c r="H2590" t="s">
        <v>79</v>
      </c>
      <c r="J2590" s="20">
        <v>0</v>
      </c>
    </row>
    <row r="2591" spans="2:10" x14ac:dyDescent="0.25">
      <c r="B2591" t="s">
        <v>6</v>
      </c>
      <c r="C2591" t="s">
        <v>311</v>
      </c>
      <c r="D2591">
        <v>701024</v>
      </c>
      <c r="E2591" t="s">
        <v>80</v>
      </c>
      <c r="F2591" t="s">
        <v>21</v>
      </c>
      <c r="G2591" t="s">
        <v>76</v>
      </c>
      <c r="H2591" t="s">
        <v>77</v>
      </c>
      <c r="J2591" s="20">
        <v>0</v>
      </c>
    </row>
    <row r="2592" spans="2:10" x14ac:dyDescent="0.25">
      <c r="B2592" t="s">
        <v>6</v>
      </c>
      <c r="C2592" t="s">
        <v>311</v>
      </c>
      <c r="D2592">
        <v>701025</v>
      </c>
      <c r="E2592" t="s">
        <v>81</v>
      </c>
      <c r="F2592" t="s">
        <v>21</v>
      </c>
      <c r="G2592" t="s">
        <v>71</v>
      </c>
      <c r="H2592" t="s">
        <v>82</v>
      </c>
      <c r="J2592" s="20">
        <v>0</v>
      </c>
    </row>
    <row r="2593" spans="2:10" x14ac:dyDescent="0.25">
      <c r="B2593" t="s">
        <v>6</v>
      </c>
      <c r="C2593" t="s">
        <v>311</v>
      </c>
      <c r="D2593">
        <v>701026</v>
      </c>
      <c r="E2593" t="s">
        <v>83</v>
      </c>
      <c r="F2593" t="s">
        <v>21</v>
      </c>
      <c r="G2593" t="s">
        <v>76</v>
      </c>
      <c r="H2593" t="s">
        <v>77</v>
      </c>
      <c r="J2593" s="20">
        <v>0</v>
      </c>
    </row>
    <row r="2594" spans="2:10" x14ac:dyDescent="0.25">
      <c r="B2594" t="s">
        <v>6</v>
      </c>
      <c r="C2594" t="s">
        <v>311</v>
      </c>
      <c r="D2594">
        <v>701027</v>
      </c>
      <c r="E2594" t="s">
        <v>84</v>
      </c>
      <c r="F2594" t="s">
        <v>21</v>
      </c>
      <c r="G2594" t="s">
        <v>76</v>
      </c>
      <c r="H2594" t="s">
        <v>77</v>
      </c>
      <c r="J2594" s="20">
        <v>0</v>
      </c>
    </row>
    <row r="2595" spans="2:10" x14ac:dyDescent="0.25">
      <c r="B2595" t="s">
        <v>6</v>
      </c>
      <c r="C2595" t="s">
        <v>311</v>
      </c>
      <c r="D2595">
        <v>701028</v>
      </c>
      <c r="E2595" t="s">
        <v>85</v>
      </c>
      <c r="F2595" t="s">
        <v>21</v>
      </c>
      <c r="G2595" t="s">
        <v>61</v>
      </c>
      <c r="H2595" t="s">
        <v>68</v>
      </c>
      <c r="J2595" s="20">
        <v>0</v>
      </c>
    </row>
    <row r="2596" spans="2:10" x14ac:dyDescent="0.25">
      <c r="B2596" t="s">
        <v>6</v>
      </c>
      <c r="C2596" t="s">
        <v>311</v>
      </c>
      <c r="D2596">
        <v>701029</v>
      </c>
      <c r="E2596" t="s">
        <v>86</v>
      </c>
      <c r="F2596" t="s">
        <v>21</v>
      </c>
      <c r="G2596" t="s">
        <v>61</v>
      </c>
      <c r="H2596" t="s">
        <v>68</v>
      </c>
      <c r="J2596" s="20">
        <v>0</v>
      </c>
    </row>
    <row r="2597" spans="2:10" x14ac:dyDescent="0.25">
      <c r="B2597" t="s">
        <v>6</v>
      </c>
      <c r="C2597" t="s">
        <v>311</v>
      </c>
      <c r="D2597">
        <v>701030</v>
      </c>
      <c r="E2597" t="s">
        <v>87</v>
      </c>
      <c r="F2597" t="s">
        <v>21</v>
      </c>
      <c r="G2597" t="s">
        <v>71</v>
      </c>
      <c r="H2597" t="s">
        <v>88</v>
      </c>
      <c r="J2597" s="20">
        <v>0</v>
      </c>
    </row>
    <row r="2598" spans="2:10" x14ac:dyDescent="0.25">
      <c r="B2598" t="s">
        <v>6</v>
      </c>
      <c r="C2598" t="s">
        <v>311</v>
      </c>
      <c r="D2598">
        <v>701031</v>
      </c>
      <c r="E2598" t="s">
        <v>89</v>
      </c>
      <c r="F2598" t="s">
        <v>21</v>
      </c>
      <c r="G2598" t="s">
        <v>76</v>
      </c>
      <c r="H2598" t="s">
        <v>77</v>
      </c>
      <c r="J2598" s="20">
        <v>0</v>
      </c>
    </row>
    <row r="2599" spans="2:10" x14ac:dyDescent="0.25">
      <c r="B2599" t="s">
        <v>6</v>
      </c>
      <c r="C2599" t="s">
        <v>311</v>
      </c>
      <c r="D2599">
        <v>701032</v>
      </c>
      <c r="E2599" t="s">
        <v>90</v>
      </c>
      <c r="F2599" t="s">
        <v>21</v>
      </c>
      <c r="G2599" t="s">
        <v>52</v>
      </c>
      <c r="H2599" t="s">
        <v>53</v>
      </c>
      <c r="J2599" s="20">
        <v>0</v>
      </c>
    </row>
    <row r="2600" spans="2:10" x14ac:dyDescent="0.25">
      <c r="B2600" t="s">
        <v>6</v>
      </c>
      <c r="C2600" t="s">
        <v>311</v>
      </c>
      <c r="D2600">
        <v>701034</v>
      </c>
      <c r="E2600" t="s">
        <v>91</v>
      </c>
      <c r="F2600" t="s">
        <v>21</v>
      </c>
      <c r="G2600" t="s">
        <v>76</v>
      </c>
      <c r="H2600" t="s">
        <v>77</v>
      </c>
      <c r="J2600" s="20">
        <v>0</v>
      </c>
    </row>
    <row r="2601" spans="2:10" x14ac:dyDescent="0.25">
      <c r="B2601" t="s">
        <v>6</v>
      </c>
      <c r="C2601" t="s">
        <v>311</v>
      </c>
      <c r="D2601">
        <v>701035</v>
      </c>
      <c r="E2601" t="s">
        <v>92</v>
      </c>
      <c r="F2601" t="s">
        <v>21</v>
      </c>
      <c r="G2601" t="s">
        <v>61</v>
      </c>
      <c r="H2601" t="s">
        <v>68</v>
      </c>
      <c r="J2601" s="20">
        <v>0</v>
      </c>
    </row>
    <row r="2602" spans="2:10" x14ac:dyDescent="0.25">
      <c r="B2602" t="s">
        <v>6</v>
      </c>
      <c r="C2602" t="s">
        <v>311</v>
      </c>
      <c r="D2602">
        <v>701036</v>
      </c>
      <c r="E2602" t="s">
        <v>93</v>
      </c>
      <c r="F2602" t="s">
        <v>21</v>
      </c>
      <c r="G2602" t="s">
        <v>52</v>
      </c>
      <c r="H2602" t="s">
        <v>53</v>
      </c>
      <c r="J2602" s="20">
        <v>0</v>
      </c>
    </row>
    <row r="2603" spans="2:10" x14ac:dyDescent="0.25">
      <c r="B2603" t="s">
        <v>6</v>
      </c>
      <c r="C2603" t="s">
        <v>311</v>
      </c>
      <c r="D2603">
        <v>701113</v>
      </c>
      <c r="E2603" t="s">
        <v>94</v>
      </c>
      <c r="F2603" t="s">
        <v>21</v>
      </c>
      <c r="G2603" t="s">
        <v>61</v>
      </c>
      <c r="H2603" t="s">
        <v>62</v>
      </c>
      <c r="J2603" s="20">
        <v>0</v>
      </c>
    </row>
    <row r="2604" spans="2:10" x14ac:dyDescent="0.25">
      <c r="B2604" t="s">
        <v>6</v>
      </c>
      <c r="C2604" t="s">
        <v>311</v>
      </c>
      <c r="D2604">
        <v>701119</v>
      </c>
      <c r="E2604" t="s">
        <v>95</v>
      </c>
      <c r="F2604" t="s">
        <v>21</v>
      </c>
      <c r="G2604" t="s">
        <v>22</v>
      </c>
      <c r="H2604" t="s">
        <v>23</v>
      </c>
      <c r="J2604" s="20">
        <v>0</v>
      </c>
    </row>
    <row r="2605" spans="2:10" x14ac:dyDescent="0.25">
      <c r="B2605" t="s">
        <v>6</v>
      </c>
      <c r="C2605" t="s">
        <v>311</v>
      </c>
      <c r="D2605">
        <v>701120</v>
      </c>
      <c r="E2605" t="s">
        <v>96</v>
      </c>
      <c r="F2605" t="s">
        <v>21</v>
      </c>
      <c r="G2605" t="s">
        <v>22</v>
      </c>
      <c r="H2605" t="s">
        <v>23</v>
      </c>
      <c r="J2605" s="20">
        <v>0</v>
      </c>
    </row>
    <row r="2606" spans="2:10" x14ac:dyDescent="0.25">
      <c r="B2606" t="s">
        <v>6</v>
      </c>
      <c r="C2606" t="s">
        <v>311</v>
      </c>
      <c r="D2606">
        <v>701121</v>
      </c>
      <c r="E2606" t="s">
        <v>97</v>
      </c>
      <c r="F2606" t="s">
        <v>21</v>
      </c>
      <c r="G2606" t="s">
        <v>22</v>
      </c>
      <c r="H2606" t="s">
        <v>23</v>
      </c>
      <c r="J2606" s="20">
        <v>0</v>
      </c>
    </row>
    <row r="2607" spans="2:10" x14ac:dyDescent="0.25">
      <c r="B2607" t="s">
        <v>6</v>
      </c>
      <c r="C2607" t="s">
        <v>311</v>
      </c>
      <c r="D2607">
        <v>701122</v>
      </c>
      <c r="E2607" t="s">
        <v>98</v>
      </c>
      <c r="F2607" t="s">
        <v>21</v>
      </c>
      <c r="G2607" t="s">
        <v>71</v>
      </c>
      <c r="H2607" t="s">
        <v>88</v>
      </c>
      <c r="J2607" s="20">
        <v>0</v>
      </c>
    </row>
    <row r="2608" spans="2:10" x14ac:dyDescent="0.25">
      <c r="B2608" t="s">
        <v>6</v>
      </c>
      <c r="C2608" t="s">
        <v>311</v>
      </c>
      <c r="D2608">
        <v>701123</v>
      </c>
      <c r="E2608" t="s">
        <v>99</v>
      </c>
      <c r="F2608" t="s">
        <v>21</v>
      </c>
      <c r="G2608" t="s">
        <v>22</v>
      </c>
      <c r="H2608" t="s">
        <v>23</v>
      </c>
      <c r="J2608" s="20">
        <v>0</v>
      </c>
    </row>
    <row r="2609" spans="2:10" x14ac:dyDescent="0.25">
      <c r="B2609" t="s">
        <v>6</v>
      </c>
      <c r="C2609" t="s">
        <v>311</v>
      </c>
      <c r="D2609">
        <v>701127</v>
      </c>
      <c r="E2609" t="s">
        <v>100</v>
      </c>
      <c r="F2609" t="s">
        <v>21</v>
      </c>
      <c r="G2609" t="s">
        <v>76</v>
      </c>
      <c r="H2609" t="s">
        <v>77</v>
      </c>
      <c r="J2609" s="20">
        <v>0</v>
      </c>
    </row>
    <row r="2610" spans="2:10" x14ac:dyDescent="0.25">
      <c r="B2610" t="s">
        <v>6</v>
      </c>
      <c r="C2610" t="s">
        <v>311</v>
      </c>
      <c r="D2610">
        <v>701213</v>
      </c>
      <c r="E2610" t="s">
        <v>101</v>
      </c>
      <c r="F2610" t="s">
        <v>21</v>
      </c>
      <c r="G2610" t="s">
        <v>61</v>
      </c>
      <c r="H2610" t="s">
        <v>62</v>
      </c>
      <c r="J2610" s="20">
        <v>0</v>
      </c>
    </row>
    <row r="2611" spans="2:10" x14ac:dyDescent="0.25">
      <c r="B2611" t="s">
        <v>6</v>
      </c>
      <c r="C2611" t="s">
        <v>311</v>
      </c>
      <c r="D2611">
        <v>701214</v>
      </c>
      <c r="E2611" t="s">
        <v>102</v>
      </c>
      <c r="F2611" t="s">
        <v>21</v>
      </c>
      <c r="G2611" t="s">
        <v>61</v>
      </c>
      <c r="H2611" t="s">
        <v>62</v>
      </c>
      <c r="J2611" s="20">
        <v>0</v>
      </c>
    </row>
    <row r="2612" spans="2:10" x14ac:dyDescent="0.25">
      <c r="B2612" t="s">
        <v>6</v>
      </c>
      <c r="C2612" t="s">
        <v>311</v>
      </c>
      <c r="D2612">
        <v>701215</v>
      </c>
      <c r="E2612" t="s">
        <v>103</v>
      </c>
      <c r="F2612" t="s">
        <v>21</v>
      </c>
      <c r="G2612" t="s">
        <v>61</v>
      </c>
      <c r="H2612" t="s">
        <v>62</v>
      </c>
      <c r="J2612" s="20">
        <v>0</v>
      </c>
    </row>
    <row r="2613" spans="2:10" x14ac:dyDescent="0.25">
      <c r="B2613" t="s">
        <v>6</v>
      </c>
      <c r="C2613" t="s">
        <v>311</v>
      </c>
      <c r="D2613">
        <v>701227</v>
      </c>
      <c r="E2613" t="s">
        <v>104</v>
      </c>
      <c r="F2613" t="s">
        <v>21</v>
      </c>
      <c r="G2613" t="s">
        <v>76</v>
      </c>
      <c r="H2613" t="s">
        <v>77</v>
      </c>
      <c r="J2613" s="20">
        <v>0</v>
      </c>
    </row>
    <row r="2614" spans="2:10" x14ac:dyDescent="0.25">
      <c r="B2614" t="s">
        <v>6</v>
      </c>
      <c r="C2614" t="s">
        <v>311</v>
      </c>
      <c r="D2614">
        <v>701327</v>
      </c>
      <c r="E2614" t="s">
        <v>106</v>
      </c>
      <c r="F2614" t="s">
        <v>21</v>
      </c>
      <c r="G2614" t="s">
        <v>76</v>
      </c>
      <c r="H2614" t="s">
        <v>77</v>
      </c>
      <c r="J2614" s="20">
        <v>0</v>
      </c>
    </row>
    <row r="2615" spans="2:10" x14ac:dyDescent="0.25">
      <c r="B2615" t="s">
        <v>6</v>
      </c>
      <c r="C2615" t="s">
        <v>311</v>
      </c>
      <c r="D2615">
        <v>701427</v>
      </c>
      <c r="E2615" t="s">
        <v>107</v>
      </c>
      <c r="F2615" t="s">
        <v>21</v>
      </c>
      <c r="G2615" t="s">
        <v>76</v>
      </c>
      <c r="H2615" t="s">
        <v>108</v>
      </c>
      <c r="J2615" s="20">
        <v>0</v>
      </c>
    </row>
    <row r="2616" spans="2:10" x14ac:dyDescent="0.25">
      <c r="B2616" t="s">
        <v>6</v>
      </c>
      <c r="C2616" t="s">
        <v>311</v>
      </c>
      <c r="D2616">
        <v>701527</v>
      </c>
      <c r="E2616" t="s">
        <v>109</v>
      </c>
      <c r="F2616" t="s">
        <v>21</v>
      </c>
      <c r="G2616" t="s">
        <v>76</v>
      </c>
      <c r="H2616" t="s">
        <v>77</v>
      </c>
      <c r="J2616" s="20">
        <v>0</v>
      </c>
    </row>
    <row r="2617" spans="2:10" x14ac:dyDescent="0.25">
      <c r="B2617" t="s">
        <v>6</v>
      </c>
      <c r="C2617" t="s">
        <v>311</v>
      </c>
      <c r="D2617">
        <v>701627</v>
      </c>
      <c r="E2617" t="s">
        <v>110</v>
      </c>
      <c r="F2617" t="s">
        <v>21</v>
      </c>
      <c r="G2617" t="s">
        <v>76</v>
      </c>
      <c r="H2617" t="s">
        <v>77</v>
      </c>
      <c r="J2617" s="20">
        <v>0</v>
      </c>
    </row>
    <row r="2618" spans="2:10" x14ac:dyDescent="0.25">
      <c r="B2618" t="s">
        <v>6</v>
      </c>
      <c r="C2618" t="s">
        <v>311</v>
      </c>
      <c r="D2618">
        <v>701727</v>
      </c>
      <c r="E2618" t="s">
        <v>111</v>
      </c>
      <c r="F2618" t="s">
        <v>21</v>
      </c>
      <c r="G2618" t="s">
        <v>76</v>
      </c>
      <c r="H2618" t="s">
        <v>77</v>
      </c>
      <c r="J2618" s="20">
        <v>0</v>
      </c>
    </row>
    <row r="2619" spans="2:10" x14ac:dyDescent="0.25">
      <c r="B2619" t="s">
        <v>6</v>
      </c>
      <c r="C2619" t="s">
        <v>311</v>
      </c>
      <c r="D2619">
        <v>701801</v>
      </c>
      <c r="E2619" t="s">
        <v>112</v>
      </c>
      <c r="F2619" t="s">
        <v>21</v>
      </c>
      <c r="G2619" t="s">
        <v>76</v>
      </c>
      <c r="H2619" t="s">
        <v>77</v>
      </c>
      <c r="J2619" s="20">
        <v>0</v>
      </c>
    </row>
    <row r="2620" spans="2:10" x14ac:dyDescent="0.25">
      <c r="B2620" t="s">
        <v>6</v>
      </c>
      <c r="C2620" t="s">
        <v>311</v>
      </c>
      <c r="D2620">
        <v>701802</v>
      </c>
      <c r="E2620" t="s">
        <v>113</v>
      </c>
      <c r="F2620" t="s">
        <v>21</v>
      </c>
      <c r="G2620" t="s">
        <v>61</v>
      </c>
      <c r="H2620" t="s">
        <v>62</v>
      </c>
      <c r="J2620" s="20">
        <v>0</v>
      </c>
    </row>
    <row r="2621" spans="2:10" x14ac:dyDescent="0.25">
      <c r="B2621" t="s">
        <v>6</v>
      </c>
      <c r="C2621" t="s">
        <v>311</v>
      </c>
      <c r="D2621">
        <v>703010</v>
      </c>
      <c r="E2621" t="s">
        <v>114</v>
      </c>
      <c r="F2621" t="s">
        <v>21</v>
      </c>
      <c r="G2621" t="s">
        <v>22</v>
      </c>
      <c r="H2621" t="s">
        <v>115</v>
      </c>
      <c r="J2621" s="20">
        <v>0</v>
      </c>
    </row>
    <row r="2622" spans="2:10" x14ac:dyDescent="0.25">
      <c r="B2622" t="s">
        <v>6</v>
      </c>
      <c r="C2622" t="s">
        <v>311</v>
      </c>
      <c r="D2622">
        <v>703011</v>
      </c>
      <c r="E2622" t="s">
        <v>116</v>
      </c>
      <c r="F2622" t="s">
        <v>21</v>
      </c>
      <c r="G2622" t="s">
        <v>22</v>
      </c>
      <c r="H2622" t="s">
        <v>115</v>
      </c>
      <c r="J2622" s="20">
        <v>0</v>
      </c>
    </row>
    <row r="2623" spans="2:10" x14ac:dyDescent="0.25">
      <c r="B2623" t="s">
        <v>6</v>
      </c>
      <c r="C2623" t="s">
        <v>311</v>
      </c>
      <c r="D2623">
        <v>703012</v>
      </c>
      <c r="E2623" t="s">
        <v>117</v>
      </c>
      <c r="F2623" t="s">
        <v>21</v>
      </c>
      <c r="G2623" t="s">
        <v>22</v>
      </c>
      <c r="H2623" t="s">
        <v>115</v>
      </c>
      <c r="J2623" s="20">
        <v>0</v>
      </c>
    </row>
    <row r="2624" spans="2:10" x14ac:dyDescent="0.25">
      <c r="B2624" t="s">
        <v>6</v>
      </c>
      <c r="C2624" t="s">
        <v>311</v>
      </c>
      <c r="D2624">
        <v>703013</v>
      </c>
      <c r="E2624" t="s">
        <v>118</v>
      </c>
      <c r="F2624" t="s">
        <v>21</v>
      </c>
      <c r="G2624" t="s">
        <v>22</v>
      </c>
      <c r="H2624" t="s">
        <v>115</v>
      </c>
      <c r="J2624" s="20">
        <v>0</v>
      </c>
    </row>
    <row r="2625" spans="2:10" x14ac:dyDescent="0.25">
      <c r="B2625" t="s">
        <v>6</v>
      </c>
      <c r="C2625" t="s">
        <v>311</v>
      </c>
      <c r="D2625">
        <v>703014</v>
      </c>
      <c r="E2625" t="s">
        <v>119</v>
      </c>
      <c r="F2625" t="s">
        <v>21</v>
      </c>
      <c r="G2625" t="s">
        <v>22</v>
      </c>
      <c r="H2625" t="s">
        <v>115</v>
      </c>
      <c r="J2625" s="20">
        <v>0</v>
      </c>
    </row>
    <row r="2626" spans="2:10" x14ac:dyDescent="0.25">
      <c r="B2626" t="s">
        <v>6</v>
      </c>
      <c r="C2626" t="s">
        <v>311</v>
      </c>
      <c r="D2626">
        <v>703015</v>
      </c>
      <c r="E2626" t="s">
        <v>120</v>
      </c>
      <c r="F2626" t="s">
        <v>21</v>
      </c>
      <c r="G2626" t="s">
        <v>22</v>
      </c>
      <c r="H2626" t="s">
        <v>115</v>
      </c>
      <c r="J2626" s="20">
        <v>0</v>
      </c>
    </row>
    <row r="2627" spans="2:10" x14ac:dyDescent="0.25">
      <c r="B2627" t="s">
        <v>6</v>
      </c>
      <c r="C2627" t="s">
        <v>311</v>
      </c>
      <c r="D2627">
        <v>703016</v>
      </c>
      <c r="E2627" t="s">
        <v>121</v>
      </c>
      <c r="F2627" t="s">
        <v>21</v>
      </c>
      <c r="G2627" t="s">
        <v>22</v>
      </c>
      <c r="H2627" t="s">
        <v>115</v>
      </c>
      <c r="J2627" s="20">
        <v>0</v>
      </c>
    </row>
    <row r="2628" spans="2:10" x14ac:dyDescent="0.25">
      <c r="B2628" t="s">
        <v>6</v>
      </c>
      <c r="C2628" t="s">
        <v>311</v>
      </c>
      <c r="D2628">
        <v>703017</v>
      </c>
      <c r="E2628" t="s">
        <v>122</v>
      </c>
      <c r="F2628" t="s">
        <v>21</v>
      </c>
      <c r="G2628" t="s">
        <v>22</v>
      </c>
      <c r="H2628" t="s">
        <v>115</v>
      </c>
      <c r="J2628" s="20">
        <v>0</v>
      </c>
    </row>
    <row r="2629" spans="2:10" x14ac:dyDescent="0.25">
      <c r="B2629" t="s">
        <v>6</v>
      </c>
      <c r="C2629" t="s">
        <v>311</v>
      </c>
      <c r="D2629">
        <v>703018</v>
      </c>
      <c r="E2629" t="s">
        <v>123</v>
      </c>
      <c r="F2629" t="s">
        <v>21</v>
      </c>
      <c r="G2629" t="s">
        <v>22</v>
      </c>
      <c r="H2629" t="s">
        <v>115</v>
      </c>
      <c r="J2629" s="20">
        <v>0</v>
      </c>
    </row>
    <row r="2630" spans="2:10" x14ac:dyDescent="0.25">
      <c r="B2630" t="s">
        <v>6</v>
      </c>
      <c r="C2630" t="s">
        <v>311</v>
      </c>
      <c r="D2630">
        <v>703019</v>
      </c>
      <c r="E2630" t="s">
        <v>124</v>
      </c>
      <c r="F2630" t="s">
        <v>21</v>
      </c>
      <c r="G2630" t="s">
        <v>22</v>
      </c>
      <c r="H2630" t="s">
        <v>115</v>
      </c>
      <c r="J2630" s="20">
        <v>0</v>
      </c>
    </row>
    <row r="2631" spans="2:10" x14ac:dyDescent="0.25">
      <c r="B2631" t="s">
        <v>6</v>
      </c>
      <c r="C2631" t="s">
        <v>311</v>
      </c>
      <c r="D2631">
        <v>703210</v>
      </c>
      <c r="E2631" t="s">
        <v>125</v>
      </c>
      <c r="F2631" t="s">
        <v>21</v>
      </c>
      <c r="G2631" t="s">
        <v>22</v>
      </c>
      <c r="H2631" t="s">
        <v>23</v>
      </c>
      <c r="J2631" s="20">
        <v>0</v>
      </c>
    </row>
    <row r="2632" spans="2:10" x14ac:dyDescent="0.25">
      <c r="B2632" t="s">
        <v>6</v>
      </c>
      <c r="C2632" t="s">
        <v>311</v>
      </c>
      <c r="D2632">
        <v>703211</v>
      </c>
      <c r="E2632" t="s">
        <v>126</v>
      </c>
      <c r="F2632" t="s">
        <v>21</v>
      </c>
      <c r="G2632" t="s">
        <v>22</v>
      </c>
      <c r="H2632" t="s">
        <v>23</v>
      </c>
      <c r="J2632" s="20">
        <v>0</v>
      </c>
    </row>
    <row r="2633" spans="2:10" x14ac:dyDescent="0.25">
      <c r="B2633" t="s">
        <v>6</v>
      </c>
      <c r="C2633" t="s">
        <v>311</v>
      </c>
      <c r="D2633">
        <v>703212</v>
      </c>
      <c r="E2633" t="s">
        <v>127</v>
      </c>
      <c r="F2633" t="s">
        <v>21</v>
      </c>
      <c r="G2633" t="s">
        <v>22</v>
      </c>
      <c r="H2633" t="s">
        <v>23</v>
      </c>
      <c r="J2633" s="20">
        <v>0</v>
      </c>
    </row>
    <row r="2634" spans="2:10" x14ac:dyDescent="0.25">
      <c r="B2634" t="s">
        <v>6</v>
      </c>
      <c r="C2634" t="s">
        <v>311</v>
      </c>
      <c r="D2634">
        <v>703213</v>
      </c>
      <c r="E2634" t="s">
        <v>128</v>
      </c>
      <c r="F2634" t="s">
        <v>21</v>
      </c>
      <c r="G2634" t="s">
        <v>22</v>
      </c>
      <c r="H2634" t="s">
        <v>23</v>
      </c>
      <c r="J2634" s="20">
        <v>0</v>
      </c>
    </row>
    <row r="2635" spans="2:10" x14ac:dyDescent="0.25">
      <c r="B2635" t="s">
        <v>6</v>
      </c>
      <c r="C2635" t="s">
        <v>311</v>
      </c>
      <c r="D2635">
        <v>703214</v>
      </c>
      <c r="E2635" t="s">
        <v>129</v>
      </c>
      <c r="F2635" t="s">
        <v>21</v>
      </c>
      <c r="G2635" t="s">
        <v>22</v>
      </c>
      <c r="H2635" t="s">
        <v>23</v>
      </c>
      <c r="J2635" s="20">
        <v>0</v>
      </c>
    </row>
    <row r="2636" spans="2:10" x14ac:dyDescent="0.25">
      <c r="B2636" t="s">
        <v>6</v>
      </c>
      <c r="C2636" t="s">
        <v>311</v>
      </c>
      <c r="D2636">
        <v>703215</v>
      </c>
      <c r="E2636" t="s">
        <v>130</v>
      </c>
      <c r="F2636" t="s">
        <v>21</v>
      </c>
      <c r="G2636" t="s">
        <v>22</v>
      </c>
      <c r="H2636" t="s">
        <v>23</v>
      </c>
      <c r="J2636" s="20">
        <v>0</v>
      </c>
    </row>
    <row r="2637" spans="2:10" x14ac:dyDescent="0.25">
      <c r="B2637" t="s">
        <v>6</v>
      </c>
      <c r="C2637" t="s">
        <v>311</v>
      </c>
      <c r="D2637">
        <v>703216</v>
      </c>
      <c r="E2637" t="s">
        <v>131</v>
      </c>
      <c r="F2637" t="s">
        <v>21</v>
      </c>
      <c r="G2637" t="s">
        <v>22</v>
      </c>
      <c r="H2637" t="s">
        <v>23</v>
      </c>
      <c r="J2637" s="20">
        <v>0</v>
      </c>
    </row>
    <row r="2638" spans="2:10" x14ac:dyDescent="0.25">
      <c r="B2638" t="s">
        <v>6</v>
      </c>
      <c r="C2638" t="s">
        <v>311</v>
      </c>
      <c r="D2638">
        <v>703217</v>
      </c>
      <c r="E2638" t="s">
        <v>132</v>
      </c>
      <c r="F2638" t="s">
        <v>21</v>
      </c>
      <c r="G2638" t="s">
        <v>22</v>
      </c>
      <c r="H2638" t="s">
        <v>23</v>
      </c>
      <c r="J2638" s="20">
        <v>0</v>
      </c>
    </row>
    <row r="2639" spans="2:10" x14ac:dyDescent="0.25">
      <c r="B2639" t="s">
        <v>6</v>
      </c>
      <c r="C2639" t="s">
        <v>311</v>
      </c>
      <c r="D2639">
        <v>703219</v>
      </c>
      <c r="E2639" t="s">
        <v>133</v>
      </c>
      <c r="F2639" t="s">
        <v>21</v>
      </c>
      <c r="G2639" t="s">
        <v>22</v>
      </c>
      <c r="H2639" t="s">
        <v>23</v>
      </c>
      <c r="J2639" s="20">
        <v>0</v>
      </c>
    </row>
    <row r="2640" spans="2:10" x14ac:dyDescent="0.25">
      <c r="B2640" t="s">
        <v>6</v>
      </c>
      <c r="C2640" t="s">
        <v>311</v>
      </c>
      <c r="D2640">
        <v>703220</v>
      </c>
      <c r="E2640" t="s">
        <v>134</v>
      </c>
      <c r="F2640" t="s">
        <v>21</v>
      </c>
      <c r="G2640" t="s">
        <v>71</v>
      </c>
      <c r="H2640" t="s">
        <v>135</v>
      </c>
      <c r="J2640" s="20">
        <v>0</v>
      </c>
    </row>
    <row r="2641" spans="2:10" x14ac:dyDescent="0.25">
      <c r="B2641" t="s">
        <v>6</v>
      </c>
      <c r="C2641" t="s">
        <v>311</v>
      </c>
      <c r="D2641">
        <v>703221</v>
      </c>
      <c r="E2641" t="s">
        <v>136</v>
      </c>
      <c r="F2641" t="s">
        <v>21</v>
      </c>
      <c r="G2641" t="s">
        <v>137</v>
      </c>
      <c r="H2641" t="s">
        <v>138</v>
      </c>
      <c r="J2641" s="20">
        <v>0</v>
      </c>
    </row>
    <row r="2642" spans="2:10" x14ac:dyDescent="0.25">
      <c r="B2642" t="s">
        <v>6</v>
      </c>
      <c r="C2642" t="s">
        <v>311</v>
      </c>
      <c r="D2642">
        <v>703222</v>
      </c>
      <c r="E2642" t="s">
        <v>139</v>
      </c>
      <c r="F2642" t="s">
        <v>21</v>
      </c>
      <c r="G2642" t="s">
        <v>137</v>
      </c>
      <c r="H2642" t="s">
        <v>138</v>
      </c>
      <c r="J2642" s="20">
        <v>0</v>
      </c>
    </row>
    <row r="2643" spans="2:10" x14ac:dyDescent="0.25">
      <c r="B2643" t="s">
        <v>6</v>
      </c>
      <c r="C2643" t="s">
        <v>311</v>
      </c>
      <c r="D2643">
        <v>703223</v>
      </c>
      <c r="E2643" t="s">
        <v>140</v>
      </c>
      <c r="F2643" t="s">
        <v>21</v>
      </c>
      <c r="G2643" t="s">
        <v>137</v>
      </c>
      <c r="H2643" t="s">
        <v>141</v>
      </c>
      <c r="J2643" s="20">
        <v>0</v>
      </c>
    </row>
    <row r="2644" spans="2:10" x14ac:dyDescent="0.25">
      <c r="B2644" t="s">
        <v>6</v>
      </c>
      <c r="C2644" t="s">
        <v>311</v>
      </c>
      <c r="D2644">
        <v>703224</v>
      </c>
      <c r="E2644" t="s">
        <v>142</v>
      </c>
      <c r="F2644" t="s">
        <v>21</v>
      </c>
      <c r="G2644" t="s">
        <v>71</v>
      </c>
      <c r="H2644" t="s">
        <v>88</v>
      </c>
      <c r="J2644" s="20">
        <v>0</v>
      </c>
    </row>
    <row r="2645" spans="2:10" x14ac:dyDescent="0.25">
      <c r="B2645" t="s">
        <v>6</v>
      </c>
      <c r="C2645" t="s">
        <v>311</v>
      </c>
      <c r="D2645">
        <v>703225</v>
      </c>
      <c r="E2645" t="s">
        <v>143</v>
      </c>
      <c r="F2645" t="s">
        <v>21</v>
      </c>
      <c r="G2645" t="s">
        <v>71</v>
      </c>
      <c r="H2645" t="s">
        <v>88</v>
      </c>
      <c r="J2645" s="20">
        <v>0</v>
      </c>
    </row>
    <row r="2646" spans="2:10" x14ac:dyDescent="0.25">
      <c r="B2646" t="s">
        <v>6</v>
      </c>
      <c r="C2646" t="s">
        <v>311</v>
      </c>
      <c r="D2646">
        <v>703226</v>
      </c>
      <c r="E2646" t="s">
        <v>144</v>
      </c>
      <c r="F2646" t="s">
        <v>21</v>
      </c>
      <c r="G2646" t="s">
        <v>71</v>
      </c>
      <c r="H2646" t="s">
        <v>82</v>
      </c>
      <c r="J2646" s="20">
        <v>0</v>
      </c>
    </row>
    <row r="2647" spans="2:10" x14ac:dyDescent="0.25">
      <c r="B2647" t="s">
        <v>6</v>
      </c>
      <c r="C2647" t="s">
        <v>311</v>
      </c>
      <c r="D2647">
        <v>703227</v>
      </c>
      <c r="E2647" t="s">
        <v>145</v>
      </c>
      <c r="F2647" t="s">
        <v>21</v>
      </c>
      <c r="G2647" t="s">
        <v>137</v>
      </c>
      <c r="H2647" t="s">
        <v>138</v>
      </c>
      <c r="J2647" s="20">
        <v>0</v>
      </c>
    </row>
    <row r="2648" spans="2:10" x14ac:dyDescent="0.25">
      <c r="B2648" t="s">
        <v>6</v>
      </c>
      <c r="C2648" t="s">
        <v>311</v>
      </c>
      <c r="D2648">
        <v>703228</v>
      </c>
      <c r="E2648" t="s">
        <v>146</v>
      </c>
      <c r="F2648" t="s">
        <v>21</v>
      </c>
      <c r="G2648" t="s">
        <v>147</v>
      </c>
      <c r="H2648" t="s">
        <v>147</v>
      </c>
      <c r="J2648" s="20">
        <v>0</v>
      </c>
    </row>
    <row r="2649" spans="2:10" x14ac:dyDescent="0.25">
      <c r="B2649" t="s">
        <v>6</v>
      </c>
      <c r="C2649" t="s">
        <v>311</v>
      </c>
      <c r="D2649">
        <v>703229</v>
      </c>
      <c r="E2649" t="s">
        <v>148</v>
      </c>
      <c r="F2649" t="s">
        <v>21</v>
      </c>
      <c r="G2649" t="s">
        <v>147</v>
      </c>
      <c r="H2649" t="s">
        <v>147</v>
      </c>
      <c r="J2649" s="20">
        <v>0</v>
      </c>
    </row>
    <row r="2650" spans="2:10" x14ac:dyDescent="0.25">
      <c r="B2650" t="s">
        <v>6</v>
      </c>
      <c r="C2650" t="s">
        <v>311</v>
      </c>
      <c r="D2650">
        <v>703230</v>
      </c>
      <c r="E2650" t="s">
        <v>149</v>
      </c>
      <c r="F2650" t="s">
        <v>21</v>
      </c>
      <c r="G2650" t="s">
        <v>147</v>
      </c>
      <c r="H2650" t="s">
        <v>147</v>
      </c>
      <c r="J2650" s="20">
        <v>0</v>
      </c>
    </row>
    <row r="2651" spans="2:10" x14ac:dyDescent="0.25">
      <c r="B2651" t="s">
        <v>6</v>
      </c>
      <c r="C2651" t="s">
        <v>311</v>
      </c>
      <c r="D2651">
        <v>703231</v>
      </c>
      <c r="E2651" t="s">
        <v>150</v>
      </c>
      <c r="F2651" t="s">
        <v>21</v>
      </c>
      <c r="G2651" t="s">
        <v>137</v>
      </c>
      <c r="H2651" t="s">
        <v>141</v>
      </c>
      <c r="J2651" s="20">
        <v>0</v>
      </c>
    </row>
    <row r="2652" spans="2:10" x14ac:dyDescent="0.25">
      <c r="B2652" t="s">
        <v>6</v>
      </c>
      <c r="C2652" t="s">
        <v>311</v>
      </c>
      <c r="D2652">
        <v>703232</v>
      </c>
      <c r="E2652" t="s">
        <v>151</v>
      </c>
      <c r="F2652" t="s">
        <v>21</v>
      </c>
      <c r="G2652" t="s">
        <v>147</v>
      </c>
      <c r="H2652" t="s">
        <v>147</v>
      </c>
      <c r="J2652" s="20">
        <v>0</v>
      </c>
    </row>
    <row r="2653" spans="2:10" x14ac:dyDescent="0.25">
      <c r="B2653" t="s">
        <v>6</v>
      </c>
      <c r="C2653" t="s">
        <v>311</v>
      </c>
      <c r="D2653">
        <v>703233</v>
      </c>
      <c r="E2653" t="s">
        <v>152</v>
      </c>
      <c r="F2653" t="s">
        <v>21</v>
      </c>
      <c r="G2653" t="s">
        <v>71</v>
      </c>
      <c r="H2653" t="s">
        <v>153</v>
      </c>
      <c r="J2653" s="20">
        <v>0</v>
      </c>
    </row>
    <row r="2654" spans="2:10" x14ac:dyDescent="0.25">
      <c r="B2654" t="s">
        <v>6</v>
      </c>
      <c r="C2654" t="s">
        <v>311</v>
      </c>
      <c r="D2654">
        <v>703234</v>
      </c>
      <c r="E2654" t="s">
        <v>154</v>
      </c>
      <c r="F2654" t="s">
        <v>21</v>
      </c>
      <c r="G2654" t="s">
        <v>71</v>
      </c>
      <c r="H2654" t="s">
        <v>153</v>
      </c>
      <c r="J2654" s="20">
        <v>0</v>
      </c>
    </row>
    <row r="2655" spans="2:10" x14ac:dyDescent="0.25">
      <c r="B2655" t="s">
        <v>6</v>
      </c>
      <c r="C2655" t="s">
        <v>311</v>
      </c>
      <c r="D2655">
        <v>703235</v>
      </c>
      <c r="E2655" t="s">
        <v>155</v>
      </c>
      <c r="F2655" t="s">
        <v>21</v>
      </c>
      <c r="G2655" t="s">
        <v>71</v>
      </c>
      <c r="H2655" t="s">
        <v>153</v>
      </c>
      <c r="J2655" s="20">
        <v>0</v>
      </c>
    </row>
    <row r="2656" spans="2:10" x14ac:dyDescent="0.25">
      <c r="B2656" t="s">
        <v>6</v>
      </c>
      <c r="C2656" t="s">
        <v>311</v>
      </c>
      <c r="D2656">
        <v>703236</v>
      </c>
      <c r="E2656" t="s">
        <v>156</v>
      </c>
      <c r="F2656" t="s">
        <v>21</v>
      </c>
      <c r="G2656" t="s">
        <v>76</v>
      </c>
      <c r="H2656" t="s">
        <v>77</v>
      </c>
      <c r="J2656" s="20">
        <v>0</v>
      </c>
    </row>
    <row r="2657" spans="2:10" x14ac:dyDescent="0.25">
      <c r="B2657" t="s">
        <v>6</v>
      </c>
      <c r="C2657" t="s">
        <v>311</v>
      </c>
      <c r="D2657">
        <v>703237</v>
      </c>
      <c r="E2657" t="s">
        <v>157</v>
      </c>
      <c r="F2657" t="s">
        <v>21</v>
      </c>
      <c r="G2657" t="s">
        <v>22</v>
      </c>
      <c r="H2657" t="s">
        <v>23</v>
      </c>
      <c r="J2657" s="20">
        <v>0</v>
      </c>
    </row>
    <row r="2658" spans="2:10" x14ac:dyDescent="0.25">
      <c r="B2658" t="s">
        <v>6</v>
      </c>
      <c r="C2658" t="s">
        <v>311</v>
      </c>
      <c r="D2658">
        <v>703238</v>
      </c>
      <c r="E2658" t="s">
        <v>158</v>
      </c>
      <c r="F2658" t="s">
        <v>21</v>
      </c>
      <c r="G2658" t="s">
        <v>61</v>
      </c>
      <c r="H2658" t="s">
        <v>68</v>
      </c>
      <c r="J2658" s="20">
        <v>0</v>
      </c>
    </row>
    <row r="2659" spans="2:10" x14ac:dyDescent="0.25">
      <c r="B2659" t="s">
        <v>6</v>
      </c>
      <c r="C2659" t="s">
        <v>311</v>
      </c>
      <c r="D2659">
        <v>703239</v>
      </c>
      <c r="E2659" t="s">
        <v>159</v>
      </c>
      <c r="F2659" t="s">
        <v>21</v>
      </c>
      <c r="G2659" t="s">
        <v>61</v>
      </c>
      <c r="H2659" t="s">
        <v>68</v>
      </c>
      <c r="J2659" s="20">
        <v>0</v>
      </c>
    </row>
    <row r="2660" spans="2:10" x14ac:dyDescent="0.25">
      <c r="B2660" t="s">
        <v>6</v>
      </c>
      <c r="C2660" t="s">
        <v>311</v>
      </c>
      <c r="D2660">
        <v>703240</v>
      </c>
      <c r="E2660" t="s">
        <v>160</v>
      </c>
      <c r="F2660" t="s">
        <v>21</v>
      </c>
      <c r="G2660" t="s">
        <v>61</v>
      </c>
      <c r="H2660" t="s">
        <v>68</v>
      </c>
      <c r="J2660" s="20">
        <v>0</v>
      </c>
    </row>
    <row r="2661" spans="2:10" x14ac:dyDescent="0.25">
      <c r="B2661" t="s">
        <v>6</v>
      </c>
      <c r="C2661" t="s">
        <v>311</v>
      </c>
      <c r="D2661">
        <v>703241</v>
      </c>
      <c r="E2661" t="s">
        <v>161</v>
      </c>
      <c r="F2661" t="s">
        <v>21</v>
      </c>
      <c r="G2661" t="s">
        <v>137</v>
      </c>
      <c r="H2661" t="s">
        <v>141</v>
      </c>
      <c r="J2661" s="20">
        <v>0</v>
      </c>
    </row>
    <row r="2662" spans="2:10" x14ac:dyDescent="0.25">
      <c r="B2662" t="s">
        <v>6</v>
      </c>
      <c r="C2662" t="s">
        <v>311</v>
      </c>
      <c r="D2662">
        <v>703242</v>
      </c>
      <c r="E2662" t="s">
        <v>162</v>
      </c>
      <c r="F2662" t="s">
        <v>21</v>
      </c>
      <c r="G2662" t="s">
        <v>137</v>
      </c>
      <c r="H2662" t="s">
        <v>141</v>
      </c>
      <c r="J2662" s="20">
        <v>0</v>
      </c>
    </row>
    <row r="2663" spans="2:10" x14ac:dyDescent="0.25">
      <c r="B2663" t="s">
        <v>6</v>
      </c>
      <c r="C2663" t="s">
        <v>311</v>
      </c>
      <c r="D2663">
        <v>703243</v>
      </c>
      <c r="E2663" t="s">
        <v>163</v>
      </c>
      <c r="F2663" t="s">
        <v>21</v>
      </c>
      <c r="G2663" t="s">
        <v>137</v>
      </c>
      <c r="H2663" t="s">
        <v>141</v>
      </c>
      <c r="J2663" s="20">
        <v>0</v>
      </c>
    </row>
    <row r="2664" spans="2:10" x14ac:dyDescent="0.25">
      <c r="B2664" t="s">
        <v>6</v>
      </c>
      <c r="C2664" t="s">
        <v>311</v>
      </c>
      <c r="D2664">
        <v>703244</v>
      </c>
      <c r="E2664" t="s">
        <v>164</v>
      </c>
      <c r="F2664" t="s">
        <v>21</v>
      </c>
      <c r="G2664" t="s">
        <v>71</v>
      </c>
      <c r="H2664" t="s">
        <v>88</v>
      </c>
      <c r="J2664" s="20">
        <v>0</v>
      </c>
    </row>
    <row r="2665" spans="2:10" x14ac:dyDescent="0.25">
      <c r="B2665" t="s">
        <v>6</v>
      </c>
      <c r="C2665" t="s">
        <v>311</v>
      </c>
      <c r="D2665">
        <v>703245</v>
      </c>
      <c r="E2665" t="s">
        <v>165</v>
      </c>
      <c r="F2665" t="s">
        <v>21</v>
      </c>
      <c r="G2665" t="s">
        <v>137</v>
      </c>
      <c r="H2665" t="s">
        <v>138</v>
      </c>
      <c r="J2665" s="20">
        <v>0</v>
      </c>
    </row>
    <row r="2666" spans="2:10" x14ac:dyDescent="0.25">
      <c r="B2666" t="s">
        <v>6</v>
      </c>
      <c r="C2666" t="s">
        <v>311</v>
      </c>
      <c r="D2666">
        <v>703246</v>
      </c>
      <c r="E2666" t="s">
        <v>166</v>
      </c>
      <c r="F2666" t="s">
        <v>21</v>
      </c>
      <c r="G2666" t="s">
        <v>137</v>
      </c>
      <c r="H2666" t="s">
        <v>138</v>
      </c>
      <c r="J2666" s="20">
        <v>0</v>
      </c>
    </row>
    <row r="2667" spans="2:10" x14ac:dyDescent="0.25">
      <c r="B2667" t="s">
        <v>6</v>
      </c>
      <c r="C2667" t="s">
        <v>311</v>
      </c>
      <c r="D2667">
        <v>703247</v>
      </c>
      <c r="E2667" t="s">
        <v>167</v>
      </c>
      <c r="F2667" t="s">
        <v>21</v>
      </c>
      <c r="G2667" t="s">
        <v>137</v>
      </c>
      <c r="H2667" t="s">
        <v>138</v>
      </c>
      <c r="J2667" s="20">
        <v>0</v>
      </c>
    </row>
    <row r="2668" spans="2:10" x14ac:dyDescent="0.25">
      <c r="B2668" t="s">
        <v>6</v>
      </c>
      <c r="C2668" t="s">
        <v>311</v>
      </c>
      <c r="D2668">
        <v>703248</v>
      </c>
      <c r="E2668" t="s">
        <v>168</v>
      </c>
      <c r="F2668" t="s">
        <v>21</v>
      </c>
      <c r="G2668" t="s">
        <v>137</v>
      </c>
      <c r="H2668" t="s">
        <v>141</v>
      </c>
      <c r="J2668" s="20">
        <v>0</v>
      </c>
    </row>
    <row r="2669" spans="2:10" x14ac:dyDescent="0.25">
      <c r="B2669" t="s">
        <v>6</v>
      </c>
      <c r="C2669" t="s">
        <v>311</v>
      </c>
      <c r="D2669">
        <v>703249</v>
      </c>
      <c r="E2669" t="s">
        <v>169</v>
      </c>
      <c r="F2669" t="s">
        <v>21</v>
      </c>
      <c r="G2669" t="s">
        <v>147</v>
      </c>
      <c r="H2669" t="s">
        <v>147</v>
      </c>
      <c r="J2669" s="20">
        <v>0</v>
      </c>
    </row>
    <row r="2670" spans="2:10" x14ac:dyDescent="0.25">
      <c r="B2670" t="s">
        <v>6</v>
      </c>
      <c r="C2670" t="s">
        <v>311</v>
      </c>
      <c r="D2670">
        <v>703250</v>
      </c>
      <c r="E2670" t="s">
        <v>170</v>
      </c>
      <c r="F2670" t="s">
        <v>21</v>
      </c>
      <c r="G2670" t="s">
        <v>71</v>
      </c>
      <c r="H2670" t="s">
        <v>171</v>
      </c>
      <c r="J2670" s="20">
        <v>0</v>
      </c>
    </row>
    <row r="2671" spans="2:10" x14ac:dyDescent="0.25">
      <c r="B2671" t="s">
        <v>6</v>
      </c>
      <c r="C2671" t="s">
        <v>311</v>
      </c>
      <c r="D2671">
        <v>703251</v>
      </c>
      <c r="E2671" t="s">
        <v>172</v>
      </c>
      <c r="F2671" t="s">
        <v>21</v>
      </c>
      <c r="G2671" t="s">
        <v>22</v>
      </c>
      <c r="H2671" t="s">
        <v>115</v>
      </c>
      <c r="J2671" s="20">
        <v>0</v>
      </c>
    </row>
    <row r="2672" spans="2:10" x14ac:dyDescent="0.25">
      <c r="B2672" t="s">
        <v>6</v>
      </c>
      <c r="C2672" t="s">
        <v>311</v>
      </c>
      <c r="D2672">
        <v>703252</v>
      </c>
      <c r="E2672" t="s">
        <v>173</v>
      </c>
      <c r="F2672" t="s">
        <v>21</v>
      </c>
      <c r="G2672" t="s">
        <v>22</v>
      </c>
      <c r="H2672" t="s">
        <v>115</v>
      </c>
      <c r="J2672" s="20">
        <v>0</v>
      </c>
    </row>
    <row r="2673" spans="2:10" x14ac:dyDescent="0.25">
      <c r="B2673" t="s">
        <v>6</v>
      </c>
      <c r="C2673" t="s">
        <v>311</v>
      </c>
      <c r="D2673">
        <v>703253</v>
      </c>
      <c r="E2673" t="s">
        <v>174</v>
      </c>
      <c r="F2673" t="s">
        <v>21</v>
      </c>
      <c r="G2673" t="s">
        <v>22</v>
      </c>
      <c r="H2673" t="s">
        <v>115</v>
      </c>
      <c r="J2673" s="20">
        <v>0</v>
      </c>
    </row>
    <row r="2674" spans="2:10" x14ac:dyDescent="0.25">
      <c r="B2674" t="s">
        <v>6</v>
      </c>
      <c r="C2674" t="s">
        <v>311</v>
      </c>
      <c r="D2674">
        <v>703254</v>
      </c>
      <c r="E2674" t="s">
        <v>175</v>
      </c>
      <c r="F2674" t="s">
        <v>21</v>
      </c>
      <c r="G2674" t="s">
        <v>22</v>
      </c>
      <c r="H2674" t="s">
        <v>115</v>
      </c>
      <c r="J2674" s="20">
        <v>0</v>
      </c>
    </row>
    <row r="2675" spans="2:10" x14ac:dyDescent="0.25">
      <c r="B2675" t="s">
        <v>6</v>
      </c>
      <c r="C2675" t="s">
        <v>311</v>
      </c>
      <c r="D2675">
        <v>703255</v>
      </c>
      <c r="E2675" t="s">
        <v>176</v>
      </c>
      <c r="F2675" t="s">
        <v>21</v>
      </c>
      <c r="G2675" t="s">
        <v>22</v>
      </c>
      <c r="H2675" t="s">
        <v>115</v>
      </c>
      <c r="J2675" s="20">
        <v>0</v>
      </c>
    </row>
    <row r="2676" spans="2:10" x14ac:dyDescent="0.25">
      <c r="B2676" t="s">
        <v>6</v>
      </c>
      <c r="C2676" t="s">
        <v>311</v>
      </c>
      <c r="D2676">
        <v>703257</v>
      </c>
      <c r="E2676" t="s">
        <v>177</v>
      </c>
      <c r="F2676" t="s">
        <v>21</v>
      </c>
      <c r="G2676" t="s">
        <v>147</v>
      </c>
      <c r="H2676" t="s">
        <v>147</v>
      </c>
      <c r="J2676" s="20">
        <v>0</v>
      </c>
    </row>
    <row r="2677" spans="2:10" x14ac:dyDescent="0.25">
      <c r="B2677" t="s">
        <v>6</v>
      </c>
      <c r="C2677" t="s">
        <v>311</v>
      </c>
      <c r="D2677">
        <v>703258</v>
      </c>
      <c r="E2677" t="s">
        <v>178</v>
      </c>
      <c r="F2677" t="s">
        <v>21</v>
      </c>
      <c r="G2677" t="s">
        <v>147</v>
      </c>
      <c r="H2677" t="s">
        <v>147</v>
      </c>
      <c r="J2677" s="20">
        <v>0</v>
      </c>
    </row>
    <row r="2678" spans="2:10" x14ac:dyDescent="0.25">
      <c r="B2678" t="s">
        <v>6</v>
      </c>
      <c r="C2678" t="s">
        <v>311</v>
      </c>
      <c r="D2678">
        <v>703260</v>
      </c>
      <c r="E2678" t="s">
        <v>179</v>
      </c>
      <c r="F2678" t="s">
        <v>21</v>
      </c>
      <c r="G2678" t="s">
        <v>76</v>
      </c>
      <c r="H2678" t="s">
        <v>77</v>
      </c>
      <c r="J2678" s="20">
        <v>0</v>
      </c>
    </row>
    <row r="2679" spans="2:10" x14ac:dyDescent="0.25">
      <c r="B2679" t="s">
        <v>6</v>
      </c>
      <c r="C2679" t="s">
        <v>311</v>
      </c>
      <c r="D2679">
        <v>703261</v>
      </c>
      <c r="E2679" t="s">
        <v>180</v>
      </c>
      <c r="F2679" t="s">
        <v>21</v>
      </c>
      <c r="G2679" t="s">
        <v>22</v>
      </c>
      <c r="H2679" t="s">
        <v>115</v>
      </c>
      <c r="J2679" s="20">
        <v>0</v>
      </c>
    </row>
    <row r="2680" spans="2:10" x14ac:dyDescent="0.25">
      <c r="B2680" t="s">
        <v>6</v>
      </c>
      <c r="C2680" t="s">
        <v>311</v>
      </c>
      <c r="D2680">
        <v>703262</v>
      </c>
      <c r="E2680" t="s">
        <v>181</v>
      </c>
      <c r="F2680" t="s">
        <v>21</v>
      </c>
      <c r="G2680" t="s">
        <v>22</v>
      </c>
      <c r="H2680" t="s">
        <v>23</v>
      </c>
      <c r="J2680" s="20">
        <v>0</v>
      </c>
    </row>
    <row r="2681" spans="2:10" x14ac:dyDescent="0.25">
      <c r="B2681" t="s">
        <v>6</v>
      </c>
      <c r="C2681" t="s">
        <v>311</v>
      </c>
      <c r="D2681">
        <v>703263</v>
      </c>
      <c r="E2681" t="s">
        <v>182</v>
      </c>
      <c r="F2681" t="s">
        <v>21</v>
      </c>
      <c r="G2681" t="s">
        <v>22</v>
      </c>
      <c r="H2681" t="s">
        <v>115</v>
      </c>
      <c r="J2681" s="20">
        <v>0</v>
      </c>
    </row>
    <row r="2682" spans="2:10" x14ac:dyDescent="0.25">
      <c r="B2682" t="s">
        <v>6</v>
      </c>
      <c r="C2682" t="s">
        <v>311</v>
      </c>
      <c r="D2682">
        <v>703264</v>
      </c>
      <c r="E2682" t="s">
        <v>183</v>
      </c>
      <c r="F2682" t="s">
        <v>21</v>
      </c>
      <c r="G2682" t="s">
        <v>22</v>
      </c>
      <c r="H2682" t="s">
        <v>115</v>
      </c>
      <c r="J2682" s="20">
        <v>0</v>
      </c>
    </row>
    <row r="2683" spans="2:10" x14ac:dyDescent="0.25">
      <c r="B2683" t="s">
        <v>6</v>
      </c>
      <c r="C2683" t="s">
        <v>311</v>
      </c>
      <c r="D2683">
        <v>703265</v>
      </c>
      <c r="E2683" t="s">
        <v>184</v>
      </c>
      <c r="F2683" t="s">
        <v>21</v>
      </c>
      <c r="G2683" t="s">
        <v>22</v>
      </c>
      <c r="H2683" t="s">
        <v>115</v>
      </c>
      <c r="J2683" s="20">
        <v>0</v>
      </c>
    </row>
    <row r="2684" spans="2:10" x14ac:dyDescent="0.25">
      <c r="B2684" t="s">
        <v>6</v>
      </c>
      <c r="C2684" t="s">
        <v>311</v>
      </c>
      <c r="D2684">
        <v>703266</v>
      </c>
      <c r="E2684" t="s">
        <v>185</v>
      </c>
      <c r="F2684" t="s">
        <v>21</v>
      </c>
      <c r="G2684" t="s">
        <v>71</v>
      </c>
      <c r="H2684" t="s">
        <v>186</v>
      </c>
      <c r="J2684" s="20">
        <v>0</v>
      </c>
    </row>
    <row r="2685" spans="2:10" x14ac:dyDescent="0.25">
      <c r="B2685" t="s">
        <v>6</v>
      </c>
      <c r="C2685" t="s">
        <v>311</v>
      </c>
      <c r="D2685">
        <v>703267</v>
      </c>
      <c r="E2685" t="s">
        <v>187</v>
      </c>
      <c r="F2685" t="s">
        <v>21</v>
      </c>
      <c r="G2685" t="s">
        <v>71</v>
      </c>
      <c r="H2685" t="s">
        <v>88</v>
      </c>
      <c r="J2685" s="20">
        <v>0</v>
      </c>
    </row>
    <row r="2686" spans="2:10" x14ac:dyDescent="0.25">
      <c r="B2686" t="s">
        <v>6</v>
      </c>
      <c r="C2686" t="s">
        <v>311</v>
      </c>
      <c r="D2686">
        <v>703268</v>
      </c>
      <c r="E2686" t="s">
        <v>188</v>
      </c>
      <c r="F2686" t="s">
        <v>21</v>
      </c>
      <c r="G2686" t="s">
        <v>147</v>
      </c>
      <c r="H2686" t="s">
        <v>147</v>
      </c>
      <c r="J2686" s="20">
        <v>0</v>
      </c>
    </row>
    <row r="2687" spans="2:10" x14ac:dyDescent="0.25">
      <c r="B2687" t="s">
        <v>6</v>
      </c>
      <c r="C2687" t="s">
        <v>311</v>
      </c>
      <c r="D2687">
        <v>703269</v>
      </c>
      <c r="E2687" t="s">
        <v>189</v>
      </c>
      <c r="F2687" t="s">
        <v>21</v>
      </c>
      <c r="G2687" t="s">
        <v>147</v>
      </c>
      <c r="H2687" t="s">
        <v>147</v>
      </c>
      <c r="J2687" s="20">
        <v>0</v>
      </c>
    </row>
    <row r="2688" spans="2:10" x14ac:dyDescent="0.25">
      <c r="B2688" t="s">
        <v>6</v>
      </c>
      <c r="C2688" t="s">
        <v>311</v>
      </c>
      <c r="D2688">
        <v>703270</v>
      </c>
      <c r="E2688" t="s">
        <v>190</v>
      </c>
      <c r="F2688" t="s">
        <v>21</v>
      </c>
      <c r="G2688" t="s">
        <v>137</v>
      </c>
      <c r="H2688" t="s">
        <v>141</v>
      </c>
      <c r="J2688" s="20">
        <v>0</v>
      </c>
    </row>
    <row r="2689" spans="2:10" x14ac:dyDescent="0.25">
      <c r="B2689" t="s">
        <v>6</v>
      </c>
      <c r="C2689" t="s">
        <v>311</v>
      </c>
      <c r="D2689">
        <v>703271</v>
      </c>
      <c r="E2689" t="s">
        <v>191</v>
      </c>
      <c r="F2689" t="s">
        <v>21</v>
      </c>
      <c r="G2689" t="s">
        <v>22</v>
      </c>
      <c r="H2689" t="s">
        <v>115</v>
      </c>
      <c r="J2689" s="20">
        <v>0</v>
      </c>
    </row>
    <row r="2690" spans="2:10" x14ac:dyDescent="0.25">
      <c r="B2690" t="s">
        <v>6</v>
      </c>
      <c r="C2690" t="s">
        <v>311</v>
      </c>
      <c r="D2690">
        <v>703272</v>
      </c>
      <c r="E2690" t="s">
        <v>192</v>
      </c>
      <c r="F2690" t="s">
        <v>21</v>
      </c>
      <c r="G2690" t="s">
        <v>22</v>
      </c>
      <c r="H2690" t="s">
        <v>23</v>
      </c>
      <c r="J2690" s="20">
        <v>0</v>
      </c>
    </row>
    <row r="2691" spans="2:10" x14ac:dyDescent="0.25">
      <c r="B2691" t="s">
        <v>6</v>
      </c>
      <c r="C2691" t="s">
        <v>311</v>
      </c>
      <c r="D2691">
        <v>703273</v>
      </c>
      <c r="E2691" t="s">
        <v>193</v>
      </c>
      <c r="F2691" t="s">
        <v>21</v>
      </c>
      <c r="G2691" t="s">
        <v>147</v>
      </c>
      <c r="H2691" t="s">
        <v>147</v>
      </c>
      <c r="J2691" s="20">
        <v>0</v>
      </c>
    </row>
    <row r="2692" spans="2:10" x14ac:dyDescent="0.25">
      <c r="B2692" t="s">
        <v>6</v>
      </c>
      <c r="C2692" t="s">
        <v>311</v>
      </c>
      <c r="D2692">
        <v>703274</v>
      </c>
      <c r="E2692" t="s">
        <v>194</v>
      </c>
      <c r="F2692" t="s">
        <v>21</v>
      </c>
      <c r="G2692" t="s">
        <v>147</v>
      </c>
      <c r="H2692" t="s">
        <v>147</v>
      </c>
      <c r="J2692" s="20">
        <v>0</v>
      </c>
    </row>
    <row r="2693" spans="2:10" x14ac:dyDescent="0.25">
      <c r="B2693" t="s">
        <v>6</v>
      </c>
      <c r="C2693" t="s">
        <v>311</v>
      </c>
      <c r="D2693">
        <v>703275</v>
      </c>
      <c r="E2693" t="s">
        <v>195</v>
      </c>
      <c r="F2693" t="s">
        <v>21</v>
      </c>
      <c r="G2693" t="s">
        <v>137</v>
      </c>
      <c r="H2693" t="s">
        <v>138</v>
      </c>
      <c r="J2693" s="20">
        <v>0</v>
      </c>
    </row>
    <row r="2694" spans="2:10" x14ac:dyDescent="0.25">
      <c r="B2694" t="s">
        <v>6</v>
      </c>
      <c r="C2694" t="s">
        <v>311</v>
      </c>
      <c r="D2694">
        <v>703280</v>
      </c>
      <c r="E2694" t="s">
        <v>196</v>
      </c>
      <c r="F2694" t="s">
        <v>21</v>
      </c>
      <c r="G2694" t="s">
        <v>71</v>
      </c>
      <c r="H2694" t="s">
        <v>171</v>
      </c>
      <c r="J2694" s="20">
        <v>0</v>
      </c>
    </row>
    <row r="2695" spans="2:10" x14ac:dyDescent="0.25">
      <c r="B2695" t="s">
        <v>6</v>
      </c>
      <c r="C2695" t="s">
        <v>311</v>
      </c>
      <c r="D2695">
        <v>703281</v>
      </c>
      <c r="E2695" t="s">
        <v>197</v>
      </c>
      <c r="F2695" t="s">
        <v>21</v>
      </c>
      <c r="G2695" t="s">
        <v>76</v>
      </c>
      <c r="H2695" t="s">
        <v>77</v>
      </c>
      <c r="J2695" s="20">
        <v>0</v>
      </c>
    </row>
    <row r="2696" spans="2:10" x14ac:dyDescent="0.25">
      <c r="B2696" t="s">
        <v>6</v>
      </c>
      <c r="C2696" t="s">
        <v>311</v>
      </c>
      <c r="D2696">
        <v>703282</v>
      </c>
      <c r="E2696" t="s">
        <v>198</v>
      </c>
      <c r="F2696" t="s">
        <v>21</v>
      </c>
      <c r="G2696" t="s">
        <v>76</v>
      </c>
      <c r="H2696" t="s">
        <v>77</v>
      </c>
      <c r="J2696" s="20">
        <v>0</v>
      </c>
    </row>
    <row r="2697" spans="2:10" x14ac:dyDescent="0.25">
      <c r="B2697" t="s">
        <v>6</v>
      </c>
      <c r="C2697" t="s">
        <v>311</v>
      </c>
      <c r="D2697">
        <v>703283</v>
      </c>
      <c r="E2697" t="s">
        <v>199</v>
      </c>
      <c r="F2697" t="s">
        <v>21</v>
      </c>
      <c r="G2697" t="s">
        <v>61</v>
      </c>
      <c r="H2697" t="s">
        <v>68</v>
      </c>
      <c r="J2697" s="20">
        <v>0</v>
      </c>
    </row>
    <row r="2698" spans="2:10" x14ac:dyDescent="0.25">
      <c r="B2698" t="s">
        <v>6</v>
      </c>
      <c r="C2698" t="s">
        <v>311</v>
      </c>
      <c r="D2698">
        <v>703310</v>
      </c>
      <c r="E2698" t="s">
        <v>200</v>
      </c>
      <c r="F2698" t="s">
        <v>21</v>
      </c>
      <c r="G2698" t="s">
        <v>22</v>
      </c>
      <c r="H2698" t="s">
        <v>23</v>
      </c>
      <c r="J2698" s="20">
        <v>0</v>
      </c>
    </row>
    <row r="2699" spans="2:10" x14ac:dyDescent="0.25">
      <c r="B2699" t="s">
        <v>6</v>
      </c>
      <c r="C2699" t="s">
        <v>311</v>
      </c>
      <c r="D2699">
        <v>703311</v>
      </c>
      <c r="E2699" t="s">
        <v>201</v>
      </c>
      <c r="F2699" t="s">
        <v>21</v>
      </c>
      <c r="G2699" t="s">
        <v>71</v>
      </c>
      <c r="H2699" t="s">
        <v>171</v>
      </c>
      <c r="J2699" s="20">
        <v>0</v>
      </c>
    </row>
    <row r="2700" spans="2:10" x14ac:dyDescent="0.25">
      <c r="B2700" t="s">
        <v>6</v>
      </c>
      <c r="C2700" t="s">
        <v>311</v>
      </c>
      <c r="D2700">
        <v>703312</v>
      </c>
      <c r="E2700" t="s">
        <v>202</v>
      </c>
      <c r="F2700" t="s">
        <v>21</v>
      </c>
      <c r="G2700" t="s">
        <v>76</v>
      </c>
      <c r="H2700" t="s">
        <v>77</v>
      </c>
      <c r="J2700" s="20">
        <v>0</v>
      </c>
    </row>
    <row r="2701" spans="2:10" x14ac:dyDescent="0.25">
      <c r="B2701" t="s">
        <v>6</v>
      </c>
      <c r="C2701" t="s">
        <v>311</v>
      </c>
      <c r="D2701">
        <v>703313</v>
      </c>
      <c r="E2701" t="s">
        <v>203</v>
      </c>
      <c r="F2701" t="s">
        <v>21</v>
      </c>
      <c r="G2701" t="s">
        <v>76</v>
      </c>
      <c r="H2701" t="s">
        <v>77</v>
      </c>
      <c r="J2701" s="20">
        <v>0</v>
      </c>
    </row>
    <row r="2702" spans="2:10" x14ac:dyDescent="0.25">
      <c r="B2702" t="s">
        <v>6</v>
      </c>
      <c r="C2702" t="s">
        <v>311</v>
      </c>
      <c r="D2702">
        <v>703314</v>
      </c>
      <c r="E2702" t="s">
        <v>204</v>
      </c>
      <c r="F2702" t="s">
        <v>21</v>
      </c>
      <c r="G2702" t="s">
        <v>76</v>
      </c>
      <c r="H2702" t="s">
        <v>77</v>
      </c>
      <c r="J2702" s="20">
        <v>0</v>
      </c>
    </row>
    <row r="2703" spans="2:10" x14ac:dyDescent="0.25">
      <c r="B2703" t="s">
        <v>6</v>
      </c>
      <c r="C2703" t="s">
        <v>311</v>
      </c>
      <c r="D2703">
        <v>703315</v>
      </c>
      <c r="E2703" t="s">
        <v>205</v>
      </c>
      <c r="F2703" t="s">
        <v>21</v>
      </c>
      <c r="G2703" t="s">
        <v>76</v>
      </c>
      <c r="H2703" t="s">
        <v>135</v>
      </c>
      <c r="J2703" s="20">
        <v>0</v>
      </c>
    </row>
    <row r="2704" spans="2:10" x14ac:dyDescent="0.25">
      <c r="B2704" t="s">
        <v>6</v>
      </c>
      <c r="C2704" t="s">
        <v>311</v>
      </c>
      <c r="D2704">
        <v>703316</v>
      </c>
      <c r="E2704" t="s">
        <v>206</v>
      </c>
      <c r="F2704" t="s">
        <v>21</v>
      </c>
      <c r="G2704" t="s">
        <v>76</v>
      </c>
      <c r="H2704" t="s">
        <v>77</v>
      </c>
      <c r="J2704" s="20">
        <v>0</v>
      </c>
    </row>
    <row r="2705" spans="2:10" x14ac:dyDescent="0.25">
      <c r="B2705" t="s">
        <v>6</v>
      </c>
      <c r="C2705" t="s">
        <v>311</v>
      </c>
      <c r="D2705">
        <v>703317</v>
      </c>
      <c r="E2705" t="s">
        <v>207</v>
      </c>
      <c r="F2705" t="s">
        <v>21</v>
      </c>
      <c r="G2705" t="s">
        <v>76</v>
      </c>
      <c r="H2705" t="s">
        <v>77</v>
      </c>
      <c r="J2705" s="20">
        <v>0</v>
      </c>
    </row>
    <row r="2706" spans="2:10" x14ac:dyDescent="0.25">
      <c r="B2706" t="s">
        <v>6</v>
      </c>
      <c r="C2706" t="s">
        <v>311</v>
      </c>
      <c r="D2706">
        <v>703318</v>
      </c>
      <c r="E2706" t="s">
        <v>208</v>
      </c>
      <c r="F2706" t="s">
        <v>21</v>
      </c>
      <c r="G2706" t="s">
        <v>71</v>
      </c>
      <c r="H2706" t="s">
        <v>209</v>
      </c>
      <c r="J2706" s="20">
        <v>0</v>
      </c>
    </row>
    <row r="2707" spans="2:10" x14ac:dyDescent="0.25">
      <c r="B2707" t="s">
        <v>6</v>
      </c>
      <c r="C2707" t="s">
        <v>311</v>
      </c>
      <c r="D2707">
        <v>703319</v>
      </c>
      <c r="E2707" t="s">
        <v>210</v>
      </c>
      <c r="F2707" t="s">
        <v>21</v>
      </c>
      <c r="G2707" t="s">
        <v>61</v>
      </c>
      <c r="H2707" t="s">
        <v>79</v>
      </c>
      <c r="J2707" s="20">
        <v>0</v>
      </c>
    </row>
    <row r="2708" spans="2:10" x14ac:dyDescent="0.25">
      <c r="B2708" t="s">
        <v>6</v>
      </c>
      <c r="C2708" t="s">
        <v>311</v>
      </c>
      <c r="D2708">
        <v>703320</v>
      </c>
      <c r="E2708" t="s">
        <v>211</v>
      </c>
      <c r="F2708" t="s">
        <v>21</v>
      </c>
      <c r="G2708" t="s">
        <v>71</v>
      </c>
      <c r="H2708" t="s">
        <v>135</v>
      </c>
      <c r="J2708" s="20">
        <v>0</v>
      </c>
    </row>
    <row r="2709" spans="2:10" x14ac:dyDescent="0.25">
      <c r="B2709" t="s">
        <v>6</v>
      </c>
      <c r="C2709" t="s">
        <v>311</v>
      </c>
      <c r="D2709">
        <v>703321</v>
      </c>
      <c r="E2709" t="s">
        <v>212</v>
      </c>
      <c r="F2709" t="s">
        <v>21</v>
      </c>
      <c r="G2709" t="s">
        <v>22</v>
      </c>
      <c r="H2709" t="s">
        <v>23</v>
      </c>
      <c r="J2709" s="20">
        <v>0</v>
      </c>
    </row>
    <row r="2710" spans="2:10" x14ac:dyDescent="0.25">
      <c r="B2710" t="s">
        <v>6</v>
      </c>
      <c r="C2710" t="s">
        <v>311</v>
      </c>
      <c r="D2710">
        <v>703322</v>
      </c>
      <c r="E2710" t="s">
        <v>213</v>
      </c>
      <c r="F2710" t="s">
        <v>21</v>
      </c>
      <c r="G2710" t="s">
        <v>22</v>
      </c>
      <c r="H2710" t="s">
        <v>23</v>
      </c>
      <c r="J2710" s="20">
        <v>0</v>
      </c>
    </row>
    <row r="2711" spans="2:10" x14ac:dyDescent="0.25">
      <c r="B2711" t="s">
        <v>6</v>
      </c>
      <c r="C2711" t="s">
        <v>311</v>
      </c>
      <c r="D2711">
        <v>703323</v>
      </c>
      <c r="E2711" t="s">
        <v>214</v>
      </c>
      <c r="F2711" t="s">
        <v>21</v>
      </c>
      <c r="G2711" t="s">
        <v>22</v>
      </c>
      <c r="H2711" t="s">
        <v>23</v>
      </c>
      <c r="J2711" s="20">
        <v>0</v>
      </c>
    </row>
    <row r="2712" spans="2:10" x14ac:dyDescent="0.25">
      <c r="B2712" t="s">
        <v>6</v>
      </c>
      <c r="C2712" t="s">
        <v>311</v>
      </c>
      <c r="D2712">
        <v>703324</v>
      </c>
      <c r="E2712" t="s">
        <v>215</v>
      </c>
      <c r="F2712" t="s">
        <v>21</v>
      </c>
      <c r="G2712" t="s">
        <v>22</v>
      </c>
      <c r="H2712" t="s">
        <v>23</v>
      </c>
      <c r="J2712" s="20">
        <v>0</v>
      </c>
    </row>
    <row r="2713" spans="2:10" x14ac:dyDescent="0.25">
      <c r="B2713" t="s">
        <v>6</v>
      </c>
      <c r="C2713" t="s">
        <v>311</v>
      </c>
      <c r="D2713">
        <v>703325</v>
      </c>
      <c r="E2713" t="s">
        <v>216</v>
      </c>
      <c r="F2713" t="s">
        <v>21</v>
      </c>
      <c r="G2713" t="s">
        <v>22</v>
      </c>
      <c r="H2713" t="s">
        <v>23</v>
      </c>
      <c r="J2713" s="20">
        <v>0</v>
      </c>
    </row>
    <row r="2714" spans="2:10" x14ac:dyDescent="0.25">
      <c r="B2714" t="s">
        <v>6</v>
      </c>
      <c r="C2714" t="s">
        <v>311</v>
      </c>
      <c r="D2714">
        <v>703326</v>
      </c>
      <c r="E2714" t="s">
        <v>217</v>
      </c>
      <c r="F2714" t="s">
        <v>21</v>
      </c>
      <c r="G2714" t="s">
        <v>22</v>
      </c>
      <c r="H2714" t="s">
        <v>23</v>
      </c>
      <c r="J2714" s="20">
        <v>0</v>
      </c>
    </row>
    <row r="2715" spans="2:10" x14ac:dyDescent="0.25">
      <c r="B2715" t="s">
        <v>6</v>
      </c>
      <c r="C2715" t="s">
        <v>311</v>
      </c>
      <c r="D2715">
        <v>703327</v>
      </c>
      <c r="E2715" t="s">
        <v>218</v>
      </c>
      <c r="F2715" t="s">
        <v>21</v>
      </c>
      <c r="G2715" t="s">
        <v>76</v>
      </c>
      <c r="H2715" t="s">
        <v>77</v>
      </c>
      <c r="J2715" s="20">
        <v>0</v>
      </c>
    </row>
    <row r="2716" spans="2:10" x14ac:dyDescent="0.25">
      <c r="B2716" t="s">
        <v>6</v>
      </c>
      <c r="C2716" t="s">
        <v>311</v>
      </c>
      <c r="D2716">
        <v>703328</v>
      </c>
      <c r="E2716" t="s">
        <v>219</v>
      </c>
      <c r="F2716" t="s">
        <v>21</v>
      </c>
      <c r="G2716" t="s">
        <v>22</v>
      </c>
      <c r="H2716" t="s">
        <v>23</v>
      </c>
      <c r="J2716" s="20">
        <v>0</v>
      </c>
    </row>
    <row r="2717" spans="2:10" x14ac:dyDescent="0.25">
      <c r="B2717" t="s">
        <v>6</v>
      </c>
      <c r="C2717" t="s">
        <v>311</v>
      </c>
      <c r="D2717">
        <v>703329</v>
      </c>
      <c r="E2717" t="s">
        <v>220</v>
      </c>
      <c r="F2717" t="s">
        <v>21</v>
      </c>
      <c r="G2717" t="s">
        <v>22</v>
      </c>
      <c r="H2717" t="s">
        <v>23</v>
      </c>
      <c r="J2717" s="20">
        <v>0</v>
      </c>
    </row>
    <row r="2718" spans="2:10" x14ac:dyDescent="0.25">
      <c r="B2718" t="s">
        <v>6</v>
      </c>
      <c r="C2718" t="s">
        <v>311</v>
      </c>
      <c r="D2718">
        <v>703330</v>
      </c>
      <c r="E2718" t="s">
        <v>221</v>
      </c>
      <c r="F2718" t="s">
        <v>21</v>
      </c>
      <c r="G2718" t="s">
        <v>22</v>
      </c>
      <c r="H2718" t="s">
        <v>23</v>
      </c>
      <c r="J2718" s="20">
        <v>0</v>
      </c>
    </row>
    <row r="2719" spans="2:10" x14ac:dyDescent="0.25">
      <c r="B2719" t="s">
        <v>6</v>
      </c>
      <c r="C2719" t="s">
        <v>311</v>
      </c>
      <c r="D2719">
        <v>703340</v>
      </c>
      <c r="E2719" t="s">
        <v>222</v>
      </c>
      <c r="F2719" t="s">
        <v>21</v>
      </c>
      <c r="G2719" t="s">
        <v>61</v>
      </c>
      <c r="H2719" t="s">
        <v>68</v>
      </c>
      <c r="J2719" s="20">
        <v>0</v>
      </c>
    </row>
    <row r="2720" spans="2:10" x14ac:dyDescent="0.25">
      <c r="B2720" t="s">
        <v>6</v>
      </c>
      <c r="C2720" t="s">
        <v>311</v>
      </c>
      <c r="D2720">
        <v>703350</v>
      </c>
      <c r="E2720" t="s">
        <v>223</v>
      </c>
      <c r="F2720" t="s">
        <v>21</v>
      </c>
      <c r="G2720" t="s">
        <v>22</v>
      </c>
      <c r="H2720" t="s">
        <v>23</v>
      </c>
      <c r="J2720" s="20">
        <v>0</v>
      </c>
    </row>
    <row r="2721" spans="2:10" x14ac:dyDescent="0.25">
      <c r="B2721" t="s">
        <v>6</v>
      </c>
      <c r="C2721" t="s">
        <v>311</v>
      </c>
      <c r="D2721">
        <v>703351</v>
      </c>
      <c r="E2721" t="s">
        <v>224</v>
      </c>
      <c r="F2721" t="s">
        <v>21</v>
      </c>
      <c r="G2721" t="s">
        <v>22</v>
      </c>
      <c r="H2721" t="s">
        <v>23</v>
      </c>
      <c r="J2721" s="20">
        <v>0</v>
      </c>
    </row>
    <row r="2722" spans="2:10" x14ac:dyDescent="0.25">
      <c r="B2722" t="s">
        <v>6</v>
      </c>
      <c r="C2722" t="s">
        <v>311</v>
      </c>
      <c r="D2722">
        <v>703352</v>
      </c>
      <c r="E2722" t="s">
        <v>225</v>
      </c>
      <c r="F2722" t="s">
        <v>21</v>
      </c>
      <c r="G2722" t="s">
        <v>22</v>
      </c>
      <c r="H2722" t="s">
        <v>23</v>
      </c>
      <c r="J2722" s="20">
        <v>0</v>
      </c>
    </row>
    <row r="2723" spans="2:10" x14ac:dyDescent="0.25">
      <c r="B2723" t="s">
        <v>6</v>
      </c>
      <c r="C2723" t="s">
        <v>311</v>
      </c>
      <c r="D2723">
        <v>703360</v>
      </c>
      <c r="E2723" t="s">
        <v>226</v>
      </c>
      <c r="F2723" t="s">
        <v>21</v>
      </c>
      <c r="G2723" t="s">
        <v>22</v>
      </c>
      <c r="H2723" t="s">
        <v>23</v>
      </c>
      <c r="J2723" s="20">
        <v>0</v>
      </c>
    </row>
    <row r="2724" spans="2:10" x14ac:dyDescent="0.25">
      <c r="B2724" t="s">
        <v>6</v>
      </c>
      <c r="C2724" t="s">
        <v>311</v>
      </c>
      <c r="D2724">
        <v>703370</v>
      </c>
      <c r="E2724" t="s">
        <v>227</v>
      </c>
      <c r="F2724" t="s">
        <v>21</v>
      </c>
      <c r="G2724" t="s">
        <v>22</v>
      </c>
      <c r="H2724" t="s">
        <v>23</v>
      </c>
      <c r="J2724" s="20">
        <v>0</v>
      </c>
    </row>
    <row r="2725" spans="2:10" x14ac:dyDescent="0.25">
      <c r="B2725" t="s">
        <v>6</v>
      </c>
      <c r="C2725" t="s">
        <v>311</v>
      </c>
      <c r="D2725">
        <v>703410</v>
      </c>
      <c r="E2725" t="s">
        <v>228</v>
      </c>
      <c r="F2725" t="s">
        <v>21</v>
      </c>
      <c r="G2725" t="s">
        <v>22</v>
      </c>
      <c r="H2725" t="s">
        <v>23</v>
      </c>
      <c r="J2725" s="20">
        <v>0</v>
      </c>
    </row>
    <row r="2726" spans="2:10" x14ac:dyDescent="0.25">
      <c r="B2726" t="s">
        <v>6</v>
      </c>
      <c r="C2726" t="s">
        <v>311</v>
      </c>
      <c r="D2726">
        <v>703411</v>
      </c>
      <c r="E2726" t="s">
        <v>229</v>
      </c>
      <c r="F2726" t="s">
        <v>21</v>
      </c>
      <c r="G2726" t="s">
        <v>22</v>
      </c>
      <c r="H2726" t="s">
        <v>23</v>
      </c>
      <c r="J2726" s="20">
        <v>0</v>
      </c>
    </row>
    <row r="2727" spans="2:10" x14ac:dyDescent="0.25">
      <c r="B2727" t="s">
        <v>6</v>
      </c>
      <c r="C2727" t="s">
        <v>311</v>
      </c>
      <c r="D2727">
        <v>703412</v>
      </c>
      <c r="E2727" t="s">
        <v>230</v>
      </c>
      <c r="F2727" t="s">
        <v>21</v>
      </c>
      <c r="G2727" t="s">
        <v>22</v>
      </c>
      <c r="H2727" t="s">
        <v>23</v>
      </c>
      <c r="J2727" s="20">
        <v>0</v>
      </c>
    </row>
    <row r="2728" spans="2:10" x14ac:dyDescent="0.25">
      <c r="B2728" t="s">
        <v>6</v>
      </c>
      <c r="C2728" t="s">
        <v>311</v>
      </c>
      <c r="D2728">
        <v>703420</v>
      </c>
      <c r="E2728" t="s">
        <v>231</v>
      </c>
      <c r="F2728" t="s">
        <v>21</v>
      </c>
      <c r="G2728" t="s">
        <v>71</v>
      </c>
      <c r="H2728" t="s">
        <v>171</v>
      </c>
      <c r="J2728" s="20">
        <v>0</v>
      </c>
    </row>
    <row r="2729" spans="2:10" x14ac:dyDescent="0.25">
      <c r="B2729" t="s">
        <v>6</v>
      </c>
      <c r="C2729" t="s">
        <v>311</v>
      </c>
      <c r="D2729">
        <v>703421</v>
      </c>
      <c r="E2729" t="s">
        <v>232</v>
      </c>
      <c r="F2729" t="s">
        <v>21</v>
      </c>
      <c r="G2729" t="s">
        <v>22</v>
      </c>
      <c r="H2729" t="s">
        <v>23</v>
      </c>
      <c r="J2729" s="20">
        <v>0</v>
      </c>
    </row>
    <row r="2730" spans="2:10" x14ac:dyDescent="0.25">
      <c r="B2730" t="s">
        <v>6</v>
      </c>
      <c r="C2730" t="s">
        <v>311</v>
      </c>
      <c r="D2730">
        <v>703422</v>
      </c>
      <c r="E2730" t="s">
        <v>233</v>
      </c>
      <c r="F2730" t="s">
        <v>21</v>
      </c>
      <c r="G2730" t="s">
        <v>76</v>
      </c>
      <c r="H2730" t="s">
        <v>77</v>
      </c>
      <c r="J2730" s="20">
        <v>0</v>
      </c>
    </row>
    <row r="2731" spans="2:10" x14ac:dyDescent="0.25">
      <c r="B2731" t="s">
        <v>6</v>
      </c>
      <c r="C2731" t="s">
        <v>311</v>
      </c>
      <c r="D2731">
        <v>703423</v>
      </c>
      <c r="E2731" t="s">
        <v>234</v>
      </c>
      <c r="F2731" t="s">
        <v>21</v>
      </c>
      <c r="G2731" t="s">
        <v>71</v>
      </c>
      <c r="H2731" t="s">
        <v>88</v>
      </c>
      <c r="J2731" s="20">
        <v>0</v>
      </c>
    </row>
    <row r="2732" spans="2:10" x14ac:dyDescent="0.25">
      <c r="B2732" t="s">
        <v>6</v>
      </c>
      <c r="C2732" t="s">
        <v>311</v>
      </c>
      <c r="D2732">
        <v>703424</v>
      </c>
      <c r="E2732" t="s">
        <v>235</v>
      </c>
      <c r="F2732" t="s">
        <v>21</v>
      </c>
      <c r="G2732" t="s">
        <v>71</v>
      </c>
      <c r="H2732" t="s">
        <v>88</v>
      </c>
      <c r="J2732" s="20">
        <v>0</v>
      </c>
    </row>
    <row r="2733" spans="2:10" x14ac:dyDescent="0.25">
      <c r="B2733" t="s">
        <v>6</v>
      </c>
      <c r="C2733" t="s">
        <v>311</v>
      </c>
      <c r="D2733">
        <v>703425</v>
      </c>
      <c r="E2733" t="s">
        <v>236</v>
      </c>
      <c r="F2733" t="s">
        <v>21</v>
      </c>
      <c r="G2733" t="s">
        <v>76</v>
      </c>
      <c r="H2733" t="s">
        <v>77</v>
      </c>
      <c r="J2733" s="20">
        <v>0</v>
      </c>
    </row>
    <row r="2734" spans="2:10" x14ac:dyDescent="0.25">
      <c r="B2734" t="s">
        <v>6</v>
      </c>
      <c r="C2734" t="s">
        <v>311</v>
      </c>
      <c r="D2734">
        <v>703426</v>
      </c>
      <c r="E2734" t="s">
        <v>237</v>
      </c>
      <c r="F2734" t="s">
        <v>21</v>
      </c>
      <c r="G2734" t="s">
        <v>22</v>
      </c>
      <c r="H2734" t="s">
        <v>23</v>
      </c>
      <c r="J2734" s="20">
        <v>0</v>
      </c>
    </row>
    <row r="2735" spans="2:10" x14ac:dyDescent="0.25">
      <c r="B2735" t="s">
        <v>6</v>
      </c>
      <c r="C2735" t="s">
        <v>311</v>
      </c>
      <c r="D2735">
        <v>703427</v>
      </c>
      <c r="E2735" t="s">
        <v>238</v>
      </c>
      <c r="F2735" t="s">
        <v>21</v>
      </c>
      <c r="G2735" t="s">
        <v>76</v>
      </c>
      <c r="H2735" t="s">
        <v>77</v>
      </c>
      <c r="J2735" s="20">
        <v>0</v>
      </c>
    </row>
    <row r="2736" spans="2:10" x14ac:dyDescent="0.25">
      <c r="B2736" t="s">
        <v>6</v>
      </c>
      <c r="C2736" t="s">
        <v>311</v>
      </c>
      <c r="D2736">
        <v>703428</v>
      </c>
      <c r="E2736" t="s">
        <v>239</v>
      </c>
      <c r="F2736" t="s">
        <v>21</v>
      </c>
      <c r="G2736" t="s">
        <v>76</v>
      </c>
      <c r="H2736" t="s">
        <v>77</v>
      </c>
      <c r="J2736" s="20">
        <v>0</v>
      </c>
    </row>
    <row r="2737" spans="2:10" x14ac:dyDescent="0.25">
      <c r="B2737" t="s">
        <v>6</v>
      </c>
      <c r="C2737" t="s">
        <v>311</v>
      </c>
      <c r="D2737">
        <v>703429</v>
      </c>
      <c r="E2737" t="s">
        <v>240</v>
      </c>
      <c r="F2737" t="s">
        <v>21</v>
      </c>
      <c r="G2737" t="s">
        <v>76</v>
      </c>
      <c r="H2737" t="s">
        <v>77</v>
      </c>
      <c r="J2737" s="20">
        <v>0</v>
      </c>
    </row>
    <row r="2738" spans="2:10" x14ac:dyDescent="0.25">
      <c r="B2738" t="s">
        <v>6</v>
      </c>
      <c r="C2738" t="s">
        <v>311</v>
      </c>
      <c r="D2738">
        <v>703430</v>
      </c>
      <c r="E2738" t="s">
        <v>20</v>
      </c>
      <c r="F2738" t="s">
        <v>21</v>
      </c>
      <c r="G2738" t="s">
        <v>22</v>
      </c>
      <c r="H2738" t="s">
        <v>23</v>
      </c>
      <c r="J2738" s="20">
        <v>0</v>
      </c>
    </row>
    <row r="2739" spans="2:10" x14ac:dyDescent="0.25">
      <c r="B2739" t="s">
        <v>6</v>
      </c>
      <c r="C2739" t="s">
        <v>311</v>
      </c>
      <c r="D2739">
        <v>703431</v>
      </c>
      <c r="E2739" t="s">
        <v>241</v>
      </c>
      <c r="F2739" t="s">
        <v>21</v>
      </c>
      <c r="G2739" t="s">
        <v>22</v>
      </c>
      <c r="H2739" t="s">
        <v>23</v>
      </c>
      <c r="J2739" s="20">
        <v>0</v>
      </c>
    </row>
    <row r="2740" spans="2:10" x14ac:dyDescent="0.25">
      <c r="B2740" t="s">
        <v>6</v>
      </c>
      <c r="C2740" t="s">
        <v>311</v>
      </c>
      <c r="D2740">
        <v>703432</v>
      </c>
      <c r="E2740" t="s">
        <v>242</v>
      </c>
      <c r="F2740" t="s">
        <v>21</v>
      </c>
      <c r="G2740" t="s">
        <v>22</v>
      </c>
      <c r="H2740" t="s">
        <v>23</v>
      </c>
      <c r="J2740" s="20">
        <v>0</v>
      </c>
    </row>
    <row r="2741" spans="2:10" x14ac:dyDescent="0.25">
      <c r="B2741" t="s">
        <v>6</v>
      </c>
      <c r="C2741" t="s">
        <v>311</v>
      </c>
      <c r="D2741">
        <v>703433</v>
      </c>
      <c r="E2741" t="s">
        <v>243</v>
      </c>
      <c r="F2741" t="s">
        <v>21</v>
      </c>
      <c r="G2741" t="s">
        <v>71</v>
      </c>
      <c r="H2741" t="s">
        <v>88</v>
      </c>
      <c r="J2741" s="20">
        <v>0</v>
      </c>
    </row>
    <row r="2742" spans="2:10" x14ac:dyDescent="0.25">
      <c r="B2742" t="s">
        <v>6</v>
      </c>
      <c r="C2742" t="s">
        <v>311</v>
      </c>
      <c r="D2742">
        <v>703434</v>
      </c>
      <c r="E2742" t="s">
        <v>244</v>
      </c>
      <c r="F2742" t="s">
        <v>21</v>
      </c>
      <c r="G2742" t="s">
        <v>22</v>
      </c>
      <c r="H2742" t="s">
        <v>23</v>
      </c>
      <c r="J2742" s="20">
        <v>0</v>
      </c>
    </row>
    <row r="2743" spans="2:10" x14ac:dyDescent="0.25">
      <c r="B2743" t="s">
        <v>6</v>
      </c>
      <c r="C2743" t="s">
        <v>311</v>
      </c>
      <c r="D2743">
        <v>703435</v>
      </c>
      <c r="E2743" t="s">
        <v>245</v>
      </c>
      <c r="F2743" t="s">
        <v>21</v>
      </c>
      <c r="G2743" t="s">
        <v>71</v>
      </c>
      <c r="H2743" t="s">
        <v>88</v>
      </c>
      <c r="J2743" s="20">
        <v>0</v>
      </c>
    </row>
    <row r="2744" spans="2:10" x14ac:dyDescent="0.25">
      <c r="B2744" t="s">
        <v>6</v>
      </c>
      <c r="C2744" t="s">
        <v>311</v>
      </c>
      <c r="D2744">
        <v>703436</v>
      </c>
      <c r="E2744" t="s">
        <v>246</v>
      </c>
      <c r="F2744" t="s">
        <v>21</v>
      </c>
      <c r="G2744" t="s">
        <v>71</v>
      </c>
      <c r="H2744" t="s">
        <v>88</v>
      </c>
      <c r="J2744" s="20">
        <v>0</v>
      </c>
    </row>
    <row r="2745" spans="2:10" x14ac:dyDescent="0.25">
      <c r="B2745" t="s">
        <v>6</v>
      </c>
      <c r="C2745" t="s">
        <v>311</v>
      </c>
      <c r="D2745">
        <v>703437</v>
      </c>
      <c r="E2745" t="s">
        <v>247</v>
      </c>
      <c r="F2745" t="s">
        <v>21</v>
      </c>
      <c r="G2745" t="s">
        <v>71</v>
      </c>
      <c r="H2745" t="s">
        <v>88</v>
      </c>
      <c r="J2745" s="20">
        <v>0</v>
      </c>
    </row>
    <row r="2746" spans="2:10" x14ac:dyDescent="0.25">
      <c r="B2746" t="s">
        <v>6</v>
      </c>
      <c r="C2746" t="s">
        <v>311</v>
      </c>
      <c r="D2746">
        <v>703438</v>
      </c>
      <c r="E2746" t="s">
        <v>248</v>
      </c>
      <c r="F2746" t="s">
        <v>21</v>
      </c>
      <c r="G2746" t="s">
        <v>71</v>
      </c>
      <c r="H2746" t="s">
        <v>88</v>
      </c>
      <c r="J2746" s="20">
        <v>0</v>
      </c>
    </row>
    <row r="2747" spans="2:10" x14ac:dyDescent="0.25">
      <c r="B2747" t="s">
        <v>6</v>
      </c>
      <c r="C2747" t="s">
        <v>311</v>
      </c>
      <c r="D2747">
        <v>703439</v>
      </c>
      <c r="E2747" t="s">
        <v>249</v>
      </c>
      <c r="F2747" t="s">
        <v>21</v>
      </c>
      <c r="G2747" t="s">
        <v>22</v>
      </c>
      <c r="H2747" t="s">
        <v>23</v>
      </c>
      <c r="J2747" s="20">
        <v>0</v>
      </c>
    </row>
    <row r="2748" spans="2:10" x14ac:dyDescent="0.25">
      <c r="B2748" t="s">
        <v>6</v>
      </c>
      <c r="C2748" t="s">
        <v>311</v>
      </c>
      <c r="D2748">
        <v>703440</v>
      </c>
      <c r="E2748" t="s">
        <v>250</v>
      </c>
      <c r="F2748" t="s">
        <v>21</v>
      </c>
      <c r="G2748" t="s">
        <v>61</v>
      </c>
      <c r="H2748" t="s">
        <v>68</v>
      </c>
      <c r="J2748" s="20">
        <v>0</v>
      </c>
    </row>
    <row r="2749" spans="2:10" x14ac:dyDescent="0.25">
      <c r="B2749" t="s">
        <v>6</v>
      </c>
      <c r="C2749" t="s">
        <v>311</v>
      </c>
      <c r="D2749">
        <v>703441</v>
      </c>
      <c r="E2749" t="s">
        <v>251</v>
      </c>
      <c r="F2749" t="s">
        <v>21</v>
      </c>
      <c r="G2749" t="s">
        <v>61</v>
      </c>
      <c r="H2749" t="s">
        <v>79</v>
      </c>
      <c r="J2749" s="20">
        <v>0</v>
      </c>
    </row>
    <row r="2750" spans="2:10" x14ac:dyDescent="0.25">
      <c r="B2750" t="s">
        <v>6</v>
      </c>
      <c r="C2750" t="s">
        <v>311</v>
      </c>
      <c r="D2750">
        <v>703442</v>
      </c>
      <c r="E2750" t="s">
        <v>252</v>
      </c>
      <c r="F2750" t="s">
        <v>21</v>
      </c>
      <c r="G2750" t="s">
        <v>76</v>
      </c>
      <c r="H2750" t="s">
        <v>77</v>
      </c>
      <c r="J2750" s="20">
        <v>0</v>
      </c>
    </row>
    <row r="2751" spans="2:10" x14ac:dyDescent="0.25">
      <c r="B2751" t="s">
        <v>6</v>
      </c>
      <c r="C2751" t="s">
        <v>311</v>
      </c>
      <c r="D2751">
        <v>703443</v>
      </c>
      <c r="E2751" t="s">
        <v>253</v>
      </c>
      <c r="F2751" t="s">
        <v>21</v>
      </c>
      <c r="G2751" t="s">
        <v>71</v>
      </c>
      <c r="H2751" t="s">
        <v>88</v>
      </c>
      <c r="J2751" s="20">
        <v>0</v>
      </c>
    </row>
    <row r="2752" spans="2:10" x14ac:dyDescent="0.25">
      <c r="B2752" t="s">
        <v>6</v>
      </c>
      <c r="C2752" t="s">
        <v>311</v>
      </c>
      <c r="D2752">
        <v>703444</v>
      </c>
      <c r="E2752" t="s">
        <v>254</v>
      </c>
      <c r="F2752" t="s">
        <v>21</v>
      </c>
      <c r="G2752" t="s">
        <v>22</v>
      </c>
      <c r="H2752" t="s">
        <v>23</v>
      </c>
      <c r="J2752" s="20">
        <v>0</v>
      </c>
    </row>
    <row r="2753" spans="2:10" x14ac:dyDescent="0.25">
      <c r="B2753" t="s">
        <v>6</v>
      </c>
      <c r="C2753" t="s">
        <v>311</v>
      </c>
      <c r="D2753">
        <v>703445</v>
      </c>
      <c r="E2753" t="s">
        <v>255</v>
      </c>
      <c r="F2753" t="s">
        <v>21</v>
      </c>
      <c r="G2753" t="s">
        <v>22</v>
      </c>
      <c r="H2753" t="s">
        <v>23</v>
      </c>
      <c r="J2753" s="20">
        <v>0</v>
      </c>
    </row>
    <row r="2754" spans="2:10" x14ac:dyDescent="0.25">
      <c r="B2754" t="s">
        <v>6</v>
      </c>
      <c r="C2754" t="s">
        <v>311</v>
      </c>
      <c r="D2754">
        <v>703446</v>
      </c>
      <c r="E2754" t="s">
        <v>256</v>
      </c>
      <c r="F2754" t="s">
        <v>21</v>
      </c>
      <c r="G2754" t="s">
        <v>22</v>
      </c>
      <c r="H2754" t="s">
        <v>23</v>
      </c>
      <c r="J2754" s="20">
        <v>0</v>
      </c>
    </row>
    <row r="2755" spans="2:10" x14ac:dyDescent="0.25">
      <c r="B2755" t="s">
        <v>6</v>
      </c>
      <c r="C2755" t="s">
        <v>311</v>
      </c>
      <c r="D2755">
        <v>703447</v>
      </c>
      <c r="E2755" t="s">
        <v>257</v>
      </c>
      <c r="F2755" t="s">
        <v>21</v>
      </c>
      <c r="G2755" t="s">
        <v>22</v>
      </c>
      <c r="H2755" t="s">
        <v>23</v>
      </c>
      <c r="J2755" s="20">
        <v>0</v>
      </c>
    </row>
    <row r="2756" spans="2:10" x14ac:dyDescent="0.25">
      <c r="B2756" t="s">
        <v>6</v>
      </c>
      <c r="C2756" t="s">
        <v>311</v>
      </c>
      <c r="D2756">
        <v>703448</v>
      </c>
      <c r="E2756" t="s">
        <v>258</v>
      </c>
      <c r="F2756" t="s">
        <v>21</v>
      </c>
      <c r="G2756" t="s">
        <v>22</v>
      </c>
      <c r="H2756" t="s">
        <v>23</v>
      </c>
      <c r="J2756" s="20">
        <v>0</v>
      </c>
    </row>
    <row r="2757" spans="2:10" x14ac:dyDescent="0.25">
      <c r="B2757" t="s">
        <v>6</v>
      </c>
      <c r="C2757" t="s">
        <v>311</v>
      </c>
      <c r="D2757">
        <v>703449</v>
      </c>
      <c r="E2757" t="s">
        <v>259</v>
      </c>
      <c r="F2757" t="s">
        <v>21</v>
      </c>
      <c r="G2757" t="s">
        <v>22</v>
      </c>
      <c r="H2757" t="s">
        <v>23</v>
      </c>
      <c r="J2757" s="20">
        <v>0</v>
      </c>
    </row>
    <row r="2758" spans="2:10" x14ac:dyDescent="0.25">
      <c r="B2758" t="s">
        <v>6</v>
      </c>
      <c r="C2758" t="s">
        <v>311</v>
      </c>
      <c r="D2758">
        <v>703450</v>
      </c>
      <c r="E2758" t="s">
        <v>260</v>
      </c>
      <c r="F2758" t="s">
        <v>21</v>
      </c>
      <c r="G2758" t="s">
        <v>71</v>
      </c>
      <c r="H2758" t="s">
        <v>88</v>
      </c>
      <c r="J2758" s="20">
        <v>0</v>
      </c>
    </row>
    <row r="2759" spans="2:10" x14ac:dyDescent="0.25">
      <c r="B2759" t="s">
        <v>6</v>
      </c>
      <c r="C2759" t="s">
        <v>311</v>
      </c>
      <c r="D2759">
        <v>703510</v>
      </c>
      <c r="E2759" t="s">
        <v>261</v>
      </c>
      <c r="F2759" t="s">
        <v>21</v>
      </c>
      <c r="G2759" t="s">
        <v>22</v>
      </c>
      <c r="H2759" t="s">
        <v>23</v>
      </c>
      <c r="J2759" s="20">
        <v>0</v>
      </c>
    </row>
    <row r="2760" spans="2:10" x14ac:dyDescent="0.25">
      <c r="B2760" t="s">
        <v>6</v>
      </c>
      <c r="C2760" t="s">
        <v>311</v>
      </c>
      <c r="D2760">
        <v>703511</v>
      </c>
      <c r="E2760" t="s">
        <v>262</v>
      </c>
      <c r="F2760" t="s">
        <v>21</v>
      </c>
      <c r="G2760" t="s">
        <v>22</v>
      </c>
      <c r="H2760" t="s">
        <v>23</v>
      </c>
      <c r="J2760" s="20">
        <v>0</v>
      </c>
    </row>
    <row r="2761" spans="2:10" x14ac:dyDescent="0.25">
      <c r="B2761" t="s">
        <v>6</v>
      </c>
      <c r="C2761" t="s">
        <v>311</v>
      </c>
      <c r="D2761">
        <v>703512</v>
      </c>
      <c r="E2761" t="s">
        <v>263</v>
      </c>
      <c r="F2761" t="s">
        <v>21</v>
      </c>
      <c r="G2761" t="s">
        <v>22</v>
      </c>
      <c r="H2761" t="s">
        <v>23</v>
      </c>
      <c r="J2761" s="20">
        <v>0</v>
      </c>
    </row>
    <row r="2762" spans="2:10" x14ac:dyDescent="0.25">
      <c r="B2762" t="s">
        <v>6</v>
      </c>
      <c r="C2762" t="s">
        <v>311</v>
      </c>
      <c r="D2762">
        <v>703513</v>
      </c>
      <c r="E2762" t="s">
        <v>264</v>
      </c>
      <c r="F2762" t="s">
        <v>21</v>
      </c>
      <c r="G2762" t="s">
        <v>22</v>
      </c>
      <c r="H2762" t="s">
        <v>23</v>
      </c>
      <c r="J2762" s="20">
        <v>0</v>
      </c>
    </row>
    <row r="2763" spans="2:10" x14ac:dyDescent="0.25">
      <c r="B2763" t="s">
        <v>6</v>
      </c>
      <c r="C2763" t="s">
        <v>311</v>
      </c>
      <c r="D2763">
        <v>703514</v>
      </c>
      <c r="E2763" t="s">
        <v>265</v>
      </c>
      <c r="F2763" t="s">
        <v>21</v>
      </c>
      <c r="G2763" t="s">
        <v>22</v>
      </c>
      <c r="H2763" t="s">
        <v>23</v>
      </c>
      <c r="J2763" s="20">
        <v>0</v>
      </c>
    </row>
    <row r="2764" spans="2:10" x14ac:dyDescent="0.25">
      <c r="B2764" t="s">
        <v>6</v>
      </c>
      <c r="C2764" t="s">
        <v>311</v>
      </c>
      <c r="D2764">
        <v>703515</v>
      </c>
      <c r="E2764" t="s">
        <v>266</v>
      </c>
      <c r="F2764" t="s">
        <v>21</v>
      </c>
      <c r="G2764" t="s">
        <v>22</v>
      </c>
      <c r="H2764" t="s">
        <v>23</v>
      </c>
      <c r="J2764" s="20">
        <v>0</v>
      </c>
    </row>
    <row r="2765" spans="2:10" x14ac:dyDescent="0.25">
      <c r="B2765" t="s">
        <v>6</v>
      </c>
      <c r="C2765" t="s">
        <v>311</v>
      </c>
      <c r="D2765">
        <v>703520</v>
      </c>
      <c r="E2765" t="s">
        <v>267</v>
      </c>
      <c r="F2765" t="s">
        <v>21</v>
      </c>
      <c r="G2765" t="s">
        <v>22</v>
      </c>
      <c r="H2765" t="s">
        <v>23</v>
      </c>
      <c r="J2765" s="20">
        <v>0</v>
      </c>
    </row>
    <row r="2766" spans="2:10" x14ac:dyDescent="0.25">
      <c r="B2766" t="s">
        <v>6</v>
      </c>
      <c r="C2766" t="s">
        <v>311</v>
      </c>
      <c r="D2766">
        <v>703530</v>
      </c>
      <c r="E2766" t="s">
        <v>268</v>
      </c>
      <c r="F2766" t="s">
        <v>21</v>
      </c>
      <c r="G2766" t="s">
        <v>22</v>
      </c>
      <c r="H2766" t="s">
        <v>23</v>
      </c>
      <c r="J2766" s="20">
        <v>0</v>
      </c>
    </row>
    <row r="2767" spans="2:10" x14ac:dyDescent="0.25">
      <c r="B2767" t="s">
        <v>6</v>
      </c>
      <c r="C2767" t="s">
        <v>311</v>
      </c>
      <c r="D2767">
        <v>703540</v>
      </c>
      <c r="E2767" t="s">
        <v>269</v>
      </c>
      <c r="F2767" t="s">
        <v>21</v>
      </c>
      <c r="G2767" t="s">
        <v>22</v>
      </c>
      <c r="H2767" t="s">
        <v>23</v>
      </c>
      <c r="J2767" s="20">
        <v>0</v>
      </c>
    </row>
    <row r="2768" spans="2:10" x14ac:dyDescent="0.25">
      <c r="B2768" t="s">
        <v>6</v>
      </c>
      <c r="C2768" t="s">
        <v>311</v>
      </c>
      <c r="D2768">
        <v>703550</v>
      </c>
      <c r="E2768" t="s">
        <v>270</v>
      </c>
      <c r="F2768" t="s">
        <v>21</v>
      </c>
      <c r="G2768" t="s">
        <v>22</v>
      </c>
      <c r="H2768" t="s">
        <v>23</v>
      </c>
      <c r="J2768" s="20">
        <v>0</v>
      </c>
    </row>
    <row r="2769" spans="2:10" x14ac:dyDescent="0.25">
      <c r="B2769" t="s">
        <v>6</v>
      </c>
      <c r="C2769" t="s">
        <v>311</v>
      </c>
      <c r="D2769">
        <v>703560</v>
      </c>
      <c r="E2769" t="s">
        <v>271</v>
      </c>
      <c r="F2769" t="s">
        <v>21</v>
      </c>
      <c r="G2769" t="s">
        <v>22</v>
      </c>
      <c r="H2769" t="s">
        <v>23</v>
      </c>
      <c r="J2769" s="20">
        <v>0</v>
      </c>
    </row>
    <row r="2770" spans="2:10" x14ac:dyDescent="0.25">
      <c r="B2770" t="s">
        <v>6</v>
      </c>
      <c r="C2770" t="s">
        <v>311</v>
      </c>
      <c r="D2770">
        <v>703570</v>
      </c>
      <c r="E2770" t="s">
        <v>272</v>
      </c>
      <c r="F2770" t="s">
        <v>21</v>
      </c>
      <c r="G2770" t="s">
        <v>22</v>
      </c>
      <c r="H2770" t="s">
        <v>23</v>
      </c>
      <c r="J2770" s="20">
        <v>0</v>
      </c>
    </row>
    <row r="2771" spans="2:10" x14ac:dyDescent="0.25">
      <c r="B2771" t="s">
        <v>6</v>
      </c>
      <c r="C2771" t="s">
        <v>311</v>
      </c>
      <c r="D2771">
        <v>703571</v>
      </c>
      <c r="E2771" t="s">
        <v>273</v>
      </c>
      <c r="F2771" t="s">
        <v>21</v>
      </c>
      <c r="G2771" t="s">
        <v>22</v>
      </c>
      <c r="H2771" t="s">
        <v>23</v>
      </c>
      <c r="J2771" s="20"/>
    </row>
    <row r="2772" spans="2:10" x14ac:dyDescent="0.25">
      <c r="B2772" t="s">
        <v>6</v>
      </c>
      <c r="C2772" t="s">
        <v>311</v>
      </c>
      <c r="D2772">
        <v>703572</v>
      </c>
      <c r="E2772" t="s">
        <v>274</v>
      </c>
      <c r="F2772" t="s">
        <v>21</v>
      </c>
      <c r="G2772" t="s">
        <v>22</v>
      </c>
      <c r="H2772" t="s">
        <v>23</v>
      </c>
      <c r="J2772" s="20"/>
    </row>
    <row r="2773" spans="2:10" x14ac:dyDescent="0.25">
      <c r="B2773" t="s">
        <v>6</v>
      </c>
      <c r="C2773" t="s">
        <v>311</v>
      </c>
      <c r="D2773">
        <v>703573</v>
      </c>
      <c r="E2773" t="s">
        <v>275</v>
      </c>
      <c r="F2773" t="s">
        <v>21</v>
      </c>
      <c r="G2773" t="s">
        <v>22</v>
      </c>
      <c r="H2773" t="s">
        <v>23</v>
      </c>
      <c r="J2773" s="20"/>
    </row>
    <row r="2774" spans="2:10" x14ac:dyDescent="0.25">
      <c r="B2774" t="s">
        <v>6</v>
      </c>
      <c r="C2774" t="s">
        <v>311</v>
      </c>
      <c r="D2774">
        <v>703574</v>
      </c>
      <c r="E2774" t="s">
        <v>276</v>
      </c>
      <c r="F2774" t="s">
        <v>21</v>
      </c>
      <c r="G2774" t="s">
        <v>22</v>
      </c>
      <c r="H2774" t="s">
        <v>23</v>
      </c>
      <c r="J2774" s="20"/>
    </row>
    <row r="2775" spans="2:10" x14ac:dyDescent="0.25">
      <c r="B2775" t="s">
        <v>6</v>
      </c>
      <c r="C2775" t="s">
        <v>311</v>
      </c>
      <c r="D2775">
        <v>703580</v>
      </c>
      <c r="E2775" t="s">
        <v>277</v>
      </c>
      <c r="F2775" t="s">
        <v>21</v>
      </c>
      <c r="G2775" t="s">
        <v>22</v>
      </c>
      <c r="H2775" t="s">
        <v>23</v>
      </c>
      <c r="J2775" s="20">
        <v>0</v>
      </c>
    </row>
    <row r="2776" spans="2:10" x14ac:dyDescent="0.25">
      <c r="B2776" t="s">
        <v>6</v>
      </c>
      <c r="C2776" t="s">
        <v>311</v>
      </c>
      <c r="D2776">
        <v>703590</v>
      </c>
      <c r="E2776" t="s">
        <v>278</v>
      </c>
      <c r="F2776" t="s">
        <v>21</v>
      </c>
      <c r="G2776" t="s">
        <v>22</v>
      </c>
      <c r="H2776" t="s">
        <v>23</v>
      </c>
      <c r="J2776" s="20">
        <v>0</v>
      </c>
    </row>
    <row r="2777" spans="2:10" x14ac:dyDescent="0.25">
      <c r="B2777" t="s">
        <v>6</v>
      </c>
      <c r="C2777" t="s">
        <v>311</v>
      </c>
      <c r="D2777">
        <v>703650</v>
      </c>
      <c r="E2777" t="s">
        <v>279</v>
      </c>
      <c r="F2777" t="s">
        <v>21</v>
      </c>
      <c r="G2777" t="s">
        <v>22</v>
      </c>
      <c r="H2777" t="s">
        <v>23</v>
      </c>
      <c r="J2777" s="20">
        <v>0</v>
      </c>
    </row>
    <row r="2778" spans="2:10" x14ac:dyDescent="0.25">
      <c r="B2778" t="s">
        <v>6</v>
      </c>
      <c r="C2778" t="s">
        <v>311</v>
      </c>
      <c r="D2778">
        <v>703651</v>
      </c>
      <c r="E2778" t="s">
        <v>280</v>
      </c>
      <c r="F2778" t="s">
        <v>21</v>
      </c>
      <c r="G2778" t="s">
        <v>22</v>
      </c>
      <c r="H2778" t="s">
        <v>23</v>
      </c>
      <c r="J2778" s="20">
        <v>0</v>
      </c>
    </row>
    <row r="2779" spans="2:10" x14ac:dyDescent="0.25">
      <c r="B2779" t="s">
        <v>6</v>
      </c>
      <c r="C2779" t="s">
        <v>311</v>
      </c>
      <c r="D2779">
        <v>703850</v>
      </c>
      <c r="E2779" t="s">
        <v>281</v>
      </c>
      <c r="F2779" t="s">
        <v>21</v>
      </c>
      <c r="G2779" t="s">
        <v>22</v>
      </c>
      <c r="H2779" t="s">
        <v>23</v>
      </c>
      <c r="J2779" s="20">
        <v>0</v>
      </c>
    </row>
    <row r="2780" spans="2:10" x14ac:dyDescent="0.25">
      <c r="B2780" t="s">
        <v>6</v>
      </c>
      <c r="C2780" t="s">
        <v>311</v>
      </c>
      <c r="D2780">
        <v>703851</v>
      </c>
      <c r="E2780" t="s">
        <v>282</v>
      </c>
      <c r="F2780" t="s">
        <v>21</v>
      </c>
      <c r="G2780" t="s">
        <v>22</v>
      </c>
      <c r="H2780" t="s">
        <v>23</v>
      </c>
      <c r="J2780" s="20">
        <v>0</v>
      </c>
    </row>
    <row r="2781" spans="2:10" x14ac:dyDescent="0.25">
      <c r="B2781" t="s">
        <v>6</v>
      </c>
      <c r="C2781" t="s">
        <v>311</v>
      </c>
      <c r="D2781">
        <v>703852</v>
      </c>
      <c r="E2781" t="s">
        <v>283</v>
      </c>
      <c r="F2781" t="s">
        <v>21</v>
      </c>
      <c r="G2781" t="s">
        <v>22</v>
      </c>
      <c r="H2781" t="s">
        <v>23</v>
      </c>
      <c r="J2781" s="20">
        <v>0</v>
      </c>
    </row>
    <row r="2782" spans="2:10" x14ac:dyDescent="0.25">
      <c r="B2782" t="s">
        <v>6</v>
      </c>
      <c r="C2782" t="s">
        <v>311</v>
      </c>
      <c r="D2782">
        <v>703853</v>
      </c>
      <c r="E2782" t="s">
        <v>284</v>
      </c>
      <c r="F2782" t="s">
        <v>21</v>
      </c>
      <c r="G2782" t="s">
        <v>22</v>
      </c>
      <c r="H2782" t="s">
        <v>23</v>
      </c>
      <c r="J2782" s="20">
        <v>0</v>
      </c>
    </row>
    <row r="2783" spans="2:10" x14ac:dyDescent="0.25">
      <c r="B2783" t="s">
        <v>6</v>
      </c>
      <c r="C2783" t="s">
        <v>311</v>
      </c>
      <c r="D2783">
        <v>703854</v>
      </c>
      <c r="E2783" t="s">
        <v>285</v>
      </c>
      <c r="F2783" t="s">
        <v>21</v>
      </c>
      <c r="G2783" t="s">
        <v>22</v>
      </c>
      <c r="H2783" t="s">
        <v>115</v>
      </c>
      <c r="J2783" s="20">
        <v>0</v>
      </c>
    </row>
    <row r="2784" spans="2:10" x14ac:dyDescent="0.25">
      <c r="B2784" t="s">
        <v>6</v>
      </c>
      <c r="C2784" t="s">
        <v>311</v>
      </c>
      <c r="D2784">
        <v>703855</v>
      </c>
      <c r="E2784" t="s">
        <v>286</v>
      </c>
      <c r="F2784" t="s">
        <v>21</v>
      </c>
      <c r="G2784" t="s">
        <v>22</v>
      </c>
      <c r="H2784" t="s">
        <v>23</v>
      </c>
      <c r="J2784" s="20">
        <v>0</v>
      </c>
    </row>
    <row r="2785" spans="2:10" x14ac:dyDescent="0.25">
      <c r="B2785" t="s">
        <v>6</v>
      </c>
      <c r="C2785" t="s">
        <v>311</v>
      </c>
      <c r="D2785">
        <v>703856</v>
      </c>
      <c r="E2785" t="s">
        <v>287</v>
      </c>
      <c r="F2785" t="s">
        <v>21</v>
      </c>
      <c r="G2785" t="s">
        <v>22</v>
      </c>
      <c r="H2785" t="s">
        <v>23</v>
      </c>
      <c r="J2785" s="20">
        <v>0</v>
      </c>
    </row>
    <row r="2786" spans="2:10" x14ac:dyDescent="0.25">
      <c r="B2786" t="s">
        <v>6</v>
      </c>
      <c r="C2786" t="s">
        <v>311</v>
      </c>
      <c r="D2786">
        <v>703857</v>
      </c>
      <c r="E2786" t="s">
        <v>288</v>
      </c>
      <c r="F2786" t="s">
        <v>21</v>
      </c>
      <c r="G2786" t="s">
        <v>71</v>
      </c>
      <c r="H2786" t="s">
        <v>88</v>
      </c>
      <c r="J2786" s="20">
        <v>0</v>
      </c>
    </row>
    <row r="2787" spans="2:10" x14ac:dyDescent="0.25">
      <c r="B2787" t="s">
        <v>6</v>
      </c>
      <c r="C2787" t="s">
        <v>311</v>
      </c>
      <c r="D2787">
        <v>703858</v>
      </c>
      <c r="E2787" t="s">
        <v>289</v>
      </c>
      <c r="F2787" t="s">
        <v>21</v>
      </c>
      <c r="G2787" t="s">
        <v>22</v>
      </c>
      <c r="H2787" t="s">
        <v>23</v>
      </c>
      <c r="J2787" s="20">
        <v>0</v>
      </c>
    </row>
    <row r="2788" spans="2:10" x14ac:dyDescent="0.25">
      <c r="B2788" t="s">
        <v>6</v>
      </c>
      <c r="C2788" t="s">
        <v>311</v>
      </c>
      <c r="D2788">
        <v>703859</v>
      </c>
      <c r="E2788" t="s">
        <v>290</v>
      </c>
      <c r="F2788" t="s">
        <v>21</v>
      </c>
      <c r="G2788" t="s">
        <v>22</v>
      </c>
      <c r="H2788" t="s">
        <v>23</v>
      </c>
      <c r="J2788" s="20">
        <v>0</v>
      </c>
    </row>
    <row r="2789" spans="2:10" x14ac:dyDescent="0.25">
      <c r="B2789" t="s">
        <v>6</v>
      </c>
      <c r="C2789" t="s">
        <v>311</v>
      </c>
      <c r="D2789">
        <v>703860</v>
      </c>
      <c r="E2789" t="s">
        <v>291</v>
      </c>
      <c r="F2789" t="s">
        <v>21</v>
      </c>
      <c r="G2789" t="s">
        <v>22</v>
      </c>
      <c r="H2789" t="s">
        <v>23</v>
      </c>
      <c r="J2789" s="20">
        <v>0</v>
      </c>
    </row>
    <row r="2790" spans="2:10" x14ac:dyDescent="0.25">
      <c r="B2790" t="s">
        <v>6</v>
      </c>
      <c r="C2790" t="s">
        <v>311</v>
      </c>
      <c r="D2790">
        <v>703861</v>
      </c>
      <c r="E2790" t="s">
        <v>292</v>
      </c>
      <c r="F2790" t="s">
        <v>21</v>
      </c>
      <c r="G2790" t="s">
        <v>22</v>
      </c>
      <c r="H2790" t="s">
        <v>23</v>
      </c>
      <c r="J2790" s="20">
        <v>0</v>
      </c>
    </row>
    <row r="2791" spans="2:10" x14ac:dyDescent="0.25">
      <c r="B2791" t="s">
        <v>6</v>
      </c>
      <c r="C2791" t="s">
        <v>311</v>
      </c>
      <c r="D2791">
        <v>703862</v>
      </c>
      <c r="E2791" t="s">
        <v>293</v>
      </c>
      <c r="F2791" t="s">
        <v>21</v>
      </c>
      <c r="G2791" t="s">
        <v>22</v>
      </c>
      <c r="H2791" t="s">
        <v>23</v>
      </c>
      <c r="J2791" s="20">
        <v>0</v>
      </c>
    </row>
    <row r="2792" spans="2:10" x14ac:dyDescent="0.25">
      <c r="B2792" t="s">
        <v>6</v>
      </c>
      <c r="C2792" t="s">
        <v>311</v>
      </c>
      <c r="D2792">
        <v>703870</v>
      </c>
      <c r="E2792" t="s">
        <v>294</v>
      </c>
      <c r="F2792" t="s">
        <v>21</v>
      </c>
      <c r="G2792" t="s">
        <v>22</v>
      </c>
      <c r="H2792" t="s">
        <v>23</v>
      </c>
      <c r="J2792" s="20">
        <v>0</v>
      </c>
    </row>
    <row r="2793" spans="2:10" x14ac:dyDescent="0.25">
      <c r="B2793" t="s">
        <v>6</v>
      </c>
      <c r="C2793" t="s">
        <v>311</v>
      </c>
      <c r="D2793">
        <v>703880</v>
      </c>
      <c r="E2793" t="s">
        <v>295</v>
      </c>
      <c r="F2793" t="s">
        <v>21</v>
      </c>
      <c r="G2793" t="s">
        <v>22</v>
      </c>
      <c r="H2793" t="s">
        <v>23</v>
      </c>
      <c r="J2793" s="20">
        <v>0</v>
      </c>
    </row>
    <row r="2794" spans="2:10" x14ac:dyDescent="0.25">
      <c r="B2794" t="s">
        <v>6</v>
      </c>
      <c r="C2794" t="s">
        <v>311</v>
      </c>
      <c r="D2794">
        <v>703899</v>
      </c>
      <c r="E2794" t="s">
        <v>296</v>
      </c>
      <c r="F2794" t="s">
        <v>21</v>
      </c>
      <c r="G2794" t="s">
        <v>22</v>
      </c>
      <c r="H2794" t="s">
        <v>23</v>
      </c>
      <c r="J2794" s="20">
        <v>0</v>
      </c>
    </row>
    <row r="2795" spans="2:10" x14ac:dyDescent="0.25">
      <c r="B2795" t="s">
        <v>6</v>
      </c>
      <c r="C2795" t="s">
        <v>311</v>
      </c>
      <c r="D2795">
        <v>706700</v>
      </c>
      <c r="E2795" t="s">
        <v>25</v>
      </c>
      <c r="F2795" t="s">
        <v>26</v>
      </c>
      <c r="G2795" t="s">
        <v>27</v>
      </c>
      <c r="H2795" t="s">
        <v>28</v>
      </c>
      <c r="J2795" s="20">
        <v>0</v>
      </c>
    </row>
    <row r="2796" spans="2:10" x14ac:dyDescent="0.25">
      <c r="B2796" t="s">
        <v>6</v>
      </c>
      <c r="C2796" t="s">
        <v>311</v>
      </c>
      <c r="D2796" t="s">
        <v>29</v>
      </c>
      <c r="E2796" t="s">
        <v>30</v>
      </c>
      <c r="F2796" t="s">
        <v>26</v>
      </c>
      <c r="G2796" t="s">
        <v>27</v>
      </c>
      <c r="H2796" t="s">
        <v>31</v>
      </c>
      <c r="J2796" s="20">
        <v>0</v>
      </c>
    </row>
    <row r="2797" spans="2:10" x14ac:dyDescent="0.25">
      <c r="B2797" t="s">
        <v>6</v>
      </c>
      <c r="C2797" t="s">
        <v>311</v>
      </c>
      <c r="D2797" t="s">
        <v>32</v>
      </c>
      <c r="E2797" t="s">
        <v>33</v>
      </c>
      <c r="F2797" t="s">
        <v>26</v>
      </c>
      <c r="G2797" t="s">
        <v>27</v>
      </c>
      <c r="H2797" t="s">
        <v>28</v>
      </c>
      <c r="J2797" s="20">
        <v>0</v>
      </c>
    </row>
    <row r="2798" spans="2:10" x14ac:dyDescent="0.25">
      <c r="B2798" t="s">
        <v>6</v>
      </c>
      <c r="C2798" t="s">
        <v>311</v>
      </c>
      <c r="D2798" t="s">
        <v>34</v>
      </c>
      <c r="E2798" t="s">
        <v>35</v>
      </c>
      <c r="F2798" t="s">
        <v>26</v>
      </c>
      <c r="G2798" t="s">
        <v>36</v>
      </c>
      <c r="H2798" t="s">
        <v>36</v>
      </c>
      <c r="J2798" s="20">
        <v>0</v>
      </c>
    </row>
    <row r="2799" spans="2:10" x14ac:dyDescent="0.25">
      <c r="B2799" t="s">
        <v>6</v>
      </c>
      <c r="C2799" t="s">
        <v>311</v>
      </c>
      <c r="D2799" t="s">
        <v>37</v>
      </c>
      <c r="E2799" t="s">
        <v>38</v>
      </c>
      <c r="F2799" t="s">
        <v>21</v>
      </c>
      <c r="G2799" t="s">
        <v>39</v>
      </c>
      <c r="H2799" t="s">
        <v>39</v>
      </c>
      <c r="J2799" s="20">
        <v>0</v>
      </c>
    </row>
    <row r="2800" spans="2:10" x14ac:dyDescent="0.25">
      <c r="B2800" t="s">
        <v>6</v>
      </c>
      <c r="C2800" t="s">
        <v>311</v>
      </c>
      <c r="D2800" t="s">
        <v>40</v>
      </c>
      <c r="E2800" t="s">
        <v>41</v>
      </c>
      <c r="F2800" t="s">
        <v>26</v>
      </c>
      <c r="G2800" t="s">
        <v>39</v>
      </c>
      <c r="H2800" t="s">
        <v>39</v>
      </c>
      <c r="J2800" s="20">
        <v>0</v>
      </c>
    </row>
    <row r="2801" spans="2:10" x14ac:dyDescent="0.25">
      <c r="B2801" t="s">
        <v>6</v>
      </c>
      <c r="C2801" t="s">
        <v>311</v>
      </c>
      <c r="D2801" t="s">
        <v>42</v>
      </c>
      <c r="E2801" t="s">
        <v>43</v>
      </c>
      <c r="F2801" t="s">
        <v>21</v>
      </c>
      <c r="G2801" t="s">
        <v>44</v>
      </c>
      <c r="H2801" t="s">
        <v>44</v>
      </c>
      <c r="J2801" s="20">
        <v>0</v>
      </c>
    </row>
    <row r="2802" spans="2:10" x14ac:dyDescent="0.25">
      <c r="B2802" t="s">
        <v>6</v>
      </c>
      <c r="C2802" t="s">
        <v>311</v>
      </c>
      <c r="D2802" t="s">
        <v>45</v>
      </c>
      <c r="E2802" t="s">
        <v>46</v>
      </c>
      <c r="F2802" t="s">
        <v>26</v>
      </c>
      <c r="G2802" t="s">
        <v>44</v>
      </c>
      <c r="H2802" t="s">
        <v>44</v>
      </c>
      <c r="J2802" s="20">
        <v>0</v>
      </c>
    </row>
    <row r="2803" spans="2:10" x14ac:dyDescent="0.25">
      <c r="B2803" t="s">
        <v>6</v>
      </c>
      <c r="C2803" t="s">
        <v>311</v>
      </c>
      <c r="D2803" t="s">
        <v>297</v>
      </c>
      <c r="E2803" t="s">
        <v>298</v>
      </c>
      <c r="F2803" t="s">
        <v>26</v>
      </c>
      <c r="G2803" t="s">
        <v>299</v>
      </c>
      <c r="H2803" t="s">
        <v>299</v>
      </c>
      <c r="J2803" s="20"/>
    </row>
    <row r="2804" spans="2:10" x14ac:dyDescent="0.25">
      <c r="B2804" t="s">
        <v>6</v>
      </c>
      <c r="C2804" t="s">
        <v>311</v>
      </c>
      <c r="D2804" t="s">
        <v>300</v>
      </c>
      <c r="E2804" t="s">
        <v>301</v>
      </c>
      <c r="F2804" t="s">
        <v>21</v>
      </c>
      <c r="G2804" t="s">
        <v>299</v>
      </c>
      <c r="H2804" t="s">
        <v>299</v>
      </c>
      <c r="J2804" s="20"/>
    </row>
    <row r="2805" spans="2:10" x14ac:dyDescent="0.25">
      <c r="B2805" t="s">
        <v>6</v>
      </c>
      <c r="C2805" t="s">
        <v>311</v>
      </c>
      <c r="D2805" t="s">
        <v>47</v>
      </c>
      <c r="E2805" t="s">
        <v>48</v>
      </c>
      <c r="F2805" t="s">
        <v>26</v>
      </c>
      <c r="G2805" t="s">
        <v>49</v>
      </c>
      <c r="H2805" t="s">
        <v>49</v>
      </c>
      <c r="J2805" s="20">
        <v>0</v>
      </c>
    </row>
    <row r="2806" spans="2:10" x14ac:dyDescent="0.25">
      <c r="B2806" t="s">
        <v>6</v>
      </c>
      <c r="C2806" t="s">
        <v>312</v>
      </c>
      <c r="D2806">
        <v>701000</v>
      </c>
      <c r="E2806" t="s">
        <v>51</v>
      </c>
      <c r="F2806" t="s">
        <v>21</v>
      </c>
      <c r="G2806" t="s">
        <v>52</v>
      </c>
      <c r="H2806" t="s">
        <v>53</v>
      </c>
      <c r="J2806" s="20">
        <v>0</v>
      </c>
    </row>
    <row r="2807" spans="2:10" x14ac:dyDescent="0.25">
      <c r="B2807" t="s">
        <v>6</v>
      </c>
      <c r="C2807" t="s">
        <v>312</v>
      </c>
      <c r="D2807">
        <v>701008</v>
      </c>
      <c r="E2807" t="s">
        <v>54</v>
      </c>
      <c r="F2807" t="s">
        <v>21</v>
      </c>
      <c r="G2807" t="s">
        <v>52</v>
      </c>
      <c r="H2807" t="s">
        <v>53</v>
      </c>
      <c r="J2807" s="20">
        <v>0</v>
      </c>
    </row>
    <row r="2808" spans="2:10" x14ac:dyDescent="0.25">
      <c r="B2808" t="s">
        <v>6</v>
      </c>
      <c r="C2808" t="s">
        <v>312</v>
      </c>
      <c r="D2808">
        <v>701009</v>
      </c>
      <c r="E2808" t="s">
        <v>55</v>
      </c>
      <c r="F2808" t="s">
        <v>21</v>
      </c>
      <c r="G2808" t="s">
        <v>52</v>
      </c>
      <c r="H2808" t="s">
        <v>53</v>
      </c>
      <c r="J2808" s="20">
        <v>0</v>
      </c>
    </row>
    <row r="2809" spans="2:10" x14ac:dyDescent="0.25">
      <c r="B2809" t="s">
        <v>6</v>
      </c>
      <c r="C2809" t="s">
        <v>312</v>
      </c>
      <c r="D2809">
        <v>701010</v>
      </c>
      <c r="E2809" t="s">
        <v>56</v>
      </c>
      <c r="F2809" t="s">
        <v>21</v>
      </c>
      <c r="G2809" t="s">
        <v>52</v>
      </c>
      <c r="H2809" t="s">
        <v>57</v>
      </c>
      <c r="J2809" s="20">
        <v>0</v>
      </c>
    </row>
    <row r="2810" spans="2:10" x14ac:dyDescent="0.25">
      <c r="B2810" t="s">
        <v>6</v>
      </c>
      <c r="C2810" t="s">
        <v>312</v>
      </c>
      <c r="D2810">
        <v>701011</v>
      </c>
      <c r="E2810" t="s">
        <v>58</v>
      </c>
      <c r="F2810" t="s">
        <v>21</v>
      </c>
      <c r="G2810" t="s">
        <v>52</v>
      </c>
      <c r="H2810" t="s">
        <v>53</v>
      </c>
      <c r="J2810" s="20">
        <v>0</v>
      </c>
    </row>
    <row r="2811" spans="2:10" x14ac:dyDescent="0.25">
      <c r="B2811" t="s">
        <v>6</v>
      </c>
      <c r="C2811" t="s">
        <v>312</v>
      </c>
      <c r="D2811">
        <v>701012</v>
      </c>
      <c r="E2811" t="s">
        <v>59</v>
      </c>
      <c r="F2811" t="s">
        <v>21</v>
      </c>
      <c r="G2811" t="s">
        <v>52</v>
      </c>
      <c r="H2811" t="s">
        <v>53</v>
      </c>
      <c r="J2811" s="20">
        <v>0</v>
      </c>
    </row>
    <row r="2812" spans="2:10" x14ac:dyDescent="0.25">
      <c r="B2812" t="s">
        <v>6</v>
      </c>
      <c r="C2812" t="s">
        <v>312</v>
      </c>
      <c r="D2812">
        <v>701013</v>
      </c>
      <c r="E2812" t="s">
        <v>60</v>
      </c>
      <c r="F2812" t="s">
        <v>21</v>
      </c>
      <c r="G2812" t="s">
        <v>61</v>
      </c>
      <c r="H2812" t="s">
        <v>62</v>
      </c>
      <c r="J2812" s="20">
        <v>0</v>
      </c>
    </row>
    <row r="2813" spans="2:10" x14ac:dyDescent="0.25">
      <c r="B2813" t="s">
        <v>6</v>
      </c>
      <c r="C2813" t="s">
        <v>312</v>
      </c>
      <c r="D2813">
        <v>701014</v>
      </c>
      <c r="E2813" t="s">
        <v>63</v>
      </c>
      <c r="F2813" t="s">
        <v>21</v>
      </c>
      <c r="G2813" t="s">
        <v>61</v>
      </c>
      <c r="H2813" t="s">
        <v>64</v>
      </c>
      <c r="J2813" s="20">
        <v>0</v>
      </c>
    </row>
    <row r="2814" spans="2:10" x14ac:dyDescent="0.25">
      <c r="B2814" t="s">
        <v>6</v>
      </c>
      <c r="C2814" t="s">
        <v>312</v>
      </c>
      <c r="D2814">
        <v>701015</v>
      </c>
      <c r="E2814" t="s">
        <v>65</v>
      </c>
      <c r="F2814" t="s">
        <v>21</v>
      </c>
      <c r="G2814" t="s">
        <v>52</v>
      </c>
      <c r="H2814" t="s">
        <v>53</v>
      </c>
      <c r="J2814" s="20">
        <v>0</v>
      </c>
    </row>
    <row r="2815" spans="2:10" x14ac:dyDescent="0.25">
      <c r="B2815" t="s">
        <v>6</v>
      </c>
      <c r="C2815" t="s">
        <v>312</v>
      </c>
      <c r="D2815">
        <v>701016</v>
      </c>
      <c r="E2815" t="s">
        <v>66</v>
      </c>
      <c r="F2815" t="s">
        <v>21</v>
      </c>
      <c r="G2815" t="s">
        <v>52</v>
      </c>
      <c r="H2815" t="s">
        <v>53</v>
      </c>
      <c r="J2815" s="20">
        <v>0</v>
      </c>
    </row>
    <row r="2816" spans="2:10" x14ac:dyDescent="0.25">
      <c r="B2816" t="s">
        <v>6</v>
      </c>
      <c r="C2816" t="s">
        <v>312</v>
      </c>
      <c r="D2816">
        <v>701017</v>
      </c>
      <c r="E2816" t="s">
        <v>67</v>
      </c>
      <c r="F2816" t="s">
        <v>21</v>
      </c>
      <c r="G2816" t="s">
        <v>61</v>
      </c>
      <c r="H2816" t="s">
        <v>68</v>
      </c>
      <c r="J2816" s="20">
        <v>0</v>
      </c>
    </row>
    <row r="2817" spans="2:10" x14ac:dyDescent="0.25">
      <c r="B2817" t="s">
        <v>6</v>
      </c>
      <c r="C2817" t="s">
        <v>312</v>
      </c>
      <c r="D2817">
        <v>701018</v>
      </c>
      <c r="E2817" t="s">
        <v>69</v>
      </c>
      <c r="F2817" t="s">
        <v>21</v>
      </c>
      <c r="G2817" t="s">
        <v>61</v>
      </c>
      <c r="H2817" t="s">
        <v>68</v>
      </c>
      <c r="J2817" s="20">
        <v>0</v>
      </c>
    </row>
    <row r="2818" spans="2:10" x14ac:dyDescent="0.25">
      <c r="B2818" t="s">
        <v>6</v>
      </c>
      <c r="C2818" t="s">
        <v>312</v>
      </c>
      <c r="D2818">
        <v>701019</v>
      </c>
      <c r="E2818" t="s">
        <v>70</v>
      </c>
      <c r="F2818" t="s">
        <v>21</v>
      </c>
      <c r="G2818" t="s">
        <v>71</v>
      </c>
      <c r="H2818" t="s">
        <v>72</v>
      </c>
      <c r="J2818" s="20">
        <v>0</v>
      </c>
    </row>
    <row r="2819" spans="2:10" x14ac:dyDescent="0.25">
      <c r="B2819" t="s">
        <v>6</v>
      </c>
      <c r="C2819" t="s">
        <v>312</v>
      </c>
      <c r="D2819">
        <v>701020</v>
      </c>
      <c r="E2819" t="s">
        <v>73</v>
      </c>
      <c r="F2819" t="s">
        <v>21</v>
      </c>
      <c r="G2819" t="s">
        <v>52</v>
      </c>
      <c r="H2819" t="s">
        <v>53</v>
      </c>
      <c r="J2819" s="20">
        <v>0</v>
      </c>
    </row>
    <row r="2820" spans="2:10" x14ac:dyDescent="0.25">
      <c r="B2820" t="s">
        <v>6</v>
      </c>
      <c r="C2820" t="s">
        <v>312</v>
      </c>
      <c r="D2820">
        <v>701021</v>
      </c>
      <c r="E2820" t="s">
        <v>74</v>
      </c>
      <c r="F2820" t="s">
        <v>21</v>
      </c>
      <c r="G2820" t="s">
        <v>61</v>
      </c>
      <c r="H2820" t="s">
        <v>74</v>
      </c>
      <c r="J2820" s="20">
        <v>0</v>
      </c>
    </row>
    <row r="2821" spans="2:10" x14ac:dyDescent="0.25">
      <c r="B2821" t="s">
        <v>6</v>
      </c>
      <c r="C2821" t="s">
        <v>312</v>
      </c>
      <c r="D2821">
        <v>701022</v>
      </c>
      <c r="E2821" t="s">
        <v>75</v>
      </c>
      <c r="F2821" t="s">
        <v>21</v>
      </c>
      <c r="G2821" t="s">
        <v>76</v>
      </c>
      <c r="H2821" t="s">
        <v>77</v>
      </c>
      <c r="J2821" s="20">
        <v>0</v>
      </c>
    </row>
    <row r="2822" spans="2:10" x14ac:dyDescent="0.25">
      <c r="B2822" t="s">
        <v>6</v>
      </c>
      <c r="C2822" t="s">
        <v>312</v>
      </c>
      <c r="D2822">
        <v>701023</v>
      </c>
      <c r="E2822" t="s">
        <v>78</v>
      </c>
      <c r="F2822" t="s">
        <v>21</v>
      </c>
      <c r="G2822" t="s">
        <v>61</v>
      </c>
      <c r="H2822" t="s">
        <v>79</v>
      </c>
      <c r="J2822" s="20">
        <v>0</v>
      </c>
    </row>
    <row r="2823" spans="2:10" x14ac:dyDescent="0.25">
      <c r="B2823" t="s">
        <v>6</v>
      </c>
      <c r="C2823" t="s">
        <v>312</v>
      </c>
      <c r="D2823">
        <v>701024</v>
      </c>
      <c r="E2823" t="s">
        <v>80</v>
      </c>
      <c r="F2823" t="s">
        <v>21</v>
      </c>
      <c r="G2823" t="s">
        <v>76</v>
      </c>
      <c r="H2823" t="s">
        <v>77</v>
      </c>
      <c r="J2823" s="20">
        <v>0</v>
      </c>
    </row>
    <row r="2824" spans="2:10" x14ac:dyDescent="0.25">
      <c r="B2824" t="s">
        <v>6</v>
      </c>
      <c r="C2824" t="s">
        <v>312</v>
      </c>
      <c r="D2824">
        <v>701025</v>
      </c>
      <c r="E2824" t="s">
        <v>81</v>
      </c>
      <c r="F2824" t="s">
        <v>21</v>
      </c>
      <c r="G2824" t="s">
        <v>71</v>
      </c>
      <c r="H2824" t="s">
        <v>82</v>
      </c>
      <c r="J2824" s="20">
        <v>0</v>
      </c>
    </row>
    <row r="2825" spans="2:10" x14ac:dyDescent="0.25">
      <c r="B2825" t="s">
        <v>6</v>
      </c>
      <c r="C2825" t="s">
        <v>312</v>
      </c>
      <c r="D2825">
        <v>701026</v>
      </c>
      <c r="E2825" t="s">
        <v>83</v>
      </c>
      <c r="F2825" t="s">
        <v>21</v>
      </c>
      <c r="G2825" t="s">
        <v>76</v>
      </c>
      <c r="H2825" t="s">
        <v>77</v>
      </c>
      <c r="J2825" s="20">
        <v>0</v>
      </c>
    </row>
    <row r="2826" spans="2:10" x14ac:dyDescent="0.25">
      <c r="B2826" t="s">
        <v>6</v>
      </c>
      <c r="C2826" t="s">
        <v>312</v>
      </c>
      <c r="D2826">
        <v>701027</v>
      </c>
      <c r="E2826" t="s">
        <v>84</v>
      </c>
      <c r="F2826" t="s">
        <v>21</v>
      </c>
      <c r="G2826" t="s">
        <v>76</v>
      </c>
      <c r="H2826" t="s">
        <v>77</v>
      </c>
      <c r="J2826" s="20">
        <v>0</v>
      </c>
    </row>
    <row r="2827" spans="2:10" x14ac:dyDescent="0.25">
      <c r="B2827" t="s">
        <v>6</v>
      </c>
      <c r="C2827" t="s">
        <v>312</v>
      </c>
      <c r="D2827">
        <v>701028</v>
      </c>
      <c r="E2827" t="s">
        <v>85</v>
      </c>
      <c r="F2827" t="s">
        <v>21</v>
      </c>
      <c r="G2827" t="s">
        <v>61</v>
      </c>
      <c r="H2827" t="s">
        <v>68</v>
      </c>
      <c r="J2827" s="20">
        <v>0</v>
      </c>
    </row>
    <row r="2828" spans="2:10" x14ac:dyDescent="0.25">
      <c r="B2828" t="s">
        <v>6</v>
      </c>
      <c r="C2828" t="s">
        <v>312</v>
      </c>
      <c r="D2828">
        <v>701029</v>
      </c>
      <c r="E2828" t="s">
        <v>86</v>
      </c>
      <c r="F2828" t="s">
        <v>21</v>
      </c>
      <c r="G2828" t="s">
        <v>61</v>
      </c>
      <c r="H2828" t="s">
        <v>68</v>
      </c>
      <c r="J2828" s="20">
        <v>0</v>
      </c>
    </row>
    <row r="2829" spans="2:10" x14ac:dyDescent="0.25">
      <c r="B2829" t="s">
        <v>6</v>
      </c>
      <c r="C2829" t="s">
        <v>312</v>
      </c>
      <c r="D2829">
        <v>701030</v>
      </c>
      <c r="E2829" t="s">
        <v>87</v>
      </c>
      <c r="F2829" t="s">
        <v>21</v>
      </c>
      <c r="G2829" t="s">
        <v>71</v>
      </c>
      <c r="H2829" t="s">
        <v>88</v>
      </c>
      <c r="J2829" s="20">
        <v>0</v>
      </c>
    </row>
    <row r="2830" spans="2:10" x14ac:dyDescent="0.25">
      <c r="B2830" t="s">
        <v>6</v>
      </c>
      <c r="C2830" t="s">
        <v>312</v>
      </c>
      <c r="D2830">
        <v>701031</v>
      </c>
      <c r="E2830" t="s">
        <v>89</v>
      </c>
      <c r="F2830" t="s">
        <v>21</v>
      </c>
      <c r="G2830" t="s">
        <v>76</v>
      </c>
      <c r="H2830" t="s">
        <v>77</v>
      </c>
      <c r="J2830" s="20">
        <v>0</v>
      </c>
    </row>
    <row r="2831" spans="2:10" x14ac:dyDescent="0.25">
      <c r="B2831" t="s">
        <v>6</v>
      </c>
      <c r="C2831" t="s">
        <v>312</v>
      </c>
      <c r="D2831">
        <v>701032</v>
      </c>
      <c r="E2831" t="s">
        <v>90</v>
      </c>
      <c r="F2831" t="s">
        <v>21</v>
      </c>
      <c r="G2831" t="s">
        <v>52</v>
      </c>
      <c r="H2831" t="s">
        <v>53</v>
      </c>
      <c r="J2831" s="20">
        <v>0</v>
      </c>
    </row>
    <row r="2832" spans="2:10" x14ac:dyDescent="0.25">
      <c r="B2832" t="s">
        <v>6</v>
      </c>
      <c r="C2832" t="s">
        <v>312</v>
      </c>
      <c r="D2832">
        <v>701034</v>
      </c>
      <c r="E2832" t="s">
        <v>91</v>
      </c>
      <c r="F2832" t="s">
        <v>21</v>
      </c>
      <c r="G2832" t="s">
        <v>76</v>
      </c>
      <c r="H2832" t="s">
        <v>77</v>
      </c>
      <c r="J2832" s="20">
        <v>0</v>
      </c>
    </row>
    <row r="2833" spans="2:10" x14ac:dyDescent="0.25">
      <c r="B2833" t="s">
        <v>6</v>
      </c>
      <c r="C2833" t="s">
        <v>312</v>
      </c>
      <c r="D2833">
        <v>701035</v>
      </c>
      <c r="E2833" t="s">
        <v>92</v>
      </c>
      <c r="F2833" t="s">
        <v>21</v>
      </c>
      <c r="G2833" t="s">
        <v>61</v>
      </c>
      <c r="H2833" t="s">
        <v>68</v>
      </c>
      <c r="J2833" s="20">
        <v>0</v>
      </c>
    </row>
    <row r="2834" spans="2:10" x14ac:dyDescent="0.25">
      <c r="B2834" t="s">
        <v>6</v>
      </c>
      <c r="C2834" t="s">
        <v>312</v>
      </c>
      <c r="D2834">
        <v>701036</v>
      </c>
      <c r="E2834" t="s">
        <v>93</v>
      </c>
      <c r="F2834" t="s">
        <v>21</v>
      </c>
      <c r="G2834" t="s">
        <v>52</v>
      </c>
      <c r="H2834" t="s">
        <v>53</v>
      </c>
      <c r="J2834" s="20">
        <v>0</v>
      </c>
    </row>
    <row r="2835" spans="2:10" x14ac:dyDescent="0.25">
      <c r="B2835" t="s">
        <v>6</v>
      </c>
      <c r="C2835" t="s">
        <v>312</v>
      </c>
      <c r="D2835">
        <v>701113</v>
      </c>
      <c r="E2835" t="s">
        <v>94</v>
      </c>
      <c r="F2835" t="s">
        <v>21</v>
      </c>
      <c r="G2835" t="s">
        <v>61</v>
      </c>
      <c r="H2835" t="s">
        <v>62</v>
      </c>
      <c r="J2835" s="20">
        <v>0</v>
      </c>
    </row>
    <row r="2836" spans="2:10" x14ac:dyDescent="0.25">
      <c r="B2836" t="s">
        <v>6</v>
      </c>
      <c r="C2836" t="s">
        <v>312</v>
      </c>
      <c r="D2836">
        <v>701119</v>
      </c>
      <c r="E2836" t="s">
        <v>95</v>
      </c>
      <c r="F2836" t="s">
        <v>21</v>
      </c>
      <c r="G2836" t="s">
        <v>22</v>
      </c>
      <c r="H2836" t="s">
        <v>23</v>
      </c>
      <c r="J2836" s="20">
        <v>0</v>
      </c>
    </row>
    <row r="2837" spans="2:10" x14ac:dyDescent="0.25">
      <c r="B2837" t="s">
        <v>6</v>
      </c>
      <c r="C2837" t="s">
        <v>312</v>
      </c>
      <c r="D2837">
        <v>701120</v>
      </c>
      <c r="E2837" t="s">
        <v>96</v>
      </c>
      <c r="F2837" t="s">
        <v>21</v>
      </c>
      <c r="G2837" t="s">
        <v>22</v>
      </c>
      <c r="H2837" t="s">
        <v>23</v>
      </c>
      <c r="J2837" s="20">
        <v>0</v>
      </c>
    </row>
    <row r="2838" spans="2:10" x14ac:dyDescent="0.25">
      <c r="B2838" t="s">
        <v>6</v>
      </c>
      <c r="C2838" t="s">
        <v>312</v>
      </c>
      <c r="D2838">
        <v>701121</v>
      </c>
      <c r="E2838" t="s">
        <v>97</v>
      </c>
      <c r="F2838" t="s">
        <v>21</v>
      </c>
      <c r="G2838" t="s">
        <v>22</v>
      </c>
      <c r="H2838" t="s">
        <v>23</v>
      </c>
      <c r="J2838" s="20">
        <v>0</v>
      </c>
    </row>
    <row r="2839" spans="2:10" x14ac:dyDescent="0.25">
      <c r="B2839" t="s">
        <v>6</v>
      </c>
      <c r="C2839" t="s">
        <v>312</v>
      </c>
      <c r="D2839">
        <v>701122</v>
      </c>
      <c r="E2839" t="s">
        <v>98</v>
      </c>
      <c r="F2839" t="s">
        <v>21</v>
      </c>
      <c r="G2839" t="s">
        <v>71</v>
      </c>
      <c r="H2839" t="s">
        <v>88</v>
      </c>
      <c r="J2839" s="20">
        <v>0</v>
      </c>
    </row>
    <row r="2840" spans="2:10" x14ac:dyDescent="0.25">
      <c r="B2840" t="s">
        <v>6</v>
      </c>
      <c r="C2840" t="s">
        <v>312</v>
      </c>
      <c r="D2840">
        <v>701123</v>
      </c>
      <c r="E2840" t="s">
        <v>99</v>
      </c>
      <c r="F2840" t="s">
        <v>21</v>
      </c>
      <c r="G2840" t="s">
        <v>22</v>
      </c>
      <c r="H2840" t="s">
        <v>23</v>
      </c>
      <c r="J2840" s="20">
        <v>0</v>
      </c>
    </row>
    <row r="2841" spans="2:10" x14ac:dyDescent="0.25">
      <c r="B2841" t="s">
        <v>6</v>
      </c>
      <c r="C2841" t="s">
        <v>312</v>
      </c>
      <c r="D2841">
        <v>701127</v>
      </c>
      <c r="E2841" t="s">
        <v>100</v>
      </c>
      <c r="F2841" t="s">
        <v>21</v>
      </c>
      <c r="G2841" t="s">
        <v>76</v>
      </c>
      <c r="H2841" t="s">
        <v>77</v>
      </c>
      <c r="J2841" s="20">
        <v>0</v>
      </c>
    </row>
    <row r="2842" spans="2:10" x14ac:dyDescent="0.25">
      <c r="B2842" t="s">
        <v>6</v>
      </c>
      <c r="C2842" t="s">
        <v>312</v>
      </c>
      <c r="D2842">
        <v>701213</v>
      </c>
      <c r="E2842" t="s">
        <v>101</v>
      </c>
      <c r="F2842" t="s">
        <v>21</v>
      </c>
      <c r="G2842" t="s">
        <v>61</v>
      </c>
      <c r="H2842" t="s">
        <v>62</v>
      </c>
      <c r="J2842" s="20">
        <v>0</v>
      </c>
    </row>
    <row r="2843" spans="2:10" x14ac:dyDescent="0.25">
      <c r="B2843" t="s">
        <v>6</v>
      </c>
      <c r="C2843" t="s">
        <v>312</v>
      </c>
      <c r="D2843">
        <v>701214</v>
      </c>
      <c r="E2843" t="s">
        <v>102</v>
      </c>
      <c r="F2843" t="s">
        <v>21</v>
      </c>
      <c r="G2843" t="s">
        <v>61</v>
      </c>
      <c r="H2843" t="s">
        <v>62</v>
      </c>
      <c r="J2843" s="20">
        <v>0</v>
      </c>
    </row>
    <row r="2844" spans="2:10" x14ac:dyDescent="0.25">
      <c r="B2844" t="s">
        <v>6</v>
      </c>
      <c r="C2844" t="s">
        <v>312</v>
      </c>
      <c r="D2844">
        <v>701215</v>
      </c>
      <c r="E2844" t="s">
        <v>103</v>
      </c>
      <c r="F2844" t="s">
        <v>21</v>
      </c>
      <c r="G2844" t="s">
        <v>61</v>
      </c>
      <c r="H2844" t="s">
        <v>62</v>
      </c>
      <c r="J2844" s="20">
        <v>0</v>
      </c>
    </row>
    <row r="2845" spans="2:10" x14ac:dyDescent="0.25">
      <c r="B2845" t="s">
        <v>6</v>
      </c>
      <c r="C2845" t="s">
        <v>312</v>
      </c>
      <c r="D2845">
        <v>701227</v>
      </c>
      <c r="E2845" t="s">
        <v>104</v>
      </c>
      <c r="F2845" t="s">
        <v>21</v>
      </c>
      <c r="G2845" t="s">
        <v>76</v>
      </c>
      <c r="H2845" t="s">
        <v>77</v>
      </c>
      <c r="J2845" s="20">
        <v>0</v>
      </c>
    </row>
    <row r="2846" spans="2:10" x14ac:dyDescent="0.25">
      <c r="B2846" t="s">
        <v>6</v>
      </c>
      <c r="C2846" t="s">
        <v>312</v>
      </c>
      <c r="D2846">
        <v>701327</v>
      </c>
      <c r="E2846" t="s">
        <v>106</v>
      </c>
      <c r="F2846" t="s">
        <v>21</v>
      </c>
      <c r="G2846" t="s">
        <v>76</v>
      </c>
      <c r="H2846" t="s">
        <v>77</v>
      </c>
      <c r="J2846" s="20">
        <v>0</v>
      </c>
    </row>
    <row r="2847" spans="2:10" x14ac:dyDescent="0.25">
      <c r="B2847" t="s">
        <v>6</v>
      </c>
      <c r="C2847" t="s">
        <v>312</v>
      </c>
      <c r="D2847">
        <v>701427</v>
      </c>
      <c r="E2847" t="s">
        <v>107</v>
      </c>
      <c r="F2847" t="s">
        <v>21</v>
      </c>
      <c r="G2847" t="s">
        <v>76</v>
      </c>
      <c r="H2847" t="s">
        <v>108</v>
      </c>
      <c r="J2847" s="20">
        <v>0</v>
      </c>
    </row>
    <row r="2848" spans="2:10" x14ac:dyDescent="0.25">
      <c r="B2848" t="s">
        <v>6</v>
      </c>
      <c r="C2848" t="s">
        <v>312</v>
      </c>
      <c r="D2848">
        <v>701527</v>
      </c>
      <c r="E2848" t="s">
        <v>109</v>
      </c>
      <c r="F2848" t="s">
        <v>21</v>
      </c>
      <c r="G2848" t="s">
        <v>76</v>
      </c>
      <c r="H2848" t="s">
        <v>77</v>
      </c>
      <c r="J2848" s="20">
        <v>0</v>
      </c>
    </row>
    <row r="2849" spans="2:10" x14ac:dyDescent="0.25">
      <c r="B2849" t="s">
        <v>6</v>
      </c>
      <c r="C2849" t="s">
        <v>312</v>
      </c>
      <c r="D2849">
        <v>701627</v>
      </c>
      <c r="E2849" t="s">
        <v>110</v>
      </c>
      <c r="F2849" t="s">
        <v>21</v>
      </c>
      <c r="G2849" t="s">
        <v>76</v>
      </c>
      <c r="H2849" t="s">
        <v>77</v>
      </c>
      <c r="J2849" s="20">
        <v>0</v>
      </c>
    </row>
    <row r="2850" spans="2:10" x14ac:dyDescent="0.25">
      <c r="B2850" t="s">
        <v>6</v>
      </c>
      <c r="C2850" t="s">
        <v>312</v>
      </c>
      <c r="D2850">
        <v>701727</v>
      </c>
      <c r="E2850" t="s">
        <v>111</v>
      </c>
      <c r="F2850" t="s">
        <v>21</v>
      </c>
      <c r="G2850" t="s">
        <v>76</v>
      </c>
      <c r="H2850" t="s">
        <v>77</v>
      </c>
      <c r="J2850" s="20">
        <v>0</v>
      </c>
    </row>
    <row r="2851" spans="2:10" x14ac:dyDescent="0.25">
      <c r="B2851" t="s">
        <v>6</v>
      </c>
      <c r="C2851" t="s">
        <v>312</v>
      </c>
      <c r="D2851">
        <v>701801</v>
      </c>
      <c r="E2851" t="s">
        <v>112</v>
      </c>
      <c r="F2851" t="s">
        <v>21</v>
      </c>
      <c r="G2851" t="s">
        <v>76</v>
      </c>
      <c r="H2851" t="s">
        <v>77</v>
      </c>
      <c r="J2851" s="20">
        <v>0</v>
      </c>
    </row>
    <row r="2852" spans="2:10" x14ac:dyDescent="0.25">
      <c r="B2852" t="s">
        <v>6</v>
      </c>
      <c r="C2852" t="s">
        <v>312</v>
      </c>
      <c r="D2852">
        <v>701802</v>
      </c>
      <c r="E2852" t="s">
        <v>113</v>
      </c>
      <c r="F2852" t="s">
        <v>21</v>
      </c>
      <c r="G2852" t="s">
        <v>61</v>
      </c>
      <c r="H2852" t="s">
        <v>62</v>
      </c>
      <c r="J2852" s="20">
        <v>0</v>
      </c>
    </row>
    <row r="2853" spans="2:10" x14ac:dyDescent="0.25">
      <c r="B2853" t="s">
        <v>6</v>
      </c>
      <c r="C2853" t="s">
        <v>312</v>
      </c>
      <c r="D2853">
        <v>703010</v>
      </c>
      <c r="E2853" t="s">
        <v>114</v>
      </c>
      <c r="F2853" t="s">
        <v>21</v>
      </c>
      <c r="G2853" t="s">
        <v>22</v>
      </c>
      <c r="H2853" t="s">
        <v>115</v>
      </c>
      <c r="J2853" s="20">
        <v>0</v>
      </c>
    </row>
    <row r="2854" spans="2:10" x14ac:dyDescent="0.25">
      <c r="B2854" t="s">
        <v>6</v>
      </c>
      <c r="C2854" t="s">
        <v>312</v>
      </c>
      <c r="D2854">
        <v>703011</v>
      </c>
      <c r="E2854" t="s">
        <v>116</v>
      </c>
      <c r="F2854" t="s">
        <v>21</v>
      </c>
      <c r="G2854" t="s">
        <v>22</v>
      </c>
      <c r="H2854" t="s">
        <v>115</v>
      </c>
      <c r="J2854" s="20">
        <v>0</v>
      </c>
    </row>
    <row r="2855" spans="2:10" x14ac:dyDescent="0.25">
      <c r="B2855" t="s">
        <v>6</v>
      </c>
      <c r="C2855" t="s">
        <v>312</v>
      </c>
      <c r="D2855">
        <v>703012</v>
      </c>
      <c r="E2855" t="s">
        <v>117</v>
      </c>
      <c r="F2855" t="s">
        <v>21</v>
      </c>
      <c r="G2855" t="s">
        <v>22</v>
      </c>
      <c r="H2855" t="s">
        <v>115</v>
      </c>
      <c r="J2855" s="20">
        <v>0</v>
      </c>
    </row>
    <row r="2856" spans="2:10" x14ac:dyDescent="0.25">
      <c r="B2856" t="s">
        <v>6</v>
      </c>
      <c r="C2856" t="s">
        <v>312</v>
      </c>
      <c r="D2856">
        <v>703013</v>
      </c>
      <c r="E2856" t="s">
        <v>118</v>
      </c>
      <c r="F2856" t="s">
        <v>21</v>
      </c>
      <c r="G2856" t="s">
        <v>22</v>
      </c>
      <c r="H2856" t="s">
        <v>115</v>
      </c>
      <c r="J2856" s="20">
        <v>0</v>
      </c>
    </row>
    <row r="2857" spans="2:10" x14ac:dyDescent="0.25">
      <c r="B2857" t="s">
        <v>6</v>
      </c>
      <c r="C2857" t="s">
        <v>312</v>
      </c>
      <c r="D2857">
        <v>703014</v>
      </c>
      <c r="E2857" t="s">
        <v>119</v>
      </c>
      <c r="F2857" t="s">
        <v>21</v>
      </c>
      <c r="G2857" t="s">
        <v>22</v>
      </c>
      <c r="H2857" t="s">
        <v>115</v>
      </c>
      <c r="J2857" s="20">
        <v>0</v>
      </c>
    </row>
    <row r="2858" spans="2:10" x14ac:dyDescent="0.25">
      <c r="B2858" t="s">
        <v>6</v>
      </c>
      <c r="C2858" t="s">
        <v>312</v>
      </c>
      <c r="D2858">
        <v>703015</v>
      </c>
      <c r="E2858" t="s">
        <v>120</v>
      </c>
      <c r="F2858" t="s">
        <v>21</v>
      </c>
      <c r="G2858" t="s">
        <v>22</v>
      </c>
      <c r="H2858" t="s">
        <v>115</v>
      </c>
      <c r="J2858" s="20">
        <v>0</v>
      </c>
    </row>
    <row r="2859" spans="2:10" x14ac:dyDescent="0.25">
      <c r="B2859" t="s">
        <v>6</v>
      </c>
      <c r="C2859" t="s">
        <v>312</v>
      </c>
      <c r="D2859">
        <v>703016</v>
      </c>
      <c r="E2859" t="s">
        <v>121</v>
      </c>
      <c r="F2859" t="s">
        <v>21</v>
      </c>
      <c r="G2859" t="s">
        <v>22</v>
      </c>
      <c r="H2859" t="s">
        <v>115</v>
      </c>
      <c r="J2859" s="20">
        <v>0</v>
      </c>
    </row>
    <row r="2860" spans="2:10" x14ac:dyDescent="0.25">
      <c r="B2860" t="s">
        <v>6</v>
      </c>
      <c r="C2860" t="s">
        <v>312</v>
      </c>
      <c r="D2860">
        <v>703017</v>
      </c>
      <c r="E2860" t="s">
        <v>122</v>
      </c>
      <c r="F2860" t="s">
        <v>21</v>
      </c>
      <c r="G2860" t="s">
        <v>22</v>
      </c>
      <c r="H2860" t="s">
        <v>115</v>
      </c>
      <c r="J2860" s="20">
        <v>0</v>
      </c>
    </row>
    <row r="2861" spans="2:10" x14ac:dyDescent="0.25">
      <c r="B2861" t="s">
        <v>6</v>
      </c>
      <c r="C2861" t="s">
        <v>312</v>
      </c>
      <c r="D2861">
        <v>703018</v>
      </c>
      <c r="E2861" t="s">
        <v>123</v>
      </c>
      <c r="F2861" t="s">
        <v>21</v>
      </c>
      <c r="G2861" t="s">
        <v>22</v>
      </c>
      <c r="H2861" t="s">
        <v>115</v>
      </c>
      <c r="J2861" s="20">
        <v>0</v>
      </c>
    </row>
    <row r="2862" spans="2:10" x14ac:dyDescent="0.25">
      <c r="B2862" t="s">
        <v>6</v>
      </c>
      <c r="C2862" t="s">
        <v>312</v>
      </c>
      <c r="D2862">
        <v>703019</v>
      </c>
      <c r="E2862" t="s">
        <v>124</v>
      </c>
      <c r="F2862" t="s">
        <v>21</v>
      </c>
      <c r="G2862" t="s">
        <v>22</v>
      </c>
      <c r="H2862" t="s">
        <v>115</v>
      </c>
      <c r="J2862" s="20">
        <v>0</v>
      </c>
    </row>
    <row r="2863" spans="2:10" x14ac:dyDescent="0.25">
      <c r="B2863" t="s">
        <v>6</v>
      </c>
      <c r="C2863" t="s">
        <v>312</v>
      </c>
      <c r="D2863">
        <v>703210</v>
      </c>
      <c r="E2863" t="s">
        <v>125</v>
      </c>
      <c r="F2863" t="s">
        <v>21</v>
      </c>
      <c r="G2863" t="s">
        <v>22</v>
      </c>
      <c r="H2863" t="s">
        <v>23</v>
      </c>
      <c r="J2863" s="20">
        <v>0</v>
      </c>
    </row>
    <row r="2864" spans="2:10" x14ac:dyDescent="0.25">
      <c r="B2864" t="s">
        <v>6</v>
      </c>
      <c r="C2864" t="s">
        <v>312</v>
      </c>
      <c r="D2864">
        <v>703211</v>
      </c>
      <c r="E2864" t="s">
        <v>126</v>
      </c>
      <c r="F2864" t="s">
        <v>21</v>
      </c>
      <c r="G2864" t="s">
        <v>22</v>
      </c>
      <c r="H2864" t="s">
        <v>23</v>
      </c>
      <c r="J2864" s="20">
        <v>0</v>
      </c>
    </row>
    <row r="2865" spans="2:10" x14ac:dyDescent="0.25">
      <c r="B2865" t="s">
        <v>6</v>
      </c>
      <c r="C2865" t="s">
        <v>312</v>
      </c>
      <c r="D2865">
        <v>703212</v>
      </c>
      <c r="E2865" t="s">
        <v>127</v>
      </c>
      <c r="F2865" t="s">
        <v>21</v>
      </c>
      <c r="G2865" t="s">
        <v>22</v>
      </c>
      <c r="H2865" t="s">
        <v>23</v>
      </c>
      <c r="J2865" s="20">
        <v>0</v>
      </c>
    </row>
    <row r="2866" spans="2:10" x14ac:dyDescent="0.25">
      <c r="B2866" t="s">
        <v>6</v>
      </c>
      <c r="C2866" t="s">
        <v>312</v>
      </c>
      <c r="D2866">
        <v>703213</v>
      </c>
      <c r="E2866" t="s">
        <v>128</v>
      </c>
      <c r="F2866" t="s">
        <v>21</v>
      </c>
      <c r="G2866" t="s">
        <v>22</v>
      </c>
      <c r="H2866" t="s">
        <v>23</v>
      </c>
      <c r="J2866" s="20">
        <v>0</v>
      </c>
    </row>
    <row r="2867" spans="2:10" x14ac:dyDescent="0.25">
      <c r="B2867" t="s">
        <v>6</v>
      </c>
      <c r="C2867" t="s">
        <v>312</v>
      </c>
      <c r="D2867">
        <v>703214</v>
      </c>
      <c r="E2867" t="s">
        <v>129</v>
      </c>
      <c r="F2867" t="s">
        <v>21</v>
      </c>
      <c r="G2867" t="s">
        <v>22</v>
      </c>
      <c r="H2867" t="s">
        <v>23</v>
      </c>
      <c r="J2867" s="20">
        <v>0</v>
      </c>
    </row>
    <row r="2868" spans="2:10" x14ac:dyDescent="0.25">
      <c r="B2868" t="s">
        <v>6</v>
      </c>
      <c r="C2868" t="s">
        <v>312</v>
      </c>
      <c r="D2868">
        <v>703215</v>
      </c>
      <c r="E2868" t="s">
        <v>130</v>
      </c>
      <c r="F2868" t="s">
        <v>21</v>
      </c>
      <c r="G2868" t="s">
        <v>22</v>
      </c>
      <c r="H2868" t="s">
        <v>23</v>
      </c>
      <c r="J2868" s="20">
        <v>0</v>
      </c>
    </row>
    <row r="2869" spans="2:10" x14ac:dyDescent="0.25">
      <c r="B2869" t="s">
        <v>6</v>
      </c>
      <c r="C2869" t="s">
        <v>312</v>
      </c>
      <c r="D2869">
        <v>703216</v>
      </c>
      <c r="E2869" t="s">
        <v>131</v>
      </c>
      <c r="F2869" t="s">
        <v>21</v>
      </c>
      <c r="G2869" t="s">
        <v>22</v>
      </c>
      <c r="H2869" t="s">
        <v>23</v>
      </c>
      <c r="J2869" s="20">
        <v>0</v>
      </c>
    </row>
    <row r="2870" spans="2:10" x14ac:dyDescent="0.25">
      <c r="B2870" t="s">
        <v>6</v>
      </c>
      <c r="C2870" t="s">
        <v>312</v>
      </c>
      <c r="D2870">
        <v>703217</v>
      </c>
      <c r="E2870" t="s">
        <v>132</v>
      </c>
      <c r="F2870" t="s">
        <v>21</v>
      </c>
      <c r="G2870" t="s">
        <v>22</v>
      </c>
      <c r="H2870" t="s">
        <v>23</v>
      </c>
      <c r="J2870" s="20">
        <v>0</v>
      </c>
    </row>
    <row r="2871" spans="2:10" x14ac:dyDescent="0.25">
      <c r="B2871" t="s">
        <v>6</v>
      </c>
      <c r="C2871" t="s">
        <v>312</v>
      </c>
      <c r="D2871">
        <v>703219</v>
      </c>
      <c r="E2871" t="s">
        <v>133</v>
      </c>
      <c r="F2871" t="s">
        <v>21</v>
      </c>
      <c r="G2871" t="s">
        <v>22</v>
      </c>
      <c r="H2871" t="s">
        <v>23</v>
      </c>
      <c r="J2871" s="20">
        <v>0</v>
      </c>
    </row>
    <row r="2872" spans="2:10" x14ac:dyDescent="0.25">
      <c r="B2872" t="s">
        <v>6</v>
      </c>
      <c r="C2872" t="s">
        <v>312</v>
      </c>
      <c r="D2872">
        <v>703220</v>
      </c>
      <c r="E2872" t="s">
        <v>134</v>
      </c>
      <c r="F2872" t="s">
        <v>21</v>
      </c>
      <c r="G2872" t="s">
        <v>71</v>
      </c>
      <c r="H2872" t="s">
        <v>135</v>
      </c>
      <c r="J2872" s="20">
        <v>0</v>
      </c>
    </row>
    <row r="2873" spans="2:10" x14ac:dyDescent="0.25">
      <c r="B2873" t="s">
        <v>6</v>
      </c>
      <c r="C2873" t="s">
        <v>312</v>
      </c>
      <c r="D2873">
        <v>703221</v>
      </c>
      <c r="E2873" t="s">
        <v>136</v>
      </c>
      <c r="F2873" t="s">
        <v>21</v>
      </c>
      <c r="G2873" t="s">
        <v>137</v>
      </c>
      <c r="H2873" t="s">
        <v>138</v>
      </c>
      <c r="J2873" s="20">
        <v>0</v>
      </c>
    </row>
    <row r="2874" spans="2:10" x14ac:dyDescent="0.25">
      <c r="B2874" t="s">
        <v>6</v>
      </c>
      <c r="C2874" t="s">
        <v>312</v>
      </c>
      <c r="D2874">
        <v>703222</v>
      </c>
      <c r="E2874" t="s">
        <v>139</v>
      </c>
      <c r="F2874" t="s">
        <v>21</v>
      </c>
      <c r="G2874" t="s">
        <v>137</v>
      </c>
      <c r="H2874" t="s">
        <v>138</v>
      </c>
      <c r="J2874" s="20">
        <v>0</v>
      </c>
    </row>
    <row r="2875" spans="2:10" x14ac:dyDescent="0.25">
      <c r="B2875" t="s">
        <v>6</v>
      </c>
      <c r="C2875" t="s">
        <v>312</v>
      </c>
      <c r="D2875">
        <v>703223</v>
      </c>
      <c r="E2875" t="s">
        <v>140</v>
      </c>
      <c r="F2875" t="s">
        <v>21</v>
      </c>
      <c r="G2875" t="s">
        <v>137</v>
      </c>
      <c r="H2875" t="s">
        <v>141</v>
      </c>
      <c r="J2875" s="20">
        <v>0</v>
      </c>
    </row>
    <row r="2876" spans="2:10" x14ac:dyDescent="0.25">
      <c r="B2876" t="s">
        <v>6</v>
      </c>
      <c r="C2876" t="s">
        <v>312</v>
      </c>
      <c r="D2876">
        <v>703224</v>
      </c>
      <c r="E2876" t="s">
        <v>142</v>
      </c>
      <c r="F2876" t="s">
        <v>21</v>
      </c>
      <c r="G2876" t="s">
        <v>71</v>
      </c>
      <c r="H2876" t="s">
        <v>88</v>
      </c>
      <c r="J2876" s="20">
        <v>0</v>
      </c>
    </row>
    <row r="2877" spans="2:10" x14ac:dyDescent="0.25">
      <c r="B2877" t="s">
        <v>6</v>
      </c>
      <c r="C2877" t="s">
        <v>312</v>
      </c>
      <c r="D2877">
        <v>703225</v>
      </c>
      <c r="E2877" t="s">
        <v>143</v>
      </c>
      <c r="F2877" t="s">
        <v>21</v>
      </c>
      <c r="G2877" t="s">
        <v>71</v>
      </c>
      <c r="H2877" t="s">
        <v>88</v>
      </c>
      <c r="J2877" s="20">
        <v>0</v>
      </c>
    </row>
    <row r="2878" spans="2:10" x14ac:dyDescent="0.25">
      <c r="B2878" t="s">
        <v>6</v>
      </c>
      <c r="C2878" t="s">
        <v>312</v>
      </c>
      <c r="D2878">
        <v>703226</v>
      </c>
      <c r="E2878" t="s">
        <v>144</v>
      </c>
      <c r="F2878" t="s">
        <v>21</v>
      </c>
      <c r="G2878" t="s">
        <v>71</v>
      </c>
      <c r="H2878" t="s">
        <v>82</v>
      </c>
      <c r="J2878" s="20">
        <v>0</v>
      </c>
    </row>
    <row r="2879" spans="2:10" x14ac:dyDescent="0.25">
      <c r="B2879" t="s">
        <v>6</v>
      </c>
      <c r="C2879" t="s">
        <v>312</v>
      </c>
      <c r="D2879">
        <v>703227</v>
      </c>
      <c r="E2879" t="s">
        <v>145</v>
      </c>
      <c r="F2879" t="s">
        <v>21</v>
      </c>
      <c r="G2879" t="s">
        <v>137</v>
      </c>
      <c r="H2879" t="s">
        <v>138</v>
      </c>
      <c r="J2879" s="20">
        <v>0</v>
      </c>
    </row>
    <row r="2880" spans="2:10" x14ac:dyDescent="0.25">
      <c r="B2880" t="s">
        <v>6</v>
      </c>
      <c r="C2880" t="s">
        <v>312</v>
      </c>
      <c r="D2880">
        <v>703228</v>
      </c>
      <c r="E2880" t="s">
        <v>146</v>
      </c>
      <c r="F2880" t="s">
        <v>21</v>
      </c>
      <c r="G2880" t="s">
        <v>147</v>
      </c>
      <c r="H2880" t="s">
        <v>147</v>
      </c>
      <c r="J2880" s="20">
        <v>0</v>
      </c>
    </row>
    <row r="2881" spans="2:10" x14ac:dyDescent="0.25">
      <c r="B2881" t="s">
        <v>6</v>
      </c>
      <c r="C2881" t="s">
        <v>312</v>
      </c>
      <c r="D2881">
        <v>703229</v>
      </c>
      <c r="E2881" t="s">
        <v>148</v>
      </c>
      <c r="F2881" t="s">
        <v>21</v>
      </c>
      <c r="G2881" t="s">
        <v>147</v>
      </c>
      <c r="H2881" t="s">
        <v>147</v>
      </c>
      <c r="J2881" s="20">
        <v>0</v>
      </c>
    </row>
    <row r="2882" spans="2:10" x14ac:dyDescent="0.25">
      <c r="B2882" t="s">
        <v>6</v>
      </c>
      <c r="C2882" t="s">
        <v>312</v>
      </c>
      <c r="D2882">
        <v>703230</v>
      </c>
      <c r="E2882" t="s">
        <v>149</v>
      </c>
      <c r="F2882" t="s">
        <v>21</v>
      </c>
      <c r="G2882" t="s">
        <v>147</v>
      </c>
      <c r="H2882" t="s">
        <v>147</v>
      </c>
      <c r="J2882" s="20">
        <v>0</v>
      </c>
    </row>
    <row r="2883" spans="2:10" x14ac:dyDescent="0.25">
      <c r="B2883" t="s">
        <v>6</v>
      </c>
      <c r="C2883" t="s">
        <v>312</v>
      </c>
      <c r="D2883">
        <v>703231</v>
      </c>
      <c r="E2883" t="s">
        <v>150</v>
      </c>
      <c r="F2883" t="s">
        <v>21</v>
      </c>
      <c r="G2883" t="s">
        <v>137</v>
      </c>
      <c r="H2883" t="s">
        <v>141</v>
      </c>
      <c r="J2883" s="20">
        <v>0</v>
      </c>
    </row>
    <row r="2884" spans="2:10" x14ac:dyDescent="0.25">
      <c r="B2884" t="s">
        <v>6</v>
      </c>
      <c r="C2884" t="s">
        <v>312</v>
      </c>
      <c r="D2884">
        <v>703232</v>
      </c>
      <c r="E2884" t="s">
        <v>151</v>
      </c>
      <c r="F2884" t="s">
        <v>21</v>
      </c>
      <c r="G2884" t="s">
        <v>147</v>
      </c>
      <c r="H2884" t="s">
        <v>147</v>
      </c>
      <c r="J2884" s="20">
        <v>0</v>
      </c>
    </row>
    <row r="2885" spans="2:10" x14ac:dyDescent="0.25">
      <c r="B2885" t="s">
        <v>6</v>
      </c>
      <c r="C2885" t="s">
        <v>312</v>
      </c>
      <c r="D2885">
        <v>703233</v>
      </c>
      <c r="E2885" t="s">
        <v>152</v>
      </c>
      <c r="F2885" t="s">
        <v>21</v>
      </c>
      <c r="G2885" t="s">
        <v>71</v>
      </c>
      <c r="H2885" t="s">
        <v>153</v>
      </c>
      <c r="J2885" s="20">
        <v>0</v>
      </c>
    </row>
    <row r="2886" spans="2:10" x14ac:dyDescent="0.25">
      <c r="B2886" t="s">
        <v>6</v>
      </c>
      <c r="C2886" t="s">
        <v>312</v>
      </c>
      <c r="D2886">
        <v>703234</v>
      </c>
      <c r="E2886" t="s">
        <v>154</v>
      </c>
      <c r="F2886" t="s">
        <v>21</v>
      </c>
      <c r="G2886" t="s">
        <v>71</v>
      </c>
      <c r="H2886" t="s">
        <v>153</v>
      </c>
      <c r="J2886" s="20">
        <v>0</v>
      </c>
    </row>
    <row r="2887" spans="2:10" x14ac:dyDescent="0.25">
      <c r="B2887" t="s">
        <v>6</v>
      </c>
      <c r="C2887" t="s">
        <v>312</v>
      </c>
      <c r="D2887">
        <v>703235</v>
      </c>
      <c r="E2887" t="s">
        <v>155</v>
      </c>
      <c r="F2887" t="s">
        <v>21</v>
      </c>
      <c r="G2887" t="s">
        <v>71</v>
      </c>
      <c r="H2887" t="s">
        <v>153</v>
      </c>
      <c r="J2887" s="20">
        <v>0</v>
      </c>
    </row>
    <row r="2888" spans="2:10" x14ac:dyDescent="0.25">
      <c r="B2888" t="s">
        <v>6</v>
      </c>
      <c r="C2888" t="s">
        <v>312</v>
      </c>
      <c r="D2888">
        <v>703236</v>
      </c>
      <c r="E2888" t="s">
        <v>156</v>
      </c>
      <c r="F2888" t="s">
        <v>21</v>
      </c>
      <c r="G2888" t="s">
        <v>76</v>
      </c>
      <c r="H2888" t="s">
        <v>77</v>
      </c>
      <c r="J2888" s="20">
        <v>0</v>
      </c>
    </row>
    <row r="2889" spans="2:10" x14ac:dyDescent="0.25">
      <c r="B2889" t="s">
        <v>6</v>
      </c>
      <c r="C2889" t="s">
        <v>312</v>
      </c>
      <c r="D2889">
        <v>703237</v>
      </c>
      <c r="E2889" t="s">
        <v>157</v>
      </c>
      <c r="F2889" t="s">
        <v>21</v>
      </c>
      <c r="G2889" t="s">
        <v>22</v>
      </c>
      <c r="H2889" t="s">
        <v>23</v>
      </c>
      <c r="J2889" s="20">
        <v>0</v>
      </c>
    </row>
    <row r="2890" spans="2:10" x14ac:dyDescent="0.25">
      <c r="B2890" t="s">
        <v>6</v>
      </c>
      <c r="C2890" t="s">
        <v>312</v>
      </c>
      <c r="D2890">
        <v>703238</v>
      </c>
      <c r="E2890" t="s">
        <v>158</v>
      </c>
      <c r="F2890" t="s">
        <v>21</v>
      </c>
      <c r="G2890" t="s">
        <v>61</v>
      </c>
      <c r="H2890" t="s">
        <v>68</v>
      </c>
      <c r="J2890" s="20">
        <v>0</v>
      </c>
    </row>
    <row r="2891" spans="2:10" x14ac:dyDescent="0.25">
      <c r="B2891" t="s">
        <v>6</v>
      </c>
      <c r="C2891" t="s">
        <v>312</v>
      </c>
      <c r="D2891">
        <v>703239</v>
      </c>
      <c r="E2891" t="s">
        <v>159</v>
      </c>
      <c r="F2891" t="s">
        <v>21</v>
      </c>
      <c r="G2891" t="s">
        <v>61</v>
      </c>
      <c r="H2891" t="s">
        <v>68</v>
      </c>
      <c r="J2891" s="20">
        <v>0</v>
      </c>
    </row>
    <row r="2892" spans="2:10" x14ac:dyDescent="0.25">
      <c r="B2892" t="s">
        <v>6</v>
      </c>
      <c r="C2892" t="s">
        <v>312</v>
      </c>
      <c r="D2892">
        <v>703240</v>
      </c>
      <c r="E2892" t="s">
        <v>160</v>
      </c>
      <c r="F2892" t="s">
        <v>21</v>
      </c>
      <c r="G2892" t="s">
        <v>61</v>
      </c>
      <c r="H2892" t="s">
        <v>68</v>
      </c>
      <c r="J2892" s="20">
        <v>0</v>
      </c>
    </row>
    <row r="2893" spans="2:10" x14ac:dyDescent="0.25">
      <c r="B2893" t="s">
        <v>6</v>
      </c>
      <c r="C2893" t="s">
        <v>312</v>
      </c>
      <c r="D2893">
        <v>703241</v>
      </c>
      <c r="E2893" t="s">
        <v>161</v>
      </c>
      <c r="F2893" t="s">
        <v>21</v>
      </c>
      <c r="G2893" t="s">
        <v>137</v>
      </c>
      <c r="H2893" t="s">
        <v>141</v>
      </c>
      <c r="J2893" s="20">
        <v>0</v>
      </c>
    </row>
    <row r="2894" spans="2:10" x14ac:dyDescent="0.25">
      <c r="B2894" t="s">
        <v>6</v>
      </c>
      <c r="C2894" t="s">
        <v>312</v>
      </c>
      <c r="D2894">
        <v>703242</v>
      </c>
      <c r="E2894" t="s">
        <v>162</v>
      </c>
      <c r="F2894" t="s">
        <v>21</v>
      </c>
      <c r="G2894" t="s">
        <v>137</v>
      </c>
      <c r="H2894" t="s">
        <v>141</v>
      </c>
      <c r="J2894" s="20">
        <v>0</v>
      </c>
    </row>
    <row r="2895" spans="2:10" x14ac:dyDescent="0.25">
      <c r="B2895" t="s">
        <v>6</v>
      </c>
      <c r="C2895" t="s">
        <v>312</v>
      </c>
      <c r="D2895">
        <v>703243</v>
      </c>
      <c r="E2895" t="s">
        <v>163</v>
      </c>
      <c r="F2895" t="s">
        <v>21</v>
      </c>
      <c r="G2895" t="s">
        <v>137</v>
      </c>
      <c r="H2895" t="s">
        <v>141</v>
      </c>
      <c r="J2895" s="20">
        <v>0</v>
      </c>
    </row>
    <row r="2896" spans="2:10" x14ac:dyDescent="0.25">
      <c r="B2896" t="s">
        <v>6</v>
      </c>
      <c r="C2896" t="s">
        <v>312</v>
      </c>
      <c r="D2896">
        <v>703244</v>
      </c>
      <c r="E2896" t="s">
        <v>164</v>
      </c>
      <c r="F2896" t="s">
        <v>21</v>
      </c>
      <c r="G2896" t="s">
        <v>71</v>
      </c>
      <c r="H2896" t="s">
        <v>88</v>
      </c>
      <c r="J2896" s="20">
        <v>0</v>
      </c>
    </row>
    <row r="2897" spans="2:10" x14ac:dyDescent="0.25">
      <c r="B2897" t="s">
        <v>6</v>
      </c>
      <c r="C2897" t="s">
        <v>312</v>
      </c>
      <c r="D2897">
        <v>703245</v>
      </c>
      <c r="E2897" t="s">
        <v>165</v>
      </c>
      <c r="F2897" t="s">
        <v>21</v>
      </c>
      <c r="G2897" t="s">
        <v>137</v>
      </c>
      <c r="H2897" t="s">
        <v>138</v>
      </c>
      <c r="J2897" s="20">
        <v>0</v>
      </c>
    </row>
    <row r="2898" spans="2:10" x14ac:dyDescent="0.25">
      <c r="B2898" t="s">
        <v>6</v>
      </c>
      <c r="C2898" t="s">
        <v>312</v>
      </c>
      <c r="D2898">
        <v>703246</v>
      </c>
      <c r="E2898" t="s">
        <v>166</v>
      </c>
      <c r="F2898" t="s">
        <v>21</v>
      </c>
      <c r="G2898" t="s">
        <v>137</v>
      </c>
      <c r="H2898" t="s">
        <v>138</v>
      </c>
      <c r="J2898" s="20">
        <v>0</v>
      </c>
    </row>
    <row r="2899" spans="2:10" x14ac:dyDescent="0.25">
      <c r="B2899" t="s">
        <v>6</v>
      </c>
      <c r="C2899" t="s">
        <v>312</v>
      </c>
      <c r="D2899">
        <v>703247</v>
      </c>
      <c r="E2899" t="s">
        <v>167</v>
      </c>
      <c r="F2899" t="s">
        <v>21</v>
      </c>
      <c r="G2899" t="s">
        <v>137</v>
      </c>
      <c r="H2899" t="s">
        <v>138</v>
      </c>
      <c r="J2899" s="20">
        <v>0</v>
      </c>
    </row>
    <row r="2900" spans="2:10" x14ac:dyDescent="0.25">
      <c r="B2900" t="s">
        <v>6</v>
      </c>
      <c r="C2900" t="s">
        <v>312</v>
      </c>
      <c r="D2900">
        <v>703248</v>
      </c>
      <c r="E2900" t="s">
        <v>168</v>
      </c>
      <c r="F2900" t="s">
        <v>21</v>
      </c>
      <c r="G2900" t="s">
        <v>137</v>
      </c>
      <c r="H2900" t="s">
        <v>141</v>
      </c>
      <c r="J2900" s="20">
        <v>0</v>
      </c>
    </row>
    <row r="2901" spans="2:10" x14ac:dyDescent="0.25">
      <c r="B2901" t="s">
        <v>6</v>
      </c>
      <c r="C2901" t="s">
        <v>312</v>
      </c>
      <c r="D2901">
        <v>703249</v>
      </c>
      <c r="E2901" t="s">
        <v>169</v>
      </c>
      <c r="F2901" t="s">
        <v>21</v>
      </c>
      <c r="G2901" t="s">
        <v>147</v>
      </c>
      <c r="H2901" t="s">
        <v>147</v>
      </c>
      <c r="J2901" s="20">
        <v>0</v>
      </c>
    </row>
    <row r="2902" spans="2:10" x14ac:dyDescent="0.25">
      <c r="B2902" t="s">
        <v>6</v>
      </c>
      <c r="C2902" t="s">
        <v>312</v>
      </c>
      <c r="D2902">
        <v>703250</v>
      </c>
      <c r="E2902" t="s">
        <v>170</v>
      </c>
      <c r="F2902" t="s">
        <v>21</v>
      </c>
      <c r="G2902" t="s">
        <v>71</v>
      </c>
      <c r="H2902" t="s">
        <v>171</v>
      </c>
      <c r="J2902" s="20">
        <v>0</v>
      </c>
    </row>
    <row r="2903" spans="2:10" x14ac:dyDescent="0.25">
      <c r="B2903" t="s">
        <v>6</v>
      </c>
      <c r="C2903" t="s">
        <v>312</v>
      </c>
      <c r="D2903">
        <v>703251</v>
      </c>
      <c r="E2903" t="s">
        <v>172</v>
      </c>
      <c r="F2903" t="s">
        <v>21</v>
      </c>
      <c r="G2903" t="s">
        <v>22</v>
      </c>
      <c r="H2903" t="s">
        <v>115</v>
      </c>
      <c r="J2903" s="20">
        <v>0</v>
      </c>
    </row>
    <row r="2904" spans="2:10" x14ac:dyDescent="0.25">
      <c r="B2904" t="s">
        <v>6</v>
      </c>
      <c r="C2904" t="s">
        <v>312</v>
      </c>
      <c r="D2904">
        <v>703252</v>
      </c>
      <c r="E2904" t="s">
        <v>173</v>
      </c>
      <c r="F2904" t="s">
        <v>21</v>
      </c>
      <c r="G2904" t="s">
        <v>22</v>
      </c>
      <c r="H2904" t="s">
        <v>115</v>
      </c>
      <c r="J2904" s="20">
        <v>0</v>
      </c>
    </row>
    <row r="2905" spans="2:10" x14ac:dyDescent="0.25">
      <c r="B2905" t="s">
        <v>6</v>
      </c>
      <c r="C2905" t="s">
        <v>312</v>
      </c>
      <c r="D2905">
        <v>703253</v>
      </c>
      <c r="E2905" t="s">
        <v>174</v>
      </c>
      <c r="F2905" t="s">
        <v>21</v>
      </c>
      <c r="G2905" t="s">
        <v>22</v>
      </c>
      <c r="H2905" t="s">
        <v>115</v>
      </c>
      <c r="J2905" s="20">
        <v>0</v>
      </c>
    </row>
    <row r="2906" spans="2:10" x14ac:dyDescent="0.25">
      <c r="B2906" t="s">
        <v>6</v>
      </c>
      <c r="C2906" t="s">
        <v>312</v>
      </c>
      <c r="D2906">
        <v>703254</v>
      </c>
      <c r="E2906" t="s">
        <v>175</v>
      </c>
      <c r="F2906" t="s">
        <v>21</v>
      </c>
      <c r="G2906" t="s">
        <v>22</v>
      </c>
      <c r="H2906" t="s">
        <v>115</v>
      </c>
      <c r="J2906" s="20">
        <v>0</v>
      </c>
    </row>
    <row r="2907" spans="2:10" x14ac:dyDescent="0.25">
      <c r="B2907" t="s">
        <v>6</v>
      </c>
      <c r="C2907" t="s">
        <v>312</v>
      </c>
      <c r="D2907">
        <v>703255</v>
      </c>
      <c r="E2907" t="s">
        <v>176</v>
      </c>
      <c r="F2907" t="s">
        <v>21</v>
      </c>
      <c r="G2907" t="s">
        <v>22</v>
      </c>
      <c r="H2907" t="s">
        <v>115</v>
      </c>
      <c r="J2907" s="20">
        <v>0</v>
      </c>
    </row>
    <row r="2908" spans="2:10" x14ac:dyDescent="0.25">
      <c r="B2908" t="s">
        <v>6</v>
      </c>
      <c r="C2908" t="s">
        <v>312</v>
      </c>
      <c r="D2908">
        <v>703257</v>
      </c>
      <c r="E2908" t="s">
        <v>177</v>
      </c>
      <c r="F2908" t="s">
        <v>21</v>
      </c>
      <c r="G2908" t="s">
        <v>147</v>
      </c>
      <c r="H2908" t="s">
        <v>147</v>
      </c>
      <c r="J2908" s="20">
        <v>0</v>
      </c>
    </row>
    <row r="2909" spans="2:10" x14ac:dyDescent="0.25">
      <c r="B2909" t="s">
        <v>6</v>
      </c>
      <c r="C2909" t="s">
        <v>312</v>
      </c>
      <c r="D2909">
        <v>703258</v>
      </c>
      <c r="E2909" t="s">
        <v>178</v>
      </c>
      <c r="F2909" t="s">
        <v>21</v>
      </c>
      <c r="G2909" t="s">
        <v>147</v>
      </c>
      <c r="H2909" t="s">
        <v>147</v>
      </c>
      <c r="J2909" s="20">
        <v>0</v>
      </c>
    </row>
    <row r="2910" spans="2:10" x14ac:dyDescent="0.25">
      <c r="B2910" t="s">
        <v>6</v>
      </c>
      <c r="C2910" t="s">
        <v>312</v>
      </c>
      <c r="D2910">
        <v>703260</v>
      </c>
      <c r="E2910" t="s">
        <v>179</v>
      </c>
      <c r="F2910" t="s">
        <v>21</v>
      </c>
      <c r="G2910" t="s">
        <v>76</v>
      </c>
      <c r="H2910" t="s">
        <v>77</v>
      </c>
      <c r="J2910" s="20">
        <v>0</v>
      </c>
    </row>
    <row r="2911" spans="2:10" x14ac:dyDescent="0.25">
      <c r="B2911" t="s">
        <v>6</v>
      </c>
      <c r="C2911" t="s">
        <v>312</v>
      </c>
      <c r="D2911">
        <v>703261</v>
      </c>
      <c r="E2911" t="s">
        <v>180</v>
      </c>
      <c r="F2911" t="s">
        <v>21</v>
      </c>
      <c r="G2911" t="s">
        <v>22</v>
      </c>
      <c r="H2911" t="s">
        <v>115</v>
      </c>
      <c r="J2911" s="20">
        <v>0</v>
      </c>
    </row>
    <row r="2912" spans="2:10" x14ac:dyDescent="0.25">
      <c r="B2912" t="s">
        <v>6</v>
      </c>
      <c r="C2912" t="s">
        <v>312</v>
      </c>
      <c r="D2912">
        <v>703262</v>
      </c>
      <c r="E2912" t="s">
        <v>181</v>
      </c>
      <c r="F2912" t="s">
        <v>21</v>
      </c>
      <c r="G2912" t="s">
        <v>22</v>
      </c>
      <c r="H2912" t="s">
        <v>23</v>
      </c>
      <c r="J2912" s="20">
        <v>0</v>
      </c>
    </row>
    <row r="2913" spans="2:10" x14ac:dyDescent="0.25">
      <c r="B2913" t="s">
        <v>6</v>
      </c>
      <c r="C2913" t="s">
        <v>312</v>
      </c>
      <c r="D2913">
        <v>703263</v>
      </c>
      <c r="E2913" t="s">
        <v>182</v>
      </c>
      <c r="F2913" t="s">
        <v>21</v>
      </c>
      <c r="G2913" t="s">
        <v>22</v>
      </c>
      <c r="H2913" t="s">
        <v>115</v>
      </c>
      <c r="J2913" s="20">
        <v>0</v>
      </c>
    </row>
    <row r="2914" spans="2:10" x14ac:dyDescent="0.25">
      <c r="B2914" t="s">
        <v>6</v>
      </c>
      <c r="C2914" t="s">
        <v>312</v>
      </c>
      <c r="D2914">
        <v>703264</v>
      </c>
      <c r="E2914" t="s">
        <v>183</v>
      </c>
      <c r="F2914" t="s">
        <v>21</v>
      </c>
      <c r="G2914" t="s">
        <v>22</v>
      </c>
      <c r="H2914" t="s">
        <v>115</v>
      </c>
      <c r="J2914" s="20">
        <v>0</v>
      </c>
    </row>
    <row r="2915" spans="2:10" x14ac:dyDescent="0.25">
      <c r="B2915" t="s">
        <v>6</v>
      </c>
      <c r="C2915" t="s">
        <v>312</v>
      </c>
      <c r="D2915">
        <v>703265</v>
      </c>
      <c r="E2915" t="s">
        <v>184</v>
      </c>
      <c r="F2915" t="s">
        <v>21</v>
      </c>
      <c r="G2915" t="s">
        <v>22</v>
      </c>
      <c r="H2915" t="s">
        <v>115</v>
      </c>
      <c r="J2915" s="20">
        <v>0</v>
      </c>
    </row>
    <row r="2916" spans="2:10" x14ac:dyDescent="0.25">
      <c r="B2916" t="s">
        <v>6</v>
      </c>
      <c r="C2916" t="s">
        <v>312</v>
      </c>
      <c r="D2916">
        <v>703266</v>
      </c>
      <c r="E2916" t="s">
        <v>185</v>
      </c>
      <c r="F2916" t="s">
        <v>21</v>
      </c>
      <c r="G2916" t="s">
        <v>71</v>
      </c>
      <c r="H2916" t="s">
        <v>186</v>
      </c>
      <c r="J2916" s="20">
        <v>0</v>
      </c>
    </row>
    <row r="2917" spans="2:10" x14ac:dyDescent="0.25">
      <c r="B2917" t="s">
        <v>6</v>
      </c>
      <c r="C2917" t="s">
        <v>312</v>
      </c>
      <c r="D2917">
        <v>703267</v>
      </c>
      <c r="E2917" t="s">
        <v>187</v>
      </c>
      <c r="F2917" t="s">
        <v>21</v>
      </c>
      <c r="G2917" t="s">
        <v>71</v>
      </c>
      <c r="H2917" t="s">
        <v>88</v>
      </c>
      <c r="J2917" s="20">
        <v>0</v>
      </c>
    </row>
    <row r="2918" spans="2:10" x14ac:dyDescent="0.25">
      <c r="B2918" t="s">
        <v>6</v>
      </c>
      <c r="C2918" t="s">
        <v>312</v>
      </c>
      <c r="D2918">
        <v>703268</v>
      </c>
      <c r="E2918" t="s">
        <v>188</v>
      </c>
      <c r="F2918" t="s">
        <v>21</v>
      </c>
      <c r="G2918" t="s">
        <v>147</v>
      </c>
      <c r="H2918" t="s">
        <v>147</v>
      </c>
      <c r="J2918" s="20">
        <v>0</v>
      </c>
    </row>
    <row r="2919" spans="2:10" x14ac:dyDescent="0.25">
      <c r="B2919" t="s">
        <v>6</v>
      </c>
      <c r="C2919" t="s">
        <v>312</v>
      </c>
      <c r="D2919">
        <v>703269</v>
      </c>
      <c r="E2919" t="s">
        <v>189</v>
      </c>
      <c r="F2919" t="s">
        <v>21</v>
      </c>
      <c r="G2919" t="s">
        <v>147</v>
      </c>
      <c r="H2919" t="s">
        <v>147</v>
      </c>
      <c r="J2919" s="20">
        <v>0</v>
      </c>
    </row>
    <row r="2920" spans="2:10" x14ac:dyDescent="0.25">
      <c r="B2920" t="s">
        <v>6</v>
      </c>
      <c r="C2920" t="s">
        <v>312</v>
      </c>
      <c r="D2920">
        <v>703270</v>
      </c>
      <c r="E2920" t="s">
        <v>190</v>
      </c>
      <c r="F2920" t="s">
        <v>21</v>
      </c>
      <c r="G2920" t="s">
        <v>137</v>
      </c>
      <c r="H2920" t="s">
        <v>141</v>
      </c>
      <c r="J2920" s="20">
        <v>0</v>
      </c>
    </row>
    <row r="2921" spans="2:10" x14ac:dyDescent="0.25">
      <c r="B2921" t="s">
        <v>6</v>
      </c>
      <c r="C2921" t="s">
        <v>312</v>
      </c>
      <c r="D2921">
        <v>703271</v>
      </c>
      <c r="E2921" t="s">
        <v>191</v>
      </c>
      <c r="F2921" t="s">
        <v>21</v>
      </c>
      <c r="G2921" t="s">
        <v>22</v>
      </c>
      <c r="H2921" t="s">
        <v>115</v>
      </c>
      <c r="J2921" s="20">
        <v>0</v>
      </c>
    </row>
    <row r="2922" spans="2:10" x14ac:dyDescent="0.25">
      <c r="B2922" t="s">
        <v>6</v>
      </c>
      <c r="C2922" t="s">
        <v>312</v>
      </c>
      <c r="D2922">
        <v>703272</v>
      </c>
      <c r="E2922" t="s">
        <v>192</v>
      </c>
      <c r="F2922" t="s">
        <v>21</v>
      </c>
      <c r="G2922" t="s">
        <v>22</v>
      </c>
      <c r="H2922" t="s">
        <v>23</v>
      </c>
      <c r="J2922" s="20">
        <v>0</v>
      </c>
    </row>
    <row r="2923" spans="2:10" x14ac:dyDescent="0.25">
      <c r="B2923" t="s">
        <v>6</v>
      </c>
      <c r="C2923" t="s">
        <v>312</v>
      </c>
      <c r="D2923">
        <v>703273</v>
      </c>
      <c r="E2923" t="s">
        <v>193</v>
      </c>
      <c r="F2923" t="s">
        <v>21</v>
      </c>
      <c r="G2923" t="s">
        <v>147</v>
      </c>
      <c r="H2923" t="s">
        <v>147</v>
      </c>
      <c r="J2923" s="20">
        <v>0</v>
      </c>
    </row>
    <row r="2924" spans="2:10" x14ac:dyDescent="0.25">
      <c r="B2924" t="s">
        <v>6</v>
      </c>
      <c r="C2924" t="s">
        <v>312</v>
      </c>
      <c r="D2924">
        <v>703274</v>
      </c>
      <c r="E2924" t="s">
        <v>194</v>
      </c>
      <c r="F2924" t="s">
        <v>21</v>
      </c>
      <c r="G2924" t="s">
        <v>147</v>
      </c>
      <c r="H2924" t="s">
        <v>147</v>
      </c>
      <c r="J2924" s="20">
        <v>0</v>
      </c>
    </row>
    <row r="2925" spans="2:10" x14ac:dyDescent="0.25">
      <c r="B2925" t="s">
        <v>6</v>
      </c>
      <c r="C2925" t="s">
        <v>312</v>
      </c>
      <c r="D2925">
        <v>703275</v>
      </c>
      <c r="E2925" t="s">
        <v>195</v>
      </c>
      <c r="F2925" t="s">
        <v>21</v>
      </c>
      <c r="G2925" t="s">
        <v>137</v>
      </c>
      <c r="H2925" t="s">
        <v>138</v>
      </c>
      <c r="J2925" s="20">
        <v>0</v>
      </c>
    </row>
    <row r="2926" spans="2:10" x14ac:dyDescent="0.25">
      <c r="B2926" t="s">
        <v>6</v>
      </c>
      <c r="C2926" t="s">
        <v>312</v>
      </c>
      <c r="D2926">
        <v>703280</v>
      </c>
      <c r="E2926" t="s">
        <v>196</v>
      </c>
      <c r="F2926" t="s">
        <v>21</v>
      </c>
      <c r="G2926" t="s">
        <v>71</v>
      </c>
      <c r="H2926" t="s">
        <v>171</v>
      </c>
      <c r="J2926" s="20">
        <v>0</v>
      </c>
    </row>
    <row r="2927" spans="2:10" x14ac:dyDescent="0.25">
      <c r="B2927" t="s">
        <v>6</v>
      </c>
      <c r="C2927" t="s">
        <v>312</v>
      </c>
      <c r="D2927">
        <v>703281</v>
      </c>
      <c r="E2927" t="s">
        <v>197</v>
      </c>
      <c r="F2927" t="s">
        <v>21</v>
      </c>
      <c r="G2927" t="s">
        <v>76</v>
      </c>
      <c r="H2927" t="s">
        <v>77</v>
      </c>
      <c r="J2927" s="20">
        <v>0</v>
      </c>
    </row>
    <row r="2928" spans="2:10" x14ac:dyDescent="0.25">
      <c r="B2928" t="s">
        <v>6</v>
      </c>
      <c r="C2928" t="s">
        <v>312</v>
      </c>
      <c r="D2928">
        <v>703282</v>
      </c>
      <c r="E2928" t="s">
        <v>198</v>
      </c>
      <c r="F2928" t="s">
        <v>21</v>
      </c>
      <c r="G2928" t="s">
        <v>76</v>
      </c>
      <c r="H2928" t="s">
        <v>77</v>
      </c>
      <c r="J2928" s="20">
        <v>0</v>
      </c>
    </row>
    <row r="2929" spans="2:10" x14ac:dyDescent="0.25">
      <c r="B2929" t="s">
        <v>6</v>
      </c>
      <c r="C2929" t="s">
        <v>312</v>
      </c>
      <c r="D2929">
        <v>703283</v>
      </c>
      <c r="E2929" t="s">
        <v>199</v>
      </c>
      <c r="F2929" t="s">
        <v>21</v>
      </c>
      <c r="G2929" t="s">
        <v>61</v>
      </c>
      <c r="H2929" t="s">
        <v>68</v>
      </c>
      <c r="J2929" s="20">
        <v>0</v>
      </c>
    </row>
    <row r="2930" spans="2:10" x14ac:dyDescent="0.25">
      <c r="B2930" t="s">
        <v>6</v>
      </c>
      <c r="C2930" t="s">
        <v>312</v>
      </c>
      <c r="D2930">
        <v>703310</v>
      </c>
      <c r="E2930" t="s">
        <v>200</v>
      </c>
      <c r="F2930" t="s">
        <v>21</v>
      </c>
      <c r="G2930" t="s">
        <v>22</v>
      </c>
      <c r="H2930" t="s">
        <v>23</v>
      </c>
      <c r="J2930" s="20">
        <v>0</v>
      </c>
    </row>
    <row r="2931" spans="2:10" x14ac:dyDescent="0.25">
      <c r="B2931" t="s">
        <v>6</v>
      </c>
      <c r="C2931" t="s">
        <v>312</v>
      </c>
      <c r="D2931">
        <v>703311</v>
      </c>
      <c r="E2931" t="s">
        <v>201</v>
      </c>
      <c r="F2931" t="s">
        <v>21</v>
      </c>
      <c r="G2931" t="s">
        <v>71</v>
      </c>
      <c r="H2931" t="s">
        <v>171</v>
      </c>
      <c r="J2931" s="20">
        <v>0</v>
      </c>
    </row>
    <row r="2932" spans="2:10" x14ac:dyDescent="0.25">
      <c r="B2932" t="s">
        <v>6</v>
      </c>
      <c r="C2932" t="s">
        <v>312</v>
      </c>
      <c r="D2932">
        <v>703312</v>
      </c>
      <c r="E2932" t="s">
        <v>202</v>
      </c>
      <c r="F2932" t="s">
        <v>21</v>
      </c>
      <c r="G2932" t="s">
        <v>76</v>
      </c>
      <c r="H2932" t="s">
        <v>77</v>
      </c>
      <c r="J2932" s="20">
        <v>0</v>
      </c>
    </row>
    <row r="2933" spans="2:10" x14ac:dyDescent="0.25">
      <c r="B2933" t="s">
        <v>6</v>
      </c>
      <c r="C2933" t="s">
        <v>312</v>
      </c>
      <c r="D2933">
        <v>703313</v>
      </c>
      <c r="E2933" t="s">
        <v>203</v>
      </c>
      <c r="F2933" t="s">
        <v>21</v>
      </c>
      <c r="G2933" t="s">
        <v>76</v>
      </c>
      <c r="H2933" t="s">
        <v>77</v>
      </c>
      <c r="J2933" s="20">
        <v>0</v>
      </c>
    </row>
    <row r="2934" spans="2:10" x14ac:dyDescent="0.25">
      <c r="B2934" t="s">
        <v>6</v>
      </c>
      <c r="C2934" t="s">
        <v>312</v>
      </c>
      <c r="D2934">
        <v>703314</v>
      </c>
      <c r="E2934" t="s">
        <v>204</v>
      </c>
      <c r="F2934" t="s">
        <v>21</v>
      </c>
      <c r="G2934" t="s">
        <v>76</v>
      </c>
      <c r="H2934" t="s">
        <v>77</v>
      </c>
      <c r="J2934" s="20">
        <v>0</v>
      </c>
    </row>
    <row r="2935" spans="2:10" x14ac:dyDescent="0.25">
      <c r="B2935" t="s">
        <v>6</v>
      </c>
      <c r="C2935" t="s">
        <v>312</v>
      </c>
      <c r="D2935">
        <v>703315</v>
      </c>
      <c r="E2935" t="s">
        <v>205</v>
      </c>
      <c r="F2935" t="s">
        <v>21</v>
      </c>
      <c r="G2935" t="s">
        <v>76</v>
      </c>
      <c r="H2935" t="s">
        <v>135</v>
      </c>
      <c r="J2935" s="20">
        <v>0</v>
      </c>
    </row>
    <row r="2936" spans="2:10" x14ac:dyDescent="0.25">
      <c r="B2936" t="s">
        <v>6</v>
      </c>
      <c r="C2936" t="s">
        <v>312</v>
      </c>
      <c r="D2936">
        <v>703316</v>
      </c>
      <c r="E2936" t="s">
        <v>206</v>
      </c>
      <c r="F2936" t="s">
        <v>21</v>
      </c>
      <c r="G2936" t="s">
        <v>76</v>
      </c>
      <c r="H2936" t="s">
        <v>77</v>
      </c>
      <c r="J2936" s="20">
        <v>0</v>
      </c>
    </row>
    <row r="2937" spans="2:10" x14ac:dyDescent="0.25">
      <c r="B2937" t="s">
        <v>6</v>
      </c>
      <c r="C2937" t="s">
        <v>312</v>
      </c>
      <c r="D2937">
        <v>703317</v>
      </c>
      <c r="E2937" t="s">
        <v>207</v>
      </c>
      <c r="F2937" t="s">
        <v>21</v>
      </c>
      <c r="G2937" t="s">
        <v>76</v>
      </c>
      <c r="H2937" t="s">
        <v>77</v>
      </c>
      <c r="J2937" s="20">
        <v>0</v>
      </c>
    </row>
    <row r="2938" spans="2:10" x14ac:dyDescent="0.25">
      <c r="B2938" t="s">
        <v>6</v>
      </c>
      <c r="C2938" t="s">
        <v>312</v>
      </c>
      <c r="D2938">
        <v>703318</v>
      </c>
      <c r="E2938" t="s">
        <v>208</v>
      </c>
      <c r="F2938" t="s">
        <v>21</v>
      </c>
      <c r="G2938" t="s">
        <v>71</v>
      </c>
      <c r="H2938" t="s">
        <v>209</v>
      </c>
      <c r="J2938" s="20">
        <v>0</v>
      </c>
    </row>
    <row r="2939" spans="2:10" x14ac:dyDescent="0.25">
      <c r="B2939" t="s">
        <v>6</v>
      </c>
      <c r="C2939" t="s">
        <v>312</v>
      </c>
      <c r="D2939">
        <v>703319</v>
      </c>
      <c r="E2939" t="s">
        <v>210</v>
      </c>
      <c r="F2939" t="s">
        <v>21</v>
      </c>
      <c r="G2939" t="s">
        <v>61</v>
      </c>
      <c r="H2939" t="s">
        <v>79</v>
      </c>
      <c r="J2939" s="20">
        <v>0</v>
      </c>
    </row>
    <row r="2940" spans="2:10" x14ac:dyDescent="0.25">
      <c r="B2940" t="s">
        <v>6</v>
      </c>
      <c r="C2940" t="s">
        <v>312</v>
      </c>
      <c r="D2940">
        <v>703320</v>
      </c>
      <c r="E2940" t="s">
        <v>211</v>
      </c>
      <c r="F2940" t="s">
        <v>21</v>
      </c>
      <c r="G2940" t="s">
        <v>71</v>
      </c>
      <c r="H2940" t="s">
        <v>135</v>
      </c>
      <c r="J2940" s="20">
        <v>0</v>
      </c>
    </row>
    <row r="2941" spans="2:10" x14ac:dyDescent="0.25">
      <c r="B2941" t="s">
        <v>6</v>
      </c>
      <c r="C2941" t="s">
        <v>312</v>
      </c>
      <c r="D2941">
        <v>703321</v>
      </c>
      <c r="E2941" t="s">
        <v>212</v>
      </c>
      <c r="F2941" t="s">
        <v>21</v>
      </c>
      <c r="G2941" t="s">
        <v>22</v>
      </c>
      <c r="H2941" t="s">
        <v>23</v>
      </c>
      <c r="J2941" s="20">
        <v>0</v>
      </c>
    </row>
    <row r="2942" spans="2:10" x14ac:dyDescent="0.25">
      <c r="B2942" t="s">
        <v>6</v>
      </c>
      <c r="C2942" t="s">
        <v>312</v>
      </c>
      <c r="D2942">
        <v>703322</v>
      </c>
      <c r="E2942" t="s">
        <v>213</v>
      </c>
      <c r="F2942" t="s">
        <v>21</v>
      </c>
      <c r="G2942" t="s">
        <v>22</v>
      </c>
      <c r="H2942" t="s">
        <v>23</v>
      </c>
      <c r="J2942" s="20">
        <v>0</v>
      </c>
    </row>
    <row r="2943" spans="2:10" x14ac:dyDescent="0.25">
      <c r="B2943" t="s">
        <v>6</v>
      </c>
      <c r="C2943" t="s">
        <v>312</v>
      </c>
      <c r="D2943">
        <v>703323</v>
      </c>
      <c r="E2943" t="s">
        <v>214</v>
      </c>
      <c r="F2943" t="s">
        <v>21</v>
      </c>
      <c r="G2943" t="s">
        <v>22</v>
      </c>
      <c r="H2943" t="s">
        <v>23</v>
      </c>
      <c r="J2943" s="20">
        <v>0</v>
      </c>
    </row>
    <row r="2944" spans="2:10" x14ac:dyDescent="0.25">
      <c r="B2944" t="s">
        <v>6</v>
      </c>
      <c r="C2944" t="s">
        <v>312</v>
      </c>
      <c r="D2944">
        <v>703324</v>
      </c>
      <c r="E2944" t="s">
        <v>215</v>
      </c>
      <c r="F2944" t="s">
        <v>21</v>
      </c>
      <c r="G2944" t="s">
        <v>22</v>
      </c>
      <c r="H2944" t="s">
        <v>23</v>
      </c>
      <c r="J2944" s="20">
        <v>0</v>
      </c>
    </row>
    <row r="2945" spans="2:10" x14ac:dyDescent="0.25">
      <c r="B2945" t="s">
        <v>6</v>
      </c>
      <c r="C2945" t="s">
        <v>312</v>
      </c>
      <c r="D2945">
        <v>703325</v>
      </c>
      <c r="E2945" t="s">
        <v>216</v>
      </c>
      <c r="F2945" t="s">
        <v>21</v>
      </c>
      <c r="G2945" t="s">
        <v>22</v>
      </c>
      <c r="H2945" t="s">
        <v>23</v>
      </c>
      <c r="J2945" s="20">
        <v>0</v>
      </c>
    </row>
    <row r="2946" spans="2:10" x14ac:dyDescent="0.25">
      <c r="B2946" t="s">
        <v>6</v>
      </c>
      <c r="C2946" t="s">
        <v>312</v>
      </c>
      <c r="D2946">
        <v>703326</v>
      </c>
      <c r="E2946" t="s">
        <v>217</v>
      </c>
      <c r="F2946" t="s">
        <v>21</v>
      </c>
      <c r="G2946" t="s">
        <v>22</v>
      </c>
      <c r="H2946" t="s">
        <v>23</v>
      </c>
      <c r="J2946" s="20">
        <v>0</v>
      </c>
    </row>
    <row r="2947" spans="2:10" x14ac:dyDescent="0.25">
      <c r="B2947" t="s">
        <v>6</v>
      </c>
      <c r="C2947" t="s">
        <v>312</v>
      </c>
      <c r="D2947">
        <v>703327</v>
      </c>
      <c r="E2947" t="s">
        <v>218</v>
      </c>
      <c r="F2947" t="s">
        <v>21</v>
      </c>
      <c r="G2947" t="s">
        <v>76</v>
      </c>
      <c r="H2947" t="s">
        <v>77</v>
      </c>
      <c r="J2947" s="20">
        <v>0</v>
      </c>
    </row>
    <row r="2948" spans="2:10" x14ac:dyDescent="0.25">
      <c r="B2948" t="s">
        <v>6</v>
      </c>
      <c r="C2948" t="s">
        <v>312</v>
      </c>
      <c r="D2948">
        <v>703328</v>
      </c>
      <c r="E2948" t="s">
        <v>219</v>
      </c>
      <c r="F2948" t="s">
        <v>21</v>
      </c>
      <c r="G2948" t="s">
        <v>22</v>
      </c>
      <c r="H2948" t="s">
        <v>23</v>
      </c>
      <c r="J2948" s="20">
        <v>0</v>
      </c>
    </row>
    <row r="2949" spans="2:10" x14ac:dyDescent="0.25">
      <c r="B2949" t="s">
        <v>6</v>
      </c>
      <c r="C2949" t="s">
        <v>312</v>
      </c>
      <c r="D2949">
        <v>703329</v>
      </c>
      <c r="E2949" t="s">
        <v>220</v>
      </c>
      <c r="F2949" t="s">
        <v>21</v>
      </c>
      <c r="G2949" t="s">
        <v>22</v>
      </c>
      <c r="H2949" t="s">
        <v>23</v>
      </c>
      <c r="J2949" s="20">
        <v>0</v>
      </c>
    </row>
    <row r="2950" spans="2:10" x14ac:dyDescent="0.25">
      <c r="B2950" t="s">
        <v>6</v>
      </c>
      <c r="C2950" t="s">
        <v>312</v>
      </c>
      <c r="D2950">
        <v>703330</v>
      </c>
      <c r="E2950" t="s">
        <v>221</v>
      </c>
      <c r="F2950" t="s">
        <v>21</v>
      </c>
      <c r="G2950" t="s">
        <v>22</v>
      </c>
      <c r="H2950" t="s">
        <v>23</v>
      </c>
      <c r="J2950" s="20">
        <v>0</v>
      </c>
    </row>
    <row r="2951" spans="2:10" x14ac:dyDescent="0.25">
      <c r="B2951" t="s">
        <v>6</v>
      </c>
      <c r="C2951" t="s">
        <v>312</v>
      </c>
      <c r="D2951">
        <v>703340</v>
      </c>
      <c r="E2951" t="s">
        <v>222</v>
      </c>
      <c r="F2951" t="s">
        <v>21</v>
      </c>
      <c r="G2951" t="s">
        <v>61</v>
      </c>
      <c r="H2951" t="s">
        <v>68</v>
      </c>
      <c r="J2951" s="20">
        <v>0</v>
      </c>
    </row>
    <row r="2952" spans="2:10" x14ac:dyDescent="0.25">
      <c r="B2952" t="s">
        <v>6</v>
      </c>
      <c r="C2952" t="s">
        <v>312</v>
      </c>
      <c r="D2952">
        <v>703350</v>
      </c>
      <c r="E2952" t="s">
        <v>223</v>
      </c>
      <c r="F2952" t="s">
        <v>21</v>
      </c>
      <c r="G2952" t="s">
        <v>22</v>
      </c>
      <c r="H2952" t="s">
        <v>23</v>
      </c>
      <c r="J2952" s="20">
        <v>0</v>
      </c>
    </row>
    <row r="2953" spans="2:10" x14ac:dyDescent="0.25">
      <c r="B2953" t="s">
        <v>6</v>
      </c>
      <c r="C2953" t="s">
        <v>312</v>
      </c>
      <c r="D2953">
        <v>703351</v>
      </c>
      <c r="E2953" t="s">
        <v>224</v>
      </c>
      <c r="F2953" t="s">
        <v>21</v>
      </c>
      <c r="G2953" t="s">
        <v>22</v>
      </c>
      <c r="H2953" t="s">
        <v>23</v>
      </c>
      <c r="J2953" s="20">
        <v>0</v>
      </c>
    </row>
    <row r="2954" spans="2:10" x14ac:dyDescent="0.25">
      <c r="B2954" t="s">
        <v>6</v>
      </c>
      <c r="C2954" t="s">
        <v>312</v>
      </c>
      <c r="D2954">
        <v>703352</v>
      </c>
      <c r="E2954" t="s">
        <v>225</v>
      </c>
      <c r="F2954" t="s">
        <v>21</v>
      </c>
      <c r="G2954" t="s">
        <v>22</v>
      </c>
      <c r="H2954" t="s">
        <v>23</v>
      </c>
      <c r="J2954" s="20">
        <v>0</v>
      </c>
    </row>
    <row r="2955" spans="2:10" x14ac:dyDescent="0.25">
      <c r="B2955" t="s">
        <v>6</v>
      </c>
      <c r="C2955" t="s">
        <v>312</v>
      </c>
      <c r="D2955">
        <v>703360</v>
      </c>
      <c r="E2955" t="s">
        <v>226</v>
      </c>
      <c r="F2955" t="s">
        <v>21</v>
      </c>
      <c r="G2955" t="s">
        <v>22</v>
      </c>
      <c r="H2955" t="s">
        <v>23</v>
      </c>
      <c r="J2955" s="20">
        <v>0</v>
      </c>
    </row>
    <row r="2956" spans="2:10" x14ac:dyDescent="0.25">
      <c r="B2956" t="s">
        <v>6</v>
      </c>
      <c r="C2956" t="s">
        <v>312</v>
      </c>
      <c r="D2956">
        <v>703370</v>
      </c>
      <c r="E2956" t="s">
        <v>227</v>
      </c>
      <c r="F2956" t="s">
        <v>21</v>
      </c>
      <c r="G2956" t="s">
        <v>22</v>
      </c>
      <c r="H2956" t="s">
        <v>23</v>
      </c>
      <c r="J2956" s="20">
        <v>0</v>
      </c>
    </row>
    <row r="2957" spans="2:10" x14ac:dyDescent="0.25">
      <c r="B2957" t="s">
        <v>6</v>
      </c>
      <c r="C2957" t="s">
        <v>312</v>
      </c>
      <c r="D2957">
        <v>703410</v>
      </c>
      <c r="E2957" t="s">
        <v>228</v>
      </c>
      <c r="F2957" t="s">
        <v>21</v>
      </c>
      <c r="G2957" t="s">
        <v>22</v>
      </c>
      <c r="H2957" t="s">
        <v>23</v>
      </c>
      <c r="J2957" s="20">
        <v>0</v>
      </c>
    </row>
    <row r="2958" spans="2:10" x14ac:dyDescent="0.25">
      <c r="B2958" t="s">
        <v>6</v>
      </c>
      <c r="C2958" t="s">
        <v>312</v>
      </c>
      <c r="D2958">
        <v>703411</v>
      </c>
      <c r="E2958" t="s">
        <v>229</v>
      </c>
      <c r="F2958" t="s">
        <v>21</v>
      </c>
      <c r="G2958" t="s">
        <v>22</v>
      </c>
      <c r="H2958" t="s">
        <v>23</v>
      </c>
      <c r="J2958" s="20">
        <v>0</v>
      </c>
    </row>
    <row r="2959" spans="2:10" x14ac:dyDescent="0.25">
      <c r="B2959" t="s">
        <v>6</v>
      </c>
      <c r="C2959" t="s">
        <v>312</v>
      </c>
      <c r="D2959">
        <v>703412</v>
      </c>
      <c r="E2959" t="s">
        <v>230</v>
      </c>
      <c r="F2959" t="s">
        <v>21</v>
      </c>
      <c r="G2959" t="s">
        <v>22</v>
      </c>
      <c r="H2959" t="s">
        <v>23</v>
      </c>
      <c r="J2959" s="20">
        <v>0</v>
      </c>
    </row>
    <row r="2960" spans="2:10" x14ac:dyDescent="0.25">
      <c r="B2960" t="s">
        <v>6</v>
      </c>
      <c r="C2960" t="s">
        <v>312</v>
      </c>
      <c r="D2960">
        <v>703420</v>
      </c>
      <c r="E2960" t="s">
        <v>231</v>
      </c>
      <c r="F2960" t="s">
        <v>21</v>
      </c>
      <c r="G2960" t="s">
        <v>71</v>
      </c>
      <c r="H2960" t="s">
        <v>171</v>
      </c>
      <c r="J2960" s="20">
        <v>0</v>
      </c>
    </row>
    <row r="2961" spans="2:10" x14ac:dyDescent="0.25">
      <c r="B2961" t="s">
        <v>6</v>
      </c>
      <c r="C2961" t="s">
        <v>312</v>
      </c>
      <c r="D2961">
        <v>703421</v>
      </c>
      <c r="E2961" t="s">
        <v>232</v>
      </c>
      <c r="F2961" t="s">
        <v>21</v>
      </c>
      <c r="G2961" t="s">
        <v>22</v>
      </c>
      <c r="H2961" t="s">
        <v>23</v>
      </c>
      <c r="J2961" s="20">
        <v>0</v>
      </c>
    </row>
    <row r="2962" spans="2:10" x14ac:dyDescent="0.25">
      <c r="B2962" t="s">
        <v>6</v>
      </c>
      <c r="C2962" t="s">
        <v>312</v>
      </c>
      <c r="D2962">
        <v>703422</v>
      </c>
      <c r="E2962" t="s">
        <v>233</v>
      </c>
      <c r="F2962" t="s">
        <v>21</v>
      </c>
      <c r="G2962" t="s">
        <v>76</v>
      </c>
      <c r="H2962" t="s">
        <v>77</v>
      </c>
      <c r="J2962" s="20">
        <v>0</v>
      </c>
    </row>
    <row r="2963" spans="2:10" x14ac:dyDescent="0.25">
      <c r="B2963" t="s">
        <v>6</v>
      </c>
      <c r="C2963" t="s">
        <v>312</v>
      </c>
      <c r="D2963">
        <v>703423</v>
      </c>
      <c r="E2963" t="s">
        <v>234</v>
      </c>
      <c r="F2963" t="s">
        <v>21</v>
      </c>
      <c r="G2963" t="s">
        <v>71</v>
      </c>
      <c r="H2963" t="s">
        <v>88</v>
      </c>
      <c r="J2963" s="20">
        <v>0</v>
      </c>
    </row>
    <row r="2964" spans="2:10" x14ac:dyDescent="0.25">
      <c r="B2964" t="s">
        <v>6</v>
      </c>
      <c r="C2964" t="s">
        <v>312</v>
      </c>
      <c r="D2964">
        <v>703424</v>
      </c>
      <c r="E2964" t="s">
        <v>235</v>
      </c>
      <c r="F2964" t="s">
        <v>21</v>
      </c>
      <c r="G2964" t="s">
        <v>71</v>
      </c>
      <c r="H2964" t="s">
        <v>88</v>
      </c>
      <c r="J2964" s="20">
        <v>0</v>
      </c>
    </row>
    <row r="2965" spans="2:10" x14ac:dyDescent="0.25">
      <c r="B2965" t="s">
        <v>6</v>
      </c>
      <c r="C2965" t="s">
        <v>312</v>
      </c>
      <c r="D2965">
        <v>703425</v>
      </c>
      <c r="E2965" t="s">
        <v>236</v>
      </c>
      <c r="F2965" t="s">
        <v>21</v>
      </c>
      <c r="G2965" t="s">
        <v>76</v>
      </c>
      <c r="H2965" t="s">
        <v>77</v>
      </c>
      <c r="J2965" s="20">
        <v>0</v>
      </c>
    </row>
    <row r="2966" spans="2:10" x14ac:dyDescent="0.25">
      <c r="B2966" t="s">
        <v>6</v>
      </c>
      <c r="C2966" t="s">
        <v>312</v>
      </c>
      <c r="D2966">
        <v>703426</v>
      </c>
      <c r="E2966" t="s">
        <v>237</v>
      </c>
      <c r="F2966" t="s">
        <v>21</v>
      </c>
      <c r="G2966" t="s">
        <v>22</v>
      </c>
      <c r="H2966" t="s">
        <v>23</v>
      </c>
      <c r="J2966" s="20">
        <v>0</v>
      </c>
    </row>
    <row r="2967" spans="2:10" x14ac:dyDescent="0.25">
      <c r="B2967" t="s">
        <v>6</v>
      </c>
      <c r="C2967" t="s">
        <v>312</v>
      </c>
      <c r="D2967">
        <v>703427</v>
      </c>
      <c r="E2967" t="s">
        <v>238</v>
      </c>
      <c r="F2967" t="s">
        <v>21</v>
      </c>
      <c r="G2967" t="s">
        <v>76</v>
      </c>
      <c r="H2967" t="s">
        <v>77</v>
      </c>
      <c r="J2967" s="20">
        <v>0</v>
      </c>
    </row>
    <row r="2968" spans="2:10" x14ac:dyDescent="0.25">
      <c r="B2968" t="s">
        <v>6</v>
      </c>
      <c r="C2968" t="s">
        <v>312</v>
      </c>
      <c r="D2968">
        <v>703428</v>
      </c>
      <c r="E2968" t="s">
        <v>239</v>
      </c>
      <c r="F2968" t="s">
        <v>21</v>
      </c>
      <c r="G2968" t="s">
        <v>76</v>
      </c>
      <c r="H2968" t="s">
        <v>77</v>
      </c>
      <c r="J2968" s="20">
        <v>0</v>
      </c>
    </row>
    <row r="2969" spans="2:10" x14ac:dyDescent="0.25">
      <c r="B2969" t="s">
        <v>6</v>
      </c>
      <c r="C2969" t="s">
        <v>312</v>
      </c>
      <c r="D2969">
        <v>703429</v>
      </c>
      <c r="E2969" t="s">
        <v>240</v>
      </c>
      <c r="F2969" t="s">
        <v>21</v>
      </c>
      <c r="G2969" t="s">
        <v>76</v>
      </c>
      <c r="H2969" t="s">
        <v>77</v>
      </c>
      <c r="J2969" s="20">
        <v>0</v>
      </c>
    </row>
    <row r="2970" spans="2:10" x14ac:dyDescent="0.25">
      <c r="B2970" t="s">
        <v>6</v>
      </c>
      <c r="C2970" t="s">
        <v>312</v>
      </c>
      <c r="D2970">
        <v>703430</v>
      </c>
      <c r="E2970" t="s">
        <v>20</v>
      </c>
      <c r="F2970" t="s">
        <v>21</v>
      </c>
      <c r="G2970" t="s">
        <v>22</v>
      </c>
      <c r="H2970" t="s">
        <v>23</v>
      </c>
      <c r="J2970" s="20">
        <v>0</v>
      </c>
    </row>
    <row r="2971" spans="2:10" x14ac:dyDescent="0.25">
      <c r="B2971" t="s">
        <v>6</v>
      </c>
      <c r="C2971" t="s">
        <v>312</v>
      </c>
      <c r="D2971">
        <v>703431</v>
      </c>
      <c r="E2971" t="s">
        <v>241</v>
      </c>
      <c r="F2971" t="s">
        <v>21</v>
      </c>
      <c r="G2971" t="s">
        <v>22</v>
      </c>
      <c r="H2971" t="s">
        <v>23</v>
      </c>
      <c r="J2971" s="20">
        <v>0</v>
      </c>
    </row>
    <row r="2972" spans="2:10" x14ac:dyDescent="0.25">
      <c r="B2972" t="s">
        <v>6</v>
      </c>
      <c r="C2972" t="s">
        <v>312</v>
      </c>
      <c r="D2972">
        <v>703432</v>
      </c>
      <c r="E2972" t="s">
        <v>242</v>
      </c>
      <c r="F2972" t="s">
        <v>21</v>
      </c>
      <c r="G2972" t="s">
        <v>22</v>
      </c>
      <c r="H2972" t="s">
        <v>23</v>
      </c>
      <c r="J2972" s="20">
        <v>0</v>
      </c>
    </row>
    <row r="2973" spans="2:10" x14ac:dyDescent="0.25">
      <c r="B2973" t="s">
        <v>6</v>
      </c>
      <c r="C2973" t="s">
        <v>312</v>
      </c>
      <c r="D2973">
        <v>703433</v>
      </c>
      <c r="E2973" t="s">
        <v>243</v>
      </c>
      <c r="F2973" t="s">
        <v>21</v>
      </c>
      <c r="G2973" t="s">
        <v>71</v>
      </c>
      <c r="H2973" t="s">
        <v>88</v>
      </c>
      <c r="J2973" s="20">
        <v>0</v>
      </c>
    </row>
    <row r="2974" spans="2:10" x14ac:dyDescent="0.25">
      <c r="B2974" t="s">
        <v>6</v>
      </c>
      <c r="C2974" t="s">
        <v>312</v>
      </c>
      <c r="D2974">
        <v>703434</v>
      </c>
      <c r="E2974" t="s">
        <v>244</v>
      </c>
      <c r="F2974" t="s">
        <v>21</v>
      </c>
      <c r="G2974" t="s">
        <v>22</v>
      </c>
      <c r="H2974" t="s">
        <v>23</v>
      </c>
      <c r="J2974" s="20">
        <v>0</v>
      </c>
    </row>
    <row r="2975" spans="2:10" x14ac:dyDescent="0.25">
      <c r="B2975" t="s">
        <v>6</v>
      </c>
      <c r="C2975" t="s">
        <v>312</v>
      </c>
      <c r="D2975">
        <v>703435</v>
      </c>
      <c r="E2975" t="s">
        <v>245</v>
      </c>
      <c r="F2975" t="s">
        <v>21</v>
      </c>
      <c r="G2975" t="s">
        <v>71</v>
      </c>
      <c r="H2975" t="s">
        <v>88</v>
      </c>
      <c r="J2975" s="20">
        <v>0</v>
      </c>
    </row>
    <row r="2976" spans="2:10" x14ac:dyDescent="0.25">
      <c r="B2976" t="s">
        <v>6</v>
      </c>
      <c r="C2976" t="s">
        <v>312</v>
      </c>
      <c r="D2976">
        <v>703436</v>
      </c>
      <c r="E2976" t="s">
        <v>246</v>
      </c>
      <c r="F2976" t="s">
        <v>21</v>
      </c>
      <c r="G2976" t="s">
        <v>71</v>
      </c>
      <c r="H2976" t="s">
        <v>88</v>
      </c>
      <c r="J2976" s="20">
        <v>0</v>
      </c>
    </row>
    <row r="2977" spans="2:10" x14ac:dyDescent="0.25">
      <c r="B2977" t="s">
        <v>6</v>
      </c>
      <c r="C2977" t="s">
        <v>312</v>
      </c>
      <c r="D2977">
        <v>703437</v>
      </c>
      <c r="E2977" t="s">
        <v>247</v>
      </c>
      <c r="F2977" t="s">
        <v>21</v>
      </c>
      <c r="G2977" t="s">
        <v>71</v>
      </c>
      <c r="H2977" t="s">
        <v>88</v>
      </c>
      <c r="J2977" s="20">
        <v>0</v>
      </c>
    </row>
    <row r="2978" spans="2:10" x14ac:dyDescent="0.25">
      <c r="B2978" t="s">
        <v>6</v>
      </c>
      <c r="C2978" t="s">
        <v>312</v>
      </c>
      <c r="D2978">
        <v>703438</v>
      </c>
      <c r="E2978" t="s">
        <v>248</v>
      </c>
      <c r="F2978" t="s">
        <v>21</v>
      </c>
      <c r="G2978" t="s">
        <v>71</v>
      </c>
      <c r="H2978" t="s">
        <v>88</v>
      </c>
      <c r="J2978" s="20">
        <v>0</v>
      </c>
    </row>
    <row r="2979" spans="2:10" x14ac:dyDescent="0.25">
      <c r="B2979" t="s">
        <v>6</v>
      </c>
      <c r="C2979" t="s">
        <v>312</v>
      </c>
      <c r="D2979">
        <v>703439</v>
      </c>
      <c r="E2979" t="s">
        <v>249</v>
      </c>
      <c r="F2979" t="s">
        <v>21</v>
      </c>
      <c r="G2979" t="s">
        <v>22</v>
      </c>
      <c r="H2979" t="s">
        <v>23</v>
      </c>
      <c r="J2979" s="20">
        <v>0</v>
      </c>
    </row>
    <row r="2980" spans="2:10" x14ac:dyDescent="0.25">
      <c r="B2980" t="s">
        <v>6</v>
      </c>
      <c r="C2980" t="s">
        <v>312</v>
      </c>
      <c r="D2980">
        <v>703440</v>
      </c>
      <c r="E2980" t="s">
        <v>250</v>
      </c>
      <c r="F2980" t="s">
        <v>21</v>
      </c>
      <c r="G2980" t="s">
        <v>61</v>
      </c>
      <c r="H2980" t="s">
        <v>68</v>
      </c>
      <c r="J2980" s="20">
        <v>0</v>
      </c>
    </row>
    <row r="2981" spans="2:10" x14ac:dyDescent="0.25">
      <c r="B2981" t="s">
        <v>6</v>
      </c>
      <c r="C2981" t="s">
        <v>312</v>
      </c>
      <c r="D2981">
        <v>703441</v>
      </c>
      <c r="E2981" t="s">
        <v>251</v>
      </c>
      <c r="F2981" t="s">
        <v>21</v>
      </c>
      <c r="G2981" t="s">
        <v>61</v>
      </c>
      <c r="H2981" t="s">
        <v>79</v>
      </c>
      <c r="J2981" s="20">
        <v>0</v>
      </c>
    </row>
    <row r="2982" spans="2:10" x14ac:dyDescent="0.25">
      <c r="B2982" t="s">
        <v>6</v>
      </c>
      <c r="C2982" t="s">
        <v>312</v>
      </c>
      <c r="D2982">
        <v>703442</v>
      </c>
      <c r="E2982" t="s">
        <v>252</v>
      </c>
      <c r="F2982" t="s">
        <v>21</v>
      </c>
      <c r="G2982" t="s">
        <v>76</v>
      </c>
      <c r="H2982" t="s">
        <v>77</v>
      </c>
      <c r="J2982" s="20">
        <v>0</v>
      </c>
    </row>
    <row r="2983" spans="2:10" x14ac:dyDescent="0.25">
      <c r="B2983" t="s">
        <v>6</v>
      </c>
      <c r="C2983" t="s">
        <v>312</v>
      </c>
      <c r="D2983">
        <v>703443</v>
      </c>
      <c r="E2983" t="s">
        <v>253</v>
      </c>
      <c r="F2983" t="s">
        <v>21</v>
      </c>
      <c r="G2983" t="s">
        <v>71</v>
      </c>
      <c r="H2983" t="s">
        <v>88</v>
      </c>
      <c r="J2983" s="20">
        <v>0</v>
      </c>
    </row>
    <row r="2984" spans="2:10" x14ac:dyDescent="0.25">
      <c r="B2984" t="s">
        <v>6</v>
      </c>
      <c r="C2984" t="s">
        <v>312</v>
      </c>
      <c r="D2984">
        <v>703444</v>
      </c>
      <c r="E2984" t="s">
        <v>254</v>
      </c>
      <c r="F2984" t="s">
        <v>21</v>
      </c>
      <c r="G2984" t="s">
        <v>22</v>
      </c>
      <c r="H2984" t="s">
        <v>23</v>
      </c>
      <c r="J2984" s="20">
        <v>0</v>
      </c>
    </row>
    <row r="2985" spans="2:10" x14ac:dyDescent="0.25">
      <c r="B2985" t="s">
        <v>6</v>
      </c>
      <c r="C2985" t="s">
        <v>312</v>
      </c>
      <c r="D2985">
        <v>703445</v>
      </c>
      <c r="E2985" t="s">
        <v>255</v>
      </c>
      <c r="F2985" t="s">
        <v>21</v>
      </c>
      <c r="G2985" t="s">
        <v>22</v>
      </c>
      <c r="H2985" t="s">
        <v>23</v>
      </c>
      <c r="J2985" s="20">
        <v>0</v>
      </c>
    </row>
    <row r="2986" spans="2:10" x14ac:dyDescent="0.25">
      <c r="B2986" t="s">
        <v>6</v>
      </c>
      <c r="C2986" t="s">
        <v>312</v>
      </c>
      <c r="D2986">
        <v>703446</v>
      </c>
      <c r="E2986" t="s">
        <v>256</v>
      </c>
      <c r="F2986" t="s">
        <v>21</v>
      </c>
      <c r="G2986" t="s">
        <v>22</v>
      </c>
      <c r="H2986" t="s">
        <v>23</v>
      </c>
      <c r="J2986" s="20">
        <v>0</v>
      </c>
    </row>
    <row r="2987" spans="2:10" x14ac:dyDescent="0.25">
      <c r="B2987" t="s">
        <v>6</v>
      </c>
      <c r="C2987" t="s">
        <v>312</v>
      </c>
      <c r="D2987">
        <v>703447</v>
      </c>
      <c r="E2987" t="s">
        <v>257</v>
      </c>
      <c r="F2987" t="s">
        <v>21</v>
      </c>
      <c r="G2987" t="s">
        <v>22</v>
      </c>
      <c r="H2987" t="s">
        <v>23</v>
      </c>
      <c r="J2987" s="20">
        <v>0</v>
      </c>
    </row>
    <row r="2988" spans="2:10" x14ac:dyDescent="0.25">
      <c r="B2988" t="s">
        <v>6</v>
      </c>
      <c r="C2988" t="s">
        <v>312</v>
      </c>
      <c r="D2988">
        <v>703448</v>
      </c>
      <c r="E2988" t="s">
        <v>258</v>
      </c>
      <c r="F2988" t="s">
        <v>21</v>
      </c>
      <c r="G2988" t="s">
        <v>22</v>
      </c>
      <c r="H2988" t="s">
        <v>23</v>
      </c>
      <c r="J2988" s="20">
        <v>0</v>
      </c>
    </row>
    <row r="2989" spans="2:10" x14ac:dyDescent="0.25">
      <c r="B2989" t="s">
        <v>6</v>
      </c>
      <c r="C2989" t="s">
        <v>312</v>
      </c>
      <c r="D2989">
        <v>703449</v>
      </c>
      <c r="E2989" t="s">
        <v>259</v>
      </c>
      <c r="F2989" t="s">
        <v>21</v>
      </c>
      <c r="G2989" t="s">
        <v>22</v>
      </c>
      <c r="H2989" t="s">
        <v>23</v>
      </c>
      <c r="J2989" s="20">
        <v>0</v>
      </c>
    </row>
    <row r="2990" spans="2:10" x14ac:dyDescent="0.25">
      <c r="B2990" t="s">
        <v>6</v>
      </c>
      <c r="C2990" t="s">
        <v>312</v>
      </c>
      <c r="D2990">
        <v>703450</v>
      </c>
      <c r="E2990" t="s">
        <v>260</v>
      </c>
      <c r="F2990" t="s">
        <v>21</v>
      </c>
      <c r="G2990" t="s">
        <v>71</v>
      </c>
      <c r="H2990" t="s">
        <v>88</v>
      </c>
      <c r="J2990" s="20">
        <v>0</v>
      </c>
    </row>
    <row r="2991" spans="2:10" x14ac:dyDescent="0.25">
      <c r="B2991" t="s">
        <v>6</v>
      </c>
      <c r="C2991" t="s">
        <v>312</v>
      </c>
      <c r="D2991">
        <v>703510</v>
      </c>
      <c r="E2991" t="s">
        <v>261</v>
      </c>
      <c r="F2991" t="s">
        <v>21</v>
      </c>
      <c r="G2991" t="s">
        <v>22</v>
      </c>
      <c r="H2991" t="s">
        <v>23</v>
      </c>
      <c r="J2991" s="20">
        <v>0</v>
      </c>
    </row>
    <row r="2992" spans="2:10" x14ac:dyDescent="0.25">
      <c r="B2992" t="s">
        <v>6</v>
      </c>
      <c r="C2992" t="s">
        <v>312</v>
      </c>
      <c r="D2992">
        <v>703511</v>
      </c>
      <c r="E2992" t="s">
        <v>262</v>
      </c>
      <c r="F2992" t="s">
        <v>21</v>
      </c>
      <c r="G2992" t="s">
        <v>22</v>
      </c>
      <c r="H2992" t="s">
        <v>23</v>
      </c>
      <c r="J2992" s="20">
        <v>0</v>
      </c>
    </row>
    <row r="2993" spans="2:10" x14ac:dyDescent="0.25">
      <c r="B2993" t="s">
        <v>6</v>
      </c>
      <c r="C2993" t="s">
        <v>312</v>
      </c>
      <c r="D2993">
        <v>703512</v>
      </c>
      <c r="E2993" t="s">
        <v>263</v>
      </c>
      <c r="F2993" t="s">
        <v>21</v>
      </c>
      <c r="G2993" t="s">
        <v>22</v>
      </c>
      <c r="H2993" t="s">
        <v>23</v>
      </c>
      <c r="J2993" s="20">
        <v>0</v>
      </c>
    </row>
    <row r="2994" spans="2:10" x14ac:dyDescent="0.25">
      <c r="B2994" t="s">
        <v>6</v>
      </c>
      <c r="C2994" t="s">
        <v>312</v>
      </c>
      <c r="D2994">
        <v>703513</v>
      </c>
      <c r="E2994" t="s">
        <v>264</v>
      </c>
      <c r="F2994" t="s">
        <v>21</v>
      </c>
      <c r="G2994" t="s">
        <v>22</v>
      </c>
      <c r="H2994" t="s">
        <v>23</v>
      </c>
      <c r="J2994" s="20">
        <v>0</v>
      </c>
    </row>
    <row r="2995" spans="2:10" x14ac:dyDescent="0.25">
      <c r="B2995" t="s">
        <v>6</v>
      </c>
      <c r="C2995" t="s">
        <v>312</v>
      </c>
      <c r="D2995">
        <v>703514</v>
      </c>
      <c r="E2995" t="s">
        <v>265</v>
      </c>
      <c r="F2995" t="s">
        <v>21</v>
      </c>
      <c r="G2995" t="s">
        <v>22</v>
      </c>
      <c r="H2995" t="s">
        <v>23</v>
      </c>
      <c r="J2995" s="20">
        <v>0</v>
      </c>
    </row>
    <row r="2996" spans="2:10" x14ac:dyDescent="0.25">
      <c r="B2996" t="s">
        <v>6</v>
      </c>
      <c r="C2996" t="s">
        <v>312</v>
      </c>
      <c r="D2996">
        <v>703515</v>
      </c>
      <c r="E2996" t="s">
        <v>266</v>
      </c>
      <c r="F2996" t="s">
        <v>21</v>
      </c>
      <c r="G2996" t="s">
        <v>22</v>
      </c>
      <c r="H2996" t="s">
        <v>23</v>
      </c>
      <c r="J2996" s="20">
        <v>0</v>
      </c>
    </row>
    <row r="2997" spans="2:10" x14ac:dyDescent="0.25">
      <c r="B2997" t="s">
        <v>6</v>
      </c>
      <c r="C2997" t="s">
        <v>312</v>
      </c>
      <c r="D2997">
        <v>703520</v>
      </c>
      <c r="E2997" t="s">
        <v>267</v>
      </c>
      <c r="F2997" t="s">
        <v>21</v>
      </c>
      <c r="G2997" t="s">
        <v>22</v>
      </c>
      <c r="H2997" t="s">
        <v>23</v>
      </c>
      <c r="J2997" s="20">
        <v>0</v>
      </c>
    </row>
    <row r="2998" spans="2:10" x14ac:dyDescent="0.25">
      <c r="B2998" t="s">
        <v>6</v>
      </c>
      <c r="C2998" t="s">
        <v>312</v>
      </c>
      <c r="D2998">
        <v>703530</v>
      </c>
      <c r="E2998" t="s">
        <v>268</v>
      </c>
      <c r="F2998" t="s">
        <v>21</v>
      </c>
      <c r="G2998" t="s">
        <v>22</v>
      </c>
      <c r="H2998" t="s">
        <v>23</v>
      </c>
      <c r="J2998" s="20">
        <v>0</v>
      </c>
    </row>
    <row r="2999" spans="2:10" x14ac:dyDescent="0.25">
      <c r="B2999" t="s">
        <v>6</v>
      </c>
      <c r="C2999" t="s">
        <v>312</v>
      </c>
      <c r="D2999">
        <v>703540</v>
      </c>
      <c r="E2999" t="s">
        <v>269</v>
      </c>
      <c r="F2999" t="s">
        <v>21</v>
      </c>
      <c r="G2999" t="s">
        <v>22</v>
      </c>
      <c r="H2999" t="s">
        <v>23</v>
      </c>
      <c r="J2999" s="20">
        <v>0</v>
      </c>
    </row>
    <row r="3000" spans="2:10" x14ac:dyDescent="0.25">
      <c r="B3000" t="s">
        <v>6</v>
      </c>
      <c r="C3000" t="s">
        <v>312</v>
      </c>
      <c r="D3000">
        <v>703550</v>
      </c>
      <c r="E3000" t="s">
        <v>270</v>
      </c>
      <c r="F3000" t="s">
        <v>21</v>
      </c>
      <c r="G3000" t="s">
        <v>22</v>
      </c>
      <c r="H3000" t="s">
        <v>23</v>
      </c>
      <c r="J3000" s="20">
        <v>0</v>
      </c>
    </row>
    <row r="3001" spans="2:10" x14ac:dyDescent="0.25">
      <c r="B3001" t="s">
        <v>6</v>
      </c>
      <c r="C3001" t="s">
        <v>312</v>
      </c>
      <c r="D3001">
        <v>703560</v>
      </c>
      <c r="E3001" t="s">
        <v>271</v>
      </c>
      <c r="F3001" t="s">
        <v>21</v>
      </c>
      <c r="G3001" t="s">
        <v>22</v>
      </c>
      <c r="H3001" t="s">
        <v>23</v>
      </c>
      <c r="J3001" s="20">
        <v>0</v>
      </c>
    </row>
    <row r="3002" spans="2:10" x14ac:dyDescent="0.25">
      <c r="B3002" t="s">
        <v>6</v>
      </c>
      <c r="C3002" t="s">
        <v>312</v>
      </c>
      <c r="D3002">
        <v>703570</v>
      </c>
      <c r="E3002" t="s">
        <v>272</v>
      </c>
      <c r="F3002" t="s">
        <v>21</v>
      </c>
      <c r="G3002" t="s">
        <v>22</v>
      </c>
      <c r="H3002" t="s">
        <v>23</v>
      </c>
      <c r="J3002" s="20">
        <v>0</v>
      </c>
    </row>
    <row r="3003" spans="2:10" x14ac:dyDescent="0.25">
      <c r="B3003" t="s">
        <v>6</v>
      </c>
      <c r="C3003" t="s">
        <v>312</v>
      </c>
      <c r="D3003">
        <v>703571</v>
      </c>
      <c r="E3003" t="s">
        <v>273</v>
      </c>
      <c r="F3003" t="s">
        <v>21</v>
      </c>
      <c r="G3003" t="s">
        <v>22</v>
      </c>
      <c r="H3003" t="s">
        <v>23</v>
      </c>
      <c r="J3003" s="20"/>
    </row>
    <row r="3004" spans="2:10" x14ac:dyDescent="0.25">
      <c r="B3004" t="s">
        <v>6</v>
      </c>
      <c r="C3004" t="s">
        <v>312</v>
      </c>
      <c r="D3004">
        <v>703572</v>
      </c>
      <c r="E3004" t="s">
        <v>274</v>
      </c>
      <c r="F3004" t="s">
        <v>21</v>
      </c>
      <c r="G3004" t="s">
        <v>22</v>
      </c>
      <c r="H3004" t="s">
        <v>23</v>
      </c>
      <c r="J3004" s="20"/>
    </row>
    <row r="3005" spans="2:10" x14ac:dyDescent="0.25">
      <c r="B3005" t="s">
        <v>6</v>
      </c>
      <c r="C3005" t="s">
        <v>312</v>
      </c>
      <c r="D3005">
        <v>703573</v>
      </c>
      <c r="E3005" t="s">
        <v>275</v>
      </c>
      <c r="F3005" t="s">
        <v>21</v>
      </c>
      <c r="G3005" t="s">
        <v>22</v>
      </c>
      <c r="H3005" t="s">
        <v>23</v>
      </c>
      <c r="J3005" s="20"/>
    </row>
    <row r="3006" spans="2:10" x14ac:dyDescent="0.25">
      <c r="B3006" t="s">
        <v>6</v>
      </c>
      <c r="C3006" t="s">
        <v>312</v>
      </c>
      <c r="D3006">
        <v>703574</v>
      </c>
      <c r="E3006" t="s">
        <v>276</v>
      </c>
      <c r="F3006" t="s">
        <v>21</v>
      </c>
      <c r="G3006" t="s">
        <v>22</v>
      </c>
      <c r="H3006" t="s">
        <v>23</v>
      </c>
      <c r="J3006" s="20"/>
    </row>
    <row r="3007" spans="2:10" x14ac:dyDescent="0.25">
      <c r="B3007" t="s">
        <v>6</v>
      </c>
      <c r="C3007" t="s">
        <v>312</v>
      </c>
      <c r="D3007">
        <v>703580</v>
      </c>
      <c r="E3007" t="s">
        <v>277</v>
      </c>
      <c r="F3007" t="s">
        <v>21</v>
      </c>
      <c r="G3007" t="s">
        <v>22</v>
      </c>
      <c r="H3007" t="s">
        <v>23</v>
      </c>
      <c r="J3007" s="20">
        <v>0</v>
      </c>
    </row>
    <row r="3008" spans="2:10" x14ac:dyDescent="0.25">
      <c r="B3008" t="s">
        <v>6</v>
      </c>
      <c r="C3008" t="s">
        <v>312</v>
      </c>
      <c r="D3008">
        <v>703590</v>
      </c>
      <c r="E3008" t="s">
        <v>278</v>
      </c>
      <c r="F3008" t="s">
        <v>21</v>
      </c>
      <c r="G3008" t="s">
        <v>22</v>
      </c>
      <c r="H3008" t="s">
        <v>23</v>
      </c>
      <c r="J3008" s="20">
        <v>0</v>
      </c>
    </row>
    <row r="3009" spans="2:10" x14ac:dyDescent="0.25">
      <c r="B3009" t="s">
        <v>6</v>
      </c>
      <c r="C3009" t="s">
        <v>312</v>
      </c>
      <c r="D3009">
        <v>703650</v>
      </c>
      <c r="E3009" t="s">
        <v>279</v>
      </c>
      <c r="F3009" t="s">
        <v>21</v>
      </c>
      <c r="G3009" t="s">
        <v>22</v>
      </c>
      <c r="H3009" t="s">
        <v>23</v>
      </c>
      <c r="J3009" s="20">
        <v>0</v>
      </c>
    </row>
    <row r="3010" spans="2:10" x14ac:dyDescent="0.25">
      <c r="B3010" t="s">
        <v>6</v>
      </c>
      <c r="C3010" t="s">
        <v>312</v>
      </c>
      <c r="D3010">
        <v>703651</v>
      </c>
      <c r="E3010" t="s">
        <v>280</v>
      </c>
      <c r="F3010" t="s">
        <v>21</v>
      </c>
      <c r="G3010" t="s">
        <v>22</v>
      </c>
      <c r="H3010" t="s">
        <v>23</v>
      </c>
      <c r="J3010" s="20">
        <v>0</v>
      </c>
    </row>
    <row r="3011" spans="2:10" x14ac:dyDescent="0.25">
      <c r="B3011" t="s">
        <v>6</v>
      </c>
      <c r="C3011" t="s">
        <v>312</v>
      </c>
      <c r="D3011">
        <v>703850</v>
      </c>
      <c r="E3011" t="s">
        <v>281</v>
      </c>
      <c r="F3011" t="s">
        <v>21</v>
      </c>
      <c r="G3011" t="s">
        <v>22</v>
      </c>
      <c r="H3011" t="s">
        <v>23</v>
      </c>
      <c r="J3011" s="20">
        <v>0</v>
      </c>
    </row>
    <row r="3012" spans="2:10" x14ac:dyDescent="0.25">
      <c r="B3012" t="s">
        <v>6</v>
      </c>
      <c r="C3012" t="s">
        <v>312</v>
      </c>
      <c r="D3012">
        <v>703851</v>
      </c>
      <c r="E3012" t="s">
        <v>282</v>
      </c>
      <c r="F3012" t="s">
        <v>21</v>
      </c>
      <c r="G3012" t="s">
        <v>22</v>
      </c>
      <c r="H3012" t="s">
        <v>23</v>
      </c>
      <c r="J3012" s="20">
        <v>0</v>
      </c>
    </row>
    <row r="3013" spans="2:10" x14ac:dyDescent="0.25">
      <c r="B3013" t="s">
        <v>6</v>
      </c>
      <c r="C3013" t="s">
        <v>312</v>
      </c>
      <c r="D3013">
        <v>703852</v>
      </c>
      <c r="E3013" t="s">
        <v>283</v>
      </c>
      <c r="F3013" t="s">
        <v>21</v>
      </c>
      <c r="G3013" t="s">
        <v>22</v>
      </c>
      <c r="H3013" t="s">
        <v>23</v>
      </c>
      <c r="J3013" s="20">
        <v>0</v>
      </c>
    </row>
    <row r="3014" spans="2:10" x14ac:dyDescent="0.25">
      <c r="B3014" t="s">
        <v>6</v>
      </c>
      <c r="C3014" t="s">
        <v>312</v>
      </c>
      <c r="D3014">
        <v>703853</v>
      </c>
      <c r="E3014" t="s">
        <v>284</v>
      </c>
      <c r="F3014" t="s">
        <v>21</v>
      </c>
      <c r="G3014" t="s">
        <v>22</v>
      </c>
      <c r="H3014" t="s">
        <v>23</v>
      </c>
      <c r="J3014" s="20">
        <v>0</v>
      </c>
    </row>
    <row r="3015" spans="2:10" x14ac:dyDescent="0.25">
      <c r="B3015" t="s">
        <v>6</v>
      </c>
      <c r="C3015" t="s">
        <v>312</v>
      </c>
      <c r="D3015">
        <v>703854</v>
      </c>
      <c r="E3015" t="s">
        <v>285</v>
      </c>
      <c r="F3015" t="s">
        <v>21</v>
      </c>
      <c r="G3015" t="s">
        <v>22</v>
      </c>
      <c r="H3015" t="s">
        <v>115</v>
      </c>
      <c r="J3015" s="20">
        <v>0</v>
      </c>
    </row>
    <row r="3016" spans="2:10" x14ac:dyDescent="0.25">
      <c r="B3016" t="s">
        <v>6</v>
      </c>
      <c r="C3016" t="s">
        <v>312</v>
      </c>
      <c r="D3016">
        <v>703855</v>
      </c>
      <c r="E3016" t="s">
        <v>286</v>
      </c>
      <c r="F3016" t="s">
        <v>21</v>
      </c>
      <c r="G3016" t="s">
        <v>22</v>
      </c>
      <c r="H3016" t="s">
        <v>23</v>
      </c>
      <c r="J3016" s="20">
        <v>0</v>
      </c>
    </row>
    <row r="3017" spans="2:10" x14ac:dyDescent="0.25">
      <c r="B3017" t="s">
        <v>6</v>
      </c>
      <c r="C3017" t="s">
        <v>312</v>
      </c>
      <c r="D3017">
        <v>703856</v>
      </c>
      <c r="E3017" t="s">
        <v>287</v>
      </c>
      <c r="F3017" t="s">
        <v>21</v>
      </c>
      <c r="G3017" t="s">
        <v>22</v>
      </c>
      <c r="H3017" t="s">
        <v>23</v>
      </c>
      <c r="J3017" s="20">
        <v>0</v>
      </c>
    </row>
    <row r="3018" spans="2:10" x14ac:dyDescent="0.25">
      <c r="B3018" t="s">
        <v>6</v>
      </c>
      <c r="C3018" t="s">
        <v>312</v>
      </c>
      <c r="D3018">
        <v>703857</v>
      </c>
      <c r="E3018" t="s">
        <v>288</v>
      </c>
      <c r="F3018" t="s">
        <v>21</v>
      </c>
      <c r="G3018" t="s">
        <v>71</v>
      </c>
      <c r="H3018" t="s">
        <v>88</v>
      </c>
      <c r="J3018" s="20">
        <v>0</v>
      </c>
    </row>
    <row r="3019" spans="2:10" x14ac:dyDescent="0.25">
      <c r="B3019" t="s">
        <v>6</v>
      </c>
      <c r="C3019" t="s">
        <v>312</v>
      </c>
      <c r="D3019">
        <v>703858</v>
      </c>
      <c r="E3019" t="s">
        <v>289</v>
      </c>
      <c r="F3019" t="s">
        <v>21</v>
      </c>
      <c r="G3019" t="s">
        <v>22</v>
      </c>
      <c r="H3019" t="s">
        <v>23</v>
      </c>
      <c r="J3019" s="20">
        <v>0</v>
      </c>
    </row>
    <row r="3020" spans="2:10" x14ac:dyDescent="0.25">
      <c r="B3020" t="s">
        <v>6</v>
      </c>
      <c r="C3020" t="s">
        <v>312</v>
      </c>
      <c r="D3020">
        <v>703859</v>
      </c>
      <c r="E3020" t="s">
        <v>290</v>
      </c>
      <c r="F3020" t="s">
        <v>21</v>
      </c>
      <c r="G3020" t="s">
        <v>22</v>
      </c>
      <c r="H3020" t="s">
        <v>23</v>
      </c>
      <c r="J3020" s="20">
        <v>0</v>
      </c>
    </row>
    <row r="3021" spans="2:10" x14ac:dyDescent="0.25">
      <c r="B3021" t="s">
        <v>6</v>
      </c>
      <c r="C3021" t="s">
        <v>312</v>
      </c>
      <c r="D3021">
        <v>703860</v>
      </c>
      <c r="E3021" t="s">
        <v>291</v>
      </c>
      <c r="F3021" t="s">
        <v>21</v>
      </c>
      <c r="G3021" t="s">
        <v>22</v>
      </c>
      <c r="H3021" t="s">
        <v>23</v>
      </c>
      <c r="J3021" s="20">
        <v>0</v>
      </c>
    </row>
    <row r="3022" spans="2:10" x14ac:dyDescent="0.25">
      <c r="B3022" t="s">
        <v>6</v>
      </c>
      <c r="C3022" t="s">
        <v>312</v>
      </c>
      <c r="D3022">
        <v>703861</v>
      </c>
      <c r="E3022" t="s">
        <v>292</v>
      </c>
      <c r="F3022" t="s">
        <v>21</v>
      </c>
      <c r="G3022" t="s">
        <v>22</v>
      </c>
      <c r="H3022" t="s">
        <v>23</v>
      </c>
      <c r="J3022" s="20">
        <v>0</v>
      </c>
    </row>
    <row r="3023" spans="2:10" x14ac:dyDescent="0.25">
      <c r="B3023" t="s">
        <v>6</v>
      </c>
      <c r="C3023" t="s">
        <v>312</v>
      </c>
      <c r="D3023">
        <v>703862</v>
      </c>
      <c r="E3023" t="s">
        <v>293</v>
      </c>
      <c r="F3023" t="s">
        <v>21</v>
      </c>
      <c r="G3023" t="s">
        <v>22</v>
      </c>
      <c r="H3023" t="s">
        <v>23</v>
      </c>
      <c r="J3023" s="20">
        <v>0</v>
      </c>
    </row>
    <row r="3024" spans="2:10" x14ac:dyDescent="0.25">
      <c r="B3024" t="s">
        <v>6</v>
      </c>
      <c r="C3024" t="s">
        <v>312</v>
      </c>
      <c r="D3024">
        <v>703870</v>
      </c>
      <c r="E3024" t="s">
        <v>294</v>
      </c>
      <c r="F3024" t="s">
        <v>21</v>
      </c>
      <c r="G3024" t="s">
        <v>22</v>
      </c>
      <c r="H3024" t="s">
        <v>23</v>
      </c>
      <c r="J3024" s="20">
        <v>0</v>
      </c>
    </row>
    <row r="3025" spans="2:10" x14ac:dyDescent="0.25">
      <c r="B3025" t="s">
        <v>6</v>
      </c>
      <c r="C3025" t="s">
        <v>312</v>
      </c>
      <c r="D3025">
        <v>703880</v>
      </c>
      <c r="E3025" t="s">
        <v>295</v>
      </c>
      <c r="F3025" t="s">
        <v>21</v>
      </c>
      <c r="G3025" t="s">
        <v>22</v>
      </c>
      <c r="H3025" t="s">
        <v>23</v>
      </c>
      <c r="J3025" s="20">
        <v>0</v>
      </c>
    </row>
    <row r="3026" spans="2:10" x14ac:dyDescent="0.25">
      <c r="B3026" t="s">
        <v>6</v>
      </c>
      <c r="C3026" t="s">
        <v>312</v>
      </c>
      <c r="D3026">
        <v>703899</v>
      </c>
      <c r="E3026" t="s">
        <v>296</v>
      </c>
      <c r="F3026" t="s">
        <v>21</v>
      </c>
      <c r="G3026" t="s">
        <v>22</v>
      </c>
      <c r="H3026" t="s">
        <v>23</v>
      </c>
      <c r="J3026" s="20">
        <v>0</v>
      </c>
    </row>
    <row r="3027" spans="2:10" x14ac:dyDescent="0.25">
      <c r="B3027" t="s">
        <v>6</v>
      </c>
      <c r="C3027" t="s">
        <v>312</v>
      </c>
      <c r="D3027">
        <v>706700</v>
      </c>
      <c r="E3027" t="s">
        <v>25</v>
      </c>
      <c r="F3027" t="s">
        <v>26</v>
      </c>
      <c r="G3027" t="s">
        <v>27</v>
      </c>
      <c r="H3027" t="s">
        <v>28</v>
      </c>
      <c r="J3027" s="20">
        <v>0</v>
      </c>
    </row>
    <row r="3028" spans="2:10" x14ac:dyDescent="0.25">
      <c r="B3028" t="s">
        <v>6</v>
      </c>
      <c r="C3028" t="s">
        <v>312</v>
      </c>
      <c r="D3028" t="s">
        <v>29</v>
      </c>
      <c r="E3028" t="s">
        <v>30</v>
      </c>
      <c r="F3028" t="s">
        <v>26</v>
      </c>
      <c r="G3028" t="s">
        <v>27</v>
      </c>
      <c r="H3028" t="s">
        <v>31</v>
      </c>
      <c r="J3028" s="20">
        <v>0</v>
      </c>
    </row>
    <row r="3029" spans="2:10" x14ac:dyDescent="0.25">
      <c r="B3029" t="s">
        <v>6</v>
      </c>
      <c r="C3029" t="s">
        <v>312</v>
      </c>
      <c r="D3029" t="s">
        <v>32</v>
      </c>
      <c r="E3029" t="s">
        <v>33</v>
      </c>
      <c r="F3029" t="s">
        <v>26</v>
      </c>
      <c r="G3029" t="s">
        <v>27</v>
      </c>
      <c r="H3029" t="s">
        <v>28</v>
      </c>
      <c r="J3029" s="20">
        <v>0</v>
      </c>
    </row>
    <row r="3030" spans="2:10" x14ac:dyDescent="0.25">
      <c r="B3030" t="s">
        <v>6</v>
      </c>
      <c r="C3030" t="s">
        <v>312</v>
      </c>
      <c r="D3030" t="s">
        <v>34</v>
      </c>
      <c r="E3030" t="s">
        <v>35</v>
      </c>
      <c r="F3030" t="s">
        <v>26</v>
      </c>
      <c r="G3030" t="s">
        <v>36</v>
      </c>
      <c r="H3030" t="s">
        <v>36</v>
      </c>
      <c r="J3030" s="20">
        <v>0</v>
      </c>
    </row>
    <row r="3031" spans="2:10" x14ac:dyDescent="0.25">
      <c r="B3031" t="s">
        <v>6</v>
      </c>
      <c r="C3031" t="s">
        <v>312</v>
      </c>
      <c r="D3031" t="s">
        <v>37</v>
      </c>
      <c r="E3031" t="s">
        <v>38</v>
      </c>
      <c r="F3031" t="s">
        <v>21</v>
      </c>
      <c r="G3031" t="s">
        <v>39</v>
      </c>
      <c r="H3031" t="s">
        <v>39</v>
      </c>
      <c r="J3031" s="20">
        <v>0</v>
      </c>
    </row>
    <row r="3032" spans="2:10" x14ac:dyDescent="0.25">
      <c r="B3032" t="s">
        <v>6</v>
      </c>
      <c r="C3032" t="s">
        <v>312</v>
      </c>
      <c r="D3032" t="s">
        <v>40</v>
      </c>
      <c r="E3032" t="s">
        <v>41</v>
      </c>
      <c r="F3032" t="s">
        <v>26</v>
      </c>
      <c r="G3032" t="s">
        <v>39</v>
      </c>
      <c r="H3032" t="s">
        <v>39</v>
      </c>
      <c r="J3032" s="20">
        <v>0</v>
      </c>
    </row>
    <row r="3033" spans="2:10" x14ac:dyDescent="0.25">
      <c r="B3033" t="s">
        <v>6</v>
      </c>
      <c r="C3033" t="s">
        <v>312</v>
      </c>
      <c r="D3033" t="s">
        <v>42</v>
      </c>
      <c r="E3033" t="s">
        <v>43</v>
      </c>
      <c r="F3033" t="s">
        <v>21</v>
      </c>
      <c r="G3033" t="s">
        <v>44</v>
      </c>
      <c r="H3033" t="s">
        <v>44</v>
      </c>
      <c r="J3033" s="20">
        <v>0</v>
      </c>
    </row>
    <row r="3034" spans="2:10" x14ac:dyDescent="0.25">
      <c r="B3034" t="s">
        <v>6</v>
      </c>
      <c r="C3034" t="s">
        <v>312</v>
      </c>
      <c r="D3034" t="s">
        <v>45</v>
      </c>
      <c r="E3034" t="s">
        <v>46</v>
      </c>
      <c r="F3034" t="s">
        <v>26</v>
      </c>
      <c r="G3034" t="s">
        <v>44</v>
      </c>
      <c r="H3034" t="s">
        <v>44</v>
      </c>
      <c r="J3034" s="20">
        <v>0</v>
      </c>
    </row>
    <row r="3035" spans="2:10" x14ac:dyDescent="0.25">
      <c r="B3035" t="s">
        <v>6</v>
      </c>
      <c r="C3035" t="s">
        <v>312</v>
      </c>
      <c r="D3035" t="s">
        <v>297</v>
      </c>
      <c r="E3035" t="s">
        <v>298</v>
      </c>
      <c r="F3035" t="s">
        <v>26</v>
      </c>
      <c r="G3035" t="s">
        <v>299</v>
      </c>
      <c r="H3035" t="s">
        <v>299</v>
      </c>
      <c r="J3035" s="20"/>
    </row>
    <row r="3036" spans="2:10" x14ac:dyDescent="0.25">
      <c r="B3036" t="s">
        <v>6</v>
      </c>
      <c r="C3036" t="s">
        <v>312</v>
      </c>
      <c r="D3036" t="s">
        <v>300</v>
      </c>
      <c r="E3036" t="s">
        <v>301</v>
      </c>
      <c r="F3036" t="s">
        <v>21</v>
      </c>
      <c r="G3036" t="s">
        <v>299</v>
      </c>
      <c r="H3036" t="s">
        <v>299</v>
      </c>
      <c r="J3036" s="20"/>
    </row>
    <row r="3037" spans="2:10" x14ac:dyDescent="0.25">
      <c r="B3037" t="s">
        <v>6</v>
      </c>
      <c r="C3037" t="s">
        <v>312</v>
      </c>
      <c r="D3037" t="s">
        <v>47</v>
      </c>
      <c r="E3037" t="s">
        <v>48</v>
      </c>
      <c r="F3037" t="s">
        <v>26</v>
      </c>
      <c r="G3037" t="s">
        <v>49</v>
      </c>
      <c r="H3037" t="s">
        <v>49</v>
      </c>
      <c r="J3037" s="20">
        <v>0</v>
      </c>
    </row>
    <row r="3038" spans="2:10" x14ac:dyDescent="0.25">
      <c r="B3038" t="s">
        <v>6</v>
      </c>
      <c r="C3038" t="s">
        <v>313</v>
      </c>
      <c r="D3038">
        <v>701000</v>
      </c>
      <c r="E3038" t="s">
        <v>51</v>
      </c>
      <c r="F3038" t="s">
        <v>21</v>
      </c>
      <c r="G3038" t="s">
        <v>52</v>
      </c>
      <c r="H3038" t="s">
        <v>53</v>
      </c>
      <c r="J3038" s="20">
        <v>0</v>
      </c>
    </row>
    <row r="3039" spans="2:10" x14ac:dyDescent="0.25">
      <c r="B3039" t="s">
        <v>6</v>
      </c>
      <c r="C3039" t="s">
        <v>313</v>
      </c>
      <c r="D3039">
        <v>701008</v>
      </c>
      <c r="E3039" t="s">
        <v>54</v>
      </c>
      <c r="F3039" t="s">
        <v>21</v>
      </c>
      <c r="G3039" t="s">
        <v>52</v>
      </c>
      <c r="H3039" t="s">
        <v>53</v>
      </c>
      <c r="J3039" s="20">
        <v>0</v>
      </c>
    </row>
    <row r="3040" spans="2:10" x14ac:dyDescent="0.25">
      <c r="B3040" t="s">
        <v>6</v>
      </c>
      <c r="C3040" t="s">
        <v>313</v>
      </c>
      <c r="D3040">
        <v>701009</v>
      </c>
      <c r="E3040" t="s">
        <v>55</v>
      </c>
      <c r="F3040" t="s">
        <v>21</v>
      </c>
      <c r="G3040" t="s">
        <v>52</v>
      </c>
      <c r="H3040" t="s">
        <v>53</v>
      </c>
      <c r="J3040" s="20">
        <v>0</v>
      </c>
    </row>
    <row r="3041" spans="2:10" x14ac:dyDescent="0.25">
      <c r="B3041" t="s">
        <v>6</v>
      </c>
      <c r="C3041" t="s">
        <v>313</v>
      </c>
      <c r="D3041">
        <v>701010</v>
      </c>
      <c r="E3041" t="s">
        <v>56</v>
      </c>
      <c r="F3041" t="s">
        <v>21</v>
      </c>
      <c r="G3041" t="s">
        <v>52</v>
      </c>
      <c r="H3041" t="s">
        <v>57</v>
      </c>
      <c r="J3041" s="20">
        <v>0</v>
      </c>
    </row>
    <row r="3042" spans="2:10" x14ac:dyDescent="0.25">
      <c r="B3042" t="s">
        <v>6</v>
      </c>
      <c r="C3042" t="s">
        <v>313</v>
      </c>
      <c r="D3042">
        <v>701011</v>
      </c>
      <c r="E3042" t="s">
        <v>58</v>
      </c>
      <c r="F3042" t="s">
        <v>21</v>
      </c>
      <c r="G3042" t="s">
        <v>52</v>
      </c>
      <c r="H3042" t="s">
        <v>53</v>
      </c>
      <c r="J3042" s="20">
        <v>0</v>
      </c>
    </row>
    <row r="3043" spans="2:10" x14ac:dyDescent="0.25">
      <c r="B3043" t="s">
        <v>6</v>
      </c>
      <c r="C3043" t="s">
        <v>313</v>
      </c>
      <c r="D3043">
        <v>701012</v>
      </c>
      <c r="E3043" t="s">
        <v>59</v>
      </c>
      <c r="F3043" t="s">
        <v>21</v>
      </c>
      <c r="G3043" t="s">
        <v>52</v>
      </c>
      <c r="H3043" t="s">
        <v>53</v>
      </c>
      <c r="J3043" s="20">
        <v>0</v>
      </c>
    </row>
    <row r="3044" spans="2:10" x14ac:dyDescent="0.25">
      <c r="B3044" t="s">
        <v>6</v>
      </c>
      <c r="C3044" t="s">
        <v>313</v>
      </c>
      <c r="D3044">
        <v>701013</v>
      </c>
      <c r="E3044" t="s">
        <v>60</v>
      </c>
      <c r="F3044" t="s">
        <v>21</v>
      </c>
      <c r="G3044" t="s">
        <v>61</v>
      </c>
      <c r="H3044" t="s">
        <v>62</v>
      </c>
      <c r="J3044" s="20">
        <v>0</v>
      </c>
    </row>
    <row r="3045" spans="2:10" x14ac:dyDescent="0.25">
      <c r="B3045" t="s">
        <v>6</v>
      </c>
      <c r="C3045" t="s">
        <v>313</v>
      </c>
      <c r="D3045">
        <v>701014</v>
      </c>
      <c r="E3045" t="s">
        <v>63</v>
      </c>
      <c r="F3045" t="s">
        <v>21</v>
      </c>
      <c r="G3045" t="s">
        <v>61</v>
      </c>
      <c r="H3045" t="s">
        <v>64</v>
      </c>
      <c r="J3045" s="20">
        <v>0</v>
      </c>
    </row>
    <row r="3046" spans="2:10" x14ac:dyDescent="0.25">
      <c r="B3046" t="s">
        <v>6</v>
      </c>
      <c r="C3046" t="s">
        <v>313</v>
      </c>
      <c r="D3046">
        <v>701015</v>
      </c>
      <c r="E3046" t="s">
        <v>65</v>
      </c>
      <c r="F3046" t="s">
        <v>21</v>
      </c>
      <c r="G3046" t="s">
        <v>52</v>
      </c>
      <c r="H3046" t="s">
        <v>53</v>
      </c>
      <c r="J3046" s="20">
        <v>0</v>
      </c>
    </row>
    <row r="3047" spans="2:10" x14ac:dyDescent="0.25">
      <c r="B3047" t="s">
        <v>6</v>
      </c>
      <c r="C3047" t="s">
        <v>313</v>
      </c>
      <c r="D3047">
        <v>701016</v>
      </c>
      <c r="E3047" t="s">
        <v>66</v>
      </c>
      <c r="F3047" t="s">
        <v>21</v>
      </c>
      <c r="G3047" t="s">
        <v>52</v>
      </c>
      <c r="H3047" t="s">
        <v>53</v>
      </c>
      <c r="J3047" s="20">
        <v>0</v>
      </c>
    </row>
    <row r="3048" spans="2:10" x14ac:dyDescent="0.25">
      <c r="B3048" t="s">
        <v>6</v>
      </c>
      <c r="C3048" t="s">
        <v>313</v>
      </c>
      <c r="D3048">
        <v>701017</v>
      </c>
      <c r="E3048" t="s">
        <v>67</v>
      </c>
      <c r="F3048" t="s">
        <v>21</v>
      </c>
      <c r="G3048" t="s">
        <v>61</v>
      </c>
      <c r="H3048" t="s">
        <v>68</v>
      </c>
      <c r="J3048" s="20">
        <v>0</v>
      </c>
    </row>
    <row r="3049" spans="2:10" x14ac:dyDescent="0.25">
      <c r="B3049" t="s">
        <v>6</v>
      </c>
      <c r="C3049" t="s">
        <v>313</v>
      </c>
      <c r="D3049">
        <v>701018</v>
      </c>
      <c r="E3049" t="s">
        <v>69</v>
      </c>
      <c r="F3049" t="s">
        <v>21</v>
      </c>
      <c r="G3049" t="s">
        <v>61</v>
      </c>
      <c r="H3049" t="s">
        <v>68</v>
      </c>
      <c r="J3049" s="20">
        <v>0</v>
      </c>
    </row>
    <row r="3050" spans="2:10" x14ac:dyDescent="0.25">
      <c r="B3050" t="s">
        <v>6</v>
      </c>
      <c r="C3050" t="s">
        <v>313</v>
      </c>
      <c r="D3050">
        <v>701019</v>
      </c>
      <c r="E3050" t="s">
        <v>70</v>
      </c>
      <c r="F3050" t="s">
        <v>21</v>
      </c>
      <c r="G3050" t="s">
        <v>71</v>
      </c>
      <c r="H3050" t="s">
        <v>72</v>
      </c>
      <c r="J3050" s="20">
        <v>0</v>
      </c>
    </row>
    <row r="3051" spans="2:10" x14ac:dyDescent="0.25">
      <c r="B3051" t="s">
        <v>6</v>
      </c>
      <c r="C3051" t="s">
        <v>313</v>
      </c>
      <c r="D3051">
        <v>701020</v>
      </c>
      <c r="E3051" t="s">
        <v>73</v>
      </c>
      <c r="F3051" t="s">
        <v>21</v>
      </c>
      <c r="G3051" t="s">
        <v>52</v>
      </c>
      <c r="H3051" t="s">
        <v>53</v>
      </c>
      <c r="J3051" s="20">
        <v>0</v>
      </c>
    </row>
    <row r="3052" spans="2:10" x14ac:dyDescent="0.25">
      <c r="B3052" t="s">
        <v>6</v>
      </c>
      <c r="C3052" t="s">
        <v>313</v>
      </c>
      <c r="D3052">
        <v>701021</v>
      </c>
      <c r="E3052" t="s">
        <v>74</v>
      </c>
      <c r="F3052" t="s">
        <v>21</v>
      </c>
      <c r="G3052" t="s">
        <v>61</v>
      </c>
      <c r="H3052" t="s">
        <v>74</v>
      </c>
      <c r="J3052" s="20">
        <v>0</v>
      </c>
    </row>
    <row r="3053" spans="2:10" x14ac:dyDescent="0.25">
      <c r="B3053" t="s">
        <v>6</v>
      </c>
      <c r="C3053" t="s">
        <v>313</v>
      </c>
      <c r="D3053">
        <v>701022</v>
      </c>
      <c r="E3053" t="s">
        <v>75</v>
      </c>
      <c r="F3053" t="s">
        <v>21</v>
      </c>
      <c r="G3053" t="s">
        <v>76</v>
      </c>
      <c r="H3053" t="s">
        <v>77</v>
      </c>
      <c r="J3053" s="20">
        <v>0</v>
      </c>
    </row>
    <row r="3054" spans="2:10" x14ac:dyDescent="0.25">
      <c r="B3054" t="s">
        <v>6</v>
      </c>
      <c r="C3054" t="s">
        <v>313</v>
      </c>
      <c r="D3054">
        <v>701023</v>
      </c>
      <c r="E3054" t="s">
        <v>78</v>
      </c>
      <c r="F3054" t="s">
        <v>21</v>
      </c>
      <c r="G3054" t="s">
        <v>61</v>
      </c>
      <c r="H3054" t="s">
        <v>79</v>
      </c>
      <c r="J3054" s="20">
        <v>0</v>
      </c>
    </row>
    <row r="3055" spans="2:10" x14ac:dyDescent="0.25">
      <c r="B3055" t="s">
        <v>6</v>
      </c>
      <c r="C3055" t="s">
        <v>313</v>
      </c>
      <c r="D3055">
        <v>701024</v>
      </c>
      <c r="E3055" t="s">
        <v>80</v>
      </c>
      <c r="F3055" t="s">
        <v>21</v>
      </c>
      <c r="G3055" t="s">
        <v>76</v>
      </c>
      <c r="H3055" t="s">
        <v>77</v>
      </c>
      <c r="J3055" s="20">
        <v>0</v>
      </c>
    </row>
    <row r="3056" spans="2:10" x14ac:dyDescent="0.25">
      <c r="B3056" t="s">
        <v>6</v>
      </c>
      <c r="C3056" t="s">
        <v>313</v>
      </c>
      <c r="D3056">
        <v>701025</v>
      </c>
      <c r="E3056" t="s">
        <v>81</v>
      </c>
      <c r="F3056" t="s">
        <v>21</v>
      </c>
      <c r="G3056" t="s">
        <v>71</v>
      </c>
      <c r="H3056" t="s">
        <v>82</v>
      </c>
      <c r="J3056" s="20">
        <v>0</v>
      </c>
    </row>
    <row r="3057" spans="2:10" x14ac:dyDescent="0.25">
      <c r="B3057" t="s">
        <v>6</v>
      </c>
      <c r="C3057" t="s">
        <v>313</v>
      </c>
      <c r="D3057">
        <v>701026</v>
      </c>
      <c r="E3057" t="s">
        <v>83</v>
      </c>
      <c r="F3057" t="s">
        <v>21</v>
      </c>
      <c r="G3057" t="s">
        <v>76</v>
      </c>
      <c r="H3057" t="s">
        <v>77</v>
      </c>
      <c r="J3057" s="20">
        <v>0</v>
      </c>
    </row>
    <row r="3058" spans="2:10" x14ac:dyDescent="0.25">
      <c r="B3058" t="s">
        <v>6</v>
      </c>
      <c r="C3058" t="s">
        <v>313</v>
      </c>
      <c r="D3058">
        <v>701027</v>
      </c>
      <c r="E3058" t="s">
        <v>84</v>
      </c>
      <c r="F3058" t="s">
        <v>21</v>
      </c>
      <c r="G3058" t="s">
        <v>76</v>
      </c>
      <c r="H3058" t="s">
        <v>77</v>
      </c>
      <c r="J3058" s="20">
        <v>0</v>
      </c>
    </row>
    <row r="3059" spans="2:10" x14ac:dyDescent="0.25">
      <c r="B3059" t="s">
        <v>6</v>
      </c>
      <c r="C3059" t="s">
        <v>313</v>
      </c>
      <c r="D3059">
        <v>701028</v>
      </c>
      <c r="E3059" t="s">
        <v>85</v>
      </c>
      <c r="F3059" t="s">
        <v>21</v>
      </c>
      <c r="G3059" t="s">
        <v>61</v>
      </c>
      <c r="H3059" t="s">
        <v>68</v>
      </c>
      <c r="J3059" s="20">
        <v>0</v>
      </c>
    </row>
    <row r="3060" spans="2:10" x14ac:dyDescent="0.25">
      <c r="B3060" t="s">
        <v>6</v>
      </c>
      <c r="C3060" t="s">
        <v>313</v>
      </c>
      <c r="D3060">
        <v>701029</v>
      </c>
      <c r="E3060" t="s">
        <v>86</v>
      </c>
      <c r="F3060" t="s">
        <v>21</v>
      </c>
      <c r="G3060" t="s">
        <v>61</v>
      </c>
      <c r="H3060" t="s">
        <v>68</v>
      </c>
      <c r="J3060" s="20">
        <v>0</v>
      </c>
    </row>
    <row r="3061" spans="2:10" x14ac:dyDescent="0.25">
      <c r="B3061" t="s">
        <v>6</v>
      </c>
      <c r="C3061" t="s">
        <v>313</v>
      </c>
      <c r="D3061">
        <v>701030</v>
      </c>
      <c r="E3061" t="s">
        <v>87</v>
      </c>
      <c r="F3061" t="s">
        <v>21</v>
      </c>
      <c r="G3061" t="s">
        <v>71</v>
      </c>
      <c r="H3061" t="s">
        <v>88</v>
      </c>
      <c r="J3061" s="20">
        <v>0</v>
      </c>
    </row>
    <row r="3062" spans="2:10" x14ac:dyDescent="0.25">
      <c r="B3062" t="s">
        <v>6</v>
      </c>
      <c r="C3062" t="s">
        <v>313</v>
      </c>
      <c r="D3062">
        <v>701031</v>
      </c>
      <c r="E3062" t="s">
        <v>89</v>
      </c>
      <c r="F3062" t="s">
        <v>21</v>
      </c>
      <c r="G3062" t="s">
        <v>76</v>
      </c>
      <c r="H3062" t="s">
        <v>77</v>
      </c>
      <c r="J3062" s="20">
        <v>0</v>
      </c>
    </row>
    <row r="3063" spans="2:10" x14ac:dyDescent="0.25">
      <c r="B3063" t="s">
        <v>6</v>
      </c>
      <c r="C3063" t="s">
        <v>313</v>
      </c>
      <c r="D3063">
        <v>701032</v>
      </c>
      <c r="E3063" t="s">
        <v>90</v>
      </c>
      <c r="F3063" t="s">
        <v>21</v>
      </c>
      <c r="G3063" t="s">
        <v>52</v>
      </c>
      <c r="H3063" t="s">
        <v>53</v>
      </c>
      <c r="J3063" s="20">
        <v>0</v>
      </c>
    </row>
    <row r="3064" spans="2:10" x14ac:dyDescent="0.25">
      <c r="B3064" t="s">
        <v>6</v>
      </c>
      <c r="C3064" t="s">
        <v>313</v>
      </c>
      <c r="D3064">
        <v>701034</v>
      </c>
      <c r="E3064" t="s">
        <v>91</v>
      </c>
      <c r="F3064" t="s">
        <v>21</v>
      </c>
      <c r="G3064" t="s">
        <v>76</v>
      </c>
      <c r="H3064" t="s">
        <v>77</v>
      </c>
      <c r="J3064" s="20">
        <v>0</v>
      </c>
    </row>
    <row r="3065" spans="2:10" x14ac:dyDescent="0.25">
      <c r="B3065" t="s">
        <v>6</v>
      </c>
      <c r="C3065" t="s">
        <v>313</v>
      </c>
      <c r="D3065">
        <v>701035</v>
      </c>
      <c r="E3065" t="s">
        <v>92</v>
      </c>
      <c r="F3065" t="s">
        <v>21</v>
      </c>
      <c r="G3065" t="s">
        <v>61</v>
      </c>
      <c r="H3065" t="s">
        <v>68</v>
      </c>
      <c r="J3065" s="20">
        <v>0</v>
      </c>
    </row>
    <row r="3066" spans="2:10" x14ac:dyDescent="0.25">
      <c r="B3066" t="s">
        <v>6</v>
      </c>
      <c r="C3066" t="s">
        <v>313</v>
      </c>
      <c r="D3066">
        <v>701036</v>
      </c>
      <c r="E3066" t="s">
        <v>93</v>
      </c>
      <c r="F3066" t="s">
        <v>21</v>
      </c>
      <c r="G3066" t="s">
        <v>52</v>
      </c>
      <c r="H3066" t="s">
        <v>53</v>
      </c>
      <c r="J3066" s="20">
        <v>0</v>
      </c>
    </row>
    <row r="3067" spans="2:10" x14ac:dyDescent="0.25">
      <c r="B3067" t="s">
        <v>6</v>
      </c>
      <c r="C3067" t="s">
        <v>313</v>
      </c>
      <c r="D3067">
        <v>701113</v>
      </c>
      <c r="E3067" t="s">
        <v>94</v>
      </c>
      <c r="F3067" t="s">
        <v>21</v>
      </c>
      <c r="G3067" t="s">
        <v>61</v>
      </c>
      <c r="H3067" t="s">
        <v>62</v>
      </c>
      <c r="J3067" s="20">
        <v>0</v>
      </c>
    </row>
    <row r="3068" spans="2:10" x14ac:dyDescent="0.25">
      <c r="B3068" t="s">
        <v>6</v>
      </c>
      <c r="C3068" t="s">
        <v>313</v>
      </c>
      <c r="D3068">
        <v>701119</v>
      </c>
      <c r="E3068" t="s">
        <v>95</v>
      </c>
      <c r="F3068" t="s">
        <v>21</v>
      </c>
      <c r="G3068" t="s">
        <v>22</v>
      </c>
      <c r="H3068" t="s">
        <v>23</v>
      </c>
      <c r="J3068" s="20">
        <v>0</v>
      </c>
    </row>
    <row r="3069" spans="2:10" x14ac:dyDescent="0.25">
      <c r="B3069" t="s">
        <v>6</v>
      </c>
      <c r="C3069" t="s">
        <v>313</v>
      </c>
      <c r="D3069">
        <v>701120</v>
      </c>
      <c r="E3069" t="s">
        <v>96</v>
      </c>
      <c r="F3069" t="s">
        <v>21</v>
      </c>
      <c r="G3069" t="s">
        <v>22</v>
      </c>
      <c r="H3069" t="s">
        <v>23</v>
      </c>
      <c r="J3069" s="20">
        <v>0</v>
      </c>
    </row>
    <row r="3070" spans="2:10" x14ac:dyDescent="0.25">
      <c r="B3070" t="s">
        <v>6</v>
      </c>
      <c r="C3070" t="s">
        <v>313</v>
      </c>
      <c r="D3070">
        <v>701121</v>
      </c>
      <c r="E3070" t="s">
        <v>97</v>
      </c>
      <c r="F3070" t="s">
        <v>21</v>
      </c>
      <c r="G3070" t="s">
        <v>22</v>
      </c>
      <c r="H3070" t="s">
        <v>23</v>
      </c>
      <c r="J3070" s="20">
        <v>0</v>
      </c>
    </row>
    <row r="3071" spans="2:10" x14ac:dyDescent="0.25">
      <c r="B3071" t="s">
        <v>6</v>
      </c>
      <c r="C3071" t="s">
        <v>313</v>
      </c>
      <c r="D3071">
        <v>701122</v>
      </c>
      <c r="E3071" t="s">
        <v>98</v>
      </c>
      <c r="F3071" t="s">
        <v>21</v>
      </c>
      <c r="G3071" t="s">
        <v>71</v>
      </c>
      <c r="H3071" t="s">
        <v>88</v>
      </c>
      <c r="J3071" s="20">
        <v>0</v>
      </c>
    </row>
    <row r="3072" spans="2:10" x14ac:dyDescent="0.25">
      <c r="B3072" t="s">
        <v>6</v>
      </c>
      <c r="C3072" t="s">
        <v>313</v>
      </c>
      <c r="D3072">
        <v>701123</v>
      </c>
      <c r="E3072" t="s">
        <v>99</v>
      </c>
      <c r="F3072" t="s">
        <v>21</v>
      </c>
      <c r="G3072" t="s">
        <v>22</v>
      </c>
      <c r="H3072" t="s">
        <v>23</v>
      </c>
      <c r="J3072" s="20">
        <v>0</v>
      </c>
    </row>
    <row r="3073" spans="2:10" x14ac:dyDescent="0.25">
      <c r="B3073" t="s">
        <v>6</v>
      </c>
      <c r="C3073" t="s">
        <v>313</v>
      </c>
      <c r="D3073">
        <v>701127</v>
      </c>
      <c r="E3073" t="s">
        <v>100</v>
      </c>
      <c r="F3073" t="s">
        <v>21</v>
      </c>
      <c r="G3073" t="s">
        <v>76</v>
      </c>
      <c r="H3073" t="s">
        <v>77</v>
      </c>
      <c r="J3073" s="20">
        <v>0</v>
      </c>
    </row>
    <row r="3074" spans="2:10" x14ac:dyDescent="0.25">
      <c r="B3074" t="s">
        <v>6</v>
      </c>
      <c r="C3074" t="s">
        <v>313</v>
      </c>
      <c r="D3074">
        <v>701213</v>
      </c>
      <c r="E3074" t="s">
        <v>101</v>
      </c>
      <c r="F3074" t="s">
        <v>21</v>
      </c>
      <c r="G3074" t="s">
        <v>61</v>
      </c>
      <c r="H3074" t="s">
        <v>62</v>
      </c>
      <c r="J3074" s="20">
        <v>0</v>
      </c>
    </row>
    <row r="3075" spans="2:10" x14ac:dyDescent="0.25">
      <c r="B3075" t="s">
        <v>6</v>
      </c>
      <c r="C3075" t="s">
        <v>313</v>
      </c>
      <c r="D3075">
        <v>701214</v>
      </c>
      <c r="E3075" t="s">
        <v>102</v>
      </c>
      <c r="F3075" t="s">
        <v>21</v>
      </c>
      <c r="G3075" t="s">
        <v>61</v>
      </c>
      <c r="H3075" t="s">
        <v>62</v>
      </c>
      <c r="J3075" s="20">
        <v>0</v>
      </c>
    </row>
    <row r="3076" spans="2:10" x14ac:dyDescent="0.25">
      <c r="B3076" t="s">
        <v>6</v>
      </c>
      <c r="C3076" t="s">
        <v>313</v>
      </c>
      <c r="D3076">
        <v>701215</v>
      </c>
      <c r="E3076" t="s">
        <v>103</v>
      </c>
      <c r="F3076" t="s">
        <v>21</v>
      </c>
      <c r="G3076" t="s">
        <v>61</v>
      </c>
      <c r="H3076" t="s">
        <v>62</v>
      </c>
      <c r="J3076" s="20">
        <v>0</v>
      </c>
    </row>
    <row r="3077" spans="2:10" x14ac:dyDescent="0.25">
      <c r="B3077" t="s">
        <v>6</v>
      </c>
      <c r="C3077" t="s">
        <v>313</v>
      </c>
      <c r="D3077">
        <v>701227</v>
      </c>
      <c r="E3077" t="s">
        <v>104</v>
      </c>
      <c r="F3077" t="s">
        <v>21</v>
      </c>
      <c r="G3077" t="s">
        <v>76</v>
      </c>
      <c r="H3077" t="s">
        <v>77</v>
      </c>
      <c r="J3077" s="20">
        <v>0</v>
      </c>
    </row>
    <row r="3078" spans="2:10" x14ac:dyDescent="0.25">
      <c r="B3078" t="s">
        <v>6</v>
      </c>
      <c r="C3078" t="s">
        <v>313</v>
      </c>
      <c r="D3078">
        <v>701327</v>
      </c>
      <c r="E3078" t="s">
        <v>106</v>
      </c>
      <c r="F3078" t="s">
        <v>21</v>
      </c>
      <c r="G3078" t="s">
        <v>76</v>
      </c>
      <c r="H3078" t="s">
        <v>77</v>
      </c>
      <c r="J3078" s="20">
        <v>0</v>
      </c>
    </row>
    <row r="3079" spans="2:10" x14ac:dyDescent="0.25">
      <c r="B3079" t="s">
        <v>6</v>
      </c>
      <c r="C3079" t="s">
        <v>313</v>
      </c>
      <c r="D3079">
        <v>701427</v>
      </c>
      <c r="E3079" t="s">
        <v>107</v>
      </c>
      <c r="F3079" t="s">
        <v>21</v>
      </c>
      <c r="G3079" t="s">
        <v>76</v>
      </c>
      <c r="H3079" t="s">
        <v>108</v>
      </c>
      <c r="J3079" s="20">
        <v>0</v>
      </c>
    </row>
    <row r="3080" spans="2:10" x14ac:dyDescent="0.25">
      <c r="B3080" t="s">
        <v>6</v>
      </c>
      <c r="C3080" t="s">
        <v>313</v>
      </c>
      <c r="D3080">
        <v>701527</v>
      </c>
      <c r="E3080" t="s">
        <v>109</v>
      </c>
      <c r="F3080" t="s">
        <v>21</v>
      </c>
      <c r="G3080" t="s">
        <v>76</v>
      </c>
      <c r="H3080" t="s">
        <v>77</v>
      </c>
      <c r="J3080" s="20">
        <v>0</v>
      </c>
    </row>
    <row r="3081" spans="2:10" x14ac:dyDescent="0.25">
      <c r="B3081" t="s">
        <v>6</v>
      </c>
      <c r="C3081" t="s">
        <v>313</v>
      </c>
      <c r="D3081">
        <v>701627</v>
      </c>
      <c r="E3081" t="s">
        <v>110</v>
      </c>
      <c r="F3081" t="s">
        <v>21</v>
      </c>
      <c r="G3081" t="s">
        <v>76</v>
      </c>
      <c r="H3081" t="s">
        <v>77</v>
      </c>
      <c r="J3081" s="20">
        <v>0</v>
      </c>
    </row>
    <row r="3082" spans="2:10" x14ac:dyDescent="0.25">
      <c r="B3082" t="s">
        <v>6</v>
      </c>
      <c r="C3082" t="s">
        <v>313</v>
      </c>
      <c r="D3082">
        <v>701727</v>
      </c>
      <c r="E3082" t="s">
        <v>111</v>
      </c>
      <c r="F3082" t="s">
        <v>21</v>
      </c>
      <c r="G3082" t="s">
        <v>76</v>
      </c>
      <c r="H3082" t="s">
        <v>77</v>
      </c>
      <c r="J3082" s="20">
        <v>0</v>
      </c>
    </row>
    <row r="3083" spans="2:10" x14ac:dyDescent="0.25">
      <c r="B3083" t="s">
        <v>6</v>
      </c>
      <c r="C3083" t="s">
        <v>313</v>
      </c>
      <c r="D3083">
        <v>701801</v>
      </c>
      <c r="E3083" t="s">
        <v>112</v>
      </c>
      <c r="F3083" t="s">
        <v>21</v>
      </c>
      <c r="G3083" t="s">
        <v>76</v>
      </c>
      <c r="H3083" t="s">
        <v>77</v>
      </c>
      <c r="J3083" s="20">
        <v>0</v>
      </c>
    </row>
    <row r="3084" spans="2:10" x14ac:dyDescent="0.25">
      <c r="B3084" t="s">
        <v>6</v>
      </c>
      <c r="C3084" t="s">
        <v>313</v>
      </c>
      <c r="D3084">
        <v>701802</v>
      </c>
      <c r="E3084" t="s">
        <v>113</v>
      </c>
      <c r="F3084" t="s">
        <v>21</v>
      </c>
      <c r="G3084" t="s">
        <v>61</v>
      </c>
      <c r="H3084" t="s">
        <v>62</v>
      </c>
      <c r="J3084" s="20">
        <v>0</v>
      </c>
    </row>
    <row r="3085" spans="2:10" x14ac:dyDescent="0.25">
      <c r="B3085" t="s">
        <v>6</v>
      </c>
      <c r="C3085" t="s">
        <v>313</v>
      </c>
      <c r="D3085">
        <v>703010</v>
      </c>
      <c r="E3085" t="s">
        <v>114</v>
      </c>
      <c r="F3085" t="s">
        <v>21</v>
      </c>
      <c r="G3085" t="s">
        <v>22</v>
      </c>
      <c r="H3085" t="s">
        <v>115</v>
      </c>
      <c r="J3085" s="20">
        <v>0</v>
      </c>
    </row>
    <row r="3086" spans="2:10" x14ac:dyDescent="0.25">
      <c r="B3086" t="s">
        <v>6</v>
      </c>
      <c r="C3086" t="s">
        <v>313</v>
      </c>
      <c r="D3086">
        <v>703011</v>
      </c>
      <c r="E3086" t="s">
        <v>116</v>
      </c>
      <c r="F3086" t="s">
        <v>21</v>
      </c>
      <c r="G3086" t="s">
        <v>22</v>
      </c>
      <c r="H3086" t="s">
        <v>115</v>
      </c>
      <c r="J3086" s="20">
        <v>0</v>
      </c>
    </row>
    <row r="3087" spans="2:10" x14ac:dyDescent="0.25">
      <c r="B3087" t="s">
        <v>6</v>
      </c>
      <c r="C3087" t="s">
        <v>313</v>
      </c>
      <c r="D3087">
        <v>703012</v>
      </c>
      <c r="E3087" t="s">
        <v>117</v>
      </c>
      <c r="F3087" t="s">
        <v>21</v>
      </c>
      <c r="G3087" t="s">
        <v>22</v>
      </c>
      <c r="H3087" t="s">
        <v>115</v>
      </c>
      <c r="J3087" s="20">
        <v>0</v>
      </c>
    </row>
    <row r="3088" spans="2:10" x14ac:dyDescent="0.25">
      <c r="B3088" t="s">
        <v>6</v>
      </c>
      <c r="C3088" t="s">
        <v>313</v>
      </c>
      <c r="D3088">
        <v>703013</v>
      </c>
      <c r="E3088" t="s">
        <v>118</v>
      </c>
      <c r="F3088" t="s">
        <v>21</v>
      </c>
      <c r="G3088" t="s">
        <v>22</v>
      </c>
      <c r="H3088" t="s">
        <v>115</v>
      </c>
      <c r="J3088" s="20">
        <v>0</v>
      </c>
    </row>
    <row r="3089" spans="2:10" x14ac:dyDescent="0.25">
      <c r="B3089" t="s">
        <v>6</v>
      </c>
      <c r="C3089" t="s">
        <v>313</v>
      </c>
      <c r="D3089">
        <v>703014</v>
      </c>
      <c r="E3089" t="s">
        <v>119</v>
      </c>
      <c r="F3089" t="s">
        <v>21</v>
      </c>
      <c r="G3089" t="s">
        <v>22</v>
      </c>
      <c r="H3089" t="s">
        <v>115</v>
      </c>
      <c r="J3089" s="20">
        <v>0</v>
      </c>
    </row>
    <row r="3090" spans="2:10" x14ac:dyDescent="0.25">
      <c r="B3090" t="s">
        <v>6</v>
      </c>
      <c r="C3090" t="s">
        <v>313</v>
      </c>
      <c r="D3090">
        <v>703015</v>
      </c>
      <c r="E3090" t="s">
        <v>120</v>
      </c>
      <c r="F3090" t="s">
        <v>21</v>
      </c>
      <c r="G3090" t="s">
        <v>22</v>
      </c>
      <c r="H3090" t="s">
        <v>115</v>
      </c>
      <c r="J3090" s="20">
        <v>0</v>
      </c>
    </row>
    <row r="3091" spans="2:10" x14ac:dyDescent="0.25">
      <c r="B3091" t="s">
        <v>6</v>
      </c>
      <c r="C3091" t="s">
        <v>313</v>
      </c>
      <c r="D3091">
        <v>703016</v>
      </c>
      <c r="E3091" t="s">
        <v>121</v>
      </c>
      <c r="F3091" t="s">
        <v>21</v>
      </c>
      <c r="G3091" t="s">
        <v>22</v>
      </c>
      <c r="H3091" t="s">
        <v>115</v>
      </c>
      <c r="J3091" s="20">
        <v>0</v>
      </c>
    </row>
    <row r="3092" spans="2:10" x14ac:dyDescent="0.25">
      <c r="B3092" t="s">
        <v>6</v>
      </c>
      <c r="C3092" t="s">
        <v>313</v>
      </c>
      <c r="D3092">
        <v>703017</v>
      </c>
      <c r="E3092" t="s">
        <v>122</v>
      </c>
      <c r="F3092" t="s">
        <v>21</v>
      </c>
      <c r="G3092" t="s">
        <v>22</v>
      </c>
      <c r="H3092" t="s">
        <v>115</v>
      </c>
      <c r="J3092" s="20">
        <v>0</v>
      </c>
    </row>
    <row r="3093" spans="2:10" x14ac:dyDescent="0.25">
      <c r="B3093" t="s">
        <v>6</v>
      </c>
      <c r="C3093" t="s">
        <v>313</v>
      </c>
      <c r="D3093">
        <v>703018</v>
      </c>
      <c r="E3093" t="s">
        <v>123</v>
      </c>
      <c r="F3093" t="s">
        <v>21</v>
      </c>
      <c r="G3093" t="s">
        <v>22</v>
      </c>
      <c r="H3093" t="s">
        <v>115</v>
      </c>
      <c r="J3093" s="20">
        <v>0</v>
      </c>
    </row>
    <row r="3094" spans="2:10" x14ac:dyDescent="0.25">
      <c r="B3094" t="s">
        <v>6</v>
      </c>
      <c r="C3094" t="s">
        <v>313</v>
      </c>
      <c r="D3094">
        <v>703019</v>
      </c>
      <c r="E3094" t="s">
        <v>124</v>
      </c>
      <c r="F3094" t="s">
        <v>21</v>
      </c>
      <c r="G3094" t="s">
        <v>22</v>
      </c>
      <c r="H3094" t="s">
        <v>115</v>
      </c>
      <c r="J3094" s="20">
        <v>0</v>
      </c>
    </row>
    <row r="3095" spans="2:10" x14ac:dyDescent="0.25">
      <c r="B3095" t="s">
        <v>6</v>
      </c>
      <c r="C3095" t="s">
        <v>313</v>
      </c>
      <c r="D3095">
        <v>703210</v>
      </c>
      <c r="E3095" t="s">
        <v>125</v>
      </c>
      <c r="F3095" t="s">
        <v>21</v>
      </c>
      <c r="G3095" t="s">
        <v>22</v>
      </c>
      <c r="H3095" t="s">
        <v>23</v>
      </c>
      <c r="J3095" s="20">
        <v>0</v>
      </c>
    </row>
    <row r="3096" spans="2:10" x14ac:dyDescent="0.25">
      <c r="B3096" t="s">
        <v>6</v>
      </c>
      <c r="C3096" t="s">
        <v>313</v>
      </c>
      <c r="D3096">
        <v>703211</v>
      </c>
      <c r="E3096" t="s">
        <v>126</v>
      </c>
      <c r="F3096" t="s">
        <v>21</v>
      </c>
      <c r="G3096" t="s">
        <v>22</v>
      </c>
      <c r="H3096" t="s">
        <v>23</v>
      </c>
      <c r="J3096" s="20">
        <v>0</v>
      </c>
    </row>
    <row r="3097" spans="2:10" x14ac:dyDescent="0.25">
      <c r="B3097" t="s">
        <v>6</v>
      </c>
      <c r="C3097" t="s">
        <v>313</v>
      </c>
      <c r="D3097">
        <v>703212</v>
      </c>
      <c r="E3097" t="s">
        <v>127</v>
      </c>
      <c r="F3097" t="s">
        <v>21</v>
      </c>
      <c r="G3097" t="s">
        <v>22</v>
      </c>
      <c r="H3097" t="s">
        <v>23</v>
      </c>
      <c r="J3097" s="20">
        <v>0</v>
      </c>
    </row>
    <row r="3098" spans="2:10" x14ac:dyDescent="0.25">
      <c r="B3098" t="s">
        <v>6</v>
      </c>
      <c r="C3098" t="s">
        <v>313</v>
      </c>
      <c r="D3098">
        <v>703213</v>
      </c>
      <c r="E3098" t="s">
        <v>128</v>
      </c>
      <c r="F3098" t="s">
        <v>21</v>
      </c>
      <c r="G3098" t="s">
        <v>22</v>
      </c>
      <c r="H3098" t="s">
        <v>23</v>
      </c>
      <c r="J3098" s="20">
        <v>0</v>
      </c>
    </row>
    <row r="3099" spans="2:10" x14ac:dyDescent="0.25">
      <c r="B3099" t="s">
        <v>6</v>
      </c>
      <c r="C3099" t="s">
        <v>313</v>
      </c>
      <c r="D3099">
        <v>703214</v>
      </c>
      <c r="E3099" t="s">
        <v>129</v>
      </c>
      <c r="F3099" t="s">
        <v>21</v>
      </c>
      <c r="G3099" t="s">
        <v>22</v>
      </c>
      <c r="H3099" t="s">
        <v>23</v>
      </c>
      <c r="J3099" s="20">
        <v>0</v>
      </c>
    </row>
    <row r="3100" spans="2:10" x14ac:dyDescent="0.25">
      <c r="B3100" t="s">
        <v>6</v>
      </c>
      <c r="C3100" t="s">
        <v>313</v>
      </c>
      <c r="D3100">
        <v>703215</v>
      </c>
      <c r="E3100" t="s">
        <v>130</v>
      </c>
      <c r="F3100" t="s">
        <v>21</v>
      </c>
      <c r="G3100" t="s">
        <v>22</v>
      </c>
      <c r="H3100" t="s">
        <v>23</v>
      </c>
      <c r="J3100" s="20">
        <v>0</v>
      </c>
    </row>
    <row r="3101" spans="2:10" x14ac:dyDescent="0.25">
      <c r="B3101" t="s">
        <v>6</v>
      </c>
      <c r="C3101" t="s">
        <v>313</v>
      </c>
      <c r="D3101">
        <v>703216</v>
      </c>
      <c r="E3101" t="s">
        <v>131</v>
      </c>
      <c r="F3101" t="s">
        <v>21</v>
      </c>
      <c r="G3101" t="s">
        <v>22</v>
      </c>
      <c r="H3101" t="s">
        <v>23</v>
      </c>
      <c r="J3101" s="20">
        <v>0</v>
      </c>
    </row>
    <row r="3102" spans="2:10" x14ac:dyDescent="0.25">
      <c r="B3102" t="s">
        <v>6</v>
      </c>
      <c r="C3102" t="s">
        <v>313</v>
      </c>
      <c r="D3102">
        <v>703217</v>
      </c>
      <c r="E3102" t="s">
        <v>132</v>
      </c>
      <c r="F3102" t="s">
        <v>21</v>
      </c>
      <c r="G3102" t="s">
        <v>22</v>
      </c>
      <c r="H3102" t="s">
        <v>23</v>
      </c>
      <c r="J3102" s="20">
        <v>0</v>
      </c>
    </row>
    <row r="3103" spans="2:10" x14ac:dyDescent="0.25">
      <c r="B3103" t="s">
        <v>6</v>
      </c>
      <c r="C3103" t="s">
        <v>313</v>
      </c>
      <c r="D3103">
        <v>703219</v>
      </c>
      <c r="E3103" t="s">
        <v>133</v>
      </c>
      <c r="F3103" t="s">
        <v>21</v>
      </c>
      <c r="G3103" t="s">
        <v>22</v>
      </c>
      <c r="H3103" t="s">
        <v>23</v>
      </c>
      <c r="J3103" s="20">
        <v>0</v>
      </c>
    </row>
    <row r="3104" spans="2:10" x14ac:dyDescent="0.25">
      <c r="B3104" t="s">
        <v>6</v>
      </c>
      <c r="C3104" t="s">
        <v>313</v>
      </c>
      <c r="D3104">
        <v>703220</v>
      </c>
      <c r="E3104" t="s">
        <v>134</v>
      </c>
      <c r="F3104" t="s">
        <v>21</v>
      </c>
      <c r="G3104" t="s">
        <v>71</v>
      </c>
      <c r="H3104" t="s">
        <v>135</v>
      </c>
      <c r="J3104" s="20">
        <v>0</v>
      </c>
    </row>
    <row r="3105" spans="2:10" x14ac:dyDescent="0.25">
      <c r="B3105" t="s">
        <v>6</v>
      </c>
      <c r="C3105" t="s">
        <v>313</v>
      </c>
      <c r="D3105">
        <v>703221</v>
      </c>
      <c r="E3105" t="s">
        <v>136</v>
      </c>
      <c r="F3105" t="s">
        <v>21</v>
      </c>
      <c r="G3105" t="s">
        <v>137</v>
      </c>
      <c r="H3105" t="s">
        <v>138</v>
      </c>
      <c r="J3105" s="20">
        <v>0</v>
      </c>
    </row>
    <row r="3106" spans="2:10" x14ac:dyDescent="0.25">
      <c r="B3106" t="s">
        <v>6</v>
      </c>
      <c r="C3106" t="s">
        <v>313</v>
      </c>
      <c r="D3106">
        <v>703222</v>
      </c>
      <c r="E3106" t="s">
        <v>139</v>
      </c>
      <c r="F3106" t="s">
        <v>21</v>
      </c>
      <c r="G3106" t="s">
        <v>137</v>
      </c>
      <c r="H3106" t="s">
        <v>138</v>
      </c>
      <c r="J3106" s="20">
        <v>0</v>
      </c>
    </row>
    <row r="3107" spans="2:10" x14ac:dyDescent="0.25">
      <c r="B3107" t="s">
        <v>6</v>
      </c>
      <c r="C3107" t="s">
        <v>313</v>
      </c>
      <c r="D3107">
        <v>703223</v>
      </c>
      <c r="E3107" t="s">
        <v>140</v>
      </c>
      <c r="F3107" t="s">
        <v>21</v>
      </c>
      <c r="G3107" t="s">
        <v>137</v>
      </c>
      <c r="H3107" t="s">
        <v>141</v>
      </c>
      <c r="J3107" s="20">
        <v>0</v>
      </c>
    </row>
    <row r="3108" spans="2:10" x14ac:dyDescent="0.25">
      <c r="B3108" t="s">
        <v>6</v>
      </c>
      <c r="C3108" t="s">
        <v>313</v>
      </c>
      <c r="D3108">
        <v>703224</v>
      </c>
      <c r="E3108" t="s">
        <v>142</v>
      </c>
      <c r="F3108" t="s">
        <v>21</v>
      </c>
      <c r="G3108" t="s">
        <v>71</v>
      </c>
      <c r="H3108" t="s">
        <v>88</v>
      </c>
      <c r="J3108" s="20">
        <v>0</v>
      </c>
    </row>
    <row r="3109" spans="2:10" x14ac:dyDescent="0.25">
      <c r="B3109" t="s">
        <v>6</v>
      </c>
      <c r="C3109" t="s">
        <v>313</v>
      </c>
      <c r="D3109">
        <v>703225</v>
      </c>
      <c r="E3109" t="s">
        <v>143</v>
      </c>
      <c r="F3109" t="s">
        <v>21</v>
      </c>
      <c r="G3109" t="s">
        <v>71</v>
      </c>
      <c r="H3109" t="s">
        <v>88</v>
      </c>
      <c r="J3109" s="20">
        <v>0</v>
      </c>
    </row>
    <row r="3110" spans="2:10" x14ac:dyDescent="0.25">
      <c r="B3110" t="s">
        <v>6</v>
      </c>
      <c r="C3110" t="s">
        <v>313</v>
      </c>
      <c r="D3110">
        <v>703226</v>
      </c>
      <c r="E3110" t="s">
        <v>144</v>
      </c>
      <c r="F3110" t="s">
        <v>21</v>
      </c>
      <c r="G3110" t="s">
        <v>71</v>
      </c>
      <c r="H3110" t="s">
        <v>82</v>
      </c>
      <c r="J3110" s="20">
        <v>0</v>
      </c>
    </row>
    <row r="3111" spans="2:10" x14ac:dyDescent="0.25">
      <c r="B3111" t="s">
        <v>6</v>
      </c>
      <c r="C3111" t="s">
        <v>313</v>
      </c>
      <c r="D3111">
        <v>703227</v>
      </c>
      <c r="E3111" t="s">
        <v>145</v>
      </c>
      <c r="F3111" t="s">
        <v>21</v>
      </c>
      <c r="G3111" t="s">
        <v>137</v>
      </c>
      <c r="H3111" t="s">
        <v>138</v>
      </c>
      <c r="J3111" s="20">
        <v>0</v>
      </c>
    </row>
    <row r="3112" spans="2:10" x14ac:dyDescent="0.25">
      <c r="B3112" t="s">
        <v>6</v>
      </c>
      <c r="C3112" t="s">
        <v>313</v>
      </c>
      <c r="D3112">
        <v>703228</v>
      </c>
      <c r="E3112" t="s">
        <v>146</v>
      </c>
      <c r="F3112" t="s">
        <v>21</v>
      </c>
      <c r="G3112" t="s">
        <v>147</v>
      </c>
      <c r="H3112" t="s">
        <v>147</v>
      </c>
      <c r="J3112" s="20">
        <v>0</v>
      </c>
    </row>
    <row r="3113" spans="2:10" x14ac:dyDescent="0.25">
      <c r="B3113" t="s">
        <v>6</v>
      </c>
      <c r="C3113" t="s">
        <v>313</v>
      </c>
      <c r="D3113">
        <v>703229</v>
      </c>
      <c r="E3113" t="s">
        <v>148</v>
      </c>
      <c r="F3113" t="s">
        <v>21</v>
      </c>
      <c r="G3113" t="s">
        <v>147</v>
      </c>
      <c r="H3113" t="s">
        <v>147</v>
      </c>
      <c r="J3113" s="20">
        <v>0</v>
      </c>
    </row>
    <row r="3114" spans="2:10" x14ac:dyDescent="0.25">
      <c r="B3114" t="s">
        <v>6</v>
      </c>
      <c r="C3114" t="s">
        <v>313</v>
      </c>
      <c r="D3114">
        <v>703230</v>
      </c>
      <c r="E3114" t="s">
        <v>149</v>
      </c>
      <c r="F3114" t="s">
        <v>21</v>
      </c>
      <c r="G3114" t="s">
        <v>147</v>
      </c>
      <c r="H3114" t="s">
        <v>147</v>
      </c>
      <c r="J3114" s="20">
        <v>0</v>
      </c>
    </row>
    <row r="3115" spans="2:10" x14ac:dyDescent="0.25">
      <c r="B3115" t="s">
        <v>6</v>
      </c>
      <c r="C3115" t="s">
        <v>313</v>
      </c>
      <c r="D3115">
        <v>703231</v>
      </c>
      <c r="E3115" t="s">
        <v>150</v>
      </c>
      <c r="F3115" t="s">
        <v>21</v>
      </c>
      <c r="G3115" t="s">
        <v>137</v>
      </c>
      <c r="H3115" t="s">
        <v>141</v>
      </c>
      <c r="J3115" s="20">
        <v>0</v>
      </c>
    </row>
    <row r="3116" spans="2:10" x14ac:dyDescent="0.25">
      <c r="B3116" t="s">
        <v>6</v>
      </c>
      <c r="C3116" t="s">
        <v>313</v>
      </c>
      <c r="D3116">
        <v>703232</v>
      </c>
      <c r="E3116" t="s">
        <v>151</v>
      </c>
      <c r="F3116" t="s">
        <v>21</v>
      </c>
      <c r="G3116" t="s">
        <v>147</v>
      </c>
      <c r="H3116" t="s">
        <v>147</v>
      </c>
      <c r="J3116" s="20">
        <v>0</v>
      </c>
    </row>
    <row r="3117" spans="2:10" x14ac:dyDescent="0.25">
      <c r="B3117" t="s">
        <v>6</v>
      </c>
      <c r="C3117" t="s">
        <v>313</v>
      </c>
      <c r="D3117">
        <v>703233</v>
      </c>
      <c r="E3117" t="s">
        <v>152</v>
      </c>
      <c r="F3117" t="s">
        <v>21</v>
      </c>
      <c r="G3117" t="s">
        <v>71</v>
      </c>
      <c r="H3117" t="s">
        <v>153</v>
      </c>
      <c r="J3117" s="20">
        <v>0</v>
      </c>
    </row>
    <row r="3118" spans="2:10" x14ac:dyDescent="0.25">
      <c r="B3118" t="s">
        <v>6</v>
      </c>
      <c r="C3118" t="s">
        <v>313</v>
      </c>
      <c r="D3118">
        <v>703234</v>
      </c>
      <c r="E3118" t="s">
        <v>154</v>
      </c>
      <c r="F3118" t="s">
        <v>21</v>
      </c>
      <c r="G3118" t="s">
        <v>71</v>
      </c>
      <c r="H3118" t="s">
        <v>153</v>
      </c>
      <c r="J3118" s="20">
        <v>0</v>
      </c>
    </row>
    <row r="3119" spans="2:10" x14ac:dyDescent="0.25">
      <c r="B3119" t="s">
        <v>6</v>
      </c>
      <c r="C3119" t="s">
        <v>313</v>
      </c>
      <c r="D3119">
        <v>703235</v>
      </c>
      <c r="E3119" t="s">
        <v>155</v>
      </c>
      <c r="F3119" t="s">
        <v>21</v>
      </c>
      <c r="G3119" t="s">
        <v>71</v>
      </c>
      <c r="H3119" t="s">
        <v>153</v>
      </c>
      <c r="J3119" s="20">
        <v>0</v>
      </c>
    </row>
    <row r="3120" spans="2:10" x14ac:dyDescent="0.25">
      <c r="B3120" t="s">
        <v>6</v>
      </c>
      <c r="C3120" t="s">
        <v>313</v>
      </c>
      <c r="D3120">
        <v>703236</v>
      </c>
      <c r="E3120" t="s">
        <v>156</v>
      </c>
      <c r="F3120" t="s">
        <v>21</v>
      </c>
      <c r="G3120" t="s">
        <v>76</v>
      </c>
      <c r="H3120" t="s">
        <v>77</v>
      </c>
      <c r="J3120" s="20">
        <v>0</v>
      </c>
    </row>
    <row r="3121" spans="2:10" x14ac:dyDescent="0.25">
      <c r="B3121" t="s">
        <v>6</v>
      </c>
      <c r="C3121" t="s">
        <v>313</v>
      </c>
      <c r="D3121">
        <v>703237</v>
      </c>
      <c r="E3121" t="s">
        <v>157</v>
      </c>
      <c r="F3121" t="s">
        <v>21</v>
      </c>
      <c r="G3121" t="s">
        <v>22</v>
      </c>
      <c r="H3121" t="s">
        <v>23</v>
      </c>
      <c r="J3121" s="20">
        <v>0</v>
      </c>
    </row>
    <row r="3122" spans="2:10" x14ac:dyDescent="0.25">
      <c r="B3122" t="s">
        <v>6</v>
      </c>
      <c r="C3122" t="s">
        <v>313</v>
      </c>
      <c r="D3122">
        <v>703238</v>
      </c>
      <c r="E3122" t="s">
        <v>158</v>
      </c>
      <c r="F3122" t="s">
        <v>21</v>
      </c>
      <c r="G3122" t="s">
        <v>61</v>
      </c>
      <c r="H3122" t="s">
        <v>68</v>
      </c>
      <c r="J3122" s="20">
        <v>0</v>
      </c>
    </row>
    <row r="3123" spans="2:10" x14ac:dyDescent="0.25">
      <c r="B3123" t="s">
        <v>6</v>
      </c>
      <c r="C3123" t="s">
        <v>313</v>
      </c>
      <c r="D3123">
        <v>703239</v>
      </c>
      <c r="E3123" t="s">
        <v>159</v>
      </c>
      <c r="F3123" t="s">
        <v>21</v>
      </c>
      <c r="G3123" t="s">
        <v>61</v>
      </c>
      <c r="H3123" t="s">
        <v>68</v>
      </c>
      <c r="J3123" s="20">
        <v>0</v>
      </c>
    </row>
    <row r="3124" spans="2:10" x14ac:dyDescent="0.25">
      <c r="B3124" t="s">
        <v>6</v>
      </c>
      <c r="C3124" t="s">
        <v>313</v>
      </c>
      <c r="D3124">
        <v>703240</v>
      </c>
      <c r="E3124" t="s">
        <v>160</v>
      </c>
      <c r="F3124" t="s">
        <v>21</v>
      </c>
      <c r="G3124" t="s">
        <v>61</v>
      </c>
      <c r="H3124" t="s">
        <v>68</v>
      </c>
      <c r="J3124" s="20">
        <v>0</v>
      </c>
    </row>
    <row r="3125" spans="2:10" x14ac:dyDescent="0.25">
      <c r="B3125" t="s">
        <v>6</v>
      </c>
      <c r="C3125" t="s">
        <v>313</v>
      </c>
      <c r="D3125">
        <v>703241</v>
      </c>
      <c r="E3125" t="s">
        <v>161</v>
      </c>
      <c r="F3125" t="s">
        <v>21</v>
      </c>
      <c r="G3125" t="s">
        <v>137</v>
      </c>
      <c r="H3125" t="s">
        <v>141</v>
      </c>
      <c r="J3125" s="20">
        <v>0</v>
      </c>
    </row>
    <row r="3126" spans="2:10" x14ac:dyDescent="0.25">
      <c r="B3126" t="s">
        <v>6</v>
      </c>
      <c r="C3126" t="s">
        <v>313</v>
      </c>
      <c r="D3126">
        <v>703242</v>
      </c>
      <c r="E3126" t="s">
        <v>162</v>
      </c>
      <c r="F3126" t="s">
        <v>21</v>
      </c>
      <c r="G3126" t="s">
        <v>137</v>
      </c>
      <c r="H3126" t="s">
        <v>141</v>
      </c>
      <c r="J3126" s="20">
        <v>0</v>
      </c>
    </row>
    <row r="3127" spans="2:10" x14ac:dyDescent="0.25">
      <c r="B3127" t="s">
        <v>6</v>
      </c>
      <c r="C3127" t="s">
        <v>313</v>
      </c>
      <c r="D3127">
        <v>703243</v>
      </c>
      <c r="E3127" t="s">
        <v>163</v>
      </c>
      <c r="F3127" t="s">
        <v>21</v>
      </c>
      <c r="G3127" t="s">
        <v>137</v>
      </c>
      <c r="H3127" t="s">
        <v>141</v>
      </c>
      <c r="J3127" s="20">
        <v>0</v>
      </c>
    </row>
    <row r="3128" spans="2:10" x14ac:dyDescent="0.25">
      <c r="B3128" t="s">
        <v>6</v>
      </c>
      <c r="C3128" t="s">
        <v>313</v>
      </c>
      <c r="D3128">
        <v>703244</v>
      </c>
      <c r="E3128" t="s">
        <v>164</v>
      </c>
      <c r="F3128" t="s">
        <v>21</v>
      </c>
      <c r="G3128" t="s">
        <v>71</v>
      </c>
      <c r="H3128" t="s">
        <v>88</v>
      </c>
      <c r="J3128" s="20">
        <v>0</v>
      </c>
    </row>
    <row r="3129" spans="2:10" x14ac:dyDescent="0.25">
      <c r="B3129" t="s">
        <v>6</v>
      </c>
      <c r="C3129" t="s">
        <v>313</v>
      </c>
      <c r="D3129">
        <v>703245</v>
      </c>
      <c r="E3129" t="s">
        <v>165</v>
      </c>
      <c r="F3129" t="s">
        <v>21</v>
      </c>
      <c r="G3129" t="s">
        <v>137</v>
      </c>
      <c r="H3129" t="s">
        <v>138</v>
      </c>
      <c r="J3129" s="20">
        <v>0</v>
      </c>
    </row>
    <row r="3130" spans="2:10" x14ac:dyDescent="0.25">
      <c r="B3130" t="s">
        <v>6</v>
      </c>
      <c r="C3130" t="s">
        <v>313</v>
      </c>
      <c r="D3130">
        <v>703246</v>
      </c>
      <c r="E3130" t="s">
        <v>166</v>
      </c>
      <c r="F3130" t="s">
        <v>21</v>
      </c>
      <c r="G3130" t="s">
        <v>137</v>
      </c>
      <c r="H3130" t="s">
        <v>138</v>
      </c>
      <c r="J3130" s="20">
        <v>0</v>
      </c>
    </row>
    <row r="3131" spans="2:10" x14ac:dyDescent="0.25">
      <c r="B3131" t="s">
        <v>6</v>
      </c>
      <c r="C3131" t="s">
        <v>313</v>
      </c>
      <c r="D3131">
        <v>703247</v>
      </c>
      <c r="E3131" t="s">
        <v>167</v>
      </c>
      <c r="F3131" t="s">
        <v>21</v>
      </c>
      <c r="G3131" t="s">
        <v>137</v>
      </c>
      <c r="H3131" t="s">
        <v>138</v>
      </c>
      <c r="J3131" s="20">
        <v>0</v>
      </c>
    </row>
    <row r="3132" spans="2:10" x14ac:dyDescent="0.25">
      <c r="B3132" t="s">
        <v>6</v>
      </c>
      <c r="C3132" t="s">
        <v>313</v>
      </c>
      <c r="D3132">
        <v>703248</v>
      </c>
      <c r="E3132" t="s">
        <v>168</v>
      </c>
      <c r="F3132" t="s">
        <v>21</v>
      </c>
      <c r="G3132" t="s">
        <v>137</v>
      </c>
      <c r="H3132" t="s">
        <v>141</v>
      </c>
      <c r="J3132" s="20">
        <v>0</v>
      </c>
    </row>
    <row r="3133" spans="2:10" x14ac:dyDescent="0.25">
      <c r="B3133" t="s">
        <v>6</v>
      </c>
      <c r="C3133" t="s">
        <v>313</v>
      </c>
      <c r="D3133">
        <v>703249</v>
      </c>
      <c r="E3133" t="s">
        <v>169</v>
      </c>
      <c r="F3133" t="s">
        <v>21</v>
      </c>
      <c r="G3133" t="s">
        <v>147</v>
      </c>
      <c r="H3133" t="s">
        <v>147</v>
      </c>
      <c r="J3133" s="20">
        <v>0</v>
      </c>
    </row>
    <row r="3134" spans="2:10" x14ac:dyDescent="0.25">
      <c r="B3134" t="s">
        <v>6</v>
      </c>
      <c r="C3134" t="s">
        <v>313</v>
      </c>
      <c r="D3134">
        <v>703250</v>
      </c>
      <c r="E3134" t="s">
        <v>170</v>
      </c>
      <c r="F3134" t="s">
        <v>21</v>
      </c>
      <c r="G3134" t="s">
        <v>71</v>
      </c>
      <c r="H3134" t="s">
        <v>171</v>
      </c>
      <c r="J3134" s="20">
        <v>0</v>
      </c>
    </row>
    <row r="3135" spans="2:10" x14ac:dyDescent="0.25">
      <c r="B3135" t="s">
        <v>6</v>
      </c>
      <c r="C3135" t="s">
        <v>313</v>
      </c>
      <c r="D3135">
        <v>703251</v>
      </c>
      <c r="E3135" t="s">
        <v>172</v>
      </c>
      <c r="F3135" t="s">
        <v>21</v>
      </c>
      <c r="G3135" t="s">
        <v>22</v>
      </c>
      <c r="H3135" t="s">
        <v>115</v>
      </c>
      <c r="J3135" s="20">
        <v>0</v>
      </c>
    </row>
    <row r="3136" spans="2:10" x14ac:dyDescent="0.25">
      <c r="B3136" t="s">
        <v>6</v>
      </c>
      <c r="C3136" t="s">
        <v>313</v>
      </c>
      <c r="D3136">
        <v>703252</v>
      </c>
      <c r="E3136" t="s">
        <v>173</v>
      </c>
      <c r="F3136" t="s">
        <v>21</v>
      </c>
      <c r="G3136" t="s">
        <v>22</v>
      </c>
      <c r="H3136" t="s">
        <v>115</v>
      </c>
      <c r="J3136" s="20">
        <v>0</v>
      </c>
    </row>
    <row r="3137" spans="2:10" x14ac:dyDescent="0.25">
      <c r="B3137" t="s">
        <v>6</v>
      </c>
      <c r="C3137" t="s">
        <v>313</v>
      </c>
      <c r="D3137">
        <v>703253</v>
      </c>
      <c r="E3137" t="s">
        <v>174</v>
      </c>
      <c r="F3137" t="s">
        <v>21</v>
      </c>
      <c r="G3137" t="s">
        <v>22</v>
      </c>
      <c r="H3137" t="s">
        <v>115</v>
      </c>
      <c r="J3137" s="20">
        <v>0</v>
      </c>
    </row>
    <row r="3138" spans="2:10" x14ac:dyDescent="0.25">
      <c r="B3138" t="s">
        <v>6</v>
      </c>
      <c r="C3138" t="s">
        <v>313</v>
      </c>
      <c r="D3138">
        <v>703254</v>
      </c>
      <c r="E3138" t="s">
        <v>175</v>
      </c>
      <c r="F3138" t="s">
        <v>21</v>
      </c>
      <c r="G3138" t="s">
        <v>22</v>
      </c>
      <c r="H3138" t="s">
        <v>115</v>
      </c>
      <c r="J3138" s="20">
        <v>0</v>
      </c>
    </row>
    <row r="3139" spans="2:10" x14ac:dyDescent="0.25">
      <c r="B3139" t="s">
        <v>6</v>
      </c>
      <c r="C3139" t="s">
        <v>313</v>
      </c>
      <c r="D3139">
        <v>703255</v>
      </c>
      <c r="E3139" t="s">
        <v>176</v>
      </c>
      <c r="F3139" t="s">
        <v>21</v>
      </c>
      <c r="G3139" t="s">
        <v>22</v>
      </c>
      <c r="H3139" t="s">
        <v>115</v>
      </c>
      <c r="J3139" s="20">
        <v>0</v>
      </c>
    </row>
    <row r="3140" spans="2:10" x14ac:dyDescent="0.25">
      <c r="B3140" t="s">
        <v>6</v>
      </c>
      <c r="C3140" t="s">
        <v>313</v>
      </c>
      <c r="D3140">
        <v>703257</v>
      </c>
      <c r="E3140" t="s">
        <v>177</v>
      </c>
      <c r="F3140" t="s">
        <v>21</v>
      </c>
      <c r="G3140" t="s">
        <v>147</v>
      </c>
      <c r="H3140" t="s">
        <v>147</v>
      </c>
      <c r="J3140" s="20">
        <v>0</v>
      </c>
    </row>
    <row r="3141" spans="2:10" x14ac:dyDescent="0.25">
      <c r="B3141" t="s">
        <v>6</v>
      </c>
      <c r="C3141" t="s">
        <v>313</v>
      </c>
      <c r="D3141">
        <v>703258</v>
      </c>
      <c r="E3141" t="s">
        <v>178</v>
      </c>
      <c r="F3141" t="s">
        <v>21</v>
      </c>
      <c r="G3141" t="s">
        <v>147</v>
      </c>
      <c r="H3141" t="s">
        <v>147</v>
      </c>
      <c r="J3141" s="20">
        <v>0</v>
      </c>
    </row>
    <row r="3142" spans="2:10" x14ac:dyDescent="0.25">
      <c r="B3142" t="s">
        <v>6</v>
      </c>
      <c r="C3142" t="s">
        <v>313</v>
      </c>
      <c r="D3142">
        <v>703260</v>
      </c>
      <c r="E3142" t="s">
        <v>179</v>
      </c>
      <c r="F3142" t="s">
        <v>21</v>
      </c>
      <c r="G3142" t="s">
        <v>76</v>
      </c>
      <c r="H3142" t="s">
        <v>77</v>
      </c>
      <c r="J3142" s="20">
        <v>0</v>
      </c>
    </row>
    <row r="3143" spans="2:10" x14ac:dyDescent="0.25">
      <c r="B3143" t="s">
        <v>6</v>
      </c>
      <c r="C3143" t="s">
        <v>313</v>
      </c>
      <c r="D3143">
        <v>703261</v>
      </c>
      <c r="E3143" t="s">
        <v>180</v>
      </c>
      <c r="F3143" t="s">
        <v>21</v>
      </c>
      <c r="G3143" t="s">
        <v>22</v>
      </c>
      <c r="H3143" t="s">
        <v>115</v>
      </c>
      <c r="J3143" s="20">
        <v>0</v>
      </c>
    </row>
    <row r="3144" spans="2:10" x14ac:dyDescent="0.25">
      <c r="B3144" t="s">
        <v>6</v>
      </c>
      <c r="C3144" t="s">
        <v>313</v>
      </c>
      <c r="D3144">
        <v>703262</v>
      </c>
      <c r="E3144" t="s">
        <v>181</v>
      </c>
      <c r="F3144" t="s">
        <v>21</v>
      </c>
      <c r="G3144" t="s">
        <v>22</v>
      </c>
      <c r="H3144" t="s">
        <v>23</v>
      </c>
      <c r="J3144" s="20">
        <v>0</v>
      </c>
    </row>
    <row r="3145" spans="2:10" x14ac:dyDescent="0.25">
      <c r="B3145" t="s">
        <v>6</v>
      </c>
      <c r="C3145" t="s">
        <v>313</v>
      </c>
      <c r="D3145">
        <v>703263</v>
      </c>
      <c r="E3145" t="s">
        <v>182</v>
      </c>
      <c r="F3145" t="s">
        <v>21</v>
      </c>
      <c r="G3145" t="s">
        <v>22</v>
      </c>
      <c r="H3145" t="s">
        <v>115</v>
      </c>
      <c r="J3145" s="20">
        <v>0</v>
      </c>
    </row>
    <row r="3146" spans="2:10" x14ac:dyDescent="0.25">
      <c r="B3146" t="s">
        <v>6</v>
      </c>
      <c r="C3146" t="s">
        <v>313</v>
      </c>
      <c r="D3146">
        <v>703264</v>
      </c>
      <c r="E3146" t="s">
        <v>183</v>
      </c>
      <c r="F3146" t="s">
        <v>21</v>
      </c>
      <c r="G3146" t="s">
        <v>22</v>
      </c>
      <c r="H3146" t="s">
        <v>115</v>
      </c>
      <c r="J3146" s="20">
        <v>0</v>
      </c>
    </row>
    <row r="3147" spans="2:10" x14ac:dyDescent="0.25">
      <c r="B3147" t="s">
        <v>6</v>
      </c>
      <c r="C3147" t="s">
        <v>313</v>
      </c>
      <c r="D3147">
        <v>703265</v>
      </c>
      <c r="E3147" t="s">
        <v>184</v>
      </c>
      <c r="F3147" t="s">
        <v>21</v>
      </c>
      <c r="G3147" t="s">
        <v>22</v>
      </c>
      <c r="H3147" t="s">
        <v>115</v>
      </c>
      <c r="J3147" s="20">
        <v>0</v>
      </c>
    </row>
    <row r="3148" spans="2:10" x14ac:dyDescent="0.25">
      <c r="B3148" t="s">
        <v>6</v>
      </c>
      <c r="C3148" t="s">
        <v>313</v>
      </c>
      <c r="D3148">
        <v>703266</v>
      </c>
      <c r="E3148" t="s">
        <v>185</v>
      </c>
      <c r="F3148" t="s">
        <v>21</v>
      </c>
      <c r="G3148" t="s">
        <v>71</v>
      </c>
      <c r="H3148" t="s">
        <v>186</v>
      </c>
      <c r="J3148" s="20">
        <v>0</v>
      </c>
    </row>
    <row r="3149" spans="2:10" x14ac:dyDescent="0.25">
      <c r="B3149" t="s">
        <v>6</v>
      </c>
      <c r="C3149" t="s">
        <v>313</v>
      </c>
      <c r="D3149">
        <v>703267</v>
      </c>
      <c r="E3149" t="s">
        <v>187</v>
      </c>
      <c r="F3149" t="s">
        <v>21</v>
      </c>
      <c r="G3149" t="s">
        <v>71</v>
      </c>
      <c r="H3149" t="s">
        <v>88</v>
      </c>
      <c r="J3149" s="20">
        <v>0</v>
      </c>
    </row>
    <row r="3150" spans="2:10" x14ac:dyDescent="0.25">
      <c r="B3150" t="s">
        <v>6</v>
      </c>
      <c r="C3150" t="s">
        <v>313</v>
      </c>
      <c r="D3150">
        <v>703268</v>
      </c>
      <c r="E3150" t="s">
        <v>188</v>
      </c>
      <c r="F3150" t="s">
        <v>21</v>
      </c>
      <c r="G3150" t="s">
        <v>147</v>
      </c>
      <c r="H3150" t="s">
        <v>147</v>
      </c>
      <c r="J3150" s="20">
        <v>0</v>
      </c>
    </row>
    <row r="3151" spans="2:10" x14ac:dyDescent="0.25">
      <c r="B3151" t="s">
        <v>6</v>
      </c>
      <c r="C3151" t="s">
        <v>313</v>
      </c>
      <c r="D3151">
        <v>703269</v>
      </c>
      <c r="E3151" t="s">
        <v>189</v>
      </c>
      <c r="F3151" t="s">
        <v>21</v>
      </c>
      <c r="G3151" t="s">
        <v>147</v>
      </c>
      <c r="H3151" t="s">
        <v>147</v>
      </c>
      <c r="J3151" s="20">
        <v>0</v>
      </c>
    </row>
    <row r="3152" spans="2:10" x14ac:dyDescent="0.25">
      <c r="B3152" t="s">
        <v>6</v>
      </c>
      <c r="C3152" t="s">
        <v>313</v>
      </c>
      <c r="D3152">
        <v>703270</v>
      </c>
      <c r="E3152" t="s">
        <v>190</v>
      </c>
      <c r="F3152" t="s">
        <v>21</v>
      </c>
      <c r="G3152" t="s">
        <v>137</v>
      </c>
      <c r="H3152" t="s">
        <v>141</v>
      </c>
      <c r="J3152" s="20">
        <v>0</v>
      </c>
    </row>
    <row r="3153" spans="2:10" x14ac:dyDescent="0.25">
      <c r="B3153" t="s">
        <v>6</v>
      </c>
      <c r="C3153" t="s">
        <v>313</v>
      </c>
      <c r="D3153">
        <v>703271</v>
      </c>
      <c r="E3153" t="s">
        <v>191</v>
      </c>
      <c r="F3153" t="s">
        <v>21</v>
      </c>
      <c r="G3153" t="s">
        <v>22</v>
      </c>
      <c r="H3153" t="s">
        <v>115</v>
      </c>
      <c r="J3153" s="20">
        <v>0</v>
      </c>
    </row>
    <row r="3154" spans="2:10" x14ac:dyDescent="0.25">
      <c r="B3154" t="s">
        <v>6</v>
      </c>
      <c r="C3154" t="s">
        <v>313</v>
      </c>
      <c r="D3154">
        <v>703272</v>
      </c>
      <c r="E3154" t="s">
        <v>192</v>
      </c>
      <c r="F3154" t="s">
        <v>21</v>
      </c>
      <c r="G3154" t="s">
        <v>22</v>
      </c>
      <c r="H3154" t="s">
        <v>23</v>
      </c>
      <c r="J3154" s="20">
        <v>0</v>
      </c>
    </row>
    <row r="3155" spans="2:10" x14ac:dyDescent="0.25">
      <c r="B3155" t="s">
        <v>6</v>
      </c>
      <c r="C3155" t="s">
        <v>313</v>
      </c>
      <c r="D3155">
        <v>703273</v>
      </c>
      <c r="E3155" t="s">
        <v>193</v>
      </c>
      <c r="F3155" t="s">
        <v>21</v>
      </c>
      <c r="G3155" t="s">
        <v>147</v>
      </c>
      <c r="H3155" t="s">
        <v>147</v>
      </c>
      <c r="J3155" s="20">
        <v>0</v>
      </c>
    </row>
    <row r="3156" spans="2:10" x14ac:dyDescent="0.25">
      <c r="B3156" t="s">
        <v>6</v>
      </c>
      <c r="C3156" t="s">
        <v>313</v>
      </c>
      <c r="D3156">
        <v>703274</v>
      </c>
      <c r="E3156" t="s">
        <v>194</v>
      </c>
      <c r="F3156" t="s">
        <v>21</v>
      </c>
      <c r="G3156" t="s">
        <v>147</v>
      </c>
      <c r="H3156" t="s">
        <v>147</v>
      </c>
      <c r="J3156" s="20">
        <v>0</v>
      </c>
    </row>
    <row r="3157" spans="2:10" x14ac:dyDescent="0.25">
      <c r="B3157" t="s">
        <v>6</v>
      </c>
      <c r="C3157" t="s">
        <v>313</v>
      </c>
      <c r="D3157">
        <v>703275</v>
      </c>
      <c r="E3157" t="s">
        <v>195</v>
      </c>
      <c r="F3157" t="s">
        <v>21</v>
      </c>
      <c r="G3157" t="s">
        <v>137</v>
      </c>
      <c r="H3157" t="s">
        <v>138</v>
      </c>
      <c r="J3157" s="20">
        <v>0</v>
      </c>
    </row>
    <row r="3158" spans="2:10" x14ac:dyDescent="0.25">
      <c r="B3158" t="s">
        <v>6</v>
      </c>
      <c r="C3158" t="s">
        <v>313</v>
      </c>
      <c r="D3158">
        <v>703280</v>
      </c>
      <c r="E3158" t="s">
        <v>196</v>
      </c>
      <c r="F3158" t="s">
        <v>21</v>
      </c>
      <c r="G3158" t="s">
        <v>71</v>
      </c>
      <c r="H3158" t="s">
        <v>171</v>
      </c>
      <c r="J3158" s="20">
        <v>0</v>
      </c>
    </row>
    <row r="3159" spans="2:10" x14ac:dyDescent="0.25">
      <c r="B3159" t="s">
        <v>6</v>
      </c>
      <c r="C3159" t="s">
        <v>313</v>
      </c>
      <c r="D3159">
        <v>703281</v>
      </c>
      <c r="E3159" t="s">
        <v>197</v>
      </c>
      <c r="F3159" t="s">
        <v>21</v>
      </c>
      <c r="G3159" t="s">
        <v>76</v>
      </c>
      <c r="H3159" t="s">
        <v>77</v>
      </c>
      <c r="J3159" s="20">
        <v>0</v>
      </c>
    </row>
    <row r="3160" spans="2:10" x14ac:dyDescent="0.25">
      <c r="B3160" t="s">
        <v>6</v>
      </c>
      <c r="C3160" t="s">
        <v>313</v>
      </c>
      <c r="D3160">
        <v>703282</v>
      </c>
      <c r="E3160" t="s">
        <v>198</v>
      </c>
      <c r="F3160" t="s">
        <v>21</v>
      </c>
      <c r="G3160" t="s">
        <v>76</v>
      </c>
      <c r="H3160" t="s">
        <v>77</v>
      </c>
      <c r="J3160" s="20">
        <v>0</v>
      </c>
    </row>
    <row r="3161" spans="2:10" x14ac:dyDescent="0.25">
      <c r="B3161" t="s">
        <v>6</v>
      </c>
      <c r="C3161" t="s">
        <v>313</v>
      </c>
      <c r="D3161">
        <v>703283</v>
      </c>
      <c r="E3161" t="s">
        <v>199</v>
      </c>
      <c r="F3161" t="s">
        <v>21</v>
      </c>
      <c r="G3161" t="s">
        <v>61</v>
      </c>
      <c r="H3161" t="s">
        <v>68</v>
      </c>
      <c r="J3161" s="20">
        <v>0</v>
      </c>
    </row>
    <row r="3162" spans="2:10" x14ac:dyDescent="0.25">
      <c r="B3162" t="s">
        <v>6</v>
      </c>
      <c r="C3162" t="s">
        <v>313</v>
      </c>
      <c r="D3162">
        <v>703310</v>
      </c>
      <c r="E3162" t="s">
        <v>200</v>
      </c>
      <c r="F3162" t="s">
        <v>21</v>
      </c>
      <c r="G3162" t="s">
        <v>22</v>
      </c>
      <c r="H3162" t="s">
        <v>23</v>
      </c>
      <c r="J3162" s="20">
        <v>0</v>
      </c>
    </row>
    <row r="3163" spans="2:10" x14ac:dyDescent="0.25">
      <c r="B3163" t="s">
        <v>6</v>
      </c>
      <c r="C3163" t="s">
        <v>313</v>
      </c>
      <c r="D3163">
        <v>703311</v>
      </c>
      <c r="E3163" t="s">
        <v>201</v>
      </c>
      <c r="F3163" t="s">
        <v>21</v>
      </c>
      <c r="G3163" t="s">
        <v>71</v>
      </c>
      <c r="H3163" t="s">
        <v>171</v>
      </c>
      <c r="J3163" s="20">
        <v>0</v>
      </c>
    </row>
    <row r="3164" spans="2:10" x14ac:dyDescent="0.25">
      <c r="B3164" t="s">
        <v>6</v>
      </c>
      <c r="C3164" t="s">
        <v>313</v>
      </c>
      <c r="D3164">
        <v>703312</v>
      </c>
      <c r="E3164" t="s">
        <v>202</v>
      </c>
      <c r="F3164" t="s">
        <v>21</v>
      </c>
      <c r="G3164" t="s">
        <v>76</v>
      </c>
      <c r="H3164" t="s">
        <v>77</v>
      </c>
      <c r="J3164" s="20">
        <v>0</v>
      </c>
    </row>
    <row r="3165" spans="2:10" x14ac:dyDescent="0.25">
      <c r="B3165" t="s">
        <v>6</v>
      </c>
      <c r="C3165" t="s">
        <v>313</v>
      </c>
      <c r="D3165">
        <v>703313</v>
      </c>
      <c r="E3165" t="s">
        <v>203</v>
      </c>
      <c r="F3165" t="s">
        <v>21</v>
      </c>
      <c r="G3165" t="s">
        <v>76</v>
      </c>
      <c r="H3165" t="s">
        <v>77</v>
      </c>
      <c r="J3165" s="20">
        <v>0</v>
      </c>
    </row>
    <row r="3166" spans="2:10" x14ac:dyDescent="0.25">
      <c r="B3166" t="s">
        <v>6</v>
      </c>
      <c r="C3166" t="s">
        <v>313</v>
      </c>
      <c r="D3166">
        <v>703314</v>
      </c>
      <c r="E3166" t="s">
        <v>204</v>
      </c>
      <c r="F3166" t="s">
        <v>21</v>
      </c>
      <c r="G3166" t="s">
        <v>76</v>
      </c>
      <c r="H3166" t="s">
        <v>77</v>
      </c>
      <c r="J3166" s="20">
        <v>0</v>
      </c>
    </row>
    <row r="3167" spans="2:10" x14ac:dyDescent="0.25">
      <c r="B3167" t="s">
        <v>6</v>
      </c>
      <c r="C3167" t="s">
        <v>313</v>
      </c>
      <c r="D3167">
        <v>703315</v>
      </c>
      <c r="E3167" t="s">
        <v>205</v>
      </c>
      <c r="F3167" t="s">
        <v>21</v>
      </c>
      <c r="G3167" t="s">
        <v>76</v>
      </c>
      <c r="H3167" t="s">
        <v>135</v>
      </c>
      <c r="J3167" s="20">
        <v>0</v>
      </c>
    </row>
    <row r="3168" spans="2:10" x14ac:dyDescent="0.25">
      <c r="B3168" t="s">
        <v>6</v>
      </c>
      <c r="C3168" t="s">
        <v>313</v>
      </c>
      <c r="D3168">
        <v>703316</v>
      </c>
      <c r="E3168" t="s">
        <v>206</v>
      </c>
      <c r="F3168" t="s">
        <v>21</v>
      </c>
      <c r="G3168" t="s">
        <v>76</v>
      </c>
      <c r="H3168" t="s">
        <v>77</v>
      </c>
      <c r="J3168" s="20">
        <v>0</v>
      </c>
    </row>
    <row r="3169" spans="2:10" x14ac:dyDescent="0.25">
      <c r="B3169" t="s">
        <v>6</v>
      </c>
      <c r="C3169" t="s">
        <v>313</v>
      </c>
      <c r="D3169">
        <v>703317</v>
      </c>
      <c r="E3169" t="s">
        <v>207</v>
      </c>
      <c r="F3169" t="s">
        <v>21</v>
      </c>
      <c r="G3169" t="s">
        <v>76</v>
      </c>
      <c r="H3169" t="s">
        <v>77</v>
      </c>
      <c r="J3169" s="20">
        <v>0</v>
      </c>
    </row>
    <row r="3170" spans="2:10" x14ac:dyDescent="0.25">
      <c r="B3170" t="s">
        <v>6</v>
      </c>
      <c r="C3170" t="s">
        <v>313</v>
      </c>
      <c r="D3170">
        <v>703318</v>
      </c>
      <c r="E3170" t="s">
        <v>208</v>
      </c>
      <c r="F3170" t="s">
        <v>21</v>
      </c>
      <c r="G3170" t="s">
        <v>71</v>
      </c>
      <c r="H3170" t="s">
        <v>209</v>
      </c>
      <c r="J3170" s="20">
        <v>0</v>
      </c>
    </row>
    <row r="3171" spans="2:10" x14ac:dyDescent="0.25">
      <c r="B3171" t="s">
        <v>6</v>
      </c>
      <c r="C3171" t="s">
        <v>313</v>
      </c>
      <c r="D3171">
        <v>703319</v>
      </c>
      <c r="E3171" t="s">
        <v>210</v>
      </c>
      <c r="F3171" t="s">
        <v>21</v>
      </c>
      <c r="G3171" t="s">
        <v>61</v>
      </c>
      <c r="H3171" t="s">
        <v>79</v>
      </c>
      <c r="J3171" s="20">
        <v>0</v>
      </c>
    </row>
    <row r="3172" spans="2:10" x14ac:dyDescent="0.25">
      <c r="B3172" t="s">
        <v>6</v>
      </c>
      <c r="C3172" t="s">
        <v>313</v>
      </c>
      <c r="D3172">
        <v>703320</v>
      </c>
      <c r="E3172" t="s">
        <v>211</v>
      </c>
      <c r="F3172" t="s">
        <v>21</v>
      </c>
      <c r="G3172" t="s">
        <v>71</v>
      </c>
      <c r="H3172" t="s">
        <v>135</v>
      </c>
      <c r="J3172" s="20">
        <v>0</v>
      </c>
    </row>
    <row r="3173" spans="2:10" x14ac:dyDescent="0.25">
      <c r="B3173" t="s">
        <v>6</v>
      </c>
      <c r="C3173" t="s">
        <v>313</v>
      </c>
      <c r="D3173">
        <v>703321</v>
      </c>
      <c r="E3173" t="s">
        <v>212</v>
      </c>
      <c r="F3173" t="s">
        <v>21</v>
      </c>
      <c r="G3173" t="s">
        <v>22</v>
      </c>
      <c r="H3173" t="s">
        <v>23</v>
      </c>
      <c r="J3173" s="20">
        <v>0</v>
      </c>
    </row>
    <row r="3174" spans="2:10" x14ac:dyDescent="0.25">
      <c r="B3174" t="s">
        <v>6</v>
      </c>
      <c r="C3174" t="s">
        <v>313</v>
      </c>
      <c r="D3174">
        <v>703322</v>
      </c>
      <c r="E3174" t="s">
        <v>213</v>
      </c>
      <c r="F3174" t="s">
        <v>21</v>
      </c>
      <c r="G3174" t="s">
        <v>22</v>
      </c>
      <c r="H3174" t="s">
        <v>23</v>
      </c>
      <c r="J3174" s="20">
        <v>0</v>
      </c>
    </row>
    <row r="3175" spans="2:10" x14ac:dyDescent="0.25">
      <c r="B3175" t="s">
        <v>6</v>
      </c>
      <c r="C3175" t="s">
        <v>313</v>
      </c>
      <c r="D3175">
        <v>703323</v>
      </c>
      <c r="E3175" t="s">
        <v>214</v>
      </c>
      <c r="F3175" t="s">
        <v>21</v>
      </c>
      <c r="G3175" t="s">
        <v>22</v>
      </c>
      <c r="H3175" t="s">
        <v>23</v>
      </c>
      <c r="J3175" s="20">
        <v>0</v>
      </c>
    </row>
    <row r="3176" spans="2:10" x14ac:dyDescent="0.25">
      <c r="B3176" t="s">
        <v>6</v>
      </c>
      <c r="C3176" t="s">
        <v>313</v>
      </c>
      <c r="D3176">
        <v>703324</v>
      </c>
      <c r="E3176" t="s">
        <v>215</v>
      </c>
      <c r="F3176" t="s">
        <v>21</v>
      </c>
      <c r="G3176" t="s">
        <v>22</v>
      </c>
      <c r="H3176" t="s">
        <v>23</v>
      </c>
      <c r="J3176" s="20">
        <v>0</v>
      </c>
    </row>
    <row r="3177" spans="2:10" x14ac:dyDescent="0.25">
      <c r="B3177" t="s">
        <v>6</v>
      </c>
      <c r="C3177" t="s">
        <v>313</v>
      </c>
      <c r="D3177">
        <v>703325</v>
      </c>
      <c r="E3177" t="s">
        <v>216</v>
      </c>
      <c r="F3177" t="s">
        <v>21</v>
      </c>
      <c r="G3177" t="s">
        <v>22</v>
      </c>
      <c r="H3177" t="s">
        <v>23</v>
      </c>
      <c r="J3177" s="20">
        <v>0</v>
      </c>
    </row>
    <row r="3178" spans="2:10" x14ac:dyDescent="0.25">
      <c r="B3178" t="s">
        <v>6</v>
      </c>
      <c r="C3178" t="s">
        <v>313</v>
      </c>
      <c r="D3178">
        <v>703326</v>
      </c>
      <c r="E3178" t="s">
        <v>217</v>
      </c>
      <c r="F3178" t="s">
        <v>21</v>
      </c>
      <c r="G3178" t="s">
        <v>22</v>
      </c>
      <c r="H3178" t="s">
        <v>23</v>
      </c>
      <c r="J3178" s="20">
        <v>0</v>
      </c>
    </row>
    <row r="3179" spans="2:10" x14ac:dyDescent="0.25">
      <c r="B3179" t="s">
        <v>6</v>
      </c>
      <c r="C3179" t="s">
        <v>313</v>
      </c>
      <c r="D3179">
        <v>703327</v>
      </c>
      <c r="E3179" t="s">
        <v>218</v>
      </c>
      <c r="F3179" t="s">
        <v>21</v>
      </c>
      <c r="G3179" t="s">
        <v>76</v>
      </c>
      <c r="H3179" t="s">
        <v>77</v>
      </c>
      <c r="J3179" s="20">
        <v>0</v>
      </c>
    </row>
    <row r="3180" spans="2:10" x14ac:dyDescent="0.25">
      <c r="B3180" t="s">
        <v>6</v>
      </c>
      <c r="C3180" t="s">
        <v>313</v>
      </c>
      <c r="D3180">
        <v>703328</v>
      </c>
      <c r="E3180" t="s">
        <v>219</v>
      </c>
      <c r="F3180" t="s">
        <v>21</v>
      </c>
      <c r="G3180" t="s">
        <v>22</v>
      </c>
      <c r="H3180" t="s">
        <v>23</v>
      </c>
      <c r="J3180" s="20">
        <v>0</v>
      </c>
    </row>
    <row r="3181" spans="2:10" x14ac:dyDescent="0.25">
      <c r="B3181" t="s">
        <v>6</v>
      </c>
      <c r="C3181" t="s">
        <v>313</v>
      </c>
      <c r="D3181">
        <v>703329</v>
      </c>
      <c r="E3181" t="s">
        <v>220</v>
      </c>
      <c r="F3181" t="s">
        <v>21</v>
      </c>
      <c r="G3181" t="s">
        <v>22</v>
      </c>
      <c r="H3181" t="s">
        <v>23</v>
      </c>
      <c r="J3181" s="20">
        <v>0</v>
      </c>
    </row>
    <row r="3182" spans="2:10" x14ac:dyDescent="0.25">
      <c r="B3182" t="s">
        <v>6</v>
      </c>
      <c r="C3182" t="s">
        <v>313</v>
      </c>
      <c r="D3182">
        <v>703330</v>
      </c>
      <c r="E3182" t="s">
        <v>221</v>
      </c>
      <c r="F3182" t="s">
        <v>21</v>
      </c>
      <c r="G3182" t="s">
        <v>22</v>
      </c>
      <c r="H3182" t="s">
        <v>23</v>
      </c>
      <c r="J3182" s="20">
        <v>0</v>
      </c>
    </row>
    <row r="3183" spans="2:10" x14ac:dyDescent="0.25">
      <c r="B3183" t="s">
        <v>6</v>
      </c>
      <c r="C3183" t="s">
        <v>313</v>
      </c>
      <c r="D3183">
        <v>703340</v>
      </c>
      <c r="E3183" t="s">
        <v>222</v>
      </c>
      <c r="F3183" t="s">
        <v>21</v>
      </c>
      <c r="G3183" t="s">
        <v>61</v>
      </c>
      <c r="H3183" t="s">
        <v>68</v>
      </c>
      <c r="J3183" s="20">
        <v>0</v>
      </c>
    </row>
    <row r="3184" spans="2:10" x14ac:dyDescent="0.25">
      <c r="B3184" t="s">
        <v>6</v>
      </c>
      <c r="C3184" t="s">
        <v>313</v>
      </c>
      <c r="D3184">
        <v>703350</v>
      </c>
      <c r="E3184" t="s">
        <v>223</v>
      </c>
      <c r="F3184" t="s">
        <v>21</v>
      </c>
      <c r="G3184" t="s">
        <v>22</v>
      </c>
      <c r="H3184" t="s">
        <v>23</v>
      </c>
      <c r="J3184" s="20">
        <v>0</v>
      </c>
    </row>
    <row r="3185" spans="2:10" x14ac:dyDescent="0.25">
      <c r="B3185" t="s">
        <v>6</v>
      </c>
      <c r="C3185" t="s">
        <v>313</v>
      </c>
      <c r="D3185">
        <v>703351</v>
      </c>
      <c r="E3185" t="s">
        <v>224</v>
      </c>
      <c r="F3185" t="s">
        <v>21</v>
      </c>
      <c r="G3185" t="s">
        <v>22</v>
      </c>
      <c r="H3185" t="s">
        <v>23</v>
      </c>
      <c r="J3185" s="20">
        <v>0</v>
      </c>
    </row>
    <row r="3186" spans="2:10" x14ac:dyDescent="0.25">
      <c r="B3186" t="s">
        <v>6</v>
      </c>
      <c r="C3186" t="s">
        <v>313</v>
      </c>
      <c r="D3186">
        <v>703352</v>
      </c>
      <c r="E3186" t="s">
        <v>225</v>
      </c>
      <c r="F3186" t="s">
        <v>21</v>
      </c>
      <c r="G3186" t="s">
        <v>22</v>
      </c>
      <c r="H3186" t="s">
        <v>23</v>
      </c>
      <c r="J3186" s="20">
        <v>0</v>
      </c>
    </row>
    <row r="3187" spans="2:10" x14ac:dyDescent="0.25">
      <c r="B3187" t="s">
        <v>6</v>
      </c>
      <c r="C3187" t="s">
        <v>313</v>
      </c>
      <c r="D3187">
        <v>703360</v>
      </c>
      <c r="E3187" t="s">
        <v>226</v>
      </c>
      <c r="F3187" t="s">
        <v>21</v>
      </c>
      <c r="G3187" t="s">
        <v>22</v>
      </c>
      <c r="H3187" t="s">
        <v>23</v>
      </c>
      <c r="J3187" s="20">
        <v>0</v>
      </c>
    </row>
    <row r="3188" spans="2:10" x14ac:dyDescent="0.25">
      <c r="B3188" t="s">
        <v>6</v>
      </c>
      <c r="C3188" t="s">
        <v>313</v>
      </c>
      <c r="D3188">
        <v>703370</v>
      </c>
      <c r="E3188" t="s">
        <v>227</v>
      </c>
      <c r="F3188" t="s">
        <v>21</v>
      </c>
      <c r="G3188" t="s">
        <v>22</v>
      </c>
      <c r="H3188" t="s">
        <v>23</v>
      </c>
      <c r="J3188" s="20">
        <v>0</v>
      </c>
    </row>
    <row r="3189" spans="2:10" x14ac:dyDescent="0.25">
      <c r="B3189" t="s">
        <v>6</v>
      </c>
      <c r="C3189" t="s">
        <v>313</v>
      </c>
      <c r="D3189">
        <v>703410</v>
      </c>
      <c r="E3189" t="s">
        <v>228</v>
      </c>
      <c r="F3189" t="s">
        <v>21</v>
      </c>
      <c r="G3189" t="s">
        <v>22</v>
      </c>
      <c r="H3189" t="s">
        <v>23</v>
      </c>
      <c r="J3189" s="20">
        <v>0</v>
      </c>
    </row>
    <row r="3190" spans="2:10" x14ac:dyDescent="0.25">
      <c r="B3190" t="s">
        <v>6</v>
      </c>
      <c r="C3190" t="s">
        <v>313</v>
      </c>
      <c r="D3190">
        <v>703411</v>
      </c>
      <c r="E3190" t="s">
        <v>229</v>
      </c>
      <c r="F3190" t="s">
        <v>21</v>
      </c>
      <c r="G3190" t="s">
        <v>22</v>
      </c>
      <c r="H3190" t="s">
        <v>23</v>
      </c>
      <c r="J3190" s="20">
        <v>0</v>
      </c>
    </row>
    <row r="3191" spans="2:10" x14ac:dyDescent="0.25">
      <c r="B3191" t="s">
        <v>6</v>
      </c>
      <c r="C3191" t="s">
        <v>313</v>
      </c>
      <c r="D3191">
        <v>703412</v>
      </c>
      <c r="E3191" t="s">
        <v>230</v>
      </c>
      <c r="F3191" t="s">
        <v>21</v>
      </c>
      <c r="G3191" t="s">
        <v>22</v>
      </c>
      <c r="H3191" t="s">
        <v>23</v>
      </c>
      <c r="J3191" s="20">
        <v>0</v>
      </c>
    </row>
    <row r="3192" spans="2:10" x14ac:dyDescent="0.25">
      <c r="B3192" t="s">
        <v>6</v>
      </c>
      <c r="C3192" t="s">
        <v>313</v>
      </c>
      <c r="D3192">
        <v>703420</v>
      </c>
      <c r="E3192" t="s">
        <v>231</v>
      </c>
      <c r="F3192" t="s">
        <v>21</v>
      </c>
      <c r="G3192" t="s">
        <v>71</v>
      </c>
      <c r="H3192" t="s">
        <v>171</v>
      </c>
      <c r="J3192" s="20">
        <v>0</v>
      </c>
    </row>
    <row r="3193" spans="2:10" x14ac:dyDescent="0.25">
      <c r="B3193" t="s">
        <v>6</v>
      </c>
      <c r="C3193" t="s">
        <v>313</v>
      </c>
      <c r="D3193">
        <v>703421</v>
      </c>
      <c r="E3193" t="s">
        <v>232</v>
      </c>
      <c r="F3193" t="s">
        <v>21</v>
      </c>
      <c r="G3193" t="s">
        <v>22</v>
      </c>
      <c r="H3193" t="s">
        <v>23</v>
      </c>
      <c r="J3193" s="20">
        <v>0</v>
      </c>
    </row>
    <row r="3194" spans="2:10" x14ac:dyDescent="0.25">
      <c r="B3194" t="s">
        <v>6</v>
      </c>
      <c r="C3194" t="s">
        <v>313</v>
      </c>
      <c r="D3194">
        <v>703422</v>
      </c>
      <c r="E3194" t="s">
        <v>233</v>
      </c>
      <c r="F3194" t="s">
        <v>21</v>
      </c>
      <c r="G3194" t="s">
        <v>76</v>
      </c>
      <c r="H3194" t="s">
        <v>77</v>
      </c>
      <c r="J3194" s="20">
        <v>0</v>
      </c>
    </row>
    <row r="3195" spans="2:10" x14ac:dyDescent="0.25">
      <c r="B3195" t="s">
        <v>6</v>
      </c>
      <c r="C3195" t="s">
        <v>313</v>
      </c>
      <c r="D3195">
        <v>703423</v>
      </c>
      <c r="E3195" t="s">
        <v>234</v>
      </c>
      <c r="F3195" t="s">
        <v>21</v>
      </c>
      <c r="G3195" t="s">
        <v>71</v>
      </c>
      <c r="H3195" t="s">
        <v>88</v>
      </c>
      <c r="J3195" s="20">
        <v>0</v>
      </c>
    </row>
    <row r="3196" spans="2:10" x14ac:dyDescent="0.25">
      <c r="B3196" t="s">
        <v>6</v>
      </c>
      <c r="C3196" t="s">
        <v>313</v>
      </c>
      <c r="D3196">
        <v>703424</v>
      </c>
      <c r="E3196" t="s">
        <v>235</v>
      </c>
      <c r="F3196" t="s">
        <v>21</v>
      </c>
      <c r="G3196" t="s">
        <v>71</v>
      </c>
      <c r="H3196" t="s">
        <v>88</v>
      </c>
      <c r="J3196" s="20">
        <v>0</v>
      </c>
    </row>
    <row r="3197" spans="2:10" x14ac:dyDescent="0.25">
      <c r="B3197" t="s">
        <v>6</v>
      </c>
      <c r="C3197" t="s">
        <v>313</v>
      </c>
      <c r="D3197">
        <v>703425</v>
      </c>
      <c r="E3197" t="s">
        <v>236</v>
      </c>
      <c r="F3197" t="s">
        <v>21</v>
      </c>
      <c r="G3197" t="s">
        <v>76</v>
      </c>
      <c r="H3197" t="s">
        <v>77</v>
      </c>
      <c r="J3197" s="20">
        <v>0</v>
      </c>
    </row>
    <row r="3198" spans="2:10" x14ac:dyDescent="0.25">
      <c r="B3198" t="s">
        <v>6</v>
      </c>
      <c r="C3198" t="s">
        <v>313</v>
      </c>
      <c r="D3198">
        <v>703426</v>
      </c>
      <c r="E3198" t="s">
        <v>237</v>
      </c>
      <c r="F3198" t="s">
        <v>21</v>
      </c>
      <c r="G3198" t="s">
        <v>22</v>
      </c>
      <c r="H3198" t="s">
        <v>23</v>
      </c>
      <c r="J3198" s="20">
        <v>0</v>
      </c>
    </row>
    <row r="3199" spans="2:10" x14ac:dyDescent="0.25">
      <c r="B3199" t="s">
        <v>6</v>
      </c>
      <c r="C3199" t="s">
        <v>313</v>
      </c>
      <c r="D3199">
        <v>703427</v>
      </c>
      <c r="E3199" t="s">
        <v>238</v>
      </c>
      <c r="F3199" t="s">
        <v>21</v>
      </c>
      <c r="G3199" t="s">
        <v>76</v>
      </c>
      <c r="H3199" t="s">
        <v>77</v>
      </c>
      <c r="J3199" s="20">
        <v>0</v>
      </c>
    </row>
    <row r="3200" spans="2:10" x14ac:dyDescent="0.25">
      <c r="B3200" t="s">
        <v>6</v>
      </c>
      <c r="C3200" t="s">
        <v>313</v>
      </c>
      <c r="D3200">
        <v>703428</v>
      </c>
      <c r="E3200" t="s">
        <v>239</v>
      </c>
      <c r="F3200" t="s">
        <v>21</v>
      </c>
      <c r="G3200" t="s">
        <v>76</v>
      </c>
      <c r="H3200" t="s">
        <v>77</v>
      </c>
      <c r="J3200" s="20">
        <v>0</v>
      </c>
    </row>
    <row r="3201" spans="2:10" x14ac:dyDescent="0.25">
      <c r="B3201" t="s">
        <v>6</v>
      </c>
      <c r="C3201" t="s">
        <v>313</v>
      </c>
      <c r="D3201">
        <v>703429</v>
      </c>
      <c r="E3201" t="s">
        <v>240</v>
      </c>
      <c r="F3201" t="s">
        <v>21</v>
      </c>
      <c r="G3201" t="s">
        <v>76</v>
      </c>
      <c r="H3201" t="s">
        <v>77</v>
      </c>
      <c r="J3201" s="20">
        <v>0</v>
      </c>
    </row>
    <row r="3202" spans="2:10" x14ac:dyDescent="0.25">
      <c r="B3202" t="s">
        <v>6</v>
      </c>
      <c r="C3202" t="s">
        <v>313</v>
      </c>
      <c r="D3202">
        <v>703430</v>
      </c>
      <c r="E3202" t="s">
        <v>20</v>
      </c>
      <c r="F3202" t="s">
        <v>21</v>
      </c>
      <c r="G3202" t="s">
        <v>22</v>
      </c>
      <c r="H3202" t="s">
        <v>23</v>
      </c>
      <c r="J3202" s="20">
        <v>0</v>
      </c>
    </row>
    <row r="3203" spans="2:10" x14ac:dyDescent="0.25">
      <c r="B3203" t="s">
        <v>6</v>
      </c>
      <c r="C3203" t="s">
        <v>313</v>
      </c>
      <c r="D3203">
        <v>703431</v>
      </c>
      <c r="E3203" t="s">
        <v>241</v>
      </c>
      <c r="F3203" t="s">
        <v>21</v>
      </c>
      <c r="G3203" t="s">
        <v>22</v>
      </c>
      <c r="H3203" t="s">
        <v>23</v>
      </c>
      <c r="J3203" s="20">
        <v>0</v>
      </c>
    </row>
    <row r="3204" spans="2:10" x14ac:dyDescent="0.25">
      <c r="B3204" t="s">
        <v>6</v>
      </c>
      <c r="C3204" t="s">
        <v>313</v>
      </c>
      <c r="D3204">
        <v>703432</v>
      </c>
      <c r="E3204" t="s">
        <v>242</v>
      </c>
      <c r="F3204" t="s">
        <v>21</v>
      </c>
      <c r="G3204" t="s">
        <v>22</v>
      </c>
      <c r="H3204" t="s">
        <v>23</v>
      </c>
      <c r="J3204" s="20">
        <v>0</v>
      </c>
    </row>
    <row r="3205" spans="2:10" x14ac:dyDescent="0.25">
      <c r="B3205" t="s">
        <v>6</v>
      </c>
      <c r="C3205" t="s">
        <v>313</v>
      </c>
      <c r="D3205">
        <v>703433</v>
      </c>
      <c r="E3205" t="s">
        <v>243</v>
      </c>
      <c r="F3205" t="s">
        <v>21</v>
      </c>
      <c r="G3205" t="s">
        <v>71</v>
      </c>
      <c r="H3205" t="s">
        <v>88</v>
      </c>
      <c r="J3205" s="20">
        <v>0</v>
      </c>
    </row>
    <row r="3206" spans="2:10" x14ac:dyDescent="0.25">
      <c r="B3206" t="s">
        <v>6</v>
      </c>
      <c r="C3206" t="s">
        <v>313</v>
      </c>
      <c r="D3206">
        <v>703434</v>
      </c>
      <c r="E3206" t="s">
        <v>244</v>
      </c>
      <c r="F3206" t="s">
        <v>21</v>
      </c>
      <c r="G3206" t="s">
        <v>22</v>
      </c>
      <c r="H3206" t="s">
        <v>23</v>
      </c>
      <c r="J3206" s="20">
        <v>0</v>
      </c>
    </row>
    <row r="3207" spans="2:10" x14ac:dyDescent="0.25">
      <c r="B3207" t="s">
        <v>6</v>
      </c>
      <c r="C3207" t="s">
        <v>313</v>
      </c>
      <c r="D3207">
        <v>703435</v>
      </c>
      <c r="E3207" t="s">
        <v>245</v>
      </c>
      <c r="F3207" t="s">
        <v>21</v>
      </c>
      <c r="G3207" t="s">
        <v>71</v>
      </c>
      <c r="H3207" t="s">
        <v>88</v>
      </c>
      <c r="J3207" s="20">
        <v>0</v>
      </c>
    </row>
    <row r="3208" spans="2:10" x14ac:dyDescent="0.25">
      <c r="B3208" t="s">
        <v>6</v>
      </c>
      <c r="C3208" t="s">
        <v>313</v>
      </c>
      <c r="D3208">
        <v>703436</v>
      </c>
      <c r="E3208" t="s">
        <v>246</v>
      </c>
      <c r="F3208" t="s">
        <v>21</v>
      </c>
      <c r="G3208" t="s">
        <v>71</v>
      </c>
      <c r="H3208" t="s">
        <v>88</v>
      </c>
      <c r="J3208" s="20">
        <v>0</v>
      </c>
    </row>
    <row r="3209" spans="2:10" x14ac:dyDescent="0.25">
      <c r="B3209" t="s">
        <v>6</v>
      </c>
      <c r="C3209" t="s">
        <v>313</v>
      </c>
      <c r="D3209">
        <v>703437</v>
      </c>
      <c r="E3209" t="s">
        <v>247</v>
      </c>
      <c r="F3209" t="s">
        <v>21</v>
      </c>
      <c r="G3209" t="s">
        <v>71</v>
      </c>
      <c r="H3209" t="s">
        <v>88</v>
      </c>
      <c r="J3209" s="20">
        <v>0</v>
      </c>
    </row>
    <row r="3210" spans="2:10" x14ac:dyDescent="0.25">
      <c r="B3210" t="s">
        <v>6</v>
      </c>
      <c r="C3210" t="s">
        <v>313</v>
      </c>
      <c r="D3210">
        <v>703438</v>
      </c>
      <c r="E3210" t="s">
        <v>248</v>
      </c>
      <c r="F3210" t="s">
        <v>21</v>
      </c>
      <c r="G3210" t="s">
        <v>71</v>
      </c>
      <c r="H3210" t="s">
        <v>88</v>
      </c>
      <c r="J3210" s="20">
        <v>0</v>
      </c>
    </row>
    <row r="3211" spans="2:10" x14ac:dyDescent="0.25">
      <c r="B3211" t="s">
        <v>6</v>
      </c>
      <c r="C3211" t="s">
        <v>313</v>
      </c>
      <c r="D3211">
        <v>703439</v>
      </c>
      <c r="E3211" t="s">
        <v>249</v>
      </c>
      <c r="F3211" t="s">
        <v>21</v>
      </c>
      <c r="G3211" t="s">
        <v>22</v>
      </c>
      <c r="H3211" t="s">
        <v>23</v>
      </c>
      <c r="J3211" s="20">
        <v>0</v>
      </c>
    </row>
    <row r="3212" spans="2:10" x14ac:dyDescent="0.25">
      <c r="B3212" t="s">
        <v>6</v>
      </c>
      <c r="C3212" t="s">
        <v>313</v>
      </c>
      <c r="D3212">
        <v>703440</v>
      </c>
      <c r="E3212" t="s">
        <v>250</v>
      </c>
      <c r="F3212" t="s">
        <v>21</v>
      </c>
      <c r="G3212" t="s">
        <v>61</v>
      </c>
      <c r="H3212" t="s">
        <v>68</v>
      </c>
      <c r="J3212" s="20">
        <v>0</v>
      </c>
    </row>
    <row r="3213" spans="2:10" x14ac:dyDescent="0.25">
      <c r="B3213" t="s">
        <v>6</v>
      </c>
      <c r="C3213" t="s">
        <v>313</v>
      </c>
      <c r="D3213">
        <v>703441</v>
      </c>
      <c r="E3213" t="s">
        <v>251</v>
      </c>
      <c r="F3213" t="s">
        <v>21</v>
      </c>
      <c r="G3213" t="s">
        <v>61</v>
      </c>
      <c r="H3213" t="s">
        <v>79</v>
      </c>
      <c r="J3213" s="20">
        <v>0</v>
      </c>
    </row>
    <row r="3214" spans="2:10" x14ac:dyDescent="0.25">
      <c r="B3214" t="s">
        <v>6</v>
      </c>
      <c r="C3214" t="s">
        <v>313</v>
      </c>
      <c r="D3214">
        <v>703442</v>
      </c>
      <c r="E3214" t="s">
        <v>252</v>
      </c>
      <c r="F3214" t="s">
        <v>21</v>
      </c>
      <c r="G3214" t="s">
        <v>76</v>
      </c>
      <c r="H3214" t="s">
        <v>77</v>
      </c>
      <c r="J3214" s="20">
        <v>0</v>
      </c>
    </row>
    <row r="3215" spans="2:10" x14ac:dyDescent="0.25">
      <c r="B3215" t="s">
        <v>6</v>
      </c>
      <c r="C3215" t="s">
        <v>313</v>
      </c>
      <c r="D3215">
        <v>703443</v>
      </c>
      <c r="E3215" t="s">
        <v>253</v>
      </c>
      <c r="F3215" t="s">
        <v>21</v>
      </c>
      <c r="G3215" t="s">
        <v>71</v>
      </c>
      <c r="H3215" t="s">
        <v>88</v>
      </c>
      <c r="J3215" s="20">
        <v>0</v>
      </c>
    </row>
    <row r="3216" spans="2:10" x14ac:dyDescent="0.25">
      <c r="B3216" t="s">
        <v>6</v>
      </c>
      <c r="C3216" t="s">
        <v>313</v>
      </c>
      <c r="D3216">
        <v>703444</v>
      </c>
      <c r="E3216" t="s">
        <v>254</v>
      </c>
      <c r="F3216" t="s">
        <v>21</v>
      </c>
      <c r="G3216" t="s">
        <v>22</v>
      </c>
      <c r="H3216" t="s">
        <v>23</v>
      </c>
      <c r="J3216" s="20">
        <v>0</v>
      </c>
    </row>
    <row r="3217" spans="2:10" x14ac:dyDescent="0.25">
      <c r="B3217" t="s">
        <v>6</v>
      </c>
      <c r="C3217" t="s">
        <v>313</v>
      </c>
      <c r="D3217">
        <v>703445</v>
      </c>
      <c r="E3217" t="s">
        <v>255</v>
      </c>
      <c r="F3217" t="s">
        <v>21</v>
      </c>
      <c r="G3217" t="s">
        <v>22</v>
      </c>
      <c r="H3217" t="s">
        <v>23</v>
      </c>
      <c r="J3217" s="20">
        <v>0</v>
      </c>
    </row>
    <row r="3218" spans="2:10" x14ac:dyDescent="0.25">
      <c r="B3218" t="s">
        <v>6</v>
      </c>
      <c r="C3218" t="s">
        <v>313</v>
      </c>
      <c r="D3218">
        <v>703446</v>
      </c>
      <c r="E3218" t="s">
        <v>256</v>
      </c>
      <c r="F3218" t="s">
        <v>21</v>
      </c>
      <c r="G3218" t="s">
        <v>22</v>
      </c>
      <c r="H3218" t="s">
        <v>23</v>
      </c>
      <c r="J3218" s="20">
        <v>0</v>
      </c>
    </row>
    <row r="3219" spans="2:10" x14ac:dyDescent="0.25">
      <c r="B3219" t="s">
        <v>6</v>
      </c>
      <c r="C3219" t="s">
        <v>313</v>
      </c>
      <c r="D3219">
        <v>703447</v>
      </c>
      <c r="E3219" t="s">
        <v>257</v>
      </c>
      <c r="F3219" t="s">
        <v>21</v>
      </c>
      <c r="G3219" t="s">
        <v>22</v>
      </c>
      <c r="H3219" t="s">
        <v>23</v>
      </c>
      <c r="J3219" s="20">
        <v>0</v>
      </c>
    </row>
    <row r="3220" spans="2:10" x14ac:dyDescent="0.25">
      <c r="B3220" t="s">
        <v>6</v>
      </c>
      <c r="C3220" t="s">
        <v>313</v>
      </c>
      <c r="D3220">
        <v>703448</v>
      </c>
      <c r="E3220" t="s">
        <v>258</v>
      </c>
      <c r="F3220" t="s">
        <v>21</v>
      </c>
      <c r="G3220" t="s">
        <v>22</v>
      </c>
      <c r="H3220" t="s">
        <v>23</v>
      </c>
      <c r="J3220" s="20">
        <v>0</v>
      </c>
    </row>
    <row r="3221" spans="2:10" x14ac:dyDescent="0.25">
      <c r="B3221" t="s">
        <v>6</v>
      </c>
      <c r="C3221" t="s">
        <v>313</v>
      </c>
      <c r="D3221">
        <v>703449</v>
      </c>
      <c r="E3221" t="s">
        <v>259</v>
      </c>
      <c r="F3221" t="s">
        <v>21</v>
      </c>
      <c r="G3221" t="s">
        <v>22</v>
      </c>
      <c r="H3221" t="s">
        <v>23</v>
      </c>
      <c r="J3221" s="20">
        <v>0</v>
      </c>
    </row>
    <row r="3222" spans="2:10" x14ac:dyDescent="0.25">
      <c r="B3222" t="s">
        <v>6</v>
      </c>
      <c r="C3222" t="s">
        <v>313</v>
      </c>
      <c r="D3222">
        <v>703450</v>
      </c>
      <c r="E3222" t="s">
        <v>260</v>
      </c>
      <c r="F3222" t="s">
        <v>21</v>
      </c>
      <c r="G3222" t="s">
        <v>71</v>
      </c>
      <c r="H3222" t="s">
        <v>88</v>
      </c>
      <c r="J3222" s="20">
        <v>0</v>
      </c>
    </row>
    <row r="3223" spans="2:10" x14ac:dyDescent="0.25">
      <c r="B3223" t="s">
        <v>6</v>
      </c>
      <c r="C3223" t="s">
        <v>313</v>
      </c>
      <c r="D3223">
        <v>703510</v>
      </c>
      <c r="E3223" t="s">
        <v>261</v>
      </c>
      <c r="F3223" t="s">
        <v>21</v>
      </c>
      <c r="G3223" t="s">
        <v>22</v>
      </c>
      <c r="H3223" t="s">
        <v>23</v>
      </c>
      <c r="J3223" s="20">
        <v>0</v>
      </c>
    </row>
    <row r="3224" spans="2:10" x14ac:dyDescent="0.25">
      <c r="B3224" t="s">
        <v>6</v>
      </c>
      <c r="C3224" t="s">
        <v>313</v>
      </c>
      <c r="D3224">
        <v>703511</v>
      </c>
      <c r="E3224" t="s">
        <v>262</v>
      </c>
      <c r="F3224" t="s">
        <v>21</v>
      </c>
      <c r="G3224" t="s">
        <v>22</v>
      </c>
      <c r="H3224" t="s">
        <v>23</v>
      </c>
      <c r="J3224" s="20">
        <v>0</v>
      </c>
    </row>
    <row r="3225" spans="2:10" x14ac:dyDescent="0.25">
      <c r="B3225" t="s">
        <v>6</v>
      </c>
      <c r="C3225" t="s">
        <v>313</v>
      </c>
      <c r="D3225">
        <v>703512</v>
      </c>
      <c r="E3225" t="s">
        <v>263</v>
      </c>
      <c r="F3225" t="s">
        <v>21</v>
      </c>
      <c r="G3225" t="s">
        <v>22</v>
      </c>
      <c r="H3225" t="s">
        <v>23</v>
      </c>
      <c r="J3225" s="20">
        <v>0</v>
      </c>
    </row>
    <row r="3226" spans="2:10" x14ac:dyDescent="0.25">
      <c r="B3226" t="s">
        <v>6</v>
      </c>
      <c r="C3226" t="s">
        <v>313</v>
      </c>
      <c r="D3226">
        <v>703513</v>
      </c>
      <c r="E3226" t="s">
        <v>264</v>
      </c>
      <c r="F3226" t="s">
        <v>21</v>
      </c>
      <c r="G3226" t="s">
        <v>22</v>
      </c>
      <c r="H3226" t="s">
        <v>23</v>
      </c>
      <c r="J3226" s="20">
        <v>0</v>
      </c>
    </row>
    <row r="3227" spans="2:10" x14ac:dyDescent="0.25">
      <c r="B3227" t="s">
        <v>6</v>
      </c>
      <c r="C3227" t="s">
        <v>313</v>
      </c>
      <c r="D3227">
        <v>703514</v>
      </c>
      <c r="E3227" t="s">
        <v>265</v>
      </c>
      <c r="F3227" t="s">
        <v>21</v>
      </c>
      <c r="G3227" t="s">
        <v>22</v>
      </c>
      <c r="H3227" t="s">
        <v>23</v>
      </c>
      <c r="J3227" s="20">
        <v>0</v>
      </c>
    </row>
    <row r="3228" spans="2:10" x14ac:dyDescent="0.25">
      <c r="B3228" t="s">
        <v>6</v>
      </c>
      <c r="C3228" t="s">
        <v>313</v>
      </c>
      <c r="D3228">
        <v>703515</v>
      </c>
      <c r="E3228" t="s">
        <v>266</v>
      </c>
      <c r="F3228" t="s">
        <v>21</v>
      </c>
      <c r="G3228" t="s">
        <v>22</v>
      </c>
      <c r="H3228" t="s">
        <v>23</v>
      </c>
      <c r="J3228" s="20">
        <v>0</v>
      </c>
    </row>
    <row r="3229" spans="2:10" x14ac:dyDescent="0.25">
      <c r="B3229" t="s">
        <v>6</v>
      </c>
      <c r="C3229" t="s">
        <v>313</v>
      </c>
      <c r="D3229">
        <v>703520</v>
      </c>
      <c r="E3229" t="s">
        <v>267</v>
      </c>
      <c r="F3229" t="s">
        <v>21</v>
      </c>
      <c r="G3229" t="s">
        <v>22</v>
      </c>
      <c r="H3229" t="s">
        <v>23</v>
      </c>
      <c r="J3229" s="20">
        <v>0</v>
      </c>
    </row>
    <row r="3230" spans="2:10" x14ac:dyDescent="0.25">
      <c r="B3230" t="s">
        <v>6</v>
      </c>
      <c r="C3230" t="s">
        <v>313</v>
      </c>
      <c r="D3230">
        <v>703530</v>
      </c>
      <c r="E3230" t="s">
        <v>268</v>
      </c>
      <c r="F3230" t="s">
        <v>21</v>
      </c>
      <c r="G3230" t="s">
        <v>22</v>
      </c>
      <c r="H3230" t="s">
        <v>23</v>
      </c>
      <c r="J3230" s="20">
        <v>0</v>
      </c>
    </row>
    <row r="3231" spans="2:10" x14ac:dyDescent="0.25">
      <c r="B3231" t="s">
        <v>6</v>
      </c>
      <c r="C3231" t="s">
        <v>313</v>
      </c>
      <c r="D3231">
        <v>703540</v>
      </c>
      <c r="E3231" t="s">
        <v>269</v>
      </c>
      <c r="F3231" t="s">
        <v>21</v>
      </c>
      <c r="G3231" t="s">
        <v>22</v>
      </c>
      <c r="H3231" t="s">
        <v>23</v>
      </c>
      <c r="J3231" s="20">
        <v>0</v>
      </c>
    </row>
    <row r="3232" spans="2:10" x14ac:dyDescent="0.25">
      <c r="B3232" t="s">
        <v>6</v>
      </c>
      <c r="C3232" t="s">
        <v>313</v>
      </c>
      <c r="D3232">
        <v>703550</v>
      </c>
      <c r="E3232" t="s">
        <v>270</v>
      </c>
      <c r="F3232" t="s">
        <v>21</v>
      </c>
      <c r="G3232" t="s">
        <v>22</v>
      </c>
      <c r="H3232" t="s">
        <v>23</v>
      </c>
      <c r="J3232" s="20">
        <v>0</v>
      </c>
    </row>
    <row r="3233" spans="2:10" x14ac:dyDescent="0.25">
      <c r="B3233" t="s">
        <v>6</v>
      </c>
      <c r="C3233" t="s">
        <v>313</v>
      </c>
      <c r="D3233">
        <v>703560</v>
      </c>
      <c r="E3233" t="s">
        <v>271</v>
      </c>
      <c r="F3233" t="s">
        <v>21</v>
      </c>
      <c r="G3233" t="s">
        <v>22</v>
      </c>
      <c r="H3233" t="s">
        <v>23</v>
      </c>
      <c r="J3233" s="20">
        <v>0</v>
      </c>
    </row>
    <row r="3234" spans="2:10" x14ac:dyDescent="0.25">
      <c r="B3234" t="s">
        <v>6</v>
      </c>
      <c r="C3234" t="s">
        <v>313</v>
      </c>
      <c r="D3234">
        <v>703570</v>
      </c>
      <c r="E3234" t="s">
        <v>272</v>
      </c>
      <c r="F3234" t="s">
        <v>21</v>
      </c>
      <c r="G3234" t="s">
        <v>22</v>
      </c>
      <c r="H3234" t="s">
        <v>23</v>
      </c>
      <c r="J3234" s="20">
        <v>0</v>
      </c>
    </row>
    <row r="3235" spans="2:10" x14ac:dyDescent="0.25">
      <c r="B3235" t="s">
        <v>6</v>
      </c>
      <c r="C3235" t="s">
        <v>313</v>
      </c>
      <c r="D3235">
        <v>703571</v>
      </c>
      <c r="E3235" t="s">
        <v>273</v>
      </c>
      <c r="F3235" t="s">
        <v>21</v>
      </c>
      <c r="G3235" t="s">
        <v>22</v>
      </c>
      <c r="H3235" t="s">
        <v>23</v>
      </c>
      <c r="J3235" s="20"/>
    </row>
    <row r="3236" spans="2:10" x14ac:dyDescent="0.25">
      <c r="B3236" t="s">
        <v>6</v>
      </c>
      <c r="C3236" t="s">
        <v>313</v>
      </c>
      <c r="D3236">
        <v>703572</v>
      </c>
      <c r="E3236" t="s">
        <v>274</v>
      </c>
      <c r="F3236" t="s">
        <v>21</v>
      </c>
      <c r="G3236" t="s">
        <v>22</v>
      </c>
      <c r="H3236" t="s">
        <v>23</v>
      </c>
      <c r="J3236" s="20"/>
    </row>
    <row r="3237" spans="2:10" x14ac:dyDescent="0.25">
      <c r="B3237" t="s">
        <v>6</v>
      </c>
      <c r="C3237" t="s">
        <v>313</v>
      </c>
      <c r="D3237">
        <v>703573</v>
      </c>
      <c r="E3237" t="s">
        <v>275</v>
      </c>
      <c r="F3237" t="s">
        <v>21</v>
      </c>
      <c r="G3237" t="s">
        <v>22</v>
      </c>
      <c r="H3237" t="s">
        <v>23</v>
      </c>
      <c r="J3237" s="20"/>
    </row>
    <row r="3238" spans="2:10" x14ac:dyDescent="0.25">
      <c r="B3238" t="s">
        <v>6</v>
      </c>
      <c r="C3238" t="s">
        <v>313</v>
      </c>
      <c r="D3238">
        <v>703574</v>
      </c>
      <c r="E3238" t="s">
        <v>276</v>
      </c>
      <c r="F3238" t="s">
        <v>21</v>
      </c>
      <c r="G3238" t="s">
        <v>22</v>
      </c>
      <c r="H3238" t="s">
        <v>23</v>
      </c>
      <c r="J3238" s="20"/>
    </row>
    <row r="3239" spans="2:10" x14ac:dyDescent="0.25">
      <c r="B3239" t="s">
        <v>6</v>
      </c>
      <c r="C3239" t="s">
        <v>313</v>
      </c>
      <c r="D3239">
        <v>703580</v>
      </c>
      <c r="E3239" t="s">
        <v>277</v>
      </c>
      <c r="F3239" t="s">
        <v>21</v>
      </c>
      <c r="G3239" t="s">
        <v>22</v>
      </c>
      <c r="H3239" t="s">
        <v>23</v>
      </c>
      <c r="J3239" s="20">
        <v>0</v>
      </c>
    </row>
    <row r="3240" spans="2:10" x14ac:dyDescent="0.25">
      <c r="B3240" t="s">
        <v>6</v>
      </c>
      <c r="C3240" t="s">
        <v>313</v>
      </c>
      <c r="D3240">
        <v>703590</v>
      </c>
      <c r="E3240" t="s">
        <v>278</v>
      </c>
      <c r="F3240" t="s">
        <v>21</v>
      </c>
      <c r="G3240" t="s">
        <v>22</v>
      </c>
      <c r="H3240" t="s">
        <v>23</v>
      </c>
      <c r="J3240" s="20">
        <v>0</v>
      </c>
    </row>
    <row r="3241" spans="2:10" x14ac:dyDescent="0.25">
      <c r="B3241" t="s">
        <v>6</v>
      </c>
      <c r="C3241" t="s">
        <v>313</v>
      </c>
      <c r="D3241">
        <v>703650</v>
      </c>
      <c r="E3241" t="s">
        <v>279</v>
      </c>
      <c r="F3241" t="s">
        <v>21</v>
      </c>
      <c r="G3241" t="s">
        <v>22</v>
      </c>
      <c r="H3241" t="s">
        <v>23</v>
      </c>
      <c r="J3241" s="20">
        <v>0</v>
      </c>
    </row>
    <row r="3242" spans="2:10" x14ac:dyDescent="0.25">
      <c r="B3242" t="s">
        <v>6</v>
      </c>
      <c r="C3242" t="s">
        <v>313</v>
      </c>
      <c r="D3242">
        <v>703651</v>
      </c>
      <c r="E3242" t="s">
        <v>280</v>
      </c>
      <c r="F3242" t="s">
        <v>21</v>
      </c>
      <c r="G3242" t="s">
        <v>22</v>
      </c>
      <c r="H3242" t="s">
        <v>23</v>
      </c>
      <c r="J3242" s="20">
        <v>0</v>
      </c>
    </row>
    <row r="3243" spans="2:10" x14ac:dyDescent="0.25">
      <c r="B3243" t="s">
        <v>6</v>
      </c>
      <c r="C3243" t="s">
        <v>313</v>
      </c>
      <c r="D3243">
        <v>703850</v>
      </c>
      <c r="E3243" t="s">
        <v>281</v>
      </c>
      <c r="F3243" t="s">
        <v>21</v>
      </c>
      <c r="G3243" t="s">
        <v>22</v>
      </c>
      <c r="H3243" t="s">
        <v>23</v>
      </c>
      <c r="J3243" s="20">
        <v>0</v>
      </c>
    </row>
    <row r="3244" spans="2:10" x14ac:dyDescent="0.25">
      <c r="B3244" t="s">
        <v>6</v>
      </c>
      <c r="C3244" t="s">
        <v>313</v>
      </c>
      <c r="D3244">
        <v>703851</v>
      </c>
      <c r="E3244" t="s">
        <v>282</v>
      </c>
      <c r="F3244" t="s">
        <v>21</v>
      </c>
      <c r="G3244" t="s">
        <v>22</v>
      </c>
      <c r="H3244" t="s">
        <v>23</v>
      </c>
      <c r="J3244" s="20">
        <v>0</v>
      </c>
    </row>
    <row r="3245" spans="2:10" x14ac:dyDescent="0.25">
      <c r="B3245" t="s">
        <v>6</v>
      </c>
      <c r="C3245" t="s">
        <v>313</v>
      </c>
      <c r="D3245">
        <v>703852</v>
      </c>
      <c r="E3245" t="s">
        <v>283</v>
      </c>
      <c r="F3245" t="s">
        <v>21</v>
      </c>
      <c r="G3245" t="s">
        <v>22</v>
      </c>
      <c r="H3245" t="s">
        <v>23</v>
      </c>
      <c r="J3245" s="20">
        <v>0</v>
      </c>
    </row>
    <row r="3246" spans="2:10" x14ac:dyDescent="0.25">
      <c r="B3246" t="s">
        <v>6</v>
      </c>
      <c r="C3246" t="s">
        <v>313</v>
      </c>
      <c r="D3246">
        <v>703853</v>
      </c>
      <c r="E3246" t="s">
        <v>284</v>
      </c>
      <c r="F3246" t="s">
        <v>21</v>
      </c>
      <c r="G3246" t="s">
        <v>22</v>
      </c>
      <c r="H3246" t="s">
        <v>23</v>
      </c>
      <c r="J3246" s="20">
        <v>0</v>
      </c>
    </row>
    <row r="3247" spans="2:10" x14ac:dyDescent="0.25">
      <c r="B3247" t="s">
        <v>6</v>
      </c>
      <c r="C3247" t="s">
        <v>313</v>
      </c>
      <c r="D3247">
        <v>703854</v>
      </c>
      <c r="E3247" t="s">
        <v>285</v>
      </c>
      <c r="F3247" t="s">
        <v>21</v>
      </c>
      <c r="G3247" t="s">
        <v>22</v>
      </c>
      <c r="H3247" t="s">
        <v>115</v>
      </c>
      <c r="J3247" s="20">
        <v>0</v>
      </c>
    </row>
    <row r="3248" spans="2:10" x14ac:dyDescent="0.25">
      <c r="B3248" t="s">
        <v>6</v>
      </c>
      <c r="C3248" t="s">
        <v>313</v>
      </c>
      <c r="D3248">
        <v>703855</v>
      </c>
      <c r="E3248" t="s">
        <v>286</v>
      </c>
      <c r="F3248" t="s">
        <v>21</v>
      </c>
      <c r="G3248" t="s">
        <v>22</v>
      </c>
      <c r="H3248" t="s">
        <v>23</v>
      </c>
      <c r="J3248" s="20">
        <v>0</v>
      </c>
    </row>
    <row r="3249" spans="2:10" x14ac:dyDescent="0.25">
      <c r="B3249" t="s">
        <v>6</v>
      </c>
      <c r="C3249" t="s">
        <v>313</v>
      </c>
      <c r="D3249">
        <v>703856</v>
      </c>
      <c r="E3249" t="s">
        <v>287</v>
      </c>
      <c r="F3249" t="s">
        <v>21</v>
      </c>
      <c r="G3249" t="s">
        <v>22</v>
      </c>
      <c r="H3249" t="s">
        <v>23</v>
      </c>
      <c r="J3249" s="20">
        <v>0</v>
      </c>
    </row>
    <row r="3250" spans="2:10" x14ac:dyDescent="0.25">
      <c r="B3250" t="s">
        <v>6</v>
      </c>
      <c r="C3250" t="s">
        <v>313</v>
      </c>
      <c r="D3250">
        <v>703857</v>
      </c>
      <c r="E3250" t="s">
        <v>288</v>
      </c>
      <c r="F3250" t="s">
        <v>21</v>
      </c>
      <c r="G3250" t="s">
        <v>71</v>
      </c>
      <c r="H3250" t="s">
        <v>88</v>
      </c>
      <c r="J3250" s="20">
        <v>0</v>
      </c>
    </row>
    <row r="3251" spans="2:10" x14ac:dyDescent="0.25">
      <c r="B3251" t="s">
        <v>6</v>
      </c>
      <c r="C3251" t="s">
        <v>313</v>
      </c>
      <c r="D3251">
        <v>703858</v>
      </c>
      <c r="E3251" t="s">
        <v>289</v>
      </c>
      <c r="F3251" t="s">
        <v>21</v>
      </c>
      <c r="G3251" t="s">
        <v>22</v>
      </c>
      <c r="H3251" t="s">
        <v>23</v>
      </c>
      <c r="J3251" s="20">
        <v>0</v>
      </c>
    </row>
    <row r="3252" spans="2:10" x14ac:dyDescent="0.25">
      <c r="B3252" t="s">
        <v>6</v>
      </c>
      <c r="C3252" t="s">
        <v>313</v>
      </c>
      <c r="D3252">
        <v>703859</v>
      </c>
      <c r="E3252" t="s">
        <v>290</v>
      </c>
      <c r="F3252" t="s">
        <v>21</v>
      </c>
      <c r="G3252" t="s">
        <v>22</v>
      </c>
      <c r="H3252" t="s">
        <v>23</v>
      </c>
      <c r="J3252" s="20">
        <v>0</v>
      </c>
    </row>
    <row r="3253" spans="2:10" x14ac:dyDescent="0.25">
      <c r="B3253" t="s">
        <v>6</v>
      </c>
      <c r="C3253" t="s">
        <v>313</v>
      </c>
      <c r="D3253">
        <v>703860</v>
      </c>
      <c r="E3253" t="s">
        <v>291</v>
      </c>
      <c r="F3253" t="s">
        <v>21</v>
      </c>
      <c r="G3253" t="s">
        <v>22</v>
      </c>
      <c r="H3253" t="s">
        <v>23</v>
      </c>
      <c r="J3253" s="20">
        <v>0</v>
      </c>
    </row>
    <row r="3254" spans="2:10" x14ac:dyDescent="0.25">
      <c r="B3254" t="s">
        <v>6</v>
      </c>
      <c r="C3254" t="s">
        <v>313</v>
      </c>
      <c r="D3254">
        <v>703861</v>
      </c>
      <c r="E3254" t="s">
        <v>292</v>
      </c>
      <c r="F3254" t="s">
        <v>21</v>
      </c>
      <c r="G3254" t="s">
        <v>22</v>
      </c>
      <c r="H3254" t="s">
        <v>23</v>
      </c>
      <c r="J3254" s="20">
        <v>0</v>
      </c>
    </row>
    <row r="3255" spans="2:10" x14ac:dyDescent="0.25">
      <c r="B3255" t="s">
        <v>6</v>
      </c>
      <c r="C3255" t="s">
        <v>313</v>
      </c>
      <c r="D3255">
        <v>703862</v>
      </c>
      <c r="E3255" t="s">
        <v>293</v>
      </c>
      <c r="F3255" t="s">
        <v>21</v>
      </c>
      <c r="G3255" t="s">
        <v>22</v>
      </c>
      <c r="H3255" t="s">
        <v>23</v>
      </c>
      <c r="J3255" s="20">
        <v>0</v>
      </c>
    </row>
    <row r="3256" spans="2:10" x14ac:dyDescent="0.25">
      <c r="B3256" t="s">
        <v>6</v>
      </c>
      <c r="C3256" t="s">
        <v>313</v>
      </c>
      <c r="D3256">
        <v>703870</v>
      </c>
      <c r="E3256" t="s">
        <v>294</v>
      </c>
      <c r="F3256" t="s">
        <v>21</v>
      </c>
      <c r="G3256" t="s">
        <v>22</v>
      </c>
      <c r="H3256" t="s">
        <v>23</v>
      </c>
      <c r="J3256" s="20">
        <v>0</v>
      </c>
    </row>
    <row r="3257" spans="2:10" x14ac:dyDescent="0.25">
      <c r="B3257" t="s">
        <v>6</v>
      </c>
      <c r="C3257" t="s">
        <v>313</v>
      </c>
      <c r="D3257">
        <v>703880</v>
      </c>
      <c r="E3257" t="s">
        <v>295</v>
      </c>
      <c r="F3257" t="s">
        <v>21</v>
      </c>
      <c r="G3257" t="s">
        <v>22</v>
      </c>
      <c r="H3257" t="s">
        <v>23</v>
      </c>
      <c r="J3257" s="20">
        <v>0</v>
      </c>
    </row>
    <row r="3258" spans="2:10" x14ac:dyDescent="0.25">
      <c r="B3258" t="s">
        <v>6</v>
      </c>
      <c r="C3258" t="s">
        <v>313</v>
      </c>
      <c r="D3258">
        <v>703899</v>
      </c>
      <c r="E3258" t="s">
        <v>296</v>
      </c>
      <c r="F3258" t="s">
        <v>21</v>
      </c>
      <c r="G3258" t="s">
        <v>22</v>
      </c>
      <c r="H3258" t="s">
        <v>23</v>
      </c>
      <c r="J3258" s="20">
        <v>0</v>
      </c>
    </row>
    <row r="3259" spans="2:10" x14ac:dyDescent="0.25">
      <c r="B3259" t="s">
        <v>6</v>
      </c>
      <c r="C3259" t="s">
        <v>313</v>
      </c>
      <c r="D3259">
        <v>706700</v>
      </c>
      <c r="E3259" t="s">
        <v>25</v>
      </c>
      <c r="F3259" t="s">
        <v>26</v>
      </c>
      <c r="G3259" t="s">
        <v>27</v>
      </c>
      <c r="H3259" t="s">
        <v>28</v>
      </c>
      <c r="J3259" s="20">
        <v>0</v>
      </c>
    </row>
    <row r="3260" spans="2:10" x14ac:dyDescent="0.25">
      <c r="B3260" t="s">
        <v>6</v>
      </c>
      <c r="C3260" t="s">
        <v>313</v>
      </c>
      <c r="D3260" t="s">
        <v>29</v>
      </c>
      <c r="E3260" t="s">
        <v>30</v>
      </c>
      <c r="F3260" t="s">
        <v>26</v>
      </c>
      <c r="G3260" t="s">
        <v>27</v>
      </c>
      <c r="H3260" t="s">
        <v>31</v>
      </c>
      <c r="J3260" s="20">
        <v>0</v>
      </c>
    </row>
    <row r="3261" spans="2:10" x14ac:dyDescent="0.25">
      <c r="B3261" t="s">
        <v>6</v>
      </c>
      <c r="C3261" t="s">
        <v>313</v>
      </c>
      <c r="D3261" t="s">
        <v>32</v>
      </c>
      <c r="E3261" t="s">
        <v>33</v>
      </c>
      <c r="F3261" t="s">
        <v>26</v>
      </c>
      <c r="G3261" t="s">
        <v>27</v>
      </c>
      <c r="H3261" t="s">
        <v>28</v>
      </c>
      <c r="J3261" s="20">
        <v>0</v>
      </c>
    </row>
    <row r="3262" spans="2:10" x14ac:dyDescent="0.25">
      <c r="B3262" t="s">
        <v>6</v>
      </c>
      <c r="C3262" t="s">
        <v>313</v>
      </c>
      <c r="D3262" t="s">
        <v>34</v>
      </c>
      <c r="E3262" t="s">
        <v>35</v>
      </c>
      <c r="F3262" t="s">
        <v>26</v>
      </c>
      <c r="G3262" t="s">
        <v>36</v>
      </c>
      <c r="H3262" t="s">
        <v>36</v>
      </c>
      <c r="J3262" s="20">
        <v>0</v>
      </c>
    </row>
    <row r="3263" spans="2:10" x14ac:dyDescent="0.25">
      <c r="B3263" t="s">
        <v>6</v>
      </c>
      <c r="C3263" t="s">
        <v>313</v>
      </c>
      <c r="D3263" t="s">
        <v>37</v>
      </c>
      <c r="E3263" t="s">
        <v>38</v>
      </c>
      <c r="F3263" t="s">
        <v>21</v>
      </c>
      <c r="G3263" t="s">
        <v>39</v>
      </c>
      <c r="H3263" t="s">
        <v>39</v>
      </c>
      <c r="J3263" s="20">
        <v>0</v>
      </c>
    </row>
    <row r="3264" spans="2:10" x14ac:dyDescent="0.25">
      <c r="B3264" t="s">
        <v>6</v>
      </c>
      <c r="C3264" t="s">
        <v>313</v>
      </c>
      <c r="D3264" t="s">
        <v>40</v>
      </c>
      <c r="E3264" t="s">
        <v>41</v>
      </c>
      <c r="F3264" t="s">
        <v>26</v>
      </c>
      <c r="G3264" t="s">
        <v>39</v>
      </c>
      <c r="H3264" t="s">
        <v>39</v>
      </c>
      <c r="J3264" s="20">
        <v>0</v>
      </c>
    </row>
    <row r="3265" spans="2:10" x14ac:dyDescent="0.25">
      <c r="B3265" t="s">
        <v>6</v>
      </c>
      <c r="C3265" t="s">
        <v>313</v>
      </c>
      <c r="D3265" t="s">
        <v>42</v>
      </c>
      <c r="E3265" t="s">
        <v>43</v>
      </c>
      <c r="F3265" t="s">
        <v>21</v>
      </c>
      <c r="G3265" t="s">
        <v>44</v>
      </c>
      <c r="H3265" t="s">
        <v>44</v>
      </c>
      <c r="J3265" s="20">
        <v>0</v>
      </c>
    </row>
    <row r="3266" spans="2:10" x14ac:dyDescent="0.25">
      <c r="B3266" t="s">
        <v>6</v>
      </c>
      <c r="C3266" t="s">
        <v>313</v>
      </c>
      <c r="D3266" t="s">
        <v>45</v>
      </c>
      <c r="E3266" t="s">
        <v>46</v>
      </c>
      <c r="F3266" t="s">
        <v>26</v>
      </c>
      <c r="G3266" t="s">
        <v>44</v>
      </c>
      <c r="H3266" t="s">
        <v>44</v>
      </c>
      <c r="J3266" s="20">
        <v>0</v>
      </c>
    </row>
    <row r="3267" spans="2:10" x14ac:dyDescent="0.25">
      <c r="B3267" t="s">
        <v>6</v>
      </c>
      <c r="C3267" t="s">
        <v>313</v>
      </c>
      <c r="D3267" t="s">
        <v>297</v>
      </c>
      <c r="E3267" t="s">
        <v>298</v>
      </c>
      <c r="F3267" t="s">
        <v>26</v>
      </c>
      <c r="G3267" t="s">
        <v>299</v>
      </c>
      <c r="H3267" t="s">
        <v>299</v>
      </c>
      <c r="J3267" s="20"/>
    </row>
    <row r="3268" spans="2:10" x14ac:dyDescent="0.25">
      <c r="B3268" t="s">
        <v>6</v>
      </c>
      <c r="C3268" t="s">
        <v>313</v>
      </c>
      <c r="D3268" t="s">
        <v>300</v>
      </c>
      <c r="E3268" t="s">
        <v>301</v>
      </c>
      <c r="F3268" t="s">
        <v>21</v>
      </c>
      <c r="G3268" t="s">
        <v>299</v>
      </c>
      <c r="H3268" t="s">
        <v>299</v>
      </c>
      <c r="J3268" s="20"/>
    </row>
    <row r="3269" spans="2:10" x14ac:dyDescent="0.25">
      <c r="B3269" t="s">
        <v>6</v>
      </c>
      <c r="C3269" t="s">
        <v>313</v>
      </c>
      <c r="D3269" t="s">
        <v>47</v>
      </c>
      <c r="E3269" t="s">
        <v>48</v>
      </c>
      <c r="F3269" t="s">
        <v>26</v>
      </c>
      <c r="G3269" t="s">
        <v>49</v>
      </c>
      <c r="H3269" t="s">
        <v>49</v>
      </c>
      <c r="J3269" s="20">
        <v>0</v>
      </c>
    </row>
    <row r="3270" spans="2:10" x14ac:dyDescent="0.25">
      <c r="B3270" t="s">
        <v>6</v>
      </c>
      <c r="C3270" t="s">
        <v>8</v>
      </c>
      <c r="D3270">
        <v>701000</v>
      </c>
      <c r="E3270" t="s">
        <v>51</v>
      </c>
      <c r="F3270" t="s">
        <v>21</v>
      </c>
      <c r="G3270" t="s">
        <v>52</v>
      </c>
      <c r="H3270" t="s">
        <v>53</v>
      </c>
      <c r="J3270" s="20">
        <v>0</v>
      </c>
    </row>
    <row r="3271" spans="2:10" x14ac:dyDescent="0.25">
      <c r="B3271" t="s">
        <v>6</v>
      </c>
      <c r="C3271" t="s">
        <v>8</v>
      </c>
      <c r="D3271">
        <v>701008</v>
      </c>
      <c r="E3271" t="s">
        <v>54</v>
      </c>
      <c r="F3271" t="s">
        <v>21</v>
      </c>
      <c r="G3271" t="s">
        <v>52</v>
      </c>
      <c r="H3271" t="s">
        <v>53</v>
      </c>
      <c r="J3271" s="20">
        <v>0</v>
      </c>
    </row>
    <row r="3272" spans="2:10" x14ac:dyDescent="0.25">
      <c r="B3272" t="s">
        <v>6</v>
      </c>
      <c r="C3272" t="s">
        <v>8</v>
      </c>
      <c r="D3272">
        <v>701009</v>
      </c>
      <c r="E3272" t="s">
        <v>55</v>
      </c>
      <c r="F3272" t="s">
        <v>21</v>
      </c>
      <c r="G3272" t="s">
        <v>52</v>
      </c>
      <c r="H3272" t="s">
        <v>53</v>
      </c>
      <c r="J3272" s="20">
        <v>0</v>
      </c>
    </row>
    <row r="3273" spans="2:10" x14ac:dyDescent="0.25">
      <c r="B3273" t="s">
        <v>6</v>
      </c>
      <c r="C3273" t="s">
        <v>8</v>
      </c>
      <c r="D3273">
        <v>701010</v>
      </c>
      <c r="E3273" t="s">
        <v>56</v>
      </c>
      <c r="F3273" t="s">
        <v>21</v>
      </c>
      <c r="G3273" t="s">
        <v>52</v>
      </c>
      <c r="H3273" t="s">
        <v>57</v>
      </c>
      <c r="J3273" s="20">
        <v>0</v>
      </c>
    </row>
    <row r="3274" spans="2:10" x14ac:dyDescent="0.25">
      <c r="B3274" t="s">
        <v>6</v>
      </c>
      <c r="C3274" t="s">
        <v>8</v>
      </c>
      <c r="D3274">
        <v>701011</v>
      </c>
      <c r="E3274" t="s">
        <v>58</v>
      </c>
      <c r="F3274" t="s">
        <v>21</v>
      </c>
      <c r="G3274" t="s">
        <v>52</v>
      </c>
      <c r="H3274" t="s">
        <v>53</v>
      </c>
      <c r="J3274" s="20">
        <v>0</v>
      </c>
    </row>
    <row r="3275" spans="2:10" x14ac:dyDescent="0.25">
      <c r="B3275" t="s">
        <v>6</v>
      </c>
      <c r="C3275" t="s">
        <v>8</v>
      </c>
      <c r="D3275">
        <v>701012</v>
      </c>
      <c r="E3275" t="s">
        <v>59</v>
      </c>
      <c r="F3275" t="s">
        <v>21</v>
      </c>
      <c r="G3275" t="s">
        <v>52</v>
      </c>
      <c r="H3275" t="s">
        <v>53</v>
      </c>
      <c r="J3275" s="20">
        <v>0</v>
      </c>
    </row>
    <row r="3276" spans="2:10" x14ac:dyDescent="0.25">
      <c r="B3276" t="s">
        <v>6</v>
      </c>
      <c r="C3276" t="s">
        <v>8</v>
      </c>
      <c r="D3276">
        <v>701013</v>
      </c>
      <c r="E3276" t="s">
        <v>60</v>
      </c>
      <c r="F3276" t="s">
        <v>21</v>
      </c>
      <c r="G3276" t="s">
        <v>61</v>
      </c>
      <c r="H3276" t="s">
        <v>62</v>
      </c>
      <c r="J3276" s="20">
        <v>0</v>
      </c>
    </row>
    <row r="3277" spans="2:10" x14ac:dyDescent="0.25">
      <c r="B3277" t="s">
        <v>6</v>
      </c>
      <c r="C3277" t="s">
        <v>8</v>
      </c>
      <c r="D3277">
        <v>701014</v>
      </c>
      <c r="E3277" t="s">
        <v>63</v>
      </c>
      <c r="F3277" t="s">
        <v>21</v>
      </c>
      <c r="G3277" t="s">
        <v>61</v>
      </c>
      <c r="H3277" t="s">
        <v>64</v>
      </c>
      <c r="J3277" s="20">
        <v>0</v>
      </c>
    </row>
    <row r="3278" spans="2:10" x14ac:dyDescent="0.25">
      <c r="B3278" t="s">
        <v>6</v>
      </c>
      <c r="C3278" t="s">
        <v>8</v>
      </c>
      <c r="D3278">
        <v>701015</v>
      </c>
      <c r="E3278" t="s">
        <v>65</v>
      </c>
      <c r="F3278" t="s">
        <v>21</v>
      </c>
      <c r="G3278" t="s">
        <v>52</v>
      </c>
      <c r="H3278" t="s">
        <v>53</v>
      </c>
      <c r="J3278" s="20">
        <v>0</v>
      </c>
    </row>
    <row r="3279" spans="2:10" x14ac:dyDescent="0.25">
      <c r="B3279" t="s">
        <v>6</v>
      </c>
      <c r="C3279" t="s">
        <v>8</v>
      </c>
      <c r="D3279">
        <v>701016</v>
      </c>
      <c r="E3279" t="s">
        <v>66</v>
      </c>
      <c r="F3279" t="s">
        <v>21</v>
      </c>
      <c r="G3279" t="s">
        <v>52</v>
      </c>
      <c r="H3279" t="s">
        <v>53</v>
      </c>
      <c r="J3279" s="20">
        <v>0</v>
      </c>
    </row>
    <row r="3280" spans="2:10" x14ac:dyDescent="0.25">
      <c r="B3280" t="s">
        <v>6</v>
      </c>
      <c r="C3280" t="s">
        <v>8</v>
      </c>
      <c r="D3280">
        <v>701017</v>
      </c>
      <c r="E3280" t="s">
        <v>67</v>
      </c>
      <c r="F3280" t="s">
        <v>21</v>
      </c>
      <c r="G3280" t="s">
        <v>61</v>
      </c>
      <c r="H3280" t="s">
        <v>68</v>
      </c>
      <c r="J3280" s="20">
        <v>0</v>
      </c>
    </row>
    <row r="3281" spans="2:10" x14ac:dyDescent="0.25">
      <c r="B3281" t="s">
        <v>6</v>
      </c>
      <c r="C3281" t="s">
        <v>8</v>
      </c>
      <c r="D3281">
        <v>701018</v>
      </c>
      <c r="E3281" t="s">
        <v>69</v>
      </c>
      <c r="F3281" t="s">
        <v>21</v>
      </c>
      <c r="G3281" t="s">
        <v>61</v>
      </c>
      <c r="H3281" t="s">
        <v>68</v>
      </c>
      <c r="J3281" s="20">
        <v>0</v>
      </c>
    </row>
    <row r="3282" spans="2:10" x14ac:dyDescent="0.25">
      <c r="B3282" t="s">
        <v>6</v>
      </c>
      <c r="C3282" t="s">
        <v>8</v>
      </c>
      <c r="D3282">
        <v>701019</v>
      </c>
      <c r="E3282" t="s">
        <v>70</v>
      </c>
      <c r="F3282" t="s">
        <v>21</v>
      </c>
      <c r="G3282" t="s">
        <v>71</v>
      </c>
      <c r="H3282" t="s">
        <v>72</v>
      </c>
      <c r="J3282" s="20">
        <v>0</v>
      </c>
    </row>
    <row r="3283" spans="2:10" x14ac:dyDescent="0.25">
      <c r="B3283" t="s">
        <v>6</v>
      </c>
      <c r="C3283" t="s">
        <v>8</v>
      </c>
      <c r="D3283">
        <v>701020</v>
      </c>
      <c r="E3283" t="s">
        <v>73</v>
      </c>
      <c r="F3283" t="s">
        <v>21</v>
      </c>
      <c r="G3283" t="s">
        <v>52</v>
      </c>
      <c r="H3283" t="s">
        <v>53</v>
      </c>
      <c r="J3283" s="20">
        <v>0</v>
      </c>
    </row>
    <row r="3284" spans="2:10" x14ac:dyDescent="0.25">
      <c r="B3284" t="s">
        <v>6</v>
      </c>
      <c r="C3284" t="s">
        <v>8</v>
      </c>
      <c r="D3284">
        <v>701021</v>
      </c>
      <c r="E3284" t="s">
        <v>74</v>
      </c>
      <c r="F3284" t="s">
        <v>21</v>
      </c>
      <c r="G3284" t="s">
        <v>61</v>
      </c>
      <c r="H3284" t="s">
        <v>74</v>
      </c>
      <c r="J3284" s="20">
        <v>0</v>
      </c>
    </row>
    <row r="3285" spans="2:10" x14ac:dyDescent="0.25">
      <c r="B3285" t="s">
        <v>6</v>
      </c>
      <c r="C3285" t="s">
        <v>8</v>
      </c>
      <c r="D3285">
        <v>701022</v>
      </c>
      <c r="E3285" t="s">
        <v>75</v>
      </c>
      <c r="F3285" t="s">
        <v>21</v>
      </c>
      <c r="G3285" t="s">
        <v>76</v>
      </c>
      <c r="H3285" t="s">
        <v>77</v>
      </c>
      <c r="J3285" s="20">
        <v>0</v>
      </c>
    </row>
    <row r="3286" spans="2:10" x14ac:dyDescent="0.25">
      <c r="B3286" t="s">
        <v>6</v>
      </c>
      <c r="C3286" t="s">
        <v>8</v>
      </c>
      <c r="D3286">
        <v>701023</v>
      </c>
      <c r="E3286" t="s">
        <v>78</v>
      </c>
      <c r="F3286" t="s">
        <v>21</v>
      </c>
      <c r="G3286" t="s">
        <v>61</v>
      </c>
      <c r="H3286" t="s">
        <v>79</v>
      </c>
      <c r="J3286" s="20">
        <v>0</v>
      </c>
    </row>
    <row r="3287" spans="2:10" x14ac:dyDescent="0.25">
      <c r="B3287" t="s">
        <v>6</v>
      </c>
      <c r="C3287" t="s">
        <v>8</v>
      </c>
      <c r="D3287">
        <v>701024</v>
      </c>
      <c r="E3287" t="s">
        <v>80</v>
      </c>
      <c r="F3287" t="s">
        <v>21</v>
      </c>
      <c r="G3287" t="s">
        <v>76</v>
      </c>
      <c r="H3287" t="s">
        <v>77</v>
      </c>
      <c r="J3287" s="20">
        <v>0</v>
      </c>
    </row>
    <row r="3288" spans="2:10" x14ac:dyDescent="0.25">
      <c r="B3288" t="s">
        <v>6</v>
      </c>
      <c r="C3288" t="s">
        <v>8</v>
      </c>
      <c r="D3288">
        <v>701025</v>
      </c>
      <c r="E3288" t="s">
        <v>81</v>
      </c>
      <c r="F3288" t="s">
        <v>21</v>
      </c>
      <c r="G3288" t="s">
        <v>71</v>
      </c>
      <c r="H3288" t="s">
        <v>82</v>
      </c>
      <c r="J3288" s="20">
        <v>0</v>
      </c>
    </row>
    <row r="3289" spans="2:10" x14ac:dyDescent="0.25">
      <c r="B3289" t="s">
        <v>6</v>
      </c>
      <c r="C3289" t="s">
        <v>8</v>
      </c>
      <c r="D3289">
        <v>701026</v>
      </c>
      <c r="E3289" t="s">
        <v>83</v>
      </c>
      <c r="F3289" t="s">
        <v>21</v>
      </c>
      <c r="G3289" t="s">
        <v>76</v>
      </c>
      <c r="H3289" t="s">
        <v>77</v>
      </c>
      <c r="J3289" s="20">
        <v>0</v>
      </c>
    </row>
    <row r="3290" spans="2:10" x14ac:dyDescent="0.25">
      <c r="B3290" t="s">
        <v>6</v>
      </c>
      <c r="C3290" t="s">
        <v>8</v>
      </c>
      <c r="D3290">
        <v>701027</v>
      </c>
      <c r="E3290" t="s">
        <v>84</v>
      </c>
      <c r="F3290" t="s">
        <v>21</v>
      </c>
      <c r="G3290" t="s">
        <v>76</v>
      </c>
      <c r="H3290" t="s">
        <v>77</v>
      </c>
      <c r="J3290" s="20">
        <v>0</v>
      </c>
    </row>
    <row r="3291" spans="2:10" x14ac:dyDescent="0.25">
      <c r="B3291" t="s">
        <v>6</v>
      </c>
      <c r="C3291" t="s">
        <v>8</v>
      </c>
      <c r="D3291">
        <v>701028</v>
      </c>
      <c r="E3291" t="s">
        <v>85</v>
      </c>
      <c r="F3291" t="s">
        <v>21</v>
      </c>
      <c r="G3291" t="s">
        <v>61</v>
      </c>
      <c r="H3291" t="s">
        <v>68</v>
      </c>
      <c r="J3291" s="20">
        <v>0</v>
      </c>
    </row>
    <row r="3292" spans="2:10" x14ac:dyDescent="0.25">
      <c r="B3292" t="s">
        <v>6</v>
      </c>
      <c r="C3292" t="s">
        <v>8</v>
      </c>
      <c r="D3292">
        <v>701029</v>
      </c>
      <c r="E3292" t="s">
        <v>86</v>
      </c>
      <c r="F3292" t="s">
        <v>21</v>
      </c>
      <c r="G3292" t="s">
        <v>61</v>
      </c>
      <c r="H3292" t="s">
        <v>68</v>
      </c>
      <c r="J3292" s="20">
        <v>0</v>
      </c>
    </row>
    <row r="3293" spans="2:10" x14ac:dyDescent="0.25">
      <c r="B3293" t="s">
        <v>6</v>
      </c>
      <c r="C3293" t="s">
        <v>8</v>
      </c>
      <c r="D3293">
        <v>701030</v>
      </c>
      <c r="E3293" t="s">
        <v>87</v>
      </c>
      <c r="F3293" t="s">
        <v>21</v>
      </c>
      <c r="G3293" t="s">
        <v>71</v>
      </c>
      <c r="H3293" t="s">
        <v>88</v>
      </c>
      <c r="J3293" s="20">
        <v>0</v>
      </c>
    </row>
    <row r="3294" spans="2:10" x14ac:dyDescent="0.25">
      <c r="B3294" t="s">
        <v>6</v>
      </c>
      <c r="C3294" t="s">
        <v>8</v>
      </c>
      <c r="D3294">
        <v>701031</v>
      </c>
      <c r="E3294" t="s">
        <v>89</v>
      </c>
      <c r="F3294" t="s">
        <v>21</v>
      </c>
      <c r="G3294" t="s">
        <v>76</v>
      </c>
      <c r="H3294" t="s">
        <v>77</v>
      </c>
      <c r="J3294" s="20">
        <v>0</v>
      </c>
    </row>
    <row r="3295" spans="2:10" x14ac:dyDescent="0.25">
      <c r="B3295" t="s">
        <v>6</v>
      </c>
      <c r="C3295" t="s">
        <v>8</v>
      </c>
      <c r="D3295">
        <v>701032</v>
      </c>
      <c r="E3295" t="s">
        <v>90</v>
      </c>
      <c r="F3295" t="s">
        <v>21</v>
      </c>
      <c r="G3295" t="s">
        <v>52</v>
      </c>
      <c r="H3295" t="s">
        <v>53</v>
      </c>
      <c r="J3295" s="20">
        <v>0</v>
      </c>
    </row>
    <row r="3296" spans="2:10" x14ac:dyDescent="0.25">
      <c r="B3296" t="s">
        <v>6</v>
      </c>
      <c r="C3296" t="s">
        <v>8</v>
      </c>
      <c r="D3296">
        <v>701034</v>
      </c>
      <c r="E3296" t="s">
        <v>91</v>
      </c>
      <c r="F3296" t="s">
        <v>21</v>
      </c>
      <c r="G3296" t="s">
        <v>76</v>
      </c>
      <c r="H3296" t="s">
        <v>77</v>
      </c>
      <c r="J3296" s="20">
        <v>0</v>
      </c>
    </row>
    <row r="3297" spans="2:10" x14ac:dyDescent="0.25">
      <c r="B3297" t="s">
        <v>6</v>
      </c>
      <c r="C3297" t="s">
        <v>8</v>
      </c>
      <c r="D3297">
        <v>701035</v>
      </c>
      <c r="E3297" t="s">
        <v>92</v>
      </c>
      <c r="F3297" t="s">
        <v>21</v>
      </c>
      <c r="G3297" t="s">
        <v>61</v>
      </c>
      <c r="H3297" t="s">
        <v>68</v>
      </c>
      <c r="J3297" s="20">
        <v>0</v>
      </c>
    </row>
    <row r="3298" spans="2:10" x14ac:dyDescent="0.25">
      <c r="B3298" t="s">
        <v>6</v>
      </c>
      <c r="C3298" t="s">
        <v>8</v>
      </c>
      <c r="D3298">
        <v>701036</v>
      </c>
      <c r="E3298" t="s">
        <v>93</v>
      </c>
      <c r="F3298" t="s">
        <v>21</v>
      </c>
      <c r="G3298" t="s">
        <v>52</v>
      </c>
      <c r="H3298" t="s">
        <v>53</v>
      </c>
      <c r="J3298" s="20">
        <v>0</v>
      </c>
    </row>
    <row r="3299" spans="2:10" x14ac:dyDescent="0.25">
      <c r="B3299" t="s">
        <v>6</v>
      </c>
      <c r="C3299" t="s">
        <v>8</v>
      </c>
      <c r="D3299">
        <v>701113</v>
      </c>
      <c r="E3299" t="s">
        <v>94</v>
      </c>
      <c r="F3299" t="s">
        <v>21</v>
      </c>
      <c r="G3299" t="s">
        <v>61</v>
      </c>
      <c r="H3299" t="s">
        <v>62</v>
      </c>
      <c r="J3299" s="20">
        <v>0</v>
      </c>
    </row>
    <row r="3300" spans="2:10" x14ac:dyDescent="0.25">
      <c r="B3300" t="s">
        <v>6</v>
      </c>
      <c r="C3300" t="s">
        <v>8</v>
      </c>
      <c r="D3300">
        <v>701119</v>
      </c>
      <c r="E3300" t="s">
        <v>95</v>
      </c>
      <c r="F3300" t="s">
        <v>21</v>
      </c>
      <c r="G3300" t="s">
        <v>22</v>
      </c>
      <c r="H3300" t="s">
        <v>23</v>
      </c>
      <c r="J3300" s="20">
        <v>0</v>
      </c>
    </row>
    <row r="3301" spans="2:10" x14ac:dyDescent="0.25">
      <c r="B3301" t="s">
        <v>6</v>
      </c>
      <c r="C3301" t="s">
        <v>8</v>
      </c>
      <c r="D3301">
        <v>701120</v>
      </c>
      <c r="E3301" t="s">
        <v>96</v>
      </c>
      <c r="F3301" t="s">
        <v>21</v>
      </c>
      <c r="G3301" t="s">
        <v>22</v>
      </c>
      <c r="H3301" t="s">
        <v>23</v>
      </c>
      <c r="J3301" s="20">
        <v>0</v>
      </c>
    </row>
    <row r="3302" spans="2:10" x14ac:dyDescent="0.25">
      <c r="B3302" t="s">
        <v>6</v>
      </c>
      <c r="C3302" t="s">
        <v>8</v>
      </c>
      <c r="D3302">
        <v>701121</v>
      </c>
      <c r="E3302" t="s">
        <v>97</v>
      </c>
      <c r="F3302" t="s">
        <v>21</v>
      </c>
      <c r="G3302" t="s">
        <v>22</v>
      </c>
      <c r="H3302" t="s">
        <v>23</v>
      </c>
      <c r="J3302" s="20">
        <v>0</v>
      </c>
    </row>
    <row r="3303" spans="2:10" x14ac:dyDescent="0.25">
      <c r="B3303" t="s">
        <v>6</v>
      </c>
      <c r="C3303" t="s">
        <v>8</v>
      </c>
      <c r="D3303">
        <v>701122</v>
      </c>
      <c r="E3303" t="s">
        <v>98</v>
      </c>
      <c r="F3303" t="s">
        <v>21</v>
      </c>
      <c r="G3303" t="s">
        <v>71</v>
      </c>
      <c r="H3303" t="s">
        <v>88</v>
      </c>
      <c r="J3303" s="20">
        <v>0</v>
      </c>
    </row>
    <row r="3304" spans="2:10" x14ac:dyDescent="0.25">
      <c r="B3304" t="s">
        <v>6</v>
      </c>
      <c r="C3304" t="s">
        <v>8</v>
      </c>
      <c r="D3304">
        <v>701123</v>
      </c>
      <c r="E3304" t="s">
        <v>99</v>
      </c>
      <c r="F3304" t="s">
        <v>21</v>
      </c>
      <c r="G3304" t="s">
        <v>22</v>
      </c>
      <c r="H3304" t="s">
        <v>23</v>
      </c>
      <c r="J3304" s="20">
        <v>0</v>
      </c>
    </row>
    <row r="3305" spans="2:10" x14ac:dyDescent="0.25">
      <c r="B3305" t="s">
        <v>6</v>
      </c>
      <c r="C3305" t="s">
        <v>8</v>
      </c>
      <c r="D3305">
        <v>701127</v>
      </c>
      <c r="E3305" t="s">
        <v>100</v>
      </c>
      <c r="F3305" t="s">
        <v>21</v>
      </c>
      <c r="G3305" t="s">
        <v>76</v>
      </c>
      <c r="H3305" t="s">
        <v>77</v>
      </c>
      <c r="J3305" s="20">
        <v>0</v>
      </c>
    </row>
    <row r="3306" spans="2:10" x14ac:dyDescent="0.25">
      <c r="B3306" t="s">
        <v>6</v>
      </c>
      <c r="C3306" t="s">
        <v>8</v>
      </c>
      <c r="D3306">
        <v>701213</v>
      </c>
      <c r="E3306" t="s">
        <v>101</v>
      </c>
      <c r="F3306" t="s">
        <v>21</v>
      </c>
      <c r="G3306" t="s">
        <v>61</v>
      </c>
      <c r="H3306" t="s">
        <v>62</v>
      </c>
      <c r="J3306" s="20">
        <v>0</v>
      </c>
    </row>
    <row r="3307" spans="2:10" x14ac:dyDescent="0.25">
      <c r="B3307" t="s">
        <v>6</v>
      </c>
      <c r="C3307" t="s">
        <v>8</v>
      </c>
      <c r="D3307">
        <v>701214</v>
      </c>
      <c r="E3307" t="s">
        <v>102</v>
      </c>
      <c r="F3307" t="s">
        <v>21</v>
      </c>
      <c r="G3307" t="s">
        <v>61</v>
      </c>
      <c r="H3307" t="s">
        <v>62</v>
      </c>
      <c r="J3307" s="20">
        <v>0</v>
      </c>
    </row>
    <row r="3308" spans="2:10" x14ac:dyDescent="0.25">
      <c r="B3308" t="s">
        <v>6</v>
      </c>
      <c r="C3308" t="s">
        <v>8</v>
      </c>
      <c r="D3308">
        <v>701215</v>
      </c>
      <c r="E3308" t="s">
        <v>103</v>
      </c>
      <c r="F3308" t="s">
        <v>21</v>
      </c>
      <c r="G3308" t="s">
        <v>61</v>
      </c>
      <c r="H3308" t="s">
        <v>62</v>
      </c>
      <c r="J3308" s="20">
        <v>0</v>
      </c>
    </row>
    <row r="3309" spans="2:10" x14ac:dyDescent="0.25">
      <c r="B3309" t="s">
        <v>6</v>
      </c>
      <c r="C3309" t="s">
        <v>8</v>
      </c>
      <c r="D3309">
        <v>701227</v>
      </c>
      <c r="E3309" t="s">
        <v>104</v>
      </c>
      <c r="F3309" t="s">
        <v>21</v>
      </c>
      <c r="G3309" t="s">
        <v>76</v>
      </c>
      <c r="H3309" t="s">
        <v>77</v>
      </c>
      <c r="J3309" s="20">
        <v>0</v>
      </c>
    </row>
    <row r="3310" spans="2:10" x14ac:dyDescent="0.25">
      <c r="B3310" t="s">
        <v>6</v>
      </c>
      <c r="C3310" t="s">
        <v>8</v>
      </c>
      <c r="D3310">
        <v>701327</v>
      </c>
      <c r="E3310" t="s">
        <v>106</v>
      </c>
      <c r="F3310" t="s">
        <v>21</v>
      </c>
      <c r="G3310" t="s">
        <v>76</v>
      </c>
      <c r="H3310" t="s">
        <v>77</v>
      </c>
      <c r="J3310" s="20">
        <v>0</v>
      </c>
    </row>
    <row r="3311" spans="2:10" x14ac:dyDescent="0.25">
      <c r="B3311" t="s">
        <v>6</v>
      </c>
      <c r="C3311" t="s">
        <v>8</v>
      </c>
      <c r="D3311">
        <v>701427</v>
      </c>
      <c r="E3311" t="s">
        <v>107</v>
      </c>
      <c r="F3311" t="s">
        <v>21</v>
      </c>
      <c r="G3311" t="s">
        <v>76</v>
      </c>
      <c r="H3311" t="s">
        <v>108</v>
      </c>
      <c r="J3311" s="20">
        <v>0</v>
      </c>
    </row>
    <row r="3312" spans="2:10" x14ac:dyDescent="0.25">
      <c r="B3312" t="s">
        <v>6</v>
      </c>
      <c r="C3312" t="s">
        <v>8</v>
      </c>
      <c r="D3312">
        <v>701527</v>
      </c>
      <c r="E3312" t="s">
        <v>109</v>
      </c>
      <c r="F3312" t="s">
        <v>21</v>
      </c>
      <c r="G3312" t="s">
        <v>76</v>
      </c>
      <c r="H3312" t="s">
        <v>77</v>
      </c>
      <c r="J3312" s="20">
        <v>0</v>
      </c>
    </row>
    <row r="3313" spans="2:10" x14ac:dyDescent="0.25">
      <c r="B3313" t="s">
        <v>6</v>
      </c>
      <c r="C3313" t="s">
        <v>8</v>
      </c>
      <c r="D3313">
        <v>701627</v>
      </c>
      <c r="E3313" t="s">
        <v>110</v>
      </c>
      <c r="F3313" t="s">
        <v>21</v>
      </c>
      <c r="G3313" t="s">
        <v>76</v>
      </c>
      <c r="H3313" t="s">
        <v>77</v>
      </c>
      <c r="J3313" s="20">
        <v>0</v>
      </c>
    </row>
    <row r="3314" spans="2:10" x14ac:dyDescent="0.25">
      <c r="B3314" t="s">
        <v>6</v>
      </c>
      <c r="C3314" t="s">
        <v>8</v>
      </c>
      <c r="D3314">
        <v>701727</v>
      </c>
      <c r="E3314" t="s">
        <v>111</v>
      </c>
      <c r="F3314" t="s">
        <v>21</v>
      </c>
      <c r="G3314" t="s">
        <v>76</v>
      </c>
      <c r="H3314" t="s">
        <v>77</v>
      </c>
      <c r="J3314" s="20">
        <v>0</v>
      </c>
    </row>
    <row r="3315" spans="2:10" x14ac:dyDescent="0.25">
      <c r="B3315" t="s">
        <v>6</v>
      </c>
      <c r="C3315" t="s">
        <v>8</v>
      </c>
      <c r="D3315">
        <v>701801</v>
      </c>
      <c r="E3315" t="s">
        <v>112</v>
      </c>
      <c r="F3315" t="s">
        <v>21</v>
      </c>
      <c r="G3315" t="s">
        <v>76</v>
      </c>
      <c r="H3315" t="s">
        <v>77</v>
      </c>
      <c r="J3315" s="20">
        <v>0</v>
      </c>
    </row>
    <row r="3316" spans="2:10" x14ac:dyDescent="0.25">
      <c r="B3316" t="s">
        <v>6</v>
      </c>
      <c r="C3316" t="s">
        <v>8</v>
      </c>
      <c r="D3316">
        <v>701802</v>
      </c>
      <c r="E3316" t="s">
        <v>113</v>
      </c>
      <c r="F3316" t="s">
        <v>21</v>
      </c>
      <c r="G3316" t="s">
        <v>61</v>
      </c>
      <c r="H3316" t="s">
        <v>62</v>
      </c>
      <c r="J3316" s="20">
        <v>0</v>
      </c>
    </row>
    <row r="3317" spans="2:10" x14ac:dyDescent="0.25">
      <c r="B3317" t="s">
        <v>6</v>
      </c>
      <c r="C3317" t="s">
        <v>8</v>
      </c>
      <c r="D3317">
        <v>703010</v>
      </c>
      <c r="E3317" t="s">
        <v>114</v>
      </c>
      <c r="F3317" t="s">
        <v>21</v>
      </c>
      <c r="G3317" t="s">
        <v>22</v>
      </c>
      <c r="H3317" t="s">
        <v>115</v>
      </c>
      <c r="J3317" s="20">
        <v>0</v>
      </c>
    </row>
    <row r="3318" spans="2:10" x14ac:dyDescent="0.25">
      <c r="B3318" t="s">
        <v>6</v>
      </c>
      <c r="C3318" t="s">
        <v>8</v>
      </c>
      <c r="D3318">
        <v>703011</v>
      </c>
      <c r="E3318" t="s">
        <v>116</v>
      </c>
      <c r="F3318" t="s">
        <v>21</v>
      </c>
      <c r="G3318" t="s">
        <v>22</v>
      </c>
      <c r="H3318" t="s">
        <v>115</v>
      </c>
      <c r="J3318" s="20">
        <v>0</v>
      </c>
    </row>
    <row r="3319" spans="2:10" x14ac:dyDescent="0.25">
      <c r="B3319" t="s">
        <v>6</v>
      </c>
      <c r="C3319" t="s">
        <v>8</v>
      </c>
      <c r="D3319">
        <v>703012</v>
      </c>
      <c r="E3319" t="s">
        <v>117</v>
      </c>
      <c r="F3319" t="s">
        <v>21</v>
      </c>
      <c r="G3319" t="s">
        <v>22</v>
      </c>
      <c r="H3319" t="s">
        <v>115</v>
      </c>
      <c r="J3319" s="20">
        <v>0</v>
      </c>
    </row>
    <row r="3320" spans="2:10" x14ac:dyDescent="0.25">
      <c r="B3320" t="s">
        <v>6</v>
      </c>
      <c r="C3320" t="s">
        <v>8</v>
      </c>
      <c r="D3320">
        <v>703013</v>
      </c>
      <c r="E3320" t="s">
        <v>118</v>
      </c>
      <c r="F3320" t="s">
        <v>21</v>
      </c>
      <c r="G3320" t="s">
        <v>22</v>
      </c>
      <c r="H3320" t="s">
        <v>115</v>
      </c>
      <c r="J3320" s="20">
        <v>0</v>
      </c>
    </row>
    <row r="3321" spans="2:10" x14ac:dyDescent="0.25">
      <c r="B3321" t="s">
        <v>6</v>
      </c>
      <c r="C3321" t="s">
        <v>8</v>
      </c>
      <c r="D3321">
        <v>703014</v>
      </c>
      <c r="E3321" t="s">
        <v>119</v>
      </c>
      <c r="F3321" t="s">
        <v>21</v>
      </c>
      <c r="G3321" t="s">
        <v>22</v>
      </c>
      <c r="H3321" t="s">
        <v>115</v>
      </c>
      <c r="J3321" s="20">
        <v>0</v>
      </c>
    </row>
    <row r="3322" spans="2:10" x14ac:dyDescent="0.25">
      <c r="B3322" t="s">
        <v>6</v>
      </c>
      <c r="C3322" t="s">
        <v>8</v>
      </c>
      <c r="D3322">
        <v>703015</v>
      </c>
      <c r="E3322" t="s">
        <v>120</v>
      </c>
      <c r="F3322" t="s">
        <v>21</v>
      </c>
      <c r="G3322" t="s">
        <v>22</v>
      </c>
      <c r="H3322" t="s">
        <v>115</v>
      </c>
      <c r="J3322" s="20">
        <v>0</v>
      </c>
    </row>
    <row r="3323" spans="2:10" x14ac:dyDescent="0.25">
      <c r="B3323" t="s">
        <v>6</v>
      </c>
      <c r="C3323" t="s">
        <v>8</v>
      </c>
      <c r="D3323">
        <v>703016</v>
      </c>
      <c r="E3323" t="s">
        <v>121</v>
      </c>
      <c r="F3323" t="s">
        <v>21</v>
      </c>
      <c r="G3323" t="s">
        <v>22</v>
      </c>
      <c r="H3323" t="s">
        <v>115</v>
      </c>
      <c r="J3323" s="20">
        <v>0</v>
      </c>
    </row>
    <row r="3324" spans="2:10" x14ac:dyDescent="0.25">
      <c r="B3324" t="s">
        <v>6</v>
      </c>
      <c r="C3324" t="s">
        <v>8</v>
      </c>
      <c r="D3324">
        <v>703017</v>
      </c>
      <c r="E3324" t="s">
        <v>122</v>
      </c>
      <c r="F3324" t="s">
        <v>21</v>
      </c>
      <c r="G3324" t="s">
        <v>22</v>
      </c>
      <c r="H3324" t="s">
        <v>115</v>
      </c>
      <c r="J3324" s="20">
        <v>0</v>
      </c>
    </row>
    <row r="3325" spans="2:10" x14ac:dyDescent="0.25">
      <c r="B3325" t="s">
        <v>6</v>
      </c>
      <c r="C3325" t="s">
        <v>8</v>
      </c>
      <c r="D3325">
        <v>703018</v>
      </c>
      <c r="E3325" t="s">
        <v>123</v>
      </c>
      <c r="F3325" t="s">
        <v>21</v>
      </c>
      <c r="G3325" t="s">
        <v>22</v>
      </c>
      <c r="H3325" t="s">
        <v>115</v>
      </c>
      <c r="J3325" s="20">
        <v>0</v>
      </c>
    </row>
    <row r="3326" spans="2:10" x14ac:dyDescent="0.25">
      <c r="B3326" t="s">
        <v>6</v>
      </c>
      <c r="C3326" t="s">
        <v>8</v>
      </c>
      <c r="D3326">
        <v>703019</v>
      </c>
      <c r="E3326" t="s">
        <v>124</v>
      </c>
      <c r="F3326" t="s">
        <v>21</v>
      </c>
      <c r="G3326" t="s">
        <v>22</v>
      </c>
      <c r="H3326" t="s">
        <v>115</v>
      </c>
      <c r="J3326" s="20">
        <v>0</v>
      </c>
    </row>
    <row r="3327" spans="2:10" x14ac:dyDescent="0.25">
      <c r="B3327" t="s">
        <v>6</v>
      </c>
      <c r="C3327" t="s">
        <v>8</v>
      </c>
      <c r="D3327">
        <v>703210</v>
      </c>
      <c r="E3327" t="s">
        <v>125</v>
      </c>
      <c r="F3327" t="s">
        <v>21</v>
      </c>
      <c r="G3327" t="s">
        <v>22</v>
      </c>
      <c r="H3327" t="s">
        <v>23</v>
      </c>
      <c r="J3327" s="20">
        <v>0</v>
      </c>
    </row>
    <row r="3328" spans="2:10" x14ac:dyDescent="0.25">
      <c r="B3328" t="s">
        <v>6</v>
      </c>
      <c r="C3328" t="s">
        <v>8</v>
      </c>
      <c r="D3328">
        <v>703211</v>
      </c>
      <c r="E3328" t="s">
        <v>126</v>
      </c>
      <c r="F3328" t="s">
        <v>21</v>
      </c>
      <c r="G3328" t="s">
        <v>22</v>
      </c>
      <c r="H3328" t="s">
        <v>23</v>
      </c>
      <c r="J3328" s="20">
        <v>0</v>
      </c>
    </row>
    <row r="3329" spans="2:10" x14ac:dyDescent="0.25">
      <c r="B3329" t="s">
        <v>6</v>
      </c>
      <c r="C3329" t="s">
        <v>8</v>
      </c>
      <c r="D3329">
        <v>703212</v>
      </c>
      <c r="E3329" t="s">
        <v>127</v>
      </c>
      <c r="F3329" t="s">
        <v>21</v>
      </c>
      <c r="G3329" t="s">
        <v>22</v>
      </c>
      <c r="H3329" t="s">
        <v>23</v>
      </c>
      <c r="J3329" s="20">
        <v>0</v>
      </c>
    </row>
    <row r="3330" spans="2:10" x14ac:dyDescent="0.25">
      <c r="B3330" t="s">
        <v>6</v>
      </c>
      <c r="C3330" t="s">
        <v>8</v>
      </c>
      <c r="D3330">
        <v>703213</v>
      </c>
      <c r="E3330" t="s">
        <v>128</v>
      </c>
      <c r="F3330" t="s">
        <v>21</v>
      </c>
      <c r="G3330" t="s">
        <v>22</v>
      </c>
      <c r="H3330" t="s">
        <v>23</v>
      </c>
      <c r="J3330" s="20">
        <v>0</v>
      </c>
    </row>
    <row r="3331" spans="2:10" x14ac:dyDescent="0.25">
      <c r="B3331" t="s">
        <v>6</v>
      </c>
      <c r="C3331" t="s">
        <v>8</v>
      </c>
      <c r="D3331">
        <v>703214</v>
      </c>
      <c r="E3331" t="s">
        <v>129</v>
      </c>
      <c r="F3331" t="s">
        <v>21</v>
      </c>
      <c r="G3331" t="s">
        <v>22</v>
      </c>
      <c r="H3331" t="s">
        <v>23</v>
      </c>
      <c r="J3331" s="20">
        <v>0</v>
      </c>
    </row>
    <row r="3332" spans="2:10" x14ac:dyDescent="0.25">
      <c r="B3332" t="s">
        <v>6</v>
      </c>
      <c r="C3332" t="s">
        <v>8</v>
      </c>
      <c r="D3332">
        <v>703215</v>
      </c>
      <c r="E3332" t="s">
        <v>130</v>
      </c>
      <c r="F3332" t="s">
        <v>21</v>
      </c>
      <c r="G3332" t="s">
        <v>22</v>
      </c>
      <c r="H3332" t="s">
        <v>23</v>
      </c>
      <c r="J3332" s="20">
        <v>0</v>
      </c>
    </row>
    <row r="3333" spans="2:10" x14ac:dyDescent="0.25">
      <c r="B3333" t="s">
        <v>6</v>
      </c>
      <c r="C3333" t="s">
        <v>8</v>
      </c>
      <c r="D3333">
        <v>703216</v>
      </c>
      <c r="E3333" t="s">
        <v>131</v>
      </c>
      <c r="F3333" t="s">
        <v>21</v>
      </c>
      <c r="G3333" t="s">
        <v>22</v>
      </c>
      <c r="H3333" t="s">
        <v>23</v>
      </c>
      <c r="J3333" s="20">
        <v>0</v>
      </c>
    </row>
    <row r="3334" spans="2:10" x14ac:dyDescent="0.25">
      <c r="B3334" t="s">
        <v>6</v>
      </c>
      <c r="C3334" t="s">
        <v>8</v>
      </c>
      <c r="D3334">
        <v>703217</v>
      </c>
      <c r="E3334" t="s">
        <v>132</v>
      </c>
      <c r="F3334" t="s">
        <v>21</v>
      </c>
      <c r="G3334" t="s">
        <v>22</v>
      </c>
      <c r="H3334" t="s">
        <v>23</v>
      </c>
      <c r="J3334" s="20">
        <v>0</v>
      </c>
    </row>
    <row r="3335" spans="2:10" x14ac:dyDescent="0.25">
      <c r="B3335" t="s">
        <v>6</v>
      </c>
      <c r="C3335" t="s">
        <v>8</v>
      </c>
      <c r="D3335">
        <v>703219</v>
      </c>
      <c r="E3335" t="s">
        <v>133</v>
      </c>
      <c r="F3335" t="s">
        <v>21</v>
      </c>
      <c r="G3335" t="s">
        <v>22</v>
      </c>
      <c r="H3335" t="s">
        <v>23</v>
      </c>
      <c r="J3335" s="20">
        <v>0</v>
      </c>
    </row>
    <row r="3336" spans="2:10" x14ac:dyDescent="0.25">
      <c r="B3336" t="s">
        <v>6</v>
      </c>
      <c r="C3336" t="s">
        <v>8</v>
      </c>
      <c r="D3336">
        <v>703220</v>
      </c>
      <c r="E3336" t="s">
        <v>134</v>
      </c>
      <c r="F3336" t="s">
        <v>21</v>
      </c>
      <c r="G3336" t="s">
        <v>71</v>
      </c>
      <c r="H3336" t="s">
        <v>135</v>
      </c>
      <c r="J3336" s="20">
        <v>0</v>
      </c>
    </row>
    <row r="3337" spans="2:10" x14ac:dyDescent="0.25">
      <c r="B3337" t="s">
        <v>6</v>
      </c>
      <c r="C3337" t="s">
        <v>8</v>
      </c>
      <c r="D3337">
        <v>703221</v>
      </c>
      <c r="E3337" t="s">
        <v>136</v>
      </c>
      <c r="F3337" t="s">
        <v>21</v>
      </c>
      <c r="G3337" t="s">
        <v>137</v>
      </c>
      <c r="H3337" t="s">
        <v>138</v>
      </c>
      <c r="J3337" s="20">
        <v>0</v>
      </c>
    </row>
    <row r="3338" spans="2:10" x14ac:dyDescent="0.25">
      <c r="B3338" t="s">
        <v>6</v>
      </c>
      <c r="C3338" t="s">
        <v>8</v>
      </c>
      <c r="D3338">
        <v>703222</v>
      </c>
      <c r="E3338" t="s">
        <v>139</v>
      </c>
      <c r="F3338" t="s">
        <v>21</v>
      </c>
      <c r="G3338" t="s">
        <v>137</v>
      </c>
      <c r="H3338" t="s">
        <v>138</v>
      </c>
      <c r="J3338" s="20">
        <v>0</v>
      </c>
    </row>
    <row r="3339" spans="2:10" x14ac:dyDescent="0.25">
      <c r="B3339" t="s">
        <v>6</v>
      </c>
      <c r="C3339" t="s">
        <v>8</v>
      </c>
      <c r="D3339">
        <v>703223</v>
      </c>
      <c r="E3339" t="s">
        <v>140</v>
      </c>
      <c r="F3339" t="s">
        <v>21</v>
      </c>
      <c r="G3339" t="s">
        <v>137</v>
      </c>
      <c r="H3339" t="s">
        <v>141</v>
      </c>
      <c r="J3339" s="20">
        <v>0</v>
      </c>
    </row>
    <row r="3340" spans="2:10" x14ac:dyDescent="0.25">
      <c r="B3340" t="s">
        <v>6</v>
      </c>
      <c r="C3340" t="s">
        <v>8</v>
      </c>
      <c r="D3340">
        <v>703224</v>
      </c>
      <c r="E3340" t="s">
        <v>142</v>
      </c>
      <c r="F3340" t="s">
        <v>21</v>
      </c>
      <c r="G3340" t="s">
        <v>71</v>
      </c>
      <c r="H3340" t="s">
        <v>88</v>
      </c>
      <c r="J3340" s="20">
        <v>0</v>
      </c>
    </row>
    <row r="3341" spans="2:10" x14ac:dyDescent="0.25">
      <c r="B3341" t="s">
        <v>6</v>
      </c>
      <c r="C3341" t="s">
        <v>8</v>
      </c>
      <c r="D3341">
        <v>703225</v>
      </c>
      <c r="E3341" t="s">
        <v>143</v>
      </c>
      <c r="F3341" t="s">
        <v>21</v>
      </c>
      <c r="G3341" t="s">
        <v>71</v>
      </c>
      <c r="H3341" t="s">
        <v>88</v>
      </c>
      <c r="J3341" s="20">
        <v>0</v>
      </c>
    </row>
    <row r="3342" spans="2:10" x14ac:dyDescent="0.25">
      <c r="B3342" t="s">
        <v>6</v>
      </c>
      <c r="C3342" t="s">
        <v>8</v>
      </c>
      <c r="D3342">
        <v>703226</v>
      </c>
      <c r="E3342" t="s">
        <v>144</v>
      </c>
      <c r="F3342" t="s">
        <v>21</v>
      </c>
      <c r="G3342" t="s">
        <v>71</v>
      </c>
      <c r="H3342" t="s">
        <v>82</v>
      </c>
      <c r="J3342" s="20">
        <v>0</v>
      </c>
    </row>
    <row r="3343" spans="2:10" x14ac:dyDescent="0.25">
      <c r="B3343" t="s">
        <v>6</v>
      </c>
      <c r="C3343" t="s">
        <v>8</v>
      </c>
      <c r="D3343">
        <v>703227</v>
      </c>
      <c r="E3343" t="s">
        <v>145</v>
      </c>
      <c r="F3343" t="s">
        <v>21</v>
      </c>
      <c r="G3343" t="s">
        <v>137</v>
      </c>
      <c r="H3343" t="s">
        <v>138</v>
      </c>
      <c r="J3343" s="20">
        <v>0</v>
      </c>
    </row>
    <row r="3344" spans="2:10" x14ac:dyDescent="0.25">
      <c r="B3344" t="s">
        <v>6</v>
      </c>
      <c r="C3344" t="s">
        <v>8</v>
      </c>
      <c r="D3344">
        <v>703228</v>
      </c>
      <c r="E3344" t="s">
        <v>146</v>
      </c>
      <c r="F3344" t="s">
        <v>21</v>
      </c>
      <c r="G3344" t="s">
        <v>147</v>
      </c>
      <c r="H3344" t="s">
        <v>147</v>
      </c>
      <c r="J3344" s="20">
        <v>0</v>
      </c>
    </row>
    <row r="3345" spans="2:10" x14ac:dyDescent="0.25">
      <c r="B3345" t="s">
        <v>6</v>
      </c>
      <c r="C3345" t="s">
        <v>8</v>
      </c>
      <c r="D3345">
        <v>703229</v>
      </c>
      <c r="E3345" t="s">
        <v>148</v>
      </c>
      <c r="F3345" t="s">
        <v>21</v>
      </c>
      <c r="G3345" t="s">
        <v>147</v>
      </c>
      <c r="H3345" t="s">
        <v>147</v>
      </c>
      <c r="J3345" s="20">
        <v>0</v>
      </c>
    </row>
    <row r="3346" spans="2:10" x14ac:dyDescent="0.25">
      <c r="B3346" t="s">
        <v>6</v>
      </c>
      <c r="C3346" t="s">
        <v>8</v>
      </c>
      <c r="D3346">
        <v>703230</v>
      </c>
      <c r="E3346" t="s">
        <v>149</v>
      </c>
      <c r="F3346" t="s">
        <v>21</v>
      </c>
      <c r="G3346" t="s">
        <v>147</v>
      </c>
      <c r="H3346" t="s">
        <v>147</v>
      </c>
      <c r="J3346" s="20">
        <v>0</v>
      </c>
    </row>
    <row r="3347" spans="2:10" x14ac:dyDescent="0.25">
      <c r="B3347" t="s">
        <v>6</v>
      </c>
      <c r="C3347" t="s">
        <v>8</v>
      </c>
      <c r="D3347">
        <v>703231</v>
      </c>
      <c r="E3347" t="s">
        <v>150</v>
      </c>
      <c r="F3347" t="s">
        <v>21</v>
      </c>
      <c r="G3347" t="s">
        <v>137</v>
      </c>
      <c r="H3347" t="s">
        <v>141</v>
      </c>
      <c r="J3347" s="20">
        <v>0</v>
      </c>
    </row>
    <row r="3348" spans="2:10" x14ac:dyDescent="0.25">
      <c r="B3348" t="s">
        <v>6</v>
      </c>
      <c r="C3348" t="s">
        <v>8</v>
      </c>
      <c r="D3348">
        <v>703232</v>
      </c>
      <c r="E3348" t="s">
        <v>151</v>
      </c>
      <c r="F3348" t="s">
        <v>21</v>
      </c>
      <c r="G3348" t="s">
        <v>147</v>
      </c>
      <c r="H3348" t="s">
        <v>147</v>
      </c>
      <c r="J3348" s="20">
        <v>0</v>
      </c>
    </row>
    <row r="3349" spans="2:10" x14ac:dyDescent="0.25">
      <c r="B3349" t="s">
        <v>6</v>
      </c>
      <c r="C3349" t="s">
        <v>8</v>
      </c>
      <c r="D3349">
        <v>703233</v>
      </c>
      <c r="E3349" t="s">
        <v>152</v>
      </c>
      <c r="F3349" t="s">
        <v>21</v>
      </c>
      <c r="G3349" t="s">
        <v>71</v>
      </c>
      <c r="H3349" t="s">
        <v>153</v>
      </c>
      <c r="J3349" s="20">
        <v>0</v>
      </c>
    </row>
    <row r="3350" spans="2:10" x14ac:dyDescent="0.25">
      <c r="B3350" t="s">
        <v>6</v>
      </c>
      <c r="C3350" t="s">
        <v>8</v>
      </c>
      <c r="D3350">
        <v>703234</v>
      </c>
      <c r="E3350" t="s">
        <v>154</v>
      </c>
      <c r="F3350" t="s">
        <v>21</v>
      </c>
      <c r="G3350" t="s">
        <v>71</v>
      </c>
      <c r="H3350" t="s">
        <v>153</v>
      </c>
      <c r="J3350" s="20">
        <v>0</v>
      </c>
    </row>
    <row r="3351" spans="2:10" x14ac:dyDescent="0.25">
      <c r="B3351" t="s">
        <v>6</v>
      </c>
      <c r="C3351" t="s">
        <v>8</v>
      </c>
      <c r="D3351">
        <v>703235</v>
      </c>
      <c r="E3351" t="s">
        <v>155</v>
      </c>
      <c r="F3351" t="s">
        <v>21</v>
      </c>
      <c r="G3351" t="s">
        <v>71</v>
      </c>
      <c r="H3351" t="s">
        <v>153</v>
      </c>
      <c r="J3351" s="20">
        <v>0</v>
      </c>
    </row>
    <row r="3352" spans="2:10" x14ac:dyDescent="0.25">
      <c r="B3352" t="s">
        <v>6</v>
      </c>
      <c r="C3352" t="s">
        <v>8</v>
      </c>
      <c r="D3352">
        <v>703236</v>
      </c>
      <c r="E3352" t="s">
        <v>156</v>
      </c>
      <c r="F3352" t="s">
        <v>21</v>
      </c>
      <c r="G3352" t="s">
        <v>76</v>
      </c>
      <c r="H3352" t="s">
        <v>77</v>
      </c>
      <c r="J3352" s="20">
        <v>0</v>
      </c>
    </row>
    <row r="3353" spans="2:10" x14ac:dyDescent="0.25">
      <c r="B3353" t="s">
        <v>6</v>
      </c>
      <c r="C3353" t="s">
        <v>8</v>
      </c>
      <c r="D3353">
        <v>703237</v>
      </c>
      <c r="E3353" t="s">
        <v>157</v>
      </c>
      <c r="F3353" t="s">
        <v>21</v>
      </c>
      <c r="G3353" t="s">
        <v>22</v>
      </c>
      <c r="H3353" t="s">
        <v>23</v>
      </c>
      <c r="J3353" s="20">
        <v>0</v>
      </c>
    </row>
    <row r="3354" spans="2:10" x14ac:dyDescent="0.25">
      <c r="B3354" t="s">
        <v>6</v>
      </c>
      <c r="C3354" t="s">
        <v>8</v>
      </c>
      <c r="D3354">
        <v>703238</v>
      </c>
      <c r="E3354" t="s">
        <v>158</v>
      </c>
      <c r="F3354" t="s">
        <v>21</v>
      </c>
      <c r="G3354" t="s">
        <v>61</v>
      </c>
      <c r="H3354" t="s">
        <v>68</v>
      </c>
      <c r="J3354" s="20">
        <v>0</v>
      </c>
    </row>
    <row r="3355" spans="2:10" x14ac:dyDescent="0.25">
      <c r="B3355" t="s">
        <v>6</v>
      </c>
      <c r="C3355" t="s">
        <v>8</v>
      </c>
      <c r="D3355">
        <v>703239</v>
      </c>
      <c r="E3355" t="s">
        <v>159</v>
      </c>
      <c r="F3355" t="s">
        <v>21</v>
      </c>
      <c r="G3355" t="s">
        <v>61</v>
      </c>
      <c r="H3355" t="s">
        <v>68</v>
      </c>
      <c r="J3355" s="20">
        <v>0</v>
      </c>
    </row>
    <row r="3356" spans="2:10" x14ac:dyDescent="0.25">
      <c r="B3356" t="s">
        <v>6</v>
      </c>
      <c r="C3356" t="s">
        <v>8</v>
      </c>
      <c r="D3356">
        <v>703240</v>
      </c>
      <c r="E3356" t="s">
        <v>160</v>
      </c>
      <c r="F3356" t="s">
        <v>21</v>
      </c>
      <c r="G3356" t="s">
        <v>61</v>
      </c>
      <c r="H3356" t="s">
        <v>68</v>
      </c>
      <c r="J3356" s="20">
        <v>0</v>
      </c>
    </row>
    <row r="3357" spans="2:10" x14ac:dyDescent="0.25">
      <c r="B3357" t="s">
        <v>6</v>
      </c>
      <c r="C3357" t="s">
        <v>8</v>
      </c>
      <c r="D3357">
        <v>703241</v>
      </c>
      <c r="E3357" t="s">
        <v>161</v>
      </c>
      <c r="F3357" t="s">
        <v>21</v>
      </c>
      <c r="G3357" t="s">
        <v>137</v>
      </c>
      <c r="H3357" t="s">
        <v>141</v>
      </c>
      <c r="J3357" s="20">
        <v>0</v>
      </c>
    </row>
    <row r="3358" spans="2:10" x14ac:dyDescent="0.25">
      <c r="B3358" t="s">
        <v>6</v>
      </c>
      <c r="C3358" t="s">
        <v>8</v>
      </c>
      <c r="D3358">
        <v>703242</v>
      </c>
      <c r="E3358" t="s">
        <v>162</v>
      </c>
      <c r="F3358" t="s">
        <v>21</v>
      </c>
      <c r="G3358" t="s">
        <v>137</v>
      </c>
      <c r="H3358" t="s">
        <v>141</v>
      </c>
      <c r="J3358" s="20">
        <v>0</v>
      </c>
    </row>
    <row r="3359" spans="2:10" x14ac:dyDescent="0.25">
      <c r="B3359" t="s">
        <v>6</v>
      </c>
      <c r="C3359" t="s">
        <v>8</v>
      </c>
      <c r="D3359">
        <v>703243</v>
      </c>
      <c r="E3359" t="s">
        <v>163</v>
      </c>
      <c r="F3359" t="s">
        <v>21</v>
      </c>
      <c r="G3359" t="s">
        <v>137</v>
      </c>
      <c r="H3359" t="s">
        <v>141</v>
      </c>
      <c r="J3359" s="20">
        <v>0</v>
      </c>
    </row>
    <row r="3360" spans="2:10" x14ac:dyDescent="0.25">
      <c r="B3360" t="s">
        <v>6</v>
      </c>
      <c r="C3360" t="s">
        <v>8</v>
      </c>
      <c r="D3360">
        <v>703244</v>
      </c>
      <c r="E3360" t="s">
        <v>164</v>
      </c>
      <c r="F3360" t="s">
        <v>21</v>
      </c>
      <c r="G3360" t="s">
        <v>71</v>
      </c>
      <c r="H3360" t="s">
        <v>88</v>
      </c>
      <c r="J3360" s="20">
        <v>0</v>
      </c>
    </row>
    <row r="3361" spans="2:10" x14ac:dyDescent="0.25">
      <c r="B3361" t="s">
        <v>6</v>
      </c>
      <c r="C3361" t="s">
        <v>8</v>
      </c>
      <c r="D3361">
        <v>703245</v>
      </c>
      <c r="E3361" t="s">
        <v>165</v>
      </c>
      <c r="F3361" t="s">
        <v>21</v>
      </c>
      <c r="G3361" t="s">
        <v>137</v>
      </c>
      <c r="H3361" t="s">
        <v>138</v>
      </c>
      <c r="J3361" s="20">
        <v>0</v>
      </c>
    </row>
    <row r="3362" spans="2:10" x14ac:dyDescent="0.25">
      <c r="B3362" t="s">
        <v>6</v>
      </c>
      <c r="C3362" t="s">
        <v>8</v>
      </c>
      <c r="D3362">
        <v>703246</v>
      </c>
      <c r="E3362" t="s">
        <v>166</v>
      </c>
      <c r="F3362" t="s">
        <v>21</v>
      </c>
      <c r="G3362" t="s">
        <v>137</v>
      </c>
      <c r="H3362" t="s">
        <v>138</v>
      </c>
      <c r="J3362" s="20">
        <v>0</v>
      </c>
    </row>
    <row r="3363" spans="2:10" x14ac:dyDescent="0.25">
      <c r="B3363" t="s">
        <v>6</v>
      </c>
      <c r="C3363" t="s">
        <v>8</v>
      </c>
      <c r="D3363">
        <v>703247</v>
      </c>
      <c r="E3363" t="s">
        <v>167</v>
      </c>
      <c r="F3363" t="s">
        <v>21</v>
      </c>
      <c r="G3363" t="s">
        <v>137</v>
      </c>
      <c r="H3363" t="s">
        <v>138</v>
      </c>
      <c r="J3363" s="20">
        <v>0</v>
      </c>
    </row>
    <row r="3364" spans="2:10" x14ac:dyDescent="0.25">
      <c r="B3364" t="s">
        <v>6</v>
      </c>
      <c r="C3364" t="s">
        <v>8</v>
      </c>
      <c r="D3364">
        <v>703248</v>
      </c>
      <c r="E3364" t="s">
        <v>168</v>
      </c>
      <c r="F3364" t="s">
        <v>21</v>
      </c>
      <c r="G3364" t="s">
        <v>137</v>
      </c>
      <c r="H3364" t="s">
        <v>141</v>
      </c>
      <c r="J3364" s="20">
        <v>0</v>
      </c>
    </row>
    <row r="3365" spans="2:10" x14ac:dyDescent="0.25">
      <c r="B3365" t="s">
        <v>6</v>
      </c>
      <c r="C3365" t="s">
        <v>8</v>
      </c>
      <c r="D3365">
        <v>703249</v>
      </c>
      <c r="E3365" t="s">
        <v>169</v>
      </c>
      <c r="F3365" t="s">
        <v>21</v>
      </c>
      <c r="G3365" t="s">
        <v>147</v>
      </c>
      <c r="H3365" t="s">
        <v>147</v>
      </c>
      <c r="J3365" s="20">
        <v>0</v>
      </c>
    </row>
    <row r="3366" spans="2:10" x14ac:dyDescent="0.25">
      <c r="B3366" t="s">
        <v>6</v>
      </c>
      <c r="C3366" t="s">
        <v>8</v>
      </c>
      <c r="D3366">
        <v>703250</v>
      </c>
      <c r="E3366" t="s">
        <v>170</v>
      </c>
      <c r="F3366" t="s">
        <v>21</v>
      </c>
      <c r="G3366" t="s">
        <v>71</v>
      </c>
      <c r="H3366" t="s">
        <v>171</v>
      </c>
      <c r="J3366" s="20">
        <v>0</v>
      </c>
    </row>
    <row r="3367" spans="2:10" x14ac:dyDescent="0.25">
      <c r="B3367" t="s">
        <v>6</v>
      </c>
      <c r="C3367" t="s">
        <v>8</v>
      </c>
      <c r="D3367">
        <v>703251</v>
      </c>
      <c r="E3367" t="s">
        <v>172</v>
      </c>
      <c r="F3367" t="s">
        <v>21</v>
      </c>
      <c r="G3367" t="s">
        <v>22</v>
      </c>
      <c r="H3367" t="s">
        <v>115</v>
      </c>
      <c r="J3367" s="20">
        <v>0</v>
      </c>
    </row>
    <row r="3368" spans="2:10" x14ac:dyDescent="0.25">
      <c r="B3368" t="s">
        <v>6</v>
      </c>
      <c r="C3368" t="s">
        <v>8</v>
      </c>
      <c r="D3368">
        <v>703252</v>
      </c>
      <c r="E3368" t="s">
        <v>173</v>
      </c>
      <c r="F3368" t="s">
        <v>21</v>
      </c>
      <c r="G3368" t="s">
        <v>22</v>
      </c>
      <c r="H3368" t="s">
        <v>115</v>
      </c>
      <c r="J3368" s="20">
        <v>0</v>
      </c>
    </row>
    <row r="3369" spans="2:10" x14ac:dyDescent="0.25">
      <c r="B3369" t="s">
        <v>6</v>
      </c>
      <c r="C3369" t="s">
        <v>8</v>
      </c>
      <c r="D3369">
        <v>703253</v>
      </c>
      <c r="E3369" t="s">
        <v>174</v>
      </c>
      <c r="F3369" t="s">
        <v>21</v>
      </c>
      <c r="G3369" t="s">
        <v>22</v>
      </c>
      <c r="H3369" t="s">
        <v>115</v>
      </c>
      <c r="J3369" s="20">
        <v>0</v>
      </c>
    </row>
    <row r="3370" spans="2:10" x14ac:dyDescent="0.25">
      <c r="B3370" t="s">
        <v>6</v>
      </c>
      <c r="C3370" t="s">
        <v>8</v>
      </c>
      <c r="D3370">
        <v>703254</v>
      </c>
      <c r="E3370" t="s">
        <v>175</v>
      </c>
      <c r="F3370" t="s">
        <v>21</v>
      </c>
      <c r="G3370" t="s">
        <v>22</v>
      </c>
      <c r="H3370" t="s">
        <v>115</v>
      </c>
      <c r="J3370" s="20">
        <v>0</v>
      </c>
    </row>
    <row r="3371" spans="2:10" x14ac:dyDescent="0.25">
      <c r="B3371" t="s">
        <v>6</v>
      </c>
      <c r="C3371" t="s">
        <v>8</v>
      </c>
      <c r="D3371">
        <v>703255</v>
      </c>
      <c r="E3371" t="s">
        <v>176</v>
      </c>
      <c r="F3371" t="s">
        <v>21</v>
      </c>
      <c r="G3371" t="s">
        <v>22</v>
      </c>
      <c r="H3371" t="s">
        <v>115</v>
      </c>
      <c r="J3371" s="20">
        <v>0</v>
      </c>
    </row>
    <row r="3372" spans="2:10" x14ac:dyDescent="0.25">
      <c r="B3372" t="s">
        <v>6</v>
      </c>
      <c r="C3372" t="s">
        <v>8</v>
      </c>
      <c r="D3372">
        <v>703257</v>
      </c>
      <c r="E3372" t="s">
        <v>177</v>
      </c>
      <c r="F3372" t="s">
        <v>21</v>
      </c>
      <c r="G3372" t="s">
        <v>147</v>
      </c>
      <c r="H3372" t="s">
        <v>147</v>
      </c>
      <c r="J3372" s="20">
        <v>0</v>
      </c>
    </row>
    <row r="3373" spans="2:10" x14ac:dyDescent="0.25">
      <c r="B3373" t="s">
        <v>6</v>
      </c>
      <c r="C3373" t="s">
        <v>8</v>
      </c>
      <c r="D3373">
        <v>703258</v>
      </c>
      <c r="E3373" t="s">
        <v>178</v>
      </c>
      <c r="F3373" t="s">
        <v>21</v>
      </c>
      <c r="G3373" t="s">
        <v>147</v>
      </c>
      <c r="H3373" t="s">
        <v>147</v>
      </c>
      <c r="J3373" s="20">
        <v>0</v>
      </c>
    </row>
    <row r="3374" spans="2:10" x14ac:dyDescent="0.25">
      <c r="B3374" t="s">
        <v>6</v>
      </c>
      <c r="C3374" t="s">
        <v>8</v>
      </c>
      <c r="D3374">
        <v>703260</v>
      </c>
      <c r="E3374" t="s">
        <v>179</v>
      </c>
      <c r="F3374" t="s">
        <v>21</v>
      </c>
      <c r="G3374" t="s">
        <v>76</v>
      </c>
      <c r="H3374" t="s">
        <v>77</v>
      </c>
      <c r="J3374" s="20">
        <v>0</v>
      </c>
    </row>
    <row r="3375" spans="2:10" x14ac:dyDescent="0.25">
      <c r="B3375" t="s">
        <v>6</v>
      </c>
      <c r="C3375" t="s">
        <v>8</v>
      </c>
      <c r="D3375">
        <v>703261</v>
      </c>
      <c r="E3375" t="s">
        <v>180</v>
      </c>
      <c r="F3375" t="s">
        <v>21</v>
      </c>
      <c r="G3375" t="s">
        <v>22</v>
      </c>
      <c r="H3375" t="s">
        <v>115</v>
      </c>
      <c r="J3375" s="20">
        <v>0</v>
      </c>
    </row>
    <row r="3376" spans="2:10" x14ac:dyDescent="0.25">
      <c r="B3376" t="s">
        <v>6</v>
      </c>
      <c r="C3376" t="s">
        <v>8</v>
      </c>
      <c r="D3376">
        <v>703262</v>
      </c>
      <c r="E3376" t="s">
        <v>181</v>
      </c>
      <c r="F3376" t="s">
        <v>21</v>
      </c>
      <c r="G3376" t="s">
        <v>22</v>
      </c>
      <c r="H3376" t="s">
        <v>23</v>
      </c>
      <c r="J3376" s="20">
        <v>0</v>
      </c>
    </row>
    <row r="3377" spans="2:10" x14ac:dyDescent="0.25">
      <c r="B3377" t="s">
        <v>6</v>
      </c>
      <c r="C3377" t="s">
        <v>8</v>
      </c>
      <c r="D3377">
        <v>703263</v>
      </c>
      <c r="E3377" t="s">
        <v>182</v>
      </c>
      <c r="F3377" t="s">
        <v>21</v>
      </c>
      <c r="G3377" t="s">
        <v>22</v>
      </c>
      <c r="H3377" t="s">
        <v>115</v>
      </c>
      <c r="J3377" s="20">
        <v>0</v>
      </c>
    </row>
    <row r="3378" spans="2:10" x14ac:dyDescent="0.25">
      <c r="B3378" t="s">
        <v>6</v>
      </c>
      <c r="C3378" t="s">
        <v>8</v>
      </c>
      <c r="D3378">
        <v>703264</v>
      </c>
      <c r="E3378" t="s">
        <v>183</v>
      </c>
      <c r="F3378" t="s">
        <v>21</v>
      </c>
      <c r="G3378" t="s">
        <v>22</v>
      </c>
      <c r="H3378" t="s">
        <v>115</v>
      </c>
      <c r="J3378" s="20">
        <v>0</v>
      </c>
    </row>
    <row r="3379" spans="2:10" x14ac:dyDescent="0.25">
      <c r="B3379" t="s">
        <v>6</v>
      </c>
      <c r="C3379" t="s">
        <v>8</v>
      </c>
      <c r="D3379">
        <v>703265</v>
      </c>
      <c r="E3379" t="s">
        <v>184</v>
      </c>
      <c r="F3379" t="s">
        <v>21</v>
      </c>
      <c r="G3379" t="s">
        <v>22</v>
      </c>
      <c r="H3379" t="s">
        <v>115</v>
      </c>
      <c r="J3379" s="20">
        <v>0</v>
      </c>
    </row>
    <row r="3380" spans="2:10" x14ac:dyDescent="0.25">
      <c r="B3380" t="s">
        <v>6</v>
      </c>
      <c r="C3380" t="s">
        <v>8</v>
      </c>
      <c r="D3380">
        <v>703266</v>
      </c>
      <c r="E3380" t="s">
        <v>185</v>
      </c>
      <c r="F3380" t="s">
        <v>21</v>
      </c>
      <c r="G3380" t="s">
        <v>71</v>
      </c>
      <c r="H3380" t="s">
        <v>186</v>
      </c>
      <c r="J3380" s="20">
        <v>0</v>
      </c>
    </row>
    <row r="3381" spans="2:10" x14ac:dyDescent="0.25">
      <c r="B3381" t="s">
        <v>6</v>
      </c>
      <c r="C3381" t="s">
        <v>8</v>
      </c>
      <c r="D3381">
        <v>703267</v>
      </c>
      <c r="E3381" t="s">
        <v>187</v>
      </c>
      <c r="F3381" t="s">
        <v>21</v>
      </c>
      <c r="G3381" t="s">
        <v>71</v>
      </c>
      <c r="H3381" t="s">
        <v>88</v>
      </c>
      <c r="J3381" s="20">
        <v>0</v>
      </c>
    </row>
    <row r="3382" spans="2:10" x14ac:dyDescent="0.25">
      <c r="B3382" t="s">
        <v>6</v>
      </c>
      <c r="C3382" t="s">
        <v>8</v>
      </c>
      <c r="D3382">
        <v>703268</v>
      </c>
      <c r="E3382" t="s">
        <v>188</v>
      </c>
      <c r="F3382" t="s">
        <v>21</v>
      </c>
      <c r="G3382" t="s">
        <v>147</v>
      </c>
      <c r="H3382" t="s">
        <v>147</v>
      </c>
      <c r="J3382" s="20">
        <v>0</v>
      </c>
    </row>
    <row r="3383" spans="2:10" x14ac:dyDescent="0.25">
      <c r="B3383" t="s">
        <v>6</v>
      </c>
      <c r="C3383" t="s">
        <v>8</v>
      </c>
      <c r="D3383">
        <v>703269</v>
      </c>
      <c r="E3383" t="s">
        <v>189</v>
      </c>
      <c r="F3383" t="s">
        <v>21</v>
      </c>
      <c r="G3383" t="s">
        <v>147</v>
      </c>
      <c r="H3383" t="s">
        <v>147</v>
      </c>
      <c r="J3383" s="20">
        <v>0</v>
      </c>
    </row>
    <row r="3384" spans="2:10" x14ac:dyDescent="0.25">
      <c r="B3384" t="s">
        <v>6</v>
      </c>
      <c r="C3384" t="s">
        <v>8</v>
      </c>
      <c r="D3384">
        <v>703270</v>
      </c>
      <c r="E3384" t="s">
        <v>190</v>
      </c>
      <c r="F3384" t="s">
        <v>21</v>
      </c>
      <c r="G3384" t="s">
        <v>137</v>
      </c>
      <c r="H3384" t="s">
        <v>141</v>
      </c>
      <c r="J3384" s="20">
        <v>0</v>
      </c>
    </row>
    <row r="3385" spans="2:10" x14ac:dyDescent="0.25">
      <c r="B3385" t="s">
        <v>6</v>
      </c>
      <c r="C3385" t="s">
        <v>8</v>
      </c>
      <c r="D3385">
        <v>703271</v>
      </c>
      <c r="E3385" t="s">
        <v>191</v>
      </c>
      <c r="F3385" t="s">
        <v>21</v>
      </c>
      <c r="G3385" t="s">
        <v>22</v>
      </c>
      <c r="H3385" t="s">
        <v>115</v>
      </c>
      <c r="J3385" s="20">
        <v>0</v>
      </c>
    </row>
    <row r="3386" spans="2:10" x14ac:dyDescent="0.25">
      <c r="B3386" t="s">
        <v>6</v>
      </c>
      <c r="C3386" t="s">
        <v>8</v>
      </c>
      <c r="D3386">
        <v>703272</v>
      </c>
      <c r="E3386" t="s">
        <v>192</v>
      </c>
      <c r="F3386" t="s">
        <v>21</v>
      </c>
      <c r="G3386" t="s">
        <v>22</v>
      </c>
      <c r="H3386" t="s">
        <v>23</v>
      </c>
      <c r="J3386" s="20">
        <v>0</v>
      </c>
    </row>
    <row r="3387" spans="2:10" x14ac:dyDescent="0.25">
      <c r="B3387" t="s">
        <v>6</v>
      </c>
      <c r="C3387" t="s">
        <v>8</v>
      </c>
      <c r="D3387">
        <v>703273</v>
      </c>
      <c r="E3387" t="s">
        <v>193</v>
      </c>
      <c r="F3387" t="s">
        <v>21</v>
      </c>
      <c r="G3387" t="s">
        <v>147</v>
      </c>
      <c r="H3387" t="s">
        <v>147</v>
      </c>
      <c r="J3387" s="20">
        <v>0</v>
      </c>
    </row>
    <row r="3388" spans="2:10" x14ac:dyDescent="0.25">
      <c r="B3388" t="s">
        <v>6</v>
      </c>
      <c r="C3388" t="s">
        <v>8</v>
      </c>
      <c r="D3388">
        <v>703274</v>
      </c>
      <c r="E3388" t="s">
        <v>194</v>
      </c>
      <c r="F3388" t="s">
        <v>21</v>
      </c>
      <c r="G3388" t="s">
        <v>147</v>
      </c>
      <c r="H3388" t="s">
        <v>147</v>
      </c>
      <c r="J3388" s="20">
        <v>0</v>
      </c>
    </row>
    <row r="3389" spans="2:10" x14ac:dyDescent="0.25">
      <c r="B3389" t="s">
        <v>6</v>
      </c>
      <c r="C3389" t="s">
        <v>8</v>
      </c>
      <c r="D3389">
        <v>703275</v>
      </c>
      <c r="E3389" t="s">
        <v>195</v>
      </c>
      <c r="F3389" t="s">
        <v>21</v>
      </c>
      <c r="G3389" t="s">
        <v>137</v>
      </c>
      <c r="H3389" t="s">
        <v>138</v>
      </c>
      <c r="J3389" s="20">
        <v>0</v>
      </c>
    </row>
    <row r="3390" spans="2:10" x14ac:dyDescent="0.25">
      <c r="B3390" t="s">
        <v>6</v>
      </c>
      <c r="C3390" t="s">
        <v>8</v>
      </c>
      <c r="D3390">
        <v>703280</v>
      </c>
      <c r="E3390" t="s">
        <v>196</v>
      </c>
      <c r="F3390" t="s">
        <v>21</v>
      </c>
      <c r="G3390" t="s">
        <v>71</v>
      </c>
      <c r="H3390" t="s">
        <v>171</v>
      </c>
      <c r="J3390" s="20">
        <v>0</v>
      </c>
    </row>
    <row r="3391" spans="2:10" x14ac:dyDescent="0.25">
      <c r="B3391" t="s">
        <v>6</v>
      </c>
      <c r="C3391" t="s">
        <v>8</v>
      </c>
      <c r="D3391">
        <v>703281</v>
      </c>
      <c r="E3391" t="s">
        <v>197</v>
      </c>
      <c r="F3391" t="s">
        <v>21</v>
      </c>
      <c r="G3391" t="s">
        <v>76</v>
      </c>
      <c r="H3391" t="s">
        <v>77</v>
      </c>
      <c r="J3391" s="20">
        <v>0</v>
      </c>
    </row>
    <row r="3392" spans="2:10" x14ac:dyDescent="0.25">
      <c r="B3392" t="s">
        <v>6</v>
      </c>
      <c r="C3392" t="s">
        <v>8</v>
      </c>
      <c r="D3392">
        <v>703282</v>
      </c>
      <c r="E3392" t="s">
        <v>198</v>
      </c>
      <c r="F3392" t="s">
        <v>21</v>
      </c>
      <c r="G3392" t="s">
        <v>76</v>
      </c>
      <c r="H3392" t="s">
        <v>77</v>
      </c>
      <c r="J3392" s="20">
        <v>0</v>
      </c>
    </row>
    <row r="3393" spans="2:10" x14ac:dyDescent="0.25">
      <c r="B3393" t="s">
        <v>6</v>
      </c>
      <c r="C3393" t="s">
        <v>8</v>
      </c>
      <c r="D3393">
        <v>703283</v>
      </c>
      <c r="E3393" t="s">
        <v>199</v>
      </c>
      <c r="F3393" t="s">
        <v>21</v>
      </c>
      <c r="G3393" t="s">
        <v>61</v>
      </c>
      <c r="H3393" t="s">
        <v>68</v>
      </c>
      <c r="J3393" s="20">
        <v>0</v>
      </c>
    </row>
    <row r="3394" spans="2:10" x14ac:dyDescent="0.25">
      <c r="B3394" t="s">
        <v>6</v>
      </c>
      <c r="C3394" t="s">
        <v>8</v>
      </c>
      <c r="D3394">
        <v>703310</v>
      </c>
      <c r="E3394" t="s">
        <v>200</v>
      </c>
      <c r="F3394" t="s">
        <v>21</v>
      </c>
      <c r="G3394" t="s">
        <v>22</v>
      </c>
      <c r="H3394" t="s">
        <v>23</v>
      </c>
      <c r="J3394" s="20">
        <v>0</v>
      </c>
    </row>
    <row r="3395" spans="2:10" x14ac:dyDescent="0.25">
      <c r="B3395" t="s">
        <v>6</v>
      </c>
      <c r="C3395" t="s">
        <v>8</v>
      </c>
      <c r="D3395">
        <v>703311</v>
      </c>
      <c r="E3395" t="s">
        <v>201</v>
      </c>
      <c r="F3395" t="s">
        <v>21</v>
      </c>
      <c r="G3395" t="s">
        <v>71</v>
      </c>
      <c r="H3395" t="s">
        <v>171</v>
      </c>
      <c r="J3395" s="20">
        <v>0</v>
      </c>
    </row>
    <row r="3396" spans="2:10" x14ac:dyDescent="0.25">
      <c r="B3396" t="s">
        <v>6</v>
      </c>
      <c r="C3396" t="s">
        <v>8</v>
      </c>
      <c r="D3396">
        <v>703312</v>
      </c>
      <c r="E3396" t="s">
        <v>202</v>
      </c>
      <c r="F3396" t="s">
        <v>21</v>
      </c>
      <c r="G3396" t="s">
        <v>76</v>
      </c>
      <c r="H3396" t="s">
        <v>77</v>
      </c>
      <c r="J3396" s="20">
        <v>0</v>
      </c>
    </row>
    <row r="3397" spans="2:10" x14ac:dyDescent="0.25">
      <c r="B3397" t="s">
        <v>6</v>
      </c>
      <c r="C3397" t="s">
        <v>8</v>
      </c>
      <c r="D3397">
        <v>703313</v>
      </c>
      <c r="E3397" t="s">
        <v>203</v>
      </c>
      <c r="F3397" t="s">
        <v>21</v>
      </c>
      <c r="G3397" t="s">
        <v>76</v>
      </c>
      <c r="H3397" t="s">
        <v>77</v>
      </c>
      <c r="J3397" s="20">
        <v>0</v>
      </c>
    </row>
    <row r="3398" spans="2:10" x14ac:dyDescent="0.25">
      <c r="B3398" t="s">
        <v>6</v>
      </c>
      <c r="C3398" t="s">
        <v>8</v>
      </c>
      <c r="D3398">
        <v>703314</v>
      </c>
      <c r="E3398" t="s">
        <v>204</v>
      </c>
      <c r="F3398" t="s">
        <v>21</v>
      </c>
      <c r="G3398" t="s">
        <v>76</v>
      </c>
      <c r="H3398" t="s">
        <v>77</v>
      </c>
      <c r="J3398" s="20">
        <v>0</v>
      </c>
    </row>
    <row r="3399" spans="2:10" x14ac:dyDescent="0.25">
      <c r="B3399" t="s">
        <v>6</v>
      </c>
      <c r="C3399" t="s">
        <v>8</v>
      </c>
      <c r="D3399">
        <v>703315</v>
      </c>
      <c r="E3399" t="s">
        <v>205</v>
      </c>
      <c r="F3399" t="s">
        <v>21</v>
      </c>
      <c r="G3399" t="s">
        <v>76</v>
      </c>
      <c r="H3399" t="s">
        <v>135</v>
      </c>
      <c r="J3399" s="20">
        <v>0</v>
      </c>
    </row>
    <row r="3400" spans="2:10" x14ac:dyDescent="0.25">
      <c r="B3400" t="s">
        <v>6</v>
      </c>
      <c r="C3400" t="s">
        <v>8</v>
      </c>
      <c r="D3400">
        <v>703316</v>
      </c>
      <c r="E3400" t="s">
        <v>206</v>
      </c>
      <c r="F3400" t="s">
        <v>21</v>
      </c>
      <c r="G3400" t="s">
        <v>76</v>
      </c>
      <c r="H3400" t="s">
        <v>77</v>
      </c>
      <c r="J3400" s="20">
        <v>0</v>
      </c>
    </row>
    <row r="3401" spans="2:10" x14ac:dyDescent="0.25">
      <c r="B3401" t="s">
        <v>6</v>
      </c>
      <c r="C3401" t="s">
        <v>8</v>
      </c>
      <c r="D3401">
        <v>703317</v>
      </c>
      <c r="E3401" t="s">
        <v>207</v>
      </c>
      <c r="F3401" t="s">
        <v>21</v>
      </c>
      <c r="G3401" t="s">
        <v>76</v>
      </c>
      <c r="H3401" t="s">
        <v>77</v>
      </c>
      <c r="J3401" s="20">
        <v>0</v>
      </c>
    </row>
    <row r="3402" spans="2:10" x14ac:dyDescent="0.25">
      <c r="B3402" t="s">
        <v>6</v>
      </c>
      <c r="C3402" t="s">
        <v>8</v>
      </c>
      <c r="D3402">
        <v>703318</v>
      </c>
      <c r="E3402" t="s">
        <v>208</v>
      </c>
      <c r="F3402" t="s">
        <v>21</v>
      </c>
      <c r="G3402" t="s">
        <v>71</v>
      </c>
      <c r="H3402" t="s">
        <v>209</v>
      </c>
      <c r="J3402" s="20">
        <v>0</v>
      </c>
    </row>
    <row r="3403" spans="2:10" x14ac:dyDescent="0.25">
      <c r="B3403" t="s">
        <v>6</v>
      </c>
      <c r="C3403" t="s">
        <v>8</v>
      </c>
      <c r="D3403">
        <v>703319</v>
      </c>
      <c r="E3403" t="s">
        <v>210</v>
      </c>
      <c r="F3403" t="s">
        <v>21</v>
      </c>
      <c r="G3403" t="s">
        <v>61</v>
      </c>
      <c r="H3403" t="s">
        <v>79</v>
      </c>
      <c r="J3403" s="20">
        <v>0</v>
      </c>
    </row>
    <row r="3404" spans="2:10" x14ac:dyDescent="0.25">
      <c r="B3404" t="s">
        <v>6</v>
      </c>
      <c r="C3404" t="s">
        <v>8</v>
      </c>
      <c r="D3404">
        <v>703320</v>
      </c>
      <c r="E3404" t="s">
        <v>211</v>
      </c>
      <c r="F3404" t="s">
        <v>21</v>
      </c>
      <c r="G3404" t="s">
        <v>71</v>
      </c>
      <c r="H3404" t="s">
        <v>135</v>
      </c>
      <c r="J3404" s="20">
        <v>0</v>
      </c>
    </row>
    <row r="3405" spans="2:10" x14ac:dyDescent="0.25">
      <c r="B3405" t="s">
        <v>6</v>
      </c>
      <c r="C3405" t="s">
        <v>8</v>
      </c>
      <c r="D3405">
        <v>703321</v>
      </c>
      <c r="E3405" t="s">
        <v>212</v>
      </c>
      <c r="F3405" t="s">
        <v>21</v>
      </c>
      <c r="G3405" t="s">
        <v>22</v>
      </c>
      <c r="H3405" t="s">
        <v>23</v>
      </c>
      <c r="J3405" s="20">
        <v>0</v>
      </c>
    </row>
    <row r="3406" spans="2:10" x14ac:dyDescent="0.25">
      <c r="B3406" t="s">
        <v>6</v>
      </c>
      <c r="C3406" t="s">
        <v>8</v>
      </c>
      <c r="D3406">
        <v>703322</v>
      </c>
      <c r="E3406" t="s">
        <v>213</v>
      </c>
      <c r="F3406" t="s">
        <v>21</v>
      </c>
      <c r="G3406" t="s">
        <v>22</v>
      </c>
      <c r="H3406" t="s">
        <v>23</v>
      </c>
      <c r="J3406" s="20">
        <v>0</v>
      </c>
    </row>
    <row r="3407" spans="2:10" x14ac:dyDescent="0.25">
      <c r="B3407" t="s">
        <v>6</v>
      </c>
      <c r="C3407" t="s">
        <v>8</v>
      </c>
      <c r="D3407">
        <v>703323</v>
      </c>
      <c r="E3407" t="s">
        <v>214</v>
      </c>
      <c r="F3407" t="s">
        <v>21</v>
      </c>
      <c r="G3407" t="s">
        <v>22</v>
      </c>
      <c r="H3407" t="s">
        <v>23</v>
      </c>
      <c r="J3407" s="20">
        <v>0</v>
      </c>
    </row>
    <row r="3408" spans="2:10" x14ac:dyDescent="0.25">
      <c r="B3408" t="s">
        <v>6</v>
      </c>
      <c r="C3408" t="s">
        <v>8</v>
      </c>
      <c r="D3408">
        <v>703324</v>
      </c>
      <c r="E3408" t="s">
        <v>215</v>
      </c>
      <c r="F3408" t="s">
        <v>21</v>
      </c>
      <c r="G3408" t="s">
        <v>22</v>
      </c>
      <c r="H3408" t="s">
        <v>23</v>
      </c>
      <c r="J3408" s="20">
        <v>0</v>
      </c>
    </row>
    <row r="3409" spans="2:10" x14ac:dyDescent="0.25">
      <c r="B3409" t="s">
        <v>6</v>
      </c>
      <c r="C3409" t="s">
        <v>8</v>
      </c>
      <c r="D3409">
        <v>703325</v>
      </c>
      <c r="E3409" t="s">
        <v>216</v>
      </c>
      <c r="F3409" t="s">
        <v>21</v>
      </c>
      <c r="G3409" t="s">
        <v>22</v>
      </c>
      <c r="H3409" t="s">
        <v>23</v>
      </c>
      <c r="J3409" s="20">
        <v>0</v>
      </c>
    </row>
    <row r="3410" spans="2:10" x14ac:dyDescent="0.25">
      <c r="B3410" t="s">
        <v>6</v>
      </c>
      <c r="C3410" t="s">
        <v>8</v>
      </c>
      <c r="D3410">
        <v>703326</v>
      </c>
      <c r="E3410" t="s">
        <v>217</v>
      </c>
      <c r="F3410" t="s">
        <v>21</v>
      </c>
      <c r="G3410" t="s">
        <v>22</v>
      </c>
      <c r="H3410" t="s">
        <v>23</v>
      </c>
      <c r="J3410" s="20">
        <v>0</v>
      </c>
    </row>
    <row r="3411" spans="2:10" x14ac:dyDescent="0.25">
      <c r="B3411" t="s">
        <v>6</v>
      </c>
      <c r="C3411" t="s">
        <v>8</v>
      </c>
      <c r="D3411">
        <v>703327</v>
      </c>
      <c r="E3411" t="s">
        <v>218</v>
      </c>
      <c r="F3411" t="s">
        <v>21</v>
      </c>
      <c r="G3411" t="s">
        <v>76</v>
      </c>
      <c r="H3411" t="s">
        <v>77</v>
      </c>
      <c r="J3411" s="20">
        <v>0</v>
      </c>
    </row>
    <row r="3412" spans="2:10" x14ac:dyDescent="0.25">
      <c r="B3412" t="s">
        <v>6</v>
      </c>
      <c r="C3412" t="s">
        <v>8</v>
      </c>
      <c r="D3412">
        <v>703328</v>
      </c>
      <c r="E3412" t="s">
        <v>219</v>
      </c>
      <c r="F3412" t="s">
        <v>21</v>
      </c>
      <c r="G3412" t="s">
        <v>22</v>
      </c>
      <c r="H3412" t="s">
        <v>23</v>
      </c>
      <c r="J3412" s="20">
        <v>0</v>
      </c>
    </row>
    <row r="3413" spans="2:10" x14ac:dyDescent="0.25">
      <c r="B3413" t="s">
        <v>6</v>
      </c>
      <c r="C3413" t="s">
        <v>8</v>
      </c>
      <c r="D3413">
        <v>703329</v>
      </c>
      <c r="E3413" t="s">
        <v>220</v>
      </c>
      <c r="F3413" t="s">
        <v>21</v>
      </c>
      <c r="G3413" t="s">
        <v>22</v>
      </c>
      <c r="H3413" t="s">
        <v>23</v>
      </c>
      <c r="J3413" s="20">
        <v>0</v>
      </c>
    </row>
    <row r="3414" spans="2:10" x14ac:dyDescent="0.25">
      <c r="B3414" t="s">
        <v>6</v>
      </c>
      <c r="C3414" t="s">
        <v>8</v>
      </c>
      <c r="D3414">
        <v>703330</v>
      </c>
      <c r="E3414" t="s">
        <v>221</v>
      </c>
      <c r="F3414" t="s">
        <v>21</v>
      </c>
      <c r="G3414" t="s">
        <v>22</v>
      </c>
      <c r="H3414" t="s">
        <v>23</v>
      </c>
      <c r="J3414" s="20">
        <v>0</v>
      </c>
    </row>
    <row r="3415" spans="2:10" x14ac:dyDescent="0.25">
      <c r="B3415" t="s">
        <v>6</v>
      </c>
      <c r="C3415" t="s">
        <v>8</v>
      </c>
      <c r="D3415">
        <v>703340</v>
      </c>
      <c r="E3415" t="s">
        <v>222</v>
      </c>
      <c r="F3415" t="s">
        <v>21</v>
      </c>
      <c r="G3415" t="s">
        <v>61</v>
      </c>
      <c r="H3415" t="s">
        <v>68</v>
      </c>
      <c r="J3415" s="20">
        <v>0</v>
      </c>
    </row>
    <row r="3416" spans="2:10" x14ac:dyDescent="0.25">
      <c r="B3416" t="s">
        <v>6</v>
      </c>
      <c r="C3416" t="s">
        <v>8</v>
      </c>
      <c r="D3416">
        <v>703350</v>
      </c>
      <c r="E3416" t="s">
        <v>223</v>
      </c>
      <c r="F3416" t="s">
        <v>21</v>
      </c>
      <c r="G3416" t="s">
        <v>22</v>
      </c>
      <c r="H3416" t="s">
        <v>23</v>
      </c>
      <c r="J3416" s="20">
        <v>0</v>
      </c>
    </row>
    <row r="3417" spans="2:10" x14ac:dyDescent="0.25">
      <c r="B3417" t="s">
        <v>6</v>
      </c>
      <c r="C3417" t="s">
        <v>8</v>
      </c>
      <c r="D3417">
        <v>703351</v>
      </c>
      <c r="E3417" t="s">
        <v>224</v>
      </c>
      <c r="F3417" t="s">
        <v>21</v>
      </c>
      <c r="G3417" t="s">
        <v>22</v>
      </c>
      <c r="H3417" t="s">
        <v>23</v>
      </c>
      <c r="J3417" s="20">
        <v>0</v>
      </c>
    </row>
    <row r="3418" spans="2:10" x14ac:dyDescent="0.25">
      <c r="B3418" t="s">
        <v>6</v>
      </c>
      <c r="C3418" t="s">
        <v>8</v>
      </c>
      <c r="D3418">
        <v>703352</v>
      </c>
      <c r="E3418" t="s">
        <v>225</v>
      </c>
      <c r="F3418" t="s">
        <v>21</v>
      </c>
      <c r="G3418" t="s">
        <v>22</v>
      </c>
      <c r="H3418" t="s">
        <v>23</v>
      </c>
      <c r="J3418" s="20">
        <v>0</v>
      </c>
    </row>
    <row r="3419" spans="2:10" x14ac:dyDescent="0.25">
      <c r="B3419" t="s">
        <v>6</v>
      </c>
      <c r="C3419" t="s">
        <v>8</v>
      </c>
      <c r="D3419">
        <v>703360</v>
      </c>
      <c r="E3419" t="s">
        <v>226</v>
      </c>
      <c r="F3419" t="s">
        <v>21</v>
      </c>
      <c r="G3419" t="s">
        <v>22</v>
      </c>
      <c r="H3419" t="s">
        <v>23</v>
      </c>
      <c r="J3419" s="20">
        <v>0</v>
      </c>
    </row>
    <row r="3420" spans="2:10" x14ac:dyDescent="0.25">
      <c r="B3420" t="s">
        <v>6</v>
      </c>
      <c r="C3420" t="s">
        <v>8</v>
      </c>
      <c r="D3420">
        <v>703370</v>
      </c>
      <c r="E3420" t="s">
        <v>227</v>
      </c>
      <c r="F3420" t="s">
        <v>21</v>
      </c>
      <c r="G3420" t="s">
        <v>22</v>
      </c>
      <c r="H3420" t="s">
        <v>23</v>
      </c>
      <c r="J3420" s="20">
        <v>0</v>
      </c>
    </row>
    <row r="3421" spans="2:10" x14ac:dyDescent="0.25">
      <c r="B3421" t="s">
        <v>6</v>
      </c>
      <c r="C3421" t="s">
        <v>8</v>
      </c>
      <c r="D3421">
        <v>703410</v>
      </c>
      <c r="E3421" t="s">
        <v>228</v>
      </c>
      <c r="F3421" t="s">
        <v>21</v>
      </c>
      <c r="G3421" t="s">
        <v>22</v>
      </c>
      <c r="H3421" t="s">
        <v>23</v>
      </c>
      <c r="J3421" s="20">
        <v>0</v>
      </c>
    </row>
    <row r="3422" spans="2:10" x14ac:dyDescent="0.25">
      <c r="B3422" t="s">
        <v>6</v>
      </c>
      <c r="C3422" t="s">
        <v>8</v>
      </c>
      <c r="D3422">
        <v>703411</v>
      </c>
      <c r="E3422" t="s">
        <v>229</v>
      </c>
      <c r="F3422" t="s">
        <v>21</v>
      </c>
      <c r="G3422" t="s">
        <v>22</v>
      </c>
      <c r="H3422" t="s">
        <v>23</v>
      </c>
      <c r="J3422" s="20">
        <v>0</v>
      </c>
    </row>
    <row r="3423" spans="2:10" x14ac:dyDescent="0.25">
      <c r="B3423" t="s">
        <v>6</v>
      </c>
      <c r="C3423" t="s">
        <v>8</v>
      </c>
      <c r="D3423">
        <v>703412</v>
      </c>
      <c r="E3423" t="s">
        <v>230</v>
      </c>
      <c r="F3423" t="s">
        <v>21</v>
      </c>
      <c r="G3423" t="s">
        <v>22</v>
      </c>
      <c r="H3423" t="s">
        <v>23</v>
      </c>
      <c r="J3423" s="20">
        <v>0</v>
      </c>
    </row>
    <row r="3424" spans="2:10" x14ac:dyDescent="0.25">
      <c r="B3424" t="s">
        <v>6</v>
      </c>
      <c r="C3424" t="s">
        <v>8</v>
      </c>
      <c r="D3424">
        <v>703420</v>
      </c>
      <c r="E3424" t="s">
        <v>231</v>
      </c>
      <c r="F3424" t="s">
        <v>21</v>
      </c>
      <c r="G3424" t="s">
        <v>71</v>
      </c>
      <c r="H3424" t="s">
        <v>171</v>
      </c>
      <c r="J3424" s="20">
        <v>0</v>
      </c>
    </row>
    <row r="3425" spans="2:10" x14ac:dyDescent="0.25">
      <c r="B3425" t="s">
        <v>6</v>
      </c>
      <c r="C3425" t="s">
        <v>8</v>
      </c>
      <c r="D3425">
        <v>703421</v>
      </c>
      <c r="E3425" t="s">
        <v>232</v>
      </c>
      <c r="F3425" t="s">
        <v>21</v>
      </c>
      <c r="G3425" t="s">
        <v>22</v>
      </c>
      <c r="H3425" t="s">
        <v>23</v>
      </c>
      <c r="J3425" s="20">
        <v>0</v>
      </c>
    </row>
    <row r="3426" spans="2:10" x14ac:dyDescent="0.25">
      <c r="B3426" t="s">
        <v>6</v>
      </c>
      <c r="C3426" t="s">
        <v>8</v>
      </c>
      <c r="D3426">
        <v>703422</v>
      </c>
      <c r="E3426" t="s">
        <v>233</v>
      </c>
      <c r="F3426" t="s">
        <v>21</v>
      </c>
      <c r="G3426" t="s">
        <v>76</v>
      </c>
      <c r="H3426" t="s">
        <v>77</v>
      </c>
      <c r="J3426" s="20">
        <v>0</v>
      </c>
    </row>
    <row r="3427" spans="2:10" x14ac:dyDescent="0.25">
      <c r="B3427" t="s">
        <v>6</v>
      </c>
      <c r="C3427" t="s">
        <v>8</v>
      </c>
      <c r="D3427">
        <v>703423</v>
      </c>
      <c r="E3427" t="s">
        <v>234</v>
      </c>
      <c r="F3427" t="s">
        <v>21</v>
      </c>
      <c r="G3427" t="s">
        <v>71</v>
      </c>
      <c r="H3427" t="s">
        <v>88</v>
      </c>
      <c r="J3427" s="20">
        <v>0</v>
      </c>
    </row>
    <row r="3428" spans="2:10" x14ac:dyDescent="0.25">
      <c r="B3428" t="s">
        <v>6</v>
      </c>
      <c r="C3428" t="s">
        <v>8</v>
      </c>
      <c r="D3428">
        <v>703424</v>
      </c>
      <c r="E3428" t="s">
        <v>235</v>
      </c>
      <c r="F3428" t="s">
        <v>21</v>
      </c>
      <c r="G3428" t="s">
        <v>71</v>
      </c>
      <c r="H3428" t="s">
        <v>88</v>
      </c>
      <c r="J3428" s="20">
        <v>0</v>
      </c>
    </row>
    <row r="3429" spans="2:10" x14ac:dyDescent="0.25">
      <c r="B3429" t="s">
        <v>6</v>
      </c>
      <c r="C3429" t="s">
        <v>8</v>
      </c>
      <c r="D3429">
        <v>703425</v>
      </c>
      <c r="E3429" t="s">
        <v>236</v>
      </c>
      <c r="F3429" t="s">
        <v>21</v>
      </c>
      <c r="G3429" t="s">
        <v>76</v>
      </c>
      <c r="H3429" t="s">
        <v>77</v>
      </c>
      <c r="J3429" s="20">
        <v>0</v>
      </c>
    </row>
    <row r="3430" spans="2:10" x14ac:dyDescent="0.25">
      <c r="B3430" t="s">
        <v>6</v>
      </c>
      <c r="C3430" t="s">
        <v>8</v>
      </c>
      <c r="D3430">
        <v>703426</v>
      </c>
      <c r="E3430" t="s">
        <v>237</v>
      </c>
      <c r="F3430" t="s">
        <v>21</v>
      </c>
      <c r="G3430" t="s">
        <v>22</v>
      </c>
      <c r="H3430" t="s">
        <v>23</v>
      </c>
      <c r="J3430" s="20">
        <v>0</v>
      </c>
    </row>
    <row r="3431" spans="2:10" x14ac:dyDescent="0.25">
      <c r="B3431" t="s">
        <v>6</v>
      </c>
      <c r="C3431" t="s">
        <v>8</v>
      </c>
      <c r="D3431">
        <v>703427</v>
      </c>
      <c r="E3431" t="s">
        <v>238</v>
      </c>
      <c r="F3431" t="s">
        <v>21</v>
      </c>
      <c r="G3431" t="s">
        <v>76</v>
      </c>
      <c r="H3431" t="s">
        <v>77</v>
      </c>
      <c r="J3431" s="20">
        <v>0</v>
      </c>
    </row>
    <row r="3432" spans="2:10" x14ac:dyDescent="0.25">
      <c r="B3432" t="s">
        <v>6</v>
      </c>
      <c r="C3432" t="s">
        <v>8</v>
      </c>
      <c r="D3432">
        <v>703428</v>
      </c>
      <c r="E3432" t="s">
        <v>239</v>
      </c>
      <c r="F3432" t="s">
        <v>21</v>
      </c>
      <c r="G3432" t="s">
        <v>76</v>
      </c>
      <c r="H3432" t="s">
        <v>77</v>
      </c>
      <c r="J3432" s="20">
        <v>0</v>
      </c>
    </row>
    <row r="3433" spans="2:10" x14ac:dyDescent="0.25">
      <c r="B3433" t="s">
        <v>6</v>
      </c>
      <c r="C3433" t="s">
        <v>8</v>
      </c>
      <c r="D3433">
        <v>703429</v>
      </c>
      <c r="E3433" t="s">
        <v>240</v>
      </c>
      <c r="F3433" t="s">
        <v>21</v>
      </c>
      <c r="G3433" t="s">
        <v>76</v>
      </c>
      <c r="H3433" t="s">
        <v>77</v>
      </c>
      <c r="J3433" s="20">
        <v>0</v>
      </c>
    </row>
    <row r="3434" spans="2:10" x14ac:dyDescent="0.25">
      <c r="B3434" t="s">
        <v>6</v>
      </c>
      <c r="C3434" t="s">
        <v>8</v>
      </c>
      <c r="D3434">
        <v>703430</v>
      </c>
      <c r="E3434" t="s">
        <v>20</v>
      </c>
      <c r="F3434" t="s">
        <v>21</v>
      </c>
      <c r="G3434" t="s">
        <v>22</v>
      </c>
      <c r="H3434" t="s">
        <v>23</v>
      </c>
      <c r="J3434" s="20">
        <v>0</v>
      </c>
    </row>
    <row r="3435" spans="2:10" x14ac:dyDescent="0.25">
      <c r="B3435" t="s">
        <v>6</v>
      </c>
      <c r="C3435" t="s">
        <v>8</v>
      </c>
      <c r="D3435">
        <v>703431</v>
      </c>
      <c r="E3435" t="s">
        <v>241</v>
      </c>
      <c r="F3435" t="s">
        <v>21</v>
      </c>
      <c r="G3435" t="s">
        <v>22</v>
      </c>
      <c r="H3435" t="s">
        <v>23</v>
      </c>
      <c r="J3435" s="20">
        <v>0</v>
      </c>
    </row>
    <row r="3436" spans="2:10" x14ac:dyDescent="0.25">
      <c r="B3436" t="s">
        <v>6</v>
      </c>
      <c r="C3436" t="s">
        <v>8</v>
      </c>
      <c r="D3436">
        <v>703432</v>
      </c>
      <c r="E3436" t="s">
        <v>242</v>
      </c>
      <c r="F3436" t="s">
        <v>21</v>
      </c>
      <c r="G3436" t="s">
        <v>22</v>
      </c>
      <c r="H3436" t="s">
        <v>23</v>
      </c>
      <c r="J3436" s="20">
        <v>0</v>
      </c>
    </row>
    <row r="3437" spans="2:10" x14ac:dyDescent="0.25">
      <c r="B3437" t="s">
        <v>6</v>
      </c>
      <c r="C3437" t="s">
        <v>8</v>
      </c>
      <c r="D3437">
        <v>703433</v>
      </c>
      <c r="E3437" t="s">
        <v>243</v>
      </c>
      <c r="F3437" t="s">
        <v>21</v>
      </c>
      <c r="G3437" t="s">
        <v>71</v>
      </c>
      <c r="H3437" t="s">
        <v>88</v>
      </c>
      <c r="J3437" s="20">
        <v>0</v>
      </c>
    </row>
    <row r="3438" spans="2:10" x14ac:dyDescent="0.25">
      <c r="B3438" t="s">
        <v>6</v>
      </c>
      <c r="C3438" t="s">
        <v>8</v>
      </c>
      <c r="D3438">
        <v>703434</v>
      </c>
      <c r="E3438" t="s">
        <v>244</v>
      </c>
      <c r="F3438" t="s">
        <v>21</v>
      </c>
      <c r="G3438" t="s">
        <v>22</v>
      </c>
      <c r="H3438" t="s">
        <v>23</v>
      </c>
      <c r="J3438" s="20">
        <v>0</v>
      </c>
    </row>
    <row r="3439" spans="2:10" x14ac:dyDescent="0.25">
      <c r="B3439" t="s">
        <v>6</v>
      </c>
      <c r="C3439" t="s">
        <v>8</v>
      </c>
      <c r="D3439">
        <v>703435</v>
      </c>
      <c r="E3439" t="s">
        <v>245</v>
      </c>
      <c r="F3439" t="s">
        <v>21</v>
      </c>
      <c r="G3439" t="s">
        <v>71</v>
      </c>
      <c r="H3439" t="s">
        <v>88</v>
      </c>
      <c r="J3439" s="20">
        <v>0</v>
      </c>
    </row>
    <row r="3440" spans="2:10" x14ac:dyDescent="0.25">
      <c r="B3440" t="s">
        <v>6</v>
      </c>
      <c r="C3440" t="s">
        <v>8</v>
      </c>
      <c r="D3440">
        <v>703436</v>
      </c>
      <c r="E3440" t="s">
        <v>246</v>
      </c>
      <c r="F3440" t="s">
        <v>21</v>
      </c>
      <c r="G3440" t="s">
        <v>71</v>
      </c>
      <c r="H3440" t="s">
        <v>88</v>
      </c>
      <c r="J3440" s="20">
        <v>0</v>
      </c>
    </row>
    <row r="3441" spans="2:10" x14ac:dyDescent="0.25">
      <c r="B3441" t="s">
        <v>6</v>
      </c>
      <c r="C3441" t="s">
        <v>8</v>
      </c>
      <c r="D3441">
        <v>703437</v>
      </c>
      <c r="E3441" t="s">
        <v>247</v>
      </c>
      <c r="F3441" t="s">
        <v>21</v>
      </c>
      <c r="G3441" t="s">
        <v>71</v>
      </c>
      <c r="H3441" t="s">
        <v>88</v>
      </c>
      <c r="J3441" s="20">
        <v>0</v>
      </c>
    </row>
    <row r="3442" spans="2:10" x14ac:dyDescent="0.25">
      <c r="B3442" t="s">
        <v>6</v>
      </c>
      <c r="C3442" t="s">
        <v>8</v>
      </c>
      <c r="D3442">
        <v>703438</v>
      </c>
      <c r="E3442" t="s">
        <v>248</v>
      </c>
      <c r="F3442" t="s">
        <v>21</v>
      </c>
      <c r="G3442" t="s">
        <v>71</v>
      </c>
      <c r="H3442" t="s">
        <v>88</v>
      </c>
      <c r="J3442" s="20">
        <v>0</v>
      </c>
    </row>
    <row r="3443" spans="2:10" x14ac:dyDescent="0.25">
      <c r="B3443" t="s">
        <v>6</v>
      </c>
      <c r="C3443" t="s">
        <v>8</v>
      </c>
      <c r="D3443">
        <v>703439</v>
      </c>
      <c r="E3443" t="s">
        <v>249</v>
      </c>
      <c r="F3443" t="s">
        <v>21</v>
      </c>
      <c r="G3443" t="s">
        <v>22</v>
      </c>
      <c r="H3443" t="s">
        <v>23</v>
      </c>
      <c r="J3443" s="20">
        <v>0</v>
      </c>
    </row>
    <row r="3444" spans="2:10" x14ac:dyDescent="0.25">
      <c r="B3444" t="s">
        <v>6</v>
      </c>
      <c r="C3444" t="s">
        <v>8</v>
      </c>
      <c r="D3444">
        <v>703440</v>
      </c>
      <c r="E3444" t="s">
        <v>250</v>
      </c>
      <c r="F3444" t="s">
        <v>21</v>
      </c>
      <c r="G3444" t="s">
        <v>61</v>
      </c>
      <c r="H3444" t="s">
        <v>68</v>
      </c>
      <c r="J3444" s="20">
        <v>0</v>
      </c>
    </row>
    <row r="3445" spans="2:10" x14ac:dyDescent="0.25">
      <c r="B3445" t="s">
        <v>6</v>
      </c>
      <c r="C3445" t="s">
        <v>8</v>
      </c>
      <c r="D3445">
        <v>703441</v>
      </c>
      <c r="E3445" t="s">
        <v>251</v>
      </c>
      <c r="F3445" t="s">
        <v>21</v>
      </c>
      <c r="G3445" t="s">
        <v>61</v>
      </c>
      <c r="H3445" t="s">
        <v>79</v>
      </c>
      <c r="J3445" s="20">
        <v>0</v>
      </c>
    </row>
    <row r="3446" spans="2:10" x14ac:dyDescent="0.25">
      <c r="B3446" t="s">
        <v>6</v>
      </c>
      <c r="C3446" t="s">
        <v>8</v>
      </c>
      <c r="D3446">
        <v>703442</v>
      </c>
      <c r="E3446" t="s">
        <v>252</v>
      </c>
      <c r="F3446" t="s">
        <v>21</v>
      </c>
      <c r="G3446" t="s">
        <v>76</v>
      </c>
      <c r="H3446" t="s">
        <v>77</v>
      </c>
      <c r="J3446" s="20">
        <v>0</v>
      </c>
    </row>
    <row r="3447" spans="2:10" x14ac:dyDescent="0.25">
      <c r="B3447" t="s">
        <v>6</v>
      </c>
      <c r="C3447" t="s">
        <v>8</v>
      </c>
      <c r="D3447">
        <v>703443</v>
      </c>
      <c r="E3447" t="s">
        <v>253</v>
      </c>
      <c r="F3447" t="s">
        <v>21</v>
      </c>
      <c r="G3447" t="s">
        <v>71</v>
      </c>
      <c r="H3447" t="s">
        <v>88</v>
      </c>
      <c r="J3447" s="20">
        <v>0</v>
      </c>
    </row>
    <row r="3448" spans="2:10" x14ac:dyDescent="0.25">
      <c r="B3448" t="s">
        <v>6</v>
      </c>
      <c r="C3448" t="s">
        <v>8</v>
      </c>
      <c r="D3448">
        <v>703444</v>
      </c>
      <c r="E3448" t="s">
        <v>254</v>
      </c>
      <c r="F3448" t="s">
        <v>21</v>
      </c>
      <c r="G3448" t="s">
        <v>22</v>
      </c>
      <c r="H3448" t="s">
        <v>23</v>
      </c>
      <c r="J3448" s="20">
        <v>0</v>
      </c>
    </row>
    <row r="3449" spans="2:10" x14ac:dyDescent="0.25">
      <c r="B3449" t="s">
        <v>6</v>
      </c>
      <c r="C3449" t="s">
        <v>8</v>
      </c>
      <c r="D3449">
        <v>703445</v>
      </c>
      <c r="E3449" t="s">
        <v>255</v>
      </c>
      <c r="F3449" t="s">
        <v>21</v>
      </c>
      <c r="G3449" t="s">
        <v>22</v>
      </c>
      <c r="H3449" t="s">
        <v>23</v>
      </c>
      <c r="J3449" s="20">
        <v>0</v>
      </c>
    </row>
    <row r="3450" spans="2:10" x14ac:dyDescent="0.25">
      <c r="B3450" t="s">
        <v>6</v>
      </c>
      <c r="C3450" t="s">
        <v>8</v>
      </c>
      <c r="D3450">
        <v>703446</v>
      </c>
      <c r="E3450" t="s">
        <v>256</v>
      </c>
      <c r="F3450" t="s">
        <v>21</v>
      </c>
      <c r="G3450" t="s">
        <v>22</v>
      </c>
      <c r="H3450" t="s">
        <v>23</v>
      </c>
      <c r="J3450" s="20">
        <v>0</v>
      </c>
    </row>
    <row r="3451" spans="2:10" x14ac:dyDescent="0.25">
      <c r="B3451" t="s">
        <v>6</v>
      </c>
      <c r="C3451" t="s">
        <v>8</v>
      </c>
      <c r="D3451">
        <v>703447</v>
      </c>
      <c r="E3451" t="s">
        <v>257</v>
      </c>
      <c r="F3451" t="s">
        <v>21</v>
      </c>
      <c r="G3451" t="s">
        <v>22</v>
      </c>
      <c r="H3451" t="s">
        <v>23</v>
      </c>
      <c r="J3451" s="20">
        <v>0</v>
      </c>
    </row>
    <row r="3452" spans="2:10" x14ac:dyDescent="0.25">
      <c r="B3452" t="s">
        <v>6</v>
      </c>
      <c r="C3452" t="s">
        <v>8</v>
      </c>
      <c r="D3452">
        <v>703448</v>
      </c>
      <c r="E3452" t="s">
        <v>258</v>
      </c>
      <c r="F3452" t="s">
        <v>21</v>
      </c>
      <c r="G3452" t="s">
        <v>22</v>
      </c>
      <c r="H3452" t="s">
        <v>23</v>
      </c>
      <c r="J3452" s="20">
        <v>0</v>
      </c>
    </row>
    <row r="3453" spans="2:10" x14ac:dyDescent="0.25">
      <c r="B3453" t="s">
        <v>6</v>
      </c>
      <c r="C3453" t="s">
        <v>8</v>
      </c>
      <c r="D3453">
        <v>703449</v>
      </c>
      <c r="E3453" t="s">
        <v>259</v>
      </c>
      <c r="F3453" t="s">
        <v>21</v>
      </c>
      <c r="G3453" t="s">
        <v>22</v>
      </c>
      <c r="H3453" t="s">
        <v>23</v>
      </c>
      <c r="J3453" s="20">
        <v>0</v>
      </c>
    </row>
    <row r="3454" spans="2:10" x14ac:dyDescent="0.25">
      <c r="B3454" t="s">
        <v>6</v>
      </c>
      <c r="C3454" t="s">
        <v>8</v>
      </c>
      <c r="D3454">
        <v>703450</v>
      </c>
      <c r="E3454" t="s">
        <v>260</v>
      </c>
      <c r="F3454" t="s">
        <v>21</v>
      </c>
      <c r="G3454" t="s">
        <v>71</v>
      </c>
      <c r="H3454" t="s">
        <v>88</v>
      </c>
      <c r="J3454" s="20">
        <v>0</v>
      </c>
    </row>
    <row r="3455" spans="2:10" x14ac:dyDescent="0.25">
      <c r="B3455" t="s">
        <v>6</v>
      </c>
      <c r="C3455" t="s">
        <v>8</v>
      </c>
      <c r="D3455">
        <v>703510</v>
      </c>
      <c r="E3455" t="s">
        <v>261</v>
      </c>
      <c r="F3455" t="s">
        <v>21</v>
      </c>
      <c r="G3455" t="s">
        <v>22</v>
      </c>
      <c r="H3455" t="s">
        <v>23</v>
      </c>
      <c r="J3455" s="20">
        <v>0</v>
      </c>
    </row>
    <row r="3456" spans="2:10" x14ac:dyDescent="0.25">
      <c r="B3456" t="s">
        <v>6</v>
      </c>
      <c r="C3456" t="s">
        <v>8</v>
      </c>
      <c r="D3456">
        <v>703511</v>
      </c>
      <c r="E3456" t="s">
        <v>262</v>
      </c>
      <c r="F3456" t="s">
        <v>21</v>
      </c>
      <c r="G3456" t="s">
        <v>22</v>
      </c>
      <c r="H3456" t="s">
        <v>23</v>
      </c>
      <c r="J3456" s="20">
        <v>0</v>
      </c>
    </row>
    <row r="3457" spans="2:10" x14ac:dyDescent="0.25">
      <c r="B3457" t="s">
        <v>6</v>
      </c>
      <c r="C3457" t="s">
        <v>8</v>
      </c>
      <c r="D3457">
        <v>703512</v>
      </c>
      <c r="E3457" t="s">
        <v>263</v>
      </c>
      <c r="F3457" t="s">
        <v>21</v>
      </c>
      <c r="G3457" t="s">
        <v>22</v>
      </c>
      <c r="H3457" t="s">
        <v>23</v>
      </c>
      <c r="J3457" s="20">
        <v>0</v>
      </c>
    </row>
    <row r="3458" spans="2:10" x14ac:dyDescent="0.25">
      <c r="B3458" t="s">
        <v>6</v>
      </c>
      <c r="C3458" t="s">
        <v>8</v>
      </c>
      <c r="D3458">
        <v>703513</v>
      </c>
      <c r="E3458" t="s">
        <v>264</v>
      </c>
      <c r="F3458" t="s">
        <v>21</v>
      </c>
      <c r="G3458" t="s">
        <v>22</v>
      </c>
      <c r="H3458" t="s">
        <v>23</v>
      </c>
      <c r="J3458" s="20">
        <v>0</v>
      </c>
    </row>
    <row r="3459" spans="2:10" x14ac:dyDescent="0.25">
      <c r="B3459" t="s">
        <v>6</v>
      </c>
      <c r="C3459" t="s">
        <v>8</v>
      </c>
      <c r="D3459">
        <v>703514</v>
      </c>
      <c r="E3459" t="s">
        <v>265</v>
      </c>
      <c r="F3459" t="s">
        <v>21</v>
      </c>
      <c r="G3459" t="s">
        <v>22</v>
      </c>
      <c r="H3459" t="s">
        <v>23</v>
      </c>
      <c r="J3459" s="20">
        <v>0</v>
      </c>
    </row>
    <row r="3460" spans="2:10" x14ac:dyDescent="0.25">
      <c r="B3460" t="s">
        <v>6</v>
      </c>
      <c r="C3460" t="s">
        <v>8</v>
      </c>
      <c r="D3460">
        <v>703515</v>
      </c>
      <c r="E3460" t="s">
        <v>266</v>
      </c>
      <c r="F3460" t="s">
        <v>21</v>
      </c>
      <c r="G3460" t="s">
        <v>22</v>
      </c>
      <c r="H3460" t="s">
        <v>23</v>
      </c>
      <c r="J3460" s="20">
        <v>0</v>
      </c>
    </row>
    <row r="3461" spans="2:10" x14ac:dyDescent="0.25">
      <c r="B3461" t="s">
        <v>6</v>
      </c>
      <c r="C3461" t="s">
        <v>8</v>
      </c>
      <c r="D3461">
        <v>703520</v>
      </c>
      <c r="E3461" t="s">
        <v>267</v>
      </c>
      <c r="F3461" t="s">
        <v>21</v>
      </c>
      <c r="G3461" t="s">
        <v>22</v>
      </c>
      <c r="H3461" t="s">
        <v>23</v>
      </c>
      <c r="J3461" s="20">
        <v>0</v>
      </c>
    </row>
    <row r="3462" spans="2:10" x14ac:dyDescent="0.25">
      <c r="B3462" t="s">
        <v>6</v>
      </c>
      <c r="C3462" t="s">
        <v>8</v>
      </c>
      <c r="D3462">
        <v>703530</v>
      </c>
      <c r="E3462" t="s">
        <v>268</v>
      </c>
      <c r="F3462" t="s">
        <v>21</v>
      </c>
      <c r="G3462" t="s">
        <v>22</v>
      </c>
      <c r="H3462" t="s">
        <v>23</v>
      </c>
      <c r="J3462" s="20">
        <v>0</v>
      </c>
    </row>
    <row r="3463" spans="2:10" x14ac:dyDescent="0.25">
      <c r="B3463" t="s">
        <v>6</v>
      </c>
      <c r="C3463" t="s">
        <v>8</v>
      </c>
      <c r="D3463">
        <v>703540</v>
      </c>
      <c r="E3463" t="s">
        <v>269</v>
      </c>
      <c r="F3463" t="s">
        <v>21</v>
      </c>
      <c r="G3463" t="s">
        <v>22</v>
      </c>
      <c r="H3463" t="s">
        <v>23</v>
      </c>
      <c r="J3463" s="20">
        <v>0</v>
      </c>
    </row>
    <row r="3464" spans="2:10" x14ac:dyDescent="0.25">
      <c r="B3464" t="s">
        <v>6</v>
      </c>
      <c r="C3464" t="s">
        <v>8</v>
      </c>
      <c r="D3464">
        <v>703550</v>
      </c>
      <c r="E3464" t="s">
        <v>270</v>
      </c>
      <c r="F3464" t="s">
        <v>21</v>
      </c>
      <c r="G3464" t="s">
        <v>22</v>
      </c>
      <c r="H3464" t="s">
        <v>23</v>
      </c>
      <c r="J3464" s="20">
        <v>0</v>
      </c>
    </row>
    <row r="3465" spans="2:10" x14ac:dyDescent="0.25">
      <c r="B3465" t="s">
        <v>6</v>
      </c>
      <c r="C3465" t="s">
        <v>8</v>
      </c>
      <c r="D3465">
        <v>703560</v>
      </c>
      <c r="E3465" t="s">
        <v>271</v>
      </c>
      <c r="F3465" t="s">
        <v>21</v>
      </c>
      <c r="G3465" t="s">
        <v>22</v>
      </c>
      <c r="H3465" t="s">
        <v>23</v>
      </c>
      <c r="J3465" s="20">
        <v>0</v>
      </c>
    </row>
    <row r="3466" spans="2:10" x14ac:dyDescent="0.25">
      <c r="B3466" t="s">
        <v>6</v>
      </c>
      <c r="C3466" t="s">
        <v>8</v>
      </c>
      <c r="D3466">
        <v>703570</v>
      </c>
      <c r="E3466" t="s">
        <v>272</v>
      </c>
      <c r="F3466" t="s">
        <v>21</v>
      </c>
      <c r="G3466" t="s">
        <v>22</v>
      </c>
      <c r="H3466" t="s">
        <v>23</v>
      </c>
      <c r="J3466" s="20">
        <v>0</v>
      </c>
    </row>
    <row r="3467" spans="2:10" x14ac:dyDescent="0.25">
      <c r="B3467" t="s">
        <v>6</v>
      </c>
      <c r="C3467" t="s">
        <v>8</v>
      </c>
      <c r="D3467">
        <v>703571</v>
      </c>
      <c r="E3467" t="s">
        <v>273</v>
      </c>
      <c r="F3467" t="s">
        <v>21</v>
      </c>
      <c r="G3467" t="s">
        <v>22</v>
      </c>
      <c r="H3467" t="s">
        <v>23</v>
      </c>
      <c r="J3467" s="20"/>
    </row>
    <row r="3468" spans="2:10" x14ac:dyDescent="0.25">
      <c r="B3468" t="s">
        <v>6</v>
      </c>
      <c r="C3468" t="s">
        <v>8</v>
      </c>
      <c r="D3468">
        <v>703572</v>
      </c>
      <c r="E3468" t="s">
        <v>274</v>
      </c>
      <c r="F3468" t="s">
        <v>21</v>
      </c>
      <c r="G3468" t="s">
        <v>22</v>
      </c>
      <c r="H3468" t="s">
        <v>23</v>
      </c>
      <c r="J3468" s="20"/>
    </row>
    <row r="3469" spans="2:10" x14ac:dyDescent="0.25">
      <c r="B3469" t="s">
        <v>6</v>
      </c>
      <c r="C3469" t="s">
        <v>8</v>
      </c>
      <c r="D3469">
        <v>703573</v>
      </c>
      <c r="E3469" t="s">
        <v>275</v>
      </c>
      <c r="F3469" t="s">
        <v>21</v>
      </c>
      <c r="G3469" t="s">
        <v>22</v>
      </c>
      <c r="H3469" t="s">
        <v>23</v>
      </c>
      <c r="J3469" s="20"/>
    </row>
    <row r="3470" spans="2:10" x14ac:dyDescent="0.25">
      <c r="B3470" t="s">
        <v>6</v>
      </c>
      <c r="C3470" t="s">
        <v>8</v>
      </c>
      <c r="D3470">
        <v>703574</v>
      </c>
      <c r="E3470" t="s">
        <v>276</v>
      </c>
      <c r="F3470" t="s">
        <v>21</v>
      </c>
      <c r="G3470" t="s">
        <v>22</v>
      </c>
      <c r="H3470" t="s">
        <v>23</v>
      </c>
      <c r="J3470" s="20"/>
    </row>
    <row r="3471" spans="2:10" x14ac:dyDescent="0.25">
      <c r="B3471" t="s">
        <v>6</v>
      </c>
      <c r="C3471" t="s">
        <v>8</v>
      </c>
      <c r="D3471">
        <v>703580</v>
      </c>
      <c r="E3471" t="s">
        <v>277</v>
      </c>
      <c r="F3471" t="s">
        <v>21</v>
      </c>
      <c r="G3471" t="s">
        <v>22</v>
      </c>
      <c r="H3471" t="s">
        <v>23</v>
      </c>
      <c r="J3471" s="20">
        <v>0</v>
      </c>
    </row>
    <row r="3472" spans="2:10" x14ac:dyDescent="0.25">
      <c r="B3472" t="s">
        <v>6</v>
      </c>
      <c r="C3472" t="s">
        <v>8</v>
      </c>
      <c r="D3472">
        <v>703590</v>
      </c>
      <c r="E3472" t="s">
        <v>278</v>
      </c>
      <c r="F3472" t="s">
        <v>21</v>
      </c>
      <c r="G3472" t="s">
        <v>22</v>
      </c>
      <c r="H3472" t="s">
        <v>23</v>
      </c>
      <c r="J3472" s="20">
        <v>0</v>
      </c>
    </row>
    <row r="3473" spans="2:10" x14ac:dyDescent="0.25">
      <c r="B3473" t="s">
        <v>6</v>
      </c>
      <c r="C3473" t="s">
        <v>8</v>
      </c>
      <c r="D3473">
        <v>703650</v>
      </c>
      <c r="E3473" t="s">
        <v>279</v>
      </c>
      <c r="F3473" t="s">
        <v>21</v>
      </c>
      <c r="G3473" t="s">
        <v>22</v>
      </c>
      <c r="H3473" t="s">
        <v>23</v>
      </c>
      <c r="J3473" s="20">
        <v>0</v>
      </c>
    </row>
    <row r="3474" spans="2:10" x14ac:dyDescent="0.25">
      <c r="B3474" t="s">
        <v>6</v>
      </c>
      <c r="C3474" t="s">
        <v>8</v>
      </c>
      <c r="D3474">
        <v>703651</v>
      </c>
      <c r="E3474" t="s">
        <v>280</v>
      </c>
      <c r="F3474" t="s">
        <v>21</v>
      </c>
      <c r="G3474" t="s">
        <v>22</v>
      </c>
      <c r="H3474" t="s">
        <v>23</v>
      </c>
      <c r="J3474" s="20">
        <v>0</v>
      </c>
    </row>
    <row r="3475" spans="2:10" x14ac:dyDescent="0.25">
      <c r="B3475" t="s">
        <v>6</v>
      </c>
      <c r="C3475" t="s">
        <v>8</v>
      </c>
      <c r="D3475">
        <v>703850</v>
      </c>
      <c r="E3475" t="s">
        <v>281</v>
      </c>
      <c r="F3475" t="s">
        <v>21</v>
      </c>
      <c r="G3475" t="s">
        <v>22</v>
      </c>
      <c r="H3475" t="s">
        <v>23</v>
      </c>
      <c r="J3475" s="20">
        <v>0</v>
      </c>
    </row>
    <row r="3476" spans="2:10" x14ac:dyDescent="0.25">
      <c r="B3476" t="s">
        <v>6</v>
      </c>
      <c r="C3476" t="s">
        <v>8</v>
      </c>
      <c r="D3476">
        <v>703851</v>
      </c>
      <c r="E3476" t="s">
        <v>282</v>
      </c>
      <c r="F3476" t="s">
        <v>21</v>
      </c>
      <c r="G3476" t="s">
        <v>22</v>
      </c>
      <c r="H3476" t="s">
        <v>23</v>
      </c>
      <c r="J3476" s="20">
        <v>0</v>
      </c>
    </row>
    <row r="3477" spans="2:10" x14ac:dyDescent="0.25">
      <c r="B3477" t="s">
        <v>6</v>
      </c>
      <c r="C3477" t="s">
        <v>8</v>
      </c>
      <c r="D3477">
        <v>703852</v>
      </c>
      <c r="E3477" t="s">
        <v>283</v>
      </c>
      <c r="F3477" t="s">
        <v>21</v>
      </c>
      <c r="G3477" t="s">
        <v>22</v>
      </c>
      <c r="H3477" t="s">
        <v>23</v>
      </c>
      <c r="J3477" s="20">
        <v>0</v>
      </c>
    </row>
    <row r="3478" spans="2:10" x14ac:dyDescent="0.25">
      <c r="B3478" t="s">
        <v>6</v>
      </c>
      <c r="C3478" t="s">
        <v>8</v>
      </c>
      <c r="D3478">
        <v>703853</v>
      </c>
      <c r="E3478" t="s">
        <v>284</v>
      </c>
      <c r="F3478" t="s">
        <v>21</v>
      </c>
      <c r="G3478" t="s">
        <v>22</v>
      </c>
      <c r="H3478" t="s">
        <v>23</v>
      </c>
      <c r="J3478" s="20">
        <v>0</v>
      </c>
    </row>
    <row r="3479" spans="2:10" x14ac:dyDescent="0.25">
      <c r="B3479" t="s">
        <v>6</v>
      </c>
      <c r="C3479" t="s">
        <v>8</v>
      </c>
      <c r="D3479">
        <v>703854</v>
      </c>
      <c r="E3479" t="s">
        <v>285</v>
      </c>
      <c r="F3479" t="s">
        <v>21</v>
      </c>
      <c r="G3479" t="s">
        <v>22</v>
      </c>
      <c r="H3479" t="s">
        <v>115</v>
      </c>
      <c r="J3479" s="20">
        <v>0</v>
      </c>
    </row>
    <row r="3480" spans="2:10" x14ac:dyDescent="0.25">
      <c r="B3480" t="s">
        <v>6</v>
      </c>
      <c r="C3480" t="s">
        <v>8</v>
      </c>
      <c r="D3480">
        <v>703855</v>
      </c>
      <c r="E3480" t="s">
        <v>286</v>
      </c>
      <c r="F3480" t="s">
        <v>21</v>
      </c>
      <c r="G3480" t="s">
        <v>22</v>
      </c>
      <c r="H3480" t="s">
        <v>23</v>
      </c>
      <c r="J3480" s="20">
        <v>0</v>
      </c>
    </row>
    <row r="3481" spans="2:10" x14ac:dyDescent="0.25">
      <c r="B3481" t="s">
        <v>6</v>
      </c>
      <c r="C3481" t="s">
        <v>8</v>
      </c>
      <c r="D3481">
        <v>703856</v>
      </c>
      <c r="E3481" t="s">
        <v>287</v>
      </c>
      <c r="F3481" t="s">
        <v>21</v>
      </c>
      <c r="G3481" t="s">
        <v>22</v>
      </c>
      <c r="H3481" t="s">
        <v>23</v>
      </c>
      <c r="J3481" s="20">
        <v>0</v>
      </c>
    </row>
    <row r="3482" spans="2:10" x14ac:dyDescent="0.25">
      <c r="B3482" t="s">
        <v>6</v>
      </c>
      <c r="C3482" t="s">
        <v>8</v>
      </c>
      <c r="D3482">
        <v>703857</v>
      </c>
      <c r="E3482" t="s">
        <v>288</v>
      </c>
      <c r="F3482" t="s">
        <v>21</v>
      </c>
      <c r="G3482" t="s">
        <v>71</v>
      </c>
      <c r="H3482" t="s">
        <v>88</v>
      </c>
      <c r="J3482" s="20">
        <v>0</v>
      </c>
    </row>
    <row r="3483" spans="2:10" x14ac:dyDescent="0.25">
      <c r="B3483" t="s">
        <v>6</v>
      </c>
      <c r="C3483" t="s">
        <v>8</v>
      </c>
      <c r="D3483">
        <v>703858</v>
      </c>
      <c r="E3483" t="s">
        <v>289</v>
      </c>
      <c r="F3483" t="s">
        <v>21</v>
      </c>
      <c r="G3483" t="s">
        <v>22</v>
      </c>
      <c r="H3483" t="s">
        <v>23</v>
      </c>
      <c r="J3483" s="20">
        <v>0</v>
      </c>
    </row>
    <row r="3484" spans="2:10" x14ac:dyDescent="0.25">
      <c r="B3484" t="s">
        <v>6</v>
      </c>
      <c r="C3484" t="s">
        <v>8</v>
      </c>
      <c r="D3484">
        <v>703859</v>
      </c>
      <c r="E3484" t="s">
        <v>290</v>
      </c>
      <c r="F3484" t="s">
        <v>21</v>
      </c>
      <c r="G3484" t="s">
        <v>22</v>
      </c>
      <c r="H3484" t="s">
        <v>23</v>
      </c>
      <c r="J3484" s="20">
        <v>0</v>
      </c>
    </row>
    <row r="3485" spans="2:10" x14ac:dyDescent="0.25">
      <c r="B3485" t="s">
        <v>6</v>
      </c>
      <c r="C3485" t="s">
        <v>8</v>
      </c>
      <c r="D3485">
        <v>703860</v>
      </c>
      <c r="E3485" t="s">
        <v>291</v>
      </c>
      <c r="F3485" t="s">
        <v>21</v>
      </c>
      <c r="G3485" t="s">
        <v>22</v>
      </c>
      <c r="H3485" t="s">
        <v>23</v>
      </c>
      <c r="J3485" s="20">
        <v>0</v>
      </c>
    </row>
    <row r="3486" spans="2:10" x14ac:dyDescent="0.25">
      <c r="B3486" t="s">
        <v>6</v>
      </c>
      <c r="C3486" t="s">
        <v>8</v>
      </c>
      <c r="D3486">
        <v>703861</v>
      </c>
      <c r="E3486" t="s">
        <v>292</v>
      </c>
      <c r="F3486" t="s">
        <v>21</v>
      </c>
      <c r="G3486" t="s">
        <v>22</v>
      </c>
      <c r="H3486" t="s">
        <v>23</v>
      </c>
      <c r="J3486" s="20">
        <v>0</v>
      </c>
    </row>
    <row r="3487" spans="2:10" x14ac:dyDescent="0.25">
      <c r="B3487" t="s">
        <v>6</v>
      </c>
      <c r="C3487" t="s">
        <v>8</v>
      </c>
      <c r="D3487">
        <v>703862</v>
      </c>
      <c r="E3487" t="s">
        <v>293</v>
      </c>
      <c r="F3487" t="s">
        <v>21</v>
      </c>
      <c r="G3487" t="s">
        <v>22</v>
      </c>
      <c r="H3487" t="s">
        <v>23</v>
      </c>
      <c r="J3487" s="20">
        <v>0</v>
      </c>
    </row>
    <row r="3488" spans="2:10" x14ac:dyDescent="0.25">
      <c r="B3488" t="s">
        <v>6</v>
      </c>
      <c r="C3488" t="s">
        <v>8</v>
      </c>
      <c r="D3488">
        <v>703870</v>
      </c>
      <c r="E3488" t="s">
        <v>294</v>
      </c>
      <c r="F3488" t="s">
        <v>21</v>
      </c>
      <c r="G3488" t="s">
        <v>22</v>
      </c>
      <c r="H3488" t="s">
        <v>23</v>
      </c>
      <c r="J3488" s="20">
        <v>0</v>
      </c>
    </row>
    <row r="3489" spans="2:10" x14ac:dyDescent="0.25">
      <c r="B3489" t="s">
        <v>6</v>
      </c>
      <c r="C3489" t="s">
        <v>8</v>
      </c>
      <c r="D3489">
        <v>703880</v>
      </c>
      <c r="E3489" t="s">
        <v>295</v>
      </c>
      <c r="F3489" t="s">
        <v>21</v>
      </c>
      <c r="G3489" t="s">
        <v>22</v>
      </c>
      <c r="H3489" t="s">
        <v>23</v>
      </c>
      <c r="J3489" s="20">
        <v>0</v>
      </c>
    </row>
    <row r="3490" spans="2:10" x14ac:dyDescent="0.25">
      <c r="B3490" t="s">
        <v>6</v>
      </c>
      <c r="C3490" t="s">
        <v>8</v>
      </c>
      <c r="D3490">
        <v>703899</v>
      </c>
      <c r="E3490" t="s">
        <v>296</v>
      </c>
      <c r="F3490" t="s">
        <v>21</v>
      </c>
      <c r="G3490" t="s">
        <v>22</v>
      </c>
      <c r="H3490" t="s">
        <v>23</v>
      </c>
      <c r="J3490" s="20">
        <v>0</v>
      </c>
    </row>
    <row r="3491" spans="2:10" x14ac:dyDescent="0.25">
      <c r="B3491" t="s">
        <v>6</v>
      </c>
      <c r="C3491" t="s">
        <v>8</v>
      </c>
      <c r="D3491">
        <v>706700</v>
      </c>
      <c r="E3491" t="s">
        <v>25</v>
      </c>
      <c r="F3491" t="s">
        <v>26</v>
      </c>
      <c r="G3491" t="s">
        <v>27</v>
      </c>
      <c r="H3491" t="s">
        <v>28</v>
      </c>
      <c r="J3491" s="20">
        <v>0</v>
      </c>
    </row>
    <row r="3492" spans="2:10" x14ac:dyDescent="0.25">
      <c r="B3492" t="s">
        <v>6</v>
      </c>
      <c r="C3492" t="s">
        <v>8</v>
      </c>
      <c r="D3492" t="s">
        <v>29</v>
      </c>
      <c r="E3492" t="s">
        <v>30</v>
      </c>
      <c r="F3492" t="s">
        <v>26</v>
      </c>
      <c r="G3492" t="s">
        <v>27</v>
      </c>
      <c r="H3492" t="s">
        <v>31</v>
      </c>
      <c r="J3492" s="20">
        <v>0</v>
      </c>
    </row>
    <row r="3493" spans="2:10" x14ac:dyDescent="0.25">
      <c r="B3493" t="s">
        <v>6</v>
      </c>
      <c r="C3493" t="s">
        <v>8</v>
      </c>
      <c r="D3493" t="s">
        <v>32</v>
      </c>
      <c r="E3493" t="s">
        <v>33</v>
      </c>
      <c r="F3493" t="s">
        <v>26</v>
      </c>
      <c r="G3493" t="s">
        <v>27</v>
      </c>
      <c r="H3493" t="s">
        <v>28</v>
      </c>
      <c r="J3493" s="20">
        <v>0</v>
      </c>
    </row>
    <row r="3494" spans="2:10" x14ac:dyDescent="0.25">
      <c r="B3494" t="s">
        <v>6</v>
      </c>
      <c r="C3494" t="s">
        <v>8</v>
      </c>
      <c r="D3494" t="s">
        <v>34</v>
      </c>
      <c r="E3494" t="s">
        <v>35</v>
      </c>
      <c r="F3494" t="s">
        <v>26</v>
      </c>
      <c r="G3494" t="s">
        <v>36</v>
      </c>
      <c r="H3494" t="s">
        <v>36</v>
      </c>
      <c r="J3494" s="20">
        <v>0</v>
      </c>
    </row>
    <row r="3495" spans="2:10" x14ac:dyDescent="0.25">
      <c r="B3495" t="s">
        <v>6</v>
      </c>
      <c r="C3495" t="s">
        <v>8</v>
      </c>
      <c r="D3495" t="s">
        <v>37</v>
      </c>
      <c r="E3495" t="s">
        <v>38</v>
      </c>
      <c r="F3495" t="s">
        <v>21</v>
      </c>
      <c r="G3495" t="s">
        <v>39</v>
      </c>
      <c r="H3495" t="s">
        <v>39</v>
      </c>
      <c r="J3495" s="20">
        <v>0</v>
      </c>
    </row>
    <row r="3496" spans="2:10" x14ac:dyDescent="0.25">
      <c r="B3496" t="s">
        <v>6</v>
      </c>
      <c r="C3496" t="s">
        <v>8</v>
      </c>
      <c r="D3496" t="s">
        <v>40</v>
      </c>
      <c r="E3496" t="s">
        <v>41</v>
      </c>
      <c r="F3496" t="s">
        <v>26</v>
      </c>
      <c r="G3496" t="s">
        <v>39</v>
      </c>
      <c r="H3496" t="s">
        <v>39</v>
      </c>
      <c r="J3496" s="20">
        <v>0</v>
      </c>
    </row>
    <row r="3497" spans="2:10" x14ac:dyDescent="0.25">
      <c r="B3497" t="s">
        <v>6</v>
      </c>
      <c r="C3497" t="s">
        <v>8</v>
      </c>
      <c r="D3497" t="s">
        <v>42</v>
      </c>
      <c r="E3497" t="s">
        <v>43</v>
      </c>
      <c r="F3497" t="s">
        <v>21</v>
      </c>
      <c r="G3497" t="s">
        <v>44</v>
      </c>
      <c r="H3497" t="s">
        <v>44</v>
      </c>
      <c r="J3497" s="20">
        <v>0</v>
      </c>
    </row>
    <row r="3498" spans="2:10" x14ac:dyDescent="0.25">
      <c r="B3498" t="s">
        <v>6</v>
      </c>
      <c r="C3498" t="s">
        <v>8</v>
      </c>
      <c r="D3498" t="s">
        <v>45</v>
      </c>
      <c r="E3498" t="s">
        <v>46</v>
      </c>
      <c r="F3498" t="s">
        <v>26</v>
      </c>
      <c r="G3498" t="s">
        <v>44</v>
      </c>
      <c r="H3498" t="s">
        <v>44</v>
      </c>
      <c r="J3498" s="20">
        <v>0</v>
      </c>
    </row>
    <row r="3499" spans="2:10" x14ac:dyDescent="0.25">
      <c r="B3499" t="s">
        <v>6</v>
      </c>
      <c r="C3499" t="s">
        <v>8</v>
      </c>
      <c r="D3499" t="s">
        <v>297</v>
      </c>
      <c r="E3499" t="s">
        <v>298</v>
      </c>
      <c r="F3499" t="s">
        <v>26</v>
      </c>
      <c r="G3499" t="s">
        <v>299</v>
      </c>
      <c r="H3499" t="s">
        <v>299</v>
      </c>
      <c r="J3499" s="20"/>
    </row>
    <row r="3500" spans="2:10" x14ac:dyDescent="0.25">
      <c r="B3500" t="s">
        <v>6</v>
      </c>
      <c r="C3500" t="s">
        <v>8</v>
      </c>
      <c r="D3500" t="s">
        <v>300</v>
      </c>
      <c r="E3500" t="s">
        <v>301</v>
      </c>
      <c r="F3500" t="s">
        <v>21</v>
      </c>
      <c r="G3500" t="s">
        <v>299</v>
      </c>
      <c r="H3500" t="s">
        <v>299</v>
      </c>
      <c r="J3500" s="20"/>
    </row>
    <row r="3501" spans="2:10" x14ac:dyDescent="0.25">
      <c r="B3501" t="s">
        <v>6</v>
      </c>
      <c r="C3501" t="s">
        <v>8</v>
      </c>
      <c r="D3501" t="s">
        <v>47</v>
      </c>
      <c r="E3501" t="s">
        <v>48</v>
      </c>
      <c r="F3501" t="s">
        <v>26</v>
      </c>
      <c r="G3501" t="s">
        <v>49</v>
      </c>
      <c r="H3501" t="s">
        <v>49</v>
      </c>
      <c r="J3501" s="2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3C9C-78B7-4C7A-B73D-02437F591031}">
  <dimension ref="B9:Y3501"/>
  <sheetViews>
    <sheetView tabSelected="1" topLeftCell="A16" workbookViewId="0">
      <selection activeCell="B720" sqref="B720"/>
    </sheetView>
  </sheetViews>
  <sheetFormatPr defaultRowHeight="15" x14ac:dyDescent="0.25"/>
  <cols>
    <col min="3" max="3" width="38.42578125" bestFit="1" customWidth="1"/>
    <col min="12" max="12" width="10.85546875" bestFit="1" customWidth="1"/>
  </cols>
  <sheetData>
    <row r="9" spans="2:25" x14ac:dyDescent="0.25">
      <c r="B9" t="s">
        <v>321</v>
      </c>
    </row>
    <row r="10" spans="2:25" x14ac:dyDescent="0.25">
      <c r="B10" s="15" t="s">
        <v>0</v>
      </c>
      <c r="C10" s="15" t="s">
        <v>1</v>
      </c>
      <c r="D10" s="15" t="s">
        <v>2</v>
      </c>
      <c r="E10" s="15" t="s">
        <v>3</v>
      </c>
      <c r="F10" s="15" t="s">
        <v>4</v>
      </c>
      <c r="G10" s="15" t="s">
        <v>5</v>
      </c>
      <c r="H10" s="15" t="s">
        <v>15</v>
      </c>
      <c r="I10" s="15" t="s">
        <v>16</v>
      </c>
      <c r="J10" s="15" t="s">
        <v>17</v>
      </c>
      <c r="K10" s="25" t="s">
        <v>18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2:25" x14ac:dyDescent="0.25">
      <c r="B11" t="s">
        <v>340</v>
      </c>
      <c r="C11" t="s">
        <v>19</v>
      </c>
      <c r="D11">
        <v>703430</v>
      </c>
      <c r="E11" t="s">
        <v>20</v>
      </c>
      <c r="F11" t="s">
        <v>21</v>
      </c>
      <c r="G11" t="s">
        <v>22</v>
      </c>
      <c r="H11" t="s">
        <v>23</v>
      </c>
      <c r="J11">
        <v>0</v>
      </c>
      <c r="K11">
        <v>0</v>
      </c>
    </row>
    <row r="12" spans="2:25" x14ac:dyDescent="0.25">
      <c r="B12" t="s">
        <v>340</v>
      </c>
      <c r="C12" t="s">
        <v>19</v>
      </c>
      <c r="D12">
        <v>703852</v>
      </c>
      <c r="E12" t="s">
        <v>24</v>
      </c>
      <c r="F12" t="s">
        <v>21</v>
      </c>
      <c r="G12" t="s">
        <v>22</v>
      </c>
      <c r="H12" t="s">
        <v>23</v>
      </c>
      <c r="J12">
        <v>0</v>
      </c>
      <c r="K12">
        <v>0</v>
      </c>
    </row>
    <row r="13" spans="2:25" x14ac:dyDescent="0.25">
      <c r="B13" t="s">
        <v>340</v>
      </c>
      <c r="C13" t="s">
        <v>19</v>
      </c>
      <c r="D13">
        <v>706700</v>
      </c>
      <c r="E13" t="s">
        <v>25</v>
      </c>
      <c r="F13" t="s">
        <v>26</v>
      </c>
      <c r="G13" t="s">
        <v>27</v>
      </c>
      <c r="H13" t="s">
        <v>28</v>
      </c>
      <c r="J13">
        <v>0</v>
      </c>
      <c r="K13">
        <v>0</v>
      </c>
    </row>
    <row r="14" spans="2:25" x14ac:dyDescent="0.25">
      <c r="B14" t="s">
        <v>340</v>
      </c>
      <c r="C14" t="s">
        <v>19</v>
      </c>
      <c r="D14" t="s">
        <v>29</v>
      </c>
      <c r="E14" t="s">
        <v>30</v>
      </c>
      <c r="F14" t="s">
        <v>26</v>
      </c>
      <c r="G14" t="s">
        <v>27</v>
      </c>
      <c r="H14" t="s">
        <v>31</v>
      </c>
      <c r="J14">
        <v>0</v>
      </c>
      <c r="K14">
        <v>0</v>
      </c>
    </row>
    <row r="15" spans="2:25" x14ac:dyDescent="0.25">
      <c r="B15" t="s">
        <v>340</v>
      </c>
      <c r="C15" t="s">
        <v>19</v>
      </c>
      <c r="D15" t="s">
        <v>32</v>
      </c>
      <c r="E15" t="s">
        <v>33</v>
      </c>
      <c r="F15" t="s">
        <v>26</v>
      </c>
      <c r="G15" t="s">
        <v>27</v>
      </c>
      <c r="H15" t="s">
        <v>28</v>
      </c>
      <c r="J15">
        <v>0</v>
      </c>
      <c r="K15">
        <v>0</v>
      </c>
    </row>
    <row r="16" spans="2:25" x14ac:dyDescent="0.25">
      <c r="B16" t="s">
        <v>340</v>
      </c>
      <c r="C16" t="s">
        <v>19</v>
      </c>
      <c r="D16" t="s">
        <v>34</v>
      </c>
      <c r="E16" t="s">
        <v>35</v>
      </c>
      <c r="F16" t="s">
        <v>26</v>
      </c>
      <c r="G16" t="s">
        <v>36</v>
      </c>
      <c r="H16" t="s">
        <v>36</v>
      </c>
      <c r="J16">
        <v>0</v>
      </c>
      <c r="K16">
        <v>0</v>
      </c>
    </row>
    <row r="17" spans="2:11" x14ac:dyDescent="0.25">
      <c r="B17" t="s">
        <v>340</v>
      </c>
      <c r="C17" t="s">
        <v>19</v>
      </c>
      <c r="D17" t="s">
        <v>37</v>
      </c>
      <c r="E17" t="s">
        <v>38</v>
      </c>
      <c r="F17" t="s">
        <v>21</v>
      </c>
      <c r="G17" t="s">
        <v>39</v>
      </c>
      <c r="H17" t="s">
        <v>39</v>
      </c>
      <c r="J17">
        <v>0</v>
      </c>
      <c r="K17">
        <v>0</v>
      </c>
    </row>
    <row r="18" spans="2:11" x14ac:dyDescent="0.25">
      <c r="B18" t="s">
        <v>340</v>
      </c>
      <c r="C18" t="s">
        <v>19</v>
      </c>
      <c r="D18" t="s">
        <v>40</v>
      </c>
      <c r="E18" t="s">
        <v>41</v>
      </c>
      <c r="F18" t="s">
        <v>26</v>
      </c>
      <c r="G18" t="s">
        <v>39</v>
      </c>
      <c r="H18" t="s">
        <v>39</v>
      </c>
      <c r="J18">
        <v>0</v>
      </c>
      <c r="K18">
        <v>0</v>
      </c>
    </row>
    <row r="19" spans="2:11" x14ac:dyDescent="0.25">
      <c r="B19" t="s">
        <v>340</v>
      </c>
      <c r="C19" t="s">
        <v>19</v>
      </c>
      <c r="D19" t="s">
        <v>42</v>
      </c>
      <c r="E19" t="s">
        <v>43</v>
      </c>
      <c r="F19" t="s">
        <v>21</v>
      </c>
      <c r="G19" t="s">
        <v>44</v>
      </c>
      <c r="H19" t="s">
        <v>44</v>
      </c>
      <c r="J19">
        <v>0</v>
      </c>
      <c r="K19">
        <v>0</v>
      </c>
    </row>
    <row r="20" spans="2:11" x14ac:dyDescent="0.25">
      <c r="B20" t="s">
        <v>340</v>
      </c>
      <c r="C20" t="s">
        <v>19</v>
      </c>
      <c r="D20" t="s">
        <v>45</v>
      </c>
      <c r="E20" t="s">
        <v>46</v>
      </c>
      <c r="F20" t="s">
        <v>26</v>
      </c>
      <c r="G20" t="s">
        <v>44</v>
      </c>
      <c r="H20" t="s">
        <v>44</v>
      </c>
      <c r="J20">
        <v>0</v>
      </c>
      <c r="K20">
        <v>0</v>
      </c>
    </row>
    <row r="21" spans="2:11" x14ac:dyDescent="0.25">
      <c r="B21" t="s">
        <v>340</v>
      </c>
      <c r="C21" t="s">
        <v>19</v>
      </c>
      <c r="D21" t="s">
        <v>47</v>
      </c>
      <c r="E21" t="s">
        <v>48</v>
      </c>
      <c r="F21" t="s">
        <v>26</v>
      </c>
      <c r="G21" t="s">
        <v>49</v>
      </c>
      <c r="H21" t="s">
        <v>49</v>
      </c>
      <c r="J21">
        <v>0</v>
      </c>
      <c r="K21">
        <v>0</v>
      </c>
    </row>
    <row r="22" spans="2:11" x14ac:dyDescent="0.25">
      <c r="B22" t="s">
        <v>337</v>
      </c>
      <c r="C22" t="s">
        <v>50</v>
      </c>
      <c r="D22">
        <v>701000</v>
      </c>
      <c r="E22" t="s">
        <v>51</v>
      </c>
      <c r="F22" t="s">
        <v>21</v>
      </c>
      <c r="G22" t="s">
        <v>52</v>
      </c>
      <c r="H22" t="s">
        <v>53</v>
      </c>
      <c r="J22">
        <v>0</v>
      </c>
      <c r="K22">
        <v>0</v>
      </c>
    </row>
    <row r="23" spans="2:11" x14ac:dyDescent="0.25">
      <c r="B23" t="s">
        <v>337</v>
      </c>
      <c r="C23" t="s">
        <v>50</v>
      </c>
      <c r="D23">
        <v>701008</v>
      </c>
      <c r="E23" t="s">
        <v>54</v>
      </c>
      <c r="F23" t="s">
        <v>21</v>
      </c>
      <c r="G23" t="s">
        <v>52</v>
      </c>
      <c r="H23" t="s">
        <v>53</v>
      </c>
      <c r="J23">
        <v>0</v>
      </c>
      <c r="K23">
        <v>0</v>
      </c>
    </row>
    <row r="24" spans="2:11" x14ac:dyDescent="0.25">
      <c r="B24" t="s">
        <v>337</v>
      </c>
      <c r="C24" t="s">
        <v>50</v>
      </c>
      <c r="D24">
        <v>701009</v>
      </c>
      <c r="E24" t="s">
        <v>55</v>
      </c>
      <c r="F24" t="s">
        <v>21</v>
      </c>
      <c r="G24" t="s">
        <v>52</v>
      </c>
      <c r="H24" t="s">
        <v>53</v>
      </c>
      <c r="J24">
        <v>0</v>
      </c>
      <c r="K24">
        <v>0</v>
      </c>
    </row>
    <row r="25" spans="2:11" x14ac:dyDescent="0.25">
      <c r="B25" t="s">
        <v>337</v>
      </c>
      <c r="C25" t="s">
        <v>50</v>
      </c>
      <c r="D25">
        <v>701010</v>
      </c>
      <c r="E25" t="s">
        <v>56</v>
      </c>
      <c r="F25" t="s">
        <v>21</v>
      </c>
      <c r="G25" t="s">
        <v>52</v>
      </c>
      <c r="H25" t="s">
        <v>57</v>
      </c>
      <c r="J25">
        <v>0</v>
      </c>
      <c r="K25">
        <v>0</v>
      </c>
    </row>
    <row r="26" spans="2:11" x14ac:dyDescent="0.25">
      <c r="B26" t="s">
        <v>337</v>
      </c>
      <c r="C26" t="s">
        <v>50</v>
      </c>
      <c r="D26">
        <v>701011</v>
      </c>
      <c r="E26" t="s">
        <v>58</v>
      </c>
      <c r="F26" t="s">
        <v>21</v>
      </c>
      <c r="G26" t="s">
        <v>52</v>
      </c>
      <c r="H26" t="s">
        <v>53</v>
      </c>
      <c r="J26">
        <v>0</v>
      </c>
      <c r="K26">
        <v>0</v>
      </c>
    </row>
    <row r="27" spans="2:11" x14ac:dyDescent="0.25">
      <c r="B27" t="s">
        <v>337</v>
      </c>
      <c r="C27" t="s">
        <v>50</v>
      </c>
      <c r="D27">
        <v>701012</v>
      </c>
      <c r="E27" t="s">
        <v>59</v>
      </c>
      <c r="F27" t="s">
        <v>21</v>
      </c>
      <c r="G27" t="s">
        <v>52</v>
      </c>
      <c r="H27" t="s">
        <v>53</v>
      </c>
      <c r="J27">
        <v>0</v>
      </c>
      <c r="K27">
        <v>0</v>
      </c>
    </row>
    <row r="28" spans="2:11" x14ac:dyDescent="0.25">
      <c r="B28" t="s">
        <v>337</v>
      </c>
      <c r="C28" t="s">
        <v>50</v>
      </c>
      <c r="D28">
        <v>701013</v>
      </c>
      <c r="E28" t="s">
        <v>60</v>
      </c>
      <c r="F28" t="s">
        <v>21</v>
      </c>
      <c r="G28" t="s">
        <v>61</v>
      </c>
      <c r="H28" t="s">
        <v>62</v>
      </c>
      <c r="J28">
        <v>0</v>
      </c>
      <c r="K28">
        <v>0</v>
      </c>
    </row>
    <row r="29" spans="2:11" x14ac:dyDescent="0.25">
      <c r="B29" t="s">
        <v>337</v>
      </c>
      <c r="C29" t="s">
        <v>50</v>
      </c>
      <c r="D29">
        <v>701014</v>
      </c>
      <c r="E29" t="s">
        <v>63</v>
      </c>
      <c r="F29" t="s">
        <v>21</v>
      </c>
      <c r="G29" t="s">
        <v>61</v>
      </c>
      <c r="H29" t="s">
        <v>64</v>
      </c>
      <c r="J29">
        <v>0</v>
      </c>
      <c r="K29">
        <v>0</v>
      </c>
    </row>
    <row r="30" spans="2:11" x14ac:dyDescent="0.25">
      <c r="B30" t="s">
        <v>337</v>
      </c>
      <c r="C30" t="s">
        <v>50</v>
      </c>
      <c r="D30">
        <v>701015</v>
      </c>
      <c r="E30" t="s">
        <v>65</v>
      </c>
      <c r="F30" t="s">
        <v>21</v>
      </c>
      <c r="G30" t="s">
        <v>52</v>
      </c>
      <c r="H30" t="s">
        <v>53</v>
      </c>
      <c r="J30">
        <v>0</v>
      </c>
      <c r="K30">
        <v>0</v>
      </c>
    </row>
    <row r="31" spans="2:11" x14ac:dyDescent="0.25">
      <c r="B31" t="s">
        <v>337</v>
      </c>
      <c r="C31" t="s">
        <v>50</v>
      </c>
      <c r="D31">
        <v>701016</v>
      </c>
      <c r="E31" t="s">
        <v>66</v>
      </c>
      <c r="F31" t="s">
        <v>21</v>
      </c>
      <c r="G31" t="s">
        <v>52</v>
      </c>
      <c r="H31" t="s">
        <v>53</v>
      </c>
      <c r="J31">
        <v>0</v>
      </c>
      <c r="K31">
        <v>0</v>
      </c>
    </row>
    <row r="32" spans="2:11" x14ac:dyDescent="0.25">
      <c r="B32" t="s">
        <v>337</v>
      </c>
      <c r="C32" t="s">
        <v>50</v>
      </c>
      <c r="D32">
        <v>701017</v>
      </c>
      <c r="E32" t="s">
        <v>67</v>
      </c>
      <c r="F32" t="s">
        <v>21</v>
      </c>
      <c r="G32" t="s">
        <v>61</v>
      </c>
      <c r="H32" t="s">
        <v>68</v>
      </c>
      <c r="J32">
        <v>0</v>
      </c>
      <c r="K32">
        <v>0</v>
      </c>
    </row>
    <row r="33" spans="2:11" x14ac:dyDescent="0.25">
      <c r="B33" t="s">
        <v>337</v>
      </c>
      <c r="C33" t="s">
        <v>50</v>
      </c>
      <c r="D33">
        <v>701018</v>
      </c>
      <c r="E33" t="s">
        <v>69</v>
      </c>
      <c r="F33" t="s">
        <v>21</v>
      </c>
      <c r="G33" t="s">
        <v>61</v>
      </c>
      <c r="H33" t="s">
        <v>68</v>
      </c>
      <c r="J33">
        <v>0</v>
      </c>
      <c r="K33">
        <v>0</v>
      </c>
    </row>
    <row r="34" spans="2:11" x14ac:dyDescent="0.25">
      <c r="B34" t="s">
        <v>337</v>
      </c>
      <c r="C34" t="s">
        <v>50</v>
      </c>
      <c r="D34">
        <v>701019</v>
      </c>
      <c r="E34" t="s">
        <v>70</v>
      </c>
      <c r="F34" t="s">
        <v>21</v>
      </c>
      <c r="G34" t="s">
        <v>71</v>
      </c>
      <c r="H34" t="s">
        <v>72</v>
      </c>
      <c r="J34">
        <v>0</v>
      </c>
      <c r="K34">
        <v>0</v>
      </c>
    </row>
    <row r="35" spans="2:11" x14ac:dyDescent="0.25">
      <c r="B35" t="s">
        <v>337</v>
      </c>
      <c r="C35" t="s">
        <v>50</v>
      </c>
      <c r="D35">
        <v>701020</v>
      </c>
      <c r="E35" t="s">
        <v>73</v>
      </c>
      <c r="F35" t="s">
        <v>21</v>
      </c>
      <c r="G35" t="s">
        <v>52</v>
      </c>
      <c r="H35" t="s">
        <v>53</v>
      </c>
      <c r="J35">
        <v>0</v>
      </c>
      <c r="K35">
        <v>0</v>
      </c>
    </row>
    <row r="36" spans="2:11" x14ac:dyDescent="0.25">
      <c r="B36" t="s">
        <v>337</v>
      </c>
      <c r="C36" t="s">
        <v>50</v>
      </c>
      <c r="D36">
        <v>701021</v>
      </c>
      <c r="E36" t="s">
        <v>74</v>
      </c>
      <c r="F36" t="s">
        <v>21</v>
      </c>
      <c r="G36" t="s">
        <v>61</v>
      </c>
      <c r="H36" t="s">
        <v>74</v>
      </c>
      <c r="J36">
        <v>0</v>
      </c>
      <c r="K36">
        <v>0</v>
      </c>
    </row>
    <row r="37" spans="2:11" x14ac:dyDescent="0.25">
      <c r="B37" t="s">
        <v>337</v>
      </c>
      <c r="C37" t="s">
        <v>50</v>
      </c>
      <c r="D37">
        <v>701022</v>
      </c>
      <c r="E37" t="s">
        <v>75</v>
      </c>
      <c r="F37" t="s">
        <v>21</v>
      </c>
      <c r="G37" t="s">
        <v>76</v>
      </c>
      <c r="H37" t="s">
        <v>77</v>
      </c>
      <c r="J37">
        <v>0</v>
      </c>
      <c r="K37">
        <v>0</v>
      </c>
    </row>
    <row r="38" spans="2:11" x14ac:dyDescent="0.25">
      <c r="B38" t="s">
        <v>337</v>
      </c>
      <c r="C38" t="s">
        <v>50</v>
      </c>
      <c r="D38">
        <v>701023</v>
      </c>
      <c r="E38" t="s">
        <v>78</v>
      </c>
      <c r="F38" t="s">
        <v>21</v>
      </c>
      <c r="G38" t="s">
        <v>61</v>
      </c>
      <c r="H38" t="s">
        <v>79</v>
      </c>
      <c r="J38">
        <v>0</v>
      </c>
      <c r="K38">
        <v>0</v>
      </c>
    </row>
    <row r="39" spans="2:11" x14ac:dyDescent="0.25">
      <c r="B39" t="s">
        <v>337</v>
      </c>
      <c r="C39" t="s">
        <v>50</v>
      </c>
      <c r="D39">
        <v>701024</v>
      </c>
      <c r="E39" t="s">
        <v>80</v>
      </c>
      <c r="F39" t="s">
        <v>21</v>
      </c>
      <c r="G39" t="s">
        <v>76</v>
      </c>
      <c r="H39" t="s">
        <v>77</v>
      </c>
      <c r="J39">
        <v>0</v>
      </c>
      <c r="K39">
        <v>0</v>
      </c>
    </row>
    <row r="40" spans="2:11" x14ac:dyDescent="0.25">
      <c r="B40" t="s">
        <v>337</v>
      </c>
      <c r="C40" t="s">
        <v>50</v>
      </c>
      <c r="D40">
        <v>701025</v>
      </c>
      <c r="E40" t="s">
        <v>81</v>
      </c>
      <c r="F40" t="s">
        <v>21</v>
      </c>
      <c r="G40" t="s">
        <v>71</v>
      </c>
      <c r="H40" t="s">
        <v>82</v>
      </c>
      <c r="J40">
        <v>0</v>
      </c>
      <c r="K40">
        <v>0</v>
      </c>
    </row>
    <row r="41" spans="2:11" x14ac:dyDescent="0.25">
      <c r="B41" t="s">
        <v>337</v>
      </c>
      <c r="C41" t="s">
        <v>50</v>
      </c>
      <c r="D41">
        <v>701026</v>
      </c>
      <c r="E41" t="s">
        <v>83</v>
      </c>
      <c r="F41" t="s">
        <v>21</v>
      </c>
      <c r="G41" t="s">
        <v>76</v>
      </c>
      <c r="H41" t="s">
        <v>77</v>
      </c>
      <c r="J41">
        <v>0</v>
      </c>
      <c r="K41">
        <v>0</v>
      </c>
    </row>
    <row r="42" spans="2:11" x14ac:dyDescent="0.25">
      <c r="B42" t="s">
        <v>337</v>
      </c>
      <c r="C42" t="s">
        <v>50</v>
      </c>
      <c r="D42">
        <v>701027</v>
      </c>
      <c r="E42" t="s">
        <v>84</v>
      </c>
      <c r="F42" t="s">
        <v>21</v>
      </c>
      <c r="G42" t="s">
        <v>76</v>
      </c>
      <c r="H42" t="s">
        <v>77</v>
      </c>
      <c r="J42">
        <v>0</v>
      </c>
      <c r="K42">
        <v>0</v>
      </c>
    </row>
    <row r="43" spans="2:11" x14ac:dyDescent="0.25">
      <c r="B43" t="s">
        <v>337</v>
      </c>
      <c r="C43" t="s">
        <v>50</v>
      </c>
      <c r="D43">
        <v>701028</v>
      </c>
      <c r="E43" t="s">
        <v>85</v>
      </c>
      <c r="F43" t="s">
        <v>21</v>
      </c>
      <c r="G43" t="s">
        <v>61</v>
      </c>
      <c r="H43" t="s">
        <v>68</v>
      </c>
      <c r="J43">
        <v>0</v>
      </c>
      <c r="K43">
        <v>0</v>
      </c>
    </row>
    <row r="44" spans="2:11" x14ac:dyDescent="0.25">
      <c r="B44" t="s">
        <v>337</v>
      </c>
      <c r="C44" t="s">
        <v>50</v>
      </c>
      <c r="D44">
        <v>701029</v>
      </c>
      <c r="E44" t="s">
        <v>86</v>
      </c>
      <c r="F44" t="s">
        <v>21</v>
      </c>
      <c r="G44" t="s">
        <v>61</v>
      </c>
      <c r="H44" t="s">
        <v>68</v>
      </c>
      <c r="J44">
        <v>0</v>
      </c>
      <c r="K44">
        <v>0</v>
      </c>
    </row>
    <row r="45" spans="2:11" x14ac:dyDescent="0.25">
      <c r="B45" t="s">
        <v>337</v>
      </c>
      <c r="C45" t="s">
        <v>50</v>
      </c>
      <c r="D45">
        <v>701030</v>
      </c>
      <c r="E45" t="s">
        <v>87</v>
      </c>
      <c r="F45" t="s">
        <v>21</v>
      </c>
      <c r="G45" t="s">
        <v>71</v>
      </c>
      <c r="H45" t="s">
        <v>88</v>
      </c>
      <c r="J45">
        <v>0</v>
      </c>
      <c r="K45">
        <v>0</v>
      </c>
    </row>
    <row r="46" spans="2:11" x14ac:dyDescent="0.25">
      <c r="B46" t="s">
        <v>337</v>
      </c>
      <c r="C46" t="s">
        <v>50</v>
      </c>
      <c r="D46">
        <v>701031</v>
      </c>
      <c r="E46" t="s">
        <v>89</v>
      </c>
      <c r="F46" t="s">
        <v>21</v>
      </c>
      <c r="G46" t="s">
        <v>76</v>
      </c>
      <c r="H46" t="s">
        <v>77</v>
      </c>
      <c r="J46">
        <v>0</v>
      </c>
      <c r="K46">
        <v>0</v>
      </c>
    </row>
    <row r="47" spans="2:11" x14ac:dyDescent="0.25">
      <c r="B47" t="s">
        <v>337</v>
      </c>
      <c r="C47" t="s">
        <v>50</v>
      </c>
      <c r="D47">
        <v>701032</v>
      </c>
      <c r="E47" t="s">
        <v>90</v>
      </c>
      <c r="F47" t="s">
        <v>21</v>
      </c>
      <c r="G47" t="s">
        <v>52</v>
      </c>
      <c r="H47" t="s">
        <v>53</v>
      </c>
      <c r="J47">
        <v>0</v>
      </c>
      <c r="K47">
        <v>0</v>
      </c>
    </row>
    <row r="48" spans="2:11" x14ac:dyDescent="0.25">
      <c r="B48" t="s">
        <v>337</v>
      </c>
      <c r="C48" t="s">
        <v>50</v>
      </c>
      <c r="D48">
        <v>701034</v>
      </c>
      <c r="E48" t="s">
        <v>91</v>
      </c>
      <c r="F48" t="s">
        <v>21</v>
      </c>
      <c r="G48" t="s">
        <v>76</v>
      </c>
      <c r="H48" t="s">
        <v>77</v>
      </c>
      <c r="J48">
        <v>0</v>
      </c>
      <c r="K48">
        <v>0</v>
      </c>
    </row>
    <row r="49" spans="2:11" x14ac:dyDescent="0.25">
      <c r="B49" t="s">
        <v>337</v>
      </c>
      <c r="C49" t="s">
        <v>50</v>
      </c>
      <c r="D49">
        <v>701035</v>
      </c>
      <c r="E49" t="s">
        <v>92</v>
      </c>
      <c r="F49" t="s">
        <v>21</v>
      </c>
      <c r="G49" t="s">
        <v>61</v>
      </c>
      <c r="H49" t="s">
        <v>68</v>
      </c>
      <c r="J49">
        <v>0</v>
      </c>
      <c r="K49">
        <v>0</v>
      </c>
    </row>
    <row r="50" spans="2:11" x14ac:dyDescent="0.25">
      <c r="B50" t="s">
        <v>337</v>
      </c>
      <c r="C50" t="s">
        <v>50</v>
      </c>
      <c r="D50">
        <v>701036</v>
      </c>
      <c r="E50" t="s">
        <v>93</v>
      </c>
      <c r="F50" t="s">
        <v>21</v>
      </c>
      <c r="G50" t="s">
        <v>52</v>
      </c>
      <c r="H50" t="s">
        <v>53</v>
      </c>
      <c r="J50">
        <v>0</v>
      </c>
      <c r="K50">
        <v>0</v>
      </c>
    </row>
    <row r="51" spans="2:11" x14ac:dyDescent="0.25">
      <c r="B51" t="s">
        <v>337</v>
      </c>
      <c r="C51" t="s">
        <v>50</v>
      </c>
      <c r="D51">
        <v>701113</v>
      </c>
      <c r="E51" t="s">
        <v>94</v>
      </c>
      <c r="F51" t="s">
        <v>21</v>
      </c>
      <c r="G51" t="s">
        <v>61</v>
      </c>
      <c r="H51" t="s">
        <v>62</v>
      </c>
      <c r="J51">
        <v>0</v>
      </c>
      <c r="K51">
        <v>0</v>
      </c>
    </row>
    <row r="52" spans="2:11" x14ac:dyDescent="0.25">
      <c r="B52" t="s">
        <v>337</v>
      </c>
      <c r="C52" t="s">
        <v>50</v>
      </c>
      <c r="D52">
        <v>701119</v>
      </c>
      <c r="E52" t="s">
        <v>95</v>
      </c>
      <c r="F52" t="s">
        <v>21</v>
      </c>
      <c r="G52" t="s">
        <v>22</v>
      </c>
      <c r="H52" t="s">
        <v>23</v>
      </c>
      <c r="J52">
        <v>0</v>
      </c>
      <c r="K52">
        <v>0</v>
      </c>
    </row>
    <row r="53" spans="2:11" x14ac:dyDescent="0.25">
      <c r="B53" t="s">
        <v>337</v>
      </c>
      <c r="C53" t="s">
        <v>50</v>
      </c>
      <c r="D53">
        <v>701120</v>
      </c>
      <c r="E53" t="s">
        <v>96</v>
      </c>
      <c r="F53" t="s">
        <v>21</v>
      </c>
      <c r="G53" t="s">
        <v>22</v>
      </c>
      <c r="H53" t="s">
        <v>23</v>
      </c>
      <c r="J53">
        <v>0</v>
      </c>
      <c r="K53">
        <v>0</v>
      </c>
    </row>
    <row r="54" spans="2:11" x14ac:dyDescent="0.25">
      <c r="B54" t="s">
        <v>337</v>
      </c>
      <c r="C54" t="s">
        <v>50</v>
      </c>
      <c r="D54">
        <v>701121</v>
      </c>
      <c r="E54" t="s">
        <v>97</v>
      </c>
      <c r="F54" t="s">
        <v>21</v>
      </c>
      <c r="G54" t="s">
        <v>22</v>
      </c>
      <c r="H54" t="s">
        <v>23</v>
      </c>
      <c r="J54">
        <v>0</v>
      </c>
      <c r="K54">
        <v>0</v>
      </c>
    </row>
    <row r="55" spans="2:11" x14ac:dyDescent="0.25">
      <c r="B55" t="s">
        <v>337</v>
      </c>
      <c r="C55" t="s">
        <v>50</v>
      </c>
      <c r="D55">
        <v>701122</v>
      </c>
      <c r="E55" t="s">
        <v>98</v>
      </c>
      <c r="F55" t="s">
        <v>21</v>
      </c>
      <c r="G55" t="s">
        <v>71</v>
      </c>
      <c r="H55" t="s">
        <v>88</v>
      </c>
      <c r="J55">
        <v>0</v>
      </c>
      <c r="K55">
        <v>0</v>
      </c>
    </row>
    <row r="56" spans="2:11" x14ac:dyDescent="0.25">
      <c r="B56" t="s">
        <v>337</v>
      </c>
      <c r="C56" t="s">
        <v>50</v>
      </c>
      <c r="D56">
        <v>701123</v>
      </c>
      <c r="E56" t="s">
        <v>99</v>
      </c>
      <c r="F56" t="s">
        <v>21</v>
      </c>
      <c r="G56" t="s">
        <v>22</v>
      </c>
      <c r="H56" t="s">
        <v>23</v>
      </c>
      <c r="J56">
        <v>0</v>
      </c>
      <c r="K56">
        <v>0</v>
      </c>
    </row>
    <row r="57" spans="2:11" x14ac:dyDescent="0.25">
      <c r="B57" t="s">
        <v>337</v>
      </c>
      <c r="C57" t="s">
        <v>50</v>
      </c>
      <c r="D57">
        <v>701127</v>
      </c>
      <c r="E57" t="s">
        <v>100</v>
      </c>
      <c r="F57" t="s">
        <v>21</v>
      </c>
      <c r="G57" t="s">
        <v>76</v>
      </c>
      <c r="H57" t="s">
        <v>77</v>
      </c>
      <c r="J57">
        <v>0</v>
      </c>
      <c r="K57">
        <v>0</v>
      </c>
    </row>
    <row r="58" spans="2:11" x14ac:dyDescent="0.25">
      <c r="B58" t="s">
        <v>337</v>
      </c>
      <c r="C58" t="s">
        <v>50</v>
      </c>
      <c r="D58">
        <v>701213</v>
      </c>
      <c r="E58" t="s">
        <v>101</v>
      </c>
      <c r="F58" t="s">
        <v>21</v>
      </c>
      <c r="G58" t="s">
        <v>61</v>
      </c>
      <c r="H58" t="s">
        <v>62</v>
      </c>
      <c r="J58">
        <v>0</v>
      </c>
      <c r="K58">
        <v>0</v>
      </c>
    </row>
    <row r="59" spans="2:11" x14ac:dyDescent="0.25">
      <c r="B59" t="s">
        <v>337</v>
      </c>
      <c r="C59" t="s">
        <v>50</v>
      </c>
      <c r="D59">
        <v>701214</v>
      </c>
      <c r="E59" t="s">
        <v>102</v>
      </c>
      <c r="F59" t="s">
        <v>21</v>
      </c>
      <c r="G59" t="s">
        <v>61</v>
      </c>
      <c r="H59" t="s">
        <v>62</v>
      </c>
      <c r="J59">
        <v>0</v>
      </c>
      <c r="K59">
        <v>0</v>
      </c>
    </row>
    <row r="60" spans="2:11" x14ac:dyDescent="0.25">
      <c r="B60" t="s">
        <v>337</v>
      </c>
      <c r="C60" t="s">
        <v>50</v>
      </c>
      <c r="D60">
        <v>701215</v>
      </c>
      <c r="E60" t="s">
        <v>103</v>
      </c>
      <c r="F60" t="s">
        <v>21</v>
      </c>
      <c r="G60" t="s">
        <v>61</v>
      </c>
      <c r="H60" t="s">
        <v>62</v>
      </c>
      <c r="J60">
        <v>0</v>
      </c>
      <c r="K60">
        <v>0</v>
      </c>
    </row>
    <row r="61" spans="2:11" x14ac:dyDescent="0.25">
      <c r="B61" t="s">
        <v>337</v>
      </c>
      <c r="C61" t="s">
        <v>50</v>
      </c>
      <c r="D61">
        <v>701227</v>
      </c>
      <c r="E61" t="s">
        <v>104</v>
      </c>
      <c r="F61" t="s">
        <v>21</v>
      </c>
      <c r="G61" t="s">
        <v>76</v>
      </c>
      <c r="H61" t="s">
        <v>77</v>
      </c>
      <c r="J61">
        <v>0</v>
      </c>
      <c r="K61">
        <v>0</v>
      </c>
    </row>
    <row r="62" spans="2:11" x14ac:dyDescent="0.25">
      <c r="B62" t="s">
        <v>337</v>
      </c>
      <c r="C62" t="s">
        <v>50</v>
      </c>
      <c r="D62">
        <v>701327</v>
      </c>
      <c r="E62" t="s">
        <v>106</v>
      </c>
      <c r="F62" t="s">
        <v>21</v>
      </c>
      <c r="G62" t="s">
        <v>76</v>
      </c>
      <c r="H62" t="s">
        <v>77</v>
      </c>
      <c r="J62">
        <v>0</v>
      </c>
      <c r="K62">
        <v>0</v>
      </c>
    </row>
    <row r="63" spans="2:11" x14ac:dyDescent="0.25">
      <c r="B63" t="s">
        <v>337</v>
      </c>
      <c r="C63" t="s">
        <v>50</v>
      </c>
      <c r="D63">
        <v>701427</v>
      </c>
      <c r="E63" t="s">
        <v>107</v>
      </c>
      <c r="F63" t="s">
        <v>21</v>
      </c>
      <c r="G63" t="s">
        <v>76</v>
      </c>
      <c r="H63" t="s">
        <v>108</v>
      </c>
      <c r="J63">
        <v>0</v>
      </c>
      <c r="K63">
        <v>0</v>
      </c>
    </row>
    <row r="64" spans="2:11" x14ac:dyDescent="0.25">
      <c r="B64" t="s">
        <v>337</v>
      </c>
      <c r="C64" t="s">
        <v>50</v>
      </c>
      <c r="D64">
        <v>701527</v>
      </c>
      <c r="E64" t="s">
        <v>109</v>
      </c>
      <c r="F64" t="s">
        <v>21</v>
      </c>
      <c r="G64" t="s">
        <v>76</v>
      </c>
      <c r="H64" t="s">
        <v>77</v>
      </c>
      <c r="J64">
        <v>0</v>
      </c>
      <c r="K64">
        <v>0</v>
      </c>
    </row>
    <row r="65" spans="2:11" x14ac:dyDescent="0.25">
      <c r="B65" t="s">
        <v>337</v>
      </c>
      <c r="C65" t="s">
        <v>50</v>
      </c>
      <c r="D65">
        <v>701627</v>
      </c>
      <c r="E65" t="s">
        <v>110</v>
      </c>
      <c r="F65" t="s">
        <v>21</v>
      </c>
      <c r="G65" t="s">
        <v>76</v>
      </c>
      <c r="H65" t="s">
        <v>77</v>
      </c>
      <c r="J65">
        <v>0</v>
      </c>
      <c r="K65">
        <v>0</v>
      </c>
    </row>
    <row r="66" spans="2:11" x14ac:dyDescent="0.25">
      <c r="B66" t="s">
        <v>337</v>
      </c>
      <c r="C66" t="s">
        <v>50</v>
      </c>
      <c r="D66">
        <v>701727</v>
      </c>
      <c r="E66" t="s">
        <v>111</v>
      </c>
      <c r="F66" t="s">
        <v>21</v>
      </c>
      <c r="G66" t="s">
        <v>76</v>
      </c>
      <c r="H66" t="s">
        <v>77</v>
      </c>
      <c r="J66">
        <v>0</v>
      </c>
      <c r="K66">
        <v>0</v>
      </c>
    </row>
    <row r="67" spans="2:11" x14ac:dyDescent="0.25">
      <c r="B67" t="s">
        <v>337</v>
      </c>
      <c r="C67" t="s">
        <v>50</v>
      </c>
      <c r="D67">
        <v>701801</v>
      </c>
      <c r="E67" t="s">
        <v>112</v>
      </c>
      <c r="F67" t="s">
        <v>21</v>
      </c>
      <c r="G67" t="s">
        <v>76</v>
      </c>
      <c r="H67" t="s">
        <v>77</v>
      </c>
      <c r="J67">
        <v>0</v>
      </c>
      <c r="K67">
        <v>0</v>
      </c>
    </row>
    <row r="68" spans="2:11" x14ac:dyDescent="0.25">
      <c r="B68" t="s">
        <v>337</v>
      </c>
      <c r="C68" t="s">
        <v>50</v>
      </c>
      <c r="D68">
        <v>701802</v>
      </c>
      <c r="E68" t="s">
        <v>113</v>
      </c>
      <c r="F68" t="s">
        <v>21</v>
      </c>
      <c r="G68" t="s">
        <v>61</v>
      </c>
      <c r="H68" t="s">
        <v>62</v>
      </c>
      <c r="J68">
        <v>0</v>
      </c>
      <c r="K68">
        <v>0</v>
      </c>
    </row>
    <row r="69" spans="2:11" x14ac:dyDescent="0.25">
      <c r="B69" t="s">
        <v>337</v>
      </c>
      <c r="C69" t="s">
        <v>50</v>
      </c>
      <c r="D69">
        <v>703010</v>
      </c>
      <c r="E69" t="s">
        <v>114</v>
      </c>
      <c r="F69" t="s">
        <v>21</v>
      </c>
      <c r="G69" t="s">
        <v>22</v>
      </c>
      <c r="H69" t="s">
        <v>115</v>
      </c>
      <c r="J69">
        <v>0</v>
      </c>
      <c r="K69">
        <v>0</v>
      </c>
    </row>
    <row r="70" spans="2:11" x14ac:dyDescent="0.25">
      <c r="B70" t="s">
        <v>337</v>
      </c>
      <c r="C70" t="s">
        <v>50</v>
      </c>
      <c r="D70">
        <v>703011</v>
      </c>
      <c r="E70" t="s">
        <v>116</v>
      </c>
      <c r="F70" t="s">
        <v>21</v>
      </c>
      <c r="G70" t="s">
        <v>22</v>
      </c>
      <c r="H70" t="s">
        <v>115</v>
      </c>
      <c r="J70">
        <v>0</v>
      </c>
      <c r="K70">
        <v>0</v>
      </c>
    </row>
    <row r="71" spans="2:11" x14ac:dyDescent="0.25">
      <c r="B71" t="s">
        <v>337</v>
      </c>
      <c r="C71" t="s">
        <v>50</v>
      </c>
      <c r="D71">
        <v>703012</v>
      </c>
      <c r="E71" t="s">
        <v>117</v>
      </c>
      <c r="F71" t="s">
        <v>21</v>
      </c>
      <c r="G71" t="s">
        <v>22</v>
      </c>
      <c r="H71" t="s">
        <v>115</v>
      </c>
      <c r="J71">
        <v>0</v>
      </c>
      <c r="K71">
        <v>0</v>
      </c>
    </row>
    <row r="72" spans="2:11" x14ac:dyDescent="0.25">
      <c r="B72" t="s">
        <v>337</v>
      </c>
      <c r="C72" t="s">
        <v>50</v>
      </c>
      <c r="D72">
        <v>703013</v>
      </c>
      <c r="E72" t="s">
        <v>118</v>
      </c>
      <c r="F72" t="s">
        <v>21</v>
      </c>
      <c r="G72" t="s">
        <v>22</v>
      </c>
      <c r="H72" t="s">
        <v>115</v>
      </c>
      <c r="J72">
        <v>0</v>
      </c>
      <c r="K72">
        <v>0</v>
      </c>
    </row>
    <row r="73" spans="2:11" x14ac:dyDescent="0.25">
      <c r="B73" t="s">
        <v>337</v>
      </c>
      <c r="C73" t="s">
        <v>50</v>
      </c>
      <c r="D73">
        <v>703014</v>
      </c>
      <c r="E73" t="s">
        <v>119</v>
      </c>
      <c r="F73" t="s">
        <v>21</v>
      </c>
      <c r="G73" t="s">
        <v>22</v>
      </c>
      <c r="H73" t="s">
        <v>115</v>
      </c>
      <c r="J73">
        <v>0</v>
      </c>
      <c r="K73">
        <v>0</v>
      </c>
    </row>
    <row r="74" spans="2:11" x14ac:dyDescent="0.25">
      <c r="B74" t="s">
        <v>337</v>
      </c>
      <c r="C74" t="s">
        <v>50</v>
      </c>
      <c r="D74">
        <v>703015</v>
      </c>
      <c r="E74" t="s">
        <v>120</v>
      </c>
      <c r="F74" t="s">
        <v>21</v>
      </c>
      <c r="G74" t="s">
        <v>22</v>
      </c>
      <c r="H74" t="s">
        <v>115</v>
      </c>
      <c r="J74">
        <v>0</v>
      </c>
      <c r="K74">
        <v>0</v>
      </c>
    </row>
    <row r="75" spans="2:11" x14ac:dyDescent="0.25">
      <c r="B75" t="s">
        <v>337</v>
      </c>
      <c r="C75" t="s">
        <v>50</v>
      </c>
      <c r="D75">
        <v>703016</v>
      </c>
      <c r="E75" t="s">
        <v>121</v>
      </c>
      <c r="F75" t="s">
        <v>21</v>
      </c>
      <c r="G75" t="s">
        <v>22</v>
      </c>
      <c r="H75" t="s">
        <v>115</v>
      </c>
      <c r="J75">
        <v>0</v>
      </c>
      <c r="K75">
        <v>0</v>
      </c>
    </row>
    <row r="76" spans="2:11" x14ac:dyDescent="0.25">
      <c r="B76" t="s">
        <v>337</v>
      </c>
      <c r="C76" t="s">
        <v>50</v>
      </c>
      <c r="D76">
        <v>703017</v>
      </c>
      <c r="E76" t="s">
        <v>122</v>
      </c>
      <c r="F76" t="s">
        <v>21</v>
      </c>
      <c r="G76" t="s">
        <v>22</v>
      </c>
      <c r="H76" t="s">
        <v>115</v>
      </c>
      <c r="I76" t="s">
        <v>105</v>
      </c>
      <c r="J76">
        <v>235620</v>
      </c>
      <c r="K76">
        <v>235620</v>
      </c>
    </row>
    <row r="77" spans="2:11" x14ac:dyDescent="0.25">
      <c r="B77" t="s">
        <v>337</v>
      </c>
      <c r="C77" t="s">
        <v>50</v>
      </c>
      <c r="D77">
        <v>703018</v>
      </c>
      <c r="E77" t="s">
        <v>123</v>
      </c>
      <c r="F77" t="s">
        <v>21</v>
      </c>
      <c r="G77" t="s">
        <v>22</v>
      </c>
      <c r="H77" t="s">
        <v>115</v>
      </c>
      <c r="J77">
        <v>0</v>
      </c>
      <c r="K77">
        <v>0</v>
      </c>
    </row>
    <row r="78" spans="2:11" x14ac:dyDescent="0.25">
      <c r="B78" t="s">
        <v>337</v>
      </c>
      <c r="C78" t="s">
        <v>50</v>
      </c>
      <c r="D78">
        <v>703019</v>
      </c>
      <c r="E78" t="s">
        <v>124</v>
      </c>
      <c r="F78" t="s">
        <v>21</v>
      </c>
      <c r="G78" t="s">
        <v>22</v>
      </c>
      <c r="H78" t="s">
        <v>115</v>
      </c>
      <c r="J78">
        <v>0</v>
      </c>
      <c r="K78">
        <v>0</v>
      </c>
    </row>
    <row r="79" spans="2:11" x14ac:dyDescent="0.25">
      <c r="B79" t="s">
        <v>337</v>
      </c>
      <c r="C79" t="s">
        <v>50</v>
      </c>
      <c r="D79">
        <v>703210</v>
      </c>
      <c r="E79" t="s">
        <v>125</v>
      </c>
      <c r="F79" t="s">
        <v>21</v>
      </c>
      <c r="G79" t="s">
        <v>22</v>
      </c>
      <c r="H79" t="s">
        <v>23</v>
      </c>
      <c r="J79">
        <v>0</v>
      </c>
      <c r="K79">
        <v>0</v>
      </c>
    </row>
    <row r="80" spans="2:11" x14ac:dyDescent="0.25">
      <c r="B80" t="s">
        <v>337</v>
      </c>
      <c r="C80" t="s">
        <v>50</v>
      </c>
      <c r="D80">
        <v>703211</v>
      </c>
      <c r="E80" t="s">
        <v>126</v>
      </c>
      <c r="F80" t="s">
        <v>21</v>
      </c>
      <c r="G80" t="s">
        <v>22</v>
      </c>
      <c r="H80" t="s">
        <v>23</v>
      </c>
      <c r="J80">
        <v>0</v>
      </c>
      <c r="K80">
        <v>0</v>
      </c>
    </row>
    <row r="81" spans="2:11" x14ac:dyDescent="0.25">
      <c r="B81" t="s">
        <v>337</v>
      </c>
      <c r="C81" t="s">
        <v>50</v>
      </c>
      <c r="D81">
        <v>703212</v>
      </c>
      <c r="E81" t="s">
        <v>127</v>
      </c>
      <c r="F81" t="s">
        <v>21</v>
      </c>
      <c r="G81" t="s">
        <v>22</v>
      </c>
      <c r="H81" t="s">
        <v>23</v>
      </c>
      <c r="J81">
        <v>0</v>
      </c>
      <c r="K81">
        <v>0</v>
      </c>
    </row>
    <row r="82" spans="2:11" x14ac:dyDescent="0.25">
      <c r="B82" t="s">
        <v>337</v>
      </c>
      <c r="C82" t="s">
        <v>50</v>
      </c>
      <c r="D82">
        <v>703213</v>
      </c>
      <c r="E82" t="s">
        <v>128</v>
      </c>
      <c r="F82" t="s">
        <v>21</v>
      </c>
      <c r="G82" t="s">
        <v>22</v>
      </c>
      <c r="H82" t="s">
        <v>23</v>
      </c>
      <c r="J82">
        <v>0</v>
      </c>
      <c r="K82">
        <v>0</v>
      </c>
    </row>
    <row r="83" spans="2:11" x14ac:dyDescent="0.25">
      <c r="B83" t="s">
        <v>337</v>
      </c>
      <c r="C83" t="s">
        <v>50</v>
      </c>
      <c r="D83">
        <v>703214</v>
      </c>
      <c r="E83" t="s">
        <v>129</v>
      </c>
      <c r="F83" t="s">
        <v>21</v>
      </c>
      <c r="G83" t="s">
        <v>22</v>
      </c>
      <c r="H83" t="s">
        <v>23</v>
      </c>
      <c r="J83">
        <v>0</v>
      </c>
      <c r="K83">
        <v>0</v>
      </c>
    </row>
    <row r="84" spans="2:11" x14ac:dyDescent="0.25">
      <c r="B84" t="s">
        <v>337</v>
      </c>
      <c r="C84" t="s">
        <v>50</v>
      </c>
      <c r="D84">
        <v>703215</v>
      </c>
      <c r="E84" t="s">
        <v>130</v>
      </c>
      <c r="F84" t="s">
        <v>21</v>
      </c>
      <c r="G84" t="s">
        <v>22</v>
      </c>
      <c r="H84" t="s">
        <v>23</v>
      </c>
      <c r="J84">
        <v>0</v>
      </c>
      <c r="K84">
        <v>0</v>
      </c>
    </row>
    <row r="85" spans="2:11" x14ac:dyDescent="0.25">
      <c r="B85" t="s">
        <v>337</v>
      </c>
      <c r="C85" t="s">
        <v>50</v>
      </c>
      <c r="D85">
        <v>703216</v>
      </c>
      <c r="E85" t="s">
        <v>131</v>
      </c>
      <c r="F85" t="s">
        <v>21</v>
      </c>
      <c r="G85" t="s">
        <v>22</v>
      </c>
      <c r="H85" t="s">
        <v>23</v>
      </c>
      <c r="J85">
        <v>0</v>
      </c>
      <c r="K85">
        <v>0</v>
      </c>
    </row>
    <row r="86" spans="2:11" x14ac:dyDescent="0.25">
      <c r="B86" t="s">
        <v>337</v>
      </c>
      <c r="C86" t="s">
        <v>50</v>
      </c>
      <c r="D86">
        <v>703217</v>
      </c>
      <c r="E86" t="s">
        <v>132</v>
      </c>
      <c r="F86" t="s">
        <v>21</v>
      </c>
      <c r="G86" t="s">
        <v>22</v>
      </c>
      <c r="H86" t="s">
        <v>23</v>
      </c>
      <c r="J86">
        <v>0</v>
      </c>
      <c r="K86">
        <v>0</v>
      </c>
    </row>
    <row r="87" spans="2:11" x14ac:dyDescent="0.25">
      <c r="B87" t="s">
        <v>337</v>
      </c>
      <c r="C87" t="s">
        <v>50</v>
      </c>
      <c r="D87">
        <v>703219</v>
      </c>
      <c r="E87" t="s">
        <v>133</v>
      </c>
      <c r="F87" t="s">
        <v>21</v>
      </c>
      <c r="G87" t="s">
        <v>22</v>
      </c>
      <c r="H87" t="s">
        <v>23</v>
      </c>
      <c r="J87">
        <v>0</v>
      </c>
      <c r="K87">
        <v>0</v>
      </c>
    </row>
    <row r="88" spans="2:11" x14ac:dyDescent="0.25">
      <c r="B88" t="s">
        <v>337</v>
      </c>
      <c r="C88" t="s">
        <v>50</v>
      </c>
      <c r="D88">
        <v>703220</v>
      </c>
      <c r="E88" t="s">
        <v>134</v>
      </c>
      <c r="F88" t="s">
        <v>21</v>
      </c>
      <c r="G88" t="s">
        <v>71</v>
      </c>
      <c r="H88" t="s">
        <v>135</v>
      </c>
      <c r="J88">
        <v>0</v>
      </c>
      <c r="K88">
        <v>0</v>
      </c>
    </row>
    <row r="89" spans="2:11" x14ac:dyDescent="0.25">
      <c r="B89" t="s">
        <v>337</v>
      </c>
      <c r="C89" t="s">
        <v>50</v>
      </c>
      <c r="D89">
        <v>703221</v>
      </c>
      <c r="E89" t="s">
        <v>136</v>
      </c>
      <c r="F89" t="s">
        <v>21</v>
      </c>
      <c r="G89" t="s">
        <v>137</v>
      </c>
      <c r="H89" t="s">
        <v>138</v>
      </c>
      <c r="J89">
        <v>0</v>
      </c>
      <c r="K89">
        <v>0</v>
      </c>
    </row>
    <row r="90" spans="2:11" x14ac:dyDescent="0.25">
      <c r="B90" t="s">
        <v>337</v>
      </c>
      <c r="C90" t="s">
        <v>50</v>
      </c>
      <c r="D90">
        <v>703222</v>
      </c>
      <c r="E90" t="s">
        <v>139</v>
      </c>
      <c r="F90" t="s">
        <v>21</v>
      </c>
      <c r="G90" t="s">
        <v>137</v>
      </c>
      <c r="H90" t="s">
        <v>138</v>
      </c>
      <c r="J90">
        <v>0</v>
      </c>
      <c r="K90">
        <v>0</v>
      </c>
    </row>
    <row r="91" spans="2:11" x14ac:dyDescent="0.25">
      <c r="B91" t="s">
        <v>337</v>
      </c>
      <c r="C91" t="s">
        <v>50</v>
      </c>
      <c r="D91">
        <v>703223</v>
      </c>
      <c r="E91" t="s">
        <v>140</v>
      </c>
      <c r="F91" t="s">
        <v>21</v>
      </c>
      <c r="G91" t="s">
        <v>137</v>
      </c>
      <c r="H91" t="s">
        <v>141</v>
      </c>
      <c r="J91">
        <v>0</v>
      </c>
      <c r="K91">
        <v>0</v>
      </c>
    </row>
    <row r="92" spans="2:11" x14ac:dyDescent="0.25">
      <c r="B92" t="s">
        <v>337</v>
      </c>
      <c r="C92" t="s">
        <v>50</v>
      </c>
      <c r="D92">
        <v>703224</v>
      </c>
      <c r="E92" t="s">
        <v>142</v>
      </c>
      <c r="F92" t="s">
        <v>21</v>
      </c>
      <c r="G92" t="s">
        <v>71</v>
      </c>
      <c r="H92" t="s">
        <v>88</v>
      </c>
      <c r="J92">
        <v>0</v>
      </c>
      <c r="K92">
        <v>0</v>
      </c>
    </row>
    <row r="93" spans="2:11" x14ac:dyDescent="0.25">
      <c r="B93" t="s">
        <v>337</v>
      </c>
      <c r="C93" t="s">
        <v>50</v>
      </c>
      <c r="D93">
        <v>703225</v>
      </c>
      <c r="E93" t="s">
        <v>143</v>
      </c>
      <c r="F93" t="s">
        <v>21</v>
      </c>
      <c r="G93" t="s">
        <v>71</v>
      </c>
      <c r="H93" t="s">
        <v>88</v>
      </c>
      <c r="J93">
        <v>0</v>
      </c>
      <c r="K93">
        <v>0</v>
      </c>
    </row>
    <row r="94" spans="2:11" x14ac:dyDescent="0.25">
      <c r="B94" t="s">
        <v>337</v>
      </c>
      <c r="C94" t="s">
        <v>50</v>
      </c>
      <c r="D94">
        <v>703226</v>
      </c>
      <c r="E94" t="s">
        <v>144</v>
      </c>
      <c r="F94" t="s">
        <v>21</v>
      </c>
      <c r="G94" t="s">
        <v>71</v>
      </c>
      <c r="H94" t="s">
        <v>82</v>
      </c>
      <c r="J94">
        <v>0</v>
      </c>
      <c r="K94">
        <v>0</v>
      </c>
    </row>
    <row r="95" spans="2:11" x14ac:dyDescent="0.25">
      <c r="B95" t="s">
        <v>337</v>
      </c>
      <c r="C95" t="s">
        <v>50</v>
      </c>
      <c r="D95">
        <v>703227</v>
      </c>
      <c r="E95" t="s">
        <v>145</v>
      </c>
      <c r="F95" t="s">
        <v>21</v>
      </c>
      <c r="G95" t="s">
        <v>137</v>
      </c>
      <c r="H95" t="s">
        <v>138</v>
      </c>
      <c r="J95">
        <v>0</v>
      </c>
      <c r="K95">
        <v>0</v>
      </c>
    </row>
    <row r="96" spans="2:11" x14ac:dyDescent="0.25">
      <c r="B96" t="s">
        <v>337</v>
      </c>
      <c r="C96" t="s">
        <v>50</v>
      </c>
      <c r="D96">
        <v>703228</v>
      </c>
      <c r="E96" t="s">
        <v>146</v>
      </c>
      <c r="F96" t="s">
        <v>21</v>
      </c>
      <c r="G96" t="s">
        <v>147</v>
      </c>
      <c r="H96" t="s">
        <v>147</v>
      </c>
      <c r="I96" t="s">
        <v>105</v>
      </c>
      <c r="J96">
        <v>4198908</v>
      </c>
      <c r="K96">
        <v>4198908</v>
      </c>
    </row>
    <row r="97" spans="2:11" x14ac:dyDescent="0.25">
      <c r="B97" t="s">
        <v>337</v>
      </c>
      <c r="C97" t="s">
        <v>50</v>
      </c>
      <c r="D97">
        <v>703229</v>
      </c>
      <c r="E97" t="s">
        <v>148</v>
      </c>
      <c r="F97" t="s">
        <v>21</v>
      </c>
      <c r="G97" t="s">
        <v>147</v>
      </c>
      <c r="H97" t="s">
        <v>147</v>
      </c>
      <c r="J97">
        <v>0</v>
      </c>
      <c r="K97">
        <v>0</v>
      </c>
    </row>
    <row r="98" spans="2:11" x14ac:dyDescent="0.25">
      <c r="B98" t="s">
        <v>337</v>
      </c>
      <c r="C98" t="s">
        <v>50</v>
      </c>
      <c r="D98">
        <v>703230</v>
      </c>
      <c r="E98" t="s">
        <v>149</v>
      </c>
      <c r="F98" t="s">
        <v>21</v>
      </c>
      <c r="G98" t="s">
        <v>147</v>
      </c>
      <c r="H98" t="s">
        <v>147</v>
      </c>
      <c r="I98" t="s">
        <v>105</v>
      </c>
      <c r="J98">
        <v>17103639.309999999</v>
      </c>
      <c r="K98">
        <v>17103639.309999999</v>
      </c>
    </row>
    <row r="99" spans="2:11" x14ac:dyDescent="0.25">
      <c r="B99" t="s">
        <v>337</v>
      </c>
      <c r="C99" t="s">
        <v>50</v>
      </c>
      <c r="D99">
        <v>703231</v>
      </c>
      <c r="E99" t="s">
        <v>150</v>
      </c>
      <c r="F99" t="s">
        <v>21</v>
      </c>
      <c r="G99" t="s">
        <v>137</v>
      </c>
      <c r="H99" t="s">
        <v>141</v>
      </c>
      <c r="J99">
        <v>0</v>
      </c>
      <c r="K99">
        <v>0</v>
      </c>
    </row>
    <row r="100" spans="2:11" x14ac:dyDescent="0.25">
      <c r="B100" t="s">
        <v>337</v>
      </c>
      <c r="C100" t="s">
        <v>50</v>
      </c>
      <c r="D100">
        <v>703232</v>
      </c>
      <c r="E100" t="s">
        <v>151</v>
      </c>
      <c r="F100" t="s">
        <v>21</v>
      </c>
      <c r="G100" t="s">
        <v>147</v>
      </c>
      <c r="H100" t="s">
        <v>147</v>
      </c>
      <c r="J100">
        <v>0</v>
      </c>
      <c r="K100">
        <v>0</v>
      </c>
    </row>
    <row r="101" spans="2:11" x14ac:dyDescent="0.25">
      <c r="B101" t="s">
        <v>337</v>
      </c>
      <c r="C101" t="s">
        <v>50</v>
      </c>
      <c r="D101">
        <v>703233</v>
      </c>
      <c r="E101" t="s">
        <v>152</v>
      </c>
      <c r="F101" t="s">
        <v>21</v>
      </c>
      <c r="G101" t="s">
        <v>71</v>
      </c>
      <c r="H101" t="s">
        <v>153</v>
      </c>
      <c r="J101">
        <v>0</v>
      </c>
      <c r="K101">
        <v>0</v>
      </c>
    </row>
    <row r="102" spans="2:11" x14ac:dyDescent="0.25">
      <c r="B102" t="s">
        <v>337</v>
      </c>
      <c r="C102" t="s">
        <v>50</v>
      </c>
      <c r="D102">
        <v>703234</v>
      </c>
      <c r="E102" t="s">
        <v>154</v>
      </c>
      <c r="F102" t="s">
        <v>21</v>
      </c>
      <c r="G102" t="s">
        <v>71</v>
      </c>
      <c r="H102" t="s">
        <v>153</v>
      </c>
      <c r="I102" t="s">
        <v>105</v>
      </c>
      <c r="J102">
        <v>301000</v>
      </c>
      <c r="K102">
        <v>301000</v>
      </c>
    </row>
    <row r="103" spans="2:11" x14ac:dyDescent="0.25">
      <c r="B103" t="s">
        <v>337</v>
      </c>
      <c r="C103" t="s">
        <v>50</v>
      </c>
      <c r="D103">
        <v>703235</v>
      </c>
      <c r="E103" t="s">
        <v>155</v>
      </c>
      <c r="F103" t="s">
        <v>21</v>
      </c>
      <c r="G103" t="s">
        <v>71</v>
      </c>
      <c r="H103" t="s">
        <v>153</v>
      </c>
      <c r="J103">
        <v>0</v>
      </c>
      <c r="K103">
        <v>0</v>
      </c>
    </row>
    <row r="104" spans="2:11" x14ac:dyDescent="0.25">
      <c r="B104" t="s">
        <v>337</v>
      </c>
      <c r="C104" t="s">
        <v>50</v>
      </c>
      <c r="D104">
        <v>703236</v>
      </c>
      <c r="E104" t="s">
        <v>156</v>
      </c>
      <c r="F104" t="s">
        <v>21</v>
      </c>
      <c r="G104" t="s">
        <v>76</v>
      </c>
      <c r="H104" t="s">
        <v>77</v>
      </c>
      <c r="J104">
        <v>0</v>
      </c>
      <c r="K104">
        <v>0</v>
      </c>
    </row>
    <row r="105" spans="2:11" x14ac:dyDescent="0.25">
      <c r="B105" t="s">
        <v>337</v>
      </c>
      <c r="C105" t="s">
        <v>50</v>
      </c>
      <c r="D105">
        <v>703237</v>
      </c>
      <c r="E105" t="s">
        <v>157</v>
      </c>
      <c r="F105" t="s">
        <v>21</v>
      </c>
      <c r="G105" t="s">
        <v>22</v>
      </c>
      <c r="H105" t="s">
        <v>23</v>
      </c>
      <c r="J105">
        <v>0</v>
      </c>
      <c r="K105">
        <v>0</v>
      </c>
    </row>
    <row r="106" spans="2:11" x14ac:dyDescent="0.25">
      <c r="B106" t="s">
        <v>337</v>
      </c>
      <c r="C106" t="s">
        <v>50</v>
      </c>
      <c r="D106">
        <v>703238</v>
      </c>
      <c r="E106" t="s">
        <v>158</v>
      </c>
      <c r="F106" t="s">
        <v>21</v>
      </c>
      <c r="G106" t="s">
        <v>61</v>
      </c>
      <c r="H106" t="s">
        <v>68</v>
      </c>
      <c r="J106">
        <v>0</v>
      </c>
      <c r="K106">
        <v>0</v>
      </c>
    </row>
    <row r="107" spans="2:11" x14ac:dyDescent="0.25">
      <c r="B107" t="s">
        <v>337</v>
      </c>
      <c r="C107" t="s">
        <v>50</v>
      </c>
      <c r="D107">
        <v>703239</v>
      </c>
      <c r="E107" t="s">
        <v>159</v>
      </c>
      <c r="F107" t="s">
        <v>21</v>
      </c>
      <c r="G107" t="s">
        <v>61</v>
      </c>
      <c r="H107" t="s">
        <v>68</v>
      </c>
      <c r="J107">
        <v>0</v>
      </c>
      <c r="K107">
        <v>0</v>
      </c>
    </row>
    <row r="108" spans="2:11" x14ac:dyDescent="0.25">
      <c r="B108" t="s">
        <v>337</v>
      </c>
      <c r="C108" t="s">
        <v>50</v>
      </c>
      <c r="D108">
        <v>703240</v>
      </c>
      <c r="E108" t="s">
        <v>160</v>
      </c>
      <c r="F108" t="s">
        <v>21</v>
      </c>
      <c r="G108" t="s">
        <v>61</v>
      </c>
      <c r="H108" t="s">
        <v>68</v>
      </c>
      <c r="J108">
        <v>0</v>
      </c>
      <c r="K108">
        <v>0</v>
      </c>
    </row>
    <row r="109" spans="2:11" x14ac:dyDescent="0.25">
      <c r="B109" t="s">
        <v>337</v>
      </c>
      <c r="C109" t="s">
        <v>50</v>
      </c>
      <c r="D109">
        <v>703241</v>
      </c>
      <c r="E109" t="s">
        <v>161</v>
      </c>
      <c r="F109" t="s">
        <v>21</v>
      </c>
      <c r="G109" t="s">
        <v>137</v>
      </c>
      <c r="H109" t="s">
        <v>141</v>
      </c>
      <c r="J109">
        <v>0</v>
      </c>
      <c r="K109">
        <v>0</v>
      </c>
    </row>
    <row r="110" spans="2:11" x14ac:dyDescent="0.25">
      <c r="B110" t="s">
        <v>337</v>
      </c>
      <c r="C110" t="s">
        <v>50</v>
      </c>
      <c r="D110">
        <v>703242</v>
      </c>
      <c r="E110" t="s">
        <v>162</v>
      </c>
      <c r="F110" t="s">
        <v>21</v>
      </c>
      <c r="G110" t="s">
        <v>137</v>
      </c>
      <c r="H110" t="s">
        <v>141</v>
      </c>
      <c r="J110">
        <v>0</v>
      </c>
      <c r="K110">
        <v>0</v>
      </c>
    </row>
    <row r="111" spans="2:11" x14ac:dyDescent="0.25">
      <c r="B111" t="s">
        <v>337</v>
      </c>
      <c r="C111" t="s">
        <v>50</v>
      </c>
      <c r="D111">
        <v>703243</v>
      </c>
      <c r="E111" t="s">
        <v>163</v>
      </c>
      <c r="F111" t="s">
        <v>21</v>
      </c>
      <c r="G111" t="s">
        <v>137</v>
      </c>
      <c r="H111" t="s">
        <v>141</v>
      </c>
      <c r="I111" t="s">
        <v>105</v>
      </c>
      <c r="J111">
        <v>846000</v>
      </c>
      <c r="K111">
        <v>846000</v>
      </c>
    </row>
    <row r="112" spans="2:11" x14ac:dyDescent="0.25">
      <c r="B112" t="s">
        <v>337</v>
      </c>
      <c r="C112" t="s">
        <v>50</v>
      </c>
      <c r="D112">
        <v>703244</v>
      </c>
      <c r="E112" t="s">
        <v>164</v>
      </c>
      <c r="F112" t="s">
        <v>21</v>
      </c>
      <c r="G112" t="s">
        <v>71</v>
      </c>
      <c r="H112" t="s">
        <v>88</v>
      </c>
      <c r="J112">
        <v>0</v>
      </c>
      <c r="K112">
        <v>0</v>
      </c>
    </row>
    <row r="113" spans="2:11" x14ac:dyDescent="0.25">
      <c r="B113" t="s">
        <v>337</v>
      </c>
      <c r="C113" t="s">
        <v>50</v>
      </c>
      <c r="D113">
        <v>703245</v>
      </c>
      <c r="E113" t="s">
        <v>165</v>
      </c>
      <c r="F113" t="s">
        <v>21</v>
      </c>
      <c r="G113" t="s">
        <v>137</v>
      </c>
      <c r="H113" t="s">
        <v>138</v>
      </c>
      <c r="J113">
        <v>0</v>
      </c>
      <c r="K113">
        <v>0</v>
      </c>
    </row>
    <row r="114" spans="2:11" x14ac:dyDescent="0.25">
      <c r="B114" t="s">
        <v>337</v>
      </c>
      <c r="C114" t="s">
        <v>50</v>
      </c>
      <c r="D114">
        <v>703246</v>
      </c>
      <c r="E114" t="s">
        <v>166</v>
      </c>
      <c r="F114" t="s">
        <v>21</v>
      </c>
      <c r="G114" t="s">
        <v>137</v>
      </c>
      <c r="H114" t="s">
        <v>138</v>
      </c>
      <c r="J114">
        <v>0</v>
      </c>
      <c r="K114">
        <v>0</v>
      </c>
    </row>
    <row r="115" spans="2:11" x14ac:dyDescent="0.25">
      <c r="B115" t="s">
        <v>337</v>
      </c>
      <c r="C115" t="s">
        <v>50</v>
      </c>
      <c r="D115">
        <v>703247</v>
      </c>
      <c r="E115" t="s">
        <v>167</v>
      </c>
      <c r="F115" t="s">
        <v>21</v>
      </c>
      <c r="G115" t="s">
        <v>137</v>
      </c>
      <c r="H115" t="s">
        <v>138</v>
      </c>
      <c r="J115">
        <v>0</v>
      </c>
      <c r="K115">
        <v>0</v>
      </c>
    </row>
    <row r="116" spans="2:11" x14ac:dyDescent="0.25">
      <c r="B116" t="s">
        <v>337</v>
      </c>
      <c r="C116" t="s">
        <v>50</v>
      </c>
      <c r="D116">
        <v>703248</v>
      </c>
      <c r="E116" t="s">
        <v>168</v>
      </c>
      <c r="F116" t="s">
        <v>21</v>
      </c>
      <c r="G116" t="s">
        <v>137</v>
      </c>
      <c r="H116" t="s">
        <v>141</v>
      </c>
      <c r="I116" t="s">
        <v>105</v>
      </c>
      <c r="J116">
        <v>915702.67</v>
      </c>
      <c r="K116">
        <v>915702.67</v>
      </c>
    </row>
    <row r="117" spans="2:11" x14ac:dyDescent="0.25">
      <c r="B117" t="s">
        <v>337</v>
      </c>
      <c r="C117" t="s">
        <v>50</v>
      </c>
      <c r="D117">
        <v>703249</v>
      </c>
      <c r="E117" t="s">
        <v>169</v>
      </c>
      <c r="F117" t="s">
        <v>21</v>
      </c>
      <c r="G117" t="s">
        <v>147</v>
      </c>
      <c r="H117" t="s">
        <v>147</v>
      </c>
      <c r="J117">
        <v>0</v>
      </c>
      <c r="K117">
        <v>0</v>
      </c>
    </row>
    <row r="118" spans="2:11" x14ac:dyDescent="0.25">
      <c r="B118" t="s">
        <v>337</v>
      </c>
      <c r="C118" t="s">
        <v>50</v>
      </c>
      <c r="D118">
        <v>703250</v>
      </c>
      <c r="E118" t="s">
        <v>170</v>
      </c>
      <c r="F118" t="s">
        <v>21</v>
      </c>
      <c r="G118" t="s">
        <v>71</v>
      </c>
      <c r="H118" t="s">
        <v>171</v>
      </c>
      <c r="J118">
        <v>0</v>
      </c>
      <c r="K118">
        <v>0</v>
      </c>
    </row>
    <row r="119" spans="2:11" x14ac:dyDescent="0.25">
      <c r="B119" t="s">
        <v>337</v>
      </c>
      <c r="C119" t="s">
        <v>50</v>
      </c>
      <c r="D119">
        <v>703251</v>
      </c>
      <c r="E119" t="s">
        <v>172</v>
      </c>
      <c r="F119" t="s">
        <v>21</v>
      </c>
      <c r="G119" t="s">
        <v>22</v>
      </c>
      <c r="H119" t="s">
        <v>115</v>
      </c>
      <c r="J119">
        <v>0</v>
      </c>
      <c r="K119">
        <v>0</v>
      </c>
    </row>
    <row r="120" spans="2:11" x14ac:dyDescent="0.25">
      <c r="B120" t="s">
        <v>337</v>
      </c>
      <c r="C120" t="s">
        <v>50</v>
      </c>
      <c r="D120">
        <v>703252</v>
      </c>
      <c r="E120" t="s">
        <v>173</v>
      </c>
      <c r="F120" t="s">
        <v>21</v>
      </c>
      <c r="G120" t="s">
        <v>22</v>
      </c>
      <c r="H120" t="s">
        <v>115</v>
      </c>
      <c r="J120">
        <v>0</v>
      </c>
      <c r="K120">
        <v>0</v>
      </c>
    </row>
    <row r="121" spans="2:11" x14ac:dyDescent="0.25">
      <c r="B121" t="s">
        <v>337</v>
      </c>
      <c r="C121" t="s">
        <v>50</v>
      </c>
      <c r="D121">
        <v>703253</v>
      </c>
      <c r="E121" t="s">
        <v>174</v>
      </c>
      <c r="F121" t="s">
        <v>21</v>
      </c>
      <c r="G121" t="s">
        <v>22</v>
      </c>
      <c r="H121" t="s">
        <v>115</v>
      </c>
      <c r="J121">
        <v>0</v>
      </c>
      <c r="K121">
        <v>0</v>
      </c>
    </row>
    <row r="122" spans="2:11" x14ac:dyDescent="0.25">
      <c r="B122" t="s">
        <v>337</v>
      </c>
      <c r="C122" t="s">
        <v>50</v>
      </c>
      <c r="D122">
        <v>703254</v>
      </c>
      <c r="E122" t="s">
        <v>175</v>
      </c>
      <c r="F122" t="s">
        <v>21</v>
      </c>
      <c r="G122" t="s">
        <v>22</v>
      </c>
      <c r="H122" t="s">
        <v>115</v>
      </c>
      <c r="J122">
        <v>0</v>
      </c>
      <c r="K122">
        <v>0</v>
      </c>
    </row>
    <row r="123" spans="2:11" x14ac:dyDescent="0.25">
      <c r="B123" t="s">
        <v>337</v>
      </c>
      <c r="C123" t="s">
        <v>50</v>
      </c>
      <c r="D123">
        <v>703255</v>
      </c>
      <c r="E123" t="s">
        <v>176</v>
      </c>
      <c r="F123" t="s">
        <v>21</v>
      </c>
      <c r="G123" t="s">
        <v>22</v>
      </c>
      <c r="H123" t="s">
        <v>115</v>
      </c>
      <c r="J123">
        <v>0</v>
      </c>
      <c r="K123">
        <v>0</v>
      </c>
    </row>
    <row r="124" spans="2:11" x14ac:dyDescent="0.25">
      <c r="B124" t="s">
        <v>337</v>
      </c>
      <c r="C124" t="s">
        <v>50</v>
      </c>
      <c r="D124">
        <v>703257</v>
      </c>
      <c r="E124" t="s">
        <v>177</v>
      </c>
      <c r="F124" t="s">
        <v>21</v>
      </c>
      <c r="G124" t="s">
        <v>147</v>
      </c>
      <c r="H124" t="s">
        <v>147</v>
      </c>
      <c r="J124">
        <v>0</v>
      </c>
      <c r="K124">
        <v>0</v>
      </c>
    </row>
    <row r="125" spans="2:11" x14ac:dyDescent="0.25">
      <c r="B125" t="s">
        <v>337</v>
      </c>
      <c r="C125" t="s">
        <v>50</v>
      </c>
      <c r="D125">
        <v>703258</v>
      </c>
      <c r="E125" t="s">
        <v>178</v>
      </c>
      <c r="F125" t="s">
        <v>21</v>
      </c>
      <c r="G125" t="s">
        <v>147</v>
      </c>
      <c r="H125" t="s">
        <v>147</v>
      </c>
      <c r="J125">
        <v>0</v>
      </c>
      <c r="K125">
        <v>0</v>
      </c>
    </row>
    <row r="126" spans="2:11" x14ac:dyDescent="0.25">
      <c r="B126" t="s">
        <v>337</v>
      </c>
      <c r="C126" t="s">
        <v>50</v>
      </c>
      <c r="D126">
        <v>703260</v>
      </c>
      <c r="E126" t="s">
        <v>179</v>
      </c>
      <c r="F126" t="s">
        <v>21</v>
      </c>
      <c r="G126" t="s">
        <v>76</v>
      </c>
      <c r="H126" t="s">
        <v>77</v>
      </c>
      <c r="J126">
        <v>0</v>
      </c>
      <c r="K126">
        <v>0</v>
      </c>
    </row>
    <row r="127" spans="2:11" x14ac:dyDescent="0.25">
      <c r="B127" t="s">
        <v>337</v>
      </c>
      <c r="C127" t="s">
        <v>50</v>
      </c>
      <c r="D127">
        <v>703261</v>
      </c>
      <c r="E127" t="s">
        <v>180</v>
      </c>
      <c r="F127" t="s">
        <v>21</v>
      </c>
      <c r="G127" t="s">
        <v>22</v>
      </c>
      <c r="H127" t="s">
        <v>115</v>
      </c>
      <c r="I127" t="s">
        <v>105</v>
      </c>
      <c r="J127">
        <v>143550</v>
      </c>
      <c r="K127">
        <v>143550</v>
      </c>
    </row>
    <row r="128" spans="2:11" x14ac:dyDescent="0.25">
      <c r="B128" t="s">
        <v>337</v>
      </c>
      <c r="C128" t="s">
        <v>50</v>
      </c>
      <c r="D128">
        <v>703262</v>
      </c>
      <c r="E128" t="s">
        <v>181</v>
      </c>
      <c r="F128" t="s">
        <v>21</v>
      </c>
      <c r="G128" t="s">
        <v>22</v>
      </c>
      <c r="H128" t="s">
        <v>23</v>
      </c>
      <c r="J128">
        <v>0</v>
      </c>
      <c r="K128">
        <v>0</v>
      </c>
    </row>
    <row r="129" spans="2:11" x14ac:dyDescent="0.25">
      <c r="B129" t="s">
        <v>337</v>
      </c>
      <c r="C129" t="s">
        <v>50</v>
      </c>
      <c r="D129">
        <v>703263</v>
      </c>
      <c r="E129" t="s">
        <v>182</v>
      </c>
      <c r="F129" t="s">
        <v>21</v>
      </c>
      <c r="G129" t="s">
        <v>22</v>
      </c>
      <c r="H129" t="s">
        <v>115</v>
      </c>
      <c r="J129">
        <v>0</v>
      </c>
      <c r="K129">
        <v>0</v>
      </c>
    </row>
    <row r="130" spans="2:11" x14ac:dyDescent="0.25">
      <c r="B130" t="s">
        <v>337</v>
      </c>
      <c r="C130" t="s">
        <v>50</v>
      </c>
      <c r="D130">
        <v>703264</v>
      </c>
      <c r="E130" t="s">
        <v>183</v>
      </c>
      <c r="F130" t="s">
        <v>21</v>
      </c>
      <c r="G130" t="s">
        <v>22</v>
      </c>
      <c r="H130" t="s">
        <v>115</v>
      </c>
      <c r="J130">
        <v>0</v>
      </c>
      <c r="K130">
        <v>0</v>
      </c>
    </row>
    <row r="131" spans="2:11" x14ac:dyDescent="0.25">
      <c r="B131" t="s">
        <v>337</v>
      </c>
      <c r="C131" t="s">
        <v>50</v>
      </c>
      <c r="D131">
        <v>703265</v>
      </c>
      <c r="E131" t="s">
        <v>184</v>
      </c>
      <c r="F131" t="s">
        <v>21</v>
      </c>
      <c r="G131" t="s">
        <v>22</v>
      </c>
      <c r="H131" t="s">
        <v>115</v>
      </c>
      <c r="J131">
        <v>0</v>
      </c>
      <c r="K131">
        <v>0</v>
      </c>
    </row>
    <row r="132" spans="2:11" x14ac:dyDescent="0.25">
      <c r="B132" t="s">
        <v>337</v>
      </c>
      <c r="C132" t="s">
        <v>50</v>
      </c>
      <c r="D132">
        <v>703266</v>
      </c>
      <c r="E132" t="s">
        <v>185</v>
      </c>
      <c r="F132" t="s">
        <v>21</v>
      </c>
      <c r="G132" t="s">
        <v>71</v>
      </c>
      <c r="H132" t="s">
        <v>186</v>
      </c>
      <c r="J132">
        <v>0</v>
      </c>
      <c r="K132">
        <v>0</v>
      </c>
    </row>
    <row r="133" spans="2:11" x14ac:dyDescent="0.25">
      <c r="B133" t="s">
        <v>337</v>
      </c>
      <c r="C133" t="s">
        <v>50</v>
      </c>
      <c r="D133">
        <v>703267</v>
      </c>
      <c r="E133" t="s">
        <v>187</v>
      </c>
      <c r="F133" t="s">
        <v>21</v>
      </c>
      <c r="G133" t="s">
        <v>71</v>
      </c>
      <c r="H133" t="s">
        <v>88</v>
      </c>
      <c r="J133">
        <v>0</v>
      </c>
      <c r="K133">
        <v>0</v>
      </c>
    </row>
    <row r="134" spans="2:11" x14ac:dyDescent="0.25">
      <c r="B134" t="s">
        <v>337</v>
      </c>
      <c r="C134" t="s">
        <v>50</v>
      </c>
      <c r="D134">
        <v>703268</v>
      </c>
      <c r="E134" t="s">
        <v>188</v>
      </c>
      <c r="F134" t="s">
        <v>21</v>
      </c>
      <c r="G134" t="s">
        <v>147</v>
      </c>
      <c r="H134" t="s">
        <v>147</v>
      </c>
      <c r="J134">
        <v>0</v>
      </c>
      <c r="K134">
        <v>0</v>
      </c>
    </row>
    <row r="135" spans="2:11" x14ac:dyDescent="0.25">
      <c r="B135" t="s">
        <v>337</v>
      </c>
      <c r="C135" t="s">
        <v>50</v>
      </c>
      <c r="D135">
        <v>703269</v>
      </c>
      <c r="E135" t="s">
        <v>189</v>
      </c>
      <c r="F135" t="s">
        <v>21</v>
      </c>
      <c r="G135" t="s">
        <v>147</v>
      </c>
      <c r="H135" t="s">
        <v>147</v>
      </c>
      <c r="J135">
        <v>0</v>
      </c>
      <c r="K135">
        <v>0</v>
      </c>
    </row>
    <row r="136" spans="2:11" x14ac:dyDescent="0.25">
      <c r="B136" t="s">
        <v>337</v>
      </c>
      <c r="C136" t="s">
        <v>50</v>
      </c>
      <c r="D136">
        <v>703270</v>
      </c>
      <c r="E136" t="s">
        <v>190</v>
      </c>
      <c r="F136" t="s">
        <v>21</v>
      </c>
      <c r="G136" t="s">
        <v>137</v>
      </c>
      <c r="H136" t="s">
        <v>141</v>
      </c>
      <c r="J136">
        <v>0</v>
      </c>
      <c r="K136">
        <v>0</v>
      </c>
    </row>
    <row r="137" spans="2:11" x14ac:dyDescent="0.25">
      <c r="B137" t="s">
        <v>337</v>
      </c>
      <c r="C137" t="s">
        <v>50</v>
      </c>
      <c r="D137">
        <v>703271</v>
      </c>
      <c r="E137" t="s">
        <v>191</v>
      </c>
      <c r="F137" t="s">
        <v>21</v>
      </c>
      <c r="G137" t="s">
        <v>22</v>
      </c>
      <c r="H137" t="s">
        <v>115</v>
      </c>
      <c r="J137">
        <v>0</v>
      </c>
      <c r="K137">
        <v>0</v>
      </c>
    </row>
    <row r="138" spans="2:11" x14ac:dyDescent="0.25">
      <c r="B138" t="s">
        <v>337</v>
      </c>
      <c r="C138" t="s">
        <v>50</v>
      </c>
      <c r="D138">
        <v>703272</v>
      </c>
      <c r="E138" t="s">
        <v>192</v>
      </c>
      <c r="F138" t="s">
        <v>21</v>
      </c>
      <c r="G138" t="s">
        <v>22</v>
      </c>
      <c r="H138" t="s">
        <v>23</v>
      </c>
      <c r="J138">
        <v>0</v>
      </c>
      <c r="K138">
        <v>0</v>
      </c>
    </row>
    <row r="139" spans="2:11" x14ac:dyDescent="0.25">
      <c r="B139" t="s">
        <v>337</v>
      </c>
      <c r="C139" t="s">
        <v>50</v>
      </c>
      <c r="D139">
        <v>703273</v>
      </c>
      <c r="E139" t="s">
        <v>193</v>
      </c>
      <c r="F139" t="s">
        <v>21</v>
      </c>
      <c r="G139" t="s">
        <v>147</v>
      </c>
      <c r="H139" t="s">
        <v>147</v>
      </c>
      <c r="J139">
        <v>0</v>
      </c>
      <c r="K139">
        <v>0</v>
      </c>
    </row>
    <row r="140" spans="2:11" x14ac:dyDescent="0.25">
      <c r="B140" t="s">
        <v>337</v>
      </c>
      <c r="C140" t="s">
        <v>50</v>
      </c>
      <c r="D140">
        <v>703274</v>
      </c>
      <c r="E140" t="s">
        <v>194</v>
      </c>
      <c r="F140" t="s">
        <v>21</v>
      </c>
      <c r="G140" t="s">
        <v>147</v>
      </c>
      <c r="H140" t="s">
        <v>147</v>
      </c>
      <c r="I140" t="s">
        <v>105</v>
      </c>
      <c r="J140">
        <v>8725591</v>
      </c>
      <c r="K140">
        <v>8725591</v>
      </c>
    </row>
    <row r="141" spans="2:11" x14ac:dyDescent="0.25">
      <c r="B141" t="s">
        <v>337</v>
      </c>
      <c r="C141" t="s">
        <v>50</v>
      </c>
      <c r="D141">
        <v>703275</v>
      </c>
      <c r="E141" t="s">
        <v>195</v>
      </c>
      <c r="F141" t="s">
        <v>21</v>
      </c>
      <c r="G141" t="s">
        <v>137</v>
      </c>
      <c r="H141" t="s">
        <v>138</v>
      </c>
      <c r="I141" t="s">
        <v>105</v>
      </c>
      <c r="J141">
        <v>510000</v>
      </c>
      <c r="K141">
        <v>510000</v>
      </c>
    </row>
    <row r="142" spans="2:11" x14ac:dyDescent="0.25">
      <c r="B142" t="s">
        <v>337</v>
      </c>
      <c r="C142" t="s">
        <v>50</v>
      </c>
      <c r="D142">
        <v>703280</v>
      </c>
      <c r="E142" t="s">
        <v>196</v>
      </c>
      <c r="F142" t="s">
        <v>21</v>
      </c>
      <c r="G142" t="s">
        <v>71</v>
      </c>
      <c r="H142" t="s">
        <v>171</v>
      </c>
      <c r="J142">
        <v>0</v>
      </c>
      <c r="K142">
        <v>0</v>
      </c>
    </row>
    <row r="143" spans="2:11" x14ac:dyDescent="0.25">
      <c r="B143" t="s">
        <v>337</v>
      </c>
      <c r="C143" t="s">
        <v>50</v>
      </c>
      <c r="D143">
        <v>703281</v>
      </c>
      <c r="E143" t="s">
        <v>197</v>
      </c>
      <c r="F143" t="s">
        <v>21</v>
      </c>
      <c r="G143" t="s">
        <v>76</v>
      </c>
      <c r="H143" t="s">
        <v>77</v>
      </c>
      <c r="J143">
        <v>0</v>
      </c>
      <c r="K143">
        <v>0</v>
      </c>
    </row>
    <row r="144" spans="2:11" x14ac:dyDescent="0.25">
      <c r="B144" t="s">
        <v>337</v>
      </c>
      <c r="C144" t="s">
        <v>50</v>
      </c>
      <c r="D144">
        <v>703282</v>
      </c>
      <c r="E144" t="s">
        <v>198</v>
      </c>
      <c r="F144" t="s">
        <v>21</v>
      </c>
      <c r="G144" t="s">
        <v>76</v>
      </c>
      <c r="H144" t="s">
        <v>77</v>
      </c>
      <c r="J144">
        <v>0</v>
      </c>
      <c r="K144">
        <v>0</v>
      </c>
    </row>
    <row r="145" spans="2:11" x14ac:dyDescent="0.25">
      <c r="B145" t="s">
        <v>337</v>
      </c>
      <c r="C145" t="s">
        <v>50</v>
      </c>
      <c r="D145">
        <v>703283</v>
      </c>
      <c r="E145" t="s">
        <v>199</v>
      </c>
      <c r="F145" t="s">
        <v>21</v>
      </c>
      <c r="G145" t="s">
        <v>61</v>
      </c>
      <c r="H145" t="s">
        <v>68</v>
      </c>
      <c r="J145">
        <v>0</v>
      </c>
      <c r="K145">
        <v>0</v>
      </c>
    </row>
    <row r="146" spans="2:11" x14ac:dyDescent="0.25">
      <c r="B146" t="s">
        <v>337</v>
      </c>
      <c r="C146" t="s">
        <v>50</v>
      </c>
      <c r="D146">
        <v>703310</v>
      </c>
      <c r="E146" t="s">
        <v>200</v>
      </c>
      <c r="F146" t="s">
        <v>21</v>
      </c>
      <c r="G146" t="s">
        <v>22</v>
      </c>
      <c r="H146" t="s">
        <v>23</v>
      </c>
      <c r="I146" t="s">
        <v>105</v>
      </c>
      <c r="J146">
        <v>685000</v>
      </c>
      <c r="K146">
        <v>685000</v>
      </c>
    </row>
    <row r="147" spans="2:11" x14ac:dyDescent="0.25">
      <c r="B147" t="s">
        <v>337</v>
      </c>
      <c r="C147" t="s">
        <v>50</v>
      </c>
      <c r="D147">
        <v>703311</v>
      </c>
      <c r="E147" t="s">
        <v>201</v>
      </c>
      <c r="F147" t="s">
        <v>21</v>
      </c>
      <c r="G147" t="s">
        <v>71</v>
      </c>
      <c r="H147" t="s">
        <v>171</v>
      </c>
      <c r="J147">
        <v>0</v>
      </c>
      <c r="K147">
        <v>0</v>
      </c>
    </row>
    <row r="148" spans="2:11" x14ac:dyDescent="0.25">
      <c r="B148" t="s">
        <v>337</v>
      </c>
      <c r="C148" t="s">
        <v>50</v>
      </c>
      <c r="D148">
        <v>703312</v>
      </c>
      <c r="E148" t="s">
        <v>202</v>
      </c>
      <c r="F148" t="s">
        <v>21</v>
      </c>
      <c r="G148" t="s">
        <v>76</v>
      </c>
      <c r="H148" t="s">
        <v>77</v>
      </c>
      <c r="J148">
        <v>0</v>
      </c>
      <c r="K148">
        <v>0</v>
      </c>
    </row>
    <row r="149" spans="2:11" x14ac:dyDescent="0.25">
      <c r="B149" t="s">
        <v>337</v>
      </c>
      <c r="C149" t="s">
        <v>50</v>
      </c>
      <c r="D149">
        <v>703313</v>
      </c>
      <c r="E149" t="s">
        <v>203</v>
      </c>
      <c r="F149" t="s">
        <v>21</v>
      </c>
      <c r="G149" t="s">
        <v>76</v>
      </c>
      <c r="H149" t="s">
        <v>77</v>
      </c>
      <c r="J149">
        <v>0</v>
      </c>
      <c r="K149">
        <v>0</v>
      </c>
    </row>
    <row r="150" spans="2:11" x14ac:dyDescent="0.25">
      <c r="B150" t="s">
        <v>337</v>
      </c>
      <c r="C150" t="s">
        <v>50</v>
      </c>
      <c r="D150">
        <v>703314</v>
      </c>
      <c r="E150" t="s">
        <v>204</v>
      </c>
      <c r="F150" t="s">
        <v>21</v>
      </c>
      <c r="G150" t="s">
        <v>76</v>
      </c>
      <c r="H150" t="s">
        <v>77</v>
      </c>
      <c r="J150">
        <v>0</v>
      </c>
      <c r="K150">
        <v>0</v>
      </c>
    </row>
    <row r="151" spans="2:11" x14ac:dyDescent="0.25">
      <c r="B151" t="s">
        <v>337</v>
      </c>
      <c r="C151" t="s">
        <v>50</v>
      </c>
      <c r="D151">
        <v>703315</v>
      </c>
      <c r="E151" t="s">
        <v>205</v>
      </c>
      <c r="F151" t="s">
        <v>21</v>
      </c>
      <c r="G151" t="s">
        <v>76</v>
      </c>
      <c r="H151" t="s">
        <v>135</v>
      </c>
      <c r="J151">
        <v>0</v>
      </c>
      <c r="K151">
        <v>0</v>
      </c>
    </row>
    <row r="152" spans="2:11" x14ac:dyDescent="0.25">
      <c r="B152" t="s">
        <v>337</v>
      </c>
      <c r="C152" t="s">
        <v>50</v>
      </c>
      <c r="D152">
        <v>703316</v>
      </c>
      <c r="E152" t="s">
        <v>206</v>
      </c>
      <c r="F152" t="s">
        <v>21</v>
      </c>
      <c r="G152" t="s">
        <v>76</v>
      </c>
      <c r="H152" t="s">
        <v>77</v>
      </c>
      <c r="J152">
        <v>0</v>
      </c>
      <c r="K152">
        <v>0</v>
      </c>
    </row>
    <row r="153" spans="2:11" x14ac:dyDescent="0.25">
      <c r="B153" t="s">
        <v>337</v>
      </c>
      <c r="C153" t="s">
        <v>50</v>
      </c>
      <c r="D153">
        <v>703317</v>
      </c>
      <c r="E153" t="s">
        <v>207</v>
      </c>
      <c r="F153" t="s">
        <v>21</v>
      </c>
      <c r="G153" t="s">
        <v>76</v>
      </c>
      <c r="H153" t="s">
        <v>77</v>
      </c>
      <c r="J153">
        <v>0</v>
      </c>
      <c r="K153">
        <v>0</v>
      </c>
    </row>
    <row r="154" spans="2:11" x14ac:dyDescent="0.25">
      <c r="B154" t="s">
        <v>337</v>
      </c>
      <c r="C154" t="s">
        <v>50</v>
      </c>
      <c r="D154">
        <v>703318</v>
      </c>
      <c r="E154" t="s">
        <v>208</v>
      </c>
      <c r="F154" t="s">
        <v>21</v>
      </c>
      <c r="G154" t="s">
        <v>71</v>
      </c>
      <c r="H154" t="s">
        <v>209</v>
      </c>
      <c r="I154" t="s">
        <v>105</v>
      </c>
      <c r="J154">
        <v>342884</v>
      </c>
      <c r="K154">
        <v>342884</v>
      </c>
    </row>
    <row r="155" spans="2:11" x14ac:dyDescent="0.25">
      <c r="B155" t="s">
        <v>337</v>
      </c>
      <c r="C155" t="s">
        <v>50</v>
      </c>
      <c r="D155">
        <v>703319</v>
      </c>
      <c r="E155" t="s">
        <v>210</v>
      </c>
      <c r="F155" t="s">
        <v>21</v>
      </c>
      <c r="G155" t="s">
        <v>61</v>
      </c>
      <c r="H155" t="s">
        <v>79</v>
      </c>
      <c r="J155">
        <v>0</v>
      </c>
      <c r="K155">
        <v>0</v>
      </c>
    </row>
    <row r="156" spans="2:11" x14ac:dyDescent="0.25">
      <c r="B156" t="s">
        <v>337</v>
      </c>
      <c r="C156" t="s">
        <v>50</v>
      </c>
      <c r="D156">
        <v>703320</v>
      </c>
      <c r="E156" t="s">
        <v>211</v>
      </c>
      <c r="F156" t="s">
        <v>21</v>
      </c>
      <c r="G156" t="s">
        <v>71</v>
      </c>
      <c r="H156" t="s">
        <v>135</v>
      </c>
      <c r="J156">
        <v>0</v>
      </c>
      <c r="K156">
        <v>0</v>
      </c>
    </row>
    <row r="157" spans="2:11" x14ac:dyDescent="0.25">
      <c r="B157" t="s">
        <v>337</v>
      </c>
      <c r="C157" t="s">
        <v>50</v>
      </c>
      <c r="D157">
        <v>703321</v>
      </c>
      <c r="E157" t="s">
        <v>212</v>
      </c>
      <c r="F157" t="s">
        <v>21</v>
      </c>
      <c r="G157" t="s">
        <v>22</v>
      </c>
      <c r="H157" t="s">
        <v>23</v>
      </c>
      <c r="J157">
        <v>0</v>
      </c>
      <c r="K157">
        <v>0</v>
      </c>
    </row>
    <row r="158" spans="2:11" x14ac:dyDescent="0.25">
      <c r="B158" t="s">
        <v>337</v>
      </c>
      <c r="C158" t="s">
        <v>50</v>
      </c>
      <c r="D158">
        <v>703322</v>
      </c>
      <c r="E158" t="s">
        <v>213</v>
      </c>
      <c r="F158" t="s">
        <v>21</v>
      </c>
      <c r="G158" t="s">
        <v>22</v>
      </c>
      <c r="H158" t="s">
        <v>23</v>
      </c>
      <c r="J158">
        <v>0</v>
      </c>
      <c r="K158">
        <v>0</v>
      </c>
    </row>
    <row r="159" spans="2:11" x14ac:dyDescent="0.25">
      <c r="B159" t="s">
        <v>337</v>
      </c>
      <c r="C159" t="s">
        <v>50</v>
      </c>
      <c r="D159">
        <v>703323</v>
      </c>
      <c r="E159" t="s">
        <v>214</v>
      </c>
      <c r="F159" t="s">
        <v>21</v>
      </c>
      <c r="G159" t="s">
        <v>22</v>
      </c>
      <c r="H159" t="s">
        <v>23</v>
      </c>
      <c r="J159">
        <v>0</v>
      </c>
      <c r="K159">
        <v>0</v>
      </c>
    </row>
    <row r="160" spans="2:11" x14ac:dyDescent="0.25">
      <c r="B160" t="s">
        <v>337</v>
      </c>
      <c r="C160" t="s">
        <v>50</v>
      </c>
      <c r="D160">
        <v>703324</v>
      </c>
      <c r="E160" t="s">
        <v>215</v>
      </c>
      <c r="F160" t="s">
        <v>21</v>
      </c>
      <c r="G160" t="s">
        <v>22</v>
      </c>
      <c r="H160" t="s">
        <v>23</v>
      </c>
      <c r="J160">
        <v>0</v>
      </c>
      <c r="K160">
        <v>0</v>
      </c>
    </row>
    <row r="161" spans="2:11" x14ac:dyDescent="0.25">
      <c r="B161" t="s">
        <v>337</v>
      </c>
      <c r="C161" t="s">
        <v>50</v>
      </c>
      <c r="D161">
        <v>703325</v>
      </c>
      <c r="E161" t="s">
        <v>216</v>
      </c>
      <c r="F161" t="s">
        <v>21</v>
      </c>
      <c r="G161" t="s">
        <v>22</v>
      </c>
      <c r="H161" t="s">
        <v>23</v>
      </c>
      <c r="J161">
        <v>0</v>
      </c>
      <c r="K161">
        <v>0</v>
      </c>
    </row>
    <row r="162" spans="2:11" x14ac:dyDescent="0.25">
      <c r="B162" t="s">
        <v>337</v>
      </c>
      <c r="C162" t="s">
        <v>50</v>
      </c>
      <c r="D162">
        <v>703326</v>
      </c>
      <c r="E162" t="s">
        <v>217</v>
      </c>
      <c r="F162" t="s">
        <v>21</v>
      </c>
      <c r="G162" t="s">
        <v>22</v>
      </c>
      <c r="H162" t="s">
        <v>23</v>
      </c>
      <c r="J162">
        <v>0</v>
      </c>
      <c r="K162">
        <v>0</v>
      </c>
    </row>
    <row r="163" spans="2:11" x14ac:dyDescent="0.25">
      <c r="B163" t="s">
        <v>337</v>
      </c>
      <c r="C163" t="s">
        <v>50</v>
      </c>
      <c r="D163">
        <v>703327</v>
      </c>
      <c r="E163" t="s">
        <v>218</v>
      </c>
      <c r="F163" t="s">
        <v>21</v>
      </c>
      <c r="G163" t="s">
        <v>76</v>
      </c>
      <c r="H163" t="s">
        <v>77</v>
      </c>
      <c r="J163">
        <v>0</v>
      </c>
      <c r="K163">
        <v>0</v>
      </c>
    </row>
    <row r="164" spans="2:11" x14ac:dyDescent="0.25">
      <c r="B164" t="s">
        <v>337</v>
      </c>
      <c r="C164" t="s">
        <v>50</v>
      </c>
      <c r="D164">
        <v>703328</v>
      </c>
      <c r="E164" t="s">
        <v>219</v>
      </c>
      <c r="F164" t="s">
        <v>21</v>
      </c>
      <c r="G164" t="s">
        <v>22</v>
      </c>
      <c r="H164" t="s">
        <v>23</v>
      </c>
      <c r="J164">
        <v>0</v>
      </c>
      <c r="K164">
        <v>0</v>
      </c>
    </row>
    <row r="165" spans="2:11" x14ac:dyDescent="0.25">
      <c r="B165" t="s">
        <v>337</v>
      </c>
      <c r="C165" t="s">
        <v>50</v>
      </c>
      <c r="D165">
        <v>703329</v>
      </c>
      <c r="E165" t="s">
        <v>220</v>
      </c>
      <c r="F165" t="s">
        <v>21</v>
      </c>
      <c r="G165" t="s">
        <v>22</v>
      </c>
      <c r="H165" t="s">
        <v>23</v>
      </c>
      <c r="J165">
        <v>0</v>
      </c>
      <c r="K165">
        <v>0</v>
      </c>
    </row>
    <row r="166" spans="2:11" x14ac:dyDescent="0.25">
      <c r="B166" t="s">
        <v>337</v>
      </c>
      <c r="C166" t="s">
        <v>50</v>
      </c>
      <c r="D166">
        <v>703330</v>
      </c>
      <c r="E166" t="s">
        <v>221</v>
      </c>
      <c r="F166" t="s">
        <v>21</v>
      </c>
      <c r="G166" t="s">
        <v>22</v>
      </c>
      <c r="H166" t="s">
        <v>23</v>
      </c>
      <c r="I166" t="s">
        <v>105</v>
      </c>
      <c r="J166">
        <v>50000</v>
      </c>
      <c r="K166">
        <v>50000</v>
      </c>
    </row>
    <row r="167" spans="2:11" x14ac:dyDescent="0.25">
      <c r="B167" t="s">
        <v>337</v>
      </c>
      <c r="C167" t="s">
        <v>50</v>
      </c>
      <c r="D167">
        <v>703340</v>
      </c>
      <c r="E167" t="s">
        <v>222</v>
      </c>
      <c r="F167" t="s">
        <v>21</v>
      </c>
      <c r="G167" t="s">
        <v>61</v>
      </c>
      <c r="H167" t="s">
        <v>68</v>
      </c>
      <c r="J167">
        <v>0</v>
      </c>
      <c r="K167">
        <v>0</v>
      </c>
    </row>
    <row r="168" spans="2:11" x14ac:dyDescent="0.25">
      <c r="B168" t="s">
        <v>337</v>
      </c>
      <c r="C168" t="s">
        <v>50</v>
      </c>
      <c r="D168">
        <v>703350</v>
      </c>
      <c r="E168" t="s">
        <v>223</v>
      </c>
      <c r="F168" t="s">
        <v>21</v>
      </c>
      <c r="G168" t="s">
        <v>22</v>
      </c>
      <c r="H168" t="s">
        <v>23</v>
      </c>
      <c r="J168">
        <v>0</v>
      </c>
      <c r="K168">
        <v>0</v>
      </c>
    </row>
    <row r="169" spans="2:11" x14ac:dyDescent="0.25">
      <c r="B169" t="s">
        <v>337</v>
      </c>
      <c r="C169" t="s">
        <v>50</v>
      </c>
      <c r="D169">
        <v>703351</v>
      </c>
      <c r="E169" t="s">
        <v>224</v>
      </c>
      <c r="F169" t="s">
        <v>21</v>
      </c>
      <c r="G169" t="s">
        <v>22</v>
      </c>
      <c r="H169" t="s">
        <v>23</v>
      </c>
      <c r="J169">
        <v>0</v>
      </c>
      <c r="K169">
        <v>0</v>
      </c>
    </row>
    <row r="170" spans="2:11" x14ac:dyDescent="0.25">
      <c r="B170" t="s">
        <v>337</v>
      </c>
      <c r="C170" t="s">
        <v>50</v>
      </c>
      <c r="D170">
        <v>703352</v>
      </c>
      <c r="E170" t="s">
        <v>225</v>
      </c>
      <c r="F170" t="s">
        <v>21</v>
      </c>
      <c r="G170" t="s">
        <v>22</v>
      </c>
      <c r="H170" t="s">
        <v>23</v>
      </c>
      <c r="J170">
        <v>0</v>
      </c>
      <c r="K170">
        <v>0</v>
      </c>
    </row>
    <row r="171" spans="2:11" x14ac:dyDescent="0.25">
      <c r="B171" t="s">
        <v>337</v>
      </c>
      <c r="C171" t="s">
        <v>50</v>
      </c>
      <c r="D171">
        <v>703360</v>
      </c>
      <c r="E171" t="s">
        <v>226</v>
      </c>
      <c r="F171" t="s">
        <v>21</v>
      </c>
      <c r="G171" t="s">
        <v>22</v>
      </c>
      <c r="H171" t="s">
        <v>23</v>
      </c>
      <c r="J171">
        <v>0</v>
      </c>
      <c r="K171">
        <v>0</v>
      </c>
    </row>
    <row r="172" spans="2:11" x14ac:dyDescent="0.25">
      <c r="B172" t="s">
        <v>337</v>
      </c>
      <c r="C172" t="s">
        <v>50</v>
      </c>
      <c r="D172">
        <v>703370</v>
      </c>
      <c r="E172" t="s">
        <v>227</v>
      </c>
      <c r="F172" t="s">
        <v>21</v>
      </c>
      <c r="G172" t="s">
        <v>22</v>
      </c>
      <c r="H172" t="s">
        <v>23</v>
      </c>
      <c r="J172">
        <v>0</v>
      </c>
      <c r="K172">
        <v>0</v>
      </c>
    </row>
    <row r="173" spans="2:11" x14ac:dyDescent="0.25">
      <c r="B173" t="s">
        <v>337</v>
      </c>
      <c r="C173" t="s">
        <v>50</v>
      </c>
      <c r="D173">
        <v>703410</v>
      </c>
      <c r="E173" t="s">
        <v>228</v>
      </c>
      <c r="F173" t="s">
        <v>21</v>
      </c>
      <c r="G173" t="s">
        <v>22</v>
      </c>
      <c r="H173" t="s">
        <v>23</v>
      </c>
      <c r="I173" t="s">
        <v>105</v>
      </c>
      <c r="J173">
        <v>50000</v>
      </c>
      <c r="K173">
        <v>50000</v>
      </c>
    </row>
    <row r="174" spans="2:11" x14ac:dyDescent="0.25">
      <c r="B174" t="s">
        <v>337</v>
      </c>
      <c r="C174" t="s">
        <v>50</v>
      </c>
      <c r="D174">
        <v>703411</v>
      </c>
      <c r="E174" t="s">
        <v>229</v>
      </c>
      <c r="F174" t="s">
        <v>21</v>
      </c>
      <c r="G174" t="s">
        <v>22</v>
      </c>
      <c r="H174" t="s">
        <v>23</v>
      </c>
      <c r="J174">
        <v>0</v>
      </c>
      <c r="K174">
        <v>0</v>
      </c>
    </row>
    <row r="175" spans="2:11" x14ac:dyDescent="0.25">
      <c r="B175" t="s">
        <v>337</v>
      </c>
      <c r="C175" t="s">
        <v>50</v>
      </c>
      <c r="D175">
        <v>703412</v>
      </c>
      <c r="E175" t="s">
        <v>230</v>
      </c>
      <c r="F175" t="s">
        <v>21</v>
      </c>
      <c r="G175" t="s">
        <v>22</v>
      </c>
      <c r="H175" t="s">
        <v>23</v>
      </c>
      <c r="J175">
        <v>0</v>
      </c>
      <c r="K175">
        <v>0</v>
      </c>
    </row>
    <row r="176" spans="2:11" x14ac:dyDescent="0.25">
      <c r="B176" t="s">
        <v>337</v>
      </c>
      <c r="C176" t="s">
        <v>50</v>
      </c>
      <c r="D176">
        <v>703420</v>
      </c>
      <c r="E176" t="s">
        <v>231</v>
      </c>
      <c r="F176" t="s">
        <v>21</v>
      </c>
      <c r="G176" t="s">
        <v>71</v>
      </c>
      <c r="H176" t="s">
        <v>171</v>
      </c>
      <c r="J176">
        <v>0</v>
      </c>
      <c r="K176">
        <v>0</v>
      </c>
    </row>
    <row r="177" spans="2:11" x14ac:dyDescent="0.25">
      <c r="B177" t="s">
        <v>337</v>
      </c>
      <c r="C177" t="s">
        <v>50</v>
      </c>
      <c r="D177">
        <v>703421</v>
      </c>
      <c r="E177" t="s">
        <v>232</v>
      </c>
      <c r="F177" t="s">
        <v>21</v>
      </c>
      <c r="G177" t="s">
        <v>22</v>
      </c>
      <c r="H177" t="s">
        <v>23</v>
      </c>
      <c r="J177">
        <v>0</v>
      </c>
      <c r="K177">
        <v>0</v>
      </c>
    </row>
    <row r="178" spans="2:11" x14ac:dyDescent="0.25">
      <c r="B178" t="s">
        <v>337</v>
      </c>
      <c r="C178" t="s">
        <v>50</v>
      </c>
      <c r="D178">
        <v>703422</v>
      </c>
      <c r="E178" t="s">
        <v>233</v>
      </c>
      <c r="F178" t="s">
        <v>21</v>
      </c>
      <c r="G178" t="s">
        <v>76</v>
      </c>
      <c r="H178" t="s">
        <v>77</v>
      </c>
      <c r="J178">
        <v>0</v>
      </c>
      <c r="K178">
        <v>0</v>
      </c>
    </row>
    <row r="179" spans="2:11" x14ac:dyDescent="0.25">
      <c r="B179" t="s">
        <v>337</v>
      </c>
      <c r="C179" t="s">
        <v>50</v>
      </c>
      <c r="D179">
        <v>703423</v>
      </c>
      <c r="E179" t="s">
        <v>234</v>
      </c>
      <c r="F179" t="s">
        <v>21</v>
      </c>
      <c r="G179" t="s">
        <v>71</v>
      </c>
      <c r="H179" t="s">
        <v>88</v>
      </c>
      <c r="J179">
        <v>0</v>
      </c>
      <c r="K179">
        <v>0</v>
      </c>
    </row>
    <row r="180" spans="2:11" x14ac:dyDescent="0.25">
      <c r="B180" t="s">
        <v>337</v>
      </c>
      <c r="C180" t="s">
        <v>50</v>
      </c>
      <c r="D180">
        <v>703424</v>
      </c>
      <c r="E180" t="s">
        <v>235</v>
      </c>
      <c r="F180" t="s">
        <v>21</v>
      </c>
      <c r="G180" t="s">
        <v>71</v>
      </c>
      <c r="H180" t="s">
        <v>88</v>
      </c>
      <c r="I180" t="s">
        <v>105</v>
      </c>
      <c r="J180">
        <v>670000</v>
      </c>
      <c r="K180">
        <v>670000</v>
      </c>
    </row>
    <row r="181" spans="2:11" x14ac:dyDescent="0.25">
      <c r="B181" t="s">
        <v>337</v>
      </c>
      <c r="C181" t="s">
        <v>50</v>
      </c>
      <c r="D181">
        <v>703425</v>
      </c>
      <c r="E181" t="s">
        <v>236</v>
      </c>
      <c r="F181" t="s">
        <v>21</v>
      </c>
      <c r="G181" t="s">
        <v>76</v>
      </c>
      <c r="H181" t="s">
        <v>77</v>
      </c>
      <c r="J181">
        <v>0</v>
      </c>
      <c r="K181">
        <v>0</v>
      </c>
    </row>
    <row r="182" spans="2:11" x14ac:dyDescent="0.25">
      <c r="B182" t="s">
        <v>337</v>
      </c>
      <c r="C182" t="s">
        <v>50</v>
      </c>
      <c r="D182">
        <v>703426</v>
      </c>
      <c r="E182" t="s">
        <v>237</v>
      </c>
      <c r="F182" t="s">
        <v>21</v>
      </c>
      <c r="G182" t="s">
        <v>22</v>
      </c>
      <c r="H182" t="s">
        <v>23</v>
      </c>
      <c r="J182">
        <v>0</v>
      </c>
      <c r="K182">
        <v>0</v>
      </c>
    </row>
    <row r="183" spans="2:11" x14ac:dyDescent="0.25">
      <c r="B183" t="s">
        <v>337</v>
      </c>
      <c r="C183" t="s">
        <v>50</v>
      </c>
      <c r="D183">
        <v>703427</v>
      </c>
      <c r="E183" t="s">
        <v>238</v>
      </c>
      <c r="F183" t="s">
        <v>21</v>
      </c>
      <c r="G183" t="s">
        <v>76</v>
      </c>
      <c r="H183" t="s">
        <v>77</v>
      </c>
      <c r="J183">
        <v>0</v>
      </c>
      <c r="K183">
        <v>0</v>
      </c>
    </row>
    <row r="184" spans="2:11" x14ac:dyDescent="0.25">
      <c r="B184" t="s">
        <v>337</v>
      </c>
      <c r="C184" t="s">
        <v>50</v>
      </c>
      <c r="D184">
        <v>703428</v>
      </c>
      <c r="E184" t="s">
        <v>239</v>
      </c>
      <c r="F184" t="s">
        <v>21</v>
      </c>
      <c r="G184" t="s">
        <v>76</v>
      </c>
      <c r="H184" t="s">
        <v>77</v>
      </c>
      <c r="J184">
        <v>0</v>
      </c>
      <c r="K184">
        <v>0</v>
      </c>
    </row>
    <row r="185" spans="2:11" x14ac:dyDescent="0.25">
      <c r="B185" t="s">
        <v>337</v>
      </c>
      <c r="C185" t="s">
        <v>50</v>
      </c>
      <c r="D185">
        <v>703429</v>
      </c>
      <c r="E185" t="s">
        <v>240</v>
      </c>
      <c r="F185" t="s">
        <v>21</v>
      </c>
      <c r="G185" t="s">
        <v>76</v>
      </c>
      <c r="H185" t="s">
        <v>77</v>
      </c>
      <c r="J185">
        <v>0</v>
      </c>
      <c r="K185">
        <v>0</v>
      </c>
    </row>
    <row r="186" spans="2:11" x14ac:dyDescent="0.25">
      <c r="B186" t="s">
        <v>337</v>
      </c>
      <c r="C186" t="s">
        <v>50</v>
      </c>
      <c r="D186">
        <v>703430</v>
      </c>
      <c r="E186" t="s">
        <v>20</v>
      </c>
      <c r="F186" t="s">
        <v>21</v>
      </c>
      <c r="G186" t="s">
        <v>22</v>
      </c>
      <c r="H186" t="s">
        <v>23</v>
      </c>
      <c r="J186">
        <v>0</v>
      </c>
      <c r="K186">
        <v>0</v>
      </c>
    </row>
    <row r="187" spans="2:11" x14ac:dyDescent="0.25">
      <c r="B187" t="s">
        <v>337</v>
      </c>
      <c r="C187" t="s">
        <v>50</v>
      </c>
      <c r="D187">
        <v>703431</v>
      </c>
      <c r="E187" t="s">
        <v>241</v>
      </c>
      <c r="F187" t="s">
        <v>21</v>
      </c>
      <c r="G187" t="s">
        <v>22</v>
      </c>
      <c r="H187" t="s">
        <v>23</v>
      </c>
      <c r="J187">
        <v>0</v>
      </c>
      <c r="K187">
        <v>0</v>
      </c>
    </row>
    <row r="188" spans="2:11" x14ac:dyDescent="0.25">
      <c r="B188" t="s">
        <v>337</v>
      </c>
      <c r="C188" t="s">
        <v>50</v>
      </c>
      <c r="D188">
        <v>703432</v>
      </c>
      <c r="E188" t="s">
        <v>242</v>
      </c>
      <c r="F188" t="s">
        <v>21</v>
      </c>
      <c r="G188" t="s">
        <v>22</v>
      </c>
      <c r="H188" t="s">
        <v>23</v>
      </c>
      <c r="J188">
        <v>0</v>
      </c>
      <c r="K188">
        <v>0</v>
      </c>
    </row>
    <row r="189" spans="2:11" x14ac:dyDescent="0.25">
      <c r="B189" t="s">
        <v>337</v>
      </c>
      <c r="C189" t="s">
        <v>50</v>
      </c>
      <c r="D189">
        <v>703433</v>
      </c>
      <c r="E189" t="s">
        <v>243</v>
      </c>
      <c r="F189" t="s">
        <v>21</v>
      </c>
      <c r="G189" t="s">
        <v>71</v>
      </c>
      <c r="H189" t="s">
        <v>88</v>
      </c>
      <c r="J189">
        <v>0</v>
      </c>
      <c r="K189">
        <v>0</v>
      </c>
    </row>
    <row r="190" spans="2:11" x14ac:dyDescent="0.25">
      <c r="B190" t="s">
        <v>337</v>
      </c>
      <c r="C190" t="s">
        <v>50</v>
      </c>
      <c r="D190">
        <v>703434</v>
      </c>
      <c r="E190" t="s">
        <v>244</v>
      </c>
      <c r="F190" t="s">
        <v>21</v>
      </c>
      <c r="G190" t="s">
        <v>22</v>
      </c>
      <c r="H190" t="s">
        <v>23</v>
      </c>
      <c r="J190">
        <v>0</v>
      </c>
      <c r="K190">
        <v>0</v>
      </c>
    </row>
    <row r="191" spans="2:11" x14ac:dyDescent="0.25">
      <c r="B191" t="s">
        <v>337</v>
      </c>
      <c r="C191" t="s">
        <v>50</v>
      </c>
      <c r="D191">
        <v>703435</v>
      </c>
      <c r="E191" t="s">
        <v>245</v>
      </c>
      <c r="F191" t="s">
        <v>21</v>
      </c>
      <c r="G191" t="s">
        <v>71</v>
      </c>
      <c r="H191" t="s">
        <v>88</v>
      </c>
      <c r="J191">
        <v>0</v>
      </c>
      <c r="K191">
        <v>0</v>
      </c>
    </row>
    <row r="192" spans="2:11" x14ac:dyDescent="0.25">
      <c r="B192" t="s">
        <v>337</v>
      </c>
      <c r="C192" t="s">
        <v>50</v>
      </c>
      <c r="D192">
        <v>703436</v>
      </c>
      <c r="E192" t="s">
        <v>246</v>
      </c>
      <c r="F192" t="s">
        <v>21</v>
      </c>
      <c r="G192" t="s">
        <v>71</v>
      </c>
      <c r="H192" t="s">
        <v>88</v>
      </c>
      <c r="J192">
        <v>0</v>
      </c>
      <c r="K192">
        <v>0</v>
      </c>
    </row>
    <row r="193" spans="2:11" x14ac:dyDescent="0.25">
      <c r="B193" t="s">
        <v>337</v>
      </c>
      <c r="C193" t="s">
        <v>50</v>
      </c>
      <c r="D193">
        <v>703437</v>
      </c>
      <c r="E193" t="s">
        <v>247</v>
      </c>
      <c r="F193" t="s">
        <v>21</v>
      </c>
      <c r="G193" t="s">
        <v>71</v>
      </c>
      <c r="H193" t="s">
        <v>88</v>
      </c>
      <c r="J193">
        <v>0</v>
      </c>
      <c r="K193">
        <v>0</v>
      </c>
    </row>
    <row r="194" spans="2:11" x14ac:dyDescent="0.25">
      <c r="B194" t="s">
        <v>337</v>
      </c>
      <c r="C194" t="s">
        <v>50</v>
      </c>
      <c r="D194">
        <v>703438</v>
      </c>
      <c r="E194" t="s">
        <v>248</v>
      </c>
      <c r="F194" t="s">
        <v>21</v>
      </c>
      <c r="G194" t="s">
        <v>71</v>
      </c>
      <c r="H194" t="s">
        <v>88</v>
      </c>
      <c r="J194">
        <v>0</v>
      </c>
      <c r="K194">
        <v>0</v>
      </c>
    </row>
    <row r="195" spans="2:11" x14ac:dyDescent="0.25">
      <c r="B195" t="s">
        <v>337</v>
      </c>
      <c r="C195" t="s">
        <v>50</v>
      </c>
      <c r="D195">
        <v>703439</v>
      </c>
      <c r="E195" t="s">
        <v>249</v>
      </c>
      <c r="F195" t="s">
        <v>21</v>
      </c>
      <c r="G195" t="s">
        <v>22</v>
      </c>
      <c r="H195" t="s">
        <v>23</v>
      </c>
      <c r="J195">
        <v>0</v>
      </c>
      <c r="K195">
        <v>0</v>
      </c>
    </row>
    <row r="196" spans="2:11" x14ac:dyDescent="0.25">
      <c r="B196" t="s">
        <v>337</v>
      </c>
      <c r="C196" t="s">
        <v>50</v>
      </c>
      <c r="D196">
        <v>703440</v>
      </c>
      <c r="E196" t="s">
        <v>250</v>
      </c>
      <c r="F196" t="s">
        <v>21</v>
      </c>
      <c r="G196" t="s">
        <v>61</v>
      </c>
      <c r="H196" t="s">
        <v>68</v>
      </c>
      <c r="J196">
        <v>0</v>
      </c>
      <c r="K196">
        <v>0</v>
      </c>
    </row>
    <row r="197" spans="2:11" x14ac:dyDescent="0.25">
      <c r="B197" t="s">
        <v>337</v>
      </c>
      <c r="C197" t="s">
        <v>50</v>
      </c>
      <c r="D197">
        <v>703441</v>
      </c>
      <c r="E197" t="s">
        <v>251</v>
      </c>
      <c r="F197" t="s">
        <v>21</v>
      </c>
      <c r="G197" t="s">
        <v>61</v>
      </c>
      <c r="H197" t="s">
        <v>79</v>
      </c>
      <c r="J197">
        <v>0</v>
      </c>
      <c r="K197">
        <v>0</v>
      </c>
    </row>
    <row r="198" spans="2:11" x14ac:dyDescent="0.25">
      <c r="B198" t="s">
        <v>337</v>
      </c>
      <c r="C198" t="s">
        <v>50</v>
      </c>
      <c r="D198">
        <v>703442</v>
      </c>
      <c r="E198" t="s">
        <v>252</v>
      </c>
      <c r="F198" t="s">
        <v>21</v>
      </c>
      <c r="G198" t="s">
        <v>76</v>
      </c>
      <c r="H198" t="s">
        <v>77</v>
      </c>
      <c r="J198">
        <v>0</v>
      </c>
      <c r="K198">
        <v>0</v>
      </c>
    </row>
    <row r="199" spans="2:11" x14ac:dyDescent="0.25">
      <c r="B199" t="s">
        <v>337</v>
      </c>
      <c r="C199" t="s">
        <v>50</v>
      </c>
      <c r="D199">
        <v>703443</v>
      </c>
      <c r="E199" t="s">
        <v>253</v>
      </c>
      <c r="F199" t="s">
        <v>21</v>
      </c>
      <c r="G199" t="s">
        <v>71</v>
      </c>
      <c r="H199" t="s">
        <v>88</v>
      </c>
      <c r="I199" t="s">
        <v>105</v>
      </c>
      <c r="J199">
        <v>2660324</v>
      </c>
      <c r="K199">
        <v>2660324</v>
      </c>
    </row>
    <row r="200" spans="2:11" x14ac:dyDescent="0.25">
      <c r="B200" t="s">
        <v>337</v>
      </c>
      <c r="C200" t="s">
        <v>50</v>
      </c>
      <c r="D200">
        <v>703444</v>
      </c>
      <c r="E200" t="s">
        <v>254</v>
      </c>
      <c r="F200" t="s">
        <v>21</v>
      </c>
      <c r="G200" t="s">
        <v>22</v>
      </c>
      <c r="H200" t="s">
        <v>23</v>
      </c>
      <c r="I200" t="s">
        <v>105</v>
      </c>
      <c r="J200">
        <v>50000</v>
      </c>
      <c r="K200">
        <v>50000</v>
      </c>
    </row>
    <row r="201" spans="2:11" x14ac:dyDescent="0.25">
      <c r="B201" t="s">
        <v>337</v>
      </c>
      <c r="C201" t="s">
        <v>50</v>
      </c>
      <c r="D201">
        <v>703445</v>
      </c>
      <c r="E201" t="s">
        <v>255</v>
      </c>
      <c r="F201" t="s">
        <v>21</v>
      </c>
      <c r="G201" t="s">
        <v>22</v>
      </c>
      <c r="H201" t="s">
        <v>23</v>
      </c>
      <c r="J201">
        <v>0</v>
      </c>
      <c r="K201">
        <v>0</v>
      </c>
    </row>
    <row r="202" spans="2:11" x14ac:dyDescent="0.25">
      <c r="B202" t="s">
        <v>337</v>
      </c>
      <c r="C202" t="s">
        <v>50</v>
      </c>
      <c r="D202">
        <v>703446</v>
      </c>
      <c r="E202" t="s">
        <v>256</v>
      </c>
      <c r="F202" t="s">
        <v>21</v>
      </c>
      <c r="G202" t="s">
        <v>22</v>
      </c>
      <c r="H202" t="s">
        <v>23</v>
      </c>
      <c r="J202">
        <v>0</v>
      </c>
      <c r="K202">
        <v>0</v>
      </c>
    </row>
    <row r="203" spans="2:11" x14ac:dyDescent="0.25">
      <c r="B203" t="s">
        <v>337</v>
      </c>
      <c r="C203" t="s">
        <v>50</v>
      </c>
      <c r="D203">
        <v>703447</v>
      </c>
      <c r="E203" t="s">
        <v>257</v>
      </c>
      <c r="F203" t="s">
        <v>21</v>
      </c>
      <c r="G203" t="s">
        <v>22</v>
      </c>
      <c r="H203" t="s">
        <v>23</v>
      </c>
      <c r="J203">
        <v>0</v>
      </c>
      <c r="K203">
        <v>0</v>
      </c>
    </row>
    <row r="204" spans="2:11" x14ac:dyDescent="0.25">
      <c r="B204" t="s">
        <v>337</v>
      </c>
      <c r="C204" t="s">
        <v>50</v>
      </c>
      <c r="D204">
        <v>703448</v>
      </c>
      <c r="E204" t="s">
        <v>258</v>
      </c>
      <c r="F204" t="s">
        <v>21</v>
      </c>
      <c r="G204" t="s">
        <v>22</v>
      </c>
      <c r="H204" t="s">
        <v>23</v>
      </c>
      <c r="J204">
        <v>0</v>
      </c>
      <c r="K204">
        <v>0</v>
      </c>
    </row>
    <row r="205" spans="2:11" x14ac:dyDescent="0.25">
      <c r="B205" t="s">
        <v>337</v>
      </c>
      <c r="C205" t="s">
        <v>50</v>
      </c>
      <c r="D205">
        <v>703449</v>
      </c>
      <c r="E205" t="s">
        <v>259</v>
      </c>
      <c r="F205" t="s">
        <v>21</v>
      </c>
      <c r="G205" t="s">
        <v>22</v>
      </c>
      <c r="H205" t="s">
        <v>23</v>
      </c>
      <c r="J205">
        <v>0</v>
      </c>
      <c r="K205">
        <v>0</v>
      </c>
    </row>
    <row r="206" spans="2:11" x14ac:dyDescent="0.25">
      <c r="B206" t="s">
        <v>337</v>
      </c>
      <c r="C206" t="s">
        <v>50</v>
      </c>
      <c r="D206">
        <v>703450</v>
      </c>
      <c r="E206" t="s">
        <v>260</v>
      </c>
      <c r="F206" t="s">
        <v>21</v>
      </c>
      <c r="G206" t="s">
        <v>71</v>
      </c>
      <c r="H206" t="s">
        <v>88</v>
      </c>
      <c r="J206">
        <v>0</v>
      </c>
      <c r="K206">
        <v>0</v>
      </c>
    </row>
    <row r="207" spans="2:11" x14ac:dyDescent="0.25">
      <c r="B207" t="s">
        <v>337</v>
      </c>
      <c r="C207" t="s">
        <v>50</v>
      </c>
      <c r="D207">
        <v>703510</v>
      </c>
      <c r="E207" t="s">
        <v>261</v>
      </c>
      <c r="F207" t="s">
        <v>21</v>
      </c>
      <c r="G207" t="s">
        <v>22</v>
      </c>
      <c r="H207" t="s">
        <v>23</v>
      </c>
      <c r="J207">
        <v>0</v>
      </c>
      <c r="K207">
        <v>0</v>
      </c>
    </row>
    <row r="208" spans="2:11" x14ac:dyDescent="0.25">
      <c r="B208" t="s">
        <v>337</v>
      </c>
      <c r="C208" t="s">
        <v>50</v>
      </c>
      <c r="D208">
        <v>703511</v>
      </c>
      <c r="E208" t="s">
        <v>262</v>
      </c>
      <c r="F208" t="s">
        <v>21</v>
      </c>
      <c r="G208" t="s">
        <v>22</v>
      </c>
      <c r="H208" t="s">
        <v>23</v>
      </c>
      <c r="J208">
        <v>0</v>
      </c>
      <c r="K208">
        <v>0</v>
      </c>
    </row>
    <row r="209" spans="2:11" x14ac:dyDescent="0.25">
      <c r="B209" t="s">
        <v>337</v>
      </c>
      <c r="C209" t="s">
        <v>50</v>
      </c>
      <c r="D209">
        <v>703512</v>
      </c>
      <c r="E209" t="s">
        <v>263</v>
      </c>
      <c r="F209" t="s">
        <v>21</v>
      </c>
      <c r="G209" t="s">
        <v>22</v>
      </c>
      <c r="H209" t="s">
        <v>23</v>
      </c>
      <c r="J209">
        <v>0</v>
      </c>
      <c r="K209">
        <v>0</v>
      </c>
    </row>
    <row r="210" spans="2:11" x14ac:dyDescent="0.25">
      <c r="B210" t="s">
        <v>337</v>
      </c>
      <c r="C210" t="s">
        <v>50</v>
      </c>
      <c r="D210">
        <v>703513</v>
      </c>
      <c r="E210" t="s">
        <v>264</v>
      </c>
      <c r="F210" t="s">
        <v>21</v>
      </c>
      <c r="G210" t="s">
        <v>22</v>
      </c>
      <c r="H210" t="s">
        <v>23</v>
      </c>
      <c r="J210">
        <v>0</v>
      </c>
      <c r="K210">
        <v>0</v>
      </c>
    </row>
    <row r="211" spans="2:11" x14ac:dyDescent="0.25">
      <c r="B211" t="s">
        <v>337</v>
      </c>
      <c r="C211" t="s">
        <v>50</v>
      </c>
      <c r="D211">
        <v>703514</v>
      </c>
      <c r="E211" t="s">
        <v>265</v>
      </c>
      <c r="F211" t="s">
        <v>21</v>
      </c>
      <c r="G211" t="s">
        <v>22</v>
      </c>
      <c r="H211" t="s">
        <v>23</v>
      </c>
      <c r="J211">
        <v>0</v>
      </c>
      <c r="K211">
        <v>0</v>
      </c>
    </row>
    <row r="212" spans="2:11" x14ac:dyDescent="0.25">
      <c r="B212" t="s">
        <v>337</v>
      </c>
      <c r="C212" t="s">
        <v>50</v>
      </c>
      <c r="D212">
        <v>703515</v>
      </c>
      <c r="E212" t="s">
        <v>266</v>
      </c>
      <c r="F212" t="s">
        <v>21</v>
      </c>
      <c r="G212" t="s">
        <v>22</v>
      </c>
      <c r="H212" t="s">
        <v>23</v>
      </c>
      <c r="J212">
        <v>0</v>
      </c>
      <c r="K212">
        <v>0</v>
      </c>
    </row>
    <row r="213" spans="2:11" x14ac:dyDescent="0.25">
      <c r="B213" t="s">
        <v>337</v>
      </c>
      <c r="C213" t="s">
        <v>50</v>
      </c>
      <c r="D213">
        <v>703520</v>
      </c>
      <c r="E213" t="s">
        <v>267</v>
      </c>
      <c r="F213" t="s">
        <v>21</v>
      </c>
      <c r="G213" t="s">
        <v>22</v>
      </c>
      <c r="H213" t="s">
        <v>23</v>
      </c>
      <c r="I213" t="s">
        <v>105</v>
      </c>
      <c r="J213">
        <v>15000</v>
      </c>
      <c r="K213">
        <v>15000</v>
      </c>
    </row>
    <row r="214" spans="2:11" x14ac:dyDescent="0.25">
      <c r="B214" t="s">
        <v>337</v>
      </c>
      <c r="C214" t="s">
        <v>50</v>
      </c>
      <c r="D214">
        <v>703530</v>
      </c>
      <c r="E214" t="s">
        <v>268</v>
      </c>
      <c r="F214" t="s">
        <v>21</v>
      </c>
      <c r="G214" t="s">
        <v>22</v>
      </c>
      <c r="H214" t="s">
        <v>23</v>
      </c>
      <c r="J214">
        <v>0</v>
      </c>
      <c r="K214">
        <v>0</v>
      </c>
    </row>
    <row r="215" spans="2:11" x14ac:dyDescent="0.25">
      <c r="B215" t="s">
        <v>337</v>
      </c>
      <c r="C215" t="s">
        <v>50</v>
      </c>
      <c r="D215">
        <v>703540</v>
      </c>
      <c r="E215" t="s">
        <v>269</v>
      </c>
      <c r="F215" t="s">
        <v>21</v>
      </c>
      <c r="G215" t="s">
        <v>22</v>
      </c>
      <c r="H215" t="s">
        <v>23</v>
      </c>
      <c r="J215">
        <v>0</v>
      </c>
      <c r="K215">
        <v>0</v>
      </c>
    </row>
    <row r="216" spans="2:11" x14ac:dyDescent="0.25">
      <c r="B216" t="s">
        <v>337</v>
      </c>
      <c r="C216" t="s">
        <v>50</v>
      </c>
      <c r="D216">
        <v>703550</v>
      </c>
      <c r="E216" t="s">
        <v>270</v>
      </c>
      <c r="F216" t="s">
        <v>21</v>
      </c>
      <c r="G216" t="s">
        <v>22</v>
      </c>
      <c r="H216" t="s">
        <v>23</v>
      </c>
      <c r="J216">
        <v>0</v>
      </c>
      <c r="K216">
        <v>0</v>
      </c>
    </row>
    <row r="217" spans="2:11" x14ac:dyDescent="0.25">
      <c r="B217" t="s">
        <v>337</v>
      </c>
      <c r="C217" t="s">
        <v>50</v>
      </c>
      <c r="D217">
        <v>703560</v>
      </c>
      <c r="E217" t="s">
        <v>271</v>
      </c>
      <c r="F217" t="s">
        <v>21</v>
      </c>
      <c r="G217" t="s">
        <v>22</v>
      </c>
      <c r="H217" t="s">
        <v>23</v>
      </c>
      <c r="J217">
        <v>0</v>
      </c>
      <c r="K217">
        <v>0</v>
      </c>
    </row>
    <row r="218" spans="2:11" x14ac:dyDescent="0.25">
      <c r="B218" t="s">
        <v>337</v>
      </c>
      <c r="C218" t="s">
        <v>50</v>
      </c>
      <c r="D218">
        <v>703570</v>
      </c>
      <c r="E218" t="s">
        <v>272</v>
      </c>
      <c r="F218" t="s">
        <v>21</v>
      </c>
      <c r="G218" t="s">
        <v>22</v>
      </c>
      <c r="H218" t="s">
        <v>23</v>
      </c>
      <c r="J218">
        <v>0</v>
      </c>
      <c r="K218">
        <v>0</v>
      </c>
    </row>
    <row r="219" spans="2:11" x14ac:dyDescent="0.25">
      <c r="B219" t="s">
        <v>337</v>
      </c>
      <c r="C219" t="s">
        <v>50</v>
      </c>
      <c r="D219">
        <v>703571</v>
      </c>
      <c r="E219" t="s">
        <v>273</v>
      </c>
      <c r="F219" t="s">
        <v>21</v>
      </c>
      <c r="G219" t="s">
        <v>22</v>
      </c>
      <c r="H219" t="s">
        <v>23</v>
      </c>
      <c r="J219">
        <v>0</v>
      </c>
    </row>
    <row r="220" spans="2:11" x14ac:dyDescent="0.25">
      <c r="B220" t="s">
        <v>337</v>
      </c>
      <c r="C220" t="s">
        <v>50</v>
      </c>
      <c r="D220">
        <v>703572</v>
      </c>
      <c r="E220" t="s">
        <v>274</v>
      </c>
      <c r="F220" t="s">
        <v>21</v>
      </c>
      <c r="G220" t="s">
        <v>22</v>
      </c>
      <c r="H220" t="s">
        <v>23</v>
      </c>
      <c r="J220">
        <v>0</v>
      </c>
    </row>
    <row r="221" spans="2:11" x14ac:dyDescent="0.25">
      <c r="B221" t="s">
        <v>337</v>
      </c>
      <c r="C221" t="s">
        <v>50</v>
      </c>
      <c r="D221">
        <v>703573</v>
      </c>
      <c r="E221" t="s">
        <v>275</v>
      </c>
      <c r="F221" t="s">
        <v>21</v>
      </c>
      <c r="G221" t="s">
        <v>22</v>
      </c>
      <c r="H221" t="s">
        <v>23</v>
      </c>
      <c r="J221">
        <v>0</v>
      </c>
    </row>
    <row r="222" spans="2:11" x14ac:dyDescent="0.25">
      <c r="B222" t="s">
        <v>337</v>
      </c>
      <c r="C222" t="s">
        <v>50</v>
      </c>
      <c r="D222">
        <v>703574</v>
      </c>
      <c r="E222" t="s">
        <v>276</v>
      </c>
      <c r="F222" t="s">
        <v>21</v>
      </c>
      <c r="G222" t="s">
        <v>22</v>
      </c>
      <c r="H222" t="s">
        <v>23</v>
      </c>
      <c r="J222">
        <v>0</v>
      </c>
    </row>
    <row r="223" spans="2:11" x14ac:dyDescent="0.25">
      <c r="B223" t="s">
        <v>337</v>
      </c>
      <c r="C223" t="s">
        <v>50</v>
      </c>
      <c r="D223">
        <v>703580</v>
      </c>
      <c r="E223" t="s">
        <v>277</v>
      </c>
      <c r="F223" t="s">
        <v>21</v>
      </c>
      <c r="G223" t="s">
        <v>22</v>
      </c>
      <c r="H223" t="s">
        <v>23</v>
      </c>
      <c r="J223">
        <v>0</v>
      </c>
      <c r="K223">
        <v>0</v>
      </c>
    </row>
    <row r="224" spans="2:11" x14ac:dyDescent="0.25">
      <c r="B224" t="s">
        <v>337</v>
      </c>
      <c r="C224" t="s">
        <v>50</v>
      </c>
      <c r="D224">
        <v>703590</v>
      </c>
      <c r="E224" t="s">
        <v>278</v>
      </c>
      <c r="F224" t="s">
        <v>21</v>
      </c>
      <c r="G224" t="s">
        <v>22</v>
      </c>
      <c r="H224" t="s">
        <v>23</v>
      </c>
      <c r="I224" t="s">
        <v>105</v>
      </c>
      <c r="J224">
        <v>150000</v>
      </c>
      <c r="K224">
        <v>150000</v>
      </c>
    </row>
    <row r="225" spans="2:11" x14ac:dyDescent="0.25">
      <c r="B225" t="s">
        <v>337</v>
      </c>
      <c r="C225" t="s">
        <v>50</v>
      </c>
      <c r="D225">
        <v>703650</v>
      </c>
      <c r="E225" t="s">
        <v>279</v>
      </c>
      <c r="F225" t="s">
        <v>21</v>
      </c>
      <c r="G225" t="s">
        <v>22</v>
      </c>
      <c r="H225" t="s">
        <v>23</v>
      </c>
      <c r="J225">
        <v>0</v>
      </c>
      <c r="K225">
        <v>0</v>
      </c>
    </row>
    <row r="226" spans="2:11" x14ac:dyDescent="0.25">
      <c r="B226" t="s">
        <v>337</v>
      </c>
      <c r="C226" t="s">
        <v>50</v>
      </c>
      <c r="D226">
        <v>703651</v>
      </c>
      <c r="E226" t="s">
        <v>280</v>
      </c>
      <c r="F226" t="s">
        <v>21</v>
      </c>
      <c r="G226" t="s">
        <v>22</v>
      </c>
      <c r="H226" t="s">
        <v>23</v>
      </c>
      <c r="J226">
        <v>0</v>
      </c>
      <c r="K226">
        <v>0</v>
      </c>
    </row>
    <row r="227" spans="2:11" x14ac:dyDescent="0.25">
      <c r="B227" t="s">
        <v>337</v>
      </c>
      <c r="C227" t="s">
        <v>50</v>
      </c>
      <c r="D227">
        <v>703850</v>
      </c>
      <c r="E227" t="s">
        <v>281</v>
      </c>
      <c r="F227" t="s">
        <v>21</v>
      </c>
      <c r="G227" t="s">
        <v>22</v>
      </c>
      <c r="H227" t="s">
        <v>23</v>
      </c>
      <c r="J227">
        <v>0</v>
      </c>
      <c r="K227">
        <v>0</v>
      </c>
    </row>
    <row r="228" spans="2:11" x14ac:dyDescent="0.25">
      <c r="B228" t="s">
        <v>337</v>
      </c>
      <c r="C228" t="s">
        <v>50</v>
      </c>
      <c r="D228">
        <v>703851</v>
      </c>
      <c r="E228" t="s">
        <v>282</v>
      </c>
      <c r="F228" t="s">
        <v>21</v>
      </c>
      <c r="G228" t="s">
        <v>22</v>
      </c>
      <c r="H228" t="s">
        <v>23</v>
      </c>
      <c r="J228">
        <v>0</v>
      </c>
      <c r="K228">
        <v>0</v>
      </c>
    </row>
    <row r="229" spans="2:11" x14ac:dyDescent="0.25">
      <c r="B229" t="s">
        <v>337</v>
      </c>
      <c r="C229" t="s">
        <v>50</v>
      </c>
      <c r="D229">
        <v>703852</v>
      </c>
      <c r="E229" t="s">
        <v>283</v>
      </c>
      <c r="F229" t="s">
        <v>21</v>
      </c>
      <c r="G229" t="s">
        <v>22</v>
      </c>
      <c r="H229" t="s">
        <v>23</v>
      </c>
      <c r="J229">
        <v>0</v>
      </c>
      <c r="K229">
        <v>0</v>
      </c>
    </row>
    <row r="230" spans="2:11" x14ac:dyDescent="0.25">
      <c r="B230" t="s">
        <v>337</v>
      </c>
      <c r="C230" t="s">
        <v>50</v>
      </c>
      <c r="D230">
        <v>703853</v>
      </c>
      <c r="E230" t="s">
        <v>284</v>
      </c>
      <c r="F230" t="s">
        <v>21</v>
      </c>
      <c r="G230" t="s">
        <v>22</v>
      </c>
      <c r="H230" t="s">
        <v>23</v>
      </c>
      <c r="J230">
        <v>0</v>
      </c>
      <c r="K230">
        <v>0</v>
      </c>
    </row>
    <row r="231" spans="2:11" x14ac:dyDescent="0.25">
      <c r="B231" t="s">
        <v>337</v>
      </c>
      <c r="C231" t="s">
        <v>50</v>
      </c>
      <c r="D231">
        <v>703854</v>
      </c>
      <c r="E231" t="s">
        <v>285</v>
      </c>
      <c r="F231" t="s">
        <v>21</v>
      </c>
      <c r="G231" t="s">
        <v>22</v>
      </c>
      <c r="H231" t="s">
        <v>115</v>
      </c>
      <c r="J231">
        <v>0</v>
      </c>
      <c r="K231">
        <v>0</v>
      </c>
    </row>
    <row r="232" spans="2:11" x14ac:dyDescent="0.25">
      <c r="B232" t="s">
        <v>337</v>
      </c>
      <c r="C232" t="s">
        <v>50</v>
      </c>
      <c r="D232">
        <v>703855</v>
      </c>
      <c r="E232" t="s">
        <v>286</v>
      </c>
      <c r="F232" t="s">
        <v>21</v>
      </c>
      <c r="G232" t="s">
        <v>22</v>
      </c>
      <c r="H232" t="s">
        <v>23</v>
      </c>
      <c r="I232" t="s">
        <v>105</v>
      </c>
      <c r="J232">
        <v>80000</v>
      </c>
      <c r="K232">
        <v>80000</v>
      </c>
    </row>
    <row r="233" spans="2:11" x14ac:dyDescent="0.25">
      <c r="B233" t="s">
        <v>337</v>
      </c>
      <c r="C233" t="s">
        <v>50</v>
      </c>
      <c r="D233">
        <v>703856</v>
      </c>
      <c r="E233" t="s">
        <v>287</v>
      </c>
      <c r="F233" t="s">
        <v>21</v>
      </c>
      <c r="G233" t="s">
        <v>22</v>
      </c>
      <c r="H233" t="s">
        <v>23</v>
      </c>
      <c r="J233">
        <v>0</v>
      </c>
      <c r="K233">
        <v>0</v>
      </c>
    </row>
    <row r="234" spans="2:11" x14ac:dyDescent="0.25">
      <c r="B234" t="s">
        <v>337</v>
      </c>
      <c r="C234" t="s">
        <v>50</v>
      </c>
      <c r="D234">
        <v>703857</v>
      </c>
      <c r="E234" t="s">
        <v>288</v>
      </c>
      <c r="F234" t="s">
        <v>21</v>
      </c>
      <c r="G234" t="s">
        <v>71</v>
      </c>
      <c r="H234" t="s">
        <v>88</v>
      </c>
      <c r="J234">
        <v>0</v>
      </c>
      <c r="K234">
        <v>0</v>
      </c>
    </row>
    <row r="235" spans="2:11" x14ac:dyDescent="0.25">
      <c r="B235" t="s">
        <v>337</v>
      </c>
      <c r="C235" t="s">
        <v>50</v>
      </c>
      <c r="D235">
        <v>703858</v>
      </c>
      <c r="E235" t="s">
        <v>289</v>
      </c>
      <c r="F235" t="s">
        <v>21</v>
      </c>
      <c r="G235" t="s">
        <v>22</v>
      </c>
      <c r="H235" t="s">
        <v>23</v>
      </c>
      <c r="J235">
        <v>0</v>
      </c>
      <c r="K235">
        <v>0</v>
      </c>
    </row>
    <row r="236" spans="2:11" x14ac:dyDescent="0.25">
      <c r="B236" t="s">
        <v>337</v>
      </c>
      <c r="C236" t="s">
        <v>50</v>
      </c>
      <c r="D236">
        <v>703859</v>
      </c>
      <c r="E236" t="s">
        <v>290</v>
      </c>
      <c r="F236" t="s">
        <v>21</v>
      </c>
      <c r="G236" t="s">
        <v>22</v>
      </c>
      <c r="H236" t="s">
        <v>23</v>
      </c>
      <c r="J236">
        <v>0</v>
      </c>
      <c r="K236">
        <v>0</v>
      </c>
    </row>
    <row r="237" spans="2:11" x14ac:dyDescent="0.25">
      <c r="B237" t="s">
        <v>337</v>
      </c>
      <c r="C237" t="s">
        <v>50</v>
      </c>
      <c r="D237">
        <v>703860</v>
      </c>
      <c r="E237" t="s">
        <v>291</v>
      </c>
      <c r="F237" t="s">
        <v>21</v>
      </c>
      <c r="G237" t="s">
        <v>22</v>
      </c>
      <c r="H237" t="s">
        <v>23</v>
      </c>
      <c r="I237" t="s">
        <v>105</v>
      </c>
      <c r="J237">
        <v>250000</v>
      </c>
      <c r="K237">
        <v>250000</v>
      </c>
    </row>
    <row r="238" spans="2:11" x14ac:dyDescent="0.25">
      <c r="B238" t="s">
        <v>337</v>
      </c>
      <c r="C238" t="s">
        <v>50</v>
      </c>
      <c r="D238">
        <v>703861</v>
      </c>
      <c r="E238" t="s">
        <v>292</v>
      </c>
      <c r="F238" t="s">
        <v>21</v>
      </c>
      <c r="G238" t="s">
        <v>22</v>
      </c>
      <c r="H238" t="s">
        <v>23</v>
      </c>
      <c r="J238">
        <v>0</v>
      </c>
      <c r="K238">
        <v>0</v>
      </c>
    </row>
    <row r="239" spans="2:11" x14ac:dyDescent="0.25">
      <c r="B239" t="s">
        <v>337</v>
      </c>
      <c r="C239" t="s">
        <v>50</v>
      </c>
      <c r="D239">
        <v>703862</v>
      </c>
      <c r="E239" t="s">
        <v>293</v>
      </c>
      <c r="F239" t="s">
        <v>21</v>
      </c>
      <c r="G239" t="s">
        <v>22</v>
      </c>
      <c r="H239" t="s">
        <v>23</v>
      </c>
      <c r="I239" t="s">
        <v>105</v>
      </c>
      <c r="J239">
        <v>1272000</v>
      </c>
      <c r="K239">
        <v>1272000</v>
      </c>
    </row>
    <row r="240" spans="2:11" x14ac:dyDescent="0.25">
      <c r="B240" t="s">
        <v>337</v>
      </c>
      <c r="C240" t="s">
        <v>50</v>
      </c>
      <c r="D240">
        <v>703870</v>
      </c>
      <c r="E240" t="s">
        <v>294</v>
      </c>
      <c r="F240" t="s">
        <v>21</v>
      </c>
      <c r="G240" t="s">
        <v>22</v>
      </c>
      <c r="H240" t="s">
        <v>23</v>
      </c>
      <c r="J240">
        <v>0</v>
      </c>
      <c r="K240">
        <v>0</v>
      </c>
    </row>
    <row r="241" spans="2:11" x14ac:dyDescent="0.25">
      <c r="B241" t="s">
        <v>337</v>
      </c>
      <c r="C241" t="s">
        <v>50</v>
      </c>
      <c r="D241">
        <v>703880</v>
      </c>
      <c r="E241" t="s">
        <v>295</v>
      </c>
      <c r="F241" t="s">
        <v>21</v>
      </c>
      <c r="G241" t="s">
        <v>22</v>
      </c>
      <c r="H241" t="s">
        <v>23</v>
      </c>
      <c r="J241">
        <v>0</v>
      </c>
      <c r="K241">
        <v>0</v>
      </c>
    </row>
    <row r="242" spans="2:11" x14ac:dyDescent="0.25">
      <c r="B242" t="s">
        <v>337</v>
      </c>
      <c r="C242" t="s">
        <v>50</v>
      </c>
      <c r="D242">
        <v>703899</v>
      </c>
      <c r="E242" t="s">
        <v>296</v>
      </c>
      <c r="F242" t="s">
        <v>21</v>
      </c>
      <c r="G242" t="s">
        <v>22</v>
      </c>
      <c r="H242" t="s">
        <v>23</v>
      </c>
      <c r="J242">
        <v>0</v>
      </c>
      <c r="K242">
        <v>0</v>
      </c>
    </row>
    <row r="243" spans="2:11" x14ac:dyDescent="0.25">
      <c r="B243" t="s">
        <v>337</v>
      </c>
      <c r="C243" t="s">
        <v>50</v>
      </c>
      <c r="D243">
        <v>706700</v>
      </c>
      <c r="E243" t="s">
        <v>25</v>
      </c>
      <c r="F243" t="s">
        <v>26</v>
      </c>
      <c r="G243" t="s">
        <v>27</v>
      </c>
      <c r="H243" t="s">
        <v>28</v>
      </c>
      <c r="J243">
        <v>6561391.2000000002</v>
      </c>
      <c r="K243">
        <v>6561391.2000000002</v>
      </c>
    </row>
    <row r="244" spans="2:11" x14ac:dyDescent="0.25">
      <c r="B244" t="s">
        <v>337</v>
      </c>
      <c r="C244" t="s">
        <v>50</v>
      </c>
      <c r="D244" t="s">
        <v>29</v>
      </c>
      <c r="E244" t="s">
        <v>30</v>
      </c>
      <c r="F244" t="s">
        <v>26</v>
      </c>
      <c r="G244" t="s">
        <v>27</v>
      </c>
      <c r="H244" t="s">
        <v>31</v>
      </c>
      <c r="J244">
        <v>0</v>
      </c>
      <c r="K244">
        <v>0</v>
      </c>
    </row>
    <row r="245" spans="2:11" x14ac:dyDescent="0.25">
      <c r="B245" t="s">
        <v>337</v>
      </c>
      <c r="C245" t="s">
        <v>50</v>
      </c>
      <c r="D245" t="s">
        <v>32</v>
      </c>
      <c r="E245" t="s">
        <v>33</v>
      </c>
      <c r="F245" t="s">
        <v>26</v>
      </c>
      <c r="G245" t="s">
        <v>27</v>
      </c>
      <c r="H245" t="s">
        <v>28</v>
      </c>
      <c r="J245">
        <v>0</v>
      </c>
      <c r="K245">
        <v>0</v>
      </c>
    </row>
    <row r="246" spans="2:11" x14ac:dyDescent="0.25">
      <c r="B246" t="s">
        <v>337</v>
      </c>
      <c r="C246" t="s">
        <v>50</v>
      </c>
      <c r="D246" t="s">
        <v>34</v>
      </c>
      <c r="E246" t="s">
        <v>35</v>
      </c>
      <c r="F246" t="s">
        <v>26</v>
      </c>
      <c r="G246" t="s">
        <v>36</v>
      </c>
      <c r="H246" t="s">
        <v>36</v>
      </c>
      <c r="J246">
        <v>0</v>
      </c>
      <c r="K246">
        <v>0</v>
      </c>
    </row>
    <row r="247" spans="2:11" x14ac:dyDescent="0.25">
      <c r="B247" t="s">
        <v>337</v>
      </c>
      <c r="C247" t="s">
        <v>50</v>
      </c>
      <c r="D247" t="s">
        <v>37</v>
      </c>
      <c r="E247" t="s">
        <v>38</v>
      </c>
      <c r="F247" t="s">
        <v>21</v>
      </c>
      <c r="G247" t="s">
        <v>39</v>
      </c>
      <c r="H247" t="s">
        <v>39</v>
      </c>
      <c r="J247">
        <v>0</v>
      </c>
      <c r="K247">
        <v>0</v>
      </c>
    </row>
    <row r="248" spans="2:11" x14ac:dyDescent="0.25">
      <c r="B248" t="s">
        <v>337</v>
      </c>
      <c r="C248" t="s">
        <v>50</v>
      </c>
      <c r="D248" t="s">
        <v>40</v>
      </c>
      <c r="E248" t="s">
        <v>41</v>
      </c>
      <c r="F248" t="s">
        <v>26</v>
      </c>
      <c r="G248" t="s">
        <v>39</v>
      </c>
      <c r="H248" t="s">
        <v>39</v>
      </c>
      <c r="I248" t="s">
        <v>105</v>
      </c>
      <c r="J248">
        <v>1600955</v>
      </c>
      <c r="K248">
        <v>1600955</v>
      </c>
    </row>
    <row r="249" spans="2:11" x14ac:dyDescent="0.25">
      <c r="B249" t="s">
        <v>337</v>
      </c>
      <c r="C249" t="s">
        <v>50</v>
      </c>
      <c r="D249" t="s">
        <v>42</v>
      </c>
      <c r="E249" t="s">
        <v>43</v>
      </c>
      <c r="F249" t="s">
        <v>21</v>
      </c>
      <c r="G249" t="s">
        <v>44</v>
      </c>
      <c r="H249" t="s">
        <v>44</v>
      </c>
      <c r="J249">
        <v>0</v>
      </c>
      <c r="K249">
        <v>0</v>
      </c>
    </row>
    <row r="250" spans="2:11" x14ac:dyDescent="0.25">
      <c r="B250" t="s">
        <v>337</v>
      </c>
      <c r="C250" t="s">
        <v>50</v>
      </c>
      <c r="D250" t="s">
        <v>45</v>
      </c>
      <c r="E250" t="s">
        <v>46</v>
      </c>
      <c r="F250" t="s">
        <v>26</v>
      </c>
      <c r="G250" t="s">
        <v>44</v>
      </c>
      <c r="H250" t="s">
        <v>44</v>
      </c>
      <c r="J250">
        <v>0</v>
      </c>
      <c r="K250">
        <v>0</v>
      </c>
    </row>
    <row r="251" spans="2:11" x14ac:dyDescent="0.25">
      <c r="B251" t="s">
        <v>337</v>
      </c>
      <c r="C251" t="s">
        <v>50</v>
      </c>
      <c r="D251" t="s">
        <v>297</v>
      </c>
      <c r="E251" t="s">
        <v>298</v>
      </c>
      <c r="F251" t="s">
        <v>26</v>
      </c>
      <c r="G251" t="s">
        <v>299</v>
      </c>
      <c r="H251" t="s">
        <v>299</v>
      </c>
      <c r="J251">
        <v>0</v>
      </c>
    </row>
    <row r="252" spans="2:11" x14ac:dyDescent="0.25">
      <c r="B252" t="s">
        <v>337</v>
      </c>
      <c r="C252" t="s">
        <v>50</v>
      </c>
      <c r="D252" t="s">
        <v>300</v>
      </c>
      <c r="E252" t="s">
        <v>301</v>
      </c>
      <c r="F252" t="s">
        <v>21</v>
      </c>
      <c r="G252" t="s">
        <v>299</v>
      </c>
      <c r="H252" t="s">
        <v>299</v>
      </c>
      <c r="J252">
        <v>0</v>
      </c>
    </row>
    <row r="253" spans="2:11" x14ac:dyDescent="0.25">
      <c r="B253" t="s">
        <v>337</v>
      </c>
      <c r="C253" t="s">
        <v>50</v>
      </c>
      <c r="D253" t="s">
        <v>47</v>
      </c>
      <c r="E253" t="s">
        <v>48</v>
      </c>
      <c r="F253" t="s">
        <v>26</v>
      </c>
      <c r="G253" t="s">
        <v>49</v>
      </c>
      <c r="H253" t="s">
        <v>49</v>
      </c>
      <c r="J253">
        <v>0</v>
      </c>
      <c r="K253">
        <v>0</v>
      </c>
    </row>
    <row r="254" spans="2:11" x14ac:dyDescent="0.25">
      <c r="B254" t="s">
        <v>338</v>
      </c>
      <c r="C254" t="s">
        <v>302</v>
      </c>
      <c r="D254">
        <v>701000</v>
      </c>
      <c r="E254" t="s">
        <v>51</v>
      </c>
      <c r="F254" t="s">
        <v>21</v>
      </c>
      <c r="G254" t="s">
        <v>52</v>
      </c>
      <c r="H254" t="s">
        <v>53</v>
      </c>
      <c r="J254">
        <v>0</v>
      </c>
      <c r="K254">
        <v>0</v>
      </c>
    </row>
    <row r="255" spans="2:11" x14ac:dyDescent="0.25">
      <c r="B255" t="s">
        <v>338</v>
      </c>
      <c r="C255" t="s">
        <v>302</v>
      </c>
      <c r="D255">
        <v>701008</v>
      </c>
      <c r="E255" t="s">
        <v>54</v>
      </c>
      <c r="F255" t="s">
        <v>21</v>
      </c>
      <c r="G255" t="s">
        <v>52</v>
      </c>
      <c r="H255" t="s">
        <v>53</v>
      </c>
      <c r="J255">
        <v>0</v>
      </c>
      <c r="K255">
        <v>0</v>
      </c>
    </row>
    <row r="256" spans="2:11" x14ac:dyDescent="0.25">
      <c r="B256" t="s">
        <v>338</v>
      </c>
      <c r="C256" t="s">
        <v>302</v>
      </c>
      <c r="D256">
        <v>701009</v>
      </c>
      <c r="E256" t="s">
        <v>55</v>
      </c>
      <c r="F256" t="s">
        <v>21</v>
      </c>
      <c r="G256" t="s">
        <v>52</v>
      </c>
      <c r="H256" t="s">
        <v>53</v>
      </c>
      <c r="J256">
        <v>0</v>
      </c>
      <c r="K256">
        <v>0</v>
      </c>
    </row>
    <row r="257" spans="2:11" x14ac:dyDescent="0.25">
      <c r="B257" t="s">
        <v>338</v>
      </c>
      <c r="C257" t="s">
        <v>302</v>
      </c>
      <c r="D257">
        <v>701010</v>
      </c>
      <c r="E257" t="s">
        <v>56</v>
      </c>
      <c r="F257" t="s">
        <v>21</v>
      </c>
      <c r="G257" t="s">
        <v>52</v>
      </c>
      <c r="H257" t="s">
        <v>57</v>
      </c>
      <c r="J257">
        <v>0</v>
      </c>
      <c r="K257">
        <v>0</v>
      </c>
    </row>
    <row r="258" spans="2:11" x14ac:dyDescent="0.25">
      <c r="B258" t="s">
        <v>338</v>
      </c>
      <c r="C258" t="s">
        <v>302</v>
      </c>
      <c r="D258">
        <v>701011</v>
      </c>
      <c r="E258" t="s">
        <v>58</v>
      </c>
      <c r="F258" t="s">
        <v>21</v>
      </c>
      <c r="G258" t="s">
        <v>52</v>
      </c>
      <c r="H258" t="s">
        <v>53</v>
      </c>
      <c r="J258">
        <v>0</v>
      </c>
      <c r="K258">
        <v>0</v>
      </c>
    </row>
    <row r="259" spans="2:11" x14ac:dyDescent="0.25">
      <c r="B259" t="s">
        <v>338</v>
      </c>
      <c r="C259" t="s">
        <v>302</v>
      </c>
      <c r="D259">
        <v>701012</v>
      </c>
      <c r="E259" t="s">
        <v>59</v>
      </c>
      <c r="F259" t="s">
        <v>21</v>
      </c>
      <c r="G259" t="s">
        <v>52</v>
      </c>
      <c r="H259" t="s">
        <v>53</v>
      </c>
      <c r="J259">
        <v>0</v>
      </c>
      <c r="K259">
        <v>0</v>
      </c>
    </row>
    <row r="260" spans="2:11" x14ac:dyDescent="0.25">
      <c r="B260" t="s">
        <v>338</v>
      </c>
      <c r="C260" t="s">
        <v>302</v>
      </c>
      <c r="D260">
        <v>701013</v>
      </c>
      <c r="E260" t="s">
        <v>60</v>
      </c>
      <c r="F260" t="s">
        <v>21</v>
      </c>
      <c r="G260" t="s">
        <v>61</v>
      </c>
      <c r="H260" t="s">
        <v>62</v>
      </c>
      <c r="J260">
        <v>0</v>
      </c>
      <c r="K260">
        <v>0</v>
      </c>
    </row>
    <row r="261" spans="2:11" x14ac:dyDescent="0.25">
      <c r="B261" t="s">
        <v>338</v>
      </c>
      <c r="C261" t="s">
        <v>302</v>
      </c>
      <c r="D261">
        <v>701014</v>
      </c>
      <c r="E261" t="s">
        <v>63</v>
      </c>
      <c r="F261" t="s">
        <v>21</v>
      </c>
      <c r="G261" t="s">
        <v>61</v>
      </c>
      <c r="H261" t="s">
        <v>64</v>
      </c>
      <c r="J261">
        <v>0</v>
      </c>
      <c r="K261">
        <v>0</v>
      </c>
    </row>
    <row r="262" spans="2:11" x14ac:dyDescent="0.25">
      <c r="B262" t="s">
        <v>338</v>
      </c>
      <c r="C262" t="s">
        <v>302</v>
      </c>
      <c r="D262">
        <v>701015</v>
      </c>
      <c r="E262" t="s">
        <v>65</v>
      </c>
      <c r="F262" t="s">
        <v>21</v>
      </c>
      <c r="G262" t="s">
        <v>52</v>
      </c>
      <c r="H262" t="s">
        <v>53</v>
      </c>
      <c r="J262">
        <v>0</v>
      </c>
      <c r="K262">
        <v>0</v>
      </c>
    </row>
    <row r="263" spans="2:11" x14ac:dyDescent="0.25">
      <c r="B263" t="s">
        <v>338</v>
      </c>
      <c r="C263" t="s">
        <v>302</v>
      </c>
      <c r="D263">
        <v>701016</v>
      </c>
      <c r="E263" t="s">
        <v>66</v>
      </c>
      <c r="F263" t="s">
        <v>21</v>
      </c>
      <c r="G263" t="s">
        <v>52</v>
      </c>
      <c r="H263" t="s">
        <v>53</v>
      </c>
      <c r="J263">
        <v>0</v>
      </c>
      <c r="K263">
        <v>0</v>
      </c>
    </row>
    <row r="264" spans="2:11" x14ac:dyDescent="0.25">
      <c r="B264" t="s">
        <v>338</v>
      </c>
      <c r="C264" t="s">
        <v>302</v>
      </c>
      <c r="D264">
        <v>701017</v>
      </c>
      <c r="E264" t="s">
        <v>67</v>
      </c>
      <c r="F264" t="s">
        <v>21</v>
      </c>
      <c r="G264" t="s">
        <v>61</v>
      </c>
      <c r="H264" t="s">
        <v>68</v>
      </c>
      <c r="J264">
        <v>0</v>
      </c>
      <c r="K264">
        <v>0</v>
      </c>
    </row>
    <row r="265" spans="2:11" x14ac:dyDescent="0.25">
      <c r="B265" t="s">
        <v>338</v>
      </c>
      <c r="C265" t="s">
        <v>302</v>
      </c>
      <c r="D265">
        <v>701018</v>
      </c>
      <c r="E265" t="s">
        <v>69</v>
      </c>
      <c r="F265" t="s">
        <v>21</v>
      </c>
      <c r="G265" t="s">
        <v>61</v>
      </c>
      <c r="H265" t="s">
        <v>68</v>
      </c>
      <c r="J265">
        <v>0</v>
      </c>
      <c r="K265">
        <v>0</v>
      </c>
    </row>
    <row r="266" spans="2:11" x14ac:dyDescent="0.25">
      <c r="B266" t="s">
        <v>338</v>
      </c>
      <c r="C266" t="s">
        <v>302</v>
      </c>
      <c r="D266">
        <v>701019</v>
      </c>
      <c r="E266" t="s">
        <v>70</v>
      </c>
      <c r="F266" t="s">
        <v>21</v>
      </c>
      <c r="G266" t="s">
        <v>71</v>
      </c>
      <c r="H266" t="s">
        <v>72</v>
      </c>
      <c r="J266">
        <v>0</v>
      </c>
      <c r="K266">
        <v>0</v>
      </c>
    </row>
    <row r="267" spans="2:11" x14ac:dyDescent="0.25">
      <c r="B267" t="s">
        <v>338</v>
      </c>
      <c r="C267" t="s">
        <v>302</v>
      </c>
      <c r="D267">
        <v>701020</v>
      </c>
      <c r="E267" t="s">
        <v>73</v>
      </c>
      <c r="F267" t="s">
        <v>21</v>
      </c>
      <c r="G267" t="s">
        <v>52</v>
      </c>
      <c r="H267" t="s">
        <v>53</v>
      </c>
      <c r="J267">
        <v>0</v>
      </c>
      <c r="K267">
        <v>0</v>
      </c>
    </row>
    <row r="268" spans="2:11" x14ac:dyDescent="0.25">
      <c r="B268" t="s">
        <v>338</v>
      </c>
      <c r="C268" t="s">
        <v>302</v>
      </c>
      <c r="D268">
        <v>701021</v>
      </c>
      <c r="E268" t="s">
        <v>74</v>
      </c>
      <c r="F268" t="s">
        <v>21</v>
      </c>
      <c r="G268" t="s">
        <v>61</v>
      </c>
      <c r="H268" t="s">
        <v>74</v>
      </c>
      <c r="J268">
        <v>0</v>
      </c>
      <c r="K268">
        <v>0</v>
      </c>
    </row>
    <row r="269" spans="2:11" x14ac:dyDescent="0.25">
      <c r="B269" t="s">
        <v>338</v>
      </c>
      <c r="C269" t="s">
        <v>302</v>
      </c>
      <c r="D269">
        <v>701022</v>
      </c>
      <c r="E269" t="s">
        <v>75</v>
      </c>
      <c r="F269" t="s">
        <v>21</v>
      </c>
      <c r="G269" t="s">
        <v>76</v>
      </c>
      <c r="H269" t="s">
        <v>77</v>
      </c>
      <c r="J269">
        <v>0</v>
      </c>
      <c r="K269">
        <v>0</v>
      </c>
    </row>
    <row r="270" spans="2:11" x14ac:dyDescent="0.25">
      <c r="B270" t="s">
        <v>338</v>
      </c>
      <c r="C270" t="s">
        <v>302</v>
      </c>
      <c r="D270">
        <v>701023</v>
      </c>
      <c r="E270" t="s">
        <v>78</v>
      </c>
      <c r="F270" t="s">
        <v>21</v>
      </c>
      <c r="G270" t="s">
        <v>61</v>
      </c>
      <c r="H270" t="s">
        <v>79</v>
      </c>
      <c r="J270">
        <v>0</v>
      </c>
      <c r="K270">
        <v>0</v>
      </c>
    </row>
    <row r="271" spans="2:11" x14ac:dyDescent="0.25">
      <c r="B271" t="s">
        <v>338</v>
      </c>
      <c r="C271" t="s">
        <v>302</v>
      </c>
      <c r="D271">
        <v>701024</v>
      </c>
      <c r="E271" t="s">
        <v>80</v>
      </c>
      <c r="F271" t="s">
        <v>21</v>
      </c>
      <c r="G271" t="s">
        <v>76</v>
      </c>
      <c r="H271" t="s">
        <v>77</v>
      </c>
      <c r="J271">
        <v>0</v>
      </c>
      <c r="K271">
        <v>0</v>
      </c>
    </row>
    <row r="272" spans="2:11" x14ac:dyDescent="0.25">
      <c r="B272" t="s">
        <v>338</v>
      </c>
      <c r="C272" t="s">
        <v>302</v>
      </c>
      <c r="D272">
        <v>701025</v>
      </c>
      <c r="E272" t="s">
        <v>81</v>
      </c>
      <c r="F272" t="s">
        <v>21</v>
      </c>
      <c r="G272" t="s">
        <v>71</v>
      </c>
      <c r="H272" t="s">
        <v>82</v>
      </c>
      <c r="J272">
        <v>0</v>
      </c>
      <c r="K272">
        <v>0</v>
      </c>
    </row>
    <row r="273" spans="2:11" x14ac:dyDescent="0.25">
      <c r="B273" t="s">
        <v>338</v>
      </c>
      <c r="C273" t="s">
        <v>302</v>
      </c>
      <c r="D273">
        <v>701026</v>
      </c>
      <c r="E273" t="s">
        <v>83</v>
      </c>
      <c r="F273" t="s">
        <v>21</v>
      </c>
      <c r="G273" t="s">
        <v>76</v>
      </c>
      <c r="H273" t="s">
        <v>77</v>
      </c>
      <c r="J273">
        <v>0</v>
      </c>
      <c r="K273">
        <v>0</v>
      </c>
    </row>
    <row r="274" spans="2:11" x14ac:dyDescent="0.25">
      <c r="B274" t="s">
        <v>338</v>
      </c>
      <c r="C274" t="s">
        <v>302</v>
      </c>
      <c r="D274">
        <v>701027</v>
      </c>
      <c r="E274" t="s">
        <v>84</v>
      </c>
      <c r="F274" t="s">
        <v>21</v>
      </c>
      <c r="G274" t="s">
        <v>76</v>
      </c>
      <c r="H274" t="s">
        <v>77</v>
      </c>
      <c r="J274">
        <v>0</v>
      </c>
      <c r="K274">
        <v>0</v>
      </c>
    </row>
    <row r="275" spans="2:11" x14ac:dyDescent="0.25">
      <c r="B275" t="s">
        <v>338</v>
      </c>
      <c r="C275" t="s">
        <v>302</v>
      </c>
      <c r="D275">
        <v>701028</v>
      </c>
      <c r="E275" t="s">
        <v>85</v>
      </c>
      <c r="F275" t="s">
        <v>21</v>
      </c>
      <c r="G275" t="s">
        <v>61</v>
      </c>
      <c r="H275" t="s">
        <v>68</v>
      </c>
      <c r="J275">
        <v>0</v>
      </c>
      <c r="K275">
        <v>0</v>
      </c>
    </row>
    <row r="276" spans="2:11" x14ac:dyDescent="0.25">
      <c r="B276" t="s">
        <v>338</v>
      </c>
      <c r="C276" t="s">
        <v>302</v>
      </c>
      <c r="D276">
        <v>701029</v>
      </c>
      <c r="E276" t="s">
        <v>86</v>
      </c>
      <c r="F276" t="s">
        <v>21</v>
      </c>
      <c r="G276" t="s">
        <v>61</v>
      </c>
      <c r="H276" t="s">
        <v>68</v>
      </c>
      <c r="J276">
        <v>0</v>
      </c>
      <c r="K276">
        <v>0</v>
      </c>
    </row>
    <row r="277" spans="2:11" x14ac:dyDescent="0.25">
      <c r="B277" t="s">
        <v>338</v>
      </c>
      <c r="C277" t="s">
        <v>302</v>
      </c>
      <c r="D277">
        <v>701030</v>
      </c>
      <c r="E277" t="s">
        <v>87</v>
      </c>
      <c r="F277" t="s">
        <v>21</v>
      </c>
      <c r="G277" t="s">
        <v>71</v>
      </c>
      <c r="H277" t="s">
        <v>88</v>
      </c>
      <c r="J277">
        <v>0</v>
      </c>
      <c r="K277">
        <v>0</v>
      </c>
    </row>
    <row r="278" spans="2:11" x14ac:dyDescent="0.25">
      <c r="B278" t="s">
        <v>338</v>
      </c>
      <c r="C278" t="s">
        <v>302</v>
      </c>
      <c r="D278">
        <v>701031</v>
      </c>
      <c r="E278" t="s">
        <v>89</v>
      </c>
      <c r="F278" t="s">
        <v>21</v>
      </c>
      <c r="G278" t="s">
        <v>76</v>
      </c>
      <c r="H278" t="s">
        <v>77</v>
      </c>
      <c r="J278">
        <v>0</v>
      </c>
      <c r="K278">
        <v>0</v>
      </c>
    </row>
    <row r="279" spans="2:11" x14ac:dyDescent="0.25">
      <c r="B279" t="s">
        <v>338</v>
      </c>
      <c r="C279" t="s">
        <v>302</v>
      </c>
      <c r="D279">
        <v>701032</v>
      </c>
      <c r="E279" t="s">
        <v>90</v>
      </c>
      <c r="F279" t="s">
        <v>21</v>
      </c>
      <c r="G279" t="s">
        <v>52</v>
      </c>
      <c r="H279" t="s">
        <v>53</v>
      </c>
      <c r="J279">
        <v>0</v>
      </c>
      <c r="K279">
        <v>0</v>
      </c>
    </row>
    <row r="280" spans="2:11" x14ac:dyDescent="0.25">
      <c r="B280" t="s">
        <v>338</v>
      </c>
      <c r="C280" t="s">
        <v>302</v>
      </c>
      <c r="D280">
        <v>701034</v>
      </c>
      <c r="E280" t="s">
        <v>91</v>
      </c>
      <c r="F280" t="s">
        <v>21</v>
      </c>
      <c r="G280" t="s">
        <v>76</v>
      </c>
      <c r="H280" t="s">
        <v>77</v>
      </c>
      <c r="J280">
        <v>0</v>
      </c>
      <c r="K280">
        <v>0</v>
      </c>
    </row>
    <row r="281" spans="2:11" x14ac:dyDescent="0.25">
      <c r="B281" t="s">
        <v>338</v>
      </c>
      <c r="C281" t="s">
        <v>302</v>
      </c>
      <c r="D281">
        <v>701035</v>
      </c>
      <c r="E281" t="s">
        <v>92</v>
      </c>
      <c r="F281" t="s">
        <v>21</v>
      </c>
      <c r="G281" t="s">
        <v>61</v>
      </c>
      <c r="H281" t="s">
        <v>68</v>
      </c>
      <c r="J281">
        <v>0</v>
      </c>
      <c r="K281">
        <v>0</v>
      </c>
    </row>
    <row r="282" spans="2:11" x14ac:dyDescent="0.25">
      <c r="B282" t="s">
        <v>338</v>
      </c>
      <c r="C282" t="s">
        <v>302</v>
      </c>
      <c r="D282">
        <v>701036</v>
      </c>
      <c r="E282" t="s">
        <v>93</v>
      </c>
      <c r="F282" t="s">
        <v>21</v>
      </c>
      <c r="G282" t="s">
        <v>52</v>
      </c>
      <c r="H282" t="s">
        <v>53</v>
      </c>
      <c r="J282">
        <v>0</v>
      </c>
      <c r="K282">
        <v>0</v>
      </c>
    </row>
    <row r="283" spans="2:11" x14ac:dyDescent="0.25">
      <c r="B283" t="s">
        <v>338</v>
      </c>
      <c r="C283" t="s">
        <v>302</v>
      </c>
      <c r="D283">
        <v>701113</v>
      </c>
      <c r="E283" t="s">
        <v>94</v>
      </c>
      <c r="F283" t="s">
        <v>21</v>
      </c>
      <c r="G283" t="s">
        <v>61</v>
      </c>
      <c r="H283" t="s">
        <v>62</v>
      </c>
      <c r="J283">
        <v>0</v>
      </c>
      <c r="K283">
        <v>0</v>
      </c>
    </row>
    <row r="284" spans="2:11" x14ac:dyDescent="0.25">
      <c r="B284" t="s">
        <v>338</v>
      </c>
      <c r="C284" t="s">
        <v>302</v>
      </c>
      <c r="D284">
        <v>701119</v>
      </c>
      <c r="E284" t="s">
        <v>95</v>
      </c>
      <c r="F284" t="s">
        <v>21</v>
      </c>
      <c r="G284" t="s">
        <v>22</v>
      </c>
      <c r="H284" t="s">
        <v>23</v>
      </c>
      <c r="J284">
        <v>0</v>
      </c>
      <c r="K284">
        <v>0</v>
      </c>
    </row>
    <row r="285" spans="2:11" x14ac:dyDescent="0.25">
      <c r="B285" t="s">
        <v>338</v>
      </c>
      <c r="C285" t="s">
        <v>302</v>
      </c>
      <c r="D285">
        <v>701120</v>
      </c>
      <c r="E285" t="s">
        <v>96</v>
      </c>
      <c r="F285" t="s">
        <v>21</v>
      </c>
      <c r="G285" t="s">
        <v>22</v>
      </c>
      <c r="H285" t="s">
        <v>23</v>
      </c>
      <c r="J285">
        <v>0</v>
      </c>
      <c r="K285">
        <v>0</v>
      </c>
    </row>
    <row r="286" spans="2:11" x14ac:dyDescent="0.25">
      <c r="B286" t="s">
        <v>338</v>
      </c>
      <c r="C286" t="s">
        <v>302</v>
      </c>
      <c r="D286">
        <v>701121</v>
      </c>
      <c r="E286" t="s">
        <v>97</v>
      </c>
      <c r="F286" t="s">
        <v>21</v>
      </c>
      <c r="G286" t="s">
        <v>22</v>
      </c>
      <c r="H286" t="s">
        <v>23</v>
      </c>
      <c r="J286">
        <v>0</v>
      </c>
      <c r="K286">
        <v>0</v>
      </c>
    </row>
    <row r="287" spans="2:11" x14ac:dyDescent="0.25">
      <c r="B287" t="s">
        <v>338</v>
      </c>
      <c r="C287" t="s">
        <v>302</v>
      </c>
      <c r="D287">
        <v>701122</v>
      </c>
      <c r="E287" t="s">
        <v>98</v>
      </c>
      <c r="F287" t="s">
        <v>21</v>
      </c>
      <c r="G287" t="s">
        <v>71</v>
      </c>
      <c r="H287" t="s">
        <v>88</v>
      </c>
      <c r="J287">
        <v>0</v>
      </c>
      <c r="K287">
        <v>0</v>
      </c>
    </row>
    <row r="288" spans="2:11" x14ac:dyDescent="0.25">
      <c r="B288" t="s">
        <v>338</v>
      </c>
      <c r="C288" t="s">
        <v>302</v>
      </c>
      <c r="D288">
        <v>701123</v>
      </c>
      <c r="E288" t="s">
        <v>99</v>
      </c>
      <c r="F288" t="s">
        <v>21</v>
      </c>
      <c r="G288" t="s">
        <v>22</v>
      </c>
      <c r="H288" t="s">
        <v>23</v>
      </c>
      <c r="J288">
        <v>0</v>
      </c>
      <c r="K288">
        <v>0</v>
      </c>
    </row>
    <row r="289" spans="2:11" x14ac:dyDescent="0.25">
      <c r="B289" t="s">
        <v>338</v>
      </c>
      <c r="C289" t="s">
        <v>302</v>
      </c>
      <c r="D289">
        <v>701127</v>
      </c>
      <c r="E289" t="s">
        <v>100</v>
      </c>
      <c r="F289" t="s">
        <v>21</v>
      </c>
      <c r="G289" t="s">
        <v>76</v>
      </c>
      <c r="H289" t="s">
        <v>77</v>
      </c>
      <c r="J289">
        <v>0</v>
      </c>
      <c r="K289">
        <v>0</v>
      </c>
    </row>
    <row r="290" spans="2:11" x14ac:dyDescent="0.25">
      <c r="B290" t="s">
        <v>338</v>
      </c>
      <c r="C290" t="s">
        <v>302</v>
      </c>
      <c r="D290">
        <v>701213</v>
      </c>
      <c r="E290" t="s">
        <v>101</v>
      </c>
      <c r="F290" t="s">
        <v>21</v>
      </c>
      <c r="G290" t="s">
        <v>61</v>
      </c>
      <c r="H290" t="s">
        <v>62</v>
      </c>
      <c r="J290">
        <v>0</v>
      </c>
      <c r="K290">
        <v>0</v>
      </c>
    </row>
    <row r="291" spans="2:11" x14ac:dyDescent="0.25">
      <c r="B291" t="s">
        <v>338</v>
      </c>
      <c r="C291" t="s">
        <v>302</v>
      </c>
      <c r="D291">
        <v>701214</v>
      </c>
      <c r="E291" t="s">
        <v>102</v>
      </c>
      <c r="F291" t="s">
        <v>21</v>
      </c>
      <c r="G291" t="s">
        <v>61</v>
      </c>
      <c r="H291" t="s">
        <v>62</v>
      </c>
      <c r="J291">
        <v>0</v>
      </c>
      <c r="K291">
        <v>0</v>
      </c>
    </row>
    <row r="292" spans="2:11" x14ac:dyDescent="0.25">
      <c r="B292" t="s">
        <v>338</v>
      </c>
      <c r="C292" t="s">
        <v>302</v>
      </c>
      <c r="D292">
        <v>701215</v>
      </c>
      <c r="E292" t="s">
        <v>103</v>
      </c>
      <c r="F292" t="s">
        <v>21</v>
      </c>
      <c r="G292" t="s">
        <v>61</v>
      </c>
      <c r="H292" t="s">
        <v>62</v>
      </c>
      <c r="J292">
        <v>0</v>
      </c>
      <c r="K292">
        <v>0</v>
      </c>
    </row>
    <row r="293" spans="2:11" x14ac:dyDescent="0.25">
      <c r="B293" t="s">
        <v>338</v>
      </c>
      <c r="C293" t="s">
        <v>302</v>
      </c>
      <c r="D293">
        <v>701227</v>
      </c>
      <c r="E293" t="s">
        <v>104</v>
      </c>
      <c r="F293" t="s">
        <v>21</v>
      </c>
      <c r="G293" t="s">
        <v>76</v>
      </c>
      <c r="H293" t="s">
        <v>77</v>
      </c>
      <c r="J293">
        <v>0</v>
      </c>
      <c r="K293">
        <v>0</v>
      </c>
    </row>
    <row r="294" spans="2:11" x14ac:dyDescent="0.25">
      <c r="B294" t="s">
        <v>338</v>
      </c>
      <c r="C294" t="s">
        <v>302</v>
      </c>
      <c r="D294">
        <v>701327</v>
      </c>
      <c r="E294" t="s">
        <v>106</v>
      </c>
      <c r="F294" t="s">
        <v>21</v>
      </c>
      <c r="G294" t="s">
        <v>76</v>
      </c>
      <c r="H294" t="s">
        <v>77</v>
      </c>
      <c r="J294">
        <v>0</v>
      </c>
      <c r="K294">
        <v>0</v>
      </c>
    </row>
    <row r="295" spans="2:11" x14ac:dyDescent="0.25">
      <c r="B295" t="s">
        <v>338</v>
      </c>
      <c r="C295" t="s">
        <v>302</v>
      </c>
      <c r="D295">
        <v>701427</v>
      </c>
      <c r="E295" t="s">
        <v>107</v>
      </c>
      <c r="F295" t="s">
        <v>21</v>
      </c>
      <c r="G295" t="s">
        <v>76</v>
      </c>
      <c r="H295" t="s">
        <v>108</v>
      </c>
      <c r="J295">
        <v>0</v>
      </c>
      <c r="K295">
        <v>0</v>
      </c>
    </row>
    <row r="296" spans="2:11" x14ac:dyDescent="0.25">
      <c r="B296" t="s">
        <v>338</v>
      </c>
      <c r="C296" t="s">
        <v>302</v>
      </c>
      <c r="D296">
        <v>701527</v>
      </c>
      <c r="E296" t="s">
        <v>109</v>
      </c>
      <c r="F296" t="s">
        <v>21</v>
      </c>
      <c r="G296" t="s">
        <v>76</v>
      </c>
      <c r="H296" t="s">
        <v>77</v>
      </c>
      <c r="J296">
        <v>0</v>
      </c>
      <c r="K296">
        <v>0</v>
      </c>
    </row>
    <row r="297" spans="2:11" x14ac:dyDescent="0.25">
      <c r="B297" t="s">
        <v>338</v>
      </c>
      <c r="C297" t="s">
        <v>302</v>
      </c>
      <c r="D297">
        <v>701627</v>
      </c>
      <c r="E297" t="s">
        <v>110</v>
      </c>
      <c r="F297" t="s">
        <v>21</v>
      </c>
      <c r="G297" t="s">
        <v>76</v>
      </c>
      <c r="H297" t="s">
        <v>77</v>
      </c>
      <c r="J297">
        <v>0</v>
      </c>
      <c r="K297">
        <v>0</v>
      </c>
    </row>
    <row r="298" spans="2:11" x14ac:dyDescent="0.25">
      <c r="B298" t="s">
        <v>338</v>
      </c>
      <c r="C298" t="s">
        <v>302</v>
      </c>
      <c r="D298">
        <v>701727</v>
      </c>
      <c r="E298" t="s">
        <v>111</v>
      </c>
      <c r="F298" t="s">
        <v>21</v>
      </c>
      <c r="G298" t="s">
        <v>76</v>
      </c>
      <c r="H298" t="s">
        <v>77</v>
      </c>
      <c r="J298">
        <v>0</v>
      </c>
      <c r="K298">
        <v>0</v>
      </c>
    </row>
    <row r="299" spans="2:11" x14ac:dyDescent="0.25">
      <c r="B299" t="s">
        <v>338</v>
      </c>
      <c r="C299" t="s">
        <v>302</v>
      </c>
      <c r="D299">
        <v>701801</v>
      </c>
      <c r="E299" t="s">
        <v>112</v>
      </c>
      <c r="F299" t="s">
        <v>21</v>
      </c>
      <c r="G299" t="s">
        <v>76</v>
      </c>
      <c r="H299" t="s">
        <v>77</v>
      </c>
      <c r="J299">
        <v>0</v>
      </c>
      <c r="K299">
        <v>0</v>
      </c>
    </row>
    <row r="300" spans="2:11" x14ac:dyDescent="0.25">
      <c r="B300" t="s">
        <v>338</v>
      </c>
      <c r="C300" t="s">
        <v>302</v>
      </c>
      <c r="D300">
        <v>701802</v>
      </c>
      <c r="E300" t="s">
        <v>113</v>
      </c>
      <c r="F300" t="s">
        <v>21</v>
      </c>
      <c r="G300" t="s">
        <v>61</v>
      </c>
      <c r="H300" t="s">
        <v>62</v>
      </c>
      <c r="J300">
        <v>0</v>
      </c>
      <c r="K300">
        <v>0</v>
      </c>
    </row>
    <row r="301" spans="2:11" x14ac:dyDescent="0.25">
      <c r="B301" t="s">
        <v>338</v>
      </c>
      <c r="C301" t="s">
        <v>302</v>
      </c>
      <c r="D301">
        <v>703010</v>
      </c>
      <c r="E301" t="s">
        <v>114</v>
      </c>
      <c r="F301" t="s">
        <v>21</v>
      </c>
      <c r="G301" t="s">
        <v>22</v>
      </c>
      <c r="H301" t="s">
        <v>115</v>
      </c>
      <c r="J301">
        <v>0</v>
      </c>
      <c r="K301">
        <v>0</v>
      </c>
    </row>
    <row r="302" spans="2:11" x14ac:dyDescent="0.25">
      <c r="B302" t="s">
        <v>338</v>
      </c>
      <c r="C302" t="s">
        <v>302</v>
      </c>
      <c r="D302">
        <v>703011</v>
      </c>
      <c r="E302" t="s">
        <v>116</v>
      </c>
      <c r="F302" t="s">
        <v>21</v>
      </c>
      <c r="G302" t="s">
        <v>22</v>
      </c>
      <c r="H302" t="s">
        <v>115</v>
      </c>
      <c r="J302">
        <v>0</v>
      </c>
      <c r="K302">
        <v>0</v>
      </c>
    </row>
    <row r="303" spans="2:11" x14ac:dyDescent="0.25">
      <c r="B303" t="s">
        <v>338</v>
      </c>
      <c r="C303" t="s">
        <v>302</v>
      </c>
      <c r="D303">
        <v>703012</v>
      </c>
      <c r="E303" t="s">
        <v>117</v>
      </c>
      <c r="F303" t="s">
        <v>21</v>
      </c>
      <c r="G303" t="s">
        <v>22</v>
      </c>
      <c r="H303" t="s">
        <v>115</v>
      </c>
      <c r="J303">
        <v>0</v>
      </c>
      <c r="K303">
        <v>0</v>
      </c>
    </row>
    <row r="304" spans="2:11" x14ac:dyDescent="0.25">
      <c r="B304" t="s">
        <v>338</v>
      </c>
      <c r="C304" t="s">
        <v>302</v>
      </c>
      <c r="D304">
        <v>703013</v>
      </c>
      <c r="E304" t="s">
        <v>118</v>
      </c>
      <c r="F304" t="s">
        <v>21</v>
      </c>
      <c r="G304" t="s">
        <v>22</v>
      </c>
      <c r="H304" t="s">
        <v>115</v>
      </c>
      <c r="J304">
        <v>0</v>
      </c>
      <c r="K304">
        <v>0</v>
      </c>
    </row>
    <row r="305" spans="2:11" x14ac:dyDescent="0.25">
      <c r="B305" t="s">
        <v>338</v>
      </c>
      <c r="C305" t="s">
        <v>302</v>
      </c>
      <c r="D305">
        <v>703014</v>
      </c>
      <c r="E305" t="s">
        <v>119</v>
      </c>
      <c r="F305" t="s">
        <v>21</v>
      </c>
      <c r="G305" t="s">
        <v>22</v>
      </c>
      <c r="H305" t="s">
        <v>115</v>
      </c>
      <c r="J305">
        <v>0</v>
      </c>
      <c r="K305">
        <v>0</v>
      </c>
    </row>
    <row r="306" spans="2:11" x14ac:dyDescent="0.25">
      <c r="B306" t="s">
        <v>338</v>
      </c>
      <c r="C306" t="s">
        <v>302</v>
      </c>
      <c r="D306">
        <v>703015</v>
      </c>
      <c r="E306" t="s">
        <v>120</v>
      </c>
      <c r="F306" t="s">
        <v>21</v>
      </c>
      <c r="G306" t="s">
        <v>22</v>
      </c>
      <c r="H306" t="s">
        <v>115</v>
      </c>
      <c r="J306">
        <v>0</v>
      </c>
      <c r="K306">
        <v>0</v>
      </c>
    </row>
    <row r="307" spans="2:11" x14ac:dyDescent="0.25">
      <c r="B307" t="s">
        <v>338</v>
      </c>
      <c r="C307" t="s">
        <v>302</v>
      </c>
      <c r="D307">
        <v>703016</v>
      </c>
      <c r="E307" t="s">
        <v>121</v>
      </c>
      <c r="F307" t="s">
        <v>21</v>
      </c>
      <c r="G307" t="s">
        <v>22</v>
      </c>
      <c r="H307" t="s">
        <v>115</v>
      </c>
      <c r="J307">
        <v>0</v>
      </c>
      <c r="K307">
        <v>0</v>
      </c>
    </row>
    <row r="308" spans="2:11" x14ac:dyDescent="0.25">
      <c r="B308" t="s">
        <v>338</v>
      </c>
      <c r="C308" t="s">
        <v>302</v>
      </c>
      <c r="D308">
        <v>703017</v>
      </c>
      <c r="E308" t="s">
        <v>122</v>
      </c>
      <c r="F308" t="s">
        <v>21</v>
      </c>
      <c r="G308" t="s">
        <v>22</v>
      </c>
      <c r="H308" t="s">
        <v>115</v>
      </c>
      <c r="J308">
        <v>0</v>
      </c>
      <c r="K308">
        <v>0</v>
      </c>
    </row>
    <row r="309" spans="2:11" x14ac:dyDescent="0.25">
      <c r="B309" t="s">
        <v>338</v>
      </c>
      <c r="C309" t="s">
        <v>302</v>
      </c>
      <c r="D309">
        <v>703018</v>
      </c>
      <c r="E309" t="s">
        <v>123</v>
      </c>
      <c r="F309" t="s">
        <v>21</v>
      </c>
      <c r="G309" t="s">
        <v>22</v>
      </c>
      <c r="H309" t="s">
        <v>115</v>
      </c>
      <c r="J309">
        <v>0</v>
      </c>
      <c r="K309">
        <v>0</v>
      </c>
    </row>
    <row r="310" spans="2:11" x14ac:dyDescent="0.25">
      <c r="B310" t="s">
        <v>338</v>
      </c>
      <c r="C310" t="s">
        <v>302</v>
      </c>
      <c r="D310">
        <v>703019</v>
      </c>
      <c r="E310" t="s">
        <v>124</v>
      </c>
      <c r="F310" t="s">
        <v>21</v>
      </c>
      <c r="G310" t="s">
        <v>22</v>
      </c>
      <c r="H310" t="s">
        <v>115</v>
      </c>
      <c r="J310">
        <v>0</v>
      </c>
      <c r="K310">
        <v>0</v>
      </c>
    </row>
    <row r="311" spans="2:11" x14ac:dyDescent="0.25">
      <c r="B311" t="s">
        <v>338</v>
      </c>
      <c r="C311" t="s">
        <v>302</v>
      </c>
      <c r="D311">
        <v>703210</v>
      </c>
      <c r="E311" t="s">
        <v>125</v>
      </c>
      <c r="F311" t="s">
        <v>21</v>
      </c>
      <c r="G311" t="s">
        <v>22</v>
      </c>
      <c r="H311" t="s">
        <v>23</v>
      </c>
      <c r="J311">
        <v>0</v>
      </c>
      <c r="K311">
        <v>0</v>
      </c>
    </row>
    <row r="312" spans="2:11" x14ac:dyDescent="0.25">
      <c r="B312" t="s">
        <v>338</v>
      </c>
      <c r="C312" t="s">
        <v>302</v>
      </c>
      <c r="D312">
        <v>703211</v>
      </c>
      <c r="E312" t="s">
        <v>126</v>
      </c>
      <c r="F312" t="s">
        <v>21</v>
      </c>
      <c r="G312" t="s">
        <v>22</v>
      </c>
      <c r="H312" t="s">
        <v>23</v>
      </c>
      <c r="J312">
        <v>0</v>
      </c>
      <c r="K312">
        <v>0</v>
      </c>
    </row>
    <row r="313" spans="2:11" x14ac:dyDescent="0.25">
      <c r="B313" t="s">
        <v>338</v>
      </c>
      <c r="C313" t="s">
        <v>302</v>
      </c>
      <c r="D313">
        <v>703212</v>
      </c>
      <c r="E313" t="s">
        <v>127</v>
      </c>
      <c r="F313" t="s">
        <v>21</v>
      </c>
      <c r="G313" t="s">
        <v>22</v>
      </c>
      <c r="H313" t="s">
        <v>23</v>
      </c>
      <c r="J313">
        <v>0</v>
      </c>
      <c r="K313">
        <v>0</v>
      </c>
    </row>
    <row r="314" spans="2:11" x14ac:dyDescent="0.25">
      <c r="B314" t="s">
        <v>338</v>
      </c>
      <c r="C314" t="s">
        <v>302</v>
      </c>
      <c r="D314">
        <v>703213</v>
      </c>
      <c r="E314" t="s">
        <v>128</v>
      </c>
      <c r="F314" t="s">
        <v>21</v>
      </c>
      <c r="G314" t="s">
        <v>22</v>
      </c>
      <c r="H314" t="s">
        <v>23</v>
      </c>
      <c r="J314">
        <v>0</v>
      </c>
      <c r="K314">
        <v>0</v>
      </c>
    </row>
    <row r="315" spans="2:11" x14ac:dyDescent="0.25">
      <c r="B315" t="s">
        <v>338</v>
      </c>
      <c r="C315" t="s">
        <v>302</v>
      </c>
      <c r="D315">
        <v>703214</v>
      </c>
      <c r="E315" t="s">
        <v>129</v>
      </c>
      <c r="F315" t="s">
        <v>21</v>
      </c>
      <c r="G315" t="s">
        <v>22</v>
      </c>
      <c r="H315" t="s">
        <v>23</v>
      </c>
      <c r="J315">
        <v>0</v>
      </c>
      <c r="K315">
        <v>0</v>
      </c>
    </row>
    <row r="316" spans="2:11" x14ac:dyDescent="0.25">
      <c r="B316" t="s">
        <v>338</v>
      </c>
      <c r="C316" t="s">
        <v>302</v>
      </c>
      <c r="D316">
        <v>703215</v>
      </c>
      <c r="E316" t="s">
        <v>130</v>
      </c>
      <c r="F316" t="s">
        <v>21</v>
      </c>
      <c r="G316" t="s">
        <v>22</v>
      </c>
      <c r="H316" t="s">
        <v>23</v>
      </c>
      <c r="J316">
        <v>0</v>
      </c>
      <c r="K316">
        <v>0</v>
      </c>
    </row>
    <row r="317" spans="2:11" x14ac:dyDescent="0.25">
      <c r="B317" t="s">
        <v>338</v>
      </c>
      <c r="C317" t="s">
        <v>302</v>
      </c>
      <c r="D317">
        <v>703216</v>
      </c>
      <c r="E317" t="s">
        <v>131</v>
      </c>
      <c r="F317" t="s">
        <v>21</v>
      </c>
      <c r="G317" t="s">
        <v>22</v>
      </c>
      <c r="H317" t="s">
        <v>23</v>
      </c>
      <c r="J317">
        <v>0</v>
      </c>
      <c r="K317">
        <v>0</v>
      </c>
    </row>
    <row r="318" spans="2:11" x14ac:dyDescent="0.25">
      <c r="B318" t="s">
        <v>338</v>
      </c>
      <c r="C318" t="s">
        <v>302</v>
      </c>
      <c r="D318">
        <v>703217</v>
      </c>
      <c r="E318" t="s">
        <v>132</v>
      </c>
      <c r="F318" t="s">
        <v>21</v>
      </c>
      <c r="G318" t="s">
        <v>22</v>
      </c>
      <c r="H318" t="s">
        <v>23</v>
      </c>
      <c r="J318">
        <v>0</v>
      </c>
      <c r="K318">
        <v>0</v>
      </c>
    </row>
    <row r="319" spans="2:11" x14ac:dyDescent="0.25">
      <c r="B319" t="s">
        <v>338</v>
      </c>
      <c r="C319" t="s">
        <v>302</v>
      </c>
      <c r="D319">
        <v>703219</v>
      </c>
      <c r="E319" t="s">
        <v>133</v>
      </c>
      <c r="F319" t="s">
        <v>21</v>
      </c>
      <c r="G319" t="s">
        <v>22</v>
      </c>
      <c r="H319" t="s">
        <v>23</v>
      </c>
      <c r="J319">
        <v>0</v>
      </c>
      <c r="K319">
        <v>0</v>
      </c>
    </row>
    <row r="320" spans="2:11" x14ac:dyDescent="0.25">
      <c r="B320" t="s">
        <v>338</v>
      </c>
      <c r="C320" t="s">
        <v>302</v>
      </c>
      <c r="D320">
        <v>703220</v>
      </c>
      <c r="E320" t="s">
        <v>134</v>
      </c>
      <c r="F320" t="s">
        <v>21</v>
      </c>
      <c r="G320" t="s">
        <v>71</v>
      </c>
      <c r="H320" t="s">
        <v>135</v>
      </c>
      <c r="J320">
        <v>0</v>
      </c>
      <c r="K320">
        <v>0</v>
      </c>
    </row>
    <row r="321" spans="2:11" x14ac:dyDescent="0.25">
      <c r="B321" t="s">
        <v>338</v>
      </c>
      <c r="C321" t="s">
        <v>302</v>
      </c>
      <c r="D321">
        <v>703221</v>
      </c>
      <c r="E321" t="s">
        <v>136</v>
      </c>
      <c r="F321" t="s">
        <v>21</v>
      </c>
      <c r="G321" t="s">
        <v>137</v>
      </c>
      <c r="H321" t="s">
        <v>138</v>
      </c>
      <c r="J321">
        <v>0</v>
      </c>
      <c r="K321">
        <v>0</v>
      </c>
    </row>
    <row r="322" spans="2:11" x14ac:dyDescent="0.25">
      <c r="B322" t="s">
        <v>338</v>
      </c>
      <c r="C322" t="s">
        <v>302</v>
      </c>
      <c r="D322">
        <v>703222</v>
      </c>
      <c r="E322" t="s">
        <v>139</v>
      </c>
      <c r="F322" t="s">
        <v>21</v>
      </c>
      <c r="G322" t="s">
        <v>137</v>
      </c>
      <c r="H322" t="s">
        <v>138</v>
      </c>
      <c r="J322">
        <v>0</v>
      </c>
      <c r="K322">
        <v>0</v>
      </c>
    </row>
    <row r="323" spans="2:11" x14ac:dyDescent="0.25">
      <c r="B323" t="s">
        <v>338</v>
      </c>
      <c r="C323" t="s">
        <v>302</v>
      </c>
      <c r="D323">
        <v>703223</v>
      </c>
      <c r="E323" t="s">
        <v>140</v>
      </c>
      <c r="F323" t="s">
        <v>21</v>
      </c>
      <c r="G323" t="s">
        <v>137</v>
      </c>
      <c r="H323" t="s">
        <v>141</v>
      </c>
      <c r="J323">
        <v>0</v>
      </c>
      <c r="K323">
        <v>0</v>
      </c>
    </row>
    <row r="324" spans="2:11" x14ac:dyDescent="0.25">
      <c r="B324" t="s">
        <v>338</v>
      </c>
      <c r="C324" t="s">
        <v>302</v>
      </c>
      <c r="D324">
        <v>703224</v>
      </c>
      <c r="E324" t="s">
        <v>142</v>
      </c>
      <c r="F324" t="s">
        <v>21</v>
      </c>
      <c r="G324" t="s">
        <v>71</v>
      </c>
      <c r="H324" t="s">
        <v>88</v>
      </c>
      <c r="J324">
        <v>0</v>
      </c>
      <c r="K324">
        <v>0</v>
      </c>
    </row>
    <row r="325" spans="2:11" x14ac:dyDescent="0.25">
      <c r="B325" t="s">
        <v>338</v>
      </c>
      <c r="C325" t="s">
        <v>302</v>
      </c>
      <c r="D325">
        <v>703225</v>
      </c>
      <c r="E325" t="s">
        <v>143</v>
      </c>
      <c r="F325" t="s">
        <v>21</v>
      </c>
      <c r="G325" t="s">
        <v>71</v>
      </c>
      <c r="H325" t="s">
        <v>88</v>
      </c>
      <c r="J325">
        <v>0</v>
      </c>
      <c r="K325">
        <v>0</v>
      </c>
    </row>
    <row r="326" spans="2:11" x14ac:dyDescent="0.25">
      <c r="B326" t="s">
        <v>338</v>
      </c>
      <c r="C326" t="s">
        <v>302</v>
      </c>
      <c r="D326">
        <v>703226</v>
      </c>
      <c r="E326" t="s">
        <v>144</v>
      </c>
      <c r="F326" t="s">
        <v>21</v>
      </c>
      <c r="G326" t="s">
        <v>71</v>
      </c>
      <c r="H326" t="s">
        <v>82</v>
      </c>
      <c r="J326">
        <v>0</v>
      </c>
      <c r="K326">
        <v>0</v>
      </c>
    </row>
    <row r="327" spans="2:11" x14ac:dyDescent="0.25">
      <c r="B327" t="s">
        <v>338</v>
      </c>
      <c r="C327" t="s">
        <v>302</v>
      </c>
      <c r="D327">
        <v>703227</v>
      </c>
      <c r="E327" t="s">
        <v>145</v>
      </c>
      <c r="F327" t="s">
        <v>21</v>
      </c>
      <c r="G327" t="s">
        <v>137</v>
      </c>
      <c r="H327" t="s">
        <v>138</v>
      </c>
      <c r="J327">
        <v>0</v>
      </c>
      <c r="K327">
        <v>0</v>
      </c>
    </row>
    <row r="328" spans="2:11" x14ac:dyDescent="0.25">
      <c r="B328" t="s">
        <v>338</v>
      </c>
      <c r="C328" t="s">
        <v>302</v>
      </c>
      <c r="D328">
        <v>703228</v>
      </c>
      <c r="E328" t="s">
        <v>146</v>
      </c>
      <c r="F328" t="s">
        <v>21</v>
      </c>
      <c r="G328" t="s">
        <v>147</v>
      </c>
      <c r="H328" t="s">
        <v>147</v>
      </c>
      <c r="J328">
        <v>0</v>
      </c>
      <c r="K328">
        <v>0</v>
      </c>
    </row>
    <row r="329" spans="2:11" x14ac:dyDescent="0.25">
      <c r="B329" t="s">
        <v>338</v>
      </c>
      <c r="C329" t="s">
        <v>302</v>
      </c>
      <c r="D329">
        <v>703229</v>
      </c>
      <c r="E329" t="s">
        <v>148</v>
      </c>
      <c r="F329" t="s">
        <v>21</v>
      </c>
      <c r="G329" t="s">
        <v>147</v>
      </c>
      <c r="H329" t="s">
        <v>147</v>
      </c>
      <c r="J329">
        <v>0</v>
      </c>
      <c r="K329">
        <v>0</v>
      </c>
    </row>
    <row r="330" spans="2:11" x14ac:dyDescent="0.25">
      <c r="B330" t="s">
        <v>338</v>
      </c>
      <c r="C330" t="s">
        <v>302</v>
      </c>
      <c r="D330">
        <v>703230</v>
      </c>
      <c r="E330" t="s">
        <v>149</v>
      </c>
      <c r="F330" t="s">
        <v>21</v>
      </c>
      <c r="G330" t="s">
        <v>147</v>
      </c>
      <c r="H330" t="s">
        <v>147</v>
      </c>
      <c r="J330">
        <v>0</v>
      </c>
      <c r="K330">
        <v>0</v>
      </c>
    </row>
    <row r="331" spans="2:11" x14ac:dyDescent="0.25">
      <c r="B331" t="s">
        <v>338</v>
      </c>
      <c r="C331" t="s">
        <v>302</v>
      </c>
      <c r="D331">
        <v>703231</v>
      </c>
      <c r="E331" t="s">
        <v>150</v>
      </c>
      <c r="F331" t="s">
        <v>21</v>
      </c>
      <c r="G331" t="s">
        <v>137</v>
      </c>
      <c r="H331" t="s">
        <v>141</v>
      </c>
      <c r="J331">
        <v>0</v>
      </c>
      <c r="K331">
        <v>0</v>
      </c>
    </row>
    <row r="332" spans="2:11" x14ac:dyDescent="0.25">
      <c r="B332" t="s">
        <v>338</v>
      </c>
      <c r="C332" t="s">
        <v>302</v>
      </c>
      <c r="D332">
        <v>703232</v>
      </c>
      <c r="E332" t="s">
        <v>151</v>
      </c>
      <c r="F332" t="s">
        <v>21</v>
      </c>
      <c r="G332" t="s">
        <v>147</v>
      </c>
      <c r="H332" t="s">
        <v>147</v>
      </c>
      <c r="J332">
        <v>0</v>
      </c>
      <c r="K332">
        <v>0</v>
      </c>
    </row>
    <row r="333" spans="2:11" x14ac:dyDescent="0.25">
      <c r="B333" t="s">
        <v>338</v>
      </c>
      <c r="C333" t="s">
        <v>302</v>
      </c>
      <c r="D333">
        <v>703233</v>
      </c>
      <c r="E333" t="s">
        <v>152</v>
      </c>
      <c r="F333" t="s">
        <v>21</v>
      </c>
      <c r="G333" t="s">
        <v>71</v>
      </c>
      <c r="H333" t="s">
        <v>153</v>
      </c>
      <c r="J333">
        <v>0</v>
      </c>
      <c r="K333">
        <v>0</v>
      </c>
    </row>
    <row r="334" spans="2:11" x14ac:dyDescent="0.25">
      <c r="B334" t="s">
        <v>338</v>
      </c>
      <c r="C334" t="s">
        <v>302</v>
      </c>
      <c r="D334">
        <v>703234</v>
      </c>
      <c r="E334" t="s">
        <v>154</v>
      </c>
      <c r="F334" t="s">
        <v>21</v>
      </c>
      <c r="G334" t="s">
        <v>71</v>
      </c>
      <c r="H334" t="s">
        <v>153</v>
      </c>
      <c r="J334">
        <v>0</v>
      </c>
      <c r="K334">
        <v>0</v>
      </c>
    </row>
    <row r="335" spans="2:11" x14ac:dyDescent="0.25">
      <c r="B335" t="s">
        <v>338</v>
      </c>
      <c r="C335" t="s">
        <v>302</v>
      </c>
      <c r="D335">
        <v>703235</v>
      </c>
      <c r="E335" t="s">
        <v>155</v>
      </c>
      <c r="F335" t="s">
        <v>21</v>
      </c>
      <c r="G335" t="s">
        <v>71</v>
      </c>
      <c r="H335" t="s">
        <v>153</v>
      </c>
      <c r="J335">
        <v>0</v>
      </c>
      <c r="K335">
        <v>0</v>
      </c>
    </row>
    <row r="336" spans="2:11" x14ac:dyDescent="0.25">
      <c r="B336" t="s">
        <v>338</v>
      </c>
      <c r="C336" t="s">
        <v>302</v>
      </c>
      <c r="D336">
        <v>703236</v>
      </c>
      <c r="E336" t="s">
        <v>156</v>
      </c>
      <c r="F336" t="s">
        <v>21</v>
      </c>
      <c r="G336" t="s">
        <v>76</v>
      </c>
      <c r="H336" t="s">
        <v>77</v>
      </c>
      <c r="J336">
        <v>0</v>
      </c>
      <c r="K336">
        <v>0</v>
      </c>
    </row>
    <row r="337" spans="2:11" x14ac:dyDescent="0.25">
      <c r="B337" t="s">
        <v>338</v>
      </c>
      <c r="C337" t="s">
        <v>302</v>
      </c>
      <c r="D337">
        <v>703237</v>
      </c>
      <c r="E337" t="s">
        <v>157</v>
      </c>
      <c r="F337" t="s">
        <v>21</v>
      </c>
      <c r="G337" t="s">
        <v>22</v>
      </c>
      <c r="H337" t="s">
        <v>23</v>
      </c>
      <c r="J337">
        <v>0</v>
      </c>
      <c r="K337">
        <v>0</v>
      </c>
    </row>
    <row r="338" spans="2:11" x14ac:dyDescent="0.25">
      <c r="B338" t="s">
        <v>338</v>
      </c>
      <c r="C338" t="s">
        <v>302</v>
      </c>
      <c r="D338">
        <v>703238</v>
      </c>
      <c r="E338" t="s">
        <v>158</v>
      </c>
      <c r="F338" t="s">
        <v>21</v>
      </c>
      <c r="G338" t="s">
        <v>61</v>
      </c>
      <c r="H338" t="s">
        <v>68</v>
      </c>
      <c r="J338">
        <v>0</v>
      </c>
      <c r="K338">
        <v>0</v>
      </c>
    </row>
    <row r="339" spans="2:11" x14ac:dyDescent="0.25">
      <c r="B339" t="s">
        <v>338</v>
      </c>
      <c r="C339" t="s">
        <v>302</v>
      </c>
      <c r="D339">
        <v>703239</v>
      </c>
      <c r="E339" t="s">
        <v>159</v>
      </c>
      <c r="F339" t="s">
        <v>21</v>
      </c>
      <c r="G339" t="s">
        <v>61</v>
      </c>
      <c r="H339" t="s">
        <v>68</v>
      </c>
      <c r="J339">
        <v>0</v>
      </c>
      <c r="K339">
        <v>0</v>
      </c>
    </row>
    <row r="340" spans="2:11" x14ac:dyDescent="0.25">
      <c r="B340" t="s">
        <v>338</v>
      </c>
      <c r="C340" t="s">
        <v>302</v>
      </c>
      <c r="D340">
        <v>703240</v>
      </c>
      <c r="E340" t="s">
        <v>160</v>
      </c>
      <c r="F340" t="s">
        <v>21</v>
      </c>
      <c r="G340" t="s">
        <v>61</v>
      </c>
      <c r="H340" t="s">
        <v>68</v>
      </c>
      <c r="J340">
        <v>0</v>
      </c>
      <c r="K340">
        <v>0</v>
      </c>
    </row>
    <row r="341" spans="2:11" x14ac:dyDescent="0.25">
      <c r="B341" t="s">
        <v>338</v>
      </c>
      <c r="C341" t="s">
        <v>302</v>
      </c>
      <c r="D341">
        <v>703241</v>
      </c>
      <c r="E341" t="s">
        <v>161</v>
      </c>
      <c r="F341" t="s">
        <v>21</v>
      </c>
      <c r="G341" t="s">
        <v>137</v>
      </c>
      <c r="H341" t="s">
        <v>141</v>
      </c>
      <c r="I341" t="s">
        <v>105</v>
      </c>
      <c r="J341">
        <v>554452</v>
      </c>
      <c r="K341">
        <v>554452</v>
      </c>
    </row>
    <row r="342" spans="2:11" x14ac:dyDescent="0.25">
      <c r="B342" t="s">
        <v>338</v>
      </c>
      <c r="C342" t="s">
        <v>302</v>
      </c>
      <c r="D342">
        <v>703242</v>
      </c>
      <c r="E342" t="s">
        <v>162</v>
      </c>
      <c r="F342" t="s">
        <v>21</v>
      </c>
      <c r="G342" t="s">
        <v>137</v>
      </c>
      <c r="H342" t="s">
        <v>141</v>
      </c>
      <c r="J342">
        <v>0</v>
      </c>
      <c r="K342">
        <v>0</v>
      </c>
    </row>
    <row r="343" spans="2:11" x14ac:dyDescent="0.25">
      <c r="B343" t="s">
        <v>338</v>
      </c>
      <c r="C343" t="s">
        <v>302</v>
      </c>
      <c r="D343">
        <v>703243</v>
      </c>
      <c r="E343" t="s">
        <v>163</v>
      </c>
      <c r="F343" t="s">
        <v>21</v>
      </c>
      <c r="G343" t="s">
        <v>137</v>
      </c>
      <c r="H343" t="s">
        <v>141</v>
      </c>
      <c r="J343">
        <v>0</v>
      </c>
      <c r="K343">
        <v>0</v>
      </c>
    </row>
    <row r="344" spans="2:11" x14ac:dyDescent="0.25">
      <c r="B344" t="s">
        <v>338</v>
      </c>
      <c r="C344" t="s">
        <v>302</v>
      </c>
      <c r="D344">
        <v>703244</v>
      </c>
      <c r="E344" t="s">
        <v>164</v>
      </c>
      <c r="F344" t="s">
        <v>21</v>
      </c>
      <c r="G344" t="s">
        <v>71</v>
      </c>
      <c r="H344" t="s">
        <v>88</v>
      </c>
      <c r="J344">
        <v>0</v>
      </c>
      <c r="K344">
        <v>0</v>
      </c>
    </row>
    <row r="345" spans="2:11" x14ac:dyDescent="0.25">
      <c r="B345" t="s">
        <v>338</v>
      </c>
      <c r="C345" t="s">
        <v>302</v>
      </c>
      <c r="D345">
        <v>703245</v>
      </c>
      <c r="E345" t="s">
        <v>165</v>
      </c>
      <c r="F345" t="s">
        <v>21</v>
      </c>
      <c r="G345" t="s">
        <v>137</v>
      </c>
      <c r="H345" t="s">
        <v>138</v>
      </c>
      <c r="J345">
        <v>0</v>
      </c>
      <c r="K345">
        <v>0</v>
      </c>
    </row>
    <row r="346" spans="2:11" x14ac:dyDescent="0.25">
      <c r="B346" t="s">
        <v>338</v>
      </c>
      <c r="C346" t="s">
        <v>302</v>
      </c>
      <c r="D346">
        <v>703246</v>
      </c>
      <c r="E346" t="s">
        <v>166</v>
      </c>
      <c r="F346" t="s">
        <v>21</v>
      </c>
      <c r="G346" t="s">
        <v>137</v>
      </c>
      <c r="H346" t="s">
        <v>138</v>
      </c>
      <c r="J346">
        <v>0</v>
      </c>
      <c r="K346">
        <v>0</v>
      </c>
    </row>
    <row r="347" spans="2:11" x14ac:dyDescent="0.25">
      <c r="B347" t="s">
        <v>338</v>
      </c>
      <c r="C347" t="s">
        <v>302</v>
      </c>
      <c r="D347">
        <v>703247</v>
      </c>
      <c r="E347" t="s">
        <v>167</v>
      </c>
      <c r="F347" t="s">
        <v>21</v>
      </c>
      <c r="G347" t="s">
        <v>137</v>
      </c>
      <c r="H347" t="s">
        <v>138</v>
      </c>
      <c r="J347">
        <v>0</v>
      </c>
      <c r="K347">
        <v>0</v>
      </c>
    </row>
    <row r="348" spans="2:11" x14ac:dyDescent="0.25">
      <c r="B348" t="s">
        <v>338</v>
      </c>
      <c r="C348" t="s">
        <v>302</v>
      </c>
      <c r="D348">
        <v>703248</v>
      </c>
      <c r="E348" t="s">
        <v>168</v>
      </c>
      <c r="F348" t="s">
        <v>21</v>
      </c>
      <c r="G348" t="s">
        <v>137</v>
      </c>
      <c r="H348" t="s">
        <v>141</v>
      </c>
      <c r="J348">
        <v>0</v>
      </c>
      <c r="K348">
        <v>0</v>
      </c>
    </row>
    <row r="349" spans="2:11" x14ac:dyDescent="0.25">
      <c r="B349" t="s">
        <v>338</v>
      </c>
      <c r="C349" t="s">
        <v>302</v>
      </c>
      <c r="D349">
        <v>703249</v>
      </c>
      <c r="E349" t="s">
        <v>169</v>
      </c>
      <c r="F349" t="s">
        <v>21</v>
      </c>
      <c r="G349" t="s">
        <v>147</v>
      </c>
      <c r="H349" t="s">
        <v>147</v>
      </c>
      <c r="J349">
        <v>0</v>
      </c>
      <c r="K349">
        <v>0</v>
      </c>
    </row>
    <row r="350" spans="2:11" x14ac:dyDescent="0.25">
      <c r="B350" t="s">
        <v>338</v>
      </c>
      <c r="C350" t="s">
        <v>302</v>
      </c>
      <c r="D350">
        <v>703250</v>
      </c>
      <c r="E350" t="s">
        <v>170</v>
      </c>
      <c r="F350" t="s">
        <v>21</v>
      </c>
      <c r="G350" t="s">
        <v>71</v>
      </c>
      <c r="H350" t="s">
        <v>171</v>
      </c>
      <c r="J350">
        <v>0</v>
      </c>
      <c r="K350">
        <v>0</v>
      </c>
    </row>
    <row r="351" spans="2:11" x14ac:dyDescent="0.25">
      <c r="B351" t="s">
        <v>338</v>
      </c>
      <c r="C351" t="s">
        <v>302</v>
      </c>
      <c r="D351">
        <v>703251</v>
      </c>
      <c r="E351" t="s">
        <v>172</v>
      </c>
      <c r="F351" t="s">
        <v>21</v>
      </c>
      <c r="G351" t="s">
        <v>22</v>
      </c>
      <c r="H351" t="s">
        <v>115</v>
      </c>
      <c r="J351">
        <v>0</v>
      </c>
      <c r="K351">
        <v>0</v>
      </c>
    </row>
    <row r="352" spans="2:11" x14ac:dyDescent="0.25">
      <c r="B352" t="s">
        <v>338</v>
      </c>
      <c r="C352" t="s">
        <v>302</v>
      </c>
      <c r="D352">
        <v>703252</v>
      </c>
      <c r="E352" t="s">
        <v>173</v>
      </c>
      <c r="F352" t="s">
        <v>21</v>
      </c>
      <c r="G352" t="s">
        <v>22</v>
      </c>
      <c r="H352" t="s">
        <v>115</v>
      </c>
      <c r="J352">
        <v>0</v>
      </c>
      <c r="K352">
        <v>0</v>
      </c>
    </row>
    <row r="353" spans="2:11" x14ac:dyDescent="0.25">
      <c r="B353" t="s">
        <v>338</v>
      </c>
      <c r="C353" t="s">
        <v>302</v>
      </c>
      <c r="D353">
        <v>703253</v>
      </c>
      <c r="E353" t="s">
        <v>174</v>
      </c>
      <c r="F353" t="s">
        <v>21</v>
      </c>
      <c r="G353" t="s">
        <v>22</v>
      </c>
      <c r="H353" t="s">
        <v>115</v>
      </c>
      <c r="J353">
        <v>0</v>
      </c>
      <c r="K353">
        <v>0</v>
      </c>
    </row>
    <row r="354" spans="2:11" x14ac:dyDescent="0.25">
      <c r="B354" t="s">
        <v>338</v>
      </c>
      <c r="C354" t="s">
        <v>302</v>
      </c>
      <c r="D354">
        <v>703254</v>
      </c>
      <c r="E354" t="s">
        <v>175</v>
      </c>
      <c r="F354" t="s">
        <v>21</v>
      </c>
      <c r="G354" t="s">
        <v>22</v>
      </c>
      <c r="H354" t="s">
        <v>115</v>
      </c>
      <c r="J354">
        <v>0</v>
      </c>
      <c r="K354">
        <v>0</v>
      </c>
    </row>
    <row r="355" spans="2:11" x14ac:dyDescent="0.25">
      <c r="B355" t="s">
        <v>338</v>
      </c>
      <c r="C355" t="s">
        <v>302</v>
      </c>
      <c r="D355">
        <v>703255</v>
      </c>
      <c r="E355" t="s">
        <v>176</v>
      </c>
      <c r="F355" t="s">
        <v>21</v>
      </c>
      <c r="G355" t="s">
        <v>22</v>
      </c>
      <c r="H355" t="s">
        <v>115</v>
      </c>
      <c r="J355">
        <v>0</v>
      </c>
      <c r="K355">
        <v>0</v>
      </c>
    </row>
    <row r="356" spans="2:11" x14ac:dyDescent="0.25">
      <c r="B356" t="s">
        <v>338</v>
      </c>
      <c r="C356" t="s">
        <v>302</v>
      </c>
      <c r="D356">
        <v>703257</v>
      </c>
      <c r="E356" t="s">
        <v>177</v>
      </c>
      <c r="F356" t="s">
        <v>21</v>
      </c>
      <c r="G356" t="s">
        <v>147</v>
      </c>
      <c r="H356" t="s">
        <v>147</v>
      </c>
      <c r="J356">
        <v>0</v>
      </c>
      <c r="K356">
        <v>0</v>
      </c>
    </row>
    <row r="357" spans="2:11" x14ac:dyDescent="0.25">
      <c r="B357" t="s">
        <v>338</v>
      </c>
      <c r="C357" t="s">
        <v>302</v>
      </c>
      <c r="D357">
        <v>703258</v>
      </c>
      <c r="E357" t="s">
        <v>178</v>
      </c>
      <c r="F357" t="s">
        <v>21</v>
      </c>
      <c r="G357" t="s">
        <v>147</v>
      </c>
      <c r="H357" t="s">
        <v>147</v>
      </c>
      <c r="J357">
        <v>0</v>
      </c>
      <c r="K357">
        <v>0</v>
      </c>
    </row>
    <row r="358" spans="2:11" x14ac:dyDescent="0.25">
      <c r="B358" t="s">
        <v>338</v>
      </c>
      <c r="C358" t="s">
        <v>302</v>
      </c>
      <c r="D358">
        <v>703260</v>
      </c>
      <c r="E358" t="s">
        <v>179</v>
      </c>
      <c r="F358" t="s">
        <v>21</v>
      </c>
      <c r="G358" t="s">
        <v>76</v>
      </c>
      <c r="H358" t="s">
        <v>77</v>
      </c>
      <c r="J358">
        <v>0</v>
      </c>
      <c r="K358">
        <v>0</v>
      </c>
    </row>
    <row r="359" spans="2:11" x14ac:dyDescent="0.25">
      <c r="B359" t="s">
        <v>338</v>
      </c>
      <c r="C359" t="s">
        <v>302</v>
      </c>
      <c r="D359">
        <v>703261</v>
      </c>
      <c r="E359" t="s">
        <v>180</v>
      </c>
      <c r="F359" t="s">
        <v>21</v>
      </c>
      <c r="G359" t="s">
        <v>22</v>
      </c>
      <c r="H359" t="s">
        <v>115</v>
      </c>
      <c r="J359">
        <v>0</v>
      </c>
      <c r="K359">
        <v>0</v>
      </c>
    </row>
    <row r="360" spans="2:11" x14ac:dyDescent="0.25">
      <c r="B360" t="s">
        <v>338</v>
      </c>
      <c r="C360" t="s">
        <v>302</v>
      </c>
      <c r="D360">
        <v>703262</v>
      </c>
      <c r="E360" t="s">
        <v>181</v>
      </c>
      <c r="F360" t="s">
        <v>21</v>
      </c>
      <c r="G360" t="s">
        <v>22</v>
      </c>
      <c r="H360" t="s">
        <v>23</v>
      </c>
      <c r="J360">
        <v>0</v>
      </c>
      <c r="K360">
        <v>0</v>
      </c>
    </row>
    <row r="361" spans="2:11" x14ac:dyDescent="0.25">
      <c r="B361" t="s">
        <v>338</v>
      </c>
      <c r="C361" t="s">
        <v>302</v>
      </c>
      <c r="D361">
        <v>703263</v>
      </c>
      <c r="E361" t="s">
        <v>182</v>
      </c>
      <c r="F361" t="s">
        <v>21</v>
      </c>
      <c r="G361" t="s">
        <v>22</v>
      </c>
      <c r="H361" t="s">
        <v>115</v>
      </c>
      <c r="J361">
        <v>0</v>
      </c>
      <c r="K361">
        <v>0</v>
      </c>
    </row>
    <row r="362" spans="2:11" x14ac:dyDescent="0.25">
      <c r="B362" t="s">
        <v>338</v>
      </c>
      <c r="C362" t="s">
        <v>302</v>
      </c>
      <c r="D362">
        <v>703264</v>
      </c>
      <c r="E362" t="s">
        <v>183</v>
      </c>
      <c r="F362" t="s">
        <v>21</v>
      </c>
      <c r="G362" t="s">
        <v>22</v>
      </c>
      <c r="H362" t="s">
        <v>115</v>
      </c>
      <c r="J362">
        <v>0</v>
      </c>
      <c r="K362">
        <v>0</v>
      </c>
    </row>
    <row r="363" spans="2:11" x14ac:dyDescent="0.25">
      <c r="B363" t="s">
        <v>338</v>
      </c>
      <c r="C363" t="s">
        <v>302</v>
      </c>
      <c r="D363">
        <v>703265</v>
      </c>
      <c r="E363" t="s">
        <v>184</v>
      </c>
      <c r="F363" t="s">
        <v>21</v>
      </c>
      <c r="G363" t="s">
        <v>22</v>
      </c>
      <c r="H363" t="s">
        <v>115</v>
      </c>
      <c r="J363">
        <v>0</v>
      </c>
      <c r="K363">
        <v>0</v>
      </c>
    </row>
    <row r="364" spans="2:11" x14ac:dyDescent="0.25">
      <c r="B364" t="s">
        <v>338</v>
      </c>
      <c r="C364" t="s">
        <v>302</v>
      </c>
      <c r="D364">
        <v>703266</v>
      </c>
      <c r="E364" t="s">
        <v>185</v>
      </c>
      <c r="F364" t="s">
        <v>21</v>
      </c>
      <c r="G364" t="s">
        <v>71</v>
      </c>
      <c r="H364" t="s">
        <v>186</v>
      </c>
      <c r="J364">
        <v>0</v>
      </c>
      <c r="K364">
        <v>0</v>
      </c>
    </row>
    <row r="365" spans="2:11" x14ac:dyDescent="0.25">
      <c r="B365" t="s">
        <v>338</v>
      </c>
      <c r="C365" t="s">
        <v>302</v>
      </c>
      <c r="D365">
        <v>703267</v>
      </c>
      <c r="E365" t="s">
        <v>187</v>
      </c>
      <c r="F365" t="s">
        <v>21</v>
      </c>
      <c r="G365" t="s">
        <v>71</v>
      </c>
      <c r="H365" t="s">
        <v>88</v>
      </c>
      <c r="J365">
        <v>0</v>
      </c>
      <c r="K365">
        <v>0</v>
      </c>
    </row>
    <row r="366" spans="2:11" x14ac:dyDescent="0.25">
      <c r="B366" t="s">
        <v>338</v>
      </c>
      <c r="C366" t="s">
        <v>302</v>
      </c>
      <c r="D366">
        <v>703268</v>
      </c>
      <c r="E366" t="s">
        <v>188</v>
      </c>
      <c r="F366" t="s">
        <v>21</v>
      </c>
      <c r="G366" t="s">
        <v>147</v>
      </c>
      <c r="H366" t="s">
        <v>147</v>
      </c>
      <c r="J366">
        <v>0</v>
      </c>
      <c r="K366">
        <v>0</v>
      </c>
    </row>
    <row r="367" spans="2:11" x14ac:dyDescent="0.25">
      <c r="B367" t="s">
        <v>338</v>
      </c>
      <c r="C367" t="s">
        <v>302</v>
      </c>
      <c r="D367">
        <v>703269</v>
      </c>
      <c r="E367" t="s">
        <v>189</v>
      </c>
      <c r="F367" t="s">
        <v>21</v>
      </c>
      <c r="G367" t="s">
        <v>147</v>
      </c>
      <c r="H367" t="s">
        <v>147</v>
      </c>
      <c r="J367">
        <v>0</v>
      </c>
      <c r="K367">
        <v>0</v>
      </c>
    </row>
    <row r="368" spans="2:11" x14ac:dyDescent="0.25">
      <c r="B368" t="s">
        <v>338</v>
      </c>
      <c r="C368" t="s">
        <v>302</v>
      </c>
      <c r="D368">
        <v>703270</v>
      </c>
      <c r="E368" t="s">
        <v>190</v>
      </c>
      <c r="F368" t="s">
        <v>21</v>
      </c>
      <c r="G368" t="s">
        <v>137</v>
      </c>
      <c r="H368" t="s">
        <v>141</v>
      </c>
      <c r="J368">
        <v>0</v>
      </c>
      <c r="K368">
        <v>0</v>
      </c>
    </row>
    <row r="369" spans="2:11" x14ac:dyDescent="0.25">
      <c r="B369" t="s">
        <v>338</v>
      </c>
      <c r="C369" t="s">
        <v>302</v>
      </c>
      <c r="D369">
        <v>703271</v>
      </c>
      <c r="E369" t="s">
        <v>191</v>
      </c>
      <c r="F369" t="s">
        <v>21</v>
      </c>
      <c r="G369" t="s">
        <v>22</v>
      </c>
      <c r="H369" t="s">
        <v>115</v>
      </c>
      <c r="I369" t="s">
        <v>105</v>
      </c>
      <c r="J369">
        <v>16000</v>
      </c>
      <c r="K369">
        <v>16000</v>
      </c>
    </row>
    <row r="370" spans="2:11" x14ac:dyDescent="0.25">
      <c r="B370" t="s">
        <v>338</v>
      </c>
      <c r="C370" t="s">
        <v>302</v>
      </c>
      <c r="D370">
        <v>703272</v>
      </c>
      <c r="E370" t="s">
        <v>192</v>
      </c>
      <c r="F370" t="s">
        <v>21</v>
      </c>
      <c r="G370" t="s">
        <v>22</v>
      </c>
      <c r="H370" t="s">
        <v>23</v>
      </c>
      <c r="J370">
        <v>0</v>
      </c>
      <c r="K370">
        <v>0</v>
      </c>
    </row>
    <row r="371" spans="2:11" x14ac:dyDescent="0.25">
      <c r="B371" t="s">
        <v>338</v>
      </c>
      <c r="C371" t="s">
        <v>302</v>
      </c>
      <c r="D371">
        <v>703273</v>
      </c>
      <c r="E371" t="s">
        <v>193</v>
      </c>
      <c r="F371" t="s">
        <v>21</v>
      </c>
      <c r="G371" t="s">
        <v>147</v>
      </c>
      <c r="H371" t="s">
        <v>147</v>
      </c>
      <c r="J371">
        <v>0</v>
      </c>
      <c r="K371">
        <v>0</v>
      </c>
    </row>
    <row r="372" spans="2:11" x14ac:dyDescent="0.25">
      <c r="B372" t="s">
        <v>338</v>
      </c>
      <c r="C372" t="s">
        <v>302</v>
      </c>
      <c r="D372">
        <v>703274</v>
      </c>
      <c r="E372" t="s">
        <v>194</v>
      </c>
      <c r="F372" t="s">
        <v>21</v>
      </c>
      <c r="G372" t="s">
        <v>147</v>
      </c>
      <c r="H372" t="s">
        <v>147</v>
      </c>
      <c r="J372">
        <v>0</v>
      </c>
      <c r="K372">
        <v>0</v>
      </c>
    </row>
    <row r="373" spans="2:11" x14ac:dyDescent="0.25">
      <c r="B373" t="s">
        <v>338</v>
      </c>
      <c r="C373" t="s">
        <v>302</v>
      </c>
      <c r="D373">
        <v>703275</v>
      </c>
      <c r="E373" t="s">
        <v>195</v>
      </c>
      <c r="F373" t="s">
        <v>21</v>
      </c>
      <c r="G373" t="s">
        <v>137</v>
      </c>
      <c r="H373" t="s">
        <v>138</v>
      </c>
      <c r="J373">
        <v>0</v>
      </c>
      <c r="K373">
        <v>0</v>
      </c>
    </row>
    <row r="374" spans="2:11" x14ac:dyDescent="0.25">
      <c r="B374" t="s">
        <v>338</v>
      </c>
      <c r="C374" t="s">
        <v>302</v>
      </c>
      <c r="D374">
        <v>703280</v>
      </c>
      <c r="E374" t="s">
        <v>196</v>
      </c>
      <c r="F374" t="s">
        <v>21</v>
      </c>
      <c r="G374" t="s">
        <v>71</v>
      </c>
      <c r="H374" t="s">
        <v>171</v>
      </c>
      <c r="J374">
        <v>0</v>
      </c>
      <c r="K374">
        <v>0</v>
      </c>
    </row>
    <row r="375" spans="2:11" x14ac:dyDescent="0.25">
      <c r="B375" t="s">
        <v>338</v>
      </c>
      <c r="C375" t="s">
        <v>302</v>
      </c>
      <c r="D375">
        <v>703281</v>
      </c>
      <c r="E375" t="s">
        <v>197</v>
      </c>
      <c r="F375" t="s">
        <v>21</v>
      </c>
      <c r="G375" t="s">
        <v>76</v>
      </c>
      <c r="H375" t="s">
        <v>77</v>
      </c>
      <c r="J375">
        <v>0</v>
      </c>
      <c r="K375">
        <v>0</v>
      </c>
    </row>
    <row r="376" spans="2:11" x14ac:dyDescent="0.25">
      <c r="B376" t="s">
        <v>338</v>
      </c>
      <c r="C376" t="s">
        <v>302</v>
      </c>
      <c r="D376">
        <v>703282</v>
      </c>
      <c r="E376" t="s">
        <v>198</v>
      </c>
      <c r="F376" t="s">
        <v>21</v>
      </c>
      <c r="G376" t="s">
        <v>76</v>
      </c>
      <c r="H376" t="s">
        <v>77</v>
      </c>
      <c r="J376">
        <v>0</v>
      </c>
      <c r="K376">
        <v>0</v>
      </c>
    </row>
    <row r="377" spans="2:11" x14ac:dyDescent="0.25">
      <c r="B377" t="s">
        <v>338</v>
      </c>
      <c r="C377" t="s">
        <v>302</v>
      </c>
      <c r="D377">
        <v>703283</v>
      </c>
      <c r="E377" t="s">
        <v>199</v>
      </c>
      <c r="F377" t="s">
        <v>21</v>
      </c>
      <c r="G377" t="s">
        <v>61</v>
      </c>
      <c r="H377" t="s">
        <v>68</v>
      </c>
      <c r="J377">
        <v>0</v>
      </c>
      <c r="K377">
        <v>0</v>
      </c>
    </row>
    <row r="378" spans="2:11" x14ac:dyDescent="0.25">
      <c r="B378" t="s">
        <v>338</v>
      </c>
      <c r="C378" t="s">
        <v>302</v>
      </c>
      <c r="D378">
        <v>703310</v>
      </c>
      <c r="E378" t="s">
        <v>200</v>
      </c>
      <c r="F378" t="s">
        <v>21</v>
      </c>
      <c r="G378" t="s">
        <v>22</v>
      </c>
      <c r="H378" t="s">
        <v>23</v>
      </c>
      <c r="J378">
        <v>0</v>
      </c>
      <c r="K378">
        <v>0</v>
      </c>
    </row>
    <row r="379" spans="2:11" x14ac:dyDescent="0.25">
      <c r="B379" t="s">
        <v>338</v>
      </c>
      <c r="C379" t="s">
        <v>302</v>
      </c>
      <c r="D379">
        <v>703311</v>
      </c>
      <c r="E379" t="s">
        <v>201</v>
      </c>
      <c r="F379" t="s">
        <v>21</v>
      </c>
      <c r="G379" t="s">
        <v>71</v>
      </c>
      <c r="H379" t="s">
        <v>171</v>
      </c>
      <c r="J379">
        <v>0</v>
      </c>
      <c r="K379">
        <v>0</v>
      </c>
    </row>
    <row r="380" spans="2:11" x14ac:dyDescent="0.25">
      <c r="B380" t="s">
        <v>338</v>
      </c>
      <c r="C380" t="s">
        <v>302</v>
      </c>
      <c r="D380">
        <v>703312</v>
      </c>
      <c r="E380" t="s">
        <v>202</v>
      </c>
      <c r="F380" t="s">
        <v>21</v>
      </c>
      <c r="G380" t="s">
        <v>76</v>
      </c>
      <c r="H380" t="s">
        <v>77</v>
      </c>
      <c r="J380">
        <v>0</v>
      </c>
      <c r="K380">
        <v>0</v>
      </c>
    </row>
    <row r="381" spans="2:11" x14ac:dyDescent="0.25">
      <c r="B381" t="s">
        <v>338</v>
      </c>
      <c r="C381" t="s">
        <v>302</v>
      </c>
      <c r="D381">
        <v>703313</v>
      </c>
      <c r="E381" t="s">
        <v>203</v>
      </c>
      <c r="F381" t="s">
        <v>21</v>
      </c>
      <c r="G381" t="s">
        <v>76</v>
      </c>
      <c r="H381" t="s">
        <v>77</v>
      </c>
      <c r="J381">
        <v>0</v>
      </c>
      <c r="K381">
        <v>0</v>
      </c>
    </row>
    <row r="382" spans="2:11" x14ac:dyDescent="0.25">
      <c r="B382" t="s">
        <v>338</v>
      </c>
      <c r="C382" t="s">
        <v>302</v>
      </c>
      <c r="D382">
        <v>703314</v>
      </c>
      <c r="E382" t="s">
        <v>204</v>
      </c>
      <c r="F382" t="s">
        <v>21</v>
      </c>
      <c r="G382" t="s">
        <v>76</v>
      </c>
      <c r="H382" t="s">
        <v>77</v>
      </c>
      <c r="J382">
        <v>0</v>
      </c>
      <c r="K382">
        <v>0</v>
      </c>
    </row>
    <row r="383" spans="2:11" x14ac:dyDescent="0.25">
      <c r="B383" t="s">
        <v>338</v>
      </c>
      <c r="C383" t="s">
        <v>302</v>
      </c>
      <c r="D383">
        <v>703315</v>
      </c>
      <c r="E383" t="s">
        <v>205</v>
      </c>
      <c r="F383" t="s">
        <v>21</v>
      </c>
      <c r="G383" t="s">
        <v>76</v>
      </c>
      <c r="H383" t="s">
        <v>135</v>
      </c>
      <c r="J383">
        <v>0</v>
      </c>
      <c r="K383">
        <v>0</v>
      </c>
    </row>
    <row r="384" spans="2:11" x14ac:dyDescent="0.25">
      <c r="B384" t="s">
        <v>338</v>
      </c>
      <c r="C384" t="s">
        <v>302</v>
      </c>
      <c r="D384">
        <v>703316</v>
      </c>
      <c r="E384" t="s">
        <v>206</v>
      </c>
      <c r="F384" t="s">
        <v>21</v>
      </c>
      <c r="G384" t="s">
        <v>76</v>
      </c>
      <c r="H384" t="s">
        <v>77</v>
      </c>
      <c r="J384">
        <v>0</v>
      </c>
      <c r="K384">
        <v>0</v>
      </c>
    </row>
    <row r="385" spans="2:11" x14ac:dyDescent="0.25">
      <c r="B385" t="s">
        <v>338</v>
      </c>
      <c r="C385" t="s">
        <v>302</v>
      </c>
      <c r="D385">
        <v>703317</v>
      </c>
      <c r="E385" t="s">
        <v>207</v>
      </c>
      <c r="F385" t="s">
        <v>21</v>
      </c>
      <c r="G385" t="s">
        <v>76</v>
      </c>
      <c r="H385" t="s">
        <v>77</v>
      </c>
      <c r="J385">
        <v>0</v>
      </c>
      <c r="K385">
        <v>0</v>
      </c>
    </row>
    <row r="386" spans="2:11" x14ac:dyDescent="0.25">
      <c r="B386" t="s">
        <v>338</v>
      </c>
      <c r="C386" t="s">
        <v>302</v>
      </c>
      <c r="D386">
        <v>703318</v>
      </c>
      <c r="E386" t="s">
        <v>208</v>
      </c>
      <c r="F386" t="s">
        <v>21</v>
      </c>
      <c r="G386" t="s">
        <v>71</v>
      </c>
      <c r="H386" t="s">
        <v>209</v>
      </c>
      <c r="J386">
        <v>0</v>
      </c>
      <c r="K386">
        <v>0</v>
      </c>
    </row>
    <row r="387" spans="2:11" x14ac:dyDescent="0.25">
      <c r="B387" t="s">
        <v>338</v>
      </c>
      <c r="C387" t="s">
        <v>302</v>
      </c>
      <c r="D387">
        <v>703319</v>
      </c>
      <c r="E387" t="s">
        <v>210</v>
      </c>
      <c r="F387" t="s">
        <v>21</v>
      </c>
      <c r="G387" t="s">
        <v>61</v>
      </c>
      <c r="H387" t="s">
        <v>79</v>
      </c>
      <c r="J387">
        <v>0</v>
      </c>
      <c r="K387">
        <v>0</v>
      </c>
    </row>
    <row r="388" spans="2:11" x14ac:dyDescent="0.25">
      <c r="B388" t="s">
        <v>338</v>
      </c>
      <c r="C388" t="s">
        <v>302</v>
      </c>
      <c r="D388">
        <v>703320</v>
      </c>
      <c r="E388" t="s">
        <v>211</v>
      </c>
      <c r="F388" t="s">
        <v>21</v>
      </c>
      <c r="G388" t="s">
        <v>71</v>
      </c>
      <c r="H388" t="s">
        <v>135</v>
      </c>
      <c r="J388">
        <v>0</v>
      </c>
      <c r="K388">
        <v>0</v>
      </c>
    </row>
    <row r="389" spans="2:11" x14ac:dyDescent="0.25">
      <c r="B389" t="s">
        <v>338</v>
      </c>
      <c r="C389" t="s">
        <v>302</v>
      </c>
      <c r="D389">
        <v>703321</v>
      </c>
      <c r="E389" t="s">
        <v>212</v>
      </c>
      <c r="F389" t="s">
        <v>21</v>
      </c>
      <c r="G389" t="s">
        <v>22</v>
      </c>
      <c r="H389" t="s">
        <v>23</v>
      </c>
      <c r="J389">
        <v>0</v>
      </c>
      <c r="K389">
        <v>0</v>
      </c>
    </row>
    <row r="390" spans="2:11" x14ac:dyDescent="0.25">
      <c r="B390" t="s">
        <v>338</v>
      </c>
      <c r="C390" t="s">
        <v>302</v>
      </c>
      <c r="D390">
        <v>703322</v>
      </c>
      <c r="E390" t="s">
        <v>213</v>
      </c>
      <c r="F390" t="s">
        <v>21</v>
      </c>
      <c r="G390" t="s">
        <v>22</v>
      </c>
      <c r="H390" t="s">
        <v>23</v>
      </c>
      <c r="J390">
        <v>0</v>
      </c>
      <c r="K390">
        <v>0</v>
      </c>
    </row>
    <row r="391" spans="2:11" x14ac:dyDescent="0.25">
      <c r="B391" t="s">
        <v>338</v>
      </c>
      <c r="C391" t="s">
        <v>302</v>
      </c>
      <c r="D391">
        <v>703323</v>
      </c>
      <c r="E391" t="s">
        <v>214</v>
      </c>
      <c r="F391" t="s">
        <v>21</v>
      </c>
      <c r="G391" t="s">
        <v>22</v>
      </c>
      <c r="H391" t="s">
        <v>23</v>
      </c>
      <c r="J391">
        <v>0</v>
      </c>
      <c r="K391">
        <v>0</v>
      </c>
    </row>
    <row r="392" spans="2:11" x14ac:dyDescent="0.25">
      <c r="B392" t="s">
        <v>338</v>
      </c>
      <c r="C392" t="s">
        <v>302</v>
      </c>
      <c r="D392">
        <v>703324</v>
      </c>
      <c r="E392" t="s">
        <v>215</v>
      </c>
      <c r="F392" t="s">
        <v>21</v>
      </c>
      <c r="G392" t="s">
        <v>22</v>
      </c>
      <c r="H392" t="s">
        <v>23</v>
      </c>
      <c r="J392">
        <v>0</v>
      </c>
      <c r="K392">
        <v>0</v>
      </c>
    </row>
    <row r="393" spans="2:11" x14ac:dyDescent="0.25">
      <c r="B393" t="s">
        <v>338</v>
      </c>
      <c r="C393" t="s">
        <v>302</v>
      </c>
      <c r="D393">
        <v>703325</v>
      </c>
      <c r="E393" t="s">
        <v>216</v>
      </c>
      <c r="F393" t="s">
        <v>21</v>
      </c>
      <c r="G393" t="s">
        <v>22</v>
      </c>
      <c r="H393" t="s">
        <v>23</v>
      </c>
      <c r="J393">
        <v>0</v>
      </c>
      <c r="K393">
        <v>0</v>
      </c>
    </row>
    <row r="394" spans="2:11" x14ac:dyDescent="0.25">
      <c r="B394" t="s">
        <v>338</v>
      </c>
      <c r="C394" t="s">
        <v>302</v>
      </c>
      <c r="D394">
        <v>703326</v>
      </c>
      <c r="E394" t="s">
        <v>217</v>
      </c>
      <c r="F394" t="s">
        <v>21</v>
      </c>
      <c r="G394" t="s">
        <v>22</v>
      </c>
      <c r="H394" t="s">
        <v>23</v>
      </c>
      <c r="J394">
        <v>0</v>
      </c>
      <c r="K394">
        <v>0</v>
      </c>
    </row>
    <row r="395" spans="2:11" x14ac:dyDescent="0.25">
      <c r="B395" t="s">
        <v>338</v>
      </c>
      <c r="C395" t="s">
        <v>302</v>
      </c>
      <c r="D395">
        <v>703327</v>
      </c>
      <c r="E395" t="s">
        <v>218</v>
      </c>
      <c r="F395" t="s">
        <v>21</v>
      </c>
      <c r="G395" t="s">
        <v>76</v>
      </c>
      <c r="H395" t="s">
        <v>77</v>
      </c>
      <c r="J395">
        <v>0</v>
      </c>
      <c r="K395">
        <v>0</v>
      </c>
    </row>
    <row r="396" spans="2:11" x14ac:dyDescent="0.25">
      <c r="B396" t="s">
        <v>338</v>
      </c>
      <c r="C396" t="s">
        <v>302</v>
      </c>
      <c r="D396">
        <v>703328</v>
      </c>
      <c r="E396" t="s">
        <v>219</v>
      </c>
      <c r="F396" t="s">
        <v>21</v>
      </c>
      <c r="G396" t="s">
        <v>22</v>
      </c>
      <c r="H396" t="s">
        <v>23</v>
      </c>
      <c r="J396">
        <v>0</v>
      </c>
      <c r="K396">
        <v>0</v>
      </c>
    </row>
    <row r="397" spans="2:11" x14ac:dyDescent="0.25">
      <c r="B397" t="s">
        <v>338</v>
      </c>
      <c r="C397" t="s">
        <v>302</v>
      </c>
      <c r="D397">
        <v>703329</v>
      </c>
      <c r="E397" t="s">
        <v>220</v>
      </c>
      <c r="F397" t="s">
        <v>21</v>
      </c>
      <c r="G397" t="s">
        <v>22</v>
      </c>
      <c r="H397" t="s">
        <v>23</v>
      </c>
      <c r="J397">
        <v>0</v>
      </c>
      <c r="K397">
        <v>0</v>
      </c>
    </row>
    <row r="398" spans="2:11" x14ac:dyDescent="0.25">
      <c r="B398" t="s">
        <v>338</v>
      </c>
      <c r="C398" t="s">
        <v>302</v>
      </c>
      <c r="D398">
        <v>703330</v>
      </c>
      <c r="E398" t="s">
        <v>221</v>
      </c>
      <c r="F398" t="s">
        <v>21</v>
      </c>
      <c r="G398" t="s">
        <v>22</v>
      </c>
      <c r="H398" t="s">
        <v>23</v>
      </c>
      <c r="J398">
        <v>0</v>
      </c>
      <c r="K398">
        <v>0</v>
      </c>
    </row>
    <row r="399" spans="2:11" x14ac:dyDescent="0.25">
      <c r="B399" t="s">
        <v>338</v>
      </c>
      <c r="C399" t="s">
        <v>302</v>
      </c>
      <c r="D399">
        <v>703340</v>
      </c>
      <c r="E399" t="s">
        <v>222</v>
      </c>
      <c r="F399" t="s">
        <v>21</v>
      </c>
      <c r="G399" t="s">
        <v>61</v>
      </c>
      <c r="H399" t="s">
        <v>68</v>
      </c>
      <c r="J399">
        <v>0</v>
      </c>
      <c r="K399">
        <v>0</v>
      </c>
    </row>
    <row r="400" spans="2:11" x14ac:dyDescent="0.25">
      <c r="B400" t="s">
        <v>338</v>
      </c>
      <c r="C400" t="s">
        <v>302</v>
      </c>
      <c r="D400">
        <v>703350</v>
      </c>
      <c r="E400" t="s">
        <v>223</v>
      </c>
      <c r="F400" t="s">
        <v>21</v>
      </c>
      <c r="G400" t="s">
        <v>22</v>
      </c>
      <c r="H400" t="s">
        <v>23</v>
      </c>
      <c r="J400">
        <v>0</v>
      </c>
      <c r="K400">
        <v>0</v>
      </c>
    </row>
    <row r="401" spans="2:11" x14ac:dyDescent="0.25">
      <c r="B401" t="s">
        <v>338</v>
      </c>
      <c r="C401" t="s">
        <v>302</v>
      </c>
      <c r="D401">
        <v>703351</v>
      </c>
      <c r="E401" t="s">
        <v>224</v>
      </c>
      <c r="F401" t="s">
        <v>21</v>
      </c>
      <c r="G401" t="s">
        <v>22</v>
      </c>
      <c r="H401" t="s">
        <v>23</v>
      </c>
      <c r="J401">
        <v>0</v>
      </c>
      <c r="K401">
        <v>0</v>
      </c>
    </row>
    <row r="402" spans="2:11" x14ac:dyDescent="0.25">
      <c r="B402" t="s">
        <v>338</v>
      </c>
      <c r="C402" t="s">
        <v>302</v>
      </c>
      <c r="D402">
        <v>703352</v>
      </c>
      <c r="E402" t="s">
        <v>225</v>
      </c>
      <c r="F402" t="s">
        <v>21</v>
      </c>
      <c r="G402" t="s">
        <v>22</v>
      </c>
      <c r="H402" t="s">
        <v>23</v>
      </c>
      <c r="J402">
        <v>0</v>
      </c>
      <c r="K402">
        <v>0</v>
      </c>
    </row>
    <row r="403" spans="2:11" x14ac:dyDescent="0.25">
      <c r="B403" t="s">
        <v>338</v>
      </c>
      <c r="C403" t="s">
        <v>302</v>
      </c>
      <c r="D403">
        <v>703360</v>
      </c>
      <c r="E403" t="s">
        <v>226</v>
      </c>
      <c r="F403" t="s">
        <v>21</v>
      </c>
      <c r="G403" t="s">
        <v>22</v>
      </c>
      <c r="H403" t="s">
        <v>23</v>
      </c>
      <c r="J403">
        <v>0</v>
      </c>
      <c r="K403">
        <v>0</v>
      </c>
    </row>
    <row r="404" spans="2:11" x14ac:dyDescent="0.25">
      <c r="B404" t="s">
        <v>338</v>
      </c>
      <c r="C404" t="s">
        <v>302</v>
      </c>
      <c r="D404">
        <v>703370</v>
      </c>
      <c r="E404" t="s">
        <v>227</v>
      </c>
      <c r="F404" t="s">
        <v>21</v>
      </c>
      <c r="G404" t="s">
        <v>22</v>
      </c>
      <c r="H404" t="s">
        <v>23</v>
      </c>
      <c r="J404">
        <v>0</v>
      </c>
      <c r="K404">
        <v>0</v>
      </c>
    </row>
    <row r="405" spans="2:11" x14ac:dyDescent="0.25">
      <c r="B405" t="s">
        <v>338</v>
      </c>
      <c r="C405" t="s">
        <v>302</v>
      </c>
      <c r="D405">
        <v>703410</v>
      </c>
      <c r="E405" t="s">
        <v>228</v>
      </c>
      <c r="F405" t="s">
        <v>21</v>
      </c>
      <c r="G405" t="s">
        <v>22</v>
      </c>
      <c r="H405" t="s">
        <v>23</v>
      </c>
      <c r="J405">
        <v>0</v>
      </c>
      <c r="K405">
        <v>0</v>
      </c>
    </row>
    <row r="406" spans="2:11" x14ac:dyDescent="0.25">
      <c r="B406" t="s">
        <v>338</v>
      </c>
      <c r="C406" t="s">
        <v>302</v>
      </c>
      <c r="D406">
        <v>703411</v>
      </c>
      <c r="E406" t="s">
        <v>229</v>
      </c>
      <c r="F406" t="s">
        <v>21</v>
      </c>
      <c r="G406" t="s">
        <v>22</v>
      </c>
      <c r="H406" t="s">
        <v>23</v>
      </c>
      <c r="J406">
        <v>0</v>
      </c>
      <c r="K406">
        <v>0</v>
      </c>
    </row>
    <row r="407" spans="2:11" x14ac:dyDescent="0.25">
      <c r="B407" t="s">
        <v>338</v>
      </c>
      <c r="C407" t="s">
        <v>302</v>
      </c>
      <c r="D407">
        <v>703412</v>
      </c>
      <c r="E407" t="s">
        <v>230</v>
      </c>
      <c r="F407" t="s">
        <v>21</v>
      </c>
      <c r="G407" t="s">
        <v>22</v>
      </c>
      <c r="H407" t="s">
        <v>23</v>
      </c>
      <c r="J407">
        <v>0</v>
      </c>
      <c r="K407">
        <v>0</v>
      </c>
    </row>
    <row r="408" spans="2:11" x14ac:dyDescent="0.25">
      <c r="B408" t="s">
        <v>338</v>
      </c>
      <c r="C408" t="s">
        <v>302</v>
      </c>
      <c r="D408">
        <v>703420</v>
      </c>
      <c r="E408" t="s">
        <v>231</v>
      </c>
      <c r="F408" t="s">
        <v>21</v>
      </c>
      <c r="G408" t="s">
        <v>71</v>
      </c>
      <c r="H408" t="s">
        <v>171</v>
      </c>
      <c r="J408">
        <v>0</v>
      </c>
      <c r="K408">
        <v>0</v>
      </c>
    </row>
    <row r="409" spans="2:11" x14ac:dyDescent="0.25">
      <c r="B409" t="s">
        <v>338</v>
      </c>
      <c r="C409" t="s">
        <v>302</v>
      </c>
      <c r="D409">
        <v>703421</v>
      </c>
      <c r="E409" t="s">
        <v>232</v>
      </c>
      <c r="F409" t="s">
        <v>21</v>
      </c>
      <c r="G409" t="s">
        <v>22</v>
      </c>
      <c r="H409" t="s">
        <v>23</v>
      </c>
      <c r="J409">
        <v>0</v>
      </c>
      <c r="K409">
        <v>0</v>
      </c>
    </row>
    <row r="410" spans="2:11" x14ac:dyDescent="0.25">
      <c r="B410" t="s">
        <v>338</v>
      </c>
      <c r="C410" t="s">
        <v>302</v>
      </c>
      <c r="D410">
        <v>703422</v>
      </c>
      <c r="E410" t="s">
        <v>233</v>
      </c>
      <c r="F410" t="s">
        <v>21</v>
      </c>
      <c r="G410" t="s">
        <v>76</v>
      </c>
      <c r="H410" t="s">
        <v>77</v>
      </c>
      <c r="J410">
        <v>0</v>
      </c>
      <c r="K410">
        <v>0</v>
      </c>
    </row>
    <row r="411" spans="2:11" x14ac:dyDescent="0.25">
      <c r="B411" t="s">
        <v>338</v>
      </c>
      <c r="C411" t="s">
        <v>302</v>
      </c>
      <c r="D411">
        <v>703423</v>
      </c>
      <c r="E411" t="s">
        <v>234</v>
      </c>
      <c r="F411" t="s">
        <v>21</v>
      </c>
      <c r="G411" t="s">
        <v>71</v>
      </c>
      <c r="H411" t="s">
        <v>88</v>
      </c>
      <c r="J411">
        <v>0</v>
      </c>
      <c r="K411">
        <v>0</v>
      </c>
    </row>
    <row r="412" spans="2:11" x14ac:dyDescent="0.25">
      <c r="B412" t="s">
        <v>338</v>
      </c>
      <c r="C412" t="s">
        <v>302</v>
      </c>
      <c r="D412">
        <v>703424</v>
      </c>
      <c r="E412" t="s">
        <v>235</v>
      </c>
      <c r="F412" t="s">
        <v>21</v>
      </c>
      <c r="G412" t="s">
        <v>71</v>
      </c>
      <c r="H412" t="s">
        <v>88</v>
      </c>
      <c r="J412">
        <v>0</v>
      </c>
      <c r="K412">
        <v>0</v>
      </c>
    </row>
    <row r="413" spans="2:11" x14ac:dyDescent="0.25">
      <c r="B413" t="s">
        <v>338</v>
      </c>
      <c r="C413" t="s">
        <v>302</v>
      </c>
      <c r="D413">
        <v>703425</v>
      </c>
      <c r="E413" t="s">
        <v>236</v>
      </c>
      <c r="F413" t="s">
        <v>21</v>
      </c>
      <c r="G413" t="s">
        <v>76</v>
      </c>
      <c r="H413" t="s">
        <v>77</v>
      </c>
      <c r="J413">
        <v>0</v>
      </c>
      <c r="K413">
        <v>0</v>
      </c>
    </row>
    <row r="414" spans="2:11" x14ac:dyDescent="0.25">
      <c r="B414" t="s">
        <v>338</v>
      </c>
      <c r="C414" t="s">
        <v>302</v>
      </c>
      <c r="D414">
        <v>703426</v>
      </c>
      <c r="E414" t="s">
        <v>237</v>
      </c>
      <c r="F414" t="s">
        <v>21</v>
      </c>
      <c r="G414" t="s">
        <v>22</v>
      </c>
      <c r="H414" t="s">
        <v>23</v>
      </c>
      <c r="J414">
        <v>0</v>
      </c>
      <c r="K414">
        <v>0</v>
      </c>
    </row>
    <row r="415" spans="2:11" x14ac:dyDescent="0.25">
      <c r="B415" t="s">
        <v>338</v>
      </c>
      <c r="C415" t="s">
        <v>302</v>
      </c>
      <c r="D415">
        <v>703427</v>
      </c>
      <c r="E415" t="s">
        <v>238</v>
      </c>
      <c r="F415" t="s">
        <v>21</v>
      </c>
      <c r="G415" t="s">
        <v>76</v>
      </c>
      <c r="H415" t="s">
        <v>77</v>
      </c>
      <c r="J415">
        <v>0</v>
      </c>
      <c r="K415">
        <v>0</v>
      </c>
    </row>
    <row r="416" spans="2:11" x14ac:dyDescent="0.25">
      <c r="B416" t="s">
        <v>338</v>
      </c>
      <c r="C416" t="s">
        <v>302</v>
      </c>
      <c r="D416">
        <v>703428</v>
      </c>
      <c r="E416" t="s">
        <v>239</v>
      </c>
      <c r="F416" t="s">
        <v>21</v>
      </c>
      <c r="G416" t="s">
        <v>76</v>
      </c>
      <c r="H416" t="s">
        <v>77</v>
      </c>
      <c r="J416">
        <v>0</v>
      </c>
      <c r="K416">
        <v>0</v>
      </c>
    </row>
    <row r="417" spans="2:11" x14ac:dyDescent="0.25">
      <c r="B417" t="s">
        <v>338</v>
      </c>
      <c r="C417" t="s">
        <v>302</v>
      </c>
      <c r="D417">
        <v>703429</v>
      </c>
      <c r="E417" t="s">
        <v>240</v>
      </c>
      <c r="F417" t="s">
        <v>21</v>
      </c>
      <c r="G417" t="s">
        <v>76</v>
      </c>
      <c r="H417" t="s">
        <v>77</v>
      </c>
      <c r="J417">
        <v>0</v>
      </c>
      <c r="K417">
        <v>0</v>
      </c>
    </row>
    <row r="418" spans="2:11" x14ac:dyDescent="0.25">
      <c r="B418" t="s">
        <v>338</v>
      </c>
      <c r="C418" t="s">
        <v>302</v>
      </c>
      <c r="D418">
        <v>703430</v>
      </c>
      <c r="E418" t="s">
        <v>20</v>
      </c>
      <c r="F418" t="s">
        <v>21</v>
      </c>
      <c r="G418" t="s">
        <v>22</v>
      </c>
      <c r="H418" t="s">
        <v>23</v>
      </c>
      <c r="J418">
        <v>0</v>
      </c>
      <c r="K418">
        <v>0</v>
      </c>
    </row>
    <row r="419" spans="2:11" x14ac:dyDescent="0.25">
      <c r="B419" t="s">
        <v>338</v>
      </c>
      <c r="C419" t="s">
        <v>302</v>
      </c>
      <c r="D419">
        <v>703431</v>
      </c>
      <c r="E419" t="s">
        <v>241</v>
      </c>
      <c r="F419" t="s">
        <v>21</v>
      </c>
      <c r="G419" t="s">
        <v>22</v>
      </c>
      <c r="H419" t="s">
        <v>23</v>
      </c>
      <c r="J419">
        <v>0</v>
      </c>
      <c r="K419">
        <v>0</v>
      </c>
    </row>
    <row r="420" spans="2:11" x14ac:dyDescent="0.25">
      <c r="B420" t="s">
        <v>338</v>
      </c>
      <c r="C420" t="s">
        <v>302</v>
      </c>
      <c r="D420">
        <v>703432</v>
      </c>
      <c r="E420" t="s">
        <v>242</v>
      </c>
      <c r="F420" t="s">
        <v>21</v>
      </c>
      <c r="G420" t="s">
        <v>22</v>
      </c>
      <c r="H420" t="s">
        <v>23</v>
      </c>
      <c r="J420">
        <v>0</v>
      </c>
      <c r="K420">
        <v>0</v>
      </c>
    </row>
    <row r="421" spans="2:11" x14ac:dyDescent="0.25">
      <c r="B421" t="s">
        <v>338</v>
      </c>
      <c r="C421" t="s">
        <v>302</v>
      </c>
      <c r="D421">
        <v>703433</v>
      </c>
      <c r="E421" t="s">
        <v>243</v>
      </c>
      <c r="F421" t="s">
        <v>21</v>
      </c>
      <c r="G421" t="s">
        <v>71</v>
      </c>
      <c r="H421" t="s">
        <v>88</v>
      </c>
      <c r="J421">
        <v>0</v>
      </c>
      <c r="K421">
        <v>0</v>
      </c>
    </row>
    <row r="422" spans="2:11" x14ac:dyDescent="0.25">
      <c r="B422" t="s">
        <v>338</v>
      </c>
      <c r="C422" t="s">
        <v>302</v>
      </c>
      <c r="D422">
        <v>703434</v>
      </c>
      <c r="E422" t="s">
        <v>244</v>
      </c>
      <c r="F422" t="s">
        <v>21</v>
      </c>
      <c r="G422" t="s">
        <v>22</v>
      </c>
      <c r="H422" t="s">
        <v>23</v>
      </c>
      <c r="J422">
        <v>0</v>
      </c>
      <c r="K422">
        <v>0</v>
      </c>
    </row>
    <row r="423" spans="2:11" x14ac:dyDescent="0.25">
      <c r="B423" t="s">
        <v>338</v>
      </c>
      <c r="C423" t="s">
        <v>302</v>
      </c>
      <c r="D423">
        <v>703435</v>
      </c>
      <c r="E423" t="s">
        <v>245</v>
      </c>
      <c r="F423" t="s">
        <v>21</v>
      </c>
      <c r="G423" t="s">
        <v>71</v>
      </c>
      <c r="H423" t="s">
        <v>88</v>
      </c>
      <c r="J423">
        <v>0</v>
      </c>
      <c r="K423">
        <v>0</v>
      </c>
    </row>
    <row r="424" spans="2:11" x14ac:dyDescent="0.25">
      <c r="B424" t="s">
        <v>338</v>
      </c>
      <c r="C424" t="s">
        <v>302</v>
      </c>
      <c r="D424">
        <v>703436</v>
      </c>
      <c r="E424" t="s">
        <v>246</v>
      </c>
      <c r="F424" t="s">
        <v>21</v>
      </c>
      <c r="G424" t="s">
        <v>71</v>
      </c>
      <c r="H424" t="s">
        <v>88</v>
      </c>
      <c r="J424">
        <v>0</v>
      </c>
      <c r="K424">
        <v>0</v>
      </c>
    </row>
    <row r="425" spans="2:11" x14ac:dyDescent="0.25">
      <c r="B425" t="s">
        <v>338</v>
      </c>
      <c r="C425" t="s">
        <v>302</v>
      </c>
      <c r="D425">
        <v>703437</v>
      </c>
      <c r="E425" t="s">
        <v>247</v>
      </c>
      <c r="F425" t="s">
        <v>21</v>
      </c>
      <c r="G425" t="s">
        <v>71</v>
      </c>
      <c r="H425" t="s">
        <v>88</v>
      </c>
      <c r="J425">
        <v>0</v>
      </c>
      <c r="K425">
        <v>0</v>
      </c>
    </row>
    <row r="426" spans="2:11" x14ac:dyDescent="0.25">
      <c r="B426" t="s">
        <v>338</v>
      </c>
      <c r="C426" t="s">
        <v>302</v>
      </c>
      <c r="D426">
        <v>703438</v>
      </c>
      <c r="E426" t="s">
        <v>248</v>
      </c>
      <c r="F426" t="s">
        <v>21</v>
      </c>
      <c r="G426" t="s">
        <v>71</v>
      </c>
      <c r="H426" t="s">
        <v>88</v>
      </c>
      <c r="J426">
        <v>0</v>
      </c>
      <c r="K426">
        <v>0</v>
      </c>
    </row>
    <row r="427" spans="2:11" x14ac:dyDescent="0.25">
      <c r="B427" t="s">
        <v>338</v>
      </c>
      <c r="C427" t="s">
        <v>302</v>
      </c>
      <c r="D427">
        <v>703439</v>
      </c>
      <c r="E427" t="s">
        <v>249</v>
      </c>
      <c r="F427" t="s">
        <v>21</v>
      </c>
      <c r="G427" t="s">
        <v>22</v>
      </c>
      <c r="H427" t="s">
        <v>23</v>
      </c>
      <c r="J427">
        <v>0</v>
      </c>
      <c r="K427">
        <v>0</v>
      </c>
    </row>
    <row r="428" spans="2:11" x14ac:dyDescent="0.25">
      <c r="B428" t="s">
        <v>338</v>
      </c>
      <c r="C428" t="s">
        <v>302</v>
      </c>
      <c r="D428">
        <v>703440</v>
      </c>
      <c r="E428" t="s">
        <v>250</v>
      </c>
      <c r="F428" t="s">
        <v>21</v>
      </c>
      <c r="G428" t="s">
        <v>61</v>
      </c>
      <c r="H428" t="s">
        <v>68</v>
      </c>
      <c r="J428">
        <v>0</v>
      </c>
      <c r="K428">
        <v>0</v>
      </c>
    </row>
    <row r="429" spans="2:11" x14ac:dyDescent="0.25">
      <c r="B429" t="s">
        <v>338</v>
      </c>
      <c r="C429" t="s">
        <v>302</v>
      </c>
      <c r="D429">
        <v>703441</v>
      </c>
      <c r="E429" t="s">
        <v>251</v>
      </c>
      <c r="F429" t="s">
        <v>21</v>
      </c>
      <c r="G429" t="s">
        <v>61</v>
      </c>
      <c r="H429" t="s">
        <v>79</v>
      </c>
      <c r="J429">
        <v>0</v>
      </c>
      <c r="K429">
        <v>0</v>
      </c>
    </row>
    <row r="430" spans="2:11" x14ac:dyDescent="0.25">
      <c r="B430" t="s">
        <v>338</v>
      </c>
      <c r="C430" t="s">
        <v>302</v>
      </c>
      <c r="D430">
        <v>703442</v>
      </c>
      <c r="E430" t="s">
        <v>252</v>
      </c>
      <c r="F430" t="s">
        <v>21</v>
      </c>
      <c r="G430" t="s">
        <v>76</v>
      </c>
      <c r="H430" t="s">
        <v>77</v>
      </c>
      <c r="J430">
        <v>0</v>
      </c>
      <c r="K430">
        <v>0</v>
      </c>
    </row>
    <row r="431" spans="2:11" x14ac:dyDescent="0.25">
      <c r="B431" t="s">
        <v>338</v>
      </c>
      <c r="C431" t="s">
        <v>302</v>
      </c>
      <c r="D431">
        <v>703443</v>
      </c>
      <c r="E431" t="s">
        <v>253</v>
      </c>
      <c r="F431" t="s">
        <v>21</v>
      </c>
      <c r="G431" t="s">
        <v>71</v>
      </c>
      <c r="H431" t="s">
        <v>88</v>
      </c>
      <c r="J431">
        <v>0</v>
      </c>
      <c r="K431">
        <v>0</v>
      </c>
    </row>
    <row r="432" spans="2:11" x14ac:dyDescent="0.25">
      <c r="B432" t="s">
        <v>338</v>
      </c>
      <c r="C432" t="s">
        <v>302</v>
      </c>
      <c r="D432">
        <v>703444</v>
      </c>
      <c r="E432" t="s">
        <v>254</v>
      </c>
      <c r="F432" t="s">
        <v>21</v>
      </c>
      <c r="G432" t="s">
        <v>22</v>
      </c>
      <c r="H432" t="s">
        <v>23</v>
      </c>
      <c r="J432">
        <v>0</v>
      </c>
      <c r="K432">
        <v>0</v>
      </c>
    </row>
    <row r="433" spans="2:11" x14ac:dyDescent="0.25">
      <c r="B433" t="s">
        <v>338</v>
      </c>
      <c r="C433" t="s">
        <v>302</v>
      </c>
      <c r="D433">
        <v>703445</v>
      </c>
      <c r="E433" t="s">
        <v>255</v>
      </c>
      <c r="F433" t="s">
        <v>21</v>
      </c>
      <c r="G433" t="s">
        <v>22</v>
      </c>
      <c r="H433" t="s">
        <v>23</v>
      </c>
      <c r="J433">
        <v>0</v>
      </c>
      <c r="K433">
        <v>0</v>
      </c>
    </row>
    <row r="434" spans="2:11" x14ac:dyDescent="0.25">
      <c r="B434" t="s">
        <v>338</v>
      </c>
      <c r="C434" t="s">
        <v>302</v>
      </c>
      <c r="D434">
        <v>703446</v>
      </c>
      <c r="E434" t="s">
        <v>256</v>
      </c>
      <c r="F434" t="s">
        <v>21</v>
      </c>
      <c r="G434" t="s">
        <v>22</v>
      </c>
      <c r="H434" t="s">
        <v>23</v>
      </c>
      <c r="J434">
        <v>0</v>
      </c>
      <c r="K434">
        <v>0</v>
      </c>
    </row>
    <row r="435" spans="2:11" x14ac:dyDescent="0.25">
      <c r="B435" t="s">
        <v>338</v>
      </c>
      <c r="C435" t="s">
        <v>302</v>
      </c>
      <c r="D435">
        <v>703447</v>
      </c>
      <c r="E435" t="s">
        <v>257</v>
      </c>
      <c r="F435" t="s">
        <v>21</v>
      </c>
      <c r="G435" t="s">
        <v>22</v>
      </c>
      <c r="H435" t="s">
        <v>23</v>
      </c>
      <c r="J435">
        <v>0</v>
      </c>
      <c r="K435">
        <v>0</v>
      </c>
    </row>
    <row r="436" spans="2:11" x14ac:dyDescent="0.25">
      <c r="B436" t="s">
        <v>338</v>
      </c>
      <c r="C436" t="s">
        <v>302</v>
      </c>
      <c r="D436">
        <v>703448</v>
      </c>
      <c r="E436" t="s">
        <v>258</v>
      </c>
      <c r="F436" t="s">
        <v>21</v>
      </c>
      <c r="G436" t="s">
        <v>22</v>
      </c>
      <c r="H436" t="s">
        <v>23</v>
      </c>
      <c r="J436">
        <v>0</v>
      </c>
      <c r="K436">
        <v>0</v>
      </c>
    </row>
    <row r="437" spans="2:11" x14ac:dyDescent="0.25">
      <c r="B437" t="s">
        <v>338</v>
      </c>
      <c r="C437" t="s">
        <v>302</v>
      </c>
      <c r="D437">
        <v>703449</v>
      </c>
      <c r="E437" t="s">
        <v>259</v>
      </c>
      <c r="F437" t="s">
        <v>21</v>
      </c>
      <c r="G437" t="s">
        <v>22</v>
      </c>
      <c r="H437" t="s">
        <v>23</v>
      </c>
      <c r="J437">
        <v>0</v>
      </c>
      <c r="K437">
        <v>0</v>
      </c>
    </row>
    <row r="438" spans="2:11" x14ac:dyDescent="0.25">
      <c r="B438" t="s">
        <v>338</v>
      </c>
      <c r="C438" t="s">
        <v>302</v>
      </c>
      <c r="D438">
        <v>703450</v>
      </c>
      <c r="E438" t="s">
        <v>260</v>
      </c>
      <c r="F438" t="s">
        <v>21</v>
      </c>
      <c r="G438" t="s">
        <v>71</v>
      </c>
      <c r="H438" t="s">
        <v>88</v>
      </c>
      <c r="J438">
        <v>0</v>
      </c>
      <c r="K438">
        <v>0</v>
      </c>
    </row>
    <row r="439" spans="2:11" x14ac:dyDescent="0.25">
      <c r="B439" t="s">
        <v>338</v>
      </c>
      <c r="C439" t="s">
        <v>302</v>
      </c>
      <c r="D439">
        <v>703510</v>
      </c>
      <c r="E439" t="s">
        <v>261</v>
      </c>
      <c r="F439" t="s">
        <v>21</v>
      </c>
      <c r="G439" t="s">
        <v>22</v>
      </c>
      <c r="H439" t="s">
        <v>23</v>
      </c>
      <c r="J439">
        <v>0</v>
      </c>
      <c r="K439">
        <v>0</v>
      </c>
    </row>
    <row r="440" spans="2:11" x14ac:dyDescent="0.25">
      <c r="B440" t="s">
        <v>338</v>
      </c>
      <c r="C440" t="s">
        <v>302</v>
      </c>
      <c r="D440">
        <v>703511</v>
      </c>
      <c r="E440" t="s">
        <v>262</v>
      </c>
      <c r="F440" t="s">
        <v>21</v>
      </c>
      <c r="G440" t="s">
        <v>22</v>
      </c>
      <c r="H440" t="s">
        <v>23</v>
      </c>
      <c r="J440">
        <v>0</v>
      </c>
      <c r="K440">
        <v>0</v>
      </c>
    </row>
    <row r="441" spans="2:11" x14ac:dyDescent="0.25">
      <c r="B441" t="s">
        <v>338</v>
      </c>
      <c r="C441" t="s">
        <v>302</v>
      </c>
      <c r="D441">
        <v>703512</v>
      </c>
      <c r="E441" t="s">
        <v>263</v>
      </c>
      <c r="F441" t="s">
        <v>21</v>
      </c>
      <c r="G441" t="s">
        <v>22</v>
      </c>
      <c r="H441" t="s">
        <v>23</v>
      </c>
      <c r="J441">
        <v>0</v>
      </c>
      <c r="K441">
        <v>0</v>
      </c>
    </row>
    <row r="442" spans="2:11" x14ac:dyDescent="0.25">
      <c r="B442" t="s">
        <v>338</v>
      </c>
      <c r="C442" t="s">
        <v>302</v>
      </c>
      <c r="D442">
        <v>703513</v>
      </c>
      <c r="E442" t="s">
        <v>264</v>
      </c>
      <c r="F442" t="s">
        <v>21</v>
      </c>
      <c r="G442" t="s">
        <v>22</v>
      </c>
      <c r="H442" t="s">
        <v>23</v>
      </c>
      <c r="J442">
        <v>0</v>
      </c>
      <c r="K442">
        <v>0</v>
      </c>
    </row>
    <row r="443" spans="2:11" x14ac:dyDescent="0.25">
      <c r="B443" t="s">
        <v>338</v>
      </c>
      <c r="C443" t="s">
        <v>302</v>
      </c>
      <c r="D443">
        <v>703514</v>
      </c>
      <c r="E443" t="s">
        <v>265</v>
      </c>
      <c r="F443" t="s">
        <v>21</v>
      </c>
      <c r="G443" t="s">
        <v>22</v>
      </c>
      <c r="H443" t="s">
        <v>23</v>
      </c>
      <c r="J443">
        <v>0</v>
      </c>
      <c r="K443">
        <v>0</v>
      </c>
    </row>
    <row r="444" spans="2:11" x14ac:dyDescent="0.25">
      <c r="B444" t="s">
        <v>338</v>
      </c>
      <c r="C444" t="s">
        <v>302</v>
      </c>
      <c r="D444">
        <v>703515</v>
      </c>
      <c r="E444" t="s">
        <v>266</v>
      </c>
      <c r="F444" t="s">
        <v>21</v>
      </c>
      <c r="G444" t="s">
        <v>22</v>
      </c>
      <c r="H444" t="s">
        <v>23</v>
      </c>
      <c r="J444">
        <v>0</v>
      </c>
      <c r="K444">
        <v>0</v>
      </c>
    </row>
    <row r="445" spans="2:11" x14ac:dyDescent="0.25">
      <c r="B445" t="s">
        <v>338</v>
      </c>
      <c r="C445" t="s">
        <v>302</v>
      </c>
      <c r="D445">
        <v>703520</v>
      </c>
      <c r="E445" t="s">
        <v>267</v>
      </c>
      <c r="F445" t="s">
        <v>21</v>
      </c>
      <c r="G445" t="s">
        <v>22</v>
      </c>
      <c r="H445" t="s">
        <v>23</v>
      </c>
      <c r="J445">
        <v>0</v>
      </c>
      <c r="K445">
        <v>0</v>
      </c>
    </row>
    <row r="446" spans="2:11" x14ac:dyDescent="0.25">
      <c r="B446" t="s">
        <v>338</v>
      </c>
      <c r="C446" t="s">
        <v>302</v>
      </c>
      <c r="D446">
        <v>703530</v>
      </c>
      <c r="E446" t="s">
        <v>268</v>
      </c>
      <c r="F446" t="s">
        <v>21</v>
      </c>
      <c r="G446" t="s">
        <v>22</v>
      </c>
      <c r="H446" t="s">
        <v>23</v>
      </c>
      <c r="J446">
        <v>0</v>
      </c>
      <c r="K446">
        <v>0</v>
      </c>
    </row>
    <row r="447" spans="2:11" x14ac:dyDescent="0.25">
      <c r="B447" t="s">
        <v>338</v>
      </c>
      <c r="C447" t="s">
        <v>302</v>
      </c>
      <c r="D447">
        <v>703540</v>
      </c>
      <c r="E447" t="s">
        <v>269</v>
      </c>
      <c r="F447" t="s">
        <v>21</v>
      </c>
      <c r="G447" t="s">
        <v>22</v>
      </c>
      <c r="H447" t="s">
        <v>23</v>
      </c>
      <c r="J447">
        <v>0</v>
      </c>
      <c r="K447">
        <v>0</v>
      </c>
    </row>
    <row r="448" spans="2:11" x14ac:dyDescent="0.25">
      <c r="B448" t="s">
        <v>338</v>
      </c>
      <c r="C448" t="s">
        <v>302</v>
      </c>
      <c r="D448">
        <v>703550</v>
      </c>
      <c r="E448" t="s">
        <v>270</v>
      </c>
      <c r="F448" t="s">
        <v>21</v>
      </c>
      <c r="G448" t="s">
        <v>22</v>
      </c>
      <c r="H448" t="s">
        <v>23</v>
      </c>
      <c r="J448">
        <v>0</v>
      </c>
      <c r="K448">
        <v>0</v>
      </c>
    </row>
    <row r="449" spans="2:11" x14ac:dyDescent="0.25">
      <c r="B449" t="s">
        <v>338</v>
      </c>
      <c r="C449" t="s">
        <v>302</v>
      </c>
      <c r="D449">
        <v>703560</v>
      </c>
      <c r="E449" t="s">
        <v>271</v>
      </c>
      <c r="F449" t="s">
        <v>21</v>
      </c>
      <c r="G449" t="s">
        <v>22</v>
      </c>
      <c r="H449" t="s">
        <v>23</v>
      </c>
      <c r="J449">
        <v>0</v>
      </c>
      <c r="K449">
        <v>0</v>
      </c>
    </row>
    <row r="450" spans="2:11" x14ac:dyDescent="0.25">
      <c r="B450" t="s">
        <v>338</v>
      </c>
      <c r="C450" t="s">
        <v>302</v>
      </c>
      <c r="D450">
        <v>703570</v>
      </c>
      <c r="E450" t="s">
        <v>272</v>
      </c>
      <c r="F450" t="s">
        <v>21</v>
      </c>
      <c r="G450" t="s">
        <v>22</v>
      </c>
      <c r="H450" t="s">
        <v>23</v>
      </c>
      <c r="J450">
        <v>0</v>
      </c>
      <c r="K450">
        <v>0</v>
      </c>
    </row>
    <row r="451" spans="2:11" x14ac:dyDescent="0.25">
      <c r="B451" t="s">
        <v>338</v>
      </c>
      <c r="C451" t="s">
        <v>302</v>
      </c>
      <c r="D451">
        <v>703571</v>
      </c>
      <c r="E451" t="s">
        <v>273</v>
      </c>
      <c r="F451" t="s">
        <v>21</v>
      </c>
      <c r="G451" t="s">
        <v>22</v>
      </c>
      <c r="H451" t="s">
        <v>23</v>
      </c>
      <c r="J451">
        <v>0</v>
      </c>
    </row>
    <row r="452" spans="2:11" x14ac:dyDescent="0.25">
      <c r="B452" t="s">
        <v>338</v>
      </c>
      <c r="C452" t="s">
        <v>302</v>
      </c>
      <c r="D452">
        <v>703572</v>
      </c>
      <c r="E452" t="s">
        <v>274</v>
      </c>
      <c r="F452" t="s">
        <v>21</v>
      </c>
      <c r="G452" t="s">
        <v>22</v>
      </c>
      <c r="H452" t="s">
        <v>23</v>
      </c>
      <c r="J452">
        <v>0</v>
      </c>
    </row>
    <row r="453" spans="2:11" x14ac:dyDescent="0.25">
      <c r="B453" t="s">
        <v>338</v>
      </c>
      <c r="C453" t="s">
        <v>302</v>
      </c>
      <c r="D453">
        <v>703573</v>
      </c>
      <c r="E453" t="s">
        <v>275</v>
      </c>
      <c r="F453" t="s">
        <v>21</v>
      </c>
      <c r="G453" t="s">
        <v>22</v>
      </c>
      <c r="H453" t="s">
        <v>23</v>
      </c>
      <c r="J453">
        <v>0</v>
      </c>
    </row>
    <row r="454" spans="2:11" x14ac:dyDescent="0.25">
      <c r="B454" t="s">
        <v>338</v>
      </c>
      <c r="C454" t="s">
        <v>302</v>
      </c>
      <c r="D454">
        <v>703574</v>
      </c>
      <c r="E454" t="s">
        <v>276</v>
      </c>
      <c r="F454" t="s">
        <v>21</v>
      </c>
      <c r="G454" t="s">
        <v>22</v>
      </c>
      <c r="H454" t="s">
        <v>23</v>
      </c>
      <c r="J454">
        <v>0</v>
      </c>
    </row>
    <row r="455" spans="2:11" x14ac:dyDescent="0.25">
      <c r="B455" t="s">
        <v>338</v>
      </c>
      <c r="C455" t="s">
        <v>302</v>
      </c>
      <c r="D455">
        <v>703580</v>
      </c>
      <c r="E455" t="s">
        <v>277</v>
      </c>
      <c r="F455" t="s">
        <v>21</v>
      </c>
      <c r="G455" t="s">
        <v>22</v>
      </c>
      <c r="H455" t="s">
        <v>23</v>
      </c>
      <c r="J455">
        <v>0</v>
      </c>
      <c r="K455">
        <v>0</v>
      </c>
    </row>
    <row r="456" spans="2:11" x14ac:dyDescent="0.25">
      <c r="B456" t="s">
        <v>338</v>
      </c>
      <c r="C456" t="s">
        <v>302</v>
      </c>
      <c r="D456">
        <v>703590</v>
      </c>
      <c r="E456" t="s">
        <v>278</v>
      </c>
      <c r="F456" t="s">
        <v>21</v>
      </c>
      <c r="G456" t="s">
        <v>22</v>
      </c>
      <c r="H456" t="s">
        <v>23</v>
      </c>
      <c r="J456">
        <v>0</v>
      </c>
      <c r="K456">
        <v>0</v>
      </c>
    </row>
    <row r="457" spans="2:11" x14ac:dyDescent="0.25">
      <c r="B457" t="s">
        <v>338</v>
      </c>
      <c r="C457" t="s">
        <v>302</v>
      </c>
      <c r="D457">
        <v>703650</v>
      </c>
      <c r="E457" t="s">
        <v>279</v>
      </c>
      <c r="F457" t="s">
        <v>21</v>
      </c>
      <c r="G457" t="s">
        <v>22</v>
      </c>
      <c r="H457" t="s">
        <v>23</v>
      </c>
      <c r="J457">
        <v>0</v>
      </c>
      <c r="K457">
        <v>0</v>
      </c>
    </row>
    <row r="458" spans="2:11" x14ac:dyDescent="0.25">
      <c r="B458" t="s">
        <v>338</v>
      </c>
      <c r="C458" t="s">
        <v>302</v>
      </c>
      <c r="D458">
        <v>703651</v>
      </c>
      <c r="E458" t="s">
        <v>280</v>
      </c>
      <c r="F458" t="s">
        <v>21</v>
      </c>
      <c r="G458" t="s">
        <v>22</v>
      </c>
      <c r="H458" t="s">
        <v>23</v>
      </c>
      <c r="J458">
        <v>0</v>
      </c>
      <c r="K458">
        <v>0</v>
      </c>
    </row>
    <row r="459" spans="2:11" x14ac:dyDescent="0.25">
      <c r="B459" t="s">
        <v>338</v>
      </c>
      <c r="C459" t="s">
        <v>302</v>
      </c>
      <c r="D459">
        <v>703850</v>
      </c>
      <c r="E459" t="s">
        <v>281</v>
      </c>
      <c r="F459" t="s">
        <v>21</v>
      </c>
      <c r="G459" t="s">
        <v>22</v>
      </c>
      <c r="H459" t="s">
        <v>23</v>
      </c>
      <c r="J459">
        <v>0</v>
      </c>
      <c r="K459">
        <v>0</v>
      </c>
    </row>
    <row r="460" spans="2:11" x14ac:dyDescent="0.25">
      <c r="B460" t="s">
        <v>338</v>
      </c>
      <c r="C460" t="s">
        <v>302</v>
      </c>
      <c r="D460">
        <v>703851</v>
      </c>
      <c r="E460" t="s">
        <v>282</v>
      </c>
      <c r="F460" t="s">
        <v>21</v>
      </c>
      <c r="G460" t="s">
        <v>22</v>
      </c>
      <c r="H460" t="s">
        <v>23</v>
      </c>
      <c r="J460">
        <v>0</v>
      </c>
      <c r="K460">
        <v>0</v>
      </c>
    </row>
    <row r="461" spans="2:11" x14ac:dyDescent="0.25">
      <c r="B461" t="s">
        <v>338</v>
      </c>
      <c r="C461" t="s">
        <v>302</v>
      </c>
      <c r="D461">
        <v>703852</v>
      </c>
      <c r="E461" t="s">
        <v>283</v>
      </c>
      <c r="F461" t="s">
        <v>21</v>
      </c>
      <c r="G461" t="s">
        <v>22</v>
      </c>
      <c r="H461" t="s">
        <v>23</v>
      </c>
      <c r="J461">
        <v>0</v>
      </c>
      <c r="K461">
        <v>0</v>
      </c>
    </row>
    <row r="462" spans="2:11" x14ac:dyDescent="0.25">
      <c r="B462" t="s">
        <v>338</v>
      </c>
      <c r="C462" t="s">
        <v>302</v>
      </c>
      <c r="D462">
        <v>703853</v>
      </c>
      <c r="E462" t="s">
        <v>284</v>
      </c>
      <c r="F462" t="s">
        <v>21</v>
      </c>
      <c r="G462" t="s">
        <v>22</v>
      </c>
      <c r="H462" t="s">
        <v>23</v>
      </c>
      <c r="J462">
        <v>0</v>
      </c>
      <c r="K462">
        <v>0</v>
      </c>
    </row>
    <row r="463" spans="2:11" x14ac:dyDescent="0.25">
      <c r="B463" t="s">
        <v>338</v>
      </c>
      <c r="C463" t="s">
        <v>302</v>
      </c>
      <c r="D463">
        <v>703854</v>
      </c>
      <c r="E463" t="s">
        <v>285</v>
      </c>
      <c r="F463" t="s">
        <v>21</v>
      </c>
      <c r="G463" t="s">
        <v>22</v>
      </c>
      <c r="H463" t="s">
        <v>115</v>
      </c>
      <c r="J463">
        <v>0</v>
      </c>
      <c r="K463">
        <v>0</v>
      </c>
    </row>
    <row r="464" spans="2:11" x14ac:dyDescent="0.25">
      <c r="B464" t="s">
        <v>338</v>
      </c>
      <c r="C464" t="s">
        <v>302</v>
      </c>
      <c r="D464">
        <v>703855</v>
      </c>
      <c r="E464" t="s">
        <v>286</v>
      </c>
      <c r="F464" t="s">
        <v>21</v>
      </c>
      <c r="G464" t="s">
        <v>22</v>
      </c>
      <c r="H464" t="s">
        <v>23</v>
      </c>
      <c r="J464">
        <v>0</v>
      </c>
      <c r="K464">
        <v>0</v>
      </c>
    </row>
    <row r="465" spans="2:11" x14ac:dyDescent="0.25">
      <c r="B465" t="s">
        <v>338</v>
      </c>
      <c r="C465" t="s">
        <v>302</v>
      </c>
      <c r="D465">
        <v>703856</v>
      </c>
      <c r="E465" t="s">
        <v>287</v>
      </c>
      <c r="F465" t="s">
        <v>21</v>
      </c>
      <c r="G465" t="s">
        <v>22</v>
      </c>
      <c r="H465" t="s">
        <v>23</v>
      </c>
      <c r="J465">
        <v>0</v>
      </c>
      <c r="K465">
        <v>0</v>
      </c>
    </row>
    <row r="466" spans="2:11" x14ac:dyDescent="0.25">
      <c r="B466" t="s">
        <v>338</v>
      </c>
      <c r="C466" t="s">
        <v>302</v>
      </c>
      <c r="D466">
        <v>703857</v>
      </c>
      <c r="E466" t="s">
        <v>288</v>
      </c>
      <c r="F466" t="s">
        <v>21</v>
      </c>
      <c r="G466" t="s">
        <v>71</v>
      </c>
      <c r="H466" t="s">
        <v>88</v>
      </c>
      <c r="J466">
        <v>0</v>
      </c>
      <c r="K466">
        <v>0</v>
      </c>
    </row>
    <row r="467" spans="2:11" x14ac:dyDescent="0.25">
      <c r="B467" t="s">
        <v>338</v>
      </c>
      <c r="C467" t="s">
        <v>302</v>
      </c>
      <c r="D467">
        <v>703858</v>
      </c>
      <c r="E467" t="s">
        <v>289</v>
      </c>
      <c r="F467" t="s">
        <v>21</v>
      </c>
      <c r="G467" t="s">
        <v>22</v>
      </c>
      <c r="H467" t="s">
        <v>23</v>
      </c>
      <c r="J467">
        <v>0</v>
      </c>
      <c r="K467">
        <v>0</v>
      </c>
    </row>
    <row r="468" spans="2:11" x14ac:dyDescent="0.25">
      <c r="B468" t="s">
        <v>338</v>
      </c>
      <c r="C468" t="s">
        <v>302</v>
      </c>
      <c r="D468">
        <v>703859</v>
      </c>
      <c r="E468" t="s">
        <v>290</v>
      </c>
      <c r="F468" t="s">
        <v>21</v>
      </c>
      <c r="G468" t="s">
        <v>22</v>
      </c>
      <c r="H468" t="s">
        <v>23</v>
      </c>
      <c r="J468">
        <v>0</v>
      </c>
      <c r="K468">
        <v>0</v>
      </c>
    </row>
    <row r="469" spans="2:11" x14ac:dyDescent="0.25">
      <c r="B469" t="s">
        <v>338</v>
      </c>
      <c r="C469" t="s">
        <v>302</v>
      </c>
      <c r="D469">
        <v>703860</v>
      </c>
      <c r="E469" t="s">
        <v>291</v>
      </c>
      <c r="F469" t="s">
        <v>21</v>
      </c>
      <c r="G469" t="s">
        <v>22</v>
      </c>
      <c r="H469" t="s">
        <v>23</v>
      </c>
      <c r="J469">
        <v>0</v>
      </c>
      <c r="K469">
        <v>0</v>
      </c>
    </row>
    <row r="470" spans="2:11" x14ac:dyDescent="0.25">
      <c r="B470" t="s">
        <v>338</v>
      </c>
      <c r="C470" t="s">
        <v>302</v>
      </c>
      <c r="D470">
        <v>703861</v>
      </c>
      <c r="E470" t="s">
        <v>292</v>
      </c>
      <c r="F470" t="s">
        <v>21</v>
      </c>
      <c r="G470" t="s">
        <v>22</v>
      </c>
      <c r="H470" t="s">
        <v>23</v>
      </c>
      <c r="J470">
        <v>0</v>
      </c>
      <c r="K470">
        <v>0</v>
      </c>
    </row>
    <row r="471" spans="2:11" x14ac:dyDescent="0.25">
      <c r="B471" t="s">
        <v>338</v>
      </c>
      <c r="C471" t="s">
        <v>302</v>
      </c>
      <c r="D471">
        <v>703862</v>
      </c>
      <c r="E471" t="s">
        <v>293</v>
      </c>
      <c r="F471" t="s">
        <v>21</v>
      </c>
      <c r="G471" t="s">
        <v>22</v>
      </c>
      <c r="H471" t="s">
        <v>23</v>
      </c>
      <c r="J471">
        <v>0</v>
      </c>
      <c r="K471">
        <v>0</v>
      </c>
    </row>
    <row r="472" spans="2:11" x14ac:dyDescent="0.25">
      <c r="B472" t="s">
        <v>338</v>
      </c>
      <c r="C472" t="s">
        <v>302</v>
      </c>
      <c r="D472">
        <v>703870</v>
      </c>
      <c r="E472" t="s">
        <v>294</v>
      </c>
      <c r="F472" t="s">
        <v>21</v>
      </c>
      <c r="G472" t="s">
        <v>22</v>
      </c>
      <c r="H472" t="s">
        <v>23</v>
      </c>
      <c r="J472">
        <v>0</v>
      </c>
      <c r="K472">
        <v>0</v>
      </c>
    </row>
    <row r="473" spans="2:11" x14ac:dyDescent="0.25">
      <c r="B473" t="s">
        <v>338</v>
      </c>
      <c r="C473" t="s">
        <v>302</v>
      </c>
      <c r="D473">
        <v>703880</v>
      </c>
      <c r="E473" t="s">
        <v>295</v>
      </c>
      <c r="F473" t="s">
        <v>21</v>
      </c>
      <c r="G473" t="s">
        <v>22</v>
      </c>
      <c r="H473" t="s">
        <v>23</v>
      </c>
      <c r="J473">
        <v>0</v>
      </c>
      <c r="K473">
        <v>0</v>
      </c>
    </row>
    <row r="474" spans="2:11" x14ac:dyDescent="0.25">
      <c r="B474" t="s">
        <v>338</v>
      </c>
      <c r="C474" t="s">
        <v>302</v>
      </c>
      <c r="D474">
        <v>703899</v>
      </c>
      <c r="E474" t="s">
        <v>296</v>
      </c>
      <c r="F474" t="s">
        <v>21</v>
      </c>
      <c r="G474" t="s">
        <v>22</v>
      </c>
      <c r="H474" t="s">
        <v>23</v>
      </c>
      <c r="J474">
        <v>0</v>
      </c>
      <c r="K474">
        <v>0</v>
      </c>
    </row>
    <row r="475" spans="2:11" x14ac:dyDescent="0.25">
      <c r="B475" t="s">
        <v>338</v>
      </c>
      <c r="C475" t="s">
        <v>302</v>
      </c>
      <c r="D475">
        <v>706700</v>
      </c>
      <c r="E475" t="s">
        <v>25</v>
      </c>
      <c r="F475" t="s">
        <v>26</v>
      </c>
      <c r="G475" t="s">
        <v>27</v>
      </c>
      <c r="H475" t="s">
        <v>28</v>
      </c>
      <c r="J475">
        <v>1818804.2</v>
      </c>
      <c r="K475">
        <v>1818804.2</v>
      </c>
    </row>
    <row r="476" spans="2:11" x14ac:dyDescent="0.25">
      <c r="B476" t="s">
        <v>338</v>
      </c>
      <c r="C476" t="s">
        <v>302</v>
      </c>
      <c r="D476" t="s">
        <v>29</v>
      </c>
      <c r="E476" t="s">
        <v>30</v>
      </c>
      <c r="F476" t="s">
        <v>26</v>
      </c>
      <c r="G476" t="s">
        <v>27</v>
      </c>
      <c r="H476" t="s">
        <v>31</v>
      </c>
      <c r="J476">
        <v>0</v>
      </c>
      <c r="K476">
        <v>0</v>
      </c>
    </row>
    <row r="477" spans="2:11" x14ac:dyDescent="0.25">
      <c r="B477" t="s">
        <v>338</v>
      </c>
      <c r="C477" t="s">
        <v>302</v>
      </c>
      <c r="D477" t="s">
        <v>32</v>
      </c>
      <c r="E477" t="s">
        <v>33</v>
      </c>
      <c r="F477" t="s">
        <v>26</v>
      </c>
      <c r="G477" t="s">
        <v>27</v>
      </c>
      <c r="H477" t="s">
        <v>28</v>
      </c>
      <c r="J477">
        <v>0</v>
      </c>
      <c r="K477">
        <v>0</v>
      </c>
    </row>
    <row r="478" spans="2:11" x14ac:dyDescent="0.25">
      <c r="B478" t="s">
        <v>338</v>
      </c>
      <c r="C478" t="s">
        <v>302</v>
      </c>
      <c r="D478" t="s">
        <v>34</v>
      </c>
      <c r="E478" t="s">
        <v>35</v>
      </c>
      <c r="F478" t="s">
        <v>26</v>
      </c>
      <c r="G478" t="s">
        <v>36</v>
      </c>
      <c r="H478" t="s">
        <v>36</v>
      </c>
      <c r="J478">
        <v>0</v>
      </c>
      <c r="K478">
        <v>0</v>
      </c>
    </row>
    <row r="479" spans="2:11" x14ac:dyDescent="0.25">
      <c r="B479" t="s">
        <v>338</v>
      </c>
      <c r="C479" t="s">
        <v>302</v>
      </c>
      <c r="D479" t="s">
        <v>37</v>
      </c>
      <c r="E479" t="s">
        <v>38</v>
      </c>
      <c r="F479" t="s">
        <v>21</v>
      </c>
      <c r="G479" t="s">
        <v>39</v>
      </c>
      <c r="H479" t="s">
        <v>39</v>
      </c>
      <c r="J479">
        <v>0</v>
      </c>
      <c r="K479">
        <v>0</v>
      </c>
    </row>
    <row r="480" spans="2:11" x14ac:dyDescent="0.25">
      <c r="B480" t="s">
        <v>338</v>
      </c>
      <c r="C480" t="s">
        <v>302</v>
      </c>
      <c r="D480" t="s">
        <v>40</v>
      </c>
      <c r="E480" t="s">
        <v>41</v>
      </c>
      <c r="F480" t="s">
        <v>26</v>
      </c>
      <c r="G480" t="s">
        <v>39</v>
      </c>
      <c r="H480" t="s">
        <v>39</v>
      </c>
      <c r="I480" t="s">
        <v>105</v>
      </c>
      <c r="J480">
        <v>462684</v>
      </c>
      <c r="K480">
        <v>462684</v>
      </c>
    </row>
    <row r="481" spans="2:11" x14ac:dyDescent="0.25">
      <c r="B481" t="s">
        <v>338</v>
      </c>
      <c r="C481" t="s">
        <v>302</v>
      </c>
      <c r="D481" t="s">
        <v>42</v>
      </c>
      <c r="E481" t="s">
        <v>43</v>
      </c>
      <c r="F481" t="s">
        <v>21</v>
      </c>
      <c r="G481" t="s">
        <v>44</v>
      </c>
      <c r="H481" t="s">
        <v>44</v>
      </c>
      <c r="J481">
        <v>0</v>
      </c>
      <c r="K481">
        <v>0</v>
      </c>
    </row>
    <row r="482" spans="2:11" x14ac:dyDescent="0.25">
      <c r="B482" t="s">
        <v>338</v>
      </c>
      <c r="C482" t="s">
        <v>302</v>
      </c>
      <c r="D482" t="s">
        <v>45</v>
      </c>
      <c r="E482" t="s">
        <v>46</v>
      </c>
      <c r="F482" t="s">
        <v>26</v>
      </c>
      <c r="G482" t="s">
        <v>44</v>
      </c>
      <c r="H482" t="s">
        <v>44</v>
      </c>
      <c r="J482">
        <v>0</v>
      </c>
      <c r="K482">
        <v>0</v>
      </c>
    </row>
    <row r="483" spans="2:11" x14ac:dyDescent="0.25">
      <c r="B483" t="s">
        <v>338</v>
      </c>
      <c r="C483" t="s">
        <v>302</v>
      </c>
      <c r="D483" t="s">
        <v>297</v>
      </c>
      <c r="E483" t="s">
        <v>298</v>
      </c>
      <c r="F483" t="s">
        <v>26</v>
      </c>
      <c r="G483" t="s">
        <v>299</v>
      </c>
      <c r="H483" t="s">
        <v>299</v>
      </c>
      <c r="J483">
        <v>0</v>
      </c>
    </row>
    <row r="484" spans="2:11" x14ac:dyDescent="0.25">
      <c r="B484" t="s">
        <v>338</v>
      </c>
      <c r="C484" t="s">
        <v>302</v>
      </c>
      <c r="D484" t="s">
        <v>300</v>
      </c>
      <c r="E484" t="s">
        <v>301</v>
      </c>
      <c r="F484" t="s">
        <v>21</v>
      </c>
      <c r="G484" t="s">
        <v>299</v>
      </c>
      <c r="H484" t="s">
        <v>299</v>
      </c>
      <c r="J484">
        <v>0</v>
      </c>
    </row>
    <row r="485" spans="2:11" x14ac:dyDescent="0.25">
      <c r="B485" t="s">
        <v>338</v>
      </c>
      <c r="C485" t="s">
        <v>302</v>
      </c>
      <c r="D485" t="s">
        <v>47</v>
      </c>
      <c r="E485" t="s">
        <v>48</v>
      </c>
      <c r="F485" t="s">
        <v>26</v>
      </c>
      <c r="G485" t="s">
        <v>49</v>
      </c>
      <c r="H485" t="s">
        <v>49</v>
      </c>
      <c r="J485">
        <v>0</v>
      </c>
      <c r="K485">
        <v>0</v>
      </c>
    </row>
    <row r="486" spans="2:11" x14ac:dyDescent="0.25">
      <c r="B486" t="s">
        <v>339</v>
      </c>
      <c r="C486" t="s">
        <v>303</v>
      </c>
      <c r="D486">
        <v>701000</v>
      </c>
      <c r="E486" t="s">
        <v>51</v>
      </c>
      <c r="F486" t="s">
        <v>21</v>
      </c>
      <c r="G486" t="s">
        <v>52</v>
      </c>
      <c r="H486" t="s">
        <v>53</v>
      </c>
      <c r="J486">
        <v>0</v>
      </c>
      <c r="K486">
        <v>0</v>
      </c>
    </row>
    <row r="487" spans="2:11" x14ac:dyDescent="0.25">
      <c r="B487" t="s">
        <v>339</v>
      </c>
      <c r="C487" t="s">
        <v>303</v>
      </c>
      <c r="D487">
        <v>701008</v>
      </c>
      <c r="E487" t="s">
        <v>54</v>
      </c>
      <c r="F487" t="s">
        <v>21</v>
      </c>
      <c r="G487" t="s">
        <v>52</v>
      </c>
      <c r="H487" t="s">
        <v>53</v>
      </c>
      <c r="J487">
        <v>0</v>
      </c>
      <c r="K487">
        <v>0</v>
      </c>
    </row>
    <row r="488" spans="2:11" x14ac:dyDescent="0.25">
      <c r="B488" t="s">
        <v>339</v>
      </c>
      <c r="C488" t="s">
        <v>303</v>
      </c>
      <c r="D488">
        <v>701009</v>
      </c>
      <c r="E488" t="s">
        <v>55</v>
      </c>
      <c r="F488" t="s">
        <v>21</v>
      </c>
      <c r="G488" t="s">
        <v>52</v>
      </c>
      <c r="H488" t="s">
        <v>53</v>
      </c>
      <c r="J488">
        <v>0</v>
      </c>
      <c r="K488">
        <v>0</v>
      </c>
    </row>
    <row r="489" spans="2:11" x14ac:dyDescent="0.25">
      <c r="B489" t="s">
        <v>339</v>
      </c>
      <c r="C489" t="s">
        <v>303</v>
      </c>
      <c r="D489">
        <v>701010</v>
      </c>
      <c r="E489" t="s">
        <v>56</v>
      </c>
      <c r="F489" t="s">
        <v>21</v>
      </c>
      <c r="G489" t="s">
        <v>52</v>
      </c>
      <c r="H489" t="s">
        <v>57</v>
      </c>
      <c r="J489">
        <v>0</v>
      </c>
      <c r="K489">
        <v>0</v>
      </c>
    </row>
    <row r="490" spans="2:11" x14ac:dyDescent="0.25">
      <c r="B490" t="s">
        <v>339</v>
      </c>
      <c r="C490" t="s">
        <v>303</v>
      </c>
      <c r="D490">
        <v>701011</v>
      </c>
      <c r="E490" t="s">
        <v>58</v>
      </c>
      <c r="F490" t="s">
        <v>21</v>
      </c>
      <c r="G490" t="s">
        <v>52</v>
      </c>
      <c r="H490" t="s">
        <v>53</v>
      </c>
      <c r="J490">
        <v>0</v>
      </c>
      <c r="K490">
        <v>0</v>
      </c>
    </row>
    <row r="491" spans="2:11" x14ac:dyDescent="0.25">
      <c r="B491" t="s">
        <v>339</v>
      </c>
      <c r="C491" t="s">
        <v>303</v>
      </c>
      <c r="D491">
        <v>701012</v>
      </c>
      <c r="E491" t="s">
        <v>59</v>
      </c>
      <c r="F491" t="s">
        <v>21</v>
      </c>
      <c r="G491" t="s">
        <v>52</v>
      </c>
      <c r="H491" t="s">
        <v>53</v>
      </c>
      <c r="J491">
        <v>0</v>
      </c>
      <c r="K491">
        <v>0</v>
      </c>
    </row>
    <row r="492" spans="2:11" x14ac:dyDescent="0.25">
      <c r="B492" t="s">
        <v>339</v>
      </c>
      <c r="C492" t="s">
        <v>303</v>
      </c>
      <c r="D492">
        <v>701013</v>
      </c>
      <c r="E492" t="s">
        <v>60</v>
      </c>
      <c r="F492" t="s">
        <v>21</v>
      </c>
      <c r="G492" t="s">
        <v>61</v>
      </c>
      <c r="H492" t="s">
        <v>62</v>
      </c>
      <c r="J492">
        <v>0</v>
      </c>
      <c r="K492">
        <v>0</v>
      </c>
    </row>
    <row r="493" spans="2:11" x14ac:dyDescent="0.25">
      <c r="B493" t="s">
        <v>339</v>
      </c>
      <c r="C493" t="s">
        <v>303</v>
      </c>
      <c r="D493">
        <v>701014</v>
      </c>
      <c r="E493" t="s">
        <v>63</v>
      </c>
      <c r="F493" t="s">
        <v>21</v>
      </c>
      <c r="G493" t="s">
        <v>61</v>
      </c>
      <c r="H493" t="s">
        <v>64</v>
      </c>
      <c r="J493">
        <v>0</v>
      </c>
      <c r="K493">
        <v>0</v>
      </c>
    </row>
    <row r="494" spans="2:11" x14ac:dyDescent="0.25">
      <c r="B494" t="s">
        <v>339</v>
      </c>
      <c r="C494" t="s">
        <v>303</v>
      </c>
      <c r="D494">
        <v>701015</v>
      </c>
      <c r="E494" t="s">
        <v>65</v>
      </c>
      <c r="F494" t="s">
        <v>21</v>
      </c>
      <c r="G494" t="s">
        <v>52</v>
      </c>
      <c r="H494" t="s">
        <v>53</v>
      </c>
      <c r="I494" t="s">
        <v>105</v>
      </c>
      <c r="J494">
        <v>5964300.0800000001</v>
      </c>
      <c r="K494">
        <v>5964300.0800000001</v>
      </c>
    </row>
    <row r="495" spans="2:11" x14ac:dyDescent="0.25">
      <c r="B495" t="s">
        <v>339</v>
      </c>
      <c r="C495" t="s">
        <v>303</v>
      </c>
      <c r="D495">
        <v>701016</v>
      </c>
      <c r="E495" t="s">
        <v>66</v>
      </c>
      <c r="F495" t="s">
        <v>21</v>
      </c>
      <c r="G495" t="s">
        <v>52</v>
      </c>
      <c r="H495" t="s">
        <v>53</v>
      </c>
      <c r="I495" t="s">
        <v>105</v>
      </c>
      <c r="J495">
        <v>19816981.710000001</v>
      </c>
      <c r="K495">
        <v>19816981.710000001</v>
      </c>
    </row>
    <row r="496" spans="2:11" x14ac:dyDescent="0.25">
      <c r="B496" t="s">
        <v>339</v>
      </c>
      <c r="C496" t="s">
        <v>303</v>
      </c>
      <c r="D496">
        <v>701017</v>
      </c>
      <c r="E496" t="s">
        <v>67</v>
      </c>
      <c r="F496" t="s">
        <v>21</v>
      </c>
      <c r="G496" t="s">
        <v>61</v>
      </c>
      <c r="H496" t="s">
        <v>68</v>
      </c>
      <c r="J496">
        <v>0</v>
      </c>
      <c r="K496">
        <v>0</v>
      </c>
    </row>
    <row r="497" spans="2:11" x14ac:dyDescent="0.25">
      <c r="B497" t="s">
        <v>339</v>
      </c>
      <c r="C497" t="s">
        <v>303</v>
      </c>
      <c r="D497">
        <v>701018</v>
      </c>
      <c r="E497" t="s">
        <v>69</v>
      </c>
      <c r="F497" t="s">
        <v>21</v>
      </c>
      <c r="G497" t="s">
        <v>61</v>
      </c>
      <c r="H497" t="s">
        <v>68</v>
      </c>
      <c r="J497">
        <v>0</v>
      </c>
      <c r="K497">
        <v>0</v>
      </c>
    </row>
    <row r="498" spans="2:11" x14ac:dyDescent="0.25">
      <c r="B498" t="s">
        <v>339</v>
      </c>
      <c r="C498" t="s">
        <v>303</v>
      </c>
      <c r="D498">
        <v>701019</v>
      </c>
      <c r="E498" t="s">
        <v>70</v>
      </c>
      <c r="F498" t="s">
        <v>21</v>
      </c>
      <c r="G498" t="s">
        <v>71</v>
      </c>
      <c r="H498" t="s">
        <v>72</v>
      </c>
      <c r="J498">
        <v>0</v>
      </c>
      <c r="K498">
        <v>0</v>
      </c>
    </row>
    <row r="499" spans="2:11" x14ac:dyDescent="0.25">
      <c r="B499" t="s">
        <v>339</v>
      </c>
      <c r="C499" t="s">
        <v>303</v>
      </c>
      <c r="D499">
        <v>701020</v>
      </c>
      <c r="E499" t="s">
        <v>73</v>
      </c>
      <c r="F499" t="s">
        <v>21</v>
      </c>
      <c r="G499" t="s">
        <v>52</v>
      </c>
      <c r="H499" t="s">
        <v>53</v>
      </c>
      <c r="I499" t="s">
        <v>105</v>
      </c>
      <c r="J499">
        <v>8220006</v>
      </c>
      <c r="K499">
        <v>8220006</v>
      </c>
    </row>
    <row r="500" spans="2:11" x14ac:dyDescent="0.25">
      <c r="B500" t="s">
        <v>339</v>
      </c>
      <c r="C500" t="s">
        <v>303</v>
      </c>
      <c r="D500">
        <v>701021</v>
      </c>
      <c r="E500" t="s">
        <v>74</v>
      </c>
      <c r="F500" t="s">
        <v>21</v>
      </c>
      <c r="G500" t="s">
        <v>61</v>
      </c>
      <c r="H500" t="s">
        <v>74</v>
      </c>
      <c r="J500">
        <v>0</v>
      </c>
      <c r="K500">
        <v>0</v>
      </c>
    </row>
    <row r="501" spans="2:11" x14ac:dyDescent="0.25">
      <c r="B501" t="s">
        <v>339</v>
      </c>
      <c r="C501" t="s">
        <v>303</v>
      </c>
      <c r="D501">
        <v>701022</v>
      </c>
      <c r="E501" t="s">
        <v>75</v>
      </c>
      <c r="F501" t="s">
        <v>21</v>
      </c>
      <c r="G501" t="s">
        <v>76</v>
      </c>
      <c r="H501" t="s">
        <v>77</v>
      </c>
      <c r="J501">
        <v>0</v>
      </c>
      <c r="K501">
        <v>0</v>
      </c>
    </row>
    <row r="502" spans="2:11" x14ac:dyDescent="0.25">
      <c r="B502" t="s">
        <v>339</v>
      </c>
      <c r="C502" t="s">
        <v>303</v>
      </c>
      <c r="D502">
        <v>701023</v>
      </c>
      <c r="E502" t="s">
        <v>78</v>
      </c>
      <c r="F502" t="s">
        <v>21</v>
      </c>
      <c r="G502" t="s">
        <v>61</v>
      </c>
      <c r="H502" t="s">
        <v>79</v>
      </c>
      <c r="J502">
        <v>0</v>
      </c>
      <c r="K502">
        <v>0</v>
      </c>
    </row>
    <row r="503" spans="2:11" x14ac:dyDescent="0.25">
      <c r="B503" t="s">
        <v>339</v>
      </c>
      <c r="C503" t="s">
        <v>303</v>
      </c>
      <c r="D503">
        <v>701024</v>
      </c>
      <c r="E503" t="s">
        <v>80</v>
      </c>
      <c r="F503" t="s">
        <v>21</v>
      </c>
      <c r="G503" t="s">
        <v>76</v>
      </c>
      <c r="H503" t="s">
        <v>77</v>
      </c>
      <c r="J503">
        <v>0</v>
      </c>
      <c r="K503">
        <v>0</v>
      </c>
    </row>
    <row r="504" spans="2:11" x14ac:dyDescent="0.25">
      <c r="B504" t="s">
        <v>339</v>
      </c>
      <c r="C504" t="s">
        <v>303</v>
      </c>
      <c r="D504">
        <v>701025</v>
      </c>
      <c r="E504" t="s">
        <v>81</v>
      </c>
      <c r="F504" t="s">
        <v>21</v>
      </c>
      <c r="G504" t="s">
        <v>71</v>
      </c>
      <c r="H504" t="s">
        <v>82</v>
      </c>
      <c r="J504">
        <v>0</v>
      </c>
      <c r="K504">
        <v>0</v>
      </c>
    </row>
    <row r="505" spans="2:11" x14ac:dyDescent="0.25">
      <c r="B505" t="s">
        <v>339</v>
      </c>
      <c r="C505" t="s">
        <v>303</v>
      </c>
      <c r="D505">
        <v>701026</v>
      </c>
      <c r="E505" t="s">
        <v>83</v>
      </c>
      <c r="F505" t="s">
        <v>21</v>
      </c>
      <c r="G505" t="s">
        <v>76</v>
      </c>
      <c r="H505" t="s">
        <v>77</v>
      </c>
      <c r="J505">
        <v>0</v>
      </c>
      <c r="K505">
        <v>0</v>
      </c>
    </row>
    <row r="506" spans="2:11" x14ac:dyDescent="0.25">
      <c r="B506" t="s">
        <v>339</v>
      </c>
      <c r="C506" t="s">
        <v>303</v>
      </c>
      <c r="D506">
        <v>701027</v>
      </c>
      <c r="E506" t="s">
        <v>84</v>
      </c>
      <c r="F506" t="s">
        <v>21</v>
      </c>
      <c r="G506" t="s">
        <v>76</v>
      </c>
      <c r="H506" t="s">
        <v>77</v>
      </c>
      <c r="J506">
        <v>0</v>
      </c>
      <c r="K506">
        <v>0</v>
      </c>
    </row>
    <row r="507" spans="2:11" x14ac:dyDescent="0.25">
      <c r="B507" t="s">
        <v>339</v>
      </c>
      <c r="C507" t="s">
        <v>303</v>
      </c>
      <c r="D507">
        <v>701028</v>
      </c>
      <c r="E507" t="s">
        <v>85</v>
      </c>
      <c r="F507" t="s">
        <v>21</v>
      </c>
      <c r="G507" t="s">
        <v>61</v>
      </c>
      <c r="H507" t="s">
        <v>68</v>
      </c>
      <c r="J507">
        <v>0</v>
      </c>
      <c r="K507">
        <v>0</v>
      </c>
    </row>
    <row r="508" spans="2:11" x14ac:dyDescent="0.25">
      <c r="B508" t="s">
        <v>339</v>
      </c>
      <c r="C508" t="s">
        <v>303</v>
      </c>
      <c r="D508">
        <v>701029</v>
      </c>
      <c r="E508" t="s">
        <v>86</v>
      </c>
      <c r="F508" t="s">
        <v>21</v>
      </c>
      <c r="G508" t="s">
        <v>61</v>
      </c>
      <c r="H508" t="s">
        <v>68</v>
      </c>
      <c r="J508">
        <v>0</v>
      </c>
      <c r="K508">
        <v>0</v>
      </c>
    </row>
    <row r="509" spans="2:11" x14ac:dyDescent="0.25">
      <c r="B509" t="s">
        <v>339</v>
      </c>
      <c r="C509" t="s">
        <v>303</v>
      </c>
      <c r="D509">
        <v>701030</v>
      </c>
      <c r="E509" t="s">
        <v>87</v>
      </c>
      <c r="F509" t="s">
        <v>21</v>
      </c>
      <c r="G509" t="s">
        <v>71</v>
      </c>
      <c r="H509" t="s">
        <v>88</v>
      </c>
      <c r="J509">
        <v>0</v>
      </c>
      <c r="K509">
        <v>0</v>
      </c>
    </row>
    <row r="510" spans="2:11" x14ac:dyDescent="0.25">
      <c r="B510" t="s">
        <v>339</v>
      </c>
      <c r="C510" t="s">
        <v>303</v>
      </c>
      <c r="D510">
        <v>701031</v>
      </c>
      <c r="E510" t="s">
        <v>89</v>
      </c>
      <c r="F510" t="s">
        <v>21</v>
      </c>
      <c r="G510" t="s">
        <v>76</v>
      </c>
      <c r="H510" t="s">
        <v>77</v>
      </c>
      <c r="J510">
        <v>0</v>
      </c>
      <c r="K510">
        <v>0</v>
      </c>
    </row>
    <row r="511" spans="2:11" x14ac:dyDescent="0.25">
      <c r="B511" t="s">
        <v>339</v>
      </c>
      <c r="C511" t="s">
        <v>303</v>
      </c>
      <c r="D511">
        <v>701032</v>
      </c>
      <c r="E511" t="s">
        <v>90</v>
      </c>
      <c r="F511" t="s">
        <v>21</v>
      </c>
      <c r="G511" t="s">
        <v>52</v>
      </c>
      <c r="H511" t="s">
        <v>53</v>
      </c>
      <c r="J511">
        <v>0</v>
      </c>
      <c r="K511">
        <v>0</v>
      </c>
    </row>
    <row r="512" spans="2:11" x14ac:dyDescent="0.25">
      <c r="B512" t="s">
        <v>339</v>
      </c>
      <c r="C512" t="s">
        <v>303</v>
      </c>
      <c r="D512">
        <v>701034</v>
      </c>
      <c r="E512" t="s">
        <v>91</v>
      </c>
      <c r="F512" t="s">
        <v>21</v>
      </c>
      <c r="G512" t="s">
        <v>76</v>
      </c>
      <c r="H512" t="s">
        <v>77</v>
      </c>
      <c r="J512">
        <v>0</v>
      </c>
      <c r="K512">
        <v>0</v>
      </c>
    </row>
    <row r="513" spans="2:11" x14ac:dyDescent="0.25">
      <c r="B513" t="s">
        <v>339</v>
      </c>
      <c r="C513" t="s">
        <v>303</v>
      </c>
      <c r="D513">
        <v>701035</v>
      </c>
      <c r="E513" t="s">
        <v>92</v>
      </c>
      <c r="F513" t="s">
        <v>21</v>
      </c>
      <c r="G513" t="s">
        <v>61</v>
      </c>
      <c r="H513" t="s">
        <v>68</v>
      </c>
      <c r="J513">
        <v>0</v>
      </c>
      <c r="K513">
        <v>0</v>
      </c>
    </row>
    <row r="514" spans="2:11" x14ac:dyDescent="0.25">
      <c r="B514" t="s">
        <v>339</v>
      </c>
      <c r="C514" t="s">
        <v>303</v>
      </c>
      <c r="D514">
        <v>701036</v>
      </c>
      <c r="E514" t="s">
        <v>93</v>
      </c>
      <c r="F514" t="s">
        <v>21</v>
      </c>
      <c r="G514" t="s">
        <v>52</v>
      </c>
      <c r="H514" t="s">
        <v>53</v>
      </c>
      <c r="J514">
        <v>0</v>
      </c>
      <c r="K514">
        <v>0</v>
      </c>
    </row>
    <row r="515" spans="2:11" x14ac:dyDescent="0.25">
      <c r="B515" t="s">
        <v>339</v>
      </c>
      <c r="C515" t="s">
        <v>303</v>
      </c>
      <c r="D515">
        <v>701113</v>
      </c>
      <c r="E515" t="s">
        <v>94</v>
      </c>
      <c r="F515" t="s">
        <v>21</v>
      </c>
      <c r="G515" t="s">
        <v>61</v>
      </c>
      <c r="H515" t="s">
        <v>62</v>
      </c>
      <c r="J515">
        <v>0</v>
      </c>
      <c r="K515">
        <v>0</v>
      </c>
    </row>
    <row r="516" spans="2:11" x14ac:dyDescent="0.25">
      <c r="B516" t="s">
        <v>339</v>
      </c>
      <c r="C516" t="s">
        <v>303</v>
      </c>
      <c r="D516">
        <v>701119</v>
      </c>
      <c r="E516" t="s">
        <v>95</v>
      </c>
      <c r="F516" t="s">
        <v>21</v>
      </c>
      <c r="G516" t="s">
        <v>22</v>
      </c>
      <c r="H516" t="s">
        <v>23</v>
      </c>
      <c r="J516">
        <v>0</v>
      </c>
      <c r="K516">
        <v>0</v>
      </c>
    </row>
    <row r="517" spans="2:11" x14ac:dyDescent="0.25">
      <c r="B517" t="s">
        <v>339</v>
      </c>
      <c r="C517" t="s">
        <v>303</v>
      </c>
      <c r="D517">
        <v>701120</v>
      </c>
      <c r="E517" t="s">
        <v>96</v>
      </c>
      <c r="F517" t="s">
        <v>21</v>
      </c>
      <c r="G517" t="s">
        <v>22</v>
      </c>
      <c r="H517" t="s">
        <v>23</v>
      </c>
      <c r="I517" t="s">
        <v>105</v>
      </c>
      <c r="J517">
        <v>65000</v>
      </c>
      <c r="K517">
        <v>65000</v>
      </c>
    </row>
    <row r="518" spans="2:11" x14ac:dyDescent="0.25">
      <c r="B518" t="s">
        <v>339</v>
      </c>
      <c r="C518" t="s">
        <v>303</v>
      </c>
      <c r="D518">
        <v>701121</v>
      </c>
      <c r="E518" t="s">
        <v>97</v>
      </c>
      <c r="F518" t="s">
        <v>21</v>
      </c>
      <c r="G518" t="s">
        <v>22</v>
      </c>
      <c r="H518" t="s">
        <v>23</v>
      </c>
      <c r="J518">
        <v>0</v>
      </c>
      <c r="K518">
        <v>0</v>
      </c>
    </row>
    <row r="519" spans="2:11" x14ac:dyDescent="0.25">
      <c r="B519" t="s">
        <v>339</v>
      </c>
      <c r="C519" t="s">
        <v>303</v>
      </c>
      <c r="D519">
        <v>701122</v>
      </c>
      <c r="E519" t="s">
        <v>98</v>
      </c>
      <c r="F519" t="s">
        <v>21</v>
      </c>
      <c r="G519" t="s">
        <v>71</v>
      </c>
      <c r="H519" t="s">
        <v>88</v>
      </c>
      <c r="I519" t="s">
        <v>105</v>
      </c>
      <c r="J519">
        <v>354829.89</v>
      </c>
      <c r="K519">
        <v>354829.89</v>
      </c>
    </row>
    <row r="520" spans="2:11" x14ac:dyDescent="0.25">
      <c r="B520" t="s">
        <v>339</v>
      </c>
      <c r="C520" t="s">
        <v>303</v>
      </c>
      <c r="D520">
        <v>701123</v>
      </c>
      <c r="E520" t="s">
        <v>99</v>
      </c>
      <c r="F520" t="s">
        <v>21</v>
      </c>
      <c r="G520" t="s">
        <v>22</v>
      </c>
      <c r="H520" t="s">
        <v>23</v>
      </c>
      <c r="J520">
        <v>0</v>
      </c>
      <c r="K520">
        <v>0</v>
      </c>
    </row>
    <row r="521" spans="2:11" x14ac:dyDescent="0.25">
      <c r="B521" t="s">
        <v>339</v>
      </c>
      <c r="C521" t="s">
        <v>303</v>
      </c>
      <c r="D521">
        <v>701127</v>
      </c>
      <c r="E521" t="s">
        <v>100</v>
      </c>
      <c r="F521" t="s">
        <v>21</v>
      </c>
      <c r="G521" t="s">
        <v>76</v>
      </c>
      <c r="H521" t="s">
        <v>77</v>
      </c>
      <c r="J521">
        <v>0</v>
      </c>
      <c r="K521">
        <v>0</v>
      </c>
    </row>
    <row r="522" spans="2:11" x14ac:dyDescent="0.25">
      <c r="B522" t="s">
        <v>339</v>
      </c>
      <c r="C522" t="s">
        <v>303</v>
      </c>
      <c r="D522">
        <v>701213</v>
      </c>
      <c r="E522" t="s">
        <v>101</v>
      </c>
      <c r="F522" t="s">
        <v>21</v>
      </c>
      <c r="G522" t="s">
        <v>61</v>
      </c>
      <c r="H522" t="s">
        <v>62</v>
      </c>
      <c r="J522">
        <v>0</v>
      </c>
      <c r="K522">
        <v>0</v>
      </c>
    </row>
    <row r="523" spans="2:11" x14ac:dyDescent="0.25">
      <c r="B523" t="s">
        <v>339</v>
      </c>
      <c r="C523" t="s">
        <v>303</v>
      </c>
      <c r="D523">
        <v>701214</v>
      </c>
      <c r="E523" t="s">
        <v>102</v>
      </c>
      <c r="F523" t="s">
        <v>21</v>
      </c>
      <c r="G523" t="s">
        <v>61</v>
      </c>
      <c r="H523" t="s">
        <v>62</v>
      </c>
      <c r="J523">
        <v>0</v>
      </c>
      <c r="K523">
        <v>0</v>
      </c>
    </row>
    <row r="524" spans="2:11" x14ac:dyDescent="0.25">
      <c r="B524" t="s">
        <v>339</v>
      </c>
      <c r="C524" t="s">
        <v>303</v>
      </c>
      <c r="D524">
        <v>701215</v>
      </c>
      <c r="E524" t="s">
        <v>103</v>
      </c>
      <c r="F524" t="s">
        <v>21</v>
      </c>
      <c r="G524" t="s">
        <v>61</v>
      </c>
      <c r="H524" t="s">
        <v>62</v>
      </c>
      <c r="J524">
        <v>0</v>
      </c>
      <c r="K524">
        <v>0</v>
      </c>
    </row>
    <row r="525" spans="2:11" x14ac:dyDescent="0.25">
      <c r="B525" t="s">
        <v>339</v>
      </c>
      <c r="C525" t="s">
        <v>303</v>
      </c>
      <c r="D525">
        <v>701227</v>
      </c>
      <c r="E525" t="s">
        <v>104</v>
      </c>
      <c r="F525" t="s">
        <v>21</v>
      </c>
      <c r="G525" t="s">
        <v>76</v>
      </c>
      <c r="H525" t="s">
        <v>77</v>
      </c>
      <c r="J525">
        <v>0</v>
      </c>
      <c r="K525">
        <v>0</v>
      </c>
    </row>
    <row r="526" spans="2:11" x14ac:dyDescent="0.25">
      <c r="B526" t="s">
        <v>339</v>
      </c>
      <c r="C526" t="s">
        <v>303</v>
      </c>
      <c r="D526">
        <v>701327</v>
      </c>
      <c r="E526" t="s">
        <v>106</v>
      </c>
      <c r="F526" t="s">
        <v>21</v>
      </c>
      <c r="G526" t="s">
        <v>76</v>
      </c>
      <c r="H526" t="s">
        <v>77</v>
      </c>
      <c r="J526">
        <v>0</v>
      </c>
      <c r="K526">
        <v>0</v>
      </c>
    </row>
    <row r="527" spans="2:11" x14ac:dyDescent="0.25">
      <c r="B527" t="s">
        <v>339</v>
      </c>
      <c r="C527" t="s">
        <v>303</v>
      </c>
      <c r="D527">
        <v>701427</v>
      </c>
      <c r="E527" t="s">
        <v>107</v>
      </c>
      <c r="F527" t="s">
        <v>21</v>
      </c>
      <c r="G527" t="s">
        <v>76</v>
      </c>
      <c r="H527" t="s">
        <v>108</v>
      </c>
      <c r="J527">
        <v>0</v>
      </c>
      <c r="K527">
        <v>0</v>
      </c>
    </row>
    <row r="528" spans="2:11" x14ac:dyDescent="0.25">
      <c r="B528" t="s">
        <v>339</v>
      </c>
      <c r="C528" t="s">
        <v>303</v>
      </c>
      <c r="D528">
        <v>701527</v>
      </c>
      <c r="E528" t="s">
        <v>109</v>
      </c>
      <c r="F528" t="s">
        <v>21</v>
      </c>
      <c r="G528" t="s">
        <v>76</v>
      </c>
      <c r="H528" t="s">
        <v>77</v>
      </c>
      <c r="J528">
        <v>0</v>
      </c>
      <c r="K528">
        <v>0</v>
      </c>
    </row>
    <row r="529" spans="2:11" x14ac:dyDescent="0.25">
      <c r="B529" t="s">
        <v>339</v>
      </c>
      <c r="C529" t="s">
        <v>303</v>
      </c>
      <c r="D529">
        <v>701627</v>
      </c>
      <c r="E529" t="s">
        <v>110</v>
      </c>
      <c r="F529" t="s">
        <v>21</v>
      </c>
      <c r="G529" t="s">
        <v>76</v>
      </c>
      <c r="H529" t="s">
        <v>77</v>
      </c>
      <c r="J529">
        <v>0</v>
      </c>
      <c r="K529">
        <v>0</v>
      </c>
    </row>
    <row r="530" spans="2:11" x14ac:dyDescent="0.25">
      <c r="B530" t="s">
        <v>339</v>
      </c>
      <c r="C530" t="s">
        <v>303</v>
      </c>
      <c r="D530">
        <v>701727</v>
      </c>
      <c r="E530" t="s">
        <v>111</v>
      </c>
      <c r="F530" t="s">
        <v>21</v>
      </c>
      <c r="G530" t="s">
        <v>76</v>
      </c>
      <c r="H530" t="s">
        <v>77</v>
      </c>
      <c r="J530">
        <v>0</v>
      </c>
      <c r="K530">
        <v>0</v>
      </c>
    </row>
    <row r="531" spans="2:11" x14ac:dyDescent="0.25">
      <c r="B531" t="s">
        <v>339</v>
      </c>
      <c r="C531" t="s">
        <v>303</v>
      </c>
      <c r="D531">
        <v>701801</v>
      </c>
      <c r="E531" t="s">
        <v>112</v>
      </c>
      <c r="F531" t="s">
        <v>21</v>
      </c>
      <c r="G531" t="s">
        <v>76</v>
      </c>
      <c r="H531" t="s">
        <v>77</v>
      </c>
      <c r="J531">
        <v>0</v>
      </c>
      <c r="K531">
        <v>0</v>
      </c>
    </row>
    <row r="532" spans="2:11" x14ac:dyDescent="0.25">
      <c r="B532" t="s">
        <v>339</v>
      </c>
      <c r="C532" t="s">
        <v>303</v>
      </c>
      <c r="D532">
        <v>701802</v>
      </c>
      <c r="E532" t="s">
        <v>113</v>
      </c>
      <c r="F532" t="s">
        <v>21</v>
      </c>
      <c r="G532" t="s">
        <v>61</v>
      </c>
      <c r="H532" t="s">
        <v>62</v>
      </c>
      <c r="J532">
        <v>0</v>
      </c>
      <c r="K532">
        <v>0</v>
      </c>
    </row>
    <row r="533" spans="2:11" x14ac:dyDescent="0.25">
      <c r="B533" t="s">
        <v>339</v>
      </c>
      <c r="C533" t="s">
        <v>303</v>
      </c>
      <c r="D533">
        <v>703010</v>
      </c>
      <c r="E533" t="s">
        <v>114</v>
      </c>
      <c r="F533" t="s">
        <v>21</v>
      </c>
      <c r="G533" t="s">
        <v>22</v>
      </c>
      <c r="H533" t="s">
        <v>115</v>
      </c>
      <c r="J533">
        <v>0</v>
      </c>
      <c r="K533">
        <v>0</v>
      </c>
    </row>
    <row r="534" spans="2:11" x14ac:dyDescent="0.25">
      <c r="B534" t="s">
        <v>339</v>
      </c>
      <c r="C534" t="s">
        <v>303</v>
      </c>
      <c r="D534">
        <v>703011</v>
      </c>
      <c r="E534" t="s">
        <v>116</v>
      </c>
      <c r="F534" t="s">
        <v>21</v>
      </c>
      <c r="G534" t="s">
        <v>22</v>
      </c>
      <c r="H534" t="s">
        <v>115</v>
      </c>
      <c r="J534">
        <v>0</v>
      </c>
      <c r="K534">
        <v>0</v>
      </c>
    </row>
    <row r="535" spans="2:11" x14ac:dyDescent="0.25">
      <c r="B535" t="s">
        <v>339</v>
      </c>
      <c r="C535" t="s">
        <v>303</v>
      </c>
      <c r="D535">
        <v>703012</v>
      </c>
      <c r="E535" t="s">
        <v>117</v>
      </c>
      <c r="F535" t="s">
        <v>21</v>
      </c>
      <c r="G535" t="s">
        <v>22</v>
      </c>
      <c r="H535" t="s">
        <v>115</v>
      </c>
      <c r="J535">
        <v>0</v>
      </c>
      <c r="K535">
        <v>0</v>
      </c>
    </row>
    <row r="536" spans="2:11" x14ac:dyDescent="0.25">
      <c r="B536" t="s">
        <v>339</v>
      </c>
      <c r="C536" t="s">
        <v>303</v>
      </c>
      <c r="D536">
        <v>703013</v>
      </c>
      <c r="E536" t="s">
        <v>118</v>
      </c>
      <c r="F536" t="s">
        <v>21</v>
      </c>
      <c r="G536" t="s">
        <v>22</v>
      </c>
      <c r="H536" t="s">
        <v>115</v>
      </c>
      <c r="J536">
        <v>0</v>
      </c>
      <c r="K536">
        <v>0</v>
      </c>
    </row>
    <row r="537" spans="2:11" x14ac:dyDescent="0.25">
      <c r="B537" t="s">
        <v>339</v>
      </c>
      <c r="C537" t="s">
        <v>303</v>
      </c>
      <c r="D537">
        <v>703014</v>
      </c>
      <c r="E537" t="s">
        <v>119</v>
      </c>
      <c r="F537" t="s">
        <v>21</v>
      </c>
      <c r="G537" t="s">
        <v>22</v>
      </c>
      <c r="H537" t="s">
        <v>115</v>
      </c>
      <c r="J537">
        <v>0</v>
      </c>
      <c r="K537">
        <v>0</v>
      </c>
    </row>
    <row r="538" spans="2:11" x14ac:dyDescent="0.25">
      <c r="B538" t="s">
        <v>339</v>
      </c>
      <c r="C538" t="s">
        <v>303</v>
      </c>
      <c r="D538">
        <v>703015</v>
      </c>
      <c r="E538" t="s">
        <v>120</v>
      </c>
      <c r="F538" t="s">
        <v>21</v>
      </c>
      <c r="G538" t="s">
        <v>22</v>
      </c>
      <c r="H538" t="s">
        <v>115</v>
      </c>
      <c r="J538">
        <v>0</v>
      </c>
      <c r="K538">
        <v>0</v>
      </c>
    </row>
    <row r="539" spans="2:11" x14ac:dyDescent="0.25">
      <c r="B539" t="s">
        <v>339</v>
      </c>
      <c r="C539" t="s">
        <v>303</v>
      </c>
      <c r="D539">
        <v>703016</v>
      </c>
      <c r="E539" t="s">
        <v>121</v>
      </c>
      <c r="F539" t="s">
        <v>21</v>
      </c>
      <c r="G539" t="s">
        <v>22</v>
      </c>
      <c r="H539" t="s">
        <v>115</v>
      </c>
      <c r="J539">
        <v>0</v>
      </c>
      <c r="K539">
        <v>0</v>
      </c>
    </row>
    <row r="540" spans="2:11" x14ac:dyDescent="0.25">
      <c r="B540" t="s">
        <v>339</v>
      </c>
      <c r="C540" t="s">
        <v>303</v>
      </c>
      <c r="D540">
        <v>703017</v>
      </c>
      <c r="E540" t="s">
        <v>122</v>
      </c>
      <c r="F540" t="s">
        <v>21</v>
      </c>
      <c r="G540" t="s">
        <v>22</v>
      </c>
      <c r="H540" t="s">
        <v>115</v>
      </c>
      <c r="J540">
        <v>0</v>
      </c>
      <c r="K540">
        <v>0</v>
      </c>
    </row>
    <row r="541" spans="2:11" x14ac:dyDescent="0.25">
      <c r="B541" t="s">
        <v>339</v>
      </c>
      <c r="C541" t="s">
        <v>303</v>
      </c>
      <c r="D541">
        <v>703018</v>
      </c>
      <c r="E541" t="s">
        <v>123</v>
      </c>
      <c r="F541" t="s">
        <v>21</v>
      </c>
      <c r="G541" t="s">
        <v>22</v>
      </c>
      <c r="H541" t="s">
        <v>115</v>
      </c>
      <c r="J541">
        <v>0</v>
      </c>
      <c r="K541">
        <v>0</v>
      </c>
    </row>
    <row r="542" spans="2:11" x14ac:dyDescent="0.25">
      <c r="B542" t="s">
        <v>339</v>
      </c>
      <c r="C542" t="s">
        <v>303</v>
      </c>
      <c r="D542">
        <v>703019</v>
      </c>
      <c r="E542" t="s">
        <v>124</v>
      </c>
      <c r="F542" t="s">
        <v>21</v>
      </c>
      <c r="G542" t="s">
        <v>22</v>
      </c>
      <c r="H542" t="s">
        <v>115</v>
      </c>
      <c r="J542">
        <v>0</v>
      </c>
      <c r="K542">
        <v>0</v>
      </c>
    </row>
    <row r="543" spans="2:11" x14ac:dyDescent="0.25">
      <c r="B543" t="s">
        <v>339</v>
      </c>
      <c r="C543" t="s">
        <v>303</v>
      </c>
      <c r="D543">
        <v>703210</v>
      </c>
      <c r="E543" t="s">
        <v>125</v>
      </c>
      <c r="F543" t="s">
        <v>21</v>
      </c>
      <c r="G543" t="s">
        <v>22</v>
      </c>
      <c r="H543" t="s">
        <v>23</v>
      </c>
      <c r="J543">
        <v>0</v>
      </c>
      <c r="K543">
        <v>0</v>
      </c>
    </row>
    <row r="544" spans="2:11" x14ac:dyDescent="0.25">
      <c r="B544" t="s">
        <v>339</v>
      </c>
      <c r="C544" t="s">
        <v>303</v>
      </c>
      <c r="D544">
        <v>703211</v>
      </c>
      <c r="E544" t="s">
        <v>126</v>
      </c>
      <c r="F544" t="s">
        <v>21</v>
      </c>
      <c r="G544" t="s">
        <v>22</v>
      </c>
      <c r="H544" t="s">
        <v>23</v>
      </c>
      <c r="J544">
        <v>0</v>
      </c>
      <c r="K544">
        <v>0</v>
      </c>
    </row>
    <row r="545" spans="2:11" x14ac:dyDescent="0.25">
      <c r="B545" t="s">
        <v>339</v>
      </c>
      <c r="C545" t="s">
        <v>303</v>
      </c>
      <c r="D545">
        <v>703212</v>
      </c>
      <c r="E545" t="s">
        <v>127</v>
      </c>
      <c r="F545" t="s">
        <v>21</v>
      </c>
      <c r="G545" t="s">
        <v>22</v>
      </c>
      <c r="H545" t="s">
        <v>23</v>
      </c>
      <c r="J545">
        <v>0</v>
      </c>
      <c r="K545">
        <v>0</v>
      </c>
    </row>
    <row r="546" spans="2:11" x14ac:dyDescent="0.25">
      <c r="B546" t="s">
        <v>339</v>
      </c>
      <c r="C546" t="s">
        <v>303</v>
      </c>
      <c r="D546">
        <v>703213</v>
      </c>
      <c r="E546" t="s">
        <v>128</v>
      </c>
      <c r="F546" t="s">
        <v>21</v>
      </c>
      <c r="G546" t="s">
        <v>22</v>
      </c>
      <c r="H546" t="s">
        <v>23</v>
      </c>
      <c r="J546">
        <v>0</v>
      </c>
      <c r="K546">
        <v>0</v>
      </c>
    </row>
    <row r="547" spans="2:11" x14ac:dyDescent="0.25">
      <c r="B547" t="s">
        <v>339</v>
      </c>
      <c r="C547" t="s">
        <v>303</v>
      </c>
      <c r="D547">
        <v>703214</v>
      </c>
      <c r="E547" t="s">
        <v>129</v>
      </c>
      <c r="F547" t="s">
        <v>21</v>
      </c>
      <c r="G547" t="s">
        <v>22</v>
      </c>
      <c r="H547" t="s">
        <v>23</v>
      </c>
      <c r="J547">
        <v>0</v>
      </c>
      <c r="K547">
        <v>0</v>
      </c>
    </row>
    <row r="548" spans="2:11" x14ac:dyDescent="0.25">
      <c r="B548" t="s">
        <v>339</v>
      </c>
      <c r="C548" t="s">
        <v>303</v>
      </c>
      <c r="D548">
        <v>703215</v>
      </c>
      <c r="E548" t="s">
        <v>130</v>
      </c>
      <c r="F548" t="s">
        <v>21</v>
      </c>
      <c r="G548" t="s">
        <v>22</v>
      </c>
      <c r="H548" t="s">
        <v>23</v>
      </c>
      <c r="J548">
        <v>0</v>
      </c>
      <c r="K548">
        <v>0</v>
      </c>
    </row>
    <row r="549" spans="2:11" x14ac:dyDescent="0.25">
      <c r="B549" t="s">
        <v>339</v>
      </c>
      <c r="C549" t="s">
        <v>303</v>
      </c>
      <c r="D549">
        <v>703216</v>
      </c>
      <c r="E549" t="s">
        <v>131</v>
      </c>
      <c r="F549" t="s">
        <v>21</v>
      </c>
      <c r="G549" t="s">
        <v>22</v>
      </c>
      <c r="H549" t="s">
        <v>23</v>
      </c>
      <c r="J549">
        <v>0</v>
      </c>
      <c r="K549">
        <v>0</v>
      </c>
    </row>
    <row r="550" spans="2:11" x14ac:dyDescent="0.25">
      <c r="B550" t="s">
        <v>339</v>
      </c>
      <c r="C550" t="s">
        <v>303</v>
      </c>
      <c r="D550">
        <v>703217</v>
      </c>
      <c r="E550" t="s">
        <v>132</v>
      </c>
      <c r="F550" t="s">
        <v>21</v>
      </c>
      <c r="G550" t="s">
        <v>22</v>
      </c>
      <c r="H550" t="s">
        <v>23</v>
      </c>
      <c r="J550">
        <v>0</v>
      </c>
      <c r="K550">
        <v>0</v>
      </c>
    </row>
    <row r="551" spans="2:11" x14ac:dyDescent="0.25">
      <c r="B551" t="s">
        <v>339</v>
      </c>
      <c r="C551" t="s">
        <v>303</v>
      </c>
      <c r="D551">
        <v>703219</v>
      </c>
      <c r="E551" t="s">
        <v>133</v>
      </c>
      <c r="F551" t="s">
        <v>21</v>
      </c>
      <c r="G551" t="s">
        <v>22</v>
      </c>
      <c r="H551" t="s">
        <v>23</v>
      </c>
      <c r="J551">
        <v>0</v>
      </c>
      <c r="K551">
        <v>0</v>
      </c>
    </row>
    <row r="552" spans="2:11" x14ac:dyDescent="0.25">
      <c r="B552" t="s">
        <v>339</v>
      </c>
      <c r="C552" t="s">
        <v>303</v>
      </c>
      <c r="D552">
        <v>703220</v>
      </c>
      <c r="E552" t="s">
        <v>134</v>
      </c>
      <c r="F552" t="s">
        <v>21</v>
      </c>
      <c r="G552" t="s">
        <v>71</v>
      </c>
      <c r="H552" t="s">
        <v>135</v>
      </c>
      <c r="J552">
        <v>0</v>
      </c>
      <c r="K552">
        <v>0</v>
      </c>
    </row>
    <row r="553" spans="2:11" x14ac:dyDescent="0.25">
      <c r="B553" t="s">
        <v>339</v>
      </c>
      <c r="C553" t="s">
        <v>303</v>
      </c>
      <c r="D553">
        <v>703221</v>
      </c>
      <c r="E553" t="s">
        <v>136</v>
      </c>
      <c r="F553" t="s">
        <v>21</v>
      </c>
      <c r="G553" t="s">
        <v>137</v>
      </c>
      <c r="H553" t="s">
        <v>138</v>
      </c>
      <c r="J553">
        <v>0</v>
      </c>
      <c r="K553">
        <v>0</v>
      </c>
    </row>
    <row r="554" spans="2:11" x14ac:dyDescent="0.25">
      <c r="B554" t="s">
        <v>339</v>
      </c>
      <c r="C554" t="s">
        <v>303</v>
      </c>
      <c r="D554">
        <v>703222</v>
      </c>
      <c r="E554" t="s">
        <v>139</v>
      </c>
      <c r="F554" t="s">
        <v>21</v>
      </c>
      <c r="G554" t="s">
        <v>137</v>
      </c>
      <c r="H554" t="s">
        <v>138</v>
      </c>
      <c r="J554">
        <v>0</v>
      </c>
      <c r="K554">
        <v>0</v>
      </c>
    </row>
    <row r="555" spans="2:11" x14ac:dyDescent="0.25">
      <c r="B555" t="s">
        <v>339</v>
      </c>
      <c r="C555" t="s">
        <v>303</v>
      </c>
      <c r="D555">
        <v>703223</v>
      </c>
      <c r="E555" t="s">
        <v>140</v>
      </c>
      <c r="F555" t="s">
        <v>21</v>
      </c>
      <c r="G555" t="s">
        <v>137</v>
      </c>
      <c r="H555" t="s">
        <v>141</v>
      </c>
      <c r="J555">
        <v>0</v>
      </c>
      <c r="K555">
        <v>0</v>
      </c>
    </row>
    <row r="556" spans="2:11" x14ac:dyDescent="0.25">
      <c r="B556" t="s">
        <v>339</v>
      </c>
      <c r="C556" t="s">
        <v>303</v>
      </c>
      <c r="D556">
        <v>703224</v>
      </c>
      <c r="E556" t="s">
        <v>142</v>
      </c>
      <c r="F556" t="s">
        <v>21</v>
      </c>
      <c r="G556" t="s">
        <v>71</v>
      </c>
      <c r="H556" t="s">
        <v>88</v>
      </c>
      <c r="J556">
        <v>0</v>
      </c>
      <c r="K556">
        <v>0</v>
      </c>
    </row>
    <row r="557" spans="2:11" x14ac:dyDescent="0.25">
      <c r="B557" t="s">
        <v>339</v>
      </c>
      <c r="C557" t="s">
        <v>303</v>
      </c>
      <c r="D557">
        <v>703225</v>
      </c>
      <c r="E557" t="s">
        <v>143</v>
      </c>
      <c r="F557" t="s">
        <v>21</v>
      </c>
      <c r="G557" t="s">
        <v>71</v>
      </c>
      <c r="H557" t="s">
        <v>88</v>
      </c>
      <c r="J557">
        <v>0</v>
      </c>
      <c r="K557">
        <v>0</v>
      </c>
    </row>
    <row r="558" spans="2:11" x14ac:dyDescent="0.25">
      <c r="B558" t="s">
        <v>339</v>
      </c>
      <c r="C558" t="s">
        <v>303</v>
      </c>
      <c r="D558">
        <v>703226</v>
      </c>
      <c r="E558" t="s">
        <v>144</v>
      </c>
      <c r="F558" t="s">
        <v>21</v>
      </c>
      <c r="G558" t="s">
        <v>71</v>
      </c>
      <c r="H558" t="s">
        <v>82</v>
      </c>
      <c r="J558">
        <v>0</v>
      </c>
      <c r="K558">
        <v>0</v>
      </c>
    </row>
    <row r="559" spans="2:11" x14ac:dyDescent="0.25">
      <c r="B559" t="s">
        <v>339</v>
      </c>
      <c r="C559" t="s">
        <v>303</v>
      </c>
      <c r="D559">
        <v>703227</v>
      </c>
      <c r="E559" t="s">
        <v>145</v>
      </c>
      <c r="F559" t="s">
        <v>21</v>
      </c>
      <c r="G559" t="s">
        <v>137</v>
      </c>
      <c r="H559" t="s">
        <v>138</v>
      </c>
      <c r="J559">
        <v>0</v>
      </c>
      <c r="K559">
        <v>0</v>
      </c>
    </row>
    <row r="560" spans="2:11" x14ac:dyDescent="0.25">
      <c r="B560" t="s">
        <v>339</v>
      </c>
      <c r="C560" t="s">
        <v>303</v>
      </c>
      <c r="D560">
        <v>703228</v>
      </c>
      <c r="E560" t="s">
        <v>146</v>
      </c>
      <c r="F560" t="s">
        <v>21</v>
      </c>
      <c r="G560" t="s">
        <v>147</v>
      </c>
      <c r="H560" t="s">
        <v>147</v>
      </c>
      <c r="J560">
        <v>0</v>
      </c>
      <c r="K560">
        <v>0</v>
      </c>
    </row>
    <row r="561" spans="2:11" x14ac:dyDescent="0.25">
      <c r="B561" t="s">
        <v>339</v>
      </c>
      <c r="C561" t="s">
        <v>303</v>
      </c>
      <c r="D561">
        <v>703229</v>
      </c>
      <c r="E561" t="s">
        <v>148</v>
      </c>
      <c r="F561" t="s">
        <v>21</v>
      </c>
      <c r="G561" t="s">
        <v>147</v>
      </c>
      <c r="H561" t="s">
        <v>147</v>
      </c>
      <c r="J561">
        <v>0</v>
      </c>
      <c r="K561">
        <v>0</v>
      </c>
    </row>
    <row r="562" spans="2:11" x14ac:dyDescent="0.25">
      <c r="B562" t="s">
        <v>339</v>
      </c>
      <c r="C562" t="s">
        <v>303</v>
      </c>
      <c r="D562">
        <v>703230</v>
      </c>
      <c r="E562" t="s">
        <v>149</v>
      </c>
      <c r="F562" t="s">
        <v>21</v>
      </c>
      <c r="G562" t="s">
        <v>147</v>
      </c>
      <c r="H562" t="s">
        <v>147</v>
      </c>
      <c r="J562">
        <v>0</v>
      </c>
      <c r="K562">
        <v>0</v>
      </c>
    </row>
    <row r="563" spans="2:11" x14ac:dyDescent="0.25">
      <c r="B563" t="s">
        <v>339</v>
      </c>
      <c r="C563" t="s">
        <v>303</v>
      </c>
      <c r="D563">
        <v>703231</v>
      </c>
      <c r="E563" t="s">
        <v>150</v>
      </c>
      <c r="F563" t="s">
        <v>21</v>
      </c>
      <c r="G563" t="s">
        <v>137</v>
      </c>
      <c r="H563" t="s">
        <v>141</v>
      </c>
      <c r="J563">
        <v>0</v>
      </c>
      <c r="K563">
        <v>0</v>
      </c>
    </row>
    <row r="564" spans="2:11" x14ac:dyDescent="0.25">
      <c r="B564" t="s">
        <v>339</v>
      </c>
      <c r="C564" t="s">
        <v>303</v>
      </c>
      <c r="D564">
        <v>703232</v>
      </c>
      <c r="E564" t="s">
        <v>151</v>
      </c>
      <c r="F564" t="s">
        <v>21</v>
      </c>
      <c r="G564" t="s">
        <v>147</v>
      </c>
      <c r="H564" t="s">
        <v>147</v>
      </c>
      <c r="J564">
        <v>0</v>
      </c>
      <c r="K564">
        <v>0</v>
      </c>
    </row>
    <row r="565" spans="2:11" x14ac:dyDescent="0.25">
      <c r="B565" t="s">
        <v>339</v>
      </c>
      <c r="C565" t="s">
        <v>303</v>
      </c>
      <c r="D565">
        <v>703233</v>
      </c>
      <c r="E565" t="s">
        <v>152</v>
      </c>
      <c r="F565" t="s">
        <v>21</v>
      </c>
      <c r="G565" t="s">
        <v>71</v>
      </c>
      <c r="H565" t="s">
        <v>153</v>
      </c>
      <c r="J565">
        <v>0</v>
      </c>
      <c r="K565">
        <v>0</v>
      </c>
    </row>
    <row r="566" spans="2:11" x14ac:dyDescent="0.25">
      <c r="B566" t="s">
        <v>339</v>
      </c>
      <c r="C566" t="s">
        <v>303</v>
      </c>
      <c r="D566">
        <v>703234</v>
      </c>
      <c r="E566" t="s">
        <v>154</v>
      </c>
      <c r="F566" t="s">
        <v>21</v>
      </c>
      <c r="G566" t="s">
        <v>71</v>
      </c>
      <c r="H566" t="s">
        <v>153</v>
      </c>
      <c r="J566">
        <v>0</v>
      </c>
      <c r="K566">
        <v>0</v>
      </c>
    </row>
    <row r="567" spans="2:11" x14ac:dyDescent="0.25">
      <c r="B567" t="s">
        <v>339</v>
      </c>
      <c r="C567" t="s">
        <v>303</v>
      </c>
      <c r="D567">
        <v>703235</v>
      </c>
      <c r="E567" t="s">
        <v>155</v>
      </c>
      <c r="F567" t="s">
        <v>21</v>
      </c>
      <c r="G567" t="s">
        <v>71</v>
      </c>
      <c r="H567" t="s">
        <v>153</v>
      </c>
      <c r="J567">
        <v>0</v>
      </c>
      <c r="K567">
        <v>0</v>
      </c>
    </row>
    <row r="568" spans="2:11" x14ac:dyDescent="0.25">
      <c r="B568" t="s">
        <v>339</v>
      </c>
      <c r="C568" t="s">
        <v>303</v>
      </c>
      <c r="D568">
        <v>703236</v>
      </c>
      <c r="E568" t="s">
        <v>156</v>
      </c>
      <c r="F568" t="s">
        <v>21</v>
      </c>
      <c r="G568" t="s">
        <v>76</v>
      </c>
      <c r="H568" t="s">
        <v>77</v>
      </c>
      <c r="J568">
        <v>0</v>
      </c>
      <c r="K568">
        <v>0</v>
      </c>
    </row>
    <row r="569" spans="2:11" x14ac:dyDescent="0.25">
      <c r="B569" t="s">
        <v>339</v>
      </c>
      <c r="C569" t="s">
        <v>303</v>
      </c>
      <c r="D569">
        <v>703237</v>
      </c>
      <c r="E569" t="s">
        <v>157</v>
      </c>
      <c r="F569" t="s">
        <v>21</v>
      </c>
      <c r="G569" t="s">
        <v>22</v>
      </c>
      <c r="H569" t="s">
        <v>23</v>
      </c>
      <c r="I569" t="s">
        <v>105</v>
      </c>
      <c r="J569">
        <v>507630.75</v>
      </c>
      <c r="K569">
        <v>507630.75</v>
      </c>
    </row>
    <row r="570" spans="2:11" x14ac:dyDescent="0.25">
      <c r="B570" t="s">
        <v>339</v>
      </c>
      <c r="C570" t="s">
        <v>303</v>
      </c>
      <c r="D570">
        <v>703238</v>
      </c>
      <c r="E570" t="s">
        <v>158</v>
      </c>
      <c r="F570" t="s">
        <v>21</v>
      </c>
      <c r="G570" t="s">
        <v>61</v>
      </c>
      <c r="H570" t="s">
        <v>68</v>
      </c>
      <c r="J570">
        <v>0</v>
      </c>
      <c r="K570">
        <v>0</v>
      </c>
    </row>
    <row r="571" spans="2:11" x14ac:dyDescent="0.25">
      <c r="B571" t="s">
        <v>339</v>
      </c>
      <c r="C571" t="s">
        <v>303</v>
      </c>
      <c r="D571">
        <v>703239</v>
      </c>
      <c r="E571" t="s">
        <v>159</v>
      </c>
      <c r="F571" t="s">
        <v>21</v>
      </c>
      <c r="G571" t="s">
        <v>61</v>
      </c>
      <c r="H571" t="s">
        <v>68</v>
      </c>
      <c r="J571">
        <v>0</v>
      </c>
      <c r="K571">
        <v>0</v>
      </c>
    </row>
    <row r="572" spans="2:11" x14ac:dyDescent="0.25">
      <c r="B572" t="s">
        <v>339</v>
      </c>
      <c r="C572" t="s">
        <v>303</v>
      </c>
      <c r="D572">
        <v>703240</v>
      </c>
      <c r="E572" t="s">
        <v>160</v>
      </c>
      <c r="F572" t="s">
        <v>21</v>
      </c>
      <c r="G572" t="s">
        <v>61</v>
      </c>
      <c r="H572" t="s">
        <v>68</v>
      </c>
      <c r="J572">
        <v>0</v>
      </c>
      <c r="K572">
        <v>0</v>
      </c>
    </row>
    <row r="573" spans="2:11" x14ac:dyDescent="0.25">
      <c r="B573" t="s">
        <v>339</v>
      </c>
      <c r="C573" t="s">
        <v>303</v>
      </c>
      <c r="D573">
        <v>703241</v>
      </c>
      <c r="E573" t="s">
        <v>161</v>
      </c>
      <c r="F573" t="s">
        <v>21</v>
      </c>
      <c r="G573" t="s">
        <v>137</v>
      </c>
      <c r="H573" t="s">
        <v>141</v>
      </c>
      <c r="J573">
        <v>0</v>
      </c>
      <c r="K573">
        <v>0</v>
      </c>
    </row>
    <row r="574" spans="2:11" x14ac:dyDescent="0.25">
      <c r="B574" t="s">
        <v>339</v>
      </c>
      <c r="C574" t="s">
        <v>303</v>
      </c>
      <c r="D574">
        <v>703242</v>
      </c>
      <c r="E574" t="s">
        <v>162</v>
      </c>
      <c r="F574" t="s">
        <v>21</v>
      </c>
      <c r="G574" t="s">
        <v>137</v>
      </c>
      <c r="H574" t="s">
        <v>141</v>
      </c>
      <c r="J574">
        <v>0</v>
      </c>
      <c r="K574">
        <v>0</v>
      </c>
    </row>
    <row r="575" spans="2:11" x14ac:dyDescent="0.25">
      <c r="B575" t="s">
        <v>339</v>
      </c>
      <c r="C575" t="s">
        <v>303</v>
      </c>
      <c r="D575">
        <v>703243</v>
      </c>
      <c r="E575" t="s">
        <v>163</v>
      </c>
      <c r="F575" t="s">
        <v>21</v>
      </c>
      <c r="G575" t="s">
        <v>137</v>
      </c>
      <c r="H575" t="s">
        <v>141</v>
      </c>
      <c r="J575">
        <v>0</v>
      </c>
      <c r="K575">
        <v>0</v>
      </c>
    </row>
    <row r="576" spans="2:11" x14ac:dyDescent="0.25">
      <c r="B576" t="s">
        <v>339</v>
      </c>
      <c r="C576" t="s">
        <v>303</v>
      </c>
      <c r="D576">
        <v>703244</v>
      </c>
      <c r="E576" t="s">
        <v>164</v>
      </c>
      <c r="F576" t="s">
        <v>21</v>
      </c>
      <c r="G576" t="s">
        <v>71</v>
      </c>
      <c r="H576" t="s">
        <v>88</v>
      </c>
      <c r="J576">
        <v>0</v>
      </c>
      <c r="K576">
        <v>0</v>
      </c>
    </row>
    <row r="577" spans="2:11" x14ac:dyDescent="0.25">
      <c r="B577" t="s">
        <v>339</v>
      </c>
      <c r="C577" t="s">
        <v>303</v>
      </c>
      <c r="D577">
        <v>703245</v>
      </c>
      <c r="E577" t="s">
        <v>165</v>
      </c>
      <c r="F577" t="s">
        <v>21</v>
      </c>
      <c r="G577" t="s">
        <v>137</v>
      </c>
      <c r="H577" t="s">
        <v>138</v>
      </c>
      <c r="J577">
        <v>0</v>
      </c>
      <c r="K577">
        <v>0</v>
      </c>
    </row>
    <row r="578" spans="2:11" x14ac:dyDescent="0.25">
      <c r="B578" t="s">
        <v>339</v>
      </c>
      <c r="C578" t="s">
        <v>303</v>
      </c>
      <c r="D578">
        <v>703246</v>
      </c>
      <c r="E578" t="s">
        <v>166</v>
      </c>
      <c r="F578" t="s">
        <v>21</v>
      </c>
      <c r="G578" t="s">
        <v>137</v>
      </c>
      <c r="H578" t="s">
        <v>138</v>
      </c>
      <c r="J578">
        <v>0</v>
      </c>
      <c r="K578">
        <v>0</v>
      </c>
    </row>
    <row r="579" spans="2:11" x14ac:dyDescent="0.25">
      <c r="B579" t="s">
        <v>339</v>
      </c>
      <c r="C579" t="s">
        <v>303</v>
      </c>
      <c r="D579">
        <v>703247</v>
      </c>
      <c r="E579" t="s">
        <v>167</v>
      </c>
      <c r="F579" t="s">
        <v>21</v>
      </c>
      <c r="G579" t="s">
        <v>137</v>
      </c>
      <c r="H579" t="s">
        <v>138</v>
      </c>
      <c r="J579">
        <v>0</v>
      </c>
      <c r="K579">
        <v>0</v>
      </c>
    </row>
    <row r="580" spans="2:11" x14ac:dyDescent="0.25">
      <c r="B580" t="s">
        <v>339</v>
      </c>
      <c r="C580" t="s">
        <v>303</v>
      </c>
      <c r="D580">
        <v>703248</v>
      </c>
      <c r="E580" t="s">
        <v>168</v>
      </c>
      <c r="F580" t="s">
        <v>21</v>
      </c>
      <c r="G580" t="s">
        <v>137</v>
      </c>
      <c r="H580" t="s">
        <v>141</v>
      </c>
      <c r="J580">
        <v>0</v>
      </c>
      <c r="K580">
        <v>0</v>
      </c>
    </row>
    <row r="581" spans="2:11" x14ac:dyDescent="0.25">
      <c r="B581" t="s">
        <v>339</v>
      </c>
      <c r="C581" t="s">
        <v>303</v>
      </c>
      <c r="D581">
        <v>703249</v>
      </c>
      <c r="E581" t="s">
        <v>169</v>
      </c>
      <c r="F581" t="s">
        <v>21</v>
      </c>
      <c r="G581" t="s">
        <v>147</v>
      </c>
      <c r="H581" t="s">
        <v>147</v>
      </c>
      <c r="J581">
        <v>0</v>
      </c>
      <c r="K581">
        <v>0</v>
      </c>
    </row>
    <row r="582" spans="2:11" x14ac:dyDescent="0.25">
      <c r="B582" t="s">
        <v>339</v>
      </c>
      <c r="C582" t="s">
        <v>303</v>
      </c>
      <c r="D582">
        <v>703250</v>
      </c>
      <c r="E582" t="s">
        <v>170</v>
      </c>
      <c r="F582" t="s">
        <v>21</v>
      </c>
      <c r="G582" t="s">
        <v>71</v>
      </c>
      <c r="H582" t="s">
        <v>171</v>
      </c>
      <c r="J582">
        <v>0</v>
      </c>
      <c r="K582">
        <v>0</v>
      </c>
    </row>
    <row r="583" spans="2:11" x14ac:dyDescent="0.25">
      <c r="B583" t="s">
        <v>339</v>
      </c>
      <c r="C583" t="s">
        <v>303</v>
      </c>
      <c r="D583">
        <v>703251</v>
      </c>
      <c r="E583" t="s">
        <v>172</v>
      </c>
      <c r="F583" t="s">
        <v>21</v>
      </c>
      <c r="G583" t="s">
        <v>22</v>
      </c>
      <c r="H583" t="s">
        <v>115</v>
      </c>
      <c r="J583">
        <v>0</v>
      </c>
      <c r="K583">
        <v>0</v>
      </c>
    </row>
    <row r="584" spans="2:11" x14ac:dyDescent="0.25">
      <c r="B584" t="s">
        <v>339</v>
      </c>
      <c r="C584" t="s">
        <v>303</v>
      </c>
      <c r="D584">
        <v>703252</v>
      </c>
      <c r="E584" t="s">
        <v>173</v>
      </c>
      <c r="F584" t="s">
        <v>21</v>
      </c>
      <c r="G584" t="s">
        <v>22</v>
      </c>
      <c r="H584" t="s">
        <v>115</v>
      </c>
      <c r="J584">
        <v>0</v>
      </c>
      <c r="K584">
        <v>0</v>
      </c>
    </row>
    <row r="585" spans="2:11" x14ac:dyDescent="0.25">
      <c r="B585" t="s">
        <v>339</v>
      </c>
      <c r="C585" t="s">
        <v>303</v>
      </c>
      <c r="D585">
        <v>703253</v>
      </c>
      <c r="E585" t="s">
        <v>174</v>
      </c>
      <c r="F585" t="s">
        <v>21</v>
      </c>
      <c r="G585" t="s">
        <v>22</v>
      </c>
      <c r="H585" t="s">
        <v>115</v>
      </c>
      <c r="J585">
        <v>0</v>
      </c>
      <c r="K585">
        <v>0</v>
      </c>
    </row>
    <row r="586" spans="2:11" x14ac:dyDescent="0.25">
      <c r="B586" t="s">
        <v>339</v>
      </c>
      <c r="C586" t="s">
        <v>303</v>
      </c>
      <c r="D586">
        <v>703254</v>
      </c>
      <c r="E586" t="s">
        <v>175</v>
      </c>
      <c r="F586" t="s">
        <v>21</v>
      </c>
      <c r="G586" t="s">
        <v>22</v>
      </c>
      <c r="H586" t="s">
        <v>115</v>
      </c>
      <c r="J586">
        <v>0</v>
      </c>
      <c r="K586">
        <v>0</v>
      </c>
    </row>
    <row r="587" spans="2:11" x14ac:dyDescent="0.25">
      <c r="B587" t="s">
        <v>339</v>
      </c>
      <c r="C587" t="s">
        <v>303</v>
      </c>
      <c r="D587">
        <v>703255</v>
      </c>
      <c r="E587" t="s">
        <v>176</v>
      </c>
      <c r="F587" t="s">
        <v>21</v>
      </c>
      <c r="G587" t="s">
        <v>22</v>
      </c>
      <c r="H587" t="s">
        <v>115</v>
      </c>
      <c r="J587">
        <v>0</v>
      </c>
      <c r="K587">
        <v>0</v>
      </c>
    </row>
    <row r="588" spans="2:11" x14ac:dyDescent="0.25">
      <c r="B588" t="s">
        <v>339</v>
      </c>
      <c r="C588" t="s">
        <v>303</v>
      </c>
      <c r="D588">
        <v>703257</v>
      </c>
      <c r="E588" t="s">
        <v>177</v>
      </c>
      <c r="F588" t="s">
        <v>21</v>
      </c>
      <c r="G588" t="s">
        <v>147</v>
      </c>
      <c r="H588" t="s">
        <v>147</v>
      </c>
      <c r="J588">
        <v>0</v>
      </c>
      <c r="K588">
        <v>0</v>
      </c>
    </row>
    <row r="589" spans="2:11" x14ac:dyDescent="0.25">
      <c r="B589" t="s">
        <v>339</v>
      </c>
      <c r="C589" t="s">
        <v>303</v>
      </c>
      <c r="D589">
        <v>703258</v>
      </c>
      <c r="E589" t="s">
        <v>178</v>
      </c>
      <c r="F589" t="s">
        <v>21</v>
      </c>
      <c r="G589" t="s">
        <v>147</v>
      </c>
      <c r="H589" t="s">
        <v>147</v>
      </c>
      <c r="J589">
        <v>0</v>
      </c>
      <c r="K589">
        <v>0</v>
      </c>
    </row>
    <row r="590" spans="2:11" x14ac:dyDescent="0.25">
      <c r="B590" t="s">
        <v>339</v>
      </c>
      <c r="C590" t="s">
        <v>303</v>
      </c>
      <c r="D590">
        <v>703260</v>
      </c>
      <c r="E590" t="s">
        <v>179</v>
      </c>
      <c r="F590" t="s">
        <v>21</v>
      </c>
      <c r="G590" t="s">
        <v>76</v>
      </c>
      <c r="H590" t="s">
        <v>77</v>
      </c>
      <c r="J590">
        <v>0</v>
      </c>
      <c r="K590">
        <v>0</v>
      </c>
    </row>
    <row r="591" spans="2:11" x14ac:dyDescent="0.25">
      <c r="B591" t="s">
        <v>339</v>
      </c>
      <c r="C591" t="s">
        <v>303</v>
      </c>
      <c r="D591">
        <v>703261</v>
      </c>
      <c r="E591" t="s">
        <v>180</v>
      </c>
      <c r="F591" t="s">
        <v>21</v>
      </c>
      <c r="G591" t="s">
        <v>22</v>
      </c>
      <c r="H591" t="s">
        <v>115</v>
      </c>
      <c r="J591">
        <v>0</v>
      </c>
      <c r="K591">
        <v>0</v>
      </c>
    </row>
    <row r="592" spans="2:11" x14ac:dyDescent="0.25">
      <c r="B592" t="s">
        <v>339</v>
      </c>
      <c r="C592" t="s">
        <v>303</v>
      </c>
      <c r="D592">
        <v>703262</v>
      </c>
      <c r="E592" t="s">
        <v>181</v>
      </c>
      <c r="F592" t="s">
        <v>21</v>
      </c>
      <c r="G592" t="s">
        <v>22</v>
      </c>
      <c r="H592" t="s">
        <v>23</v>
      </c>
      <c r="J592">
        <v>0</v>
      </c>
      <c r="K592">
        <v>0</v>
      </c>
    </row>
    <row r="593" spans="2:11" x14ac:dyDescent="0.25">
      <c r="B593" t="s">
        <v>339</v>
      </c>
      <c r="C593" t="s">
        <v>303</v>
      </c>
      <c r="D593">
        <v>703263</v>
      </c>
      <c r="E593" t="s">
        <v>182</v>
      </c>
      <c r="F593" t="s">
        <v>21</v>
      </c>
      <c r="G593" t="s">
        <v>22</v>
      </c>
      <c r="H593" t="s">
        <v>115</v>
      </c>
      <c r="J593">
        <v>0</v>
      </c>
      <c r="K593">
        <v>0</v>
      </c>
    </row>
    <row r="594" spans="2:11" x14ac:dyDescent="0.25">
      <c r="B594" t="s">
        <v>339</v>
      </c>
      <c r="C594" t="s">
        <v>303</v>
      </c>
      <c r="D594">
        <v>703264</v>
      </c>
      <c r="E594" t="s">
        <v>183</v>
      </c>
      <c r="F594" t="s">
        <v>21</v>
      </c>
      <c r="G594" t="s">
        <v>22</v>
      </c>
      <c r="H594" t="s">
        <v>115</v>
      </c>
      <c r="J594">
        <v>0</v>
      </c>
      <c r="K594">
        <v>0</v>
      </c>
    </row>
    <row r="595" spans="2:11" x14ac:dyDescent="0.25">
      <c r="B595" t="s">
        <v>339</v>
      </c>
      <c r="C595" t="s">
        <v>303</v>
      </c>
      <c r="D595">
        <v>703265</v>
      </c>
      <c r="E595" t="s">
        <v>184</v>
      </c>
      <c r="F595" t="s">
        <v>21</v>
      </c>
      <c r="G595" t="s">
        <v>22</v>
      </c>
      <c r="H595" t="s">
        <v>115</v>
      </c>
      <c r="J595">
        <v>0</v>
      </c>
      <c r="K595">
        <v>0</v>
      </c>
    </row>
    <row r="596" spans="2:11" x14ac:dyDescent="0.25">
      <c r="B596" t="s">
        <v>339</v>
      </c>
      <c r="C596" t="s">
        <v>303</v>
      </c>
      <c r="D596">
        <v>703266</v>
      </c>
      <c r="E596" t="s">
        <v>185</v>
      </c>
      <c r="F596" t="s">
        <v>21</v>
      </c>
      <c r="G596" t="s">
        <v>71</v>
      </c>
      <c r="H596" t="s">
        <v>186</v>
      </c>
      <c r="J596">
        <v>0</v>
      </c>
      <c r="K596">
        <v>0</v>
      </c>
    </row>
    <row r="597" spans="2:11" x14ac:dyDescent="0.25">
      <c r="B597" t="s">
        <v>339</v>
      </c>
      <c r="C597" t="s">
        <v>303</v>
      </c>
      <c r="D597">
        <v>703267</v>
      </c>
      <c r="E597" t="s">
        <v>187</v>
      </c>
      <c r="F597" t="s">
        <v>21</v>
      </c>
      <c r="G597" t="s">
        <v>71</v>
      </c>
      <c r="H597" t="s">
        <v>88</v>
      </c>
      <c r="J597">
        <v>0</v>
      </c>
      <c r="K597">
        <v>0</v>
      </c>
    </row>
    <row r="598" spans="2:11" x14ac:dyDescent="0.25">
      <c r="B598" t="s">
        <v>339</v>
      </c>
      <c r="C598" t="s">
        <v>303</v>
      </c>
      <c r="D598">
        <v>703268</v>
      </c>
      <c r="E598" t="s">
        <v>188</v>
      </c>
      <c r="F598" t="s">
        <v>21</v>
      </c>
      <c r="G598" t="s">
        <v>147</v>
      </c>
      <c r="H598" t="s">
        <v>147</v>
      </c>
      <c r="J598">
        <v>0</v>
      </c>
      <c r="K598">
        <v>0</v>
      </c>
    </row>
    <row r="599" spans="2:11" x14ac:dyDescent="0.25">
      <c r="B599" t="s">
        <v>339</v>
      </c>
      <c r="C599" t="s">
        <v>303</v>
      </c>
      <c r="D599">
        <v>703269</v>
      </c>
      <c r="E599" t="s">
        <v>189</v>
      </c>
      <c r="F599" t="s">
        <v>21</v>
      </c>
      <c r="G599" t="s">
        <v>147</v>
      </c>
      <c r="H599" t="s">
        <v>147</v>
      </c>
      <c r="J599">
        <v>0</v>
      </c>
      <c r="K599">
        <v>0</v>
      </c>
    </row>
    <row r="600" spans="2:11" x14ac:dyDescent="0.25">
      <c r="B600" t="s">
        <v>339</v>
      </c>
      <c r="C600" t="s">
        <v>303</v>
      </c>
      <c r="D600">
        <v>703270</v>
      </c>
      <c r="E600" t="s">
        <v>190</v>
      </c>
      <c r="F600" t="s">
        <v>21</v>
      </c>
      <c r="G600" t="s">
        <v>137</v>
      </c>
      <c r="H600" t="s">
        <v>141</v>
      </c>
      <c r="J600">
        <v>0</v>
      </c>
      <c r="K600">
        <v>0</v>
      </c>
    </row>
    <row r="601" spans="2:11" x14ac:dyDescent="0.25">
      <c r="B601" t="s">
        <v>339</v>
      </c>
      <c r="C601" t="s">
        <v>303</v>
      </c>
      <c r="D601">
        <v>703271</v>
      </c>
      <c r="E601" t="s">
        <v>191</v>
      </c>
      <c r="F601" t="s">
        <v>21</v>
      </c>
      <c r="G601" t="s">
        <v>22</v>
      </c>
      <c r="H601" t="s">
        <v>115</v>
      </c>
      <c r="I601" t="s">
        <v>105</v>
      </c>
      <c r="J601">
        <v>246400</v>
      </c>
      <c r="K601">
        <v>246400</v>
      </c>
    </row>
    <row r="602" spans="2:11" x14ac:dyDescent="0.25">
      <c r="B602" t="s">
        <v>339</v>
      </c>
      <c r="C602" t="s">
        <v>303</v>
      </c>
      <c r="D602">
        <v>703272</v>
      </c>
      <c r="E602" t="s">
        <v>192</v>
      </c>
      <c r="F602" t="s">
        <v>21</v>
      </c>
      <c r="G602" t="s">
        <v>22</v>
      </c>
      <c r="H602" t="s">
        <v>23</v>
      </c>
      <c r="J602">
        <v>0</v>
      </c>
      <c r="K602">
        <v>0</v>
      </c>
    </row>
    <row r="603" spans="2:11" x14ac:dyDescent="0.25">
      <c r="B603" t="s">
        <v>339</v>
      </c>
      <c r="C603" t="s">
        <v>303</v>
      </c>
      <c r="D603">
        <v>703273</v>
      </c>
      <c r="E603" t="s">
        <v>193</v>
      </c>
      <c r="F603" t="s">
        <v>21</v>
      </c>
      <c r="G603" t="s">
        <v>147</v>
      </c>
      <c r="H603" t="s">
        <v>147</v>
      </c>
      <c r="J603">
        <v>0</v>
      </c>
      <c r="K603">
        <v>0</v>
      </c>
    </row>
    <row r="604" spans="2:11" x14ac:dyDescent="0.25">
      <c r="B604" t="s">
        <v>339</v>
      </c>
      <c r="C604" t="s">
        <v>303</v>
      </c>
      <c r="D604">
        <v>703274</v>
      </c>
      <c r="E604" t="s">
        <v>194</v>
      </c>
      <c r="F604" t="s">
        <v>21</v>
      </c>
      <c r="G604" t="s">
        <v>147</v>
      </c>
      <c r="H604" t="s">
        <v>147</v>
      </c>
      <c r="J604">
        <v>0</v>
      </c>
      <c r="K604">
        <v>0</v>
      </c>
    </row>
    <row r="605" spans="2:11" x14ac:dyDescent="0.25">
      <c r="B605" t="s">
        <v>339</v>
      </c>
      <c r="C605" t="s">
        <v>303</v>
      </c>
      <c r="D605">
        <v>703275</v>
      </c>
      <c r="E605" t="s">
        <v>195</v>
      </c>
      <c r="F605" t="s">
        <v>21</v>
      </c>
      <c r="G605" t="s">
        <v>137</v>
      </c>
      <c r="H605" t="s">
        <v>138</v>
      </c>
      <c r="J605">
        <v>0</v>
      </c>
      <c r="K605">
        <v>0</v>
      </c>
    </row>
    <row r="606" spans="2:11" x14ac:dyDescent="0.25">
      <c r="B606" t="s">
        <v>339</v>
      </c>
      <c r="C606" t="s">
        <v>303</v>
      </c>
      <c r="D606">
        <v>703280</v>
      </c>
      <c r="E606" t="s">
        <v>196</v>
      </c>
      <c r="F606" t="s">
        <v>21</v>
      </c>
      <c r="G606" t="s">
        <v>71</v>
      </c>
      <c r="H606" t="s">
        <v>171</v>
      </c>
      <c r="J606">
        <v>0</v>
      </c>
      <c r="K606">
        <v>0</v>
      </c>
    </row>
    <row r="607" spans="2:11" x14ac:dyDescent="0.25">
      <c r="B607" t="s">
        <v>339</v>
      </c>
      <c r="C607" t="s">
        <v>303</v>
      </c>
      <c r="D607">
        <v>703281</v>
      </c>
      <c r="E607" t="s">
        <v>197</v>
      </c>
      <c r="F607" t="s">
        <v>21</v>
      </c>
      <c r="G607" t="s">
        <v>76</v>
      </c>
      <c r="H607" t="s">
        <v>77</v>
      </c>
      <c r="J607">
        <v>0</v>
      </c>
      <c r="K607">
        <v>0</v>
      </c>
    </row>
    <row r="608" spans="2:11" x14ac:dyDescent="0.25">
      <c r="B608" t="s">
        <v>339</v>
      </c>
      <c r="C608" t="s">
        <v>303</v>
      </c>
      <c r="D608">
        <v>703282</v>
      </c>
      <c r="E608" t="s">
        <v>198</v>
      </c>
      <c r="F608" t="s">
        <v>21</v>
      </c>
      <c r="G608" t="s">
        <v>76</v>
      </c>
      <c r="H608" t="s">
        <v>77</v>
      </c>
      <c r="J608">
        <v>0</v>
      </c>
      <c r="K608">
        <v>0</v>
      </c>
    </row>
    <row r="609" spans="2:11" x14ac:dyDescent="0.25">
      <c r="B609" t="s">
        <v>339</v>
      </c>
      <c r="C609" t="s">
        <v>303</v>
      </c>
      <c r="D609">
        <v>703283</v>
      </c>
      <c r="E609" t="s">
        <v>199</v>
      </c>
      <c r="F609" t="s">
        <v>21</v>
      </c>
      <c r="G609" t="s">
        <v>61</v>
      </c>
      <c r="H609" t="s">
        <v>68</v>
      </c>
      <c r="J609">
        <v>0</v>
      </c>
      <c r="K609">
        <v>0</v>
      </c>
    </row>
    <row r="610" spans="2:11" x14ac:dyDescent="0.25">
      <c r="B610" t="s">
        <v>339</v>
      </c>
      <c r="C610" t="s">
        <v>303</v>
      </c>
      <c r="D610">
        <v>703310</v>
      </c>
      <c r="E610" t="s">
        <v>200</v>
      </c>
      <c r="F610" t="s">
        <v>21</v>
      </c>
      <c r="G610" t="s">
        <v>22</v>
      </c>
      <c r="H610" t="s">
        <v>23</v>
      </c>
      <c r="J610">
        <v>0</v>
      </c>
      <c r="K610">
        <v>0</v>
      </c>
    </row>
    <row r="611" spans="2:11" x14ac:dyDescent="0.25">
      <c r="B611" t="s">
        <v>339</v>
      </c>
      <c r="C611" t="s">
        <v>303</v>
      </c>
      <c r="D611">
        <v>703311</v>
      </c>
      <c r="E611" t="s">
        <v>201</v>
      </c>
      <c r="F611" t="s">
        <v>21</v>
      </c>
      <c r="G611" t="s">
        <v>71</v>
      </c>
      <c r="H611" t="s">
        <v>171</v>
      </c>
      <c r="J611">
        <v>0</v>
      </c>
      <c r="K611">
        <v>0</v>
      </c>
    </row>
    <row r="612" spans="2:11" x14ac:dyDescent="0.25">
      <c r="B612" t="s">
        <v>339</v>
      </c>
      <c r="C612" t="s">
        <v>303</v>
      </c>
      <c r="D612">
        <v>703312</v>
      </c>
      <c r="E612" t="s">
        <v>202</v>
      </c>
      <c r="F612" t="s">
        <v>21</v>
      </c>
      <c r="G612" t="s">
        <v>76</v>
      </c>
      <c r="H612" t="s">
        <v>77</v>
      </c>
      <c r="J612">
        <v>0</v>
      </c>
      <c r="K612">
        <v>0</v>
      </c>
    </row>
    <row r="613" spans="2:11" x14ac:dyDescent="0.25">
      <c r="B613" t="s">
        <v>339</v>
      </c>
      <c r="C613" t="s">
        <v>303</v>
      </c>
      <c r="D613">
        <v>703313</v>
      </c>
      <c r="E613" t="s">
        <v>203</v>
      </c>
      <c r="F613" t="s">
        <v>21</v>
      </c>
      <c r="G613" t="s">
        <v>76</v>
      </c>
      <c r="H613" t="s">
        <v>77</v>
      </c>
      <c r="J613">
        <v>0</v>
      </c>
      <c r="K613">
        <v>0</v>
      </c>
    </row>
    <row r="614" spans="2:11" x14ac:dyDescent="0.25">
      <c r="B614" t="s">
        <v>339</v>
      </c>
      <c r="C614" t="s">
        <v>303</v>
      </c>
      <c r="D614">
        <v>703314</v>
      </c>
      <c r="E614" t="s">
        <v>204</v>
      </c>
      <c r="F614" t="s">
        <v>21</v>
      </c>
      <c r="G614" t="s">
        <v>76</v>
      </c>
      <c r="H614" t="s">
        <v>77</v>
      </c>
      <c r="J614">
        <v>0</v>
      </c>
      <c r="K614">
        <v>0</v>
      </c>
    </row>
    <row r="615" spans="2:11" x14ac:dyDescent="0.25">
      <c r="B615" t="s">
        <v>339</v>
      </c>
      <c r="C615" t="s">
        <v>303</v>
      </c>
      <c r="D615">
        <v>703315</v>
      </c>
      <c r="E615" t="s">
        <v>205</v>
      </c>
      <c r="F615" t="s">
        <v>21</v>
      </c>
      <c r="G615" t="s">
        <v>76</v>
      </c>
      <c r="H615" t="s">
        <v>135</v>
      </c>
      <c r="J615">
        <v>0</v>
      </c>
      <c r="K615">
        <v>0</v>
      </c>
    </row>
    <row r="616" spans="2:11" x14ac:dyDescent="0.25">
      <c r="B616" t="s">
        <v>339</v>
      </c>
      <c r="C616" t="s">
        <v>303</v>
      </c>
      <c r="D616">
        <v>703316</v>
      </c>
      <c r="E616" t="s">
        <v>206</v>
      </c>
      <c r="F616" t="s">
        <v>21</v>
      </c>
      <c r="G616" t="s">
        <v>76</v>
      </c>
      <c r="H616" t="s">
        <v>77</v>
      </c>
      <c r="J616">
        <v>0</v>
      </c>
      <c r="K616">
        <v>0</v>
      </c>
    </row>
    <row r="617" spans="2:11" x14ac:dyDescent="0.25">
      <c r="B617" t="s">
        <v>339</v>
      </c>
      <c r="C617" t="s">
        <v>303</v>
      </c>
      <c r="D617">
        <v>703317</v>
      </c>
      <c r="E617" t="s">
        <v>207</v>
      </c>
      <c r="F617" t="s">
        <v>21</v>
      </c>
      <c r="G617" t="s">
        <v>76</v>
      </c>
      <c r="H617" t="s">
        <v>77</v>
      </c>
      <c r="J617">
        <v>0</v>
      </c>
      <c r="K617">
        <v>0</v>
      </c>
    </row>
    <row r="618" spans="2:11" x14ac:dyDescent="0.25">
      <c r="B618" t="s">
        <v>339</v>
      </c>
      <c r="C618" t="s">
        <v>303</v>
      </c>
      <c r="D618">
        <v>703318</v>
      </c>
      <c r="E618" t="s">
        <v>208</v>
      </c>
      <c r="F618" t="s">
        <v>21</v>
      </c>
      <c r="G618" t="s">
        <v>71</v>
      </c>
      <c r="H618" t="s">
        <v>209</v>
      </c>
      <c r="J618">
        <v>0</v>
      </c>
      <c r="K618">
        <v>0</v>
      </c>
    </row>
    <row r="619" spans="2:11" x14ac:dyDescent="0.25">
      <c r="B619" t="s">
        <v>339</v>
      </c>
      <c r="C619" t="s">
        <v>303</v>
      </c>
      <c r="D619">
        <v>703319</v>
      </c>
      <c r="E619" t="s">
        <v>210</v>
      </c>
      <c r="F619" t="s">
        <v>21</v>
      </c>
      <c r="G619" t="s">
        <v>61</v>
      </c>
      <c r="H619" t="s">
        <v>79</v>
      </c>
      <c r="J619">
        <v>0</v>
      </c>
      <c r="K619">
        <v>0</v>
      </c>
    </row>
    <row r="620" spans="2:11" x14ac:dyDescent="0.25">
      <c r="B620" t="s">
        <v>339</v>
      </c>
      <c r="C620" t="s">
        <v>303</v>
      </c>
      <c r="D620">
        <v>703320</v>
      </c>
      <c r="E620" t="s">
        <v>211</v>
      </c>
      <c r="F620" t="s">
        <v>21</v>
      </c>
      <c r="G620" t="s">
        <v>71</v>
      </c>
      <c r="H620" t="s">
        <v>135</v>
      </c>
      <c r="J620">
        <v>0</v>
      </c>
      <c r="K620">
        <v>0</v>
      </c>
    </row>
    <row r="621" spans="2:11" x14ac:dyDescent="0.25">
      <c r="B621" t="s">
        <v>339</v>
      </c>
      <c r="C621" t="s">
        <v>303</v>
      </c>
      <c r="D621">
        <v>703321</v>
      </c>
      <c r="E621" t="s">
        <v>212</v>
      </c>
      <c r="F621" t="s">
        <v>21</v>
      </c>
      <c r="G621" t="s">
        <v>22</v>
      </c>
      <c r="H621" t="s">
        <v>23</v>
      </c>
      <c r="J621">
        <v>0</v>
      </c>
      <c r="K621">
        <v>0</v>
      </c>
    </row>
    <row r="622" spans="2:11" x14ac:dyDescent="0.25">
      <c r="B622" t="s">
        <v>339</v>
      </c>
      <c r="C622" t="s">
        <v>303</v>
      </c>
      <c r="D622">
        <v>703322</v>
      </c>
      <c r="E622" t="s">
        <v>213</v>
      </c>
      <c r="F622" t="s">
        <v>21</v>
      </c>
      <c r="G622" t="s">
        <v>22</v>
      </c>
      <c r="H622" t="s">
        <v>23</v>
      </c>
      <c r="J622">
        <v>0</v>
      </c>
      <c r="K622">
        <v>0</v>
      </c>
    </row>
    <row r="623" spans="2:11" x14ac:dyDescent="0.25">
      <c r="B623" t="s">
        <v>339</v>
      </c>
      <c r="C623" t="s">
        <v>303</v>
      </c>
      <c r="D623">
        <v>703323</v>
      </c>
      <c r="E623" t="s">
        <v>214</v>
      </c>
      <c r="F623" t="s">
        <v>21</v>
      </c>
      <c r="G623" t="s">
        <v>22</v>
      </c>
      <c r="H623" t="s">
        <v>23</v>
      </c>
      <c r="J623">
        <v>0</v>
      </c>
      <c r="K623">
        <v>0</v>
      </c>
    </row>
    <row r="624" spans="2:11" x14ac:dyDescent="0.25">
      <c r="B624" t="s">
        <v>339</v>
      </c>
      <c r="C624" t="s">
        <v>303</v>
      </c>
      <c r="D624">
        <v>703324</v>
      </c>
      <c r="E624" t="s">
        <v>215</v>
      </c>
      <c r="F624" t="s">
        <v>21</v>
      </c>
      <c r="G624" t="s">
        <v>22</v>
      </c>
      <c r="H624" t="s">
        <v>23</v>
      </c>
      <c r="J624">
        <v>0</v>
      </c>
      <c r="K624">
        <v>0</v>
      </c>
    </row>
    <row r="625" spans="2:11" x14ac:dyDescent="0.25">
      <c r="B625" t="s">
        <v>339</v>
      </c>
      <c r="C625" t="s">
        <v>303</v>
      </c>
      <c r="D625">
        <v>703325</v>
      </c>
      <c r="E625" t="s">
        <v>216</v>
      </c>
      <c r="F625" t="s">
        <v>21</v>
      </c>
      <c r="G625" t="s">
        <v>22</v>
      </c>
      <c r="H625" t="s">
        <v>23</v>
      </c>
      <c r="J625">
        <v>0</v>
      </c>
      <c r="K625">
        <v>0</v>
      </c>
    </row>
    <row r="626" spans="2:11" x14ac:dyDescent="0.25">
      <c r="B626" t="s">
        <v>339</v>
      </c>
      <c r="C626" t="s">
        <v>303</v>
      </c>
      <c r="D626">
        <v>703326</v>
      </c>
      <c r="E626" t="s">
        <v>217</v>
      </c>
      <c r="F626" t="s">
        <v>21</v>
      </c>
      <c r="G626" t="s">
        <v>22</v>
      </c>
      <c r="H626" t="s">
        <v>23</v>
      </c>
      <c r="J626">
        <v>0</v>
      </c>
      <c r="K626">
        <v>0</v>
      </c>
    </row>
    <row r="627" spans="2:11" x14ac:dyDescent="0.25">
      <c r="B627" t="s">
        <v>339</v>
      </c>
      <c r="C627" t="s">
        <v>303</v>
      </c>
      <c r="D627">
        <v>703327</v>
      </c>
      <c r="E627" t="s">
        <v>218</v>
      </c>
      <c r="F627" t="s">
        <v>21</v>
      </c>
      <c r="G627" t="s">
        <v>76</v>
      </c>
      <c r="H627" t="s">
        <v>77</v>
      </c>
      <c r="J627">
        <v>0</v>
      </c>
      <c r="K627">
        <v>0</v>
      </c>
    </row>
    <row r="628" spans="2:11" x14ac:dyDescent="0.25">
      <c r="B628" t="s">
        <v>339</v>
      </c>
      <c r="C628" t="s">
        <v>303</v>
      </c>
      <c r="D628">
        <v>703328</v>
      </c>
      <c r="E628" t="s">
        <v>219</v>
      </c>
      <c r="F628" t="s">
        <v>21</v>
      </c>
      <c r="G628" t="s">
        <v>22</v>
      </c>
      <c r="H628" t="s">
        <v>23</v>
      </c>
      <c r="J628">
        <v>0</v>
      </c>
      <c r="K628">
        <v>0</v>
      </c>
    </row>
    <row r="629" spans="2:11" x14ac:dyDescent="0.25">
      <c r="B629" t="s">
        <v>339</v>
      </c>
      <c r="C629" t="s">
        <v>303</v>
      </c>
      <c r="D629">
        <v>703329</v>
      </c>
      <c r="E629" t="s">
        <v>220</v>
      </c>
      <c r="F629" t="s">
        <v>21</v>
      </c>
      <c r="G629" t="s">
        <v>22</v>
      </c>
      <c r="H629" t="s">
        <v>23</v>
      </c>
      <c r="J629">
        <v>0</v>
      </c>
      <c r="K629">
        <v>0</v>
      </c>
    </row>
    <row r="630" spans="2:11" x14ac:dyDescent="0.25">
      <c r="B630" t="s">
        <v>339</v>
      </c>
      <c r="C630" t="s">
        <v>303</v>
      </c>
      <c r="D630">
        <v>703330</v>
      </c>
      <c r="E630" t="s">
        <v>221</v>
      </c>
      <c r="F630" t="s">
        <v>21</v>
      </c>
      <c r="G630" t="s">
        <v>22</v>
      </c>
      <c r="H630" t="s">
        <v>23</v>
      </c>
      <c r="J630">
        <v>0</v>
      </c>
      <c r="K630">
        <v>0</v>
      </c>
    </row>
    <row r="631" spans="2:11" x14ac:dyDescent="0.25">
      <c r="B631" t="s">
        <v>339</v>
      </c>
      <c r="C631" t="s">
        <v>303</v>
      </c>
      <c r="D631">
        <v>703340</v>
      </c>
      <c r="E631" t="s">
        <v>222</v>
      </c>
      <c r="F631" t="s">
        <v>21</v>
      </c>
      <c r="G631" t="s">
        <v>61</v>
      </c>
      <c r="H631" t="s">
        <v>68</v>
      </c>
      <c r="J631">
        <v>0</v>
      </c>
      <c r="K631">
        <v>0</v>
      </c>
    </row>
    <row r="632" spans="2:11" x14ac:dyDescent="0.25">
      <c r="B632" t="s">
        <v>339</v>
      </c>
      <c r="C632" t="s">
        <v>303</v>
      </c>
      <c r="D632">
        <v>703350</v>
      </c>
      <c r="E632" t="s">
        <v>223</v>
      </c>
      <c r="F632" t="s">
        <v>21</v>
      </c>
      <c r="G632" t="s">
        <v>22</v>
      </c>
      <c r="H632" t="s">
        <v>23</v>
      </c>
      <c r="J632">
        <v>0</v>
      </c>
      <c r="K632">
        <v>0</v>
      </c>
    </row>
    <row r="633" spans="2:11" x14ac:dyDescent="0.25">
      <c r="B633" t="s">
        <v>339</v>
      </c>
      <c r="C633" t="s">
        <v>303</v>
      </c>
      <c r="D633">
        <v>703351</v>
      </c>
      <c r="E633" t="s">
        <v>224</v>
      </c>
      <c r="F633" t="s">
        <v>21</v>
      </c>
      <c r="G633" t="s">
        <v>22</v>
      </c>
      <c r="H633" t="s">
        <v>23</v>
      </c>
      <c r="J633">
        <v>0</v>
      </c>
      <c r="K633">
        <v>0</v>
      </c>
    </row>
    <row r="634" spans="2:11" x14ac:dyDescent="0.25">
      <c r="B634" t="s">
        <v>339</v>
      </c>
      <c r="C634" t="s">
        <v>303</v>
      </c>
      <c r="D634">
        <v>703352</v>
      </c>
      <c r="E634" t="s">
        <v>225</v>
      </c>
      <c r="F634" t="s">
        <v>21</v>
      </c>
      <c r="G634" t="s">
        <v>22</v>
      </c>
      <c r="H634" t="s">
        <v>23</v>
      </c>
      <c r="J634">
        <v>0</v>
      </c>
      <c r="K634">
        <v>0</v>
      </c>
    </row>
    <row r="635" spans="2:11" x14ac:dyDescent="0.25">
      <c r="B635" t="s">
        <v>339</v>
      </c>
      <c r="C635" t="s">
        <v>303</v>
      </c>
      <c r="D635">
        <v>703360</v>
      </c>
      <c r="E635" t="s">
        <v>226</v>
      </c>
      <c r="F635" t="s">
        <v>21</v>
      </c>
      <c r="G635" t="s">
        <v>22</v>
      </c>
      <c r="H635" t="s">
        <v>23</v>
      </c>
      <c r="J635">
        <v>0</v>
      </c>
      <c r="K635">
        <v>0</v>
      </c>
    </row>
    <row r="636" spans="2:11" x14ac:dyDescent="0.25">
      <c r="B636" t="s">
        <v>339</v>
      </c>
      <c r="C636" t="s">
        <v>303</v>
      </c>
      <c r="D636">
        <v>703370</v>
      </c>
      <c r="E636" t="s">
        <v>227</v>
      </c>
      <c r="F636" t="s">
        <v>21</v>
      </c>
      <c r="G636" t="s">
        <v>22</v>
      </c>
      <c r="H636" t="s">
        <v>23</v>
      </c>
      <c r="J636">
        <v>0</v>
      </c>
      <c r="K636">
        <v>0</v>
      </c>
    </row>
    <row r="637" spans="2:11" x14ac:dyDescent="0.25">
      <c r="B637" t="s">
        <v>339</v>
      </c>
      <c r="C637" t="s">
        <v>303</v>
      </c>
      <c r="D637">
        <v>703410</v>
      </c>
      <c r="E637" t="s">
        <v>228</v>
      </c>
      <c r="F637" t="s">
        <v>21</v>
      </c>
      <c r="G637" t="s">
        <v>22</v>
      </c>
      <c r="H637" t="s">
        <v>23</v>
      </c>
      <c r="J637">
        <v>0</v>
      </c>
      <c r="K637">
        <v>0</v>
      </c>
    </row>
    <row r="638" spans="2:11" x14ac:dyDescent="0.25">
      <c r="B638" t="s">
        <v>339</v>
      </c>
      <c r="C638" t="s">
        <v>303</v>
      </c>
      <c r="D638">
        <v>703411</v>
      </c>
      <c r="E638" t="s">
        <v>229</v>
      </c>
      <c r="F638" t="s">
        <v>21</v>
      </c>
      <c r="G638" t="s">
        <v>22</v>
      </c>
      <c r="H638" t="s">
        <v>23</v>
      </c>
      <c r="J638">
        <v>0</v>
      </c>
      <c r="K638">
        <v>0</v>
      </c>
    </row>
    <row r="639" spans="2:11" x14ac:dyDescent="0.25">
      <c r="B639" t="s">
        <v>339</v>
      </c>
      <c r="C639" t="s">
        <v>303</v>
      </c>
      <c r="D639">
        <v>703412</v>
      </c>
      <c r="E639" t="s">
        <v>230</v>
      </c>
      <c r="F639" t="s">
        <v>21</v>
      </c>
      <c r="G639" t="s">
        <v>22</v>
      </c>
      <c r="H639" t="s">
        <v>23</v>
      </c>
      <c r="J639">
        <v>0</v>
      </c>
      <c r="K639">
        <v>0</v>
      </c>
    </row>
    <row r="640" spans="2:11" x14ac:dyDescent="0.25">
      <c r="B640" t="s">
        <v>339</v>
      </c>
      <c r="C640" t="s">
        <v>303</v>
      </c>
      <c r="D640">
        <v>703420</v>
      </c>
      <c r="E640" t="s">
        <v>231</v>
      </c>
      <c r="F640" t="s">
        <v>21</v>
      </c>
      <c r="G640" t="s">
        <v>71</v>
      </c>
      <c r="H640" t="s">
        <v>171</v>
      </c>
      <c r="J640">
        <v>0</v>
      </c>
      <c r="K640">
        <v>0</v>
      </c>
    </row>
    <row r="641" spans="2:11" x14ac:dyDescent="0.25">
      <c r="B641" t="s">
        <v>339</v>
      </c>
      <c r="C641" t="s">
        <v>303</v>
      </c>
      <c r="D641">
        <v>703421</v>
      </c>
      <c r="E641" t="s">
        <v>232</v>
      </c>
      <c r="F641" t="s">
        <v>21</v>
      </c>
      <c r="G641" t="s">
        <v>22</v>
      </c>
      <c r="H641" t="s">
        <v>23</v>
      </c>
      <c r="J641">
        <v>0</v>
      </c>
      <c r="K641">
        <v>0</v>
      </c>
    </row>
    <row r="642" spans="2:11" x14ac:dyDescent="0.25">
      <c r="B642" t="s">
        <v>339</v>
      </c>
      <c r="C642" t="s">
        <v>303</v>
      </c>
      <c r="D642">
        <v>703422</v>
      </c>
      <c r="E642" t="s">
        <v>233</v>
      </c>
      <c r="F642" t="s">
        <v>21</v>
      </c>
      <c r="G642" t="s">
        <v>76</v>
      </c>
      <c r="H642" t="s">
        <v>77</v>
      </c>
      <c r="J642">
        <v>0</v>
      </c>
      <c r="K642">
        <v>0</v>
      </c>
    </row>
    <row r="643" spans="2:11" x14ac:dyDescent="0.25">
      <c r="B643" t="s">
        <v>339</v>
      </c>
      <c r="C643" t="s">
        <v>303</v>
      </c>
      <c r="D643">
        <v>703423</v>
      </c>
      <c r="E643" t="s">
        <v>234</v>
      </c>
      <c r="F643" t="s">
        <v>21</v>
      </c>
      <c r="G643" t="s">
        <v>71</v>
      </c>
      <c r="H643" t="s">
        <v>88</v>
      </c>
      <c r="J643">
        <v>0</v>
      </c>
      <c r="K643">
        <v>0</v>
      </c>
    </row>
    <row r="644" spans="2:11" x14ac:dyDescent="0.25">
      <c r="B644" t="s">
        <v>339</v>
      </c>
      <c r="C644" t="s">
        <v>303</v>
      </c>
      <c r="D644">
        <v>703424</v>
      </c>
      <c r="E644" t="s">
        <v>235</v>
      </c>
      <c r="F644" t="s">
        <v>21</v>
      </c>
      <c r="G644" t="s">
        <v>71</v>
      </c>
      <c r="H644" t="s">
        <v>88</v>
      </c>
      <c r="J644">
        <v>0</v>
      </c>
      <c r="K644">
        <v>0</v>
      </c>
    </row>
    <row r="645" spans="2:11" x14ac:dyDescent="0.25">
      <c r="B645" t="s">
        <v>339</v>
      </c>
      <c r="C645" t="s">
        <v>303</v>
      </c>
      <c r="D645">
        <v>703425</v>
      </c>
      <c r="E645" t="s">
        <v>236</v>
      </c>
      <c r="F645" t="s">
        <v>21</v>
      </c>
      <c r="G645" t="s">
        <v>76</v>
      </c>
      <c r="H645" t="s">
        <v>77</v>
      </c>
      <c r="J645">
        <v>0</v>
      </c>
      <c r="K645">
        <v>0</v>
      </c>
    </row>
    <row r="646" spans="2:11" x14ac:dyDescent="0.25">
      <c r="B646" t="s">
        <v>339</v>
      </c>
      <c r="C646" t="s">
        <v>303</v>
      </c>
      <c r="D646">
        <v>703426</v>
      </c>
      <c r="E646" t="s">
        <v>237</v>
      </c>
      <c r="F646" t="s">
        <v>21</v>
      </c>
      <c r="G646" t="s">
        <v>22</v>
      </c>
      <c r="H646" t="s">
        <v>23</v>
      </c>
      <c r="J646">
        <v>0</v>
      </c>
      <c r="K646">
        <v>0</v>
      </c>
    </row>
    <row r="647" spans="2:11" x14ac:dyDescent="0.25">
      <c r="B647" t="s">
        <v>339</v>
      </c>
      <c r="C647" t="s">
        <v>303</v>
      </c>
      <c r="D647">
        <v>703427</v>
      </c>
      <c r="E647" t="s">
        <v>238</v>
      </c>
      <c r="F647" t="s">
        <v>21</v>
      </c>
      <c r="G647" t="s">
        <v>76</v>
      </c>
      <c r="H647" t="s">
        <v>77</v>
      </c>
      <c r="J647">
        <v>0</v>
      </c>
      <c r="K647">
        <v>0</v>
      </c>
    </row>
    <row r="648" spans="2:11" x14ac:dyDescent="0.25">
      <c r="B648" t="s">
        <v>339</v>
      </c>
      <c r="C648" t="s">
        <v>303</v>
      </c>
      <c r="D648">
        <v>703428</v>
      </c>
      <c r="E648" t="s">
        <v>239</v>
      </c>
      <c r="F648" t="s">
        <v>21</v>
      </c>
      <c r="G648" t="s">
        <v>76</v>
      </c>
      <c r="H648" t="s">
        <v>77</v>
      </c>
      <c r="J648">
        <v>0</v>
      </c>
      <c r="K648">
        <v>0</v>
      </c>
    </row>
    <row r="649" spans="2:11" x14ac:dyDescent="0.25">
      <c r="B649" t="s">
        <v>339</v>
      </c>
      <c r="C649" t="s">
        <v>303</v>
      </c>
      <c r="D649">
        <v>703429</v>
      </c>
      <c r="E649" t="s">
        <v>240</v>
      </c>
      <c r="F649" t="s">
        <v>21</v>
      </c>
      <c r="G649" t="s">
        <v>76</v>
      </c>
      <c r="H649" t="s">
        <v>77</v>
      </c>
      <c r="J649">
        <v>0</v>
      </c>
      <c r="K649">
        <v>0</v>
      </c>
    </row>
    <row r="650" spans="2:11" x14ac:dyDescent="0.25">
      <c r="B650" t="s">
        <v>339</v>
      </c>
      <c r="C650" t="s">
        <v>303</v>
      </c>
      <c r="D650">
        <v>703430</v>
      </c>
      <c r="E650" t="s">
        <v>20</v>
      </c>
      <c r="F650" t="s">
        <v>21</v>
      </c>
      <c r="G650" t="s">
        <v>22</v>
      </c>
      <c r="H650" t="s">
        <v>23</v>
      </c>
      <c r="J650">
        <v>0</v>
      </c>
      <c r="K650">
        <v>0</v>
      </c>
    </row>
    <row r="651" spans="2:11" x14ac:dyDescent="0.25">
      <c r="B651" t="s">
        <v>339</v>
      </c>
      <c r="C651" t="s">
        <v>303</v>
      </c>
      <c r="D651">
        <v>703431</v>
      </c>
      <c r="E651" t="s">
        <v>241</v>
      </c>
      <c r="F651" t="s">
        <v>21</v>
      </c>
      <c r="G651" t="s">
        <v>22</v>
      </c>
      <c r="H651" t="s">
        <v>23</v>
      </c>
      <c r="J651">
        <v>0</v>
      </c>
      <c r="K651">
        <v>0</v>
      </c>
    </row>
    <row r="652" spans="2:11" x14ac:dyDescent="0.25">
      <c r="B652" t="s">
        <v>339</v>
      </c>
      <c r="C652" t="s">
        <v>303</v>
      </c>
      <c r="D652">
        <v>703432</v>
      </c>
      <c r="E652" t="s">
        <v>242</v>
      </c>
      <c r="F652" t="s">
        <v>21</v>
      </c>
      <c r="G652" t="s">
        <v>22</v>
      </c>
      <c r="H652" t="s">
        <v>23</v>
      </c>
      <c r="J652">
        <v>0</v>
      </c>
      <c r="K652">
        <v>0</v>
      </c>
    </row>
    <row r="653" spans="2:11" x14ac:dyDescent="0.25">
      <c r="B653" t="s">
        <v>339</v>
      </c>
      <c r="C653" t="s">
        <v>303</v>
      </c>
      <c r="D653">
        <v>703433</v>
      </c>
      <c r="E653" t="s">
        <v>243</v>
      </c>
      <c r="F653" t="s">
        <v>21</v>
      </c>
      <c r="G653" t="s">
        <v>71</v>
      </c>
      <c r="H653" t="s">
        <v>88</v>
      </c>
      <c r="J653">
        <v>0</v>
      </c>
      <c r="K653">
        <v>0</v>
      </c>
    </row>
    <row r="654" spans="2:11" x14ac:dyDescent="0.25">
      <c r="B654" t="s">
        <v>339</v>
      </c>
      <c r="C654" t="s">
        <v>303</v>
      </c>
      <c r="D654">
        <v>703434</v>
      </c>
      <c r="E654" t="s">
        <v>244</v>
      </c>
      <c r="F654" t="s">
        <v>21</v>
      </c>
      <c r="G654" t="s">
        <v>22</v>
      </c>
      <c r="H654" t="s">
        <v>23</v>
      </c>
      <c r="J654">
        <v>0</v>
      </c>
      <c r="K654">
        <v>0</v>
      </c>
    </row>
    <row r="655" spans="2:11" x14ac:dyDescent="0.25">
      <c r="B655" t="s">
        <v>339</v>
      </c>
      <c r="C655" t="s">
        <v>303</v>
      </c>
      <c r="D655">
        <v>703435</v>
      </c>
      <c r="E655" t="s">
        <v>245</v>
      </c>
      <c r="F655" t="s">
        <v>21</v>
      </c>
      <c r="G655" t="s">
        <v>71</v>
      </c>
      <c r="H655" t="s">
        <v>88</v>
      </c>
      <c r="J655">
        <v>0</v>
      </c>
      <c r="K655">
        <v>0</v>
      </c>
    </row>
    <row r="656" spans="2:11" x14ac:dyDescent="0.25">
      <c r="B656" t="s">
        <v>339</v>
      </c>
      <c r="C656" t="s">
        <v>303</v>
      </c>
      <c r="D656">
        <v>703436</v>
      </c>
      <c r="E656" t="s">
        <v>246</v>
      </c>
      <c r="F656" t="s">
        <v>21</v>
      </c>
      <c r="G656" t="s">
        <v>71</v>
      </c>
      <c r="H656" t="s">
        <v>88</v>
      </c>
      <c r="J656">
        <v>0</v>
      </c>
      <c r="K656">
        <v>0</v>
      </c>
    </row>
    <row r="657" spans="2:11" x14ac:dyDescent="0.25">
      <c r="B657" t="s">
        <v>339</v>
      </c>
      <c r="C657" t="s">
        <v>303</v>
      </c>
      <c r="D657">
        <v>703437</v>
      </c>
      <c r="E657" t="s">
        <v>247</v>
      </c>
      <c r="F657" t="s">
        <v>21</v>
      </c>
      <c r="G657" t="s">
        <v>71</v>
      </c>
      <c r="H657" t="s">
        <v>88</v>
      </c>
      <c r="J657">
        <v>0</v>
      </c>
      <c r="K657">
        <v>0</v>
      </c>
    </row>
    <row r="658" spans="2:11" x14ac:dyDescent="0.25">
      <c r="B658" t="s">
        <v>339</v>
      </c>
      <c r="C658" t="s">
        <v>303</v>
      </c>
      <c r="D658">
        <v>703438</v>
      </c>
      <c r="E658" t="s">
        <v>248</v>
      </c>
      <c r="F658" t="s">
        <v>21</v>
      </c>
      <c r="G658" t="s">
        <v>71</v>
      </c>
      <c r="H658" t="s">
        <v>88</v>
      </c>
      <c r="J658">
        <v>0</v>
      </c>
      <c r="K658">
        <v>0</v>
      </c>
    </row>
    <row r="659" spans="2:11" x14ac:dyDescent="0.25">
      <c r="B659" t="s">
        <v>339</v>
      </c>
      <c r="C659" t="s">
        <v>303</v>
      </c>
      <c r="D659">
        <v>703439</v>
      </c>
      <c r="E659" t="s">
        <v>249</v>
      </c>
      <c r="F659" t="s">
        <v>21</v>
      </c>
      <c r="G659" t="s">
        <v>22</v>
      </c>
      <c r="H659" t="s">
        <v>23</v>
      </c>
      <c r="J659">
        <v>0</v>
      </c>
      <c r="K659">
        <v>0</v>
      </c>
    </row>
    <row r="660" spans="2:11" x14ac:dyDescent="0.25">
      <c r="B660" t="s">
        <v>339</v>
      </c>
      <c r="C660" t="s">
        <v>303</v>
      </c>
      <c r="D660">
        <v>703440</v>
      </c>
      <c r="E660" t="s">
        <v>250</v>
      </c>
      <c r="F660" t="s">
        <v>21</v>
      </c>
      <c r="G660" t="s">
        <v>61</v>
      </c>
      <c r="H660" t="s">
        <v>68</v>
      </c>
      <c r="J660">
        <v>0</v>
      </c>
      <c r="K660">
        <v>0</v>
      </c>
    </row>
    <row r="661" spans="2:11" x14ac:dyDescent="0.25">
      <c r="B661" t="s">
        <v>339</v>
      </c>
      <c r="C661" t="s">
        <v>303</v>
      </c>
      <c r="D661">
        <v>703441</v>
      </c>
      <c r="E661" t="s">
        <v>251</v>
      </c>
      <c r="F661" t="s">
        <v>21</v>
      </c>
      <c r="G661" t="s">
        <v>61</v>
      </c>
      <c r="H661" t="s">
        <v>79</v>
      </c>
      <c r="J661">
        <v>0</v>
      </c>
      <c r="K661">
        <v>0</v>
      </c>
    </row>
    <row r="662" spans="2:11" x14ac:dyDescent="0.25">
      <c r="B662" t="s">
        <v>339</v>
      </c>
      <c r="C662" t="s">
        <v>303</v>
      </c>
      <c r="D662">
        <v>703442</v>
      </c>
      <c r="E662" t="s">
        <v>252</v>
      </c>
      <c r="F662" t="s">
        <v>21</v>
      </c>
      <c r="G662" t="s">
        <v>76</v>
      </c>
      <c r="H662" t="s">
        <v>77</v>
      </c>
      <c r="J662">
        <v>0</v>
      </c>
      <c r="K662">
        <v>0</v>
      </c>
    </row>
    <row r="663" spans="2:11" x14ac:dyDescent="0.25">
      <c r="B663" t="s">
        <v>339</v>
      </c>
      <c r="C663" t="s">
        <v>303</v>
      </c>
      <c r="D663">
        <v>703443</v>
      </c>
      <c r="E663" t="s">
        <v>253</v>
      </c>
      <c r="F663" t="s">
        <v>21</v>
      </c>
      <c r="G663" t="s">
        <v>71</v>
      </c>
      <c r="H663" t="s">
        <v>88</v>
      </c>
      <c r="J663">
        <v>0</v>
      </c>
      <c r="K663">
        <v>0</v>
      </c>
    </row>
    <row r="664" spans="2:11" x14ac:dyDescent="0.25">
      <c r="B664" t="s">
        <v>339</v>
      </c>
      <c r="C664" t="s">
        <v>303</v>
      </c>
      <c r="D664">
        <v>703444</v>
      </c>
      <c r="E664" t="s">
        <v>254</v>
      </c>
      <c r="F664" t="s">
        <v>21</v>
      </c>
      <c r="G664" t="s">
        <v>22</v>
      </c>
      <c r="H664" t="s">
        <v>23</v>
      </c>
      <c r="J664">
        <v>0</v>
      </c>
      <c r="K664">
        <v>0</v>
      </c>
    </row>
    <row r="665" spans="2:11" x14ac:dyDescent="0.25">
      <c r="B665" t="s">
        <v>339</v>
      </c>
      <c r="C665" t="s">
        <v>303</v>
      </c>
      <c r="D665">
        <v>703445</v>
      </c>
      <c r="E665" t="s">
        <v>255</v>
      </c>
      <c r="F665" t="s">
        <v>21</v>
      </c>
      <c r="G665" t="s">
        <v>22</v>
      </c>
      <c r="H665" t="s">
        <v>23</v>
      </c>
      <c r="J665">
        <v>0</v>
      </c>
      <c r="K665">
        <v>0</v>
      </c>
    </row>
    <row r="666" spans="2:11" x14ac:dyDescent="0.25">
      <c r="B666" t="s">
        <v>339</v>
      </c>
      <c r="C666" t="s">
        <v>303</v>
      </c>
      <c r="D666">
        <v>703446</v>
      </c>
      <c r="E666" t="s">
        <v>256</v>
      </c>
      <c r="F666" t="s">
        <v>21</v>
      </c>
      <c r="G666" t="s">
        <v>22</v>
      </c>
      <c r="H666" t="s">
        <v>23</v>
      </c>
      <c r="J666">
        <v>0</v>
      </c>
      <c r="K666">
        <v>0</v>
      </c>
    </row>
    <row r="667" spans="2:11" x14ac:dyDescent="0.25">
      <c r="B667" t="s">
        <v>339</v>
      </c>
      <c r="C667" t="s">
        <v>303</v>
      </c>
      <c r="D667">
        <v>703447</v>
      </c>
      <c r="E667" t="s">
        <v>257</v>
      </c>
      <c r="F667" t="s">
        <v>21</v>
      </c>
      <c r="G667" t="s">
        <v>22</v>
      </c>
      <c r="H667" t="s">
        <v>23</v>
      </c>
      <c r="J667">
        <v>0</v>
      </c>
      <c r="K667">
        <v>0</v>
      </c>
    </row>
    <row r="668" spans="2:11" x14ac:dyDescent="0.25">
      <c r="B668" t="s">
        <v>339</v>
      </c>
      <c r="C668" t="s">
        <v>303</v>
      </c>
      <c r="D668">
        <v>703448</v>
      </c>
      <c r="E668" t="s">
        <v>258</v>
      </c>
      <c r="F668" t="s">
        <v>21</v>
      </c>
      <c r="G668" t="s">
        <v>22</v>
      </c>
      <c r="H668" t="s">
        <v>23</v>
      </c>
      <c r="J668">
        <v>0</v>
      </c>
      <c r="K668">
        <v>0</v>
      </c>
    </row>
    <row r="669" spans="2:11" x14ac:dyDescent="0.25">
      <c r="B669" t="s">
        <v>339</v>
      </c>
      <c r="C669" t="s">
        <v>303</v>
      </c>
      <c r="D669">
        <v>703449</v>
      </c>
      <c r="E669" t="s">
        <v>259</v>
      </c>
      <c r="F669" t="s">
        <v>21</v>
      </c>
      <c r="G669" t="s">
        <v>22</v>
      </c>
      <c r="H669" t="s">
        <v>23</v>
      </c>
      <c r="J669">
        <v>0</v>
      </c>
      <c r="K669">
        <v>0</v>
      </c>
    </row>
    <row r="670" spans="2:11" x14ac:dyDescent="0.25">
      <c r="B670" t="s">
        <v>339</v>
      </c>
      <c r="C670" t="s">
        <v>303</v>
      </c>
      <c r="D670">
        <v>703450</v>
      </c>
      <c r="E670" t="s">
        <v>260</v>
      </c>
      <c r="F670" t="s">
        <v>21</v>
      </c>
      <c r="G670" t="s">
        <v>71</v>
      </c>
      <c r="H670" t="s">
        <v>88</v>
      </c>
      <c r="J670">
        <v>0</v>
      </c>
      <c r="K670">
        <v>0</v>
      </c>
    </row>
    <row r="671" spans="2:11" x14ac:dyDescent="0.25">
      <c r="B671" t="s">
        <v>339</v>
      </c>
      <c r="C671" t="s">
        <v>303</v>
      </c>
      <c r="D671">
        <v>703510</v>
      </c>
      <c r="E671" t="s">
        <v>261</v>
      </c>
      <c r="F671" t="s">
        <v>21</v>
      </c>
      <c r="G671" t="s">
        <v>22</v>
      </c>
      <c r="H671" t="s">
        <v>23</v>
      </c>
      <c r="J671">
        <v>0</v>
      </c>
      <c r="K671">
        <v>0</v>
      </c>
    </row>
    <row r="672" spans="2:11" x14ac:dyDescent="0.25">
      <c r="B672" t="s">
        <v>339</v>
      </c>
      <c r="C672" t="s">
        <v>303</v>
      </c>
      <c r="D672">
        <v>703511</v>
      </c>
      <c r="E672" t="s">
        <v>262</v>
      </c>
      <c r="F672" t="s">
        <v>21</v>
      </c>
      <c r="G672" t="s">
        <v>22</v>
      </c>
      <c r="H672" t="s">
        <v>23</v>
      </c>
      <c r="J672">
        <v>0</v>
      </c>
      <c r="K672">
        <v>0</v>
      </c>
    </row>
    <row r="673" spans="2:11" x14ac:dyDescent="0.25">
      <c r="B673" t="s">
        <v>339</v>
      </c>
      <c r="C673" t="s">
        <v>303</v>
      </c>
      <c r="D673">
        <v>703512</v>
      </c>
      <c r="E673" t="s">
        <v>263</v>
      </c>
      <c r="F673" t="s">
        <v>21</v>
      </c>
      <c r="G673" t="s">
        <v>22</v>
      </c>
      <c r="H673" t="s">
        <v>23</v>
      </c>
      <c r="J673">
        <v>0</v>
      </c>
      <c r="K673">
        <v>0</v>
      </c>
    </row>
    <row r="674" spans="2:11" x14ac:dyDescent="0.25">
      <c r="B674" t="s">
        <v>339</v>
      </c>
      <c r="C674" t="s">
        <v>303</v>
      </c>
      <c r="D674">
        <v>703513</v>
      </c>
      <c r="E674" t="s">
        <v>264</v>
      </c>
      <c r="F674" t="s">
        <v>21</v>
      </c>
      <c r="G674" t="s">
        <v>22</v>
      </c>
      <c r="H674" t="s">
        <v>23</v>
      </c>
      <c r="J674">
        <v>0</v>
      </c>
      <c r="K674">
        <v>0</v>
      </c>
    </row>
    <row r="675" spans="2:11" x14ac:dyDescent="0.25">
      <c r="B675" t="s">
        <v>339</v>
      </c>
      <c r="C675" t="s">
        <v>303</v>
      </c>
      <c r="D675">
        <v>703514</v>
      </c>
      <c r="E675" t="s">
        <v>265</v>
      </c>
      <c r="F675" t="s">
        <v>21</v>
      </c>
      <c r="G675" t="s">
        <v>22</v>
      </c>
      <c r="H675" t="s">
        <v>23</v>
      </c>
      <c r="J675">
        <v>0</v>
      </c>
      <c r="K675">
        <v>0</v>
      </c>
    </row>
    <row r="676" spans="2:11" x14ac:dyDescent="0.25">
      <c r="B676" t="s">
        <v>339</v>
      </c>
      <c r="C676" t="s">
        <v>303</v>
      </c>
      <c r="D676">
        <v>703515</v>
      </c>
      <c r="E676" t="s">
        <v>266</v>
      </c>
      <c r="F676" t="s">
        <v>21</v>
      </c>
      <c r="G676" t="s">
        <v>22</v>
      </c>
      <c r="H676" t="s">
        <v>23</v>
      </c>
      <c r="J676">
        <v>0</v>
      </c>
      <c r="K676">
        <v>0</v>
      </c>
    </row>
    <row r="677" spans="2:11" x14ac:dyDescent="0.25">
      <c r="B677" t="s">
        <v>339</v>
      </c>
      <c r="C677" t="s">
        <v>303</v>
      </c>
      <c r="D677">
        <v>703520</v>
      </c>
      <c r="E677" t="s">
        <v>267</v>
      </c>
      <c r="F677" t="s">
        <v>21</v>
      </c>
      <c r="G677" t="s">
        <v>22</v>
      </c>
      <c r="H677" t="s">
        <v>23</v>
      </c>
      <c r="J677">
        <v>0</v>
      </c>
      <c r="K677">
        <v>0</v>
      </c>
    </row>
    <row r="678" spans="2:11" x14ac:dyDescent="0.25">
      <c r="B678" t="s">
        <v>339</v>
      </c>
      <c r="C678" t="s">
        <v>303</v>
      </c>
      <c r="D678">
        <v>703530</v>
      </c>
      <c r="E678" t="s">
        <v>268</v>
      </c>
      <c r="F678" t="s">
        <v>21</v>
      </c>
      <c r="G678" t="s">
        <v>22</v>
      </c>
      <c r="H678" t="s">
        <v>23</v>
      </c>
      <c r="J678">
        <v>0</v>
      </c>
      <c r="K678">
        <v>0</v>
      </c>
    </row>
    <row r="679" spans="2:11" x14ac:dyDescent="0.25">
      <c r="B679" t="s">
        <v>339</v>
      </c>
      <c r="C679" t="s">
        <v>303</v>
      </c>
      <c r="D679">
        <v>703540</v>
      </c>
      <c r="E679" t="s">
        <v>269</v>
      </c>
      <c r="F679" t="s">
        <v>21</v>
      </c>
      <c r="G679" t="s">
        <v>22</v>
      </c>
      <c r="H679" t="s">
        <v>23</v>
      </c>
      <c r="J679">
        <v>0</v>
      </c>
      <c r="K679">
        <v>0</v>
      </c>
    </row>
    <row r="680" spans="2:11" x14ac:dyDescent="0.25">
      <c r="B680" t="s">
        <v>339</v>
      </c>
      <c r="C680" t="s">
        <v>303</v>
      </c>
      <c r="D680">
        <v>703550</v>
      </c>
      <c r="E680" t="s">
        <v>270</v>
      </c>
      <c r="F680" t="s">
        <v>21</v>
      </c>
      <c r="G680" t="s">
        <v>22</v>
      </c>
      <c r="H680" t="s">
        <v>23</v>
      </c>
      <c r="J680">
        <v>0</v>
      </c>
      <c r="K680">
        <v>0</v>
      </c>
    </row>
    <row r="681" spans="2:11" x14ac:dyDescent="0.25">
      <c r="B681" t="s">
        <v>339</v>
      </c>
      <c r="C681" t="s">
        <v>303</v>
      </c>
      <c r="D681">
        <v>703560</v>
      </c>
      <c r="E681" t="s">
        <v>271</v>
      </c>
      <c r="F681" t="s">
        <v>21</v>
      </c>
      <c r="G681" t="s">
        <v>22</v>
      </c>
      <c r="H681" t="s">
        <v>23</v>
      </c>
      <c r="J681">
        <v>0</v>
      </c>
      <c r="K681">
        <v>0</v>
      </c>
    </row>
    <row r="682" spans="2:11" x14ac:dyDescent="0.25">
      <c r="B682" t="s">
        <v>339</v>
      </c>
      <c r="C682" t="s">
        <v>303</v>
      </c>
      <c r="D682">
        <v>703570</v>
      </c>
      <c r="E682" t="s">
        <v>272</v>
      </c>
      <c r="F682" t="s">
        <v>21</v>
      </c>
      <c r="G682" t="s">
        <v>22</v>
      </c>
      <c r="H682" t="s">
        <v>23</v>
      </c>
      <c r="J682">
        <v>0</v>
      </c>
      <c r="K682">
        <v>0</v>
      </c>
    </row>
    <row r="683" spans="2:11" x14ac:dyDescent="0.25">
      <c r="B683" t="s">
        <v>339</v>
      </c>
      <c r="C683" t="s">
        <v>303</v>
      </c>
      <c r="D683">
        <v>703571</v>
      </c>
      <c r="E683" t="s">
        <v>273</v>
      </c>
      <c r="F683" t="s">
        <v>21</v>
      </c>
      <c r="G683" t="s">
        <v>22</v>
      </c>
      <c r="H683" t="s">
        <v>23</v>
      </c>
      <c r="J683">
        <v>0</v>
      </c>
    </row>
    <row r="684" spans="2:11" x14ac:dyDescent="0.25">
      <c r="B684" t="s">
        <v>339</v>
      </c>
      <c r="C684" t="s">
        <v>303</v>
      </c>
      <c r="D684">
        <v>703572</v>
      </c>
      <c r="E684" t="s">
        <v>274</v>
      </c>
      <c r="F684" t="s">
        <v>21</v>
      </c>
      <c r="G684" t="s">
        <v>22</v>
      </c>
      <c r="H684" t="s">
        <v>23</v>
      </c>
      <c r="J684">
        <v>0</v>
      </c>
    </row>
    <row r="685" spans="2:11" x14ac:dyDescent="0.25">
      <c r="B685" t="s">
        <v>339</v>
      </c>
      <c r="C685" t="s">
        <v>303</v>
      </c>
      <c r="D685">
        <v>703573</v>
      </c>
      <c r="E685" t="s">
        <v>275</v>
      </c>
      <c r="F685" t="s">
        <v>21</v>
      </c>
      <c r="G685" t="s">
        <v>22</v>
      </c>
      <c r="H685" t="s">
        <v>23</v>
      </c>
      <c r="J685">
        <v>0</v>
      </c>
    </row>
    <row r="686" spans="2:11" x14ac:dyDescent="0.25">
      <c r="B686" t="s">
        <v>339</v>
      </c>
      <c r="C686" t="s">
        <v>303</v>
      </c>
      <c r="D686">
        <v>703574</v>
      </c>
      <c r="E686" t="s">
        <v>276</v>
      </c>
      <c r="F686" t="s">
        <v>21</v>
      </c>
      <c r="G686" t="s">
        <v>22</v>
      </c>
      <c r="H686" t="s">
        <v>23</v>
      </c>
      <c r="J686">
        <v>0</v>
      </c>
    </row>
    <row r="687" spans="2:11" x14ac:dyDescent="0.25">
      <c r="B687" t="s">
        <v>339</v>
      </c>
      <c r="C687" t="s">
        <v>303</v>
      </c>
      <c r="D687">
        <v>703580</v>
      </c>
      <c r="E687" t="s">
        <v>277</v>
      </c>
      <c r="F687" t="s">
        <v>21</v>
      </c>
      <c r="G687" t="s">
        <v>22</v>
      </c>
      <c r="H687" t="s">
        <v>23</v>
      </c>
      <c r="J687">
        <v>0</v>
      </c>
      <c r="K687">
        <v>0</v>
      </c>
    </row>
    <row r="688" spans="2:11" x14ac:dyDescent="0.25">
      <c r="B688" t="s">
        <v>339</v>
      </c>
      <c r="C688" t="s">
        <v>303</v>
      </c>
      <c r="D688">
        <v>703590</v>
      </c>
      <c r="E688" t="s">
        <v>278</v>
      </c>
      <c r="F688" t="s">
        <v>21</v>
      </c>
      <c r="G688" t="s">
        <v>22</v>
      </c>
      <c r="H688" t="s">
        <v>23</v>
      </c>
      <c r="J688">
        <v>0</v>
      </c>
      <c r="K688">
        <v>0</v>
      </c>
    </row>
    <row r="689" spans="2:11" x14ac:dyDescent="0.25">
      <c r="B689" t="s">
        <v>339</v>
      </c>
      <c r="C689" t="s">
        <v>303</v>
      </c>
      <c r="D689">
        <v>703650</v>
      </c>
      <c r="E689" t="s">
        <v>279</v>
      </c>
      <c r="F689" t="s">
        <v>21</v>
      </c>
      <c r="G689" t="s">
        <v>22</v>
      </c>
      <c r="H689" t="s">
        <v>23</v>
      </c>
      <c r="J689">
        <v>0</v>
      </c>
      <c r="K689">
        <v>0</v>
      </c>
    </row>
    <row r="690" spans="2:11" x14ac:dyDescent="0.25">
      <c r="B690" t="s">
        <v>339</v>
      </c>
      <c r="C690" t="s">
        <v>303</v>
      </c>
      <c r="D690">
        <v>703651</v>
      </c>
      <c r="E690" t="s">
        <v>280</v>
      </c>
      <c r="F690" t="s">
        <v>21</v>
      </c>
      <c r="G690" t="s">
        <v>22</v>
      </c>
      <c r="H690" t="s">
        <v>23</v>
      </c>
      <c r="J690">
        <v>0</v>
      </c>
      <c r="K690">
        <v>0</v>
      </c>
    </row>
    <row r="691" spans="2:11" x14ac:dyDescent="0.25">
      <c r="B691" t="s">
        <v>339</v>
      </c>
      <c r="C691" t="s">
        <v>303</v>
      </c>
      <c r="D691">
        <v>703850</v>
      </c>
      <c r="E691" t="s">
        <v>281</v>
      </c>
      <c r="F691" t="s">
        <v>21</v>
      </c>
      <c r="G691" t="s">
        <v>22</v>
      </c>
      <c r="H691" t="s">
        <v>23</v>
      </c>
      <c r="J691">
        <v>0</v>
      </c>
      <c r="K691">
        <v>0</v>
      </c>
    </row>
    <row r="692" spans="2:11" x14ac:dyDescent="0.25">
      <c r="B692" t="s">
        <v>339</v>
      </c>
      <c r="C692" t="s">
        <v>303</v>
      </c>
      <c r="D692">
        <v>703851</v>
      </c>
      <c r="E692" t="s">
        <v>282</v>
      </c>
      <c r="F692" t="s">
        <v>21</v>
      </c>
      <c r="G692" t="s">
        <v>22</v>
      </c>
      <c r="H692" t="s">
        <v>23</v>
      </c>
      <c r="J692">
        <v>0</v>
      </c>
      <c r="K692">
        <v>0</v>
      </c>
    </row>
    <row r="693" spans="2:11" x14ac:dyDescent="0.25">
      <c r="B693" t="s">
        <v>339</v>
      </c>
      <c r="C693" t="s">
        <v>303</v>
      </c>
      <c r="D693">
        <v>703852</v>
      </c>
      <c r="E693" t="s">
        <v>283</v>
      </c>
      <c r="F693" t="s">
        <v>21</v>
      </c>
      <c r="G693" t="s">
        <v>22</v>
      </c>
      <c r="H693" t="s">
        <v>23</v>
      </c>
      <c r="J693">
        <v>0</v>
      </c>
      <c r="K693">
        <v>0</v>
      </c>
    </row>
    <row r="694" spans="2:11" x14ac:dyDescent="0.25">
      <c r="B694" t="s">
        <v>339</v>
      </c>
      <c r="C694" t="s">
        <v>303</v>
      </c>
      <c r="D694">
        <v>703853</v>
      </c>
      <c r="E694" t="s">
        <v>284</v>
      </c>
      <c r="F694" t="s">
        <v>21</v>
      </c>
      <c r="G694" t="s">
        <v>22</v>
      </c>
      <c r="H694" t="s">
        <v>23</v>
      </c>
      <c r="J694">
        <v>0</v>
      </c>
      <c r="K694">
        <v>0</v>
      </c>
    </row>
    <row r="695" spans="2:11" x14ac:dyDescent="0.25">
      <c r="B695" t="s">
        <v>339</v>
      </c>
      <c r="C695" t="s">
        <v>303</v>
      </c>
      <c r="D695">
        <v>703854</v>
      </c>
      <c r="E695" t="s">
        <v>285</v>
      </c>
      <c r="F695" t="s">
        <v>21</v>
      </c>
      <c r="G695" t="s">
        <v>22</v>
      </c>
      <c r="H695" t="s">
        <v>115</v>
      </c>
      <c r="J695">
        <v>0</v>
      </c>
      <c r="K695">
        <v>0</v>
      </c>
    </row>
    <row r="696" spans="2:11" x14ac:dyDescent="0.25">
      <c r="B696" t="s">
        <v>339</v>
      </c>
      <c r="C696" t="s">
        <v>303</v>
      </c>
      <c r="D696">
        <v>703855</v>
      </c>
      <c r="E696" t="s">
        <v>286</v>
      </c>
      <c r="F696" t="s">
        <v>21</v>
      </c>
      <c r="G696" t="s">
        <v>22</v>
      </c>
      <c r="H696" t="s">
        <v>23</v>
      </c>
      <c r="J696">
        <v>0</v>
      </c>
      <c r="K696">
        <v>0</v>
      </c>
    </row>
    <row r="697" spans="2:11" x14ac:dyDescent="0.25">
      <c r="B697" t="s">
        <v>339</v>
      </c>
      <c r="C697" t="s">
        <v>303</v>
      </c>
      <c r="D697">
        <v>703856</v>
      </c>
      <c r="E697" t="s">
        <v>287</v>
      </c>
      <c r="F697" t="s">
        <v>21</v>
      </c>
      <c r="G697" t="s">
        <v>22</v>
      </c>
      <c r="H697" t="s">
        <v>23</v>
      </c>
      <c r="J697">
        <v>0</v>
      </c>
      <c r="K697">
        <v>0</v>
      </c>
    </row>
    <row r="698" spans="2:11" x14ac:dyDescent="0.25">
      <c r="B698" t="s">
        <v>339</v>
      </c>
      <c r="C698" t="s">
        <v>303</v>
      </c>
      <c r="D698">
        <v>703857</v>
      </c>
      <c r="E698" t="s">
        <v>288</v>
      </c>
      <c r="F698" t="s">
        <v>21</v>
      </c>
      <c r="G698" t="s">
        <v>71</v>
      </c>
      <c r="H698" t="s">
        <v>88</v>
      </c>
      <c r="J698">
        <v>0</v>
      </c>
      <c r="K698">
        <v>0</v>
      </c>
    </row>
    <row r="699" spans="2:11" x14ac:dyDescent="0.25">
      <c r="B699" t="s">
        <v>339</v>
      </c>
      <c r="C699" t="s">
        <v>303</v>
      </c>
      <c r="D699">
        <v>703858</v>
      </c>
      <c r="E699" t="s">
        <v>289</v>
      </c>
      <c r="F699" t="s">
        <v>21</v>
      </c>
      <c r="G699" t="s">
        <v>22</v>
      </c>
      <c r="H699" t="s">
        <v>23</v>
      </c>
      <c r="J699">
        <v>0</v>
      </c>
      <c r="K699">
        <v>0</v>
      </c>
    </row>
    <row r="700" spans="2:11" x14ac:dyDescent="0.25">
      <c r="B700" t="s">
        <v>339</v>
      </c>
      <c r="C700" t="s">
        <v>303</v>
      </c>
      <c r="D700">
        <v>703859</v>
      </c>
      <c r="E700" t="s">
        <v>290</v>
      </c>
      <c r="F700" t="s">
        <v>21</v>
      </c>
      <c r="G700" t="s">
        <v>22</v>
      </c>
      <c r="H700" t="s">
        <v>23</v>
      </c>
      <c r="J700">
        <v>0</v>
      </c>
      <c r="K700">
        <v>0</v>
      </c>
    </row>
    <row r="701" spans="2:11" x14ac:dyDescent="0.25">
      <c r="B701" t="s">
        <v>339</v>
      </c>
      <c r="C701" t="s">
        <v>303</v>
      </c>
      <c r="D701">
        <v>703860</v>
      </c>
      <c r="E701" t="s">
        <v>291</v>
      </c>
      <c r="F701" t="s">
        <v>21</v>
      </c>
      <c r="G701" t="s">
        <v>22</v>
      </c>
      <c r="H701" t="s">
        <v>23</v>
      </c>
      <c r="J701">
        <v>0</v>
      </c>
      <c r="K701">
        <v>0</v>
      </c>
    </row>
    <row r="702" spans="2:11" x14ac:dyDescent="0.25">
      <c r="B702" t="s">
        <v>339</v>
      </c>
      <c r="C702" t="s">
        <v>303</v>
      </c>
      <c r="D702">
        <v>703861</v>
      </c>
      <c r="E702" t="s">
        <v>292</v>
      </c>
      <c r="F702" t="s">
        <v>21</v>
      </c>
      <c r="G702" t="s">
        <v>22</v>
      </c>
      <c r="H702" t="s">
        <v>23</v>
      </c>
      <c r="J702">
        <v>0</v>
      </c>
      <c r="K702">
        <v>0</v>
      </c>
    </row>
    <row r="703" spans="2:11" x14ac:dyDescent="0.25">
      <c r="B703" t="s">
        <v>339</v>
      </c>
      <c r="C703" t="s">
        <v>303</v>
      </c>
      <c r="D703">
        <v>703862</v>
      </c>
      <c r="E703" t="s">
        <v>293</v>
      </c>
      <c r="F703" t="s">
        <v>21</v>
      </c>
      <c r="G703" t="s">
        <v>22</v>
      </c>
      <c r="H703" t="s">
        <v>23</v>
      </c>
      <c r="J703">
        <v>0</v>
      </c>
      <c r="K703">
        <v>0</v>
      </c>
    </row>
    <row r="704" spans="2:11" x14ac:dyDescent="0.25">
      <c r="B704" t="s">
        <v>339</v>
      </c>
      <c r="C704" t="s">
        <v>303</v>
      </c>
      <c r="D704">
        <v>703870</v>
      </c>
      <c r="E704" t="s">
        <v>294</v>
      </c>
      <c r="F704" t="s">
        <v>21</v>
      </c>
      <c r="G704" t="s">
        <v>22</v>
      </c>
      <c r="H704" t="s">
        <v>23</v>
      </c>
      <c r="J704">
        <v>0</v>
      </c>
      <c r="K704">
        <v>0</v>
      </c>
    </row>
    <row r="705" spans="2:11" x14ac:dyDescent="0.25">
      <c r="B705" t="s">
        <v>339</v>
      </c>
      <c r="C705" t="s">
        <v>303</v>
      </c>
      <c r="D705">
        <v>703880</v>
      </c>
      <c r="E705" t="s">
        <v>295</v>
      </c>
      <c r="F705" t="s">
        <v>21</v>
      </c>
      <c r="G705" t="s">
        <v>22</v>
      </c>
      <c r="H705" t="s">
        <v>23</v>
      </c>
      <c r="J705">
        <v>0</v>
      </c>
      <c r="K705">
        <v>0</v>
      </c>
    </row>
    <row r="706" spans="2:11" x14ac:dyDescent="0.25">
      <c r="B706" t="s">
        <v>339</v>
      </c>
      <c r="C706" t="s">
        <v>303</v>
      </c>
      <c r="D706">
        <v>703899</v>
      </c>
      <c r="E706" t="s">
        <v>296</v>
      </c>
      <c r="F706" t="s">
        <v>21</v>
      </c>
      <c r="G706" t="s">
        <v>22</v>
      </c>
      <c r="H706" t="s">
        <v>23</v>
      </c>
      <c r="J706">
        <v>0</v>
      </c>
      <c r="K706">
        <v>0</v>
      </c>
    </row>
    <row r="707" spans="2:11" x14ac:dyDescent="0.25">
      <c r="B707" t="s">
        <v>339</v>
      </c>
      <c r="C707" t="s">
        <v>303</v>
      </c>
      <c r="D707">
        <v>706700</v>
      </c>
      <c r="E707" t="s">
        <v>25</v>
      </c>
      <c r="F707" t="s">
        <v>26</v>
      </c>
      <c r="G707" t="s">
        <v>27</v>
      </c>
      <c r="H707" t="s">
        <v>28</v>
      </c>
      <c r="J707">
        <v>1256402.5</v>
      </c>
      <c r="K707">
        <v>1256402.5</v>
      </c>
    </row>
    <row r="708" spans="2:11" x14ac:dyDescent="0.25">
      <c r="B708" t="s">
        <v>339</v>
      </c>
      <c r="C708" t="s">
        <v>303</v>
      </c>
      <c r="D708" t="s">
        <v>29</v>
      </c>
      <c r="E708" t="s">
        <v>30</v>
      </c>
      <c r="F708" t="s">
        <v>26</v>
      </c>
      <c r="G708" t="s">
        <v>27</v>
      </c>
      <c r="H708" t="s">
        <v>31</v>
      </c>
      <c r="J708">
        <v>0</v>
      </c>
      <c r="K708">
        <v>0</v>
      </c>
    </row>
    <row r="709" spans="2:11" x14ac:dyDescent="0.25">
      <c r="B709" t="s">
        <v>339</v>
      </c>
      <c r="C709" t="s">
        <v>303</v>
      </c>
      <c r="D709" t="s">
        <v>32</v>
      </c>
      <c r="E709" t="s">
        <v>33</v>
      </c>
      <c r="F709" t="s">
        <v>26</v>
      </c>
      <c r="G709" t="s">
        <v>27</v>
      </c>
      <c r="H709" t="s">
        <v>28</v>
      </c>
      <c r="J709">
        <v>0</v>
      </c>
      <c r="K709">
        <v>0</v>
      </c>
    </row>
    <row r="710" spans="2:11" x14ac:dyDescent="0.25">
      <c r="B710" t="s">
        <v>339</v>
      </c>
      <c r="C710" t="s">
        <v>303</v>
      </c>
      <c r="D710" t="s">
        <v>34</v>
      </c>
      <c r="E710" t="s">
        <v>35</v>
      </c>
      <c r="F710" t="s">
        <v>26</v>
      </c>
      <c r="G710" t="s">
        <v>36</v>
      </c>
      <c r="H710" t="s">
        <v>36</v>
      </c>
      <c r="J710">
        <v>0</v>
      </c>
      <c r="K710">
        <v>0</v>
      </c>
    </row>
    <row r="711" spans="2:11" x14ac:dyDescent="0.25">
      <c r="B711" t="s">
        <v>339</v>
      </c>
      <c r="C711" t="s">
        <v>303</v>
      </c>
      <c r="D711" t="s">
        <v>37</v>
      </c>
      <c r="E711" t="s">
        <v>38</v>
      </c>
      <c r="F711" t="s">
        <v>21</v>
      </c>
      <c r="G711" t="s">
        <v>39</v>
      </c>
      <c r="H711" t="s">
        <v>39</v>
      </c>
      <c r="J711">
        <v>0</v>
      </c>
      <c r="K711">
        <v>0</v>
      </c>
    </row>
    <row r="712" spans="2:11" x14ac:dyDescent="0.25">
      <c r="B712" t="s">
        <v>339</v>
      </c>
      <c r="C712" t="s">
        <v>303</v>
      </c>
      <c r="D712" t="s">
        <v>40</v>
      </c>
      <c r="E712" t="s">
        <v>41</v>
      </c>
      <c r="F712" t="s">
        <v>26</v>
      </c>
      <c r="G712" t="s">
        <v>39</v>
      </c>
      <c r="H712" t="s">
        <v>39</v>
      </c>
      <c r="I712" t="s">
        <v>105</v>
      </c>
      <c r="J712">
        <v>31420.55</v>
      </c>
      <c r="K712">
        <v>31420.55</v>
      </c>
    </row>
    <row r="713" spans="2:11" x14ac:dyDescent="0.25">
      <c r="B713" t="s">
        <v>339</v>
      </c>
      <c r="C713" t="s">
        <v>303</v>
      </c>
      <c r="D713" t="s">
        <v>42</v>
      </c>
      <c r="E713" t="s">
        <v>43</v>
      </c>
      <c r="F713" t="s">
        <v>21</v>
      </c>
      <c r="G713" t="s">
        <v>44</v>
      </c>
      <c r="H713" t="s">
        <v>44</v>
      </c>
      <c r="J713">
        <v>0</v>
      </c>
      <c r="K713">
        <v>0</v>
      </c>
    </row>
    <row r="714" spans="2:11" x14ac:dyDescent="0.25">
      <c r="B714" t="s">
        <v>339</v>
      </c>
      <c r="C714" t="s">
        <v>303</v>
      </c>
      <c r="D714" t="s">
        <v>45</v>
      </c>
      <c r="E714" t="s">
        <v>46</v>
      </c>
      <c r="F714" t="s">
        <v>26</v>
      </c>
      <c r="G714" t="s">
        <v>44</v>
      </c>
      <c r="H714" t="s">
        <v>44</v>
      </c>
      <c r="J714">
        <v>0</v>
      </c>
      <c r="K714">
        <v>0</v>
      </c>
    </row>
    <row r="715" spans="2:11" x14ac:dyDescent="0.25">
      <c r="B715" t="s">
        <v>339</v>
      </c>
      <c r="C715" t="s">
        <v>303</v>
      </c>
      <c r="D715" t="s">
        <v>297</v>
      </c>
      <c r="E715" t="s">
        <v>298</v>
      </c>
      <c r="F715" t="s">
        <v>26</v>
      </c>
      <c r="G715" t="s">
        <v>299</v>
      </c>
      <c r="H715" t="s">
        <v>299</v>
      </c>
      <c r="J715">
        <v>0</v>
      </c>
    </row>
    <row r="716" spans="2:11" x14ac:dyDescent="0.25">
      <c r="B716" t="s">
        <v>339</v>
      </c>
      <c r="C716" t="s">
        <v>303</v>
      </c>
      <c r="D716" t="s">
        <v>300</v>
      </c>
      <c r="E716" t="s">
        <v>301</v>
      </c>
      <c r="F716" t="s">
        <v>21</v>
      </c>
      <c r="G716" t="s">
        <v>299</v>
      </c>
      <c r="H716" t="s">
        <v>299</v>
      </c>
      <c r="J716">
        <v>0</v>
      </c>
    </row>
    <row r="717" spans="2:11" x14ac:dyDescent="0.25">
      <c r="B717" t="s">
        <v>339</v>
      </c>
      <c r="C717" t="s">
        <v>303</v>
      </c>
      <c r="D717" t="s">
        <v>47</v>
      </c>
      <c r="E717" t="s">
        <v>48</v>
      </c>
      <c r="F717" t="s">
        <v>26</v>
      </c>
      <c r="G717" t="s">
        <v>49</v>
      </c>
      <c r="H717" t="s">
        <v>49</v>
      </c>
      <c r="J717">
        <v>0</v>
      </c>
      <c r="K717">
        <v>0</v>
      </c>
    </row>
    <row r="718" spans="2:11" x14ac:dyDescent="0.25">
      <c r="B718" t="s">
        <v>341</v>
      </c>
      <c r="C718" t="s">
        <v>304</v>
      </c>
      <c r="D718">
        <v>701000</v>
      </c>
      <c r="E718" t="s">
        <v>51</v>
      </c>
      <c r="F718" t="s">
        <v>21</v>
      </c>
      <c r="G718" t="s">
        <v>52</v>
      </c>
      <c r="H718" t="s">
        <v>53</v>
      </c>
      <c r="J718">
        <v>0</v>
      </c>
      <c r="K718">
        <v>0</v>
      </c>
    </row>
    <row r="719" spans="2:11" x14ac:dyDescent="0.25">
      <c r="B719" t="s">
        <v>341</v>
      </c>
      <c r="C719" t="s">
        <v>304</v>
      </c>
      <c r="D719">
        <v>701008</v>
      </c>
      <c r="E719" t="s">
        <v>54</v>
      </c>
      <c r="F719" t="s">
        <v>21</v>
      </c>
      <c r="G719" t="s">
        <v>52</v>
      </c>
      <c r="H719" t="s">
        <v>53</v>
      </c>
      <c r="J719">
        <v>0</v>
      </c>
      <c r="K719">
        <v>0</v>
      </c>
    </row>
    <row r="720" spans="2:11" x14ac:dyDescent="0.25">
      <c r="B720" t="s">
        <v>341</v>
      </c>
      <c r="C720" t="s">
        <v>304</v>
      </c>
      <c r="D720">
        <v>701009</v>
      </c>
      <c r="E720" t="s">
        <v>55</v>
      </c>
      <c r="F720" t="s">
        <v>21</v>
      </c>
      <c r="G720" t="s">
        <v>52</v>
      </c>
      <c r="H720" t="s">
        <v>53</v>
      </c>
      <c r="J720">
        <v>0</v>
      </c>
      <c r="K720">
        <v>0</v>
      </c>
    </row>
    <row r="721" spans="2:11" x14ac:dyDescent="0.25">
      <c r="B721" t="s">
        <v>341</v>
      </c>
      <c r="C721" t="s">
        <v>304</v>
      </c>
      <c r="D721">
        <v>701010</v>
      </c>
      <c r="E721" t="s">
        <v>56</v>
      </c>
      <c r="F721" t="s">
        <v>21</v>
      </c>
      <c r="G721" t="s">
        <v>52</v>
      </c>
      <c r="H721" t="s">
        <v>57</v>
      </c>
      <c r="J721">
        <v>0</v>
      </c>
      <c r="K721">
        <v>0</v>
      </c>
    </row>
    <row r="722" spans="2:11" x14ac:dyDescent="0.25">
      <c r="B722" t="s">
        <v>341</v>
      </c>
      <c r="C722" t="s">
        <v>304</v>
      </c>
      <c r="D722">
        <v>701011</v>
      </c>
      <c r="E722" t="s">
        <v>58</v>
      </c>
      <c r="F722" t="s">
        <v>21</v>
      </c>
      <c r="G722" t="s">
        <v>52</v>
      </c>
      <c r="H722" t="s">
        <v>53</v>
      </c>
      <c r="J722">
        <v>0</v>
      </c>
      <c r="K722">
        <v>0</v>
      </c>
    </row>
    <row r="723" spans="2:11" x14ac:dyDescent="0.25">
      <c r="B723" t="s">
        <v>341</v>
      </c>
      <c r="C723" t="s">
        <v>304</v>
      </c>
      <c r="D723">
        <v>701012</v>
      </c>
      <c r="E723" t="s">
        <v>59</v>
      </c>
      <c r="F723" t="s">
        <v>21</v>
      </c>
      <c r="G723" t="s">
        <v>52</v>
      </c>
      <c r="H723" t="s">
        <v>53</v>
      </c>
      <c r="J723">
        <v>0</v>
      </c>
      <c r="K723">
        <v>0</v>
      </c>
    </row>
    <row r="724" spans="2:11" x14ac:dyDescent="0.25">
      <c r="B724" t="s">
        <v>341</v>
      </c>
      <c r="C724" t="s">
        <v>304</v>
      </c>
      <c r="D724">
        <v>701013</v>
      </c>
      <c r="E724" t="s">
        <v>60</v>
      </c>
      <c r="F724" t="s">
        <v>21</v>
      </c>
      <c r="G724" t="s">
        <v>61</v>
      </c>
      <c r="H724" t="s">
        <v>62</v>
      </c>
      <c r="J724">
        <v>0</v>
      </c>
      <c r="K724">
        <v>0</v>
      </c>
    </row>
    <row r="725" spans="2:11" x14ac:dyDescent="0.25">
      <c r="B725" t="s">
        <v>341</v>
      </c>
      <c r="C725" t="s">
        <v>304</v>
      </c>
      <c r="D725">
        <v>701014</v>
      </c>
      <c r="E725" t="s">
        <v>63</v>
      </c>
      <c r="F725" t="s">
        <v>21</v>
      </c>
      <c r="G725" t="s">
        <v>61</v>
      </c>
      <c r="H725" t="s">
        <v>64</v>
      </c>
      <c r="J725">
        <v>0</v>
      </c>
      <c r="K725">
        <v>0</v>
      </c>
    </row>
    <row r="726" spans="2:11" x14ac:dyDescent="0.25">
      <c r="B726" t="s">
        <v>341</v>
      </c>
      <c r="C726" t="s">
        <v>304</v>
      </c>
      <c r="D726">
        <v>701015</v>
      </c>
      <c r="E726" t="s">
        <v>65</v>
      </c>
      <c r="F726" t="s">
        <v>21</v>
      </c>
      <c r="G726" t="s">
        <v>52</v>
      </c>
      <c r="H726" t="s">
        <v>53</v>
      </c>
      <c r="J726">
        <v>0</v>
      </c>
      <c r="K726">
        <v>0</v>
      </c>
    </row>
    <row r="727" spans="2:11" x14ac:dyDescent="0.25">
      <c r="B727" t="s">
        <v>341</v>
      </c>
      <c r="C727" t="s">
        <v>304</v>
      </c>
      <c r="D727">
        <v>701016</v>
      </c>
      <c r="E727" t="s">
        <v>66</v>
      </c>
      <c r="F727" t="s">
        <v>21</v>
      </c>
      <c r="G727" t="s">
        <v>52</v>
      </c>
      <c r="H727" t="s">
        <v>53</v>
      </c>
      <c r="J727">
        <v>0</v>
      </c>
      <c r="K727">
        <v>0</v>
      </c>
    </row>
    <row r="728" spans="2:11" x14ac:dyDescent="0.25">
      <c r="B728" t="s">
        <v>341</v>
      </c>
      <c r="C728" t="s">
        <v>304</v>
      </c>
      <c r="D728">
        <v>701017</v>
      </c>
      <c r="E728" t="s">
        <v>67</v>
      </c>
      <c r="F728" t="s">
        <v>21</v>
      </c>
      <c r="G728" t="s">
        <v>61</v>
      </c>
      <c r="H728" t="s">
        <v>68</v>
      </c>
      <c r="J728">
        <v>0</v>
      </c>
      <c r="K728">
        <v>0</v>
      </c>
    </row>
    <row r="729" spans="2:11" x14ac:dyDescent="0.25">
      <c r="B729" t="s">
        <v>341</v>
      </c>
      <c r="C729" t="s">
        <v>304</v>
      </c>
      <c r="D729">
        <v>701018</v>
      </c>
      <c r="E729" t="s">
        <v>69</v>
      </c>
      <c r="F729" t="s">
        <v>21</v>
      </c>
      <c r="G729" t="s">
        <v>61</v>
      </c>
      <c r="H729" t="s">
        <v>68</v>
      </c>
      <c r="J729">
        <v>0</v>
      </c>
      <c r="K729">
        <v>0</v>
      </c>
    </row>
    <row r="730" spans="2:11" x14ac:dyDescent="0.25">
      <c r="B730" t="s">
        <v>341</v>
      </c>
      <c r="C730" t="s">
        <v>304</v>
      </c>
      <c r="D730">
        <v>701019</v>
      </c>
      <c r="E730" t="s">
        <v>70</v>
      </c>
      <c r="F730" t="s">
        <v>21</v>
      </c>
      <c r="G730" t="s">
        <v>71</v>
      </c>
      <c r="H730" t="s">
        <v>72</v>
      </c>
      <c r="J730">
        <v>0</v>
      </c>
      <c r="K730">
        <v>0</v>
      </c>
    </row>
    <row r="731" spans="2:11" x14ac:dyDescent="0.25">
      <c r="B731" t="s">
        <v>341</v>
      </c>
      <c r="C731" t="s">
        <v>304</v>
      </c>
      <c r="D731">
        <v>701020</v>
      </c>
      <c r="E731" t="s">
        <v>73</v>
      </c>
      <c r="F731" t="s">
        <v>21</v>
      </c>
      <c r="G731" t="s">
        <v>52</v>
      </c>
      <c r="H731" t="s">
        <v>53</v>
      </c>
      <c r="J731">
        <v>0</v>
      </c>
      <c r="K731">
        <v>0</v>
      </c>
    </row>
    <row r="732" spans="2:11" x14ac:dyDescent="0.25">
      <c r="B732" t="s">
        <v>341</v>
      </c>
      <c r="C732" t="s">
        <v>304</v>
      </c>
      <c r="D732">
        <v>701021</v>
      </c>
      <c r="E732" t="s">
        <v>74</v>
      </c>
      <c r="F732" t="s">
        <v>21</v>
      </c>
      <c r="G732" t="s">
        <v>61</v>
      </c>
      <c r="H732" t="s">
        <v>74</v>
      </c>
      <c r="J732">
        <v>0</v>
      </c>
      <c r="K732">
        <v>0</v>
      </c>
    </row>
    <row r="733" spans="2:11" x14ac:dyDescent="0.25">
      <c r="B733" t="s">
        <v>341</v>
      </c>
      <c r="C733" t="s">
        <v>304</v>
      </c>
      <c r="D733">
        <v>701022</v>
      </c>
      <c r="E733" t="s">
        <v>75</v>
      </c>
      <c r="F733" t="s">
        <v>21</v>
      </c>
      <c r="G733" t="s">
        <v>76</v>
      </c>
      <c r="H733" t="s">
        <v>77</v>
      </c>
      <c r="J733">
        <v>0</v>
      </c>
      <c r="K733">
        <v>0</v>
      </c>
    </row>
    <row r="734" spans="2:11" x14ac:dyDescent="0.25">
      <c r="B734" t="s">
        <v>341</v>
      </c>
      <c r="C734" t="s">
        <v>304</v>
      </c>
      <c r="D734">
        <v>701023</v>
      </c>
      <c r="E734" t="s">
        <v>78</v>
      </c>
      <c r="F734" t="s">
        <v>21</v>
      </c>
      <c r="G734" t="s">
        <v>61</v>
      </c>
      <c r="H734" t="s">
        <v>79</v>
      </c>
      <c r="J734">
        <v>0</v>
      </c>
      <c r="K734">
        <v>0</v>
      </c>
    </row>
    <row r="735" spans="2:11" x14ac:dyDescent="0.25">
      <c r="B735" t="s">
        <v>341</v>
      </c>
      <c r="C735" t="s">
        <v>304</v>
      </c>
      <c r="D735">
        <v>701024</v>
      </c>
      <c r="E735" t="s">
        <v>80</v>
      </c>
      <c r="F735" t="s">
        <v>21</v>
      </c>
      <c r="G735" t="s">
        <v>76</v>
      </c>
      <c r="H735" t="s">
        <v>77</v>
      </c>
      <c r="J735">
        <v>0</v>
      </c>
      <c r="K735">
        <v>0</v>
      </c>
    </row>
    <row r="736" spans="2:11" x14ac:dyDescent="0.25">
      <c r="B736" t="s">
        <v>341</v>
      </c>
      <c r="C736" t="s">
        <v>304</v>
      </c>
      <c r="D736">
        <v>701025</v>
      </c>
      <c r="E736" t="s">
        <v>81</v>
      </c>
      <c r="F736" t="s">
        <v>21</v>
      </c>
      <c r="G736" t="s">
        <v>71</v>
      </c>
      <c r="H736" t="s">
        <v>82</v>
      </c>
      <c r="J736">
        <v>0</v>
      </c>
      <c r="K736">
        <v>0</v>
      </c>
    </row>
    <row r="737" spans="2:11" x14ac:dyDescent="0.25">
      <c r="B737" t="s">
        <v>341</v>
      </c>
      <c r="C737" t="s">
        <v>304</v>
      </c>
      <c r="D737">
        <v>701026</v>
      </c>
      <c r="E737" t="s">
        <v>83</v>
      </c>
      <c r="F737" t="s">
        <v>21</v>
      </c>
      <c r="G737" t="s">
        <v>76</v>
      </c>
      <c r="H737" t="s">
        <v>77</v>
      </c>
      <c r="J737">
        <v>0</v>
      </c>
      <c r="K737">
        <v>0</v>
      </c>
    </row>
    <row r="738" spans="2:11" x14ac:dyDescent="0.25">
      <c r="B738" t="s">
        <v>341</v>
      </c>
      <c r="C738" t="s">
        <v>304</v>
      </c>
      <c r="D738">
        <v>701027</v>
      </c>
      <c r="E738" t="s">
        <v>84</v>
      </c>
      <c r="F738" t="s">
        <v>21</v>
      </c>
      <c r="G738" t="s">
        <v>76</v>
      </c>
      <c r="H738" t="s">
        <v>77</v>
      </c>
      <c r="J738">
        <v>0</v>
      </c>
      <c r="K738">
        <v>0</v>
      </c>
    </row>
    <row r="739" spans="2:11" x14ac:dyDescent="0.25">
      <c r="B739" t="s">
        <v>341</v>
      </c>
      <c r="C739" t="s">
        <v>304</v>
      </c>
      <c r="D739">
        <v>701028</v>
      </c>
      <c r="E739" t="s">
        <v>85</v>
      </c>
      <c r="F739" t="s">
        <v>21</v>
      </c>
      <c r="G739" t="s">
        <v>61</v>
      </c>
      <c r="H739" t="s">
        <v>68</v>
      </c>
      <c r="J739">
        <v>0</v>
      </c>
      <c r="K739">
        <v>0</v>
      </c>
    </row>
    <row r="740" spans="2:11" x14ac:dyDescent="0.25">
      <c r="B740" t="s">
        <v>341</v>
      </c>
      <c r="C740" t="s">
        <v>304</v>
      </c>
      <c r="D740">
        <v>701029</v>
      </c>
      <c r="E740" t="s">
        <v>86</v>
      </c>
      <c r="F740" t="s">
        <v>21</v>
      </c>
      <c r="G740" t="s">
        <v>61</v>
      </c>
      <c r="H740" t="s">
        <v>68</v>
      </c>
      <c r="J740">
        <v>0</v>
      </c>
      <c r="K740">
        <v>0</v>
      </c>
    </row>
    <row r="741" spans="2:11" x14ac:dyDescent="0.25">
      <c r="B741" t="s">
        <v>341</v>
      </c>
      <c r="C741" t="s">
        <v>304</v>
      </c>
      <c r="D741">
        <v>701030</v>
      </c>
      <c r="E741" t="s">
        <v>87</v>
      </c>
      <c r="F741" t="s">
        <v>21</v>
      </c>
      <c r="G741" t="s">
        <v>71</v>
      </c>
      <c r="H741" t="s">
        <v>88</v>
      </c>
      <c r="J741">
        <v>0</v>
      </c>
      <c r="K741">
        <v>0</v>
      </c>
    </row>
    <row r="742" spans="2:11" x14ac:dyDescent="0.25">
      <c r="B742" t="s">
        <v>341</v>
      </c>
      <c r="C742" t="s">
        <v>304</v>
      </c>
      <c r="D742">
        <v>701031</v>
      </c>
      <c r="E742" t="s">
        <v>89</v>
      </c>
      <c r="F742" t="s">
        <v>21</v>
      </c>
      <c r="G742" t="s">
        <v>76</v>
      </c>
      <c r="H742" t="s">
        <v>77</v>
      </c>
      <c r="J742">
        <v>0</v>
      </c>
      <c r="K742">
        <v>0</v>
      </c>
    </row>
    <row r="743" spans="2:11" x14ac:dyDescent="0.25">
      <c r="B743" t="s">
        <v>341</v>
      </c>
      <c r="C743" t="s">
        <v>304</v>
      </c>
      <c r="D743">
        <v>701032</v>
      </c>
      <c r="E743" t="s">
        <v>90</v>
      </c>
      <c r="F743" t="s">
        <v>21</v>
      </c>
      <c r="G743" t="s">
        <v>52</v>
      </c>
      <c r="H743" t="s">
        <v>53</v>
      </c>
      <c r="J743">
        <v>0</v>
      </c>
      <c r="K743">
        <v>0</v>
      </c>
    </row>
    <row r="744" spans="2:11" x14ac:dyDescent="0.25">
      <c r="B744" t="s">
        <v>341</v>
      </c>
      <c r="C744" t="s">
        <v>304</v>
      </c>
      <c r="D744">
        <v>701034</v>
      </c>
      <c r="E744" t="s">
        <v>91</v>
      </c>
      <c r="F744" t="s">
        <v>21</v>
      </c>
      <c r="G744" t="s">
        <v>76</v>
      </c>
      <c r="H744" t="s">
        <v>77</v>
      </c>
      <c r="J744">
        <v>0</v>
      </c>
      <c r="K744">
        <v>0</v>
      </c>
    </row>
    <row r="745" spans="2:11" x14ac:dyDescent="0.25">
      <c r="B745" t="s">
        <v>341</v>
      </c>
      <c r="C745" t="s">
        <v>304</v>
      </c>
      <c r="D745">
        <v>701035</v>
      </c>
      <c r="E745" t="s">
        <v>92</v>
      </c>
      <c r="F745" t="s">
        <v>21</v>
      </c>
      <c r="G745" t="s">
        <v>61</v>
      </c>
      <c r="H745" t="s">
        <v>68</v>
      </c>
      <c r="J745">
        <v>0</v>
      </c>
      <c r="K745">
        <v>0</v>
      </c>
    </row>
    <row r="746" spans="2:11" x14ac:dyDescent="0.25">
      <c r="B746" t="s">
        <v>341</v>
      </c>
      <c r="C746" t="s">
        <v>304</v>
      </c>
      <c r="D746">
        <v>701036</v>
      </c>
      <c r="E746" t="s">
        <v>93</v>
      </c>
      <c r="F746" t="s">
        <v>21</v>
      </c>
      <c r="G746" t="s">
        <v>52</v>
      </c>
      <c r="H746" t="s">
        <v>53</v>
      </c>
      <c r="J746">
        <v>0</v>
      </c>
      <c r="K746">
        <v>0</v>
      </c>
    </row>
    <row r="747" spans="2:11" x14ac:dyDescent="0.25">
      <c r="B747" t="s">
        <v>341</v>
      </c>
      <c r="C747" t="s">
        <v>304</v>
      </c>
      <c r="D747">
        <v>701113</v>
      </c>
      <c r="E747" t="s">
        <v>94</v>
      </c>
      <c r="F747" t="s">
        <v>21</v>
      </c>
      <c r="G747" t="s">
        <v>61</v>
      </c>
      <c r="H747" t="s">
        <v>62</v>
      </c>
      <c r="J747">
        <v>0</v>
      </c>
      <c r="K747">
        <v>0</v>
      </c>
    </row>
    <row r="748" spans="2:11" x14ac:dyDescent="0.25">
      <c r="B748" t="s">
        <v>341</v>
      </c>
      <c r="C748" t="s">
        <v>304</v>
      </c>
      <c r="D748">
        <v>701119</v>
      </c>
      <c r="E748" t="s">
        <v>95</v>
      </c>
      <c r="F748" t="s">
        <v>21</v>
      </c>
      <c r="G748" t="s">
        <v>22</v>
      </c>
      <c r="H748" t="s">
        <v>23</v>
      </c>
      <c r="I748" t="s">
        <v>105</v>
      </c>
      <c r="J748">
        <v>50000</v>
      </c>
      <c r="K748">
        <v>50000</v>
      </c>
    </row>
    <row r="749" spans="2:11" x14ac:dyDescent="0.25">
      <c r="B749" t="s">
        <v>341</v>
      </c>
      <c r="C749" t="s">
        <v>304</v>
      </c>
      <c r="D749">
        <v>701120</v>
      </c>
      <c r="E749" t="s">
        <v>96</v>
      </c>
      <c r="F749" t="s">
        <v>21</v>
      </c>
      <c r="G749" t="s">
        <v>22</v>
      </c>
      <c r="H749" t="s">
        <v>23</v>
      </c>
      <c r="J749">
        <v>0</v>
      </c>
      <c r="K749">
        <v>0</v>
      </c>
    </row>
    <row r="750" spans="2:11" x14ac:dyDescent="0.25">
      <c r="B750" t="s">
        <v>341</v>
      </c>
      <c r="C750" t="s">
        <v>304</v>
      </c>
      <c r="D750">
        <v>701121</v>
      </c>
      <c r="E750" t="s">
        <v>97</v>
      </c>
      <c r="F750" t="s">
        <v>21</v>
      </c>
      <c r="G750" t="s">
        <v>22</v>
      </c>
      <c r="H750" t="s">
        <v>23</v>
      </c>
      <c r="J750">
        <v>0</v>
      </c>
      <c r="K750">
        <v>0</v>
      </c>
    </row>
    <row r="751" spans="2:11" x14ac:dyDescent="0.25">
      <c r="B751" t="s">
        <v>341</v>
      </c>
      <c r="C751" t="s">
        <v>304</v>
      </c>
      <c r="D751">
        <v>701122</v>
      </c>
      <c r="E751" t="s">
        <v>98</v>
      </c>
      <c r="F751" t="s">
        <v>21</v>
      </c>
      <c r="G751" t="s">
        <v>71</v>
      </c>
      <c r="H751" t="s">
        <v>88</v>
      </c>
      <c r="J751">
        <v>0</v>
      </c>
      <c r="K751">
        <v>0</v>
      </c>
    </row>
    <row r="752" spans="2:11" x14ac:dyDescent="0.25">
      <c r="B752" t="s">
        <v>341</v>
      </c>
      <c r="C752" t="s">
        <v>304</v>
      </c>
      <c r="D752">
        <v>701123</v>
      </c>
      <c r="E752" t="s">
        <v>99</v>
      </c>
      <c r="F752" t="s">
        <v>21</v>
      </c>
      <c r="G752" t="s">
        <v>22</v>
      </c>
      <c r="H752" t="s">
        <v>23</v>
      </c>
      <c r="J752">
        <v>0</v>
      </c>
      <c r="K752">
        <v>0</v>
      </c>
    </row>
    <row r="753" spans="2:11" x14ac:dyDescent="0.25">
      <c r="B753" t="s">
        <v>341</v>
      </c>
      <c r="C753" t="s">
        <v>304</v>
      </c>
      <c r="D753">
        <v>701127</v>
      </c>
      <c r="E753" t="s">
        <v>100</v>
      </c>
      <c r="F753" t="s">
        <v>21</v>
      </c>
      <c r="G753" t="s">
        <v>76</v>
      </c>
      <c r="H753" t="s">
        <v>77</v>
      </c>
      <c r="J753">
        <v>0</v>
      </c>
      <c r="K753">
        <v>0</v>
      </c>
    </row>
    <row r="754" spans="2:11" x14ac:dyDescent="0.25">
      <c r="B754" t="s">
        <v>341</v>
      </c>
      <c r="C754" t="s">
        <v>304</v>
      </c>
      <c r="D754">
        <v>701213</v>
      </c>
      <c r="E754" t="s">
        <v>101</v>
      </c>
      <c r="F754" t="s">
        <v>21</v>
      </c>
      <c r="G754" t="s">
        <v>61</v>
      </c>
      <c r="H754" t="s">
        <v>62</v>
      </c>
      <c r="J754">
        <v>0</v>
      </c>
      <c r="K754">
        <v>0</v>
      </c>
    </row>
    <row r="755" spans="2:11" x14ac:dyDescent="0.25">
      <c r="B755" t="s">
        <v>341</v>
      </c>
      <c r="C755" t="s">
        <v>304</v>
      </c>
      <c r="D755">
        <v>701214</v>
      </c>
      <c r="E755" t="s">
        <v>102</v>
      </c>
      <c r="F755" t="s">
        <v>21</v>
      </c>
      <c r="G755" t="s">
        <v>61</v>
      </c>
      <c r="H755" t="s">
        <v>62</v>
      </c>
      <c r="J755">
        <v>0</v>
      </c>
      <c r="K755">
        <v>0</v>
      </c>
    </row>
    <row r="756" spans="2:11" x14ac:dyDescent="0.25">
      <c r="B756" t="s">
        <v>341</v>
      </c>
      <c r="C756" t="s">
        <v>304</v>
      </c>
      <c r="D756">
        <v>701215</v>
      </c>
      <c r="E756" t="s">
        <v>103</v>
      </c>
      <c r="F756" t="s">
        <v>21</v>
      </c>
      <c r="G756" t="s">
        <v>61</v>
      </c>
      <c r="H756" t="s">
        <v>62</v>
      </c>
      <c r="J756">
        <v>0</v>
      </c>
      <c r="K756">
        <v>0</v>
      </c>
    </row>
    <row r="757" spans="2:11" x14ac:dyDescent="0.25">
      <c r="B757" t="s">
        <v>341</v>
      </c>
      <c r="C757" t="s">
        <v>304</v>
      </c>
      <c r="D757">
        <v>701227</v>
      </c>
      <c r="E757" t="s">
        <v>104</v>
      </c>
      <c r="F757" t="s">
        <v>21</v>
      </c>
      <c r="G757" t="s">
        <v>76</v>
      </c>
      <c r="H757" t="s">
        <v>77</v>
      </c>
      <c r="J757">
        <v>0</v>
      </c>
      <c r="K757">
        <v>0</v>
      </c>
    </row>
    <row r="758" spans="2:11" x14ac:dyDescent="0.25">
      <c r="B758" t="s">
        <v>341</v>
      </c>
      <c r="C758" t="s">
        <v>304</v>
      </c>
      <c r="D758">
        <v>701327</v>
      </c>
      <c r="E758" t="s">
        <v>106</v>
      </c>
      <c r="F758" t="s">
        <v>21</v>
      </c>
      <c r="G758" t="s">
        <v>76</v>
      </c>
      <c r="H758" t="s">
        <v>77</v>
      </c>
      <c r="J758">
        <v>0</v>
      </c>
      <c r="K758">
        <v>0</v>
      </c>
    </row>
    <row r="759" spans="2:11" x14ac:dyDescent="0.25">
      <c r="B759" t="s">
        <v>341</v>
      </c>
      <c r="C759" t="s">
        <v>304</v>
      </c>
      <c r="D759">
        <v>701427</v>
      </c>
      <c r="E759" t="s">
        <v>107</v>
      </c>
      <c r="F759" t="s">
        <v>21</v>
      </c>
      <c r="G759" t="s">
        <v>76</v>
      </c>
      <c r="H759" t="s">
        <v>108</v>
      </c>
      <c r="J759">
        <v>0</v>
      </c>
      <c r="K759">
        <v>0</v>
      </c>
    </row>
    <row r="760" spans="2:11" x14ac:dyDescent="0.25">
      <c r="B760" t="s">
        <v>341</v>
      </c>
      <c r="C760" t="s">
        <v>304</v>
      </c>
      <c r="D760">
        <v>701527</v>
      </c>
      <c r="E760" t="s">
        <v>109</v>
      </c>
      <c r="F760" t="s">
        <v>21</v>
      </c>
      <c r="G760" t="s">
        <v>76</v>
      </c>
      <c r="H760" t="s">
        <v>77</v>
      </c>
      <c r="J760">
        <v>0</v>
      </c>
      <c r="K760">
        <v>0</v>
      </c>
    </row>
    <row r="761" spans="2:11" x14ac:dyDescent="0.25">
      <c r="B761" t="s">
        <v>341</v>
      </c>
      <c r="C761" t="s">
        <v>304</v>
      </c>
      <c r="D761">
        <v>701627</v>
      </c>
      <c r="E761" t="s">
        <v>110</v>
      </c>
      <c r="F761" t="s">
        <v>21</v>
      </c>
      <c r="G761" t="s">
        <v>76</v>
      </c>
      <c r="H761" t="s">
        <v>77</v>
      </c>
      <c r="J761">
        <v>0</v>
      </c>
      <c r="K761">
        <v>0</v>
      </c>
    </row>
    <row r="762" spans="2:11" x14ac:dyDescent="0.25">
      <c r="B762" t="s">
        <v>341</v>
      </c>
      <c r="C762" t="s">
        <v>304</v>
      </c>
      <c r="D762">
        <v>701727</v>
      </c>
      <c r="E762" t="s">
        <v>111</v>
      </c>
      <c r="F762" t="s">
        <v>21</v>
      </c>
      <c r="G762" t="s">
        <v>76</v>
      </c>
      <c r="H762" t="s">
        <v>77</v>
      </c>
      <c r="J762">
        <v>0</v>
      </c>
      <c r="K762">
        <v>0</v>
      </c>
    </row>
    <row r="763" spans="2:11" x14ac:dyDescent="0.25">
      <c r="B763" t="s">
        <v>341</v>
      </c>
      <c r="C763" t="s">
        <v>304</v>
      </c>
      <c r="D763">
        <v>701801</v>
      </c>
      <c r="E763" t="s">
        <v>112</v>
      </c>
      <c r="F763" t="s">
        <v>21</v>
      </c>
      <c r="G763" t="s">
        <v>76</v>
      </c>
      <c r="H763" t="s">
        <v>77</v>
      </c>
      <c r="J763">
        <v>0</v>
      </c>
      <c r="K763">
        <v>0</v>
      </c>
    </row>
    <row r="764" spans="2:11" x14ac:dyDescent="0.25">
      <c r="B764" t="s">
        <v>341</v>
      </c>
      <c r="C764" t="s">
        <v>304</v>
      </c>
      <c r="D764">
        <v>701802</v>
      </c>
      <c r="E764" t="s">
        <v>113</v>
      </c>
      <c r="F764" t="s">
        <v>21</v>
      </c>
      <c r="G764" t="s">
        <v>61</v>
      </c>
      <c r="H764" t="s">
        <v>62</v>
      </c>
      <c r="J764">
        <v>0</v>
      </c>
      <c r="K764">
        <v>0</v>
      </c>
    </row>
    <row r="765" spans="2:11" x14ac:dyDescent="0.25">
      <c r="B765" t="s">
        <v>341</v>
      </c>
      <c r="C765" t="s">
        <v>304</v>
      </c>
      <c r="D765">
        <v>703010</v>
      </c>
      <c r="E765" t="s">
        <v>114</v>
      </c>
      <c r="F765" t="s">
        <v>21</v>
      </c>
      <c r="G765" t="s">
        <v>22</v>
      </c>
      <c r="H765" t="s">
        <v>115</v>
      </c>
      <c r="J765">
        <v>0</v>
      </c>
      <c r="K765">
        <v>0</v>
      </c>
    </row>
    <row r="766" spans="2:11" x14ac:dyDescent="0.25">
      <c r="B766" t="s">
        <v>341</v>
      </c>
      <c r="C766" t="s">
        <v>304</v>
      </c>
      <c r="D766">
        <v>703011</v>
      </c>
      <c r="E766" t="s">
        <v>116</v>
      </c>
      <c r="F766" t="s">
        <v>21</v>
      </c>
      <c r="G766" t="s">
        <v>22</v>
      </c>
      <c r="H766" t="s">
        <v>115</v>
      </c>
      <c r="J766">
        <v>0</v>
      </c>
      <c r="K766">
        <v>0</v>
      </c>
    </row>
    <row r="767" spans="2:11" x14ac:dyDescent="0.25">
      <c r="B767" t="s">
        <v>341</v>
      </c>
      <c r="C767" t="s">
        <v>304</v>
      </c>
      <c r="D767">
        <v>703012</v>
      </c>
      <c r="E767" t="s">
        <v>117</v>
      </c>
      <c r="F767" t="s">
        <v>21</v>
      </c>
      <c r="G767" t="s">
        <v>22</v>
      </c>
      <c r="H767" t="s">
        <v>115</v>
      </c>
      <c r="J767">
        <v>0</v>
      </c>
      <c r="K767">
        <v>0</v>
      </c>
    </row>
    <row r="768" spans="2:11" x14ac:dyDescent="0.25">
      <c r="B768" t="s">
        <v>341</v>
      </c>
      <c r="C768" t="s">
        <v>304</v>
      </c>
      <c r="D768">
        <v>703013</v>
      </c>
      <c r="E768" t="s">
        <v>118</v>
      </c>
      <c r="F768" t="s">
        <v>21</v>
      </c>
      <c r="G768" t="s">
        <v>22</v>
      </c>
      <c r="H768" t="s">
        <v>115</v>
      </c>
      <c r="J768">
        <v>0</v>
      </c>
      <c r="K768">
        <v>0</v>
      </c>
    </row>
    <row r="769" spans="2:11" x14ac:dyDescent="0.25">
      <c r="B769" t="s">
        <v>341</v>
      </c>
      <c r="C769" t="s">
        <v>304</v>
      </c>
      <c r="D769">
        <v>703014</v>
      </c>
      <c r="E769" t="s">
        <v>119</v>
      </c>
      <c r="F769" t="s">
        <v>21</v>
      </c>
      <c r="G769" t="s">
        <v>22</v>
      </c>
      <c r="H769" t="s">
        <v>115</v>
      </c>
      <c r="J769">
        <v>0</v>
      </c>
      <c r="K769">
        <v>0</v>
      </c>
    </row>
    <row r="770" spans="2:11" x14ac:dyDescent="0.25">
      <c r="B770" t="s">
        <v>341</v>
      </c>
      <c r="C770" t="s">
        <v>304</v>
      </c>
      <c r="D770">
        <v>703015</v>
      </c>
      <c r="E770" t="s">
        <v>120</v>
      </c>
      <c r="F770" t="s">
        <v>21</v>
      </c>
      <c r="G770" t="s">
        <v>22</v>
      </c>
      <c r="H770" t="s">
        <v>115</v>
      </c>
      <c r="J770">
        <v>0</v>
      </c>
      <c r="K770">
        <v>0</v>
      </c>
    </row>
    <row r="771" spans="2:11" x14ac:dyDescent="0.25">
      <c r="B771" t="s">
        <v>341</v>
      </c>
      <c r="C771" t="s">
        <v>304</v>
      </c>
      <c r="D771">
        <v>703016</v>
      </c>
      <c r="E771" t="s">
        <v>121</v>
      </c>
      <c r="F771" t="s">
        <v>21</v>
      </c>
      <c r="G771" t="s">
        <v>22</v>
      </c>
      <c r="H771" t="s">
        <v>115</v>
      </c>
      <c r="J771">
        <v>0</v>
      </c>
      <c r="K771">
        <v>0</v>
      </c>
    </row>
    <row r="772" spans="2:11" x14ac:dyDescent="0.25">
      <c r="B772" t="s">
        <v>341</v>
      </c>
      <c r="C772" t="s">
        <v>304</v>
      </c>
      <c r="D772">
        <v>703017</v>
      </c>
      <c r="E772" t="s">
        <v>122</v>
      </c>
      <c r="F772" t="s">
        <v>21</v>
      </c>
      <c r="G772" t="s">
        <v>22</v>
      </c>
      <c r="H772" t="s">
        <v>115</v>
      </c>
      <c r="J772">
        <v>0</v>
      </c>
      <c r="K772">
        <v>0</v>
      </c>
    </row>
    <row r="773" spans="2:11" x14ac:dyDescent="0.25">
      <c r="B773" t="s">
        <v>341</v>
      </c>
      <c r="C773" t="s">
        <v>304</v>
      </c>
      <c r="D773">
        <v>703018</v>
      </c>
      <c r="E773" t="s">
        <v>123</v>
      </c>
      <c r="F773" t="s">
        <v>21</v>
      </c>
      <c r="G773" t="s">
        <v>22</v>
      </c>
      <c r="H773" t="s">
        <v>115</v>
      </c>
      <c r="J773">
        <v>0</v>
      </c>
      <c r="K773">
        <v>0</v>
      </c>
    </row>
    <row r="774" spans="2:11" x14ac:dyDescent="0.25">
      <c r="B774" t="s">
        <v>341</v>
      </c>
      <c r="C774" t="s">
        <v>304</v>
      </c>
      <c r="D774">
        <v>703019</v>
      </c>
      <c r="E774" t="s">
        <v>124</v>
      </c>
      <c r="F774" t="s">
        <v>21</v>
      </c>
      <c r="G774" t="s">
        <v>22</v>
      </c>
      <c r="H774" t="s">
        <v>115</v>
      </c>
      <c r="I774" t="s">
        <v>105</v>
      </c>
      <c r="J774">
        <v>300000</v>
      </c>
      <c r="K774">
        <v>300000</v>
      </c>
    </row>
    <row r="775" spans="2:11" x14ac:dyDescent="0.25">
      <c r="B775" t="s">
        <v>341</v>
      </c>
      <c r="C775" t="s">
        <v>304</v>
      </c>
      <c r="D775">
        <v>703210</v>
      </c>
      <c r="E775" t="s">
        <v>125</v>
      </c>
      <c r="F775" t="s">
        <v>21</v>
      </c>
      <c r="G775" t="s">
        <v>22</v>
      </c>
      <c r="H775" t="s">
        <v>23</v>
      </c>
      <c r="J775">
        <v>0</v>
      </c>
      <c r="K775">
        <v>0</v>
      </c>
    </row>
    <row r="776" spans="2:11" x14ac:dyDescent="0.25">
      <c r="B776" t="s">
        <v>341</v>
      </c>
      <c r="C776" t="s">
        <v>304</v>
      </c>
      <c r="D776">
        <v>703211</v>
      </c>
      <c r="E776" t="s">
        <v>126</v>
      </c>
      <c r="F776" t="s">
        <v>21</v>
      </c>
      <c r="G776" t="s">
        <v>22</v>
      </c>
      <c r="H776" t="s">
        <v>23</v>
      </c>
      <c r="J776">
        <v>0</v>
      </c>
      <c r="K776">
        <v>0</v>
      </c>
    </row>
    <row r="777" spans="2:11" x14ac:dyDescent="0.25">
      <c r="B777" t="s">
        <v>341</v>
      </c>
      <c r="C777" t="s">
        <v>304</v>
      </c>
      <c r="D777">
        <v>703212</v>
      </c>
      <c r="E777" t="s">
        <v>127</v>
      </c>
      <c r="F777" t="s">
        <v>21</v>
      </c>
      <c r="G777" t="s">
        <v>22</v>
      </c>
      <c r="H777" t="s">
        <v>23</v>
      </c>
      <c r="J777">
        <v>0</v>
      </c>
      <c r="K777">
        <v>0</v>
      </c>
    </row>
    <row r="778" spans="2:11" x14ac:dyDescent="0.25">
      <c r="B778" t="s">
        <v>341</v>
      </c>
      <c r="C778" t="s">
        <v>304</v>
      </c>
      <c r="D778">
        <v>703213</v>
      </c>
      <c r="E778" t="s">
        <v>128</v>
      </c>
      <c r="F778" t="s">
        <v>21</v>
      </c>
      <c r="G778" t="s">
        <v>22</v>
      </c>
      <c r="H778" t="s">
        <v>23</v>
      </c>
      <c r="J778">
        <v>0</v>
      </c>
      <c r="K778">
        <v>0</v>
      </c>
    </row>
    <row r="779" spans="2:11" x14ac:dyDescent="0.25">
      <c r="B779" t="s">
        <v>341</v>
      </c>
      <c r="C779" t="s">
        <v>304</v>
      </c>
      <c r="D779">
        <v>703214</v>
      </c>
      <c r="E779" t="s">
        <v>129</v>
      </c>
      <c r="F779" t="s">
        <v>21</v>
      </c>
      <c r="G779" t="s">
        <v>22</v>
      </c>
      <c r="H779" t="s">
        <v>23</v>
      </c>
      <c r="J779">
        <v>0</v>
      </c>
      <c r="K779">
        <v>0</v>
      </c>
    </row>
    <row r="780" spans="2:11" x14ac:dyDescent="0.25">
      <c r="B780" t="s">
        <v>341</v>
      </c>
      <c r="C780" t="s">
        <v>304</v>
      </c>
      <c r="D780">
        <v>703215</v>
      </c>
      <c r="E780" t="s">
        <v>130</v>
      </c>
      <c r="F780" t="s">
        <v>21</v>
      </c>
      <c r="G780" t="s">
        <v>22</v>
      </c>
      <c r="H780" t="s">
        <v>23</v>
      </c>
      <c r="J780">
        <v>0</v>
      </c>
      <c r="K780">
        <v>0</v>
      </c>
    </row>
    <row r="781" spans="2:11" x14ac:dyDescent="0.25">
      <c r="B781" t="s">
        <v>341</v>
      </c>
      <c r="C781" t="s">
        <v>304</v>
      </c>
      <c r="D781">
        <v>703216</v>
      </c>
      <c r="E781" t="s">
        <v>131</v>
      </c>
      <c r="F781" t="s">
        <v>21</v>
      </c>
      <c r="G781" t="s">
        <v>22</v>
      </c>
      <c r="H781" t="s">
        <v>23</v>
      </c>
      <c r="J781">
        <v>0</v>
      </c>
      <c r="K781">
        <v>0</v>
      </c>
    </row>
    <row r="782" spans="2:11" x14ac:dyDescent="0.25">
      <c r="B782" t="s">
        <v>341</v>
      </c>
      <c r="C782" t="s">
        <v>304</v>
      </c>
      <c r="D782">
        <v>703217</v>
      </c>
      <c r="E782" t="s">
        <v>132</v>
      </c>
      <c r="F782" t="s">
        <v>21</v>
      </c>
      <c r="G782" t="s">
        <v>22</v>
      </c>
      <c r="H782" t="s">
        <v>23</v>
      </c>
      <c r="J782">
        <v>0</v>
      </c>
      <c r="K782">
        <v>0</v>
      </c>
    </row>
    <row r="783" spans="2:11" x14ac:dyDescent="0.25">
      <c r="B783" t="s">
        <v>341</v>
      </c>
      <c r="C783" t="s">
        <v>304</v>
      </c>
      <c r="D783">
        <v>703219</v>
      </c>
      <c r="E783" t="s">
        <v>133</v>
      </c>
      <c r="F783" t="s">
        <v>21</v>
      </c>
      <c r="G783" t="s">
        <v>22</v>
      </c>
      <c r="H783" t="s">
        <v>23</v>
      </c>
      <c r="J783">
        <v>0</v>
      </c>
      <c r="K783">
        <v>0</v>
      </c>
    </row>
    <row r="784" spans="2:11" x14ac:dyDescent="0.25">
      <c r="B784" t="s">
        <v>341</v>
      </c>
      <c r="C784" t="s">
        <v>304</v>
      </c>
      <c r="D784">
        <v>703220</v>
      </c>
      <c r="E784" t="s">
        <v>134</v>
      </c>
      <c r="F784" t="s">
        <v>21</v>
      </c>
      <c r="G784" t="s">
        <v>71</v>
      </c>
      <c r="H784" t="s">
        <v>135</v>
      </c>
      <c r="J784">
        <v>0</v>
      </c>
      <c r="K784">
        <v>0</v>
      </c>
    </row>
    <row r="785" spans="2:11" x14ac:dyDescent="0.25">
      <c r="B785" t="s">
        <v>341</v>
      </c>
      <c r="C785" t="s">
        <v>304</v>
      </c>
      <c r="D785">
        <v>703221</v>
      </c>
      <c r="E785" t="s">
        <v>136</v>
      </c>
      <c r="F785" t="s">
        <v>21</v>
      </c>
      <c r="G785" t="s">
        <v>137</v>
      </c>
      <c r="H785" t="s">
        <v>138</v>
      </c>
      <c r="J785">
        <v>0</v>
      </c>
      <c r="K785">
        <v>0</v>
      </c>
    </row>
    <row r="786" spans="2:11" x14ac:dyDescent="0.25">
      <c r="B786" t="s">
        <v>341</v>
      </c>
      <c r="C786" t="s">
        <v>304</v>
      </c>
      <c r="D786">
        <v>703222</v>
      </c>
      <c r="E786" t="s">
        <v>139</v>
      </c>
      <c r="F786" t="s">
        <v>21</v>
      </c>
      <c r="G786" t="s">
        <v>137</v>
      </c>
      <c r="H786" t="s">
        <v>138</v>
      </c>
      <c r="J786">
        <v>0</v>
      </c>
      <c r="K786">
        <v>0</v>
      </c>
    </row>
    <row r="787" spans="2:11" x14ac:dyDescent="0.25">
      <c r="B787" t="s">
        <v>341</v>
      </c>
      <c r="C787" t="s">
        <v>304</v>
      </c>
      <c r="D787">
        <v>703223</v>
      </c>
      <c r="E787" t="s">
        <v>140</v>
      </c>
      <c r="F787" t="s">
        <v>21</v>
      </c>
      <c r="G787" t="s">
        <v>137</v>
      </c>
      <c r="H787" t="s">
        <v>141</v>
      </c>
      <c r="J787">
        <v>0</v>
      </c>
      <c r="K787">
        <v>0</v>
      </c>
    </row>
    <row r="788" spans="2:11" x14ac:dyDescent="0.25">
      <c r="B788" t="s">
        <v>341</v>
      </c>
      <c r="C788" t="s">
        <v>304</v>
      </c>
      <c r="D788">
        <v>703224</v>
      </c>
      <c r="E788" t="s">
        <v>142</v>
      </c>
      <c r="F788" t="s">
        <v>21</v>
      </c>
      <c r="G788" t="s">
        <v>71</v>
      </c>
      <c r="H788" t="s">
        <v>88</v>
      </c>
      <c r="J788">
        <v>0</v>
      </c>
      <c r="K788">
        <v>0</v>
      </c>
    </row>
    <row r="789" spans="2:11" x14ac:dyDescent="0.25">
      <c r="B789" t="s">
        <v>341</v>
      </c>
      <c r="C789" t="s">
        <v>304</v>
      </c>
      <c r="D789">
        <v>703225</v>
      </c>
      <c r="E789" t="s">
        <v>143</v>
      </c>
      <c r="F789" t="s">
        <v>21</v>
      </c>
      <c r="G789" t="s">
        <v>71</v>
      </c>
      <c r="H789" t="s">
        <v>88</v>
      </c>
      <c r="J789">
        <v>0</v>
      </c>
      <c r="K789">
        <v>0</v>
      </c>
    </row>
    <row r="790" spans="2:11" x14ac:dyDescent="0.25">
      <c r="B790" t="s">
        <v>341</v>
      </c>
      <c r="C790" t="s">
        <v>304</v>
      </c>
      <c r="D790">
        <v>703226</v>
      </c>
      <c r="E790" t="s">
        <v>144</v>
      </c>
      <c r="F790" t="s">
        <v>21</v>
      </c>
      <c r="G790" t="s">
        <v>71</v>
      </c>
      <c r="H790" t="s">
        <v>82</v>
      </c>
      <c r="J790">
        <v>0</v>
      </c>
      <c r="K790">
        <v>0</v>
      </c>
    </row>
    <row r="791" spans="2:11" x14ac:dyDescent="0.25">
      <c r="B791" t="s">
        <v>341</v>
      </c>
      <c r="C791" t="s">
        <v>304</v>
      </c>
      <c r="D791">
        <v>703227</v>
      </c>
      <c r="E791" t="s">
        <v>145</v>
      </c>
      <c r="F791" t="s">
        <v>21</v>
      </c>
      <c r="G791" t="s">
        <v>137</v>
      </c>
      <c r="H791" t="s">
        <v>138</v>
      </c>
      <c r="J791">
        <v>0</v>
      </c>
      <c r="K791">
        <v>0</v>
      </c>
    </row>
    <row r="792" spans="2:11" x14ac:dyDescent="0.25">
      <c r="B792" t="s">
        <v>341</v>
      </c>
      <c r="C792" t="s">
        <v>304</v>
      </c>
      <c r="D792">
        <v>703228</v>
      </c>
      <c r="E792" t="s">
        <v>146</v>
      </c>
      <c r="F792" t="s">
        <v>21</v>
      </c>
      <c r="G792" t="s">
        <v>147</v>
      </c>
      <c r="H792" t="s">
        <v>147</v>
      </c>
      <c r="J792">
        <v>0</v>
      </c>
      <c r="K792">
        <v>0</v>
      </c>
    </row>
    <row r="793" spans="2:11" x14ac:dyDescent="0.25">
      <c r="B793" t="s">
        <v>341</v>
      </c>
      <c r="C793" t="s">
        <v>304</v>
      </c>
      <c r="D793">
        <v>703229</v>
      </c>
      <c r="E793" t="s">
        <v>148</v>
      </c>
      <c r="F793" t="s">
        <v>21</v>
      </c>
      <c r="G793" t="s">
        <v>147</v>
      </c>
      <c r="H793" t="s">
        <v>147</v>
      </c>
      <c r="J793">
        <v>0</v>
      </c>
      <c r="K793">
        <v>0</v>
      </c>
    </row>
    <row r="794" spans="2:11" x14ac:dyDescent="0.25">
      <c r="B794" t="s">
        <v>341</v>
      </c>
      <c r="C794" t="s">
        <v>304</v>
      </c>
      <c r="D794">
        <v>703230</v>
      </c>
      <c r="E794" t="s">
        <v>149</v>
      </c>
      <c r="F794" t="s">
        <v>21</v>
      </c>
      <c r="G794" t="s">
        <v>147</v>
      </c>
      <c r="H794" t="s">
        <v>147</v>
      </c>
      <c r="J794">
        <v>0</v>
      </c>
      <c r="K794">
        <v>0</v>
      </c>
    </row>
    <row r="795" spans="2:11" x14ac:dyDescent="0.25">
      <c r="B795" t="s">
        <v>341</v>
      </c>
      <c r="C795" t="s">
        <v>304</v>
      </c>
      <c r="D795">
        <v>703231</v>
      </c>
      <c r="E795" t="s">
        <v>150</v>
      </c>
      <c r="F795" t="s">
        <v>21</v>
      </c>
      <c r="G795" t="s">
        <v>137</v>
      </c>
      <c r="H795" t="s">
        <v>141</v>
      </c>
      <c r="J795">
        <v>0</v>
      </c>
      <c r="K795">
        <v>0</v>
      </c>
    </row>
    <row r="796" spans="2:11" x14ac:dyDescent="0.25">
      <c r="B796" t="s">
        <v>341</v>
      </c>
      <c r="C796" t="s">
        <v>304</v>
      </c>
      <c r="D796">
        <v>703232</v>
      </c>
      <c r="E796" t="s">
        <v>151</v>
      </c>
      <c r="F796" t="s">
        <v>21</v>
      </c>
      <c r="G796" t="s">
        <v>147</v>
      </c>
      <c r="H796" t="s">
        <v>147</v>
      </c>
      <c r="J796">
        <v>0</v>
      </c>
      <c r="K796">
        <v>0</v>
      </c>
    </row>
    <row r="797" spans="2:11" x14ac:dyDescent="0.25">
      <c r="B797" t="s">
        <v>341</v>
      </c>
      <c r="C797" t="s">
        <v>304</v>
      </c>
      <c r="D797">
        <v>703233</v>
      </c>
      <c r="E797" t="s">
        <v>152</v>
      </c>
      <c r="F797" t="s">
        <v>21</v>
      </c>
      <c r="G797" t="s">
        <v>71</v>
      </c>
      <c r="H797" t="s">
        <v>153</v>
      </c>
      <c r="J797">
        <v>0</v>
      </c>
      <c r="K797">
        <v>0</v>
      </c>
    </row>
    <row r="798" spans="2:11" x14ac:dyDescent="0.25">
      <c r="B798" t="s">
        <v>341</v>
      </c>
      <c r="C798" t="s">
        <v>304</v>
      </c>
      <c r="D798">
        <v>703234</v>
      </c>
      <c r="E798" t="s">
        <v>154</v>
      </c>
      <c r="F798" t="s">
        <v>21</v>
      </c>
      <c r="G798" t="s">
        <v>71</v>
      </c>
      <c r="H798" t="s">
        <v>153</v>
      </c>
      <c r="J798">
        <v>0</v>
      </c>
      <c r="K798">
        <v>0</v>
      </c>
    </row>
    <row r="799" spans="2:11" x14ac:dyDescent="0.25">
      <c r="B799" t="s">
        <v>341</v>
      </c>
      <c r="C799" t="s">
        <v>304</v>
      </c>
      <c r="D799">
        <v>703235</v>
      </c>
      <c r="E799" t="s">
        <v>155</v>
      </c>
      <c r="F799" t="s">
        <v>21</v>
      </c>
      <c r="G799" t="s">
        <v>71</v>
      </c>
      <c r="H799" t="s">
        <v>153</v>
      </c>
      <c r="J799">
        <v>0</v>
      </c>
      <c r="K799">
        <v>0</v>
      </c>
    </row>
    <row r="800" spans="2:11" x14ac:dyDescent="0.25">
      <c r="B800" t="s">
        <v>341</v>
      </c>
      <c r="C800" t="s">
        <v>304</v>
      </c>
      <c r="D800">
        <v>703236</v>
      </c>
      <c r="E800" t="s">
        <v>156</v>
      </c>
      <c r="F800" t="s">
        <v>21</v>
      </c>
      <c r="G800" t="s">
        <v>76</v>
      </c>
      <c r="H800" t="s">
        <v>77</v>
      </c>
      <c r="J800">
        <v>0</v>
      </c>
      <c r="K800">
        <v>0</v>
      </c>
    </row>
    <row r="801" spans="2:11" x14ac:dyDescent="0.25">
      <c r="B801" t="s">
        <v>341</v>
      </c>
      <c r="C801" t="s">
        <v>304</v>
      </c>
      <c r="D801">
        <v>703237</v>
      </c>
      <c r="E801" t="s">
        <v>157</v>
      </c>
      <c r="F801" t="s">
        <v>21</v>
      </c>
      <c r="G801" t="s">
        <v>22</v>
      </c>
      <c r="H801" t="s">
        <v>23</v>
      </c>
      <c r="J801">
        <v>0</v>
      </c>
      <c r="K801">
        <v>0</v>
      </c>
    </row>
    <row r="802" spans="2:11" x14ac:dyDescent="0.25">
      <c r="B802" t="s">
        <v>341</v>
      </c>
      <c r="C802" t="s">
        <v>304</v>
      </c>
      <c r="D802">
        <v>703238</v>
      </c>
      <c r="E802" t="s">
        <v>158</v>
      </c>
      <c r="F802" t="s">
        <v>21</v>
      </c>
      <c r="G802" t="s">
        <v>61</v>
      </c>
      <c r="H802" t="s">
        <v>68</v>
      </c>
      <c r="J802">
        <v>0</v>
      </c>
      <c r="K802">
        <v>0</v>
      </c>
    </row>
    <row r="803" spans="2:11" x14ac:dyDescent="0.25">
      <c r="B803" t="s">
        <v>341</v>
      </c>
      <c r="C803" t="s">
        <v>304</v>
      </c>
      <c r="D803">
        <v>703239</v>
      </c>
      <c r="E803" t="s">
        <v>159</v>
      </c>
      <c r="F803" t="s">
        <v>21</v>
      </c>
      <c r="G803" t="s">
        <v>61</v>
      </c>
      <c r="H803" t="s">
        <v>68</v>
      </c>
      <c r="J803">
        <v>0</v>
      </c>
      <c r="K803">
        <v>0</v>
      </c>
    </row>
    <row r="804" spans="2:11" x14ac:dyDescent="0.25">
      <c r="B804" t="s">
        <v>341</v>
      </c>
      <c r="C804" t="s">
        <v>304</v>
      </c>
      <c r="D804">
        <v>703240</v>
      </c>
      <c r="E804" t="s">
        <v>160</v>
      </c>
      <c r="F804" t="s">
        <v>21</v>
      </c>
      <c r="G804" t="s">
        <v>61</v>
      </c>
      <c r="H804" t="s">
        <v>68</v>
      </c>
      <c r="J804">
        <v>0</v>
      </c>
      <c r="K804">
        <v>0</v>
      </c>
    </row>
    <row r="805" spans="2:11" x14ac:dyDescent="0.25">
      <c r="B805" t="s">
        <v>341</v>
      </c>
      <c r="C805" t="s">
        <v>304</v>
      </c>
      <c r="D805">
        <v>703241</v>
      </c>
      <c r="E805" t="s">
        <v>161</v>
      </c>
      <c r="F805" t="s">
        <v>21</v>
      </c>
      <c r="G805" t="s">
        <v>137</v>
      </c>
      <c r="H805" t="s">
        <v>141</v>
      </c>
      <c r="J805">
        <v>0</v>
      </c>
      <c r="K805">
        <v>0</v>
      </c>
    </row>
    <row r="806" spans="2:11" x14ac:dyDescent="0.25">
      <c r="B806" t="s">
        <v>341</v>
      </c>
      <c r="C806" t="s">
        <v>304</v>
      </c>
      <c r="D806">
        <v>703242</v>
      </c>
      <c r="E806" t="s">
        <v>162</v>
      </c>
      <c r="F806" t="s">
        <v>21</v>
      </c>
      <c r="G806" t="s">
        <v>137</v>
      </c>
      <c r="H806" t="s">
        <v>141</v>
      </c>
      <c r="J806">
        <v>0</v>
      </c>
      <c r="K806">
        <v>0</v>
      </c>
    </row>
    <row r="807" spans="2:11" x14ac:dyDescent="0.25">
      <c r="B807" t="s">
        <v>341</v>
      </c>
      <c r="C807" t="s">
        <v>304</v>
      </c>
      <c r="D807">
        <v>703243</v>
      </c>
      <c r="E807" t="s">
        <v>163</v>
      </c>
      <c r="F807" t="s">
        <v>21</v>
      </c>
      <c r="G807" t="s">
        <v>137</v>
      </c>
      <c r="H807" t="s">
        <v>141</v>
      </c>
      <c r="J807">
        <v>0</v>
      </c>
      <c r="K807">
        <v>0</v>
      </c>
    </row>
    <row r="808" spans="2:11" x14ac:dyDescent="0.25">
      <c r="B808" t="s">
        <v>341</v>
      </c>
      <c r="C808" t="s">
        <v>304</v>
      </c>
      <c r="D808">
        <v>703244</v>
      </c>
      <c r="E808" t="s">
        <v>164</v>
      </c>
      <c r="F808" t="s">
        <v>21</v>
      </c>
      <c r="G808" t="s">
        <v>71</v>
      </c>
      <c r="H808" t="s">
        <v>88</v>
      </c>
      <c r="J808">
        <v>0</v>
      </c>
      <c r="K808">
        <v>0</v>
      </c>
    </row>
    <row r="809" spans="2:11" x14ac:dyDescent="0.25">
      <c r="B809" t="s">
        <v>341</v>
      </c>
      <c r="C809" t="s">
        <v>304</v>
      </c>
      <c r="D809">
        <v>703245</v>
      </c>
      <c r="E809" t="s">
        <v>165</v>
      </c>
      <c r="F809" t="s">
        <v>21</v>
      </c>
      <c r="G809" t="s">
        <v>137</v>
      </c>
      <c r="H809" t="s">
        <v>138</v>
      </c>
      <c r="J809">
        <v>0</v>
      </c>
      <c r="K809">
        <v>0</v>
      </c>
    </row>
    <row r="810" spans="2:11" x14ac:dyDescent="0.25">
      <c r="B810" t="s">
        <v>341</v>
      </c>
      <c r="C810" t="s">
        <v>304</v>
      </c>
      <c r="D810">
        <v>703246</v>
      </c>
      <c r="E810" t="s">
        <v>166</v>
      </c>
      <c r="F810" t="s">
        <v>21</v>
      </c>
      <c r="G810" t="s">
        <v>137</v>
      </c>
      <c r="H810" t="s">
        <v>138</v>
      </c>
      <c r="J810">
        <v>0</v>
      </c>
      <c r="K810">
        <v>0</v>
      </c>
    </row>
    <row r="811" spans="2:11" x14ac:dyDescent="0.25">
      <c r="B811" t="s">
        <v>341</v>
      </c>
      <c r="C811" t="s">
        <v>304</v>
      </c>
      <c r="D811">
        <v>703247</v>
      </c>
      <c r="E811" t="s">
        <v>167</v>
      </c>
      <c r="F811" t="s">
        <v>21</v>
      </c>
      <c r="G811" t="s">
        <v>137</v>
      </c>
      <c r="H811" t="s">
        <v>138</v>
      </c>
      <c r="J811">
        <v>0</v>
      </c>
      <c r="K811">
        <v>0</v>
      </c>
    </row>
    <row r="812" spans="2:11" x14ac:dyDescent="0.25">
      <c r="B812" t="s">
        <v>341</v>
      </c>
      <c r="C812" t="s">
        <v>304</v>
      </c>
      <c r="D812">
        <v>703248</v>
      </c>
      <c r="E812" t="s">
        <v>168</v>
      </c>
      <c r="F812" t="s">
        <v>21</v>
      </c>
      <c r="G812" t="s">
        <v>137</v>
      </c>
      <c r="H812" t="s">
        <v>141</v>
      </c>
      <c r="J812">
        <v>0</v>
      </c>
      <c r="K812">
        <v>0</v>
      </c>
    </row>
    <row r="813" spans="2:11" x14ac:dyDescent="0.25">
      <c r="B813" t="s">
        <v>341</v>
      </c>
      <c r="C813" t="s">
        <v>304</v>
      </c>
      <c r="D813">
        <v>703249</v>
      </c>
      <c r="E813" t="s">
        <v>169</v>
      </c>
      <c r="F813" t="s">
        <v>21</v>
      </c>
      <c r="G813" t="s">
        <v>147</v>
      </c>
      <c r="H813" t="s">
        <v>147</v>
      </c>
      <c r="J813">
        <v>0</v>
      </c>
      <c r="K813">
        <v>0</v>
      </c>
    </row>
    <row r="814" spans="2:11" x14ac:dyDescent="0.25">
      <c r="B814" t="s">
        <v>341</v>
      </c>
      <c r="C814" t="s">
        <v>304</v>
      </c>
      <c r="D814">
        <v>703250</v>
      </c>
      <c r="E814" t="s">
        <v>170</v>
      </c>
      <c r="F814" t="s">
        <v>21</v>
      </c>
      <c r="G814" t="s">
        <v>71</v>
      </c>
      <c r="H814" t="s">
        <v>171</v>
      </c>
      <c r="J814">
        <v>0</v>
      </c>
      <c r="K814">
        <v>0</v>
      </c>
    </row>
    <row r="815" spans="2:11" x14ac:dyDescent="0.25">
      <c r="B815" t="s">
        <v>341</v>
      </c>
      <c r="C815" t="s">
        <v>304</v>
      </c>
      <c r="D815">
        <v>703251</v>
      </c>
      <c r="E815" t="s">
        <v>172</v>
      </c>
      <c r="F815" t="s">
        <v>21</v>
      </c>
      <c r="G815" t="s">
        <v>22</v>
      </c>
      <c r="H815" t="s">
        <v>115</v>
      </c>
      <c r="J815">
        <v>0</v>
      </c>
      <c r="K815">
        <v>0</v>
      </c>
    </row>
    <row r="816" spans="2:11" x14ac:dyDescent="0.25">
      <c r="B816" t="s">
        <v>341</v>
      </c>
      <c r="C816" t="s">
        <v>304</v>
      </c>
      <c r="D816">
        <v>703252</v>
      </c>
      <c r="E816" t="s">
        <v>173</v>
      </c>
      <c r="F816" t="s">
        <v>21</v>
      </c>
      <c r="G816" t="s">
        <v>22</v>
      </c>
      <c r="H816" t="s">
        <v>115</v>
      </c>
      <c r="J816">
        <v>0</v>
      </c>
      <c r="K816">
        <v>0</v>
      </c>
    </row>
    <row r="817" spans="2:11" x14ac:dyDescent="0.25">
      <c r="B817" t="s">
        <v>341</v>
      </c>
      <c r="C817" t="s">
        <v>304</v>
      </c>
      <c r="D817">
        <v>703253</v>
      </c>
      <c r="E817" t="s">
        <v>174</v>
      </c>
      <c r="F817" t="s">
        <v>21</v>
      </c>
      <c r="G817" t="s">
        <v>22</v>
      </c>
      <c r="H817" t="s">
        <v>115</v>
      </c>
      <c r="J817">
        <v>0</v>
      </c>
      <c r="K817">
        <v>0</v>
      </c>
    </row>
    <row r="818" spans="2:11" x14ac:dyDescent="0.25">
      <c r="B818" t="s">
        <v>341</v>
      </c>
      <c r="C818" t="s">
        <v>304</v>
      </c>
      <c r="D818">
        <v>703254</v>
      </c>
      <c r="E818" t="s">
        <v>175</v>
      </c>
      <c r="F818" t="s">
        <v>21</v>
      </c>
      <c r="G818" t="s">
        <v>22</v>
      </c>
      <c r="H818" t="s">
        <v>115</v>
      </c>
      <c r="J818">
        <v>0</v>
      </c>
      <c r="K818">
        <v>0</v>
      </c>
    </row>
    <row r="819" spans="2:11" x14ac:dyDescent="0.25">
      <c r="B819" t="s">
        <v>341</v>
      </c>
      <c r="C819" t="s">
        <v>304</v>
      </c>
      <c r="D819">
        <v>703255</v>
      </c>
      <c r="E819" t="s">
        <v>176</v>
      </c>
      <c r="F819" t="s">
        <v>21</v>
      </c>
      <c r="G819" t="s">
        <v>22</v>
      </c>
      <c r="H819" t="s">
        <v>115</v>
      </c>
      <c r="J819">
        <v>0</v>
      </c>
      <c r="K819">
        <v>0</v>
      </c>
    </row>
    <row r="820" spans="2:11" x14ac:dyDescent="0.25">
      <c r="B820" t="s">
        <v>341</v>
      </c>
      <c r="C820" t="s">
        <v>304</v>
      </c>
      <c r="D820">
        <v>703257</v>
      </c>
      <c r="E820" t="s">
        <v>177</v>
      </c>
      <c r="F820" t="s">
        <v>21</v>
      </c>
      <c r="G820" t="s">
        <v>147</v>
      </c>
      <c r="H820" t="s">
        <v>147</v>
      </c>
      <c r="J820">
        <v>0</v>
      </c>
      <c r="K820">
        <v>0</v>
      </c>
    </row>
    <row r="821" spans="2:11" x14ac:dyDescent="0.25">
      <c r="B821" t="s">
        <v>341</v>
      </c>
      <c r="C821" t="s">
        <v>304</v>
      </c>
      <c r="D821">
        <v>703258</v>
      </c>
      <c r="E821" t="s">
        <v>178</v>
      </c>
      <c r="F821" t="s">
        <v>21</v>
      </c>
      <c r="G821" t="s">
        <v>147</v>
      </c>
      <c r="H821" t="s">
        <v>147</v>
      </c>
      <c r="J821">
        <v>0</v>
      </c>
      <c r="K821">
        <v>0</v>
      </c>
    </row>
    <row r="822" spans="2:11" x14ac:dyDescent="0.25">
      <c r="B822" t="s">
        <v>341</v>
      </c>
      <c r="C822" t="s">
        <v>304</v>
      </c>
      <c r="D822">
        <v>703260</v>
      </c>
      <c r="E822" t="s">
        <v>179</v>
      </c>
      <c r="F822" t="s">
        <v>21</v>
      </c>
      <c r="G822" t="s">
        <v>76</v>
      </c>
      <c r="H822" t="s">
        <v>77</v>
      </c>
      <c r="J822">
        <v>0</v>
      </c>
      <c r="K822">
        <v>0</v>
      </c>
    </row>
    <row r="823" spans="2:11" x14ac:dyDescent="0.25">
      <c r="B823" t="s">
        <v>341</v>
      </c>
      <c r="C823" t="s">
        <v>304</v>
      </c>
      <c r="D823">
        <v>703261</v>
      </c>
      <c r="E823" t="s">
        <v>180</v>
      </c>
      <c r="F823" t="s">
        <v>21</v>
      </c>
      <c r="G823" t="s">
        <v>22</v>
      </c>
      <c r="H823" t="s">
        <v>115</v>
      </c>
      <c r="J823">
        <v>0</v>
      </c>
      <c r="K823">
        <v>0</v>
      </c>
    </row>
    <row r="824" spans="2:11" x14ac:dyDescent="0.25">
      <c r="B824" t="s">
        <v>341</v>
      </c>
      <c r="C824" t="s">
        <v>304</v>
      </c>
      <c r="D824">
        <v>703262</v>
      </c>
      <c r="E824" t="s">
        <v>181</v>
      </c>
      <c r="F824" t="s">
        <v>21</v>
      </c>
      <c r="G824" t="s">
        <v>22</v>
      </c>
      <c r="H824" t="s">
        <v>23</v>
      </c>
      <c r="J824">
        <v>0</v>
      </c>
      <c r="K824">
        <v>0</v>
      </c>
    </row>
    <row r="825" spans="2:11" x14ac:dyDescent="0.25">
      <c r="B825" t="s">
        <v>341</v>
      </c>
      <c r="C825" t="s">
        <v>304</v>
      </c>
      <c r="D825">
        <v>703263</v>
      </c>
      <c r="E825" t="s">
        <v>182</v>
      </c>
      <c r="F825" t="s">
        <v>21</v>
      </c>
      <c r="G825" t="s">
        <v>22</v>
      </c>
      <c r="H825" t="s">
        <v>115</v>
      </c>
      <c r="J825">
        <v>0</v>
      </c>
      <c r="K825">
        <v>0</v>
      </c>
    </row>
    <row r="826" spans="2:11" x14ac:dyDescent="0.25">
      <c r="B826" t="s">
        <v>341</v>
      </c>
      <c r="C826" t="s">
        <v>304</v>
      </c>
      <c r="D826">
        <v>703264</v>
      </c>
      <c r="E826" t="s">
        <v>183</v>
      </c>
      <c r="F826" t="s">
        <v>21</v>
      </c>
      <c r="G826" t="s">
        <v>22</v>
      </c>
      <c r="H826" t="s">
        <v>115</v>
      </c>
      <c r="J826">
        <v>0</v>
      </c>
      <c r="K826">
        <v>0</v>
      </c>
    </row>
    <row r="827" spans="2:11" x14ac:dyDescent="0.25">
      <c r="B827" t="s">
        <v>341</v>
      </c>
      <c r="C827" t="s">
        <v>304</v>
      </c>
      <c r="D827">
        <v>703265</v>
      </c>
      <c r="E827" t="s">
        <v>184</v>
      </c>
      <c r="F827" t="s">
        <v>21</v>
      </c>
      <c r="G827" t="s">
        <v>22</v>
      </c>
      <c r="H827" t="s">
        <v>115</v>
      </c>
      <c r="J827">
        <v>0</v>
      </c>
      <c r="K827">
        <v>0</v>
      </c>
    </row>
    <row r="828" spans="2:11" x14ac:dyDescent="0.25">
      <c r="B828" t="s">
        <v>341</v>
      </c>
      <c r="C828" t="s">
        <v>304</v>
      </c>
      <c r="D828">
        <v>703266</v>
      </c>
      <c r="E828" t="s">
        <v>185</v>
      </c>
      <c r="F828" t="s">
        <v>21</v>
      </c>
      <c r="G828" t="s">
        <v>71</v>
      </c>
      <c r="H828" t="s">
        <v>186</v>
      </c>
      <c r="J828">
        <v>0</v>
      </c>
      <c r="K828">
        <v>0</v>
      </c>
    </row>
    <row r="829" spans="2:11" x14ac:dyDescent="0.25">
      <c r="B829" t="s">
        <v>341</v>
      </c>
      <c r="C829" t="s">
        <v>304</v>
      </c>
      <c r="D829">
        <v>703267</v>
      </c>
      <c r="E829" t="s">
        <v>187</v>
      </c>
      <c r="F829" t="s">
        <v>21</v>
      </c>
      <c r="G829" t="s">
        <v>71</v>
      </c>
      <c r="H829" t="s">
        <v>88</v>
      </c>
      <c r="J829">
        <v>0</v>
      </c>
      <c r="K829">
        <v>0</v>
      </c>
    </row>
    <row r="830" spans="2:11" x14ac:dyDescent="0.25">
      <c r="B830" t="s">
        <v>341</v>
      </c>
      <c r="C830" t="s">
        <v>304</v>
      </c>
      <c r="D830">
        <v>703268</v>
      </c>
      <c r="E830" t="s">
        <v>188</v>
      </c>
      <c r="F830" t="s">
        <v>21</v>
      </c>
      <c r="G830" t="s">
        <v>147</v>
      </c>
      <c r="H830" t="s">
        <v>147</v>
      </c>
      <c r="J830">
        <v>0</v>
      </c>
      <c r="K830">
        <v>0</v>
      </c>
    </row>
    <row r="831" spans="2:11" x14ac:dyDescent="0.25">
      <c r="B831" t="s">
        <v>341</v>
      </c>
      <c r="C831" t="s">
        <v>304</v>
      </c>
      <c r="D831">
        <v>703269</v>
      </c>
      <c r="E831" t="s">
        <v>189</v>
      </c>
      <c r="F831" t="s">
        <v>21</v>
      </c>
      <c r="G831" t="s">
        <v>147</v>
      </c>
      <c r="H831" t="s">
        <v>147</v>
      </c>
      <c r="J831">
        <v>0</v>
      </c>
      <c r="K831">
        <v>0</v>
      </c>
    </row>
    <row r="832" spans="2:11" x14ac:dyDescent="0.25">
      <c r="B832" t="s">
        <v>341</v>
      </c>
      <c r="C832" t="s">
        <v>304</v>
      </c>
      <c r="D832">
        <v>703270</v>
      </c>
      <c r="E832" t="s">
        <v>190</v>
      </c>
      <c r="F832" t="s">
        <v>21</v>
      </c>
      <c r="G832" t="s">
        <v>137</v>
      </c>
      <c r="H832" t="s">
        <v>141</v>
      </c>
      <c r="J832">
        <v>0</v>
      </c>
      <c r="K832">
        <v>0</v>
      </c>
    </row>
    <row r="833" spans="2:11" x14ac:dyDescent="0.25">
      <c r="B833" t="s">
        <v>341</v>
      </c>
      <c r="C833" t="s">
        <v>304</v>
      </c>
      <c r="D833">
        <v>703271</v>
      </c>
      <c r="E833" t="s">
        <v>191</v>
      </c>
      <c r="F833" t="s">
        <v>21</v>
      </c>
      <c r="G833" t="s">
        <v>22</v>
      </c>
      <c r="H833" t="s">
        <v>115</v>
      </c>
      <c r="I833" t="s">
        <v>105</v>
      </c>
      <c r="J833">
        <v>61750</v>
      </c>
      <c r="K833">
        <v>61750</v>
      </c>
    </row>
    <row r="834" spans="2:11" x14ac:dyDescent="0.25">
      <c r="B834" t="s">
        <v>341</v>
      </c>
      <c r="C834" t="s">
        <v>304</v>
      </c>
      <c r="D834">
        <v>703272</v>
      </c>
      <c r="E834" t="s">
        <v>192</v>
      </c>
      <c r="F834" t="s">
        <v>21</v>
      </c>
      <c r="G834" t="s">
        <v>22</v>
      </c>
      <c r="H834" t="s">
        <v>23</v>
      </c>
      <c r="J834">
        <v>0</v>
      </c>
      <c r="K834">
        <v>0</v>
      </c>
    </row>
    <row r="835" spans="2:11" x14ac:dyDescent="0.25">
      <c r="B835" t="s">
        <v>341</v>
      </c>
      <c r="C835" t="s">
        <v>304</v>
      </c>
      <c r="D835">
        <v>703273</v>
      </c>
      <c r="E835" t="s">
        <v>193</v>
      </c>
      <c r="F835" t="s">
        <v>21</v>
      </c>
      <c r="G835" t="s">
        <v>147</v>
      </c>
      <c r="H835" t="s">
        <v>147</v>
      </c>
      <c r="J835">
        <v>0</v>
      </c>
      <c r="K835">
        <v>0</v>
      </c>
    </row>
    <row r="836" spans="2:11" x14ac:dyDescent="0.25">
      <c r="B836" t="s">
        <v>341</v>
      </c>
      <c r="C836" t="s">
        <v>304</v>
      </c>
      <c r="D836">
        <v>703274</v>
      </c>
      <c r="E836" t="s">
        <v>194</v>
      </c>
      <c r="F836" t="s">
        <v>21</v>
      </c>
      <c r="G836" t="s">
        <v>147</v>
      </c>
      <c r="H836" t="s">
        <v>147</v>
      </c>
      <c r="J836">
        <v>0</v>
      </c>
      <c r="K836">
        <v>0</v>
      </c>
    </row>
    <row r="837" spans="2:11" x14ac:dyDescent="0.25">
      <c r="B837" t="s">
        <v>341</v>
      </c>
      <c r="C837" t="s">
        <v>304</v>
      </c>
      <c r="D837">
        <v>703275</v>
      </c>
      <c r="E837" t="s">
        <v>195</v>
      </c>
      <c r="F837" t="s">
        <v>21</v>
      </c>
      <c r="G837" t="s">
        <v>137</v>
      </c>
      <c r="H837" t="s">
        <v>138</v>
      </c>
      <c r="J837">
        <v>0</v>
      </c>
      <c r="K837">
        <v>0</v>
      </c>
    </row>
    <row r="838" spans="2:11" x14ac:dyDescent="0.25">
      <c r="B838" t="s">
        <v>341</v>
      </c>
      <c r="C838" t="s">
        <v>304</v>
      </c>
      <c r="D838">
        <v>703280</v>
      </c>
      <c r="E838" t="s">
        <v>196</v>
      </c>
      <c r="F838" t="s">
        <v>21</v>
      </c>
      <c r="G838" t="s">
        <v>71</v>
      </c>
      <c r="H838" t="s">
        <v>171</v>
      </c>
      <c r="J838">
        <v>0</v>
      </c>
      <c r="K838">
        <v>0</v>
      </c>
    </row>
    <row r="839" spans="2:11" x14ac:dyDescent="0.25">
      <c r="B839" t="s">
        <v>341</v>
      </c>
      <c r="C839" t="s">
        <v>304</v>
      </c>
      <c r="D839">
        <v>703281</v>
      </c>
      <c r="E839" t="s">
        <v>197</v>
      </c>
      <c r="F839" t="s">
        <v>21</v>
      </c>
      <c r="G839" t="s">
        <v>76</v>
      </c>
      <c r="H839" t="s">
        <v>77</v>
      </c>
      <c r="J839">
        <v>0</v>
      </c>
      <c r="K839">
        <v>0</v>
      </c>
    </row>
    <row r="840" spans="2:11" x14ac:dyDescent="0.25">
      <c r="B840" t="s">
        <v>341</v>
      </c>
      <c r="C840" t="s">
        <v>304</v>
      </c>
      <c r="D840">
        <v>703282</v>
      </c>
      <c r="E840" t="s">
        <v>198</v>
      </c>
      <c r="F840" t="s">
        <v>21</v>
      </c>
      <c r="G840" t="s">
        <v>76</v>
      </c>
      <c r="H840" t="s">
        <v>77</v>
      </c>
      <c r="J840">
        <v>0</v>
      </c>
      <c r="K840">
        <v>0</v>
      </c>
    </row>
    <row r="841" spans="2:11" x14ac:dyDescent="0.25">
      <c r="B841" t="s">
        <v>341</v>
      </c>
      <c r="C841" t="s">
        <v>304</v>
      </c>
      <c r="D841">
        <v>703283</v>
      </c>
      <c r="E841" t="s">
        <v>199</v>
      </c>
      <c r="F841" t="s">
        <v>21</v>
      </c>
      <c r="G841" t="s">
        <v>61</v>
      </c>
      <c r="H841" t="s">
        <v>68</v>
      </c>
      <c r="J841">
        <v>0</v>
      </c>
      <c r="K841">
        <v>0</v>
      </c>
    </row>
    <row r="842" spans="2:11" x14ac:dyDescent="0.25">
      <c r="B842" t="s">
        <v>341</v>
      </c>
      <c r="C842" t="s">
        <v>304</v>
      </c>
      <c r="D842">
        <v>703310</v>
      </c>
      <c r="E842" t="s">
        <v>200</v>
      </c>
      <c r="F842" t="s">
        <v>21</v>
      </c>
      <c r="G842" t="s">
        <v>22</v>
      </c>
      <c r="H842" t="s">
        <v>23</v>
      </c>
      <c r="J842">
        <v>0</v>
      </c>
      <c r="K842">
        <v>0</v>
      </c>
    </row>
    <row r="843" spans="2:11" x14ac:dyDescent="0.25">
      <c r="B843" t="s">
        <v>341</v>
      </c>
      <c r="C843" t="s">
        <v>304</v>
      </c>
      <c r="D843">
        <v>703311</v>
      </c>
      <c r="E843" t="s">
        <v>201</v>
      </c>
      <c r="F843" t="s">
        <v>21</v>
      </c>
      <c r="G843" t="s">
        <v>71</v>
      </c>
      <c r="H843" t="s">
        <v>171</v>
      </c>
      <c r="J843">
        <v>0</v>
      </c>
      <c r="K843">
        <v>0</v>
      </c>
    </row>
    <row r="844" spans="2:11" x14ac:dyDescent="0.25">
      <c r="B844" t="s">
        <v>341</v>
      </c>
      <c r="C844" t="s">
        <v>304</v>
      </c>
      <c r="D844">
        <v>703312</v>
      </c>
      <c r="E844" t="s">
        <v>202</v>
      </c>
      <c r="F844" t="s">
        <v>21</v>
      </c>
      <c r="G844" t="s">
        <v>76</v>
      </c>
      <c r="H844" t="s">
        <v>77</v>
      </c>
      <c r="J844">
        <v>0</v>
      </c>
      <c r="K844">
        <v>0</v>
      </c>
    </row>
    <row r="845" spans="2:11" x14ac:dyDescent="0.25">
      <c r="B845" t="s">
        <v>341</v>
      </c>
      <c r="C845" t="s">
        <v>304</v>
      </c>
      <c r="D845">
        <v>703313</v>
      </c>
      <c r="E845" t="s">
        <v>203</v>
      </c>
      <c r="F845" t="s">
        <v>21</v>
      </c>
      <c r="G845" t="s">
        <v>76</v>
      </c>
      <c r="H845" t="s">
        <v>77</v>
      </c>
      <c r="J845">
        <v>0</v>
      </c>
      <c r="K845">
        <v>0</v>
      </c>
    </row>
    <row r="846" spans="2:11" x14ac:dyDescent="0.25">
      <c r="B846" t="s">
        <v>341</v>
      </c>
      <c r="C846" t="s">
        <v>304</v>
      </c>
      <c r="D846">
        <v>703314</v>
      </c>
      <c r="E846" t="s">
        <v>204</v>
      </c>
      <c r="F846" t="s">
        <v>21</v>
      </c>
      <c r="G846" t="s">
        <v>76</v>
      </c>
      <c r="H846" t="s">
        <v>77</v>
      </c>
      <c r="J846">
        <v>0</v>
      </c>
      <c r="K846">
        <v>0</v>
      </c>
    </row>
    <row r="847" spans="2:11" x14ac:dyDescent="0.25">
      <c r="B847" t="s">
        <v>341</v>
      </c>
      <c r="C847" t="s">
        <v>304</v>
      </c>
      <c r="D847">
        <v>703315</v>
      </c>
      <c r="E847" t="s">
        <v>205</v>
      </c>
      <c r="F847" t="s">
        <v>21</v>
      </c>
      <c r="G847" t="s">
        <v>76</v>
      </c>
      <c r="H847" t="s">
        <v>135</v>
      </c>
      <c r="J847">
        <v>0</v>
      </c>
      <c r="K847">
        <v>0</v>
      </c>
    </row>
    <row r="848" spans="2:11" x14ac:dyDescent="0.25">
      <c r="B848" t="s">
        <v>341</v>
      </c>
      <c r="C848" t="s">
        <v>304</v>
      </c>
      <c r="D848">
        <v>703316</v>
      </c>
      <c r="E848" t="s">
        <v>206</v>
      </c>
      <c r="F848" t="s">
        <v>21</v>
      </c>
      <c r="G848" t="s">
        <v>76</v>
      </c>
      <c r="H848" t="s">
        <v>77</v>
      </c>
      <c r="J848">
        <v>0</v>
      </c>
      <c r="K848">
        <v>0</v>
      </c>
    </row>
    <row r="849" spans="2:11" x14ac:dyDescent="0.25">
      <c r="B849" t="s">
        <v>341</v>
      </c>
      <c r="C849" t="s">
        <v>304</v>
      </c>
      <c r="D849">
        <v>703317</v>
      </c>
      <c r="E849" t="s">
        <v>207</v>
      </c>
      <c r="F849" t="s">
        <v>21</v>
      </c>
      <c r="G849" t="s">
        <v>76</v>
      </c>
      <c r="H849" t="s">
        <v>77</v>
      </c>
      <c r="J849">
        <v>0</v>
      </c>
      <c r="K849">
        <v>0</v>
      </c>
    </row>
    <row r="850" spans="2:11" x14ac:dyDescent="0.25">
      <c r="B850" t="s">
        <v>341</v>
      </c>
      <c r="C850" t="s">
        <v>304</v>
      </c>
      <c r="D850">
        <v>703318</v>
      </c>
      <c r="E850" t="s">
        <v>208</v>
      </c>
      <c r="F850" t="s">
        <v>21</v>
      </c>
      <c r="G850" t="s">
        <v>71</v>
      </c>
      <c r="H850" t="s">
        <v>209</v>
      </c>
      <c r="J850">
        <v>0</v>
      </c>
      <c r="K850">
        <v>0</v>
      </c>
    </row>
    <row r="851" spans="2:11" x14ac:dyDescent="0.25">
      <c r="B851" t="s">
        <v>341</v>
      </c>
      <c r="C851" t="s">
        <v>304</v>
      </c>
      <c r="D851">
        <v>703319</v>
      </c>
      <c r="E851" t="s">
        <v>210</v>
      </c>
      <c r="F851" t="s">
        <v>21</v>
      </c>
      <c r="G851" t="s">
        <v>61</v>
      </c>
      <c r="H851" t="s">
        <v>79</v>
      </c>
      <c r="J851">
        <v>0</v>
      </c>
      <c r="K851">
        <v>0</v>
      </c>
    </row>
    <row r="852" spans="2:11" x14ac:dyDescent="0.25">
      <c r="B852" t="s">
        <v>341</v>
      </c>
      <c r="C852" t="s">
        <v>304</v>
      </c>
      <c r="D852">
        <v>703320</v>
      </c>
      <c r="E852" t="s">
        <v>211</v>
      </c>
      <c r="F852" t="s">
        <v>21</v>
      </c>
      <c r="G852" t="s">
        <v>71</v>
      </c>
      <c r="H852" t="s">
        <v>135</v>
      </c>
      <c r="J852">
        <v>0</v>
      </c>
      <c r="K852">
        <v>0</v>
      </c>
    </row>
    <row r="853" spans="2:11" x14ac:dyDescent="0.25">
      <c r="B853" t="s">
        <v>341</v>
      </c>
      <c r="C853" t="s">
        <v>304</v>
      </c>
      <c r="D853">
        <v>703321</v>
      </c>
      <c r="E853" t="s">
        <v>212</v>
      </c>
      <c r="F853" t="s">
        <v>21</v>
      </c>
      <c r="G853" t="s">
        <v>22</v>
      </c>
      <c r="H853" t="s">
        <v>23</v>
      </c>
      <c r="J853">
        <v>0</v>
      </c>
      <c r="K853">
        <v>0</v>
      </c>
    </row>
    <row r="854" spans="2:11" x14ac:dyDescent="0.25">
      <c r="B854" t="s">
        <v>341</v>
      </c>
      <c r="C854" t="s">
        <v>304</v>
      </c>
      <c r="D854">
        <v>703322</v>
      </c>
      <c r="E854" t="s">
        <v>213</v>
      </c>
      <c r="F854" t="s">
        <v>21</v>
      </c>
      <c r="G854" t="s">
        <v>22</v>
      </c>
      <c r="H854" t="s">
        <v>23</v>
      </c>
      <c r="J854">
        <v>0</v>
      </c>
      <c r="K854">
        <v>0</v>
      </c>
    </row>
    <row r="855" spans="2:11" x14ac:dyDescent="0.25">
      <c r="B855" t="s">
        <v>341</v>
      </c>
      <c r="C855" t="s">
        <v>304</v>
      </c>
      <c r="D855">
        <v>703323</v>
      </c>
      <c r="E855" t="s">
        <v>214</v>
      </c>
      <c r="F855" t="s">
        <v>21</v>
      </c>
      <c r="G855" t="s">
        <v>22</v>
      </c>
      <c r="H855" t="s">
        <v>23</v>
      </c>
      <c r="J855">
        <v>0</v>
      </c>
      <c r="K855">
        <v>0</v>
      </c>
    </row>
    <row r="856" spans="2:11" x14ac:dyDescent="0.25">
      <c r="B856" t="s">
        <v>341</v>
      </c>
      <c r="C856" t="s">
        <v>304</v>
      </c>
      <c r="D856">
        <v>703324</v>
      </c>
      <c r="E856" t="s">
        <v>215</v>
      </c>
      <c r="F856" t="s">
        <v>21</v>
      </c>
      <c r="G856" t="s">
        <v>22</v>
      </c>
      <c r="H856" t="s">
        <v>23</v>
      </c>
      <c r="J856">
        <v>0</v>
      </c>
      <c r="K856">
        <v>0</v>
      </c>
    </row>
    <row r="857" spans="2:11" x14ac:dyDescent="0.25">
      <c r="B857" t="s">
        <v>341</v>
      </c>
      <c r="C857" t="s">
        <v>304</v>
      </c>
      <c r="D857">
        <v>703325</v>
      </c>
      <c r="E857" t="s">
        <v>216</v>
      </c>
      <c r="F857" t="s">
        <v>21</v>
      </c>
      <c r="G857" t="s">
        <v>22</v>
      </c>
      <c r="H857" t="s">
        <v>23</v>
      </c>
      <c r="J857">
        <v>0</v>
      </c>
      <c r="K857">
        <v>0</v>
      </c>
    </row>
    <row r="858" spans="2:11" x14ac:dyDescent="0.25">
      <c r="B858" t="s">
        <v>341</v>
      </c>
      <c r="C858" t="s">
        <v>304</v>
      </c>
      <c r="D858">
        <v>703326</v>
      </c>
      <c r="E858" t="s">
        <v>217</v>
      </c>
      <c r="F858" t="s">
        <v>21</v>
      </c>
      <c r="G858" t="s">
        <v>22</v>
      </c>
      <c r="H858" t="s">
        <v>23</v>
      </c>
      <c r="J858">
        <v>0</v>
      </c>
      <c r="K858">
        <v>0</v>
      </c>
    </row>
    <row r="859" spans="2:11" x14ac:dyDescent="0.25">
      <c r="B859" t="s">
        <v>341</v>
      </c>
      <c r="C859" t="s">
        <v>304</v>
      </c>
      <c r="D859">
        <v>703327</v>
      </c>
      <c r="E859" t="s">
        <v>218</v>
      </c>
      <c r="F859" t="s">
        <v>21</v>
      </c>
      <c r="G859" t="s">
        <v>76</v>
      </c>
      <c r="H859" t="s">
        <v>77</v>
      </c>
      <c r="J859">
        <v>0</v>
      </c>
      <c r="K859">
        <v>0</v>
      </c>
    </row>
    <row r="860" spans="2:11" x14ac:dyDescent="0.25">
      <c r="B860" t="s">
        <v>341</v>
      </c>
      <c r="C860" t="s">
        <v>304</v>
      </c>
      <c r="D860">
        <v>703328</v>
      </c>
      <c r="E860" t="s">
        <v>219</v>
      </c>
      <c r="F860" t="s">
        <v>21</v>
      </c>
      <c r="G860" t="s">
        <v>22</v>
      </c>
      <c r="H860" t="s">
        <v>23</v>
      </c>
      <c r="I860" t="s">
        <v>105</v>
      </c>
      <c r="J860">
        <v>225000</v>
      </c>
      <c r="K860">
        <v>225000</v>
      </c>
    </row>
    <row r="861" spans="2:11" x14ac:dyDescent="0.25">
      <c r="B861" t="s">
        <v>341</v>
      </c>
      <c r="C861" t="s">
        <v>304</v>
      </c>
      <c r="D861">
        <v>703329</v>
      </c>
      <c r="E861" t="s">
        <v>220</v>
      </c>
      <c r="F861" t="s">
        <v>21</v>
      </c>
      <c r="G861" t="s">
        <v>22</v>
      </c>
      <c r="H861" t="s">
        <v>23</v>
      </c>
      <c r="J861">
        <v>0</v>
      </c>
      <c r="K861">
        <v>0</v>
      </c>
    </row>
    <row r="862" spans="2:11" x14ac:dyDescent="0.25">
      <c r="B862" t="s">
        <v>341</v>
      </c>
      <c r="C862" t="s">
        <v>304</v>
      </c>
      <c r="D862">
        <v>703330</v>
      </c>
      <c r="E862" t="s">
        <v>221</v>
      </c>
      <c r="F862" t="s">
        <v>21</v>
      </c>
      <c r="G862" t="s">
        <v>22</v>
      </c>
      <c r="H862" t="s">
        <v>23</v>
      </c>
      <c r="J862">
        <v>0</v>
      </c>
      <c r="K862">
        <v>0</v>
      </c>
    </row>
    <row r="863" spans="2:11" x14ac:dyDescent="0.25">
      <c r="B863" t="s">
        <v>341</v>
      </c>
      <c r="C863" t="s">
        <v>304</v>
      </c>
      <c r="D863">
        <v>703340</v>
      </c>
      <c r="E863" t="s">
        <v>222</v>
      </c>
      <c r="F863" t="s">
        <v>21</v>
      </c>
      <c r="G863" t="s">
        <v>61</v>
      </c>
      <c r="H863" t="s">
        <v>68</v>
      </c>
      <c r="J863">
        <v>0</v>
      </c>
      <c r="K863">
        <v>0</v>
      </c>
    </row>
    <row r="864" spans="2:11" x14ac:dyDescent="0.25">
      <c r="B864" t="s">
        <v>341</v>
      </c>
      <c r="C864" t="s">
        <v>304</v>
      </c>
      <c r="D864">
        <v>703350</v>
      </c>
      <c r="E864" t="s">
        <v>223</v>
      </c>
      <c r="F864" t="s">
        <v>21</v>
      </c>
      <c r="G864" t="s">
        <v>22</v>
      </c>
      <c r="H864" t="s">
        <v>23</v>
      </c>
      <c r="J864">
        <v>0</v>
      </c>
      <c r="K864">
        <v>0</v>
      </c>
    </row>
    <row r="865" spans="2:11" x14ac:dyDescent="0.25">
      <c r="B865" t="s">
        <v>341</v>
      </c>
      <c r="C865" t="s">
        <v>304</v>
      </c>
      <c r="D865">
        <v>703351</v>
      </c>
      <c r="E865" t="s">
        <v>224</v>
      </c>
      <c r="F865" t="s">
        <v>21</v>
      </c>
      <c r="G865" t="s">
        <v>22</v>
      </c>
      <c r="H865" t="s">
        <v>23</v>
      </c>
      <c r="J865">
        <v>0</v>
      </c>
      <c r="K865">
        <v>0</v>
      </c>
    </row>
    <row r="866" spans="2:11" x14ac:dyDescent="0.25">
      <c r="B866" t="s">
        <v>341</v>
      </c>
      <c r="C866" t="s">
        <v>304</v>
      </c>
      <c r="D866">
        <v>703352</v>
      </c>
      <c r="E866" t="s">
        <v>225</v>
      </c>
      <c r="F866" t="s">
        <v>21</v>
      </c>
      <c r="G866" t="s">
        <v>22</v>
      </c>
      <c r="H866" t="s">
        <v>23</v>
      </c>
      <c r="J866">
        <v>0</v>
      </c>
      <c r="K866">
        <v>0</v>
      </c>
    </row>
    <row r="867" spans="2:11" x14ac:dyDescent="0.25">
      <c r="B867" t="s">
        <v>341</v>
      </c>
      <c r="C867" t="s">
        <v>304</v>
      </c>
      <c r="D867">
        <v>703360</v>
      </c>
      <c r="E867" t="s">
        <v>226</v>
      </c>
      <c r="F867" t="s">
        <v>21</v>
      </c>
      <c r="G867" t="s">
        <v>22</v>
      </c>
      <c r="H867" t="s">
        <v>23</v>
      </c>
      <c r="J867">
        <v>0</v>
      </c>
      <c r="K867">
        <v>0</v>
      </c>
    </row>
    <row r="868" spans="2:11" x14ac:dyDescent="0.25">
      <c r="B868" t="s">
        <v>341</v>
      </c>
      <c r="C868" t="s">
        <v>304</v>
      </c>
      <c r="D868">
        <v>703370</v>
      </c>
      <c r="E868" t="s">
        <v>227</v>
      </c>
      <c r="F868" t="s">
        <v>21</v>
      </c>
      <c r="G868" t="s">
        <v>22</v>
      </c>
      <c r="H868" t="s">
        <v>23</v>
      </c>
      <c r="J868">
        <v>0</v>
      </c>
      <c r="K868">
        <v>0</v>
      </c>
    </row>
    <row r="869" spans="2:11" x14ac:dyDescent="0.25">
      <c r="B869" t="s">
        <v>341</v>
      </c>
      <c r="C869" t="s">
        <v>304</v>
      </c>
      <c r="D869">
        <v>703410</v>
      </c>
      <c r="E869" t="s">
        <v>228</v>
      </c>
      <c r="F869" t="s">
        <v>21</v>
      </c>
      <c r="G869" t="s">
        <v>22</v>
      </c>
      <c r="H869" t="s">
        <v>23</v>
      </c>
      <c r="J869">
        <v>0</v>
      </c>
      <c r="K869">
        <v>0</v>
      </c>
    </row>
    <row r="870" spans="2:11" x14ac:dyDescent="0.25">
      <c r="B870" t="s">
        <v>341</v>
      </c>
      <c r="C870" t="s">
        <v>304</v>
      </c>
      <c r="D870">
        <v>703411</v>
      </c>
      <c r="E870" t="s">
        <v>229</v>
      </c>
      <c r="F870" t="s">
        <v>21</v>
      </c>
      <c r="G870" t="s">
        <v>22</v>
      </c>
      <c r="H870" t="s">
        <v>23</v>
      </c>
      <c r="J870">
        <v>0</v>
      </c>
      <c r="K870">
        <v>0</v>
      </c>
    </row>
    <row r="871" spans="2:11" x14ac:dyDescent="0.25">
      <c r="B871" t="s">
        <v>341</v>
      </c>
      <c r="C871" t="s">
        <v>304</v>
      </c>
      <c r="D871">
        <v>703412</v>
      </c>
      <c r="E871" t="s">
        <v>230</v>
      </c>
      <c r="F871" t="s">
        <v>21</v>
      </c>
      <c r="G871" t="s">
        <v>22</v>
      </c>
      <c r="H871" t="s">
        <v>23</v>
      </c>
      <c r="J871">
        <v>0</v>
      </c>
      <c r="K871">
        <v>0</v>
      </c>
    </row>
    <row r="872" spans="2:11" x14ac:dyDescent="0.25">
      <c r="B872" t="s">
        <v>341</v>
      </c>
      <c r="C872" t="s">
        <v>304</v>
      </c>
      <c r="D872">
        <v>703420</v>
      </c>
      <c r="E872" t="s">
        <v>231</v>
      </c>
      <c r="F872" t="s">
        <v>21</v>
      </c>
      <c r="G872" t="s">
        <v>71</v>
      </c>
      <c r="H872" t="s">
        <v>171</v>
      </c>
      <c r="J872">
        <v>0</v>
      </c>
      <c r="K872">
        <v>0</v>
      </c>
    </row>
    <row r="873" spans="2:11" x14ac:dyDescent="0.25">
      <c r="B873" t="s">
        <v>341</v>
      </c>
      <c r="C873" t="s">
        <v>304</v>
      </c>
      <c r="D873">
        <v>703421</v>
      </c>
      <c r="E873" t="s">
        <v>232</v>
      </c>
      <c r="F873" t="s">
        <v>21</v>
      </c>
      <c r="G873" t="s">
        <v>22</v>
      </c>
      <c r="H873" t="s">
        <v>23</v>
      </c>
      <c r="J873">
        <v>0</v>
      </c>
      <c r="K873">
        <v>0</v>
      </c>
    </row>
    <row r="874" spans="2:11" x14ac:dyDescent="0.25">
      <c r="B874" t="s">
        <v>341</v>
      </c>
      <c r="C874" t="s">
        <v>304</v>
      </c>
      <c r="D874">
        <v>703422</v>
      </c>
      <c r="E874" t="s">
        <v>233</v>
      </c>
      <c r="F874" t="s">
        <v>21</v>
      </c>
      <c r="G874" t="s">
        <v>76</v>
      </c>
      <c r="H874" t="s">
        <v>77</v>
      </c>
      <c r="J874">
        <v>0</v>
      </c>
      <c r="K874">
        <v>0</v>
      </c>
    </row>
    <row r="875" spans="2:11" x14ac:dyDescent="0.25">
      <c r="B875" t="s">
        <v>341</v>
      </c>
      <c r="C875" t="s">
        <v>304</v>
      </c>
      <c r="D875">
        <v>703423</v>
      </c>
      <c r="E875" t="s">
        <v>234</v>
      </c>
      <c r="F875" t="s">
        <v>21</v>
      </c>
      <c r="G875" t="s">
        <v>71</v>
      </c>
      <c r="H875" t="s">
        <v>88</v>
      </c>
      <c r="J875">
        <v>0</v>
      </c>
      <c r="K875">
        <v>0</v>
      </c>
    </row>
    <row r="876" spans="2:11" x14ac:dyDescent="0.25">
      <c r="B876" t="s">
        <v>341</v>
      </c>
      <c r="C876" t="s">
        <v>304</v>
      </c>
      <c r="D876">
        <v>703424</v>
      </c>
      <c r="E876" t="s">
        <v>235</v>
      </c>
      <c r="F876" t="s">
        <v>21</v>
      </c>
      <c r="G876" t="s">
        <v>71</v>
      </c>
      <c r="H876" t="s">
        <v>88</v>
      </c>
      <c r="J876">
        <v>0</v>
      </c>
      <c r="K876">
        <v>0</v>
      </c>
    </row>
    <row r="877" spans="2:11" x14ac:dyDescent="0.25">
      <c r="B877" t="s">
        <v>341</v>
      </c>
      <c r="C877" t="s">
        <v>304</v>
      </c>
      <c r="D877">
        <v>703425</v>
      </c>
      <c r="E877" t="s">
        <v>236</v>
      </c>
      <c r="F877" t="s">
        <v>21</v>
      </c>
      <c r="G877" t="s">
        <v>76</v>
      </c>
      <c r="H877" t="s">
        <v>77</v>
      </c>
      <c r="J877">
        <v>0</v>
      </c>
      <c r="K877">
        <v>0</v>
      </c>
    </row>
    <row r="878" spans="2:11" x14ac:dyDescent="0.25">
      <c r="B878" t="s">
        <v>341</v>
      </c>
      <c r="C878" t="s">
        <v>304</v>
      </c>
      <c r="D878">
        <v>703426</v>
      </c>
      <c r="E878" t="s">
        <v>237</v>
      </c>
      <c r="F878" t="s">
        <v>21</v>
      </c>
      <c r="G878" t="s">
        <v>22</v>
      </c>
      <c r="H878" t="s">
        <v>23</v>
      </c>
      <c r="J878">
        <v>0</v>
      </c>
      <c r="K878">
        <v>0</v>
      </c>
    </row>
    <row r="879" spans="2:11" x14ac:dyDescent="0.25">
      <c r="B879" t="s">
        <v>341</v>
      </c>
      <c r="C879" t="s">
        <v>304</v>
      </c>
      <c r="D879">
        <v>703427</v>
      </c>
      <c r="E879" t="s">
        <v>238</v>
      </c>
      <c r="F879" t="s">
        <v>21</v>
      </c>
      <c r="G879" t="s">
        <v>76</v>
      </c>
      <c r="H879" t="s">
        <v>77</v>
      </c>
      <c r="J879">
        <v>0</v>
      </c>
      <c r="K879">
        <v>0</v>
      </c>
    </row>
    <row r="880" spans="2:11" x14ac:dyDescent="0.25">
      <c r="B880" t="s">
        <v>341</v>
      </c>
      <c r="C880" t="s">
        <v>304</v>
      </c>
      <c r="D880">
        <v>703428</v>
      </c>
      <c r="E880" t="s">
        <v>239</v>
      </c>
      <c r="F880" t="s">
        <v>21</v>
      </c>
      <c r="G880" t="s">
        <v>76</v>
      </c>
      <c r="H880" t="s">
        <v>77</v>
      </c>
      <c r="J880">
        <v>0</v>
      </c>
      <c r="K880">
        <v>0</v>
      </c>
    </row>
    <row r="881" spans="2:11" x14ac:dyDescent="0.25">
      <c r="B881" t="s">
        <v>341</v>
      </c>
      <c r="C881" t="s">
        <v>304</v>
      </c>
      <c r="D881">
        <v>703429</v>
      </c>
      <c r="E881" t="s">
        <v>240</v>
      </c>
      <c r="F881" t="s">
        <v>21</v>
      </c>
      <c r="G881" t="s">
        <v>76</v>
      </c>
      <c r="H881" t="s">
        <v>77</v>
      </c>
      <c r="J881">
        <v>0</v>
      </c>
      <c r="K881">
        <v>0</v>
      </c>
    </row>
    <row r="882" spans="2:11" x14ac:dyDescent="0.25">
      <c r="B882" t="s">
        <v>341</v>
      </c>
      <c r="C882" t="s">
        <v>304</v>
      </c>
      <c r="D882">
        <v>703430</v>
      </c>
      <c r="E882" t="s">
        <v>20</v>
      </c>
      <c r="F882" t="s">
        <v>21</v>
      </c>
      <c r="G882" t="s">
        <v>22</v>
      </c>
      <c r="H882" t="s">
        <v>23</v>
      </c>
      <c r="I882" t="s">
        <v>105</v>
      </c>
      <c r="J882">
        <v>1014273</v>
      </c>
      <c r="K882">
        <v>1014273</v>
      </c>
    </row>
    <row r="883" spans="2:11" x14ac:dyDescent="0.25">
      <c r="B883" t="s">
        <v>341</v>
      </c>
      <c r="C883" t="s">
        <v>304</v>
      </c>
      <c r="D883">
        <v>703431</v>
      </c>
      <c r="E883" t="s">
        <v>241</v>
      </c>
      <c r="F883" t="s">
        <v>21</v>
      </c>
      <c r="G883" t="s">
        <v>22</v>
      </c>
      <c r="H883" t="s">
        <v>23</v>
      </c>
      <c r="J883">
        <v>0</v>
      </c>
      <c r="K883">
        <v>0</v>
      </c>
    </row>
    <row r="884" spans="2:11" x14ac:dyDescent="0.25">
      <c r="B884" t="s">
        <v>341</v>
      </c>
      <c r="C884" t="s">
        <v>304</v>
      </c>
      <c r="D884">
        <v>703432</v>
      </c>
      <c r="E884" t="s">
        <v>242</v>
      </c>
      <c r="F884" t="s">
        <v>21</v>
      </c>
      <c r="G884" t="s">
        <v>22</v>
      </c>
      <c r="H884" t="s">
        <v>23</v>
      </c>
      <c r="J884">
        <v>0</v>
      </c>
      <c r="K884">
        <v>0</v>
      </c>
    </row>
    <row r="885" spans="2:11" x14ac:dyDescent="0.25">
      <c r="B885" t="s">
        <v>341</v>
      </c>
      <c r="C885" t="s">
        <v>304</v>
      </c>
      <c r="D885">
        <v>703433</v>
      </c>
      <c r="E885" t="s">
        <v>243</v>
      </c>
      <c r="F885" t="s">
        <v>21</v>
      </c>
      <c r="G885" t="s">
        <v>71</v>
      </c>
      <c r="H885" t="s">
        <v>88</v>
      </c>
      <c r="J885">
        <v>0</v>
      </c>
      <c r="K885">
        <v>0</v>
      </c>
    </row>
    <row r="886" spans="2:11" x14ac:dyDescent="0.25">
      <c r="B886" t="s">
        <v>341</v>
      </c>
      <c r="C886" t="s">
        <v>304</v>
      </c>
      <c r="D886">
        <v>703434</v>
      </c>
      <c r="E886" t="s">
        <v>244</v>
      </c>
      <c r="F886" t="s">
        <v>21</v>
      </c>
      <c r="G886" t="s">
        <v>22</v>
      </c>
      <c r="H886" t="s">
        <v>23</v>
      </c>
      <c r="J886">
        <v>0</v>
      </c>
      <c r="K886">
        <v>0</v>
      </c>
    </row>
    <row r="887" spans="2:11" x14ac:dyDescent="0.25">
      <c r="B887" t="s">
        <v>341</v>
      </c>
      <c r="C887" t="s">
        <v>304</v>
      </c>
      <c r="D887">
        <v>703435</v>
      </c>
      <c r="E887" t="s">
        <v>245</v>
      </c>
      <c r="F887" t="s">
        <v>21</v>
      </c>
      <c r="G887" t="s">
        <v>71</v>
      </c>
      <c r="H887" t="s">
        <v>88</v>
      </c>
      <c r="J887">
        <v>0</v>
      </c>
      <c r="K887">
        <v>0</v>
      </c>
    </row>
    <row r="888" spans="2:11" x14ac:dyDescent="0.25">
      <c r="B888" t="s">
        <v>341</v>
      </c>
      <c r="C888" t="s">
        <v>304</v>
      </c>
      <c r="D888">
        <v>703436</v>
      </c>
      <c r="E888" t="s">
        <v>246</v>
      </c>
      <c r="F888" t="s">
        <v>21</v>
      </c>
      <c r="G888" t="s">
        <v>71</v>
      </c>
      <c r="H888" t="s">
        <v>88</v>
      </c>
      <c r="J888">
        <v>0</v>
      </c>
      <c r="K888">
        <v>0</v>
      </c>
    </row>
    <row r="889" spans="2:11" x14ac:dyDescent="0.25">
      <c r="B889" t="s">
        <v>341</v>
      </c>
      <c r="C889" t="s">
        <v>304</v>
      </c>
      <c r="D889">
        <v>703437</v>
      </c>
      <c r="E889" t="s">
        <v>247</v>
      </c>
      <c r="F889" t="s">
        <v>21</v>
      </c>
      <c r="G889" t="s">
        <v>71</v>
      </c>
      <c r="H889" t="s">
        <v>88</v>
      </c>
      <c r="J889">
        <v>0</v>
      </c>
      <c r="K889">
        <v>0</v>
      </c>
    </row>
    <row r="890" spans="2:11" x14ac:dyDescent="0.25">
      <c r="B890" t="s">
        <v>341</v>
      </c>
      <c r="C890" t="s">
        <v>304</v>
      </c>
      <c r="D890">
        <v>703438</v>
      </c>
      <c r="E890" t="s">
        <v>248</v>
      </c>
      <c r="F890" t="s">
        <v>21</v>
      </c>
      <c r="G890" t="s">
        <v>71</v>
      </c>
      <c r="H890" t="s">
        <v>88</v>
      </c>
      <c r="J890">
        <v>0</v>
      </c>
      <c r="K890">
        <v>0</v>
      </c>
    </row>
    <row r="891" spans="2:11" x14ac:dyDescent="0.25">
      <c r="B891" t="s">
        <v>341</v>
      </c>
      <c r="C891" t="s">
        <v>304</v>
      </c>
      <c r="D891">
        <v>703439</v>
      </c>
      <c r="E891" t="s">
        <v>249</v>
      </c>
      <c r="F891" t="s">
        <v>21</v>
      </c>
      <c r="G891" t="s">
        <v>22</v>
      </c>
      <c r="H891" t="s">
        <v>23</v>
      </c>
      <c r="J891">
        <v>0</v>
      </c>
      <c r="K891">
        <v>0</v>
      </c>
    </row>
    <row r="892" spans="2:11" x14ac:dyDescent="0.25">
      <c r="B892" t="s">
        <v>341</v>
      </c>
      <c r="C892" t="s">
        <v>304</v>
      </c>
      <c r="D892">
        <v>703440</v>
      </c>
      <c r="E892" t="s">
        <v>250</v>
      </c>
      <c r="F892" t="s">
        <v>21</v>
      </c>
      <c r="G892" t="s">
        <v>61</v>
      </c>
      <c r="H892" t="s">
        <v>68</v>
      </c>
      <c r="J892">
        <v>0</v>
      </c>
      <c r="K892">
        <v>0</v>
      </c>
    </row>
    <row r="893" spans="2:11" x14ac:dyDescent="0.25">
      <c r="B893" t="s">
        <v>341</v>
      </c>
      <c r="C893" t="s">
        <v>304</v>
      </c>
      <c r="D893">
        <v>703441</v>
      </c>
      <c r="E893" t="s">
        <v>251</v>
      </c>
      <c r="F893" t="s">
        <v>21</v>
      </c>
      <c r="G893" t="s">
        <v>61</v>
      </c>
      <c r="H893" t="s">
        <v>79</v>
      </c>
      <c r="J893">
        <v>0</v>
      </c>
      <c r="K893">
        <v>0</v>
      </c>
    </row>
    <row r="894" spans="2:11" x14ac:dyDescent="0.25">
      <c r="B894" t="s">
        <v>341</v>
      </c>
      <c r="C894" t="s">
        <v>304</v>
      </c>
      <c r="D894">
        <v>703442</v>
      </c>
      <c r="E894" t="s">
        <v>252</v>
      </c>
      <c r="F894" t="s">
        <v>21</v>
      </c>
      <c r="G894" t="s">
        <v>76</v>
      </c>
      <c r="H894" t="s">
        <v>77</v>
      </c>
      <c r="J894">
        <v>0</v>
      </c>
      <c r="K894">
        <v>0</v>
      </c>
    </row>
    <row r="895" spans="2:11" x14ac:dyDescent="0.25">
      <c r="B895" t="s">
        <v>341</v>
      </c>
      <c r="C895" t="s">
        <v>304</v>
      </c>
      <c r="D895">
        <v>703443</v>
      </c>
      <c r="E895" t="s">
        <v>253</v>
      </c>
      <c r="F895" t="s">
        <v>21</v>
      </c>
      <c r="G895" t="s">
        <v>71</v>
      </c>
      <c r="H895" t="s">
        <v>88</v>
      </c>
      <c r="J895">
        <v>0</v>
      </c>
      <c r="K895">
        <v>0</v>
      </c>
    </row>
    <row r="896" spans="2:11" x14ac:dyDescent="0.25">
      <c r="B896" t="s">
        <v>341</v>
      </c>
      <c r="C896" t="s">
        <v>304</v>
      </c>
      <c r="D896">
        <v>703444</v>
      </c>
      <c r="E896" t="s">
        <v>254</v>
      </c>
      <c r="F896" t="s">
        <v>21</v>
      </c>
      <c r="G896" t="s">
        <v>22</v>
      </c>
      <c r="H896" t="s">
        <v>23</v>
      </c>
      <c r="J896">
        <v>0</v>
      </c>
      <c r="K896">
        <v>0</v>
      </c>
    </row>
    <row r="897" spans="2:11" x14ac:dyDescent="0.25">
      <c r="B897" t="s">
        <v>341</v>
      </c>
      <c r="C897" t="s">
        <v>304</v>
      </c>
      <c r="D897">
        <v>703445</v>
      </c>
      <c r="E897" t="s">
        <v>255</v>
      </c>
      <c r="F897" t="s">
        <v>21</v>
      </c>
      <c r="G897" t="s">
        <v>22</v>
      </c>
      <c r="H897" t="s">
        <v>23</v>
      </c>
      <c r="J897">
        <v>0</v>
      </c>
      <c r="K897">
        <v>0</v>
      </c>
    </row>
    <row r="898" spans="2:11" x14ac:dyDescent="0.25">
      <c r="B898" t="s">
        <v>341</v>
      </c>
      <c r="C898" t="s">
        <v>304</v>
      </c>
      <c r="D898">
        <v>703446</v>
      </c>
      <c r="E898" t="s">
        <v>256</v>
      </c>
      <c r="F898" t="s">
        <v>21</v>
      </c>
      <c r="G898" t="s">
        <v>22</v>
      </c>
      <c r="H898" t="s">
        <v>23</v>
      </c>
      <c r="J898">
        <v>0</v>
      </c>
      <c r="K898">
        <v>0</v>
      </c>
    </row>
    <row r="899" spans="2:11" x14ac:dyDescent="0.25">
      <c r="B899" t="s">
        <v>341</v>
      </c>
      <c r="C899" t="s">
        <v>304</v>
      </c>
      <c r="D899">
        <v>703447</v>
      </c>
      <c r="E899" t="s">
        <v>257</v>
      </c>
      <c r="F899" t="s">
        <v>21</v>
      </c>
      <c r="G899" t="s">
        <v>22</v>
      </c>
      <c r="H899" t="s">
        <v>23</v>
      </c>
      <c r="J899">
        <v>0</v>
      </c>
      <c r="K899">
        <v>0</v>
      </c>
    </row>
    <row r="900" spans="2:11" x14ac:dyDescent="0.25">
      <c r="B900" t="s">
        <v>341</v>
      </c>
      <c r="C900" t="s">
        <v>304</v>
      </c>
      <c r="D900">
        <v>703448</v>
      </c>
      <c r="E900" t="s">
        <v>258</v>
      </c>
      <c r="F900" t="s">
        <v>21</v>
      </c>
      <c r="G900" t="s">
        <v>22</v>
      </c>
      <c r="H900" t="s">
        <v>23</v>
      </c>
      <c r="J900">
        <v>0</v>
      </c>
      <c r="K900">
        <v>0</v>
      </c>
    </row>
    <row r="901" spans="2:11" x14ac:dyDescent="0.25">
      <c r="B901" t="s">
        <v>341</v>
      </c>
      <c r="C901" t="s">
        <v>304</v>
      </c>
      <c r="D901">
        <v>703449</v>
      </c>
      <c r="E901" t="s">
        <v>259</v>
      </c>
      <c r="F901" t="s">
        <v>21</v>
      </c>
      <c r="G901" t="s">
        <v>22</v>
      </c>
      <c r="H901" t="s">
        <v>23</v>
      </c>
      <c r="J901">
        <v>0</v>
      </c>
      <c r="K901">
        <v>0</v>
      </c>
    </row>
    <row r="902" spans="2:11" x14ac:dyDescent="0.25">
      <c r="B902" t="s">
        <v>341</v>
      </c>
      <c r="C902" t="s">
        <v>304</v>
      </c>
      <c r="D902">
        <v>703450</v>
      </c>
      <c r="E902" t="s">
        <v>260</v>
      </c>
      <c r="F902" t="s">
        <v>21</v>
      </c>
      <c r="G902" t="s">
        <v>71</v>
      </c>
      <c r="H902" t="s">
        <v>88</v>
      </c>
      <c r="J902">
        <v>0</v>
      </c>
      <c r="K902">
        <v>0</v>
      </c>
    </row>
    <row r="903" spans="2:11" x14ac:dyDescent="0.25">
      <c r="B903" t="s">
        <v>341</v>
      </c>
      <c r="C903" t="s">
        <v>304</v>
      </c>
      <c r="D903">
        <v>703510</v>
      </c>
      <c r="E903" t="s">
        <v>261</v>
      </c>
      <c r="F903" t="s">
        <v>21</v>
      </c>
      <c r="G903" t="s">
        <v>22</v>
      </c>
      <c r="H903" t="s">
        <v>23</v>
      </c>
      <c r="J903">
        <v>0</v>
      </c>
      <c r="K903">
        <v>0</v>
      </c>
    </row>
    <row r="904" spans="2:11" x14ac:dyDescent="0.25">
      <c r="B904" t="s">
        <v>341</v>
      </c>
      <c r="C904" t="s">
        <v>304</v>
      </c>
      <c r="D904">
        <v>703511</v>
      </c>
      <c r="E904" t="s">
        <v>262</v>
      </c>
      <c r="F904" t="s">
        <v>21</v>
      </c>
      <c r="G904" t="s">
        <v>22</v>
      </c>
      <c r="H904" t="s">
        <v>23</v>
      </c>
      <c r="J904">
        <v>0</v>
      </c>
      <c r="K904">
        <v>0</v>
      </c>
    </row>
    <row r="905" spans="2:11" x14ac:dyDescent="0.25">
      <c r="B905" t="s">
        <v>341</v>
      </c>
      <c r="C905" t="s">
        <v>304</v>
      </c>
      <c r="D905">
        <v>703512</v>
      </c>
      <c r="E905" t="s">
        <v>263</v>
      </c>
      <c r="F905" t="s">
        <v>21</v>
      </c>
      <c r="G905" t="s">
        <v>22</v>
      </c>
      <c r="H905" t="s">
        <v>23</v>
      </c>
      <c r="J905">
        <v>0</v>
      </c>
      <c r="K905">
        <v>0</v>
      </c>
    </row>
    <row r="906" spans="2:11" x14ac:dyDescent="0.25">
      <c r="B906" t="s">
        <v>341</v>
      </c>
      <c r="C906" t="s">
        <v>304</v>
      </c>
      <c r="D906">
        <v>703513</v>
      </c>
      <c r="E906" t="s">
        <v>264</v>
      </c>
      <c r="F906" t="s">
        <v>21</v>
      </c>
      <c r="G906" t="s">
        <v>22</v>
      </c>
      <c r="H906" t="s">
        <v>23</v>
      </c>
      <c r="J906">
        <v>0</v>
      </c>
      <c r="K906">
        <v>0</v>
      </c>
    </row>
    <row r="907" spans="2:11" x14ac:dyDescent="0.25">
      <c r="B907" t="s">
        <v>341</v>
      </c>
      <c r="C907" t="s">
        <v>304</v>
      </c>
      <c r="D907">
        <v>703514</v>
      </c>
      <c r="E907" t="s">
        <v>265</v>
      </c>
      <c r="F907" t="s">
        <v>21</v>
      </c>
      <c r="G907" t="s">
        <v>22</v>
      </c>
      <c r="H907" t="s">
        <v>23</v>
      </c>
      <c r="J907">
        <v>0</v>
      </c>
      <c r="K907">
        <v>0</v>
      </c>
    </row>
    <row r="908" spans="2:11" x14ac:dyDescent="0.25">
      <c r="B908" t="s">
        <v>341</v>
      </c>
      <c r="C908" t="s">
        <v>304</v>
      </c>
      <c r="D908">
        <v>703515</v>
      </c>
      <c r="E908" t="s">
        <v>266</v>
      </c>
      <c r="F908" t="s">
        <v>21</v>
      </c>
      <c r="G908" t="s">
        <v>22</v>
      </c>
      <c r="H908" t="s">
        <v>23</v>
      </c>
      <c r="J908">
        <v>0</v>
      </c>
      <c r="K908">
        <v>0</v>
      </c>
    </row>
    <row r="909" spans="2:11" x14ac:dyDescent="0.25">
      <c r="B909" t="s">
        <v>341</v>
      </c>
      <c r="C909" t="s">
        <v>304</v>
      </c>
      <c r="D909">
        <v>703520</v>
      </c>
      <c r="E909" t="s">
        <v>267</v>
      </c>
      <c r="F909" t="s">
        <v>21</v>
      </c>
      <c r="G909" t="s">
        <v>22</v>
      </c>
      <c r="H909" t="s">
        <v>23</v>
      </c>
      <c r="J909">
        <v>0</v>
      </c>
      <c r="K909">
        <v>0</v>
      </c>
    </row>
    <row r="910" spans="2:11" x14ac:dyDescent="0.25">
      <c r="B910" t="s">
        <v>341</v>
      </c>
      <c r="C910" t="s">
        <v>304</v>
      </c>
      <c r="D910">
        <v>703530</v>
      </c>
      <c r="E910" t="s">
        <v>268</v>
      </c>
      <c r="F910" t="s">
        <v>21</v>
      </c>
      <c r="G910" t="s">
        <v>22</v>
      </c>
      <c r="H910" t="s">
        <v>23</v>
      </c>
      <c r="J910">
        <v>0</v>
      </c>
      <c r="K910">
        <v>0</v>
      </c>
    </row>
    <row r="911" spans="2:11" x14ac:dyDescent="0.25">
      <c r="B911" t="s">
        <v>341</v>
      </c>
      <c r="C911" t="s">
        <v>304</v>
      </c>
      <c r="D911">
        <v>703540</v>
      </c>
      <c r="E911" t="s">
        <v>269</v>
      </c>
      <c r="F911" t="s">
        <v>21</v>
      </c>
      <c r="G911" t="s">
        <v>22</v>
      </c>
      <c r="H911" t="s">
        <v>23</v>
      </c>
      <c r="J911">
        <v>0</v>
      </c>
      <c r="K911">
        <v>0</v>
      </c>
    </row>
    <row r="912" spans="2:11" x14ac:dyDescent="0.25">
      <c r="B912" t="s">
        <v>341</v>
      </c>
      <c r="C912" t="s">
        <v>304</v>
      </c>
      <c r="D912">
        <v>703550</v>
      </c>
      <c r="E912" t="s">
        <v>270</v>
      </c>
      <c r="F912" t="s">
        <v>21</v>
      </c>
      <c r="G912" t="s">
        <v>22</v>
      </c>
      <c r="H912" t="s">
        <v>23</v>
      </c>
      <c r="J912">
        <v>0</v>
      </c>
      <c r="K912">
        <v>0</v>
      </c>
    </row>
    <row r="913" spans="2:11" x14ac:dyDescent="0.25">
      <c r="B913" t="s">
        <v>341</v>
      </c>
      <c r="C913" t="s">
        <v>304</v>
      </c>
      <c r="D913">
        <v>703560</v>
      </c>
      <c r="E913" t="s">
        <v>271</v>
      </c>
      <c r="F913" t="s">
        <v>21</v>
      </c>
      <c r="G913" t="s">
        <v>22</v>
      </c>
      <c r="H913" t="s">
        <v>23</v>
      </c>
      <c r="J913">
        <v>0</v>
      </c>
      <c r="K913">
        <v>0</v>
      </c>
    </row>
    <row r="914" spans="2:11" x14ac:dyDescent="0.25">
      <c r="B914" t="s">
        <v>341</v>
      </c>
      <c r="C914" t="s">
        <v>304</v>
      </c>
      <c r="D914">
        <v>703570</v>
      </c>
      <c r="E914" t="s">
        <v>272</v>
      </c>
      <c r="F914" t="s">
        <v>21</v>
      </c>
      <c r="G914" t="s">
        <v>22</v>
      </c>
      <c r="H914" t="s">
        <v>23</v>
      </c>
      <c r="J914">
        <v>0</v>
      </c>
      <c r="K914">
        <v>0</v>
      </c>
    </row>
    <row r="915" spans="2:11" x14ac:dyDescent="0.25">
      <c r="B915" t="s">
        <v>341</v>
      </c>
      <c r="C915" t="s">
        <v>304</v>
      </c>
      <c r="D915">
        <v>703571</v>
      </c>
      <c r="E915" t="s">
        <v>273</v>
      </c>
      <c r="F915" t="s">
        <v>21</v>
      </c>
      <c r="G915" t="s">
        <v>22</v>
      </c>
      <c r="H915" t="s">
        <v>23</v>
      </c>
      <c r="J915">
        <v>0</v>
      </c>
    </row>
    <row r="916" spans="2:11" x14ac:dyDescent="0.25">
      <c r="B916" t="s">
        <v>341</v>
      </c>
      <c r="C916" t="s">
        <v>304</v>
      </c>
      <c r="D916">
        <v>703572</v>
      </c>
      <c r="E916" t="s">
        <v>274</v>
      </c>
      <c r="F916" t="s">
        <v>21</v>
      </c>
      <c r="G916" t="s">
        <v>22</v>
      </c>
      <c r="H916" t="s">
        <v>23</v>
      </c>
      <c r="J916">
        <v>0</v>
      </c>
    </row>
    <row r="917" spans="2:11" x14ac:dyDescent="0.25">
      <c r="B917" t="s">
        <v>341</v>
      </c>
      <c r="C917" t="s">
        <v>304</v>
      </c>
      <c r="D917">
        <v>703573</v>
      </c>
      <c r="E917" t="s">
        <v>275</v>
      </c>
      <c r="F917" t="s">
        <v>21</v>
      </c>
      <c r="G917" t="s">
        <v>22</v>
      </c>
      <c r="H917" t="s">
        <v>23</v>
      </c>
      <c r="J917">
        <v>0</v>
      </c>
    </row>
    <row r="918" spans="2:11" x14ac:dyDescent="0.25">
      <c r="B918" t="s">
        <v>341</v>
      </c>
      <c r="C918" t="s">
        <v>304</v>
      </c>
      <c r="D918">
        <v>703574</v>
      </c>
      <c r="E918" t="s">
        <v>276</v>
      </c>
      <c r="F918" t="s">
        <v>21</v>
      </c>
      <c r="G918" t="s">
        <v>22</v>
      </c>
      <c r="H918" t="s">
        <v>23</v>
      </c>
      <c r="J918">
        <v>0</v>
      </c>
    </row>
    <row r="919" spans="2:11" x14ac:dyDescent="0.25">
      <c r="B919" t="s">
        <v>341</v>
      </c>
      <c r="C919" t="s">
        <v>304</v>
      </c>
      <c r="D919">
        <v>703580</v>
      </c>
      <c r="E919" t="s">
        <v>277</v>
      </c>
      <c r="F919" t="s">
        <v>21</v>
      </c>
      <c r="G919" t="s">
        <v>22</v>
      </c>
      <c r="H919" t="s">
        <v>23</v>
      </c>
      <c r="J919">
        <v>0</v>
      </c>
      <c r="K919">
        <v>0</v>
      </c>
    </row>
    <row r="920" spans="2:11" x14ac:dyDescent="0.25">
      <c r="B920" t="s">
        <v>341</v>
      </c>
      <c r="C920" t="s">
        <v>304</v>
      </c>
      <c r="D920">
        <v>703590</v>
      </c>
      <c r="E920" t="s">
        <v>278</v>
      </c>
      <c r="F920" t="s">
        <v>21</v>
      </c>
      <c r="G920" t="s">
        <v>22</v>
      </c>
      <c r="H920" t="s">
        <v>23</v>
      </c>
      <c r="J920">
        <v>0</v>
      </c>
      <c r="K920">
        <v>0</v>
      </c>
    </row>
    <row r="921" spans="2:11" x14ac:dyDescent="0.25">
      <c r="B921" t="s">
        <v>341</v>
      </c>
      <c r="C921" t="s">
        <v>304</v>
      </c>
      <c r="D921">
        <v>703650</v>
      </c>
      <c r="E921" t="s">
        <v>279</v>
      </c>
      <c r="F921" t="s">
        <v>21</v>
      </c>
      <c r="G921" t="s">
        <v>22</v>
      </c>
      <c r="H921" t="s">
        <v>23</v>
      </c>
      <c r="J921">
        <v>0</v>
      </c>
      <c r="K921">
        <v>0</v>
      </c>
    </row>
    <row r="922" spans="2:11" x14ac:dyDescent="0.25">
      <c r="B922" t="s">
        <v>341</v>
      </c>
      <c r="C922" t="s">
        <v>304</v>
      </c>
      <c r="D922">
        <v>703651</v>
      </c>
      <c r="E922" t="s">
        <v>280</v>
      </c>
      <c r="F922" t="s">
        <v>21</v>
      </c>
      <c r="G922" t="s">
        <v>22</v>
      </c>
      <c r="H922" t="s">
        <v>23</v>
      </c>
      <c r="J922">
        <v>0</v>
      </c>
      <c r="K922">
        <v>0</v>
      </c>
    </row>
    <row r="923" spans="2:11" x14ac:dyDescent="0.25">
      <c r="B923" t="s">
        <v>341</v>
      </c>
      <c r="C923" t="s">
        <v>304</v>
      </c>
      <c r="D923">
        <v>703850</v>
      </c>
      <c r="E923" t="s">
        <v>281</v>
      </c>
      <c r="F923" t="s">
        <v>21</v>
      </c>
      <c r="G923" t="s">
        <v>22</v>
      </c>
      <c r="H923" t="s">
        <v>23</v>
      </c>
      <c r="J923">
        <v>0</v>
      </c>
      <c r="K923">
        <v>0</v>
      </c>
    </row>
    <row r="924" spans="2:11" x14ac:dyDescent="0.25">
      <c r="B924" t="s">
        <v>341</v>
      </c>
      <c r="C924" t="s">
        <v>304</v>
      </c>
      <c r="D924">
        <v>703851</v>
      </c>
      <c r="E924" t="s">
        <v>282</v>
      </c>
      <c r="F924" t="s">
        <v>21</v>
      </c>
      <c r="G924" t="s">
        <v>22</v>
      </c>
      <c r="H924" t="s">
        <v>23</v>
      </c>
      <c r="J924">
        <v>0</v>
      </c>
      <c r="K924">
        <v>0</v>
      </c>
    </row>
    <row r="925" spans="2:11" x14ac:dyDescent="0.25">
      <c r="B925" t="s">
        <v>341</v>
      </c>
      <c r="C925" t="s">
        <v>304</v>
      </c>
      <c r="D925">
        <v>703852</v>
      </c>
      <c r="E925" t="s">
        <v>283</v>
      </c>
      <c r="F925" t="s">
        <v>21</v>
      </c>
      <c r="G925" t="s">
        <v>22</v>
      </c>
      <c r="H925" t="s">
        <v>23</v>
      </c>
      <c r="I925" t="s">
        <v>105</v>
      </c>
      <c r="J925">
        <v>211729.45</v>
      </c>
      <c r="K925">
        <v>211729.45</v>
      </c>
    </row>
    <row r="926" spans="2:11" x14ac:dyDescent="0.25">
      <c r="B926" t="s">
        <v>341</v>
      </c>
      <c r="C926" t="s">
        <v>304</v>
      </c>
      <c r="D926">
        <v>703853</v>
      </c>
      <c r="E926" t="s">
        <v>284</v>
      </c>
      <c r="F926" t="s">
        <v>21</v>
      </c>
      <c r="G926" t="s">
        <v>22</v>
      </c>
      <c r="H926" t="s">
        <v>23</v>
      </c>
      <c r="J926">
        <v>0</v>
      </c>
      <c r="K926">
        <v>0</v>
      </c>
    </row>
    <row r="927" spans="2:11" x14ac:dyDescent="0.25">
      <c r="B927" t="s">
        <v>341</v>
      </c>
      <c r="C927" t="s">
        <v>304</v>
      </c>
      <c r="D927">
        <v>703854</v>
      </c>
      <c r="E927" t="s">
        <v>285</v>
      </c>
      <c r="F927" t="s">
        <v>21</v>
      </c>
      <c r="G927" t="s">
        <v>22</v>
      </c>
      <c r="H927" t="s">
        <v>115</v>
      </c>
      <c r="J927">
        <v>0</v>
      </c>
      <c r="K927">
        <v>0</v>
      </c>
    </row>
    <row r="928" spans="2:11" x14ac:dyDescent="0.25">
      <c r="B928" t="s">
        <v>341</v>
      </c>
      <c r="C928" t="s">
        <v>304</v>
      </c>
      <c r="D928">
        <v>703855</v>
      </c>
      <c r="E928" t="s">
        <v>286</v>
      </c>
      <c r="F928" t="s">
        <v>21</v>
      </c>
      <c r="G928" t="s">
        <v>22</v>
      </c>
      <c r="H928" t="s">
        <v>23</v>
      </c>
      <c r="I928" t="s">
        <v>105</v>
      </c>
      <c r="J928">
        <v>150000</v>
      </c>
      <c r="K928">
        <v>150000</v>
      </c>
    </row>
    <row r="929" spans="2:11" x14ac:dyDescent="0.25">
      <c r="B929" t="s">
        <v>341</v>
      </c>
      <c r="C929" t="s">
        <v>304</v>
      </c>
      <c r="D929">
        <v>703856</v>
      </c>
      <c r="E929" t="s">
        <v>287</v>
      </c>
      <c r="F929" t="s">
        <v>21</v>
      </c>
      <c r="G929" t="s">
        <v>22</v>
      </c>
      <c r="H929" t="s">
        <v>23</v>
      </c>
      <c r="J929">
        <v>0</v>
      </c>
      <c r="K929">
        <v>0</v>
      </c>
    </row>
    <row r="930" spans="2:11" x14ac:dyDescent="0.25">
      <c r="B930" t="s">
        <v>341</v>
      </c>
      <c r="C930" t="s">
        <v>304</v>
      </c>
      <c r="D930">
        <v>703857</v>
      </c>
      <c r="E930" t="s">
        <v>288</v>
      </c>
      <c r="F930" t="s">
        <v>21</v>
      </c>
      <c r="G930" t="s">
        <v>71</v>
      </c>
      <c r="H930" t="s">
        <v>88</v>
      </c>
      <c r="J930">
        <v>0</v>
      </c>
      <c r="K930">
        <v>0</v>
      </c>
    </row>
    <row r="931" spans="2:11" x14ac:dyDescent="0.25">
      <c r="B931" t="s">
        <v>341</v>
      </c>
      <c r="C931" t="s">
        <v>304</v>
      </c>
      <c r="D931">
        <v>703858</v>
      </c>
      <c r="E931" t="s">
        <v>289</v>
      </c>
      <c r="F931" t="s">
        <v>21</v>
      </c>
      <c r="G931" t="s">
        <v>22</v>
      </c>
      <c r="H931" t="s">
        <v>23</v>
      </c>
      <c r="J931">
        <v>0</v>
      </c>
      <c r="K931">
        <v>0</v>
      </c>
    </row>
    <row r="932" spans="2:11" x14ac:dyDescent="0.25">
      <c r="B932" t="s">
        <v>341</v>
      </c>
      <c r="C932" t="s">
        <v>304</v>
      </c>
      <c r="D932">
        <v>703859</v>
      </c>
      <c r="E932" t="s">
        <v>290</v>
      </c>
      <c r="F932" t="s">
        <v>21</v>
      </c>
      <c r="G932" t="s">
        <v>22</v>
      </c>
      <c r="H932" t="s">
        <v>23</v>
      </c>
      <c r="J932">
        <v>0</v>
      </c>
      <c r="K932">
        <v>0</v>
      </c>
    </row>
    <row r="933" spans="2:11" x14ac:dyDescent="0.25">
      <c r="B933" t="s">
        <v>341</v>
      </c>
      <c r="C933" t="s">
        <v>304</v>
      </c>
      <c r="D933">
        <v>703860</v>
      </c>
      <c r="E933" t="s">
        <v>291</v>
      </c>
      <c r="F933" t="s">
        <v>21</v>
      </c>
      <c r="G933" t="s">
        <v>22</v>
      </c>
      <c r="H933" t="s">
        <v>23</v>
      </c>
      <c r="J933">
        <v>0</v>
      </c>
      <c r="K933">
        <v>0</v>
      </c>
    </row>
    <row r="934" spans="2:11" x14ac:dyDescent="0.25">
      <c r="B934" t="s">
        <v>341</v>
      </c>
      <c r="C934" t="s">
        <v>304</v>
      </c>
      <c r="D934">
        <v>703861</v>
      </c>
      <c r="E934" t="s">
        <v>292</v>
      </c>
      <c r="F934" t="s">
        <v>21</v>
      </c>
      <c r="G934" t="s">
        <v>22</v>
      </c>
      <c r="H934" t="s">
        <v>23</v>
      </c>
      <c r="J934">
        <v>0</v>
      </c>
      <c r="K934">
        <v>0</v>
      </c>
    </row>
    <row r="935" spans="2:11" x14ac:dyDescent="0.25">
      <c r="B935" t="s">
        <v>341</v>
      </c>
      <c r="C935" t="s">
        <v>304</v>
      </c>
      <c r="D935">
        <v>703862</v>
      </c>
      <c r="E935" t="s">
        <v>293</v>
      </c>
      <c r="F935" t="s">
        <v>21</v>
      </c>
      <c r="G935" t="s">
        <v>22</v>
      </c>
      <c r="H935" t="s">
        <v>23</v>
      </c>
      <c r="J935">
        <v>0</v>
      </c>
      <c r="K935">
        <v>0</v>
      </c>
    </row>
    <row r="936" spans="2:11" x14ac:dyDescent="0.25">
      <c r="B936" t="s">
        <v>341</v>
      </c>
      <c r="C936" t="s">
        <v>304</v>
      </c>
      <c r="D936">
        <v>703870</v>
      </c>
      <c r="E936" t="s">
        <v>294</v>
      </c>
      <c r="F936" t="s">
        <v>21</v>
      </c>
      <c r="G936" t="s">
        <v>22</v>
      </c>
      <c r="H936" t="s">
        <v>23</v>
      </c>
      <c r="J936">
        <v>0</v>
      </c>
      <c r="K936">
        <v>0</v>
      </c>
    </row>
    <row r="937" spans="2:11" x14ac:dyDescent="0.25">
      <c r="B937" t="s">
        <v>341</v>
      </c>
      <c r="C937" t="s">
        <v>304</v>
      </c>
      <c r="D937">
        <v>703880</v>
      </c>
      <c r="E937" t="s">
        <v>295</v>
      </c>
      <c r="F937" t="s">
        <v>21</v>
      </c>
      <c r="G937" t="s">
        <v>22</v>
      </c>
      <c r="H937" t="s">
        <v>23</v>
      </c>
      <c r="J937">
        <v>0</v>
      </c>
      <c r="K937">
        <v>0</v>
      </c>
    </row>
    <row r="938" spans="2:11" x14ac:dyDescent="0.25">
      <c r="B938" t="s">
        <v>341</v>
      </c>
      <c r="C938" t="s">
        <v>304</v>
      </c>
      <c r="D938">
        <v>703899</v>
      </c>
      <c r="E938" t="s">
        <v>296</v>
      </c>
      <c r="F938" t="s">
        <v>21</v>
      </c>
      <c r="G938" t="s">
        <v>22</v>
      </c>
      <c r="H938" t="s">
        <v>23</v>
      </c>
      <c r="J938">
        <v>0</v>
      </c>
      <c r="K938">
        <v>0</v>
      </c>
    </row>
    <row r="939" spans="2:11" x14ac:dyDescent="0.25">
      <c r="B939" t="s">
        <v>341</v>
      </c>
      <c r="C939" t="s">
        <v>304</v>
      </c>
      <c r="D939">
        <v>706700</v>
      </c>
      <c r="E939" t="s">
        <v>25</v>
      </c>
      <c r="F939" t="s">
        <v>26</v>
      </c>
      <c r="G939" t="s">
        <v>27</v>
      </c>
      <c r="H939" t="s">
        <v>28</v>
      </c>
      <c r="J939">
        <v>3148603.6</v>
      </c>
      <c r="K939">
        <v>3148603.6</v>
      </c>
    </row>
    <row r="940" spans="2:11" x14ac:dyDescent="0.25">
      <c r="B940" t="s">
        <v>341</v>
      </c>
      <c r="C940" t="s">
        <v>304</v>
      </c>
      <c r="D940" t="s">
        <v>29</v>
      </c>
      <c r="E940" t="s">
        <v>30</v>
      </c>
      <c r="F940" t="s">
        <v>26</v>
      </c>
      <c r="G940" t="s">
        <v>27</v>
      </c>
      <c r="H940" t="s">
        <v>31</v>
      </c>
      <c r="J940">
        <v>0</v>
      </c>
      <c r="K940">
        <v>0</v>
      </c>
    </row>
    <row r="941" spans="2:11" x14ac:dyDescent="0.25">
      <c r="B941" t="s">
        <v>341</v>
      </c>
      <c r="C941" t="s">
        <v>304</v>
      </c>
      <c r="D941" t="s">
        <v>32</v>
      </c>
      <c r="E941" t="s">
        <v>33</v>
      </c>
      <c r="F941" t="s">
        <v>26</v>
      </c>
      <c r="G941" t="s">
        <v>27</v>
      </c>
      <c r="H941" t="s">
        <v>28</v>
      </c>
      <c r="J941">
        <v>0</v>
      </c>
      <c r="K941">
        <v>0</v>
      </c>
    </row>
    <row r="942" spans="2:11" x14ac:dyDescent="0.25">
      <c r="B942" t="s">
        <v>341</v>
      </c>
      <c r="C942" t="s">
        <v>304</v>
      </c>
      <c r="D942" t="s">
        <v>34</v>
      </c>
      <c r="E942" t="s">
        <v>35</v>
      </c>
      <c r="F942" t="s">
        <v>26</v>
      </c>
      <c r="G942" t="s">
        <v>36</v>
      </c>
      <c r="H942" t="s">
        <v>36</v>
      </c>
      <c r="J942">
        <v>0</v>
      </c>
      <c r="K942">
        <v>0</v>
      </c>
    </row>
    <row r="943" spans="2:11" x14ac:dyDescent="0.25">
      <c r="B943" t="s">
        <v>341</v>
      </c>
      <c r="C943" t="s">
        <v>304</v>
      </c>
      <c r="D943" t="s">
        <v>37</v>
      </c>
      <c r="E943" t="s">
        <v>38</v>
      </c>
      <c r="F943" t="s">
        <v>21</v>
      </c>
      <c r="G943" t="s">
        <v>39</v>
      </c>
      <c r="H943" t="s">
        <v>39</v>
      </c>
      <c r="J943">
        <v>0</v>
      </c>
      <c r="K943">
        <v>0</v>
      </c>
    </row>
    <row r="944" spans="2:11" x14ac:dyDescent="0.25">
      <c r="B944" t="s">
        <v>341</v>
      </c>
      <c r="C944" t="s">
        <v>304</v>
      </c>
      <c r="D944" t="s">
        <v>40</v>
      </c>
      <c r="E944" t="s">
        <v>41</v>
      </c>
      <c r="F944" t="s">
        <v>26</v>
      </c>
      <c r="G944" t="s">
        <v>39</v>
      </c>
      <c r="H944" t="s">
        <v>39</v>
      </c>
      <c r="I944" t="s">
        <v>105</v>
      </c>
      <c r="J944">
        <v>365072.5</v>
      </c>
      <c r="K944">
        <v>365072.5</v>
      </c>
    </row>
    <row r="945" spans="2:11" x14ac:dyDescent="0.25">
      <c r="B945" t="s">
        <v>341</v>
      </c>
      <c r="C945" t="s">
        <v>304</v>
      </c>
      <c r="D945" t="s">
        <v>42</v>
      </c>
      <c r="E945" t="s">
        <v>43</v>
      </c>
      <c r="F945" t="s">
        <v>21</v>
      </c>
      <c r="G945" t="s">
        <v>44</v>
      </c>
      <c r="H945" t="s">
        <v>44</v>
      </c>
      <c r="J945">
        <v>0</v>
      </c>
      <c r="K945">
        <v>0</v>
      </c>
    </row>
    <row r="946" spans="2:11" x14ac:dyDescent="0.25">
      <c r="B946" t="s">
        <v>341</v>
      </c>
      <c r="C946" t="s">
        <v>304</v>
      </c>
      <c r="D946" t="s">
        <v>45</v>
      </c>
      <c r="E946" t="s">
        <v>46</v>
      </c>
      <c r="F946" t="s">
        <v>26</v>
      </c>
      <c r="G946" t="s">
        <v>44</v>
      </c>
      <c r="H946" t="s">
        <v>44</v>
      </c>
      <c r="J946">
        <v>0</v>
      </c>
      <c r="K946">
        <v>0</v>
      </c>
    </row>
    <row r="947" spans="2:11" x14ac:dyDescent="0.25">
      <c r="B947" t="s">
        <v>341</v>
      </c>
      <c r="C947" t="s">
        <v>304</v>
      </c>
      <c r="D947" t="s">
        <v>297</v>
      </c>
      <c r="E947" t="s">
        <v>298</v>
      </c>
      <c r="F947" t="s">
        <v>26</v>
      </c>
      <c r="G947" t="s">
        <v>299</v>
      </c>
      <c r="H947" t="s">
        <v>299</v>
      </c>
      <c r="J947">
        <v>0</v>
      </c>
    </row>
    <row r="948" spans="2:11" x14ac:dyDescent="0.25">
      <c r="B948" t="s">
        <v>341</v>
      </c>
      <c r="C948" t="s">
        <v>304</v>
      </c>
      <c r="D948" t="s">
        <v>300</v>
      </c>
      <c r="E948" t="s">
        <v>301</v>
      </c>
      <c r="F948" t="s">
        <v>21</v>
      </c>
      <c r="G948" t="s">
        <v>299</v>
      </c>
      <c r="H948" t="s">
        <v>299</v>
      </c>
      <c r="J948">
        <v>0</v>
      </c>
    </row>
    <row r="949" spans="2:11" x14ac:dyDescent="0.25">
      <c r="B949" t="s">
        <v>341</v>
      </c>
      <c r="C949" t="s">
        <v>304</v>
      </c>
      <c r="D949" t="s">
        <v>47</v>
      </c>
      <c r="E949" t="s">
        <v>48</v>
      </c>
      <c r="F949" t="s">
        <v>26</v>
      </c>
      <c r="G949" t="s">
        <v>49</v>
      </c>
      <c r="H949" t="s">
        <v>49</v>
      </c>
      <c r="J949">
        <v>0</v>
      </c>
      <c r="K949">
        <v>0</v>
      </c>
    </row>
    <row r="950" spans="2:11" x14ac:dyDescent="0.25">
      <c r="B950" t="s">
        <v>6</v>
      </c>
      <c r="C950" t="s">
        <v>7</v>
      </c>
      <c r="D950">
        <v>701000</v>
      </c>
      <c r="E950" t="s">
        <v>51</v>
      </c>
      <c r="F950" t="s">
        <v>21</v>
      </c>
      <c r="G950" t="s">
        <v>52</v>
      </c>
      <c r="H950" t="s">
        <v>53</v>
      </c>
      <c r="J950">
        <v>0</v>
      </c>
      <c r="K950">
        <v>0</v>
      </c>
    </row>
    <row r="951" spans="2:11" x14ac:dyDescent="0.25">
      <c r="B951" t="s">
        <v>6</v>
      </c>
      <c r="C951" t="s">
        <v>7</v>
      </c>
      <c r="D951">
        <v>701008</v>
      </c>
      <c r="E951" t="s">
        <v>54</v>
      </c>
      <c r="F951" t="s">
        <v>21</v>
      </c>
      <c r="G951" t="s">
        <v>52</v>
      </c>
      <c r="H951" t="s">
        <v>53</v>
      </c>
      <c r="J951">
        <v>0</v>
      </c>
      <c r="K951">
        <v>0</v>
      </c>
    </row>
    <row r="952" spans="2:11" x14ac:dyDescent="0.25">
      <c r="B952" t="s">
        <v>6</v>
      </c>
      <c r="C952" t="s">
        <v>7</v>
      </c>
      <c r="D952">
        <v>701009</v>
      </c>
      <c r="E952" t="s">
        <v>55</v>
      </c>
      <c r="F952" t="s">
        <v>21</v>
      </c>
      <c r="G952" t="s">
        <v>52</v>
      </c>
      <c r="H952" t="s">
        <v>53</v>
      </c>
      <c r="J952">
        <v>0</v>
      </c>
      <c r="K952">
        <v>0</v>
      </c>
    </row>
    <row r="953" spans="2:11" x14ac:dyDescent="0.25">
      <c r="B953" t="s">
        <v>6</v>
      </c>
      <c r="C953" t="s">
        <v>7</v>
      </c>
      <c r="D953">
        <v>701010</v>
      </c>
      <c r="E953" t="s">
        <v>56</v>
      </c>
      <c r="F953" t="s">
        <v>21</v>
      </c>
      <c r="G953" t="s">
        <v>52</v>
      </c>
      <c r="H953" t="s">
        <v>57</v>
      </c>
      <c r="J953">
        <v>0</v>
      </c>
      <c r="K953">
        <v>0</v>
      </c>
    </row>
    <row r="954" spans="2:11" x14ac:dyDescent="0.25">
      <c r="B954" t="s">
        <v>6</v>
      </c>
      <c r="C954" t="s">
        <v>7</v>
      </c>
      <c r="D954">
        <v>701011</v>
      </c>
      <c r="E954" t="s">
        <v>58</v>
      </c>
      <c r="F954" t="s">
        <v>21</v>
      </c>
      <c r="G954" t="s">
        <v>52</v>
      </c>
      <c r="H954" t="s">
        <v>53</v>
      </c>
      <c r="J954">
        <v>0</v>
      </c>
      <c r="K954">
        <v>0</v>
      </c>
    </row>
    <row r="955" spans="2:11" x14ac:dyDescent="0.25">
      <c r="B955" t="s">
        <v>6</v>
      </c>
      <c r="C955" t="s">
        <v>7</v>
      </c>
      <c r="D955">
        <v>701012</v>
      </c>
      <c r="E955" t="s">
        <v>59</v>
      </c>
      <c r="F955" t="s">
        <v>21</v>
      </c>
      <c r="G955" t="s">
        <v>52</v>
      </c>
      <c r="H955" t="s">
        <v>53</v>
      </c>
      <c r="J955">
        <v>0</v>
      </c>
      <c r="K955">
        <v>0</v>
      </c>
    </row>
    <row r="956" spans="2:11" x14ac:dyDescent="0.25">
      <c r="B956" t="s">
        <v>6</v>
      </c>
      <c r="C956" t="s">
        <v>7</v>
      </c>
      <c r="D956">
        <v>701013</v>
      </c>
      <c r="E956" t="s">
        <v>60</v>
      </c>
      <c r="F956" t="s">
        <v>21</v>
      </c>
      <c r="G956" t="s">
        <v>61</v>
      </c>
      <c r="H956" t="s">
        <v>62</v>
      </c>
      <c r="J956">
        <v>0</v>
      </c>
      <c r="K956">
        <v>0</v>
      </c>
    </row>
    <row r="957" spans="2:11" x14ac:dyDescent="0.25">
      <c r="B957" t="s">
        <v>6</v>
      </c>
      <c r="C957" t="s">
        <v>7</v>
      </c>
      <c r="D957">
        <v>701014</v>
      </c>
      <c r="E957" t="s">
        <v>63</v>
      </c>
      <c r="F957" t="s">
        <v>21</v>
      </c>
      <c r="G957" t="s">
        <v>61</v>
      </c>
      <c r="H957" t="s">
        <v>64</v>
      </c>
      <c r="J957">
        <v>0</v>
      </c>
      <c r="K957">
        <v>0</v>
      </c>
    </row>
    <row r="958" spans="2:11" x14ac:dyDescent="0.25">
      <c r="B958" t="s">
        <v>6</v>
      </c>
      <c r="C958" t="s">
        <v>7</v>
      </c>
      <c r="D958">
        <v>701015</v>
      </c>
      <c r="E958" t="s">
        <v>65</v>
      </c>
      <c r="F958" t="s">
        <v>21</v>
      </c>
      <c r="G958" t="s">
        <v>52</v>
      </c>
      <c r="H958" t="s">
        <v>53</v>
      </c>
      <c r="J958">
        <v>0</v>
      </c>
      <c r="K958">
        <v>0</v>
      </c>
    </row>
    <row r="959" spans="2:11" x14ac:dyDescent="0.25">
      <c r="B959" t="s">
        <v>6</v>
      </c>
      <c r="C959" t="s">
        <v>7</v>
      </c>
      <c r="D959">
        <v>701016</v>
      </c>
      <c r="E959" t="s">
        <v>66</v>
      </c>
      <c r="F959" t="s">
        <v>21</v>
      </c>
      <c r="G959" t="s">
        <v>52</v>
      </c>
      <c r="H959" t="s">
        <v>53</v>
      </c>
      <c r="J959">
        <v>0</v>
      </c>
      <c r="K959">
        <v>0</v>
      </c>
    </row>
    <row r="960" spans="2:11" x14ac:dyDescent="0.25">
      <c r="B960" t="s">
        <v>6</v>
      </c>
      <c r="C960" t="s">
        <v>7</v>
      </c>
      <c r="D960">
        <v>701017</v>
      </c>
      <c r="E960" t="s">
        <v>67</v>
      </c>
      <c r="F960" t="s">
        <v>21</v>
      </c>
      <c r="G960" t="s">
        <v>61</v>
      </c>
      <c r="H960" t="s">
        <v>68</v>
      </c>
      <c r="J960">
        <v>0</v>
      </c>
      <c r="K960">
        <v>0</v>
      </c>
    </row>
    <row r="961" spans="2:11" x14ac:dyDescent="0.25">
      <c r="B961" t="s">
        <v>6</v>
      </c>
      <c r="C961" t="s">
        <v>7</v>
      </c>
      <c r="D961">
        <v>701018</v>
      </c>
      <c r="E961" t="s">
        <v>69</v>
      </c>
      <c r="F961" t="s">
        <v>21</v>
      </c>
      <c r="G961" t="s">
        <v>61</v>
      </c>
      <c r="H961" t="s">
        <v>68</v>
      </c>
      <c r="J961">
        <v>0</v>
      </c>
      <c r="K961">
        <v>0</v>
      </c>
    </row>
    <row r="962" spans="2:11" x14ac:dyDescent="0.25">
      <c r="B962" t="s">
        <v>6</v>
      </c>
      <c r="C962" t="s">
        <v>7</v>
      </c>
      <c r="D962">
        <v>701019</v>
      </c>
      <c r="E962" t="s">
        <v>70</v>
      </c>
      <c r="F962" t="s">
        <v>21</v>
      </c>
      <c r="G962" t="s">
        <v>71</v>
      </c>
      <c r="H962" t="s">
        <v>72</v>
      </c>
      <c r="J962">
        <v>0</v>
      </c>
      <c r="K962">
        <v>0</v>
      </c>
    </row>
    <row r="963" spans="2:11" x14ac:dyDescent="0.25">
      <c r="B963" t="s">
        <v>6</v>
      </c>
      <c r="C963" t="s">
        <v>7</v>
      </c>
      <c r="D963">
        <v>701020</v>
      </c>
      <c r="E963" t="s">
        <v>73</v>
      </c>
      <c r="F963" t="s">
        <v>21</v>
      </c>
      <c r="G963" t="s">
        <v>52</v>
      </c>
      <c r="H963" t="s">
        <v>53</v>
      </c>
      <c r="J963">
        <v>0</v>
      </c>
      <c r="K963">
        <v>0</v>
      </c>
    </row>
    <row r="964" spans="2:11" x14ac:dyDescent="0.25">
      <c r="B964" t="s">
        <v>6</v>
      </c>
      <c r="C964" t="s">
        <v>7</v>
      </c>
      <c r="D964">
        <v>701021</v>
      </c>
      <c r="E964" t="s">
        <v>74</v>
      </c>
      <c r="F964" t="s">
        <v>21</v>
      </c>
      <c r="G964" t="s">
        <v>61</v>
      </c>
      <c r="H964" t="s">
        <v>74</v>
      </c>
      <c r="J964">
        <v>0</v>
      </c>
      <c r="K964">
        <v>0</v>
      </c>
    </row>
    <row r="965" spans="2:11" x14ac:dyDescent="0.25">
      <c r="B965" t="s">
        <v>6</v>
      </c>
      <c r="C965" t="s">
        <v>7</v>
      </c>
      <c r="D965">
        <v>701022</v>
      </c>
      <c r="E965" t="s">
        <v>75</v>
      </c>
      <c r="F965" t="s">
        <v>21</v>
      </c>
      <c r="G965" t="s">
        <v>76</v>
      </c>
      <c r="H965" t="s">
        <v>77</v>
      </c>
      <c r="J965">
        <v>0</v>
      </c>
      <c r="K965">
        <v>0</v>
      </c>
    </row>
    <row r="966" spans="2:11" x14ac:dyDescent="0.25">
      <c r="B966" t="s">
        <v>6</v>
      </c>
      <c r="C966" t="s">
        <v>7</v>
      </c>
      <c r="D966">
        <v>701023</v>
      </c>
      <c r="E966" t="s">
        <v>78</v>
      </c>
      <c r="F966" t="s">
        <v>21</v>
      </c>
      <c r="G966" t="s">
        <v>61</v>
      </c>
      <c r="H966" t="s">
        <v>79</v>
      </c>
      <c r="J966">
        <v>0</v>
      </c>
      <c r="K966">
        <v>0</v>
      </c>
    </row>
    <row r="967" spans="2:11" x14ac:dyDescent="0.25">
      <c r="B967" t="s">
        <v>6</v>
      </c>
      <c r="C967" t="s">
        <v>7</v>
      </c>
      <c r="D967">
        <v>701024</v>
      </c>
      <c r="E967" t="s">
        <v>80</v>
      </c>
      <c r="F967" t="s">
        <v>21</v>
      </c>
      <c r="G967" t="s">
        <v>76</v>
      </c>
      <c r="H967" t="s">
        <v>77</v>
      </c>
      <c r="J967">
        <v>0</v>
      </c>
      <c r="K967">
        <v>0</v>
      </c>
    </row>
    <row r="968" spans="2:11" x14ac:dyDescent="0.25">
      <c r="B968" t="s">
        <v>6</v>
      </c>
      <c r="C968" t="s">
        <v>7</v>
      </c>
      <c r="D968">
        <v>701025</v>
      </c>
      <c r="E968" t="s">
        <v>81</v>
      </c>
      <c r="F968" t="s">
        <v>21</v>
      </c>
      <c r="G968" t="s">
        <v>71</v>
      </c>
      <c r="H968" t="s">
        <v>82</v>
      </c>
      <c r="J968">
        <v>0</v>
      </c>
      <c r="K968">
        <v>0</v>
      </c>
    </row>
    <row r="969" spans="2:11" x14ac:dyDescent="0.25">
      <c r="B969" t="s">
        <v>6</v>
      </c>
      <c r="C969" t="s">
        <v>7</v>
      </c>
      <c r="D969">
        <v>701026</v>
      </c>
      <c r="E969" t="s">
        <v>83</v>
      </c>
      <c r="F969" t="s">
        <v>21</v>
      </c>
      <c r="G969" t="s">
        <v>76</v>
      </c>
      <c r="H969" t="s">
        <v>77</v>
      </c>
      <c r="J969">
        <v>0</v>
      </c>
      <c r="K969">
        <v>0</v>
      </c>
    </row>
    <row r="970" spans="2:11" x14ac:dyDescent="0.25">
      <c r="B970" t="s">
        <v>6</v>
      </c>
      <c r="C970" t="s">
        <v>7</v>
      </c>
      <c r="D970">
        <v>701027</v>
      </c>
      <c r="E970" t="s">
        <v>84</v>
      </c>
      <c r="F970" t="s">
        <v>21</v>
      </c>
      <c r="G970" t="s">
        <v>76</v>
      </c>
      <c r="H970" t="s">
        <v>77</v>
      </c>
      <c r="J970">
        <v>0</v>
      </c>
      <c r="K970">
        <v>0</v>
      </c>
    </row>
    <row r="971" spans="2:11" x14ac:dyDescent="0.25">
      <c r="B971" t="s">
        <v>6</v>
      </c>
      <c r="C971" t="s">
        <v>7</v>
      </c>
      <c r="D971">
        <v>701028</v>
      </c>
      <c r="E971" t="s">
        <v>85</v>
      </c>
      <c r="F971" t="s">
        <v>21</v>
      </c>
      <c r="G971" t="s">
        <v>61</v>
      </c>
      <c r="H971" t="s">
        <v>68</v>
      </c>
      <c r="J971">
        <v>0</v>
      </c>
      <c r="K971">
        <v>0</v>
      </c>
    </row>
    <row r="972" spans="2:11" x14ac:dyDescent="0.25">
      <c r="B972" t="s">
        <v>6</v>
      </c>
      <c r="C972" t="s">
        <v>7</v>
      </c>
      <c r="D972">
        <v>701029</v>
      </c>
      <c r="E972" t="s">
        <v>86</v>
      </c>
      <c r="F972" t="s">
        <v>21</v>
      </c>
      <c r="G972" t="s">
        <v>61</v>
      </c>
      <c r="H972" t="s">
        <v>68</v>
      </c>
      <c r="J972">
        <v>0</v>
      </c>
      <c r="K972">
        <v>0</v>
      </c>
    </row>
    <row r="973" spans="2:11" x14ac:dyDescent="0.25">
      <c r="B973" t="s">
        <v>6</v>
      </c>
      <c r="C973" t="s">
        <v>7</v>
      </c>
      <c r="D973">
        <v>701030</v>
      </c>
      <c r="E973" t="s">
        <v>87</v>
      </c>
      <c r="F973" t="s">
        <v>21</v>
      </c>
      <c r="G973" t="s">
        <v>71</v>
      </c>
      <c r="H973" t="s">
        <v>88</v>
      </c>
      <c r="J973">
        <v>0</v>
      </c>
      <c r="K973">
        <v>0</v>
      </c>
    </row>
    <row r="974" spans="2:11" x14ac:dyDescent="0.25">
      <c r="B974" t="s">
        <v>6</v>
      </c>
      <c r="C974" t="s">
        <v>7</v>
      </c>
      <c r="D974">
        <v>701031</v>
      </c>
      <c r="E974" t="s">
        <v>89</v>
      </c>
      <c r="F974" t="s">
        <v>21</v>
      </c>
      <c r="G974" t="s">
        <v>76</v>
      </c>
      <c r="H974" t="s">
        <v>77</v>
      </c>
      <c r="J974">
        <v>0</v>
      </c>
      <c r="K974">
        <v>0</v>
      </c>
    </row>
    <row r="975" spans="2:11" x14ac:dyDescent="0.25">
      <c r="B975" t="s">
        <v>6</v>
      </c>
      <c r="C975" t="s">
        <v>7</v>
      </c>
      <c r="D975">
        <v>701032</v>
      </c>
      <c r="E975" t="s">
        <v>90</v>
      </c>
      <c r="F975" t="s">
        <v>21</v>
      </c>
      <c r="G975" t="s">
        <v>52</v>
      </c>
      <c r="H975" t="s">
        <v>53</v>
      </c>
      <c r="J975">
        <v>0</v>
      </c>
      <c r="K975">
        <v>0</v>
      </c>
    </row>
    <row r="976" spans="2:11" x14ac:dyDescent="0.25">
      <c r="B976" t="s">
        <v>6</v>
      </c>
      <c r="C976" t="s">
        <v>7</v>
      </c>
      <c r="D976">
        <v>701034</v>
      </c>
      <c r="E976" t="s">
        <v>91</v>
      </c>
      <c r="F976" t="s">
        <v>21</v>
      </c>
      <c r="G976" t="s">
        <v>76</v>
      </c>
      <c r="H976" t="s">
        <v>77</v>
      </c>
      <c r="J976">
        <v>0</v>
      </c>
      <c r="K976">
        <v>0</v>
      </c>
    </row>
    <row r="977" spans="2:11" x14ac:dyDescent="0.25">
      <c r="B977" t="s">
        <v>6</v>
      </c>
      <c r="C977" t="s">
        <v>7</v>
      </c>
      <c r="D977">
        <v>701035</v>
      </c>
      <c r="E977" t="s">
        <v>92</v>
      </c>
      <c r="F977" t="s">
        <v>21</v>
      </c>
      <c r="G977" t="s">
        <v>61</v>
      </c>
      <c r="H977" t="s">
        <v>68</v>
      </c>
      <c r="J977">
        <v>0</v>
      </c>
      <c r="K977">
        <v>0</v>
      </c>
    </row>
    <row r="978" spans="2:11" x14ac:dyDescent="0.25">
      <c r="B978" t="s">
        <v>6</v>
      </c>
      <c r="C978" t="s">
        <v>7</v>
      </c>
      <c r="D978">
        <v>701036</v>
      </c>
      <c r="E978" t="s">
        <v>93</v>
      </c>
      <c r="F978" t="s">
        <v>21</v>
      </c>
      <c r="G978" t="s">
        <v>52</v>
      </c>
      <c r="H978" t="s">
        <v>53</v>
      </c>
      <c r="J978">
        <v>0</v>
      </c>
      <c r="K978">
        <v>0</v>
      </c>
    </row>
    <row r="979" spans="2:11" x14ac:dyDescent="0.25">
      <c r="B979" t="s">
        <v>6</v>
      </c>
      <c r="C979" t="s">
        <v>7</v>
      </c>
      <c r="D979">
        <v>701113</v>
      </c>
      <c r="E979" t="s">
        <v>94</v>
      </c>
      <c r="F979" t="s">
        <v>21</v>
      </c>
      <c r="G979" t="s">
        <v>61</v>
      </c>
      <c r="H979" t="s">
        <v>62</v>
      </c>
      <c r="J979">
        <v>0</v>
      </c>
      <c r="K979">
        <v>0</v>
      </c>
    </row>
    <row r="980" spans="2:11" x14ac:dyDescent="0.25">
      <c r="B980" t="s">
        <v>6</v>
      </c>
      <c r="C980" t="s">
        <v>7</v>
      </c>
      <c r="D980">
        <v>701119</v>
      </c>
      <c r="E980" t="s">
        <v>95</v>
      </c>
      <c r="F980" t="s">
        <v>21</v>
      </c>
      <c r="G980" t="s">
        <v>22</v>
      </c>
      <c r="H980" t="s">
        <v>23</v>
      </c>
      <c r="J980">
        <v>0</v>
      </c>
      <c r="K980">
        <v>0</v>
      </c>
    </row>
    <row r="981" spans="2:11" x14ac:dyDescent="0.25">
      <c r="B981" t="s">
        <v>6</v>
      </c>
      <c r="C981" t="s">
        <v>7</v>
      </c>
      <c r="D981">
        <v>701120</v>
      </c>
      <c r="E981" t="s">
        <v>96</v>
      </c>
      <c r="F981" t="s">
        <v>21</v>
      </c>
      <c r="G981" t="s">
        <v>22</v>
      </c>
      <c r="H981" t="s">
        <v>23</v>
      </c>
      <c r="J981">
        <v>0</v>
      </c>
      <c r="K981">
        <v>0</v>
      </c>
    </row>
    <row r="982" spans="2:11" x14ac:dyDescent="0.25">
      <c r="B982" t="s">
        <v>6</v>
      </c>
      <c r="C982" t="s">
        <v>7</v>
      </c>
      <c r="D982">
        <v>701121</v>
      </c>
      <c r="E982" t="s">
        <v>97</v>
      </c>
      <c r="F982" t="s">
        <v>21</v>
      </c>
      <c r="G982" t="s">
        <v>22</v>
      </c>
      <c r="H982" t="s">
        <v>23</v>
      </c>
      <c r="J982">
        <v>0</v>
      </c>
      <c r="K982">
        <v>0</v>
      </c>
    </row>
    <row r="983" spans="2:11" x14ac:dyDescent="0.25">
      <c r="B983" t="s">
        <v>6</v>
      </c>
      <c r="C983" t="s">
        <v>7</v>
      </c>
      <c r="D983">
        <v>701122</v>
      </c>
      <c r="E983" t="s">
        <v>98</v>
      </c>
      <c r="F983" t="s">
        <v>21</v>
      </c>
      <c r="G983" t="s">
        <v>71</v>
      </c>
      <c r="H983" t="s">
        <v>88</v>
      </c>
      <c r="J983">
        <v>0</v>
      </c>
      <c r="K983">
        <v>0</v>
      </c>
    </row>
    <row r="984" spans="2:11" x14ac:dyDescent="0.25">
      <c r="B984" t="s">
        <v>6</v>
      </c>
      <c r="C984" t="s">
        <v>7</v>
      </c>
      <c r="D984">
        <v>701123</v>
      </c>
      <c r="E984" t="s">
        <v>99</v>
      </c>
      <c r="F984" t="s">
        <v>21</v>
      </c>
      <c r="G984" t="s">
        <v>22</v>
      </c>
      <c r="H984" t="s">
        <v>23</v>
      </c>
      <c r="J984">
        <v>0</v>
      </c>
      <c r="K984">
        <v>0</v>
      </c>
    </row>
    <row r="985" spans="2:11" x14ac:dyDescent="0.25">
      <c r="B985" t="s">
        <v>6</v>
      </c>
      <c r="C985" t="s">
        <v>7</v>
      </c>
      <c r="D985">
        <v>701127</v>
      </c>
      <c r="E985" t="s">
        <v>100</v>
      </c>
      <c r="F985" t="s">
        <v>21</v>
      </c>
      <c r="G985" t="s">
        <v>76</v>
      </c>
      <c r="H985" t="s">
        <v>77</v>
      </c>
      <c r="J985">
        <v>0</v>
      </c>
      <c r="K985">
        <v>0</v>
      </c>
    </row>
    <row r="986" spans="2:11" x14ac:dyDescent="0.25">
      <c r="B986" t="s">
        <v>6</v>
      </c>
      <c r="C986" t="s">
        <v>7</v>
      </c>
      <c r="D986">
        <v>701213</v>
      </c>
      <c r="E986" t="s">
        <v>101</v>
      </c>
      <c r="F986" t="s">
        <v>21</v>
      </c>
      <c r="G986" t="s">
        <v>61</v>
      </c>
      <c r="H986" t="s">
        <v>62</v>
      </c>
      <c r="J986">
        <v>0</v>
      </c>
      <c r="K986">
        <v>0</v>
      </c>
    </row>
    <row r="987" spans="2:11" x14ac:dyDescent="0.25">
      <c r="B987" t="s">
        <v>6</v>
      </c>
      <c r="C987" t="s">
        <v>7</v>
      </c>
      <c r="D987">
        <v>701214</v>
      </c>
      <c r="E987" t="s">
        <v>102</v>
      </c>
      <c r="F987" t="s">
        <v>21</v>
      </c>
      <c r="G987" t="s">
        <v>61</v>
      </c>
      <c r="H987" t="s">
        <v>62</v>
      </c>
      <c r="J987">
        <v>0</v>
      </c>
      <c r="K987">
        <v>0</v>
      </c>
    </row>
    <row r="988" spans="2:11" x14ac:dyDescent="0.25">
      <c r="B988" t="s">
        <v>6</v>
      </c>
      <c r="C988" t="s">
        <v>7</v>
      </c>
      <c r="D988">
        <v>701215</v>
      </c>
      <c r="E988" t="s">
        <v>103</v>
      </c>
      <c r="F988" t="s">
        <v>21</v>
      </c>
      <c r="G988" t="s">
        <v>61</v>
      </c>
      <c r="H988" t="s">
        <v>62</v>
      </c>
      <c r="J988">
        <v>0</v>
      </c>
      <c r="K988">
        <v>0</v>
      </c>
    </row>
    <row r="989" spans="2:11" x14ac:dyDescent="0.25">
      <c r="B989" t="s">
        <v>6</v>
      </c>
      <c r="C989" t="s">
        <v>7</v>
      </c>
      <c r="D989">
        <v>701227</v>
      </c>
      <c r="E989" t="s">
        <v>104</v>
      </c>
      <c r="F989" t="s">
        <v>21</v>
      </c>
      <c r="G989" t="s">
        <v>76</v>
      </c>
      <c r="H989" t="s">
        <v>77</v>
      </c>
      <c r="J989">
        <v>0</v>
      </c>
      <c r="K989">
        <v>0</v>
      </c>
    </row>
    <row r="990" spans="2:11" x14ac:dyDescent="0.25">
      <c r="B990" t="s">
        <v>6</v>
      </c>
      <c r="C990" t="s">
        <v>7</v>
      </c>
      <c r="D990">
        <v>701327</v>
      </c>
      <c r="E990" t="s">
        <v>106</v>
      </c>
      <c r="F990" t="s">
        <v>21</v>
      </c>
      <c r="G990" t="s">
        <v>76</v>
      </c>
      <c r="H990" t="s">
        <v>77</v>
      </c>
      <c r="J990">
        <v>0</v>
      </c>
      <c r="K990">
        <v>0</v>
      </c>
    </row>
    <row r="991" spans="2:11" x14ac:dyDescent="0.25">
      <c r="B991" t="s">
        <v>6</v>
      </c>
      <c r="C991" t="s">
        <v>7</v>
      </c>
      <c r="D991">
        <v>701427</v>
      </c>
      <c r="E991" t="s">
        <v>107</v>
      </c>
      <c r="F991" t="s">
        <v>21</v>
      </c>
      <c r="G991" t="s">
        <v>76</v>
      </c>
      <c r="H991" t="s">
        <v>108</v>
      </c>
      <c r="J991">
        <v>0</v>
      </c>
      <c r="K991">
        <v>0</v>
      </c>
    </row>
    <row r="992" spans="2:11" x14ac:dyDescent="0.25">
      <c r="B992" t="s">
        <v>6</v>
      </c>
      <c r="C992" t="s">
        <v>7</v>
      </c>
      <c r="D992">
        <v>701527</v>
      </c>
      <c r="E992" t="s">
        <v>109</v>
      </c>
      <c r="F992" t="s">
        <v>21</v>
      </c>
      <c r="G992" t="s">
        <v>76</v>
      </c>
      <c r="H992" t="s">
        <v>77</v>
      </c>
      <c r="J992">
        <v>0</v>
      </c>
      <c r="K992">
        <v>0</v>
      </c>
    </row>
    <row r="993" spans="2:11" x14ac:dyDescent="0.25">
      <c r="B993" t="s">
        <v>6</v>
      </c>
      <c r="C993" t="s">
        <v>7</v>
      </c>
      <c r="D993">
        <v>701627</v>
      </c>
      <c r="E993" t="s">
        <v>110</v>
      </c>
      <c r="F993" t="s">
        <v>21</v>
      </c>
      <c r="G993" t="s">
        <v>76</v>
      </c>
      <c r="H993" t="s">
        <v>77</v>
      </c>
      <c r="J993">
        <v>0</v>
      </c>
      <c r="K993">
        <v>0</v>
      </c>
    </row>
    <row r="994" spans="2:11" x14ac:dyDescent="0.25">
      <c r="B994" t="s">
        <v>6</v>
      </c>
      <c r="C994" t="s">
        <v>7</v>
      </c>
      <c r="D994">
        <v>701727</v>
      </c>
      <c r="E994" t="s">
        <v>111</v>
      </c>
      <c r="F994" t="s">
        <v>21</v>
      </c>
      <c r="G994" t="s">
        <v>76</v>
      </c>
      <c r="H994" t="s">
        <v>77</v>
      </c>
      <c r="J994">
        <v>0</v>
      </c>
      <c r="K994">
        <v>0</v>
      </c>
    </row>
    <row r="995" spans="2:11" x14ac:dyDescent="0.25">
      <c r="B995" t="s">
        <v>6</v>
      </c>
      <c r="C995" t="s">
        <v>7</v>
      </c>
      <c r="D995">
        <v>701801</v>
      </c>
      <c r="E995" t="s">
        <v>112</v>
      </c>
      <c r="F995" t="s">
        <v>21</v>
      </c>
      <c r="G995" t="s">
        <v>76</v>
      </c>
      <c r="H995" t="s">
        <v>77</v>
      </c>
      <c r="J995">
        <v>0</v>
      </c>
      <c r="K995">
        <v>0</v>
      </c>
    </row>
    <row r="996" spans="2:11" x14ac:dyDescent="0.25">
      <c r="B996" t="s">
        <v>6</v>
      </c>
      <c r="C996" t="s">
        <v>7</v>
      </c>
      <c r="D996">
        <v>701802</v>
      </c>
      <c r="E996" t="s">
        <v>113</v>
      </c>
      <c r="F996" t="s">
        <v>21</v>
      </c>
      <c r="G996" t="s">
        <v>61</v>
      </c>
      <c r="H996" t="s">
        <v>62</v>
      </c>
      <c r="J996">
        <v>0</v>
      </c>
      <c r="K996">
        <v>0</v>
      </c>
    </row>
    <row r="997" spans="2:11" x14ac:dyDescent="0.25">
      <c r="B997" t="s">
        <v>6</v>
      </c>
      <c r="C997" t="s">
        <v>7</v>
      </c>
      <c r="D997">
        <v>703010</v>
      </c>
      <c r="E997" t="s">
        <v>114</v>
      </c>
      <c r="F997" t="s">
        <v>21</v>
      </c>
      <c r="G997" t="s">
        <v>22</v>
      </c>
      <c r="H997" t="s">
        <v>115</v>
      </c>
      <c r="J997">
        <v>0</v>
      </c>
      <c r="K997">
        <v>0</v>
      </c>
    </row>
    <row r="998" spans="2:11" x14ac:dyDescent="0.25">
      <c r="B998" t="s">
        <v>6</v>
      </c>
      <c r="C998" t="s">
        <v>7</v>
      </c>
      <c r="D998">
        <v>703011</v>
      </c>
      <c r="E998" t="s">
        <v>116</v>
      </c>
      <c r="F998" t="s">
        <v>21</v>
      </c>
      <c r="G998" t="s">
        <v>22</v>
      </c>
      <c r="H998" t="s">
        <v>115</v>
      </c>
      <c r="J998">
        <v>0</v>
      </c>
      <c r="K998">
        <v>0</v>
      </c>
    </row>
    <row r="999" spans="2:11" x14ac:dyDescent="0.25">
      <c r="B999" t="s">
        <v>6</v>
      </c>
      <c r="C999" t="s">
        <v>7</v>
      </c>
      <c r="D999">
        <v>703012</v>
      </c>
      <c r="E999" t="s">
        <v>117</v>
      </c>
      <c r="F999" t="s">
        <v>21</v>
      </c>
      <c r="G999" t="s">
        <v>22</v>
      </c>
      <c r="H999" t="s">
        <v>115</v>
      </c>
      <c r="J999">
        <v>0</v>
      </c>
      <c r="K999">
        <v>0</v>
      </c>
    </row>
    <row r="1000" spans="2:11" x14ac:dyDescent="0.25">
      <c r="B1000" t="s">
        <v>6</v>
      </c>
      <c r="C1000" t="s">
        <v>7</v>
      </c>
      <c r="D1000">
        <v>703013</v>
      </c>
      <c r="E1000" t="s">
        <v>118</v>
      </c>
      <c r="F1000" t="s">
        <v>21</v>
      </c>
      <c r="G1000" t="s">
        <v>22</v>
      </c>
      <c r="H1000" t="s">
        <v>115</v>
      </c>
      <c r="J1000">
        <v>0</v>
      </c>
      <c r="K1000">
        <v>0</v>
      </c>
    </row>
    <row r="1001" spans="2:11" x14ac:dyDescent="0.25">
      <c r="B1001" t="s">
        <v>6</v>
      </c>
      <c r="C1001" t="s">
        <v>7</v>
      </c>
      <c r="D1001">
        <v>703014</v>
      </c>
      <c r="E1001" t="s">
        <v>119</v>
      </c>
      <c r="F1001" t="s">
        <v>21</v>
      </c>
      <c r="G1001" t="s">
        <v>22</v>
      </c>
      <c r="H1001" t="s">
        <v>115</v>
      </c>
      <c r="J1001">
        <v>0</v>
      </c>
      <c r="K1001">
        <v>0</v>
      </c>
    </row>
    <row r="1002" spans="2:11" x14ac:dyDescent="0.25">
      <c r="B1002" t="s">
        <v>6</v>
      </c>
      <c r="C1002" t="s">
        <v>7</v>
      </c>
      <c r="D1002">
        <v>703015</v>
      </c>
      <c r="E1002" t="s">
        <v>120</v>
      </c>
      <c r="F1002" t="s">
        <v>21</v>
      </c>
      <c r="G1002" t="s">
        <v>22</v>
      </c>
      <c r="H1002" t="s">
        <v>115</v>
      </c>
      <c r="J1002">
        <v>0</v>
      </c>
      <c r="K1002">
        <v>0</v>
      </c>
    </row>
    <row r="1003" spans="2:11" x14ac:dyDescent="0.25">
      <c r="B1003" t="s">
        <v>6</v>
      </c>
      <c r="C1003" t="s">
        <v>7</v>
      </c>
      <c r="D1003">
        <v>703016</v>
      </c>
      <c r="E1003" t="s">
        <v>121</v>
      </c>
      <c r="F1003" t="s">
        <v>21</v>
      </c>
      <c r="G1003" t="s">
        <v>22</v>
      </c>
      <c r="H1003" t="s">
        <v>115</v>
      </c>
      <c r="J1003">
        <v>0</v>
      </c>
      <c r="K1003">
        <v>0</v>
      </c>
    </row>
    <row r="1004" spans="2:11" x14ac:dyDescent="0.25">
      <c r="B1004" t="s">
        <v>6</v>
      </c>
      <c r="C1004" t="s">
        <v>7</v>
      </c>
      <c r="D1004">
        <v>703017</v>
      </c>
      <c r="E1004" t="s">
        <v>122</v>
      </c>
      <c r="F1004" t="s">
        <v>21</v>
      </c>
      <c r="G1004" t="s">
        <v>22</v>
      </c>
      <c r="H1004" t="s">
        <v>115</v>
      </c>
      <c r="J1004">
        <v>0</v>
      </c>
      <c r="K1004">
        <v>0</v>
      </c>
    </row>
    <row r="1005" spans="2:11" x14ac:dyDescent="0.25">
      <c r="B1005" t="s">
        <v>6</v>
      </c>
      <c r="C1005" t="s">
        <v>7</v>
      </c>
      <c r="D1005">
        <v>703018</v>
      </c>
      <c r="E1005" t="s">
        <v>123</v>
      </c>
      <c r="F1005" t="s">
        <v>21</v>
      </c>
      <c r="G1005" t="s">
        <v>22</v>
      </c>
      <c r="H1005" t="s">
        <v>115</v>
      </c>
      <c r="J1005">
        <v>0</v>
      </c>
      <c r="K1005">
        <v>0</v>
      </c>
    </row>
    <row r="1006" spans="2:11" x14ac:dyDescent="0.25">
      <c r="B1006" t="s">
        <v>6</v>
      </c>
      <c r="C1006" t="s">
        <v>7</v>
      </c>
      <c r="D1006">
        <v>703019</v>
      </c>
      <c r="E1006" t="s">
        <v>124</v>
      </c>
      <c r="F1006" t="s">
        <v>21</v>
      </c>
      <c r="G1006" t="s">
        <v>22</v>
      </c>
      <c r="H1006" t="s">
        <v>115</v>
      </c>
      <c r="J1006">
        <v>0</v>
      </c>
      <c r="K1006">
        <v>0</v>
      </c>
    </row>
    <row r="1007" spans="2:11" x14ac:dyDescent="0.25">
      <c r="B1007" t="s">
        <v>6</v>
      </c>
      <c r="C1007" t="s">
        <v>7</v>
      </c>
      <c r="D1007">
        <v>703210</v>
      </c>
      <c r="E1007" t="s">
        <v>125</v>
      </c>
      <c r="F1007" t="s">
        <v>21</v>
      </c>
      <c r="G1007" t="s">
        <v>22</v>
      </c>
      <c r="H1007" t="s">
        <v>23</v>
      </c>
      <c r="J1007">
        <v>0</v>
      </c>
      <c r="K1007">
        <v>0</v>
      </c>
    </row>
    <row r="1008" spans="2:11" x14ac:dyDescent="0.25">
      <c r="B1008" t="s">
        <v>6</v>
      </c>
      <c r="C1008" t="s">
        <v>7</v>
      </c>
      <c r="D1008">
        <v>703211</v>
      </c>
      <c r="E1008" t="s">
        <v>126</v>
      </c>
      <c r="F1008" t="s">
        <v>21</v>
      </c>
      <c r="G1008" t="s">
        <v>22</v>
      </c>
      <c r="H1008" t="s">
        <v>23</v>
      </c>
      <c r="J1008">
        <v>0</v>
      </c>
      <c r="K1008">
        <v>0</v>
      </c>
    </row>
    <row r="1009" spans="2:11" x14ac:dyDescent="0.25">
      <c r="B1009" t="s">
        <v>6</v>
      </c>
      <c r="C1009" t="s">
        <v>7</v>
      </c>
      <c r="D1009">
        <v>703212</v>
      </c>
      <c r="E1009" t="s">
        <v>127</v>
      </c>
      <c r="F1009" t="s">
        <v>21</v>
      </c>
      <c r="G1009" t="s">
        <v>22</v>
      </c>
      <c r="H1009" t="s">
        <v>23</v>
      </c>
      <c r="J1009">
        <v>0</v>
      </c>
      <c r="K1009">
        <v>0</v>
      </c>
    </row>
    <row r="1010" spans="2:11" x14ac:dyDescent="0.25">
      <c r="B1010" t="s">
        <v>6</v>
      </c>
      <c r="C1010" t="s">
        <v>7</v>
      </c>
      <c r="D1010">
        <v>703213</v>
      </c>
      <c r="E1010" t="s">
        <v>128</v>
      </c>
      <c r="F1010" t="s">
        <v>21</v>
      </c>
      <c r="G1010" t="s">
        <v>22</v>
      </c>
      <c r="H1010" t="s">
        <v>23</v>
      </c>
      <c r="J1010">
        <v>0</v>
      </c>
      <c r="K1010">
        <v>0</v>
      </c>
    </row>
    <row r="1011" spans="2:11" x14ac:dyDescent="0.25">
      <c r="B1011" t="s">
        <v>6</v>
      </c>
      <c r="C1011" t="s">
        <v>7</v>
      </c>
      <c r="D1011">
        <v>703214</v>
      </c>
      <c r="E1011" t="s">
        <v>129</v>
      </c>
      <c r="F1011" t="s">
        <v>21</v>
      </c>
      <c r="G1011" t="s">
        <v>22</v>
      </c>
      <c r="H1011" t="s">
        <v>23</v>
      </c>
      <c r="J1011">
        <v>0</v>
      </c>
      <c r="K1011">
        <v>0</v>
      </c>
    </row>
    <row r="1012" spans="2:11" x14ac:dyDescent="0.25">
      <c r="B1012" t="s">
        <v>6</v>
      </c>
      <c r="C1012" t="s">
        <v>7</v>
      </c>
      <c r="D1012">
        <v>703215</v>
      </c>
      <c r="E1012" t="s">
        <v>130</v>
      </c>
      <c r="F1012" t="s">
        <v>21</v>
      </c>
      <c r="G1012" t="s">
        <v>22</v>
      </c>
      <c r="H1012" t="s">
        <v>23</v>
      </c>
      <c r="J1012">
        <v>0</v>
      </c>
      <c r="K1012">
        <v>0</v>
      </c>
    </row>
    <row r="1013" spans="2:11" x14ac:dyDescent="0.25">
      <c r="B1013" t="s">
        <v>6</v>
      </c>
      <c r="C1013" t="s">
        <v>7</v>
      </c>
      <c r="D1013">
        <v>703216</v>
      </c>
      <c r="E1013" t="s">
        <v>131</v>
      </c>
      <c r="F1013" t="s">
        <v>21</v>
      </c>
      <c r="G1013" t="s">
        <v>22</v>
      </c>
      <c r="H1013" t="s">
        <v>23</v>
      </c>
      <c r="J1013">
        <v>0</v>
      </c>
      <c r="K1013">
        <v>0</v>
      </c>
    </row>
    <row r="1014" spans="2:11" x14ac:dyDescent="0.25">
      <c r="B1014" t="s">
        <v>6</v>
      </c>
      <c r="C1014" t="s">
        <v>7</v>
      </c>
      <c r="D1014">
        <v>703217</v>
      </c>
      <c r="E1014" t="s">
        <v>132</v>
      </c>
      <c r="F1014" t="s">
        <v>21</v>
      </c>
      <c r="G1014" t="s">
        <v>22</v>
      </c>
      <c r="H1014" t="s">
        <v>23</v>
      </c>
      <c r="J1014">
        <v>0</v>
      </c>
      <c r="K1014">
        <v>0</v>
      </c>
    </row>
    <row r="1015" spans="2:11" x14ac:dyDescent="0.25">
      <c r="B1015" t="s">
        <v>6</v>
      </c>
      <c r="C1015" t="s">
        <v>7</v>
      </c>
      <c r="D1015">
        <v>703219</v>
      </c>
      <c r="E1015" t="s">
        <v>133</v>
      </c>
      <c r="F1015" t="s">
        <v>21</v>
      </c>
      <c r="G1015" t="s">
        <v>22</v>
      </c>
      <c r="H1015" t="s">
        <v>23</v>
      </c>
      <c r="J1015">
        <v>0</v>
      </c>
      <c r="K1015">
        <v>0</v>
      </c>
    </row>
    <row r="1016" spans="2:11" x14ac:dyDescent="0.25">
      <c r="B1016" t="s">
        <v>6</v>
      </c>
      <c r="C1016" t="s">
        <v>7</v>
      </c>
      <c r="D1016">
        <v>703220</v>
      </c>
      <c r="E1016" t="s">
        <v>134</v>
      </c>
      <c r="F1016" t="s">
        <v>21</v>
      </c>
      <c r="G1016" t="s">
        <v>71</v>
      </c>
      <c r="H1016" t="s">
        <v>135</v>
      </c>
      <c r="J1016">
        <v>0</v>
      </c>
      <c r="K1016">
        <v>0</v>
      </c>
    </row>
    <row r="1017" spans="2:11" x14ac:dyDescent="0.25">
      <c r="B1017" t="s">
        <v>6</v>
      </c>
      <c r="C1017" t="s">
        <v>7</v>
      </c>
      <c r="D1017">
        <v>703221</v>
      </c>
      <c r="E1017" t="s">
        <v>136</v>
      </c>
      <c r="F1017" t="s">
        <v>21</v>
      </c>
      <c r="G1017" t="s">
        <v>137</v>
      </c>
      <c r="H1017" t="s">
        <v>138</v>
      </c>
      <c r="J1017">
        <v>0</v>
      </c>
      <c r="K1017">
        <v>0</v>
      </c>
    </row>
    <row r="1018" spans="2:11" x14ac:dyDescent="0.25">
      <c r="B1018" t="s">
        <v>6</v>
      </c>
      <c r="C1018" t="s">
        <v>7</v>
      </c>
      <c r="D1018">
        <v>703222</v>
      </c>
      <c r="E1018" t="s">
        <v>139</v>
      </c>
      <c r="F1018" t="s">
        <v>21</v>
      </c>
      <c r="G1018" t="s">
        <v>137</v>
      </c>
      <c r="H1018" t="s">
        <v>138</v>
      </c>
      <c r="J1018">
        <v>0</v>
      </c>
      <c r="K1018">
        <v>0</v>
      </c>
    </row>
    <row r="1019" spans="2:11" x14ac:dyDescent="0.25">
      <c r="B1019" t="s">
        <v>6</v>
      </c>
      <c r="C1019" t="s">
        <v>7</v>
      </c>
      <c r="D1019">
        <v>703223</v>
      </c>
      <c r="E1019" t="s">
        <v>140</v>
      </c>
      <c r="F1019" t="s">
        <v>21</v>
      </c>
      <c r="G1019" t="s">
        <v>137</v>
      </c>
      <c r="H1019" t="s">
        <v>141</v>
      </c>
      <c r="J1019">
        <v>0</v>
      </c>
      <c r="K1019">
        <v>0</v>
      </c>
    </row>
    <row r="1020" spans="2:11" x14ac:dyDescent="0.25">
      <c r="B1020" t="s">
        <v>6</v>
      </c>
      <c r="C1020" t="s">
        <v>7</v>
      </c>
      <c r="D1020">
        <v>703224</v>
      </c>
      <c r="E1020" t="s">
        <v>142</v>
      </c>
      <c r="F1020" t="s">
        <v>21</v>
      </c>
      <c r="G1020" t="s">
        <v>71</v>
      </c>
      <c r="H1020" t="s">
        <v>88</v>
      </c>
      <c r="J1020">
        <v>0</v>
      </c>
      <c r="K1020">
        <v>0</v>
      </c>
    </row>
    <row r="1021" spans="2:11" x14ac:dyDescent="0.25">
      <c r="B1021" t="s">
        <v>6</v>
      </c>
      <c r="C1021" t="s">
        <v>7</v>
      </c>
      <c r="D1021">
        <v>703225</v>
      </c>
      <c r="E1021" t="s">
        <v>143</v>
      </c>
      <c r="F1021" t="s">
        <v>21</v>
      </c>
      <c r="G1021" t="s">
        <v>71</v>
      </c>
      <c r="H1021" t="s">
        <v>88</v>
      </c>
      <c r="J1021">
        <v>0</v>
      </c>
      <c r="K1021">
        <v>0</v>
      </c>
    </row>
    <row r="1022" spans="2:11" x14ac:dyDescent="0.25">
      <c r="B1022" t="s">
        <v>6</v>
      </c>
      <c r="C1022" t="s">
        <v>7</v>
      </c>
      <c r="D1022">
        <v>703226</v>
      </c>
      <c r="E1022" t="s">
        <v>144</v>
      </c>
      <c r="F1022" t="s">
        <v>21</v>
      </c>
      <c r="G1022" t="s">
        <v>71</v>
      </c>
      <c r="H1022" t="s">
        <v>82</v>
      </c>
      <c r="J1022">
        <v>0</v>
      </c>
      <c r="K1022">
        <v>0</v>
      </c>
    </row>
    <row r="1023" spans="2:11" x14ac:dyDescent="0.25">
      <c r="B1023" t="s">
        <v>6</v>
      </c>
      <c r="C1023" t="s">
        <v>7</v>
      </c>
      <c r="D1023">
        <v>703227</v>
      </c>
      <c r="E1023" t="s">
        <v>145</v>
      </c>
      <c r="F1023" t="s">
        <v>21</v>
      </c>
      <c r="G1023" t="s">
        <v>137</v>
      </c>
      <c r="H1023" t="s">
        <v>138</v>
      </c>
      <c r="J1023">
        <v>0</v>
      </c>
      <c r="K1023">
        <v>0</v>
      </c>
    </row>
    <row r="1024" spans="2:11" x14ac:dyDescent="0.25">
      <c r="B1024" t="s">
        <v>6</v>
      </c>
      <c r="C1024" t="s">
        <v>7</v>
      </c>
      <c r="D1024">
        <v>703228</v>
      </c>
      <c r="E1024" t="s">
        <v>146</v>
      </c>
      <c r="F1024" t="s">
        <v>21</v>
      </c>
      <c r="G1024" t="s">
        <v>147</v>
      </c>
      <c r="H1024" t="s">
        <v>147</v>
      </c>
      <c r="J1024">
        <v>0</v>
      </c>
      <c r="K1024">
        <v>0</v>
      </c>
    </row>
    <row r="1025" spans="2:11" x14ac:dyDescent="0.25">
      <c r="B1025" t="s">
        <v>6</v>
      </c>
      <c r="C1025" t="s">
        <v>7</v>
      </c>
      <c r="D1025">
        <v>703229</v>
      </c>
      <c r="E1025" t="s">
        <v>148</v>
      </c>
      <c r="F1025" t="s">
        <v>21</v>
      </c>
      <c r="G1025" t="s">
        <v>147</v>
      </c>
      <c r="H1025" t="s">
        <v>147</v>
      </c>
      <c r="J1025">
        <v>0</v>
      </c>
      <c r="K1025">
        <v>0</v>
      </c>
    </row>
    <row r="1026" spans="2:11" x14ac:dyDescent="0.25">
      <c r="B1026" t="s">
        <v>6</v>
      </c>
      <c r="C1026" t="s">
        <v>7</v>
      </c>
      <c r="D1026">
        <v>703230</v>
      </c>
      <c r="E1026" t="s">
        <v>149</v>
      </c>
      <c r="F1026" t="s">
        <v>21</v>
      </c>
      <c r="G1026" t="s">
        <v>147</v>
      </c>
      <c r="H1026" t="s">
        <v>147</v>
      </c>
      <c r="J1026">
        <v>0</v>
      </c>
      <c r="K1026">
        <v>0</v>
      </c>
    </row>
    <row r="1027" spans="2:11" x14ac:dyDescent="0.25">
      <c r="B1027" t="s">
        <v>6</v>
      </c>
      <c r="C1027" t="s">
        <v>7</v>
      </c>
      <c r="D1027">
        <v>703231</v>
      </c>
      <c r="E1027" t="s">
        <v>150</v>
      </c>
      <c r="F1027" t="s">
        <v>21</v>
      </c>
      <c r="G1027" t="s">
        <v>137</v>
      </c>
      <c r="H1027" t="s">
        <v>141</v>
      </c>
      <c r="J1027">
        <v>0</v>
      </c>
      <c r="K1027">
        <v>0</v>
      </c>
    </row>
    <row r="1028" spans="2:11" x14ac:dyDescent="0.25">
      <c r="B1028" t="s">
        <v>6</v>
      </c>
      <c r="C1028" t="s">
        <v>7</v>
      </c>
      <c r="D1028">
        <v>703232</v>
      </c>
      <c r="E1028" t="s">
        <v>151</v>
      </c>
      <c r="F1028" t="s">
        <v>21</v>
      </c>
      <c r="G1028" t="s">
        <v>147</v>
      </c>
      <c r="H1028" t="s">
        <v>147</v>
      </c>
      <c r="J1028">
        <v>0</v>
      </c>
      <c r="K1028">
        <v>0</v>
      </c>
    </row>
    <row r="1029" spans="2:11" x14ac:dyDescent="0.25">
      <c r="B1029" t="s">
        <v>6</v>
      </c>
      <c r="C1029" t="s">
        <v>7</v>
      </c>
      <c r="D1029">
        <v>703233</v>
      </c>
      <c r="E1029" t="s">
        <v>152</v>
      </c>
      <c r="F1029" t="s">
        <v>21</v>
      </c>
      <c r="G1029" t="s">
        <v>71</v>
      </c>
      <c r="H1029" t="s">
        <v>153</v>
      </c>
      <c r="J1029">
        <v>0</v>
      </c>
      <c r="K1029">
        <v>0</v>
      </c>
    </row>
    <row r="1030" spans="2:11" x14ac:dyDescent="0.25">
      <c r="B1030" t="s">
        <v>6</v>
      </c>
      <c r="C1030" t="s">
        <v>7</v>
      </c>
      <c r="D1030">
        <v>703234</v>
      </c>
      <c r="E1030" t="s">
        <v>154</v>
      </c>
      <c r="F1030" t="s">
        <v>21</v>
      </c>
      <c r="G1030" t="s">
        <v>71</v>
      </c>
      <c r="H1030" t="s">
        <v>153</v>
      </c>
      <c r="J1030">
        <v>0</v>
      </c>
      <c r="K1030">
        <v>0</v>
      </c>
    </row>
    <row r="1031" spans="2:11" x14ac:dyDescent="0.25">
      <c r="B1031" t="s">
        <v>6</v>
      </c>
      <c r="C1031" t="s">
        <v>7</v>
      </c>
      <c r="D1031">
        <v>703235</v>
      </c>
      <c r="E1031" t="s">
        <v>155</v>
      </c>
      <c r="F1031" t="s">
        <v>21</v>
      </c>
      <c r="G1031" t="s">
        <v>71</v>
      </c>
      <c r="H1031" t="s">
        <v>153</v>
      </c>
      <c r="J1031">
        <v>0</v>
      </c>
      <c r="K1031">
        <v>0</v>
      </c>
    </row>
    <row r="1032" spans="2:11" x14ac:dyDescent="0.25">
      <c r="B1032" t="s">
        <v>6</v>
      </c>
      <c r="C1032" t="s">
        <v>7</v>
      </c>
      <c r="D1032">
        <v>703236</v>
      </c>
      <c r="E1032" t="s">
        <v>156</v>
      </c>
      <c r="F1032" t="s">
        <v>21</v>
      </c>
      <c r="G1032" t="s">
        <v>76</v>
      </c>
      <c r="H1032" t="s">
        <v>77</v>
      </c>
      <c r="J1032">
        <v>0</v>
      </c>
      <c r="K1032">
        <v>0</v>
      </c>
    </row>
    <row r="1033" spans="2:11" x14ac:dyDescent="0.25">
      <c r="B1033" t="s">
        <v>6</v>
      </c>
      <c r="C1033" t="s">
        <v>7</v>
      </c>
      <c r="D1033">
        <v>703237</v>
      </c>
      <c r="E1033" t="s">
        <v>157</v>
      </c>
      <c r="F1033" t="s">
        <v>21</v>
      </c>
      <c r="G1033" t="s">
        <v>22</v>
      </c>
      <c r="H1033" t="s">
        <v>23</v>
      </c>
      <c r="J1033">
        <v>0</v>
      </c>
      <c r="K1033">
        <v>0</v>
      </c>
    </row>
    <row r="1034" spans="2:11" x14ac:dyDescent="0.25">
      <c r="B1034" t="s">
        <v>6</v>
      </c>
      <c r="C1034" t="s">
        <v>7</v>
      </c>
      <c r="D1034">
        <v>703238</v>
      </c>
      <c r="E1034" t="s">
        <v>158</v>
      </c>
      <c r="F1034" t="s">
        <v>21</v>
      </c>
      <c r="G1034" t="s">
        <v>61</v>
      </c>
      <c r="H1034" t="s">
        <v>68</v>
      </c>
      <c r="J1034">
        <v>0</v>
      </c>
      <c r="K1034">
        <v>0</v>
      </c>
    </row>
    <row r="1035" spans="2:11" x14ac:dyDescent="0.25">
      <c r="B1035" t="s">
        <v>6</v>
      </c>
      <c r="C1035" t="s">
        <v>7</v>
      </c>
      <c r="D1035">
        <v>703239</v>
      </c>
      <c r="E1035" t="s">
        <v>159</v>
      </c>
      <c r="F1035" t="s">
        <v>21</v>
      </c>
      <c r="G1035" t="s">
        <v>61</v>
      </c>
      <c r="H1035" t="s">
        <v>68</v>
      </c>
      <c r="J1035">
        <v>0</v>
      </c>
      <c r="K1035">
        <v>0</v>
      </c>
    </row>
    <row r="1036" spans="2:11" x14ac:dyDescent="0.25">
      <c r="B1036" t="s">
        <v>6</v>
      </c>
      <c r="C1036" t="s">
        <v>7</v>
      </c>
      <c r="D1036">
        <v>703240</v>
      </c>
      <c r="E1036" t="s">
        <v>160</v>
      </c>
      <c r="F1036" t="s">
        <v>21</v>
      </c>
      <c r="G1036" t="s">
        <v>61</v>
      </c>
      <c r="H1036" t="s">
        <v>68</v>
      </c>
      <c r="J1036">
        <v>0</v>
      </c>
      <c r="K1036">
        <v>0</v>
      </c>
    </row>
    <row r="1037" spans="2:11" x14ac:dyDescent="0.25">
      <c r="B1037" t="s">
        <v>6</v>
      </c>
      <c r="C1037" t="s">
        <v>7</v>
      </c>
      <c r="D1037">
        <v>703241</v>
      </c>
      <c r="E1037" t="s">
        <v>161</v>
      </c>
      <c r="F1037" t="s">
        <v>21</v>
      </c>
      <c r="G1037" t="s">
        <v>137</v>
      </c>
      <c r="H1037" t="s">
        <v>141</v>
      </c>
      <c r="J1037">
        <v>0</v>
      </c>
      <c r="K1037">
        <v>0</v>
      </c>
    </row>
    <row r="1038" spans="2:11" x14ac:dyDescent="0.25">
      <c r="B1038" t="s">
        <v>6</v>
      </c>
      <c r="C1038" t="s">
        <v>7</v>
      </c>
      <c r="D1038">
        <v>703242</v>
      </c>
      <c r="E1038" t="s">
        <v>162</v>
      </c>
      <c r="F1038" t="s">
        <v>21</v>
      </c>
      <c r="G1038" t="s">
        <v>137</v>
      </c>
      <c r="H1038" t="s">
        <v>141</v>
      </c>
      <c r="J1038">
        <v>0</v>
      </c>
      <c r="K1038">
        <v>0</v>
      </c>
    </row>
    <row r="1039" spans="2:11" x14ac:dyDescent="0.25">
      <c r="B1039" t="s">
        <v>6</v>
      </c>
      <c r="C1039" t="s">
        <v>7</v>
      </c>
      <c r="D1039">
        <v>703243</v>
      </c>
      <c r="E1039" t="s">
        <v>163</v>
      </c>
      <c r="F1039" t="s">
        <v>21</v>
      </c>
      <c r="G1039" t="s">
        <v>137</v>
      </c>
      <c r="H1039" t="s">
        <v>141</v>
      </c>
      <c r="J1039">
        <v>0</v>
      </c>
      <c r="K1039">
        <v>0</v>
      </c>
    </row>
    <row r="1040" spans="2:11" x14ac:dyDescent="0.25">
      <c r="B1040" t="s">
        <v>6</v>
      </c>
      <c r="C1040" t="s">
        <v>7</v>
      </c>
      <c r="D1040">
        <v>703244</v>
      </c>
      <c r="E1040" t="s">
        <v>164</v>
      </c>
      <c r="F1040" t="s">
        <v>21</v>
      </c>
      <c r="G1040" t="s">
        <v>71</v>
      </c>
      <c r="H1040" t="s">
        <v>88</v>
      </c>
      <c r="J1040">
        <v>0</v>
      </c>
      <c r="K1040">
        <v>0</v>
      </c>
    </row>
    <row r="1041" spans="2:11" x14ac:dyDescent="0.25">
      <c r="B1041" t="s">
        <v>6</v>
      </c>
      <c r="C1041" t="s">
        <v>7</v>
      </c>
      <c r="D1041">
        <v>703245</v>
      </c>
      <c r="E1041" t="s">
        <v>165</v>
      </c>
      <c r="F1041" t="s">
        <v>21</v>
      </c>
      <c r="G1041" t="s">
        <v>137</v>
      </c>
      <c r="H1041" t="s">
        <v>138</v>
      </c>
      <c r="J1041">
        <v>0</v>
      </c>
      <c r="K1041">
        <v>0</v>
      </c>
    </row>
    <row r="1042" spans="2:11" x14ac:dyDescent="0.25">
      <c r="B1042" t="s">
        <v>6</v>
      </c>
      <c r="C1042" t="s">
        <v>7</v>
      </c>
      <c r="D1042">
        <v>703246</v>
      </c>
      <c r="E1042" t="s">
        <v>166</v>
      </c>
      <c r="F1042" t="s">
        <v>21</v>
      </c>
      <c r="G1042" t="s">
        <v>137</v>
      </c>
      <c r="H1042" t="s">
        <v>138</v>
      </c>
      <c r="J1042">
        <v>0</v>
      </c>
      <c r="K1042">
        <v>0</v>
      </c>
    </row>
    <row r="1043" spans="2:11" x14ac:dyDescent="0.25">
      <c r="B1043" t="s">
        <v>6</v>
      </c>
      <c r="C1043" t="s">
        <v>7</v>
      </c>
      <c r="D1043">
        <v>703247</v>
      </c>
      <c r="E1043" t="s">
        <v>167</v>
      </c>
      <c r="F1043" t="s">
        <v>21</v>
      </c>
      <c r="G1043" t="s">
        <v>137</v>
      </c>
      <c r="H1043" t="s">
        <v>138</v>
      </c>
      <c r="J1043">
        <v>0</v>
      </c>
      <c r="K1043">
        <v>0</v>
      </c>
    </row>
    <row r="1044" spans="2:11" x14ac:dyDescent="0.25">
      <c r="B1044" t="s">
        <v>6</v>
      </c>
      <c r="C1044" t="s">
        <v>7</v>
      </c>
      <c r="D1044">
        <v>703248</v>
      </c>
      <c r="E1044" t="s">
        <v>168</v>
      </c>
      <c r="F1044" t="s">
        <v>21</v>
      </c>
      <c r="G1044" t="s">
        <v>137</v>
      </c>
      <c r="H1044" t="s">
        <v>141</v>
      </c>
      <c r="J1044">
        <v>0</v>
      </c>
      <c r="K1044">
        <v>0</v>
      </c>
    </row>
    <row r="1045" spans="2:11" x14ac:dyDescent="0.25">
      <c r="B1045" t="s">
        <v>6</v>
      </c>
      <c r="C1045" t="s">
        <v>7</v>
      </c>
      <c r="D1045">
        <v>703249</v>
      </c>
      <c r="E1045" t="s">
        <v>169</v>
      </c>
      <c r="F1045" t="s">
        <v>21</v>
      </c>
      <c r="G1045" t="s">
        <v>147</v>
      </c>
      <c r="H1045" t="s">
        <v>147</v>
      </c>
      <c r="J1045">
        <v>0</v>
      </c>
      <c r="K1045">
        <v>0</v>
      </c>
    </row>
    <row r="1046" spans="2:11" x14ac:dyDescent="0.25">
      <c r="B1046" t="s">
        <v>6</v>
      </c>
      <c r="C1046" t="s">
        <v>7</v>
      </c>
      <c r="D1046">
        <v>703250</v>
      </c>
      <c r="E1046" t="s">
        <v>170</v>
      </c>
      <c r="F1046" t="s">
        <v>21</v>
      </c>
      <c r="G1046" t="s">
        <v>71</v>
      </c>
      <c r="H1046" t="s">
        <v>171</v>
      </c>
      <c r="J1046">
        <v>0</v>
      </c>
      <c r="K1046">
        <v>0</v>
      </c>
    </row>
    <row r="1047" spans="2:11" x14ac:dyDescent="0.25">
      <c r="B1047" t="s">
        <v>6</v>
      </c>
      <c r="C1047" t="s">
        <v>7</v>
      </c>
      <c r="D1047">
        <v>703251</v>
      </c>
      <c r="E1047" t="s">
        <v>172</v>
      </c>
      <c r="F1047" t="s">
        <v>21</v>
      </c>
      <c r="G1047" t="s">
        <v>22</v>
      </c>
      <c r="H1047" t="s">
        <v>115</v>
      </c>
      <c r="J1047">
        <v>0</v>
      </c>
      <c r="K1047">
        <v>0</v>
      </c>
    </row>
    <row r="1048" spans="2:11" x14ac:dyDescent="0.25">
      <c r="B1048" t="s">
        <v>6</v>
      </c>
      <c r="C1048" t="s">
        <v>7</v>
      </c>
      <c r="D1048">
        <v>703252</v>
      </c>
      <c r="E1048" t="s">
        <v>173</v>
      </c>
      <c r="F1048" t="s">
        <v>21</v>
      </c>
      <c r="G1048" t="s">
        <v>22</v>
      </c>
      <c r="H1048" t="s">
        <v>115</v>
      </c>
      <c r="J1048">
        <v>0</v>
      </c>
      <c r="K1048">
        <v>0</v>
      </c>
    </row>
    <row r="1049" spans="2:11" x14ac:dyDescent="0.25">
      <c r="B1049" t="s">
        <v>6</v>
      </c>
      <c r="C1049" t="s">
        <v>7</v>
      </c>
      <c r="D1049">
        <v>703253</v>
      </c>
      <c r="E1049" t="s">
        <v>174</v>
      </c>
      <c r="F1049" t="s">
        <v>21</v>
      </c>
      <c r="G1049" t="s">
        <v>22</v>
      </c>
      <c r="H1049" t="s">
        <v>115</v>
      </c>
      <c r="J1049">
        <v>0</v>
      </c>
      <c r="K1049">
        <v>0</v>
      </c>
    </row>
    <row r="1050" spans="2:11" x14ac:dyDescent="0.25">
      <c r="B1050" t="s">
        <v>6</v>
      </c>
      <c r="C1050" t="s">
        <v>7</v>
      </c>
      <c r="D1050">
        <v>703254</v>
      </c>
      <c r="E1050" t="s">
        <v>175</v>
      </c>
      <c r="F1050" t="s">
        <v>21</v>
      </c>
      <c r="G1050" t="s">
        <v>22</v>
      </c>
      <c r="H1050" t="s">
        <v>115</v>
      </c>
      <c r="J1050">
        <v>0</v>
      </c>
      <c r="K1050">
        <v>0</v>
      </c>
    </row>
    <row r="1051" spans="2:11" x14ac:dyDescent="0.25">
      <c r="B1051" t="s">
        <v>6</v>
      </c>
      <c r="C1051" t="s">
        <v>7</v>
      </c>
      <c r="D1051">
        <v>703255</v>
      </c>
      <c r="E1051" t="s">
        <v>176</v>
      </c>
      <c r="F1051" t="s">
        <v>21</v>
      </c>
      <c r="G1051" t="s">
        <v>22</v>
      </c>
      <c r="H1051" t="s">
        <v>115</v>
      </c>
      <c r="J1051">
        <v>0</v>
      </c>
      <c r="K1051">
        <v>0</v>
      </c>
    </row>
    <row r="1052" spans="2:11" x14ac:dyDescent="0.25">
      <c r="B1052" t="s">
        <v>6</v>
      </c>
      <c r="C1052" t="s">
        <v>7</v>
      </c>
      <c r="D1052">
        <v>703257</v>
      </c>
      <c r="E1052" t="s">
        <v>177</v>
      </c>
      <c r="F1052" t="s">
        <v>21</v>
      </c>
      <c r="G1052" t="s">
        <v>147</v>
      </c>
      <c r="H1052" t="s">
        <v>147</v>
      </c>
      <c r="J1052">
        <v>0</v>
      </c>
      <c r="K1052">
        <v>0</v>
      </c>
    </row>
    <row r="1053" spans="2:11" x14ac:dyDescent="0.25">
      <c r="B1053" t="s">
        <v>6</v>
      </c>
      <c r="C1053" t="s">
        <v>7</v>
      </c>
      <c r="D1053">
        <v>703258</v>
      </c>
      <c r="E1053" t="s">
        <v>178</v>
      </c>
      <c r="F1053" t="s">
        <v>21</v>
      </c>
      <c r="G1053" t="s">
        <v>147</v>
      </c>
      <c r="H1053" t="s">
        <v>147</v>
      </c>
      <c r="J1053">
        <v>0</v>
      </c>
      <c r="K1053">
        <v>0</v>
      </c>
    </row>
    <row r="1054" spans="2:11" x14ac:dyDescent="0.25">
      <c r="B1054" t="s">
        <v>6</v>
      </c>
      <c r="C1054" t="s">
        <v>7</v>
      </c>
      <c r="D1054">
        <v>703260</v>
      </c>
      <c r="E1054" t="s">
        <v>179</v>
      </c>
      <c r="F1054" t="s">
        <v>21</v>
      </c>
      <c r="G1054" t="s">
        <v>76</v>
      </c>
      <c r="H1054" t="s">
        <v>77</v>
      </c>
      <c r="J1054">
        <v>0</v>
      </c>
      <c r="K1054">
        <v>0</v>
      </c>
    </row>
    <row r="1055" spans="2:11" x14ac:dyDescent="0.25">
      <c r="B1055" t="s">
        <v>6</v>
      </c>
      <c r="C1055" t="s">
        <v>7</v>
      </c>
      <c r="D1055">
        <v>703261</v>
      </c>
      <c r="E1055" t="s">
        <v>180</v>
      </c>
      <c r="F1055" t="s">
        <v>21</v>
      </c>
      <c r="G1055" t="s">
        <v>22</v>
      </c>
      <c r="H1055" t="s">
        <v>115</v>
      </c>
      <c r="J1055">
        <v>0</v>
      </c>
      <c r="K1055">
        <v>0</v>
      </c>
    </row>
    <row r="1056" spans="2:11" x14ac:dyDescent="0.25">
      <c r="B1056" t="s">
        <v>6</v>
      </c>
      <c r="C1056" t="s">
        <v>7</v>
      </c>
      <c r="D1056">
        <v>703262</v>
      </c>
      <c r="E1056" t="s">
        <v>181</v>
      </c>
      <c r="F1056" t="s">
        <v>21</v>
      </c>
      <c r="G1056" t="s">
        <v>22</v>
      </c>
      <c r="H1056" t="s">
        <v>23</v>
      </c>
      <c r="J1056">
        <v>0</v>
      </c>
      <c r="K1056">
        <v>0</v>
      </c>
    </row>
    <row r="1057" spans="2:11" x14ac:dyDescent="0.25">
      <c r="B1057" t="s">
        <v>6</v>
      </c>
      <c r="C1057" t="s">
        <v>7</v>
      </c>
      <c r="D1057">
        <v>703263</v>
      </c>
      <c r="E1057" t="s">
        <v>182</v>
      </c>
      <c r="F1057" t="s">
        <v>21</v>
      </c>
      <c r="G1057" t="s">
        <v>22</v>
      </c>
      <c r="H1057" t="s">
        <v>115</v>
      </c>
      <c r="J1057">
        <v>0</v>
      </c>
      <c r="K1057">
        <v>0</v>
      </c>
    </row>
    <row r="1058" spans="2:11" x14ac:dyDescent="0.25">
      <c r="B1058" t="s">
        <v>6</v>
      </c>
      <c r="C1058" t="s">
        <v>7</v>
      </c>
      <c r="D1058">
        <v>703264</v>
      </c>
      <c r="E1058" t="s">
        <v>183</v>
      </c>
      <c r="F1058" t="s">
        <v>21</v>
      </c>
      <c r="G1058" t="s">
        <v>22</v>
      </c>
      <c r="H1058" t="s">
        <v>115</v>
      </c>
      <c r="J1058">
        <v>0</v>
      </c>
      <c r="K1058">
        <v>0</v>
      </c>
    </row>
    <row r="1059" spans="2:11" x14ac:dyDescent="0.25">
      <c r="B1059" t="s">
        <v>6</v>
      </c>
      <c r="C1059" t="s">
        <v>7</v>
      </c>
      <c r="D1059">
        <v>703265</v>
      </c>
      <c r="E1059" t="s">
        <v>184</v>
      </c>
      <c r="F1059" t="s">
        <v>21</v>
      </c>
      <c r="G1059" t="s">
        <v>22</v>
      </c>
      <c r="H1059" t="s">
        <v>115</v>
      </c>
      <c r="J1059">
        <v>0</v>
      </c>
      <c r="K1059">
        <v>0</v>
      </c>
    </row>
    <row r="1060" spans="2:11" x14ac:dyDescent="0.25">
      <c r="B1060" t="s">
        <v>6</v>
      </c>
      <c r="C1060" t="s">
        <v>7</v>
      </c>
      <c r="D1060">
        <v>703266</v>
      </c>
      <c r="E1060" t="s">
        <v>185</v>
      </c>
      <c r="F1060" t="s">
        <v>21</v>
      </c>
      <c r="G1060" t="s">
        <v>71</v>
      </c>
      <c r="H1060" t="s">
        <v>186</v>
      </c>
      <c r="J1060">
        <v>0</v>
      </c>
      <c r="K1060">
        <v>0</v>
      </c>
    </row>
    <row r="1061" spans="2:11" x14ac:dyDescent="0.25">
      <c r="B1061" t="s">
        <v>6</v>
      </c>
      <c r="C1061" t="s">
        <v>7</v>
      </c>
      <c r="D1061">
        <v>703267</v>
      </c>
      <c r="E1061" t="s">
        <v>187</v>
      </c>
      <c r="F1061" t="s">
        <v>21</v>
      </c>
      <c r="G1061" t="s">
        <v>71</v>
      </c>
      <c r="H1061" t="s">
        <v>88</v>
      </c>
      <c r="J1061">
        <v>0</v>
      </c>
      <c r="K1061">
        <v>0</v>
      </c>
    </row>
    <row r="1062" spans="2:11" x14ac:dyDescent="0.25">
      <c r="B1062" t="s">
        <v>6</v>
      </c>
      <c r="C1062" t="s">
        <v>7</v>
      </c>
      <c r="D1062">
        <v>703268</v>
      </c>
      <c r="E1062" t="s">
        <v>188</v>
      </c>
      <c r="F1062" t="s">
        <v>21</v>
      </c>
      <c r="G1062" t="s">
        <v>147</v>
      </c>
      <c r="H1062" t="s">
        <v>147</v>
      </c>
      <c r="J1062">
        <v>0</v>
      </c>
      <c r="K1062">
        <v>0</v>
      </c>
    </row>
    <row r="1063" spans="2:11" x14ac:dyDescent="0.25">
      <c r="B1063" t="s">
        <v>6</v>
      </c>
      <c r="C1063" t="s">
        <v>7</v>
      </c>
      <c r="D1063">
        <v>703269</v>
      </c>
      <c r="E1063" t="s">
        <v>189</v>
      </c>
      <c r="F1063" t="s">
        <v>21</v>
      </c>
      <c r="G1063" t="s">
        <v>147</v>
      </c>
      <c r="H1063" t="s">
        <v>147</v>
      </c>
      <c r="J1063">
        <v>0</v>
      </c>
      <c r="K1063">
        <v>0</v>
      </c>
    </row>
    <row r="1064" spans="2:11" x14ac:dyDescent="0.25">
      <c r="B1064" t="s">
        <v>6</v>
      </c>
      <c r="C1064" t="s">
        <v>7</v>
      </c>
      <c r="D1064">
        <v>703270</v>
      </c>
      <c r="E1064" t="s">
        <v>190</v>
      </c>
      <c r="F1064" t="s">
        <v>21</v>
      </c>
      <c r="G1064" t="s">
        <v>137</v>
      </c>
      <c r="H1064" t="s">
        <v>141</v>
      </c>
      <c r="J1064">
        <v>0</v>
      </c>
      <c r="K1064">
        <v>0</v>
      </c>
    </row>
    <row r="1065" spans="2:11" x14ac:dyDescent="0.25">
      <c r="B1065" t="s">
        <v>6</v>
      </c>
      <c r="C1065" t="s">
        <v>7</v>
      </c>
      <c r="D1065">
        <v>703271</v>
      </c>
      <c r="E1065" t="s">
        <v>191</v>
      </c>
      <c r="F1065" t="s">
        <v>21</v>
      </c>
      <c r="G1065" t="s">
        <v>22</v>
      </c>
      <c r="H1065" t="s">
        <v>115</v>
      </c>
      <c r="J1065">
        <v>0</v>
      </c>
      <c r="K1065">
        <v>0</v>
      </c>
    </row>
    <row r="1066" spans="2:11" x14ac:dyDescent="0.25">
      <c r="B1066" t="s">
        <v>6</v>
      </c>
      <c r="C1066" t="s">
        <v>7</v>
      </c>
      <c r="D1066">
        <v>703272</v>
      </c>
      <c r="E1066" t="s">
        <v>192</v>
      </c>
      <c r="F1066" t="s">
        <v>21</v>
      </c>
      <c r="G1066" t="s">
        <v>22</v>
      </c>
      <c r="H1066" t="s">
        <v>23</v>
      </c>
      <c r="J1066">
        <v>0</v>
      </c>
      <c r="K1066">
        <v>0</v>
      </c>
    </row>
    <row r="1067" spans="2:11" x14ac:dyDescent="0.25">
      <c r="B1067" t="s">
        <v>6</v>
      </c>
      <c r="C1067" t="s">
        <v>7</v>
      </c>
      <c r="D1067">
        <v>703273</v>
      </c>
      <c r="E1067" t="s">
        <v>193</v>
      </c>
      <c r="F1067" t="s">
        <v>21</v>
      </c>
      <c r="G1067" t="s">
        <v>147</v>
      </c>
      <c r="H1067" t="s">
        <v>147</v>
      </c>
      <c r="J1067">
        <v>0</v>
      </c>
      <c r="K1067">
        <v>0</v>
      </c>
    </row>
    <row r="1068" spans="2:11" x14ac:dyDescent="0.25">
      <c r="B1068" t="s">
        <v>6</v>
      </c>
      <c r="C1068" t="s">
        <v>7</v>
      </c>
      <c r="D1068">
        <v>703274</v>
      </c>
      <c r="E1068" t="s">
        <v>194</v>
      </c>
      <c r="F1068" t="s">
        <v>21</v>
      </c>
      <c r="G1068" t="s">
        <v>147</v>
      </c>
      <c r="H1068" t="s">
        <v>147</v>
      </c>
      <c r="J1068">
        <v>0</v>
      </c>
      <c r="K1068">
        <v>0</v>
      </c>
    </row>
    <row r="1069" spans="2:11" x14ac:dyDescent="0.25">
      <c r="B1069" t="s">
        <v>6</v>
      </c>
      <c r="C1069" t="s">
        <v>7</v>
      </c>
      <c r="D1069">
        <v>703275</v>
      </c>
      <c r="E1069" t="s">
        <v>195</v>
      </c>
      <c r="F1069" t="s">
        <v>21</v>
      </c>
      <c r="G1069" t="s">
        <v>137</v>
      </c>
      <c r="H1069" t="s">
        <v>138</v>
      </c>
      <c r="J1069">
        <v>0</v>
      </c>
      <c r="K1069">
        <v>0</v>
      </c>
    </row>
    <row r="1070" spans="2:11" x14ac:dyDescent="0.25">
      <c r="B1070" t="s">
        <v>6</v>
      </c>
      <c r="C1070" t="s">
        <v>7</v>
      </c>
      <c r="D1070">
        <v>703280</v>
      </c>
      <c r="E1070" t="s">
        <v>196</v>
      </c>
      <c r="F1070" t="s">
        <v>21</v>
      </c>
      <c r="G1070" t="s">
        <v>71</v>
      </c>
      <c r="H1070" t="s">
        <v>171</v>
      </c>
      <c r="J1070">
        <v>0</v>
      </c>
      <c r="K1070">
        <v>0</v>
      </c>
    </row>
    <row r="1071" spans="2:11" x14ac:dyDescent="0.25">
      <c r="B1071" t="s">
        <v>6</v>
      </c>
      <c r="C1071" t="s">
        <v>7</v>
      </c>
      <c r="D1071">
        <v>703281</v>
      </c>
      <c r="E1071" t="s">
        <v>197</v>
      </c>
      <c r="F1071" t="s">
        <v>21</v>
      </c>
      <c r="G1071" t="s">
        <v>76</v>
      </c>
      <c r="H1071" t="s">
        <v>77</v>
      </c>
      <c r="J1071">
        <v>0</v>
      </c>
      <c r="K1071">
        <v>0</v>
      </c>
    </row>
    <row r="1072" spans="2:11" x14ac:dyDescent="0.25">
      <c r="B1072" t="s">
        <v>6</v>
      </c>
      <c r="C1072" t="s">
        <v>7</v>
      </c>
      <c r="D1072">
        <v>703282</v>
      </c>
      <c r="E1072" t="s">
        <v>198</v>
      </c>
      <c r="F1072" t="s">
        <v>21</v>
      </c>
      <c r="G1072" t="s">
        <v>76</v>
      </c>
      <c r="H1072" t="s">
        <v>77</v>
      </c>
      <c r="J1072">
        <v>0</v>
      </c>
      <c r="K1072">
        <v>0</v>
      </c>
    </row>
    <row r="1073" spans="2:11" x14ac:dyDescent="0.25">
      <c r="B1073" t="s">
        <v>6</v>
      </c>
      <c r="C1073" t="s">
        <v>7</v>
      </c>
      <c r="D1073">
        <v>703283</v>
      </c>
      <c r="E1073" t="s">
        <v>199</v>
      </c>
      <c r="F1073" t="s">
        <v>21</v>
      </c>
      <c r="G1073" t="s">
        <v>61</v>
      </c>
      <c r="H1073" t="s">
        <v>68</v>
      </c>
      <c r="J1073">
        <v>0</v>
      </c>
      <c r="K1073">
        <v>0</v>
      </c>
    </row>
    <row r="1074" spans="2:11" x14ac:dyDescent="0.25">
      <c r="B1074" t="s">
        <v>6</v>
      </c>
      <c r="C1074" t="s">
        <v>7</v>
      </c>
      <c r="D1074">
        <v>703310</v>
      </c>
      <c r="E1074" t="s">
        <v>200</v>
      </c>
      <c r="F1074" t="s">
        <v>21</v>
      </c>
      <c r="G1074" t="s">
        <v>22</v>
      </c>
      <c r="H1074" t="s">
        <v>23</v>
      </c>
      <c r="J1074">
        <v>0</v>
      </c>
      <c r="K1074">
        <v>0</v>
      </c>
    </row>
    <row r="1075" spans="2:11" x14ac:dyDescent="0.25">
      <c r="B1075" t="s">
        <v>6</v>
      </c>
      <c r="C1075" t="s">
        <v>7</v>
      </c>
      <c r="D1075">
        <v>703311</v>
      </c>
      <c r="E1075" t="s">
        <v>201</v>
      </c>
      <c r="F1075" t="s">
        <v>21</v>
      </c>
      <c r="G1075" t="s">
        <v>71</v>
      </c>
      <c r="H1075" t="s">
        <v>171</v>
      </c>
      <c r="J1075">
        <v>0</v>
      </c>
      <c r="K1075">
        <v>0</v>
      </c>
    </row>
    <row r="1076" spans="2:11" x14ac:dyDescent="0.25">
      <c r="B1076" t="s">
        <v>6</v>
      </c>
      <c r="C1076" t="s">
        <v>7</v>
      </c>
      <c r="D1076">
        <v>703312</v>
      </c>
      <c r="E1076" t="s">
        <v>202</v>
      </c>
      <c r="F1076" t="s">
        <v>21</v>
      </c>
      <c r="G1076" t="s">
        <v>76</v>
      </c>
      <c r="H1076" t="s">
        <v>77</v>
      </c>
      <c r="J1076">
        <v>0</v>
      </c>
      <c r="K1076">
        <v>0</v>
      </c>
    </row>
    <row r="1077" spans="2:11" x14ac:dyDescent="0.25">
      <c r="B1077" t="s">
        <v>6</v>
      </c>
      <c r="C1077" t="s">
        <v>7</v>
      </c>
      <c r="D1077">
        <v>703313</v>
      </c>
      <c r="E1077" t="s">
        <v>203</v>
      </c>
      <c r="F1077" t="s">
        <v>21</v>
      </c>
      <c r="G1077" t="s">
        <v>76</v>
      </c>
      <c r="H1077" t="s">
        <v>77</v>
      </c>
      <c r="J1077">
        <v>0</v>
      </c>
      <c r="K1077">
        <v>0</v>
      </c>
    </row>
    <row r="1078" spans="2:11" x14ac:dyDescent="0.25">
      <c r="B1078" t="s">
        <v>6</v>
      </c>
      <c r="C1078" t="s">
        <v>7</v>
      </c>
      <c r="D1078">
        <v>703314</v>
      </c>
      <c r="E1078" t="s">
        <v>204</v>
      </c>
      <c r="F1078" t="s">
        <v>21</v>
      </c>
      <c r="G1078" t="s">
        <v>76</v>
      </c>
      <c r="H1078" t="s">
        <v>77</v>
      </c>
      <c r="J1078">
        <v>0</v>
      </c>
      <c r="K1078">
        <v>0</v>
      </c>
    </row>
    <row r="1079" spans="2:11" x14ac:dyDescent="0.25">
      <c r="B1079" t="s">
        <v>6</v>
      </c>
      <c r="C1079" t="s">
        <v>7</v>
      </c>
      <c r="D1079">
        <v>703315</v>
      </c>
      <c r="E1079" t="s">
        <v>205</v>
      </c>
      <c r="F1079" t="s">
        <v>21</v>
      </c>
      <c r="G1079" t="s">
        <v>76</v>
      </c>
      <c r="H1079" t="s">
        <v>135</v>
      </c>
      <c r="J1079">
        <v>0</v>
      </c>
      <c r="K1079">
        <v>0</v>
      </c>
    </row>
    <row r="1080" spans="2:11" x14ac:dyDescent="0.25">
      <c r="B1080" t="s">
        <v>6</v>
      </c>
      <c r="C1080" t="s">
        <v>7</v>
      </c>
      <c r="D1080">
        <v>703316</v>
      </c>
      <c r="E1080" t="s">
        <v>206</v>
      </c>
      <c r="F1080" t="s">
        <v>21</v>
      </c>
      <c r="G1080" t="s">
        <v>76</v>
      </c>
      <c r="H1080" t="s">
        <v>77</v>
      </c>
      <c r="J1080">
        <v>0</v>
      </c>
      <c r="K1080">
        <v>0</v>
      </c>
    </row>
    <row r="1081" spans="2:11" x14ac:dyDescent="0.25">
      <c r="B1081" t="s">
        <v>6</v>
      </c>
      <c r="C1081" t="s">
        <v>7</v>
      </c>
      <c r="D1081">
        <v>703317</v>
      </c>
      <c r="E1081" t="s">
        <v>207</v>
      </c>
      <c r="F1081" t="s">
        <v>21</v>
      </c>
      <c r="G1081" t="s">
        <v>76</v>
      </c>
      <c r="H1081" t="s">
        <v>77</v>
      </c>
      <c r="J1081">
        <v>0</v>
      </c>
      <c r="K1081">
        <v>0</v>
      </c>
    </row>
    <row r="1082" spans="2:11" x14ac:dyDescent="0.25">
      <c r="B1082" t="s">
        <v>6</v>
      </c>
      <c r="C1082" t="s">
        <v>7</v>
      </c>
      <c r="D1082">
        <v>703318</v>
      </c>
      <c r="E1082" t="s">
        <v>208</v>
      </c>
      <c r="F1082" t="s">
        <v>21</v>
      </c>
      <c r="G1082" t="s">
        <v>71</v>
      </c>
      <c r="H1082" t="s">
        <v>209</v>
      </c>
      <c r="J1082">
        <v>0</v>
      </c>
      <c r="K1082">
        <v>0</v>
      </c>
    </row>
    <row r="1083" spans="2:11" x14ac:dyDescent="0.25">
      <c r="B1083" t="s">
        <v>6</v>
      </c>
      <c r="C1083" t="s">
        <v>7</v>
      </c>
      <c r="D1083">
        <v>703319</v>
      </c>
      <c r="E1083" t="s">
        <v>210</v>
      </c>
      <c r="F1083" t="s">
        <v>21</v>
      </c>
      <c r="G1083" t="s">
        <v>61</v>
      </c>
      <c r="H1083" t="s">
        <v>79</v>
      </c>
      <c r="J1083">
        <v>0</v>
      </c>
      <c r="K1083">
        <v>0</v>
      </c>
    </row>
    <row r="1084" spans="2:11" x14ac:dyDescent="0.25">
      <c r="B1084" t="s">
        <v>6</v>
      </c>
      <c r="C1084" t="s">
        <v>7</v>
      </c>
      <c r="D1084">
        <v>703320</v>
      </c>
      <c r="E1084" t="s">
        <v>211</v>
      </c>
      <c r="F1084" t="s">
        <v>21</v>
      </c>
      <c r="G1084" t="s">
        <v>71</v>
      </c>
      <c r="H1084" t="s">
        <v>135</v>
      </c>
      <c r="J1084">
        <v>0</v>
      </c>
      <c r="K1084">
        <v>0</v>
      </c>
    </row>
    <row r="1085" spans="2:11" x14ac:dyDescent="0.25">
      <c r="B1085" t="s">
        <v>6</v>
      </c>
      <c r="C1085" t="s">
        <v>7</v>
      </c>
      <c r="D1085">
        <v>703321</v>
      </c>
      <c r="E1085" t="s">
        <v>212</v>
      </c>
      <c r="F1085" t="s">
        <v>21</v>
      </c>
      <c r="G1085" t="s">
        <v>22</v>
      </c>
      <c r="H1085" t="s">
        <v>23</v>
      </c>
      <c r="J1085">
        <v>0</v>
      </c>
      <c r="K1085">
        <v>0</v>
      </c>
    </row>
    <row r="1086" spans="2:11" x14ac:dyDescent="0.25">
      <c r="B1086" t="s">
        <v>6</v>
      </c>
      <c r="C1086" t="s">
        <v>7</v>
      </c>
      <c r="D1086">
        <v>703322</v>
      </c>
      <c r="E1086" t="s">
        <v>213</v>
      </c>
      <c r="F1086" t="s">
        <v>21</v>
      </c>
      <c r="G1086" t="s">
        <v>22</v>
      </c>
      <c r="H1086" t="s">
        <v>23</v>
      </c>
      <c r="J1086">
        <v>0</v>
      </c>
      <c r="K1086">
        <v>0</v>
      </c>
    </row>
    <row r="1087" spans="2:11" x14ac:dyDescent="0.25">
      <c r="B1087" t="s">
        <v>6</v>
      </c>
      <c r="C1087" t="s">
        <v>7</v>
      </c>
      <c r="D1087">
        <v>703323</v>
      </c>
      <c r="E1087" t="s">
        <v>214</v>
      </c>
      <c r="F1087" t="s">
        <v>21</v>
      </c>
      <c r="G1087" t="s">
        <v>22</v>
      </c>
      <c r="H1087" t="s">
        <v>23</v>
      </c>
      <c r="J1087">
        <v>0</v>
      </c>
      <c r="K1087">
        <v>0</v>
      </c>
    </row>
    <row r="1088" spans="2:11" x14ac:dyDescent="0.25">
      <c r="B1088" t="s">
        <v>6</v>
      </c>
      <c r="C1088" t="s">
        <v>7</v>
      </c>
      <c r="D1088">
        <v>703324</v>
      </c>
      <c r="E1088" t="s">
        <v>215</v>
      </c>
      <c r="F1088" t="s">
        <v>21</v>
      </c>
      <c r="G1088" t="s">
        <v>22</v>
      </c>
      <c r="H1088" t="s">
        <v>23</v>
      </c>
      <c r="J1088">
        <v>0</v>
      </c>
      <c r="K1088">
        <v>0</v>
      </c>
    </row>
    <row r="1089" spans="2:11" x14ac:dyDescent="0.25">
      <c r="B1089" t="s">
        <v>6</v>
      </c>
      <c r="C1089" t="s">
        <v>7</v>
      </c>
      <c r="D1089">
        <v>703325</v>
      </c>
      <c r="E1089" t="s">
        <v>216</v>
      </c>
      <c r="F1089" t="s">
        <v>21</v>
      </c>
      <c r="G1089" t="s">
        <v>22</v>
      </c>
      <c r="H1089" t="s">
        <v>23</v>
      </c>
      <c r="J1089">
        <v>0</v>
      </c>
      <c r="K1089">
        <v>0</v>
      </c>
    </row>
    <row r="1090" spans="2:11" x14ac:dyDescent="0.25">
      <c r="B1090" t="s">
        <v>6</v>
      </c>
      <c r="C1090" t="s">
        <v>7</v>
      </c>
      <c r="D1090">
        <v>703326</v>
      </c>
      <c r="E1090" t="s">
        <v>217</v>
      </c>
      <c r="F1090" t="s">
        <v>21</v>
      </c>
      <c r="G1090" t="s">
        <v>22</v>
      </c>
      <c r="H1090" t="s">
        <v>23</v>
      </c>
      <c r="J1090">
        <v>0</v>
      </c>
      <c r="K1090">
        <v>0</v>
      </c>
    </row>
    <row r="1091" spans="2:11" x14ac:dyDescent="0.25">
      <c r="B1091" t="s">
        <v>6</v>
      </c>
      <c r="C1091" t="s">
        <v>7</v>
      </c>
      <c r="D1091">
        <v>703327</v>
      </c>
      <c r="E1091" t="s">
        <v>218</v>
      </c>
      <c r="F1091" t="s">
        <v>21</v>
      </c>
      <c r="G1091" t="s">
        <v>76</v>
      </c>
      <c r="H1091" t="s">
        <v>77</v>
      </c>
      <c r="J1091">
        <v>0</v>
      </c>
      <c r="K1091">
        <v>0</v>
      </c>
    </row>
    <row r="1092" spans="2:11" x14ac:dyDescent="0.25">
      <c r="B1092" t="s">
        <v>6</v>
      </c>
      <c r="C1092" t="s">
        <v>7</v>
      </c>
      <c r="D1092">
        <v>703328</v>
      </c>
      <c r="E1092" t="s">
        <v>219</v>
      </c>
      <c r="F1092" t="s">
        <v>21</v>
      </c>
      <c r="G1092" t="s">
        <v>22</v>
      </c>
      <c r="H1092" t="s">
        <v>23</v>
      </c>
      <c r="J1092">
        <v>0</v>
      </c>
      <c r="K1092">
        <v>0</v>
      </c>
    </row>
    <row r="1093" spans="2:11" x14ac:dyDescent="0.25">
      <c r="B1093" t="s">
        <v>6</v>
      </c>
      <c r="C1093" t="s">
        <v>7</v>
      </c>
      <c r="D1093">
        <v>703329</v>
      </c>
      <c r="E1093" t="s">
        <v>220</v>
      </c>
      <c r="F1093" t="s">
        <v>21</v>
      </c>
      <c r="G1093" t="s">
        <v>22</v>
      </c>
      <c r="H1093" t="s">
        <v>23</v>
      </c>
      <c r="J1093">
        <v>0</v>
      </c>
      <c r="K1093">
        <v>0</v>
      </c>
    </row>
    <row r="1094" spans="2:11" x14ac:dyDescent="0.25">
      <c r="B1094" t="s">
        <v>6</v>
      </c>
      <c r="C1094" t="s">
        <v>7</v>
      </c>
      <c r="D1094">
        <v>703330</v>
      </c>
      <c r="E1094" t="s">
        <v>221</v>
      </c>
      <c r="F1094" t="s">
        <v>21</v>
      </c>
      <c r="G1094" t="s">
        <v>22</v>
      </c>
      <c r="H1094" t="s">
        <v>23</v>
      </c>
      <c r="J1094">
        <v>0</v>
      </c>
      <c r="K1094">
        <v>0</v>
      </c>
    </row>
    <row r="1095" spans="2:11" x14ac:dyDescent="0.25">
      <c r="B1095" t="s">
        <v>6</v>
      </c>
      <c r="C1095" t="s">
        <v>7</v>
      </c>
      <c r="D1095">
        <v>703340</v>
      </c>
      <c r="E1095" t="s">
        <v>222</v>
      </c>
      <c r="F1095" t="s">
        <v>21</v>
      </c>
      <c r="G1095" t="s">
        <v>61</v>
      </c>
      <c r="H1095" t="s">
        <v>68</v>
      </c>
      <c r="J1095">
        <v>0</v>
      </c>
      <c r="K1095">
        <v>0</v>
      </c>
    </row>
    <row r="1096" spans="2:11" x14ac:dyDescent="0.25">
      <c r="B1096" t="s">
        <v>6</v>
      </c>
      <c r="C1096" t="s">
        <v>7</v>
      </c>
      <c r="D1096">
        <v>703350</v>
      </c>
      <c r="E1096" t="s">
        <v>223</v>
      </c>
      <c r="F1096" t="s">
        <v>21</v>
      </c>
      <c r="G1096" t="s">
        <v>22</v>
      </c>
      <c r="H1096" t="s">
        <v>23</v>
      </c>
      <c r="J1096">
        <v>0</v>
      </c>
      <c r="K1096">
        <v>0</v>
      </c>
    </row>
    <row r="1097" spans="2:11" x14ac:dyDescent="0.25">
      <c r="B1097" t="s">
        <v>6</v>
      </c>
      <c r="C1097" t="s">
        <v>7</v>
      </c>
      <c r="D1097">
        <v>703351</v>
      </c>
      <c r="E1097" t="s">
        <v>224</v>
      </c>
      <c r="F1097" t="s">
        <v>21</v>
      </c>
      <c r="G1097" t="s">
        <v>22</v>
      </c>
      <c r="H1097" t="s">
        <v>23</v>
      </c>
      <c r="J1097">
        <v>0</v>
      </c>
      <c r="K1097">
        <v>0</v>
      </c>
    </row>
    <row r="1098" spans="2:11" x14ac:dyDescent="0.25">
      <c r="B1098" t="s">
        <v>6</v>
      </c>
      <c r="C1098" t="s">
        <v>7</v>
      </c>
      <c r="D1098">
        <v>703352</v>
      </c>
      <c r="E1098" t="s">
        <v>225</v>
      </c>
      <c r="F1098" t="s">
        <v>21</v>
      </c>
      <c r="G1098" t="s">
        <v>22</v>
      </c>
      <c r="H1098" t="s">
        <v>23</v>
      </c>
      <c r="J1098">
        <v>0</v>
      </c>
      <c r="K1098">
        <v>0</v>
      </c>
    </row>
    <row r="1099" spans="2:11" x14ac:dyDescent="0.25">
      <c r="B1099" t="s">
        <v>6</v>
      </c>
      <c r="C1099" t="s">
        <v>7</v>
      </c>
      <c r="D1099">
        <v>703360</v>
      </c>
      <c r="E1099" t="s">
        <v>226</v>
      </c>
      <c r="F1099" t="s">
        <v>21</v>
      </c>
      <c r="G1099" t="s">
        <v>22</v>
      </c>
      <c r="H1099" t="s">
        <v>23</v>
      </c>
      <c r="J1099">
        <v>0</v>
      </c>
      <c r="K1099">
        <v>0</v>
      </c>
    </row>
    <row r="1100" spans="2:11" x14ac:dyDescent="0.25">
      <c r="B1100" t="s">
        <v>6</v>
      </c>
      <c r="C1100" t="s">
        <v>7</v>
      </c>
      <c r="D1100">
        <v>703370</v>
      </c>
      <c r="E1100" t="s">
        <v>227</v>
      </c>
      <c r="F1100" t="s">
        <v>21</v>
      </c>
      <c r="G1100" t="s">
        <v>22</v>
      </c>
      <c r="H1100" t="s">
        <v>23</v>
      </c>
      <c r="J1100">
        <v>0</v>
      </c>
      <c r="K1100">
        <v>0</v>
      </c>
    </row>
    <row r="1101" spans="2:11" x14ac:dyDescent="0.25">
      <c r="B1101" t="s">
        <v>6</v>
      </c>
      <c r="C1101" t="s">
        <v>7</v>
      </c>
      <c r="D1101">
        <v>703410</v>
      </c>
      <c r="E1101" t="s">
        <v>228</v>
      </c>
      <c r="F1101" t="s">
        <v>21</v>
      </c>
      <c r="G1101" t="s">
        <v>22</v>
      </c>
      <c r="H1101" t="s">
        <v>23</v>
      </c>
      <c r="J1101">
        <v>0</v>
      </c>
      <c r="K1101">
        <v>0</v>
      </c>
    </row>
    <row r="1102" spans="2:11" x14ac:dyDescent="0.25">
      <c r="B1102" t="s">
        <v>6</v>
      </c>
      <c r="C1102" t="s">
        <v>7</v>
      </c>
      <c r="D1102">
        <v>703411</v>
      </c>
      <c r="E1102" t="s">
        <v>229</v>
      </c>
      <c r="F1102" t="s">
        <v>21</v>
      </c>
      <c r="G1102" t="s">
        <v>22</v>
      </c>
      <c r="H1102" t="s">
        <v>23</v>
      </c>
      <c r="J1102">
        <v>0</v>
      </c>
      <c r="K1102">
        <v>0</v>
      </c>
    </row>
    <row r="1103" spans="2:11" x14ac:dyDescent="0.25">
      <c r="B1103" t="s">
        <v>6</v>
      </c>
      <c r="C1103" t="s">
        <v>7</v>
      </c>
      <c r="D1103">
        <v>703412</v>
      </c>
      <c r="E1103" t="s">
        <v>230</v>
      </c>
      <c r="F1103" t="s">
        <v>21</v>
      </c>
      <c r="G1103" t="s">
        <v>22</v>
      </c>
      <c r="H1103" t="s">
        <v>23</v>
      </c>
      <c r="J1103">
        <v>0</v>
      </c>
      <c r="K1103">
        <v>0</v>
      </c>
    </row>
    <row r="1104" spans="2:11" x14ac:dyDescent="0.25">
      <c r="B1104" t="s">
        <v>6</v>
      </c>
      <c r="C1104" t="s">
        <v>7</v>
      </c>
      <c r="D1104">
        <v>703420</v>
      </c>
      <c r="E1104" t="s">
        <v>231</v>
      </c>
      <c r="F1104" t="s">
        <v>21</v>
      </c>
      <c r="G1104" t="s">
        <v>71</v>
      </c>
      <c r="H1104" t="s">
        <v>171</v>
      </c>
      <c r="J1104">
        <v>0</v>
      </c>
      <c r="K1104">
        <v>0</v>
      </c>
    </row>
    <row r="1105" spans="2:11" x14ac:dyDescent="0.25">
      <c r="B1105" t="s">
        <v>6</v>
      </c>
      <c r="C1105" t="s">
        <v>7</v>
      </c>
      <c r="D1105">
        <v>703421</v>
      </c>
      <c r="E1105" t="s">
        <v>232</v>
      </c>
      <c r="F1105" t="s">
        <v>21</v>
      </c>
      <c r="G1105" t="s">
        <v>22</v>
      </c>
      <c r="H1105" t="s">
        <v>23</v>
      </c>
      <c r="J1105">
        <v>0</v>
      </c>
      <c r="K1105">
        <v>0</v>
      </c>
    </row>
    <row r="1106" spans="2:11" x14ac:dyDescent="0.25">
      <c r="B1106" t="s">
        <v>6</v>
      </c>
      <c r="C1106" t="s">
        <v>7</v>
      </c>
      <c r="D1106">
        <v>703422</v>
      </c>
      <c r="E1106" t="s">
        <v>233</v>
      </c>
      <c r="F1106" t="s">
        <v>21</v>
      </c>
      <c r="G1106" t="s">
        <v>76</v>
      </c>
      <c r="H1106" t="s">
        <v>77</v>
      </c>
      <c r="J1106">
        <v>0</v>
      </c>
      <c r="K1106">
        <v>0</v>
      </c>
    </row>
    <row r="1107" spans="2:11" x14ac:dyDescent="0.25">
      <c r="B1107" t="s">
        <v>6</v>
      </c>
      <c r="C1107" t="s">
        <v>7</v>
      </c>
      <c r="D1107">
        <v>703423</v>
      </c>
      <c r="E1107" t="s">
        <v>234</v>
      </c>
      <c r="F1107" t="s">
        <v>21</v>
      </c>
      <c r="G1107" t="s">
        <v>71</v>
      </c>
      <c r="H1107" t="s">
        <v>88</v>
      </c>
      <c r="J1107">
        <v>0</v>
      </c>
      <c r="K1107">
        <v>0</v>
      </c>
    </row>
    <row r="1108" spans="2:11" x14ac:dyDescent="0.25">
      <c r="B1108" t="s">
        <v>6</v>
      </c>
      <c r="C1108" t="s">
        <v>7</v>
      </c>
      <c r="D1108">
        <v>703424</v>
      </c>
      <c r="E1108" t="s">
        <v>235</v>
      </c>
      <c r="F1108" t="s">
        <v>21</v>
      </c>
      <c r="G1108" t="s">
        <v>71</v>
      </c>
      <c r="H1108" t="s">
        <v>88</v>
      </c>
      <c r="J1108">
        <v>0</v>
      </c>
      <c r="K1108">
        <v>0</v>
      </c>
    </row>
    <row r="1109" spans="2:11" x14ac:dyDescent="0.25">
      <c r="B1109" t="s">
        <v>6</v>
      </c>
      <c r="C1109" t="s">
        <v>7</v>
      </c>
      <c r="D1109">
        <v>703425</v>
      </c>
      <c r="E1109" t="s">
        <v>236</v>
      </c>
      <c r="F1109" t="s">
        <v>21</v>
      </c>
      <c r="G1109" t="s">
        <v>76</v>
      </c>
      <c r="H1109" t="s">
        <v>77</v>
      </c>
      <c r="J1109">
        <v>0</v>
      </c>
      <c r="K1109">
        <v>0</v>
      </c>
    </row>
    <row r="1110" spans="2:11" x14ac:dyDescent="0.25">
      <c r="B1110" t="s">
        <v>6</v>
      </c>
      <c r="C1110" t="s">
        <v>7</v>
      </c>
      <c r="D1110">
        <v>703426</v>
      </c>
      <c r="E1110" t="s">
        <v>237</v>
      </c>
      <c r="F1110" t="s">
        <v>21</v>
      </c>
      <c r="G1110" t="s">
        <v>22</v>
      </c>
      <c r="H1110" t="s">
        <v>23</v>
      </c>
      <c r="J1110">
        <v>0</v>
      </c>
      <c r="K1110">
        <v>0</v>
      </c>
    </row>
    <row r="1111" spans="2:11" x14ac:dyDescent="0.25">
      <c r="B1111" t="s">
        <v>6</v>
      </c>
      <c r="C1111" t="s">
        <v>7</v>
      </c>
      <c r="D1111">
        <v>703427</v>
      </c>
      <c r="E1111" t="s">
        <v>238</v>
      </c>
      <c r="F1111" t="s">
        <v>21</v>
      </c>
      <c r="G1111" t="s">
        <v>76</v>
      </c>
      <c r="H1111" t="s">
        <v>77</v>
      </c>
      <c r="J1111">
        <v>0</v>
      </c>
      <c r="K1111">
        <v>0</v>
      </c>
    </row>
    <row r="1112" spans="2:11" x14ac:dyDescent="0.25">
      <c r="B1112" t="s">
        <v>6</v>
      </c>
      <c r="C1112" t="s">
        <v>7</v>
      </c>
      <c r="D1112">
        <v>703428</v>
      </c>
      <c r="E1112" t="s">
        <v>239</v>
      </c>
      <c r="F1112" t="s">
        <v>21</v>
      </c>
      <c r="G1112" t="s">
        <v>76</v>
      </c>
      <c r="H1112" t="s">
        <v>77</v>
      </c>
      <c r="J1112">
        <v>0</v>
      </c>
      <c r="K1112">
        <v>0</v>
      </c>
    </row>
    <row r="1113" spans="2:11" x14ac:dyDescent="0.25">
      <c r="B1113" t="s">
        <v>6</v>
      </c>
      <c r="C1113" t="s">
        <v>7</v>
      </c>
      <c r="D1113">
        <v>703429</v>
      </c>
      <c r="E1113" t="s">
        <v>240</v>
      </c>
      <c r="F1113" t="s">
        <v>21</v>
      </c>
      <c r="G1113" t="s">
        <v>76</v>
      </c>
      <c r="H1113" t="s">
        <v>77</v>
      </c>
      <c r="J1113">
        <v>0</v>
      </c>
      <c r="K1113">
        <v>0</v>
      </c>
    </row>
    <row r="1114" spans="2:11" x14ac:dyDescent="0.25">
      <c r="B1114" t="s">
        <v>6</v>
      </c>
      <c r="C1114" t="s">
        <v>7</v>
      </c>
      <c r="D1114">
        <v>703430</v>
      </c>
      <c r="E1114" t="s">
        <v>20</v>
      </c>
      <c r="F1114" t="s">
        <v>21</v>
      </c>
      <c r="G1114" t="s">
        <v>22</v>
      </c>
      <c r="H1114" t="s">
        <v>23</v>
      </c>
      <c r="J1114">
        <v>0</v>
      </c>
      <c r="K1114">
        <v>0</v>
      </c>
    </row>
    <row r="1115" spans="2:11" x14ac:dyDescent="0.25">
      <c r="B1115" t="s">
        <v>6</v>
      </c>
      <c r="C1115" t="s">
        <v>7</v>
      </c>
      <c r="D1115">
        <v>703431</v>
      </c>
      <c r="E1115" t="s">
        <v>241</v>
      </c>
      <c r="F1115" t="s">
        <v>21</v>
      </c>
      <c r="G1115" t="s">
        <v>22</v>
      </c>
      <c r="H1115" t="s">
        <v>23</v>
      </c>
      <c r="J1115">
        <v>0</v>
      </c>
      <c r="K1115">
        <v>0</v>
      </c>
    </row>
    <row r="1116" spans="2:11" x14ac:dyDescent="0.25">
      <c r="B1116" t="s">
        <v>6</v>
      </c>
      <c r="C1116" t="s">
        <v>7</v>
      </c>
      <c r="D1116">
        <v>703432</v>
      </c>
      <c r="E1116" t="s">
        <v>242</v>
      </c>
      <c r="F1116" t="s">
        <v>21</v>
      </c>
      <c r="G1116" t="s">
        <v>22</v>
      </c>
      <c r="H1116" t="s">
        <v>23</v>
      </c>
      <c r="J1116">
        <v>0</v>
      </c>
      <c r="K1116">
        <v>0</v>
      </c>
    </row>
    <row r="1117" spans="2:11" x14ac:dyDescent="0.25">
      <c r="B1117" t="s">
        <v>6</v>
      </c>
      <c r="C1117" t="s">
        <v>7</v>
      </c>
      <c r="D1117">
        <v>703433</v>
      </c>
      <c r="E1117" t="s">
        <v>243</v>
      </c>
      <c r="F1117" t="s">
        <v>21</v>
      </c>
      <c r="G1117" t="s">
        <v>71</v>
      </c>
      <c r="H1117" t="s">
        <v>88</v>
      </c>
      <c r="J1117">
        <v>0</v>
      </c>
      <c r="K1117">
        <v>0</v>
      </c>
    </row>
    <row r="1118" spans="2:11" x14ac:dyDescent="0.25">
      <c r="B1118" t="s">
        <v>6</v>
      </c>
      <c r="C1118" t="s">
        <v>7</v>
      </c>
      <c r="D1118">
        <v>703434</v>
      </c>
      <c r="E1118" t="s">
        <v>244</v>
      </c>
      <c r="F1118" t="s">
        <v>21</v>
      </c>
      <c r="G1118" t="s">
        <v>22</v>
      </c>
      <c r="H1118" t="s">
        <v>23</v>
      </c>
      <c r="J1118">
        <v>0</v>
      </c>
      <c r="K1118">
        <v>0</v>
      </c>
    </row>
    <row r="1119" spans="2:11" x14ac:dyDescent="0.25">
      <c r="B1119" t="s">
        <v>6</v>
      </c>
      <c r="C1119" t="s">
        <v>7</v>
      </c>
      <c r="D1119">
        <v>703435</v>
      </c>
      <c r="E1119" t="s">
        <v>245</v>
      </c>
      <c r="F1119" t="s">
        <v>21</v>
      </c>
      <c r="G1119" t="s">
        <v>71</v>
      </c>
      <c r="H1119" t="s">
        <v>88</v>
      </c>
      <c r="J1119">
        <v>0</v>
      </c>
      <c r="K1119">
        <v>0</v>
      </c>
    </row>
    <row r="1120" spans="2:11" x14ac:dyDescent="0.25">
      <c r="B1120" t="s">
        <v>6</v>
      </c>
      <c r="C1120" t="s">
        <v>7</v>
      </c>
      <c r="D1120">
        <v>703436</v>
      </c>
      <c r="E1120" t="s">
        <v>246</v>
      </c>
      <c r="F1120" t="s">
        <v>21</v>
      </c>
      <c r="G1120" t="s">
        <v>71</v>
      </c>
      <c r="H1120" t="s">
        <v>88</v>
      </c>
      <c r="J1120">
        <v>0</v>
      </c>
      <c r="K1120">
        <v>0</v>
      </c>
    </row>
    <row r="1121" spans="2:11" x14ac:dyDescent="0.25">
      <c r="B1121" t="s">
        <v>6</v>
      </c>
      <c r="C1121" t="s">
        <v>7</v>
      </c>
      <c r="D1121">
        <v>703437</v>
      </c>
      <c r="E1121" t="s">
        <v>247</v>
      </c>
      <c r="F1121" t="s">
        <v>21</v>
      </c>
      <c r="G1121" t="s">
        <v>71</v>
      </c>
      <c r="H1121" t="s">
        <v>88</v>
      </c>
      <c r="J1121">
        <v>0</v>
      </c>
      <c r="K1121">
        <v>0</v>
      </c>
    </row>
    <row r="1122" spans="2:11" x14ac:dyDescent="0.25">
      <c r="B1122" t="s">
        <v>6</v>
      </c>
      <c r="C1122" t="s">
        <v>7</v>
      </c>
      <c r="D1122">
        <v>703438</v>
      </c>
      <c r="E1122" t="s">
        <v>248</v>
      </c>
      <c r="F1122" t="s">
        <v>21</v>
      </c>
      <c r="G1122" t="s">
        <v>71</v>
      </c>
      <c r="H1122" t="s">
        <v>88</v>
      </c>
      <c r="J1122">
        <v>0</v>
      </c>
      <c r="K1122">
        <v>0</v>
      </c>
    </row>
    <row r="1123" spans="2:11" x14ac:dyDescent="0.25">
      <c r="B1123" t="s">
        <v>6</v>
      </c>
      <c r="C1123" t="s">
        <v>7</v>
      </c>
      <c r="D1123">
        <v>703439</v>
      </c>
      <c r="E1123" t="s">
        <v>249</v>
      </c>
      <c r="F1123" t="s">
        <v>21</v>
      </c>
      <c r="G1123" t="s">
        <v>22</v>
      </c>
      <c r="H1123" t="s">
        <v>23</v>
      </c>
      <c r="J1123">
        <v>0</v>
      </c>
      <c r="K1123">
        <v>0</v>
      </c>
    </row>
    <row r="1124" spans="2:11" x14ac:dyDescent="0.25">
      <c r="B1124" t="s">
        <v>6</v>
      </c>
      <c r="C1124" t="s">
        <v>7</v>
      </c>
      <c r="D1124">
        <v>703440</v>
      </c>
      <c r="E1124" t="s">
        <v>250</v>
      </c>
      <c r="F1124" t="s">
        <v>21</v>
      </c>
      <c r="G1124" t="s">
        <v>61</v>
      </c>
      <c r="H1124" t="s">
        <v>68</v>
      </c>
      <c r="J1124">
        <v>0</v>
      </c>
      <c r="K1124">
        <v>0</v>
      </c>
    </row>
    <row r="1125" spans="2:11" x14ac:dyDescent="0.25">
      <c r="B1125" t="s">
        <v>6</v>
      </c>
      <c r="C1125" t="s">
        <v>7</v>
      </c>
      <c r="D1125">
        <v>703441</v>
      </c>
      <c r="E1125" t="s">
        <v>251</v>
      </c>
      <c r="F1125" t="s">
        <v>21</v>
      </c>
      <c r="G1125" t="s">
        <v>61</v>
      </c>
      <c r="H1125" t="s">
        <v>79</v>
      </c>
      <c r="J1125">
        <v>0</v>
      </c>
      <c r="K1125">
        <v>0</v>
      </c>
    </row>
    <row r="1126" spans="2:11" x14ac:dyDescent="0.25">
      <c r="B1126" t="s">
        <v>6</v>
      </c>
      <c r="C1126" t="s">
        <v>7</v>
      </c>
      <c r="D1126">
        <v>703442</v>
      </c>
      <c r="E1126" t="s">
        <v>252</v>
      </c>
      <c r="F1126" t="s">
        <v>21</v>
      </c>
      <c r="G1126" t="s">
        <v>76</v>
      </c>
      <c r="H1126" t="s">
        <v>77</v>
      </c>
      <c r="J1126">
        <v>0</v>
      </c>
      <c r="K1126">
        <v>0</v>
      </c>
    </row>
    <row r="1127" spans="2:11" x14ac:dyDescent="0.25">
      <c r="B1127" t="s">
        <v>6</v>
      </c>
      <c r="C1127" t="s">
        <v>7</v>
      </c>
      <c r="D1127">
        <v>703443</v>
      </c>
      <c r="E1127" t="s">
        <v>253</v>
      </c>
      <c r="F1127" t="s">
        <v>21</v>
      </c>
      <c r="G1127" t="s">
        <v>71</v>
      </c>
      <c r="H1127" t="s">
        <v>88</v>
      </c>
      <c r="J1127">
        <v>0</v>
      </c>
      <c r="K1127">
        <v>0</v>
      </c>
    </row>
    <row r="1128" spans="2:11" x14ac:dyDescent="0.25">
      <c r="B1128" t="s">
        <v>6</v>
      </c>
      <c r="C1128" t="s">
        <v>7</v>
      </c>
      <c r="D1128">
        <v>703444</v>
      </c>
      <c r="E1128" t="s">
        <v>254</v>
      </c>
      <c r="F1128" t="s">
        <v>21</v>
      </c>
      <c r="G1128" t="s">
        <v>22</v>
      </c>
      <c r="H1128" t="s">
        <v>23</v>
      </c>
      <c r="J1128">
        <v>0</v>
      </c>
      <c r="K1128">
        <v>0</v>
      </c>
    </row>
    <row r="1129" spans="2:11" x14ac:dyDescent="0.25">
      <c r="B1129" t="s">
        <v>6</v>
      </c>
      <c r="C1129" t="s">
        <v>7</v>
      </c>
      <c r="D1129">
        <v>703445</v>
      </c>
      <c r="E1129" t="s">
        <v>255</v>
      </c>
      <c r="F1129" t="s">
        <v>21</v>
      </c>
      <c r="G1129" t="s">
        <v>22</v>
      </c>
      <c r="H1129" t="s">
        <v>23</v>
      </c>
      <c r="J1129">
        <v>0</v>
      </c>
      <c r="K1129">
        <v>0</v>
      </c>
    </row>
    <row r="1130" spans="2:11" x14ac:dyDescent="0.25">
      <c r="B1130" t="s">
        <v>6</v>
      </c>
      <c r="C1130" t="s">
        <v>7</v>
      </c>
      <c r="D1130">
        <v>703446</v>
      </c>
      <c r="E1130" t="s">
        <v>256</v>
      </c>
      <c r="F1130" t="s">
        <v>21</v>
      </c>
      <c r="G1130" t="s">
        <v>22</v>
      </c>
      <c r="H1130" t="s">
        <v>23</v>
      </c>
      <c r="J1130">
        <v>0</v>
      </c>
      <c r="K1130">
        <v>0</v>
      </c>
    </row>
    <row r="1131" spans="2:11" x14ac:dyDescent="0.25">
      <c r="B1131" t="s">
        <v>6</v>
      </c>
      <c r="C1131" t="s">
        <v>7</v>
      </c>
      <c r="D1131">
        <v>703447</v>
      </c>
      <c r="E1131" t="s">
        <v>257</v>
      </c>
      <c r="F1131" t="s">
        <v>21</v>
      </c>
      <c r="G1131" t="s">
        <v>22</v>
      </c>
      <c r="H1131" t="s">
        <v>23</v>
      </c>
      <c r="J1131">
        <v>0</v>
      </c>
      <c r="K1131">
        <v>0</v>
      </c>
    </row>
    <row r="1132" spans="2:11" x14ac:dyDescent="0.25">
      <c r="B1132" t="s">
        <v>6</v>
      </c>
      <c r="C1132" t="s">
        <v>7</v>
      </c>
      <c r="D1132">
        <v>703448</v>
      </c>
      <c r="E1132" t="s">
        <v>258</v>
      </c>
      <c r="F1132" t="s">
        <v>21</v>
      </c>
      <c r="G1132" t="s">
        <v>22</v>
      </c>
      <c r="H1132" t="s">
        <v>23</v>
      </c>
      <c r="J1132">
        <v>0</v>
      </c>
      <c r="K1132">
        <v>0</v>
      </c>
    </row>
    <row r="1133" spans="2:11" x14ac:dyDescent="0.25">
      <c r="B1133" t="s">
        <v>6</v>
      </c>
      <c r="C1133" t="s">
        <v>7</v>
      </c>
      <c r="D1133">
        <v>703449</v>
      </c>
      <c r="E1133" t="s">
        <v>259</v>
      </c>
      <c r="F1133" t="s">
        <v>21</v>
      </c>
      <c r="G1133" t="s">
        <v>22</v>
      </c>
      <c r="H1133" t="s">
        <v>23</v>
      </c>
      <c r="J1133">
        <v>0</v>
      </c>
      <c r="K1133">
        <v>0</v>
      </c>
    </row>
    <row r="1134" spans="2:11" x14ac:dyDescent="0.25">
      <c r="B1134" t="s">
        <v>6</v>
      </c>
      <c r="C1134" t="s">
        <v>7</v>
      </c>
      <c r="D1134">
        <v>703450</v>
      </c>
      <c r="E1134" t="s">
        <v>260</v>
      </c>
      <c r="F1134" t="s">
        <v>21</v>
      </c>
      <c r="G1134" t="s">
        <v>71</v>
      </c>
      <c r="H1134" t="s">
        <v>88</v>
      </c>
      <c r="J1134">
        <v>0</v>
      </c>
      <c r="K1134">
        <v>0</v>
      </c>
    </row>
    <row r="1135" spans="2:11" x14ac:dyDescent="0.25">
      <c r="B1135" t="s">
        <v>6</v>
      </c>
      <c r="C1135" t="s">
        <v>7</v>
      </c>
      <c r="D1135">
        <v>703510</v>
      </c>
      <c r="E1135" t="s">
        <v>261</v>
      </c>
      <c r="F1135" t="s">
        <v>21</v>
      </c>
      <c r="G1135" t="s">
        <v>22</v>
      </c>
      <c r="H1135" t="s">
        <v>23</v>
      </c>
      <c r="J1135">
        <v>0</v>
      </c>
      <c r="K1135">
        <v>0</v>
      </c>
    </row>
    <row r="1136" spans="2:11" x14ac:dyDescent="0.25">
      <c r="B1136" t="s">
        <v>6</v>
      </c>
      <c r="C1136" t="s">
        <v>7</v>
      </c>
      <c r="D1136">
        <v>703511</v>
      </c>
      <c r="E1136" t="s">
        <v>262</v>
      </c>
      <c r="F1136" t="s">
        <v>21</v>
      </c>
      <c r="G1136" t="s">
        <v>22</v>
      </c>
      <c r="H1136" t="s">
        <v>23</v>
      </c>
      <c r="J1136">
        <v>0</v>
      </c>
      <c r="K1136">
        <v>0</v>
      </c>
    </row>
    <row r="1137" spans="2:11" x14ac:dyDescent="0.25">
      <c r="B1137" t="s">
        <v>6</v>
      </c>
      <c r="C1137" t="s">
        <v>7</v>
      </c>
      <c r="D1137">
        <v>703512</v>
      </c>
      <c r="E1137" t="s">
        <v>263</v>
      </c>
      <c r="F1137" t="s">
        <v>21</v>
      </c>
      <c r="G1137" t="s">
        <v>22</v>
      </c>
      <c r="H1137" t="s">
        <v>23</v>
      </c>
      <c r="J1137">
        <v>0</v>
      </c>
      <c r="K1137">
        <v>0</v>
      </c>
    </row>
    <row r="1138" spans="2:11" x14ac:dyDescent="0.25">
      <c r="B1138" t="s">
        <v>6</v>
      </c>
      <c r="C1138" t="s">
        <v>7</v>
      </c>
      <c r="D1138">
        <v>703513</v>
      </c>
      <c r="E1138" t="s">
        <v>264</v>
      </c>
      <c r="F1138" t="s">
        <v>21</v>
      </c>
      <c r="G1138" t="s">
        <v>22</v>
      </c>
      <c r="H1138" t="s">
        <v>23</v>
      </c>
      <c r="J1138">
        <v>0</v>
      </c>
      <c r="K1138">
        <v>0</v>
      </c>
    </row>
    <row r="1139" spans="2:11" x14ac:dyDescent="0.25">
      <c r="B1139" t="s">
        <v>6</v>
      </c>
      <c r="C1139" t="s">
        <v>7</v>
      </c>
      <c r="D1139">
        <v>703514</v>
      </c>
      <c r="E1139" t="s">
        <v>265</v>
      </c>
      <c r="F1139" t="s">
        <v>21</v>
      </c>
      <c r="G1139" t="s">
        <v>22</v>
      </c>
      <c r="H1139" t="s">
        <v>23</v>
      </c>
      <c r="J1139">
        <v>0</v>
      </c>
      <c r="K1139">
        <v>0</v>
      </c>
    </row>
    <row r="1140" spans="2:11" x14ac:dyDescent="0.25">
      <c r="B1140" t="s">
        <v>6</v>
      </c>
      <c r="C1140" t="s">
        <v>7</v>
      </c>
      <c r="D1140">
        <v>703515</v>
      </c>
      <c r="E1140" t="s">
        <v>266</v>
      </c>
      <c r="F1140" t="s">
        <v>21</v>
      </c>
      <c r="G1140" t="s">
        <v>22</v>
      </c>
      <c r="H1140" t="s">
        <v>23</v>
      </c>
      <c r="J1140">
        <v>0</v>
      </c>
      <c r="K1140">
        <v>0</v>
      </c>
    </row>
    <row r="1141" spans="2:11" x14ac:dyDescent="0.25">
      <c r="B1141" t="s">
        <v>6</v>
      </c>
      <c r="C1141" t="s">
        <v>7</v>
      </c>
      <c r="D1141">
        <v>703520</v>
      </c>
      <c r="E1141" t="s">
        <v>267</v>
      </c>
      <c r="F1141" t="s">
        <v>21</v>
      </c>
      <c r="G1141" t="s">
        <v>22</v>
      </c>
      <c r="H1141" t="s">
        <v>23</v>
      </c>
      <c r="J1141">
        <v>0</v>
      </c>
      <c r="K1141">
        <v>0</v>
      </c>
    </row>
    <row r="1142" spans="2:11" x14ac:dyDescent="0.25">
      <c r="B1142" t="s">
        <v>6</v>
      </c>
      <c r="C1142" t="s">
        <v>7</v>
      </c>
      <c r="D1142">
        <v>703530</v>
      </c>
      <c r="E1142" t="s">
        <v>268</v>
      </c>
      <c r="F1142" t="s">
        <v>21</v>
      </c>
      <c r="G1142" t="s">
        <v>22</v>
      </c>
      <c r="H1142" t="s">
        <v>23</v>
      </c>
      <c r="J1142">
        <v>0</v>
      </c>
      <c r="K1142">
        <v>0</v>
      </c>
    </row>
    <row r="1143" spans="2:11" x14ac:dyDescent="0.25">
      <c r="B1143" t="s">
        <v>6</v>
      </c>
      <c r="C1143" t="s">
        <v>7</v>
      </c>
      <c r="D1143">
        <v>703540</v>
      </c>
      <c r="E1143" t="s">
        <v>269</v>
      </c>
      <c r="F1143" t="s">
        <v>21</v>
      </c>
      <c r="G1143" t="s">
        <v>22</v>
      </c>
      <c r="H1143" t="s">
        <v>23</v>
      </c>
      <c r="J1143">
        <v>0</v>
      </c>
      <c r="K1143">
        <v>0</v>
      </c>
    </row>
    <row r="1144" spans="2:11" x14ac:dyDescent="0.25">
      <c r="B1144" t="s">
        <v>6</v>
      </c>
      <c r="C1144" t="s">
        <v>7</v>
      </c>
      <c r="D1144">
        <v>703550</v>
      </c>
      <c r="E1144" t="s">
        <v>270</v>
      </c>
      <c r="F1144" t="s">
        <v>21</v>
      </c>
      <c r="G1144" t="s">
        <v>22</v>
      </c>
      <c r="H1144" t="s">
        <v>23</v>
      </c>
      <c r="J1144">
        <v>0</v>
      </c>
      <c r="K1144">
        <v>0</v>
      </c>
    </row>
    <row r="1145" spans="2:11" x14ac:dyDescent="0.25">
      <c r="B1145" t="s">
        <v>6</v>
      </c>
      <c r="C1145" t="s">
        <v>7</v>
      </c>
      <c r="D1145">
        <v>703560</v>
      </c>
      <c r="E1145" t="s">
        <v>271</v>
      </c>
      <c r="F1145" t="s">
        <v>21</v>
      </c>
      <c r="G1145" t="s">
        <v>22</v>
      </c>
      <c r="H1145" t="s">
        <v>23</v>
      </c>
      <c r="J1145">
        <v>0</v>
      </c>
      <c r="K1145">
        <v>0</v>
      </c>
    </row>
    <row r="1146" spans="2:11" x14ac:dyDescent="0.25">
      <c r="B1146" t="s">
        <v>6</v>
      </c>
      <c r="C1146" t="s">
        <v>7</v>
      </c>
      <c r="D1146">
        <v>703570</v>
      </c>
      <c r="E1146" t="s">
        <v>272</v>
      </c>
      <c r="F1146" t="s">
        <v>21</v>
      </c>
      <c r="G1146" t="s">
        <v>22</v>
      </c>
      <c r="H1146" t="s">
        <v>23</v>
      </c>
      <c r="J1146">
        <v>0</v>
      </c>
      <c r="K1146">
        <v>0</v>
      </c>
    </row>
    <row r="1147" spans="2:11" x14ac:dyDescent="0.25">
      <c r="B1147" t="s">
        <v>6</v>
      </c>
      <c r="C1147" t="s">
        <v>7</v>
      </c>
      <c r="D1147">
        <v>703571</v>
      </c>
      <c r="E1147" t="s">
        <v>273</v>
      </c>
      <c r="F1147" t="s">
        <v>21</v>
      </c>
      <c r="G1147" t="s">
        <v>22</v>
      </c>
      <c r="H1147" t="s">
        <v>23</v>
      </c>
      <c r="J1147">
        <v>0</v>
      </c>
    </row>
    <row r="1148" spans="2:11" x14ac:dyDescent="0.25">
      <c r="B1148" t="s">
        <v>6</v>
      </c>
      <c r="C1148" t="s">
        <v>7</v>
      </c>
      <c r="D1148">
        <v>703572</v>
      </c>
      <c r="E1148" t="s">
        <v>274</v>
      </c>
      <c r="F1148" t="s">
        <v>21</v>
      </c>
      <c r="G1148" t="s">
        <v>22</v>
      </c>
      <c r="H1148" t="s">
        <v>23</v>
      </c>
      <c r="J1148">
        <v>0</v>
      </c>
    </row>
    <row r="1149" spans="2:11" x14ac:dyDescent="0.25">
      <c r="B1149" t="s">
        <v>6</v>
      </c>
      <c r="C1149" t="s">
        <v>7</v>
      </c>
      <c r="D1149">
        <v>703573</v>
      </c>
      <c r="E1149" t="s">
        <v>275</v>
      </c>
      <c r="F1149" t="s">
        <v>21</v>
      </c>
      <c r="G1149" t="s">
        <v>22</v>
      </c>
      <c r="H1149" t="s">
        <v>23</v>
      </c>
      <c r="J1149">
        <v>0</v>
      </c>
    </row>
    <row r="1150" spans="2:11" x14ac:dyDescent="0.25">
      <c r="B1150" t="s">
        <v>6</v>
      </c>
      <c r="C1150" t="s">
        <v>7</v>
      </c>
      <c r="D1150">
        <v>703574</v>
      </c>
      <c r="E1150" t="s">
        <v>276</v>
      </c>
      <c r="F1150" t="s">
        <v>21</v>
      </c>
      <c r="G1150" t="s">
        <v>22</v>
      </c>
      <c r="H1150" t="s">
        <v>23</v>
      </c>
      <c r="J1150">
        <v>0</v>
      </c>
    </row>
    <row r="1151" spans="2:11" x14ac:dyDescent="0.25">
      <c r="B1151" t="s">
        <v>6</v>
      </c>
      <c r="C1151" t="s">
        <v>7</v>
      </c>
      <c r="D1151">
        <v>703580</v>
      </c>
      <c r="E1151" t="s">
        <v>277</v>
      </c>
      <c r="F1151" t="s">
        <v>21</v>
      </c>
      <c r="G1151" t="s">
        <v>22</v>
      </c>
      <c r="H1151" t="s">
        <v>23</v>
      </c>
      <c r="J1151">
        <v>0</v>
      </c>
      <c r="K1151">
        <v>0</v>
      </c>
    </row>
    <row r="1152" spans="2:11" x14ac:dyDescent="0.25">
      <c r="B1152" t="s">
        <v>6</v>
      </c>
      <c r="C1152" t="s">
        <v>7</v>
      </c>
      <c r="D1152">
        <v>703590</v>
      </c>
      <c r="E1152" t="s">
        <v>278</v>
      </c>
      <c r="F1152" t="s">
        <v>21</v>
      </c>
      <c r="G1152" t="s">
        <v>22</v>
      </c>
      <c r="H1152" t="s">
        <v>23</v>
      </c>
      <c r="J1152">
        <v>0</v>
      </c>
      <c r="K1152">
        <v>0</v>
      </c>
    </row>
    <row r="1153" spans="2:11" x14ac:dyDescent="0.25">
      <c r="B1153" t="s">
        <v>6</v>
      </c>
      <c r="C1153" t="s">
        <v>7</v>
      </c>
      <c r="D1153">
        <v>703650</v>
      </c>
      <c r="E1153" t="s">
        <v>279</v>
      </c>
      <c r="F1153" t="s">
        <v>21</v>
      </c>
      <c r="G1153" t="s">
        <v>22</v>
      </c>
      <c r="H1153" t="s">
        <v>23</v>
      </c>
      <c r="J1153">
        <v>0</v>
      </c>
      <c r="K1153">
        <v>0</v>
      </c>
    </row>
    <row r="1154" spans="2:11" x14ac:dyDescent="0.25">
      <c r="B1154" t="s">
        <v>6</v>
      </c>
      <c r="C1154" t="s">
        <v>7</v>
      </c>
      <c r="D1154">
        <v>703651</v>
      </c>
      <c r="E1154" t="s">
        <v>280</v>
      </c>
      <c r="F1154" t="s">
        <v>21</v>
      </c>
      <c r="G1154" t="s">
        <v>22</v>
      </c>
      <c r="H1154" t="s">
        <v>23</v>
      </c>
      <c r="J1154">
        <v>0</v>
      </c>
      <c r="K1154">
        <v>0</v>
      </c>
    </row>
    <row r="1155" spans="2:11" x14ac:dyDescent="0.25">
      <c r="B1155" t="s">
        <v>6</v>
      </c>
      <c r="C1155" t="s">
        <v>7</v>
      </c>
      <c r="D1155">
        <v>703850</v>
      </c>
      <c r="E1155" t="s">
        <v>281</v>
      </c>
      <c r="F1155" t="s">
        <v>21</v>
      </c>
      <c r="G1155" t="s">
        <v>22</v>
      </c>
      <c r="H1155" t="s">
        <v>23</v>
      </c>
      <c r="J1155">
        <v>0</v>
      </c>
      <c r="K1155">
        <v>0</v>
      </c>
    </row>
    <row r="1156" spans="2:11" x14ac:dyDescent="0.25">
      <c r="B1156" t="s">
        <v>6</v>
      </c>
      <c r="C1156" t="s">
        <v>7</v>
      </c>
      <c r="D1156">
        <v>703851</v>
      </c>
      <c r="E1156" t="s">
        <v>282</v>
      </c>
      <c r="F1156" t="s">
        <v>21</v>
      </c>
      <c r="G1156" t="s">
        <v>22</v>
      </c>
      <c r="H1156" t="s">
        <v>23</v>
      </c>
      <c r="J1156">
        <v>0</v>
      </c>
      <c r="K1156">
        <v>0</v>
      </c>
    </row>
    <row r="1157" spans="2:11" x14ac:dyDescent="0.25">
      <c r="B1157" t="s">
        <v>6</v>
      </c>
      <c r="C1157" t="s">
        <v>7</v>
      </c>
      <c r="D1157">
        <v>703852</v>
      </c>
      <c r="E1157" t="s">
        <v>283</v>
      </c>
      <c r="F1157" t="s">
        <v>21</v>
      </c>
      <c r="G1157" t="s">
        <v>22</v>
      </c>
      <c r="H1157" t="s">
        <v>23</v>
      </c>
      <c r="J1157">
        <v>0</v>
      </c>
      <c r="K1157">
        <v>0</v>
      </c>
    </row>
    <row r="1158" spans="2:11" x14ac:dyDescent="0.25">
      <c r="B1158" t="s">
        <v>6</v>
      </c>
      <c r="C1158" t="s">
        <v>7</v>
      </c>
      <c r="D1158">
        <v>703853</v>
      </c>
      <c r="E1158" t="s">
        <v>284</v>
      </c>
      <c r="F1158" t="s">
        <v>21</v>
      </c>
      <c r="G1158" t="s">
        <v>22</v>
      </c>
      <c r="H1158" t="s">
        <v>23</v>
      </c>
      <c r="J1158">
        <v>0</v>
      </c>
      <c r="K1158">
        <v>0</v>
      </c>
    </row>
    <row r="1159" spans="2:11" x14ac:dyDescent="0.25">
      <c r="B1159" t="s">
        <v>6</v>
      </c>
      <c r="C1159" t="s">
        <v>7</v>
      </c>
      <c r="D1159">
        <v>703854</v>
      </c>
      <c r="E1159" t="s">
        <v>285</v>
      </c>
      <c r="F1159" t="s">
        <v>21</v>
      </c>
      <c r="G1159" t="s">
        <v>22</v>
      </c>
      <c r="H1159" t="s">
        <v>115</v>
      </c>
      <c r="J1159">
        <v>0</v>
      </c>
      <c r="K1159">
        <v>0</v>
      </c>
    </row>
    <row r="1160" spans="2:11" x14ac:dyDescent="0.25">
      <c r="B1160" t="s">
        <v>6</v>
      </c>
      <c r="C1160" t="s">
        <v>7</v>
      </c>
      <c r="D1160">
        <v>703855</v>
      </c>
      <c r="E1160" t="s">
        <v>286</v>
      </c>
      <c r="F1160" t="s">
        <v>21</v>
      </c>
      <c r="G1160" t="s">
        <v>22</v>
      </c>
      <c r="H1160" t="s">
        <v>23</v>
      </c>
      <c r="J1160">
        <v>0</v>
      </c>
      <c r="K1160">
        <v>0</v>
      </c>
    </row>
    <row r="1161" spans="2:11" x14ac:dyDescent="0.25">
      <c r="B1161" t="s">
        <v>6</v>
      </c>
      <c r="C1161" t="s">
        <v>7</v>
      </c>
      <c r="D1161">
        <v>703856</v>
      </c>
      <c r="E1161" t="s">
        <v>287</v>
      </c>
      <c r="F1161" t="s">
        <v>21</v>
      </c>
      <c r="G1161" t="s">
        <v>22</v>
      </c>
      <c r="H1161" t="s">
        <v>23</v>
      </c>
      <c r="J1161">
        <v>0</v>
      </c>
      <c r="K1161">
        <v>0</v>
      </c>
    </row>
    <row r="1162" spans="2:11" x14ac:dyDescent="0.25">
      <c r="B1162" t="s">
        <v>6</v>
      </c>
      <c r="C1162" t="s">
        <v>7</v>
      </c>
      <c r="D1162">
        <v>703857</v>
      </c>
      <c r="E1162" t="s">
        <v>288</v>
      </c>
      <c r="F1162" t="s">
        <v>21</v>
      </c>
      <c r="G1162" t="s">
        <v>71</v>
      </c>
      <c r="H1162" t="s">
        <v>88</v>
      </c>
      <c r="J1162">
        <v>0</v>
      </c>
      <c r="K1162">
        <v>0</v>
      </c>
    </row>
    <row r="1163" spans="2:11" x14ac:dyDescent="0.25">
      <c r="B1163" t="s">
        <v>6</v>
      </c>
      <c r="C1163" t="s">
        <v>7</v>
      </c>
      <c r="D1163">
        <v>703858</v>
      </c>
      <c r="E1163" t="s">
        <v>289</v>
      </c>
      <c r="F1163" t="s">
        <v>21</v>
      </c>
      <c r="G1163" t="s">
        <v>22</v>
      </c>
      <c r="H1163" t="s">
        <v>23</v>
      </c>
      <c r="J1163">
        <v>0</v>
      </c>
      <c r="K1163">
        <v>0</v>
      </c>
    </row>
    <row r="1164" spans="2:11" x14ac:dyDescent="0.25">
      <c r="B1164" t="s">
        <v>6</v>
      </c>
      <c r="C1164" t="s">
        <v>7</v>
      </c>
      <c r="D1164">
        <v>703859</v>
      </c>
      <c r="E1164" t="s">
        <v>290</v>
      </c>
      <c r="F1164" t="s">
        <v>21</v>
      </c>
      <c r="G1164" t="s">
        <v>22</v>
      </c>
      <c r="H1164" t="s">
        <v>23</v>
      </c>
      <c r="J1164">
        <v>0</v>
      </c>
      <c r="K1164">
        <v>0</v>
      </c>
    </row>
    <row r="1165" spans="2:11" x14ac:dyDescent="0.25">
      <c r="B1165" t="s">
        <v>6</v>
      </c>
      <c r="C1165" t="s">
        <v>7</v>
      </c>
      <c r="D1165">
        <v>703860</v>
      </c>
      <c r="E1165" t="s">
        <v>291</v>
      </c>
      <c r="F1165" t="s">
        <v>21</v>
      </c>
      <c r="G1165" t="s">
        <v>22</v>
      </c>
      <c r="H1165" t="s">
        <v>23</v>
      </c>
      <c r="J1165">
        <v>0</v>
      </c>
      <c r="K1165">
        <v>0</v>
      </c>
    </row>
    <row r="1166" spans="2:11" x14ac:dyDescent="0.25">
      <c r="B1166" t="s">
        <v>6</v>
      </c>
      <c r="C1166" t="s">
        <v>7</v>
      </c>
      <c r="D1166">
        <v>703861</v>
      </c>
      <c r="E1166" t="s">
        <v>292</v>
      </c>
      <c r="F1166" t="s">
        <v>21</v>
      </c>
      <c r="G1166" t="s">
        <v>22</v>
      </c>
      <c r="H1166" t="s">
        <v>23</v>
      </c>
      <c r="J1166">
        <v>0</v>
      </c>
      <c r="K1166">
        <v>0</v>
      </c>
    </row>
    <row r="1167" spans="2:11" x14ac:dyDescent="0.25">
      <c r="B1167" t="s">
        <v>6</v>
      </c>
      <c r="C1167" t="s">
        <v>7</v>
      </c>
      <c r="D1167">
        <v>703862</v>
      </c>
      <c r="E1167" t="s">
        <v>293</v>
      </c>
      <c r="F1167" t="s">
        <v>21</v>
      </c>
      <c r="G1167" t="s">
        <v>22</v>
      </c>
      <c r="H1167" t="s">
        <v>23</v>
      </c>
      <c r="J1167">
        <v>0</v>
      </c>
      <c r="K1167">
        <v>0</v>
      </c>
    </row>
    <row r="1168" spans="2:11" x14ac:dyDescent="0.25">
      <c r="B1168" t="s">
        <v>6</v>
      </c>
      <c r="C1168" t="s">
        <v>7</v>
      </c>
      <c r="D1168">
        <v>703870</v>
      </c>
      <c r="E1168" t="s">
        <v>294</v>
      </c>
      <c r="F1168" t="s">
        <v>21</v>
      </c>
      <c r="G1168" t="s">
        <v>22</v>
      </c>
      <c r="H1168" t="s">
        <v>23</v>
      </c>
      <c r="J1168">
        <v>0</v>
      </c>
      <c r="K1168">
        <v>0</v>
      </c>
    </row>
    <row r="1169" spans="2:11" x14ac:dyDescent="0.25">
      <c r="B1169" t="s">
        <v>6</v>
      </c>
      <c r="C1169" t="s">
        <v>7</v>
      </c>
      <c r="D1169">
        <v>703880</v>
      </c>
      <c r="E1169" t="s">
        <v>295</v>
      </c>
      <c r="F1169" t="s">
        <v>21</v>
      </c>
      <c r="G1169" t="s">
        <v>22</v>
      </c>
      <c r="H1169" t="s">
        <v>23</v>
      </c>
      <c r="J1169">
        <v>0</v>
      </c>
      <c r="K1169">
        <v>0</v>
      </c>
    </row>
    <row r="1170" spans="2:11" x14ac:dyDescent="0.25">
      <c r="B1170" t="s">
        <v>6</v>
      </c>
      <c r="C1170" t="s">
        <v>7</v>
      </c>
      <c r="D1170">
        <v>703899</v>
      </c>
      <c r="E1170" t="s">
        <v>296</v>
      </c>
      <c r="F1170" t="s">
        <v>21</v>
      </c>
      <c r="G1170" t="s">
        <v>22</v>
      </c>
      <c r="H1170" t="s">
        <v>23</v>
      </c>
      <c r="J1170">
        <v>0</v>
      </c>
      <c r="K1170">
        <v>0</v>
      </c>
    </row>
    <row r="1171" spans="2:11" x14ac:dyDescent="0.25">
      <c r="B1171" t="s">
        <v>6</v>
      </c>
      <c r="C1171" t="s">
        <v>7</v>
      </c>
      <c r="D1171">
        <v>706700</v>
      </c>
      <c r="E1171" t="s">
        <v>25</v>
      </c>
      <c r="F1171" t="s">
        <v>26</v>
      </c>
      <c r="G1171" t="s">
        <v>27</v>
      </c>
      <c r="H1171" t="s">
        <v>28</v>
      </c>
      <c r="J1171">
        <v>0</v>
      </c>
      <c r="K1171">
        <v>0</v>
      </c>
    </row>
    <row r="1172" spans="2:11" x14ac:dyDescent="0.25">
      <c r="B1172" t="s">
        <v>6</v>
      </c>
      <c r="C1172" t="s">
        <v>7</v>
      </c>
      <c r="D1172" t="s">
        <v>29</v>
      </c>
      <c r="E1172" t="s">
        <v>30</v>
      </c>
      <c r="F1172" t="s">
        <v>26</v>
      </c>
      <c r="G1172" t="s">
        <v>27</v>
      </c>
      <c r="H1172" t="s">
        <v>31</v>
      </c>
      <c r="J1172">
        <v>0</v>
      </c>
      <c r="K1172">
        <v>0</v>
      </c>
    </row>
    <row r="1173" spans="2:11" x14ac:dyDescent="0.25">
      <c r="B1173" t="s">
        <v>6</v>
      </c>
      <c r="C1173" t="s">
        <v>7</v>
      </c>
      <c r="D1173" t="s">
        <v>32</v>
      </c>
      <c r="E1173" t="s">
        <v>33</v>
      </c>
      <c r="F1173" t="s">
        <v>26</v>
      </c>
      <c r="G1173" t="s">
        <v>27</v>
      </c>
      <c r="H1173" t="s">
        <v>28</v>
      </c>
      <c r="J1173">
        <v>0</v>
      </c>
      <c r="K1173">
        <v>0</v>
      </c>
    </row>
    <row r="1174" spans="2:11" x14ac:dyDescent="0.25">
      <c r="B1174" t="s">
        <v>6</v>
      </c>
      <c r="C1174" t="s">
        <v>7</v>
      </c>
      <c r="D1174" t="s">
        <v>34</v>
      </c>
      <c r="E1174" t="s">
        <v>35</v>
      </c>
      <c r="F1174" t="s">
        <v>26</v>
      </c>
      <c r="G1174" t="s">
        <v>36</v>
      </c>
      <c r="H1174" t="s">
        <v>36</v>
      </c>
      <c r="J1174">
        <v>0</v>
      </c>
      <c r="K1174">
        <v>0</v>
      </c>
    </row>
    <row r="1175" spans="2:11" x14ac:dyDescent="0.25">
      <c r="B1175" t="s">
        <v>6</v>
      </c>
      <c r="C1175" t="s">
        <v>7</v>
      </c>
      <c r="D1175" t="s">
        <v>37</v>
      </c>
      <c r="E1175" t="s">
        <v>38</v>
      </c>
      <c r="F1175" t="s">
        <v>21</v>
      </c>
      <c r="G1175" t="s">
        <v>39</v>
      </c>
      <c r="H1175" t="s">
        <v>39</v>
      </c>
      <c r="J1175">
        <v>0</v>
      </c>
      <c r="K1175">
        <v>0</v>
      </c>
    </row>
    <row r="1176" spans="2:11" x14ac:dyDescent="0.25">
      <c r="B1176" t="s">
        <v>6</v>
      </c>
      <c r="C1176" t="s">
        <v>7</v>
      </c>
      <c r="D1176" t="s">
        <v>40</v>
      </c>
      <c r="E1176" t="s">
        <v>41</v>
      </c>
      <c r="F1176" t="s">
        <v>26</v>
      </c>
      <c r="G1176" t="s">
        <v>39</v>
      </c>
      <c r="H1176" t="s">
        <v>39</v>
      </c>
      <c r="J1176">
        <v>0</v>
      </c>
      <c r="K1176">
        <v>0</v>
      </c>
    </row>
    <row r="1177" spans="2:11" x14ac:dyDescent="0.25">
      <c r="B1177" t="s">
        <v>6</v>
      </c>
      <c r="C1177" t="s">
        <v>7</v>
      </c>
      <c r="D1177" t="s">
        <v>42</v>
      </c>
      <c r="E1177" t="s">
        <v>43</v>
      </c>
      <c r="F1177" t="s">
        <v>21</v>
      </c>
      <c r="G1177" t="s">
        <v>44</v>
      </c>
      <c r="H1177" t="s">
        <v>44</v>
      </c>
      <c r="J1177">
        <v>0</v>
      </c>
      <c r="K1177">
        <v>0</v>
      </c>
    </row>
    <row r="1178" spans="2:11" x14ac:dyDescent="0.25">
      <c r="B1178" t="s">
        <v>6</v>
      </c>
      <c r="C1178" t="s">
        <v>7</v>
      </c>
      <c r="D1178" t="s">
        <v>45</v>
      </c>
      <c r="E1178" t="s">
        <v>46</v>
      </c>
      <c r="F1178" t="s">
        <v>26</v>
      </c>
      <c r="G1178" t="s">
        <v>44</v>
      </c>
      <c r="H1178" t="s">
        <v>44</v>
      </c>
      <c r="J1178">
        <v>0</v>
      </c>
      <c r="K1178">
        <v>0</v>
      </c>
    </row>
    <row r="1179" spans="2:11" x14ac:dyDescent="0.25">
      <c r="B1179" t="s">
        <v>6</v>
      </c>
      <c r="C1179" t="s">
        <v>7</v>
      </c>
      <c r="D1179" t="s">
        <v>297</v>
      </c>
      <c r="E1179" t="s">
        <v>298</v>
      </c>
      <c r="F1179" t="s">
        <v>26</v>
      </c>
      <c r="G1179" t="s">
        <v>299</v>
      </c>
      <c r="H1179" t="s">
        <v>299</v>
      </c>
      <c r="J1179">
        <v>0</v>
      </c>
    </row>
    <row r="1180" spans="2:11" x14ac:dyDescent="0.25">
      <c r="B1180" t="s">
        <v>6</v>
      </c>
      <c r="C1180" t="s">
        <v>7</v>
      </c>
      <c r="D1180" t="s">
        <v>300</v>
      </c>
      <c r="E1180" t="s">
        <v>301</v>
      </c>
      <c r="F1180" t="s">
        <v>21</v>
      </c>
      <c r="G1180" t="s">
        <v>299</v>
      </c>
      <c r="H1180" t="s">
        <v>299</v>
      </c>
      <c r="J1180">
        <v>0</v>
      </c>
    </row>
    <row r="1181" spans="2:11" x14ac:dyDescent="0.25">
      <c r="B1181" t="s">
        <v>6</v>
      </c>
      <c r="C1181" t="s">
        <v>7</v>
      </c>
      <c r="D1181" t="s">
        <v>47</v>
      </c>
      <c r="E1181" t="s">
        <v>48</v>
      </c>
      <c r="F1181" t="s">
        <v>26</v>
      </c>
      <c r="G1181" t="s">
        <v>49</v>
      </c>
      <c r="H1181" t="s">
        <v>49</v>
      </c>
      <c r="J1181">
        <v>0</v>
      </c>
      <c r="K1181">
        <v>0</v>
      </c>
    </row>
    <row r="1182" spans="2:11" x14ac:dyDescent="0.25">
      <c r="B1182" t="s">
        <v>6</v>
      </c>
      <c r="C1182" t="s">
        <v>305</v>
      </c>
      <c r="D1182">
        <v>701000</v>
      </c>
      <c r="E1182" t="s">
        <v>51</v>
      </c>
      <c r="F1182" t="s">
        <v>21</v>
      </c>
      <c r="G1182" t="s">
        <v>52</v>
      </c>
      <c r="H1182" t="s">
        <v>53</v>
      </c>
      <c r="J1182">
        <v>0</v>
      </c>
      <c r="K1182">
        <v>0</v>
      </c>
    </row>
    <row r="1183" spans="2:11" x14ac:dyDescent="0.25">
      <c r="B1183" t="s">
        <v>6</v>
      </c>
      <c r="C1183" t="s">
        <v>305</v>
      </c>
      <c r="D1183">
        <v>701008</v>
      </c>
      <c r="E1183" t="s">
        <v>54</v>
      </c>
      <c r="F1183" t="s">
        <v>21</v>
      </c>
      <c r="G1183" t="s">
        <v>52</v>
      </c>
      <c r="H1183" t="s">
        <v>53</v>
      </c>
      <c r="J1183">
        <v>0</v>
      </c>
      <c r="K1183">
        <v>0</v>
      </c>
    </row>
    <row r="1184" spans="2:11" x14ac:dyDescent="0.25">
      <c r="B1184" t="s">
        <v>6</v>
      </c>
      <c r="C1184" t="s">
        <v>305</v>
      </c>
      <c r="D1184">
        <v>701009</v>
      </c>
      <c r="E1184" t="s">
        <v>55</v>
      </c>
      <c r="F1184" t="s">
        <v>21</v>
      </c>
      <c r="G1184" t="s">
        <v>52</v>
      </c>
      <c r="H1184" t="s">
        <v>53</v>
      </c>
      <c r="J1184">
        <v>0</v>
      </c>
      <c r="K1184">
        <v>0</v>
      </c>
    </row>
    <row r="1185" spans="2:11" x14ac:dyDescent="0.25">
      <c r="B1185" t="s">
        <v>6</v>
      </c>
      <c r="C1185" t="s">
        <v>305</v>
      </c>
      <c r="D1185">
        <v>701010</v>
      </c>
      <c r="E1185" t="s">
        <v>56</v>
      </c>
      <c r="F1185" t="s">
        <v>21</v>
      </c>
      <c r="G1185" t="s">
        <v>52</v>
      </c>
      <c r="H1185" t="s">
        <v>57</v>
      </c>
      <c r="J1185">
        <v>0</v>
      </c>
      <c r="K1185">
        <v>0</v>
      </c>
    </row>
    <row r="1186" spans="2:11" x14ac:dyDescent="0.25">
      <c r="B1186" t="s">
        <v>6</v>
      </c>
      <c r="C1186" t="s">
        <v>305</v>
      </c>
      <c r="D1186">
        <v>701011</v>
      </c>
      <c r="E1186" t="s">
        <v>58</v>
      </c>
      <c r="F1186" t="s">
        <v>21</v>
      </c>
      <c r="G1186" t="s">
        <v>52</v>
      </c>
      <c r="H1186" t="s">
        <v>53</v>
      </c>
      <c r="J1186">
        <v>0</v>
      </c>
      <c r="K1186">
        <v>0</v>
      </c>
    </row>
    <row r="1187" spans="2:11" x14ac:dyDescent="0.25">
      <c r="B1187" t="s">
        <v>6</v>
      </c>
      <c r="C1187" t="s">
        <v>305</v>
      </c>
      <c r="D1187">
        <v>701012</v>
      </c>
      <c r="E1187" t="s">
        <v>59</v>
      </c>
      <c r="F1187" t="s">
        <v>21</v>
      </c>
      <c r="G1187" t="s">
        <v>52</v>
      </c>
      <c r="H1187" t="s">
        <v>53</v>
      </c>
      <c r="J1187">
        <v>0</v>
      </c>
      <c r="K1187">
        <v>0</v>
      </c>
    </row>
    <row r="1188" spans="2:11" x14ac:dyDescent="0.25">
      <c r="B1188" t="s">
        <v>6</v>
      </c>
      <c r="C1188" t="s">
        <v>305</v>
      </c>
      <c r="D1188">
        <v>701013</v>
      </c>
      <c r="E1188" t="s">
        <v>60</v>
      </c>
      <c r="F1188" t="s">
        <v>21</v>
      </c>
      <c r="G1188" t="s">
        <v>61</v>
      </c>
      <c r="H1188" t="s">
        <v>62</v>
      </c>
      <c r="J1188">
        <v>0</v>
      </c>
      <c r="K1188">
        <v>0</v>
      </c>
    </row>
    <row r="1189" spans="2:11" x14ac:dyDescent="0.25">
      <c r="B1189" t="s">
        <v>6</v>
      </c>
      <c r="C1189" t="s">
        <v>305</v>
      </c>
      <c r="D1189">
        <v>701014</v>
      </c>
      <c r="E1189" t="s">
        <v>63</v>
      </c>
      <c r="F1189" t="s">
        <v>21</v>
      </c>
      <c r="G1189" t="s">
        <v>61</v>
      </c>
      <c r="H1189" t="s">
        <v>64</v>
      </c>
      <c r="J1189">
        <v>0</v>
      </c>
      <c r="K1189">
        <v>0</v>
      </c>
    </row>
    <row r="1190" spans="2:11" x14ac:dyDescent="0.25">
      <c r="B1190" t="s">
        <v>6</v>
      </c>
      <c r="C1190" t="s">
        <v>305</v>
      </c>
      <c r="D1190">
        <v>701015</v>
      </c>
      <c r="E1190" t="s">
        <v>65</v>
      </c>
      <c r="F1190" t="s">
        <v>21</v>
      </c>
      <c r="G1190" t="s">
        <v>52</v>
      </c>
      <c r="H1190" t="s">
        <v>53</v>
      </c>
      <c r="J1190">
        <v>0</v>
      </c>
      <c r="K1190">
        <v>0</v>
      </c>
    </row>
    <row r="1191" spans="2:11" x14ac:dyDescent="0.25">
      <c r="B1191" t="s">
        <v>6</v>
      </c>
      <c r="C1191" t="s">
        <v>305</v>
      </c>
      <c r="D1191">
        <v>701016</v>
      </c>
      <c r="E1191" t="s">
        <v>66</v>
      </c>
      <c r="F1191" t="s">
        <v>21</v>
      </c>
      <c r="G1191" t="s">
        <v>52</v>
      </c>
      <c r="H1191" t="s">
        <v>53</v>
      </c>
      <c r="J1191">
        <v>0</v>
      </c>
      <c r="K1191">
        <v>0</v>
      </c>
    </row>
    <row r="1192" spans="2:11" x14ac:dyDescent="0.25">
      <c r="B1192" t="s">
        <v>6</v>
      </c>
      <c r="C1192" t="s">
        <v>305</v>
      </c>
      <c r="D1192">
        <v>701017</v>
      </c>
      <c r="E1192" t="s">
        <v>67</v>
      </c>
      <c r="F1192" t="s">
        <v>21</v>
      </c>
      <c r="G1192" t="s">
        <v>61</v>
      </c>
      <c r="H1192" t="s">
        <v>68</v>
      </c>
      <c r="J1192">
        <v>0</v>
      </c>
      <c r="K1192">
        <v>0</v>
      </c>
    </row>
    <row r="1193" spans="2:11" x14ac:dyDescent="0.25">
      <c r="B1193" t="s">
        <v>6</v>
      </c>
      <c r="C1193" t="s">
        <v>305</v>
      </c>
      <c r="D1193">
        <v>701018</v>
      </c>
      <c r="E1193" t="s">
        <v>69</v>
      </c>
      <c r="F1193" t="s">
        <v>21</v>
      </c>
      <c r="G1193" t="s">
        <v>61</v>
      </c>
      <c r="H1193" t="s">
        <v>68</v>
      </c>
      <c r="J1193">
        <v>0</v>
      </c>
      <c r="K1193">
        <v>0</v>
      </c>
    </row>
    <row r="1194" spans="2:11" x14ac:dyDescent="0.25">
      <c r="B1194" t="s">
        <v>6</v>
      </c>
      <c r="C1194" t="s">
        <v>305</v>
      </c>
      <c r="D1194">
        <v>701019</v>
      </c>
      <c r="E1194" t="s">
        <v>70</v>
      </c>
      <c r="F1194" t="s">
        <v>21</v>
      </c>
      <c r="G1194" t="s">
        <v>71</v>
      </c>
      <c r="H1194" t="s">
        <v>72</v>
      </c>
      <c r="J1194">
        <v>0</v>
      </c>
      <c r="K1194">
        <v>0</v>
      </c>
    </row>
    <row r="1195" spans="2:11" x14ac:dyDescent="0.25">
      <c r="B1195" t="s">
        <v>6</v>
      </c>
      <c r="C1195" t="s">
        <v>305</v>
      </c>
      <c r="D1195">
        <v>701020</v>
      </c>
      <c r="E1195" t="s">
        <v>73</v>
      </c>
      <c r="F1195" t="s">
        <v>21</v>
      </c>
      <c r="G1195" t="s">
        <v>52</v>
      </c>
      <c r="H1195" t="s">
        <v>53</v>
      </c>
      <c r="J1195">
        <v>0</v>
      </c>
      <c r="K1195">
        <v>0</v>
      </c>
    </row>
    <row r="1196" spans="2:11" x14ac:dyDescent="0.25">
      <c r="B1196" t="s">
        <v>6</v>
      </c>
      <c r="C1196" t="s">
        <v>305</v>
      </c>
      <c r="D1196">
        <v>701021</v>
      </c>
      <c r="E1196" t="s">
        <v>74</v>
      </c>
      <c r="F1196" t="s">
        <v>21</v>
      </c>
      <c r="G1196" t="s">
        <v>61</v>
      </c>
      <c r="H1196" t="s">
        <v>74</v>
      </c>
      <c r="J1196">
        <v>0</v>
      </c>
      <c r="K1196">
        <v>0</v>
      </c>
    </row>
    <row r="1197" spans="2:11" x14ac:dyDescent="0.25">
      <c r="B1197" t="s">
        <v>6</v>
      </c>
      <c r="C1197" t="s">
        <v>305</v>
      </c>
      <c r="D1197">
        <v>701022</v>
      </c>
      <c r="E1197" t="s">
        <v>75</v>
      </c>
      <c r="F1197" t="s">
        <v>21</v>
      </c>
      <c r="G1197" t="s">
        <v>76</v>
      </c>
      <c r="H1197" t="s">
        <v>77</v>
      </c>
      <c r="J1197">
        <v>0</v>
      </c>
      <c r="K1197">
        <v>0</v>
      </c>
    </row>
    <row r="1198" spans="2:11" x14ac:dyDescent="0.25">
      <c r="B1198" t="s">
        <v>6</v>
      </c>
      <c r="C1198" t="s">
        <v>305</v>
      </c>
      <c r="D1198">
        <v>701023</v>
      </c>
      <c r="E1198" t="s">
        <v>78</v>
      </c>
      <c r="F1198" t="s">
        <v>21</v>
      </c>
      <c r="G1198" t="s">
        <v>61</v>
      </c>
      <c r="H1198" t="s">
        <v>79</v>
      </c>
      <c r="J1198">
        <v>0</v>
      </c>
      <c r="K1198">
        <v>0</v>
      </c>
    </row>
    <row r="1199" spans="2:11" x14ac:dyDescent="0.25">
      <c r="B1199" t="s">
        <v>6</v>
      </c>
      <c r="C1199" t="s">
        <v>305</v>
      </c>
      <c r="D1199">
        <v>701024</v>
      </c>
      <c r="E1199" t="s">
        <v>80</v>
      </c>
      <c r="F1199" t="s">
        <v>21</v>
      </c>
      <c r="G1199" t="s">
        <v>76</v>
      </c>
      <c r="H1199" t="s">
        <v>77</v>
      </c>
      <c r="J1199">
        <v>0</v>
      </c>
      <c r="K1199">
        <v>0</v>
      </c>
    </row>
    <row r="1200" spans="2:11" x14ac:dyDescent="0.25">
      <c r="B1200" t="s">
        <v>6</v>
      </c>
      <c r="C1200" t="s">
        <v>305</v>
      </c>
      <c r="D1200">
        <v>701025</v>
      </c>
      <c r="E1200" t="s">
        <v>81</v>
      </c>
      <c r="F1200" t="s">
        <v>21</v>
      </c>
      <c r="G1200" t="s">
        <v>71</v>
      </c>
      <c r="H1200" t="s">
        <v>82</v>
      </c>
      <c r="J1200">
        <v>0</v>
      </c>
      <c r="K1200">
        <v>0</v>
      </c>
    </row>
    <row r="1201" spans="2:11" x14ac:dyDescent="0.25">
      <c r="B1201" t="s">
        <v>6</v>
      </c>
      <c r="C1201" t="s">
        <v>305</v>
      </c>
      <c r="D1201">
        <v>701026</v>
      </c>
      <c r="E1201" t="s">
        <v>83</v>
      </c>
      <c r="F1201" t="s">
        <v>21</v>
      </c>
      <c r="G1201" t="s">
        <v>76</v>
      </c>
      <c r="H1201" t="s">
        <v>77</v>
      </c>
      <c r="J1201">
        <v>0</v>
      </c>
      <c r="K1201">
        <v>0</v>
      </c>
    </row>
    <row r="1202" spans="2:11" x14ac:dyDescent="0.25">
      <c r="B1202" t="s">
        <v>6</v>
      </c>
      <c r="C1202" t="s">
        <v>305</v>
      </c>
      <c r="D1202">
        <v>701027</v>
      </c>
      <c r="E1202" t="s">
        <v>84</v>
      </c>
      <c r="F1202" t="s">
        <v>21</v>
      </c>
      <c r="G1202" t="s">
        <v>76</v>
      </c>
      <c r="H1202" t="s">
        <v>77</v>
      </c>
      <c r="J1202">
        <v>0</v>
      </c>
      <c r="K1202">
        <v>0</v>
      </c>
    </row>
    <row r="1203" spans="2:11" x14ac:dyDescent="0.25">
      <c r="B1203" t="s">
        <v>6</v>
      </c>
      <c r="C1203" t="s">
        <v>305</v>
      </c>
      <c r="D1203">
        <v>701028</v>
      </c>
      <c r="E1203" t="s">
        <v>85</v>
      </c>
      <c r="F1203" t="s">
        <v>21</v>
      </c>
      <c r="G1203" t="s">
        <v>61</v>
      </c>
      <c r="H1203" t="s">
        <v>68</v>
      </c>
      <c r="J1203">
        <v>0</v>
      </c>
      <c r="K1203">
        <v>0</v>
      </c>
    </row>
    <row r="1204" spans="2:11" x14ac:dyDescent="0.25">
      <c r="B1204" t="s">
        <v>6</v>
      </c>
      <c r="C1204" t="s">
        <v>305</v>
      </c>
      <c r="D1204">
        <v>701029</v>
      </c>
      <c r="E1204" t="s">
        <v>86</v>
      </c>
      <c r="F1204" t="s">
        <v>21</v>
      </c>
      <c r="G1204" t="s">
        <v>61</v>
      </c>
      <c r="H1204" t="s">
        <v>68</v>
      </c>
      <c r="J1204">
        <v>0</v>
      </c>
      <c r="K1204">
        <v>0</v>
      </c>
    </row>
    <row r="1205" spans="2:11" x14ac:dyDescent="0.25">
      <c r="B1205" t="s">
        <v>6</v>
      </c>
      <c r="C1205" t="s">
        <v>305</v>
      </c>
      <c r="D1205">
        <v>701030</v>
      </c>
      <c r="E1205" t="s">
        <v>87</v>
      </c>
      <c r="F1205" t="s">
        <v>21</v>
      </c>
      <c r="G1205" t="s">
        <v>71</v>
      </c>
      <c r="H1205" t="s">
        <v>88</v>
      </c>
      <c r="J1205">
        <v>0</v>
      </c>
      <c r="K1205">
        <v>0</v>
      </c>
    </row>
    <row r="1206" spans="2:11" x14ac:dyDescent="0.25">
      <c r="B1206" t="s">
        <v>6</v>
      </c>
      <c r="C1206" t="s">
        <v>305</v>
      </c>
      <c r="D1206">
        <v>701031</v>
      </c>
      <c r="E1206" t="s">
        <v>89</v>
      </c>
      <c r="F1206" t="s">
        <v>21</v>
      </c>
      <c r="G1206" t="s">
        <v>76</v>
      </c>
      <c r="H1206" t="s">
        <v>77</v>
      </c>
      <c r="J1206">
        <v>0</v>
      </c>
      <c r="K1206">
        <v>0</v>
      </c>
    </row>
    <row r="1207" spans="2:11" x14ac:dyDescent="0.25">
      <c r="B1207" t="s">
        <v>6</v>
      </c>
      <c r="C1207" t="s">
        <v>305</v>
      </c>
      <c r="D1207">
        <v>701032</v>
      </c>
      <c r="E1207" t="s">
        <v>90</v>
      </c>
      <c r="F1207" t="s">
        <v>21</v>
      </c>
      <c r="G1207" t="s">
        <v>52</v>
      </c>
      <c r="H1207" t="s">
        <v>53</v>
      </c>
      <c r="J1207">
        <v>0</v>
      </c>
      <c r="K1207">
        <v>0</v>
      </c>
    </row>
    <row r="1208" spans="2:11" x14ac:dyDescent="0.25">
      <c r="B1208" t="s">
        <v>6</v>
      </c>
      <c r="C1208" t="s">
        <v>305</v>
      </c>
      <c r="D1208">
        <v>701034</v>
      </c>
      <c r="E1208" t="s">
        <v>91</v>
      </c>
      <c r="F1208" t="s">
        <v>21</v>
      </c>
      <c r="G1208" t="s">
        <v>76</v>
      </c>
      <c r="H1208" t="s">
        <v>77</v>
      </c>
      <c r="J1208">
        <v>0</v>
      </c>
      <c r="K1208">
        <v>0</v>
      </c>
    </row>
    <row r="1209" spans="2:11" x14ac:dyDescent="0.25">
      <c r="B1209" t="s">
        <v>6</v>
      </c>
      <c r="C1209" t="s">
        <v>305</v>
      </c>
      <c r="D1209">
        <v>701035</v>
      </c>
      <c r="E1209" t="s">
        <v>92</v>
      </c>
      <c r="F1209" t="s">
        <v>21</v>
      </c>
      <c r="G1209" t="s">
        <v>61</v>
      </c>
      <c r="H1209" t="s">
        <v>68</v>
      </c>
      <c r="J1209">
        <v>0</v>
      </c>
      <c r="K1209">
        <v>0</v>
      </c>
    </row>
    <row r="1210" spans="2:11" x14ac:dyDescent="0.25">
      <c r="B1210" t="s">
        <v>6</v>
      </c>
      <c r="C1210" t="s">
        <v>305</v>
      </c>
      <c r="D1210">
        <v>701036</v>
      </c>
      <c r="E1210" t="s">
        <v>93</v>
      </c>
      <c r="F1210" t="s">
        <v>21</v>
      </c>
      <c r="G1210" t="s">
        <v>52</v>
      </c>
      <c r="H1210" t="s">
        <v>53</v>
      </c>
      <c r="J1210">
        <v>0</v>
      </c>
      <c r="K1210">
        <v>0</v>
      </c>
    </row>
    <row r="1211" spans="2:11" x14ac:dyDescent="0.25">
      <c r="B1211" t="s">
        <v>6</v>
      </c>
      <c r="C1211" t="s">
        <v>305</v>
      </c>
      <c r="D1211">
        <v>701113</v>
      </c>
      <c r="E1211" t="s">
        <v>94</v>
      </c>
      <c r="F1211" t="s">
        <v>21</v>
      </c>
      <c r="G1211" t="s">
        <v>61</v>
      </c>
      <c r="H1211" t="s">
        <v>62</v>
      </c>
      <c r="J1211">
        <v>0</v>
      </c>
      <c r="K1211">
        <v>0</v>
      </c>
    </row>
    <row r="1212" spans="2:11" x14ac:dyDescent="0.25">
      <c r="B1212" t="s">
        <v>6</v>
      </c>
      <c r="C1212" t="s">
        <v>305</v>
      </c>
      <c r="D1212">
        <v>701119</v>
      </c>
      <c r="E1212" t="s">
        <v>95</v>
      </c>
      <c r="F1212" t="s">
        <v>21</v>
      </c>
      <c r="G1212" t="s">
        <v>22</v>
      </c>
      <c r="H1212" t="s">
        <v>23</v>
      </c>
      <c r="J1212">
        <v>0</v>
      </c>
      <c r="K1212">
        <v>0</v>
      </c>
    </row>
    <row r="1213" spans="2:11" x14ac:dyDescent="0.25">
      <c r="B1213" t="s">
        <v>6</v>
      </c>
      <c r="C1213" t="s">
        <v>305</v>
      </c>
      <c r="D1213">
        <v>701120</v>
      </c>
      <c r="E1213" t="s">
        <v>96</v>
      </c>
      <c r="F1213" t="s">
        <v>21</v>
      </c>
      <c r="G1213" t="s">
        <v>22</v>
      </c>
      <c r="H1213" t="s">
        <v>23</v>
      </c>
      <c r="J1213">
        <v>0</v>
      </c>
      <c r="K1213">
        <v>0</v>
      </c>
    </row>
    <row r="1214" spans="2:11" x14ac:dyDescent="0.25">
      <c r="B1214" t="s">
        <v>6</v>
      </c>
      <c r="C1214" t="s">
        <v>305</v>
      </c>
      <c r="D1214">
        <v>701121</v>
      </c>
      <c r="E1214" t="s">
        <v>97</v>
      </c>
      <c r="F1214" t="s">
        <v>21</v>
      </c>
      <c r="G1214" t="s">
        <v>22</v>
      </c>
      <c r="H1214" t="s">
        <v>23</v>
      </c>
      <c r="J1214">
        <v>0</v>
      </c>
      <c r="K1214">
        <v>0</v>
      </c>
    </row>
    <row r="1215" spans="2:11" x14ac:dyDescent="0.25">
      <c r="B1215" t="s">
        <v>6</v>
      </c>
      <c r="C1215" t="s">
        <v>305</v>
      </c>
      <c r="D1215">
        <v>701122</v>
      </c>
      <c r="E1215" t="s">
        <v>98</v>
      </c>
      <c r="F1215" t="s">
        <v>21</v>
      </c>
      <c r="G1215" t="s">
        <v>71</v>
      </c>
      <c r="H1215" t="s">
        <v>88</v>
      </c>
      <c r="J1215">
        <v>0</v>
      </c>
      <c r="K1215">
        <v>0</v>
      </c>
    </row>
    <row r="1216" spans="2:11" x14ac:dyDescent="0.25">
      <c r="B1216" t="s">
        <v>6</v>
      </c>
      <c r="C1216" t="s">
        <v>305</v>
      </c>
      <c r="D1216">
        <v>701123</v>
      </c>
      <c r="E1216" t="s">
        <v>99</v>
      </c>
      <c r="F1216" t="s">
        <v>21</v>
      </c>
      <c r="G1216" t="s">
        <v>22</v>
      </c>
      <c r="H1216" t="s">
        <v>23</v>
      </c>
      <c r="J1216">
        <v>0</v>
      </c>
      <c r="K1216">
        <v>0</v>
      </c>
    </row>
    <row r="1217" spans="2:11" x14ac:dyDescent="0.25">
      <c r="B1217" t="s">
        <v>6</v>
      </c>
      <c r="C1217" t="s">
        <v>305</v>
      </c>
      <c r="D1217">
        <v>701127</v>
      </c>
      <c r="E1217" t="s">
        <v>100</v>
      </c>
      <c r="F1217" t="s">
        <v>21</v>
      </c>
      <c r="G1217" t="s">
        <v>76</v>
      </c>
      <c r="H1217" t="s">
        <v>77</v>
      </c>
      <c r="J1217">
        <v>0</v>
      </c>
      <c r="K1217">
        <v>0</v>
      </c>
    </row>
    <row r="1218" spans="2:11" x14ac:dyDescent="0.25">
      <c r="B1218" t="s">
        <v>6</v>
      </c>
      <c r="C1218" t="s">
        <v>305</v>
      </c>
      <c r="D1218">
        <v>701213</v>
      </c>
      <c r="E1218" t="s">
        <v>101</v>
      </c>
      <c r="F1218" t="s">
        <v>21</v>
      </c>
      <c r="G1218" t="s">
        <v>61</v>
      </c>
      <c r="H1218" t="s">
        <v>62</v>
      </c>
      <c r="J1218">
        <v>0</v>
      </c>
      <c r="K1218">
        <v>0</v>
      </c>
    </row>
    <row r="1219" spans="2:11" x14ac:dyDescent="0.25">
      <c r="B1219" t="s">
        <v>6</v>
      </c>
      <c r="C1219" t="s">
        <v>305</v>
      </c>
      <c r="D1219">
        <v>701214</v>
      </c>
      <c r="E1219" t="s">
        <v>102</v>
      </c>
      <c r="F1219" t="s">
        <v>21</v>
      </c>
      <c r="G1219" t="s">
        <v>61</v>
      </c>
      <c r="H1219" t="s">
        <v>62</v>
      </c>
      <c r="J1219">
        <v>0</v>
      </c>
      <c r="K1219">
        <v>0</v>
      </c>
    </row>
    <row r="1220" spans="2:11" x14ac:dyDescent="0.25">
      <c r="B1220" t="s">
        <v>6</v>
      </c>
      <c r="C1220" t="s">
        <v>305</v>
      </c>
      <c r="D1220">
        <v>701215</v>
      </c>
      <c r="E1220" t="s">
        <v>103</v>
      </c>
      <c r="F1220" t="s">
        <v>21</v>
      </c>
      <c r="G1220" t="s">
        <v>61</v>
      </c>
      <c r="H1220" t="s">
        <v>62</v>
      </c>
      <c r="J1220">
        <v>0</v>
      </c>
      <c r="K1220">
        <v>0</v>
      </c>
    </row>
    <row r="1221" spans="2:11" x14ac:dyDescent="0.25">
      <c r="B1221" t="s">
        <v>6</v>
      </c>
      <c r="C1221" t="s">
        <v>305</v>
      </c>
      <c r="D1221">
        <v>701227</v>
      </c>
      <c r="E1221" t="s">
        <v>104</v>
      </c>
      <c r="F1221" t="s">
        <v>21</v>
      </c>
      <c r="G1221" t="s">
        <v>76</v>
      </c>
      <c r="H1221" t="s">
        <v>77</v>
      </c>
      <c r="J1221">
        <v>0</v>
      </c>
      <c r="K1221">
        <v>0</v>
      </c>
    </row>
    <row r="1222" spans="2:11" x14ac:dyDescent="0.25">
      <c r="B1222" t="s">
        <v>6</v>
      </c>
      <c r="C1222" t="s">
        <v>305</v>
      </c>
      <c r="D1222">
        <v>701327</v>
      </c>
      <c r="E1222" t="s">
        <v>106</v>
      </c>
      <c r="F1222" t="s">
        <v>21</v>
      </c>
      <c r="G1222" t="s">
        <v>76</v>
      </c>
      <c r="H1222" t="s">
        <v>77</v>
      </c>
      <c r="J1222">
        <v>0</v>
      </c>
      <c r="K1222">
        <v>0</v>
      </c>
    </row>
    <row r="1223" spans="2:11" x14ac:dyDescent="0.25">
      <c r="B1223" t="s">
        <v>6</v>
      </c>
      <c r="C1223" t="s">
        <v>305</v>
      </c>
      <c r="D1223">
        <v>701427</v>
      </c>
      <c r="E1223" t="s">
        <v>107</v>
      </c>
      <c r="F1223" t="s">
        <v>21</v>
      </c>
      <c r="G1223" t="s">
        <v>76</v>
      </c>
      <c r="H1223" t="s">
        <v>108</v>
      </c>
      <c r="J1223">
        <v>0</v>
      </c>
      <c r="K1223">
        <v>0</v>
      </c>
    </row>
    <row r="1224" spans="2:11" x14ac:dyDescent="0.25">
      <c r="B1224" t="s">
        <v>6</v>
      </c>
      <c r="C1224" t="s">
        <v>305</v>
      </c>
      <c r="D1224">
        <v>701527</v>
      </c>
      <c r="E1224" t="s">
        <v>109</v>
      </c>
      <c r="F1224" t="s">
        <v>21</v>
      </c>
      <c r="G1224" t="s">
        <v>76</v>
      </c>
      <c r="H1224" t="s">
        <v>77</v>
      </c>
      <c r="J1224">
        <v>0</v>
      </c>
      <c r="K1224">
        <v>0</v>
      </c>
    </row>
    <row r="1225" spans="2:11" x14ac:dyDescent="0.25">
      <c r="B1225" t="s">
        <v>6</v>
      </c>
      <c r="C1225" t="s">
        <v>305</v>
      </c>
      <c r="D1225">
        <v>701627</v>
      </c>
      <c r="E1225" t="s">
        <v>110</v>
      </c>
      <c r="F1225" t="s">
        <v>21</v>
      </c>
      <c r="G1225" t="s">
        <v>76</v>
      </c>
      <c r="H1225" t="s">
        <v>77</v>
      </c>
      <c r="J1225">
        <v>0</v>
      </c>
      <c r="K1225">
        <v>0</v>
      </c>
    </row>
    <row r="1226" spans="2:11" x14ac:dyDescent="0.25">
      <c r="B1226" t="s">
        <v>6</v>
      </c>
      <c r="C1226" t="s">
        <v>305</v>
      </c>
      <c r="D1226">
        <v>701727</v>
      </c>
      <c r="E1226" t="s">
        <v>111</v>
      </c>
      <c r="F1226" t="s">
        <v>21</v>
      </c>
      <c r="G1226" t="s">
        <v>76</v>
      </c>
      <c r="H1226" t="s">
        <v>77</v>
      </c>
      <c r="J1226">
        <v>0</v>
      </c>
      <c r="K1226">
        <v>0</v>
      </c>
    </row>
    <row r="1227" spans="2:11" x14ac:dyDescent="0.25">
      <c r="B1227" t="s">
        <v>6</v>
      </c>
      <c r="C1227" t="s">
        <v>305</v>
      </c>
      <c r="D1227">
        <v>701801</v>
      </c>
      <c r="E1227" t="s">
        <v>112</v>
      </c>
      <c r="F1227" t="s">
        <v>21</v>
      </c>
      <c r="G1227" t="s">
        <v>76</v>
      </c>
      <c r="H1227" t="s">
        <v>77</v>
      </c>
      <c r="J1227">
        <v>0</v>
      </c>
      <c r="K1227">
        <v>0</v>
      </c>
    </row>
    <row r="1228" spans="2:11" x14ac:dyDescent="0.25">
      <c r="B1228" t="s">
        <v>6</v>
      </c>
      <c r="C1228" t="s">
        <v>305</v>
      </c>
      <c r="D1228">
        <v>701802</v>
      </c>
      <c r="E1228" t="s">
        <v>113</v>
      </c>
      <c r="F1228" t="s">
        <v>21</v>
      </c>
      <c r="G1228" t="s">
        <v>61</v>
      </c>
      <c r="H1228" t="s">
        <v>62</v>
      </c>
      <c r="J1228">
        <v>0</v>
      </c>
      <c r="K1228">
        <v>0</v>
      </c>
    </row>
    <row r="1229" spans="2:11" x14ac:dyDescent="0.25">
      <c r="B1229" t="s">
        <v>6</v>
      </c>
      <c r="C1229" t="s">
        <v>305</v>
      </c>
      <c r="D1229">
        <v>703010</v>
      </c>
      <c r="E1229" t="s">
        <v>114</v>
      </c>
      <c r="F1229" t="s">
        <v>21</v>
      </c>
      <c r="G1229" t="s">
        <v>22</v>
      </c>
      <c r="H1229" t="s">
        <v>115</v>
      </c>
      <c r="J1229">
        <v>0</v>
      </c>
      <c r="K1229">
        <v>0</v>
      </c>
    </row>
    <row r="1230" spans="2:11" x14ac:dyDescent="0.25">
      <c r="B1230" t="s">
        <v>6</v>
      </c>
      <c r="C1230" t="s">
        <v>305</v>
      </c>
      <c r="D1230">
        <v>703011</v>
      </c>
      <c r="E1230" t="s">
        <v>116</v>
      </c>
      <c r="F1230" t="s">
        <v>21</v>
      </c>
      <c r="G1230" t="s">
        <v>22</v>
      </c>
      <c r="H1230" t="s">
        <v>115</v>
      </c>
      <c r="J1230">
        <v>0</v>
      </c>
      <c r="K1230">
        <v>0</v>
      </c>
    </row>
    <row r="1231" spans="2:11" x14ac:dyDescent="0.25">
      <c r="B1231" t="s">
        <v>6</v>
      </c>
      <c r="C1231" t="s">
        <v>305</v>
      </c>
      <c r="D1231">
        <v>703012</v>
      </c>
      <c r="E1231" t="s">
        <v>117</v>
      </c>
      <c r="F1231" t="s">
        <v>21</v>
      </c>
      <c r="G1231" t="s">
        <v>22</v>
      </c>
      <c r="H1231" t="s">
        <v>115</v>
      </c>
      <c r="J1231">
        <v>0</v>
      </c>
      <c r="K1231">
        <v>0</v>
      </c>
    </row>
    <row r="1232" spans="2:11" x14ac:dyDescent="0.25">
      <c r="B1232" t="s">
        <v>6</v>
      </c>
      <c r="C1232" t="s">
        <v>305</v>
      </c>
      <c r="D1232">
        <v>703013</v>
      </c>
      <c r="E1232" t="s">
        <v>118</v>
      </c>
      <c r="F1232" t="s">
        <v>21</v>
      </c>
      <c r="G1232" t="s">
        <v>22</v>
      </c>
      <c r="H1232" t="s">
        <v>115</v>
      </c>
      <c r="J1232">
        <v>0</v>
      </c>
      <c r="K1232">
        <v>0</v>
      </c>
    </row>
    <row r="1233" spans="2:11" x14ac:dyDescent="0.25">
      <c r="B1233" t="s">
        <v>6</v>
      </c>
      <c r="C1233" t="s">
        <v>305</v>
      </c>
      <c r="D1233">
        <v>703014</v>
      </c>
      <c r="E1233" t="s">
        <v>119</v>
      </c>
      <c r="F1233" t="s">
        <v>21</v>
      </c>
      <c r="G1233" t="s">
        <v>22</v>
      </c>
      <c r="H1233" t="s">
        <v>115</v>
      </c>
      <c r="J1233">
        <v>0</v>
      </c>
      <c r="K1233">
        <v>0</v>
      </c>
    </row>
    <row r="1234" spans="2:11" x14ac:dyDescent="0.25">
      <c r="B1234" t="s">
        <v>6</v>
      </c>
      <c r="C1234" t="s">
        <v>305</v>
      </c>
      <c r="D1234">
        <v>703015</v>
      </c>
      <c r="E1234" t="s">
        <v>120</v>
      </c>
      <c r="F1234" t="s">
        <v>21</v>
      </c>
      <c r="G1234" t="s">
        <v>22</v>
      </c>
      <c r="H1234" t="s">
        <v>115</v>
      </c>
      <c r="J1234">
        <v>0</v>
      </c>
      <c r="K1234">
        <v>0</v>
      </c>
    </row>
    <row r="1235" spans="2:11" x14ac:dyDescent="0.25">
      <c r="B1235" t="s">
        <v>6</v>
      </c>
      <c r="C1235" t="s">
        <v>305</v>
      </c>
      <c r="D1235">
        <v>703016</v>
      </c>
      <c r="E1235" t="s">
        <v>121</v>
      </c>
      <c r="F1235" t="s">
        <v>21</v>
      </c>
      <c r="G1235" t="s">
        <v>22</v>
      </c>
      <c r="H1235" t="s">
        <v>115</v>
      </c>
      <c r="J1235">
        <v>0</v>
      </c>
      <c r="K1235">
        <v>0</v>
      </c>
    </row>
    <row r="1236" spans="2:11" x14ac:dyDescent="0.25">
      <c r="B1236" t="s">
        <v>6</v>
      </c>
      <c r="C1236" t="s">
        <v>305</v>
      </c>
      <c r="D1236">
        <v>703017</v>
      </c>
      <c r="E1236" t="s">
        <v>122</v>
      </c>
      <c r="F1236" t="s">
        <v>21</v>
      </c>
      <c r="G1236" t="s">
        <v>22</v>
      </c>
      <c r="H1236" t="s">
        <v>115</v>
      </c>
      <c r="J1236">
        <v>0</v>
      </c>
      <c r="K1236">
        <v>0</v>
      </c>
    </row>
    <row r="1237" spans="2:11" x14ac:dyDescent="0.25">
      <c r="B1237" t="s">
        <v>6</v>
      </c>
      <c r="C1237" t="s">
        <v>305</v>
      </c>
      <c r="D1237">
        <v>703018</v>
      </c>
      <c r="E1237" t="s">
        <v>123</v>
      </c>
      <c r="F1237" t="s">
        <v>21</v>
      </c>
      <c r="G1237" t="s">
        <v>22</v>
      </c>
      <c r="H1237" t="s">
        <v>115</v>
      </c>
      <c r="J1237">
        <v>0</v>
      </c>
      <c r="K1237">
        <v>0</v>
      </c>
    </row>
    <row r="1238" spans="2:11" x14ac:dyDescent="0.25">
      <c r="B1238" t="s">
        <v>6</v>
      </c>
      <c r="C1238" t="s">
        <v>305</v>
      </c>
      <c r="D1238">
        <v>703019</v>
      </c>
      <c r="E1238" t="s">
        <v>124</v>
      </c>
      <c r="F1238" t="s">
        <v>21</v>
      </c>
      <c r="G1238" t="s">
        <v>22</v>
      </c>
      <c r="H1238" t="s">
        <v>115</v>
      </c>
      <c r="J1238">
        <v>0</v>
      </c>
      <c r="K1238">
        <v>0</v>
      </c>
    </row>
    <row r="1239" spans="2:11" x14ac:dyDescent="0.25">
      <c r="B1239" t="s">
        <v>6</v>
      </c>
      <c r="C1239" t="s">
        <v>305</v>
      </c>
      <c r="D1239">
        <v>703210</v>
      </c>
      <c r="E1239" t="s">
        <v>125</v>
      </c>
      <c r="F1239" t="s">
        <v>21</v>
      </c>
      <c r="G1239" t="s">
        <v>22</v>
      </c>
      <c r="H1239" t="s">
        <v>23</v>
      </c>
      <c r="J1239">
        <v>0</v>
      </c>
      <c r="K1239">
        <v>0</v>
      </c>
    </row>
    <row r="1240" spans="2:11" x14ac:dyDescent="0.25">
      <c r="B1240" t="s">
        <v>6</v>
      </c>
      <c r="C1240" t="s">
        <v>305</v>
      </c>
      <c r="D1240">
        <v>703211</v>
      </c>
      <c r="E1240" t="s">
        <v>126</v>
      </c>
      <c r="F1240" t="s">
        <v>21</v>
      </c>
      <c r="G1240" t="s">
        <v>22</v>
      </c>
      <c r="H1240" t="s">
        <v>23</v>
      </c>
      <c r="J1240">
        <v>0</v>
      </c>
      <c r="K1240">
        <v>0</v>
      </c>
    </row>
    <row r="1241" spans="2:11" x14ac:dyDescent="0.25">
      <c r="B1241" t="s">
        <v>6</v>
      </c>
      <c r="C1241" t="s">
        <v>305</v>
      </c>
      <c r="D1241">
        <v>703212</v>
      </c>
      <c r="E1241" t="s">
        <v>127</v>
      </c>
      <c r="F1241" t="s">
        <v>21</v>
      </c>
      <c r="G1241" t="s">
        <v>22</v>
      </c>
      <c r="H1241" t="s">
        <v>23</v>
      </c>
      <c r="J1241">
        <v>0</v>
      </c>
      <c r="K1241">
        <v>0</v>
      </c>
    </row>
    <row r="1242" spans="2:11" x14ac:dyDescent="0.25">
      <c r="B1242" t="s">
        <v>6</v>
      </c>
      <c r="C1242" t="s">
        <v>305</v>
      </c>
      <c r="D1242">
        <v>703213</v>
      </c>
      <c r="E1242" t="s">
        <v>128</v>
      </c>
      <c r="F1242" t="s">
        <v>21</v>
      </c>
      <c r="G1242" t="s">
        <v>22</v>
      </c>
      <c r="H1242" t="s">
        <v>23</v>
      </c>
      <c r="J1242">
        <v>0</v>
      </c>
      <c r="K1242">
        <v>0</v>
      </c>
    </row>
    <row r="1243" spans="2:11" x14ac:dyDescent="0.25">
      <c r="B1243" t="s">
        <v>6</v>
      </c>
      <c r="C1243" t="s">
        <v>305</v>
      </c>
      <c r="D1243">
        <v>703214</v>
      </c>
      <c r="E1243" t="s">
        <v>129</v>
      </c>
      <c r="F1243" t="s">
        <v>21</v>
      </c>
      <c r="G1243" t="s">
        <v>22</v>
      </c>
      <c r="H1243" t="s">
        <v>23</v>
      </c>
      <c r="J1243">
        <v>0</v>
      </c>
      <c r="K1243">
        <v>0</v>
      </c>
    </row>
    <row r="1244" spans="2:11" x14ac:dyDescent="0.25">
      <c r="B1244" t="s">
        <v>6</v>
      </c>
      <c r="C1244" t="s">
        <v>305</v>
      </c>
      <c r="D1244">
        <v>703215</v>
      </c>
      <c r="E1244" t="s">
        <v>130</v>
      </c>
      <c r="F1244" t="s">
        <v>21</v>
      </c>
      <c r="G1244" t="s">
        <v>22</v>
      </c>
      <c r="H1244" t="s">
        <v>23</v>
      </c>
      <c r="J1244">
        <v>0</v>
      </c>
      <c r="K1244">
        <v>0</v>
      </c>
    </row>
    <row r="1245" spans="2:11" x14ac:dyDescent="0.25">
      <c r="B1245" t="s">
        <v>6</v>
      </c>
      <c r="C1245" t="s">
        <v>305</v>
      </c>
      <c r="D1245">
        <v>703216</v>
      </c>
      <c r="E1245" t="s">
        <v>131</v>
      </c>
      <c r="F1245" t="s">
        <v>21</v>
      </c>
      <c r="G1245" t="s">
        <v>22</v>
      </c>
      <c r="H1245" t="s">
        <v>23</v>
      </c>
      <c r="J1245">
        <v>0</v>
      </c>
      <c r="K1245">
        <v>0</v>
      </c>
    </row>
    <row r="1246" spans="2:11" x14ac:dyDescent="0.25">
      <c r="B1246" t="s">
        <v>6</v>
      </c>
      <c r="C1246" t="s">
        <v>305</v>
      </c>
      <c r="D1246">
        <v>703217</v>
      </c>
      <c r="E1246" t="s">
        <v>132</v>
      </c>
      <c r="F1246" t="s">
        <v>21</v>
      </c>
      <c r="G1246" t="s">
        <v>22</v>
      </c>
      <c r="H1246" t="s">
        <v>23</v>
      </c>
      <c r="J1246">
        <v>0</v>
      </c>
      <c r="K1246">
        <v>0</v>
      </c>
    </row>
    <row r="1247" spans="2:11" x14ac:dyDescent="0.25">
      <c r="B1247" t="s">
        <v>6</v>
      </c>
      <c r="C1247" t="s">
        <v>305</v>
      </c>
      <c r="D1247">
        <v>703219</v>
      </c>
      <c r="E1247" t="s">
        <v>133</v>
      </c>
      <c r="F1247" t="s">
        <v>21</v>
      </c>
      <c r="G1247" t="s">
        <v>22</v>
      </c>
      <c r="H1247" t="s">
        <v>23</v>
      </c>
      <c r="J1247">
        <v>0</v>
      </c>
      <c r="K1247">
        <v>0</v>
      </c>
    </row>
    <row r="1248" spans="2:11" x14ac:dyDescent="0.25">
      <c r="B1248" t="s">
        <v>6</v>
      </c>
      <c r="C1248" t="s">
        <v>305</v>
      </c>
      <c r="D1248">
        <v>703220</v>
      </c>
      <c r="E1248" t="s">
        <v>134</v>
      </c>
      <c r="F1248" t="s">
        <v>21</v>
      </c>
      <c r="G1248" t="s">
        <v>71</v>
      </c>
      <c r="H1248" t="s">
        <v>135</v>
      </c>
      <c r="J1248">
        <v>0</v>
      </c>
      <c r="K1248">
        <v>0</v>
      </c>
    </row>
    <row r="1249" spans="2:11" x14ac:dyDescent="0.25">
      <c r="B1249" t="s">
        <v>6</v>
      </c>
      <c r="C1249" t="s">
        <v>305</v>
      </c>
      <c r="D1249">
        <v>703221</v>
      </c>
      <c r="E1249" t="s">
        <v>136</v>
      </c>
      <c r="F1249" t="s">
        <v>21</v>
      </c>
      <c r="G1249" t="s">
        <v>137</v>
      </c>
      <c r="H1249" t="s">
        <v>138</v>
      </c>
      <c r="J1249">
        <v>0</v>
      </c>
      <c r="K1249">
        <v>0</v>
      </c>
    </row>
    <row r="1250" spans="2:11" x14ac:dyDescent="0.25">
      <c r="B1250" t="s">
        <v>6</v>
      </c>
      <c r="C1250" t="s">
        <v>305</v>
      </c>
      <c r="D1250">
        <v>703222</v>
      </c>
      <c r="E1250" t="s">
        <v>139</v>
      </c>
      <c r="F1250" t="s">
        <v>21</v>
      </c>
      <c r="G1250" t="s">
        <v>137</v>
      </c>
      <c r="H1250" t="s">
        <v>138</v>
      </c>
      <c r="J1250">
        <v>0</v>
      </c>
      <c r="K1250">
        <v>0</v>
      </c>
    </row>
    <row r="1251" spans="2:11" x14ac:dyDescent="0.25">
      <c r="B1251" t="s">
        <v>6</v>
      </c>
      <c r="C1251" t="s">
        <v>305</v>
      </c>
      <c r="D1251">
        <v>703223</v>
      </c>
      <c r="E1251" t="s">
        <v>140</v>
      </c>
      <c r="F1251" t="s">
        <v>21</v>
      </c>
      <c r="G1251" t="s">
        <v>137</v>
      </c>
      <c r="H1251" t="s">
        <v>141</v>
      </c>
      <c r="J1251">
        <v>0</v>
      </c>
      <c r="K1251">
        <v>0</v>
      </c>
    </row>
    <row r="1252" spans="2:11" x14ac:dyDescent="0.25">
      <c r="B1252" t="s">
        <v>6</v>
      </c>
      <c r="C1252" t="s">
        <v>305</v>
      </c>
      <c r="D1252">
        <v>703224</v>
      </c>
      <c r="E1252" t="s">
        <v>142</v>
      </c>
      <c r="F1252" t="s">
        <v>21</v>
      </c>
      <c r="G1252" t="s">
        <v>71</v>
      </c>
      <c r="H1252" t="s">
        <v>88</v>
      </c>
      <c r="J1252">
        <v>0</v>
      </c>
      <c r="K1252">
        <v>0</v>
      </c>
    </row>
    <row r="1253" spans="2:11" x14ac:dyDescent="0.25">
      <c r="B1253" t="s">
        <v>6</v>
      </c>
      <c r="C1253" t="s">
        <v>305</v>
      </c>
      <c r="D1253">
        <v>703225</v>
      </c>
      <c r="E1253" t="s">
        <v>143</v>
      </c>
      <c r="F1253" t="s">
        <v>21</v>
      </c>
      <c r="G1253" t="s">
        <v>71</v>
      </c>
      <c r="H1253" t="s">
        <v>88</v>
      </c>
      <c r="J1253">
        <v>0</v>
      </c>
      <c r="K1253">
        <v>0</v>
      </c>
    </row>
    <row r="1254" spans="2:11" x14ac:dyDescent="0.25">
      <c r="B1254" t="s">
        <v>6</v>
      </c>
      <c r="C1254" t="s">
        <v>305</v>
      </c>
      <c r="D1254">
        <v>703226</v>
      </c>
      <c r="E1254" t="s">
        <v>144</v>
      </c>
      <c r="F1254" t="s">
        <v>21</v>
      </c>
      <c r="G1254" t="s">
        <v>71</v>
      </c>
      <c r="H1254" t="s">
        <v>82</v>
      </c>
      <c r="J1254">
        <v>0</v>
      </c>
      <c r="K1254">
        <v>0</v>
      </c>
    </row>
    <row r="1255" spans="2:11" x14ac:dyDescent="0.25">
      <c r="B1255" t="s">
        <v>6</v>
      </c>
      <c r="C1255" t="s">
        <v>305</v>
      </c>
      <c r="D1255">
        <v>703227</v>
      </c>
      <c r="E1255" t="s">
        <v>145</v>
      </c>
      <c r="F1255" t="s">
        <v>21</v>
      </c>
      <c r="G1255" t="s">
        <v>137</v>
      </c>
      <c r="H1255" t="s">
        <v>138</v>
      </c>
      <c r="J1255">
        <v>0</v>
      </c>
      <c r="K1255">
        <v>0</v>
      </c>
    </row>
    <row r="1256" spans="2:11" x14ac:dyDescent="0.25">
      <c r="B1256" t="s">
        <v>6</v>
      </c>
      <c r="C1256" t="s">
        <v>305</v>
      </c>
      <c r="D1256">
        <v>703228</v>
      </c>
      <c r="E1256" t="s">
        <v>146</v>
      </c>
      <c r="F1256" t="s">
        <v>21</v>
      </c>
      <c r="G1256" t="s">
        <v>147</v>
      </c>
      <c r="H1256" t="s">
        <v>147</v>
      </c>
      <c r="J1256">
        <v>0</v>
      </c>
      <c r="K1256">
        <v>0</v>
      </c>
    </row>
    <row r="1257" spans="2:11" x14ac:dyDescent="0.25">
      <c r="B1257" t="s">
        <v>6</v>
      </c>
      <c r="C1257" t="s">
        <v>305</v>
      </c>
      <c r="D1257">
        <v>703229</v>
      </c>
      <c r="E1257" t="s">
        <v>148</v>
      </c>
      <c r="F1257" t="s">
        <v>21</v>
      </c>
      <c r="G1257" t="s">
        <v>147</v>
      </c>
      <c r="H1257" t="s">
        <v>147</v>
      </c>
      <c r="J1257">
        <v>0</v>
      </c>
      <c r="K1257">
        <v>0</v>
      </c>
    </row>
    <row r="1258" spans="2:11" x14ac:dyDescent="0.25">
      <c r="B1258" t="s">
        <v>6</v>
      </c>
      <c r="C1258" t="s">
        <v>305</v>
      </c>
      <c r="D1258">
        <v>703230</v>
      </c>
      <c r="E1258" t="s">
        <v>149</v>
      </c>
      <c r="F1258" t="s">
        <v>21</v>
      </c>
      <c r="G1258" t="s">
        <v>147</v>
      </c>
      <c r="H1258" t="s">
        <v>147</v>
      </c>
      <c r="J1258">
        <v>0</v>
      </c>
      <c r="K1258">
        <v>0</v>
      </c>
    </row>
    <row r="1259" spans="2:11" x14ac:dyDescent="0.25">
      <c r="B1259" t="s">
        <v>6</v>
      </c>
      <c r="C1259" t="s">
        <v>305</v>
      </c>
      <c r="D1259">
        <v>703231</v>
      </c>
      <c r="E1259" t="s">
        <v>150</v>
      </c>
      <c r="F1259" t="s">
        <v>21</v>
      </c>
      <c r="G1259" t="s">
        <v>137</v>
      </c>
      <c r="H1259" t="s">
        <v>141</v>
      </c>
      <c r="J1259">
        <v>0</v>
      </c>
      <c r="K1259">
        <v>0</v>
      </c>
    </row>
    <row r="1260" spans="2:11" x14ac:dyDescent="0.25">
      <c r="B1260" t="s">
        <v>6</v>
      </c>
      <c r="C1260" t="s">
        <v>305</v>
      </c>
      <c r="D1260">
        <v>703232</v>
      </c>
      <c r="E1260" t="s">
        <v>151</v>
      </c>
      <c r="F1260" t="s">
        <v>21</v>
      </c>
      <c r="G1260" t="s">
        <v>147</v>
      </c>
      <c r="H1260" t="s">
        <v>147</v>
      </c>
      <c r="J1260">
        <v>0</v>
      </c>
      <c r="K1260">
        <v>0</v>
      </c>
    </row>
    <row r="1261" spans="2:11" x14ac:dyDescent="0.25">
      <c r="B1261" t="s">
        <v>6</v>
      </c>
      <c r="C1261" t="s">
        <v>305</v>
      </c>
      <c r="D1261">
        <v>703233</v>
      </c>
      <c r="E1261" t="s">
        <v>152</v>
      </c>
      <c r="F1261" t="s">
        <v>21</v>
      </c>
      <c r="G1261" t="s">
        <v>71</v>
      </c>
      <c r="H1261" t="s">
        <v>153</v>
      </c>
      <c r="J1261">
        <v>0</v>
      </c>
      <c r="K1261">
        <v>0</v>
      </c>
    </row>
    <row r="1262" spans="2:11" x14ac:dyDescent="0.25">
      <c r="B1262" t="s">
        <v>6</v>
      </c>
      <c r="C1262" t="s">
        <v>305</v>
      </c>
      <c r="D1262">
        <v>703234</v>
      </c>
      <c r="E1262" t="s">
        <v>154</v>
      </c>
      <c r="F1262" t="s">
        <v>21</v>
      </c>
      <c r="G1262" t="s">
        <v>71</v>
      </c>
      <c r="H1262" t="s">
        <v>153</v>
      </c>
      <c r="J1262">
        <v>0</v>
      </c>
      <c r="K1262">
        <v>0</v>
      </c>
    </row>
    <row r="1263" spans="2:11" x14ac:dyDescent="0.25">
      <c r="B1263" t="s">
        <v>6</v>
      </c>
      <c r="C1263" t="s">
        <v>305</v>
      </c>
      <c r="D1263">
        <v>703235</v>
      </c>
      <c r="E1263" t="s">
        <v>155</v>
      </c>
      <c r="F1263" t="s">
        <v>21</v>
      </c>
      <c r="G1263" t="s">
        <v>71</v>
      </c>
      <c r="H1263" t="s">
        <v>153</v>
      </c>
      <c r="J1263">
        <v>0</v>
      </c>
      <c r="K1263">
        <v>0</v>
      </c>
    </row>
    <row r="1264" spans="2:11" x14ac:dyDescent="0.25">
      <c r="B1264" t="s">
        <v>6</v>
      </c>
      <c r="C1264" t="s">
        <v>305</v>
      </c>
      <c r="D1264">
        <v>703236</v>
      </c>
      <c r="E1264" t="s">
        <v>156</v>
      </c>
      <c r="F1264" t="s">
        <v>21</v>
      </c>
      <c r="G1264" t="s">
        <v>76</v>
      </c>
      <c r="H1264" t="s">
        <v>77</v>
      </c>
      <c r="J1264">
        <v>0</v>
      </c>
      <c r="K1264">
        <v>0</v>
      </c>
    </row>
    <row r="1265" spans="2:11" x14ac:dyDescent="0.25">
      <c r="B1265" t="s">
        <v>6</v>
      </c>
      <c r="C1265" t="s">
        <v>305</v>
      </c>
      <c r="D1265">
        <v>703237</v>
      </c>
      <c r="E1265" t="s">
        <v>157</v>
      </c>
      <c r="F1265" t="s">
        <v>21</v>
      </c>
      <c r="G1265" t="s">
        <v>22</v>
      </c>
      <c r="H1265" t="s">
        <v>23</v>
      </c>
      <c r="J1265">
        <v>0</v>
      </c>
      <c r="K1265">
        <v>0</v>
      </c>
    </row>
    <row r="1266" spans="2:11" x14ac:dyDescent="0.25">
      <c r="B1266" t="s">
        <v>6</v>
      </c>
      <c r="C1266" t="s">
        <v>305</v>
      </c>
      <c r="D1266">
        <v>703238</v>
      </c>
      <c r="E1266" t="s">
        <v>158</v>
      </c>
      <c r="F1266" t="s">
        <v>21</v>
      </c>
      <c r="G1266" t="s">
        <v>61</v>
      </c>
      <c r="H1266" t="s">
        <v>68</v>
      </c>
      <c r="J1266">
        <v>0</v>
      </c>
      <c r="K1266">
        <v>0</v>
      </c>
    </row>
    <row r="1267" spans="2:11" x14ac:dyDescent="0.25">
      <c r="B1267" t="s">
        <v>6</v>
      </c>
      <c r="C1267" t="s">
        <v>305</v>
      </c>
      <c r="D1267">
        <v>703239</v>
      </c>
      <c r="E1267" t="s">
        <v>159</v>
      </c>
      <c r="F1267" t="s">
        <v>21</v>
      </c>
      <c r="G1267" t="s">
        <v>61</v>
      </c>
      <c r="H1267" t="s">
        <v>68</v>
      </c>
      <c r="J1267">
        <v>0</v>
      </c>
      <c r="K1267">
        <v>0</v>
      </c>
    </row>
    <row r="1268" spans="2:11" x14ac:dyDescent="0.25">
      <c r="B1268" t="s">
        <v>6</v>
      </c>
      <c r="C1268" t="s">
        <v>305</v>
      </c>
      <c r="D1268">
        <v>703240</v>
      </c>
      <c r="E1268" t="s">
        <v>160</v>
      </c>
      <c r="F1268" t="s">
        <v>21</v>
      </c>
      <c r="G1268" t="s">
        <v>61</v>
      </c>
      <c r="H1268" t="s">
        <v>68</v>
      </c>
      <c r="J1268">
        <v>0</v>
      </c>
      <c r="K1268">
        <v>0</v>
      </c>
    </row>
    <row r="1269" spans="2:11" x14ac:dyDescent="0.25">
      <c r="B1269" t="s">
        <v>6</v>
      </c>
      <c r="C1269" t="s">
        <v>305</v>
      </c>
      <c r="D1269">
        <v>703241</v>
      </c>
      <c r="E1269" t="s">
        <v>161</v>
      </c>
      <c r="F1269" t="s">
        <v>21</v>
      </c>
      <c r="G1269" t="s">
        <v>137</v>
      </c>
      <c r="H1269" t="s">
        <v>141</v>
      </c>
      <c r="J1269">
        <v>0</v>
      </c>
      <c r="K1269">
        <v>0</v>
      </c>
    </row>
    <row r="1270" spans="2:11" x14ac:dyDescent="0.25">
      <c r="B1270" t="s">
        <v>6</v>
      </c>
      <c r="C1270" t="s">
        <v>305</v>
      </c>
      <c r="D1270">
        <v>703242</v>
      </c>
      <c r="E1270" t="s">
        <v>162</v>
      </c>
      <c r="F1270" t="s">
        <v>21</v>
      </c>
      <c r="G1270" t="s">
        <v>137</v>
      </c>
      <c r="H1270" t="s">
        <v>141</v>
      </c>
      <c r="J1270">
        <v>0</v>
      </c>
      <c r="K1270">
        <v>0</v>
      </c>
    </row>
    <row r="1271" spans="2:11" x14ac:dyDescent="0.25">
      <c r="B1271" t="s">
        <v>6</v>
      </c>
      <c r="C1271" t="s">
        <v>305</v>
      </c>
      <c r="D1271">
        <v>703243</v>
      </c>
      <c r="E1271" t="s">
        <v>163</v>
      </c>
      <c r="F1271" t="s">
        <v>21</v>
      </c>
      <c r="G1271" t="s">
        <v>137</v>
      </c>
      <c r="H1271" t="s">
        <v>141</v>
      </c>
      <c r="J1271">
        <v>0</v>
      </c>
      <c r="K1271">
        <v>0</v>
      </c>
    </row>
    <row r="1272" spans="2:11" x14ac:dyDescent="0.25">
      <c r="B1272" t="s">
        <v>6</v>
      </c>
      <c r="C1272" t="s">
        <v>305</v>
      </c>
      <c r="D1272">
        <v>703244</v>
      </c>
      <c r="E1272" t="s">
        <v>164</v>
      </c>
      <c r="F1272" t="s">
        <v>21</v>
      </c>
      <c r="G1272" t="s">
        <v>71</v>
      </c>
      <c r="H1272" t="s">
        <v>88</v>
      </c>
      <c r="J1272">
        <v>0</v>
      </c>
      <c r="K1272">
        <v>0</v>
      </c>
    </row>
    <row r="1273" spans="2:11" x14ac:dyDescent="0.25">
      <c r="B1273" t="s">
        <v>6</v>
      </c>
      <c r="C1273" t="s">
        <v>305</v>
      </c>
      <c r="D1273">
        <v>703245</v>
      </c>
      <c r="E1273" t="s">
        <v>165</v>
      </c>
      <c r="F1273" t="s">
        <v>21</v>
      </c>
      <c r="G1273" t="s">
        <v>137</v>
      </c>
      <c r="H1273" t="s">
        <v>138</v>
      </c>
      <c r="J1273">
        <v>0</v>
      </c>
      <c r="K1273">
        <v>0</v>
      </c>
    </row>
    <row r="1274" spans="2:11" x14ac:dyDescent="0.25">
      <c r="B1274" t="s">
        <v>6</v>
      </c>
      <c r="C1274" t="s">
        <v>305</v>
      </c>
      <c r="D1274">
        <v>703246</v>
      </c>
      <c r="E1274" t="s">
        <v>166</v>
      </c>
      <c r="F1274" t="s">
        <v>21</v>
      </c>
      <c r="G1274" t="s">
        <v>137</v>
      </c>
      <c r="H1274" t="s">
        <v>138</v>
      </c>
      <c r="J1274">
        <v>0</v>
      </c>
      <c r="K1274">
        <v>0</v>
      </c>
    </row>
    <row r="1275" spans="2:11" x14ac:dyDescent="0.25">
      <c r="B1275" t="s">
        <v>6</v>
      </c>
      <c r="C1275" t="s">
        <v>305</v>
      </c>
      <c r="D1275">
        <v>703247</v>
      </c>
      <c r="E1275" t="s">
        <v>167</v>
      </c>
      <c r="F1275" t="s">
        <v>21</v>
      </c>
      <c r="G1275" t="s">
        <v>137</v>
      </c>
      <c r="H1275" t="s">
        <v>138</v>
      </c>
      <c r="J1275">
        <v>0</v>
      </c>
      <c r="K1275">
        <v>0</v>
      </c>
    </row>
    <row r="1276" spans="2:11" x14ac:dyDescent="0.25">
      <c r="B1276" t="s">
        <v>6</v>
      </c>
      <c r="C1276" t="s">
        <v>305</v>
      </c>
      <c r="D1276">
        <v>703248</v>
      </c>
      <c r="E1276" t="s">
        <v>168</v>
      </c>
      <c r="F1276" t="s">
        <v>21</v>
      </c>
      <c r="G1276" t="s">
        <v>137</v>
      </c>
      <c r="H1276" t="s">
        <v>141</v>
      </c>
      <c r="J1276">
        <v>0</v>
      </c>
      <c r="K1276">
        <v>0</v>
      </c>
    </row>
    <row r="1277" spans="2:11" x14ac:dyDescent="0.25">
      <c r="B1277" t="s">
        <v>6</v>
      </c>
      <c r="C1277" t="s">
        <v>305</v>
      </c>
      <c r="D1277">
        <v>703249</v>
      </c>
      <c r="E1277" t="s">
        <v>169</v>
      </c>
      <c r="F1277" t="s">
        <v>21</v>
      </c>
      <c r="G1277" t="s">
        <v>147</v>
      </c>
      <c r="H1277" t="s">
        <v>147</v>
      </c>
      <c r="J1277">
        <v>0</v>
      </c>
      <c r="K1277">
        <v>0</v>
      </c>
    </row>
    <row r="1278" spans="2:11" x14ac:dyDescent="0.25">
      <c r="B1278" t="s">
        <v>6</v>
      </c>
      <c r="C1278" t="s">
        <v>305</v>
      </c>
      <c r="D1278">
        <v>703250</v>
      </c>
      <c r="E1278" t="s">
        <v>170</v>
      </c>
      <c r="F1278" t="s">
        <v>21</v>
      </c>
      <c r="G1278" t="s">
        <v>71</v>
      </c>
      <c r="H1278" t="s">
        <v>171</v>
      </c>
      <c r="J1278">
        <v>0</v>
      </c>
      <c r="K1278">
        <v>0</v>
      </c>
    </row>
    <row r="1279" spans="2:11" x14ac:dyDescent="0.25">
      <c r="B1279" t="s">
        <v>6</v>
      </c>
      <c r="C1279" t="s">
        <v>305</v>
      </c>
      <c r="D1279">
        <v>703251</v>
      </c>
      <c r="E1279" t="s">
        <v>172</v>
      </c>
      <c r="F1279" t="s">
        <v>21</v>
      </c>
      <c r="G1279" t="s">
        <v>22</v>
      </c>
      <c r="H1279" t="s">
        <v>115</v>
      </c>
      <c r="J1279">
        <v>0</v>
      </c>
      <c r="K1279">
        <v>0</v>
      </c>
    </row>
    <row r="1280" spans="2:11" x14ac:dyDescent="0.25">
      <c r="B1280" t="s">
        <v>6</v>
      </c>
      <c r="C1280" t="s">
        <v>305</v>
      </c>
      <c r="D1280">
        <v>703252</v>
      </c>
      <c r="E1280" t="s">
        <v>173</v>
      </c>
      <c r="F1280" t="s">
        <v>21</v>
      </c>
      <c r="G1280" t="s">
        <v>22</v>
      </c>
      <c r="H1280" t="s">
        <v>115</v>
      </c>
      <c r="J1280">
        <v>0</v>
      </c>
      <c r="K1280">
        <v>0</v>
      </c>
    </row>
    <row r="1281" spans="2:11" x14ac:dyDescent="0.25">
      <c r="B1281" t="s">
        <v>6</v>
      </c>
      <c r="C1281" t="s">
        <v>305</v>
      </c>
      <c r="D1281">
        <v>703253</v>
      </c>
      <c r="E1281" t="s">
        <v>174</v>
      </c>
      <c r="F1281" t="s">
        <v>21</v>
      </c>
      <c r="G1281" t="s">
        <v>22</v>
      </c>
      <c r="H1281" t="s">
        <v>115</v>
      </c>
      <c r="J1281">
        <v>0</v>
      </c>
      <c r="K1281">
        <v>0</v>
      </c>
    </row>
    <row r="1282" spans="2:11" x14ac:dyDescent="0.25">
      <c r="B1282" t="s">
        <v>6</v>
      </c>
      <c r="C1282" t="s">
        <v>305</v>
      </c>
      <c r="D1282">
        <v>703254</v>
      </c>
      <c r="E1282" t="s">
        <v>175</v>
      </c>
      <c r="F1282" t="s">
        <v>21</v>
      </c>
      <c r="G1282" t="s">
        <v>22</v>
      </c>
      <c r="H1282" t="s">
        <v>115</v>
      </c>
      <c r="J1282">
        <v>0</v>
      </c>
      <c r="K1282">
        <v>0</v>
      </c>
    </row>
    <row r="1283" spans="2:11" x14ac:dyDescent="0.25">
      <c r="B1283" t="s">
        <v>6</v>
      </c>
      <c r="C1283" t="s">
        <v>305</v>
      </c>
      <c r="D1283">
        <v>703255</v>
      </c>
      <c r="E1283" t="s">
        <v>176</v>
      </c>
      <c r="F1283" t="s">
        <v>21</v>
      </c>
      <c r="G1283" t="s">
        <v>22</v>
      </c>
      <c r="H1283" t="s">
        <v>115</v>
      </c>
      <c r="J1283">
        <v>0</v>
      </c>
      <c r="K1283">
        <v>0</v>
      </c>
    </row>
    <row r="1284" spans="2:11" x14ac:dyDescent="0.25">
      <c r="B1284" t="s">
        <v>6</v>
      </c>
      <c r="C1284" t="s">
        <v>305</v>
      </c>
      <c r="D1284">
        <v>703257</v>
      </c>
      <c r="E1284" t="s">
        <v>177</v>
      </c>
      <c r="F1284" t="s">
        <v>21</v>
      </c>
      <c r="G1284" t="s">
        <v>147</v>
      </c>
      <c r="H1284" t="s">
        <v>147</v>
      </c>
      <c r="J1284">
        <v>0</v>
      </c>
      <c r="K1284">
        <v>0</v>
      </c>
    </row>
    <row r="1285" spans="2:11" x14ac:dyDescent="0.25">
      <c r="B1285" t="s">
        <v>6</v>
      </c>
      <c r="C1285" t="s">
        <v>305</v>
      </c>
      <c r="D1285">
        <v>703258</v>
      </c>
      <c r="E1285" t="s">
        <v>178</v>
      </c>
      <c r="F1285" t="s">
        <v>21</v>
      </c>
      <c r="G1285" t="s">
        <v>147</v>
      </c>
      <c r="H1285" t="s">
        <v>147</v>
      </c>
      <c r="J1285">
        <v>0</v>
      </c>
      <c r="K1285">
        <v>0</v>
      </c>
    </row>
    <row r="1286" spans="2:11" x14ac:dyDescent="0.25">
      <c r="B1286" t="s">
        <v>6</v>
      </c>
      <c r="C1286" t="s">
        <v>305</v>
      </c>
      <c r="D1286">
        <v>703260</v>
      </c>
      <c r="E1286" t="s">
        <v>179</v>
      </c>
      <c r="F1286" t="s">
        <v>21</v>
      </c>
      <c r="G1286" t="s">
        <v>76</v>
      </c>
      <c r="H1286" t="s">
        <v>77</v>
      </c>
      <c r="J1286">
        <v>0</v>
      </c>
      <c r="K1286">
        <v>0</v>
      </c>
    </row>
    <row r="1287" spans="2:11" x14ac:dyDescent="0.25">
      <c r="B1287" t="s">
        <v>6</v>
      </c>
      <c r="C1287" t="s">
        <v>305</v>
      </c>
      <c r="D1287">
        <v>703261</v>
      </c>
      <c r="E1287" t="s">
        <v>180</v>
      </c>
      <c r="F1287" t="s">
        <v>21</v>
      </c>
      <c r="G1287" t="s">
        <v>22</v>
      </c>
      <c r="H1287" t="s">
        <v>115</v>
      </c>
      <c r="J1287">
        <v>0</v>
      </c>
      <c r="K1287">
        <v>0</v>
      </c>
    </row>
    <row r="1288" spans="2:11" x14ac:dyDescent="0.25">
      <c r="B1288" t="s">
        <v>6</v>
      </c>
      <c r="C1288" t="s">
        <v>305</v>
      </c>
      <c r="D1288">
        <v>703262</v>
      </c>
      <c r="E1288" t="s">
        <v>181</v>
      </c>
      <c r="F1288" t="s">
        <v>21</v>
      </c>
      <c r="G1288" t="s">
        <v>22</v>
      </c>
      <c r="H1288" t="s">
        <v>23</v>
      </c>
      <c r="J1288">
        <v>0</v>
      </c>
      <c r="K1288">
        <v>0</v>
      </c>
    </row>
    <row r="1289" spans="2:11" x14ac:dyDescent="0.25">
      <c r="B1289" t="s">
        <v>6</v>
      </c>
      <c r="C1289" t="s">
        <v>305</v>
      </c>
      <c r="D1289">
        <v>703263</v>
      </c>
      <c r="E1289" t="s">
        <v>182</v>
      </c>
      <c r="F1289" t="s">
        <v>21</v>
      </c>
      <c r="G1289" t="s">
        <v>22</v>
      </c>
      <c r="H1289" t="s">
        <v>115</v>
      </c>
      <c r="J1289">
        <v>0</v>
      </c>
      <c r="K1289">
        <v>0</v>
      </c>
    </row>
    <row r="1290" spans="2:11" x14ac:dyDescent="0.25">
      <c r="B1290" t="s">
        <v>6</v>
      </c>
      <c r="C1290" t="s">
        <v>305</v>
      </c>
      <c r="D1290">
        <v>703264</v>
      </c>
      <c r="E1290" t="s">
        <v>183</v>
      </c>
      <c r="F1290" t="s">
        <v>21</v>
      </c>
      <c r="G1290" t="s">
        <v>22</v>
      </c>
      <c r="H1290" t="s">
        <v>115</v>
      </c>
      <c r="J1290">
        <v>0</v>
      </c>
      <c r="K1290">
        <v>0</v>
      </c>
    </row>
    <row r="1291" spans="2:11" x14ac:dyDescent="0.25">
      <c r="B1291" t="s">
        <v>6</v>
      </c>
      <c r="C1291" t="s">
        <v>305</v>
      </c>
      <c r="D1291">
        <v>703265</v>
      </c>
      <c r="E1291" t="s">
        <v>184</v>
      </c>
      <c r="F1291" t="s">
        <v>21</v>
      </c>
      <c r="G1291" t="s">
        <v>22</v>
      </c>
      <c r="H1291" t="s">
        <v>115</v>
      </c>
      <c r="J1291">
        <v>0</v>
      </c>
      <c r="K1291">
        <v>0</v>
      </c>
    </row>
    <row r="1292" spans="2:11" x14ac:dyDescent="0.25">
      <c r="B1292" t="s">
        <v>6</v>
      </c>
      <c r="C1292" t="s">
        <v>305</v>
      </c>
      <c r="D1292">
        <v>703266</v>
      </c>
      <c r="E1292" t="s">
        <v>185</v>
      </c>
      <c r="F1292" t="s">
        <v>21</v>
      </c>
      <c r="G1292" t="s">
        <v>71</v>
      </c>
      <c r="H1292" t="s">
        <v>186</v>
      </c>
      <c r="J1292">
        <v>0</v>
      </c>
      <c r="K1292">
        <v>0</v>
      </c>
    </row>
    <row r="1293" spans="2:11" x14ac:dyDescent="0.25">
      <c r="B1293" t="s">
        <v>6</v>
      </c>
      <c r="C1293" t="s">
        <v>305</v>
      </c>
      <c r="D1293">
        <v>703267</v>
      </c>
      <c r="E1293" t="s">
        <v>187</v>
      </c>
      <c r="F1293" t="s">
        <v>21</v>
      </c>
      <c r="G1293" t="s">
        <v>71</v>
      </c>
      <c r="H1293" t="s">
        <v>88</v>
      </c>
      <c r="J1293">
        <v>0</v>
      </c>
      <c r="K1293">
        <v>0</v>
      </c>
    </row>
    <row r="1294" spans="2:11" x14ac:dyDescent="0.25">
      <c r="B1294" t="s">
        <v>6</v>
      </c>
      <c r="C1294" t="s">
        <v>305</v>
      </c>
      <c r="D1294">
        <v>703268</v>
      </c>
      <c r="E1294" t="s">
        <v>188</v>
      </c>
      <c r="F1294" t="s">
        <v>21</v>
      </c>
      <c r="G1294" t="s">
        <v>147</v>
      </c>
      <c r="H1294" t="s">
        <v>147</v>
      </c>
      <c r="J1294">
        <v>0</v>
      </c>
      <c r="K1294">
        <v>0</v>
      </c>
    </row>
    <row r="1295" spans="2:11" x14ac:dyDescent="0.25">
      <c r="B1295" t="s">
        <v>6</v>
      </c>
      <c r="C1295" t="s">
        <v>305</v>
      </c>
      <c r="D1295">
        <v>703269</v>
      </c>
      <c r="E1295" t="s">
        <v>189</v>
      </c>
      <c r="F1295" t="s">
        <v>21</v>
      </c>
      <c r="G1295" t="s">
        <v>147</v>
      </c>
      <c r="H1295" t="s">
        <v>147</v>
      </c>
      <c r="J1295">
        <v>0</v>
      </c>
      <c r="K1295">
        <v>0</v>
      </c>
    </row>
    <row r="1296" spans="2:11" x14ac:dyDescent="0.25">
      <c r="B1296" t="s">
        <v>6</v>
      </c>
      <c r="C1296" t="s">
        <v>305</v>
      </c>
      <c r="D1296">
        <v>703270</v>
      </c>
      <c r="E1296" t="s">
        <v>190</v>
      </c>
      <c r="F1296" t="s">
        <v>21</v>
      </c>
      <c r="G1296" t="s">
        <v>137</v>
      </c>
      <c r="H1296" t="s">
        <v>141</v>
      </c>
      <c r="J1296">
        <v>0</v>
      </c>
      <c r="K1296">
        <v>0</v>
      </c>
    </row>
    <row r="1297" spans="2:11" x14ac:dyDescent="0.25">
      <c r="B1297" t="s">
        <v>6</v>
      </c>
      <c r="C1297" t="s">
        <v>305</v>
      </c>
      <c r="D1297">
        <v>703271</v>
      </c>
      <c r="E1297" t="s">
        <v>191</v>
      </c>
      <c r="F1297" t="s">
        <v>21</v>
      </c>
      <c r="G1297" t="s">
        <v>22</v>
      </c>
      <c r="H1297" t="s">
        <v>115</v>
      </c>
      <c r="J1297">
        <v>0</v>
      </c>
      <c r="K1297">
        <v>0</v>
      </c>
    </row>
    <row r="1298" spans="2:11" x14ac:dyDescent="0.25">
      <c r="B1298" t="s">
        <v>6</v>
      </c>
      <c r="C1298" t="s">
        <v>305</v>
      </c>
      <c r="D1298">
        <v>703272</v>
      </c>
      <c r="E1298" t="s">
        <v>192</v>
      </c>
      <c r="F1298" t="s">
        <v>21</v>
      </c>
      <c r="G1298" t="s">
        <v>22</v>
      </c>
      <c r="H1298" t="s">
        <v>23</v>
      </c>
      <c r="J1298">
        <v>0</v>
      </c>
      <c r="K1298">
        <v>0</v>
      </c>
    </row>
    <row r="1299" spans="2:11" x14ac:dyDescent="0.25">
      <c r="B1299" t="s">
        <v>6</v>
      </c>
      <c r="C1299" t="s">
        <v>305</v>
      </c>
      <c r="D1299">
        <v>703273</v>
      </c>
      <c r="E1299" t="s">
        <v>193</v>
      </c>
      <c r="F1299" t="s">
        <v>21</v>
      </c>
      <c r="G1299" t="s">
        <v>147</v>
      </c>
      <c r="H1299" t="s">
        <v>147</v>
      </c>
      <c r="J1299">
        <v>0</v>
      </c>
      <c r="K1299">
        <v>0</v>
      </c>
    </row>
    <row r="1300" spans="2:11" x14ac:dyDescent="0.25">
      <c r="B1300" t="s">
        <v>6</v>
      </c>
      <c r="C1300" t="s">
        <v>305</v>
      </c>
      <c r="D1300">
        <v>703274</v>
      </c>
      <c r="E1300" t="s">
        <v>194</v>
      </c>
      <c r="F1300" t="s">
        <v>21</v>
      </c>
      <c r="G1300" t="s">
        <v>147</v>
      </c>
      <c r="H1300" t="s">
        <v>147</v>
      </c>
      <c r="J1300">
        <v>0</v>
      </c>
      <c r="K1300">
        <v>0</v>
      </c>
    </row>
    <row r="1301" spans="2:11" x14ac:dyDescent="0.25">
      <c r="B1301" t="s">
        <v>6</v>
      </c>
      <c r="C1301" t="s">
        <v>305</v>
      </c>
      <c r="D1301">
        <v>703275</v>
      </c>
      <c r="E1301" t="s">
        <v>195</v>
      </c>
      <c r="F1301" t="s">
        <v>21</v>
      </c>
      <c r="G1301" t="s">
        <v>137</v>
      </c>
      <c r="H1301" t="s">
        <v>138</v>
      </c>
      <c r="J1301">
        <v>0</v>
      </c>
      <c r="K1301">
        <v>0</v>
      </c>
    </row>
    <row r="1302" spans="2:11" x14ac:dyDescent="0.25">
      <c r="B1302" t="s">
        <v>6</v>
      </c>
      <c r="C1302" t="s">
        <v>305</v>
      </c>
      <c r="D1302">
        <v>703280</v>
      </c>
      <c r="E1302" t="s">
        <v>196</v>
      </c>
      <c r="F1302" t="s">
        <v>21</v>
      </c>
      <c r="G1302" t="s">
        <v>71</v>
      </c>
      <c r="H1302" t="s">
        <v>171</v>
      </c>
      <c r="J1302">
        <v>0</v>
      </c>
      <c r="K1302">
        <v>0</v>
      </c>
    </row>
    <row r="1303" spans="2:11" x14ac:dyDescent="0.25">
      <c r="B1303" t="s">
        <v>6</v>
      </c>
      <c r="C1303" t="s">
        <v>305</v>
      </c>
      <c r="D1303">
        <v>703281</v>
      </c>
      <c r="E1303" t="s">
        <v>197</v>
      </c>
      <c r="F1303" t="s">
        <v>21</v>
      </c>
      <c r="G1303" t="s">
        <v>76</v>
      </c>
      <c r="H1303" t="s">
        <v>77</v>
      </c>
      <c r="J1303">
        <v>0</v>
      </c>
      <c r="K1303">
        <v>0</v>
      </c>
    </row>
    <row r="1304" spans="2:11" x14ac:dyDescent="0.25">
      <c r="B1304" t="s">
        <v>6</v>
      </c>
      <c r="C1304" t="s">
        <v>305</v>
      </c>
      <c r="D1304">
        <v>703282</v>
      </c>
      <c r="E1304" t="s">
        <v>198</v>
      </c>
      <c r="F1304" t="s">
        <v>21</v>
      </c>
      <c r="G1304" t="s">
        <v>76</v>
      </c>
      <c r="H1304" t="s">
        <v>77</v>
      </c>
      <c r="J1304">
        <v>0</v>
      </c>
      <c r="K1304">
        <v>0</v>
      </c>
    </row>
    <row r="1305" spans="2:11" x14ac:dyDescent="0.25">
      <c r="B1305" t="s">
        <v>6</v>
      </c>
      <c r="C1305" t="s">
        <v>305</v>
      </c>
      <c r="D1305">
        <v>703283</v>
      </c>
      <c r="E1305" t="s">
        <v>199</v>
      </c>
      <c r="F1305" t="s">
        <v>21</v>
      </c>
      <c r="G1305" t="s">
        <v>61</v>
      </c>
      <c r="H1305" t="s">
        <v>68</v>
      </c>
      <c r="J1305">
        <v>0</v>
      </c>
      <c r="K1305">
        <v>0</v>
      </c>
    </row>
    <row r="1306" spans="2:11" x14ac:dyDescent="0.25">
      <c r="B1306" t="s">
        <v>6</v>
      </c>
      <c r="C1306" t="s">
        <v>305</v>
      </c>
      <c r="D1306">
        <v>703310</v>
      </c>
      <c r="E1306" t="s">
        <v>200</v>
      </c>
      <c r="F1306" t="s">
        <v>21</v>
      </c>
      <c r="G1306" t="s">
        <v>22</v>
      </c>
      <c r="H1306" t="s">
        <v>23</v>
      </c>
      <c r="J1306">
        <v>0</v>
      </c>
      <c r="K1306">
        <v>0</v>
      </c>
    </row>
    <row r="1307" spans="2:11" x14ac:dyDescent="0.25">
      <c r="B1307" t="s">
        <v>6</v>
      </c>
      <c r="C1307" t="s">
        <v>305</v>
      </c>
      <c r="D1307">
        <v>703311</v>
      </c>
      <c r="E1307" t="s">
        <v>201</v>
      </c>
      <c r="F1307" t="s">
        <v>21</v>
      </c>
      <c r="G1307" t="s">
        <v>71</v>
      </c>
      <c r="H1307" t="s">
        <v>171</v>
      </c>
      <c r="J1307">
        <v>0</v>
      </c>
      <c r="K1307">
        <v>0</v>
      </c>
    </row>
    <row r="1308" spans="2:11" x14ac:dyDescent="0.25">
      <c r="B1308" t="s">
        <v>6</v>
      </c>
      <c r="C1308" t="s">
        <v>305</v>
      </c>
      <c r="D1308">
        <v>703312</v>
      </c>
      <c r="E1308" t="s">
        <v>202</v>
      </c>
      <c r="F1308" t="s">
        <v>21</v>
      </c>
      <c r="G1308" t="s">
        <v>76</v>
      </c>
      <c r="H1308" t="s">
        <v>77</v>
      </c>
      <c r="J1308">
        <v>0</v>
      </c>
      <c r="K1308">
        <v>0</v>
      </c>
    </row>
    <row r="1309" spans="2:11" x14ac:dyDescent="0.25">
      <c r="B1309" t="s">
        <v>6</v>
      </c>
      <c r="C1309" t="s">
        <v>305</v>
      </c>
      <c r="D1309">
        <v>703313</v>
      </c>
      <c r="E1309" t="s">
        <v>203</v>
      </c>
      <c r="F1309" t="s">
        <v>21</v>
      </c>
      <c r="G1309" t="s">
        <v>76</v>
      </c>
      <c r="H1309" t="s">
        <v>77</v>
      </c>
      <c r="J1309">
        <v>0</v>
      </c>
      <c r="K1309">
        <v>0</v>
      </c>
    </row>
    <row r="1310" spans="2:11" x14ac:dyDescent="0.25">
      <c r="B1310" t="s">
        <v>6</v>
      </c>
      <c r="C1310" t="s">
        <v>305</v>
      </c>
      <c r="D1310">
        <v>703314</v>
      </c>
      <c r="E1310" t="s">
        <v>204</v>
      </c>
      <c r="F1310" t="s">
        <v>21</v>
      </c>
      <c r="G1310" t="s">
        <v>76</v>
      </c>
      <c r="H1310" t="s">
        <v>77</v>
      </c>
      <c r="J1310">
        <v>0</v>
      </c>
      <c r="K1310">
        <v>0</v>
      </c>
    </row>
    <row r="1311" spans="2:11" x14ac:dyDescent="0.25">
      <c r="B1311" t="s">
        <v>6</v>
      </c>
      <c r="C1311" t="s">
        <v>305</v>
      </c>
      <c r="D1311">
        <v>703315</v>
      </c>
      <c r="E1311" t="s">
        <v>205</v>
      </c>
      <c r="F1311" t="s">
        <v>21</v>
      </c>
      <c r="G1311" t="s">
        <v>76</v>
      </c>
      <c r="H1311" t="s">
        <v>135</v>
      </c>
      <c r="J1311">
        <v>0</v>
      </c>
      <c r="K1311">
        <v>0</v>
      </c>
    </row>
    <row r="1312" spans="2:11" x14ac:dyDescent="0.25">
      <c r="B1312" t="s">
        <v>6</v>
      </c>
      <c r="C1312" t="s">
        <v>305</v>
      </c>
      <c r="D1312">
        <v>703316</v>
      </c>
      <c r="E1312" t="s">
        <v>206</v>
      </c>
      <c r="F1312" t="s">
        <v>21</v>
      </c>
      <c r="G1312" t="s">
        <v>76</v>
      </c>
      <c r="H1312" t="s">
        <v>77</v>
      </c>
      <c r="J1312">
        <v>0</v>
      </c>
      <c r="K1312">
        <v>0</v>
      </c>
    </row>
    <row r="1313" spans="2:11" x14ac:dyDescent="0.25">
      <c r="B1313" t="s">
        <v>6</v>
      </c>
      <c r="C1313" t="s">
        <v>305</v>
      </c>
      <c r="D1313">
        <v>703317</v>
      </c>
      <c r="E1313" t="s">
        <v>207</v>
      </c>
      <c r="F1313" t="s">
        <v>21</v>
      </c>
      <c r="G1313" t="s">
        <v>76</v>
      </c>
      <c r="H1313" t="s">
        <v>77</v>
      </c>
      <c r="J1313">
        <v>0</v>
      </c>
      <c r="K1313">
        <v>0</v>
      </c>
    </row>
    <row r="1314" spans="2:11" x14ac:dyDescent="0.25">
      <c r="B1314" t="s">
        <v>6</v>
      </c>
      <c r="C1314" t="s">
        <v>305</v>
      </c>
      <c r="D1314">
        <v>703318</v>
      </c>
      <c r="E1314" t="s">
        <v>208</v>
      </c>
      <c r="F1314" t="s">
        <v>21</v>
      </c>
      <c r="G1314" t="s">
        <v>71</v>
      </c>
      <c r="H1314" t="s">
        <v>209</v>
      </c>
      <c r="J1314">
        <v>0</v>
      </c>
      <c r="K1314">
        <v>0</v>
      </c>
    </row>
    <row r="1315" spans="2:11" x14ac:dyDescent="0.25">
      <c r="B1315" t="s">
        <v>6</v>
      </c>
      <c r="C1315" t="s">
        <v>305</v>
      </c>
      <c r="D1315">
        <v>703319</v>
      </c>
      <c r="E1315" t="s">
        <v>210</v>
      </c>
      <c r="F1315" t="s">
        <v>21</v>
      </c>
      <c r="G1315" t="s">
        <v>61</v>
      </c>
      <c r="H1315" t="s">
        <v>79</v>
      </c>
      <c r="J1315">
        <v>0</v>
      </c>
      <c r="K1315">
        <v>0</v>
      </c>
    </row>
    <row r="1316" spans="2:11" x14ac:dyDescent="0.25">
      <c r="B1316" t="s">
        <v>6</v>
      </c>
      <c r="C1316" t="s">
        <v>305</v>
      </c>
      <c r="D1316">
        <v>703320</v>
      </c>
      <c r="E1316" t="s">
        <v>211</v>
      </c>
      <c r="F1316" t="s">
        <v>21</v>
      </c>
      <c r="G1316" t="s">
        <v>71</v>
      </c>
      <c r="H1316" t="s">
        <v>135</v>
      </c>
      <c r="J1316">
        <v>0</v>
      </c>
      <c r="K1316">
        <v>0</v>
      </c>
    </row>
    <row r="1317" spans="2:11" x14ac:dyDescent="0.25">
      <c r="B1317" t="s">
        <v>6</v>
      </c>
      <c r="C1317" t="s">
        <v>305</v>
      </c>
      <c r="D1317">
        <v>703321</v>
      </c>
      <c r="E1317" t="s">
        <v>212</v>
      </c>
      <c r="F1317" t="s">
        <v>21</v>
      </c>
      <c r="G1317" t="s">
        <v>22</v>
      </c>
      <c r="H1317" t="s">
        <v>23</v>
      </c>
      <c r="J1317">
        <v>0</v>
      </c>
      <c r="K1317">
        <v>0</v>
      </c>
    </row>
    <row r="1318" spans="2:11" x14ac:dyDescent="0.25">
      <c r="B1318" t="s">
        <v>6</v>
      </c>
      <c r="C1318" t="s">
        <v>305</v>
      </c>
      <c r="D1318">
        <v>703322</v>
      </c>
      <c r="E1318" t="s">
        <v>213</v>
      </c>
      <c r="F1318" t="s">
        <v>21</v>
      </c>
      <c r="G1318" t="s">
        <v>22</v>
      </c>
      <c r="H1318" t="s">
        <v>23</v>
      </c>
      <c r="J1318">
        <v>0</v>
      </c>
      <c r="K1318">
        <v>0</v>
      </c>
    </row>
    <row r="1319" spans="2:11" x14ac:dyDescent="0.25">
      <c r="B1319" t="s">
        <v>6</v>
      </c>
      <c r="C1319" t="s">
        <v>305</v>
      </c>
      <c r="D1319">
        <v>703323</v>
      </c>
      <c r="E1319" t="s">
        <v>214</v>
      </c>
      <c r="F1319" t="s">
        <v>21</v>
      </c>
      <c r="G1319" t="s">
        <v>22</v>
      </c>
      <c r="H1319" t="s">
        <v>23</v>
      </c>
      <c r="J1319">
        <v>0</v>
      </c>
      <c r="K1319">
        <v>0</v>
      </c>
    </row>
    <row r="1320" spans="2:11" x14ac:dyDescent="0.25">
      <c r="B1320" t="s">
        <v>6</v>
      </c>
      <c r="C1320" t="s">
        <v>305</v>
      </c>
      <c r="D1320">
        <v>703324</v>
      </c>
      <c r="E1320" t="s">
        <v>215</v>
      </c>
      <c r="F1320" t="s">
        <v>21</v>
      </c>
      <c r="G1320" t="s">
        <v>22</v>
      </c>
      <c r="H1320" t="s">
        <v>23</v>
      </c>
      <c r="J1320">
        <v>0</v>
      </c>
      <c r="K1320">
        <v>0</v>
      </c>
    </row>
    <row r="1321" spans="2:11" x14ac:dyDescent="0.25">
      <c r="B1321" t="s">
        <v>6</v>
      </c>
      <c r="C1321" t="s">
        <v>305</v>
      </c>
      <c r="D1321">
        <v>703325</v>
      </c>
      <c r="E1321" t="s">
        <v>216</v>
      </c>
      <c r="F1321" t="s">
        <v>21</v>
      </c>
      <c r="G1321" t="s">
        <v>22</v>
      </c>
      <c r="H1321" t="s">
        <v>23</v>
      </c>
      <c r="J1321">
        <v>0</v>
      </c>
      <c r="K1321">
        <v>0</v>
      </c>
    </row>
    <row r="1322" spans="2:11" x14ac:dyDescent="0.25">
      <c r="B1322" t="s">
        <v>6</v>
      </c>
      <c r="C1322" t="s">
        <v>305</v>
      </c>
      <c r="D1322">
        <v>703326</v>
      </c>
      <c r="E1322" t="s">
        <v>217</v>
      </c>
      <c r="F1322" t="s">
        <v>21</v>
      </c>
      <c r="G1322" t="s">
        <v>22</v>
      </c>
      <c r="H1322" t="s">
        <v>23</v>
      </c>
      <c r="J1322">
        <v>0</v>
      </c>
      <c r="K1322">
        <v>0</v>
      </c>
    </row>
    <row r="1323" spans="2:11" x14ac:dyDescent="0.25">
      <c r="B1323" t="s">
        <v>6</v>
      </c>
      <c r="C1323" t="s">
        <v>305</v>
      </c>
      <c r="D1323">
        <v>703327</v>
      </c>
      <c r="E1323" t="s">
        <v>218</v>
      </c>
      <c r="F1323" t="s">
        <v>21</v>
      </c>
      <c r="G1323" t="s">
        <v>76</v>
      </c>
      <c r="H1323" t="s">
        <v>77</v>
      </c>
      <c r="J1323">
        <v>0</v>
      </c>
      <c r="K1323">
        <v>0</v>
      </c>
    </row>
    <row r="1324" spans="2:11" x14ac:dyDescent="0.25">
      <c r="B1324" t="s">
        <v>6</v>
      </c>
      <c r="C1324" t="s">
        <v>305</v>
      </c>
      <c r="D1324">
        <v>703328</v>
      </c>
      <c r="E1324" t="s">
        <v>219</v>
      </c>
      <c r="F1324" t="s">
        <v>21</v>
      </c>
      <c r="G1324" t="s">
        <v>22</v>
      </c>
      <c r="H1324" t="s">
        <v>23</v>
      </c>
      <c r="J1324">
        <v>0</v>
      </c>
      <c r="K1324">
        <v>0</v>
      </c>
    </row>
    <row r="1325" spans="2:11" x14ac:dyDescent="0.25">
      <c r="B1325" t="s">
        <v>6</v>
      </c>
      <c r="C1325" t="s">
        <v>305</v>
      </c>
      <c r="D1325">
        <v>703329</v>
      </c>
      <c r="E1325" t="s">
        <v>220</v>
      </c>
      <c r="F1325" t="s">
        <v>21</v>
      </c>
      <c r="G1325" t="s">
        <v>22</v>
      </c>
      <c r="H1325" t="s">
        <v>23</v>
      </c>
      <c r="J1325">
        <v>0</v>
      </c>
      <c r="K1325">
        <v>0</v>
      </c>
    </row>
    <row r="1326" spans="2:11" x14ac:dyDescent="0.25">
      <c r="B1326" t="s">
        <v>6</v>
      </c>
      <c r="C1326" t="s">
        <v>305</v>
      </c>
      <c r="D1326">
        <v>703330</v>
      </c>
      <c r="E1326" t="s">
        <v>221</v>
      </c>
      <c r="F1326" t="s">
        <v>21</v>
      </c>
      <c r="G1326" t="s">
        <v>22</v>
      </c>
      <c r="H1326" t="s">
        <v>23</v>
      </c>
      <c r="J1326">
        <v>0</v>
      </c>
      <c r="K1326">
        <v>0</v>
      </c>
    </row>
    <row r="1327" spans="2:11" x14ac:dyDescent="0.25">
      <c r="B1327" t="s">
        <v>6</v>
      </c>
      <c r="C1327" t="s">
        <v>305</v>
      </c>
      <c r="D1327">
        <v>703340</v>
      </c>
      <c r="E1327" t="s">
        <v>222</v>
      </c>
      <c r="F1327" t="s">
        <v>21</v>
      </c>
      <c r="G1327" t="s">
        <v>61</v>
      </c>
      <c r="H1327" t="s">
        <v>68</v>
      </c>
      <c r="J1327">
        <v>0</v>
      </c>
      <c r="K1327">
        <v>0</v>
      </c>
    </row>
    <row r="1328" spans="2:11" x14ac:dyDescent="0.25">
      <c r="B1328" t="s">
        <v>6</v>
      </c>
      <c r="C1328" t="s">
        <v>305</v>
      </c>
      <c r="D1328">
        <v>703350</v>
      </c>
      <c r="E1328" t="s">
        <v>223</v>
      </c>
      <c r="F1328" t="s">
        <v>21</v>
      </c>
      <c r="G1328" t="s">
        <v>22</v>
      </c>
      <c r="H1328" t="s">
        <v>23</v>
      </c>
      <c r="J1328">
        <v>0</v>
      </c>
      <c r="K1328">
        <v>0</v>
      </c>
    </row>
    <row r="1329" spans="2:11" x14ac:dyDescent="0.25">
      <c r="B1329" t="s">
        <v>6</v>
      </c>
      <c r="C1329" t="s">
        <v>305</v>
      </c>
      <c r="D1329">
        <v>703351</v>
      </c>
      <c r="E1329" t="s">
        <v>224</v>
      </c>
      <c r="F1329" t="s">
        <v>21</v>
      </c>
      <c r="G1329" t="s">
        <v>22</v>
      </c>
      <c r="H1329" t="s">
        <v>23</v>
      </c>
      <c r="J1329">
        <v>0</v>
      </c>
      <c r="K1329">
        <v>0</v>
      </c>
    </row>
    <row r="1330" spans="2:11" x14ac:dyDescent="0.25">
      <c r="B1330" t="s">
        <v>6</v>
      </c>
      <c r="C1330" t="s">
        <v>305</v>
      </c>
      <c r="D1330">
        <v>703352</v>
      </c>
      <c r="E1330" t="s">
        <v>225</v>
      </c>
      <c r="F1330" t="s">
        <v>21</v>
      </c>
      <c r="G1330" t="s">
        <v>22</v>
      </c>
      <c r="H1330" t="s">
        <v>23</v>
      </c>
      <c r="J1330">
        <v>0</v>
      </c>
      <c r="K1330">
        <v>0</v>
      </c>
    </row>
    <row r="1331" spans="2:11" x14ac:dyDescent="0.25">
      <c r="B1331" t="s">
        <v>6</v>
      </c>
      <c r="C1331" t="s">
        <v>305</v>
      </c>
      <c r="D1331">
        <v>703360</v>
      </c>
      <c r="E1331" t="s">
        <v>226</v>
      </c>
      <c r="F1331" t="s">
        <v>21</v>
      </c>
      <c r="G1331" t="s">
        <v>22</v>
      </c>
      <c r="H1331" t="s">
        <v>23</v>
      </c>
      <c r="J1331">
        <v>0</v>
      </c>
      <c r="K1331">
        <v>0</v>
      </c>
    </row>
    <row r="1332" spans="2:11" x14ac:dyDescent="0.25">
      <c r="B1332" t="s">
        <v>6</v>
      </c>
      <c r="C1332" t="s">
        <v>305</v>
      </c>
      <c r="D1332">
        <v>703370</v>
      </c>
      <c r="E1332" t="s">
        <v>227</v>
      </c>
      <c r="F1332" t="s">
        <v>21</v>
      </c>
      <c r="G1332" t="s">
        <v>22</v>
      </c>
      <c r="H1332" t="s">
        <v>23</v>
      </c>
      <c r="J1332">
        <v>0</v>
      </c>
      <c r="K1332">
        <v>0</v>
      </c>
    </row>
    <row r="1333" spans="2:11" x14ac:dyDescent="0.25">
      <c r="B1333" t="s">
        <v>6</v>
      </c>
      <c r="C1333" t="s">
        <v>305</v>
      </c>
      <c r="D1333">
        <v>703410</v>
      </c>
      <c r="E1333" t="s">
        <v>228</v>
      </c>
      <c r="F1333" t="s">
        <v>21</v>
      </c>
      <c r="G1333" t="s">
        <v>22</v>
      </c>
      <c r="H1333" t="s">
        <v>23</v>
      </c>
      <c r="J1333">
        <v>0</v>
      </c>
      <c r="K1333">
        <v>0</v>
      </c>
    </row>
    <row r="1334" spans="2:11" x14ac:dyDescent="0.25">
      <c r="B1334" t="s">
        <v>6</v>
      </c>
      <c r="C1334" t="s">
        <v>305</v>
      </c>
      <c r="D1334">
        <v>703411</v>
      </c>
      <c r="E1334" t="s">
        <v>229</v>
      </c>
      <c r="F1334" t="s">
        <v>21</v>
      </c>
      <c r="G1334" t="s">
        <v>22</v>
      </c>
      <c r="H1334" t="s">
        <v>23</v>
      </c>
      <c r="J1334">
        <v>0</v>
      </c>
      <c r="K1334">
        <v>0</v>
      </c>
    </row>
    <row r="1335" spans="2:11" x14ac:dyDescent="0.25">
      <c r="B1335" t="s">
        <v>6</v>
      </c>
      <c r="C1335" t="s">
        <v>305</v>
      </c>
      <c r="D1335">
        <v>703412</v>
      </c>
      <c r="E1335" t="s">
        <v>230</v>
      </c>
      <c r="F1335" t="s">
        <v>21</v>
      </c>
      <c r="G1335" t="s">
        <v>22</v>
      </c>
      <c r="H1335" t="s">
        <v>23</v>
      </c>
      <c r="J1335">
        <v>0</v>
      </c>
      <c r="K1335">
        <v>0</v>
      </c>
    </row>
    <row r="1336" spans="2:11" x14ac:dyDescent="0.25">
      <c r="B1336" t="s">
        <v>6</v>
      </c>
      <c r="C1336" t="s">
        <v>305</v>
      </c>
      <c r="D1336">
        <v>703420</v>
      </c>
      <c r="E1336" t="s">
        <v>231</v>
      </c>
      <c r="F1336" t="s">
        <v>21</v>
      </c>
      <c r="G1336" t="s">
        <v>71</v>
      </c>
      <c r="H1336" t="s">
        <v>171</v>
      </c>
      <c r="J1336">
        <v>0</v>
      </c>
      <c r="K1336">
        <v>0</v>
      </c>
    </row>
    <row r="1337" spans="2:11" x14ac:dyDescent="0.25">
      <c r="B1337" t="s">
        <v>6</v>
      </c>
      <c r="C1337" t="s">
        <v>305</v>
      </c>
      <c r="D1337">
        <v>703421</v>
      </c>
      <c r="E1337" t="s">
        <v>232</v>
      </c>
      <c r="F1337" t="s">
        <v>21</v>
      </c>
      <c r="G1337" t="s">
        <v>22</v>
      </c>
      <c r="H1337" t="s">
        <v>23</v>
      </c>
      <c r="J1337">
        <v>0</v>
      </c>
      <c r="K1337">
        <v>0</v>
      </c>
    </row>
    <row r="1338" spans="2:11" x14ac:dyDescent="0.25">
      <c r="B1338" t="s">
        <v>6</v>
      </c>
      <c r="C1338" t="s">
        <v>305</v>
      </c>
      <c r="D1338">
        <v>703422</v>
      </c>
      <c r="E1338" t="s">
        <v>233</v>
      </c>
      <c r="F1338" t="s">
        <v>21</v>
      </c>
      <c r="G1338" t="s">
        <v>76</v>
      </c>
      <c r="H1338" t="s">
        <v>77</v>
      </c>
      <c r="J1338">
        <v>0</v>
      </c>
      <c r="K1338">
        <v>0</v>
      </c>
    </row>
    <row r="1339" spans="2:11" x14ac:dyDescent="0.25">
      <c r="B1339" t="s">
        <v>6</v>
      </c>
      <c r="C1339" t="s">
        <v>305</v>
      </c>
      <c r="D1339">
        <v>703423</v>
      </c>
      <c r="E1339" t="s">
        <v>234</v>
      </c>
      <c r="F1339" t="s">
        <v>21</v>
      </c>
      <c r="G1339" t="s">
        <v>71</v>
      </c>
      <c r="H1339" t="s">
        <v>88</v>
      </c>
      <c r="J1339">
        <v>0</v>
      </c>
      <c r="K1339">
        <v>0</v>
      </c>
    </row>
    <row r="1340" spans="2:11" x14ac:dyDescent="0.25">
      <c r="B1340" t="s">
        <v>6</v>
      </c>
      <c r="C1340" t="s">
        <v>305</v>
      </c>
      <c r="D1340">
        <v>703424</v>
      </c>
      <c r="E1340" t="s">
        <v>235</v>
      </c>
      <c r="F1340" t="s">
        <v>21</v>
      </c>
      <c r="G1340" t="s">
        <v>71</v>
      </c>
      <c r="H1340" t="s">
        <v>88</v>
      </c>
      <c r="J1340">
        <v>0</v>
      </c>
      <c r="K1340">
        <v>0</v>
      </c>
    </row>
    <row r="1341" spans="2:11" x14ac:dyDescent="0.25">
      <c r="B1341" t="s">
        <v>6</v>
      </c>
      <c r="C1341" t="s">
        <v>305</v>
      </c>
      <c r="D1341">
        <v>703425</v>
      </c>
      <c r="E1341" t="s">
        <v>236</v>
      </c>
      <c r="F1341" t="s">
        <v>21</v>
      </c>
      <c r="G1341" t="s">
        <v>76</v>
      </c>
      <c r="H1341" t="s">
        <v>77</v>
      </c>
      <c r="J1341">
        <v>0</v>
      </c>
      <c r="K1341">
        <v>0</v>
      </c>
    </row>
    <row r="1342" spans="2:11" x14ac:dyDescent="0.25">
      <c r="B1342" t="s">
        <v>6</v>
      </c>
      <c r="C1342" t="s">
        <v>305</v>
      </c>
      <c r="D1342">
        <v>703426</v>
      </c>
      <c r="E1342" t="s">
        <v>237</v>
      </c>
      <c r="F1342" t="s">
        <v>21</v>
      </c>
      <c r="G1342" t="s">
        <v>22</v>
      </c>
      <c r="H1342" t="s">
        <v>23</v>
      </c>
      <c r="J1342">
        <v>0</v>
      </c>
      <c r="K1342">
        <v>0</v>
      </c>
    </row>
    <row r="1343" spans="2:11" x14ac:dyDescent="0.25">
      <c r="B1343" t="s">
        <v>6</v>
      </c>
      <c r="C1343" t="s">
        <v>305</v>
      </c>
      <c r="D1343">
        <v>703427</v>
      </c>
      <c r="E1343" t="s">
        <v>238</v>
      </c>
      <c r="F1343" t="s">
        <v>21</v>
      </c>
      <c r="G1343" t="s">
        <v>76</v>
      </c>
      <c r="H1343" t="s">
        <v>77</v>
      </c>
      <c r="J1343">
        <v>0</v>
      </c>
      <c r="K1343">
        <v>0</v>
      </c>
    </row>
    <row r="1344" spans="2:11" x14ac:dyDescent="0.25">
      <c r="B1344" t="s">
        <v>6</v>
      </c>
      <c r="C1344" t="s">
        <v>305</v>
      </c>
      <c r="D1344">
        <v>703428</v>
      </c>
      <c r="E1344" t="s">
        <v>239</v>
      </c>
      <c r="F1344" t="s">
        <v>21</v>
      </c>
      <c r="G1344" t="s">
        <v>76</v>
      </c>
      <c r="H1344" t="s">
        <v>77</v>
      </c>
      <c r="J1344">
        <v>0</v>
      </c>
      <c r="K1344">
        <v>0</v>
      </c>
    </row>
    <row r="1345" spans="2:11" x14ac:dyDescent="0.25">
      <c r="B1345" t="s">
        <v>6</v>
      </c>
      <c r="C1345" t="s">
        <v>305</v>
      </c>
      <c r="D1345">
        <v>703429</v>
      </c>
      <c r="E1345" t="s">
        <v>240</v>
      </c>
      <c r="F1345" t="s">
        <v>21</v>
      </c>
      <c r="G1345" t="s">
        <v>76</v>
      </c>
      <c r="H1345" t="s">
        <v>77</v>
      </c>
      <c r="J1345">
        <v>0</v>
      </c>
      <c r="K1345">
        <v>0</v>
      </c>
    </row>
    <row r="1346" spans="2:11" x14ac:dyDescent="0.25">
      <c r="B1346" t="s">
        <v>6</v>
      </c>
      <c r="C1346" t="s">
        <v>305</v>
      </c>
      <c r="D1346">
        <v>703430</v>
      </c>
      <c r="E1346" t="s">
        <v>20</v>
      </c>
      <c r="F1346" t="s">
        <v>21</v>
      </c>
      <c r="G1346" t="s">
        <v>22</v>
      </c>
      <c r="H1346" t="s">
        <v>23</v>
      </c>
      <c r="J1346">
        <v>0</v>
      </c>
      <c r="K1346">
        <v>0</v>
      </c>
    </row>
    <row r="1347" spans="2:11" x14ac:dyDescent="0.25">
      <c r="B1347" t="s">
        <v>6</v>
      </c>
      <c r="C1347" t="s">
        <v>305</v>
      </c>
      <c r="D1347">
        <v>703431</v>
      </c>
      <c r="E1347" t="s">
        <v>241</v>
      </c>
      <c r="F1347" t="s">
        <v>21</v>
      </c>
      <c r="G1347" t="s">
        <v>22</v>
      </c>
      <c r="H1347" t="s">
        <v>23</v>
      </c>
      <c r="J1347">
        <v>0</v>
      </c>
      <c r="K1347">
        <v>0</v>
      </c>
    </row>
    <row r="1348" spans="2:11" x14ac:dyDescent="0.25">
      <c r="B1348" t="s">
        <v>6</v>
      </c>
      <c r="C1348" t="s">
        <v>305</v>
      </c>
      <c r="D1348">
        <v>703432</v>
      </c>
      <c r="E1348" t="s">
        <v>242</v>
      </c>
      <c r="F1348" t="s">
        <v>21</v>
      </c>
      <c r="G1348" t="s">
        <v>22</v>
      </c>
      <c r="H1348" t="s">
        <v>23</v>
      </c>
      <c r="J1348">
        <v>0</v>
      </c>
      <c r="K1348">
        <v>0</v>
      </c>
    </row>
    <row r="1349" spans="2:11" x14ac:dyDescent="0.25">
      <c r="B1349" t="s">
        <v>6</v>
      </c>
      <c r="C1349" t="s">
        <v>305</v>
      </c>
      <c r="D1349">
        <v>703433</v>
      </c>
      <c r="E1349" t="s">
        <v>243</v>
      </c>
      <c r="F1349" t="s">
        <v>21</v>
      </c>
      <c r="G1349" t="s">
        <v>71</v>
      </c>
      <c r="H1349" t="s">
        <v>88</v>
      </c>
      <c r="J1349">
        <v>0</v>
      </c>
      <c r="K1349">
        <v>0</v>
      </c>
    </row>
    <row r="1350" spans="2:11" x14ac:dyDescent="0.25">
      <c r="B1350" t="s">
        <v>6</v>
      </c>
      <c r="C1350" t="s">
        <v>305</v>
      </c>
      <c r="D1350">
        <v>703434</v>
      </c>
      <c r="E1350" t="s">
        <v>244</v>
      </c>
      <c r="F1350" t="s">
        <v>21</v>
      </c>
      <c r="G1350" t="s">
        <v>22</v>
      </c>
      <c r="H1350" t="s">
        <v>23</v>
      </c>
      <c r="J1350">
        <v>0</v>
      </c>
      <c r="K1350">
        <v>0</v>
      </c>
    </row>
    <row r="1351" spans="2:11" x14ac:dyDescent="0.25">
      <c r="B1351" t="s">
        <v>6</v>
      </c>
      <c r="C1351" t="s">
        <v>305</v>
      </c>
      <c r="D1351">
        <v>703435</v>
      </c>
      <c r="E1351" t="s">
        <v>245</v>
      </c>
      <c r="F1351" t="s">
        <v>21</v>
      </c>
      <c r="G1351" t="s">
        <v>71</v>
      </c>
      <c r="H1351" t="s">
        <v>88</v>
      </c>
      <c r="J1351">
        <v>0</v>
      </c>
      <c r="K1351">
        <v>0</v>
      </c>
    </row>
    <row r="1352" spans="2:11" x14ac:dyDescent="0.25">
      <c r="B1352" t="s">
        <v>6</v>
      </c>
      <c r="C1352" t="s">
        <v>305</v>
      </c>
      <c r="D1352">
        <v>703436</v>
      </c>
      <c r="E1352" t="s">
        <v>246</v>
      </c>
      <c r="F1352" t="s">
        <v>21</v>
      </c>
      <c r="G1352" t="s">
        <v>71</v>
      </c>
      <c r="H1352" t="s">
        <v>88</v>
      </c>
      <c r="J1352">
        <v>0</v>
      </c>
      <c r="K1352">
        <v>0</v>
      </c>
    </row>
    <row r="1353" spans="2:11" x14ac:dyDescent="0.25">
      <c r="B1353" t="s">
        <v>6</v>
      </c>
      <c r="C1353" t="s">
        <v>305</v>
      </c>
      <c r="D1353">
        <v>703437</v>
      </c>
      <c r="E1353" t="s">
        <v>247</v>
      </c>
      <c r="F1353" t="s">
        <v>21</v>
      </c>
      <c r="G1353" t="s">
        <v>71</v>
      </c>
      <c r="H1353" t="s">
        <v>88</v>
      </c>
      <c r="J1353">
        <v>0</v>
      </c>
      <c r="K1353">
        <v>0</v>
      </c>
    </row>
    <row r="1354" spans="2:11" x14ac:dyDescent="0.25">
      <c r="B1354" t="s">
        <v>6</v>
      </c>
      <c r="C1354" t="s">
        <v>305</v>
      </c>
      <c r="D1354">
        <v>703438</v>
      </c>
      <c r="E1354" t="s">
        <v>248</v>
      </c>
      <c r="F1354" t="s">
        <v>21</v>
      </c>
      <c r="G1354" t="s">
        <v>71</v>
      </c>
      <c r="H1354" t="s">
        <v>88</v>
      </c>
      <c r="J1354">
        <v>0</v>
      </c>
      <c r="K1354">
        <v>0</v>
      </c>
    </row>
    <row r="1355" spans="2:11" x14ac:dyDescent="0.25">
      <c r="B1355" t="s">
        <v>6</v>
      </c>
      <c r="C1355" t="s">
        <v>305</v>
      </c>
      <c r="D1355">
        <v>703439</v>
      </c>
      <c r="E1355" t="s">
        <v>249</v>
      </c>
      <c r="F1355" t="s">
        <v>21</v>
      </c>
      <c r="G1355" t="s">
        <v>22</v>
      </c>
      <c r="H1355" t="s">
        <v>23</v>
      </c>
      <c r="J1355">
        <v>0</v>
      </c>
      <c r="K1355">
        <v>0</v>
      </c>
    </row>
    <row r="1356" spans="2:11" x14ac:dyDescent="0.25">
      <c r="B1356" t="s">
        <v>6</v>
      </c>
      <c r="C1356" t="s">
        <v>305</v>
      </c>
      <c r="D1356">
        <v>703440</v>
      </c>
      <c r="E1356" t="s">
        <v>250</v>
      </c>
      <c r="F1356" t="s">
        <v>21</v>
      </c>
      <c r="G1356" t="s">
        <v>61</v>
      </c>
      <c r="H1356" t="s">
        <v>68</v>
      </c>
      <c r="J1356">
        <v>0</v>
      </c>
      <c r="K1356">
        <v>0</v>
      </c>
    </row>
    <row r="1357" spans="2:11" x14ac:dyDescent="0.25">
      <c r="B1357" t="s">
        <v>6</v>
      </c>
      <c r="C1357" t="s">
        <v>305</v>
      </c>
      <c r="D1357">
        <v>703441</v>
      </c>
      <c r="E1357" t="s">
        <v>251</v>
      </c>
      <c r="F1357" t="s">
        <v>21</v>
      </c>
      <c r="G1357" t="s">
        <v>61</v>
      </c>
      <c r="H1357" t="s">
        <v>79</v>
      </c>
      <c r="J1357">
        <v>0</v>
      </c>
      <c r="K1357">
        <v>0</v>
      </c>
    </row>
    <row r="1358" spans="2:11" x14ac:dyDescent="0.25">
      <c r="B1358" t="s">
        <v>6</v>
      </c>
      <c r="C1358" t="s">
        <v>305</v>
      </c>
      <c r="D1358">
        <v>703442</v>
      </c>
      <c r="E1358" t="s">
        <v>252</v>
      </c>
      <c r="F1358" t="s">
        <v>21</v>
      </c>
      <c r="G1358" t="s">
        <v>76</v>
      </c>
      <c r="H1358" t="s">
        <v>77</v>
      </c>
      <c r="J1358">
        <v>0</v>
      </c>
      <c r="K1358">
        <v>0</v>
      </c>
    </row>
    <row r="1359" spans="2:11" x14ac:dyDescent="0.25">
      <c r="B1359" t="s">
        <v>6</v>
      </c>
      <c r="C1359" t="s">
        <v>305</v>
      </c>
      <c r="D1359">
        <v>703443</v>
      </c>
      <c r="E1359" t="s">
        <v>253</v>
      </c>
      <c r="F1359" t="s">
        <v>21</v>
      </c>
      <c r="G1359" t="s">
        <v>71</v>
      </c>
      <c r="H1359" t="s">
        <v>88</v>
      </c>
      <c r="J1359">
        <v>0</v>
      </c>
      <c r="K1359">
        <v>0</v>
      </c>
    </row>
    <row r="1360" spans="2:11" x14ac:dyDescent="0.25">
      <c r="B1360" t="s">
        <v>6</v>
      </c>
      <c r="C1360" t="s">
        <v>305</v>
      </c>
      <c r="D1360">
        <v>703444</v>
      </c>
      <c r="E1360" t="s">
        <v>254</v>
      </c>
      <c r="F1360" t="s">
        <v>21</v>
      </c>
      <c r="G1360" t="s">
        <v>22</v>
      </c>
      <c r="H1360" t="s">
        <v>23</v>
      </c>
      <c r="J1360">
        <v>0</v>
      </c>
      <c r="K1360">
        <v>0</v>
      </c>
    </row>
    <row r="1361" spans="2:11" x14ac:dyDescent="0.25">
      <c r="B1361" t="s">
        <v>6</v>
      </c>
      <c r="C1361" t="s">
        <v>305</v>
      </c>
      <c r="D1361">
        <v>703445</v>
      </c>
      <c r="E1361" t="s">
        <v>255</v>
      </c>
      <c r="F1361" t="s">
        <v>21</v>
      </c>
      <c r="G1361" t="s">
        <v>22</v>
      </c>
      <c r="H1361" t="s">
        <v>23</v>
      </c>
      <c r="J1361">
        <v>0</v>
      </c>
      <c r="K1361">
        <v>0</v>
      </c>
    </row>
    <row r="1362" spans="2:11" x14ac:dyDescent="0.25">
      <c r="B1362" t="s">
        <v>6</v>
      </c>
      <c r="C1362" t="s">
        <v>305</v>
      </c>
      <c r="D1362">
        <v>703446</v>
      </c>
      <c r="E1362" t="s">
        <v>256</v>
      </c>
      <c r="F1362" t="s">
        <v>21</v>
      </c>
      <c r="G1362" t="s">
        <v>22</v>
      </c>
      <c r="H1362" t="s">
        <v>23</v>
      </c>
      <c r="J1362">
        <v>0</v>
      </c>
      <c r="K1362">
        <v>0</v>
      </c>
    </row>
    <row r="1363" spans="2:11" x14ac:dyDescent="0.25">
      <c r="B1363" t="s">
        <v>6</v>
      </c>
      <c r="C1363" t="s">
        <v>305</v>
      </c>
      <c r="D1363">
        <v>703447</v>
      </c>
      <c r="E1363" t="s">
        <v>257</v>
      </c>
      <c r="F1363" t="s">
        <v>21</v>
      </c>
      <c r="G1363" t="s">
        <v>22</v>
      </c>
      <c r="H1363" t="s">
        <v>23</v>
      </c>
      <c r="J1363">
        <v>0</v>
      </c>
      <c r="K1363">
        <v>0</v>
      </c>
    </row>
    <row r="1364" spans="2:11" x14ac:dyDescent="0.25">
      <c r="B1364" t="s">
        <v>6</v>
      </c>
      <c r="C1364" t="s">
        <v>305</v>
      </c>
      <c r="D1364">
        <v>703448</v>
      </c>
      <c r="E1364" t="s">
        <v>258</v>
      </c>
      <c r="F1364" t="s">
        <v>21</v>
      </c>
      <c r="G1364" t="s">
        <v>22</v>
      </c>
      <c r="H1364" t="s">
        <v>23</v>
      </c>
      <c r="J1364">
        <v>0</v>
      </c>
      <c r="K1364">
        <v>0</v>
      </c>
    </row>
    <row r="1365" spans="2:11" x14ac:dyDescent="0.25">
      <c r="B1365" t="s">
        <v>6</v>
      </c>
      <c r="C1365" t="s">
        <v>305</v>
      </c>
      <c r="D1365">
        <v>703449</v>
      </c>
      <c r="E1365" t="s">
        <v>259</v>
      </c>
      <c r="F1365" t="s">
        <v>21</v>
      </c>
      <c r="G1365" t="s">
        <v>22</v>
      </c>
      <c r="H1365" t="s">
        <v>23</v>
      </c>
      <c r="J1365">
        <v>0</v>
      </c>
      <c r="K1365">
        <v>0</v>
      </c>
    </row>
    <row r="1366" spans="2:11" x14ac:dyDescent="0.25">
      <c r="B1366" t="s">
        <v>6</v>
      </c>
      <c r="C1366" t="s">
        <v>305</v>
      </c>
      <c r="D1366">
        <v>703450</v>
      </c>
      <c r="E1366" t="s">
        <v>260</v>
      </c>
      <c r="F1366" t="s">
        <v>21</v>
      </c>
      <c r="G1366" t="s">
        <v>71</v>
      </c>
      <c r="H1366" t="s">
        <v>88</v>
      </c>
      <c r="J1366">
        <v>0</v>
      </c>
      <c r="K1366">
        <v>0</v>
      </c>
    </row>
    <row r="1367" spans="2:11" x14ac:dyDescent="0.25">
      <c r="B1367" t="s">
        <v>6</v>
      </c>
      <c r="C1367" t="s">
        <v>305</v>
      </c>
      <c r="D1367">
        <v>703510</v>
      </c>
      <c r="E1367" t="s">
        <v>261</v>
      </c>
      <c r="F1367" t="s">
        <v>21</v>
      </c>
      <c r="G1367" t="s">
        <v>22</v>
      </c>
      <c r="H1367" t="s">
        <v>23</v>
      </c>
      <c r="J1367">
        <v>0</v>
      </c>
      <c r="K1367">
        <v>0</v>
      </c>
    </row>
    <row r="1368" spans="2:11" x14ac:dyDescent="0.25">
      <c r="B1368" t="s">
        <v>6</v>
      </c>
      <c r="C1368" t="s">
        <v>305</v>
      </c>
      <c r="D1368">
        <v>703511</v>
      </c>
      <c r="E1368" t="s">
        <v>262</v>
      </c>
      <c r="F1368" t="s">
        <v>21</v>
      </c>
      <c r="G1368" t="s">
        <v>22</v>
      </c>
      <c r="H1368" t="s">
        <v>23</v>
      </c>
      <c r="J1368">
        <v>0</v>
      </c>
      <c r="K1368">
        <v>0</v>
      </c>
    </row>
    <row r="1369" spans="2:11" x14ac:dyDescent="0.25">
      <c r="B1369" t="s">
        <v>6</v>
      </c>
      <c r="C1369" t="s">
        <v>305</v>
      </c>
      <c r="D1369">
        <v>703512</v>
      </c>
      <c r="E1369" t="s">
        <v>263</v>
      </c>
      <c r="F1369" t="s">
        <v>21</v>
      </c>
      <c r="G1369" t="s">
        <v>22</v>
      </c>
      <c r="H1369" t="s">
        <v>23</v>
      </c>
      <c r="J1369">
        <v>0</v>
      </c>
      <c r="K1369">
        <v>0</v>
      </c>
    </row>
    <row r="1370" spans="2:11" x14ac:dyDescent="0.25">
      <c r="B1370" t="s">
        <v>6</v>
      </c>
      <c r="C1370" t="s">
        <v>305</v>
      </c>
      <c r="D1370">
        <v>703513</v>
      </c>
      <c r="E1370" t="s">
        <v>264</v>
      </c>
      <c r="F1370" t="s">
        <v>21</v>
      </c>
      <c r="G1370" t="s">
        <v>22</v>
      </c>
      <c r="H1370" t="s">
        <v>23</v>
      </c>
      <c r="J1370">
        <v>0</v>
      </c>
      <c r="K1370">
        <v>0</v>
      </c>
    </row>
    <row r="1371" spans="2:11" x14ac:dyDescent="0.25">
      <c r="B1371" t="s">
        <v>6</v>
      </c>
      <c r="C1371" t="s">
        <v>305</v>
      </c>
      <c r="D1371">
        <v>703514</v>
      </c>
      <c r="E1371" t="s">
        <v>265</v>
      </c>
      <c r="F1371" t="s">
        <v>21</v>
      </c>
      <c r="G1371" t="s">
        <v>22</v>
      </c>
      <c r="H1371" t="s">
        <v>23</v>
      </c>
      <c r="J1371">
        <v>0</v>
      </c>
      <c r="K1371">
        <v>0</v>
      </c>
    </row>
    <row r="1372" spans="2:11" x14ac:dyDescent="0.25">
      <c r="B1372" t="s">
        <v>6</v>
      </c>
      <c r="C1372" t="s">
        <v>305</v>
      </c>
      <c r="D1372">
        <v>703515</v>
      </c>
      <c r="E1372" t="s">
        <v>266</v>
      </c>
      <c r="F1372" t="s">
        <v>21</v>
      </c>
      <c r="G1372" t="s">
        <v>22</v>
      </c>
      <c r="H1372" t="s">
        <v>23</v>
      </c>
      <c r="J1372">
        <v>0</v>
      </c>
      <c r="K1372">
        <v>0</v>
      </c>
    </row>
    <row r="1373" spans="2:11" x14ac:dyDescent="0.25">
      <c r="B1373" t="s">
        <v>6</v>
      </c>
      <c r="C1373" t="s">
        <v>305</v>
      </c>
      <c r="D1373">
        <v>703520</v>
      </c>
      <c r="E1373" t="s">
        <v>267</v>
      </c>
      <c r="F1373" t="s">
        <v>21</v>
      </c>
      <c r="G1373" t="s">
        <v>22</v>
      </c>
      <c r="H1373" t="s">
        <v>23</v>
      </c>
      <c r="J1373">
        <v>0</v>
      </c>
      <c r="K1373">
        <v>0</v>
      </c>
    </row>
    <row r="1374" spans="2:11" x14ac:dyDescent="0.25">
      <c r="B1374" t="s">
        <v>6</v>
      </c>
      <c r="C1374" t="s">
        <v>305</v>
      </c>
      <c r="D1374">
        <v>703530</v>
      </c>
      <c r="E1374" t="s">
        <v>268</v>
      </c>
      <c r="F1374" t="s">
        <v>21</v>
      </c>
      <c r="G1374" t="s">
        <v>22</v>
      </c>
      <c r="H1374" t="s">
        <v>23</v>
      </c>
      <c r="J1374">
        <v>0</v>
      </c>
      <c r="K1374">
        <v>0</v>
      </c>
    </row>
    <row r="1375" spans="2:11" x14ac:dyDescent="0.25">
      <c r="B1375" t="s">
        <v>6</v>
      </c>
      <c r="C1375" t="s">
        <v>305</v>
      </c>
      <c r="D1375">
        <v>703540</v>
      </c>
      <c r="E1375" t="s">
        <v>269</v>
      </c>
      <c r="F1375" t="s">
        <v>21</v>
      </c>
      <c r="G1375" t="s">
        <v>22</v>
      </c>
      <c r="H1375" t="s">
        <v>23</v>
      </c>
      <c r="J1375">
        <v>0</v>
      </c>
      <c r="K1375">
        <v>0</v>
      </c>
    </row>
    <row r="1376" spans="2:11" x14ac:dyDescent="0.25">
      <c r="B1376" t="s">
        <v>6</v>
      </c>
      <c r="C1376" t="s">
        <v>305</v>
      </c>
      <c r="D1376">
        <v>703550</v>
      </c>
      <c r="E1376" t="s">
        <v>270</v>
      </c>
      <c r="F1376" t="s">
        <v>21</v>
      </c>
      <c r="G1376" t="s">
        <v>22</v>
      </c>
      <c r="H1376" t="s">
        <v>23</v>
      </c>
      <c r="J1376">
        <v>0</v>
      </c>
      <c r="K1376">
        <v>0</v>
      </c>
    </row>
    <row r="1377" spans="2:11" x14ac:dyDescent="0.25">
      <c r="B1377" t="s">
        <v>6</v>
      </c>
      <c r="C1377" t="s">
        <v>305</v>
      </c>
      <c r="D1377">
        <v>703560</v>
      </c>
      <c r="E1377" t="s">
        <v>271</v>
      </c>
      <c r="F1377" t="s">
        <v>21</v>
      </c>
      <c r="G1377" t="s">
        <v>22</v>
      </c>
      <c r="H1377" t="s">
        <v>23</v>
      </c>
      <c r="J1377">
        <v>0</v>
      </c>
      <c r="K1377">
        <v>0</v>
      </c>
    </row>
    <row r="1378" spans="2:11" x14ac:dyDescent="0.25">
      <c r="B1378" t="s">
        <v>6</v>
      </c>
      <c r="C1378" t="s">
        <v>305</v>
      </c>
      <c r="D1378">
        <v>703570</v>
      </c>
      <c r="E1378" t="s">
        <v>272</v>
      </c>
      <c r="F1378" t="s">
        <v>21</v>
      </c>
      <c r="G1378" t="s">
        <v>22</v>
      </c>
      <c r="H1378" t="s">
        <v>23</v>
      </c>
      <c r="J1378">
        <v>0</v>
      </c>
      <c r="K1378">
        <v>0</v>
      </c>
    </row>
    <row r="1379" spans="2:11" x14ac:dyDescent="0.25">
      <c r="B1379" t="s">
        <v>6</v>
      </c>
      <c r="C1379" t="s">
        <v>305</v>
      </c>
      <c r="D1379">
        <v>703571</v>
      </c>
      <c r="E1379" t="s">
        <v>273</v>
      </c>
      <c r="F1379" t="s">
        <v>21</v>
      </c>
      <c r="G1379" t="s">
        <v>22</v>
      </c>
      <c r="H1379" t="s">
        <v>23</v>
      </c>
      <c r="J1379">
        <v>0</v>
      </c>
    </row>
    <row r="1380" spans="2:11" x14ac:dyDescent="0.25">
      <c r="B1380" t="s">
        <v>6</v>
      </c>
      <c r="C1380" t="s">
        <v>305</v>
      </c>
      <c r="D1380">
        <v>703572</v>
      </c>
      <c r="E1380" t="s">
        <v>274</v>
      </c>
      <c r="F1380" t="s">
        <v>21</v>
      </c>
      <c r="G1380" t="s">
        <v>22</v>
      </c>
      <c r="H1380" t="s">
        <v>23</v>
      </c>
      <c r="J1380">
        <v>0</v>
      </c>
    </row>
    <row r="1381" spans="2:11" x14ac:dyDescent="0.25">
      <c r="B1381" t="s">
        <v>6</v>
      </c>
      <c r="C1381" t="s">
        <v>305</v>
      </c>
      <c r="D1381">
        <v>703573</v>
      </c>
      <c r="E1381" t="s">
        <v>275</v>
      </c>
      <c r="F1381" t="s">
        <v>21</v>
      </c>
      <c r="G1381" t="s">
        <v>22</v>
      </c>
      <c r="H1381" t="s">
        <v>23</v>
      </c>
      <c r="J1381">
        <v>0</v>
      </c>
    </row>
    <row r="1382" spans="2:11" x14ac:dyDescent="0.25">
      <c r="B1382" t="s">
        <v>6</v>
      </c>
      <c r="C1382" t="s">
        <v>305</v>
      </c>
      <c r="D1382">
        <v>703574</v>
      </c>
      <c r="E1382" t="s">
        <v>276</v>
      </c>
      <c r="F1382" t="s">
        <v>21</v>
      </c>
      <c r="G1382" t="s">
        <v>22</v>
      </c>
      <c r="H1382" t="s">
        <v>23</v>
      </c>
      <c r="J1382">
        <v>0</v>
      </c>
    </row>
    <row r="1383" spans="2:11" x14ac:dyDescent="0.25">
      <c r="B1383" t="s">
        <v>6</v>
      </c>
      <c r="C1383" t="s">
        <v>305</v>
      </c>
      <c r="D1383">
        <v>703580</v>
      </c>
      <c r="E1383" t="s">
        <v>277</v>
      </c>
      <c r="F1383" t="s">
        <v>21</v>
      </c>
      <c r="G1383" t="s">
        <v>22</v>
      </c>
      <c r="H1383" t="s">
        <v>23</v>
      </c>
      <c r="J1383">
        <v>0</v>
      </c>
      <c r="K1383">
        <v>0</v>
      </c>
    </row>
    <row r="1384" spans="2:11" x14ac:dyDescent="0.25">
      <c r="B1384" t="s">
        <v>6</v>
      </c>
      <c r="C1384" t="s">
        <v>305</v>
      </c>
      <c r="D1384">
        <v>703590</v>
      </c>
      <c r="E1384" t="s">
        <v>278</v>
      </c>
      <c r="F1384" t="s">
        <v>21</v>
      </c>
      <c r="G1384" t="s">
        <v>22</v>
      </c>
      <c r="H1384" t="s">
        <v>23</v>
      </c>
      <c r="J1384">
        <v>0</v>
      </c>
      <c r="K1384">
        <v>0</v>
      </c>
    </row>
    <row r="1385" spans="2:11" x14ac:dyDescent="0.25">
      <c r="B1385" t="s">
        <v>6</v>
      </c>
      <c r="C1385" t="s">
        <v>305</v>
      </c>
      <c r="D1385">
        <v>703650</v>
      </c>
      <c r="E1385" t="s">
        <v>279</v>
      </c>
      <c r="F1385" t="s">
        <v>21</v>
      </c>
      <c r="G1385" t="s">
        <v>22</v>
      </c>
      <c r="H1385" t="s">
        <v>23</v>
      </c>
      <c r="J1385">
        <v>0</v>
      </c>
      <c r="K1385">
        <v>0</v>
      </c>
    </row>
    <row r="1386" spans="2:11" x14ac:dyDescent="0.25">
      <c r="B1386" t="s">
        <v>6</v>
      </c>
      <c r="C1386" t="s">
        <v>305</v>
      </c>
      <c r="D1386">
        <v>703651</v>
      </c>
      <c r="E1386" t="s">
        <v>280</v>
      </c>
      <c r="F1386" t="s">
        <v>21</v>
      </c>
      <c r="G1386" t="s">
        <v>22</v>
      </c>
      <c r="H1386" t="s">
        <v>23</v>
      </c>
      <c r="J1386">
        <v>0</v>
      </c>
      <c r="K1386">
        <v>0</v>
      </c>
    </row>
    <row r="1387" spans="2:11" x14ac:dyDescent="0.25">
      <c r="B1387" t="s">
        <v>6</v>
      </c>
      <c r="C1387" t="s">
        <v>305</v>
      </c>
      <c r="D1387">
        <v>703850</v>
      </c>
      <c r="E1387" t="s">
        <v>281</v>
      </c>
      <c r="F1387" t="s">
        <v>21</v>
      </c>
      <c r="G1387" t="s">
        <v>22</v>
      </c>
      <c r="H1387" t="s">
        <v>23</v>
      </c>
      <c r="J1387">
        <v>0</v>
      </c>
      <c r="K1387">
        <v>0</v>
      </c>
    </row>
    <row r="1388" spans="2:11" x14ac:dyDescent="0.25">
      <c r="B1388" t="s">
        <v>6</v>
      </c>
      <c r="C1388" t="s">
        <v>305</v>
      </c>
      <c r="D1388">
        <v>703851</v>
      </c>
      <c r="E1388" t="s">
        <v>282</v>
      </c>
      <c r="F1388" t="s">
        <v>21</v>
      </c>
      <c r="G1388" t="s">
        <v>22</v>
      </c>
      <c r="H1388" t="s">
        <v>23</v>
      </c>
      <c r="J1388">
        <v>0</v>
      </c>
      <c r="K1388">
        <v>0</v>
      </c>
    </row>
    <row r="1389" spans="2:11" x14ac:dyDescent="0.25">
      <c r="B1389" t="s">
        <v>6</v>
      </c>
      <c r="C1389" t="s">
        <v>305</v>
      </c>
      <c r="D1389">
        <v>703852</v>
      </c>
      <c r="E1389" t="s">
        <v>283</v>
      </c>
      <c r="F1389" t="s">
        <v>21</v>
      </c>
      <c r="G1389" t="s">
        <v>22</v>
      </c>
      <c r="H1389" t="s">
        <v>23</v>
      </c>
      <c r="J1389">
        <v>0</v>
      </c>
      <c r="K1389">
        <v>0</v>
      </c>
    </row>
    <row r="1390" spans="2:11" x14ac:dyDescent="0.25">
      <c r="B1390" t="s">
        <v>6</v>
      </c>
      <c r="C1390" t="s">
        <v>305</v>
      </c>
      <c r="D1390">
        <v>703853</v>
      </c>
      <c r="E1390" t="s">
        <v>284</v>
      </c>
      <c r="F1390" t="s">
        <v>21</v>
      </c>
      <c r="G1390" t="s">
        <v>22</v>
      </c>
      <c r="H1390" t="s">
        <v>23</v>
      </c>
      <c r="J1390">
        <v>0</v>
      </c>
      <c r="K1390">
        <v>0</v>
      </c>
    </row>
    <row r="1391" spans="2:11" x14ac:dyDescent="0.25">
      <c r="B1391" t="s">
        <v>6</v>
      </c>
      <c r="C1391" t="s">
        <v>305</v>
      </c>
      <c r="D1391">
        <v>703854</v>
      </c>
      <c r="E1391" t="s">
        <v>285</v>
      </c>
      <c r="F1391" t="s">
        <v>21</v>
      </c>
      <c r="G1391" t="s">
        <v>22</v>
      </c>
      <c r="H1391" t="s">
        <v>115</v>
      </c>
      <c r="J1391">
        <v>0</v>
      </c>
      <c r="K1391">
        <v>0</v>
      </c>
    </row>
    <row r="1392" spans="2:11" x14ac:dyDescent="0.25">
      <c r="B1392" t="s">
        <v>6</v>
      </c>
      <c r="C1392" t="s">
        <v>305</v>
      </c>
      <c r="D1392">
        <v>703855</v>
      </c>
      <c r="E1392" t="s">
        <v>286</v>
      </c>
      <c r="F1392" t="s">
        <v>21</v>
      </c>
      <c r="G1392" t="s">
        <v>22</v>
      </c>
      <c r="H1392" t="s">
        <v>23</v>
      </c>
      <c r="J1392">
        <v>0</v>
      </c>
      <c r="K1392">
        <v>0</v>
      </c>
    </row>
    <row r="1393" spans="2:11" x14ac:dyDescent="0.25">
      <c r="B1393" t="s">
        <v>6</v>
      </c>
      <c r="C1393" t="s">
        <v>305</v>
      </c>
      <c r="D1393">
        <v>703856</v>
      </c>
      <c r="E1393" t="s">
        <v>287</v>
      </c>
      <c r="F1393" t="s">
        <v>21</v>
      </c>
      <c r="G1393" t="s">
        <v>22</v>
      </c>
      <c r="H1393" t="s">
        <v>23</v>
      </c>
      <c r="J1393">
        <v>0</v>
      </c>
      <c r="K1393">
        <v>0</v>
      </c>
    </row>
    <row r="1394" spans="2:11" x14ac:dyDescent="0.25">
      <c r="B1394" t="s">
        <v>6</v>
      </c>
      <c r="C1394" t="s">
        <v>305</v>
      </c>
      <c r="D1394">
        <v>703857</v>
      </c>
      <c r="E1394" t="s">
        <v>288</v>
      </c>
      <c r="F1394" t="s">
        <v>21</v>
      </c>
      <c r="G1394" t="s">
        <v>71</v>
      </c>
      <c r="H1394" t="s">
        <v>88</v>
      </c>
      <c r="J1394">
        <v>0</v>
      </c>
      <c r="K1394">
        <v>0</v>
      </c>
    </row>
    <row r="1395" spans="2:11" x14ac:dyDescent="0.25">
      <c r="B1395" t="s">
        <v>6</v>
      </c>
      <c r="C1395" t="s">
        <v>305</v>
      </c>
      <c r="D1395">
        <v>703858</v>
      </c>
      <c r="E1395" t="s">
        <v>289</v>
      </c>
      <c r="F1395" t="s">
        <v>21</v>
      </c>
      <c r="G1395" t="s">
        <v>22</v>
      </c>
      <c r="H1395" t="s">
        <v>23</v>
      </c>
      <c r="J1395">
        <v>0</v>
      </c>
      <c r="K1395">
        <v>0</v>
      </c>
    </row>
    <row r="1396" spans="2:11" x14ac:dyDescent="0.25">
      <c r="B1396" t="s">
        <v>6</v>
      </c>
      <c r="C1396" t="s">
        <v>305</v>
      </c>
      <c r="D1396">
        <v>703859</v>
      </c>
      <c r="E1396" t="s">
        <v>290</v>
      </c>
      <c r="F1396" t="s">
        <v>21</v>
      </c>
      <c r="G1396" t="s">
        <v>22</v>
      </c>
      <c r="H1396" t="s">
        <v>23</v>
      </c>
      <c r="J1396">
        <v>0</v>
      </c>
      <c r="K1396">
        <v>0</v>
      </c>
    </row>
    <row r="1397" spans="2:11" x14ac:dyDescent="0.25">
      <c r="B1397" t="s">
        <v>6</v>
      </c>
      <c r="C1397" t="s">
        <v>305</v>
      </c>
      <c r="D1397">
        <v>703860</v>
      </c>
      <c r="E1397" t="s">
        <v>291</v>
      </c>
      <c r="F1397" t="s">
        <v>21</v>
      </c>
      <c r="G1397" t="s">
        <v>22</v>
      </c>
      <c r="H1397" t="s">
        <v>23</v>
      </c>
      <c r="J1397">
        <v>0</v>
      </c>
      <c r="K1397">
        <v>0</v>
      </c>
    </row>
    <row r="1398" spans="2:11" x14ac:dyDescent="0.25">
      <c r="B1398" t="s">
        <v>6</v>
      </c>
      <c r="C1398" t="s">
        <v>305</v>
      </c>
      <c r="D1398">
        <v>703861</v>
      </c>
      <c r="E1398" t="s">
        <v>292</v>
      </c>
      <c r="F1398" t="s">
        <v>21</v>
      </c>
      <c r="G1398" t="s">
        <v>22</v>
      </c>
      <c r="H1398" t="s">
        <v>23</v>
      </c>
      <c r="J1398">
        <v>0</v>
      </c>
      <c r="K1398">
        <v>0</v>
      </c>
    </row>
    <row r="1399" spans="2:11" x14ac:dyDescent="0.25">
      <c r="B1399" t="s">
        <v>6</v>
      </c>
      <c r="C1399" t="s">
        <v>305</v>
      </c>
      <c r="D1399">
        <v>703862</v>
      </c>
      <c r="E1399" t="s">
        <v>293</v>
      </c>
      <c r="F1399" t="s">
        <v>21</v>
      </c>
      <c r="G1399" t="s">
        <v>22</v>
      </c>
      <c r="H1399" t="s">
        <v>23</v>
      </c>
      <c r="J1399">
        <v>0</v>
      </c>
      <c r="K1399">
        <v>0</v>
      </c>
    </row>
    <row r="1400" spans="2:11" x14ac:dyDescent="0.25">
      <c r="B1400" t="s">
        <v>6</v>
      </c>
      <c r="C1400" t="s">
        <v>305</v>
      </c>
      <c r="D1400">
        <v>703870</v>
      </c>
      <c r="E1400" t="s">
        <v>294</v>
      </c>
      <c r="F1400" t="s">
        <v>21</v>
      </c>
      <c r="G1400" t="s">
        <v>22</v>
      </c>
      <c r="H1400" t="s">
        <v>23</v>
      </c>
      <c r="J1400">
        <v>0</v>
      </c>
      <c r="K1400">
        <v>0</v>
      </c>
    </row>
    <row r="1401" spans="2:11" x14ac:dyDescent="0.25">
      <c r="B1401" t="s">
        <v>6</v>
      </c>
      <c r="C1401" t="s">
        <v>305</v>
      </c>
      <c r="D1401">
        <v>703880</v>
      </c>
      <c r="E1401" t="s">
        <v>295</v>
      </c>
      <c r="F1401" t="s">
        <v>21</v>
      </c>
      <c r="G1401" t="s">
        <v>22</v>
      </c>
      <c r="H1401" t="s">
        <v>23</v>
      </c>
      <c r="J1401">
        <v>0</v>
      </c>
      <c r="K1401">
        <v>0</v>
      </c>
    </row>
    <row r="1402" spans="2:11" x14ac:dyDescent="0.25">
      <c r="B1402" t="s">
        <v>6</v>
      </c>
      <c r="C1402" t="s">
        <v>305</v>
      </c>
      <c r="D1402">
        <v>703899</v>
      </c>
      <c r="E1402" t="s">
        <v>296</v>
      </c>
      <c r="F1402" t="s">
        <v>21</v>
      </c>
      <c r="G1402" t="s">
        <v>22</v>
      </c>
      <c r="H1402" t="s">
        <v>23</v>
      </c>
      <c r="J1402">
        <v>0</v>
      </c>
      <c r="K1402">
        <v>0</v>
      </c>
    </row>
    <row r="1403" spans="2:11" x14ac:dyDescent="0.25">
      <c r="B1403" t="s">
        <v>6</v>
      </c>
      <c r="C1403" t="s">
        <v>305</v>
      </c>
      <c r="D1403">
        <v>706700</v>
      </c>
      <c r="E1403" t="s">
        <v>25</v>
      </c>
      <c r="F1403" t="s">
        <v>26</v>
      </c>
      <c r="G1403" t="s">
        <v>27</v>
      </c>
      <c r="H1403" t="s">
        <v>28</v>
      </c>
      <c r="J1403">
        <v>0</v>
      </c>
      <c r="K1403">
        <v>0</v>
      </c>
    </row>
    <row r="1404" spans="2:11" x14ac:dyDescent="0.25">
      <c r="B1404" t="s">
        <v>6</v>
      </c>
      <c r="C1404" t="s">
        <v>305</v>
      </c>
      <c r="D1404" t="s">
        <v>29</v>
      </c>
      <c r="E1404" t="s">
        <v>30</v>
      </c>
      <c r="F1404" t="s">
        <v>26</v>
      </c>
      <c r="G1404" t="s">
        <v>27</v>
      </c>
      <c r="H1404" t="s">
        <v>31</v>
      </c>
      <c r="J1404">
        <v>0</v>
      </c>
      <c r="K1404">
        <v>0</v>
      </c>
    </row>
    <row r="1405" spans="2:11" x14ac:dyDescent="0.25">
      <c r="B1405" t="s">
        <v>6</v>
      </c>
      <c r="C1405" t="s">
        <v>305</v>
      </c>
      <c r="D1405" t="s">
        <v>32</v>
      </c>
      <c r="E1405" t="s">
        <v>33</v>
      </c>
      <c r="F1405" t="s">
        <v>26</v>
      </c>
      <c r="G1405" t="s">
        <v>27</v>
      </c>
      <c r="H1405" t="s">
        <v>28</v>
      </c>
      <c r="J1405">
        <v>0</v>
      </c>
      <c r="K1405">
        <v>0</v>
      </c>
    </row>
    <row r="1406" spans="2:11" x14ac:dyDescent="0.25">
      <c r="B1406" t="s">
        <v>6</v>
      </c>
      <c r="C1406" t="s">
        <v>305</v>
      </c>
      <c r="D1406" t="s">
        <v>34</v>
      </c>
      <c r="E1406" t="s">
        <v>35</v>
      </c>
      <c r="F1406" t="s">
        <v>26</v>
      </c>
      <c r="G1406" t="s">
        <v>36</v>
      </c>
      <c r="H1406" t="s">
        <v>36</v>
      </c>
      <c r="J1406">
        <v>0</v>
      </c>
      <c r="K1406">
        <v>0</v>
      </c>
    </row>
    <row r="1407" spans="2:11" x14ac:dyDescent="0.25">
      <c r="B1407" t="s">
        <v>6</v>
      </c>
      <c r="C1407" t="s">
        <v>305</v>
      </c>
      <c r="D1407" t="s">
        <v>37</v>
      </c>
      <c r="E1407" t="s">
        <v>38</v>
      </c>
      <c r="F1407" t="s">
        <v>21</v>
      </c>
      <c r="G1407" t="s">
        <v>39</v>
      </c>
      <c r="H1407" t="s">
        <v>39</v>
      </c>
      <c r="J1407">
        <v>0</v>
      </c>
      <c r="K1407">
        <v>0</v>
      </c>
    </row>
    <row r="1408" spans="2:11" x14ac:dyDescent="0.25">
      <c r="B1408" t="s">
        <v>6</v>
      </c>
      <c r="C1408" t="s">
        <v>305</v>
      </c>
      <c r="D1408" t="s">
        <v>40</v>
      </c>
      <c r="E1408" t="s">
        <v>41</v>
      </c>
      <c r="F1408" t="s">
        <v>26</v>
      </c>
      <c r="G1408" t="s">
        <v>39</v>
      </c>
      <c r="H1408" t="s">
        <v>39</v>
      </c>
      <c r="J1408">
        <v>0</v>
      </c>
      <c r="K1408">
        <v>0</v>
      </c>
    </row>
    <row r="1409" spans="2:11" x14ac:dyDescent="0.25">
      <c r="B1409" t="s">
        <v>6</v>
      </c>
      <c r="C1409" t="s">
        <v>305</v>
      </c>
      <c r="D1409" t="s">
        <v>42</v>
      </c>
      <c r="E1409" t="s">
        <v>43</v>
      </c>
      <c r="F1409" t="s">
        <v>21</v>
      </c>
      <c r="G1409" t="s">
        <v>44</v>
      </c>
      <c r="H1409" t="s">
        <v>44</v>
      </c>
      <c r="J1409">
        <v>0</v>
      </c>
      <c r="K1409">
        <v>0</v>
      </c>
    </row>
    <row r="1410" spans="2:11" x14ac:dyDescent="0.25">
      <c r="B1410" t="s">
        <v>6</v>
      </c>
      <c r="C1410" t="s">
        <v>305</v>
      </c>
      <c r="D1410" t="s">
        <v>45</v>
      </c>
      <c r="E1410" t="s">
        <v>46</v>
      </c>
      <c r="F1410" t="s">
        <v>26</v>
      </c>
      <c r="G1410" t="s">
        <v>44</v>
      </c>
      <c r="H1410" t="s">
        <v>44</v>
      </c>
      <c r="J1410">
        <v>0</v>
      </c>
      <c r="K1410">
        <v>0</v>
      </c>
    </row>
    <row r="1411" spans="2:11" x14ac:dyDescent="0.25">
      <c r="B1411" t="s">
        <v>6</v>
      </c>
      <c r="C1411" t="s">
        <v>305</v>
      </c>
      <c r="D1411" t="s">
        <v>297</v>
      </c>
      <c r="E1411" t="s">
        <v>298</v>
      </c>
      <c r="F1411" t="s">
        <v>26</v>
      </c>
      <c r="G1411" t="s">
        <v>299</v>
      </c>
      <c r="H1411" t="s">
        <v>299</v>
      </c>
      <c r="J1411">
        <v>0</v>
      </c>
    </row>
    <row r="1412" spans="2:11" x14ac:dyDescent="0.25">
      <c r="B1412" t="s">
        <v>6</v>
      </c>
      <c r="C1412" t="s">
        <v>305</v>
      </c>
      <c r="D1412" t="s">
        <v>300</v>
      </c>
      <c r="E1412" t="s">
        <v>301</v>
      </c>
      <c r="F1412" t="s">
        <v>21</v>
      </c>
      <c r="G1412" t="s">
        <v>299</v>
      </c>
      <c r="H1412" t="s">
        <v>299</v>
      </c>
      <c r="J1412">
        <v>0</v>
      </c>
    </row>
    <row r="1413" spans="2:11" x14ac:dyDescent="0.25">
      <c r="B1413" t="s">
        <v>6</v>
      </c>
      <c r="C1413" t="s">
        <v>305</v>
      </c>
      <c r="D1413" t="s">
        <v>47</v>
      </c>
      <c r="E1413" t="s">
        <v>48</v>
      </c>
      <c r="F1413" t="s">
        <v>26</v>
      </c>
      <c r="G1413" t="s">
        <v>49</v>
      </c>
      <c r="H1413" t="s">
        <v>49</v>
      </c>
      <c r="J1413">
        <v>0</v>
      </c>
      <c r="K1413">
        <v>0</v>
      </c>
    </row>
    <row r="1414" spans="2:11" x14ac:dyDescent="0.25">
      <c r="B1414" t="s">
        <v>6</v>
      </c>
      <c r="C1414" t="s">
        <v>306</v>
      </c>
      <c r="D1414">
        <v>701000</v>
      </c>
      <c r="E1414" t="s">
        <v>51</v>
      </c>
      <c r="F1414" t="s">
        <v>21</v>
      </c>
      <c r="G1414" t="s">
        <v>52</v>
      </c>
      <c r="H1414" t="s">
        <v>53</v>
      </c>
      <c r="J1414">
        <v>0</v>
      </c>
      <c r="K1414">
        <v>0</v>
      </c>
    </row>
    <row r="1415" spans="2:11" x14ac:dyDescent="0.25">
      <c r="B1415" t="s">
        <v>6</v>
      </c>
      <c r="C1415" t="s">
        <v>306</v>
      </c>
      <c r="D1415">
        <v>701008</v>
      </c>
      <c r="E1415" t="s">
        <v>54</v>
      </c>
      <c r="F1415" t="s">
        <v>21</v>
      </c>
      <c r="G1415" t="s">
        <v>52</v>
      </c>
      <c r="H1415" t="s">
        <v>53</v>
      </c>
      <c r="J1415">
        <v>0</v>
      </c>
      <c r="K1415">
        <v>0</v>
      </c>
    </row>
    <row r="1416" spans="2:11" x14ac:dyDescent="0.25">
      <c r="B1416" t="s">
        <v>6</v>
      </c>
      <c r="C1416" t="s">
        <v>306</v>
      </c>
      <c r="D1416">
        <v>701009</v>
      </c>
      <c r="E1416" t="s">
        <v>55</v>
      </c>
      <c r="F1416" t="s">
        <v>21</v>
      </c>
      <c r="G1416" t="s">
        <v>52</v>
      </c>
      <c r="H1416" t="s">
        <v>53</v>
      </c>
      <c r="J1416">
        <v>0</v>
      </c>
      <c r="K1416">
        <v>0</v>
      </c>
    </row>
    <row r="1417" spans="2:11" x14ac:dyDescent="0.25">
      <c r="B1417" t="s">
        <v>6</v>
      </c>
      <c r="C1417" t="s">
        <v>306</v>
      </c>
      <c r="D1417">
        <v>701010</v>
      </c>
      <c r="E1417" t="s">
        <v>56</v>
      </c>
      <c r="F1417" t="s">
        <v>21</v>
      </c>
      <c r="G1417" t="s">
        <v>52</v>
      </c>
      <c r="H1417" t="s">
        <v>57</v>
      </c>
      <c r="J1417">
        <v>0</v>
      </c>
      <c r="K1417">
        <v>0</v>
      </c>
    </row>
    <row r="1418" spans="2:11" x14ac:dyDescent="0.25">
      <c r="B1418" t="s">
        <v>6</v>
      </c>
      <c r="C1418" t="s">
        <v>306</v>
      </c>
      <c r="D1418">
        <v>701011</v>
      </c>
      <c r="E1418" t="s">
        <v>58</v>
      </c>
      <c r="F1418" t="s">
        <v>21</v>
      </c>
      <c r="G1418" t="s">
        <v>52</v>
      </c>
      <c r="H1418" t="s">
        <v>53</v>
      </c>
      <c r="J1418">
        <v>0</v>
      </c>
      <c r="K1418">
        <v>0</v>
      </c>
    </row>
    <row r="1419" spans="2:11" x14ac:dyDescent="0.25">
      <c r="B1419" t="s">
        <v>6</v>
      </c>
      <c r="C1419" t="s">
        <v>306</v>
      </c>
      <c r="D1419">
        <v>701012</v>
      </c>
      <c r="E1419" t="s">
        <v>59</v>
      </c>
      <c r="F1419" t="s">
        <v>21</v>
      </c>
      <c r="G1419" t="s">
        <v>52</v>
      </c>
      <c r="H1419" t="s">
        <v>53</v>
      </c>
      <c r="J1419">
        <v>0</v>
      </c>
      <c r="K1419">
        <v>0</v>
      </c>
    </row>
    <row r="1420" spans="2:11" x14ac:dyDescent="0.25">
      <c r="B1420" t="s">
        <v>6</v>
      </c>
      <c r="C1420" t="s">
        <v>306</v>
      </c>
      <c r="D1420">
        <v>701013</v>
      </c>
      <c r="E1420" t="s">
        <v>60</v>
      </c>
      <c r="F1420" t="s">
        <v>21</v>
      </c>
      <c r="G1420" t="s">
        <v>61</v>
      </c>
      <c r="H1420" t="s">
        <v>62</v>
      </c>
      <c r="J1420">
        <v>0</v>
      </c>
      <c r="K1420">
        <v>0</v>
      </c>
    </row>
    <row r="1421" spans="2:11" x14ac:dyDescent="0.25">
      <c r="B1421" t="s">
        <v>6</v>
      </c>
      <c r="C1421" t="s">
        <v>306</v>
      </c>
      <c r="D1421">
        <v>701014</v>
      </c>
      <c r="E1421" t="s">
        <v>63</v>
      </c>
      <c r="F1421" t="s">
        <v>21</v>
      </c>
      <c r="G1421" t="s">
        <v>61</v>
      </c>
      <c r="H1421" t="s">
        <v>64</v>
      </c>
      <c r="J1421">
        <v>0</v>
      </c>
      <c r="K1421">
        <v>0</v>
      </c>
    </row>
    <row r="1422" spans="2:11" x14ac:dyDescent="0.25">
      <c r="B1422" t="s">
        <v>6</v>
      </c>
      <c r="C1422" t="s">
        <v>306</v>
      </c>
      <c r="D1422">
        <v>701015</v>
      </c>
      <c r="E1422" t="s">
        <v>65</v>
      </c>
      <c r="F1422" t="s">
        <v>21</v>
      </c>
      <c r="G1422" t="s">
        <v>52</v>
      </c>
      <c r="H1422" t="s">
        <v>53</v>
      </c>
      <c r="J1422">
        <v>0</v>
      </c>
      <c r="K1422">
        <v>0</v>
      </c>
    </row>
    <row r="1423" spans="2:11" x14ac:dyDescent="0.25">
      <c r="B1423" t="s">
        <v>6</v>
      </c>
      <c r="C1423" t="s">
        <v>306</v>
      </c>
      <c r="D1423">
        <v>701016</v>
      </c>
      <c r="E1423" t="s">
        <v>66</v>
      </c>
      <c r="F1423" t="s">
        <v>21</v>
      </c>
      <c r="G1423" t="s">
        <v>52</v>
      </c>
      <c r="H1423" t="s">
        <v>53</v>
      </c>
      <c r="J1423">
        <v>0</v>
      </c>
      <c r="K1423">
        <v>0</v>
      </c>
    </row>
    <row r="1424" spans="2:11" x14ac:dyDescent="0.25">
      <c r="B1424" t="s">
        <v>6</v>
      </c>
      <c r="C1424" t="s">
        <v>306</v>
      </c>
      <c r="D1424">
        <v>701017</v>
      </c>
      <c r="E1424" t="s">
        <v>67</v>
      </c>
      <c r="F1424" t="s">
        <v>21</v>
      </c>
      <c r="G1424" t="s">
        <v>61</v>
      </c>
      <c r="H1424" t="s">
        <v>68</v>
      </c>
      <c r="J1424">
        <v>0</v>
      </c>
      <c r="K1424">
        <v>0</v>
      </c>
    </row>
    <row r="1425" spans="2:11" x14ac:dyDescent="0.25">
      <c r="B1425" t="s">
        <v>6</v>
      </c>
      <c r="C1425" t="s">
        <v>306</v>
      </c>
      <c r="D1425">
        <v>701018</v>
      </c>
      <c r="E1425" t="s">
        <v>69</v>
      </c>
      <c r="F1425" t="s">
        <v>21</v>
      </c>
      <c r="G1425" t="s">
        <v>61</v>
      </c>
      <c r="H1425" t="s">
        <v>68</v>
      </c>
      <c r="J1425">
        <v>0</v>
      </c>
      <c r="K1425">
        <v>0</v>
      </c>
    </row>
    <row r="1426" spans="2:11" x14ac:dyDescent="0.25">
      <c r="B1426" t="s">
        <v>6</v>
      </c>
      <c r="C1426" t="s">
        <v>306</v>
      </c>
      <c r="D1426">
        <v>701019</v>
      </c>
      <c r="E1426" t="s">
        <v>70</v>
      </c>
      <c r="F1426" t="s">
        <v>21</v>
      </c>
      <c r="G1426" t="s">
        <v>71</v>
      </c>
      <c r="H1426" t="s">
        <v>72</v>
      </c>
      <c r="J1426">
        <v>0</v>
      </c>
      <c r="K1426">
        <v>0</v>
      </c>
    </row>
    <row r="1427" spans="2:11" x14ac:dyDescent="0.25">
      <c r="B1427" t="s">
        <v>6</v>
      </c>
      <c r="C1427" t="s">
        <v>306</v>
      </c>
      <c r="D1427">
        <v>701020</v>
      </c>
      <c r="E1427" t="s">
        <v>73</v>
      </c>
      <c r="F1427" t="s">
        <v>21</v>
      </c>
      <c r="G1427" t="s">
        <v>52</v>
      </c>
      <c r="H1427" t="s">
        <v>53</v>
      </c>
      <c r="J1427">
        <v>0</v>
      </c>
      <c r="K1427">
        <v>0</v>
      </c>
    </row>
    <row r="1428" spans="2:11" x14ac:dyDescent="0.25">
      <c r="B1428" t="s">
        <v>6</v>
      </c>
      <c r="C1428" t="s">
        <v>306</v>
      </c>
      <c r="D1428">
        <v>701021</v>
      </c>
      <c r="E1428" t="s">
        <v>74</v>
      </c>
      <c r="F1428" t="s">
        <v>21</v>
      </c>
      <c r="G1428" t="s">
        <v>61</v>
      </c>
      <c r="H1428" t="s">
        <v>74</v>
      </c>
      <c r="J1428">
        <v>0</v>
      </c>
      <c r="K1428">
        <v>0</v>
      </c>
    </row>
    <row r="1429" spans="2:11" x14ac:dyDescent="0.25">
      <c r="B1429" t="s">
        <v>6</v>
      </c>
      <c r="C1429" t="s">
        <v>306</v>
      </c>
      <c r="D1429">
        <v>701022</v>
      </c>
      <c r="E1429" t="s">
        <v>75</v>
      </c>
      <c r="F1429" t="s">
        <v>21</v>
      </c>
      <c r="G1429" t="s">
        <v>76</v>
      </c>
      <c r="H1429" t="s">
        <v>77</v>
      </c>
      <c r="J1429">
        <v>0</v>
      </c>
      <c r="K1429">
        <v>0</v>
      </c>
    </row>
    <row r="1430" spans="2:11" x14ac:dyDescent="0.25">
      <c r="B1430" t="s">
        <v>6</v>
      </c>
      <c r="C1430" t="s">
        <v>306</v>
      </c>
      <c r="D1430">
        <v>701023</v>
      </c>
      <c r="E1430" t="s">
        <v>78</v>
      </c>
      <c r="F1430" t="s">
        <v>21</v>
      </c>
      <c r="G1430" t="s">
        <v>61</v>
      </c>
      <c r="H1430" t="s">
        <v>79</v>
      </c>
      <c r="J1430">
        <v>0</v>
      </c>
      <c r="K1430">
        <v>0</v>
      </c>
    </row>
    <row r="1431" spans="2:11" x14ac:dyDescent="0.25">
      <c r="B1431" t="s">
        <v>6</v>
      </c>
      <c r="C1431" t="s">
        <v>306</v>
      </c>
      <c r="D1431">
        <v>701024</v>
      </c>
      <c r="E1431" t="s">
        <v>80</v>
      </c>
      <c r="F1431" t="s">
        <v>21</v>
      </c>
      <c r="G1431" t="s">
        <v>76</v>
      </c>
      <c r="H1431" t="s">
        <v>77</v>
      </c>
      <c r="J1431">
        <v>0</v>
      </c>
      <c r="K1431">
        <v>0</v>
      </c>
    </row>
    <row r="1432" spans="2:11" x14ac:dyDescent="0.25">
      <c r="B1432" t="s">
        <v>6</v>
      </c>
      <c r="C1432" t="s">
        <v>306</v>
      </c>
      <c r="D1432">
        <v>701025</v>
      </c>
      <c r="E1432" t="s">
        <v>81</v>
      </c>
      <c r="F1432" t="s">
        <v>21</v>
      </c>
      <c r="G1432" t="s">
        <v>71</v>
      </c>
      <c r="H1432" t="s">
        <v>82</v>
      </c>
      <c r="J1432">
        <v>0</v>
      </c>
      <c r="K1432">
        <v>0</v>
      </c>
    </row>
    <row r="1433" spans="2:11" x14ac:dyDescent="0.25">
      <c r="B1433" t="s">
        <v>6</v>
      </c>
      <c r="C1433" t="s">
        <v>306</v>
      </c>
      <c r="D1433">
        <v>701026</v>
      </c>
      <c r="E1433" t="s">
        <v>83</v>
      </c>
      <c r="F1433" t="s">
        <v>21</v>
      </c>
      <c r="G1433" t="s">
        <v>76</v>
      </c>
      <c r="H1433" t="s">
        <v>77</v>
      </c>
      <c r="J1433">
        <v>0</v>
      </c>
      <c r="K1433">
        <v>0</v>
      </c>
    </row>
    <row r="1434" spans="2:11" x14ac:dyDescent="0.25">
      <c r="B1434" t="s">
        <v>6</v>
      </c>
      <c r="C1434" t="s">
        <v>306</v>
      </c>
      <c r="D1434">
        <v>701027</v>
      </c>
      <c r="E1434" t="s">
        <v>84</v>
      </c>
      <c r="F1434" t="s">
        <v>21</v>
      </c>
      <c r="G1434" t="s">
        <v>76</v>
      </c>
      <c r="H1434" t="s">
        <v>77</v>
      </c>
      <c r="J1434">
        <v>0</v>
      </c>
      <c r="K1434">
        <v>0</v>
      </c>
    </row>
    <row r="1435" spans="2:11" x14ac:dyDescent="0.25">
      <c r="B1435" t="s">
        <v>6</v>
      </c>
      <c r="C1435" t="s">
        <v>306</v>
      </c>
      <c r="D1435">
        <v>701028</v>
      </c>
      <c r="E1435" t="s">
        <v>85</v>
      </c>
      <c r="F1435" t="s">
        <v>21</v>
      </c>
      <c r="G1435" t="s">
        <v>61</v>
      </c>
      <c r="H1435" t="s">
        <v>68</v>
      </c>
      <c r="J1435">
        <v>0</v>
      </c>
      <c r="K1435">
        <v>0</v>
      </c>
    </row>
    <row r="1436" spans="2:11" x14ac:dyDescent="0.25">
      <c r="B1436" t="s">
        <v>6</v>
      </c>
      <c r="C1436" t="s">
        <v>306</v>
      </c>
      <c r="D1436">
        <v>701029</v>
      </c>
      <c r="E1436" t="s">
        <v>86</v>
      </c>
      <c r="F1436" t="s">
        <v>21</v>
      </c>
      <c r="G1436" t="s">
        <v>61</v>
      </c>
      <c r="H1436" t="s">
        <v>68</v>
      </c>
      <c r="J1436">
        <v>0</v>
      </c>
      <c r="K1436">
        <v>0</v>
      </c>
    </row>
    <row r="1437" spans="2:11" x14ac:dyDescent="0.25">
      <c r="B1437" t="s">
        <v>6</v>
      </c>
      <c r="C1437" t="s">
        <v>306</v>
      </c>
      <c r="D1437">
        <v>701030</v>
      </c>
      <c r="E1437" t="s">
        <v>87</v>
      </c>
      <c r="F1437" t="s">
        <v>21</v>
      </c>
      <c r="G1437" t="s">
        <v>71</v>
      </c>
      <c r="H1437" t="s">
        <v>88</v>
      </c>
      <c r="J1437">
        <v>0</v>
      </c>
      <c r="K1437">
        <v>0</v>
      </c>
    </row>
    <row r="1438" spans="2:11" x14ac:dyDescent="0.25">
      <c r="B1438" t="s">
        <v>6</v>
      </c>
      <c r="C1438" t="s">
        <v>306</v>
      </c>
      <c r="D1438">
        <v>701031</v>
      </c>
      <c r="E1438" t="s">
        <v>89</v>
      </c>
      <c r="F1438" t="s">
        <v>21</v>
      </c>
      <c r="G1438" t="s">
        <v>76</v>
      </c>
      <c r="H1438" t="s">
        <v>77</v>
      </c>
      <c r="J1438">
        <v>0</v>
      </c>
      <c r="K1438">
        <v>0</v>
      </c>
    </row>
    <row r="1439" spans="2:11" x14ac:dyDescent="0.25">
      <c r="B1439" t="s">
        <v>6</v>
      </c>
      <c r="C1439" t="s">
        <v>306</v>
      </c>
      <c r="D1439">
        <v>701032</v>
      </c>
      <c r="E1439" t="s">
        <v>90</v>
      </c>
      <c r="F1439" t="s">
        <v>21</v>
      </c>
      <c r="G1439" t="s">
        <v>52</v>
      </c>
      <c r="H1439" t="s">
        <v>53</v>
      </c>
      <c r="J1439">
        <v>0</v>
      </c>
      <c r="K1439">
        <v>0</v>
      </c>
    </row>
    <row r="1440" spans="2:11" x14ac:dyDescent="0.25">
      <c r="B1440" t="s">
        <v>6</v>
      </c>
      <c r="C1440" t="s">
        <v>306</v>
      </c>
      <c r="D1440">
        <v>701034</v>
      </c>
      <c r="E1440" t="s">
        <v>91</v>
      </c>
      <c r="F1440" t="s">
        <v>21</v>
      </c>
      <c r="G1440" t="s">
        <v>76</v>
      </c>
      <c r="H1440" t="s">
        <v>77</v>
      </c>
      <c r="J1440">
        <v>0</v>
      </c>
      <c r="K1440">
        <v>0</v>
      </c>
    </row>
    <row r="1441" spans="2:11" x14ac:dyDescent="0.25">
      <c r="B1441" t="s">
        <v>6</v>
      </c>
      <c r="C1441" t="s">
        <v>306</v>
      </c>
      <c r="D1441">
        <v>701035</v>
      </c>
      <c r="E1441" t="s">
        <v>92</v>
      </c>
      <c r="F1441" t="s">
        <v>21</v>
      </c>
      <c r="G1441" t="s">
        <v>61</v>
      </c>
      <c r="H1441" t="s">
        <v>68</v>
      </c>
      <c r="J1441">
        <v>0</v>
      </c>
      <c r="K1441">
        <v>0</v>
      </c>
    </row>
    <row r="1442" spans="2:11" x14ac:dyDescent="0.25">
      <c r="B1442" t="s">
        <v>6</v>
      </c>
      <c r="C1442" t="s">
        <v>306</v>
      </c>
      <c r="D1442">
        <v>701036</v>
      </c>
      <c r="E1442" t="s">
        <v>93</v>
      </c>
      <c r="F1442" t="s">
        <v>21</v>
      </c>
      <c r="G1442" t="s">
        <v>52</v>
      </c>
      <c r="H1442" t="s">
        <v>53</v>
      </c>
      <c r="J1442">
        <v>0</v>
      </c>
      <c r="K1442">
        <v>0</v>
      </c>
    </row>
    <row r="1443" spans="2:11" x14ac:dyDescent="0.25">
      <c r="B1443" t="s">
        <v>6</v>
      </c>
      <c r="C1443" t="s">
        <v>306</v>
      </c>
      <c r="D1443">
        <v>701113</v>
      </c>
      <c r="E1443" t="s">
        <v>94</v>
      </c>
      <c r="F1443" t="s">
        <v>21</v>
      </c>
      <c r="G1443" t="s">
        <v>61</v>
      </c>
      <c r="H1443" t="s">
        <v>62</v>
      </c>
      <c r="J1443">
        <v>0</v>
      </c>
      <c r="K1443">
        <v>0</v>
      </c>
    </row>
    <row r="1444" spans="2:11" x14ac:dyDescent="0.25">
      <c r="B1444" t="s">
        <v>6</v>
      </c>
      <c r="C1444" t="s">
        <v>306</v>
      </c>
      <c r="D1444">
        <v>701119</v>
      </c>
      <c r="E1444" t="s">
        <v>95</v>
      </c>
      <c r="F1444" t="s">
        <v>21</v>
      </c>
      <c r="G1444" t="s">
        <v>22</v>
      </c>
      <c r="H1444" t="s">
        <v>23</v>
      </c>
      <c r="J1444">
        <v>0</v>
      </c>
      <c r="K1444">
        <v>0</v>
      </c>
    </row>
    <row r="1445" spans="2:11" x14ac:dyDescent="0.25">
      <c r="B1445" t="s">
        <v>6</v>
      </c>
      <c r="C1445" t="s">
        <v>306</v>
      </c>
      <c r="D1445">
        <v>701120</v>
      </c>
      <c r="E1445" t="s">
        <v>96</v>
      </c>
      <c r="F1445" t="s">
        <v>21</v>
      </c>
      <c r="G1445" t="s">
        <v>22</v>
      </c>
      <c r="H1445" t="s">
        <v>23</v>
      </c>
      <c r="J1445">
        <v>0</v>
      </c>
      <c r="K1445">
        <v>0</v>
      </c>
    </row>
    <row r="1446" spans="2:11" x14ac:dyDescent="0.25">
      <c r="B1446" t="s">
        <v>6</v>
      </c>
      <c r="C1446" t="s">
        <v>306</v>
      </c>
      <c r="D1446">
        <v>701121</v>
      </c>
      <c r="E1446" t="s">
        <v>97</v>
      </c>
      <c r="F1446" t="s">
        <v>21</v>
      </c>
      <c r="G1446" t="s">
        <v>22</v>
      </c>
      <c r="H1446" t="s">
        <v>23</v>
      </c>
      <c r="J1446">
        <v>0</v>
      </c>
      <c r="K1446">
        <v>0</v>
      </c>
    </row>
    <row r="1447" spans="2:11" x14ac:dyDescent="0.25">
      <c r="B1447" t="s">
        <v>6</v>
      </c>
      <c r="C1447" t="s">
        <v>306</v>
      </c>
      <c r="D1447">
        <v>701122</v>
      </c>
      <c r="E1447" t="s">
        <v>98</v>
      </c>
      <c r="F1447" t="s">
        <v>21</v>
      </c>
      <c r="G1447" t="s">
        <v>71</v>
      </c>
      <c r="H1447" t="s">
        <v>88</v>
      </c>
      <c r="J1447">
        <v>0</v>
      </c>
      <c r="K1447">
        <v>0</v>
      </c>
    </row>
    <row r="1448" spans="2:11" x14ac:dyDescent="0.25">
      <c r="B1448" t="s">
        <v>6</v>
      </c>
      <c r="C1448" t="s">
        <v>306</v>
      </c>
      <c r="D1448">
        <v>701123</v>
      </c>
      <c r="E1448" t="s">
        <v>99</v>
      </c>
      <c r="F1448" t="s">
        <v>21</v>
      </c>
      <c r="G1448" t="s">
        <v>22</v>
      </c>
      <c r="H1448" t="s">
        <v>23</v>
      </c>
      <c r="J1448">
        <v>0</v>
      </c>
      <c r="K1448">
        <v>0</v>
      </c>
    </row>
    <row r="1449" spans="2:11" x14ac:dyDescent="0.25">
      <c r="B1449" t="s">
        <v>6</v>
      </c>
      <c r="C1449" t="s">
        <v>306</v>
      </c>
      <c r="D1449">
        <v>701127</v>
      </c>
      <c r="E1449" t="s">
        <v>100</v>
      </c>
      <c r="F1449" t="s">
        <v>21</v>
      </c>
      <c r="G1449" t="s">
        <v>76</v>
      </c>
      <c r="H1449" t="s">
        <v>77</v>
      </c>
      <c r="J1449">
        <v>0</v>
      </c>
      <c r="K1449">
        <v>0</v>
      </c>
    </row>
    <row r="1450" spans="2:11" x14ac:dyDescent="0.25">
      <c r="B1450" t="s">
        <v>6</v>
      </c>
      <c r="C1450" t="s">
        <v>306</v>
      </c>
      <c r="D1450">
        <v>701213</v>
      </c>
      <c r="E1450" t="s">
        <v>101</v>
      </c>
      <c r="F1450" t="s">
        <v>21</v>
      </c>
      <c r="G1450" t="s">
        <v>61</v>
      </c>
      <c r="H1450" t="s">
        <v>62</v>
      </c>
      <c r="J1450">
        <v>0</v>
      </c>
      <c r="K1450">
        <v>0</v>
      </c>
    </row>
    <row r="1451" spans="2:11" x14ac:dyDescent="0.25">
      <c r="B1451" t="s">
        <v>6</v>
      </c>
      <c r="C1451" t="s">
        <v>306</v>
      </c>
      <c r="D1451">
        <v>701214</v>
      </c>
      <c r="E1451" t="s">
        <v>102</v>
      </c>
      <c r="F1451" t="s">
        <v>21</v>
      </c>
      <c r="G1451" t="s">
        <v>61</v>
      </c>
      <c r="H1451" t="s">
        <v>62</v>
      </c>
      <c r="J1451">
        <v>0</v>
      </c>
      <c r="K1451">
        <v>0</v>
      </c>
    </row>
    <row r="1452" spans="2:11" x14ac:dyDescent="0.25">
      <c r="B1452" t="s">
        <v>6</v>
      </c>
      <c r="C1452" t="s">
        <v>306</v>
      </c>
      <c r="D1452">
        <v>701215</v>
      </c>
      <c r="E1452" t="s">
        <v>103</v>
      </c>
      <c r="F1452" t="s">
        <v>21</v>
      </c>
      <c r="G1452" t="s">
        <v>61</v>
      </c>
      <c r="H1452" t="s">
        <v>62</v>
      </c>
      <c r="J1452">
        <v>0</v>
      </c>
      <c r="K1452">
        <v>0</v>
      </c>
    </row>
    <row r="1453" spans="2:11" x14ac:dyDescent="0.25">
      <c r="B1453" t="s">
        <v>6</v>
      </c>
      <c r="C1453" t="s">
        <v>306</v>
      </c>
      <c r="D1453">
        <v>701227</v>
      </c>
      <c r="E1453" t="s">
        <v>104</v>
      </c>
      <c r="F1453" t="s">
        <v>21</v>
      </c>
      <c r="G1453" t="s">
        <v>76</v>
      </c>
      <c r="H1453" t="s">
        <v>77</v>
      </c>
      <c r="J1453">
        <v>0</v>
      </c>
      <c r="K1453">
        <v>0</v>
      </c>
    </row>
    <row r="1454" spans="2:11" x14ac:dyDescent="0.25">
      <c r="B1454" t="s">
        <v>6</v>
      </c>
      <c r="C1454" t="s">
        <v>306</v>
      </c>
      <c r="D1454">
        <v>701327</v>
      </c>
      <c r="E1454" t="s">
        <v>106</v>
      </c>
      <c r="F1454" t="s">
        <v>21</v>
      </c>
      <c r="G1454" t="s">
        <v>76</v>
      </c>
      <c r="H1454" t="s">
        <v>77</v>
      </c>
      <c r="J1454">
        <v>0</v>
      </c>
      <c r="K1454">
        <v>0</v>
      </c>
    </row>
    <row r="1455" spans="2:11" x14ac:dyDescent="0.25">
      <c r="B1455" t="s">
        <v>6</v>
      </c>
      <c r="C1455" t="s">
        <v>306</v>
      </c>
      <c r="D1455">
        <v>701427</v>
      </c>
      <c r="E1455" t="s">
        <v>107</v>
      </c>
      <c r="F1455" t="s">
        <v>21</v>
      </c>
      <c r="G1455" t="s">
        <v>76</v>
      </c>
      <c r="H1455" t="s">
        <v>108</v>
      </c>
      <c r="J1455">
        <v>0</v>
      </c>
      <c r="K1455">
        <v>0</v>
      </c>
    </row>
    <row r="1456" spans="2:11" x14ac:dyDescent="0.25">
      <c r="B1456" t="s">
        <v>6</v>
      </c>
      <c r="C1456" t="s">
        <v>306</v>
      </c>
      <c r="D1456">
        <v>701527</v>
      </c>
      <c r="E1456" t="s">
        <v>109</v>
      </c>
      <c r="F1456" t="s">
        <v>21</v>
      </c>
      <c r="G1456" t="s">
        <v>76</v>
      </c>
      <c r="H1456" t="s">
        <v>77</v>
      </c>
      <c r="J1456">
        <v>0</v>
      </c>
      <c r="K1456">
        <v>0</v>
      </c>
    </row>
    <row r="1457" spans="2:11" x14ac:dyDescent="0.25">
      <c r="B1457" t="s">
        <v>6</v>
      </c>
      <c r="C1457" t="s">
        <v>306</v>
      </c>
      <c r="D1457">
        <v>701627</v>
      </c>
      <c r="E1457" t="s">
        <v>110</v>
      </c>
      <c r="F1457" t="s">
        <v>21</v>
      </c>
      <c r="G1457" t="s">
        <v>76</v>
      </c>
      <c r="H1457" t="s">
        <v>77</v>
      </c>
      <c r="J1457">
        <v>0</v>
      </c>
      <c r="K1457">
        <v>0</v>
      </c>
    </row>
    <row r="1458" spans="2:11" x14ac:dyDescent="0.25">
      <c r="B1458" t="s">
        <v>6</v>
      </c>
      <c r="C1458" t="s">
        <v>306</v>
      </c>
      <c r="D1458">
        <v>701727</v>
      </c>
      <c r="E1458" t="s">
        <v>111</v>
      </c>
      <c r="F1458" t="s">
        <v>21</v>
      </c>
      <c r="G1458" t="s">
        <v>76</v>
      </c>
      <c r="H1458" t="s">
        <v>77</v>
      </c>
      <c r="J1458">
        <v>0</v>
      </c>
      <c r="K1458">
        <v>0</v>
      </c>
    </row>
    <row r="1459" spans="2:11" x14ac:dyDescent="0.25">
      <c r="B1459" t="s">
        <v>6</v>
      </c>
      <c r="C1459" t="s">
        <v>306</v>
      </c>
      <c r="D1459">
        <v>701801</v>
      </c>
      <c r="E1459" t="s">
        <v>112</v>
      </c>
      <c r="F1459" t="s">
        <v>21</v>
      </c>
      <c r="G1459" t="s">
        <v>76</v>
      </c>
      <c r="H1459" t="s">
        <v>77</v>
      </c>
      <c r="J1459">
        <v>0</v>
      </c>
      <c r="K1459">
        <v>0</v>
      </c>
    </row>
    <row r="1460" spans="2:11" x14ac:dyDescent="0.25">
      <c r="B1460" t="s">
        <v>6</v>
      </c>
      <c r="C1460" t="s">
        <v>306</v>
      </c>
      <c r="D1460">
        <v>701802</v>
      </c>
      <c r="E1460" t="s">
        <v>113</v>
      </c>
      <c r="F1460" t="s">
        <v>21</v>
      </c>
      <c r="G1460" t="s">
        <v>61</v>
      </c>
      <c r="H1460" t="s">
        <v>62</v>
      </c>
      <c r="J1460">
        <v>0</v>
      </c>
      <c r="K1460">
        <v>0</v>
      </c>
    </row>
    <row r="1461" spans="2:11" x14ac:dyDescent="0.25">
      <c r="B1461" t="s">
        <v>6</v>
      </c>
      <c r="C1461" t="s">
        <v>306</v>
      </c>
      <c r="D1461">
        <v>703010</v>
      </c>
      <c r="E1461" t="s">
        <v>114</v>
      </c>
      <c r="F1461" t="s">
        <v>21</v>
      </c>
      <c r="G1461" t="s">
        <v>22</v>
      </c>
      <c r="H1461" t="s">
        <v>115</v>
      </c>
      <c r="J1461">
        <v>0</v>
      </c>
      <c r="K1461">
        <v>0</v>
      </c>
    </row>
    <row r="1462" spans="2:11" x14ac:dyDescent="0.25">
      <c r="B1462" t="s">
        <v>6</v>
      </c>
      <c r="C1462" t="s">
        <v>306</v>
      </c>
      <c r="D1462">
        <v>703011</v>
      </c>
      <c r="E1462" t="s">
        <v>116</v>
      </c>
      <c r="F1462" t="s">
        <v>21</v>
      </c>
      <c r="G1462" t="s">
        <v>22</v>
      </c>
      <c r="H1462" t="s">
        <v>115</v>
      </c>
      <c r="J1462">
        <v>0</v>
      </c>
      <c r="K1462">
        <v>0</v>
      </c>
    </row>
    <row r="1463" spans="2:11" x14ac:dyDescent="0.25">
      <c r="B1463" t="s">
        <v>6</v>
      </c>
      <c r="C1463" t="s">
        <v>306</v>
      </c>
      <c r="D1463">
        <v>703012</v>
      </c>
      <c r="E1463" t="s">
        <v>117</v>
      </c>
      <c r="F1463" t="s">
        <v>21</v>
      </c>
      <c r="G1463" t="s">
        <v>22</v>
      </c>
      <c r="H1463" t="s">
        <v>115</v>
      </c>
      <c r="J1463">
        <v>0</v>
      </c>
      <c r="K1463">
        <v>0</v>
      </c>
    </row>
    <row r="1464" spans="2:11" x14ac:dyDescent="0.25">
      <c r="B1464" t="s">
        <v>6</v>
      </c>
      <c r="C1464" t="s">
        <v>306</v>
      </c>
      <c r="D1464">
        <v>703013</v>
      </c>
      <c r="E1464" t="s">
        <v>118</v>
      </c>
      <c r="F1464" t="s">
        <v>21</v>
      </c>
      <c r="G1464" t="s">
        <v>22</v>
      </c>
      <c r="H1464" t="s">
        <v>115</v>
      </c>
      <c r="J1464">
        <v>0</v>
      </c>
      <c r="K1464">
        <v>0</v>
      </c>
    </row>
    <row r="1465" spans="2:11" x14ac:dyDescent="0.25">
      <c r="B1465" t="s">
        <v>6</v>
      </c>
      <c r="C1465" t="s">
        <v>306</v>
      </c>
      <c r="D1465">
        <v>703014</v>
      </c>
      <c r="E1465" t="s">
        <v>119</v>
      </c>
      <c r="F1465" t="s">
        <v>21</v>
      </c>
      <c r="G1465" t="s">
        <v>22</v>
      </c>
      <c r="H1465" t="s">
        <v>115</v>
      </c>
      <c r="J1465">
        <v>0</v>
      </c>
      <c r="K1465">
        <v>0</v>
      </c>
    </row>
    <row r="1466" spans="2:11" x14ac:dyDescent="0.25">
      <c r="B1466" t="s">
        <v>6</v>
      </c>
      <c r="C1466" t="s">
        <v>306</v>
      </c>
      <c r="D1466">
        <v>703015</v>
      </c>
      <c r="E1466" t="s">
        <v>120</v>
      </c>
      <c r="F1466" t="s">
        <v>21</v>
      </c>
      <c r="G1466" t="s">
        <v>22</v>
      </c>
      <c r="H1466" t="s">
        <v>115</v>
      </c>
      <c r="J1466">
        <v>0</v>
      </c>
      <c r="K1466">
        <v>0</v>
      </c>
    </row>
    <row r="1467" spans="2:11" x14ac:dyDescent="0.25">
      <c r="B1467" t="s">
        <v>6</v>
      </c>
      <c r="C1467" t="s">
        <v>306</v>
      </c>
      <c r="D1467">
        <v>703016</v>
      </c>
      <c r="E1467" t="s">
        <v>121</v>
      </c>
      <c r="F1467" t="s">
        <v>21</v>
      </c>
      <c r="G1467" t="s">
        <v>22</v>
      </c>
      <c r="H1467" t="s">
        <v>115</v>
      </c>
      <c r="J1467">
        <v>0</v>
      </c>
      <c r="K1467">
        <v>0</v>
      </c>
    </row>
    <row r="1468" spans="2:11" x14ac:dyDescent="0.25">
      <c r="B1468" t="s">
        <v>6</v>
      </c>
      <c r="C1468" t="s">
        <v>306</v>
      </c>
      <c r="D1468">
        <v>703017</v>
      </c>
      <c r="E1468" t="s">
        <v>122</v>
      </c>
      <c r="F1468" t="s">
        <v>21</v>
      </c>
      <c r="G1468" t="s">
        <v>22</v>
      </c>
      <c r="H1468" t="s">
        <v>115</v>
      </c>
      <c r="J1468">
        <v>0</v>
      </c>
      <c r="K1468">
        <v>0</v>
      </c>
    </row>
    <row r="1469" spans="2:11" x14ac:dyDescent="0.25">
      <c r="B1469" t="s">
        <v>6</v>
      </c>
      <c r="C1469" t="s">
        <v>306</v>
      </c>
      <c r="D1469">
        <v>703018</v>
      </c>
      <c r="E1469" t="s">
        <v>123</v>
      </c>
      <c r="F1469" t="s">
        <v>21</v>
      </c>
      <c r="G1469" t="s">
        <v>22</v>
      </c>
      <c r="H1469" t="s">
        <v>115</v>
      </c>
      <c r="J1469">
        <v>0</v>
      </c>
      <c r="K1469">
        <v>0</v>
      </c>
    </row>
    <row r="1470" spans="2:11" x14ac:dyDescent="0.25">
      <c r="B1470" t="s">
        <v>6</v>
      </c>
      <c r="C1470" t="s">
        <v>306</v>
      </c>
      <c r="D1470">
        <v>703019</v>
      </c>
      <c r="E1470" t="s">
        <v>124</v>
      </c>
      <c r="F1470" t="s">
        <v>21</v>
      </c>
      <c r="G1470" t="s">
        <v>22</v>
      </c>
      <c r="H1470" t="s">
        <v>115</v>
      </c>
      <c r="J1470">
        <v>0</v>
      </c>
      <c r="K1470">
        <v>0</v>
      </c>
    </row>
    <row r="1471" spans="2:11" x14ac:dyDescent="0.25">
      <c r="B1471" t="s">
        <v>6</v>
      </c>
      <c r="C1471" t="s">
        <v>306</v>
      </c>
      <c r="D1471">
        <v>703210</v>
      </c>
      <c r="E1471" t="s">
        <v>125</v>
      </c>
      <c r="F1471" t="s">
        <v>21</v>
      </c>
      <c r="G1471" t="s">
        <v>22</v>
      </c>
      <c r="H1471" t="s">
        <v>23</v>
      </c>
      <c r="J1471">
        <v>0</v>
      </c>
      <c r="K1471">
        <v>0</v>
      </c>
    </row>
    <row r="1472" spans="2:11" x14ac:dyDescent="0.25">
      <c r="B1472" t="s">
        <v>6</v>
      </c>
      <c r="C1472" t="s">
        <v>306</v>
      </c>
      <c r="D1472">
        <v>703211</v>
      </c>
      <c r="E1472" t="s">
        <v>126</v>
      </c>
      <c r="F1472" t="s">
        <v>21</v>
      </c>
      <c r="G1472" t="s">
        <v>22</v>
      </c>
      <c r="H1472" t="s">
        <v>23</v>
      </c>
      <c r="J1472">
        <v>0</v>
      </c>
      <c r="K1472">
        <v>0</v>
      </c>
    </row>
    <row r="1473" spans="2:11" x14ac:dyDescent="0.25">
      <c r="B1473" t="s">
        <v>6</v>
      </c>
      <c r="C1473" t="s">
        <v>306</v>
      </c>
      <c r="D1473">
        <v>703212</v>
      </c>
      <c r="E1473" t="s">
        <v>127</v>
      </c>
      <c r="F1473" t="s">
        <v>21</v>
      </c>
      <c r="G1473" t="s">
        <v>22</v>
      </c>
      <c r="H1473" t="s">
        <v>23</v>
      </c>
      <c r="J1473">
        <v>0</v>
      </c>
      <c r="K1473">
        <v>0</v>
      </c>
    </row>
    <row r="1474" spans="2:11" x14ac:dyDescent="0.25">
      <c r="B1474" t="s">
        <v>6</v>
      </c>
      <c r="C1474" t="s">
        <v>306</v>
      </c>
      <c r="D1474">
        <v>703213</v>
      </c>
      <c r="E1474" t="s">
        <v>128</v>
      </c>
      <c r="F1474" t="s">
        <v>21</v>
      </c>
      <c r="G1474" t="s">
        <v>22</v>
      </c>
      <c r="H1474" t="s">
        <v>23</v>
      </c>
      <c r="J1474">
        <v>0</v>
      </c>
      <c r="K1474">
        <v>0</v>
      </c>
    </row>
    <row r="1475" spans="2:11" x14ac:dyDescent="0.25">
      <c r="B1475" t="s">
        <v>6</v>
      </c>
      <c r="C1475" t="s">
        <v>306</v>
      </c>
      <c r="D1475">
        <v>703214</v>
      </c>
      <c r="E1475" t="s">
        <v>129</v>
      </c>
      <c r="F1475" t="s">
        <v>21</v>
      </c>
      <c r="G1475" t="s">
        <v>22</v>
      </c>
      <c r="H1475" t="s">
        <v>23</v>
      </c>
      <c r="J1475">
        <v>0</v>
      </c>
      <c r="K1475">
        <v>0</v>
      </c>
    </row>
    <row r="1476" spans="2:11" x14ac:dyDescent="0.25">
      <c r="B1476" t="s">
        <v>6</v>
      </c>
      <c r="C1476" t="s">
        <v>306</v>
      </c>
      <c r="D1476">
        <v>703215</v>
      </c>
      <c r="E1476" t="s">
        <v>130</v>
      </c>
      <c r="F1476" t="s">
        <v>21</v>
      </c>
      <c r="G1476" t="s">
        <v>22</v>
      </c>
      <c r="H1476" t="s">
        <v>23</v>
      </c>
      <c r="J1476">
        <v>0</v>
      </c>
      <c r="K1476">
        <v>0</v>
      </c>
    </row>
    <row r="1477" spans="2:11" x14ac:dyDescent="0.25">
      <c r="B1477" t="s">
        <v>6</v>
      </c>
      <c r="C1477" t="s">
        <v>306</v>
      </c>
      <c r="D1477">
        <v>703216</v>
      </c>
      <c r="E1477" t="s">
        <v>131</v>
      </c>
      <c r="F1477" t="s">
        <v>21</v>
      </c>
      <c r="G1477" t="s">
        <v>22</v>
      </c>
      <c r="H1477" t="s">
        <v>23</v>
      </c>
      <c r="J1477">
        <v>0</v>
      </c>
      <c r="K1477">
        <v>0</v>
      </c>
    </row>
    <row r="1478" spans="2:11" x14ac:dyDescent="0.25">
      <c r="B1478" t="s">
        <v>6</v>
      </c>
      <c r="C1478" t="s">
        <v>306</v>
      </c>
      <c r="D1478">
        <v>703217</v>
      </c>
      <c r="E1478" t="s">
        <v>132</v>
      </c>
      <c r="F1478" t="s">
        <v>21</v>
      </c>
      <c r="G1478" t="s">
        <v>22</v>
      </c>
      <c r="H1478" t="s">
        <v>23</v>
      </c>
      <c r="J1478">
        <v>0</v>
      </c>
      <c r="K1478">
        <v>0</v>
      </c>
    </row>
    <row r="1479" spans="2:11" x14ac:dyDescent="0.25">
      <c r="B1479" t="s">
        <v>6</v>
      </c>
      <c r="C1479" t="s">
        <v>306</v>
      </c>
      <c r="D1479">
        <v>703219</v>
      </c>
      <c r="E1479" t="s">
        <v>133</v>
      </c>
      <c r="F1479" t="s">
        <v>21</v>
      </c>
      <c r="G1479" t="s">
        <v>22</v>
      </c>
      <c r="H1479" t="s">
        <v>23</v>
      </c>
      <c r="J1479">
        <v>0</v>
      </c>
      <c r="K1479">
        <v>0</v>
      </c>
    </row>
    <row r="1480" spans="2:11" x14ac:dyDescent="0.25">
      <c r="B1480" t="s">
        <v>6</v>
      </c>
      <c r="C1480" t="s">
        <v>306</v>
      </c>
      <c r="D1480">
        <v>703220</v>
      </c>
      <c r="E1480" t="s">
        <v>134</v>
      </c>
      <c r="F1480" t="s">
        <v>21</v>
      </c>
      <c r="G1480" t="s">
        <v>71</v>
      </c>
      <c r="H1480" t="s">
        <v>135</v>
      </c>
      <c r="J1480">
        <v>0</v>
      </c>
      <c r="K1480">
        <v>0</v>
      </c>
    </row>
    <row r="1481" spans="2:11" x14ac:dyDescent="0.25">
      <c r="B1481" t="s">
        <v>6</v>
      </c>
      <c r="C1481" t="s">
        <v>306</v>
      </c>
      <c r="D1481">
        <v>703221</v>
      </c>
      <c r="E1481" t="s">
        <v>136</v>
      </c>
      <c r="F1481" t="s">
        <v>21</v>
      </c>
      <c r="G1481" t="s">
        <v>137</v>
      </c>
      <c r="H1481" t="s">
        <v>138</v>
      </c>
      <c r="J1481">
        <v>0</v>
      </c>
      <c r="K1481">
        <v>0</v>
      </c>
    </row>
    <row r="1482" spans="2:11" x14ac:dyDescent="0.25">
      <c r="B1482" t="s">
        <v>6</v>
      </c>
      <c r="C1482" t="s">
        <v>306</v>
      </c>
      <c r="D1482">
        <v>703222</v>
      </c>
      <c r="E1482" t="s">
        <v>139</v>
      </c>
      <c r="F1482" t="s">
        <v>21</v>
      </c>
      <c r="G1482" t="s">
        <v>137</v>
      </c>
      <c r="H1482" t="s">
        <v>138</v>
      </c>
      <c r="J1482">
        <v>0</v>
      </c>
      <c r="K1482">
        <v>0</v>
      </c>
    </row>
    <row r="1483" spans="2:11" x14ac:dyDescent="0.25">
      <c r="B1483" t="s">
        <v>6</v>
      </c>
      <c r="C1483" t="s">
        <v>306</v>
      </c>
      <c r="D1483">
        <v>703223</v>
      </c>
      <c r="E1483" t="s">
        <v>140</v>
      </c>
      <c r="F1483" t="s">
        <v>21</v>
      </c>
      <c r="G1483" t="s">
        <v>137</v>
      </c>
      <c r="H1483" t="s">
        <v>141</v>
      </c>
      <c r="J1483">
        <v>0</v>
      </c>
      <c r="K1483">
        <v>0</v>
      </c>
    </row>
    <row r="1484" spans="2:11" x14ac:dyDescent="0.25">
      <c r="B1484" t="s">
        <v>6</v>
      </c>
      <c r="C1484" t="s">
        <v>306</v>
      </c>
      <c r="D1484">
        <v>703224</v>
      </c>
      <c r="E1484" t="s">
        <v>142</v>
      </c>
      <c r="F1484" t="s">
        <v>21</v>
      </c>
      <c r="G1484" t="s">
        <v>71</v>
      </c>
      <c r="H1484" t="s">
        <v>88</v>
      </c>
      <c r="J1484">
        <v>0</v>
      </c>
      <c r="K1484">
        <v>0</v>
      </c>
    </row>
    <row r="1485" spans="2:11" x14ac:dyDescent="0.25">
      <c r="B1485" t="s">
        <v>6</v>
      </c>
      <c r="C1485" t="s">
        <v>306</v>
      </c>
      <c r="D1485">
        <v>703225</v>
      </c>
      <c r="E1485" t="s">
        <v>143</v>
      </c>
      <c r="F1485" t="s">
        <v>21</v>
      </c>
      <c r="G1485" t="s">
        <v>71</v>
      </c>
      <c r="H1485" t="s">
        <v>88</v>
      </c>
      <c r="J1485">
        <v>0</v>
      </c>
      <c r="K1485">
        <v>0</v>
      </c>
    </row>
    <row r="1486" spans="2:11" x14ac:dyDescent="0.25">
      <c r="B1486" t="s">
        <v>6</v>
      </c>
      <c r="C1486" t="s">
        <v>306</v>
      </c>
      <c r="D1486">
        <v>703226</v>
      </c>
      <c r="E1486" t="s">
        <v>144</v>
      </c>
      <c r="F1486" t="s">
        <v>21</v>
      </c>
      <c r="G1486" t="s">
        <v>71</v>
      </c>
      <c r="H1486" t="s">
        <v>82</v>
      </c>
      <c r="J1486">
        <v>0</v>
      </c>
      <c r="K1486">
        <v>0</v>
      </c>
    </row>
    <row r="1487" spans="2:11" x14ac:dyDescent="0.25">
      <c r="B1487" t="s">
        <v>6</v>
      </c>
      <c r="C1487" t="s">
        <v>306</v>
      </c>
      <c r="D1487">
        <v>703227</v>
      </c>
      <c r="E1487" t="s">
        <v>145</v>
      </c>
      <c r="F1487" t="s">
        <v>21</v>
      </c>
      <c r="G1487" t="s">
        <v>137</v>
      </c>
      <c r="H1487" t="s">
        <v>138</v>
      </c>
      <c r="J1487">
        <v>0</v>
      </c>
      <c r="K1487">
        <v>0</v>
      </c>
    </row>
    <row r="1488" spans="2:11" x14ac:dyDescent="0.25">
      <c r="B1488" t="s">
        <v>6</v>
      </c>
      <c r="C1488" t="s">
        <v>306</v>
      </c>
      <c r="D1488">
        <v>703228</v>
      </c>
      <c r="E1488" t="s">
        <v>146</v>
      </c>
      <c r="F1488" t="s">
        <v>21</v>
      </c>
      <c r="G1488" t="s">
        <v>147</v>
      </c>
      <c r="H1488" t="s">
        <v>147</v>
      </c>
      <c r="J1488">
        <v>0</v>
      </c>
      <c r="K1488">
        <v>0</v>
      </c>
    </row>
    <row r="1489" spans="2:11" x14ac:dyDescent="0.25">
      <c r="B1489" t="s">
        <v>6</v>
      </c>
      <c r="C1489" t="s">
        <v>306</v>
      </c>
      <c r="D1489">
        <v>703229</v>
      </c>
      <c r="E1489" t="s">
        <v>148</v>
      </c>
      <c r="F1489" t="s">
        <v>21</v>
      </c>
      <c r="G1489" t="s">
        <v>147</v>
      </c>
      <c r="H1489" t="s">
        <v>147</v>
      </c>
      <c r="J1489">
        <v>0</v>
      </c>
      <c r="K1489">
        <v>0</v>
      </c>
    </row>
    <row r="1490" spans="2:11" x14ac:dyDescent="0.25">
      <c r="B1490" t="s">
        <v>6</v>
      </c>
      <c r="C1490" t="s">
        <v>306</v>
      </c>
      <c r="D1490">
        <v>703230</v>
      </c>
      <c r="E1490" t="s">
        <v>149</v>
      </c>
      <c r="F1490" t="s">
        <v>21</v>
      </c>
      <c r="G1490" t="s">
        <v>147</v>
      </c>
      <c r="H1490" t="s">
        <v>147</v>
      </c>
      <c r="J1490">
        <v>0</v>
      </c>
      <c r="K1490">
        <v>0</v>
      </c>
    </row>
    <row r="1491" spans="2:11" x14ac:dyDescent="0.25">
      <c r="B1491" t="s">
        <v>6</v>
      </c>
      <c r="C1491" t="s">
        <v>306</v>
      </c>
      <c r="D1491">
        <v>703231</v>
      </c>
      <c r="E1491" t="s">
        <v>150</v>
      </c>
      <c r="F1491" t="s">
        <v>21</v>
      </c>
      <c r="G1491" t="s">
        <v>137</v>
      </c>
      <c r="H1491" t="s">
        <v>141</v>
      </c>
      <c r="J1491">
        <v>0</v>
      </c>
      <c r="K1491">
        <v>0</v>
      </c>
    </row>
    <row r="1492" spans="2:11" x14ac:dyDescent="0.25">
      <c r="B1492" t="s">
        <v>6</v>
      </c>
      <c r="C1492" t="s">
        <v>306</v>
      </c>
      <c r="D1492">
        <v>703232</v>
      </c>
      <c r="E1492" t="s">
        <v>151</v>
      </c>
      <c r="F1492" t="s">
        <v>21</v>
      </c>
      <c r="G1492" t="s">
        <v>147</v>
      </c>
      <c r="H1492" t="s">
        <v>147</v>
      </c>
      <c r="J1492">
        <v>0</v>
      </c>
      <c r="K1492">
        <v>0</v>
      </c>
    </row>
    <row r="1493" spans="2:11" x14ac:dyDescent="0.25">
      <c r="B1493" t="s">
        <v>6</v>
      </c>
      <c r="C1493" t="s">
        <v>306</v>
      </c>
      <c r="D1493">
        <v>703233</v>
      </c>
      <c r="E1493" t="s">
        <v>152</v>
      </c>
      <c r="F1493" t="s">
        <v>21</v>
      </c>
      <c r="G1493" t="s">
        <v>71</v>
      </c>
      <c r="H1493" t="s">
        <v>153</v>
      </c>
      <c r="J1493">
        <v>0</v>
      </c>
      <c r="K1493">
        <v>0</v>
      </c>
    </row>
    <row r="1494" spans="2:11" x14ac:dyDescent="0.25">
      <c r="B1494" t="s">
        <v>6</v>
      </c>
      <c r="C1494" t="s">
        <v>306</v>
      </c>
      <c r="D1494">
        <v>703234</v>
      </c>
      <c r="E1494" t="s">
        <v>154</v>
      </c>
      <c r="F1494" t="s">
        <v>21</v>
      </c>
      <c r="G1494" t="s">
        <v>71</v>
      </c>
      <c r="H1494" t="s">
        <v>153</v>
      </c>
      <c r="J1494">
        <v>0</v>
      </c>
      <c r="K1494">
        <v>0</v>
      </c>
    </row>
    <row r="1495" spans="2:11" x14ac:dyDescent="0.25">
      <c r="B1495" t="s">
        <v>6</v>
      </c>
      <c r="C1495" t="s">
        <v>306</v>
      </c>
      <c r="D1495">
        <v>703235</v>
      </c>
      <c r="E1495" t="s">
        <v>155</v>
      </c>
      <c r="F1495" t="s">
        <v>21</v>
      </c>
      <c r="G1495" t="s">
        <v>71</v>
      </c>
      <c r="H1495" t="s">
        <v>153</v>
      </c>
      <c r="J1495">
        <v>0</v>
      </c>
      <c r="K1495">
        <v>0</v>
      </c>
    </row>
    <row r="1496" spans="2:11" x14ac:dyDescent="0.25">
      <c r="B1496" t="s">
        <v>6</v>
      </c>
      <c r="C1496" t="s">
        <v>306</v>
      </c>
      <c r="D1496">
        <v>703236</v>
      </c>
      <c r="E1496" t="s">
        <v>156</v>
      </c>
      <c r="F1496" t="s">
        <v>21</v>
      </c>
      <c r="G1496" t="s">
        <v>76</v>
      </c>
      <c r="H1496" t="s">
        <v>77</v>
      </c>
      <c r="J1496">
        <v>0</v>
      </c>
      <c r="K1496">
        <v>0</v>
      </c>
    </row>
    <row r="1497" spans="2:11" x14ac:dyDescent="0.25">
      <c r="B1497" t="s">
        <v>6</v>
      </c>
      <c r="C1497" t="s">
        <v>306</v>
      </c>
      <c r="D1497">
        <v>703237</v>
      </c>
      <c r="E1497" t="s">
        <v>157</v>
      </c>
      <c r="F1497" t="s">
        <v>21</v>
      </c>
      <c r="G1497" t="s">
        <v>22</v>
      </c>
      <c r="H1497" t="s">
        <v>23</v>
      </c>
      <c r="J1497">
        <v>0</v>
      </c>
      <c r="K1497">
        <v>0</v>
      </c>
    </row>
    <row r="1498" spans="2:11" x14ac:dyDescent="0.25">
      <c r="B1498" t="s">
        <v>6</v>
      </c>
      <c r="C1498" t="s">
        <v>306</v>
      </c>
      <c r="D1498">
        <v>703238</v>
      </c>
      <c r="E1498" t="s">
        <v>158</v>
      </c>
      <c r="F1498" t="s">
        <v>21</v>
      </c>
      <c r="G1498" t="s">
        <v>61</v>
      </c>
      <c r="H1498" t="s">
        <v>68</v>
      </c>
      <c r="J1498">
        <v>0</v>
      </c>
      <c r="K1498">
        <v>0</v>
      </c>
    </row>
    <row r="1499" spans="2:11" x14ac:dyDescent="0.25">
      <c r="B1499" t="s">
        <v>6</v>
      </c>
      <c r="C1499" t="s">
        <v>306</v>
      </c>
      <c r="D1499">
        <v>703239</v>
      </c>
      <c r="E1499" t="s">
        <v>159</v>
      </c>
      <c r="F1499" t="s">
        <v>21</v>
      </c>
      <c r="G1499" t="s">
        <v>61</v>
      </c>
      <c r="H1499" t="s">
        <v>68</v>
      </c>
      <c r="J1499">
        <v>0</v>
      </c>
      <c r="K1499">
        <v>0</v>
      </c>
    </row>
    <row r="1500" spans="2:11" x14ac:dyDescent="0.25">
      <c r="B1500" t="s">
        <v>6</v>
      </c>
      <c r="C1500" t="s">
        <v>306</v>
      </c>
      <c r="D1500">
        <v>703240</v>
      </c>
      <c r="E1500" t="s">
        <v>160</v>
      </c>
      <c r="F1500" t="s">
        <v>21</v>
      </c>
      <c r="G1500" t="s">
        <v>61</v>
      </c>
      <c r="H1500" t="s">
        <v>68</v>
      </c>
      <c r="J1500">
        <v>0</v>
      </c>
      <c r="K1500">
        <v>0</v>
      </c>
    </row>
    <row r="1501" spans="2:11" x14ac:dyDescent="0.25">
      <c r="B1501" t="s">
        <v>6</v>
      </c>
      <c r="C1501" t="s">
        <v>306</v>
      </c>
      <c r="D1501">
        <v>703241</v>
      </c>
      <c r="E1501" t="s">
        <v>161</v>
      </c>
      <c r="F1501" t="s">
        <v>21</v>
      </c>
      <c r="G1501" t="s">
        <v>137</v>
      </c>
      <c r="H1501" t="s">
        <v>141</v>
      </c>
      <c r="J1501">
        <v>0</v>
      </c>
      <c r="K1501">
        <v>0</v>
      </c>
    </row>
    <row r="1502" spans="2:11" x14ac:dyDescent="0.25">
      <c r="B1502" t="s">
        <v>6</v>
      </c>
      <c r="C1502" t="s">
        <v>306</v>
      </c>
      <c r="D1502">
        <v>703242</v>
      </c>
      <c r="E1502" t="s">
        <v>162</v>
      </c>
      <c r="F1502" t="s">
        <v>21</v>
      </c>
      <c r="G1502" t="s">
        <v>137</v>
      </c>
      <c r="H1502" t="s">
        <v>141</v>
      </c>
      <c r="J1502">
        <v>0</v>
      </c>
      <c r="K1502">
        <v>0</v>
      </c>
    </row>
    <row r="1503" spans="2:11" x14ac:dyDescent="0.25">
      <c r="B1503" t="s">
        <v>6</v>
      </c>
      <c r="C1503" t="s">
        <v>306</v>
      </c>
      <c r="D1503">
        <v>703243</v>
      </c>
      <c r="E1503" t="s">
        <v>163</v>
      </c>
      <c r="F1503" t="s">
        <v>21</v>
      </c>
      <c r="G1503" t="s">
        <v>137</v>
      </c>
      <c r="H1503" t="s">
        <v>141</v>
      </c>
      <c r="J1503">
        <v>0</v>
      </c>
      <c r="K1503">
        <v>0</v>
      </c>
    </row>
    <row r="1504" spans="2:11" x14ac:dyDescent="0.25">
      <c r="B1504" t="s">
        <v>6</v>
      </c>
      <c r="C1504" t="s">
        <v>306</v>
      </c>
      <c r="D1504">
        <v>703244</v>
      </c>
      <c r="E1504" t="s">
        <v>164</v>
      </c>
      <c r="F1504" t="s">
        <v>21</v>
      </c>
      <c r="G1504" t="s">
        <v>71</v>
      </c>
      <c r="H1504" t="s">
        <v>88</v>
      </c>
      <c r="J1504">
        <v>0</v>
      </c>
      <c r="K1504">
        <v>0</v>
      </c>
    </row>
    <row r="1505" spans="2:11" x14ac:dyDescent="0.25">
      <c r="B1505" t="s">
        <v>6</v>
      </c>
      <c r="C1505" t="s">
        <v>306</v>
      </c>
      <c r="D1505">
        <v>703245</v>
      </c>
      <c r="E1505" t="s">
        <v>165</v>
      </c>
      <c r="F1505" t="s">
        <v>21</v>
      </c>
      <c r="G1505" t="s">
        <v>137</v>
      </c>
      <c r="H1505" t="s">
        <v>138</v>
      </c>
      <c r="J1505">
        <v>0</v>
      </c>
      <c r="K1505">
        <v>0</v>
      </c>
    </row>
    <row r="1506" spans="2:11" x14ac:dyDescent="0.25">
      <c r="B1506" t="s">
        <v>6</v>
      </c>
      <c r="C1506" t="s">
        <v>306</v>
      </c>
      <c r="D1506">
        <v>703246</v>
      </c>
      <c r="E1506" t="s">
        <v>166</v>
      </c>
      <c r="F1506" t="s">
        <v>21</v>
      </c>
      <c r="G1506" t="s">
        <v>137</v>
      </c>
      <c r="H1506" t="s">
        <v>138</v>
      </c>
      <c r="J1506">
        <v>0</v>
      </c>
      <c r="K1506">
        <v>0</v>
      </c>
    </row>
    <row r="1507" spans="2:11" x14ac:dyDescent="0.25">
      <c r="B1507" t="s">
        <v>6</v>
      </c>
      <c r="C1507" t="s">
        <v>306</v>
      </c>
      <c r="D1507">
        <v>703247</v>
      </c>
      <c r="E1507" t="s">
        <v>167</v>
      </c>
      <c r="F1507" t="s">
        <v>21</v>
      </c>
      <c r="G1507" t="s">
        <v>137</v>
      </c>
      <c r="H1507" t="s">
        <v>138</v>
      </c>
      <c r="J1507">
        <v>0</v>
      </c>
      <c r="K1507">
        <v>0</v>
      </c>
    </row>
    <row r="1508" spans="2:11" x14ac:dyDescent="0.25">
      <c r="B1508" t="s">
        <v>6</v>
      </c>
      <c r="C1508" t="s">
        <v>306</v>
      </c>
      <c r="D1508">
        <v>703248</v>
      </c>
      <c r="E1508" t="s">
        <v>168</v>
      </c>
      <c r="F1508" t="s">
        <v>21</v>
      </c>
      <c r="G1508" t="s">
        <v>137</v>
      </c>
      <c r="H1508" t="s">
        <v>141</v>
      </c>
      <c r="J1508">
        <v>0</v>
      </c>
      <c r="K1508">
        <v>0</v>
      </c>
    </row>
    <row r="1509" spans="2:11" x14ac:dyDescent="0.25">
      <c r="B1509" t="s">
        <v>6</v>
      </c>
      <c r="C1509" t="s">
        <v>306</v>
      </c>
      <c r="D1509">
        <v>703249</v>
      </c>
      <c r="E1509" t="s">
        <v>169</v>
      </c>
      <c r="F1509" t="s">
        <v>21</v>
      </c>
      <c r="G1509" t="s">
        <v>147</v>
      </c>
      <c r="H1509" t="s">
        <v>147</v>
      </c>
      <c r="J1509">
        <v>0</v>
      </c>
      <c r="K1509">
        <v>0</v>
      </c>
    </row>
    <row r="1510" spans="2:11" x14ac:dyDescent="0.25">
      <c r="B1510" t="s">
        <v>6</v>
      </c>
      <c r="C1510" t="s">
        <v>306</v>
      </c>
      <c r="D1510">
        <v>703250</v>
      </c>
      <c r="E1510" t="s">
        <v>170</v>
      </c>
      <c r="F1510" t="s">
        <v>21</v>
      </c>
      <c r="G1510" t="s">
        <v>71</v>
      </c>
      <c r="H1510" t="s">
        <v>171</v>
      </c>
      <c r="J1510">
        <v>0</v>
      </c>
      <c r="K1510">
        <v>0</v>
      </c>
    </row>
    <row r="1511" spans="2:11" x14ac:dyDescent="0.25">
      <c r="B1511" t="s">
        <v>6</v>
      </c>
      <c r="C1511" t="s">
        <v>306</v>
      </c>
      <c r="D1511">
        <v>703251</v>
      </c>
      <c r="E1511" t="s">
        <v>172</v>
      </c>
      <c r="F1511" t="s">
        <v>21</v>
      </c>
      <c r="G1511" t="s">
        <v>22</v>
      </c>
      <c r="H1511" t="s">
        <v>115</v>
      </c>
      <c r="J1511">
        <v>0</v>
      </c>
      <c r="K1511">
        <v>0</v>
      </c>
    </row>
    <row r="1512" spans="2:11" x14ac:dyDescent="0.25">
      <c r="B1512" t="s">
        <v>6</v>
      </c>
      <c r="C1512" t="s">
        <v>306</v>
      </c>
      <c r="D1512">
        <v>703252</v>
      </c>
      <c r="E1512" t="s">
        <v>173</v>
      </c>
      <c r="F1512" t="s">
        <v>21</v>
      </c>
      <c r="G1512" t="s">
        <v>22</v>
      </c>
      <c r="H1512" t="s">
        <v>115</v>
      </c>
      <c r="J1512">
        <v>0</v>
      </c>
      <c r="K1512">
        <v>0</v>
      </c>
    </row>
    <row r="1513" spans="2:11" x14ac:dyDescent="0.25">
      <c r="B1513" t="s">
        <v>6</v>
      </c>
      <c r="C1513" t="s">
        <v>306</v>
      </c>
      <c r="D1513">
        <v>703253</v>
      </c>
      <c r="E1513" t="s">
        <v>174</v>
      </c>
      <c r="F1513" t="s">
        <v>21</v>
      </c>
      <c r="G1513" t="s">
        <v>22</v>
      </c>
      <c r="H1513" t="s">
        <v>115</v>
      </c>
      <c r="J1513">
        <v>0</v>
      </c>
      <c r="K1513">
        <v>0</v>
      </c>
    </row>
    <row r="1514" spans="2:11" x14ac:dyDescent="0.25">
      <c r="B1514" t="s">
        <v>6</v>
      </c>
      <c r="C1514" t="s">
        <v>306</v>
      </c>
      <c r="D1514">
        <v>703254</v>
      </c>
      <c r="E1514" t="s">
        <v>175</v>
      </c>
      <c r="F1514" t="s">
        <v>21</v>
      </c>
      <c r="G1514" t="s">
        <v>22</v>
      </c>
      <c r="H1514" t="s">
        <v>115</v>
      </c>
      <c r="J1514">
        <v>0</v>
      </c>
      <c r="K1514">
        <v>0</v>
      </c>
    </row>
    <row r="1515" spans="2:11" x14ac:dyDescent="0.25">
      <c r="B1515" t="s">
        <v>6</v>
      </c>
      <c r="C1515" t="s">
        <v>306</v>
      </c>
      <c r="D1515">
        <v>703255</v>
      </c>
      <c r="E1515" t="s">
        <v>176</v>
      </c>
      <c r="F1515" t="s">
        <v>21</v>
      </c>
      <c r="G1515" t="s">
        <v>22</v>
      </c>
      <c r="H1515" t="s">
        <v>115</v>
      </c>
      <c r="J1515">
        <v>0</v>
      </c>
      <c r="K1515">
        <v>0</v>
      </c>
    </row>
    <row r="1516" spans="2:11" x14ac:dyDescent="0.25">
      <c r="B1516" t="s">
        <v>6</v>
      </c>
      <c r="C1516" t="s">
        <v>306</v>
      </c>
      <c r="D1516">
        <v>703257</v>
      </c>
      <c r="E1516" t="s">
        <v>177</v>
      </c>
      <c r="F1516" t="s">
        <v>21</v>
      </c>
      <c r="G1516" t="s">
        <v>147</v>
      </c>
      <c r="H1516" t="s">
        <v>147</v>
      </c>
      <c r="J1516">
        <v>0</v>
      </c>
      <c r="K1516">
        <v>0</v>
      </c>
    </row>
    <row r="1517" spans="2:11" x14ac:dyDescent="0.25">
      <c r="B1517" t="s">
        <v>6</v>
      </c>
      <c r="C1517" t="s">
        <v>306</v>
      </c>
      <c r="D1517">
        <v>703258</v>
      </c>
      <c r="E1517" t="s">
        <v>178</v>
      </c>
      <c r="F1517" t="s">
        <v>21</v>
      </c>
      <c r="G1517" t="s">
        <v>147</v>
      </c>
      <c r="H1517" t="s">
        <v>147</v>
      </c>
      <c r="J1517">
        <v>0</v>
      </c>
      <c r="K1517">
        <v>0</v>
      </c>
    </row>
    <row r="1518" spans="2:11" x14ac:dyDescent="0.25">
      <c r="B1518" t="s">
        <v>6</v>
      </c>
      <c r="C1518" t="s">
        <v>306</v>
      </c>
      <c r="D1518">
        <v>703260</v>
      </c>
      <c r="E1518" t="s">
        <v>179</v>
      </c>
      <c r="F1518" t="s">
        <v>21</v>
      </c>
      <c r="G1518" t="s">
        <v>76</v>
      </c>
      <c r="H1518" t="s">
        <v>77</v>
      </c>
      <c r="J1518">
        <v>0</v>
      </c>
      <c r="K1518">
        <v>0</v>
      </c>
    </row>
    <row r="1519" spans="2:11" x14ac:dyDescent="0.25">
      <c r="B1519" t="s">
        <v>6</v>
      </c>
      <c r="C1519" t="s">
        <v>306</v>
      </c>
      <c r="D1519">
        <v>703261</v>
      </c>
      <c r="E1519" t="s">
        <v>180</v>
      </c>
      <c r="F1519" t="s">
        <v>21</v>
      </c>
      <c r="G1519" t="s">
        <v>22</v>
      </c>
      <c r="H1519" t="s">
        <v>115</v>
      </c>
      <c r="J1519">
        <v>0</v>
      </c>
      <c r="K1519">
        <v>0</v>
      </c>
    </row>
    <row r="1520" spans="2:11" x14ac:dyDescent="0.25">
      <c r="B1520" t="s">
        <v>6</v>
      </c>
      <c r="C1520" t="s">
        <v>306</v>
      </c>
      <c r="D1520">
        <v>703262</v>
      </c>
      <c r="E1520" t="s">
        <v>181</v>
      </c>
      <c r="F1520" t="s">
        <v>21</v>
      </c>
      <c r="G1520" t="s">
        <v>22</v>
      </c>
      <c r="H1520" t="s">
        <v>23</v>
      </c>
      <c r="J1520">
        <v>0</v>
      </c>
      <c r="K1520">
        <v>0</v>
      </c>
    </row>
    <row r="1521" spans="2:11" x14ac:dyDescent="0.25">
      <c r="B1521" t="s">
        <v>6</v>
      </c>
      <c r="C1521" t="s">
        <v>306</v>
      </c>
      <c r="D1521">
        <v>703263</v>
      </c>
      <c r="E1521" t="s">
        <v>182</v>
      </c>
      <c r="F1521" t="s">
        <v>21</v>
      </c>
      <c r="G1521" t="s">
        <v>22</v>
      </c>
      <c r="H1521" t="s">
        <v>115</v>
      </c>
      <c r="J1521">
        <v>0</v>
      </c>
      <c r="K1521">
        <v>0</v>
      </c>
    </row>
    <row r="1522" spans="2:11" x14ac:dyDescent="0.25">
      <c r="B1522" t="s">
        <v>6</v>
      </c>
      <c r="C1522" t="s">
        <v>306</v>
      </c>
      <c r="D1522">
        <v>703264</v>
      </c>
      <c r="E1522" t="s">
        <v>183</v>
      </c>
      <c r="F1522" t="s">
        <v>21</v>
      </c>
      <c r="G1522" t="s">
        <v>22</v>
      </c>
      <c r="H1522" t="s">
        <v>115</v>
      </c>
      <c r="J1522">
        <v>0</v>
      </c>
      <c r="K1522">
        <v>0</v>
      </c>
    </row>
    <row r="1523" spans="2:11" x14ac:dyDescent="0.25">
      <c r="B1523" t="s">
        <v>6</v>
      </c>
      <c r="C1523" t="s">
        <v>306</v>
      </c>
      <c r="D1523">
        <v>703265</v>
      </c>
      <c r="E1523" t="s">
        <v>184</v>
      </c>
      <c r="F1523" t="s">
        <v>21</v>
      </c>
      <c r="G1523" t="s">
        <v>22</v>
      </c>
      <c r="H1523" t="s">
        <v>115</v>
      </c>
      <c r="J1523">
        <v>0</v>
      </c>
      <c r="K1523">
        <v>0</v>
      </c>
    </row>
    <row r="1524" spans="2:11" x14ac:dyDescent="0.25">
      <c r="B1524" t="s">
        <v>6</v>
      </c>
      <c r="C1524" t="s">
        <v>306</v>
      </c>
      <c r="D1524">
        <v>703266</v>
      </c>
      <c r="E1524" t="s">
        <v>185</v>
      </c>
      <c r="F1524" t="s">
        <v>21</v>
      </c>
      <c r="G1524" t="s">
        <v>71</v>
      </c>
      <c r="H1524" t="s">
        <v>186</v>
      </c>
      <c r="J1524">
        <v>0</v>
      </c>
      <c r="K1524">
        <v>0</v>
      </c>
    </row>
    <row r="1525" spans="2:11" x14ac:dyDescent="0.25">
      <c r="B1525" t="s">
        <v>6</v>
      </c>
      <c r="C1525" t="s">
        <v>306</v>
      </c>
      <c r="D1525">
        <v>703267</v>
      </c>
      <c r="E1525" t="s">
        <v>187</v>
      </c>
      <c r="F1525" t="s">
        <v>21</v>
      </c>
      <c r="G1525" t="s">
        <v>71</v>
      </c>
      <c r="H1525" t="s">
        <v>88</v>
      </c>
      <c r="J1525">
        <v>0</v>
      </c>
      <c r="K1525">
        <v>0</v>
      </c>
    </row>
    <row r="1526" spans="2:11" x14ac:dyDescent="0.25">
      <c r="B1526" t="s">
        <v>6</v>
      </c>
      <c r="C1526" t="s">
        <v>306</v>
      </c>
      <c r="D1526">
        <v>703268</v>
      </c>
      <c r="E1526" t="s">
        <v>188</v>
      </c>
      <c r="F1526" t="s">
        <v>21</v>
      </c>
      <c r="G1526" t="s">
        <v>147</v>
      </c>
      <c r="H1526" t="s">
        <v>147</v>
      </c>
      <c r="J1526">
        <v>0</v>
      </c>
      <c r="K1526">
        <v>0</v>
      </c>
    </row>
    <row r="1527" spans="2:11" x14ac:dyDescent="0.25">
      <c r="B1527" t="s">
        <v>6</v>
      </c>
      <c r="C1527" t="s">
        <v>306</v>
      </c>
      <c r="D1527">
        <v>703269</v>
      </c>
      <c r="E1527" t="s">
        <v>189</v>
      </c>
      <c r="F1527" t="s">
        <v>21</v>
      </c>
      <c r="G1527" t="s">
        <v>147</v>
      </c>
      <c r="H1527" t="s">
        <v>147</v>
      </c>
      <c r="J1527">
        <v>0</v>
      </c>
      <c r="K1527">
        <v>0</v>
      </c>
    </row>
    <row r="1528" spans="2:11" x14ac:dyDescent="0.25">
      <c r="B1528" t="s">
        <v>6</v>
      </c>
      <c r="C1528" t="s">
        <v>306</v>
      </c>
      <c r="D1528">
        <v>703270</v>
      </c>
      <c r="E1528" t="s">
        <v>190</v>
      </c>
      <c r="F1528" t="s">
        <v>21</v>
      </c>
      <c r="G1528" t="s">
        <v>137</v>
      </c>
      <c r="H1528" t="s">
        <v>141</v>
      </c>
      <c r="J1528">
        <v>0</v>
      </c>
      <c r="K1528">
        <v>0</v>
      </c>
    </row>
    <row r="1529" spans="2:11" x14ac:dyDescent="0.25">
      <c r="B1529" t="s">
        <v>6</v>
      </c>
      <c r="C1529" t="s">
        <v>306</v>
      </c>
      <c r="D1529">
        <v>703271</v>
      </c>
      <c r="E1529" t="s">
        <v>191</v>
      </c>
      <c r="F1529" t="s">
        <v>21</v>
      </c>
      <c r="G1529" t="s">
        <v>22</v>
      </c>
      <c r="H1529" t="s">
        <v>115</v>
      </c>
      <c r="J1529">
        <v>0</v>
      </c>
      <c r="K1529">
        <v>0</v>
      </c>
    </row>
    <row r="1530" spans="2:11" x14ac:dyDescent="0.25">
      <c r="B1530" t="s">
        <v>6</v>
      </c>
      <c r="C1530" t="s">
        <v>306</v>
      </c>
      <c r="D1530">
        <v>703272</v>
      </c>
      <c r="E1530" t="s">
        <v>192</v>
      </c>
      <c r="F1530" t="s">
        <v>21</v>
      </c>
      <c r="G1530" t="s">
        <v>22</v>
      </c>
      <c r="H1530" t="s">
        <v>23</v>
      </c>
      <c r="J1530">
        <v>0</v>
      </c>
      <c r="K1530">
        <v>0</v>
      </c>
    </row>
    <row r="1531" spans="2:11" x14ac:dyDescent="0.25">
      <c r="B1531" t="s">
        <v>6</v>
      </c>
      <c r="C1531" t="s">
        <v>306</v>
      </c>
      <c r="D1531">
        <v>703273</v>
      </c>
      <c r="E1531" t="s">
        <v>193</v>
      </c>
      <c r="F1531" t="s">
        <v>21</v>
      </c>
      <c r="G1531" t="s">
        <v>147</v>
      </c>
      <c r="H1531" t="s">
        <v>147</v>
      </c>
      <c r="J1531">
        <v>0</v>
      </c>
      <c r="K1531">
        <v>0</v>
      </c>
    </row>
    <row r="1532" spans="2:11" x14ac:dyDescent="0.25">
      <c r="B1532" t="s">
        <v>6</v>
      </c>
      <c r="C1532" t="s">
        <v>306</v>
      </c>
      <c r="D1532">
        <v>703274</v>
      </c>
      <c r="E1532" t="s">
        <v>194</v>
      </c>
      <c r="F1532" t="s">
        <v>21</v>
      </c>
      <c r="G1532" t="s">
        <v>147</v>
      </c>
      <c r="H1532" t="s">
        <v>147</v>
      </c>
      <c r="J1532">
        <v>0</v>
      </c>
      <c r="K1532">
        <v>0</v>
      </c>
    </row>
    <row r="1533" spans="2:11" x14ac:dyDescent="0.25">
      <c r="B1533" t="s">
        <v>6</v>
      </c>
      <c r="C1533" t="s">
        <v>306</v>
      </c>
      <c r="D1533">
        <v>703275</v>
      </c>
      <c r="E1533" t="s">
        <v>195</v>
      </c>
      <c r="F1533" t="s">
        <v>21</v>
      </c>
      <c r="G1533" t="s">
        <v>137</v>
      </c>
      <c r="H1533" t="s">
        <v>138</v>
      </c>
      <c r="J1533">
        <v>0</v>
      </c>
      <c r="K1533">
        <v>0</v>
      </c>
    </row>
    <row r="1534" spans="2:11" x14ac:dyDescent="0.25">
      <c r="B1534" t="s">
        <v>6</v>
      </c>
      <c r="C1534" t="s">
        <v>306</v>
      </c>
      <c r="D1534">
        <v>703280</v>
      </c>
      <c r="E1534" t="s">
        <v>196</v>
      </c>
      <c r="F1534" t="s">
        <v>21</v>
      </c>
      <c r="G1534" t="s">
        <v>71</v>
      </c>
      <c r="H1534" t="s">
        <v>171</v>
      </c>
      <c r="J1534">
        <v>0</v>
      </c>
      <c r="K1534">
        <v>0</v>
      </c>
    </row>
    <row r="1535" spans="2:11" x14ac:dyDescent="0.25">
      <c r="B1535" t="s">
        <v>6</v>
      </c>
      <c r="C1535" t="s">
        <v>306</v>
      </c>
      <c r="D1535">
        <v>703281</v>
      </c>
      <c r="E1535" t="s">
        <v>197</v>
      </c>
      <c r="F1535" t="s">
        <v>21</v>
      </c>
      <c r="G1535" t="s">
        <v>76</v>
      </c>
      <c r="H1535" t="s">
        <v>77</v>
      </c>
      <c r="J1535">
        <v>0</v>
      </c>
      <c r="K1535">
        <v>0</v>
      </c>
    </row>
    <row r="1536" spans="2:11" x14ac:dyDescent="0.25">
      <c r="B1536" t="s">
        <v>6</v>
      </c>
      <c r="C1536" t="s">
        <v>306</v>
      </c>
      <c r="D1536">
        <v>703282</v>
      </c>
      <c r="E1536" t="s">
        <v>198</v>
      </c>
      <c r="F1536" t="s">
        <v>21</v>
      </c>
      <c r="G1536" t="s">
        <v>76</v>
      </c>
      <c r="H1536" t="s">
        <v>77</v>
      </c>
      <c r="J1536">
        <v>0</v>
      </c>
      <c r="K1536">
        <v>0</v>
      </c>
    </row>
    <row r="1537" spans="2:11" x14ac:dyDescent="0.25">
      <c r="B1537" t="s">
        <v>6</v>
      </c>
      <c r="C1537" t="s">
        <v>306</v>
      </c>
      <c r="D1537">
        <v>703283</v>
      </c>
      <c r="E1537" t="s">
        <v>199</v>
      </c>
      <c r="F1537" t="s">
        <v>21</v>
      </c>
      <c r="G1537" t="s">
        <v>61</v>
      </c>
      <c r="H1537" t="s">
        <v>68</v>
      </c>
      <c r="J1537">
        <v>0</v>
      </c>
      <c r="K1537">
        <v>0</v>
      </c>
    </row>
    <row r="1538" spans="2:11" x14ac:dyDescent="0.25">
      <c r="B1538" t="s">
        <v>6</v>
      </c>
      <c r="C1538" t="s">
        <v>306</v>
      </c>
      <c r="D1538">
        <v>703310</v>
      </c>
      <c r="E1538" t="s">
        <v>200</v>
      </c>
      <c r="F1538" t="s">
        <v>21</v>
      </c>
      <c r="G1538" t="s">
        <v>22</v>
      </c>
      <c r="H1538" t="s">
        <v>23</v>
      </c>
      <c r="J1538">
        <v>0</v>
      </c>
      <c r="K1538">
        <v>0</v>
      </c>
    </row>
    <row r="1539" spans="2:11" x14ac:dyDescent="0.25">
      <c r="B1539" t="s">
        <v>6</v>
      </c>
      <c r="C1539" t="s">
        <v>306</v>
      </c>
      <c r="D1539">
        <v>703311</v>
      </c>
      <c r="E1539" t="s">
        <v>201</v>
      </c>
      <c r="F1539" t="s">
        <v>21</v>
      </c>
      <c r="G1539" t="s">
        <v>71</v>
      </c>
      <c r="H1539" t="s">
        <v>171</v>
      </c>
      <c r="J1539">
        <v>0</v>
      </c>
      <c r="K1539">
        <v>0</v>
      </c>
    </row>
    <row r="1540" spans="2:11" x14ac:dyDescent="0.25">
      <c r="B1540" t="s">
        <v>6</v>
      </c>
      <c r="C1540" t="s">
        <v>306</v>
      </c>
      <c r="D1540">
        <v>703312</v>
      </c>
      <c r="E1540" t="s">
        <v>202</v>
      </c>
      <c r="F1540" t="s">
        <v>21</v>
      </c>
      <c r="G1540" t="s">
        <v>76</v>
      </c>
      <c r="H1540" t="s">
        <v>77</v>
      </c>
      <c r="J1540">
        <v>0</v>
      </c>
      <c r="K1540">
        <v>0</v>
      </c>
    </row>
    <row r="1541" spans="2:11" x14ac:dyDescent="0.25">
      <c r="B1541" t="s">
        <v>6</v>
      </c>
      <c r="C1541" t="s">
        <v>306</v>
      </c>
      <c r="D1541">
        <v>703313</v>
      </c>
      <c r="E1541" t="s">
        <v>203</v>
      </c>
      <c r="F1541" t="s">
        <v>21</v>
      </c>
      <c r="G1541" t="s">
        <v>76</v>
      </c>
      <c r="H1541" t="s">
        <v>77</v>
      </c>
      <c r="J1541">
        <v>0</v>
      </c>
      <c r="K1541">
        <v>0</v>
      </c>
    </row>
    <row r="1542" spans="2:11" x14ac:dyDescent="0.25">
      <c r="B1542" t="s">
        <v>6</v>
      </c>
      <c r="C1542" t="s">
        <v>306</v>
      </c>
      <c r="D1542">
        <v>703314</v>
      </c>
      <c r="E1542" t="s">
        <v>204</v>
      </c>
      <c r="F1542" t="s">
        <v>21</v>
      </c>
      <c r="G1542" t="s">
        <v>76</v>
      </c>
      <c r="H1542" t="s">
        <v>77</v>
      </c>
      <c r="J1542">
        <v>0</v>
      </c>
      <c r="K1542">
        <v>0</v>
      </c>
    </row>
    <row r="1543" spans="2:11" x14ac:dyDescent="0.25">
      <c r="B1543" t="s">
        <v>6</v>
      </c>
      <c r="C1543" t="s">
        <v>306</v>
      </c>
      <c r="D1543">
        <v>703315</v>
      </c>
      <c r="E1543" t="s">
        <v>205</v>
      </c>
      <c r="F1543" t="s">
        <v>21</v>
      </c>
      <c r="G1543" t="s">
        <v>76</v>
      </c>
      <c r="H1543" t="s">
        <v>135</v>
      </c>
      <c r="J1543">
        <v>0</v>
      </c>
      <c r="K1543">
        <v>0</v>
      </c>
    </row>
    <row r="1544" spans="2:11" x14ac:dyDescent="0.25">
      <c r="B1544" t="s">
        <v>6</v>
      </c>
      <c r="C1544" t="s">
        <v>306</v>
      </c>
      <c r="D1544">
        <v>703316</v>
      </c>
      <c r="E1544" t="s">
        <v>206</v>
      </c>
      <c r="F1544" t="s">
        <v>21</v>
      </c>
      <c r="G1544" t="s">
        <v>76</v>
      </c>
      <c r="H1544" t="s">
        <v>77</v>
      </c>
      <c r="J1544">
        <v>0</v>
      </c>
      <c r="K1544">
        <v>0</v>
      </c>
    </row>
    <row r="1545" spans="2:11" x14ac:dyDescent="0.25">
      <c r="B1545" t="s">
        <v>6</v>
      </c>
      <c r="C1545" t="s">
        <v>306</v>
      </c>
      <c r="D1545">
        <v>703317</v>
      </c>
      <c r="E1545" t="s">
        <v>207</v>
      </c>
      <c r="F1545" t="s">
        <v>21</v>
      </c>
      <c r="G1545" t="s">
        <v>76</v>
      </c>
      <c r="H1545" t="s">
        <v>77</v>
      </c>
      <c r="J1545">
        <v>0</v>
      </c>
      <c r="K1545">
        <v>0</v>
      </c>
    </row>
    <row r="1546" spans="2:11" x14ac:dyDescent="0.25">
      <c r="B1546" t="s">
        <v>6</v>
      </c>
      <c r="C1546" t="s">
        <v>306</v>
      </c>
      <c r="D1546">
        <v>703318</v>
      </c>
      <c r="E1546" t="s">
        <v>208</v>
      </c>
      <c r="F1546" t="s">
        <v>21</v>
      </c>
      <c r="G1546" t="s">
        <v>71</v>
      </c>
      <c r="H1546" t="s">
        <v>209</v>
      </c>
      <c r="J1546">
        <v>0</v>
      </c>
      <c r="K1546">
        <v>0</v>
      </c>
    </row>
    <row r="1547" spans="2:11" x14ac:dyDescent="0.25">
      <c r="B1547" t="s">
        <v>6</v>
      </c>
      <c r="C1547" t="s">
        <v>306</v>
      </c>
      <c r="D1547">
        <v>703319</v>
      </c>
      <c r="E1547" t="s">
        <v>210</v>
      </c>
      <c r="F1547" t="s">
        <v>21</v>
      </c>
      <c r="G1547" t="s">
        <v>61</v>
      </c>
      <c r="H1547" t="s">
        <v>79</v>
      </c>
      <c r="J1547">
        <v>0</v>
      </c>
      <c r="K1547">
        <v>0</v>
      </c>
    </row>
    <row r="1548" spans="2:11" x14ac:dyDescent="0.25">
      <c r="B1548" t="s">
        <v>6</v>
      </c>
      <c r="C1548" t="s">
        <v>306</v>
      </c>
      <c r="D1548">
        <v>703320</v>
      </c>
      <c r="E1548" t="s">
        <v>211</v>
      </c>
      <c r="F1548" t="s">
        <v>21</v>
      </c>
      <c r="G1548" t="s">
        <v>71</v>
      </c>
      <c r="H1548" t="s">
        <v>135</v>
      </c>
      <c r="J1548">
        <v>0</v>
      </c>
      <c r="K1548">
        <v>0</v>
      </c>
    </row>
    <row r="1549" spans="2:11" x14ac:dyDescent="0.25">
      <c r="B1549" t="s">
        <v>6</v>
      </c>
      <c r="C1549" t="s">
        <v>306</v>
      </c>
      <c r="D1549">
        <v>703321</v>
      </c>
      <c r="E1549" t="s">
        <v>212</v>
      </c>
      <c r="F1549" t="s">
        <v>21</v>
      </c>
      <c r="G1549" t="s">
        <v>22</v>
      </c>
      <c r="H1549" t="s">
        <v>23</v>
      </c>
      <c r="J1549">
        <v>0</v>
      </c>
      <c r="K1549">
        <v>0</v>
      </c>
    </row>
    <row r="1550" spans="2:11" x14ac:dyDescent="0.25">
      <c r="B1550" t="s">
        <v>6</v>
      </c>
      <c r="C1550" t="s">
        <v>306</v>
      </c>
      <c r="D1550">
        <v>703322</v>
      </c>
      <c r="E1550" t="s">
        <v>213</v>
      </c>
      <c r="F1550" t="s">
        <v>21</v>
      </c>
      <c r="G1550" t="s">
        <v>22</v>
      </c>
      <c r="H1550" t="s">
        <v>23</v>
      </c>
      <c r="J1550">
        <v>0</v>
      </c>
      <c r="K1550">
        <v>0</v>
      </c>
    </row>
    <row r="1551" spans="2:11" x14ac:dyDescent="0.25">
      <c r="B1551" t="s">
        <v>6</v>
      </c>
      <c r="C1551" t="s">
        <v>306</v>
      </c>
      <c r="D1551">
        <v>703323</v>
      </c>
      <c r="E1551" t="s">
        <v>214</v>
      </c>
      <c r="F1551" t="s">
        <v>21</v>
      </c>
      <c r="G1551" t="s">
        <v>22</v>
      </c>
      <c r="H1551" t="s">
        <v>23</v>
      </c>
      <c r="J1551">
        <v>0</v>
      </c>
      <c r="K1551">
        <v>0</v>
      </c>
    </row>
    <row r="1552" spans="2:11" x14ac:dyDescent="0.25">
      <c r="B1552" t="s">
        <v>6</v>
      </c>
      <c r="C1552" t="s">
        <v>306</v>
      </c>
      <c r="D1552">
        <v>703324</v>
      </c>
      <c r="E1552" t="s">
        <v>215</v>
      </c>
      <c r="F1552" t="s">
        <v>21</v>
      </c>
      <c r="G1552" t="s">
        <v>22</v>
      </c>
      <c r="H1552" t="s">
        <v>23</v>
      </c>
      <c r="J1552">
        <v>0</v>
      </c>
      <c r="K1552">
        <v>0</v>
      </c>
    </row>
    <row r="1553" spans="2:11" x14ac:dyDescent="0.25">
      <c r="B1553" t="s">
        <v>6</v>
      </c>
      <c r="C1553" t="s">
        <v>306</v>
      </c>
      <c r="D1553">
        <v>703325</v>
      </c>
      <c r="E1553" t="s">
        <v>216</v>
      </c>
      <c r="F1553" t="s">
        <v>21</v>
      </c>
      <c r="G1553" t="s">
        <v>22</v>
      </c>
      <c r="H1553" t="s">
        <v>23</v>
      </c>
      <c r="J1553">
        <v>0</v>
      </c>
      <c r="K1553">
        <v>0</v>
      </c>
    </row>
    <row r="1554" spans="2:11" x14ac:dyDescent="0.25">
      <c r="B1554" t="s">
        <v>6</v>
      </c>
      <c r="C1554" t="s">
        <v>306</v>
      </c>
      <c r="D1554">
        <v>703326</v>
      </c>
      <c r="E1554" t="s">
        <v>217</v>
      </c>
      <c r="F1554" t="s">
        <v>21</v>
      </c>
      <c r="G1554" t="s">
        <v>22</v>
      </c>
      <c r="H1554" t="s">
        <v>23</v>
      </c>
      <c r="J1554">
        <v>0</v>
      </c>
      <c r="K1554">
        <v>0</v>
      </c>
    </row>
    <row r="1555" spans="2:11" x14ac:dyDescent="0.25">
      <c r="B1555" t="s">
        <v>6</v>
      </c>
      <c r="C1555" t="s">
        <v>306</v>
      </c>
      <c r="D1555">
        <v>703327</v>
      </c>
      <c r="E1555" t="s">
        <v>218</v>
      </c>
      <c r="F1555" t="s">
        <v>21</v>
      </c>
      <c r="G1555" t="s">
        <v>76</v>
      </c>
      <c r="H1555" t="s">
        <v>77</v>
      </c>
      <c r="J1555">
        <v>0</v>
      </c>
      <c r="K1555">
        <v>0</v>
      </c>
    </row>
    <row r="1556" spans="2:11" x14ac:dyDescent="0.25">
      <c r="B1556" t="s">
        <v>6</v>
      </c>
      <c r="C1556" t="s">
        <v>306</v>
      </c>
      <c r="D1556">
        <v>703328</v>
      </c>
      <c r="E1556" t="s">
        <v>219</v>
      </c>
      <c r="F1556" t="s">
        <v>21</v>
      </c>
      <c r="G1556" t="s">
        <v>22</v>
      </c>
      <c r="H1556" t="s">
        <v>23</v>
      </c>
      <c r="J1556">
        <v>0</v>
      </c>
      <c r="K1556">
        <v>0</v>
      </c>
    </row>
    <row r="1557" spans="2:11" x14ac:dyDescent="0.25">
      <c r="B1557" t="s">
        <v>6</v>
      </c>
      <c r="C1557" t="s">
        <v>306</v>
      </c>
      <c r="D1557">
        <v>703329</v>
      </c>
      <c r="E1557" t="s">
        <v>220</v>
      </c>
      <c r="F1557" t="s">
        <v>21</v>
      </c>
      <c r="G1557" t="s">
        <v>22</v>
      </c>
      <c r="H1557" t="s">
        <v>23</v>
      </c>
      <c r="J1557">
        <v>0</v>
      </c>
      <c r="K1557">
        <v>0</v>
      </c>
    </row>
    <row r="1558" spans="2:11" x14ac:dyDescent="0.25">
      <c r="B1558" t="s">
        <v>6</v>
      </c>
      <c r="C1558" t="s">
        <v>306</v>
      </c>
      <c r="D1558">
        <v>703330</v>
      </c>
      <c r="E1558" t="s">
        <v>221</v>
      </c>
      <c r="F1558" t="s">
        <v>21</v>
      </c>
      <c r="G1558" t="s">
        <v>22</v>
      </c>
      <c r="H1558" t="s">
        <v>23</v>
      </c>
      <c r="J1558">
        <v>0</v>
      </c>
      <c r="K1558">
        <v>0</v>
      </c>
    </row>
    <row r="1559" spans="2:11" x14ac:dyDescent="0.25">
      <c r="B1559" t="s">
        <v>6</v>
      </c>
      <c r="C1559" t="s">
        <v>306</v>
      </c>
      <c r="D1559">
        <v>703340</v>
      </c>
      <c r="E1559" t="s">
        <v>222</v>
      </c>
      <c r="F1559" t="s">
        <v>21</v>
      </c>
      <c r="G1559" t="s">
        <v>61</v>
      </c>
      <c r="H1559" t="s">
        <v>68</v>
      </c>
      <c r="J1559">
        <v>0</v>
      </c>
      <c r="K1559">
        <v>0</v>
      </c>
    </row>
    <row r="1560" spans="2:11" x14ac:dyDescent="0.25">
      <c r="B1560" t="s">
        <v>6</v>
      </c>
      <c r="C1560" t="s">
        <v>306</v>
      </c>
      <c r="D1560">
        <v>703350</v>
      </c>
      <c r="E1560" t="s">
        <v>223</v>
      </c>
      <c r="F1560" t="s">
        <v>21</v>
      </c>
      <c r="G1560" t="s">
        <v>22</v>
      </c>
      <c r="H1560" t="s">
        <v>23</v>
      </c>
      <c r="J1560">
        <v>0</v>
      </c>
      <c r="K1560">
        <v>0</v>
      </c>
    </row>
    <row r="1561" spans="2:11" x14ac:dyDescent="0.25">
      <c r="B1561" t="s">
        <v>6</v>
      </c>
      <c r="C1561" t="s">
        <v>306</v>
      </c>
      <c r="D1561">
        <v>703351</v>
      </c>
      <c r="E1561" t="s">
        <v>224</v>
      </c>
      <c r="F1561" t="s">
        <v>21</v>
      </c>
      <c r="G1561" t="s">
        <v>22</v>
      </c>
      <c r="H1561" t="s">
        <v>23</v>
      </c>
      <c r="J1561">
        <v>0</v>
      </c>
      <c r="K1561">
        <v>0</v>
      </c>
    </row>
    <row r="1562" spans="2:11" x14ac:dyDescent="0.25">
      <c r="B1562" t="s">
        <v>6</v>
      </c>
      <c r="C1562" t="s">
        <v>306</v>
      </c>
      <c r="D1562">
        <v>703352</v>
      </c>
      <c r="E1562" t="s">
        <v>225</v>
      </c>
      <c r="F1562" t="s">
        <v>21</v>
      </c>
      <c r="G1562" t="s">
        <v>22</v>
      </c>
      <c r="H1562" t="s">
        <v>23</v>
      </c>
      <c r="J1562">
        <v>0</v>
      </c>
      <c r="K1562">
        <v>0</v>
      </c>
    </row>
    <row r="1563" spans="2:11" x14ac:dyDescent="0.25">
      <c r="B1563" t="s">
        <v>6</v>
      </c>
      <c r="C1563" t="s">
        <v>306</v>
      </c>
      <c r="D1563">
        <v>703360</v>
      </c>
      <c r="E1563" t="s">
        <v>226</v>
      </c>
      <c r="F1563" t="s">
        <v>21</v>
      </c>
      <c r="G1563" t="s">
        <v>22</v>
      </c>
      <c r="H1563" t="s">
        <v>23</v>
      </c>
      <c r="J1563">
        <v>0</v>
      </c>
      <c r="K1563">
        <v>0</v>
      </c>
    </row>
    <row r="1564" spans="2:11" x14ac:dyDescent="0.25">
      <c r="B1564" t="s">
        <v>6</v>
      </c>
      <c r="C1564" t="s">
        <v>306</v>
      </c>
      <c r="D1564">
        <v>703370</v>
      </c>
      <c r="E1564" t="s">
        <v>227</v>
      </c>
      <c r="F1564" t="s">
        <v>21</v>
      </c>
      <c r="G1564" t="s">
        <v>22</v>
      </c>
      <c r="H1564" t="s">
        <v>23</v>
      </c>
      <c r="J1564">
        <v>0</v>
      </c>
      <c r="K1564">
        <v>0</v>
      </c>
    </row>
    <row r="1565" spans="2:11" x14ac:dyDescent="0.25">
      <c r="B1565" t="s">
        <v>6</v>
      </c>
      <c r="C1565" t="s">
        <v>306</v>
      </c>
      <c r="D1565">
        <v>703410</v>
      </c>
      <c r="E1565" t="s">
        <v>228</v>
      </c>
      <c r="F1565" t="s">
        <v>21</v>
      </c>
      <c r="G1565" t="s">
        <v>22</v>
      </c>
      <c r="H1565" t="s">
        <v>23</v>
      </c>
      <c r="J1565">
        <v>0</v>
      </c>
      <c r="K1565">
        <v>0</v>
      </c>
    </row>
    <row r="1566" spans="2:11" x14ac:dyDescent="0.25">
      <c r="B1566" t="s">
        <v>6</v>
      </c>
      <c r="C1566" t="s">
        <v>306</v>
      </c>
      <c r="D1566">
        <v>703411</v>
      </c>
      <c r="E1566" t="s">
        <v>229</v>
      </c>
      <c r="F1566" t="s">
        <v>21</v>
      </c>
      <c r="G1566" t="s">
        <v>22</v>
      </c>
      <c r="H1566" t="s">
        <v>23</v>
      </c>
      <c r="J1566">
        <v>0</v>
      </c>
      <c r="K1566">
        <v>0</v>
      </c>
    </row>
    <row r="1567" spans="2:11" x14ac:dyDescent="0.25">
      <c r="B1567" t="s">
        <v>6</v>
      </c>
      <c r="C1567" t="s">
        <v>306</v>
      </c>
      <c r="D1567">
        <v>703412</v>
      </c>
      <c r="E1567" t="s">
        <v>230</v>
      </c>
      <c r="F1567" t="s">
        <v>21</v>
      </c>
      <c r="G1567" t="s">
        <v>22</v>
      </c>
      <c r="H1567" t="s">
        <v>23</v>
      </c>
      <c r="J1567">
        <v>0</v>
      </c>
      <c r="K1567">
        <v>0</v>
      </c>
    </row>
    <row r="1568" spans="2:11" x14ac:dyDescent="0.25">
      <c r="B1568" t="s">
        <v>6</v>
      </c>
      <c r="C1568" t="s">
        <v>306</v>
      </c>
      <c r="D1568">
        <v>703420</v>
      </c>
      <c r="E1568" t="s">
        <v>231</v>
      </c>
      <c r="F1568" t="s">
        <v>21</v>
      </c>
      <c r="G1568" t="s">
        <v>71</v>
      </c>
      <c r="H1568" t="s">
        <v>171</v>
      </c>
      <c r="J1568">
        <v>0</v>
      </c>
      <c r="K1568">
        <v>0</v>
      </c>
    </row>
    <row r="1569" spans="2:11" x14ac:dyDescent="0.25">
      <c r="B1569" t="s">
        <v>6</v>
      </c>
      <c r="C1569" t="s">
        <v>306</v>
      </c>
      <c r="D1569">
        <v>703421</v>
      </c>
      <c r="E1569" t="s">
        <v>232</v>
      </c>
      <c r="F1569" t="s">
        <v>21</v>
      </c>
      <c r="G1569" t="s">
        <v>22</v>
      </c>
      <c r="H1569" t="s">
        <v>23</v>
      </c>
      <c r="J1569">
        <v>0</v>
      </c>
      <c r="K1569">
        <v>0</v>
      </c>
    </row>
    <row r="1570" spans="2:11" x14ac:dyDescent="0.25">
      <c r="B1570" t="s">
        <v>6</v>
      </c>
      <c r="C1570" t="s">
        <v>306</v>
      </c>
      <c r="D1570">
        <v>703422</v>
      </c>
      <c r="E1570" t="s">
        <v>233</v>
      </c>
      <c r="F1570" t="s">
        <v>21</v>
      </c>
      <c r="G1570" t="s">
        <v>76</v>
      </c>
      <c r="H1570" t="s">
        <v>77</v>
      </c>
      <c r="J1570">
        <v>0</v>
      </c>
      <c r="K1570">
        <v>0</v>
      </c>
    </row>
    <row r="1571" spans="2:11" x14ac:dyDescent="0.25">
      <c r="B1571" t="s">
        <v>6</v>
      </c>
      <c r="C1571" t="s">
        <v>306</v>
      </c>
      <c r="D1571">
        <v>703423</v>
      </c>
      <c r="E1571" t="s">
        <v>234</v>
      </c>
      <c r="F1571" t="s">
        <v>21</v>
      </c>
      <c r="G1571" t="s">
        <v>71</v>
      </c>
      <c r="H1571" t="s">
        <v>88</v>
      </c>
      <c r="J1571">
        <v>0</v>
      </c>
      <c r="K1571">
        <v>0</v>
      </c>
    </row>
    <row r="1572" spans="2:11" x14ac:dyDescent="0.25">
      <c r="B1572" t="s">
        <v>6</v>
      </c>
      <c r="C1572" t="s">
        <v>306</v>
      </c>
      <c r="D1572">
        <v>703424</v>
      </c>
      <c r="E1572" t="s">
        <v>235</v>
      </c>
      <c r="F1572" t="s">
        <v>21</v>
      </c>
      <c r="G1572" t="s">
        <v>71</v>
      </c>
      <c r="H1572" t="s">
        <v>88</v>
      </c>
      <c r="J1572">
        <v>0</v>
      </c>
      <c r="K1572">
        <v>0</v>
      </c>
    </row>
    <row r="1573" spans="2:11" x14ac:dyDescent="0.25">
      <c r="B1573" t="s">
        <v>6</v>
      </c>
      <c r="C1573" t="s">
        <v>306</v>
      </c>
      <c r="D1573">
        <v>703425</v>
      </c>
      <c r="E1573" t="s">
        <v>236</v>
      </c>
      <c r="F1573" t="s">
        <v>21</v>
      </c>
      <c r="G1573" t="s">
        <v>76</v>
      </c>
      <c r="H1573" t="s">
        <v>77</v>
      </c>
      <c r="J1573">
        <v>0</v>
      </c>
      <c r="K1573">
        <v>0</v>
      </c>
    </row>
    <row r="1574" spans="2:11" x14ac:dyDescent="0.25">
      <c r="B1574" t="s">
        <v>6</v>
      </c>
      <c r="C1574" t="s">
        <v>306</v>
      </c>
      <c r="D1574">
        <v>703426</v>
      </c>
      <c r="E1574" t="s">
        <v>237</v>
      </c>
      <c r="F1574" t="s">
        <v>21</v>
      </c>
      <c r="G1574" t="s">
        <v>22</v>
      </c>
      <c r="H1574" t="s">
        <v>23</v>
      </c>
      <c r="J1574">
        <v>0</v>
      </c>
      <c r="K1574">
        <v>0</v>
      </c>
    </row>
    <row r="1575" spans="2:11" x14ac:dyDescent="0.25">
      <c r="B1575" t="s">
        <v>6</v>
      </c>
      <c r="C1575" t="s">
        <v>306</v>
      </c>
      <c r="D1575">
        <v>703427</v>
      </c>
      <c r="E1575" t="s">
        <v>238</v>
      </c>
      <c r="F1575" t="s">
        <v>21</v>
      </c>
      <c r="G1575" t="s">
        <v>76</v>
      </c>
      <c r="H1575" t="s">
        <v>77</v>
      </c>
      <c r="J1575">
        <v>0</v>
      </c>
      <c r="K1575">
        <v>0</v>
      </c>
    </row>
    <row r="1576" spans="2:11" x14ac:dyDescent="0.25">
      <c r="B1576" t="s">
        <v>6</v>
      </c>
      <c r="C1576" t="s">
        <v>306</v>
      </c>
      <c r="D1576">
        <v>703428</v>
      </c>
      <c r="E1576" t="s">
        <v>239</v>
      </c>
      <c r="F1576" t="s">
        <v>21</v>
      </c>
      <c r="G1576" t="s">
        <v>76</v>
      </c>
      <c r="H1576" t="s">
        <v>77</v>
      </c>
      <c r="J1576">
        <v>0</v>
      </c>
      <c r="K1576">
        <v>0</v>
      </c>
    </row>
    <row r="1577" spans="2:11" x14ac:dyDescent="0.25">
      <c r="B1577" t="s">
        <v>6</v>
      </c>
      <c r="C1577" t="s">
        <v>306</v>
      </c>
      <c r="D1577">
        <v>703429</v>
      </c>
      <c r="E1577" t="s">
        <v>240</v>
      </c>
      <c r="F1577" t="s">
        <v>21</v>
      </c>
      <c r="G1577" t="s">
        <v>76</v>
      </c>
      <c r="H1577" t="s">
        <v>77</v>
      </c>
      <c r="J1577">
        <v>0</v>
      </c>
      <c r="K1577">
        <v>0</v>
      </c>
    </row>
    <row r="1578" spans="2:11" x14ac:dyDescent="0.25">
      <c r="B1578" t="s">
        <v>6</v>
      </c>
      <c r="C1578" t="s">
        <v>306</v>
      </c>
      <c r="D1578">
        <v>703430</v>
      </c>
      <c r="E1578" t="s">
        <v>20</v>
      </c>
      <c r="F1578" t="s">
        <v>21</v>
      </c>
      <c r="G1578" t="s">
        <v>22</v>
      </c>
      <c r="H1578" t="s">
        <v>23</v>
      </c>
      <c r="J1578">
        <v>0</v>
      </c>
      <c r="K1578">
        <v>0</v>
      </c>
    </row>
    <row r="1579" spans="2:11" x14ac:dyDescent="0.25">
      <c r="B1579" t="s">
        <v>6</v>
      </c>
      <c r="C1579" t="s">
        <v>306</v>
      </c>
      <c r="D1579">
        <v>703431</v>
      </c>
      <c r="E1579" t="s">
        <v>241</v>
      </c>
      <c r="F1579" t="s">
        <v>21</v>
      </c>
      <c r="G1579" t="s">
        <v>22</v>
      </c>
      <c r="H1579" t="s">
        <v>23</v>
      </c>
      <c r="J1579">
        <v>0</v>
      </c>
      <c r="K1579">
        <v>0</v>
      </c>
    </row>
    <row r="1580" spans="2:11" x14ac:dyDescent="0.25">
      <c r="B1580" t="s">
        <v>6</v>
      </c>
      <c r="C1580" t="s">
        <v>306</v>
      </c>
      <c r="D1580">
        <v>703432</v>
      </c>
      <c r="E1580" t="s">
        <v>242</v>
      </c>
      <c r="F1580" t="s">
        <v>21</v>
      </c>
      <c r="G1580" t="s">
        <v>22</v>
      </c>
      <c r="H1580" t="s">
        <v>23</v>
      </c>
      <c r="J1580">
        <v>0</v>
      </c>
      <c r="K1580">
        <v>0</v>
      </c>
    </row>
    <row r="1581" spans="2:11" x14ac:dyDescent="0.25">
      <c r="B1581" t="s">
        <v>6</v>
      </c>
      <c r="C1581" t="s">
        <v>306</v>
      </c>
      <c r="D1581">
        <v>703433</v>
      </c>
      <c r="E1581" t="s">
        <v>243</v>
      </c>
      <c r="F1581" t="s">
        <v>21</v>
      </c>
      <c r="G1581" t="s">
        <v>71</v>
      </c>
      <c r="H1581" t="s">
        <v>88</v>
      </c>
      <c r="J1581">
        <v>0</v>
      </c>
      <c r="K1581">
        <v>0</v>
      </c>
    </row>
    <row r="1582" spans="2:11" x14ac:dyDescent="0.25">
      <c r="B1582" t="s">
        <v>6</v>
      </c>
      <c r="C1582" t="s">
        <v>306</v>
      </c>
      <c r="D1582">
        <v>703434</v>
      </c>
      <c r="E1582" t="s">
        <v>244</v>
      </c>
      <c r="F1582" t="s">
        <v>21</v>
      </c>
      <c r="G1582" t="s">
        <v>22</v>
      </c>
      <c r="H1582" t="s">
        <v>23</v>
      </c>
      <c r="J1582">
        <v>0</v>
      </c>
      <c r="K1582">
        <v>0</v>
      </c>
    </row>
    <row r="1583" spans="2:11" x14ac:dyDescent="0.25">
      <c r="B1583" t="s">
        <v>6</v>
      </c>
      <c r="C1583" t="s">
        <v>306</v>
      </c>
      <c r="D1583">
        <v>703435</v>
      </c>
      <c r="E1583" t="s">
        <v>245</v>
      </c>
      <c r="F1583" t="s">
        <v>21</v>
      </c>
      <c r="G1583" t="s">
        <v>71</v>
      </c>
      <c r="H1583" t="s">
        <v>88</v>
      </c>
      <c r="J1583">
        <v>0</v>
      </c>
      <c r="K1583">
        <v>0</v>
      </c>
    </row>
    <row r="1584" spans="2:11" x14ac:dyDescent="0.25">
      <c r="B1584" t="s">
        <v>6</v>
      </c>
      <c r="C1584" t="s">
        <v>306</v>
      </c>
      <c r="D1584">
        <v>703436</v>
      </c>
      <c r="E1584" t="s">
        <v>246</v>
      </c>
      <c r="F1584" t="s">
        <v>21</v>
      </c>
      <c r="G1584" t="s">
        <v>71</v>
      </c>
      <c r="H1584" t="s">
        <v>88</v>
      </c>
      <c r="J1584">
        <v>0</v>
      </c>
      <c r="K1584">
        <v>0</v>
      </c>
    </row>
    <row r="1585" spans="2:11" x14ac:dyDescent="0.25">
      <c r="B1585" t="s">
        <v>6</v>
      </c>
      <c r="C1585" t="s">
        <v>306</v>
      </c>
      <c r="D1585">
        <v>703437</v>
      </c>
      <c r="E1585" t="s">
        <v>247</v>
      </c>
      <c r="F1585" t="s">
        <v>21</v>
      </c>
      <c r="G1585" t="s">
        <v>71</v>
      </c>
      <c r="H1585" t="s">
        <v>88</v>
      </c>
      <c r="J1585">
        <v>0</v>
      </c>
      <c r="K1585">
        <v>0</v>
      </c>
    </row>
    <row r="1586" spans="2:11" x14ac:dyDescent="0.25">
      <c r="B1586" t="s">
        <v>6</v>
      </c>
      <c r="C1586" t="s">
        <v>306</v>
      </c>
      <c r="D1586">
        <v>703438</v>
      </c>
      <c r="E1586" t="s">
        <v>248</v>
      </c>
      <c r="F1586" t="s">
        <v>21</v>
      </c>
      <c r="G1586" t="s">
        <v>71</v>
      </c>
      <c r="H1586" t="s">
        <v>88</v>
      </c>
      <c r="J1586">
        <v>0</v>
      </c>
      <c r="K1586">
        <v>0</v>
      </c>
    </row>
    <row r="1587" spans="2:11" x14ac:dyDescent="0.25">
      <c r="B1587" t="s">
        <v>6</v>
      </c>
      <c r="C1587" t="s">
        <v>306</v>
      </c>
      <c r="D1587">
        <v>703439</v>
      </c>
      <c r="E1587" t="s">
        <v>249</v>
      </c>
      <c r="F1587" t="s">
        <v>21</v>
      </c>
      <c r="G1587" t="s">
        <v>22</v>
      </c>
      <c r="H1587" t="s">
        <v>23</v>
      </c>
      <c r="J1587">
        <v>0</v>
      </c>
      <c r="K1587">
        <v>0</v>
      </c>
    </row>
    <row r="1588" spans="2:11" x14ac:dyDescent="0.25">
      <c r="B1588" t="s">
        <v>6</v>
      </c>
      <c r="C1588" t="s">
        <v>306</v>
      </c>
      <c r="D1588">
        <v>703440</v>
      </c>
      <c r="E1588" t="s">
        <v>250</v>
      </c>
      <c r="F1588" t="s">
        <v>21</v>
      </c>
      <c r="G1588" t="s">
        <v>61</v>
      </c>
      <c r="H1588" t="s">
        <v>68</v>
      </c>
      <c r="J1588">
        <v>0</v>
      </c>
      <c r="K1588">
        <v>0</v>
      </c>
    </row>
    <row r="1589" spans="2:11" x14ac:dyDescent="0.25">
      <c r="B1589" t="s">
        <v>6</v>
      </c>
      <c r="C1589" t="s">
        <v>306</v>
      </c>
      <c r="D1589">
        <v>703441</v>
      </c>
      <c r="E1589" t="s">
        <v>251</v>
      </c>
      <c r="F1589" t="s">
        <v>21</v>
      </c>
      <c r="G1589" t="s">
        <v>61</v>
      </c>
      <c r="H1589" t="s">
        <v>79</v>
      </c>
      <c r="J1589">
        <v>0</v>
      </c>
      <c r="K1589">
        <v>0</v>
      </c>
    </row>
    <row r="1590" spans="2:11" x14ac:dyDescent="0.25">
      <c r="B1590" t="s">
        <v>6</v>
      </c>
      <c r="C1590" t="s">
        <v>306</v>
      </c>
      <c r="D1590">
        <v>703442</v>
      </c>
      <c r="E1590" t="s">
        <v>252</v>
      </c>
      <c r="F1590" t="s">
        <v>21</v>
      </c>
      <c r="G1590" t="s">
        <v>76</v>
      </c>
      <c r="H1590" t="s">
        <v>77</v>
      </c>
      <c r="J1590">
        <v>0</v>
      </c>
      <c r="K1590">
        <v>0</v>
      </c>
    </row>
    <row r="1591" spans="2:11" x14ac:dyDescent="0.25">
      <c r="B1591" t="s">
        <v>6</v>
      </c>
      <c r="C1591" t="s">
        <v>306</v>
      </c>
      <c r="D1591">
        <v>703443</v>
      </c>
      <c r="E1591" t="s">
        <v>253</v>
      </c>
      <c r="F1591" t="s">
        <v>21</v>
      </c>
      <c r="G1591" t="s">
        <v>71</v>
      </c>
      <c r="H1591" t="s">
        <v>88</v>
      </c>
      <c r="J1591">
        <v>0</v>
      </c>
      <c r="K1591">
        <v>0</v>
      </c>
    </row>
    <row r="1592" spans="2:11" x14ac:dyDescent="0.25">
      <c r="B1592" t="s">
        <v>6</v>
      </c>
      <c r="C1592" t="s">
        <v>306</v>
      </c>
      <c r="D1592">
        <v>703444</v>
      </c>
      <c r="E1592" t="s">
        <v>254</v>
      </c>
      <c r="F1592" t="s">
        <v>21</v>
      </c>
      <c r="G1592" t="s">
        <v>22</v>
      </c>
      <c r="H1592" t="s">
        <v>23</v>
      </c>
      <c r="J1592">
        <v>0</v>
      </c>
      <c r="K1592">
        <v>0</v>
      </c>
    </row>
    <row r="1593" spans="2:11" x14ac:dyDescent="0.25">
      <c r="B1593" t="s">
        <v>6</v>
      </c>
      <c r="C1593" t="s">
        <v>306</v>
      </c>
      <c r="D1593">
        <v>703445</v>
      </c>
      <c r="E1593" t="s">
        <v>255</v>
      </c>
      <c r="F1593" t="s">
        <v>21</v>
      </c>
      <c r="G1593" t="s">
        <v>22</v>
      </c>
      <c r="H1593" t="s">
        <v>23</v>
      </c>
      <c r="J1593">
        <v>0</v>
      </c>
      <c r="K1593">
        <v>0</v>
      </c>
    </row>
    <row r="1594" spans="2:11" x14ac:dyDescent="0.25">
      <c r="B1594" t="s">
        <v>6</v>
      </c>
      <c r="C1594" t="s">
        <v>306</v>
      </c>
      <c r="D1594">
        <v>703446</v>
      </c>
      <c r="E1594" t="s">
        <v>256</v>
      </c>
      <c r="F1594" t="s">
        <v>21</v>
      </c>
      <c r="G1594" t="s">
        <v>22</v>
      </c>
      <c r="H1594" t="s">
        <v>23</v>
      </c>
      <c r="J1594">
        <v>0</v>
      </c>
      <c r="K1594">
        <v>0</v>
      </c>
    </row>
    <row r="1595" spans="2:11" x14ac:dyDescent="0.25">
      <c r="B1595" t="s">
        <v>6</v>
      </c>
      <c r="C1595" t="s">
        <v>306</v>
      </c>
      <c r="D1595">
        <v>703447</v>
      </c>
      <c r="E1595" t="s">
        <v>257</v>
      </c>
      <c r="F1595" t="s">
        <v>21</v>
      </c>
      <c r="G1595" t="s">
        <v>22</v>
      </c>
      <c r="H1595" t="s">
        <v>23</v>
      </c>
      <c r="J1595">
        <v>0</v>
      </c>
      <c r="K1595">
        <v>0</v>
      </c>
    </row>
    <row r="1596" spans="2:11" x14ac:dyDescent="0.25">
      <c r="B1596" t="s">
        <v>6</v>
      </c>
      <c r="C1596" t="s">
        <v>306</v>
      </c>
      <c r="D1596">
        <v>703448</v>
      </c>
      <c r="E1596" t="s">
        <v>258</v>
      </c>
      <c r="F1596" t="s">
        <v>21</v>
      </c>
      <c r="G1596" t="s">
        <v>22</v>
      </c>
      <c r="H1596" t="s">
        <v>23</v>
      </c>
      <c r="J1596">
        <v>0</v>
      </c>
      <c r="K1596">
        <v>0</v>
      </c>
    </row>
    <row r="1597" spans="2:11" x14ac:dyDescent="0.25">
      <c r="B1597" t="s">
        <v>6</v>
      </c>
      <c r="C1597" t="s">
        <v>306</v>
      </c>
      <c r="D1597">
        <v>703449</v>
      </c>
      <c r="E1597" t="s">
        <v>259</v>
      </c>
      <c r="F1597" t="s">
        <v>21</v>
      </c>
      <c r="G1597" t="s">
        <v>22</v>
      </c>
      <c r="H1597" t="s">
        <v>23</v>
      </c>
      <c r="J1597">
        <v>0</v>
      </c>
      <c r="K1597">
        <v>0</v>
      </c>
    </row>
    <row r="1598" spans="2:11" x14ac:dyDescent="0.25">
      <c r="B1598" t="s">
        <v>6</v>
      </c>
      <c r="C1598" t="s">
        <v>306</v>
      </c>
      <c r="D1598">
        <v>703450</v>
      </c>
      <c r="E1598" t="s">
        <v>260</v>
      </c>
      <c r="F1598" t="s">
        <v>21</v>
      </c>
      <c r="G1598" t="s">
        <v>71</v>
      </c>
      <c r="H1598" t="s">
        <v>88</v>
      </c>
      <c r="J1598">
        <v>0</v>
      </c>
      <c r="K1598">
        <v>0</v>
      </c>
    </row>
    <row r="1599" spans="2:11" x14ac:dyDescent="0.25">
      <c r="B1599" t="s">
        <v>6</v>
      </c>
      <c r="C1599" t="s">
        <v>306</v>
      </c>
      <c r="D1599">
        <v>703510</v>
      </c>
      <c r="E1599" t="s">
        <v>261</v>
      </c>
      <c r="F1599" t="s">
        <v>21</v>
      </c>
      <c r="G1599" t="s">
        <v>22</v>
      </c>
      <c r="H1599" t="s">
        <v>23</v>
      </c>
      <c r="J1599">
        <v>0</v>
      </c>
      <c r="K1599">
        <v>0</v>
      </c>
    </row>
    <row r="1600" spans="2:11" x14ac:dyDescent="0.25">
      <c r="B1600" t="s">
        <v>6</v>
      </c>
      <c r="C1600" t="s">
        <v>306</v>
      </c>
      <c r="D1600">
        <v>703511</v>
      </c>
      <c r="E1600" t="s">
        <v>262</v>
      </c>
      <c r="F1600" t="s">
        <v>21</v>
      </c>
      <c r="G1600" t="s">
        <v>22</v>
      </c>
      <c r="H1600" t="s">
        <v>23</v>
      </c>
      <c r="J1600">
        <v>0</v>
      </c>
      <c r="K1600">
        <v>0</v>
      </c>
    </row>
    <row r="1601" spans="2:11" x14ac:dyDescent="0.25">
      <c r="B1601" t="s">
        <v>6</v>
      </c>
      <c r="C1601" t="s">
        <v>306</v>
      </c>
      <c r="D1601">
        <v>703512</v>
      </c>
      <c r="E1601" t="s">
        <v>263</v>
      </c>
      <c r="F1601" t="s">
        <v>21</v>
      </c>
      <c r="G1601" t="s">
        <v>22</v>
      </c>
      <c r="H1601" t="s">
        <v>23</v>
      </c>
      <c r="J1601">
        <v>0</v>
      </c>
      <c r="K1601">
        <v>0</v>
      </c>
    </row>
    <row r="1602" spans="2:11" x14ac:dyDescent="0.25">
      <c r="B1602" t="s">
        <v>6</v>
      </c>
      <c r="C1602" t="s">
        <v>306</v>
      </c>
      <c r="D1602">
        <v>703513</v>
      </c>
      <c r="E1602" t="s">
        <v>264</v>
      </c>
      <c r="F1602" t="s">
        <v>21</v>
      </c>
      <c r="G1602" t="s">
        <v>22</v>
      </c>
      <c r="H1602" t="s">
        <v>23</v>
      </c>
      <c r="J1602">
        <v>0</v>
      </c>
      <c r="K1602">
        <v>0</v>
      </c>
    </row>
    <row r="1603" spans="2:11" x14ac:dyDescent="0.25">
      <c r="B1603" t="s">
        <v>6</v>
      </c>
      <c r="C1603" t="s">
        <v>306</v>
      </c>
      <c r="D1603">
        <v>703514</v>
      </c>
      <c r="E1603" t="s">
        <v>265</v>
      </c>
      <c r="F1603" t="s">
        <v>21</v>
      </c>
      <c r="G1603" t="s">
        <v>22</v>
      </c>
      <c r="H1603" t="s">
        <v>23</v>
      </c>
      <c r="J1603">
        <v>0</v>
      </c>
      <c r="K1603">
        <v>0</v>
      </c>
    </row>
    <row r="1604" spans="2:11" x14ac:dyDescent="0.25">
      <c r="B1604" t="s">
        <v>6</v>
      </c>
      <c r="C1604" t="s">
        <v>306</v>
      </c>
      <c r="D1604">
        <v>703515</v>
      </c>
      <c r="E1604" t="s">
        <v>266</v>
      </c>
      <c r="F1604" t="s">
        <v>21</v>
      </c>
      <c r="G1604" t="s">
        <v>22</v>
      </c>
      <c r="H1604" t="s">
        <v>23</v>
      </c>
      <c r="J1604">
        <v>0</v>
      </c>
      <c r="K1604">
        <v>0</v>
      </c>
    </row>
    <row r="1605" spans="2:11" x14ac:dyDescent="0.25">
      <c r="B1605" t="s">
        <v>6</v>
      </c>
      <c r="C1605" t="s">
        <v>306</v>
      </c>
      <c r="D1605">
        <v>703520</v>
      </c>
      <c r="E1605" t="s">
        <v>267</v>
      </c>
      <c r="F1605" t="s">
        <v>21</v>
      </c>
      <c r="G1605" t="s">
        <v>22</v>
      </c>
      <c r="H1605" t="s">
        <v>23</v>
      </c>
      <c r="J1605">
        <v>0</v>
      </c>
      <c r="K1605">
        <v>0</v>
      </c>
    </row>
    <row r="1606" spans="2:11" x14ac:dyDescent="0.25">
      <c r="B1606" t="s">
        <v>6</v>
      </c>
      <c r="C1606" t="s">
        <v>306</v>
      </c>
      <c r="D1606">
        <v>703530</v>
      </c>
      <c r="E1606" t="s">
        <v>268</v>
      </c>
      <c r="F1606" t="s">
        <v>21</v>
      </c>
      <c r="G1606" t="s">
        <v>22</v>
      </c>
      <c r="H1606" t="s">
        <v>23</v>
      </c>
      <c r="J1606">
        <v>0</v>
      </c>
      <c r="K1606">
        <v>0</v>
      </c>
    </row>
    <row r="1607" spans="2:11" x14ac:dyDescent="0.25">
      <c r="B1607" t="s">
        <v>6</v>
      </c>
      <c r="C1607" t="s">
        <v>306</v>
      </c>
      <c r="D1607">
        <v>703540</v>
      </c>
      <c r="E1607" t="s">
        <v>269</v>
      </c>
      <c r="F1607" t="s">
        <v>21</v>
      </c>
      <c r="G1607" t="s">
        <v>22</v>
      </c>
      <c r="H1607" t="s">
        <v>23</v>
      </c>
      <c r="J1607">
        <v>0</v>
      </c>
      <c r="K1607">
        <v>0</v>
      </c>
    </row>
    <row r="1608" spans="2:11" x14ac:dyDescent="0.25">
      <c r="B1608" t="s">
        <v>6</v>
      </c>
      <c r="C1608" t="s">
        <v>306</v>
      </c>
      <c r="D1608">
        <v>703550</v>
      </c>
      <c r="E1608" t="s">
        <v>270</v>
      </c>
      <c r="F1608" t="s">
        <v>21</v>
      </c>
      <c r="G1608" t="s">
        <v>22</v>
      </c>
      <c r="H1608" t="s">
        <v>23</v>
      </c>
      <c r="J1608">
        <v>0</v>
      </c>
      <c r="K1608">
        <v>0</v>
      </c>
    </row>
    <row r="1609" spans="2:11" x14ac:dyDescent="0.25">
      <c r="B1609" t="s">
        <v>6</v>
      </c>
      <c r="C1609" t="s">
        <v>306</v>
      </c>
      <c r="D1609">
        <v>703560</v>
      </c>
      <c r="E1609" t="s">
        <v>271</v>
      </c>
      <c r="F1609" t="s">
        <v>21</v>
      </c>
      <c r="G1609" t="s">
        <v>22</v>
      </c>
      <c r="H1609" t="s">
        <v>23</v>
      </c>
      <c r="J1609">
        <v>0</v>
      </c>
      <c r="K1609">
        <v>0</v>
      </c>
    </row>
    <row r="1610" spans="2:11" x14ac:dyDescent="0.25">
      <c r="B1610" t="s">
        <v>6</v>
      </c>
      <c r="C1610" t="s">
        <v>306</v>
      </c>
      <c r="D1610">
        <v>703570</v>
      </c>
      <c r="E1610" t="s">
        <v>272</v>
      </c>
      <c r="F1610" t="s">
        <v>21</v>
      </c>
      <c r="G1610" t="s">
        <v>22</v>
      </c>
      <c r="H1610" t="s">
        <v>23</v>
      </c>
      <c r="J1610">
        <v>0</v>
      </c>
      <c r="K1610">
        <v>0</v>
      </c>
    </row>
    <row r="1611" spans="2:11" x14ac:dyDescent="0.25">
      <c r="B1611" t="s">
        <v>6</v>
      </c>
      <c r="C1611" t="s">
        <v>306</v>
      </c>
      <c r="D1611">
        <v>703571</v>
      </c>
      <c r="E1611" t="s">
        <v>273</v>
      </c>
      <c r="F1611" t="s">
        <v>21</v>
      </c>
      <c r="G1611" t="s">
        <v>22</v>
      </c>
      <c r="H1611" t="s">
        <v>23</v>
      </c>
      <c r="J1611">
        <v>0</v>
      </c>
    </row>
    <row r="1612" spans="2:11" x14ac:dyDescent="0.25">
      <c r="B1612" t="s">
        <v>6</v>
      </c>
      <c r="C1612" t="s">
        <v>306</v>
      </c>
      <c r="D1612">
        <v>703572</v>
      </c>
      <c r="E1612" t="s">
        <v>274</v>
      </c>
      <c r="F1612" t="s">
        <v>21</v>
      </c>
      <c r="G1612" t="s">
        <v>22</v>
      </c>
      <c r="H1612" t="s">
        <v>23</v>
      </c>
      <c r="J1612">
        <v>0</v>
      </c>
    </row>
    <row r="1613" spans="2:11" x14ac:dyDescent="0.25">
      <c r="B1613" t="s">
        <v>6</v>
      </c>
      <c r="C1613" t="s">
        <v>306</v>
      </c>
      <c r="D1613">
        <v>703573</v>
      </c>
      <c r="E1613" t="s">
        <v>275</v>
      </c>
      <c r="F1613" t="s">
        <v>21</v>
      </c>
      <c r="G1613" t="s">
        <v>22</v>
      </c>
      <c r="H1613" t="s">
        <v>23</v>
      </c>
      <c r="J1613">
        <v>0</v>
      </c>
    </row>
    <row r="1614" spans="2:11" x14ac:dyDescent="0.25">
      <c r="B1614" t="s">
        <v>6</v>
      </c>
      <c r="C1614" t="s">
        <v>306</v>
      </c>
      <c r="D1614">
        <v>703574</v>
      </c>
      <c r="E1614" t="s">
        <v>276</v>
      </c>
      <c r="F1614" t="s">
        <v>21</v>
      </c>
      <c r="G1614" t="s">
        <v>22</v>
      </c>
      <c r="H1614" t="s">
        <v>23</v>
      </c>
      <c r="J1614">
        <v>0</v>
      </c>
    </row>
    <row r="1615" spans="2:11" x14ac:dyDescent="0.25">
      <c r="B1615" t="s">
        <v>6</v>
      </c>
      <c r="C1615" t="s">
        <v>306</v>
      </c>
      <c r="D1615">
        <v>703580</v>
      </c>
      <c r="E1615" t="s">
        <v>277</v>
      </c>
      <c r="F1615" t="s">
        <v>21</v>
      </c>
      <c r="G1615" t="s">
        <v>22</v>
      </c>
      <c r="H1615" t="s">
        <v>23</v>
      </c>
      <c r="J1615">
        <v>0</v>
      </c>
      <c r="K1615">
        <v>0</v>
      </c>
    </row>
    <row r="1616" spans="2:11" x14ac:dyDescent="0.25">
      <c r="B1616" t="s">
        <v>6</v>
      </c>
      <c r="C1616" t="s">
        <v>306</v>
      </c>
      <c r="D1616">
        <v>703590</v>
      </c>
      <c r="E1616" t="s">
        <v>278</v>
      </c>
      <c r="F1616" t="s">
        <v>21</v>
      </c>
      <c r="G1616" t="s">
        <v>22</v>
      </c>
      <c r="H1616" t="s">
        <v>23</v>
      </c>
      <c r="J1616">
        <v>0</v>
      </c>
      <c r="K1616">
        <v>0</v>
      </c>
    </row>
    <row r="1617" spans="2:11" x14ac:dyDescent="0.25">
      <c r="B1617" t="s">
        <v>6</v>
      </c>
      <c r="C1617" t="s">
        <v>306</v>
      </c>
      <c r="D1617">
        <v>703650</v>
      </c>
      <c r="E1617" t="s">
        <v>279</v>
      </c>
      <c r="F1617" t="s">
        <v>21</v>
      </c>
      <c r="G1617" t="s">
        <v>22</v>
      </c>
      <c r="H1617" t="s">
        <v>23</v>
      </c>
      <c r="J1617">
        <v>0</v>
      </c>
      <c r="K1617">
        <v>0</v>
      </c>
    </row>
    <row r="1618" spans="2:11" x14ac:dyDescent="0.25">
      <c r="B1618" t="s">
        <v>6</v>
      </c>
      <c r="C1618" t="s">
        <v>306</v>
      </c>
      <c r="D1618">
        <v>703651</v>
      </c>
      <c r="E1618" t="s">
        <v>280</v>
      </c>
      <c r="F1618" t="s">
        <v>21</v>
      </c>
      <c r="G1618" t="s">
        <v>22</v>
      </c>
      <c r="H1618" t="s">
        <v>23</v>
      </c>
      <c r="J1618">
        <v>0</v>
      </c>
      <c r="K1618">
        <v>0</v>
      </c>
    </row>
    <row r="1619" spans="2:11" x14ac:dyDescent="0.25">
      <c r="B1619" t="s">
        <v>6</v>
      </c>
      <c r="C1619" t="s">
        <v>306</v>
      </c>
      <c r="D1619">
        <v>703850</v>
      </c>
      <c r="E1619" t="s">
        <v>281</v>
      </c>
      <c r="F1619" t="s">
        <v>21</v>
      </c>
      <c r="G1619" t="s">
        <v>22</v>
      </c>
      <c r="H1619" t="s">
        <v>23</v>
      </c>
      <c r="J1619">
        <v>0</v>
      </c>
      <c r="K1619">
        <v>0</v>
      </c>
    </row>
    <row r="1620" spans="2:11" x14ac:dyDescent="0.25">
      <c r="B1620" t="s">
        <v>6</v>
      </c>
      <c r="C1620" t="s">
        <v>306</v>
      </c>
      <c r="D1620">
        <v>703851</v>
      </c>
      <c r="E1620" t="s">
        <v>282</v>
      </c>
      <c r="F1620" t="s">
        <v>21</v>
      </c>
      <c r="G1620" t="s">
        <v>22</v>
      </c>
      <c r="H1620" t="s">
        <v>23</v>
      </c>
      <c r="J1620">
        <v>0</v>
      </c>
      <c r="K1620">
        <v>0</v>
      </c>
    </row>
    <row r="1621" spans="2:11" x14ac:dyDescent="0.25">
      <c r="B1621" t="s">
        <v>6</v>
      </c>
      <c r="C1621" t="s">
        <v>306</v>
      </c>
      <c r="D1621">
        <v>703852</v>
      </c>
      <c r="E1621" t="s">
        <v>283</v>
      </c>
      <c r="F1621" t="s">
        <v>21</v>
      </c>
      <c r="G1621" t="s">
        <v>22</v>
      </c>
      <c r="H1621" t="s">
        <v>23</v>
      </c>
      <c r="J1621">
        <v>0</v>
      </c>
      <c r="K1621">
        <v>0</v>
      </c>
    </row>
    <row r="1622" spans="2:11" x14ac:dyDescent="0.25">
      <c r="B1622" t="s">
        <v>6</v>
      </c>
      <c r="C1622" t="s">
        <v>306</v>
      </c>
      <c r="D1622">
        <v>703853</v>
      </c>
      <c r="E1622" t="s">
        <v>284</v>
      </c>
      <c r="F1622" t="s">
        <v>21</v>
      </c>
      <c r="G1622" t="s">
        <v>22</v>
      </c>
      <c r="H1622" t="s">
        <v>23</v>
      </c>
      <c r="J1622">
        <v>0</v>
      </c>
      <c r="K1622">
        <v>0</v>
      </c>
    </row>
    <row r="1623" spans="2:11" x14ac:dyDescent="0.25">
      <c r="B1623" t="s">
        <v>6</v>
      </c>
      <c r="C1623" t="s">
        <v>306</v>
      </c>
      <c r="D1623">
        <v>703854</v>
      </c>
      <c r="E1623" t="s">
        <v>285</v>
      </c>
      <c r="F1623" t="s">
        <v>21</v>
      </c>
      <c r="G1623" t="s">
        <v>22</v>
      </c>
      <c r="H1623" t="s">
        <v>115</v>
      </c>
      <c r="J1623">
        <v>0</v>
      </c>
      <c r="K1623">
        <v>0</v>
      </c>
    </row>
    <row r="1624" spans="2:11" x14ac:dyDescent="0.25">
      <c r="B1624" t="s">
        <v>6</v>
      </c>
      <c r="C1624" t="s">
        <v>306</v>
      </c>
      <c r="D1624">
        <v>703855</v>
      </c>
      <c r="E1624" t="s">
        <v>286</v>
      </c>
      <c r="F1624" t="s">
        <v>21</v>
      </c>
      <c r="G1624" t="s">
        <v>22</v>
      </c>
      <c r="H1624" t="s">
        <v>23</v>
      </c>
      <c r="J1624">
        <v>0</v>
      </c>
      <c r="K1624">
        <v>0</v>
      </c>
    </row>
    <row r="1625" spans="2:11" x14ac:dyDescent="0.25">
      <c r="B1625" t="s">
        <v>6</v>
      </c>
      <c r="C1625" t="s">
        <v>306</v>
      </c>
      <c r="D1625">
        <v>703856</v>
      </c>
      <c r="E1625" t="s">
        <v>287</v>
      </c>
      <c r="F1625" t="s">
        <v>21</v>
      </c>
      <c r="G1625" t="s">
        <v>22</v>
      </c>
      <c r="H1625" t="s">
        <v>23</v>
      </c>
      <c r="J1625">
        <v>0</v>
      </c>
      <c r="K1625">
        <v>0</v>
      </c>
    </row>
    <row r="1626" spans="2:11" x14ac:dyDescent="0.25">
      <c r="B1626" t="s">
        <v>6</v>
      </c>
      <c r="C1626" t="s">
        <v>306</v>
      </c>
      <c r="D1626">
        <v>703857</v>
      </c>
      <c r="E1626" t="s">
        <v>288</v>
      </c>
      <c r="F1626" t="s">
        <v>21</v>
      </c>
      <c r="G1626" t="s">
        <v>71</v>
      </c>
      <c r="H1626" t="s">
        <v>88</v>
      </c>
      <c r="J1626">
        <v>0</v>
      </c>
      <c r="K1626">
        <v>0</v>
      </c>
    </row>
    <row r="1627" spans="2:11" x14ac:dyDescent="0.25">
      <c r="B1627" t="s">
        <v>6</v>
      </c>
      <c r="C1627" t="s">
        <v>306</v>
      </c>
      <c r="D1627">
        <v>703858</v>
      </c>
      <c r="E1627" t="s">
        <v>289</v>
      </c>
      <c r="F1627" t="s">
        <v>21</v>
      </c>
      <c r="G1627" t="s">
        <v>22</v>
      </c>
      <c r="H1627" t="s">
        <v>23</v>
      </c>
      <c r="J1627">
        <v>0</v>
      </c>
      <c r="K1627">
        <v>0</v>
      </c>
    </row>
    <row r="1628" spans="2:11" x14ac:dyDescent="0.25">
      <c r="B1628" t="s">
        <v>6</v>
      </c>
      <c r="C1628" t="s">
        <v>306</v>
      </c>
      <c r="D1628">
        <v>703859</v>
      </c>
      <c r="E1628" t="s">
        <v>290</v>
      </c>
      <c r="F1628" t="s">
        <v>21</v>
      </c>
      <c r="G1628" t="s">
        <v>22</v>
      </c>
      <c r="H1628" t="s">
        <v>23</v>
      </c>
      <c r="J1628">
        <v>0</v>
      </c>
      <c r="K1628">
        <v>0</v>
      </c>
    </row>
    <row r="1629" spans="2:11" x14ac:dyDescent="0.25">
      <c r="B1629" t="s">
        <v>6</v>
      </c>
      <c r="C1629" t="s">
        <v>306</v>
      </c>
      <c r="D1629">
        <v>703860</v>
      </c>
      <c r="E1629" t="s">
        <v>291</v>
      </c>
      <c r="F1629" t="s">
        <v>21</v>
      </c>
      <c r="G1629" t="s">
        <v>22</v>
      </c>
      <c r="H1629" t="s">
        <v>23</v>
      </c>
      <c r="J1629">
        <v>0</v>
      </c>
      <c r="K1629">
        <v>0</v>
      </c>
    </row>
    <row r="1630" spans="2:11" x14ac:dyDescent="0.25">
      <c r="B1630" t="s">
        <v>6</v>
      </c>
      <c r="C1630" t="s">
        <v>306</v>
      </c>
      <c r="D1630">
        <v>703861</v>
      </c>
      <c r="E1630" t="s">
        <v>292</v>
      </c>
      <c r="F1630" t="s">
        <v>21</v>
      </c>
      <c r="G1630" t="s">
        <v>22</v>
      </c>
      <c r="H1630" t="s">
        <v>23</v>
      </c>
      <c r="J1630">
        <v>0</v>
      </c>
      <c r="K1630">
        <v>0</v>
      </c>
    </row>
    <row r="1631" spans="2:11" x14ac:dyDescent="0.25">
      <c r="B1631" t="s">
        <v>6</v>
      </c>
      <c r="C1631" t="s">
        <v>306</v>
      </c>
      <c r="D1631">
        <v>703862</v>
      </c>
      <c r="E1631" t="s">
        <v>293</v>
      </c>
      <c r="F1631" t="s">
        <v>21</v>
      </c>
      <c r="G1631" t="s">
        <v>22</v>
      </c>
      <c r="H1631" t="s">
        <v>23</v>
      </c>
      <c r="J1631">
        <v>0</v>
      </c>
      <c r="K1631">
        <v>0</v>
      </c>
    </row>
    <row r="1632" spans="2:11" x14ac:dyDescent="0.25">
      <c r="B1632" t="s">
        <v>6</v>
      </c>
      <c r="C1632" t="s">
        <v>306</v>
      </c>
      <c r="D1632">
        <v>703870</v>
      </c>
      <c r="E1632" t="s">
        <v>294</v>
      </c>
      <c r="F1632" t="s">
        <v>21</v>
      </c>
      <c r="G1632" t="s">
        <v>22</v>
      </c>
      <c r="H1632" t="s">
        <v>23</v>
      </c>
      <c r="J1632">
        <v>0</v>
      </c>
      <c r="K1632">
        <v>0</v>
      </c>
    </row>
    <row r="1633" spans="2:11" x14ac:dyDescent="0.25">
      <c r="B1633" t="s">
        <v>6</v>
      </c>
      <c r="C1633" t="s">
        <v>306</v>
      </c>
      <c r="D1633">
        <v>703880</v>
      </c>
      <c r="E1633" t="s">
        <v>295</v>
      </c>
      <c r="F1633" t="s">
        <v>21</v>
      </c>
      <c r="G1633" t="s">
        <v>22</v>
      </c>
      <c r="H1633" t="s">
        <v>23</v>
      </c>
      <c r="J1633">
        <v>0</v>
      </c>
      <c r="K1633">
        <v>0</v>
      </c>
    </row>
    <row r="1634" spans="2:11" x14ac:dyDescent="0.25">
      <c r="B1634" t="s">
        <v>6</v>
      </c>
      <c r="C1634" t="s">
        <v>306</v>
      </c>
      <c r="D1634">
        <v>703899</v>
      </c>
      <c r="E1634" t="s">
        <v>296</v>
      </c>
      <c r="F1634" t="s">
        <v>21</v>
      </c>
      <c r="G1634" t="s">
        <v>22</v>
      </c>
      <c r="H1634" t="s">
        <v>23</v>
      </c>
      <c r="J1634">
        <v>0</v>
      </c>
      <c r="K1634">
        <v>0</v>
      </c>
    </row>
    <row r="1635" spans="2:11" x14ac:dyDescent="0.25">
      <c r="B1635" t="s">
        <v>6</v>
      </c>
      <c r="C1635" t="s">
        <v>306</v>
      </c>
      <c r="D1635">
        <v>706700</v>
      </c>
      <c r="E1635" t="s">
        <v>25</v>
      </c>
      <c r="F1635" t="s">
        <v>26</v>
      </c>
      <c r="G1635" t="s">
        <v>27</v>
      </c>
      <c r="H1635" t="s">
        <v>28</v>
      </c>
      <c r="J1635">
        <v>0</v>
      </c>
      <c r="K1635">
        <v>0</v>
      </c>
    </row>
    <row r="1636" spans="2:11" x14ac:dyDescent="0.25">
      <c r="B1636" t="s">
        <v>6</v>
      </c>
      <c r="C1636" t="s">
        <v>306</v>
      </c>
      <c r="D1636" t="s">
        <v>29</v>
      </c>
      <c r="E1636" t="s">
        <v>30</v>
      </c>
      <c r="F1636" t="s">
        <v>26</v>
      </c>
      <c r="G1636" t="s">
        <v>27</v>
      </c>
      <c r="H1636" t="s">
        <v>31</v>
      </c>
      <c r="J1636">
        <v>0</v>
      </c>
      <c r="K1636">
        <v>0</v>
      </c>
    </row>
    <row r="1637" spans="2:11" x14ac:dyDescent="0.25">
      <c r="B1637" t="s">
        <v>6</v>
      </c>
      <c r="C1637" t="s">
        <v>306</v>
      </c>
      <c r="D1637" t="s">
        <v>32</v>
      </c>
      <c r="E1637" t="s">
        <v>33</v>
      </c>
      <c r="F1637" t="s">
        <v>26</v>
      </c>
      <c r="G1637" t="s">
        <v>27</v>
      </c>
      <c r="H1637" t="s">
        <v>28</v>
      </c>
      <c r="J1637">
        <v>0</v>
      </c>
      <c r="K1637">
        <v>0</v>
      </c>
    </row>
    <row r="1638" spans="2:11" x14ac:dyDescent="0.25">
      <c r="B1638" t="s">
        <v>6</v>
      </c>
      <c r="C1638" t="s">
        <v>306</v>
      </c>
      <c r="D1638" t="s">
        <v>34</v>
      </c>
      <c r="E1638" t="s">
        <v>35</v>
      </c>
      <c r="F1638" t="s">
        <v>26</v>
      </c>
      <c r="G1638" t="s">
        <v>36</v>
      </c>
      <c r="H1638" t="s">
        <v>36</v>
      </c>
      <c r="J1638">
        <v>0</v>
      </c>
      <c r="K1638">
        <v>0</v>
      </c>
    </row>
    <row r="1639" spans="2:11" x14ac:dyDescent="0.25">
      <c r="B1639" t="s">
        <v>6</v>
      </c>
      <c r="C1639" t="s">
        <v>306</v>
      </c>
      <c r="D1639" t="s">
        <v>37</v>
      </c>
      <c r="E1639" t="s">
        <v>38</v>
      </c>
      <c r="F1639" t="s">
        <v>21</v>
      </c>
      <c r="G1639" t="s">
        <v>39</v>
      </c>
      <c r="H1639" t="s">
        <v>39</v>
      </c>
      <c r="J1639">
        <v>0</v>
      </c>
      <c r="K1639">
        <v>0</v>
      </c>
    </row>
    <row r="1640" spans="2:11" x14ac:dyDescent="0.25">
      <c r="B1640" t="s">
        <v>6</v>
      </c>
      <c r="C1640" t="s">
        <v>306</v>
      </c>
      <c r="D1640" t="s">
        <v>40</v>
      </c>
      <c r="E1640" t="s">
        <v>41</v>
      </c>
      <c r="F1640" t="s">
        <v>26</v>
      </c>
      <c r="G1640" t="s">
        <v>39</v>
      </c>
      <c r="H1640" t="s">
        <v>39</v>
      </c>
      <c r="J1640">
        <v>0</v>
      </c>
      <c r="K1640">
        <v>0</v>
      </c>
    </row>
    <row r="1641" spans="2:11" x14ac:dyDescent="0.25">
      <c r="B1641" t="s">
        <v>6</v>
      </c>
      <c r="C1641" t="s">
        <v>306</v>
      </c>
      <c r="D1641" t="s">
        <v>42</v>
      </c>
      <c r="E1641" t="s">
        <v>43</v>
      </c>
      <c r="F1641" t="s">
        <v>21</v>
      </c>
      <c r="G1641" t="s">
        <v>44</v>
      </c>
      <c r="H1641" t="s">
        <v>44</v>
      </c>
      <c r="J1641">
        <v>0</v>
      </c>
      <c r="K1641">
        <v>0</v>
      </c>
    </row>
    <row r="1642" spans="2:11" x14ac:dyDescent="0.25">
      <c r="B1642" t="s">
        <v>6</v>
      </c>
      <c r="C1642" t="s">
        <v>306</v>
      </c>
      <c r="D1642" t="s">
        <v>45</v>
      </c>
      <c r="E1642" t="s">
        <v>46</v>
      </c>
      <c r="F1642" t="s">
        <v>26</v>
      </c>
      <c r="G1642" t="s">
        <v>44</v>
      </c>
      <c r="H1642" t="s">
        <v>44</v>
      </c>
      <c r="J1642">
        <v>0</v>
      </c>
      <c r="K1642">
        <v>0</v>
      </c>
    </row>
    <row r="1643" spans="2:11" x14ac:dyDescent="0.25">
      <c r="B1643" t="s">
        <v>6</v>
      </c>
      <c r="C1643" t="s">
        <v>306</v>
      </c>
      <c r="D1643" t="s">
        <v>297</v>
      </c>
      <c r="E1643" t="s">
        <v>298</v>
      </c>
      <c r="F1643" t="s">
        <v>26</v>
      </c>
      <c r="G1643" t="s">
        <v>299</v>
      </c>
      <c r="H1643" t="s">
        <v>299</v>
      </c>
      <c r="J1643">
        <v>0</v>
      </c>
    </row>
    <row r="1644" spans="2:11" x14ac:dyDescent="0.25">
      <c r="B1644" t="s">
        <v>6</v>
      </c>
      <c r="C1644" t="s">
        <v>306</v>
      </c>
      <c r="D1644" t="s">
        <v>300</v>
      </c>
      <c r="E1644" t="s">
        <v>301</v>
      </c>
      <c r="F1644" t="s">
        <v>21</v>
      </c>
      <c r="G1644" t="s">
        <v>299</v>
      </c>
      <c r="H1644" t="s">
        <v>299</v>
      </c>
      <c r="J1644">
        <v>0</v>
      </c>
    </row>
    <row r="1645" spans="2:11" x14ac:dyDescent="0.25">
      <c r="B1645" t="s">
        <v>6</v>
      </c>
      <c r="C1645" t="s">
        <v>306</v>
      </c>
      <c r="D1645" t="s">
        <v>47</v>
      </c>
      <c r="E1645" t="s">
        <v>48</v>
      </c>
      <c r="F1645" t="s">
        <v>26</v>
      </c>
      <c r="G1645" t="s">
        <v>49</v>
      </c>
      <c r="H1645" t="s">
        <v>49</v>
      </c>
      <c r="J1645">
        <v>0</v>
      </c>
      <c r="K1645">
        <v>0</v>
      </c>
    </row>
    <row r="1646" spans="2:11" x14ac:dyDescent="0.25">
      <c r="B1646" t="s">
        <v>6</v>
      </c>
      <c r="C1646" t="s">
        <v>307</v>
      </c>
      <c r="D1646">
        <v>701000</v>
      </c>
      <c r="E1646" t="s">
        <v>51</v>
      </c>
      <c r="F1646" t="s">
        <v>21</v>
      </c>
      <c r="G1646" t="s">
        <v>52</v>
      </c>
      <c r="H1646" t="s">
        <v>53</v>
      </c>
      <c r="J1646">
        <v>0</v>
      </c>
      <c r="K1646">
        <v>0</v>
      </c>
    </row>
    <row r="1647" spans="2:11" x14ac:dyDescent="0.25">
      <c r="B1647" t="s">
        <v>6</v>
      </c>
      <c r="C1647" t="s">
        <v>307</v>
      </c>
      <c r="D1647">
        <v>701008</v>
      </c>
      <c r="E1647" t="s">
        <v>54</v>
      </c>
      <c r="F1647" t="s">
        <v>21</v>
      </c>
      <c r="G1647" t="s">
        <v>52</v>
      </c>
      <c r="H1647" t="s">
        <v>53</v>
      </c>
      <c r="J1647">
        <v>0</v>
      </c>
      <c r="K1647">
        <v>0</v>
      </c>
    </row>
    <row r="1648" spans="2:11" x14ac:dyDescent="0.25">
      <c r="B1648" t="s">
        <v>6</v>
      </c>
      <c r="C1648" t="s">
        <v>307</v>
      </c>
      <c r="D1648">
        <v>701009</v>
      </c>
      <c r="E1648" t="s">
        <v>55</v>
      </c>
      <c r="F1648" t="s">
        <v>21</v>
      </c>
      <c r="G1648" t="s">
        <v>52</v>
      </c>
      <c r="H1648" t="s">
        <v>53</v>
      </c>
      <c r="J1648">
        <v>0</v>
      </c>
      <c r="K1648">
        <v>0</v>
      </c>
    </row>
    <row r="1649" spans="2:11" x14ac:dyDescent="0.25">
      <c r="B1649" t="s">
        <v>6</v>
      </c>
      <c r="C1649" t="s">
        <v>307</v>
      </c>
      <c r="D1649">
        <v>701010</v>
      </c>
      <c r="E1649" t="s">
        <v>56</v>
      </c>
      <c r="F1649" t="s">
        <v>21</v>
      </c>
      <c r="G1649" t="s">
        <v>52</v>
      </c>
      <c r="H1649" t="s">
        <v>57</v>
      </c>
      <c r="J1649">
        <v>0</v>
      </c>
      <c r="K1649">
        <v>0</v>
      </c>
    </row>
    <row r="1650" spans="2:11" x14ac:dyDescent="0.25">
      <c r="B1650" t="s">
        <v>6</v>
      </c>
      <c r="C1650" t="s">
        <v>307</v>
      </c>
      <c r="D1650">
        <v>701011</v>
      </c>
      <c r="E1650" t="s">
        <v>58</v>
      </c>
      <c r="F1650" t="s">
        <v>21</v>
      </c>
      <c r="G1650" t="s">
        <v>52</v>
      </c>
      <c r="H1650" t="s">
        <v>53</v>
      </c>
      <c r="J1650">
        <v>0</v>
      </c>
      <c r="K1650">
        <v>0</v>
      </c>
    </row>
    <row r="1651" spans="2:11" x14ac:dyDescent="0.25">
      <c r="B1651" t="s">
        <v>6</v>
      </c>
      <c r="C1651" t="s">
        <v>307</v>
      </c>
      <c r="D1651">
        <v>701012</v>
      </c>
      <c r="E1651" t="s">
        <v>59</v>
      </c>
      <c r="F1651" t="s">
        <v>21</v>
      </c>
      <c r="G1651" t="s">
        <v>52</v>
      </c>
      <c r="H1651" t="s">
        <v>53</v>
      </c>
      <c r="J1651">
        <v>0</v>
      </c>
      <c r="K1651">
        <v>0</v>
      </c>
    </row>
    <row r="1652" spans="2:11" x14ac:dyDescent="0.25">
      <c r="B1652" t="s">
        <v>6</v>
      </c>
      <c r="C1652" t="s">
        <v>307</v>
      </c>
      <c r="D1652">
        <v>701013</v>
      </c>
      <c r="E1652" t="s">
        <v>60</v>
      </c>
      <c r="F1652" t="s">
        <v>21</v>
      </c>
      <c r="G1652" t="s">
        <v>61</v>
      </c>
      <c r="H1652" t="s">
        <v>62</v>
      </c>
      <c r="J1652">
        <v>0</v>
      </c>
      <c r="K1652">
        <v>0</v>
      </c>
    </row>
    <row r="1653" spans="2:11" x14ac:dyDescent="0.25">
      <c r="B1653" t="s">
        <v>6</v>
      </c>
      <c r="C1653" t="s">
        <v>307</v>
      </c>
      <c r="D1653">
        <v>701014</v>
      </c>
      <c r="E1653" t="s">
        <v>63</v>
      </c>
      <c r="F1653" t="s">
        <v>21</v>
      </c>
      <c r="G1653" t="s">
        <v>61</v>
      </c>
      <c r="H1653" t="s">
        <v>64</v>
      </c>
      <c r="J1653">
        <v>0</v>
      </c>
      <c r="K1653">
        <v>0</v>
      </c>
    </row>
    <row r="1654" spans="2:11" x14ac:dyDescent="0.25">
      <c r="B1654" t="s">
        <v>6</v>
      </c>
      <c r="C1654" t="s">
        <v>307</v>
      </c>
      <c r="D1654">
        <v>701015</v>
      </c>
      <c r="E1654" t="s">
        <v>65</v>
      </c>
      <c r="F1654" t="s">
        <v>21</v>
      </c>
      <c r="G1654" t="s">
        <v>52</v>
      </c>
      <c r="H1654" t="s">
        <v>53</v>
      </c>
      <c r="J1654">
        <v>0</v>
      </c>
      <c r="K1654">
        <v>0</v>
      </c>
    </row>
    <row r="1655" spans="2:11" x14ac:dyDescent="0.25">
      <c r="B1655" t="s">
        <v>6</v>
      </c>
      <c r="C1655" t="s">
        <v>307</v>
      </c>
      <c r="D1655">
        <v>701016</v>
      </c>
      <c r="E1655" t="s">
        <v>66</v>
      </c>
      <c r="F1655" t="s">
        <v>21</v>
      </c>
      <c r="G1655" t="s">
        <v>52</v>
      </c>
      <c r="H1655" t="s">
        <v>53</v>
      </c>
      <c r="J1655">
        <v>0</v>
      </c>
      <c r="K1655">
        <v>0</v>
      </c>
    </row>
    <row r="1656" spans="2:11" x14ac:dyDescent="0.25">
      <c r="B1656" t="s">
        <v>6</v>
      </c>
      <c r="C1656" t="s">
        <v>307</v>
      </c>
      <c r="D1656">
        <v>701017</v>
      </c>
      <c r="E1656" t="s">
        <v>67</v>
      </c>
      <c r="F1656" t="s">
        <v>21</v>
      </c>
      <c r="G1656" t="s">
        <v>61</v>
      </c>
      <c r="H1656" t="s">
        <v>68</v>
      </c>
      <c r="J1656">
        <v>0</v>
      </c>
      <c r="K1656">
        <v>0</v>
      </c>
    </row>
    <row r="1657" spans="2:11" x14ac:dyDescent="0.25">
      <c r="B1657" t="s">
        <v>6</v>
      </c>
      <c r="C1657" t="s">
        <v>307</v>
      </c>
      <c r="D1657">
        <v>701018</v>
      </c>
      <c r="E1657" t="s">
        <v>69</v>
      </c>
      <c r="F1657" t="s">
        <v>21</v>
      </c>
      <c r="G1657" t="s">
        <v>61</v>
      </c>
      <c r="H1657" t="s">
        <v>68</v>
      </c>
      <c r="J1657">
        <v>0</v>
      </c>
      <c r="K1657">
        <v>0</v>
      </c>
    </row>
    <row r="1658" spans="2:11" x14ac:dyDescent="0.25">
      <c r="B1658" t="s">
        <v>6</v>
      </c>
      <c r="C1658" t="s">
        <v>307</v>
      </c>
      <c r="D1658">
        <v>701019</v>
      </c>
      <c r="E1658" t="s">
        <v>70</v>
      </c>
      <c r="F1658" t="s">
        <v>21</v>
      </c>
      <c r="G1658" t="s">
        <v>71</v>
      </c>
      <c r="H1658" t="s">
        <v>72</v>
      </c>
      <c r="J1658">
        <v>0</v>
      </c>
      <c r="K1658">
        <v>0</v>
      </c>
    </row>
    <row r="1659" spans="2:11" x14ac:dyDescent="0.25">
      <c r="B1659" t="s">
        <v>6</v>
      </c>
      <c r="C1659" t="s">
        <v>307</v>
      </c>
      <c r="D1659">
        <v>701020</v>
      </c>
      <c r="E1659" t="s">
        <v>73</v>
      </c>
      <c r="F1659" t="s">
        <v>21</v>
      </c>
      <c r="G1659" t="s">
        <v>52</v>
      </c>
      <c r="H1659" t="s">
        <v>53</v>
      </c>
      <c r="J1659">
        <v>0</v>
      </c>
      <c r="K1659">
        <v>0</v>
      </c>
    </row>
    <row r="1660" spans="2:11" x14ac:dyDescent="0.25">
      <c r="B1660" t="s">
        <v>6</v>
      </c>
      <c r="C1660" t="s">
        <v>307</v>
      </c>
      <c r="D1660">
        <v>701021</v>
      </c>
      <c r="E1660" t="s">
        <v>74</v>
      </c>
      <c r="F1660" t="s">
        <v>21</v>
      </c>
      <c r="G1660" t="s">
        <v>61</v>
      </c>
      <c r="H1660" t="s">
        <v>74</v>
      </c>
      <c r="J1660">
        <v>0</v>
      </c>
      <c r="K1660">
        <v>0</v>
      </c>
    </row>
    <row r="1661" spans="2:11" x14ac:dyDescent="0.25">
      <c r="B1661" t="s">
        <v>6</v>
      </c>
      <c r="C1661" t="s">
        <v>307</v>
      </c>
      <c r="D1661">
        <v>701022</v>
      </c>
      <c r="E1661" t="s">
        <v>75</v>
      </c>
      <c r="F1661" t="s">
        <v>21</v>
      </c>
      <c r="G1661" t="s">
        <v>76</v>
      </c>
      <c r="H1661" t="s">
        <v>77</v>
      </c>
      <c r="J1661">
        <v>0</v>
      </c>
      <c r="K1661">
        <v>0</v>
      </c>
    </row>
    <row r="1662" spans="2:11" x14ac:dyDescent="0.25">
      <c r="B1662" t="s">
        <v>6</v>
      </c>
      <c r="C1662" t="s">
        <v>307</v>
      </c>
      <c r="D1662">
        <v>701023</v>
      </c>
      <c r="E1662" t="s">
        <v>78</v>
      </c>
      <c r="F1662" t="s">
        <v>21</v>
      </c>
      <c r="G1662" t="s">
        <v>61</v>
      </c>
      <c r="H1662" t="s">
        <v>79</v>
      </c>
      <c r="J1662">
        <v>0</v>
      </c>
      <c r="K1662">
        <v>0</v>
      </c>
    </row>
    <row r="1663" spans="2:11" x14ac:dyDescent="0.25">
      <c r="B1663" t="s">
        <v>6</v>
      </c>
      <c r="C1663" t="s">
        <v>307</v>
      </c>
      <c r="D1663">
        <v>701024</v>
      </c>
      <c r="E1663" t="s">
        <v>80</v>
      </c>
      <c r="F1663" t="s">
        <v>21</v>
      </c>
      <c r="G1663" t="s">
        <v>76</v>
      </c>
      <c r="H1663" t="s">
        <v>77</v>
      </c>
      <c r="J1663">
        <v>0</v>
      </c>
      <c r="K1663">
        <v>0</v>
      </c>
    </row>
    <row r="1664" spans="2:11" x14ac:dyDescent="0.25">
      <c r="B1664" t="s">
        <v>6</v>
      </c>
      <c r="C1664" t="s">
        <v>307</v>
      </c>
      <c r="D1664">
        <v>701025</v>
      </c>
      <c r="E1664" t="s">
        <v>81</v>
      </c>
      <c r="F1664" t="s">
        <v>21</v>
      </c>
      <c r="G1664" t="s">
        <v>71</v>
      </c>
      <c r="H1664" t="s">
        <v>82</v>
      </c>
      <c r="J1664">
        <v>0</v>
      </c>
      <c r="K1664">
        <v>0</v>
      </c>
    </row>
    <row r="1665" spans="2:11" x14ac:dyDescent="0.25">
      <c r="B1665" t="s">
        <v>6</v>
      </c>
      <c r="C1665" t="s">
        <v>307</v>
      </c>
      <c r="D1665">
        <v>701026</v>
      </c>
      <c r="E1665" t="s">
        <v>83</v>
      </c>
      <c r="F1665" t="s">
        <v>21</v>
      </c>
      <c r="G1665" t="s">
        <v>76</v>
      </c>
      <c r="H1665" t="s">
        <v>77</v>
      </c>
      <c r="J1665">
        <v>0</v>
      </c>
      <c r="K1665">
        <v>0</v>
      </c>
    </row>
    <row r="1666" spans="2:11" x14ac:dyDescent="0.25">
      <c r="B1666" t="s">
        <v>6</v>
      </c>
      <c r="C1666" t="s">
        <v>307</v>
      </c>
      <c r="D1666">
        <v>701027</v>
      </c>
      <c r="E1666" t="s">
        <v>84</v>
      </c>
      <c r="F1666" t="s">
        <v>21</v>
      </c>
      <c r="G1666" t="s">
        <v>76</v>
      </c>
      <c r="H1666" t="s">
        <v>77</v>
      </c>
      <c r="J1666">
        <v>0</v>
      </c>
      <c r="K1666">
        <v>0</v>
      </c>
    </row>
    <row r="1667" spans="2:11" x14ac:dyDescent="0.25">
      <c r="B1667" t="s">
        <v>6</v>
      </c>
      <c r="C1667" t="s">
        <v>307</v>
      </c>
      <c r="D1667">
        <v>701028</v>
      </c>
      <c r="E1667" t="s">
        <v>85</v>
      </c>
      <c r="F1667" t="s">
        <v>21</v>
      </c>
      <c r="G1667" t="s">
        <v>61</v>
      </c>
      <c r="H1667" t="s">
        <v>68</v>
      </c>
      <c r="J1667">
        <v>0</v>
      </c>
      <c r="K1667">
        <v>0</v>
      </c>
    </row>
    <row r="1668" spans="2:11" x14ac:dyDescent="0.25">
      <c r="B1668" t="s">
        <v>6</v>
      </c>
      <c r="C1668" t="s">
        <v>307</v>
      </c>
      <c r="D1668">
        <v>701029</v>
      </c>
      <c r="E1668" t="s">
        <v>86</v>
      </c>
      <c r="F1668" t="s">
        <v>21</v>
      </c>
      <c r="G1668" t="s">
        <v>61</v>
      </c>
      <c r="H1668" t="s">
        <v>68</v>
      </c>
      <c r="J1668">
        <v>0</v>
      </c>
      <c r="K1668">
        <v>0</v>
      </c>
    </row>
    <row r="1669" spans="2:11" x14ac:dyDescent="0.25">
      <c r="B1669" t="s">
        <v>6</v>
      </c>
      <c r="C1669" t="s">
        <v>307</v>
      </c>
      <c r="D1669">
        <v>701030</v>
      </c>
      <c r="E1669" t="s">
        <v>87</v>
      </c>
      <c r="F1669" t="s">
        <v>21</v>
      </c>
      <c r="G1669" t="s">
        <v>71</v>
      </c>
      <c r="H1669" t="s">
        <v>88</v>
      </c>
      <c r="J1669">
        <v>0</v>
      </c>
      <c r="K1669">
        <v>0</v>
      </c>
    </row>
    <row r="1670" spans="2:11" x14ac:dyDescent="0.25">
      <c r="B1670" t="s">
        <v>6</v>
      </c>
      <c r="C1670" t="s">
        <v>307</v>
      </c>
      <c r="D1670">
        <v>701031</v>
      </c>
      <c r="E1670" t="s">
        <v>89</v>
      </c>
      <c r="F1670" t="s">
        <v>21</v>
      </c>
      <c r="G1670" t="s">
        <v>76</v>
      </c>
      <c r="H1670" t="s">
        <v>77</v>
      </c>
      <c r="J1670">
        <v>0</v>
      </c>
      <c r="K1670">
        <v>0</v>
      </c>
    </row>
    <row r="1671" spans="2:11" x14ac:dyDescent="0.25">
      <c r="B1671" t="s">
        <v>6</v>
      </c>
      <c r="C1671" t="s">
        <v>307</v>
      </c>
      <c r="D1671">
        <v>701032</v>
      </c>
      <c r="E1671" t="s">
        <v>90</v>
      </c>
      <c r="F1671" t="s">
        <v>21</v>
      </c>
      <c r="G1671" t="s">
        <v>52</v>
      </c>
      <c r="H1671" t="s">
        <v>53</v>
      </c>
      <c r="J1671">
        <v>0</v>
      </c>
      <c r="K1671">
        <v>0</v>
      </c>
    </row>
    <row r="1672" spans="2:11" x14ac:dyDescent="0.25">
      <c r="B1672" t="s">
        <v>6</v>
      </c>
      <c r="C1672" t="s">
        <v>307</v>
      </c>
      <c r="D1672">
        <v>701034</v>
      </c>
      <c r="E1672" t="s">
        <v>91</v>
      </c>
      <c r="F1672" t="s">
        <v>21</v>
      </c>
      <c r="G1672" t="s">
        <v>76</v>
      </c>
      <c r="H1672" t="s">
        <v>77</v>
      </c>
      <c r="J1672">
        <v>0</v>
      </c>
      <c r="K1672">
        <v>0</v>
      </c>
    </row>
    <row r="1673" spans="2:11" x14ac:dyDescent="0.25">
      <c r="B1673" t="s">
        <v>6</v>
      </c>
      <c r="C1673" t="s">
        <v>307</v>
      </c>
      <c r="D1673">
        <v>701035</v>
      </c>
      <c r="E1673" t="s">
        <v>92</v>
      </c>
      <c r="F1673" t="s">
        <v>21</v>
      </c>
      <c r="G1673" t="s">
        <v>61</v>
      </c>
      <c r="H1673" t="s">
        <v>68</v>
      </c>
      <c r="J1673">
        <v>0</v>
      </c>
      <c r="K1673">
        <v>0</v>
      </c>
    </row>
    <row r="1674" spans="2:11" x14ac:dyDescent="0.25">
      <c r="B1674" t="s">
        <v>6</v>
      </c>
      <c r="C1674" t="s">
        <v>307</v>
      </c>
      <c r="D1674">
        <v>701036</v>
      </c>
      <c r="E1674" t="s">
        <v>93</v>
      </c>
      <c r="F1674" t="s">
        <v>21</v>
      </c>
      <c r="G1674" t="s">
        <v>52</v>
      </c>
      <c r="H1674" t="s">
        <v>53</v>
      </c>
      <c r="J1674">
        <v>0</v>
      </c>
      <c r="K1674">
        <v>0</v>
      </c>
    </row>
    <row r="1675" spans="2:11" x14ac:dyDescent="0.25">
      <c r="B1675" t="s">
        <v>6</v>
      </c>
      <c r="C1675" t="s">
        <v>307</v>
      </c>
      <c r="D1675">
        <v>701113</v>
      </c>
      <c r="E1675" t="s">
        <v>94</v>
      </c>
      <c r="F1675" t="s">
        <v>21</v>
      </c>
      <c r="G1675" t="s">
        <v>61</v>
      </c>
      <c r="H1675" t="s">
        <v>62</v>
      </c>
      <c r="J1675">
        <v>0</v>
      </c>
      <c r="K1675">
        <v>0</v>
      </c>
    </row>
    <row r="1676" spans="2:11" x14ac:dyDescent="0.25">
      <c r="B1676" t="s">
        <v>6</v>
      </c>
      <c r="C1676" t="s">
        <v>307</v>
      </c>
      <c r="D1676">
        <v>701119</v>
      </c>
      <c r="E1676" t="s">
        <v>95</v>
      </c>
      <c r="F1676" t="s">
        <v>21</v>
      </c>
      <c r="G1676" t="s">
        <v>22</v>
      </c>
      <c r="H1676" t="s">
        <v>23</v>
      </c>
      <c r="J1676">
        <v>0</v>
      </c>
      <c r="K1676">
        <v>0</v>
      </c>
    </row>
    <row r="1677" spans="2:11" x14ac:dyDescent="0.25">
      <c r="B1677" t="s">
        <v>6</v>
      </c>
      <c r="C1677" t="s">
        <v>307</v>
      </c>
      <c r="D1677">
        <v>701120</v>
      </c>
      <c r="E1677" t="s">
        <v>96</v>
      </c>
      <c r="F1677" t="s">
        <v>21</v>
      </c>
      <c r="G1677" t="s">
        <v>22</v>
      </c>
      <c r="H1677" t="s">
        <v>23</v>
      </c>
      <c r="J1677">
        <v>0</v>
      </c>
      <c r="K1677">
        <v>0</v>
      </c>
    </row>
    <row r="1678" spans="2:11" x14ac:dyDescent="0.25">
      <c r="B1678" t="s">
        <v>6</v>
      </c>
      <c r="C1678" t="s">
        <v>307</v>
      </c>
      <c r="D1678">
        <v>701121</v>
      </c>
      <c r="E1678" t="s">
        <v>97</v>
      </c>
      <c r="F1678" t="s">
        <v>21</v>
      </c>
      <c r="G1678" t="s">
        <v>22</v>
      </c>
      <c r="H1678" t="s">
        <v>23</v>
      </c>
      <c r="J1678">
        <v>0</v>
      </c>
      <c r="K1678">
        <v>0</v>
      </c>
    </row>
    <row r="1679" spans="2:11" x14ac:dyDescent="0.25">
      <c r="B1679" t="s">
        <v>6</v>
      </c>
      <c r="C1679" t="s">
        <v>307</v>
      </c>
      <c r="D1679">
        <v>701122</v>
      </c>
      <c r="E1679" t="s">
        <v>98</v>
      </c>
      <c r="F1679" t="s">
        <v>21</v>
      </c>
      <c r="G1679" t="s">
        <v>71</v>
      </c>
      <c r="H1679" t="s">
        <v>88</v>
      </c>
      <c r="J1679">
        <v>0</v>
      </c>
      <c r="K1679">
        <v>0</v>
      </c>
    </row>
    <row r="1680" spans="2:11" x14ac:dyDescent="0.25">
      <c r="B1680" t="s">
        <v>6</v>
      </c>
      <c r="C1680" t="s">
        <v>307</v>
      </c>
      <c r="D1680">
        <v>701123</v>
      </c>
      <c r="E1680" t="s">
        <v>99</v>
      </c>
      <c r="F1680" t="s">
        <v>21</v>
      </c>
      <c r="G1680" t="s">
        <v>22</v>
      </c>
      <c r="H1680" t="s">
        <v>23</v>
      </c>
      <c r="J1680">
        <v>0</v>
      </c>
      <c r="K1680">
        <v>0</v>
      </c>
    </row>
    <row r="1681" spans="2:11" x14ac:dyDescent="0.25">
      <c r="B1681" t="s">
        <v>6</v>
      </c>
      <c r="C1681" t="s">
        <v>307</v>
      </c>
      <c r="D1681">
        <v>701127</v>
      </c>
      <c r="E1681" t="s">
        <v>100</v>
      </c>
      <c r="F1681" t="s">
        <v>21</v>
      </c>
      <c r="G1681" t="s">
        <v>76</v>
      </c>
      <c r="H1681" t="s">
        <v>77</v>
      </c>
      <c r="J1681">
        <v>0</v>
      </c>
      <c r="K1681">
        <v>0</v>
      </c>
    </row>
    <row r="1682" spans="2:11" x14ac:dyDescent="0.25">
      <c r="B1682" t="s">
        <v>6</v>
      </c>
      <c r="C1682" t="s">
        <v>307</v>
      </c>
      <c r="D1682">
        <v>701213</v>
      </c>
      <c r="E1682" t="s">
        <v>101</v>
      </c>
      <c r="F1682" t="s">
        <v>21</v>
      </c>
      <c r="G1682" t="s">
        <v>61</v>
      </c>
      <c r="H1682" t="s">
        <v>62</v>
      </c>
      <c r="J1682">
        <v>0</v>
      </c>
      <c r="K1682">
        <v>0</v>
      </c>
    </row>
    <row r="1683" spans="2:11" x14ac:dyDescent="0.25">
      <c r="B1683" t="s">
        <v>6</v>
      </c>
      <c r="C1683" t="s">
        <v>307</v>
      </c>
      <c r="D1683">
        <v>701214</v>
      </c>
      <c r="E1683" t="s">
        <v>102</v>
      </c>
      <c r="F1683" t="s">
        <v>21</v>
      </c>
      <c r="G1683" t="s">
        <v>61</v>
      </c>
      <c r="H1683" t="s">
        <v>62</v>
      </c>
      <c r="J1683">
        <v>0</v>
      </c>
      <c r="K1683">
        <v>0</v>
      </c>
    </row>
    <row r="1684" spans="2:11" x14ac:dyDescent="0.25">
      <c r="B1684" t="s">
        <v>6</v>
      </c>
      <c r="C1684" t="s">
        <v>307</v>
      </c>
      <c r="D1684">
        <v>701215</v>
      </c>
      <c r="E1684" t="s">
        <v>103</v>
      </c>
      <c r="F1684" t="s">
        <v>21</v>
      </c>
      <c r="G1684" t="s">
        <v>61</v>
      </c>
      <c r="H1684" t="s">
        <v>62</v>
      </c>
      <c r="J1684">
        <v>0</v>
      </c>
      <c r="K1684">
        <v>0</v>
      </c>
    </row>
    <row r="1685" spans="2:11" x14ac:dyDescent="0.25">
      <c r="B1685" t="s">
        <v>6</v>
      </c>
      <c r="C1685" t="s">
        <v>307</v>
      </c>
      <c r="D1685">
        <v>701227</v>
      </c>
      <c r="E1685" t="s">
        <v>104</v>
      </c>
      <c r="F1685" t="s">
        <v>21</v>
      </c>
      <c r="G1685" t="s">
        <v>76</v>
      </c>
      <c r="H1685" t="s">
        <v>77</v>
      </c>
      <c r="J1685">
        <v>0</v>
      </c>
      <c r="K1685">
        <v>0</v>
      </c>
    </row>
    <row r="1686" spans="2:11" x14ac:dyDescent="0.25">
      <c r="B1686" t="s">
        <v>6</v>
      </c>
      <c r="C1686" t="s">
        <v>307</v>
      </c>
      <c r="D1686">
        <v>701327</v>
      </c>
      <c r="E1686" t="s">
        <v>106</v>
      </c>
      <c r="F1686" t="s">
        <v>21</v>
      </c>
      <c r="G1686" t="s">
        <v>76</v>
      </c>
      <c r="H1686" t="s">
        <v>77</v>
      </c>
      <c r="J1686">
        <v>0</v>
      </c>
      <c r="K1686">
        <v>0</v>
      </c>
    </row>
    <row r="1687" spans="2:11" x14ac:dyDescent="0.25">
      <c r="B1687" t="s">
        <v>6</v>
      </c>
      <c r="C1687" t="s">
        <v>307</v>
      </c>
      <c r="D1687">
        <v>701427</v>
      </c>
      <c r="E1687" t="s">
        <v>107</v>
      </c>
      <c r="F1687" t="s">
        <v>21</v>
      </c>
      <c r="G1687" t="s">
        <v>76</v>
      </c>
      <c r="H1687" t="s">
        <v>108</v>
      </c>
      <c r="J1687">
        <v>0</v>
      </c>
      <c r="K1687">
        <v>0</v>
      </c>
    </row>
    <row r="1688" spans="2:11" x14ac:dyDescent="0.25">
      <c r="B1688" t="s">
        <v>6</v>
      </c>
      <c r="C1688" t="s">
        <v>307</v>
      </c>
      <c r="D1688">
        <v>701527</v>
      </c>
      <c r="E1688" t="s">
        <v>109</v>
      </c>
      <c r="F1688" t="s">
        <v>21</v>
      </c>
      <c r="G1688" t="s">
        <v>76</v>
      </c>
      <c r="H1688" t="s">
        <v>77</v>
      </c>
      <c r="J1688">
        <v>0</v>
      </c>
      <c r="K1688">
        <v>0</v>
      </c>
    </row>
    <row r="1689" spans="2:11" x14ac:dyDescent="0.25">
      <c r="B1689" t="s">
        <v>6</v>
      </c>
      <c r="C1689" t="s">
        <v>307</v>
      </c>
      <c r="D1689">
        <v>701627</v>
      </c>
      <c r="E1689" t="s">
        <v>110</v>
      </c>
      <c r="F1689" t="s">
        <v>21</v>
      </c>
      <c r="G1689" t="s">
        <v>76</v>
      </c>
      <c r="H1689" t="s">
        <v>77</v>
      </c>
      <c r="J1689">
        <v>0</v>
      </c>
      <c r="K1689">
        <v>0</v>
      </c>
    </row>
    <row r="1690" spans="2:11" x14ac:dyDescent="0.25">
      <c r="B1690" t="s">
        <v>6</v>
      </c>
      <c r="C1690" t="s">
        <v>307</v>
      </c>
      <c r="D1690">
        <v>701727</v>
      </c>
      <c r="E1690" t="s">
        <v>111</v>
      </c>
      <c r="F1690" t="s">
        <v>21</v>
      </c>
      <c r="G1690" t="s">
        <v>76</v>
      </c>
      <c r="H1690" t="s">
        <v>77</v>
      </c>
      <c r="J1690">
        <v>0</v>
      </c>
      <c r="K1690">
        <v>0</v>
      </c>
    </row>
    <row r="1691" spans="2:11" x14ac:dyDescent="0.25">
      <c r="B1691" t="s">
        <v>6</v>
      </c>
      <c r="C1691" t="s">
        <v>307</v>
      </c>
      <c r="D1691">
        <v>701801</v>
      </c>
      <c r="E1691" t="s">
        <v>112</v>
      </c>
      <c r="F1691" t="s">
        <v>21</v>
      </c>
      <c r="G1691" t="s">
        <v>76</v>
      </c>
      <c r="H1691" t="s">
        <v>77</v>
      </c>
      <c r="J1691">
        <v>0</v>
      </c>
      <c r="K1691">
        <v>0</v>
      </c>
    </row>
    <row r="1692" spans="2:11" x14ac:dyDescent="0.25">
      <c r="B1692" t="s">
        <v>6</v>
      </c>
      <c r="C1692" t="s">
        <v>307</v>
      </c>
      <c r="D1692">
        <v>701802</v>
      </c>
      <c r="E1692" t="s">
        <v>113</v>
      </c>
      <c r="F1692" t="s">
        <v>21</v>
      </c>
      <c r="G1692" t="s">
        <v>61</v>
      </c>
      <c r="H1692" t="s">
        <v>62</v>
      </c>
      <c r="J1692">
        <v>0</v>
      </c>
      <c r="K1692">
        <v>0</v>
      </c>
    </row>
    <row r="1693" spans="2:11" x14ac:dyDescent="0.25">
      <c r="B1693" t="s">
        <v>6</v>
      </c>
      <c r="C1693" t="s">
        <v>307</v>
      </c>
      <c r="D1693">
        <v>703010</v>
      </c>
      <c r="E1693" t="s">
        <v>114</v>
      </c>
      <c r="F1693" t="s">
        <v>21</v>
      </c>
      <c r="G1693" t="s">
        <v>22</v>
      </c>
      <c r="H1693" t="s">
        <v>115</v>
      </c>
      <c r="J1693">
        <v>0</v>
      </c>
      <c r="K1693">
        <v>0</v>
      </c>
    </row>
    <row r="1694" spans="2:11" x14ac:dyDescent="0.25">
      <c r="B1694" t="s">
        <v>6</v>
      </c>
      <c r="C1694" t="s">
        <v>307</v>
      </c>
      <c r="D1694">
        <v>703011</v>
      </c>
      <c r="E1694" t="s">
        <v>116</v>
      </c>
      <c r="F1694" t="s">
        <v>21</v>
      </c>
      <c r="G1694" t="s">
        <v>22</v>
      </c>
      <c r="H1694" t="s">
        <v>115</v>
      </c>
      <c r="J1694">
        <v>0</v>
      </c>
      <c r="K1694">
        <v>0</v>
      </c>
    </row>
    <row r="1695" spans="2:11" x14ac:dyDescent="0.25">
      <c r="B1695" t="s">
        <v>6</v>
      </c>
      <c r="C1695" t="s">
        <v>307</v>
      </c>
      <c r="D1695">
        <v>703012</v>
      </c>
      <c r="E1695" t="s">
        <v>117</v>
      </c>
      <c r="F1695" t="s">
        <v>21</v>
      </c>
      <c r="G1695" t="s">
        <v>22</v>
      </c>
      <c r="H1695" t="s">
        <v>115</v>
      </c>
      <c r="J1695">
        <v>0</v>
      </c>
      <c r="K1695">
        <v>0</v>
      </c>
    </row>
    <row r="1696" spans="2:11" x14ac:dyDescent="0.25">
      <c r="B1696" t="s">
        <v>6</v>
      </c>
      <c r="C1696" t="s">
        <v>307</v>
      </c>
      <c r="D1696">
        <v>703013</v>
      </c>
      <c r="E1696" t="s">
        <v>118</v>
      </c>
      <c r="F1696" t="s">
        <v>21</v>
      </c>
      <c r="G1696" t="s">
        <v>22</v>
      </c>
      <c r="H1696" t="s">
        <v>115</v>
      </c>
      <c r="J1696">
        <v>0</v>
      </c>
      <c r="K1696">
        <v>0</v>
      </c>
    </row>
    <row r="1697" spans="2:11" x14ac:dyDescent="0.25">
      <c r="B1697" t="s">
        <v>6</v>
      </c>
      <c r="C1697" t="s">
        <v>307</v>
      </c>
      <c r="D1697">
        <v>703014</v>
      </c>
      <c r="E1697" t="s">
        <v>119</v>
      </c>
      <c r="F1697" t="s">
        <v>21</v>
      </c>
      <c r="G1697" t="s">
        <v>22</v>
      </c>
      <c r="H1697" t="s">
        <v>115</v>
      </c>
      <c r="J1697">
        <v>0</v>
      </c>
      <c r="K1697">
        <v>0</v>
      </c>
    </row>
    <row r="1698" spans="2:11" x14ac:dyDescent="0.25">
      <c r="B1698" t="s">
        <v>6</v>
      </c>
      <c r="C1698" t="s">
        <v>307</v>
      </c>
      <c r="D1698">
        <v>703015</v>
      </c>
      <c r="E1698" t="s">
        <v>120</v>
      </c>
      <c r="F1698" t="s">
        <v>21</v>
      </c>
      <c r="G1698" t="s">
        <v>22</v>
      </c>
      <c r="H1698" t="s">
        <v>115</v>
      </c>
      <c r="J1698">
        <v>0</v>
      </c>
      <c r="K1698">
        <v>0</v>
      </c>
    </row>
    <row r="1699" spans="2:11" x14ac:dyDescent="0.25">
      <c r="B1699" t="s">
        <v>6</v>
      </c>
      <c r="C1699" t="s">
        <v>307</v>
      </c>
      <c r="D1699">
        <v>703016</v>
      </c>
      <c r="E1699" t="s">
        <v>121</v>
      </c>
      <c r="F1699" t="s">
        <v>21</v>
      </c>
      <c r="G1699" t="s">
        <v>22</v>
      </c>
      <c r="H1699" t="s">
        <v>115</v>
      </c>
      <c r="J1699">
        <v>0</v>
      </c>
      <c r="K1699">
        <v>0</v>
      </c>
    </row>
    <row r="1700" spans="2:11" x14ac:dyDescent="0.25">
      <c r="B1700" t="s">
        <v>6</v>
      </c>
      <c r="C1700" t="s">
        <v>307</v>
      </c>
      <c r="D1700">
        <v>703017</v>
      </c>
      <c r="E1700" t="s">
        <v>122</v>
      </c>
      <c r="F1700" t="s">
        <v>21</v>
      </c>
      <c r="G1700" t="s">
        <v>22</v>
      </c>
      <c r="H1700" t="s">
        <v>115</v>
      </c>
      <c r="J1700">
        <v>0</v>
      </c>
      <c r="K1700">
        <v>0</v>
      </c>
    </row>
    <row r="1701" spans="2:11" x14ac:dyDescent="0.25">
      <c r="B1701" t="s">
        <v>6</v>
      </c>
      <c r="C1701" t="s">
        <v>307</v>
      </c>
      <c r="D1701">
        <v>703018</v>
      </c>
      <c r="E1701" t="s">
        <v>123</v>
      </c>
      <c r="F1701" t="s">
        <v>21</v>
      </c>
      <c r="G1701" t="s">
        <v>22</v>
      </c>
      <c r="H1701" t="s">
        <v>115</v>
      </c>
      <c r="J1701">
        <v>0</v>
      </c>
      <c r="K1701">
        <v>0</v>
      </c>
    </row>
    <row r="1702" spans="2:11" x14ac:dyDescent="0.25">
      <c r="B1702" t="s">
        <v>6</v>
      </c>
      <c r="C1702" t="s">
        <v>307</v>
      </c>
      <c r="D1702">
        <v>703019</v>
      </c>
      <c r="E1702" t="s">
        <v>124</v>
      </c>
      <c r="F1702" t="s">
        <v>21</v>
      </c>
      <c r="G1702" t="s">
        <v>22</v>
      </c>
      <c r="H1702" t="s">
        <v>115</v>
      </c>
      <c r="J1702">
        <v>0</v>
      </c>
      <c r="K1702">
        <v>0</v>
      </c>
    </row>
    <row r="1703" spans="2:11" x14ac:dyDescent="0.25">
      <c r="B1703" t="s">
        <v>6</v>
      </c>
      <c r="C1703" t="s">
        <v>307</v>
      </c>
      <c r="D1703">
        <v>703210</v>
      </c>
      <c r="E1703" t="s">
        <v>125</v>
      </c>
      <c r="F1703" t="s">
        <v>21</v>
      </c>
      <c r="G1703" t="s">
        <v>22</v>
      </c>
      <c r="H1703" t="s">
        <v>23</v>
      </c>
      <c r="J1703">
        <v>0</v>
      </c>
      <c r="K1703">
        <v>0</v>
      </c>
    </row>
    <row r="1704" spans="2:11" x14ac:dyDescent="0.25">
      <c r="B1704" t="s">
        <v>6</v>
      </c>
      <c r="C1704" t="s">
        <v>307</v>
      </c>
      <c r="D1704">
        <v>703211</v>
      </c>
      <c r="E1704" t="s">
        <v>126</v>
      </c>
      <c r="F1704" t="s">
        <v>21</v>
      </c>
      <c r="G1704" t="s">
        <v>22</v>
      </c>
      <c r="H1704" t="s">
        <v>23</v>
      </c>
      <c r="J1704">
        <v>0</v>
      </c>
      <c r="K1704">
        <v>0</v>
      </c>
    </row>
    <row r="1705" spans="2:11" x14ac:dyDescent="0.25">
      <c r="B1705" t="s">
        <v>6</v>
      </c>
      <c r="C1705" t="s">
        <v>307</v>
      </c>
      <c r="D1705">
        <v>703212</v>
      </c>
      <c r="E1705" t="s">
        <v>127</v>
      </c>
      <c r="F1705" t="s">
        <v>21</v>
      </c>
      <c r="G1705" t="s">
        <v>22</v>
      </c>
      <c r="H1705" t="s">
        <v>23</v>
      </c>
      <c r="J1705">
        <v>0</v>
      </c>
      <c r="K1705">
        <v>0</v>
      </c>
    </row>
    <row r="1706" spans="2:11" x14ac:dyDescent="0.25">
      <c r="B1706" t="s">
        <v>6</v>
      </c>
      <c r="C1706" t="s">
        <v>307</v>
      </c>
      <c r="D1706">
        <v>703213</v>
      </c>
      <c r="E1706" t="s">
        <v>128</v>
      </c>
      <c r="F1706" t="s">
        <v>21</v>
      </c>
      <c r="G1706" t="s">
        <v>22</v>
      </c>
      <c r="H1706" t="s">
        <v>23</v>
      </c>
      <c r="J1706">
        <v>0</v>
      </c>
      <c r="K1706">
        <v>0</v>
      </c>
    </row>
    <row r="1707" spans="2:11" x14ac:dyDescent="0.25">
      <c r="B1707" t="s">
        <v>6</v>
      </c>
      <c r="C1707" t="s">
        <v>307</v>
      </c>
      <c r="D1707">
        <v>703214</v>
      </c>
      <c r="E1707" t="s">
        <v>129</v>
      </c>
      <c r="F1707" t="s">
        <v>21</v>
      </c>
      <c r="G1707" t="s">
        <v>22</v>
      </c>
      <c r="H1707" t="s">
        <v>23</v>
      </c>
      <c r="J1707">
        <v>0</v>
      </c>
      <c r="K1707">
        <v>0</v>
      </c>
    </row>
    <row r="1708" spans="2:11" x14ac:dyDescent="0.25">
      <c r="B1708" t="s">
        <v>6</v>
      </c>
      <c r="C1708" t="s">
        <v>307</v>
      </c>
      <c r="D1708">
        <v>703215</v>
      </c>
      <c r="E1708" t="s">
        <v>130</v>
      </c>
      <c r="F1708" t="s">
        <v>21</v>
      </c>
      <c r="G1708" t="s">
        <v>22</v>
      </c>
      <c r="H1708" t="s">
        <v>23</v>
      </c>
      <c r="J1708">
        <v>0</v>
      </c>
      <c r="K1708">
        <v>0</v>
      </c>
    </row>
    <row r="1709" spans="2:11" x14ac:dyDescent="0.25">
      <c r="B1709" t="s">
        <v>6</v>
      </c>
      <c r="C1709" t="s">
        <v>307</v>
      </c>
      <c r="D1709">
        <v>703216</v>
      </c>
      <c r="E1709" t="s">
        <v>131</v>
      </c>
      <c r="F1709" t="s">
        <v>21</v>
      </c>
      <c r="G1709" t="s">
        <v>22</v>
      </c>
      <c r="H1709" t="s">
        <v>23</v>
      </c>
      <c r="J1709">
        <v>0</v>
      </c>
      <c r="K1709">
        <v>0</v>
      </c>
    </row>
    <row r="1710" spans="2:11" x14ac:dyDescent="0.25">
      <c r="B1710" t="s">
        <v>6</v>
      </c>
      <c r="C1710" t="s">
        <v>307</v>
      </c>
      <c r="D1710">
        <v>703217</v>
      </c>
      <c r="E1710" t="s">
        <v>132</v>
      </c>
      <c r="F1710" t="s">
        <v>21</v>
      </c>
      <c r="G1710" t="s">
        <v>22</v>
      </c>
      <c r="H1710" t="s">
        <v>23</v>
      </c>
      <c r="J1710">
        <v>0</v>
      </c>
      <c r="K1710">
        <v>0</v>
      </c>
    </row>
    <row r="1711" spans="2:11" x14ac:dyDescent="0.25">
      <c r="B1711" t="s">
        <v>6</v>
      </c>
      <c r="C1711" t="s">
        <v>307</v>
      </c>
      <c r="D1711">
        <v>703219</v>
      </c>
      <c r="E1711" t="s">
        <v>133</v>
      </c>
      <c r="F1711" t="s">
        <v>21</v>
      </c>
      <c r="G1711" t="s">
        <v>22</v>
      </c>
      <c r="H1711" t="s">
        <v>23</v>
      </c>
      <c r="J1711">
        <v>0</v>
      </c>
      <c r="K1711">
        <v>0</v>
      </c>
    </row>
    <row r="1712" spans="2:11" x14ac:dyDescent="0.25">
      <c r="B1712" t="s">
        <v>6</v>
      </c>
      <c r="C1712" t="s">
        <v>307</v>
      </c>
      <c r="D1712">
        <v>703220</v>
      </c>
      <c r="E1712" t="s">
        <v>134</v>
      </c>
      <c r="F1712" t="s">
        <v>21</v>
      </c>
      <c r="G1712" t="s">
        <v>71</v>
      </c>
      <c r="H1712" t="s">
        <v>135</v>
      </c>
      <c r="J1712">
        <v>0</v>
      </c>
      <c r="K1712">
        <v>0</v>
      </c>
    </row>
    <row r="1713" spans="2:11" x14ac:dyDescent="0.25">
      <c r="B1713" t="s">
        <v>6</v>
      </c>
      <c r="C1713" t="s">
        <v>307</v>
      </c>
      <c r="D1713">
        <v>703221</v>
      </c>
      <c r="E1713" t="s">
        <v>136</v>
      </c>
      <c r="F1713" t="s">
        <v>21</v>
      </c>
      <c r="G1713" t="s">
        <v>137</v>
      </c>
      <c r="H1713" t="s">
        <v>138</v>
      </c>
      <c r="J1713">
        <v>0</v>
      </c>
      <c r="K1713">
        <v>0</v>
      </c>
    </row>
    <row r="1714" spans="2:11" x14ac:dyDescent="0.25">
      <c r="B1714" t="s">
        <v>6</v>
      </c>
      <c r="C1714" t="s">
        <v>307</v>
      </c>
      <c r="D1714">
        <v>703222</v>
      </c>
      <c r="E1714" t="s">
        <v>139</v>
      </c>
      <c r="F1714" t="s">
        <v>21</v>
      </c>
      <c r="G1714" t="s">
        <v>137</v>
      </c>
      <c r="H1714" t="s">
        <v>138</v>
      </c>
      <c r="J1714">
        <v>0</v>
      </c>
      <c r="K1714">
        <v>0</v>
      </c>
    </row>
    <row r="1715" spans="2:11" x14ac:dyDescent="0.25">
      <c r="B1715" t="s">
        <v>6</v>
      </c>
      <c r="C1715" t="s">
        <v>307</v>
      </c>
      <c r="D1715">
        <v>703223</v>
      </c>
      <c r="E1715" t="s">
        <v>140</v>
      </c>
      <c r="F1715" t="s">
        <v>21</v>
      </c>
      <c r="G1715" t="s">
        <v>137</v>
      </c>
      <c r="H1715" t="s">
        <v>141</v>
      </c>
      <c r="J1715">
        <v>0</v>
      </c>
      <c r="K1715">
        <v>0</v>
      </c>
    </row>
    <row r="1716" spans="2:11" x14ac:dyDescent="0.25">
      <c r="B1716" t="s">
        <v>6</v>
      </c>
      <c r="C1716" t="s">
        <v>307</v>
      </c>
      <c r="D1716">
        <v>703224</v>
      </c>
      <c r="E1716" t="s">
        <v>142</v>
      </c>
      <c r="F1716" t="s">
        <v>21</v>
      </c>
      <c r="G1716" t="s">
        <v>71</v>
      </c>
      <c r="H1716" t="s">
        <v>88</v>
      </c>
      <c r="J1716">
        <v>0</v>
      </c>
      <c r="K1716">
        <v>0</v>
      </c>
    </row>
    <row r="1717" spans="2:11" x14ac:dyDescent="0.25">
      <c r="B1717" t="s">
        <v>6</v>
      </c>
      <c r="C1717" t="s">
        <v>307</v>
      </c>
      <c r="D1717">
        <v>703225</v>
      </c>
      <c r="E1717" t="s">
        <v>143</v>
      </c>
      <c r="F1717" t="s">
        <v>21</v>
      </c>
      <c r="G1717" t="s">
        <v>71</v>
      </c>
      <c r="H1717" t="s">
        <v>88</v>
      </c>
      <c r="J1717">
        <v>0</v>
      </c>
      <c r="K1717">
        <v>0</v>
      </c>
    </row>
    <row r="1718" spans="2:11" x14ac:dyDescent="0.25">
      <c r="B1718" t="s">
        <v>6</v>
      </c>
      <c r="C1718" t="s">
        <v>307</v>
      </c>
      <c r="D1718">
        <v>703226</v>
      </c>
      <c r="E1718" t="s">
        <v>144</v>
      </c>
      <c r="F1718" t="s">
        <v>21</v>
      </c>
      <c r="G1718" t="s">
        <v>71</v>
      </c>
      <c r="H1718" t="s">
        <v>82</v>
      </c>
      <c r="J1718">
        <v>0</v>
      </c>
      <c r="K1718">
        <v>0</v>
      </c>
    </row>
    <row r="1719" spans="2:11" x14ac:dyDescent="0.25">
      <c r="B1719" t="s">
        <v>6</v>
      </c>
      <c r="C1719" t="s">
        <v>307</v>
      </c>
      <c r="D1719">
        <v>703227</v>
      </c>
      <c r="E1719" t="s">
        <v>145</v>
      </c>
      <c r="F1719" t="s">
        <v>21</v>
      </c>
      <c r="G1719" t="s">
        <v>137</v>
      </c>
      <c r="H1719" t="s">
        <v>138</v>
      </c>
      <c r="J1719">
        <v>0</v>
      </c>
      <c r="K1719">
        <v>0</v>
      </c>
    </row>
    <row r="1720" spans="2:11" x14ac:dyDescent="0.25">
      <c r="B1720" t="s">
        <v>6</v>
      </c>
      <c r="C1720" t="s">
        <v>307</v>
      </c>
      <c r="D1720">
        <v>703228</v>
      </c>
      <c r="E1720" t="s">
        <v>146</v>
      </c>
      <c r="F1720" t="s">
        <v>21</v>
      </c>
      <c r="G1720" t="s">
        <v>147</v>
      </c>
      <c r="H1720" t="s">
        <v>147</v>
      </c>
      <c r="J1720">
        <v>0</v>
      </c>
      <c r="K1720">
        <v>0</v>
      </c>
    </row>
    <row r="1721" spans="2:11" x14ac:dyDescent="0.25">
      <c r="B1721" t="s">
        <v>6</v>
      </c>
      <c r="C1721" t="s">
        <v>307</v>
      </c>
      <c r="D1721">
        <v>703229</v>
      </c>
      <c r="E1721" t="s">
        <v>148</v>
      </c>
      <c r="F1721" t="s">
        <v>21</v>
      </c>
      <c r="G1721" t="s">
        <v>147</v>
      </c>
      <c r="H1721" t="s">
        <v>147</v>
      </c>
      <c r="J1721">
        <v>0</v>
      </c>
      <c r="K1721">
        <v>0</v>
      </c>
    </row>
    <row r="1722" spans="2:11" x14ac:dyDescent="0.25">
      <c r="B1722" t="s">
        <v>6</v>
      </c>
      <c r="C1722" t="s">
        <v>307</v>
      </c>
      <c r="D1722">
        <v>703230</v>
      </c>
      <c r="E1722" t="s">
        <v>149</v>
      </c>
      <c r="F1722" t="s">
        <v>21</v>
      </c>
      <c r="G1722" t="s">
        <v>147</v>
      </c>
      <c r="H1722" t="s">
        <v>147</v>
      </c>
      <c r="J1722">
        <v>0</v>
      </c>
      <c r="K1722">
        <v>0</v>
      </c>
    </row>
    <row r="1723" spans="2:11" x14ac:dyDescent="0.25">
      <c r="B1723" t="s">
        <v>6</v>
      </c>
      <c r="C1723" t="s">
        <v>307</v>
      </c>
      <c r="D1723">
        <v>703231</v>
      </c>
      <c r="E1723" t="s">
        <v>150</v>
      </c>
      <c r="F1723" t="s">
        <v>21</v>
      </c>
      <c r="G1723" t="s">
        <v>137</v>
      </c>
      <c r="H1723" t="s">
        <v>141</v>
      </c>
      <c r="J1723">
        <v>0</v>
      </c>
      <c r="K1723">
        <v>0</v>
      </c>
    </row>
    <row r="1724" spans="2:11" x14ac:dyDescent="0.25">
      <c r="B1724" t="s">
        <v>6</v>
      </c>
      <c r="C1724" t="s">
        <v>307</v>
      </c>
      <c r="D1724">
        <v>703232</v>
      </c>
      <c r="E1724" t="s">
        <v>151</v>
      </c>
      <c r="F1724" t="s">
        <v>21</v>
      </c>
      <c r="G1724" t="s">
        <v>147</v>
      </c>
      <c r="H1724" t="s">
        <v>147</v>
      </c>
      <c r="J1724">
        <v>0</v>
      </c>
      <c r="K1724">
        <v>0</v>
      </c>
    </row>
    <row r="1725" spans="2:11" x14ac:dyDescent="0.25">
      <c r="B1725" t="s">
        <v>6</v>
      </c>
      <c r="C1725" t="s">
        <v>307</v>
      </c>
      <c r="D1725">
        <v>703233</v>
      </c>
      <c r="E1725" t="s">
        <v>152</v>
      </c>
      <c r="F1725" t="s">
        <v>21</v>
      </c>
      <c r="G1725" t="s">
        <v>71</v>
      </c>
      <c r="H1725" t="s">
        <v>153</v>
      </c>
      <c r="J1725">
        <v>0</v>
      </c>
      <c r="K1725">
        <v>0</v>
      </c>
    </row>
    <row r="1726" spans="2:11" x14ac:dyDescent="0.25">
      <c r="B1726" t="s">
        <v>6</v>
      </c>
      <c r="C1726" t="s">
        <v>307</v>
      </c>
      <c r="D1726">
        <v>703234</v>
      </c>
      <c r="E1726" t="s">
        <v>154</v>
      </c>
      <c r="F1726" t="s">
        <v>21</v>
      </c>
      <c r="G1726" t="s">
        <v>71</v>
      </c>
      <c r="H1726" t="s">
        <v>153</v>
      </c>
      <c r="J1726">
        <v>0</v>
      </c>
      <c r="K1726">
        <v>0</v>
      </c>
    </row>
    <row r="1727" spans="2:11" x14ac:dyDescent="0.25">
      <c r="B1727" t="s">
        <v>6</v>
      </c>
      <c r="C1727" t="s">
        <v>307</v>
      </c>
      <c r="D1727">
        <v>703235</v>
      </c>
      <c r="E1727" t="s">
        <v>155</v>
      </c>
      <c r="F1727" t="s">
        <v>21</v>
      </c>
      <c r="G1727" t="s">
        <v>71</v>
      </c>
      <c r="H1727" t="s">
        <v>153</v>
      </c>
      <c r="J1727">
        <v>0</v>
      </c>
      <c r="K1727">
        <v>0</v>
      </c>
    </row>
    <row r="1728" spans="2:11" x14ac:dyDescent="0.25">
      <c r="B1728" t="s">
        <v>6</v>
      </c>
      <c r="C1728" t="s">
        <v>307</v>
      </c>
      <c r="D1728">
        <v>703236</v>
      </c>
      <c r="E1728" t="s">
        <v>156</v>
      </c>
      <c r="F1728" t="s">
        <v>21</v>
      </c>
      <c r="G1728" t="s">
        <v>76</v>
      </c>
      <c r="H1728" t="s">
        <v>77</v>
      </c>
      <c r="J1728">
        <v>0</v>
      </c>
      <c r="K1728">
        <v>0</v>
      </c>
    </row>
    <row r="1729" spans="2:11" x14ac:dyDescent="0.25">
      <c r="B1729" t="s">
        <v>6</v>
      </c>
      <c r="C1729" t="s">
        <v>307</v>
      </c>
      <c r="D1729">
        <v>703237</v>
      </c>
      <c r="E1729" t="s">
        <v>157</v>
      </c>
      <c r="F1729" t="s">
        <v>21</v>
      </c>
      <c r="G1729" t="s">
        <v>22</v>
      </c>
      <c r="H1729" t="s">
        <v>23</v>
      </c>
      <c r="J1729">
        <v>0</v>
      </c>
      <c r="K1729">
        <v>0</v>
      </c>
    </row>
    <row r="1730" spans="2:11" x14ac:dyDescent="0.25">
      <c r="B1730" t="s">
        <v>6</v>
      </c>
      <c r="C1730" t="s">
        <v>307</v>
      </c>
      <c r="D1730">
        <v>703238</v>
      </c>
      <c r="E1730" t="s">
        <v>158</v>
      </c>
      <c r="F1730" t="s">
        <v>21</v>
      </c>
      <c r="G1730" t="s">
        <v>61</v>
      </c>
      <c r="H1730" t="s">
        <v>68</v>
      </c>
      <c r="J1730">
        <v>0</v>
      </c>
      <c r="K1730">
        <v>0</v>
      </c>
    </row>
    <row r="1731" spans="2:11" x14ac:dyDescent="0.25">
      <c r="B1731" t="s">
        <v>6</v>
      </c>
      <c r="C1731" t="s">
        <v>307</v>
      </c>
      <c r="D1731">
        <v>703239</v>
      </c>
      <c r="E1731" t="s">
        <v>159</v>
      </c>
      <c r="F1731" t="s">
        <v>21</v>
      </c>
      <c r="G1731" t="s">
        <v>61</v>
      </c>
      <c r="H1731" t="s">
        <v>68</v>
      </c>
      <c r="J1731">
        <v>0</v>
      </c>
      <c r="K1731">
        <v>0</v>
      </c>
    </row>
    <row r="1732" spans="2:11" x14ac:dyDescent="0.25">
      <c r="B1732" t="s">
        <v>6</v>
      </c>
      <c r="C1732" t="s">
        <v>307</v>
      </c>
      <c r="D1732">
        <v>703240</v>
      </c>
      <c r="E1732" t="s">
        <v>160</v>
      </c>
      <c r="F1732" t="s">
        <v>21</v>
      </c>
      <c r="G1732" t="s">
        <v>61</v>
      </c>
      <c r="H1732" t="s">
        <v>68</v>
      </c>
      <c r="J1732">
        <v>0</v>
      </c>
      <c r="K1732">
        <v>0</v>
      </c>
    </row>
    <row r="1733" spans="2:11" x14ac:dyDescent="0.25">
      <c r="B1733" t="s">
        <v>6</v>
      </c>
      <c r="C1733" t="s">
        <v>307</v>
      </c>
      <c r="D1733">
        <v>703241</v>
      </c>
      <c r="E1733" t="s">
        <v>161</v>
      </c>
      <c r="F1733" t="s">
        <v>21</v>
      </c>
      <c r="G1733" t="s">
        <v>137</v>
      </c>
      <c r="H1733" t="s">
        <v>141</v>
      </c>
      <c r="J1733">
        <v>0</v>
      </c>
      <c r="K1733">
        <v>0</v>
      </c>
    </row>
    <row r="1734" spans="2:11" x14ac:dyDescent="0.25">
      <c r="B1734" t="s">
        <v>6</v>
      </c>
      <c r="C1734" t="s">
        <v>307</v>
      </c>
      <c r="D1734">
        <v>703242</v>
      </c>
      <c r="E1734" t="s">
        <v>162</v>
      </c>
      <c r="F1734" t="s">
        <v>21</v>
      </c>
      <c r="G1734" t="s">
        <v>137</v>
      </c>
      <c r="H1734" t="s">
        <v>141</v>
      </c>
      <c r="J1734">
        <v>0</v>
      </c>
      <c r="K1734">
        <v>0</v>
      </c>
    </row>
    <row r="1735" spans="2:11" x14ac:dyDescent="0.25">
      <c r="B1735" t="s">
        <v>6</v>
      </c>
      <c r="C1735" t="s">
        <v>307</v>
      </c>
      <c r="D1735">
        <v>703243</v>
      </c>
      <c r="E1735" t="s">
        <v>163</v>
      </c>
      <c r="F1735" t="s">
        <v>21</v>
      </c>
      <c r="G1735" t="s">
        <v>137</v>
      </c>
      <c r="H1735" t="s">
        <v>141</v>
      </c>
      <c r="J1735">
        <v>0</v>
      </c>
      <c r="K1735">
        <v>0</v>
      </c>
    </row>
    <row r="1736" spans="2:11" x14ac:dyDescent="0.25">
      <c r="B1736" t="s">
        <v>6</v>
      </c>
      <c r="C1736" t="s">
        <v>307</v>
      </c>
      <c r="D1736">
        <v>703244</v>
      </c>
      <c r="E1736" t="s">
        <v>164</v>
      </c>
      <c r="F1736" t="s">
        <v>21</v>
      </c>
      <c r="G1736" t="s">
        <v>71</v>
      </c>
      <c r="H1736" t="s">
        <v>88</v>
      </c>
      <c r="J1736">
        <v>0</v>
      </c>
      <c r="K1736">
        <v>0</v>
      </c>
    </row>
    <row r="1737" spans="2:11" x14ac:dyDescent="0.25">
      <c r="B1737" t="s">
        <v>6</v>
      </c>
      <c r="C1737" t="s">
        <v>307</v>
      </c>
      <c r="D1737">
        <v>703245</v>
      </c>
      <c r="E1737" t="s">
        <v>165</v>
      </c>
      <c r="F1737" t="s">
        <v>21</v>
      </c>
      <c r="G1737" t="s">
        <v>137</v>
      </c>
      <c r="H1737" t="s">
        <v>138</v>
      </c>
      <c r="J1737">
        <v>0</v>
      </c>
      <c r="K1737">
        <v>0</v>
      </c>
    </row>
    <row r="1738" spans="2:11" x14ac:dyDescent="0.25">
      <c r="B1738" t="s">
        <v>6</v>
      </c>
      <c r="C1738" t="s">
        <v>307</v>
      </c>
      <c r="D1738">
        <v>703246</v>
      </c>
      <c r="E1738" t="s">
        <v>166</v>
      </c>
      <c r="F1738" t="s">
        <v>21</v>
      </c>
      <c r="G1738" t="s">
        <v>137</v>
      </c>
      <c r="H1738" t="s">
        <v>138</v>
      </c>
      <c r="J1738">
        <v>0</v>
      </c>
      <c r="K1738">
        <v>0</v>
      </c>
    </row>
    <row r="1739" spans="2:11" x14ac:dyDescent="0.25">
      <c r="B1739" t="s">
        <v>6</v>
      </c>
      <c r="C1739" t="s">
        <v>307</v>
      </c>
      <c r="D1739">
        <v>703247</v>
      </c>
      <c r="E1739" t="s">
        <v>167</v>
      </c>
      <c r="F1739" t="s">
        <v>21</v>
      </c>
      <c r="G1739" t="s">
        <v>137</v>
      </c>
      <c r="H1739" t="s">
        <v>138</v>
      </c>
      <c r="J1739">
        <v>0</v>
      </c>
      <c r="K1739">
        <v>0</v>
      </c>
    </row>
    <row r="1740" spans="2:11" x14ac:dyDescent="0.25">
      <c r="B1740" t="s">
        <v>6</v>
      </c>
      <c r="C1740" t="s">
        <v>307</v>
      </c>
      <c r="D1740">
        <v>703248</v>
      </c>
      <c r="E1740" t="s">
        <v>168</v>
      </c>
      <c r="F1740" t="s">
        <v>21</v>
      </c>
      <c r="G1740" t="s">
        <v>137</v>
      </c>
      <c r="H1740" t="s">
        <v>141</v>
      </c>
      <c r="J1740">
        <v>0</v>
      </c>
      <c r="K1740">
        <v>0</v>
      </c>
    </row>
    <row r="1741" spans="2:11" x14ac:dyDescent="0.25">
      <c r="B1741" t="s">
        <v>6</v>
      </c>
      <c r="C1741" t="s">
        <v>307</v>
      </c>
      <c r="D1741">
        <v>703249</v>
      </c>
      <c r="E1741" t="s">
        <v>169</v>
      </c>
      <c r="F1741" t="s">
        <v>21</v>
      </c>
      <c r="G1741" t="s">
        <v>147</v>
      </c>
      <c r="H1741" t="s">
        <v>147</v>
      </c>
      <c r="J1741">
        <v>0</v>
      </c>
      <c r="K1741">
        <v>0</v>
      </c>
    </row>
    <row r="1742" spans="2:11" x14ac:dyDescent="0.25">
      <c r="B1742" t="s">
        <v>6</v>
      </c>
      <c r="C1742" t="s">
        <v>307</v>
      </c>
      <c r="D1742">
        <v>703250</v>
      </c>
      <c r="E1742" t="s">
        <v>170</v>
      </c>
      <c r="F1742" t="s">
        <v>21</v>
      </c>
      <c r="G1742" t="s">
        <v>71</v>
      </c>
      <c r="H1742" t="s">
        <v>171</v>
      </c>
      <c r="J1742">
        <v>0</v>
      </c>
      <c r="K1742">
        <v>0</v>
      </c>
    </row>
    <row r="1743" spans="2:11" x14ac:dyDescent="0.25">
      <c r="B1743" t="s">
        <v>6</v>
      </c>
      <c r="C1743" t="s">
        <v>307</v>
      </c>
      <c r="D1743">
        <v>703251</v>
      </c>
      <c r="E1743" t="s">
        <v>172</v>
      </c>
      <c r="F1743" t="s">
        <v>21</v>
      </c>
      <c r="G1743" t="s">
        <v>22</v>
      </c>
      <c r="H1743" t="s">
        <v>115</v>
      </c>
      <c r="J1743">
        <v>0</v>
      </c>
      <c r="K1743">
        <v>0</v>
      </c>
    </row>
    <row r="1744" spans="2:11" x14ac:dyDescent="0.25">
      <c r="B1744" t="s">
        <v>6</v>
      </c>
      <c r="C1744" t="s">
        <v>307</v>
      </c>
      <c r="D1744">
        <v>703252</v>
      </c>
      <c r="E1744" t="s">
        <v>173</v>
      </c>
      <c r="F1744" t="s">
        <v>21</v>
      </c>
      <c r="G1744" t="s">
        <v>22</v>
      </c>
      <c r="H1744" t="s">
        <v>115</v>
      </c>
      <c r="J1744">
        <v>0</v>
      </c>
      <c r="K1744">
        <v>0</v>
      </c>
    </row>
    <row r="1745" spans="2:11" x14ac:dyDescent="0.25">
      <c r="B1745" t="s">
        <v>6</v>
      </c>
      <c r="C1745" t="s">
        <v>307</v>
      </c>
      <c r="D1745">
        <v>703253</v>
      </c>
      <c r="E1745" t="s">
        <v>174</v>
      </c>
      <c r="F1745" t="s">
        <v>21</v>
      </c>
      <c r="G1745" t="s">
        <v>22</v>
      </c>
      <c r="H1745" t="s">
        <v>115</v>
      </c>
      <c r="J1745">
        <v>0</v>
      </c>
      <c r="K1745">
        <v>0</v>
      </c>
    </row>
    <row r="1746" spans="2:11" x14ac:dyDescent="0.25">
      <c r="B1746" t="s">
        <v>6</v>
      </c>
      <c r="C1746" t="s">
        <v>307</v>
      </c>
      <c r="D1746">
        <v>703254</v>
      </c>
      <c r="E1746" t="s">
        <v>175</v>
      </c>
      <c r="F1746" t="s">
        <v>21</v>
      </c>
      <c r="G1746" t="s">
        <v>22</v>
      </c>
      <c r="H1746" t="s">
        <v>115</v>
      </c>
      <c r="J1746">
        <v>0</v>
      </c>
      <c r="K1746">
        <v>0</v>
      </c>
    </row>
    <row r="1747" spans="2:11" x14ac:dyDescent="0.25">
      <c r="B1747" t="s">
        <v>6</v>
      </c>
      <c r="C1747" t="s">
        <v>307</v>
      </c>
      <c r="D1747">
        <v>703255</v>
      </c>
      <c r="E1747" t="s">
        <v>176</v>
      </c>
      <c r="F1747" t="s">
        <v>21</v>
      </c>
      <c r="G1747" t="s">
        <v>22</v>
      </c>
      <c r="H1747" t="s">
        <v>115</v>
      </c>
      <c r="J1747">
        <v>0</v>
      </c>
      <c r="K1747">
        <v>0</v>
      </c>
    </row>
    <row r="1748" spans="2:11" x14ac:dyDescent="0.25">
      <c r="B1748" t="s">
        <v>6</v>
      </c>
      <c r="C1748" t="s">
        <v>307</v>
      </c>
      <c r="D1748">
        <v>703257</v>
      </c>
      <c r="E1748" t="s">
        <v>177</v>
      </c>
      <c r="F1748" t="s">
        <v>21</v>
      </c>
      <c r="G1748" t="s">
        <v>147</v>
      </c>
      <c r="H1748" t="s">
        <v>147</v>
      </c>
      <c r="J1748">
        <v>0</v>
      </c>
      <c r="K1748">
        <v>0</v>
      </c>
    </row>
    <row r="1749" spans="2:11" x14ac:dyDescent="0.25">
      <c r="B1749" t="s">
        <v>6</v>
      </c>
      <c r="C1749" t="s">
        <v>307</v>
      </c>
      <c r="D1749">
        <v>703258</v>
      </c>
      <c r="E1749" t="s">
        <v>178</v>
      </c>
      <c r="F1749" t="s">
        <v>21</v>
      </c>
      <c r="G1749" t="s">
        <v>147</v>
      </c>
      <c r="H1749" t="s">
        <v>147</v>
      </c>
      <c r="J1749">
        <v>0</v>
      </c>
      <c r="K1749">
        <v>0</v>
      </c>
    </row>
    <row r="1750" spans="2:11" x14ac:dyDescent="0.25">
      <c r="B1750" t="s">
        <v>6</v>
      </c>
      <c r="C1750" t="s">
        <v>307</v>
      </c>
      <c r="D1750">
        <v>703260</v>
      </c>
      <c r="E1750" t="s">
        <v>179</v>
      </c>
      <c r="F1750" t="s">
        <v>21</v>
      </c>
      <c r="G1750" t="s">
        <v>76</v>
      </c>
      <c r="H1750" t="s">
        <v>77</v>
      </c>
      <c r="J1750">
        <v>0</v>
      </c>
      <c r="K1750">
        <v>0</v>
      </c>
    </row>
    <row r="1751" spans="2:11" x14ac:dyDescent="0.25">
      <c r="B1751" t="s">
        <v>6</v>
      </c>
      <c r="C1751" t="s">
        <v>307</v>
      </c>
      <c r="D1751">
        <v>703261</v>
      </c>
      <c r="E1751" t="s">
        <v>180</v>
      </c>
      <c r="F1751" t="s">
        <v>21</v>
      </c>
      <c r="G1751" t="s">
        <v>22</v>
      </c>
      <c r="H1751" t="s">
        <v>115</v>
      </c>
      <c r="J1751">
        <v>0</v>
      </c>
      <c r="K1751">
        <v>0</v>
      </c>
    </row>
    <row r="1752" spans="2:11" x14ac:dyDescent="0.25">
      <c r="B1752" t="s">
        <v>6</v>
      </c>
      <c r="C1752" t="s">
        <v>307</v>
      </c>
      <c r="D1752">
        <v>703262</v>
      </c>
      <c r="E1752" t="s">
        <v>181</v>
      </c>
      <c r="F1752" t="s">
        <v>21</v>
      </c>
      <c r="G1752" t="s">
        <v>22</v>
      </c>
      <c r="H1752" t="s">
        <v>23</v>
      </c>
      <c r="J1752">
        <v>0</v>
      </c>
      <c r="K1752">
        <v>0</v>
      </c>
    </row>
    <row r="1753" spans="2:11" x14ac:dyDescent="0.25">
      <c r="B1753" t="s">
        <v>6</v>
      </c>
      <c r="C1753" t="s">
        <v>307</v>
      </c>
      <c r="D1753">
        <v>703263</v>
      </c>
      <c r="E1753" t="s">
        <v>182</v>
      </c>
      <c r="F1753" t="s">
        <v>21</v>
      </c>
      <c r="G1753" t="s">
        <v>22</v>
      </c>
      <c r="H1753" t="s">
        <v>115</v>
      </c>
      <c r="J1753">
        <v>0</v>
      </c>
      <c r="K1753">
        <v>0</v>
      </c>
    </row>
    <row r="1754" spans="2:11" x14ac:dyDescent="0.25">
      <c r="B1754" t="s">
        <v>6</v>
      </c>
      <c r="C1754" t="s">
        <v>307</v>
      </c>
      <c r="D1754">
        <v>703264</v>
      </c>
      <c r="E1754" t="s">
        <v>183</v>
      </c>
      <c r="F1754" t="s">
        <v>21</v>
      </c>
      <c r="G1754" t="s">
        <v>22</v>
      </c>
      <c r="H1754" t="s">
        <v>115</v>
      </c>
      <c r="J1754">
        <v>0</v>
      </c>
      <c r="K1754">
        <v>0</v>
      </c>
    </row>
    <row r="1755" spans="2:11" x14ac:dyDescent="0.25">
      <c r="B1755" t="s">
        <v>6</v>
      </c>
      <c r="C1755" t="s">
        <v>307</v>
      </c>
      <c r="D1755">
        <v>703265</v>
      </c>
      <c r="E1755" t="s">
        <v>184</v>
      </c>
      <c r="F1755" t="s">
        <v>21</v>
      </c>
      <c r="G1755" t="s">
        <v>22</v>
      </c>
      <c r="H1755" t="s">
        <v>115</v>
      </c>
      <c r="J1755">
        <v>0</v>
      </c>
      <c r="K1755">
        <v>0</v>
      </c>
    </row>
    <row r="1756" spans="2:11" x14ac:dyDescent="0.25">
      <c r="B1756" t="s">
        <v>6</v>
      </c>
      <c r="C1756" t="s">
        <v>307</v>
      </c>
      <c r="D1756">
        <v>703266</v>
      </c>
      <c r="E1756" t="s">
        <v>185</v>
      </c>
      <c r="F1756" t="s">
        <v>21</v>
      </c>
      <c r="G1756" t="s">
        <v>71</v>
      </c>
      <c r="H1756" t="s">
        <v>186</v>
      </c>
      <c r="J1756">
        <v>0</v>
      </c>
      <c r="K1756">
        <v>0</v>
      </c>
    </row>
    <row r="1757" spans="2:11" x14ac:dyDescent="0.25">
      <c r="B1757" t="s">
        <v>6</v>
      </c>
      <c r="C1757" t="s">
        <v>307</v>
      </c>
      <c r="D1757">
        <v>703267</v>
      </c>
      <c r="E1757" t="s">
        <v>187</v>
      </c>
      <c r="F1757" t="s">
        <v>21</v>
      </c>
      <c r="G1757" t="s">
        <v>71</v>
      </c>
      <c r="H1757" t="s">
        <v>88</v>
      </c>
      <c r="J1757">
        <v>0</v>
      </c>
      <c r="K1757">
        <v>0</v>
      </c>
    </row>
    <row r="1758" spans="2:11" x14ac:dyDescent="0.25">
      <c r="B1758" t="s">
        <v>6</v>
      </c>
      <c r="C1758" t="s">
        <v>307</v>
      </c>
      <c r="D1758">
        <v>703268</v>
      </c>
      <c r="E1758" t="s">
        <v>188</v>
      </c>
      <c r="F1758" t="s">
        <v>21</v>
      </c>
      <c r="G1758" t="s">
        <v>147</v>
      </c>
      <c r="H1758" t="s">
        <v>147</v>
      </c>
      <c r="J1758">
        <v>0</v>
      </c>
      <c r="K1758">
        <v>0</v>
      </c>
    </row>
    <row r="1759" spans="2:11" x14ac:dyDescent="0.25">
      <c r="B1759" t="s">
        <v>6</v>
      </c>
      <c r="C1759" t="s">
        <v>307</v>
      </c>
      <c r="D1759">
        <v>703269</v>
      </c>
      <c r="E1759" t="s">
        <v>189</v>
      </c>
      <c r="F1759" t="s">
        <v>21</v>
      </c>
      <c r="G1759" t="s">
        <v>147</v>
      </c>
      <c r="H1759" t="s">
        <v>147</v>
      </c>
      <c r="J1759">
        <v>0</v>
      </c>
      <c r="K1759">
        <v>0</v>
      </c>
    </row>
    <row r="1760" spans="2:11" x14ac:dyDescent="0.25">
      <c r="B1760" t="s">
        <v>6</v>
      </c>
      <c r="C1760" t="s">
        <v>307</v>
      </c>
      <c r="D1760">
        <v>703270</v>
      </c>
      <c r="E1760" t="s">
        <v>190</v>
      </c>
      <c r="F1760" t="s">
        <v>21</v>
      </c>
      <c r="G1760" t="s">
        <v>137</v>
      </c>
      <c r="H1760" t="s">
        <v>141</v>
      </c>
      <c r="J1760">
        <v>0</v>
      </c>
      <c r="K1760">
        <v>0</v>
      </c>
    </row>
    <row r="1761" spans="2:11" x14ac:dyDescent="0.25">
      <c r="B1761" t="s">
        <v>6</v>
      </c>
      <c r="C1761" t="s">
        <v>307</v>
      </c>
      <c r="D1761">
        <v>703271</v>
      </c>
      <c r="E1761" t="s">
        <v>191</v>
      </c>
      <c r="F1761" t="s">
        <v>21</v>
      </c>
      <c r="G1761" t="s">
        <v>22</v>
      </c>
      <c r="H1761" t="s">
        <v>115</v>
      </c>
      <c r="J1761">
        <v>0</v>
      </c>
      <c r="K1761">
        <v>0</v>
      </c>
    </row>
    <row r="1762" spans="2:11" x14ac:dyDescent="0.25">
      <c r="B1762" t="s">
        <v>6</v>
      </c>
      <c r="C1762" t="s">
        <v>307</v>
      </c>
      <c r="D1762">
        <v>703272</v>
      </c>
      <c r="E1762" t="s">
        <v>192</v>
      </c>
      <c r="F1762" t="s">
        <v>21</v>
      </c>
      <c r="G1762" t="s">
        <v>22</v>
      </c>
      <c r="H1762" t="s">
        <v>23</v>
      </c>
      <c r="J1762">
        <v>0</v>
      </c>
      <c r="K1762">
        <v>0</v>
      </c>
    </row>
    <row r="1763" spans="2:11" x14ac:dyDescent="0.25">
      <c r="B1763" t="s">
        <v>6</v>
      </c>
      <c r="C1763" t="s">
        <v>307</v>
      </c>
      <c r="D1763">
        <v>703273</v>
      </c>
      <c r="E1763" t="s">
        <v>193</v>
      </c>
      <c r="F1763" t="s">
        <v>21</v>
      </c>
      <c r="G1763" t="s">
        <v>147</v>
      </c>
      <c r="H1763" t="s">
        <v>147</v>
      </c>
      <c r="J1763">
        <v>0</v>
      </c>
      <c r="K1763">
        <v>0</v>
      </c>
    </row>
    <row r="1764" spans="2:11" x14ac:dyDescent="0.25">
      <c r="B1764" t="s">
        <v>6</v>
      </c>
      <c r="C1764" t="s">
        <v>307</v>
      </c>
      <c r="D1764">
        <v>703274</v>
      </c>
      <c r="E1764" t="s">
        <v>194</v>
      </c>
      <c r="F1764" t="s">
        <v>21</v>
      </c>
      <c r="G1764" t="s">
        <v>147</v>
      </c>
      <c r="H1764" t="s">
        <v>147</v>
      </c>
      <c r="J1764">
        <v>0</v>
      </c>
      <c r="K1764">
        <v>0</v>
      </c>
    </row>
    <row r="1765" spans="2:11" x14ac:dyDescent="0.25">
      <c r="B1765" t="s">
        <v>6</v>
      </c>
      <c r="C1765" t="s">
        <v>307</v>
      </c>
      <c r="D1765">
        <v>703275</v>
      </c>
      <c r="E1765" t="s">
        <v>195</v>
      </c>
      <c r="F1765" t="s">
        <v>21</v>
      </c>
      <c r="G1765" t="s">
        <v>137</v>
      </c>
      <c r="H1765" t="s">
        <v>138</v>
      </c>
      <c r="J1765">
        <v>0</v>
      </c>
      <c r="K1765">
        <v>0</v>
      </c>
    </row>
    <row r="1766" spans="2:11" x14ac:dyDescent="0.25">
      <c r="B1766" t="s">
        <v>6</v>
      </c>
      <c r="C1766" t="s">
        <v>307</v>
      </c>
      <c r="D1766">
        <v>703280</v>
      </c>
      <c r="E1766" t="s">
        <v>196</v>
      </c>
      <c r="F1766" t="s">
        <v>21</v>
      </c>
      <c r="G1766" t="s">
        <v>71</v>
      </c>
      <c r="H1766" t="s">
        <v>171</v>
      </c>
      <c r="J1766">
        <v>0</v>
      </c>
      <c r="K1766">
        <v>0</v>
      </c>
    </row>
    <row r="1767" spans="2:11" x14ac:dyDescent="0.25">
      <c r="B1767" t="s">
        <v>6</v>
      </c>
      <c r="C1767" t="s">
        <v>307</v>
      </c>
      <c r="D1767">
        <v>703281</v>
      </c>
      <c r="E1767" t="s">
        <v>197</v>
      </c>
      <c r="F1767" t="s">
        <v>21</v>
      </c>
      <c r="G1767" t="s">
        <v>76</v>
      </c>
      <c r="H1767" t="s">
        <v>77</v>
      </c>
      <c r="J1767">
        <v>0</v>
      </c>
      <c r="K1767">
        <v>0</v>
      </c>
    </row>
    <row r="1768" spans="2:11" x14ac:dyDescent="0.25">
      <c r="B1768" t="s">
        <v>6</v>
      </c>
      <c r="C1768" t="s">
        <v>307</v>
      </c>
      <c r="D1768">
        <v>703282</v>
      </c>
      <c r="E1768" t="s">
        <v>198</v>
      </c>
      <c r="F1768" t="s">
        <v>21</v>
      </c>
      <c r="G1768" t="s">
        <v>76</v>
      </c>
      <c r="H1768" t="s">
        <v>77</v>
      </c>
      <c r="J1768">
        <v>0</v>
      </c>
      <c r="K1768">
        <v>0</v>
      </c>
    </row>
    <row r="1769" spans="2:11" x14ac:dyDescent="0.25">
      <c r="B1769" t="s">
        <v>6</v>
      </c>
      <c r="C1769" t="s">
        <v>307</v>
      </c>
      <c r="D1769">
        <v>703283</v>
      </c>
      <c r="E1769" t="s">
        <v>199</v>
      </c>
      <c r="F1769" t="s">
        <v>21</v>
      </c>
      <c r="G1769" t="s">
        <v>61</v>
      </c>
      <c r="H1769" t="s">
        <v>68</v>
      </c>
      <c r="J1769">
        <v>0</v>
      </c>
      <c r="K1769">
        <v>0</v>
      </c>
    </row>
    <row r="1770" spans="2:11" x14ac:dyDescent="0.25">
      <c r="B1770" t="s">
        <v>6</v>
      </c>
      <c r="C1770" t="s">
        <v>307</v>
      </c>
      <c r="D1770">
        <v>703310</v>
      </c>
      <c r="E1770" t="s">
        <v>200</v>
      </c>
      <c r="F1770" t="s">
        <v>21</v>
      </c>
      <c r="G1770" t="s">
        <v>22</v>
      </c>
      <c r="H1770" t="s">
        <v>23</v>
      </c>
      <c r="J1770">
        <v>0</v>
      </c>
      <c r="K1770">
        <v>0</v>
      </c>
    </row>
    <row r="1771" spans="2:11" x14ac:dyDescent="0.25">
      <c r="B1771" t="s">
        <v>6</v>
      </c>
      <c r="C1771" t="s">
        <v>307</v>
      </c>
      <c r="D1771">
        <v>703311</v>
      </c>
      <c r="E1771" t="s">
        <v>201</v>
      </c>
      <c r="F1771" t="s">
        <v>21</v>
      </c>
      <c r="G1771" t="s">
        <v>71</v>
      </c>
      <c r="H1771" t="s">
        <v>171</v>
      </c>
      <c r="J1771">
        <v>0</v>
      </c>
      <c r="K1771">
        <v>0</v>
      </c>
    </row>
    <row r="1772" spans="2:11" x14ac:dyDescent="0.25">
      <c r="B1772" t="s">
        <v>6</v>
      </c>
      <c r="C1772" t="s">
        <v>307</v>
      </c>
      <c r="D1772">
        <v>703312</v>
      </c>
      <c r="E1772" t="s">
        <v>202</v>
      </c>
      <c r="F1772" t="s">
        <v>21</v>
      </c>
      <c r="G1772" t="s">
        <v>76</v>
      </c>
      <c r="H1772" t="s">
        <v>77</v>
      </c>
      <c r="J1772">
        <v>0</v>
      </c>
      <c r="K1772">
        <v>0</v>
      </c>
    </row>
    <row r="1773" spans="2:11" x14ac:dyDescent="0.25">
      <c r="B1773" t="s">
        <v>6</v>
      </c>
      <c r="C1773" t="s">
        <v>307</v>
      </c>
      <c r="D1773">
        <v>703313</v>
      </c>
      <c r="E1773" t="s">
        <v>203</v>
      </c>
      <c r="F1773" t="s">
        <v>21</v>
      </c>
      <c r="G1773" t="s">
        <v>76</v>
      </c>
      <c r="H1773" t="s">
        <v>77</v>
      </c>
      <c r="J1773">
        <v>0</v>
      </c>
      <c r="K1773">
        <v>0</v>
      </c>
    </row>
    <row r="1774" spans="2:11" x14ac:dyDescent="0.25">
      <c r="B1774" t="s">
        <v>6</v>
      </c>
      <c r="C1774" t="s">
        <v>307</v>
      </c>
      <c r="D1774">
        <v>703314</v>
      </c>
      <c r="E1774" t="s">
        <v>204</v>
      </c>
      <c r="F1774" t="s">
        <v>21</v>
      </c>
      <c r="G1774" t="s">
        <v>76</v>
      </c>
      <c r="H1774" t="s">
        <v>77</v>
      </c>
      <c r="J1774">
        <v>0</v>
      </c>
      <c r="K1774">
        <v>0</v>
      </c>
    </row>
    <row r="1775" spans="2:11" x14ac:dyDescent="0.25">
      <c r="B1775" t="s">
        <v>6</v>
      </c>
      <c r="C1775" t="s">
        <v>307</v>
      </c>
      <c r="D1775">
        <v>703315</v>
      </c>
      <c r="E1775" t="s">
        <v>205</v>
      </c>
      <c r="F1775" t="s">
        <v>21</v>
      </c>
      <c r="G1775" t="s">
        <v>76</v>
      </c>
      <c r="H1775" t="s">
        <v>135</v>
      </c>
      <c r="J1775">
        <v>0</v>
      </c>
      <c r="K1775">
        <v>0</v>
      </c>
    </row>
    <row r="1776" spans="2:11" x14ac:dyDescent="0.25">
      <c r="B1776" t="s">
        <v>6</v>
      </c>
      <c r="C1776" t="s">
        <v>307</v>
      </c>
      <c r="D1776">
        <v>703316</v>
      </c>
      <c r="E1776" t="s">
        <v>206</v>
      </c>
      <c r="F1776" t="s">
        <v>21</v>
      </c>
      <c r="G1776" t="s">
        <v>76</v>
      </c>
      <c r="H1776" t="s">
        <v>77</v>
      </c>
      <c r="J1776">
        <v>0</v>
      </c>
      <c r="K1776">
        <v>0</v>
      </c>
    </row>
    <row r="1777" spans="2:11" x14ac:dyDescent="0.25">
      <c r="B1777" t="s">
        <v>6</v>
      </c>
      <c r="C1777" t="s">
        <v>307</v>
      </c>
      <c r="D1777">
        <v>703317</v>
      </c>
      <c r="E1777" t="s">
        <v>207</v>
      </c>
      <c r="F1777" t="s">
        <v>21</v>
      </c>
      <c r="G1777" t="s">
        <v>76</v>
      </c>
      <c r="H1777" t="s">
        <v>77</v>
      </c>
      <c r="J1777">
        <v>0</v>
      </c>
      <c r="K1777">
        <v>0</v>
      </c>
    </row>
    <row r="1778" spans="2:11" x14ac:dyDescent="0.25">
      <c r="B1778" t="s">
        <v>6</v>
      </c>
      <c r="C1778" t="s">
        <v>307</v>
      </c>
      <c r="D1778">
        <v>703318</v>
      </c>
      <c r="E1778" t="s">
        <v>208</v>
      </c>
      <c r="F1778" t="s">
        <v>21</v>
      </c>
      <c r="G1778" t="s">
        <v>71</v>
      </c>
      <c r="H1778" t="s">
        <v>209</v>
      </c>
      <c r="J1778">
        <v>0</v>
      </c>
      <c r="K1778">
        <v>0</v>
      </c>
    </row>
    <row r="1779" spans="2:11" x14ac:dyDescent="0.25">
      <c r="B1779" t="s">
        <v>6</v>
      </c>
      <c r="C1779" t="s">
        <v>307</v>
      </c>
      <c r="D1779">
        <v>703319</v>
      </c>
      <c r="E1779" t="s">
        <v>210</v>
      </c>
      <c r="F1779" t="s">
        <v>21</v>
      </c>
      <c r="G1779" t="s">
        <v>61</v>
      </c>
      <c r="H1779" t="s">
        <v>79</v>
      </c>
      <c r="J1779">
        <v>0</v>
      </c>
      <c r="K1779">
        <v>0</v>
      </c>
    </row>
    <row r="1780" spans="2:11" x14ac:dyDescent="0.25">
      <c r="B1780" t="s">
        <v>6</v>
      </c>
      <c r="C1780" t="s">
        <v>307</v>
      </c>
      <c r="D1780">
        <v>703320</v>
      </c>
      <c r="E1780" t="s">
        <v>211</v>
      </c>
      <c r="F1780" t="s">
        <v>21</v>
      </c>
      <c r="G1780" t="s">
        <v>71</v>
      </c>
      <c r="H1780" t="s">
        <v>135</v>
      </c>
      <c r="J1780">
        <v>0</v>
      </c>
      <c r="K1780">
        <v>0</v>
      </c>
    </row>
    <row r="1781" spans="2:11" x14ac:dyDescent="0.25">
      <c r="B1781" t="s">
        <v>6</v>
      </c>
      <c r="C1781" t="s">
        <v>307</v>
      </c>
      <c r="D1781">
        <v>703321</v>
      </c>
      <c r="E1781" t="s">
        <v>212</v>
      </c>
      <c r="F1781" t="s">
        <v>21</v>
      </c>
      <c r="G1781" t="s">
        <v>22</v>
      </c>
      <c r="H1781" t="s">
        <v>23</v>
      </c>
      <c r="J1781">
        <v>0</v>
      </c>
      <c r="K1781">
        <v>0</v>
      </c>
    </row>
    <row r="1782" spans="2:11" x14ac:dyDescent="0.25">
      <c r="B1782" t="s">
        <v>6</v>
      </c>
      <c r="C1782" t="s">
        <v>307</v>
      </c>
      <c r="D1782">
        <v>703322</v>
      </c>
      <c r="E1782" t="s">
        <v>213</v>
      </c>
      <c r="F1782" t="s">
        <v>21</v>
      </c>
      <c r="G1782" t="s">
        <v>22</v>
      </c>
      <c r="H1782" t="s">
        <v>23</v>
      </c>
      <c r="J1782">
        <v>0</v>
      </c>
      <c r="K1782">
        <v>0</v>
      </c>
    </row>
    <row r="1783" spans="2:11" x14ac:dyDescent="0.25">
      <c r="B1783" t="s">
        <v>6</v>
      </c>
      <c r="C1783" t="s">
        <v>307</v>
      </c>
      <c r="D1783">
        <v>703323</v>
      </c>
      <c r="E1783" t="s">
        <v>214</v>
      </c>
      <c r="F1783" t="s">
        <v>21</v>
      </c>
      <c r="G1783" t="s">
        <v>22</v>
      </c>
      <c r="H1783" t="s">
        <v>23</v>
      </c>
      <c r="J1783">
        <v>0</v>
      </c>
      <c r="K1783">
        <v>0</v>
      </c>
    </row>
    <row r="1784" spans="2:11" x14ac:dyDescent="0.25">
      <c r="B1784" t="s">
        <v>6</v>
      </c>
      <c r="C1784" t="s">
        <v>307</v>
      </c>
      <c r="D1784">
        <v>703324</v>
      </c>
      <c r="E1784" t="s">
        <v>215</v>
      </c>
      <c r="F1784" t="s">
        <v>21</v>
      </c>
      <c r="G1784" t="s">
        <v>22</v>
      </c>
      <c r="H1784" t="s">
        <v>23</v>
      </c>
      <c r="J1784">
        <v>0</v>
      </c>
      <c r="K1784">
        <v>0</v>
      </c>
    </row>
    <row r="1785" spans="2:11" x14ac:dyDescent="0.25">
      <c r="B1785" t="s">
        <v>6</v>
      </c>
      <c r="C1785" t="s">
        <v>307</v>
      </c>
      <c r="D1785">
        <v>703325</v>
      </c>
      <c r="E1785" t="s">
        <v>216</v>
      </c>
      <c r="F1785" t="s">
        <v>21</v>
      </c>
      <c r="G1785" t="s">
        <v>22</v>
      </c>
      <c r="H1785" t="s">
        <v>23</v>
      </c>
      <c r="J1785">
        <v>0</v>
      </c>
      <c r="K1785">
        <v>0</v>
      </c>
    </row>
    <row r="1786" spans="2:11" x14ac:dyDescent="0.25">
      <c r="B1786" t="s">
        <v>6</v>
      </c>
      <c r="C1786" t="s">
        <v>307</v>
      </c>
      <c r="D1786">
        <v>703326</v>
      </c>
      <c r="E1786" t="s">
        <v>217</v>
      </c>
      <c r="F1786" t="s">
        <v>21</v>
      </c>
      <c r="G1786" t="s">
        <v>22</v>
      </c>
      <c r="H1786" t="s">
        <v>23</v>
      </c>
      <c r="J1786">
        <v>0</v>
      </c>
      <c r="K1786">
        <v>0</v>
      </c>
    </row>
    <row r="1787" spans="2:11" x14ac:dyDescent="0.25">
      <c r="B1787" t="s">
        <v>6</v>
      </c>
      <c r="C1787" t="s">
        <v>307</v>
      </c>
      <c r="D1787">
        <v>703327</v>
      </c>
      <c r="E1787" t="s">
        <v>218</v>
      </c>
      <c r="F1787" t="s">
        <v>21</v>
      </c>
      <c r="G1787" t="s">
        <v>76</v>
      </c>
      <c r="H1787" t="s">
        <v>77</v>
      </c>
      <c r="J1787">
        <v>0</v>
      </c>
      <c r="K1787">
        <v>0</v>
      </c>
    </row>
    <row r="1788" spans="2:11" x14ac:dyDescent="0.25">
      <c r="B1788" t="s">
        <v>6</v>
      </c>
      <c r="C1788" t="s">
        <v>307</v>
      </c>
      <c r="D1788">
        <v>703328</v>
      </c>
      <c r="E1788" t="s">
        <v>219</v>
      </c>
      <c r="F1788" t="s">
        <v>21</v>
      </c>
      <c r="G1788" t="s">
        <v>22</v>
      </c>
      <c r="H1788" t="s">
        <v>23</v>
      </c>
      <c r="J1788">
        <v>0</v>
      </c>
      <c r="K1788">
        <v>0</v>
      </c>
    </row>
    <row r="1789" spans="2:11" x14ac:dyDescent="0.25">
      <c r="B1789" t="s">
        <v>6</v>
      </c>
      <c r="C1789" t="s">
        <v>307</v>
      </c>
      <c r="D1789">
        <v>703329</v>
      </c>
      <c r="E1789" t="s">
        <v>220</v>
      </c>
      <c r="F1789" t="s">
        <v>21</v>
      </c>
      <c r="G1789" t="s">
        <v>22</v>
      </c>
      <c r="H1789" t="s">
        <v>23</v>
      </c>
      <c r="J1789">
        <v>0</v>
      </c>
      <c r="K1789">
        <v>0</v>
      </c>
    </row>
    <row r="1790" spans="2:11" x14ac:dyDescent="0.25">
      <c r="B1790" t="s">
        <v>6</v>
      </c>
      <c r="C1790" t="s">
        <v>307</v>
      </c>
      <c r="D1790">
        <v>703330</v>
      </c>
      <c r="E1790" t="s">
        <v>221</v>
      </c>
      <c r="F1790" t="s">
        <v>21</v>
      </c>
      <c r="G1790" t="s">
        <v>22</v>
      </c>
      <c r="H1790" t="s">
        <v>23</v>
      </c>
      <c r="J1790">
        <v>0</v>
      </c>
      <c r="K1790">
        <v>0</v>
      </c>
    </row>
    <row r="1791" spans="2:11" x14ac:dyDescent="0.25">
      <c r="B1791" t="s">
        <v>6</v>
      </c>
      <c r="C1791" t="s">
        <v>307</v>
      </c>
      <c r="D1791">
        <v>703340</v>
      </c>
      <c r="E1791" t="s">
        <v>222</v>
      </c>
      <c r="F1791" t="s">
        <v>21</v>
      </c>
      <c r="G1791" t="s">
        <v>61</v>
      </c>
      <c r="H1791" t="s">
        <v>68</v>
      </c>
      <c r="J1791">
        <v>0</v>
      </c>
      <c r="K1791">
        <v>0</v>
      </c>
    </row>
    <row r="1792" spans="2:11" x14ac:dyDescent="0.25">
      <c r="B1792" t="s">
        <v>6</v>
      </c>
      <c r="C1792" t="s">
        <v>307</v>
      </c>
      <c r="D1792">
        <v>703350</v>
      </c>
      <c r="E1792" t="s">
        <v>223</v>
      </c>
      <c r="F1792" t="s">
        <v>21</v>
      </c>
      <c r="G1792" t="s">
        <v>22</v>
      </c>
      <c r="H1792" t="s">
        <v>23</v>
      </c>
      <c r="J1792">
        <v>0</v>
      </c>
      <c r="K1792">
        <v>0</v>
      </c>
    </row>
    <row r="1793" spans="2:11" x14ac:dyDescent="0.25">
      <c r="B1793" t="s">
        <v>6</v>
      </c>
      <c r="C1793" t="s">
        <v>307</v>
      </c>
      <c r="D1793">
        <v>703351</v>
      </c>
      <c r="E1793" t="s">
        <v>224</v>
      </c>
      <c r="F1793" t="s">
        <v>21</v>
      </c>
      <c r="G1793" t="s">
        <v>22</v>
      </c>
      <c r="H1793" t="s">
        <v>23</v>
      </c>
      <c r="J1793">
        <v>0</v>
      </c>
      <c r="K1793">
        <v>0</v>
      </c>
    </row>
    <row r="1794" spans="2:11" x14ac:dyDescent="0.25">
      <c r="B1794" t="s">
        <v>6</v>
      </c>
      <c r="C1794" t="s">
        <v>307</v>
      </c>
      <c r="D1794">
        <v>703352</v>
      </c>
      <c r="E1794" t="s">
        <v>225</v>
      </c>
      <c r="F1794" t="s">
        <v>21</v>
      </c>
      <c r="G1794" t="s">
        <v>22</v>
      </c>
      <c r="H1794" t="s">
        <v>23</v>
      </c>
      <c r="J1794">
        <v>0</v>
      </c>
      <c r="K1794">
        <v>0</v>
      </c>
    </row>
    <row r="1795" spans="2:11" x14ac:dyDescent="0.25">
      <c r="B1795" t="s">
        <v>6</v>
      </c>
      <c r="C1795" t="s">
        <v>307</v>
      </c>
      <c r="D1795">
        <v>703360</v>
      </c>
      <c r="E1795" t="s">
        <v>226</v>
      </c>
      <c r="F1795" t="s">
        <v>21</v>
      </c>
      <c r="G1795" t="s">
        <v>22</v>
      </c>
      <c r="H1795" t="s">
        <v>23</v>
      </c>
      <c r="J1795">
        <v>0</v>
      </c>
      <c r="K1795">
        <v>0</v>
      </c>
    </row>
    <row r="1796" spans="2:11" x14ac:dyDescent="0.25">
      <c r="B1796" t="s">
        <v>6</v>
      </c>
      <c r="C1796" t="s">
        <v>307</v>
      </c>
      <c r="D1796">
        <v>703370</v>
      </c>
      <c r="E1796" t="s">
        <v>227</v>
      </c>
      <c r="F1796" t="s">
        <v>21</v>
      </c>
      <c r="G1796" t="s">
        <v>22</v>
      </c>
      <c r="H1796" t="s">
        <v>23</v>
      </c>
      <c r="J1796">
        <v>0</v>
      </c>
      <c r="K1796">
        <v>0</v>
      </c>
    </row>
    <row r="1797" spans="2:11" x14ac:dyDescent="0.25">
      <c r="B1797" t="s">
        <v>6</v>
      </c>
      <c r="C1797" t="s">
        <v>307</v>
      </c>
      <c r="D1797">
        <v>703410</v>
      </c>
      <c r="E1797" t="s">
        <v>228</v>
      </c>
      <c r="F1797" t="s">
        <v>21</v>
      </c>
      <c r="G1797" t="s">
        <v>22</v>
      </c>
      <c r="H1797" t="s">
        <v>23</v>
      </c>
      <c r="J1797">
        <v>0</v>
      </c>
      <c r="K1797">
        <v>0</v>
      </c>
    </row>
    <row r="1798" spans="2:11" x14ac:dyDescent="0.25">
      <c r="B1798" t="s">
        <v>6</v>
      </c>
      <c r="C1798" t="s">
        <v>307</v>
      </c>
      <c r="D1798">
        <v>703411</v>
      </c>
      <c r="E1798" t="s">
        <v>229</v>
      </c>
      <c r="F1798" t="s">
        <v>21</v>
      </c>
      <c r="G1798" t="s">
        <v>22</v>
      </c>
      <c r="H1798" t="s">
        <v>23</v>
      </c>
      <c r="J1798">
        <v>0</v>
      </c>
      <c r="K1798">
        <v>0</v>
      </c>
    </row>
    <row r="1799" spans="2:11" x14ac:dyDescent="0.25">
      <c r="B1799" t="s">
        <v>6</v>
      </c>
      <c r="C1799" t="s">
        <v>307</v>
      </c>
      <c r="D1799">
        <v>703412</v>
      </c>
      <c r="E1799" t="s">
        <v>230</v>
      </c>
      <c r="F1799" t="s">
        <v>21</v>
      </c>
      <c r="G1799" t="s">
        <v>22</v>
      </c>
      <c r="H1799" t="s">
        <v>23</v>
      </c>
      <c r="J1799">
        <v>0</v>
      </c>
      <c r="K1799">
        <v>0</v>
      </c>
    </row>
    <row r="1800" spans="2:11" x14ac:dyDescent="0.25">
      <c r="B1800" t="s">
        <v>6</v>
      </c>
      <c r="C1800" t="s">
        <v>307</v>
      </c>
      <c r="D1800">
        <v>703420</v>
      </c>
      <c r="E1800" t="s">
        <v>231</v>
      </c>
      <c r="F1800" t="s">
        <v>21</v>
      </c>
      <c r="G1800" t="s">
        <v>71</v>
      </c>
      <c r="H1800" t="s">
        <v>171</v>
      </c>
      <c r="J1800">
        <v>0</v>
      </c>
      <c r="K1800">
        <v>0</v>
      </c>
    </row>
    <row r="1801" spans="2:11" x14ac:dyDescent="0.25">
      <c r="B1801" t="s">
        <v>6</v>
      </c>
      <c r="C1801" t="s">
        <v>307</v>
      </c>
      <c r="D1801">
        <v>703421</v>
      </c>
      <c r="E1801" t="s">
        <v>232</v>
      </c>
      <c r="F1801" t="s">
        <v>21</v>
      </c>
      <c r="G1801" t="s">
        <v>22</v>
      </c>
      <c r="H1801" t="s">
        <v>23</v>
      </c>
      <c r="J1801">
        <v>0</v>
      </c>
      <c r="K1801">
        <v>0</v>
      </c>
    </row>
    <row r="1802" spans="2:11" x14ac:dyDescent="0.25">
      <c r="B1802" t="s">
        <v>6</v>
      </c>
      <c r="C1802" t="s">
        <v>307</v>
      </c>
      <c r="D1802">
        <v>703422</v>
      </c>
      <c r="E1802" t="s">
        <v>233</v>
      </c>
      <c r="F1802" t="s">
        <v>21</v>
      </c>
      <c r="G1802" t="s">
        <v>76</v>
      </c>
      <c r="H1802" t="s">
        <v>77</v>
      </c>
      <c r="J1802">
        <v>0</v>
      </c>
      <c r="K1802">
        <v>0</v>
      </c>
    </row>
    <row r="1803" spans="2:11" x14ac:dyDescent="0.25">
      <c r="B1803" t="s">
        <v>6</v>
      </c>
      <c r="C1803" t="s">
        <v>307</v>
      </c>
      <c r="D1803">
        <v>703423</v>
      </c>
      <c r="E1803" t="s">
        <v>234</v>
      </c>
      <c r="F1803" t="s">
        <v>21</v>
      </c>
      <c r="G1803" t="s">
        <v>71</v>
      </c>
      <c r="H1803" t="s">
        <v>88</v>
      </c>
      <c r="J1803">
        <v>0</v>
      </c>
      <c r="K1803">
        <v>0</v>
      </c>
    </row>
    <row r="1804" spans="2:11" x14ac:dyDescent="0.25">
      <c r="B1804" t="s">
        <v>6</v>
      </c>
      <c r="C1804" t="s">
        <v>307</v>
      </c>
      <c r="D1804">
        <v>703424</v>
      </c>
      <c r="E1804" t="s">
        <v>235</v>
      </c>
      <c r="F1804" t="s">
        <v>21</v>
      </c>
      <c r="G1804" t="s">
        <v>71</v>
      </c>
      <c r="H1804" t="s">
        <v>88</v>
      </c>
      <c r="J1804">
        <v>0</v>
      </c>
      <c r="K1804">
        <v>0</v>
      </c>
    </row>
    <row r="1805" spans="2:11" x14ac:dyDescent="0.25">
      <c r="B1805" t="s">
        <v>6</v>
      </c>
      <c r="C1805" t="s">
        <v>307</v>
      </c>
      <c r="D1805">
        <v>703425</v>
      </c>
      <c r="E1805" t="s">
        <v>236</v>
      </c>
      <c r="F1805" t="s">
        <v>21</v>
      </c>
      <c r="G1805" t="s">
        <v>76</v>
      </c>
      <c r="H1805" t="s">
        <v>77</v>
      </c>
      <c r="J1805">
        <v>0</v>
      </c>
      <c r="K1805">
        <v>0</v>
      </c>
    </row>
    <row r="1806" spans="2:11" x14ac:dyDescent="0.25">
      <c r="B1806" t="s">
        <v>6</v>
      </c>
      <c r="C1806" t="s">
        <v>307</v>
      </c>
      <c r="D1806">
        <v>703426</v>
      </c>
      <c r="E1806" t="s">
        <v>237</v>
      </c>
      <c r="F1806" t="s">
        <v>21</v>
      </c>
      <c r="G1806" t="s">
        <v>22</v>
      </c>
      <c r="H1806" t="s">
        <v>23</v>
      </c>
      <c r="J1806">
        <v>0</v>
      </c>
      <c r="K1806">
        <v>0</v>
      </c>
    </row>
    <row r="1807" spans="2:11" x14ac:dyDescent="0.25">
      <c r="B1807" t="s">
        <v>6</v>
      </c>
      <c r="C1807" t="s">
        <v>307</v>
      </c>
      <c r="D1807">
        <v>703427</v>
      </c>
      <c r="E1807" t="s">
        <v>238</v>
      </c>
      <c r="F1807" t="s">
        <v>21</v>
      </c>
      <c r="G1807" t="s">
        <v>76</v>
      </c>
      <c r="H1807" t="s">
        <v>77</v>
      </c>
      <c r="J1807">
        <v>0</v>
      </c>
      <c r="K1807">
        <v>0</v>
      </c>
    </row>
    <row r="1808" spans="2:11" x14ac:dyDescent="0.25">
      <c r="B1808" t="s">
        <v>6</v>
      </c>
      <c r="C1808" t="s">
        <v>307</v>
      </c>
      <c r="D1808">
        <v>703428</v>
      </c>
      <c r="E1808" t="s">
        <v>239</v>
      </c>
      <c r="F1808" t="s">
        <v>21</v>
      </c>
      <c r="G1808" t="s">
        <v>76</v>
      </c>
      <c r="H1808" t="s">
        <v>77</v>
      </c>
      <c r="J1808">
        <v>0</v>
      </c>
      <c r="K1808">
        <v>0</v>
      </c>
    </row>
    <row r="1809" spans="2:11" x14ac:dyDescent="0.25">
      <c r="B1809" t="s">
        <v>6</v>
      </c>
      <c r="C1809" t="s">
        <v>307</v>
      </c>
      <c r="D1809">
        <v>703429</v>
      </c>
      <c r="E1809" t="s">
        <v>240</v>
      </c>
      <c r="F1809" t="s">
        <v>21</v>
      </c>
      <c r="G1809" t="s">
        <v>76</v>
      </c>
      <c r="H1809" t="s">
        <v>77</v>
      </c>
      <c r="J1809">
        <v>0</v>
      </c>
      <c r="K1809">
        <v>0</v>
      </c>
    </row>
    <row r="1810" spans="2:11" x14ac:dyDescent="0.25">
      <c r="B1810" t="s">
        <v>6</v>
      </c>
      <c r="C1810" t="s">
        <v>307</v>
      </c>
      <c r="D1810">
        <v>703430</v>
      </c>
      <c r="E1810" t="s">
        <v>20</v>
      </c>
      <c r="F1810" t="s">
        <v>21</v>
      </c>
      <c r="G1810" t="s">
        <v>22</v>
      </c>
      <c r="H1810" t="s">
        <v>23</v>
      </c>
      <c r="J1810">
        <v>0</v>
      </c>
      <c r="K1810">
        <v>0</v>
      </c>
    </row>
    <row r="1811" spans="2:11" x14ac:dyDescent="0.25">
      <c r="B1811" t="s">
        <v>6</v>
      </c>
      <c r="C1811" t="s">
        <v>307</v>
      </c>
      <c r="D1811">
        <v>703431</v>
      </c>
      <c r="E1811" t="s">
        <v>241</v>
      </c>
      <c r="F1811" t="s">
        <v>21</v>
      </c>
      <c r="G1811" t="s">
        <v>22</v>
      </c>
      <c r="H1811" t="s">
        <v>23</v>
      </c>
      <c r="J1811">
        <v>0</v>
      </c>
      <c r="K1811">
        <v>0</v>
      </c>
    </row>
    <row r="1812" spans="2:11" x14ac:dyDescent="0.25">
      <c r="B1812" t="s">
        <v>6</v>
      </c>
      <c r="C1812" t="s">
        <v>307</v>
      </c>
      <c r="D1812">
        <v>703432</v>
      </c>
      <c r="E1812" t="s">
        <v>242</v>
      </c>
      <c r="F1812" t="s">
        <v>21</v>
      </c>
      <c r="G1812" t="s">
        <v>22</v>
      </c>
      <c r="H1812" t="s">
        <v>23</v>
      </c>
      <c r="J1812">
        <v>0</v>
      </c>
      <c r="K1812">
        <v>0</v>
      </c>
    </row>
    <row r="1813" spans="2:11" x14ac:dyDescent="0.25">
      <c r="B1813" t="s">
        <v>6</v>
      </c>
      <c r="C1813" t="s">
        <v>307</v>
      </c>
      <c r="D1813">
        <v>703433</v>
      </c>
      <c r="E1813" t="s">
        <v>243</v>
      </c>
      <c r="F1813" t="s">
        <v>21</v>
      </c>
      <c r="G1813" t="s">
        <v>71</v>
      </c>
      <c r="H1813" t="s">
        <v>88</v>
      </c>
      <c r="J1813">
        <v>0</v>
      </c>
      <c r="K1813">
        <v>0</v>
      </c>
    </row>
    <row r="1814" spans="2:11" x14ac:dyDescent="0.25">
      <c r="B1814" t="s">
        <v>6</v>
      </c>
      <c r="C1814" t="s">
        <v>307</v>
      </c>
      <c r="D1814">
        <v>703434</v>
      </c>
      <c r="E1814" t="s">
        <v>244</v>
      </c>
      <c r="F1814" t="s">
        <v>21</v>
      </c>
      <c r="G1814" t="s">
        <v>22</v>
      </c>
      <c r="H1814" t="s">
        <v>23</v>
      </c>
      <c r="J1814">
        <v>0</v>
      </c>
      <c r="K1814">
        <v>0</v>
      </c>
    </row>
    <row r="1815" spans="2:11" x14ac:dyDescent="0.25">
      <c r="B1815" t="s">
        <v>6</v>
      </c>
      <c r="C1815" t="s">
        <v>307</v>
      </c>
      <c r="D1815">
        <v>703435</v>
      </c>
      <c r="E1815" t="s">
        <v>245</v>
      </c>
      <c r="F1815" t="s">
        <v>21</v>
      </c>
      <c r="G1815" t="s">
        <v>71</v>
      </c>
      <c r="H1815" t="s">
        <v>88</v>
      </c>
      <c r="J1815">
        <v>0</v>
      </c>
      <c r="K1815">
        <v>0</v>
      </c>
    </row>
    <row r="1816" spans="2:11" x14ac:dyDescent="0.25">
      <c r="B1816" t="s">
        <v>6</v>
      </c>
      <c r="C1816" t="s">
        <v>307</v>
      </c>
      <c r="D1816">
        <v>703436</v>
      </c>
      <c r="E1816" t="s">
        <v>246</v>
      </c>
      <c r="F1816" t="s">
        <v>21</v>
      </c>
      <c r="G1816" t="s">
        <v>71</v>
      </c>
      <c r="H1816" t="s">
        <v>88</v>
      </c>
      <c r="J1816">
        <v>0</v>
      </c>
      <c r="K1816">
        <v>0</v>
      </c>
    </row>
    <row r="1817" spans="2:11" x14ac:dyDescent="0.25">
      <c r="B1817" t="s">
        <v>6</v>
      </c>
      <c r="C1817" t="s">
        <v>307</v>
      </c>
      <c r="D1817">
        <v>703437</v>
      </c>
      <c r="E1817" t="s">
        <v>247</v>
      </c>
      <c r="F1817" t="s">
        <v>21</v>
      </c>
      <c r="G1817" t="s">
        <v>71</v>
      </c>
      <c r="H1817" t="s">
        <v>88</v>
      </c>
      <c r="J1817">
        <v>0</v>
      </c>
      <c r="K1817">
        <v>0</v>
      </c>
    </row>
    <row r="1818" spans="2:11" x14ac:dyDescent="0.25">
      <c r="B1818" t="s">
        <v>6</v>
      </c>
      <c r="C1818" t="s">
        <v>307</v>
      </c>
      <c r="D1818">
        <v>703438</v>
      </c>
      <c r="E1818" t="s">
        <v>248</v>
      </c>
      <c r="F1818" t="s">
        <v>21</v>
      </c>
      <c r="G1818" t="s">
        <v>71</v>
      </c>
      <c r="H1818" t="s">
        <v>88</v>
      </c>
      <c r="J1818">
        <v>0</v>
      </c>
      <c r="K1818">
        <v>0</v>
      </c>
    </row>
    <row r="1819" spans="2:11" x14ac:dyDescent="0.25">
      <c r="B1819" t="s">
        <v>6</v>
      </c>
      <c r="C1819" t="s">
        <v>307</v>
      </c>
      <c r="D1819">
        <v>703439</v>
      </c>
      <c r="E1819" t="s">
        <v>249</v>
      </c>
      <c r="F1819" t="s">
        <v>21</v>
      </c>
      <c r="G1819" t="s">
        <v>22</v>
      </c>
      <c r="H1819" t="s">
        <v>23</v>
      </c>
      <c r="J1819">
        <v>0</v>
      </c>
      <c r="K1819">
        <v>0</v>
      </c>
    </row>
    <row r="1820" spans="2:11" x14ac:dyDescent="0.25">
      <c r="B1820" t="s">
        <v>6</v>
      </c>
      <c r="C1820" t="s">
        <v>307</v>
      </c>
      <c r="D1820">
        <v>703440</v>
      </c>
      <c r="E1820" t="s">
        <v>250</v>
      </c>
      <c r="F1820" t="s">
        <v>21</v>
      </c>
      <c r="G1820" t="s">
        <v>61</v>
      </c>
      <c r="H1820" t="s">
        <v>68</v>
      </c>
      <c r="J1820">
        <v>0</v>
      </c>
      <c r="K1820">
        <v>0</v>
      </c>
    </row>
    <row r="1821" spans="2:11" x14ac:dyDescent="0.25">
      <c r="B1821" t="s">
        <v>6</v>
      </c>
      <c r="C1821" t="s">
        <v>307</v>
      </c>
      <c r="D1821">
        <v>703441</v>
      </c>
      <c r="E1821" t="s">
        <v>251</v>
      </c>
      <c r="F1821" t="s">
        <v>21</v>
      </c>
      <c r="G1821" t="s">
        <v>61</v>
      </c>
      <c r="H1821" t="s">
        <v>79</v>
      </c>
      <c r="J1821">
        <v>0</v>
      </c>
      <c r="K1821">
        <v>0</v>
      </c>
    </row>
    <row r="1822" spans="2:11" x14ac:dyDescent="0.25">
      <c r="B1822" t="s">
        <v>6</v>
      </c>
      <c r="C1822" t="s">
        <v>307</v>
      </c>
      <c r="D1822">
        <v>703442</v>
      </c>
      <c r="E1822" t="s">
        <v>252</v>
      </c>
      <c r="F1822" t="s">
        <v>21</v>
      </c>
      <c r="G1822" t="s">
        <v>76</v>
      </c>
      <c r="H1822" t="s">
        <v>77</v>
      </c>
      <c r="J1822">
        <v>0</v>
      </c>
      <c r="K1822">
        <v>0</v>
      </c>
    </row>
    <row r="1823" spans="2:11" x14ac:dyDescent="0.25">
      <c r="B1823" t="s">
        <v>6</v>
      </c>
      <c r="C1823" t="s">
        <v>307</v>
      </c>
      <c r="D1823">
        <v>703443</v>
      </c>
      <c r="E1823" t="s">
        <v>253</v>
      </c>
      <c r="F1823" t="s">
        <v>21</v>
      </c>
      <c r="G1823" t="s">
        <v>71</v>
      </c>
      <c r="H1823" t="s">
        <v>88</v>
      </c>
      <c r="J1823">
        <v>0</v>
      </c>
      <c r="K1823">
        <v>0</v>
      </c>
    </row>
    <row r="1824" spans="2:11" x14ac:dyDescent="0.25">
      <c r="B1824" t="s">
        <v>6</v>
      </c>
      <c r="C1824" t="s">
        <v>307</v>
      </c>
      <c r="D1824">
        <v>703444</v>
      </c>
      <c r="E1824" t="s">
        <v>254</v>
      </c>
      <c r="F1824" t="s">
        <v>21</v>
      </c>
      <c r="G1824" t="s">
        <v>22</v>
      </c>
      <c r="H1824" t="s">
        <v>23</v>
      </c>
      <c r="J1824">
        <v>0</v>
      </c>
      <c r="K1824">
        <v>0</v>
      </c>
    </row>
    <row r="1825" spans="2:11" x14ac:dyDescent="0.25">
      <c r="B1825" t="s">
        <v>6</v>
      </c>
      <c r="C1825" t="s">
        <v>307</v>
      </c>
      <c r="D1825">
        <v>703445</v>
      </c>
      <c r="E1825" t="s">
        <v>255</v>
      </c>
      <c r="F1825" t="s">
        <v>21</v>
      </c>
      <c r="G1825" t="s">
        <v>22</v>
      </c>
      <c r="H1825" t="s">
        <v>23</v>
      </c>
      <c r="J1825">
        <v>0</v>
      </c>
      <c r="K1825">
        <v>0</v>
      </c>
    </row>
    <row r="1826" spans="2:11" x14ac:dyDescent="0.25">
      <c r="B1826" t="s">
        <v>6</v>
      </c>
      <c r="C1826" t="s">
        <v>307</v>
      </c>
      <c r="D1826">
        <v>703446</v>
      </c>
      <c r="E1826" t="s">
        <v>256</v>
      </c>
      <c r="F1826" t="s">
        <v>21</v>
      </c>
      <c r="G1826" t="s">
        <v>22</v>
      </c>
      <c r="H1826" t="s">
        <v>23</v>
      </c>
      <c r="J1826">
        <v>0</v>
      </c>
      <c r="K1826">
        <v>0</v>
      </c>
    </row>
    <row r="1827" spans="2:11" x14ac:dyDescent="0.25">
      <c r="B1827" t="s">
        <v>6</v>
      </c>
      <c r="C1827" t="s">
        <v>307</v>
      </c>
      <c r="D1827">
        <v>703447</v>
      </c>
      <c r="E1827" t="s">
        <v>257</v>
      </c>
      <c r="F1827" t="s">
        <v>21</v>
      </c>
      <c r="G1827" t="s">
        <v>22</v>
      </c>
      <c r="H1827" t="s">
        <v>23</v>
      </c>
      <c r="J1827">
        <v>0</v>
      </c>
      <c r="K1827">
        <v>0</v>
      </c>
    </row>
    <row r="1828" spans="2:11" x14ac:dyDescent="0.25">
      <c r="B1828" t="s">
        <v>6</v>
      </c>
      <c r="C1828" t="s">
        <v>307</v>
      </c>
      <c r="D1828">
        <v>703448</v>
      </c>
      <c r="E1828" t="s">
        <v>258</v>
      </c>
      <c r="F1828" t="s">
        <v>21</v>
      </c>
      <c r="G1828" t="s">
        <v>22</v>
      </c>
      <c r="H1828" t="s">
        <v>23</v>
      </c>
      <c r="J1828">
        <v>0</v>
      </c>
      <c r="K1828">
        <v>0</v>
      </c>
    </row>
    <row r="1829" spans="2:11" x14ac:dyDescent="0.25">
      <c r="B1829" t="s">
        <v>6</v>
      </c>
      <c r="C1829" t="s">
        <v>307</v>
      </c>
      <c r="D1829">
        <v>703449</v>
      </c>
      <c r="E1829" t="s">
        <v>259</v>
      </c>
      <c r="F1829" t="s">
        <v>21</v>
      </c>
      <c r="G1829" t="s">
        <v>22</v>
      </c>
      <c r="H1829" t="s">
        <v>23</v>
      </c>
      <c r="J1829">
        <v>0</v>
      </c>
      <c r="K1829">
        <v>0</v>
      </c>
    </row>
    <row r="1830" spans="2:11" x14ac:dyDescent="0.25">
      <c r="B1830" t="s">
        <v>6</v>
      </c>
      <c r="C1830" t="s">
        <v>307</v>
      </c>
      <c r="D1830">
        <v>703450</v>
      </c>
      <c r="E1830" t="s">
        <v>260</v>
      </c>
      <c r="F1830" t="s">
        <v>21</v>
      </c>
      <c r="G1830" t="s">
        <v>71</v>
      </c>
      <c r="H1830" t="s">
        <v>88</v>
      </c>
      <c r="J1830">
        <v>0</v>
      </c>
      <c r="K1830">
        <v>0</v>
      </c>
    </row>
    <row r="1831" spans="2:11" x14ac:dyDescent="0.25">
      <c r="B1831" t="s">
        <v>6</v>
      </c>
      <c r="C1831" t="s">
        <v>307</v>
      </c>
      <c r="D1831">
        <v>703510</v>
      </c>
      <c r="E1831" t="s">
        <v>261</v>
      </c>
      <c r="F1831" t="s">
        <v>21</v>
      </c>
      <c r="G1831" t="s">
        <v>22</v>
      </c>
      <c r="H1831" t="s">
        <v>23</v>
      </c>
      <c r="J1831">
        <v>0</v>
      </c>
      <c r="K1831">
        <v>0</v>
      </c>
    </row>
    <row r="1832" spans="2:11" x14ac:dyDescent="0.25">
      <c r="B1832" t="s">
        <v>6</v>
      </c>
      <c r="C1832" t="s">
        <v>307</v>
      </c>
      <c r="D1832">
        <v>703511</v>
      </c>
      <c r="E1832" t="s">
        <v>262</v>
      </c>
      <c r="F1832" t="s">
        <v>21</v>
      </c>
      <c r="G1832" t="s">
        <v>22</v>
      </c>
      <c r="H1832" t="s">
        <v>23</v>
      </c>
      <c r="J1832">
        <v>0</v>
      </c>
      <c r="K1832">
        <v>0</v>
      </c>
    </row>
    <row r="1833" spans="2:11" x14ac:dyDescent="0.25">
      <c r="B1833" t="s">
        <v>6</v>
      </c>
      <c r="C1833" t="s">
        <v>307</v>
      </c>
      <c r="D1833">
        <v>703512</v>
      </c>
      <c r="E1833" t="s">
        <v>263</v>
      </c>
      <c r="F1833" t="s">
        <v>21</v>
      </c>
      <c r="G1833" t="s">
        <v>22</v>
      </c>
      <c r="H1833" t="s">
        <v>23</v>
      </c>
      <c r="J1833">
        <v>0</v>
      </c>
      <c r="K1833">
        <v>0</v>
      </c>
    </row>
    <row r="1834" spans="2:11" x14ac:dyDescent="0.25">
      <c r="B1834" t="s">
        <v>6</v>
      </c>
      <c r="C1834" t="s">
        <v>307</v>
      </c>
      <c r="D1834">
        <v>703513</v>
      </c>
      <c r="E1834" t="s">
        <v>264</v>
      </c>
      <c r="F1834" t="s">
        <v>21</v>
      </c>
      <c r="G1834" t="s">
        <v>22</v>
      </c>
      <c r="H1834" t="s">
        <v>23</v>
      </c>
      <c r="J1834">
        <v>0</v>
      </c>
      <c r="K1834">
        <v>0</v>
      </c>
    </row>
    <row r="1835" spans="2:11" x14ac:dyDescent="0.25">
      <c r="B1835" t="s">
        <v>6</v>
      </c>
      <c r="C1835" t="s">
        <v>307</v>
      </c>
      <c r="D1835">
        <v>703514</v>
      </c>
      <c r="E1835" t="s">
        <v>265</v>
      </c>
      <c r="F1835" t="s">
        <v>21</v>
      </c>
      <c r="G1835" t="s">
        <v>22</v>
      </c>
      <c r="H1835" t="s">
        <v>23</v>
      </c>
      <c r="J1835">
        <v>0</v>
      </c>
      <c r="K1835">
        <v>0</v>
      </c>
    </row>
    <row r="1836" spans="2:11" x14ac:dyDescent="0.25">
      <c r="B1836" t="s">
        <v>6</v>
      </c>
      <c r="C1836" t="s">
        <v>307</v>
      </c>
      <c r="D1836">
        <v>703515</v>
      </c>
      <c r="E1836" t="s">
        <v>266</v>
      </c>
      <c r="F1836" t="s">
        <v>21</v>
      </c>
      <c r="G1836" t="s">
        <v>22</v>
      </c>
      <c r="H1836" t="s">
        <v>23</v>
      </c>
      <c r="J1836">
        <v>0</v>
      </c>
      <c r="K1836">
        <v>0</v>
      </c>
    </row>
    <row r="1837" spans="2:11" x14ac:dyDescent="0.25">
      <c r="B1837" t="s">
        <v>6</v>
      </c>
      <c r="C1837" t="s">
        <v>307</v>
      </c>
      <c r="D1837">
        <v>703520</v>
      </c>
      <c r="E1837" t="s">
        <v>267</v>
      </c>
      <c r="F1837" t="s">
        <v>21</v>
      </c>
      <c r="G1837" t="s">
        <v>22</v>
      </c>
      <c r="H1837" t="s">
        <v>23</v>
      </c>
      <c r="J1837">
        <v>0</v>
      </c>
      <c r="K1837">
        <v>0</v>
      </c>
    </row>
    <row r="1838" spans="2:11" x14ac:dyDescent="0.25">
      <c r="B1838" t="s">
        <v>6</v>
      </c>
      <c r="C1838" t="s">
        <v>307</v>
      </c>
      <c r="D1838">
        <v>703530</v>
      </c>
      <c r="E1838" t="s">
        <v>268</v>
      </c>
      <c r="F1838" t="s">
        <v>21</v>
      </c>
      <c r="G1838" t="s">
        <v>22</v>
      </c>
      <c r="H1838" t="s">
        <v>23</v>
      </c>
      <c r="J1838">
        <v>0</v>
      </c>
      <c r="K1838">
        <v>0</v>
      </c>
    </row>
    <row r="1839" spans="2:11" x14ac:dyDescent="0.25">
      <c r="B1839" t="s">
        <v>6</v>
      </c>
      <c r="C1839" t="s">
        <v>307</v>
      </c>
      <c r="D1839">
        <v>703540</v>
      </c>
      <c r="E1839" t="s">
        <v>269</v>
      </c>
      <c r="F1839" t="s">
        <v>21</v>
      </c>
      <c r="G1839" t="s">
        <v>22</v>
      </c>
      <c r="H1839" t="s">
        <v>23</v>
      </c>
      <c r="J1839">
        <v>0</v>
      </c>
      <c r="K1839">
        <v>0</v>
      </c>
    </row>
    <row r="1840" spans="2:11" x14ac:dyDescent="0.25">
      <c r="B1840" t="s">
        <v>6</v>
      </c>
      <c r="C1840" t="s">
        <v>307</v>
      </c>
      <c r="D1840">
        <v>703550</v>
      </c>
      <c r="E1840" t="s">
        <v>270</v>
      </c>
      <c r="F1840" t="s">
        <v>21</v>
      </c>
      <c r="G1840" t="s">
        <v>22</v>
      </c>
      <c r="H1840" t="s">
        <v>23</v>
      </c>
      <c r="J1840">
        <v>0</v>
      </c>
      <c r="K1840">
        <v>0</v>
      </c>
    </row>
    <row r="1841" spans="2:11" x14ac:dyDescent="0.25">
      <c r="B1841" t="s">
        <v>6</v>
      </c>
      <c r="C1841" t="s">
        <v>307</v>
      </c>
      <c r="D1841">
        <v>703560</v>
      </c>
      <c r="E1841" t="s">
        <v>271</v>
      </c>
      <c r="F1841" t="s">
        <v>21</v>
      </c>
      <c r="G1841" t="s">
        <v>22</v>
      </c>
      <c r="H1841" t="s">
        <v>23</v>
      </c>
      <c r="J1841">
        <v>0</v>
      </c>
      <c r="K1841">
        <v>0</v>
      </c>
    </row>
    <row r="1842" spans="2:11" x14ac:dyDescent="0.25">
      <c r="B1842" t="s">
        <v>6</v>
      </c>
      <c r="C1842" t="s">
        <v>307</v>
      </c>
      <c r="D1842">
        <v>703570</v>
      </c>
      <c r="E1842" t="s">
        <v>272</v>
      </c>
      <c r="F1842" t="s">
        <v>21</v>
      </c>
      <c r="G1842" t="s">
        <v>22</v>
      </c>
      <c r="H1842" t="s">
        <v>23</v>
      </c>
      <c r="J1842">
        <v>0</v>
      </c>
      <c r="K1842">
        <v>0</v>
      </c>
    </row>
    <row r="1843" spans="2:11" x14ac:dyDescent="0.25">
      <c r="B1843" t="s">
        <v>6</v>
      </c>
      <c r="C1843" t="s">
        <v>307</v>
      </c>
      <c r="D1843">
        <v>703571</v>
      </c>
      <c r="E1843" t="s">
        <v>273</v>
      </c>
      <c r="F1843" t="s">
        <v>21</v>
      </c>
      <c r="G1843" t="s">
        <v>22</v>
      </c>
      <c r="H1843" t="s">
        <v>23</v>
      </c>
      <c r="J1843">
        <v>0</v>
      </c>
    </row>
    <row r="1844" spans="2:11" x14ac:dyDescent="0.25">
      <c r="B1844" t="s">
        <v>6</v>
      </c>
      <c r="C1844" t="s">
        <v>307</v>
      </c>
      <c r="D1844">
        <v>703572</v>
      </c>
      <c r="E1844" t="s">
        <v>274</v>
      </c>
      <c r="F1844" t="s">
        <v>21</v>
      </c>
      <c r="G1844" t="s">
        <v>22</v>
      </c>
      <c r="H1844" t="s">
        <v>23</v>
      </c>
      <c r="J1844">
        <v>0</v>
      </c>
    </row>
    <row r="1845" spans="2:11" x14ac:dyDescent="0.25">
      <c r="B1845" t="s">
        <v>6</v>
      </c>
      <c r="C1845" t="s">
        <v>307</v>
      </c>
      <c r="D1845">
        <v>703573</v>
      </c>
      <c r="E1845" t="s">
        <v>275</v>
      </c>
      <c r="F1845" t="s">
        <v>21</v>
      </c>
      <c r="G1845" t="s">
        <v>22</v>
      </c>
      <c r="H1845" t="s">
        <v>23</v>
      </c>
      <c r="J1845">
        <v>0</v>
      </c>
    </row>
    <row r="1846" spans="2:11" x14ac:dyDescent="0.25">
      <c r="B1846" t="s">
        <v>6</v>
      </c>
      <c r="C1846" t="s">
        <v>307</v>
      </c>
      <c r="D1846">
        <v>703574</v>
      </c>
      <c r="E1846" t="s">
        <v>276</v>
      </c>
      <c r="F1846" t="s">
        <v>21</v>
      </c>
      <c r="G1846" t="s">
        <v>22</v>
      </c>
      <c r="H1846" t="s">
        <v>23</v>
      </c>
      <c r="J1846">
        <v>0</v>
      </c>
    </row>
    <row r="1847" spans="2:11" x14ac:dyDescent="0.25">
      <c r="B1847" t="s">
        <v>6</v>
      </c>
      <c r="C1847" t="s">
        <v>307</v>
      </c>
      <c r="D1847">
        <v>703580</v>
      </c>
      <c r="E1847" t="s">
        <v>277</v>
      </c>
      <c r="F1847" t="s">
        <v>21</v>
      </c>
      <c r="G1847" t="s">
        <v>22</v>
      </c>
      <c r="H1847" t="s">
        <v>23</v>
      </c>
      <c r="J1847">
        <v>0</v>
      </c>
      <c r="K1847">
        <v>0</v>
      </c>
    </row>
    <row r="1848" spans="2:11" x14ac:dyDescent="0.25">
      <c r="B1848" t="s">
        <v>6</v>
      </c>
      <c r="C1848" t="s">
        <v>307</v>
      </c>
      <c r="D1848">
        <v>703590</v>
      </c>
      <c r="E1848" t="s">
        <v>278</v>
      </c>
      <c r="F1848" t="s">
        <v>21</v>
      </c>
      <c r="G1848" t="s">
        <v>22</v>
      </c>
      <c r="H1848" t="s">
        <v>23</v>
      </c>
      <c r="J1848">
        <v>0</v>
      </c>
      <c r="K1848">
        <v>0</v>
      </c>
    </row>
    <row r="1849" spans="2:11" x14ac:dyDescent="0.25">
      <c r="B1849" t="s">
        <v>6</v>
      </c>
      <c r="C1849" t="s">
        <v>307</v>
      </c>
      <c r="D1849">
        <v>703650</v>
      </c>
      <c r="E1849" t="s">
        <v>279</v>
      </c>
      <c r="F1849" t="s">
        <v>21</v>
      </c>
      <c r="G1849" t="s">
        <v>22</v>
      </c>
      <c r="H1849" t="s">
        <v>23</v>
      </c>
      <c r="J1849">
        <v>0</v>
      </c>
      <c r="K1849">
        <v>0</v>
      </c>
    </row>
    <row r="1850" spans="2:11" x14ac:dyDescent="0.25">
      <c r="B1850" t="s">
        <v>6</v>
      </c>
      <c r="C1850" t="s">
        <v>307</v>
      </c>
      <c r="D1850">
        <v>703651</v>
      </c>
      <c r="E1850" t="s">
        <v>280</v>
      </c>
      <c r="F1850" t="s">
        <v>21</v>
      </c>
      <c r="G1850" t="s">
        <v>22</v>
      </c>
      <c r="H1850" t="s">
        <v>23</v>
      </c>
      <c r="J1850">
        <v>0</v>
      </c>
      <c r="K1850">
        <v>0</v>
      </c>
    </row>
    <row r="1851" spans="2:11" x14ac:dyDescent="0.25">
      <c r="B1851" t="s">
        <v>6</v>
      </c>
      <c r="C1851" t="s">
        <v>307</v>
      </c>
      <c r="D1851">
        <v>703850</v>
      </c>
      <c r="E1851" t="s">
        <v>281</v>
      </c>
      <c r="F1851" t="s">
        <v>21</v>
      </c>
      <c r="G1851" t="s">
        <v>22</v>
      </c>
      <c r="H1851" t="s">
        <v>23</v>
      </c>
      <c r="J1851">
        <v>0</v>
      </c>
      <c r="K1851">
        <v>0</v>
      </c>
    </row>
    <row r="1852" spans="2:11" x14ac:dyDescent="0.25">
      <c r="B1852" t="s">
        <v>6</v>
      </c>
      <c r="C1852" t="s">
        <v>307</v>
      </c>
      <c r="D1852">
        <v>703851</v>
      </c>
      <c r="E1852" t="s">
        <v>282</v>
      </c>
      <c r="F1852" t="s">
        <v>21</v>
      </c>
      <c r="G1852" t="s">
        <v>22</v>
      </c>
      <c r="H1852" t="s">
        <v>23</v>
      </c>
      <c r="J1852">
        <v>0</v>
      </c>
      <c r="K1852">
        <v>0</v>
      </c>
    </row>
    <row r="1853" spans="2:11" x14ac:dyDescent="0.25">
      <c r="B1853" t="s">
        <v>6</v>
      </c>
      <c r="C1853" t="s">
        <v>307</v>
      </c>
      <c r="D1853">
        <v>703852</v>
      </c>
      <c r="E1853" t="s">
        <v>283</v>
      </c>
      <c r="F1853" t="s">
        <v>21</v>
      </c>
      <c r="G1853" t="s">
        <v>22</v>
      </c>
      <c r="H1853" t="s">
        <v>23</v>
      </c>
      <c r="J1853">
        <v>0</v>
      </c>
      <c r="K1853">
        <v>0</v>
      </c>
    </row>
    <row r="1854" spans="2:11" x14ac:dyDescent="0.25">
      <c r="B1854" t="s">
        <v>6</v>
      </c>
      <c r="C1854" t="s">
        <v>307</v>
      </c>
      <c r="D1854">
        <v>703853</v>
      </c>
      <c r="E1854" t="s">
        <v>284</v>
      </c>
      <c r="F1854" t="s">
        <v>21</v>
      </c>
      <c r="G1854" t="s">
        <v>22</v>
      </c>
      <c r="H1854" t="s">
        <v>23</v>
      </c>
      <c r="J1854">
        <v>0</v>
      </c>
      <c r="K1854">
        <v>0</v>
      </c>
    </row>
    <row r="1855" spans="2:11" x14ac:dyDescent="0.25">
      <c r="B1855" t="s">
        <v>6</v>
      </c>
      <c r="C1855" t="s">
        <v>307</v>
      </c>
      <c r="D1855">
        <v>703854</v>
      </c>
      <c r="E1855" t="s">
        <v>285</v>
      </c>
      <c r="F1855" t="s">
        <v>21</v>
      </c>
      <c r="G1855" t="s">
        <v>22</v>
      </c>
      <c r="H1855" t="s">
        <v>115</v>
      </c>
      <c r="J1855">
        <v>0</v>
      </c>
      <c r="K1855">
        <v>0</v>
      </c>
    </row>
    <row r="1856" spans="2:11" x14ac:dyDescent="0.25">
      <c r="B1856" t="s">
        <v>6</v>
      </c>
      <c r="C1856" t="s">
        <v>307</v>
      </c>
      <c r="D1856">
        <v>703855</v>
      </c>
      <c r="E1856" t="s">
        <v>286</v>
      </c>
      <c r="F1856" t="s">
        <v>21</v>
      </c>
      <c r="G1856" t="s">
        <v>22</v>
      </c>
      <c r="H1856" t="s">
        <v>23</v>
      </c>
      <c r="J1856">
        <v>0</v>
      </c>
      <c r="K1856">
        <v>0</v>
      </c>
    </row>
    <row r="1857" spans="2:11" x14ac:dyDescent="0.25">
      <c r="B1857" t="s">
        <v>6</v>
      </c>
      <c r="C1857" t="s">
        <v>307</v>
      </c>
      <c r="D1857">
        <v>703856</v>
      </c>
      <c r="E1857" t="s">
        <v>287</v>
      </c>
      <c r="F1857" t="s">
        <v>21</v>
      </c>
      <c r="G1857" t="s">
        <v>22</v>
      </c>
      <c r="H1857" t="s">
        <v>23</v>
      </c>
      <c r="J1857">
        <v>0</v>
      </c>
      <c r="K1857">
        <v>0</v>
      </c>
    </row>
    <row r="1858" spans="2:11" x14ac:dyDescent="0.25">
      <c r="B1858" t="s">
        <v>6</v>
      </c>
      <c r="C1858" t="s">
        <v>307</v>
      </c>
      <c r="D1858">
        <v>703857</v>
      </c>
      <c r="E1858" t="s">
        <v>288</v>
      </c>
      <c r="F1858" t="s">
        <v>21</v>
      </c>
      <c r="G1858" t="s">
        <v>71</v>
      </c>
      <c r="H1858" t="s">
        <v>88</v>
      </c>
      <c r="J1858">
        <v>0</v>
      </c>
      <c r="K1858">
        <v>0</v>
      </c>
    </row>
    <row r="1859" spans="2:11" x14ac:dyDescent="0.25">
      <c r="B1859" t="s">
        <v>6</v>
      </c>
      <c r="C1859" t="s">
        <v>307</v>
      </c>
      <c r="D1859">
        <v>703858</v>
      </c>
      <c r="E1859" t="s">
        <v>289</v>
      </c>
      <c r="F1859" t="s">
        <v>21</v>
      </c>
      <c r="G1859" t="s">
        <v>22</v>
      </c>
      <c r="H1859" t="s">
        <v>23</v>
      </c>
      <c r="J1859">
        <v>0</v>
      </c>
      <c r="K1859">
        <v>0</v>
      </c>
    </row>
    <row r="1860" spans="2:11" x14ac:dyDescent="0.25">
      <c r="B1860" t="s">
        <v>6</v>
      </c>
      <c r="C1860" t="s">
        <v>307</v>
      </c>
      <c r="D1860">
        <v>703859</v>
      </c>
      <c r="E1860" t="s">
        <v>290</v>
      </c>
      <c r="F1860" t="s">
        <v>21</v>
      </c>
      <c r="G1860" t="s">
        <v>22</v>
      </c>
      <c r="H1860" t="s">
        <v>23</v>
      </c>
      <c r="J1860">
        <v>0</v>
      </c>
      <c r="K1860">
        <v>0</v>
      </c>
    </row>
    <row r="1861" spans="2:11" x14ac:dyDescent="0.25">
      <c r="B1861" t="s">
        <v>6</v>
      </c>
      <c r="C1861" t="s">
        <v>307</v>
      </c>
      <c r="D1861">
        <v>703860</v>
      </c>
      <c r="E1861" t="s">
        <v>291</v>
      </c>
      <c r="F1861" t="s">
        <v>21</v>
      </c>
      <c r="G1861" t="s">
        <v>22</v>
      </c>
      <c r="H1861" t="s">
        <v>23</v>
      </c>
      <c r="J1861">
        <v>0</v>
      </c>
      <c r="K1861">
        <v>0</v>
      </c>
    </row>
    <row r="1862" spans="2:11" x14ac:dyDescent="0.25">
      <c r="B1862" t="s">
        <v>6</v>
      </c>
      <c r="C1862" t="s">
        <v>307</v>
      </c>
      <c r="D1862">
        <v>703861</v>
      </c>
      <c r="E1862" t="s">
        <v>292</v>
      </c>
      <c r="F1862" t="s">
        <v>21</v>
      </c>
      <c r="G1862" t="s">
        <v>22</v>
      </c>
      <c r="H1862" t="s">
        <v>23</v>
      </c>
      <c r="J1862">
        <v>0</v>
      </c>
      <c r="K1862">
        <v>0</v>
      </c>
    </row>
    <row r="1863" spans="2:11" x14ac:dyDescent="0.25">
      <c r="B1863" t="s">
        <v>6</v>
      </c>
      <c r="C1863" t="s">
        <v>307</v>
      </c>
      <c r="D1863">
        <v>703862</v>
      </c>
      <c r="E1863" t="s">
        <v>293</v>
      </c>
      <c r="F1863" t="s">
        <v>21</v>
      </c>
      <c r="G1863" t="s">
        <v>22</v>
      </c>
      <c r="H1863" t="s">
        <v>23</v>
      </c>
      <c r="J1863">
        <v>0</v>
      </c>
      <c r="K1863">
        <v>0</v>
      </c>
    </row>
    <row r="1864" spans="2:11" x14ac:dyDescent="0.25">
      <c r="B1864" t="s">
        <v>6</v>
      </c>
      <c r="C1864" t="s">
        <v>307</v>
      </c>
      <c r="D1864">
        <v>703870</v>
      </c>
      <c r="E1864" t="s">
        <v>294</v>
      </c>
      <c r="F1864" t="s">
        <v>21</v>
      </c>
      <c r="G1864" t="s">
        <v>22</v>
      </c>
      <c r="H1864" t="s">
        <v>23</v>
      </c>
      <c r="J1864">
        <v>0</v>
      </c>
      <c r="K1864">
        <v>0</v>
      </c>
    </row>
    <row r="1865" spans="2:11" x14ac:dyDescent="0.25">
      <c r="B1865" t="s">
        <v>6</v>
      </c>
      <c r="C1865" t="s">
        <v>307</v>
      </c>
      <c r="D1865">
        <v>703880</v>
      </c>
      <c r="E1865" t="s">
        <v>295</v>
      </c>
      <c r="F1865" t="s">
        <v>21</v>
      </c>
      <c r="G1865" t="s">
        <v>22</v>
      </c>
      <c r="H1865" t="s">
        <v>23</v>
      </c>
      <c r="J1865">
        <v>0</v>
      </c>
      <c r="K1865">
        <v>0</v>
      </c>
    </row>
    <row r="1866" spans="2:11" x14ac:dyDescent="0.25">
      <c r="B1866" t="s">
        <v>6</v>
      </c>
      <c r="C1866" t="s">
        <v>307</v>
      </c>
      <c r="D1866">
        <v>703899</v>
      </c>
      <c r="E1866" t="s">
        <v>296</v>
      </c>
      <c r="F1866" t="s">
        <v>21</v>
      </c>
      <c r="G1866" t="s">
        <v>22</v>
      </c>
      <c r="H1866" t="s">
        <v>23</v>
      </c>
      <c r="J1866">
        <v>0</v>
      </c>
      <c r="K1866">
        <v>0</v>
      </c>
    </row>
    <row r="1867" spans="2:11" x14ac:dyDescent="0.25">
      <c r="B1867" t="s">
        <v>6</v>
      </c>
      <c r="C1867" t="s">
        <v>307</v>
      </c>
      <c r="D1867">
        <v>706700</v>
      </c>
      <c r="E1867" t="s">
        <v>25</v>
      </c>
      <c r="F1867" t="s">
        <v>26</v>
      </c>
      <c r="G1867" t="s">
        <v>27</v>
      </c>
      <c r="H1867" t="s">
        <v>28</v>
      </c>
      <c r="J1867">
        <v>0</v>
      </c>
      <c r="K1867">
        <v>0</v>
      </c>
    </row>
    <row r="1868" spans="2:11" x14ac:dyDescent="0.25">
      <c r="B1868" t="s">
        <v>6</v>
      </c>
      <c r="C1868" t="s">
        <v>307</v>
      </c>
      <c r="D1868" t="s">
        <v>29</v>
      </c>
      <c r="E1868" t="s">
        <v>30</v>
      </c>
      <c r="F1868" t="s">
        <v>26</v>
      </c>
      <c r="G1868" t="s">
        <v>27</v>
      </c>
      <c r="H1868" t="s">
        <v>31</v>
      </c>
      <c r="J1868">
        <v>0</v>
      </c>
      <c r="K1868">
        <v>0</v>
      </c>
    </row>
    <row r="1869" spans="2:11" x14ac:dyDescent="0.25">
      <c r="B1869" t="s">
        <v>6</v>
      </c>
      <c r="C1869" t="s">
        <v>307</v>
      </c>
      <c r="D1869" t="s">
        <v>32</v>
      </c>
      <c r="E1869" t="s">
        <v>33</v>
      </c>
      <c r="F1869" t="s">
        <v>26</v>
      </c>
      <c r="G1869" t="s">
        <v>27</v>
      </c>
      <c r="H1869" t="s">
        <v>28</v>
      </c>
      <c r="J1869">
        <v>0</v>
      </c>
      <c r="K1869">
        <v>0</v>
      </c>
    </row>
    <row r="1870" spans="2:11" x14ac:dyDescent="0.25">
      <c r="B1870" t="s">
        <v>6</v>
      </c>
      <c r="C1870" t="s">
        <v>307</v>
      </c>
      <c r="D1870" t="s">
        <v>34</v>
      </c>
      <c r="E1870" t="s">
        <v>35</v>
      </c>
      <c r="F1870" t="s">
        <v>26</v>
      </c>
      <c r="G1870" t="s">
        <v>36</v>
      </c>
      <c r="H1870" t="s">
        <v>36</v>
      </c>
      <c r="J1870">
        <v>0</v>
      </c>
      <c r="K1870">
        <v>0</v>
      </c>
    </row>
    <row r="1871" spans="2:11" x14ac:dyDescent="0.25">
      <c r="B1871" t="s">
        <v>6</v>
      </c>
      <c r="C1871" t="s">
        <v>307</v>
      </c>
      <c r="D1871" t="s">
        <v>37</v>
      </c>
      <c r="E1871" t="s">
        <v>38</v>
      </c>
      <c r="F1871" t="s">
        <v>21</v>
      </c>
      <c r="G1871" t="s">
        <v>39</v>
      </c>
      <c r="H1871" t="s">
        <v>39</v>
      </c>
      <c r="J1871">
        <v>0</v>
      </c>
      <c r="K1871">
        <v>0</v>
      </c>
    </row>
    <row r="1872" spans="2:11" x14ac:dyDescent="0.25">
      <c r="B1872" t="s">
        <v>6</v>
      </c>
      <c r="C1872" t="s">
        <v>307</v>
      </c>
      <c r="D1872" t="s">
        <v>40</v>
      </c>
      <c r="E1872" t="s">
        <v>41</v>
      </c>
      <c r="F1872" t="s">
        <v>26</v>
      </c>
      <c r="G1872" t="s">
        <v>39</v>
      </c>
      <c r="H1872" t="s">
        <v>39</v>
      </c>
      <c r="J1872">
        <v>0</v>
      </c>
      <c r="K1872">
        <v>0</v>
      </c>
    </row>
    <row r="1873" spans="2:11" x14ac:dyDescent="0.25">
      <c r="B1873" t="s">
        <v>6</v>
      </c>
      <c r="C1873" t="s">
        <v>307</v>
      </c>
      <c r="D1873" t="s">
        <v>42</v>
      </c>
      <c r="E1873" t="s">
        <v>43</v>
      </c>
      <c r="F1873" t="s">
        <v>21</v>
      </c>
      <c r="G1873" t="s">
        <v>44</v>
      </c>
      <c r="H1873" t="s">
        <v>44</v>
      </c>
      <c r="J1873">
        <v>0</v>
      </c>
      <c r="K1873">
        <v>0</v>
      </c>
    </row>
    <row r="1874" spans="2:11" x14ac:dyDescent="0.25">
      <c r="B1874" t="s">
        <v>6</v>
      </c>
      <c r="C1874" t="s">
        <v>307</v>
      </c>
      <c r="D1874" t="s">
        <v>45</v>
      </c>
      <c r="E1874" t="s">
        <v>46</v>
      </c>
      <c r="F1874" t="s">
        <v>26</v>
      </c>
      <c r="G1874" t="s">
        <v>44</v>
      </c>
      <c r="H1874" t="s">
        <v>44</v>
      </c>
      <c r="J1874">
        <v>0</v>
      </c>
      <c r="K1874">
        <v>0</v>
      </c>
    </row>
    <row r="1875" spans="2:11" x14ac:dyDescent="0.25">
      <c r="B1875" t="s">
        <v>6</v>
      </c>
      <c r="C1875" t="s">
        <v>307</v>
      </c>
      <c r="D1875" t="s">
        <v>297</v>
      </c>
      <c r="E1875" t="s">
        <v>298</v>
      </c>
      <c r="F1875" t="s">
        <v>26</v>
      </c>
      <c r="G1875" t="s">
        <v>299</v>
      </c>
      <c r="H1875" t="s">
        <v>299</v>
      </c>
      <c r="J1875">
        <v>0</v>
      </c>
    </row>
    <row r="1876" spans="2:11" x14ac:dyDescent="0.25">
      <c r="B1876" t="s">
        <v>6</v>
      </c>
      <c r="C1876" t="s">
        <v>307</v>
      </c>
      <c r="D1876" t="s">
        <v>300</v>
      </c>
      <c r="E1876" t="s">
        <v>301</v>
      </c>
      <c r="F1876" t="s">
        <v>21</v>
      </c>
      <c r="G1876" t="s">
        <v>299</v>
      </c>
      <c r="H1876" t="s">
        <v>299</v>
      </c>
      <c r="J1876">
        <v>0</v>
      </c>
    </row>
    <row r="1877" spans="2:11" x14ac:dyDescent="0.25">
      <c r="B1877" t="s">
        <v>6</v>
      </c>
      <c r="C1877" t="s">
        <v>307</v>
      </c>
      <c r="D1877" t="s">
        <v>47</v>
      </c>
      <c r="E1877" t="s">
        <v>48</v>
      </c>
      <c r="F1877" t="s">
        <v>26</v>
      </c>
      <c r="G1877" t="s">
        <v>49</v>
      </c>
      <c r="H1877" t="s">
        <v>49</v>
      </c>
      <c r="J1877">
        <v>0</v>
      </c>
      <c r="K1877">
        <v>0</v>
      </c>
    </row>
    <row r="1878" spans="2:11" x14ac:dyDescent="0.25">
      <c r="B1878" t="s">
        <v>6</v>
      </c>
      <c r="C1878" t="s">
        <v>308</v>
      </c>
      <c r="D1878">
        <v>701000</v>
      </c>
      <c r="E1878" t="s">
        <v>51</v>
      </c>
      <c r="F1878" t="s">
        <v>21</v>
      </c>
      <c r="G1878" t="s">
        <v>52</v>
      </c>
      <c r="H1878" t="s">
        <v>53</v>
      </c>
      <c r="J1878">
        <v>0</v>
      </c>
      <c r="K1878">
        <v>0</v>
      </c>
    </row>
    <row r="1879" spans="2:11" x14ac:dyDescent="0.25">
      <c r="B1879" t="s">
        <v>6</v>
      </c>
      <c r="C1879" t="s">
        <v>308</v>
      </c>
      <c r="D1879">
        <v>701008</v>
      </c>
      <c r="E1879" t="s">
        <v>54</v>
      </c>
      <c r="F1879" t="s">
        <v>21</v>
      </c>
      <c r="G1879" t="s">
        <v>52</v>
      </c>
      <c r="H1879" t="s">
        <v>53</v>
      </c>
      <c r="J1879">
        <v>0</v>
      </c>
      <c r="K1879">
        <v>0</v>
      </c>
    </row>
    <row r="1880" spans="2:11" x14ac:dyDescent="0.25">
      <c r="B1880" t="s">
        <v>6</v>
      </c>
      <c r="C1880" t="s">
        <v>308</v>
      </c>
      <c r="D1880">
        <v>701009</v>
      </c>
      <c r="E1880" t="s">
        <v>55</v>
      </c>
      <c r="F1880" t="s">
        <v>21</v>
      </c>
      <c r="G1880" t="s">
        <v>52</v>
      </c>
      <c r="H1880" t="s">
        <v>53</v>
      </c>
      <c r="J1880">
        <v>0</v>
      </c>
      <c r="K1880">
        <v>0</v>
      </c>
    </row>
    <row r="1881" spans="2:11" x14ac:dyDescent="0.25">
      <c r="B1881" t="s">
        <v>6</v>
      </c>
      <c r="C1881" t="s">
        <v>308</v>
      </c>
      <c r="D1881">
        <v>701010</v>
      </c>
      <c r="E1881" t="s">
        <v>56</v>
      </c>
      <c r="F1881" t="s">
        <v>21</v>
      </c>
      <c r="G1881" t="s">
        <v>52</v>
      </c>
      <c r="H1881" t="s">
        <v>57</v>
      </c>
      <c r="J1881">
        <v>0</v>
      </c>
      <c r="K1881">
        <v>0</v>
      </c>
    </row>
    <row r="1882" spans="2:11" x14ac:dyDescent="0.25">
      <c r="B1882" t="s">
        <v>6</v>
      </c>
      <c r="C1882" t="s">
        <v>308</v>
      </c>
      <c r="D1882">
        <v>701011</v>
      </c>
      <c r="E1882" t="s">
        <v>58</v>
      </c>
      <c r="F1882" t="s">
        <v>21</v>
      </c>
      <c r="G1882" t="s">
        <v>52</v>
      </c>
      <c r="H1882" t="s">
        <v>53</v>
      </c>
      <c r="J1882">
        <v>0</v>
      </c>
      <c r="K1882">
        <v>0</v>
      </c>
    </row>
    <row r="1883" spans="2:11" x14ac:dyDescent="0.25">
      <c r="B1883" t="s">
        <v>6</v>
      </c>
      <c r="C1883" t="s">
        <v>308</v>
      </c>
      <c r="D1883">
        <v>701012</v>
      </c>
      <c r="E1883" t="s">
        <v>59</v>
      </c>
      <c r="F1883" t="s">
        <v>21</v>
      </c>
      <c r="G1883" t="s">
        <v>52</v>
      </c>
      <c r="H1883" t="s">
        <v>53</v>
      </c>
      <c r="J1883">
        <v>0</v>
      </c>
      <c r="K1883">
        <v>0</v>
      </c>
    </row>
    <row r="1884" spans="2:11" x14ac:dyDescent="0.25">
      <c r="B1884" t="s">
        <v>6</v>
      </c>
      <c r="C1884" t="s">
        <v>308</v>
      </c>
      <c r="D1884">
        <v>701013</v>
      </c>
      <c r="E1884" t="s">
        <v>60</v>
      </c>
      <c r="F1884" t="s">
        <v>21</v>
      </c>
      <c r="G1884" t="s">
        <v>61</v>
      </c>
      <c r="H1884" t="s">
        <v>62</v>
      </c>
      <c r="J1884">
        <v>0</v>
      </c>
      <c r="K1884">
        <v>0</v>
      </c>
    </row>
    <row r="1885" spans="2:11" x14ac:dyDescent="0.25">
      <c r="B1885" t="s">
        <v>6</v>
      </c>
      <c r="C1885" t="s">
        <v>308</v>
      </c>
      <c r="D1885">
        <v>701014</v>
      </c>
      <c r="E1885" t="s">
        <v>63</v>
      </c>
      <c r="F1885" t="s">
        <v>21</v>
      </c>
      <c r="G1885" t="s">
        <v>61</v>
      </c>
      <c r="H1885" t="s">
        <v>64</v>
      </c>
      <c r="J1885">
        <v>0</v>
      </c>
      <c r="K1885">
        <v>0</v>
      </c>
    </row>
    <row r="1886" spans="2:11" x14ac:dyDescent="0.25">
      <c r="B1886" t="s">
        <v>6</v>
      </c>
      <c r="C1886" t="s">
        <v>308</v>
      </c>
      <c r="D1886">
        <v>701015</v>
      </c>
      <c r="E1886" t="s">
        <v>65</v>
      </c>
      <c r="F1886" t="s">
        <v>21</v>
      </c>
      <c r="G1886" t="s">
        <v>52</v>
      </c>
      <c r="H1886" t="s">
        <v>53</v>
      </c>
      <c r="J1886">
        <v>0</v>
      </c>
      <c r="K1886">
        <v>0</v>
      </c>
    </row>
    <row r="1887" spans="2:11" x14ac:dyDescent="0.25">
      <c r="B1887" t="s">
        <v>6</v>
      </c>
      <c r="C1887" t="s">
        <v>308</v>
      </c>
      <c r="D1887">
        <v>701016</v>
      </c>
      <c r="E1887" t="s">
        <v>66</v>
      </c>
      <c r="F1887" t="s">
        <v>21</v>
      </c>
      <c r="G1887" t="s">
        <v>52</v>
      </c>
      <c r="H1887" t="s">
        <v>53</v>
      </c>
      <c r="J1887">
        <v>0</v>
      </c>
      <c r="K1887">
        <v>0</v>
      </c>
    </row>
    <row r="1888" spans="2:11" x14ac:dyDescent="0.25">
      <c r="B1888" t="s">
        <v>6</v>
      </c>
      <c r="C1888" t="s">
        <v>308</v>
      </c>
      <c r="D1888">
        <v>701017</v>
      </c>
      <c r="E1888" t="s">
        <v>67</v>
      </c>
      <c r="F1888" t="s">
        <v>21</v>
      </c>
      <c r="G1888" t="s">
        <v>61</v>
      </c>
      <c r="H1888" t="s">
        <v>68</v>
      </c>
      <c r="J1888">
        <v>0</v>
      </c>
      <c r="K1888">
        <v>0</v>
      </c>
    </row>
    <row r="1889" spans="2:11" x14ac:dyDescent="0.25">
      <c r="B1889" t="s">
        <v>6</v>
      </c>
      <c r="C1889" t="s">
        <v>308</v>
      </c>
      <c r="D1889">
        <v>701018</v>
      </c>
      <c r="E1889" t="s">
        <v>69</v>
      </c>
      <c r="F1889" t="s">
        <v>21</v>
      </c>
      <c r="G1889" t="s">
        <v>61</v>
      </c>
      <c r="H1889" t="s">
        <v>68</v>
      </c>
      <c r="J1889">
        <v>0</v>
      </c>
      <c r="K1889">
        <v>0</v>
      </c>
    </row>
    <row r="1890" spans="2:11" x14ac:dyDescent="0.25">
      <c r="B1890" t="s">
        <v>6</v>
      </c>
      <c r="C1890" t="s">
        <v>308</v>
      </c>
      <c r="D1890">
        <v>701019</v>
      </c>
      <c r="E1890" t="s">
        <v>70</v>
      </c>
      <c r="F1890" t="s">
        <v>21</v>
      </c>
      <c r="G1890" t="s">
        <v>71</v>
      </c>
      <c r="H1890" t="s">
        <v>72</v>
      </c>
      <c r="J1890">
        <v>0</v>
      </c>
      <c r="K1890">
        <v>0</v>
      </c>
    </row>
    <row r="1891" spans="2:11" x14ac:dyDescent="0.25">
      <c r="B1891" t="s">
        <v>6</v>
      </c>
      <c r="C1891" t="s">
        <v>308</v>
      </c>
      <c r="D1891">
        <v>701020</v>
      </c>
      <c r="E1891" t="s">
        <v>73</v>
      </c>
      <c r="F1891" t="s">
        <v>21</v>
      </c>
      <c r="G1891" t="s">
        <v>52</v>
      </c>
      <c r="H1891" t="s">
        <v>53</v>
      </c>
      <c r="J1891">
        <v>0</v>
      </c>
      <c r="K1891">
        <v>0</v>
      </c>
    </row>
    <row r="1892" spans="2:11" x14ac:dyDescent="0.25">
      <c r="B1892" t="s">
        <v>6</v>
      </c>
      <c r="C1892" t="s">
        <v>308</v>
      </c>
      <c r="D1892">
        <v>701021</v>
      </c>
      <c r="E1892" t="s">
        <v>74</v>
      </c>
      <c r="F1892" t="s">
        <v>21</v>
      </c>
      <c r="G1892" t="s">
        <v>61</v>
      </c>
      <c r="H1892" t="s">
        <v>74</v>
      </c>
      <c r="J1892">
        <v>0</v>
      </c>
      <c r="K1892">
        <v>0</v>
      </c>
    </row>
    <row r="1893" spans="2:11" x14ac:dyDescent="0.25">
      <c r="B1893" t="s">
        <v>6</v>
      </c>
      <c r="C1893" t="s">
        <v>308</v>
      </c>
      <c r="D1893">
        <v>701022</v>
      </c>
      <c r="E1893" t="s">
        <v>75</v>
      </c>
      <c r="F1893" t="s">
        <v>21</v>
      </c>
      <c r="G1893" t="s">
        <v>76</v>
      </c>
      <c r="H1893" t="s">
        <v>77</v>
      </c>
      <c r="J1893">
        <v>0</v>
      </c>
      <c r="K1893">
        <v>0</v>
      </c>
    </row>
    <row r="1894" spans="2:11" x14ac:dyDescent="0.25">
      <c r="B1894" t="s">
        <v>6</v>
      </c>
      <c r="C1894" t="s">
        <v>308</v>
      </c>
      <c r="D1894">
        <v>701023</v>
      </c>
      <c r="E1894" t="s">
        <v>78</v>
      </c>
      <c r="F1894" t="s">
        <v>21</v>
      </c>
      <c r="G1894" t="s">
        <v>61</v>
      </c>
      <c r="H1894" t="s">
        <v>79</v>
      </c>
      <c r="J1894">
        <v>0</v>
      </c>
      <c r="K1894">
        <v>0</v>
      </c>
    </row>
    <row r="1895" spans="2:11" x14ac:dyDescent="0.25">
      <c r="B1895" t="s">
        <v>6</v>
      </c>
      <c r="C1895" t="s">
        <v>308</v>
      </c>
      <c r="D1895">
        <v>701024</v>
      </c>
      <c r="E1895" t="s">
        <v>80</v>
      </c>
      <c r="F1895" t="s">
        <v>21</v>
      </c>
      <c r="G1895" t="s">
        <v>76</v>
      </c>
      <c r="H1895" t="s">
        <v>77</v>
      </c>
      <c r="J1895">
        <v>0</v>
      </c>
      <c r="K1895">
        <v>0</v>
      </c>
    </row>
    <row r="1896" spans="2:11" x14ac:dyDescent="0.25">
      <c r="B1896" t="s">
        <v>6</v>
      </c>
      <c r="C1896" t="s">
        <v>308</v>
      </c>
      <c r="D1896">
        <v>701025</v>
      </c>
      <c r="E1896" t="s">
        <v>81</v>
      </c>
      <c r="F1896" t="s">
        <v>21</v>
      </c>
      <c r="G1896" t="s">
        <v>71</v>
      </c>
      <c r="H1896" t="s">
        <v>82</v>
      </c>
      <c r="J1896">
        <v>0</v>
      </c>
      <c r="K1896">
        <v>0</v>
      </c>
    </row>
    <row r="1897" spans="2:11" x14ac:dyDescent="0.25">
      <c r="B1897" t="s">
        <v>6</v>
      </c>
      <c r="C1897" t="s">
        <v>308</v>
      </c>
      <c r="D1897">
        <v>701026</v>
      </c>
      <c r="E1897" t="s">
        <v>83</v>
      </c>
      <c r="F1897" t="s">
        <v>21</v>
      </c>
      <c r="G1897" t="s">
        <v>76</v>
      </c>
      <c r="H1897" t="s">
        <v>77</v>
      </c>
      <c r="J1897">
        <v>0</v>
      </c>
      <c r="K1897">
        <v>0</v>
      </c>
    </row>
    <row r="1898" spans="2:11" x14ac:dyDescent="0.25">
      <c r="B1898" t="s">
        <v>6</v>
      </c>
      <c r="C1898" t="s">
        <v>308</v>
      </c>
      <c r="D1898">
        <v>701027</v>
      </c>
      <c r="E1898" t="s">
        <v>84</v>
      </c>
      <c r="F1898" t="s">
        <v>21</v>
      </c>
      <c r="G1898" t="s">
        <v>76</v>
      </c>
      <c r="H1898" t="s">
        <v>77</v>
      </c>
      <c r="J1898">
        <v>0</v>
      </c>
      <c r="K1898">
        <v>0</v>
      </c>
    </row>
    <row r="1899" spans="2:11" x14ac:dyDescent="0.25">
      <c r="B1899" t="s">
        <v>6</v>
      </c>
      <c r="C1899" t="s">
        <v>308</v>
      </c>
      <c r="D1899">
        <v>701028</v>
      </c>
      <c r="E1899" t="s">
        <v>85</v>
      </c>
      <c r="F1899" t="s">
        <v>21</v>
      </c>
      <c r="G1899" t="s">
        <v>61</v>
      </c>
      <c r="H1899" t="s">
        <v>68</v>
      </c>
      <c r="J1899">
        <v>0</v>
      </c>
      <c r="K1899">
        <v>0</v>
      </c>
    </row>
    <row r="1900" spans="2:11" x14ac:dyDescent="0.25">
      <c r="B1900" t="s">
        <v>6</v>
      </c>
      <c r="C1900" t="s">
        <v>308</v>
      </c>
      <c r="D1900">
        <v>701029</v>
      </c>
      <c r="E1900" t="s">
        <v>86</v>
      </c>
      <c r="F1900" t="s">
        <v>21</v>
      </c>
      <c r="G1900" t="s">
        <v>61</v>
      </c>
      <c r="H1900" t="s">
        <v>68</v>
      </c>
      <c r="J1900">
        <v>0</v>
      </c>
      <c r="K1900">
        <v>0</v>
      </c>
    </row>
    <row r="1901" spans="2:11" x14ac:dyDescent="0.25">
      <c r="B1901" t="s">
        <v>6</v>
      </c>
      <c r="C1901" t="s">
        <v>308</v>
      </c>
      <c r="D1901">
        <v>701030</v>
      </c>
      <c r="E1901" t="s">
        <v>87</v>
      </c>
      <c r="F1901" t="s">
        <v>21</v>
      </c>
      <c r="G1901" t="s">
        <v>71</v>
      </c>
      <c r="H1901" t="s">
        <v>88</v>
      </c>
      <c r="J1901">
        <v>0</v>
      </c>
      <c r="K1901">
        <v>0</v>
      </c>
    </row>
    <row r="1902" spans="2:11" x14ac:dyDescent="0.25">
      <c r="B1902" t="s">
        <v>6</v>
      </c>
      <c r="C1902" t="s">
        <v>308</v>
      </c>
      <c r="D1902">
        <v>701031</v>
      </c>
      <c r="E1902" t="s">
        <v>89</v>
      </c>
      <c r="F1902" t="s">
        <v>21</v>
      </c>
      <c r="G1902" t="s">
        <v>76</v>
      </c>
      <c r="H1902" t="s">
        <v>77</v>
      </c>
      <c r="J1902">
        <v>0</v>
      </c>
      <c r="K1902">
        <v>0</v>
      </c>
    </row>
    <row r="1903" spans="2:11" x14ac:dyDescent="0.25">
      <c r="B1903" t="s">
        <v>6</v>
      </c>
      <c r="C1903" t="s">
        <v>308</v>
      </c>
      <c r="D1903">
        <v>701032</v>
      </c>
      <c r="E1903" t="s">
        <v>90</v>
      </c>
      <c r="F1903" t="s">
        <v>21</v>
      </c>
      <c r="G1903" t="s">
        <v>52</v>
      </c>
      <c r="H1903" t="s">
        <v>53</v>
      </c>
      <c r="J1903">
        <v>0</v>
      </c>
      <c r="K1903">
        <v>0</v>
      </c>
    </row>
    <row r="1904" spans="2:11" x14ac:dyDescent="0.25">
      <c r="B1904" t="s">
        <v>6</v>
      </c>
      <c r="C1904" t="s">
        <v>308</v>
      </c>
      <c r="D1904">
        <v>701034</v>
      </c>
      <c r="E1904" t="s">
        <v>91</v>
      </c>
      <c r="F1904" t="s">
        <v>21</v>
      </c>
      <c r="G1904" t="s">
        <v>76</v>
      </c>
      <c r="H1904" t="s">
        <v>77</v>
      </c>
      <c r="J1904">
        <v>0</v>
      </c>
      <c r="K1904">
        <v>0</v>
      </c>
    </row>
    <row r="1905" spans="2:11" x14ac:dyDescent="0.25">
      <c r="B1905" t="s">
        <v>6</v>
      </c>
      <c r="C1905" t="s">
        <v>308</v>
      </c>
      <c r="D1905">
        <v>701035</v>
      </c>
      <c r="E1905" t="s">
        <v>92</v>
      </c>
      <c r="F1905" t="s">
        <v>21</v>
      </c>
      <c r="G1905" t="s">
        <v>61</v>
      </c>
      <c r="H1905" t="s">
        <v>68</v>
      </c>
      <c r="J1905">
        <v>0</v>
      </c>
      <c r="K1905">
        <v>0</v>
      </c>
    </row>
    <row r="1906" spans="2:11" x14ac:dyDescent="0.25">
      <c r="B1906" t="s">
        <v>6</v>
      </c>
      <c r="C1906" t="s">
        <v>308</v>
      </c>
      <c r="D1906">
        <v>701036</v>
      </c>
      <c r="E1906" t="s">
        <v>93</v>
      </c>
      <c r="F1906" t="s">
        <v>21</v>
      </c>
      <c r="G1906" t="s">
        <v>52</v>
      </c>
      <c r="H1906" t="s">
        <v>53</v>
      </c>
      <c r="J1906">
        <v>0</v>
      </c>
      <c r="K1906">
        <v>0</v>
      </c>
    </row>
    <row r="1907" spans="2:11" x14ac:dyDescent="0.25">
      <c r="B1907" t="s">
        <v>6</v>
      </c>
      <c r="C1907" t="s">
        <v>308</v>
      </c>
      <c r="D1907">
        <v>701113</v>
      </c>
      <c r="E1907" t="s">
        <v>94</v>
      </c>
      <c r="F1907" t="s">
        <v>21</v>
      </c>
      <c r="G1907" t="s">
        <v>61</v>
      </c>
      <c r="H1907" t="s">
        <v>62</v>
      </c>
      <c r="J1907">
        <v>0</v>
      </c>
      <c r="K1907">
        <v>0</v>
      </c>
    </row>
    <row r="1908" spans="2:11" x14ac:dyDescent="0.25">
      <c r="B1908" t="s">
        <v>6</v>
      </c>
      <c r="C1908" t="s">
        <v>308</v>
      </c>
      <c r="D1908">
        <v>701119</v>
      </c>
      <c r="E1908" t="s">
        <v>95</v>
      </c>
      <c r="F1908" t="s">
        <v>21</v>
      </c>
      <c r="G1908" t="s">
        <v>22</v>
      </c>
      <c r="H1908" t="s">
        <v>23</v>
      </c>
      <c r="J1908">
        <v>0</v>
      </c>
      <c r="K1908">
        <v>0</v>
      </c>
    </row>
    <row r="1909" spans="2:11" x14ac:dyDescent="0.25">
      <c r="B1909" t="s">
        <v>6</v>
      </c>
      <c r="C1909" t="s">
        <v>308</v>
      </c>
      <c r="D1909">
        <v>701120</v>
      </c>
      <c r="E1909" t="s">
        <v>96</v>
      </c>
      <c r="F1909" t="s">
        <v>21</v>
      </c>
      <c r="G1909" t="s">
        <v>22</v>
      </c>
      <c r="H1909" t="s">
        <v>23</v>
      </c>
      <c r="J1909">
        <v>0</v>
      </c>
      <c r="K1909">
        <v>0</v>
      </c>
    </row>
    <row r="1910" spans="2:11" x14ac:dyDescent="0.25">
      <c r="B1910" t="s">
        <v>6</v>
      </c>
      <c r="C1910" t="s">
        <v>308</v>
      </c>
      <c r="D1910">
        <v>701121</v>
      </c>
      <c r="E1910" t="s">
        <v>97</v>
      </c>
      <c r="F1910" t="s">
        <v>21</v>
      </c>
      <c r="G1910" t="s">
        <v>22</v>
      </c>
      <c r="H1910" t="s">
        <v>23</v>
      </c>
      <c r="J1910">
        <v>0</v>
      </c>
      <c r="K1910">
        <v>0</v>
      </c>
    </row>
    <row r="1911" spans="2:11" x14ac:dyDescent="0.25">
      <c r="B1911" t="s">
        <v>6</v>
      </c>
      <c r="C1911" t="s">
        <v>308</v>
      </c>
      <c r="D1911">
        <v>701122</v>
      </c>
      <c r="E1911" t="s">
        <v>98</v>
      </c>
      <c r="F1911" t="s">
        <v>21</v>
      </c>
      <c r="G1911" t="s">
        <v>71</v>
      </c>
      <c r="H1911" t="s">
        <v>88</v>
      </c>
      <c r="J1911">
        <v>0</v>
      </c>
      <c r="K1911">
        <v>0</v>
      </c>
    </row>
    <row r="1912" spans="2:11" x14ac:dyDescent="0.25">
      <c r="B1912" t="s">
        <v>6</v>
      </c>
      <c r="C1912" t="s">
        <v>308</v>
      </c>
      <c r="D1912">
        <v>701123</v>
      </c>
      <c r="E1912" t="s">
        <v>99</v>
      </c>
      <c r="F1912" t="s">
        <v>21</v>
      </c>
      <c r="G1912" t="s">
        <v>22</v>
      </c>
      <c r="H1912" t="s">
        <v>23</v>
      </c>
      <c r="J1912">
        <v>0</v>
      </c>
      <c r="K1912">
        <v>0</v>
      </c>
    </row>
    <row r="1913" spans="2:11" x14ac:dyDescent="0.25">
      <c r="B1913" t="s">
        <v>6</v>
      </c>
      <c r="C1913" t="s">
        <v>308</v>
      </c>
      <c r="D1913">
        <v>701127</v>
      </c>
      <c r="E1913" t="s">
        <v>100</v>
      </c>
      <c r="F1913" t="s">
        <v>21</v>
      </c>
      <c r="G1913" t="s">
        <v>76</v>
      </c>
      <c r="H1913" t="s">
        <v>77</v>
      </c>
      <c r="J1913">
        <v>0</v>
      </c>
      <c r="K1913">
        <v>0</v>
      </c>
    </row>
    <row r="1914" spans="2:11" x14ac:dyDescent="0.25">
      <c r="B1914" t="s">
        <v>6</v>
      </c>
      <c r="C1914" t="s">
        <v>308</v>
      </c>
      <c r="D1914">
        <v>701213</v>
      </c>
      <c r="E1914" t="s">
        <v>101</v>
      </c>
      <c r="F1914" t="s">
        <v>21</v>
      </c>
      <c r="G1914" t="s">
        <v>61</v>
      </c>
      <c r="H1914" t="s">
        <v>62</v>
      </c>
      <c r="J1914">
        <v>0</v>
      </c>
      <c r="K1914">
        <v>0</v>
      </c>
    </row>
    <row r="1915" spans="2:11" x14ac:dyDescent="0.25">
      <c r="B1915" t="s">
        <v>6</v>
      </c>
      <c r="C1915" t="s">
        <v>308</v>
      </c>
      <c r="D1915">
        <v>701214</v>
      </c>
      <c r="E1915" t="s">
        <v>102</v>
      </c>
      <c r="F1915" t="s">
        <v>21</v>
      </c>
      <c r="G1915" t="s">
        <v>61</v>
      </c>
      <c r="H1915" t="s">
        <v>62</v>
      </c>
      <c r="J1915">
        <v>0</v>
      </c>
      <c r="K1915">
        <v>0</v>
      </c>
    </row>
    <row r="1916" spans="2:11" x14ac:dyDescent="0.25">
      <c r="B1916" t="s">
        <v>6</v>
      </c>
      <c r="C1916" t="s">
        <v>308</v>
      </c>
      <c r="D1916">
        <v>701215</v>
      </c>
      <c r="E1916" t="s">
        <v>103</v>
      </c>
      <c r="F1916" t="s">
        <v>21</v>
      </c>
      <c r="G1916" t="s">
        <v>61</v>
      </c>
      <c r="H1916" t="s">
        <v>62</v>
      </c>
      <c r="J1916">
        <v>0</v>
      </c>
      <c r="K1916">
        <v>0</v>
      </c>
    </row>
    <row r="1917" spans="2:11" x14ac:dyDescent="0.25">
      <c r="B1917" t="s">
        <v>6</v>
      </c>
      <c r="C1917" t="s">
        <v>308</v>
      </c>
      <c r="D1917">
        <v>701227</v>
      </c>
      <c r="E1917" t="s">
        <v>104</v>
      </c>
      <c r="F1917" t="s">
        <v>21</v>
      </c>
      <c r="G1917" t="s">
        <v>76</v>
      </c>
      <c r="H1917" t="s">
        <v>77</v>
      </c>
      <c r="J1917">
        <v>0</v>
      </c>
      <c r="K1917">
        <v>0</v>
      </c>
    </row>
    <row r="1918" spans="2:11" x14ac:dyDescent="0.25">
      <c r="B1918" t="s">
        <v>6</v>
      </c>
      <c r="C1918" t="s">
        <v>308</v>
      </c>
      <c r="D1918">
        <v>701327</v>
      </c>
      <c r="E1918" t="s">
        <v>106</v>
      </c>
      <c r="F1918" t="s">
        <v>21</v>
      </c>
      <c r="G1918" t="s">
        <v>76</v>
      </c>
      <c r="H1918" t="s">
        <v>77</v>
      </c>
      <c r="J1918">
        <v>0</v>
      </c>
      <c r="K1918">
        <v>0</v>
      </c>
    </row>
    <row r="1919" spans="2:11" x14ac:dyDescent="0.25">
      <c r="B1919" t="s">
        <v>6</v>
      </c>
      <c r="C1919" t="s">
        <v>308</v>
      </c>
      <c r="D1919">
        <v>701427</v>
      </c>
      <c r="E1919" t="s">
        <v>107</v>
      </c>
      <c r="F1919" t="s">
        <v>21</v>
      </c>
      <c r="G1919" t="s">
        <v>76</v>
      </c>
      <c r="H1919" t="s">
        <v>108</v>
      </c>
      <c r="J1919">
        <v>0</v>
      </c>
      <c r="K1919">
        <v>0</v>
      </c>
    </row>
    <row r="1920" spans="2:11" x14ac:dyDescent="0.25">
      <c r="B1920" t="s">
        <v>6</v>
      </c>
      <c r="C1920" t="s">
        <v>308</v>
      </c>
      <c r="D1920">
        <v>701527</v>
      </c>
      <c r="E1920" t="s">
        <v>109</v>
      </c>
      <c r="F1920" t="s">
        <v>21</v>
      </c>
      <c r="G1920" t="s">
        <v>76</v>
      </c>
      <c r="H1920" t="s">
        <v>77</v>
      </c>
      <c r="J1920">
        <v>0</v>
      </c>
      <c r="K1920">
        <v>0</v>
      </c>
    </row>
    <row r="1921" spans="2:11" x14ac:dyDescent="0.25">
      <c r="B1921" t="s">
        <v>6</v>
      </c>
      <c r="C1921" t="s">
        <v>308</v>
      </c>
      <c r="D1921">
        <v>701627</v>
      </c>
      <c r="E1921" t="s">
        <v>110</v>
      </c>
      <c r="F1921" t="s">
        <v>21</v>
      </c>
      <c r="G1921" t="s">
        <v>76</v>
      </c>
      <c r="H1921" t="s">
        <v>77</v>
      </c>
      <c r="J1921">
        <v>0</v>
      </c>
      <c r="K1921">
        <v>0</v>
      </c>
    </row>
    <row r="1922" spans="2:11" x14ac:dyDescent="0.25">
      <c r="B1922" t="s">
        <v>6</v>
      </c>
      <c r="C1922" t="s">
        <v>308</v>
      </c>
      <c r="D1922">
        <v>701727</v>
      </c>
      <c r="E1922" t="s">
        <v>111</v>
      </c>
      <c r="F1922" t="s">
        <v>21</v>
      </c>
      <c r="G1922" t="s">
        <v>76</v>
      </c>
      <c r="H1922" t="s">
        <v>77</v>
      </c>
      <c r="J1922">
        <v>0</v>
      </c>
      <c r="K1922">
        <v>0</v>
      </c>
    </row>
    <row r="1923" spans="2:11" x14ac:dyDescent="0.25">
      <c r="B1923" t="s">
        <v>6</v>
      </c>
      <c r="C1923" t="s">
        <v>308</v>
      </c>
      <c r="D1923">
        <v>701801</v>
      </c>
      <c r="E1923" t="s">
        <v>112</v>
      </c>
      <c r="F1923" t="s">
        <v>21</v>
      </c>
      <c r="G1923" t="s">
        <v>76</v>
      </c>
      <c r="H1923" t="s">
        <v>77</v>
      </c>
      <c r="J1923">
        <v>0</v>
      </c>
      <c r="K1923">
        <v>0</v>
      </c>
    </row>
    <row r="1924" spans="2:11" x14ac:dyDescent="0.25">
      <c r="B1924" t="s">
        <v>6</v>
      </c>
      <c r="C1924" t="s">
        <v>308</v>
      </c>
      <c r="D1924">
        <v>701802</v>
      </c>
      <c r="E1924" t="s">
        <v>113</v>
      </c>
      <c r="F1924" t="s">
        <v>21</v>
      </c>
      <c r="G1924" t="s">
        <v>61</v>
      </c>
      <c r="H1924" t="s">
        <v>62</v>
      </c>
      <c r="J1924">
        <v>0</v>
      </c>
      <c r="K1924">
        <v>0</v>
      </c>
    </row>
    <row r="1925" spans="2:11" x14ac:dyDescent="0.25">
      <c r="B1925" t="s">
        <v>6</v>
      </c>
      <c r="C1925" t="s">
        <v>308</v>
      </c>
      <c r="D1925">
        <v>703010</v>
      </c>
      <c r="E1925" t="s">
        <v>114</v>
      </c>
      <c r="F1925" t="s">
        <v>21</v>
      </c>
      <c r="G1925" t="s">
        <v>22</v>
      </c>
      <c r="H1925" t="s">
        <v>115</v>
      </c>
      <c r="J1925">
        <v>0</v>
      </c>
      <c r="K1925">
        <v>0</v>
      </c>
    </row>
    <row r="1926" spans="2:11" x14ac:dyDescent="0.25">
      <c r="B1926" t="s">
        <v>6</v>
      </c>
      <c r="C1926" t="s">
        <v>308</v>
      </c>
      <c r="D1926">
        <v>703011</v>
      </c>
      <c r="E1926" t="s">
        <v>116</v>
      </c>
      <c r="F1926" t="s">
        <v>21</v>
      </c>
      <c r="G1926" t="s">
        <v>22</v>
      </c>
      <c r="H1926" t="s">
        <v>115</v>
      </c>
      <c r="J1926">
        <v>0</v>
      </c>
      <c r="K1926">
        <v>0</v>
      </c>
    </row>
    <row r="1927" spans="2:11" x14ac:dyDescent="0.25">
      <c r="B1927" t="s">
        <v>6</v>
      </c>
      <c r="C1927" t="s">
        <v>308</v>
      </c>
      <c r="D1927">
        <v>703012</v>
      </c>
      <c r="E1927" t="s">
        <v>117</v>
      </c>
      <c r="F1927" t="s">
        <v>21</v>
      </c>
      <c r="G1927" t="s">
        <v>22</v>
      </c>
      <c r="H1927" t="s">
        <v>115</v>
      </c>
      <c r="J1927">
        <v>0</v>
      </c>
      <c r="K1927">
        <v>0</v>
      </c>
    </row>
    <row r="1928" spans="2:11" x14ac:dyDescent="0.25">
      <c r="B1928" t="s">
        <v>6</v>
      </c>
      <c r="C1928" t="s">
        <v>308</v>
      </c>
      <c r="D1928">
        <v>703013</v>
      </c>
      <c r="E1928" t="s">
        <v>118</v>
      </c>
      <c r="F1928" t="s">
        <v>21</v>
      </c>
      <c r="G1928" t="s">
        <v>22</v>
      </c>
      <c r="H1928" t="s">
        <v>115</v>
      </c>
      <c r="J1928">
        <v>0</v>
      </c>
      <c r="K1928">
        <v>0</v>
      </c>
    </row>
    <row r="1929" spans="2:11" x14ac:dyDescent="0.25">
      <c r="B1929" t="s">
        <v>6</v>
      </c>
      <c r="C1929" t="s">
        <v>308</v>
      </c>
      <c r="D1929">
        <v>703014</v>
      </c>
      <c r="E1929" t="s">
        <v>119</v>
      </c>
      <c r="F1929" t="s">
        <v>21</v>
      </c>
      <c r="G1929" t="s">
        <v>22</v>
      </c>
      <c r="H1929" t="s">
        <v>115</v>
      </c>
      <c r="J1929">
        <v>0</v>
      </c>
      <c r="K1929">
        <v>0</v>
      </c>
    </row>
    <row r="1930" spans="2:11" x14ac:dyDescent="0.25">
      <c r="B1930" t="s">
        <v>6</v>
      </c>
      <c r="C1930" t="s">
        <v>308</v>
      </c>
      <c r="D1930">
        <v>703015</v>
      </c>
      <c r="E1930" t="s">
        <v>120</v>
      </c>
      <c r="F1930" t="s">
        <v>21</v>
      </c>
      <c r="G1930" t="s">
        <v>22</v>
      </c>
      <c r="H1930" t="s">
        <v>115</v>
      </c>
      <c r="J1930">
        <v>0</v>
      </c>
      <c r="K1930">
        <v>0</v>
      </c>
    </row>
    <row r="1931" spans="2:11" x14ac:dyDescent="0.25">
      <c r="B1931" t="s">
        <v>6</v>
      </c>
      <c r="C1931" t="s">
        <v>308</v>
      </c>
      <c r="D1931">
        <v>703016</v>
      </c>
      <c r="E1931" t="s">
        <v>121</v>
      </c>
      <c r="F1931" t="s">
        <v>21</v>
      </c>
      <c r="G1931" t="s">
        <v>22</v>
      </c>
      <c r="H1931" t="s">
        <v>115</v>
      </c>
      <c r="J1931">
        <v>0</v>
      </c>
      <c r="K1931">
        <v>0</v>
      </c>
    </row>
    <row r="1932" spans="2:11" x14ac:dyDescent="0.25">
      <c r="B1932" t="s">
        <v>6</v>
      </c>
      <c r="C1932" t="s">
        <v>308</v>
      </c>
      <c r="D1932">
        <v>703017</v>
      </c>
      <c r="E1932" t="s">
        <v>122</v>
      </c>
      <c r="F1932" t="s">
        <v>21</v>
      </c>
      <c r="G1932" t="s">
        <v>22</v>
      </c>
      <c r="H1932" t="s">
        <v>115</v>
      </c>
      <c r="J1932">
        <v>0</v>
      </c>
      <c r="K1932">
        <v>0</v>
      </c>
    </row>
    <row r="1933" spans="2:11" x14ac:dyDescent="0.25">
      <c r="B1933" t="s">
        <v>6</v>
      </c>
      <c r="C1933" t="s">
        <v>308</v>
      </c>
      <c r="D1933">
        <v>703018</v>
      </c>
      <c r="E1933" t="s">
        <v>123</v>
      </c>
      <c r="F1933" t="s">
        <v>21</v>
      </c>
      <c r="G1933" t="s">
        <v>22</v>
      </c>
      <c r="H1933" t="s">
        <v>115</v>
      </c>
      <c r="J1933">
        <v>0</v>
      </c>
      <c r="K1933">
        <v>0</v>
      </c>
    </row>
    <row r="1934" spans="2:11" x14ac:dyDescent="0.25">
      <c r="B1934" t="s">
        <v>6</v>
      </c>
      <c r="C1934" t="s">
        <v>308</v>
      </c>
      <c r="D1934">
        <v>703019</v>
      </c>
      <c r="E1934" t="s">
        <v>124</v>
      </c>
      <c r="F1934" t="s">
        <v>21</v>
      </c>
      <c r="G1934" t="s">
        <v>22</v>
      </c>
      <c r="H1934" t="s">
        <v>115</v>
      </c>
      <c r="J1934">
        <v>0</v>
      </c>
      <c r="K1934">
        <v>0</v>
      </c>
    </row>
    <row r="1935" spans="2:11" x14ac:dyDescent="0.25">
      <c r="B1935" t="s">
        <v>6</v>
      </c>
      <c r="C1935" t="s">
        <v>308</v>
      </c>
      <c r="D1935">
        <v>703210</v>
      </c>
      <c r="E1935" t="s">
        <v>125</v>
      </c>
      <c r="F1935" t="s">
        <v>21</v>
      </c>
      <c r="G1935" t="s">
        <v>22</v>
      </c>
      <c r="H1935" t="s">
        <v>23</v>
      </c>
      <c r="J1935">
        <v>0</v>
      </c>
      <c r="K1935">
        <v>0</v>
      </c>
    </row>
    <row r="1936" spans="2:11" x14ac:dyDescent="0.25">
      <c r="B1936" t="s">
        <v>6</v>
      </c>
      <c r="C1936" t="s">
        <v>308</v>
      </c>
      <c r="D1936">
        <v>703211</v>
      </c>
      <c r="E1936" t="s">
        <v>126</v>
      </c>
      <c r="F1936" t="s">
        <v>21</v>
      </c>
      <c r="G1936" t="s">
        <v>22</v>
      </c>
      <c r="H1936" t="s">
        <v>23</v>
      </c>
      <c r="J1936">
        <v>0</v>
      </c>
      <c r="K1936">
        <v>0</v>
      </c>
    </row>
    <row r="1937" spans="2:11" x14ac:dyDescent="0.25">
      <c r="B1937" t="s">
        <v>6</v>
      </c>
      <c r="C1937" t="s">
        <v>308</v>
      </c>
      <c r="D1937">
        <v>703212</v>
      </c>
      <c r="E1937" t="s">
        <v>127</v>
      </c>
      <c r="F1937" t="s">
        <v>21</v>
      </c>
      <c r="G1937" t="s">
        <v>22</v>
      </c>
      <c r="H1937" t="s">
        <v>23</v>
      </c>
      <c r="J1937">
        <v>0</v>
      </c>
      <c r="K1937">
        <v>0</v>
      </c>
    </row>
    <row r="1938" spans="2:11" x14ac:dyDescent="0.25">
      <c r="B1938" t="s">
        <v>6</v>
      </c>
      <c r="C1938" t="s">
        <v>308</v>
      </c>
      <c r="D1938">
        <v>703213</v>
      </c>
      <c r="E1938" t="s">
        <v>128</v>
      </c>
      <c r="F1938" t="s">
        <v>21</v>
      </c>
      <c r="G1938" t="s">
        <v>22</v>
      </c>
      <c r="H1938" t="s">
        <v>23</v>
      </c>
      <c r="J1938">
        <v>0</v>
      </c>
      <c r="K1938">
        <v>0</v>
      </c>
    </row>
    <row r="1939" spans="2:11" x14ac:dyDescent="0.25">
      <c r="B1939" t="s">
        <v>6</v>
      </c>
      <c r="C1939" t="s">
        <v>308</v>
      </c>
      <c r="D1939">
        <v>703214</v>
      </c>
      <c r="E1939" t="s">
        <v>129</v>
      </c>
      <c r="F1939" t="s">
        <v>21</v>
      </c>
      <c r="G1939" t="s">
        <v>22</v>
      </c>
      <c r="H1939" t="s">
        <v>23</v>
      </c>
      <c r="J1939">
        <v>0</v>
      </c>
      <c r="K1939">
        <v>0</v>
      </c>
    </row>
    <row r="1940" spans="2:11" x14ac:dyDescent="0.25">
      <c r="B1940" t="s">
        <v>6</v>
      </c>
      <c r="C1940" t="s">
        <v>308</v>
      </c>
      <c r="D1940">
        <v>703215</v>
      </c>
      <c r="E1940" t="s">
        <v>130</v>
      </c>
      <c r="F1940" t="s">
        <v>21</v>
      </c>
      <c r="G1940" t="s">
        <v>22</v>
      </c>
      <c r="H1940" t="s">
        <v>23</v>
      </c>
      <c r="J1940">
        <v>0</v>
      </c>
      <c r="K1940">
        <v>0</v>
      </c>
    </row>
    <row r="1941" spans="2:11" x14ac:dyDescent="0.25">
      <c r="B1941" t="s">
        <v>6</v>
      </c>
      <c r="C1941" t="s">
        <v>308</v>
      </c>
      <c r="D1941">
        <v>703216</v>
      </c>
      <c r="E1941" t="s">
        <v>131</v>
      </c>
      <c r="F1941" t="s">
        <v>21</v>
      </c>
      <c r="G1941" t="s">
        <v>22</v>
      </c>
      <c r="H1941" t="s">
        <v>23</v>
      </c>
      <c r="J1941">
        <v>0</v>
      </c>
      <c r="K1941">
        <v>0</v>
      </c>
    </row>
    <row r="1942" spans="2:11" x14ac:dyDescent="0.25">
      <c r="B1942" t="s">
        <v>6</v>
      </c>
      <c r="C1942" t="s">
        <v>308</v>
      </c>
      <c r="D1942">
        <v>703217</v>
      </c>
      <c r="E1942" t="s">
        <v>132</v>
      </c>
      <c r="F1942" t="s">
        <v>21</v>
      </c>
      <c r="G1942" t="s">
        <v>22</v>
      </c>
      <c r="H1942" t="s">
        <v>23</v>
      </c>
      <c r="J1942">
        <v>0</v>
      </c>
      <c r="K1942">
        <v>0</v>
      </c>
    </row>
    <row r="1943" spans="2:11" x14ac:dyDescent="0.25">
      <c r="B1943" t="s">
        <v>6</v>
      </c>
      <c r="C1943" t="s">
        <v>308</v>
      </c>
      <c r="D1943">
        <v>703219</v>
      </c>
      <c r="E1943" t="s">
        <v>133</v>
      </c>
      <c r="F1943" t="s">
        <v>21</v>
      </c>
      <c r="G1943" t="s">
        <v>22</v>
      </c>
      <c r="H1943" t="s">
        <v>23</v>
      </c>
      <c r="J1943">
        <v>0</v>
      </c>
      <c r="K1943">
        <v>0</v>
      </c>
    </row>
    <row r="1944" spans="2:11" x14ac:dyDescent="0.25">
      <c r="B1944" t="s">
        <v>6</v>
      </c>
      <c r="C1944" t="s">
        <v>308</v>
      </c>
      <c r="D1944">
        <v>703220</v>
      </c>
      <c r="E1944" t="s">
        <v>134</v>
      </c>
      <c r="F1944" t="s">
        <v>21</v>
      </c>
      <c r="G1944" t="s">
        <v>71</v>
      </c>
      <c r="H1944" t="s">
        <v>135</v>
      </c>
      <c r="J1944">
        <v>0</v>
      </c>
      <c r="K1944">
        <v>0</v>
      </c>
    </row>
    <row r="1945" spans="2:11" x14ac:dyDescent="0.25">
      <c r="B1945" t="s">
        <v>6</v>
      </c>
      <c r="C1945" t="s">
        <v>308</v>
      </c>
      <c r="D1945">
        <v>703221</v>
      </c>
      <c r="E1945" t="s">
        <v>136</v>
      </c>
      <c r="F1945" t="s">
        <v>21</v>
      </c>
      <c r="G1945" t="s">
        <v>137</v>
      </c>
      <c r="H1945" t="s">
        <v>138</v>
      </c>
      <c r="J1945">
        <v>0</v>
      </c>
      <c r="K1945">
        <v>0</v>
      </c>
    </row>
    <row r="1946" spans="2:11" x14ac:dyDescent="0.25">
      <c r="B1946" t="s">
        <v>6</v>
      </c>
      <c r="C1946" t="s">
        <v>308</v>
      </c>
      <c r="D1946">
        <v>703222</v>
      </c>
      <c r="E1946" t="s">
        <v>139</v>
      </c>
      <c r="F1946" t="s">
        <v>21</v>
      </c>
      <c r="G1946" t="s">
        <v>137</v>
      </c>
      <c r="H1946" t="s">
        <v>138</v>
      </c>
      <c r="J1946">
        <v>0</v>
      </c>
      <c r="K1946">
        <v>0</v>
      </c>
    </row>
    <row r="1947" spans="2:11" x14ac:dyDescent="0.25">
      <c r="B1947" t="s">
        <v>6</v>
      </c>
      <c r="C1947" t="s">
        <v>308</v>
      </c>
      <c r="D1947">
        <v>703223</v>
      </c>
      <c r="E1947" t="s">
        <v>140</v>
      </c>
      <c r="F1947" t="s">
        <v>21</v>
      </c>
      <c r="G1947" t="s">
        <v>137</v>
      </c>
      <c r="H1947" t="s">
        <v>141</v>
      </c>
      <c r="J1947">
        <v>0</v>
      </c>
      <c r="K1947">
        <v>0</v>
      </c>
    </row>
    <row r="1948" spans="2:11" x14ac:dyDescent="0.25">
      <c r="B1948" t="s">
        <v>6</v>
      </c>
      <c r="C1948" t="s">
        <v>308</v>
      </c>
      <c r="D1948">
        <v>703224</v>
      </c>
      <c r="E1948" t="s">
        <v>142</v>
      </c>
      <c r="F1948" t="s">
        <v>21</v>
      </c>
      <c r="G1948" t="s">
        <v>71</v>
      </c>
      <c r="H1948" t="s">
        <v>88</v>
      </c>
      <c r="J1948">
        <v>0</v>
      </c>
      <c r="K1948">
        <v>0</v>
      </c>
    </row>
    <row r="1949" spans="2:11" x14ac:dyDescent="0.25">
      <c r="B1949" t="s">
        <v>6</v>
      </c>
      <c r="C1949" t="s">
        <v>308</v>
      </c>
      <c r="D1949">
        <v>703225</v>
      </c>
      <c r="E1949" t="s">
        <v>143</v>
      </c>
      <c r="F1949" t="s">
        <v>21</v>
      </c>
      <c r="G1949" t="s">
        <v>71</v>
      </c>
      <c r="H1949" t="s">
        <v>88</v>
      </c>
      <c r="J1949">
        <v>0</v>
      </c>
      <c r="K1949">
        <v>0</v>
      </c>
    </row>
    <row r="1950" spans="2:11" x14ac:dyDescent="0.25">
      <c r="B1950" t="s">
        <v>6</v>
      </c>
      <c r="C1950" t="s">
        <v>308</v>
      </c>
      <c r="D1950">
        <v>703226</v>
      </c>
      <c r="E1950" t="s">
        <v>144</v>
      </c>
      <c r="F1950" t="s">
        <v>21</v>
      </c>
      <c r="G1950" t="s">
        <v>71</v>
      </c>
      <c r="H1950" t="s">
        <v>82</v>
      </c>
      <c r="J1950">
        <v>0</v>
      </c>
      <c r="K1950">
        <v>0</v>
      </c>
    </row>
    <row r="1951" spans="2:11" x14ac:dyDescent="0.25">
      <c r="B1951" t="s">
        <v>6</v>
      </c>
      <c r="C1951" t="s">
        <v>308</v>
      </c>
      <c r="D1951">
        <v>703227</v>
      </c>
      <c r="E1951" t="s">
        <v>145</v>
      </c>
      <c r="F1951" t="s">
        <v>21</v>
      </c>
      <c r="G1951" t="s">
        <v>137</v>
      </c>
      <c r="H1951" t="s">
        <v>138</v>
      </c>
      <c r="J1951">
        <v>0</v>
      </c>
      <c r="K1951">
        <v>0</v>
      </c>
    </row>
    <row r="1952" spans="2:11" x14ac:dyDescent="0.25">
      <c r="B1952" t="s">
        <v>6</v>
      </c>
      <c r="C1952" t="s">
        <v>308</v>
      </c>
      <c r="D1952">
        <v>703228</v>
      </c>
      <c r="E1952" t="s">
        <v>146</v>
      </c>
      <c r="F1952" t="s">
        <v>21</v>
      </c>
      <c r="G1952" t="s">
        <v>147</v>
      </c>
      <c r="H1952" t="s">
        <v>147</v>
      </c>
      <c r="J1952">
        <v>0</v>
      </c>
      <c r="K1952">
        <v>0</v>
      </c>
    </row>
    <row r="1953" spans="2:11" x14ac:dyDescent="0.25">
      <c r="B1953" t="s">
        <v>6</v>
      </c>
      <c r="C1953" t="s">
        <v>308</v>
      </c>
      <c r="D1953">
        <v>703229</v>
      </c>
      <c r="E1953" t="s">
        <v>148</v>
      </c>
      <c r="F1953" t="s">
        <v>21</v>
      </c>
      <c r="G1953" t="s">
        <v>147</v>
      </c>
      <c r="H1953" t="s">
        <v>147</v>
      </c>
      <c r="J1953">
        <v>0</v>
      </c>
      <c r="K1953">
        <v>0</v>
      </c>
    </row>
    <row r="1954" spans="2:11" x14ac:dyDescent="0.25">
      <c r="B1954" t="s">
        <v>6</v>
      </c>
      <c r="C1954" t="s">
        <v>308</v>
      </c>
      <c r="D1954">
        <v>703230</v>
      </c>
      <c r="E1954" t="s">
        <v>149</v>
      </c>
      <c r="F1954" t="s">
        <v>21</v>
      </c>
      <c r="G1954" t="s">
        <v>147</v>
      </c>
      <c r="H1954" t="s">
        <v>147</v>
      </c>
      <c r="J1954">
        <v>0</v>
      </c>
      <c r="K1954">
        <v>0</v>
      </c>
    </row>
    <row r="1955" spans="2:11" x14ac:dyDescent="0.25">
      <c r="B1955" t="s">
        <v>6</v>
      </c>
      <c r="C1955" t="s">
        <v>308</v>
      </c>
      <c r="D1955">
        <v>703231</v>
      </c>
      <c r="E1955" t="s">
        <v>150</v>
      </c>
      <c r="F1955" t="s">
        <v>21</v>
      </c>
      <c r="G1955" t="s">
        <v>137</v>
      </c>
      <c r="H1955" t="s">
        <v>141</v>
      </c>
      <c r="J1955">
        <v>0</v>
      </c>
      <c r="K1955">
        <v>0</v>
      </c>
    </row>
    <row r="1956" spans="2:11" x14ac:dyDescent="0.25">
      <c r="B1956" t="s">
        <v>6</v>
      </c>
      <c r="C1956" t="s">
        <v>308</v>
      </c>
      <c r="D1956">
        <v>703232</v>
      </c>
      <c r="E1956" t="s">
        <v>151</v>
      </c>
      <c r="F1956" t="s">
        <v>21</v>
      </c>
      <c r="G1956" t="s">
        <v>147</v>
      </c>
      <c r="H1956" t="s">
        <v>147</v>
      </c>
      <c r="J1956">
        <v>0</v>
      </c>
      <c r="K1956">
        <v>0</v>
      </c>
    </row>
    <row r="1957" spans="2:11" x14ac:dyDescent="0.25">
      <c r="B1957" t="s">
        <v>6</v>
      </c>
      <c r="C1957" t="s">
        <v>308</v>
      </c>
      <c r="D1957">
        <v>703233</v>
      </c>
      <c r="E1957" t="s">
        <v>152</v>
      </c>
      <c r="F1957" t="s">
        <v>21</v>
      </c>
      <c r="G1957" t="s">
        <v>71</v>
      </c>
      <c r="H1957" t="s">
        <v>153</v>
      </c>
      <c r="J1957">
        <v>0</v>
      </c>
      <c r="K1957">
        <v>0</v>
      </c>
    </row>
    <row r="1958" spans="2:11" x14ac:dyDescent="0.25">
      <c r="B1958" t="s">
        <v>6</v>
      </c>
      <c r="C1958" t="s">
        <v>308</v>
      </c>
      <c r="D1958">
        <v>703234</v>
      </c>
      <c r="E1958" t="s">
        <v>154</v>
      </c>
      <c r="F1958" t="s">
        <v>21</v>
      </c>
      <c r="G1958" t="s">
        <v>71</v>
      </c>
      <c r="H1958" t="s">
        <v>153</v>
      </c>
      <c r="J1958">
        <v>0</v>
      </c>
      <c r="K1958">
        <v>0</v>
      </c>
    </row>
    <row r="1959" spans="2:11" x14ac:dyDescent="0.25">
      <c r="B1959" t="s">
        <v>6</v>
      </c>
      <c r="C1959" t="s">
        <v>308</v>
      </c>
      <c r="D1959">
        <v>703235</v>
      </c>
      <c r="E1959" t="s">
        <v>155</v>
      </c>
      <c r="F1959" t="s">
        <v>21</v>
      </c>
      <c r="G1959" t="s">
        <v>71</v>
      </c>
      <c r="H1959" t="s">
        <v>153</v>
      </c>
      <c r="J1959">
        <v>0</v>
      </c>
      <c r="K1959">
        <v>0</v>
      </c>
    </row>
    <row r="1960" spans="2:11" x14ac:dyDescent="0.25">
      <c r="B1960" t="s">
        <v>6</v>
      </c>
      <c r="C1960" t="s">
        <v>308</v>
      </c>
      <c r="D1960">
        <v>703236</v>
      </c>
      <c r="E1960" t="s">
        <v>156</v>
      </c>
      <c r="F1960" t="s">
        <v>21</v>
      </c>
      <c r="G1960" t="s">
        <v>76</v>
      </c>
      <c r="H1960" t="s">
        <v>77</v>
      </c>
      <c r="J1960">
        <v>0</v>
      </c>
      <c r="K1960">
        <v>0</v>
      </c>
    </row>
    <row r="1961" spans="2:11" x14ac:dyDescent="0.25">
      <c r="B1961" t="s">
        <v>6</v>
      </c>
      <c r="C1961" t="s">
        <v>308</v>
      </c>
      <c r="D1961">
        <v>703237</v>
      </c>
      <c r="E1961" t="s">
        <v>157</v>
      </c>
      <c r="F1961" t="s">
        <v>21</v>
      </c>
      <c r="G1961" t="s">
        <v>22</v>
      </c>
      <c r="H1961" t="s">
        <v>23</v>
      </c>
      <c r="J1961">
        <v>0</v>
      </c>
      <c r="K1961">
        <v>0</v>
      </c>
    </row>
    <row r="1962" spans="2:11" x14ac:dyDescent="0.25">
      <c r="B1962" t="s">
        <v>6</v>
      </c>
      <c r="C1962" t="s">
        <v>308</v>
      </c>
      <c r="D1962">
        <v>703238</v>
      </c>
      <c r="E1962" t="s">
        <v>158</v>
      </c>
      <c r="F1962" t="s">
        <v>21</v>
      </c>
      <c r="G1962" t="s">
        <v>61</v>
      </c>
      <c r="H1962" t="s">
        <v>68</v>
      </c>
      <c r="J1962">
        <v>0</v>
      </c>
      <c r="K1962">
        <v>0</v>
      </c>
    </row>
    <row r="1963" spans="2:11" x14ac:dyDescent="0.25">
      <c r="B1963" t="s">
        <v>6</v>
      </c>
      <c r="C1963" t="s">
        <v>308</v>
      </c>
      <c r="D1963">
        <v>703239</v>
      </c>
      <c r="E1963" t="s">
        <v>159</v>
      </c>
      <c r="F1963" t="s">
        <v>21</v>
      </c>
      <c r="G1963" t="s">
        <v>61</v>
      </c>
      <c r="H1963" t="s">
        <v>68</v>
      </c>
      <c r="J1963">
        <v>0</v>
      </c>
      <c r="K1963">
        <v>0</v>
      </c>
    </row>
    <row r="1964" spans="2:11" x14ac:dyDescent="0.25">
      <c r="B1964" t="s">
        <v>6</v>
      </c>
      <c r="C1964" t="s">
        <v>308</v>
      </c>
      <c r="D1964">
        <v>703240</v>
      </c>
      <c r="E1964" t="s">
        <v>160</v>
      </c>
      <c r="F1964" t="s">
        <v>21</v>
      </c>
      <c r="G1964" t="s">
        <v>61</v>
      </c>
      <c r="H1964" t="s">
        <v>68</v>
      </c>
      <c r="J1964">
        <v>0</v>
      </c>
      <c r="K1964">
        <v>0</v>
      </c>
    </row>
    <row r="1965" spans="2:11" x14ac:dyDescent="0.25">
      <c r="B1965" t="s">
        <v>6</v>
      </c>
      <c r="C1965" t="s">
        <v>308</v>
      </c>
      <c r="D1965">
        <v>703241</v>
      </c>
      <c r="E1965" t="s">
        <v>161</v>
      </c>
      <c r="F1965" t="s">
        <v>21</v>
      </c>
      <c r="G1965" t="s">
        <v>137</v>
      </c>
      <c r="H1965" t="s">
        <v>141</v>
      </c>
      <c r="J1965">
        <v>0</v>
      </c>
      <c r="K1965">
        <v>0</v>
      </c>
    </row>
    <row r="1966" spans="2:11" x14ac:dyDescent="0.25">
      <c r="B1966" t="s">
        <v>6</v>
      </c>
      <c r="C1966" t="s">
        <v>308</v>
      </c>
      <c r="D1966">
        <v>703242</v>
      </c>
      <c r="E1966" t="s">
        <v>162</v>
      </c>
      <c r="F1966" t="s">
        <v>21</v>
      </c>
      <c r="G1966" t="s">
        <v>137</v>
      </c>
      <c r="H1966" t="s">
        <v>141</v>
      </c>
      <c r="J1966">
        <v>0</v>
      </c>
      <c r="K1966">
        <v>0</v>
      </c>
    </row>
    <row r="1967" spans="2:11" x14ac:dyDescent="0.25">
      <c r="B1967" t="s">
        <v>6</v>
      </c>
      <c r="C1967" t="s">
        <v>308</v>
      </c>
      <c r="D1967">
        <v>703243</v>
      </c>
      <c r="E1967" t="s">
        <v>163</v>
      </c>
      <c r="F1967" t="s">
        <v>21</v>
      </c>
      <c r="G1967" t="s">
        <v>137</v>
      </c>
      <c r="H1967" t="s">
        <v>141</v>
      </c>
      <c r="J1967">
        <v>0</v>
      </c>
      <c r="K1967">
        <v>0</v>
      </c>
    </row>
    <row r="1968" spans="2:11" x14ac:dyDescent="0.25">
      <c r="B1968" t="s">
        <v>6</v>
      </c>
      <c r="C1968" t="s">
        <v>308</v>
      </c>
      <c r="D1968">
        <v>703244</v>
      </c>
      <c r="E1968" t="s">
        <v>164</v>
      </c>
      <c r="F1968" t="s">
        <v>21</v>
      </c>
      <c r="G1968" t="s">
        <v>71</v>
      </c>
      <c r="H1968" t="s">
        <v>88</v>
      </c>
      <c r="J1968">
        <v>0</v>
      </c>
      <c r="K1968">
        <v>0</v>
      </c>
    </row>
    <row r="1969" spans="2:11" x14ac:dyDescent="0.25">
      <c r="B1969" t="s">
        <v>6</v>
      </c>
      <c r="C1969" t="s">
        <v>308</v>
      </c>
      <c r="D1969">
        <v>703245</v>
      </c>
      <c r="E1969" t="s">
        <v>165</v>
      </c>
      <c r="F1969" t="s">
        <v>21</v>
      </c>
      <c r="G1969" t="s">
        <v>137</v>
      </c>
      <c r="H1969" t="s">
        <v>138</v>
      </c>
      <c r="J1969">
        <v>0</v>
      </c>
      <c r="K1969">
        <v>0</v>
      </c>
    </row>
    <row r="1970" spans="2:11" x14ac:dyDescent="0.25">
      <c r="B1970" t="s">
        <v>6</v>
      </c>
      <c r="C1970" t="s">
        <v>308</v>
      </c>
      <c r="D1970">
        <v>703246</v>
      </c>
      <c r="E1970" t="s">
        <v>166</v>
      </c>
      <c r="F1970" t="s">
        <v>21</v>
      </c>
      <c r="G1970" t="s">
        <v>137</v>
      </c>
      <c r="H1970" t="s">
        <v>138</v>
      </c>
      <c r="J1970">
        <v>0</v>
      </c>
      <c r="K1970">
        <v>0</v>
      </c>
    </row>
    <row r="1971" spans="2:11" x14ac:dyDescent="0.25">
      <c r="B1971" t="s">
        <v>6</v>
      </c>
      <c r="C1971" t="s">
        <v>308</v>
      </c>
      <c r="D1971">
        <v>703247</v>
      </c>
      <c r="E1971" t="s">
        <v>167</v>
      </c>
      <c r="F1971" t="s">
        <v>21</v>
      </c>
      <c r="G1971" t="s">
        <v>137</v>
      </c>
      <c r="H1971" t="s">
        <v>138</v>
      </c>
      <c r="J1971">
        <v>0</v>
      </c>
      <c r="K1971">
        <v>0</v>
      </c>
    </row>
    <row r="1972" spans="2:11" x14ac:dyDescent="0.25">
      <c r="B1972" t="s">
        <v>6</v>
      </c>
      <c r="C1972" t="s">
        <v>308</v>
      </c>
      <c r="D1972">
        <v>703248</v>
      </c>
      <c r="E1972" t="s">
        <v>168</v>
      </c>
      <c r="F1972" t="s">
        <v>21</v>
      </c>
      <c r="G1972" t="s">
        <v>137</v>
      </c>
      <c r="H1972" t="s">
        <v>141</v>
      </c>
      <c r="J1972">
        <v>0</v>
      </c>
      <c r="K1972">
        <v>0</v>
      </c>
    </row>
    <row r="1973" spans="2:11" x14ac:dyDescent="0.25">
      <c r="B1973" t="s">
        <v>6</v>
      </c>
      <c r="C1973" t="s">
        <v>308</v>
      </c>
      <c r="D1973">
        <v>703249</v>
      </c>
      <c r="E1973" t="s">
        <v>169</v>
      </c>
      <c r="F1973" t="s">
        <v>21</v>
      </c>
      <c r="G1973" t="s">
        <v>147</v>
      </c>
      <c r="H1973" t="s">
        <v>147</v>
      </c>
      <c r="J1973">
        <v>0</v>
      </c>
      <c r="K1973">
        <v>0</v>
      </c>
    </row>
    <row r="1974" spans="2:11" x14ac:dyDescent="0.25">
      <c r="B1974" t="s">
        <v>6</v>
      </c>
      <c r="C1974" t="s">
        <v>308</v>
      </c>
      <c r="D1974">
        <v>703250</v>
      </c>
      <c r="E1974" t="s">
        <v>170</v>
      </c>
      <c r="F1974" t="s">
        <v>21</v>
      </c>
      <c r="G1974" t="s">
        <v>71</v>
      </c>
      <c r="H1974" t="s">
        <v>171</v>
      </c>
      <c r="J1974">
        <v>0</v>
      </c>
      <c r="K1974">
        <v>0</v>
      </c>
    </row>
    <row r="1975" spans="2:11" x14ac:dyDescent="0.25">
      <c r="B1975" t="s">
        <v>6</v>
      </c>
      <c r="C1975" t="s">
        <v>308</v>
      </c>
      <c r="D1975">
        <v>703251</v>
      </c>
      <c r="E1975" t="s">
        <v>172</v>
      </c>
      <c r="F1975" t="s">
        <v>21</v>
      </c>
      <c r="G1975" t="s">
        <v>22</v>
      </c>
      <c r="H1975" t="s">
        <v>115</v>
      </c>
      <c r="J1975">
        <v>0</v>
      </c>
      <c r="K1975">
        <v>0</v>
      </c>
    </row>
    <row r="1976" spans="2:11" x14ac:dyDescent="0.25">
      <c r="B1976" t="s">
        <v>6</v>
      </c>
      <c r="C1976" t="s">
        <v>308</v>
      </c>
      <c r="D1976">
        <v>703252</v>
      </c>
      <c r="E1976" t="s">
        <v>173</v>
      </c>
      <c r="F1976" t="s">
        <v>21</v>
      </c>
      <c r="G1976" t="s">
        <v>22</v>
      </c>
      <c r="H1976" t="s">
        <v>115</v>
      </c>
      <c r="J1976">
        <v>0</v>
      </c>
      <c r="K1976">
        <v>0</v>
      </c>
    </row>
    <row r="1977" spans="2:11" x14ac:dyDescent="0.25">
      <c r="B1977" t="s">
        <v>6</v>
      </c>
      <c r="C1977" t="s">
        <v>308</v>
      </c>
      <c r="D1977">
        <v>703253</v>
      </c>
      <c r="E1977" t="s">
        <v>174</v>
      </c>
      <c r="F1977" t="s">
        <v>21</v>
      </c>
      <c r="G1977" t="s">
        <v>22</v>
      </c>
      <c r="H1977" t="s">
        <v>115</v>
      </c>
      <c r="J1977">
        <v>0</v>
      </c>
      <c r="K1977">
        <v>0</v>
      </c>
    </row>
    <row r="1978" spans="2:11" x14ac:dyDescent="0.25">
      <c r="B1978" t="s">
        <v>6</v>
      </c>
      <c r="C1978" t="s">
        <v>308</v>
      </c>
      <c r="D1978">
        <v>703254</v>
      </c>
      <c r="E1978" t="s">
        <v>175</v>
      </c>
      <c r="F1978" t="s">
        <v>21</v>
      </c>
      <c r="G1978" t="s">
        <v>22</v>
      </c>
      <c r="H1978" t="s">
        <v>115</v>
      </c>
      <c r="J1978">
        <v>0</v>
      </c>
      <c r="K1978">
        <v>0</v>
      </c>
    </row>
    <row r="1979" spans="2:11" x14ac:dyDescent="0.25">
      <c r="B1979" t="s">
        <v>6</v>
      </c>
      <c r="C1979" t="s">
        <v>308</v>
      </c>
      <c r="D1979">
        <v>703255</v>
      </c>
      <c r="E1979" t="s">
        <v>176</v>
      </c>
      <c r="F1979" t="s">
        <v>21</v>
      </c>
      <c r="G1979" t="s">
        <v>22</v>
      </c>
      <c r="H1979" t="s">
        <v>115</v>
      </c>
      <c r="J1979">
        <v>0</v>
      </c>
      <c r="K1979">
        <v>0</v>
      </c>
    </row>
    <row r="1980" spans="2:11" x14ac:dyDescent="0.25">
      <c r="B1980" t="s">
        <v>6</v>
      </c>
      <c r="C1980" t="s">
        <v>308</v>
      </c>
      <c r="D1980">
        <v>703257</v>
      </c>
      <c r="E1980" t="s">
        <v>177</v>
      </c>
      <c r="F1980" t="s">
        <v>21</v>
      </c>
      <c r="G1980" t="s">
        <v>147</v>
      </c>
      <c r="H1980" t="s">
        <v>147</v>
      </c>
      <c r="J1980">
        <v>0</v>
      </c>
      <c r="K1980">
        <v>0</v>
      </c>
    </row>
    <row r="1981" spans="2:11" x14ac:dyDescent="0.25">
      <c r="B1981" t="s">
        <v>6</v>
      </c>
      <c r="C1981" t="s">
        <v>308</v>
      </c>
      <c r="D1981">
        <v>703258</v>
      </c>
      <c r="E1981" t="s">
        <v>178</v>
      </c>
      <c r="F1981" t="s">
        <v>21</v>
      </c>
      <c r="G1981" t="s">
        <v>147</v>
      </c>
      <c r="H1981" t="s">
        <v>147</v>
      </c>
      <c r="J1981">
        <v>0</v>
      </c>
      <c r="K1981">
        <v>0</v>
      </c>
    </row>
    <row r="1982" spans="2:11" x14ac:dyDescent="0.25">
      <c r="B1982" t="s">
        <v>6</v>
      </c>
      <c r="C1982" t="s">
        <v>308</v>
      </c>
      <c r="D1982">
        <v>703260</v>
      </c>
      <c r="E1982" t="s">
        <v>179</v>
      </c>
      <c r="F1982" t="s">
        <v>21</v>
      </c>
      <c r="G1982" t="s">
        <v>76</v>
      </c>
      <c r="H1982" t="s">
        <v>77</v>
      </c>
      <c r="J1982">
        <v>0</v>
      </c>
      <c r="K1982">
        <v>0</v>
      </c>
    </row>
    <row r="1983" spans="2:11" x14ac:dyDescent="0.25">
      <c r="B1983" t="s">
        <v>6</v>
      </c>
      <c r="C1983" t="s">
        <v>308</v>
      </c>
      <c r="D1983">
        <v>703261</v>
      </c>
      <c r="E1983" t="s">
        <v>180</v>
      </c>
      <c r="F1983" t="s">
        <v>21</v>
      </c>
      <c r="G1983" t="s">
        <v>22</v>
      </c>
      <c r="H1983" t="s">
        <v>115</v>
      </c>
      <c r="J1983">
        <v>0</v>
      </c>
      <c r="K1983">
        <v>0</v>
      </c>
    </row>
    <row r="1984" spans="2:11" x14ac:dyDescent="0.25">
      <c r="B1984" t="s">
        <v>6</v>
      </c>
      <c r="C1984" t="s">
        <v>308</v>
      </c>
      <c r="D1984">
        <v>703262</v>
      </c>
      <c r="E1984" t="s">
        <v>181</v>
      </c>
      <c r="F1984" t="s">
        <v>21</v>
      </c>
      <c r="G1984" t="s">
        <v>22</v>
      </c>
      <c r="H1984" t="s">
        <v>23</v>
      </c>
      <c r="J1984">
        <v>0</v>
      </c>
      <c r="K1984">
        <v>0</v>
      </c>
    </row>
    <row r="1985" spans="2:11" x14ac:dyDescent="0.25">
      <c r="B1985" t="s">
        <v>6</v>
      </c>
      <c r="C1985" t="s">
        <v>308</v>
      </c>
      <c r="D1985">
        <v>703263</v>
      </c>
      <c r="E1985" t="s">
        <v>182</v>
      </c>
      <c r="F1985" t="s">
        <v>21</v>
      </c>
      <c r="G1985" t="s">
        <v>22</v>
      </c>
      <c r="H1985" t="s">
        <v>115</v>
      </c>
      <c r="J1985">
        <v>0</v>
      </c>
      <c r="K1985">
        <v>0</v>
      </c>
    </row>
    <row r="1986" spans="2:11" x14ac:dyDescent="0.25">
      <c r="B1986" t="s">
        <v>6</v>
      </c>
      <c r="C1986" t="s">
        <v>308</v>
      </c>
      <c r="D1986">
        <v>703264</v>
      </c>
      <c r="E1986" t="s">
        <v>183</v>
      </c>
      <c r="F1986" t="s">
        <v>21</v>
      </c>
      <c r="G1986" t="s">
        <v>22</v>
      </c>
      <c r="H1986" t="s">
        <v>115</v>
      </c>
      <c r="J1986">
        <v>0</v>
      </c>
      <c r="K1986">
        <v>0</v>
      </c>
    </row>
    <row r="1987" spans="2:11" x14ac:dyDescent="0.25">
      <c r="B1987" t="s">
        <v>6</v>
      </c>
      <c r="C1987" t="s">
        <v>308</v>
      </c>
      <c r="D1987">
        <v>703265</v>
      </c>
      <c r="E1987" t="s">
        <v>184</v>
      </c>
      <c r="F1987" t="s">
        <v>21</v>
      </c>
      <c r="G1987" t="s">
        <v>22</v>
      </c>
      <c r="H1987" t="s">
        <v>115</v>
      </c>
      <c r="J1987">
        <v>0</v>
      </c>
      <c r="K1987">
        <v>0</v>
      </c>
    </row>
    <row r="1988" spans="2:11" x14ac:dyDescent="0.25">
      <c r="B1988" t="s">
        <v>6</v>
      </c>
      <c r="C1988" t="s">
        <v>308</v>
      </c>
      <c r="D1988">
        <v>703266</v>
      </c>
      <c r="E1988" t="s">
        <v>185</v>
      </c>
      <c r="F1988" t="s">
        <v>21</v>
      </c>
      <c r="G1988" t="s">
        <v>71</v>
      </c>
      <c r="H1988" t="s">
        <v>186</v>
      </c>
      <c r="J1988">
        <v>0</v>
      </c>
      <c r="K1988">
        <v>0</v>
      </c>
    </row>
    <row r="1989" spans="2:11" x14ac:dyDescent="0.25">
      <c r="B1989" t="s">
        <v>6</v>
      </c>
      <c r="C1989" t="s">
        <v>308</v>
      </c>
      <c r="D1989">
        <v>703267</v>
      </c>
      <c r="E1989" t="s">
        <v>187</v>
      </c>
      <c r="F1989" t="s">
        <v>21</v>
      </c>
      <c r="G1989" t="s">
        <v>71</v>
      </c>
      <c r="H1989" t="s">
        <v>88</v>
      </c>
      <c r="J1989">
        <v>0</v>
      </c>
      <c r="K1989">
        <v>0</v>
      </c>
    </row>
    <row r="1990" spans="2:11" x14ac:dyDescent="0.25">
      <c r="B1990" t="s">
        <v>6</v>
      </c>
      <c r="C1990" t="s">
        <v>308</v>
      </c>
      <c r="D1990">
        <v>703268</v>
      </c>
      <c r="E1990" t="s">
        <v>188</v>
      </c>
      <c r="F1990" t="s">
        <v>21</v>
      </c>
      <c r="G1990" t="s">
        <v>147</v>
      </c>
      <c r="H1990" t="s">
        <v>147</v>
      </c>
      <c r="J1990">
        <v>0</v>
      </c>
      <c r="K1990">
        <v>0</v>
      </c>
    </row>
    <row r="1991" spans="2:11" x14ac:dyDescent="0.25">
      <c r="B1991" t="s">
        <v>6</v>
      </c>
      <c r="C1991" t="s">
        <v>308</v>
      </c>
      <c r="D1991">
        <v>703269</v>
      </c>
      <c r="E1991" t="s">
        <v>189</v>
      </c>
      <c r="F1991" t="s">
        <v>21</v>
      </c>
      <c r="G1991" t="s">
        <v>147</v>
      </c>
      <c r="H1991" t="s">
        <v>147</v>
      </c>
      <c r="J1991">
        <v>0</v>
      </c>
      <c r="K1991">
        <v>0</v>
      </c>
    </row>
    <row r="1992" spans="2:11" x14ac:dyDescent="0.25">
      <c r="B1992" t="s">
        <v>6</v>
      </c>
      <c r="C1992" t="s">
        <v>308</v>
      </c>
      <c r="D1992">
        <v>703270</v>
      </c>
      <c r="E1992" t="s">
        <v>190</v>
      </c>
      <c r="F1992" t="s">
        <v>21</v>
      </c>
      <c r="G1992" t="s">
        <v>137</v>
      </c>
      <c r="H1992" t="s">
        <v>141</v>
      </c>
      <c r="J1992">
        <v>0</v>
      </c>
      <c r="K1992">
        <v>0</v>
      </c>
    </row>
    <row r="1993" spans="2:11" x14ac:dyDescent="0.25">
      <c r="B1993" t="s">
        <v>6</v>
      </c>
      <c r="C1993" t="s">
        <v>308</v>
      </c>
      <c r="D1993">
        <v>703271</v>
      </c>
      <c r="E1993" t="s">
        <v>191</v>
      </c>
      <c r="F1993" t="s">
        <v>21</v>
      </c>
      <c r="G1993" t="s">
        <v>22</v>
      </c>
      <c r="H1993" t="s">
        <v>115</v>
      </c>
      <c r="J1993">
        <v>0</v>
      </c>
      <c r="K1993">
        <v>0</v>
      </c>
    </row>
    <row r="1994" spans="2:11" x14ac:dyDescent="0.25">
      <c r="B1994" t="s">
        <v>6</v>
      </c>
      <c r="C1994" t="s">
        <v>308</v>
      </c>
      <c r="D1994">
        <v>703272</v>
      </c>
      <c r="E1994" t="s">
        <v>192</v>
      </c>
      <c r="F1994" t="s">
        <v>21</v>
      </c>
      <c r="G1994" t="s">
        <v>22</v>
      </c>
      <c r="H1994" t="s">
        <v>23</v>
      </c>
      <c r="J1994">
        <v>0</v>
      </c>
      <c r="K1994">
        <v>0</v>
      </c>
    </row>
    <row r="1995" spans="2:11" x14ac:dyDescent="0.25">
      <c r="B1995" t="s">
        <v>6</v>
      </c>
      <c r="C1995" t="s">
        <v>308</v>
      </c>
      <c r="D1995">
        <v>703273</v>
      </c>
      <c r="E1995" t="s">
        <v>193</v>
      </c>
      <c r="F1995" t="s">
        <v>21</v>
      </c>
      <c r="G1995" t="s">
        <v>147</v>
      </c>
      <c r="H1995" t="s">
        <v>147</v>
      </c>
      <c r="J1995">
        <v>0</v>
      </c>
      <c r="K1995">
        <v>0</v>
      </c>
    </row>
    <row r="1996" spans="2:11" x14ac:dyDescent="0.25">
      <c r="B1996" t="s">
        <v>6</v>
      </c>
      <c r="C1996" t="s">
        <v>308</v>
      </c>
      <c r="D1996">
        <v>703274</v>
      </c>
      <c r="E1996" t="s">
        <v>194</v>
      </c>
      <c r="F1996" t="s">
        <v>21</v>
      </c>
      <c r="G1996" t="s">
        <v>147</v>
      </c>
      <c r="H1996" t="s">
        <v>147</v>
      </c>
      <c r="J1996">
        <v>0</v>
      </c>
      <c r="K1996">
        <v>0</v>
      </c>
    </row>
    <row r="1997" spans="2:11" x14ac:dyDescent="0.25">
      <c r="B1997" t="s">
        <v>6</v>
      </c>
      <c r="C1997" t="s">
        <v>308</v>
      </c>
      <c r="D1997">
        <v>703275</v>
      </c>
      <c r="E1997" t="s">
        <v>195</v>
      </c>
      <c r="F1997" t="s">
        <v>21</v>
      </c>
      <c r="G1997" t="s">
        <v>137</v>
      </c>
      <c r="H1997" t="s">
        <v>138</v>
      </c>
      <c r="J1997">
        <v>0</v>
      </c>
      <c r="K1997">
        <v>0</v>
      </c>
    </row>
    <row r="1998" spans="2:11" x14ac:dyDescent="0.25">
      <c r="B1998" t="s">
        <v>6</v>
      </c>
      <c r="C1998" t="s">
        <v>308</v>
      </c>
      <c r="D1998">
        <v>703280</v>
      </c>
      <c r="E1998" t="s">
        <v>196</v>
      </c>
      <c r="F1998" t="s">
        <v>21</v>
      </c>
      <c r="G1998" t="s">
        <v>71</v>
      </c>
      <c r="H1998" t="s">
        <v>171</v>
      </c>
      <c r="J1998">
        <v>0</v>
      </c>
      <c r="K1998">
        <v>0</v>
      </c>
    </row>
    <row r="1999" spans="2:11" x14ac:dyDescent="0.25">
      <c r="B1999" t="s">
        <v>6</v>
      </c>
      <c r="C1999" t="s">
        <v>308</v>
      </c>
      <c r="D1999">
        <v>703281</v>
      </c>
      <c r="E1999" t="s">
        <v>197</v>
      </c>
      <c r="F1999" t="s">
        <v>21</v>
      </c>
      <c r="G1999" t="s">
        <v>76</v>
      </c>
      <c r="H1999" t="s">
        <v>77</v>
      </c>
      <c r="J1999">
        <v>0</v>
      </c>
      <c r="K1999">
        <v>0</v>
      </c>
    </row>
    <row r="2000" spans="2:11" x14ac:dyDescent="0.25">
      <c r="B2000" t="s">
        <v>6</v>
      </c>
      <c r="C2000" t="s">
        <v>308</v>
      </c>
      <c r="D2000">
        <v>703282</v>
      </c>
      <c r="E2000" t="s">
        <v>198</v>
      </c>
      <c r="F2000" t="s">
        <v>21</v>
      </c>
      <c r="G2000" t="s">
        <v>76</v>
      </c>
      <c r="H2000" t="s">
        <v>77</v>
      </c>
      <c r="J2000">
        <v>0</v>
      </c>
      <c r="K2000">
        <v>0</v>
      </c>
    </row>
    <row r="2001" spans="2:11" x14ac:dyDescent="0.25">
      <c r="B2001" t="s">
        <v>6</v>
      </c>
      <c r="C2001" t="s">
        <v>308</v>
      </c>
      <c r="D2001">
        <v>703283</v>
      </c>
      <c r="E2001" t="s">
        <v>199</v>
      </c>
      <c r="F2001" t="s">
        <v>21</v>
      </c>
      <c r="G2001" t="s">
        <v>61</v>
      </c>
      <c r="H2001" t="s">
        <v>68</v>
      </c>
      <c r="J2001">
        <v>0</v>
      </c>
      <c r="K2001">
        <v>0</v>
      </c>
    </row>
    <row r="2002" spans="2:11" x14ac:dyDescent="0.25">
      <c r="B2002" t="s">
        <v>6</v>
      </c>
      <c r="C2002" t="s">
        <v>308</v>
      </c>
      <c r="D2002">
        <v>703310</v>
      </c>
      <c r="E2002" t="s">
        <v>200</v>
      </c>
      <c r="F2002" t="s">
        <v>21</v>
      </c>
      <c r="G2002" t="s">
        <v>22</v>
      </c>
      <c r="H2002" t="s">
        <v>23</v>
      </c>
      <c r="J2002">
        <v>0</v>
      </c>
      <c r="K2002">
        <v>0</v>
      </c>
    </row>
    <row r="2003" spans="2:11" x14ac:dyDescent="0.25">
      <c r="B2003" t="s">
        <v>6</v>
      </c>
      <c r="C2003" t="s">
        <v>308</v>
      </c>
      <c r="D2003">
        <v>703311</v>
      </c>
      <c r="E2003" t="s">
        <v>201</v>
      </c>
      <c r="F2003" t="s">
        <v>21</v>
      </c>
      <c r="G2003" t="s">
        <v>71</v>
      </c>
      <c r="H2003" t="s">
        <v>171</v>
      </c>
      <c r="J2003">
        <v>0</v>
      </c>
      <c r="K2003">
        <v>0</v>
      </c>
    </row>
    <row r="2004" spans="2:11" x14ac:dyDescent="0.25">
      <c r="B2004" t="s">
        <v>6</v>
      </c>
      <c r="C2004" t="s">
        <v>308</v>
      </c>
      <c r="D2004">
        <v>703312</v>
      </c>
      <c r="E2004" t="s">
        <v>202</v>
      </c>
      <c r="F2004" t="s">
        <v>21</v>
      </c>
      <c r="G2004" t="s">
        <v>76</v>
      </c>
      <c r="H2004" t="s">
        <v>77</v>
      </c>
      <c r="J2004">
        <v>0</v>
      </c>
      <c r="K2004">
        <v>0</v>
      </c>
    </row>
    <row r="2005" spans="2:11" x14ac:dyDescent="0.25">
      <c r="B2005" t="s">
        <v>6</v>
      </c>
      <c r="C2005" t="s">
        <v>308</v>
      </c>
      <c r="D2005">
        <v>703313</v>
      </c>
      <c r="E2005" t="s">
        <v>203</v>
      </c>
      <c r="F2005" t="s">
        <v>21</v>
      </c>
      <c r="G2005" t="s">
        <v>76</v>
      </c>
      <c r="H2005" t="s">
        <v>77</v>
      </c>
      <c r="J2005">
        <v>0</v>
      </c>
      <c r="K2005">
        <v>0</v>
      </c>
    </row>
    <row r="2006" spans="2:11" x14ac:dyDescent="0.25">
      <c r="B2006" t="s">
        <v>6</v>
      </c>
      <c r="C2006" t="s">
        <v>308</v>
      </c>
      <c r="D2006">
        <v>703314</v>
      </c>
      <c r="E2006" t="s">
        <v>204</v>
      </c>
      <c r="F2006" t="s">
        <v>21</v>
      </c>
      <c r="G2006" t="s">
        <v>76</v>
      </c>
      <c r="H2006" t="s">
        <v>77</v>
      </c>
      <c r="J2006">
        <v>0</v>
      </c>
      <c r="K2006">
        <v>0</v>
      </c>
    </row>
    <row r="2007" spans="2:11" x14ac:dyDescent="0.25">
      <c r="B2007" t="s">
        <v>6</v>
      </c>
      <c r="C2007" t="s">
        <v>308</v>
      </c>
      <c r="D2007">
        <v>703315</v>
      </c>
      <c r="E2007" t="s">
        <v>205</v>
      </c>
      <c r="F2007" t="s">
        <v>21</v>
      </c>
      <c r="G2007" t="s">
        <v>76</v>
      </c>
      <c r="H2007" t="s">
        <v>135</v>
      </c>
      <c r="J2007">
        <v>0</v>
      </c>
      <c r="K2007">
        <v>0</v>
      </c>
    </row>
    <row r="2008" spans="2:11" x14ac:dyDescent="0.25">
      <c r="B2008" t="s">
        <v>6</v>
      </c>
      <c r="C2008" t="s">
        <v>308</v>
      </c>
      <c r="D2008">
        <v>703316</v>
      </c>
      <c r="E2008" t="s">
        <v>206</v>
      </c>
      <c r="F2008" t="s">
        <v>21</v>
      </c>
      <c r="G2008" t="s">
        <v>76</v>
      </c>
      <c r="H2008" t="s">
        <v>77</v>
      </c>
      <c r="J2008">
        <v>0</v>
      </c>
      <c r="K2008">
        <v>0</v>
      </c>
    </row>
    <row r="2009" spans="2:11" x14ac:dyDescent="0.25">
      <c r="B2009" t="s">
        <v>6</v>
      </c>
      <c r="C2009" t="s">
        <v>308</v>
      </c>
      <c r="D2009">
        <v>703317</v>
      </c>
      <c r="E2009" t="s">
        <v>207</v>
      </c>
      <c r="F2009" t="s">
        <v>21</v>
      </c>
      <c r="G2009" t="s">
        <v>76</v>
      </c>
      <c r="H2009" t="s">
        <v>77</v>
      </c>
      <c r="J2009">
        <v>0</v>
      </c>
      <c r="K2009">
        <v>0</v>
      </c>
    </row>
    <row r="2010" spans="2:11" x14ac:dyDescent="0.25">
      <c r="B2010" t="s">
        <v>6</v>
      </c>
      <c r="C2010" t="s">
        <v>308</v>
      </c>
      <c r="D2010">
        <v>703318</v>
      </c>
      <c r="E2010" t="s">
        <v>208</v>
      </c>
      <c r="F2010" t="s">
        <v>21</v>
      </c>
      <c r="G2010" t="s">
        <v>71</v>
      </c>
      <c r="H2010" t="s">
        <v>209</v>
      </c>
      <c r="J2010">
        <v>0</v>
      </c>
      <c r="K2010">
        <v>0</v>
      </c>
    </row>
    <row r="2011" spans="2:11" x14ac:dyDescent="0.25">
      <c r="B2011" t="s">
        <v>6</v>
      </c>
      <c r="C2011" t="s">
        <v>308</v>
      </c>
      <c r="D2011">
        <v>703319</v>
      </c>
      <c r="E2011" t="s">
        <v>210</v>
      </c>
      <c r="F2011" t="s">
        <v>21</v>
      </c>
      <c r="G2011" t="s">
        <v>61</v>
      </c>
      <c r="H2011" t="s">
        <v>79</v>
      </c>
      <c r="J2011">
        <v>0</v>
      </c>
      <c r="K2011">
        <v>0</v>
      </c>
    </row>
    <row r="2012" spans="2:11" x14ac:dyDescent="0.25">
      <c r="B2012" t="s">
        <v>6</v>
      </c>
      <c r="C2012" t="s">
        <v>308</v>
      </c>
      <c r="D2012">
        <v>703320</v>
      </c>
      <c r="E2012" t="s">
        <v>211</v>
      </c>
      <c r="F2012" t="s">
        <v>21</v>
      </c>
      <c r="G2012" t="s">
        <v>71</v>
      </c>
      <c r="H2012" t="s">
        <v>135</v>
      </c>
      <c r="J2012">
        <v>0</v>
      </c>
      <c r="K2012">
        <v>0</v>
      </c>
    </row>
    <row r="2013" spans="2:11" x14ac:dyDescent="0.25">
      <c r="B2013" t="s">
        <v>6</v>
      </c>
      <c r="C2013" t="s">
        <v>308</v>
      </c>
      <c r="D2013">
        <v>703321</v>
      </c>
      <c r="E2013" t="s">
        <v>212</v>
      </c>
      <c r="F2013" t="s">
        <v>21</v>
      </c>
      <c r="G2013" t="s">
        <v>22</v>
      </c>
      <c r="H2013" t="s">
        <v>23</v>
      </c>
      <c r="J2013">
        <v>0</v>
      </c>
      <c r="K2013">
        <v>0</v>
      </c>
    </row>
    <row r="2014" spans="2:11" x14ac:dyDescent="0.25">
      <c r="B2014" t="s">
        <v>6</v>
      </c>
      <c r="C2014" t="s">
        <v>308</v>
      </c>
      <c r="D2014">
        <v>703322</v>
      </c>
      <c r="E2014" t="s">
        <v>213</v>
      </c>
      <c r="F2014" t="s">
        <v>21</v>
      </c>
      <c r="G2014" t="s">
        <v>22</v>
      </c>
      <c r="H2014" t="s">
        <v>23</v>
      </c>
      <c r="J2014">
        <v>0</v>
      </c>
      <c r="K2014">
        <v>0</v>
      </c>
    </row>
    <row r="2015" spans="2:11" x14ac:dyDescent="0.25">
      <c r="B2015" t="s">
        <v>6</v>
      </c>
      <c r="C2015" t="s">
        <v>308</v>
      </c>
      <c r="D2015">
        <v>703323</v>
      </c>
      <c r="E2015" t="s">
        <v>214</v>
      </c>
      <c r="F2015" t="s">
        <v>21</v>
      </c>
      <c r="G2015" t="s">
        <v>22</v>
      </c>
      <c r="H2015" t="s">
        <v>23</v>
      </c>
      <c r="J2015">
        <v>0</v>
      </c>
      <c r="K2015">
        <v>0</v>
      </c>
    </row>
    <row r="2016" spans="2:11" x14ac:dyDescent="0.25">
      <c r="B2016" t="s">
        <v>6</v>
      </c>
      <c r="C2016" t="s">
        <v>308</v>
      </c>
      <c r="D2016">
        <v>703324</v>
      </c>
      <c r="E2016" t="s">
        <v>215</v>
      </c>
      <c r="F2016" t="s">
        <v>21</v>
      </c>
      <c r="G2016" t="s">
        <v>22</v>
      </c>
      <c r="H2016" t="s">
        <v>23</v>
      </c>
      <c r="J2016">
        <v>0</v>
      </c>
      <c r="K2016">
        <v>0</v>
      </c>
    </row>
    <row r="2017" spans="2:11" x14ac:dyDescent="0.25">
      <c r="B2017" t="s">
        <v>6</v>
      </c>
      <c r="C2017" t="s">
        <v>308</v>
      </c>
      <c r="D2017">
        <v>703325</v>
      </c>
      <c r="E2017" t="s">
        <v>216</v>
      </c>
      <c r="F2017" t="s">
        <v>21</v>
      </c>
      <c r="G2017" t="s">
        <v>22</v>
      </c>
      <c r="H2017" t="s">
        <v>23</v>
      </c>
      <c r="J2017">
        <v>0</v>
      </c>
      <c r="K2017">
        <v>0</v>
      </c>
    </row>
    <row r="2018" spans="2:11" x14ac:dyDescent="0.25">
      <c r="B2018" t="s">
        <v>6</v>
      </c>
      <c r="C2018" t="s">
        <v>308</v>
      </c>
      <c r="D2018">
        <v>703326</v>
      </c>
      <c r="E2018" t="s">
        <v>217</v>
      </c>
      <c r="F2018" t="s">
        <v>21</v>
      </c>
      <c r="G2018" t="s">
        <v>22</v>
      </c>
      <c r="H2018" t="s">
        <v>23</v>
      </c>
      <c r="J2018">
        <v>0</v>
      </c>
      <c r="K2018">
        <v>0</v>
      </c>
    </row>
    <row r="2019" spans="2:11" x14ac:dyDescent="0.25">
      <c r="B2019" t="s">
        <v>6</v>
      </c>
      <c r="C2019" t="s">
        <v>308</v>
      </c>
      <c r="D2019">
        <v>703327</v>
      </c>
      <c r="E2019" t="s">
        <v>218</v>
      </c>
      <c r="F2019" t="s">
        <v>21</v>
      </c>
      <c r="G2019" t="s">
        <v>76</v>
      </c>
      <c r="H2019" t="s">
        <v>77</v>
      </c>
      <c r="J2019">
        <v>0</v>
      </c>
      <c r="K2019">
        <v>0</v>
      </c>
    </row>
    <row r="2020" spans="2:11" x14ac:dyDescent="0.25">
      <c r="B2020" t="s">
        <v>6</v>
      </c>
      <c r="C2020" t="s">
        <v>308</v>
      </c>
      <c r="D2020">
        <v>703328</v>
      </c>
      <c r="E2020" t="s">
        <v>219</v>
      </c>
      <c r="F2020" t="s">
        <v>21</v>
      </c>
      <c r="G2020" t="s">
        <v>22</v>
      </c>
      <c r="H2020" t="s">
        <v>23</v>
      </c>
      <c r="J2020">
        <v>0</v>
      </c>
      <c r="K2020">
        <v>0</v>
      </c>
    </row>
    <row r="2021" spans="2:11" x14ac:dyDescent="0.25">
      <c r="B2021" t="s">
        <v>6</v>
      </c>
      <c r="C2021" t="s">
        <v>308</v>
      </c>
      <c r="D2021">
        <v>703329</v>
      </c>
      <c r="E2021" t="s">
        <v>220</v>
      </c>
      <c r="F2021" t="s">
        <v>21</v>
      </c>
      <c r="G2021" t="s">
        <v>22</v>
      </c>
      <c r="H2021" t="s">
        <v>23</v>
      </c>
      <c r="J2021">
        <v>0</v>
      </c>
      <c r="K2021">
        <v>0</v>
      </c>
    </row>
    <row r="2022" spans="2:11" x14ac:dyDescent="0.25">
      <c r="B2022" t="s">
        <v>6</v>
      </c>
      <c r="C2022" t="s">
        <v>308</v>
      </c>
      <c r="D2022">
        <v>703330</v>
      </c>
      <c r="E2022" t="s">
        <v>221</v>
      </c>
      <c r="F2022" t="s">
        <v>21</v>
      </c>
      <c r="G2022" t="s">
        <v>22</v>
      </c>
      <c r="H2022" t="s">
        <v>23</v>
      </c>
      <c r="J2022">
        <v>0</v>
      </c>
      <c r="K2022">
        <v>0</v>
      </c>
    </row>
    <row r="2023" spans="2:11" x14ac:dyDescent="0.25">
      <c r="B2023" t="s">
        <v>6</v>
      </c>
      <c r="C2023" t="s">
        <v>308</v>
      </c>
      <c r="D2023">
        <v>703340</v>
      </c>
      <c r="E2023" t="s">
        <v>222</v>
      </c>
      <c r="F2023" t="s">
        <v>21</v>
      </c>
      <c r="G2023" t="s">
        <v>61</v>
      </c>
      <c r="H2023" t="s">
        <v>68</v>
      </c>
      <c r="J2023">
        <v>0</v>
      </c>
      <c r="K2023">
        <v>0</v>
      </c>
    </row>
    <row r="2024" spans="2:11" x14ac:dyDescent="0.25">
      <c r="B2024" t="s">
        <v>6</v>
      </c>
      <c r="C2024" t="s">
        <v>308</v>
      </c>
      <c r="D2024">
        <v>703350</v>
      </c>
      <c r="E2024" t="s">
        <v>223</v>
      </c>
      <c r="F2024" t="s">
        <v>21</v>
      </c>
      <c r="G2024" t="s">
        <v>22</v>
      </c>
      <c r="H2024" t="s">
        <v>23</v>
      </c>
      <c r="J2024">
        <v>0</v>
      </c>
      <c r="K2024">
        <v>0</v>
      </c>
    </row>
    <row r="2025" spans="2:11" x14ac:dyDescent="0.25">
      <c r="B2025" t="s">
        <v>6</v>
      </c>
      <c r="C2025" t="s">
        <v>308</v>
      </c>
      <c r="D2025">
        <v>703351</v>
      </c>
      <c r="E2025" t="s">
        <v>224</v>
      </c>
      <c r="F2025" t="s">
        <v>21</v>
      </c>
      <c r="G2025" t="s">
        <v>22</v>
      </c>
      <c r="H2025" t="s">
        <v>23</v>
      </c>
      <c r="J2025">
        <v>0</v>
      </c>
      <c r="K2025">
        <v>0</v>
      </c>
    </row>
    <row r="2026" spans="2:11" x14ac:dyDescent="0.25">
      <c r="B2026" t="s">
        <v>6</v>
      </c>
      <c r="C2026" t="s">
        <v>308</v>
      </c>
      <c r="D2026">
        <v>703352</v>
      </c>
      <c r="E2026" t="s">
        <v>225</v>
      </c>
      <c r="F2026" t="s">
        <v>21</v>
      </c>
      <c r="G2026" t="s">
        <v>22</v>
      </c>
      <c r="H2026" t="s">
        <v>23</v>
      </c>
      <c r="J2026">
        <v>0</v>
      </c>
      <c r="K2026">
        <v>0</v>
      </c>
    </row>
    <row r="2027" spans="2:11" x14ac:dyDescent="0.25">
      <c r="B2027" t="s">
        <v>6</v>
      </c>
      <c r="C2027" t="s">
        <v>308</v>
      </c>
      <c r="D2027">
        <v>703360</v>
      </c>
      <c r="E2027" t="s">
        <v>226</v>
      </c>
      <c r="F2027" t="s">
        <v>21</v>
      </c>
      <c r="G2027" t="s">
        <v>22</v>
      </c>
      <c r="H2027" t="s">
        <v>23</v>
      </c>
      <c r="J2027">
        <v>0</v>
      </c>
      <c r="K2027">
        <v>0</v>
      </c>
    </row>
    <row r="2028" spans="2:11" x14ac:dyDescent="0.25">
      <c r="B2028" t="s">
        <v>6</v>
      </c>
      <c r="C2028" t="s">
        <v>308</v>
      </c>
      <c r="D2028">
        <v>703370</v>
      </c>
      <c r="E2028" t="s">
        <v>227</v>
      </c>
      <c r="F2028" t="s">
        <v>21</v>
      </c>
      <c r="G2028" t="s">
        <v>22</v>
      </c>
      <c r="H2028" t="s">
        <v>23</v>
      </c>
      <c r="J2028">
        <v>0</v>
      </c>
      <c r="K2028">
        <v>0</v>
      </c>
    </row>
    <row r="2029" spans="2:11" x14ac:dyDescent="0.25">
      <c r="B2029" t="s">
        <v>6</v>
      </c>
      <c r="C2029" t="s">
        <v>308</v>
      </c>
      <c r="D2029">
        <v>703410</v>
      </c>
      <c r="E2029" t="s">
        <v>228</v>
      </c>
      <c r="F2029" t="s">
        <v>21</v>
      </c>
      <c r="G2029" t="s">
        <v>22</v>
      </c>
      <c r="H2029" t="s">
        <v>23</v>
      </c>
      <c r="J2029">
        <v>0</v>
      </c>
      <c r="K2029">
        <v>0</v>
      </c>
    </row>
    <row r="2030" spans="2:11" x14ac:dyDescent="0.25">
      <c r="B2030" t="s">
        <v>6</v>
      </c>
      <c r="C2030" t="s">
        <v>308</v>
      </c>
      <c r="D2030">
        <v>703411</v>
      </c>
      <c r="E2030" t="s">
        <v>229</v>
      </c>
      <c r="F2030" t="s">
        <v>21</v>
      </c>
      <c r="G2030" t="s">
        <v>22</v>
      </c>
      <c r="H2030" t="s">
        <v>23</v>
      </c>
      <c r="J2030">
        <v>0</v>
      </c>
      <c r="K2030">
        <v>0</v>
      </c>
    </row>
    <row r="2031" spans="2:11" x14ac:dyDescent="0.25">
      <c r="B2031" t="s">
        <v>6</v>
      </c>
      <c r="C2031" t="s">
        <v>308</v>
      </c>
      <c r="D2031">
        <v>703412</v>
      </c>
      <c r="E2031" t="s">
        <v>230</v>
      </c>
      <c r="F2031" t="s">
        <v>21</v>
      </c>
      <c r="G2031" t="s">
        <v>22</v>
      </c>
      <c r="H2031" t="s">
        <v>23</v>
      </c>
      <c r="J2031">
        <v>0</v>
      </c>
      <c r="K2031">
        <v>0</v>
      </c>
    </row>
    <row r="2032" spans="2:11" x14ac:dyDescent="0.25">
      <c r="B2032" t="s">
        <v>6</v>
      </c>
      <c r="C2032" t="s">
        <v>308</v>
      </c>
      <c r="D2032">
        <v>703420</v>
      </c>
      <c r="E2032" t="s">
        <v>231</v>
      </c>
      <c r="F2032" t="s">
        <v>21</v>
      </c>
      <c r="G2032" t="s">
        <v>71</v>
      </c>
      <c r="H2032" t="s">
        <v>171</v>
      </c>
      <c r="J2032">
        <v>0</v>
      </c>
      <c r="K2032">
        <v>0</v>
      </c>
    </row>
    <row r="2033" spans="2:11" x14ac:dyDescent="0.25">
      <c r="B2033" t="s">
        <v>6</v>
      </c>
      <c r="C2033" t="s">
        <v>308</v>
      </c>
      <c r="D2033">
        <v>703421</v>
      </c>
      <c r="E2033" t="s">
        <v>232</v>
      </c>
      <c r="F2033" t="s">
        <v>21</v>
      </c>
      <c r="G2033" t="s">
        <v>22</v>
      </c>
      <c r="H2033" t="s">
        <v>23</v>
      </c>
      <c r="J2033">
        <v>0</v>
      </c>
      <c r="K2033">
        <v>0</v>
      </c>
    </row>
    <row r="2034" spans="2:11" x14ac:dyDescent="0.25">
      <c r="B2034" t="s">
        <v>6</v>
      </c>
      <c r="C2034" t="s">
        <v>308</v>
      </c>
      <c r="D2034">
        <v>703422</v>
      </c>
      <c r="E2034" t="s">
        <v>233</v>
      </c>
      <c r="F2034" t="s">
        <v>21</v>
      </c>
      <c r="G2034" t="s">
        <v>76</v>
      </c>
      <c r="H2034" t="s">
        <v>77</v>
      </c>
      <c r="J2034">
        <v>0</v>
      </c>
      <c r="K2034">
        <v>0</v>
      </c>
    </row>
    <row r="2035" spans="2:11" x14ac:dyDescent="0.25">
      <c r="B2035" t="s">
        <v>6</v>
      </c>
      <c r="C2035" t="s">
        <v>308</v>
      </c>
      <c r="D2035">
        <v>703423</v>
      </c>
      <c r="E2035" t="s">
        <v>234</v>
      </c>
      <c r="F2035" t="s">
        <v>21</v>
      </c>
      <c r="G2035" t="s">
        <v>71</v>
      </c>
      <c r="H2035" t="s">
        <v>88</v>
      </c>
      <c r="J2035">
        <v>0</v>
      </c>
      <c r="K2035">
        <v>0</v>
      </c>
    </row>
    <row r="2036" spans="2:11" x14ac:dyDescent="0.25">
      <c r="B2036" t="s">
        <v>6</v>
      </c>
      <c r="C2036" t="s">
        <v>308</v>
      </c>
      <c r="D2036">
        <v>703424</v>
      </c>
      <c r="E2036" t="s">
        <v>235</v>
      </c>
      <c r="F2036" t="s">
        <v>21</v>
      </c>
      <c r="G2036" t="s">
        <v>71</v>
      </c>
      <c r="H2036" t="s">
        <v>88</v>
      </c>
      <c r="J2036">
        <v>0</v>
      </c>
      <c r="K2036">
        <v>0</v>
      </c>
    </row>
    <row r="2037" spans="2:11" x14ac:dyDescent="0.25">
      <c r="B2037" t="s">
        <v>6</v>
      </c>
      <c r="C2037" t="s">
        <v>308</v>
      </c>
      <c r="D2037">
        <v>703425</v>
      </c>
      <c r="E2037" t="s">
        <v>236</v>
      </c>
      <c r="F2037" t="s">
        <v>21</v>
      </c>
      <c r="G2037" t="s">
        <v>76</v>
      </c>
      <c r="H2037" t="s">
        <v>77</v>
      </c>
      <c r="J2037">
        <v>0</v>
      </c>
      <c r="K2037">
        <v>0</v>
      </c>
    </row>
    <row r="2038" spans="2:11" x14ac:dyDescent="0.25">
      <c r="B2038" t="s">
        <v>6</v>
      </c>
      <c r="C2038" t="s">
        <v>308</v>
      </c>
      <c r="D2038">
        <v>703426</v>
      </c>
      <c r="E2038" t="s">
        <v>237</v>
      </c>
      <c r="F2038" t="s">
        <v>21</v>
      </c>
      <c r="G2038" t="s">
        <v>22</v>
      </c>
      <c r="H2038" t="s">
        <v>23</v>
      </c>
      <c r="J2038">
        <v>0</v>
      </c>
      <c r="K2038">
        <v>0</v>
      </c>
    </row>
    <row r="2039" spans="2:11" x14ac:dyDescent="0.25">
      <c r="B2039" t="s">
        <v>6</v>
      </c>
      <c r="C2039" t="s">
        <v>308</v>
      </c>
      <c r="D2039">
        <v>703427</v>
      </c>
      <c r="E2039" t="s">
        <v>238</v>
      </c>
      <c r="F2039" t="s">
        <v>21</v>
      </c>
      <c r="G2039" t="s">
        <v>76</v>
      </c>
      <c r="H2039" t="s">
        <v>77</v>
      </c>
      <c r="J2039">
        <v>0</v>
      </c>
      <c r="K2039">
        <v>0</v>
      </c>
    </row>
    <row r="2040" spans="2:11" x14ac:dyDescent="0.25">
      <c r="B2040" t="s">
        <v>6</v>
      </c>
      <c r="C2040" t="s">
        <v>308</v>
      </c>
      <c r="D2040">
        <v>703428</v>
      </c>
      <c r="E2040" t="s">
        <v>239</v>
      </c>
      <c r="F2040" t="s">
        <v>21</v>
      </c>
      <c r="G2040" t="s">
        <v>76</v>
      </c>
      <c r="H2040" t="s">
        <v>77</v>
      </c>
      <c r="J2040">
        <v>0</v>
      </c>
      <c r="K2040">
        <v>0</v>
      </c>
    </row>
    <row r="2041" spans="2:11" x14ac:dyDescent="0.25">
      <c r="B2041" t="s">
        <v>6</v>
      </c>
      <c r="C2041" t="s">
        <v>308</v>
      </c>
      <c r="D2041">
        <v>703429</v>
      </c>
      <c r="E2041" t="s">
        <v>240</v>
      </c>
      <c r="F2041" t="s">
        <v>21</v>
      </c>
      <c r="G2041" t="s">
        <v>76</v>
      </c>
      <c r="H2041" t="s">
        <v>77</v>
      </c>
      <c r="J2041">
        <v>0</v>
      </c>
      <c r="K2041">
        <v>0</v>
      </c>
    </row>
    <row r="2042" spans="2:11" x14ac:dyDescent="0.25">
      <c r="B2042" t="s">
        <v>6</v>
      </c>
      <c r="C2042" t="s">
        <v>308</v>
      </c>
      <c r="D2042">
        <v>703430</v>
      </c>
      <c r="E2042" t="s">
        <v>20</v>
      </c>
      <c r="F2042" t="s">
        <v>21</v>
      </c>
      <c r="G2042" t="s">
        <v>22</v>
      </c>
      <c r="H2042" t="s">
        <v>23</v>
      </c>
      <c r="J2042">
        <v>0</v>
      </c>
      <c r="K2042">
        <v>0</v>
      </c>
    </row>
    <row r="2043" spans="2:11" x14ac:dyDescent="0.25">
      <c r="B2043" t="s">
        <v>6</v>
      </c>
      <c r="C2043" t="s">
        <v>308</v>
      </c>
      <c r="D2043">
        <v>703431</v>
      </c>
      <c r="E2043" t="s">
        <v>241</v>
      </c>
      <c r="F2043" t="s">
        <v>21</v>
      </c>
      <c r="G2043" t="s">
        <v>22</v>
      </c>
      <c r="H2043" t="s">
        <v>23</v>
      </c>
      <c r="J2043">
        <v>0</v>
      </c>
      <c r="K2043">
        <v>0</v>
      </c>
    </row>
    <row r="2044" spans="2:11" x14ac:dyDescent="0.25">
      <c r="B2044" t="s">
        <v>6</v>
      </c>
      <c r="C2044" t="s">
        <v>308</v>
      </c>
      <c r="D2044">
        <v>703432</v>
      </c>
      <c r="E2044" t="s">
        <v>242</v>
      </c>
      <c r="F2044" t="s">
        <v>21</v>
      </c>
      <c r="G2044" t="s">
        <v>22</v>
      </c>
      <c r="H2044" t="s">
        <v>23</v>
      </c>
      <c r="J2044">
        <v>0</v>
      </c>
      <c r="K2044">
        <v>0</v>
      </c>
    </row>
    <row r="2045" spans="2:11" x14ac:dyDescent="0.25">
      <c r="B2045" t="s">
        <v>6</v>
      </c>
      <c r="C2045" t="s">
        <v>308</v>
      </c>
      <c r="D2045">
        <v>703433</v>
      </c>
      <c r="E2045" t="s">
        <v>243</v>
      </c>
      <c r="F2045" t="s">
        <v>21</v>
      </c>
      <c r="G2045" t="s">
        <v>71</v>
      </c>
      <c r="H2045" t="s">
        <v>88</v>
      </c>
      <c r="J2045">
        <v>0</v>
      </c>
      <c r="K2045">
        <v>0</v>
      </c>
    </row>
    <row r="2046" spans="2:11" x14ac:dyDescent="0.25">
      <c r="B2046" t="s">
        <v>6</v>
      </c>
      <c r="C2046" t="s">
        <v>308</v>
      </c>
      <c r="D2046">
        <v>703434</v>
      </c>
      <c r="E2046" t="s">
        <v>244</v>
      </c>
      <c r="F2046" t="s">
        <v>21</v>
      </c>
      <c r="G2046" t="s">
        <v>22</v>
      </c>
      <c r="H2046" t="s">
        <v>23</v>
      </c>
      <c r="J2046">
        <v>0</v>
      </c>
      <c r="K2046">
        <v>0</v>
      </c>
    </row>
    <row r="2047" spans="2:11" x14ac:dyDescent="0.25">
      <c r="B2047" t="s">
        <v>6</v>
      </c>
      <c r="C2047" t="s">
        <v>308</v>
      </c>
      <c r="D2047">
        <v>703435</v>
      </c>
      <c r="E2047" t="s">
        <v>245</v>
      </c>
      <c r="F2047" t="s">
        <v>21</v>
      </c>
      <c r="G2047" t="s">
        <v>71</v>
      </c>
      <c r="H2047" t="s">
        <v>88</v>
      </c>
      <c r="J2047">
        <v>0</v>
      </c>
      <c r="K2047">
        <v>0</v>
      </c>
    </row>
    <row r="2048" spans="2:11" x14ac:dyDescent="0.25">
      <c r="B2048" t="s">
        <v>6</v>
      </c>
      <c r="C2048" t="s">
        <v>308</v>
      </c>
      <c r="D2048">
        <v>703436</v>
      </c>
      <c r="E2048" t="s">
        <v>246</v>
      </c>
      <c r="F2048" t="s">
        <v>21</v>
      </c>
      <c r="G2048" t="s">
        <v>71</v>
      </c>
      <c r="H2048" t="s">
        <v>88</v>
      </c>
      <c r="J2048">
        <v>0</v>
      </c>
      <c r="K2048">
        <v>0</v>
      </c>
    </row>
    <row r="2049" spans="2:11" x14ac:dyDescent="0.25">
      <c r="B2049" t="s">
        <v>6</v>
      </c>
      <c r="C2049" t="s">
        <v>308</v>
      </c>
      <c r="D2049">
        <v>703437</v>
      </c>
      <c r="E2049" t="s">
        <v>247</v>
      </c>
      <c r="F2049" t="s">
        <v>21</v>
      </c>
      <c r="G2049" t="s">
        <v>71</v>
      </c>
      <c r="H2049" t="s">
        <v>88</v>
      </c>
      <c r="J2049">
        <v>0</v>
      </c>
      <c r="K2049">
        <v>0</v>
      </c>
    </row>
    <row r="2050" spans="2:11" x14ac:dyDescent="0.25">
      <c r="B2050" t="s">
        <v>6</v>
      </c>
      <c r="C2050" t="s">
        <v>308</v>
      </c>
      <c r="D2050">
        <v>703438</v>
      </c>
      <c r="E2050" t="s">
        <v>248</v>
      </c>
      <c r="F2050" t="s">
        <v>21</v>
      </c>
      <c r="G2050" t="s">
        <v>71</v>
      </c>
      <c r="H2050" t="s">
        <v>88</v>
      </c>
      <c r="J2050">
        <v>0</v>
      </c>
      <c r="K2050">
        <v>0</v>
      </c>
    </row>
    <row r="2051" spans="2:11" x14ac:dyDescent="0.25">
      <c r="B2051" t="s">
        <v>6</v>
      </c>
      <c r="C2051" t="s">
        <v>308</v>
      </c>
      <c r="D2051">
        <v>703439</v>
      </c>
      <c r="E2051" t="s">
        <v>249</v>
      </c>
      <c r="F2051" t="s">
        <v>21</v>
      </c>
      <c r="G2051" t="s">
        <v>22</v>
      </c>
      <c r="H2051" t="s">
        <v>23</v>
      </c>
      <c r="J2051">
        <v>0</v>
      </c>
      <c r="K2051">
        <v>0</v>
      </c>
    </row>
    <row r="2052" spans="2:11" x14ac:dyDescent="0.25">
      <c r="B2052" t="s">
        <v>6</v>
      </c>
      <c r="C2052" t="s">
        <v>308</v>
      </c>
      <c r="D2052">
        <v>703440</v>
      </c>
      <c r="E2052" t="s">
        <v>250</v>
      </c>
      <c r="F2052" t="s">
        <v>21</v>
      </c>
      <c r="G2052" t="s">
        <v>61</v>
      </c>
      <c r="H2052" t="s">
        <v>68</v>
      </c>
      <c r="J2052">
        <v>0</v>
      </c>
      <c r="K2052">
        <v>0</v>
      </c>
    </row>
    <row r="2053" spans="2:11" x14ac:dyDescent="0.25">
      <c r="B2053" t="s">
        <v>6</v>
      </c>
      <c r="C2053" t="s">
        <v>308</v>
      </c>
      <c r="D2053">
        <v>703441</v>
      </c>
      <c r="E2053" t="s">
        <v>251</v>
      </c>
      <c r="F2053" t="s">
        <v>21</v>
      </c>
      <c r="G2053" t="s">
        <v>61</v>
      </c>
      <c r="H2053" t="s">
        <v>79</v>
      </c>
      <c r="J2053">
        <v>0</v>
      </c>
      <c r="K2053">
        <v>0</v>
      </c>
    </row>
    <row r="2054" spans="2:11" x14ac:dyDescent="0.25">
      <c r="B2054" t="s">
        <v>6</v>
      </c>
      <c r="C2054" t="s">
        <v>308</v>
      </c>
      <c r="D2054">
        <v>703442</v>
      </c>
      <c r="E2054" t="s">
        <v>252</v>
      </c>
      <c r="F2054" t="s">
        <v>21</v>
      </c>
      <c r="G2054" t="s">
        <v>76</v>
      </c>
      <c r="H2054" t="s">
        <v>77</v>
      </c>
      <c r="J2054">
        <v>0</v>
      </c>
      <c r="K2054">
        <v>0</v>
      </c>
    </row>
    <row r="2055" spans="2:11" x14ac:dyDescent="0.25">
      <c r="B2055" t="s">
        <v>6</v>
      </c>
      <c r="C2055" t="s">
        <v>308</v>
      </c>
      <c r="D2055">
        <v>703443</v>
      </c>
      <c r="E2055" t="s">
        <v>253</v>
      </c>
      <c r="F2055" t="s">
        <v>21</v>
      </c>
      <c r="G2055" t="s">
        <v>71</v>
      </c>
      <c r="H2055" t="s">
        <v>88</v>
      </c>
      <c r="J2055">
        <v>0</v>
      </c>
      <c r="K2055">
        <v>0</v>
      </c>
    </row>
    <row r="2056" spans="2:11" x14ac:dyDescent="0.25">
      <c r="B2056" t="s">
        <v>6</v>
      </c>
      <c r="C2056" t="s">
        <v>308</v>
      </c>
      <c r="D2056">
        <v>703444</v>
      </c>
      <c r="E2056" t="s">
        <v>254</v>
      </c>
      <c r="F2056" t="s">
        <v>21</v>
      </c>
      <c r="G2056" t="s">
        <v>22</v>
      </c>
      <c r="H2056" t="s">
        <v>23</v>
      </c>
      <c r="J2056">
        <v>0</v>
      </c>
      <c r="K2056">
        <v>0</v>
      </c>
    </row>
    <row r="2057" spans="2:11" x14ac:dyDescent="0.25">
      <c r="B2057" t="s">
        <v>6</v>
      </c>
      <c r="C2057" t="s">
        <v>308</v>
      </c>
      <c r="D2057">
        <v>703445</v>
      </c>
      <c r="E2057" t="s">
        <v>255</v>
      </c>
      <c r="F2057" t="s">
        <v>21</v>
      </c>
      <c r="G2057" t="s">
        <v>22</v>
      </c>
      <c r="H2057" t="s">
        <v>23</v>
      </c>
      <c r="J2057">
        <v>0</v>
      </c>
      <c r="K2057">
        <v>0</v>
      </c>
    </row>
    <row r="2058" spans="2:11" x14ac:dyDescent="0.25">
      <c r="B2058" t="s">
        <v>6</v>
      </c>
      <c r="C2058" t="s">
        <v>308</v>
      </c>
      <c r="D2058">
        <v>703446</v>
      </c>
      <c r="E2058" t="s">
        <v>256</v>
      </c>
      <c r="F2058" t="s">
        <v>21</v>
      </c>
      <c r="G2058" t="s">
        <v>22</v>
      </c>
      <c r="H2058" t="s">
        <v>23</v>
      </c>
      <c r="J2058">
        <v>0</v>
      </c>
      <c r="K2058">
        <v>0</v>
      </c>
    </row>
    <row r="2059" spans="2:11" x14ac:dyDescent="0.25">
      <c r="B2059" t="s">
        <v>6</v>
      </c>
      <c r="C2059" t="s">
        <v>308</v>
      </c>
      <c r="D2059">
        <v>703447</v>
      </c>
      <c r="E2059" t="s">
        <v>257</v>
      </c>
      <c r="F2059" t="s">
        <v>21</v>
      </c>
      <c r="G2059" t="s">
        <v>22</v>
      </c>
      <c r="H2059" t="s">
        <v>23</v>
      </c>
      <c r="J2059">
        <v>0</v>
      </c>
      <c r="K2059">
        <v>0</v>
      </c>
    </row>
    <row r="2060" spans="2:11" x14ac:dyDescent="0.25">
      <c r="B2060" t="s">
        <v>6</v>
      </c>
      <c r="C2060" t="s">
        <v>308</v>
      </c>
      <c r="D2060">
        <v>703448</v>
      </c>
      <c r="E2060" t="s">
        <v>258</v>
      </c>
      <c r="F2060" t="s">
        <v>21</v>
      </c>
      <c r="G2060" t="s">
        <v>22</v>
      </c>
      <c r="H2060" t="s">
        <v>23</v>
      </c>
      <c r="J2060">
        <v>0</v>
      </c>
      <c r="K2060">
        <v>0</v>
      </c>
    </row>
    <row r="2061" spans="2:11" x14ac:dyDescent="0.25">
      <c r="B2061" t="s">
        <v>6</v>
      </c>
      <c r="C2061" t="s">
        <v>308</v>
      </c>
      <c r="D2061">
        <v>703449</v>
      </c>
      <c r="E2061" t="s">
        <v>259</v>
      </c>
      <c r="F2061" t="s">
        <v>21</v>
      </c>
      <c r="G2061" t="s">
        <v>22</v>
      </c>
      <c r="H2061" t="s">
        <v>23</v>
      </c>
      <c r="J2061">
        <v>0</v>
      </c>
      <c r="K2061">
        <v>0</v>
      </c>
    </row>
    <row r="2062" spans="2:11" x14ac:dyDescent="0.25">
      <c r="B2062" t="s">
        <v>6</v>
      </c>
      <c r="C2062" t="s">
        <v>308</v>
      </c>
      <c r="D2062">
        <v>703450</v>
      </c>
      <c r="E2062" t="s">
        <v>260</v>
      </c>
      <c r="F2062" t="s">
        <v>21</v>
      </c>
      <c r="G2062" t="s">
        <v>71</v>
      </c>
      <c r="H2062" t="s">
        <v>88</v>
      </c>
      <c r="J2062">
        <v>0</v>
      </c>
      <c r="K2062">
        <v>0</v>
      </c>
    </row>
    <row r="2063" spans="2:11" x14ac:dyDescent="0.25">
      <c r="B2063" t="s">
        <v>6</v>
      </c>
      <c r="C2063" t="s">
        <v>308</v>
      </c>
      <c r="D2063">
        <v>703510</v>
      </c>
      <c r="E2063" t="s">
        <v>261</v>
      </c>
      <c r="F2063" t="s">
        <v>21</v>
      </c>
      <c r="G2063" t="s">
        <v>22</v>
      </c>
      <c r="H2063" t="s">
        <v>23</v>
      </c>
      <c r="J2063">
        <v>0</v>
      </c>
      <c r="K2063">
        <v>0</v>
      </c>
    </row>
    <row r="2064" spans="2:11" x14ac:dyDescent="0.25">
      <c r="B2064" t="s">
        <v>6</v>
      </c>
      <c r="C2064" t="s">
        <v>308</v>
      </c>
      <c r="D2064">
        <v>703511</v>
      </c>
      <c r="E2064" t="s">
        <v>262</v>
      </c>
      <c r="F2064" t="s">
        <v>21</v>
      </c>
      <c r="G2064" t="s">
        <v>22</v>
      </c>
      <c r="H2064" t="s">
        <v>23</v>
      </c>
      <c r="J2064">
        <v>0</v>
      </c>
      <c r="K2064">
        <v>0</v>
      </c>
    </row>
    <row r="2065" spans="2:11" x14ac:dyDescent="0.25">
      <c r="B2065" t="s">
        <v>6</v>
      </c>
      <c r="C2065" t="s">
        <v>308</v>
      </c>
      <c r="D2065">
        <v>703512</v>
      </c>
      <c r="E2065" t="s">
        <v>263</v>
      </c>
      <c r="F2065" t="s">
        <v>21</v>
      </c>
      <c r="G2065" t="s">
        <v>22</v>
      </c>
      <c r="H2065" t="s">
        <v>23</v>
      </c>
      <c r="J2065">
        <v>0</v>
      </c>
      <c r="K2065">
        <v>0</v>
      </c>
    </row>
    <row r="2066" spans="2:11" x14ac:dyDescent="0.25">
      <c r="B2066" t="s">
        <v>6</v>
      </c>
      <c r="C2066" t="s">
        <v>308</v>
      </c>
      <c r="D2066">
        <v>703513</v>
      </c>
      <c r="E2066" t="s">
        <v>264</v>
      </c>
      <c r="F2066" t="s">
        <v>21</v>
      </c>
      <c r="G2066" t="s">
        <v>22</v>
      </c>
      <c r="H2066" t="s">
        <v>23</v>
      </c>
      <c r="J2066">
        <v>0</v>
      </c>
      <c r="K2066">
        <v>0</v>
      </c>
    </row>
    <row r="2067" spans="2:11" x14ac:dyDescent="0.25">
      <c r="B2067" t="s">
        <v>6</v>
      </c>
      <c r="C2067" t="s">
        <v>308</v>
      </c>
      <c r="D2067">
        <v>703514</v>
      </c>
      <c r="E2067" t="s">
        <v>265</v>
      </c>
      <c r="F2067" t="s">
        <v>21</v>
      </c>
      <c r="G2067" t="s">
        <v>22</v>
      </c>
      <c r="H2067" t="s">
        <v>23</v>
      </c>
      <c r="J2067">
        <v>0</v>
      </c>
      <c r="K2067">
        <v>0</v>
      </c>
    </row>
    <row r="2068" spans="2:11" x14ac:dyDescent="0.25">
      <c r="B2068" t="s">
        <v>6</v>
      </c>
      <c r="C2068" t="s">
        <v>308</v>
      </c>
      <c r="D2068">
        <v>703515</v>
      </c>
      <c r="E2068" t="s">
        <v>266</v>
      </c>
      <c r="F2068" t="s">
        <v>21</v>
      </c>
      <c r="G2068" t="s">
        <v>22</v>
      </c>
      <c r="H2068" t="s">
        <v>23</v>
      </c>
      <c r="J2068">
        <v>0</v>
      </c>
      <c r="K2068">
        <v>0</v>
      </c>
    </row>
    <row r="2069" spans="2:11" x14ac:dyDescent="0.25">
      <c r="B2069" t="s">
        <v>6</v>
      </c>
      <c r="C2069" t="s">
        <v>308</v>
      </c>
      <c r="D2069">
        <v>703520</v>
      </c>
      <c r="E2069" t="s">
        <v>267</v>
      </c>
      <c r="F2069" t="s">
        <v>21</v>
      </c>
      <c r="G2069" t="s">
        <v>22</v>
      </c>
      <c r="H2069" t="s">
        <v>23</v>
      </c>
      <c r="J2069">
        <v>0</v>
      </c>
      <c r="K2069">
        <v>0</v>
      </c>
    </row>
    <row r="2070" spans="2:11" x14ac:dyDescent="0.25">
      <c r="B2070" t="s">
        <v>6</v>
      </c>
      <c r="C2070" t="s">
        <v>308</v>
      </c>
      <c r="D2070">
        <v>703530</v>
      </c>
      <c r="E2070" t="s">
        <v>268</v>
      </c>
      <c r="F2070" t="s">
        <v>21</v>
      </c>
      <c r="G2070" t="s">
        <v>22</v>
      </c>
      <c r="H2070" t="s">
        <v>23</v>
      </c>
      <c r="J2070">
        <v>0</v>
      </c>
      <c r="K2070">
        <v>0</v>
      </c>
    </row>
    <row r="2071" spans="2:11" x14ac:dyDescent="0.25">
      <c r="B2071" t="s">
        <v>6</v>
      </c>
      <c r="C2071" t="s">
        <v>308</v>
      </c>
      <c r="D2071">
        <v>703540</v>
      </c>
      <c r="E2071" t="s">
        <v>269</v>
      </c>
      <c r="F2071" t="s">
        <v>21</v>
      </c>
      <c r="G2071" t="s">
        <v>22</v>
      </c>
      <c r="H2071" t="s">
        <v>23</v>
      </c>
      <c r="J2071">
        <v>0</v>
      </c>
      <c r="K2071">
        <v>0</v>
      </c>
    </row>
    <row r="2072" spans="2:11" x14ac:dyDescent="0.25">
      <c r="B2072" t="s">
        <v>6</v>
      </c>
      <c r="C2072" t="s">
        <v>308</v>
      </c>
      <c r="D2072">
        <v>703550</v>
      </c>
      <c r="E2072" t="s">
        <v>270</v>
      </c>
      <c r="F2072" t="s">
        <v>21</v>
      </c>
      <c r="G2072" t="s">
        <v>22</v>
      </c>
      <c r="H2072" t="s">
        <v>23</v>
      </c>
      <c r="J2072">
        <v>0</v>
      </c>
      <c r="K2072">
        <v>0</v>
      </c>
    </row>
    <row r="2073" spans="2:11" x14ac:dyDescent="0.25">
      <c r="B2073" t="s">
        <v>6</v>
      </c>
      <c r="C2073" t="s">
        <v>308</v>
      </c>
      <c r="D2073">
        <v>703560</v>
      </c>
      <c r="E2073" t="s">
        <v>271</v>
      </c>
      <c r="F2073" t="s">
        <v>21</v>
      </c>
      <c r="G2073" t="s">
        <v>22</v>
      </c>
      <c r="H2073" t="s">
        <v>23</v>
      </c>
      <c r="J2073">
        <v>0</v>
      </c>
      <c r="K2073">
        <v>0</v>
      </c>
    </row>
    <row r="2074" spans="2:11" x14ac:dyDescent="0.25">
      <c r="B2074" t="s">
        <v>6</v>
      </c>
      <c r="C2074" t="s">
        <v>308</v>
      </c>
      <c r="D2074">
        <v>703570</v>
      </c>
      <c r="E2074" t="s">
        <v>272</v>
      </c>
      <c r="F2074" t="s">
        <v>21</v>
      </c>
      <c r="G2074" t="s">
        <v>22</v>
      </c>
      <c r="H2074" t="s">
        <v>23</v>
      </c>
      <c r="J2074">
        <v>0</v>
      </c>
      <c r="K2074">
        <v>0</v>
      </c>
    </row>
    <row r="2075" spans="2:11" x14ac:dyDescent="0.25">
      <c r="B2075" t="s">
        <v>6</v>
      </c>
      <c r="C2075" t="s">
        <v>308</v>
      </c>
      <c r="D2075">
        <v>703571</v>
      </c>
      <c r="E2075" t="s">
        <v>273</v>
      </c>
      <c r="F2075" t="s">
        <v>21</v>
      </c>
      <c r="G2075" t="s">
        <v>22</v>
      </c>
      <c r="H2075" t="s">
        <v>23</v>
      </c>
      <c r="J2075">
        <v>0</v>
      </c>
    </row>
    <row r="2076" spans="2:11" x14ac:dyDescent="0.25">
      <c r="B2076" t="s">
        <v>6</v>
      </c>
      <c r="C2076" t="s">
        <v>308</v>
      </c>
      <c r="D2076">
        <v>703572</v>
      </c>
      <c r="E2076" t="s">
        <v>274</v>
      </c>
      <c r="F2076" t="s">
        <v>21</v>
      </c>
      <c r="G2076" t="s">
        <v>22</v>
      </c>
      <c r="H2076" t="s">
        <v>23</v>
      </c>
      <c r="J2076">
        <v>0</v>
      </c>
    </row>
    <row r="2077" spans="2:11" x14ac:dyDescent="0.25">
      <c r="B2077" t="s">
        <v>6</v>
      </c>
      <c r="C2077" t="s">
        <v>308</v>
      </c>
      <c r="D2077">
        <v>703573</v>
      </c>
      <c r="E2077" t="s">
        <v>275</v>
      </c>
      <c r="F2077" t="s">
        <v>21</v>
      </c>
      <c r="G2077" t="s">
        <v>22</v>
      </c>
      <c r="H2077" t="s">
        <v>23</v>
      </c>
      <c r="J2077">
        <v>0</v>
      </c>
    </row>
    <row r="2078" spans="2:11" x14ac:dyDescent="0.25">
      <c r="B2078" t="s">
        <v>6</v>
      </c>
      <c r="C2078" t="s">
        <v>308</v>
      </c>
      <c r="D2078">
        <v>703574</v>
      </c>
      <c r="E2078" t="s">
        <v>276</v>
      </c>
      <c r="F2078" t="s">
        <v>21</v>
      </c>
      <c r="G2078" t="s">
        <v>22</v>
      </c>
      <c r="H2078" t="s">
        <v>23</v>
      </c>
      <c r="J2078">
        <v>0</v>
      </c>
    </row>
    <row r="2079" spans="2:11" x14ac:dyDescent="0.25">
      <c r="B2079" t="s">
        <v>6</v>
      </c>
      <c r="C2079" t="s">
        <v>308</v>
      </c>
      <c r="D2079">
        <v>703580</v>
      </c>
      <c r="E2079" t="s">
        <v>277</v>
      </c>
      <c r="F2079" t="s">
        <v>21</v>
      </c>
      <c r="G2079" t="s">
        <v>22</v>
      </c>
      <c r="H2079" t="s">
        <v>23</v>
      </c>
      <c r="J2079">
        <v>0</v>
      </c>
      <c r="K2079">
        <v>0</v>
      </c>
    </row>
    <row r="2080" spans="2:11" x14ac:dyDescent="0.25">
      <c r="B2080" t="s">
        <v>6</v>
      </c>
      <c r="C2080" t="s">
        <v>308</v>
      </c>
      <c r="D2080">
        <v>703590</v>
      </c>
      <c r="E2080" t="s">
        <v>278</v>
      </c>
      <c r="F2080" t="s">
        <v>21</v>
      </c>
      <c r="G2080" t="s">
        <v>22</v>
      </c>
      <c r="H2080" t="s">
        <v>23</v>
      </c>
      <c r="J2080">
        <v>0</v>
      </c>
      <c r="K2080">
        <v>0</v>
      </c>
    </row>
    <row r="2081" spans="2:11" x14ac:dyDescent="0.25">
      <c r="B2081" t="s">
        <v>6</v>
      </c>
      <c r="C2081" t="s">
        <v>308</v>
      </c>
      <c r="D2081">
        <v>703650</v>
      </c>
      <c r="E2081" t="s">
        <v>279</v>
      </c>
      <c r="F2081" t="s">
        <v>21</v>
      </c>
      <c r="G2081" t="s">
        <v>22</v>
      </c>
      <c r="H2081" t="s">
        <v>23</v>
      </c>
      <c r="J2081">
        <v>0</v>
      </c>
      <c r="K2081">
        <v>0</v>
      </c>
    </row>
    <row r="2082" spans="2:11" x14ac:dyDescent="0.25">
      <c r="B2082" t="s">
        <v>6</v>
      </c>
      <c r="C2082" t="s">
        <v>308</v>
      </c>
      <c r="D2082">
        <v>703651</v>
      </c>
      <c r="E2082" t="s">
        <v>280</v>
      </c>
      <c r="F2082" t="s">
        <v>21</v>
      </c>
      <c r="G2082" t="s">
        <v>22</v>
      </c>
      <c r="H2082" t="s">
        <v>23</v>
      </c>
      <c r="J2082">
        <v>0</v>
      </c>
      <c r="K2082">
        <v>0</v>
      </c>
    </row>
    <row r="2083" spans="2:11" x14ac:dyDescent="0.25">
      <c r="B2083" t="s">
        <v>6</v>
      </c>
      <c r="C2083" t="s">
        <v>308</v>
      </c>
      <c r="D2083">
        <v>703850</v>
      </c>
      <c r="E2083" t="s">
        <v>281</v>
      </c>
      <c r="F2083" t="s">
        <v>21</v>
      </c>
      <c r="G2083" t="s">
        <v>22</v>
      </c>
      <c r="H2083" t="s">
        <v>23</v>
      </c>
      <c r="J2083">
        <v>0</v>
      </c>
      <c r="K2083">
        <v>0</v>
      </c>
    </row>
    <row r="2084" spans="2:11" x14ac:dyDescent="0.25">
      <c r="B2084" t="s">
        <v>6</v>
      </c>
      <c r="C2084" t="s">
        <v>308</v>
      </c>
      <c r="D2084">
        <v>703851</v>
      </c>
      <c r="E2084" t="s">
        <v>282</v>
      </c>
      <c r="F2084" t="s">
        <v>21</v>
      </c>
      <c r="G2084" t="s">
        <v>22</v>
      </c>
      <c r="H2084" t="s">
        <v>23</v>
      </c>
      <c r="J2084">
        <v>0</v>
      </c>
      <c r="K2084">
        <v>0</v>
      </c>
    </row>
    <row r="2085" spans="2:11" x14ac:dyDescent="0.25">
      <c r="B2085" t="s">
        <v>6</v>
      </c>
      <c r="C2085" t="s">
        <v>308</v>
      </c>
      <c r="D2085">
        <v>703852</v>
      </c>
      <c r="E2085" t="s">
        <v>283</v>
      </c>
      <c r="F2085" t="s">
        <v>21</v>
      </c>
      <c r="G2085" t="s">
        <v>22</v>
      </c>
      <c r="H2085" t="s">
        <v>23</v>
      </c>
      <c r="J2085">
        <v>0</v>
      </c>
      <c r="K2085">
        <v>0</v>
      </c>
    </row>
    <row r="2086" spans="2:11" x14ac:dyDescent="0.25">
      <c r="B2086" t="s">
        <v>6</v>
      </c>
      <c r="C2086" t="s">
        <v>308</v>
      </c>
      <c r="D2086">
        <v>703853</v>
      </c>
      <c r="E2086" t="s">
        <v>284</v>
      </c>
      <c r="F2086" t="s">
        <v>21</v>
      </c>
      <c r="G2086" t="s">
        <v>22</v>
      </c>
      <c r="H2086" t="s">
        <v>23</v>
      </c>
      <c r="J2086">
        <v>0</v>
      </c>
      <c r="K2086">
        <v>0</v>
      </c>
    </row>
    <row r="2087" spans="2:11" x14ac:dyDescent="0.25">
      <c r="B2087" t="s">
        <v>6</v>
      </c>
      <c r="C2087" t="s">
        <v>308</v>
      </c>
      <c r="D2087">
        <v>703854</v>
      </c>
      <c r="E2087" t="s">
        <v>285</v>
      </c>
      <c r="F2087" t="s">
        <v>21</v>
      </c>
      <c r="G2087" t="s">
        <v>22</v>
      </c>
      <c r="H2087" t="s">
        <v>115</v>
      </c>
      <c r="J2087">
        <v>0</v>
      </c>
      <c r="K2087">
        <v>0</v>
      </c>
    </row>
    <row r="2088" spans="2:11" x14ac:dyDescent="0.25">
      <c r="B2088" t="s">
        <v>6</v>
      </c>
      <c r="C2088" t="s">
        <v>308</v>
      </c>
      <c r="D2088">
        <v>703855</v>
      </c>
      <c r="E2088" t="s">
        <v>286</v>
      </c>
      <c r="F2088" t="s">
        <v>21</v>
      </c>
      <c r="G2088" t="s">
        <v>22</v>
      </c>
      <c r="H2088" t="s">
        <v>23</v>
      </c>
      <c r="J2088">
        <v>0</v>
      </c>
      <c r="K2088">
        <v>0</v>
      </c>
    </row>
    <row r="2089" spans="2:11" x14ac:dyDescent="0.25">
      <c r="B2089" t="s">
        <v>6</v>
      </c>
      <c r="C2089" t="s">
        <v>308</v>
      </c>
      <c r="D2089">
        <v>703856</v>
      </c>
      <c r="E2089" t="s">
        <v>287</v>
      </c>
      <c r="F2089" t="s">
        <v>21</v>
      </c>
      <c r="G2089" t="s">
        <v>22</v>
      </c>
      <c r="H2089" t="s">
        <v>23</v>
      </c>
      <c r="J2089">
        <v>0</v>
      </c>
      <c r="K2089">
        <v>0</v>
      </c>
    </row>
    <row r="2090" spans="2:11" x14ac:dyDescent="0.25">
      <c r="B2090" t="s">
        <v>6</v>
      </c>
      <c r="C2090" t="s">
        <v>308</v>
      </c>
      <c r="D2090">
        <v>703857</v>
      </c>
      <c r="E2090" t="s">
        <v>288</v>
      </c>
      <c r="F2090" t="s">
        <v>21</v>
      </c>
      <c r="G2090" t="s">
        <v>71</v>
      </c>
      <c r="H2090" t="s">
        <v>88</v>
      </c>
      <c r="J2090">
        <v>0</v>
      </c>
      <c r="K2090">
        <v>0</v>
      </c>
    </row>
    <row r="2091" spans="2:11" x14ac:dyDescent="0.25">
      <c r="B2091" t="s">
        <v>6</v>
      </c>
      <c r="C2091" t="s">
        <v>308</v>
      </c>
      <c r="D2091">
        <v>703858</v>
      </c>
      <c r="E2091" t="s">
        <v>289</v>
      </c>
      <c r="F2091" t="s">
        <v>21</v>
      </c>
      <c r="G2091" t="s">
        <v>22</v>
      </c>
      <c r="H2091" t="s">
        <v>23</v>
      </c>
      <c r="J2091">
        <v>0</v>
      </c>
      <c r="K2091">
        <v>0</v>
      </c>
    </row>
    <row r="2092" spans="2:11" x14ac:dyDescent="0.25">
      <c r="B2092" t="s">
        <v>6</v>
      </c>
      <c r="C2092" t="s">
        <v>308</v>
      </c>
      <c r="D2092">
        <v>703859</v>
      </c>
      <c r="E2092" t="s">
        <v>290</v>
      </c>
      <c r="F2092" t="s">
        <v>21</v>
      </c>
      <c r="G2092" t="s">
        <v>22</v>
      </c>
      <c r="H2092" t="s">
        <v>23</v>
      </c>
      <c r="J2092">
        <v>0</v>
      </c>
      <c r="K2092">
        <v>0</v>
      </c>
    </row>
    <row r="2093" spans="2:11" x14ac:dyDescent="0.25">
      <c r="B2093" t="s">
        <v>6</v>
      </c>
      <c r="C2093" t="s">
        <v>308</v>
      </c>
      <c r="D2093">
        <v>703860</v>
      </c>
      <c r="E2093" t="s">
        <v>291</v>
      </c>
      <c r="F2093" t="s">
        <v>21</v>
      </c>
      <c r="G2093" t="s">
        <v>22</v>
      </c>
      <c r="H2093" t="s">
        <v>23</v>
      </c>
      <c r="J2093">
        <v>0</v>
      </c>
      <c r="K2093">
        <v>0</v>
      </c>
    </row>
    <row r="2094" spans="2:11" x14ac:dyDescent="0.25">
      <c r="B2094" t="s">
        <v>6</v>
      </c>
      <c r="C2094" t="s">
        <v>308</v>
      </c>
      <c r="D2094">
        <v>703861</v>
      </c>
      <c r="E2094" t="s">
        <v>292</v>
      </c>
      <c r="F2094" t="s">
        <v>21</v>
      </c>
      <c r="G2094" t="s">
        <v>22</v>
      </c>
      <c r="H2094" t="s">
        <v>23</v>
      </c>
      <c r="J2094">
        <v>0</v>
      </c>
      <c r="K2094">
        <v>0</v>
      </c>
    </row>
    <row r="2095" spans="2:11" x14ac:dyDescent="0.25">
      <c r="B2095" t="s">
        <v>6</v>
      </c>
      <c r="C2095" t="s">
        <v>308</v>
      </c>
      <c r="D2095">
        <v>703862</v>
      </c>
      <c r="E2095" t="s">
        <v>293</v>
      </c>
      <c r="F2095" t="s">
        <v>21</v>
      </c>
      <c r="G2095" t="s">
        <v>22</v>
      </c>
      <c r="H2095" t="s">
        <v>23</v>
      </c>
      <c r="J2095">
        <v>0</v>
      </c>
      <c r="K2095">
        <v>0</v>
      </c>
    </row>
    <row r="2096" spans="2:11" x14ac:dyDescent="0.25">
      <c r="B2096" t="s">
        <v>6</v>
      </c>
      <c r="C2096" t="s">
        <v>308</v>
      </c>
      <c r="D2096">
        <v>703870</v>
      </c>
      <c r="E2096" t="s">
        <v>294</v>
      </c>
      <c r="F2096" t="s">
        <v>21</v>
      </c>
      <c r="G2096" t="s">
        <v>22</v>
      </c>
      <c r="H2096" t="s">
        <v>23</v>
      </c>
      <c r="J2096">
        <v>0</v>
      </c>
      <c r="K2096">
        <v>0</v>
      </c>
    </row>
    <row r="2097" spans="2:11" x14ac:dyDescent="0.25">
      <c r="B2097" t="s">
        <v>6</v>
      </c>
      <c r="C2097" t="s">
        <v>308</v>
      </c>
      <c r="D2097">
        <v>703880</v>
      </c>
      <c r="E2097" t="s">
        <v>295</v>
      </c>
      <c r="F2097" t="s">
        <v>21</v>
      </c>
      <c r="G2097" t="s">
        <v>22</v>
      </c>
      <c r="H2097" t="s">
        <v>23</v>
      </c>
      <c r="J2097">
        <v>0</v>
      </c>
      <c r="K2097">
        <v>0</v>
      </c>
    </row>
    <row r="2098" spans="2:11" x14ac:dyDescent="0.25">
      <c r="B2098" t="s">
        <v>6</v>
      </c>
      <c r="C2098" t="s">
        <v>308</v>
      </c>
      <c r="D2098">
        <v>703899</v>
      </c>
      <c r="E2098" t="s">
        <v>296</v>
      </c>
      <c r="F2098" t="s">
        <v>21</v>
      </c>
      <c r="G2098" t="s">
        <v>22</v>
      </c>
      <c r="H2098" t="s">
        <v>23</v>
      </c>
      <c r="J2098">
        <v>0</v>
      </c>
      <c r="K2098">
        <v>0</v>
      </c>
    </row>
    <row r="2099" spans="2:11" x14ac:dyDescent="0.25">
      <c r="B2099" t="s">
        <v>6</v>
      </c>
      <c r="C2099" t="s">
        <v>308</v>
      </c>
      <c r="D2099">
        <v>706700</v>
      </c>
      <c r="E2099" t="s">
        <v>25</v>
      </c>
      <c r="F2099" t="s">
        <v>26</v>
      </c>
      <c r="G2099" t="s">
        <v>27</v>
      </c>
      <c r="H2099" t="s">
        <v>28</v>
      </c>
      <c r="J2099">
        <v>0</v>
      </c>
      <c r="K2099">
        <v>0</v>
      </c>
    </row>
    <row r="2100" spans="2:11" x14ac:dyDescent="0.25">
      <c r="B2100" t="s">
        <v>6</v>
      </c>
      <c r="C2100" t="s">
        <v>308</v>
      </c>
      <c r="D2100" t="s">
        <v>29</v>
      </c>
      <c r="E2100" t="s">
        <v>30</v>
      </c>
      <c r="F2100" t="s">
        <v>26</v>
      </c>
      <c r="G2100" t="s">
        <v>27</v>
      </c>
      <c r="H2100" t="s">
        <v>31</v>
      </c>
      <c r="J2100">
        <v>0</v>
      </c>
      <c r="K2100">
        <v>0</v>
      </c>
    </row>
    <row r="2101" spans="2:11" x14ac:dyDescent="0.25">
      <c r="B2101" t="s">
        <v>6</v>
      </c>
      <c r="C2101" t="s">
        <v>308</v>
      </c>
      <c r="D2101" t="s">
        <v>32</v>
      </c>
      <c r="E2101" t="s">
        <v>33</v>
      </c>
      <c r="F2101" t="s">
        <v>26</v>
      </c>
      <c r="G2101" t="s">
        <v>27</v>
      </c>
      <c r="H2101" t="s">
        <v>28</v>
      </c>
      <c r="J2101">
        <v>0</v>
      </c>
      <c r="K2101">
        <v>0</v>
      </c>
    </row>
    <row r="2102" spans="2:11" x14ac:dyDescent="0.25">
      <c r="B2102" t="s">
        <v>6</v>
      </c>
      <c r="C2102" t="s">
        <v>308</v>
      </c>
      <c r="D2102" t="s">
        <v>34</v>
      </c>
      <c r="E2102" t="s">
        <v>35</v>
      </c>
      <c r="F2102" t="s">
        <v>26</v>
      </c>
      <c r="G2102" t="s">
        <v>36</v>
      </c>
      <c r="H2102" t="s">
        <v>36</v>
      </c>
      <c r="J2102">
        <v>0</v>
      </c>
      <c r="K2102">
        <v>0</v>
      </c>
    </row>
    <row r="2103" spans="2:11" x14ac:dyDescent="0.25">
      <c r="B2103" t="s">
        <v>6</v>
      </c>
      <c r="C2103" t="s">
        <v>308</v>
      </c>
      <c r="D2103" t="s">
        <v>37</v>
      </c>
      <c r="E2103" t="s">
        <v>38</v>
      </c>
      <c r="F2103" t="s">
        <v>21</v>
      </c>
      <c r="G2103" t="s">
        <v>39</v>
      </c>
      <c r="H2103" t="s">
        <v>39</v>
      </c>
      <c r="J2103">
        <v>0</v>
      </c>
      <c r="K2103">
        <v>0</v>
      </c>
    </row>
    <row r="2104" spans="2:11" x14ac:dyDescent="0.25">
      <c r="B2104" t="s">
        <v>6</v>
      </c>
      <c r="C2104" t="s">
        <v>308</v>
      </c>
      <c r="D2104" t="s">
        <v>40</v>
      </c>
      <c r="E2104" t="s">
        <v>41</v>
      </c>
      <c r="F2104" t="s">
        <v>26</v>
      </c>
      <c r="G2104" t="s">
        <v>39</v>
      </c>
      <c r="H2104" t="s">
        <v>39</v>
      </c>
      <c r="J2104">
        <v>0</v>
      </c>
      <c r="K2104">
        <v>0</v>
      </c>
    </row>
    <row r="2105" spans="2:11" x14ac:dyDescent="0.25">
      <c r="B2105" t="s">
        <v>6</v>
      </c>
      <c r="C2105" t="s">
        <v>308</v>
      </c>
      <c r="D2105" t="s">
        <v>42</v>
      </c>
      <c r="E2105" t="s">
        <v>43</v>
      </c>
      <c r="F2105" t="s">
        <v>21</v>
      </c>
      <c r="G2105" t="s">
        <v>44</v>
      </c>
      <c r="H2105" t="s">
        <v>44</v>
      </c>
      <c r="J2105">
        <v>0</v>
      </c>
      <c r="K2105">
        <v>0</v>
      </c>
    </row>
    <row r="2106" spans="2:11" x14ac:dyDescent="0.25">
      <c r="B2106" t="s">
        <v>6</v>
      </c>
      <c r="C2106" t="s">
        <v>308</v>
      </c>
      <c r="D2106" t="s">
        <v>45</v>
      </c>
      <c r="E2106" t="s">
        <v>46</v>
      </c>
      <c r="F2106" t="s">
        <v>26</v>
      </c>
      <c r="G2106" t="s">
        <v>44</v>
      </c>
      <c r="H2106" t="s">
        <v>44</v>
      </c>
      <c r="J2106">
        <v>0</v>
      </c>
      <c r="K2106">
        <v>0</v>
      </c>
    </row>
    <row r="2107" spans="2:11" x14ac:dyDescent="0.25">
      <c r="B2107" t="s">
        <v>6</v>
      </c>
      <c r="C2107" t="s">
        <v>308</v>
      </c>
      <c r="D2107" t="s">
        <v>297</v>
      </c>
      <c r="E2107" t="s">
        <v>298</v>
      </c>
      <c r="F2107" t="s">
        <v>26</v>
      </c>
      <c r="G2107" t="s">
        <v>299</v>
      </c>
      <c r="H2107" t="s">
        <v>299</v>
      </c>
      <c r="J2107">
        <v>0</v>
      </c>
    </row>
    <row r="2108" spans="2:11" x14ac:dyDescent="0.25">
      <c r="B2108" t="s">
        <v>6</v>
      </c>
      <c r="C2108" t="s">
        <v>308</v>
      </c>
      <c r="D2108" t="s">
        <v>300</v>
      </c>
      <c r="E2108" t="s">
        <v>301</v>
      </c>
      <c r="F2108" t="s">
        <v>21</v>
      </c>
      <c r="G2108" t="s">
        <v>299</v>
      </c>
      <c r="H2108" t="s">
        <v>299</v>
      </c>
      <c r="J2108">
        <v>0</v>
      </c>
    </row>
    <row r="2109" spans="2:11" x14ac:dyDescent="0.25">
      <c r="B2109" t="s">
        <v>6</v>
      </c>
      <c r="C2109" t="s">
        <v>308</v>
      </c>
      <c r="D2109" t="s">
        <v>47</v>
      </c>
      <c r="E2109" t="s">
        <v>48</v>
      </c>
      <c r="F2109" t="s">
        <v>26</v>
      </c>
      <c r="G2109" t="s">
        <v>49</v>
      </c>
      <c r="H2109" t="s">
        <v>49</v>
      </c>
      <c r="J2109">
        <v>0</v>
      </c>
      <c r="K2109">
        <v>0</v>
      </c>
    </row>
    <row r="2110" spans="2:11" x14ac:dyDescent="0.25">
      <c r="B2110" t="s">
        <v>6</v>
      </c>
      <c r="C2110" t="s">
        <v>309</v>
      </c>
      <c r="D2110">
        <v>701000</v>
      </c>
      <c r="E2110" t="s">
        <v>51</v>
      </c>
      <c r="F2110" t="s">
        <v>21</v>
      </c>
      <c r="G2110" t="s">
        <v>52</v>
      </c>
      <c r="H2110" t="s">
        <v>53</v>
      </c>
      <c r="J2110">
        <v>0</v>
      </c>
      <c r="K2110">
        <v>0</v>
      </c>
    </row>
    <row r="2111" spans="2:11" x14ac:dyDescent="0.25">
      <c r="B2111" t="s">
        <v>6</v>
      </c>
      <c r="C2111" t="s">
        <v>309</v>
      </c>
      <c r="D2111">
        <v>701008</v>
      </c>
      <c r="E2111" t="s">
        <v>54</v>
      </c>
      <c r="F2111" t="s">
        <v>21</v>
      </c>
      <c r="G2111" t="s">
        <v>52</v>
      </c>
      <c r="H2111" t="s">
        <v>53</v>
      </c>
      <c r="J2111">
        <v>0</v>
      </c>
      <c r="K2111">
        <v>0</v>
      </c>
    </row>
    <row r="2112" spans="2:11" x14ac:dyDescent="0.25">
      <c r="B2112" t="s">
        <v>6</v>
      </c>
      <c r="C2112" t="s">
        <v>309</v>
      </c>
      <c r="D2112">
        <v>701009</v>
      </c>
      <c r="E2112" t="s">
        <v>55</v>
      </c>
      <c r="F2112" t="s">
        <v>21</v>
      </c>
      <c r="G2112" t="s">
        <v>52</v>
      </c>
      <c r="H2112" t="s">
        <v>53</v>
      </c>
      <c r="J2112">
        <v>0</v>
      </c>
      <c r="K2112">
        <v>0</v>
      </c>
    </row>
    <row r="2113" spans="2:11" x14ac:dyDescent="0.25">
      <c r="B2113" t="s">
        <v>6</v>
      </c>
      <c r="C2113" t="s">
        <v>309</v>
      </c>
      <c r="D2113">
        <v>701010</v>
      </c>
      <c r="E2113" t="s">
        <v>56</v>
      </c>
      <c r="F2113" t="s">
        <v>21</v>
      </c>
      <c r="G2113" t="s">
        <v>52</v>
      </c>
      <c r="H2113" t="s">
        <v>57</v>
      </c>
      <c r="J2113">
        <v>0</v>
      </c>
      <c r="K2113">
        <v>0</v>
      </c>
    </row>
    <row r="2114" spans="2:11" x14ac:dyDescent="0.25">
      <c r="B2114" t="s">
        <v>6</v>
      </c>
      <c r="C2114" t="s">
        <v>309</v>
      </c>
      <c r="D2114">
        <v>701011</v>
      </c>
      <c r="E2114" t="s">
        <v>58</v>
      </c>
      <c r="F2114" t="s">
        <v>21</v>
      </c>
      <c r="G2114" t="s">
        <v>52</v>
      </c>
      <c r="H2114" t="s">
        <v>53</v>
      </c>
      <c r="J2114">
        <v>0</v>
      </c>
      <c r="K2114">
        <v>0</v>
      </c>
    </row>
    <row r="2115" spans="2:11" x14ac:dyDescent="0.25">
      <c r="B2115" t="s">
        <v>6</v>
      </c>
      <c r="C2115" t="s">
        <v>309</v>
      </c>
      <c r="D2115">
        <v>701012</v>
      </c>
      <c r="E2115" t="s">
        <v>59</v>
      </c>
      <c r="F2115" t="s">
        <v>21</v>
      </c>
      <c r="G2115" t="s">
        <v>52</v>
      </c>
      <c r="H2115" t="s">
        <v>53</v>
      </c>
      <c r="J2115">
        <v>0</v>
      </c>
      <c r="K2115">
        <v>0</v>
      </c>
    </row>
    <row r="2116" spans="2:11" x14ac:dyDescent="0.25">
      <c r="B2116" t="s">
        <v>6</v>
      </c>
      <c r="C2116" t="s">
        <v>309</v>
      </c>
      <c r="D2116">
        <v>701013</v>
      </c>
      <c r="E2116" t="s">
        <v>60</v>
      </c>
      <c r="F2116" t="s">
        <v>21</v>
      </c>
      <c r="G2116" t="s">
        <v>61</v>
      </c>
      <c r="H2116" t="s">
        <v>62</v>
      </c>
      <c r="J2116">
        <v>0</v>
      </c>
      <c r="K2116">
        <v>0</v>
      </c>
    </row>
    <row r="2117" spans="2:11" x14ac:dyDescent="0.25">
      <c r="B2117" t="s">
        <v>6</v>
      </c>
      <c r="C2117" t="s">
        <v>309</v>
      </c>
      <c r="D2117">
        <v>701014</v>
      </c>
      <c r="E2117" t="s">
        <v>63</v>
      </c>
      <c r="F2117" t="s">
        <v>21</v>
      </c>
      <c r="G2117" t="s">
        <v>61</v>
      </c>
      <c r="H2117" t="s">
        <v>64</v>
      </c>
      <c r="J2117">
        <v>0</v>
      </c>
      <c r="K2117">
        <v>0</v>
      </c>
    </row>
    <row r="2118" spans="2:11" x14ac:dyDescent="0.25">
      <c r="B2118" t="s">
        <v>6</v>
      </c>
      <c r="C2118" t="s">
        <v>309</v>
      </c>
      <c r="D2118">
        <v>701015</v>
      </c>
      <c r="E2118" t="s">
        <v>65</v>
      </c>
      <c r="F2118" t="s">
        <v>21</v>
      </c>
      <c r="G2118" t="s">
        <v>52</v>
      </c>
      <c r="H2118" t="s">
        <v>53</v>
      </c>
      <c r="J2118">
        <v>0</v>
      </c>
      <c r="K2118">
        <v>0</v>
      </c>
    </row>
    <row r="2119" spans="2:11" x14ac:dyDescent="0.25">
      <c r="B2119" t="s">
        <v>6</v>
      </c>
      <c r="C2119" t="s">
        <v>309</v>
      </c>
      <c r="D2119">
        <v>701016</v>
      </c>
      <c r="E2119" t="s">
        <v>66</v>
      </c>
      <c r="F2119" t="s">
        <v>21</v>
      </c>
      <c r="G2119" t="s">
        <v>52</v>
      </c>
      <c r="H2119" t="s">
        <v>53</v>
      </c>
      <c r="J2119">
        <v>0</v>
      </c>
      <c r="K2119">
        <v>0</v>
      </c>
    </row>
    <row r="2120" spans="2:11" x14ac:dyDescent="0.25">
      <c r="B2120" t="s">
        <v>6</v>
      </c>
      <c r="C2120" t="s">
        <v>309</v>
      </c>
      <c r="D2120">
        <v>701017</v>
      </c>
      <c r="E2120" t="s">
        <v>67</v>
      </c>
      <c r="F2120" t="s">
        <v>21</v>
      </c>
      <c r="G2120" t="s">
        <v>61</v>
      </c>
      <c r="H2120" t="s">
        <v>68</v>
      </c>
      <c r="J2120">
        <v>0</v>
      </c>
      <c r="K2120">
        <v>0</v>
      </c>
    </row>
    <row r="2121" spans="2:11" x14ac:dyDescent="0.25">
      <c r="B2121" t="s">
        <v>6</v>
      </c>
      <c r="C2121" t="s">
        <v>309</v>
      </c>
      <c r="D2121">
        <v>701018</v>
      </c>
      <c r="E2121" t="s">
        <v>69</v>
      </c>
      <c r="F2121" t="s">
        <v>21</v>
      </c>
      <c r="G2121" t="s">
        <v>61</v>
      </c>
      <c r="H2121" t="s">
        <v>68</v>
      </c>
      <c r="J2121">
        <v>0</v>
      </c>
      <c r="K2121">
        <v>0</v>
      </c>
    </row>
    <row r="2122" spans="2:11" x14ac:dyDescent="0.25">
      <c r="B2122" t="s">
        <v>6</v>
      </c>
      <c r="C2122" t="s">
        <v>309</v>
      </c>
      <c r="D2122">
        <v>701019</v>
      </c>
      <c r="E2122" t="s">
        <v>70</v>
      </c>
      <c r="F2122" t="s">
        <v>21</v>
      </c>
      <c r="G2122" t="s">
        <v>71</v>
      </c>
      <c r="H2122" t="s">
        <v>72</v>
      </c>
      <c r="J2122">
        <v>0</v>
      </c>
      <c r="K2122">
        <v>0</v>
      </c>
    </row>
    <row r="2123" spans="2:11" x14ac:dyDescent="0.25">
      <c r="B2123" t="s">
        <v>6</v>
      </c>
      <c r="C2123" t="s">
        <v>309</v>
      </c>
      <c r="D2123">
        <v>701020</v>
      </c>
      <c r="E2123" t="s">
        <v>73</v>
      </c>
      <c r="F2123" t="s">
        <v>21</v>
      </c>
      <c r="G2123" t="s">
        <v>52</v>
      </c>
      <c r="H2123" t="s">
        <v>53</v>
      </c>
      <c r="J2123">
        <v>0</v>
      </c>
      <c r="K2123">
        <v>0</v>
      </c>
    </row>
    <row r="2124" spans="2:11" x14ac:dyDescent="0.25">
      <c r="B2124" t="s">
        <v>6</v>
      </c>
      <c r="C2124" t="s">
        <v>309</v>
      </c>
      <c r="D2124">
        <v>701021</v>
      </c>
      <c r="E2124" t="s">
        <v>74</v>
      </c>
      <c r="F2124" t="s">
        <v>21</v>
      </c>
      <c r="G2124" t="s">
        <v>61</v>
      </c>
      <c r="H2124" t="s">
        <v>74</v>
      </c>
      <c r="J2124">
        <v>0</v>
      </c>
      <c r="K2124">
        <v>0</v>
      </c>
    </row>
    <row r="2125" spans="2:11" x14ac:dyDescent="0.25">
      <c r="B2125" t="s">
        <v>6</v>
      </c>
      <c r="C2125" t="s">
        <v>309</v>
      </c>
      <c r="D2125">
        <v>701022</v>
      </c>
      <c r="E2125" t="s">
        <v>75</v>
      </c>
      <c r="F2125" t="s">
        <v>21</v>
      </c>
      <c r="G2125" t="s">
        <v>76</v>
      </c>
      <c r="H2125" t="s">
        <v>77</v>
      </c>
      <c r="J2125">
        <v>0</v>
      </c>
      <c r="K2125">
        <v>0</v>
      </c>
    </row>
    <row r="2126" spans="2:11" x14ac:dyDescent="0.25">
      <c r="B2126" t="s">
        <v>6</v>
      </c>
      <c r="C2126" t="s">
        <v>309</v>
      </c>
      <c r="D2126">
        <v>701023</v>
      </c>
      <c r="E2126" t="s">
        <v>78</v>
      </c>
      <c r="F2126" t="s">
        <v>21</v>
      </c>
      <c r="G2126" t="s">
        <v>61</v>
      </c>
      <c r="H2126" t="s">
        <v>79</v>
      </c>
      <c r="J2126">
        <v>0</v>
      </c>
      <c r="K2126">
        <v>0</v>
      </c>
    </row>
    <row r="2127" spans="2:11" x14ac:dyDescent="0.25">
      <c r="B2127" t="s">
        <v>6</v>
      </c>
      <c r="C2127" t="s">
        <v>309</v>
      </c>
      <c r="D2127">
        <v>701024</v>
      </c>
      <c r="E2127" t="s">
        <v>80</v>
      </c>
      <c r="F2127" t="s">
        <v>21</v>
      </c>
      <c r="G2127" t="s">
        <v>76</v>
      </c>
      <c r="H2127" t="s">
        <v>77</v>
      </c>
      <c r="J2127">
        <v>0</v>
      </c>
      <c r="K2127">
        <v>0</v>
      </c>
    </row>
    <row r="2128" spans="2:11" x14ac:dyDescent="0.25">
      <c r="B2128" t="s">
        <v>6</v>
      </c>
      <c r="C2128" t="s">
        <v>309</v>
      </c>
      <c r="D2128">
        <v>701025</v>
      </c>
      <c r="E2128" t="s">
        <v>81</v>
      </c>
      <c r="F2128" t="s">
        <v>21</v>
      </c>
      <c r="G2128" t="s">
        <v>71</v>
      </c>
      <c r="H2128" t="s">
        <v>82</v>
      </c>
      <c r="J2128">
        <v>0</v>
      </c>
      <c r="K2128">
        <v>0</v>
      </c>
    </row>
    <row r="2129" spans="2:11" x14ac:dyDescent="0.25">
      <c r="B2129" t="s">
        <v>6</v>
      </c>
      <c r="C2129" t="s">
        <v>309</v>
      </c>
      <c r="D2129">
        <v>701026</v>
      </c>
      <c r="E2129" t="s">
        <v>83</v>
      </c>
      <c r="F2129" t="s">
        <v>21</v>
      </c>
      <c r="G2129" t="s">
        <v>76</v>
      </c>
      <c r="H2129" t="s">
        <v>77</v>
      </c>
      <c r="J2129">
        <v>0</v>
      </c>
      <c r="K2129">
        <v>0</v>
      </c>
    </row>
    <row r="2130" spans="2:11" x14ac:dyDescent="0.25">
      <c r="B2130" t="s">
        <v>6</v>
      </c>
      <c r="C2130" t="s">
        <v>309</v>
      </c>
      <c r="D2130">
        <v>701027</v>
      </c>
      <c r="E2130" t="s">
        <v>84</v>
      </c>
      <c r="F2130" t="s">
        <v>21</v>
      </c>
      <c r="G2130" t="s">
        <v>76</v>
      </c>
      <c r="H2130" t="s">
        <v>77</v>
      </c>
      <c r="J2130">
        <v>0</v>
      </c>
      <c r="K2130">
        <v>0</v>
      </c>
    </row>
    <row r="2131" spans="2:11" x14ac:dyDescent="0.25">
      <c r="B2131" t="s">
        <v>6</v>
      </c>
      <c r="C2131" t="s">
        <v>309</v>
      </c>
      <c r="D2131">
        <v>701028</v>
      </c>
      <c r="E2131" t="s">
        <v>85</v>
      </c>
      <c r="F2131" t="s">
        <v>21</v>
      </c>
      <c r="G2131" t="s">
        <v>61</v>
      </c>
      <c r="H2131" t="s">
        <v>68</v>
      </c>
      <c r="J2131">
        <v>0</v>
      </c>
      <c r="K2131">
        <v>0</v>
      </c>
    </row>
    <row r="2132" spans="2:11" x14ac:dyDescent="0.25">
      <c r="B2132" t="s">
        <v>6</v>
      </c>
      <c r="C2132" t="s">
        <v>309</v>
      </c>
      <c r="D2132">
        <v>701029</v>
      </c>
      <c r="E2132" t="s">
        <v>86</v>
      </c>
      <c r="F2132" t="s">
        <v>21</v>
      </c>
      <c r="G2132" t="s">
        <v>61</v>
      </c>
      <c r="H2132" t="s">
        <v>68</v>
      </c>
      <c r="J2132">
        <v>0</v>
      </c>
      <c r="K2132">
        <v>0</v>
      </c>
    </row>
    <row r="2133" spans="2:11" x14ac:dyDescent="0.25">
      <c r="B2133" t="s">
        <v>6</v>
      </c>
      <c r="C2133" t="s">
        <v>309</v>
      </c>
      <c r="D2133">
        <v>701030</v>
      </c>
      <c r="E2133" t="s">
        <v>87</v>
      </c>
      <c r="F2133" t="s">
        <v>21</v>
      </c>
      <c r="G2133" t="s">
        <v>71</v>
      </c>
      <c r="H2133" t="s">
        <v>88</v>
      </c>
      <c r="J2133">
        <v>0</v>
      </c>
      <c r="K2133">
        <v>0</v>
      </c>
    </row>
    <row r="2134" spans="2:11" x14ac:dyDescent="0.25">
      <c r="B2134" t="s">
        <v>6</v>
      </c>
      <c r="C2134" t="s">
        <v>309</v>
      </c>
      <c r="D2134">
        <v>701031</v>
      </c>
      <c r="E2134" t="s">
        <v>89</v>
      </c>
      <c r="F2134" t="s">
        <v>21</v>
      </c>
      <c r="G2134" t="s">
        <v>76</v>
      </c>
      <c r="H2134" t="s">
        <v>77</v>
      </c>
      <c r="J2134">
        <v>0</v>
      </c>
      <c r="K2134">
        <v>0</v>
      </c>
    </row>
    <row r="2135" spans="2:11" x14ac:dyDescent="0.25">
      <c r="B2135" t="s">
        <v>6</v>
      </c>
      <c r="C2135" t="s">
        <v>309</v>
      </c>
      <c r="D2135">
        <v>701032</v>
      </c>
      <c r="E2135" t="s">
        <v>90</v>
      </c>
      <c r="F2135" t="s">
        <v>21</v>
      </c>
      <c r="G2135" t="s">
        <v>52</v>
      </c>
      <c r="H2135" t="s">
        <v>53</v>
      </c>
      <c r="J2135">
        <v>0</v>
      </c>
      <c r="K2135">
        <v>0</v>
      </c>
    </row>
    <row r="2136" spans="2:11" x14ac:dyDescent="0.25">
      <c r="B2136" t="s">
        <v>6</v>
      </c>
      <c r="C2136" t="s">
        <v>309</v>
      </c>
      <c r="D2136">
        <v>701034</v>
      </c>
      <c r="E2136" t="s">
        <v>91</v>
      </c>
      <c r="F2136" t="s">
        <v>21</v>
      </c>
      <c r="G2136" t="s">
        <v>76</v>
      </c>
      <c r="H2136" t="s">
        <v>77</v>
      </c>
      <c r="J2136">
        <v>0</v>
      </c>
      <c r="K2136">
        <v>0</v>
      </c>
    </row>
    <row r="2137" spans="2:11" x14ac:dyDescent="0.25">
      <c r="B2137" t="s">
        <v>6</v>
      </c>
      <c r="C2137" t="s">
        <v>309</v>
      </c>
      <c r="D2137">
        <v>701035</v>
      </c>
      <c r="E2137" t="s">
        <v>92</v>
      </c>
      <c r="F2137" t="s">
        <v>21</v>
      </c>
      <c r="G2137" t="s">
        <v>61</v>
      </c>
      <c r="H2137" t="s">
        <v>68</v>
      </c>
      <c r="J2137">
        <v>0</v>
      </c>
      <c r="K2137">
        <v>0</v>
      </c>
    </row>
    <row r="2138" spans="2:11" x14ac:dyDescent="0.25">
      <c r="B2138" t="s">
        <v>6</v>
      </c>
      <c r="C2138" t="s">
        <v>309</v>
      </c>
      <c r="D2138">
        <v>701036</v>
      </c>
      <c r="E2138" t="s">
        <v>93</v>
      </c>
      <c r="F2138" t="s">
        <v>21</v>
      </c>
      <c r="G2138" t="s">
        <v>52</v>
      </c>
      <c r="H2138" t="s">
        <v>53</v>
      </c>
      <c r="J2138">
        <v>0</v>
      </c>
      <c r="K2138">
        <v>0</v>
      </c>
    </row>
    <row r="2139" spans="2:11" x14ac:dyDescent="0.25">
      <c r="B2139" t="s">
        <v>6</v>
      </c>
      <c r="C2139" t="s">
        <v>309</v>
      </c>
      <c r="D2139">
        <v>701113</v>
      </c>
      <c r="E2139" t="s">
        <v>94</v>
      </c>
      <c r="F2139" t="s">
        <v>21</v>
      </c>
      <c r="G2139" t="s">
        <v>61</v>
      </c>
      <c r="H2139" t="s">
        <v>62</v>
      </c>
      <c r="J2139">
        <v>0</v>
      </c>
      <c r="K2139">
        <v>0</v>
      </c>
    </row>
    <row r="2140" spans="2:11" x14ac:dyDescent="0.25">
      <c r="B2140" t="s">
        <v>6</v>
      </c>
      <c r="C2140" t="s">
        <v>309</v>
      </c>
      <c r="D2140">
        <v>701119</v>
      </c>
      <c r="E2140" t="s">
        <v>95</v>
      </c>
      <c r="F2140" t="s">
        <v>21</v>
      </c>
      <c r="G2140" t="s">
        <v>22</v>
      </c>
      <c r="H2140" t="s">
        <v>23</v>
      </c>
      <c r="J2140">
        <v>0</v>
      </c>
      <c r="K2140">
        <v>0</v>
      </c>
    </row>
    <row r="2141" spans="2:11" x14ac:dyDescent="0.25">
      <c r="B2141" t="s">
        <v>6</v>
      </c>
      <c r="C2141" t="s">
        <v>309</v>
      </c>
      <c r="D2141">
        <v>701120</v>
      </c>
      <c r="E2141" t="s">
        <v>96</v>
      </c>
      <c r="F2141" t="s">
        <v>21</v>
      </c>
      <c r="G2141" t="s">
        <v>22</v>
      </c>
      <c r="H2141" t="s">
        <v>23</v>
      </c>
      <c r="J2141">
        <v>0</v>
      </c>
      <c r="K2141">
        <v>0</v>
      </c>
    </row>
    <row r="2142" spans="2:11" x14ac:dyDescent="0.25">
      <c r="B2142" t="s">
        <v>6</v>
      </c>
      <c r="C2142" t="s">
        <v>309</v>
      </c>
      <c r="D2142">
        <v>701121</v>
      </c>
      <c r="E2142" t="s">
        <v>97</v>
      </c>
      <c r="F2142" t="s">
        <v>21</v>
      </c>
      <c r="G2142" t="s">
        <v>22</v>
      </c>
      <c r="H2142" t="s">
        <v>23</v>
      </c>
      <c r="J2142">
        <v>0</v>
      </c>
      <c r="K2142">
        <v>0</v>
      </c>
    </row>
    <row r="2143" spans="2:11" x14ac:dyDescent="0.25">
      <c r="B2143" t="s">
        <v>6</v>
      </c>
      <c r="C2143" t="s">
        <v>309</v>
      </c>
      <c r="D2143">
        <v>701122</v>
      </c>
      <c r="E2143" t="s">
        <v>98</v>
      </c>
      <c r="F2143" t="s">
        <v>21</v>
      </c>
      <c r="G2143" t="s">
        <v>71</v>
      </c>
      <c r="H2143" t="s">
        <v>88</v>
      </c>
      <c r="J2143">
        <v>0</v>
      </c>
      <c r="K2143">
        <v>0</v>
      </c>
    </row>
    <row r="2144" spans="2:11" x14ac:dyDescent="0.25">
      <c r="B2144" t="s">
        <v>6</v>
      </c>
      <c r="C2144" t="s">
        <v>309</v>
      </c>
      <c r="D2144">
        <v>701123</v>
      </c>
      <c r="E2144" t="s">
        <v>99</v>
      </c>
      <c r="F2144" t="s">
        <v>21</v>
      </c>
      <c r="G2144" t="s">
        <v>22</v>
      </c>
      <c r="H2144" t="s">
        <v>23</v>
      </c>
      <c r="J2144">
        <v>0</v>
      </c>
      <c r="K2144">
        <v>0</v>
      </c>
    </row>
    <row r="2145" spans="2:11" x14ac:dyDescent="0.25">
      <c r="B2145" t="s">
        <v>6</v>
      </c>
      <c r="C2145" t="s">
        <v>309</v>
      </c>
      <c r="D2145">
        <v>701127</v>
      </c>
      <c r="E2145" t="s">
        <v>100</v>
      </c>
      <c r="F2145" t="s">
        <v>21</v>
      </c>
      <c r="G2145" t="s">
        <v>76</v>
      </c>
      <c r="H2145" t="s">
        <v>77</v>
      </c>
      <c r="J2145">
        <v>0</v>
      </c>
      <c r="K2145">
        <v>0</v>
      </c>
    </row>
    <row r="2146" spans="2:11" x14ac:dyDescent="0.25">
      <c r="B2146" t="s">
        <v>6</v>
      </c>
      <c r="C2146" t="s">
        <v>309</v>
      </c>
      <c r="D2146">
        <v>701213</v>
      </c>
      <c r="E2146" t="s">
        <v>101</v>
      </c>
      <c r="F2146" t="s">
        <v>21</v>
      </c>
      <c r="G2146" t="s">
        <v>61</v>
      </c>
      <c r="H2146" t="s">
        <v>62</v>
      </c>
      <c r="J2146">
        <v>0</v>
      </c>
      <c r="K2146">
        <v>0</v>
      </c>
    </row>
    <row r="2147" spans="2:11" x14ac:dyDescent="0.25">
      <c r="B2147" t="s">
        <v>6</v>
      </c>
      <c r="C2147" t="s">
        <v>309</v>
      </c>
      <c r="D2147">
        <v>701214</v>
      </c>
      <c r="E2147" t="s">
        <v>102</v>
      </c>
      <c r="F2147" t="s">
        <v>21</v>
      </c>
      <c r="G2147" t="s">
        <v>61</v>
      </c>
      <c r="H2147" t="s">
        <v>62</v>
      </c>
      <c r="J2147">
        <v>0</v>
      </c>
      <c r="K2147">
        <v>0</v>
      </c>
    </row>
    <row r="2148" spans="2:11" x14ac:dyDescent="0.25">
      <c r="B2148" t="s">
        <v>6</v>
      </c>
      <c r="C2148" t="s">
        <v>309</v>
      </c>
      <c r="D2148">
        <v>701215</v>
      </c>
      <c r="E2148" t="s">
        <v>103</v>
      </c>
      <c r="F2148" t="s">
        <v>21</v>
      </c>
      <c r="G2148" t="s">
        <v>61</v>
      </c>
      <c r="H2148" t="s">
        <v>62</v>
      </c>
      <c r="J2148">
        <v>0</v>
      </c>
      <c r="K2148">
        <v>0</v>
      </c>
    </row>
    <row r="2149" spans="2:11" x14ac:dyDescent="0.25">
      <c r="B2149" t="s">
        <v>6</v>
      </c>
      <c r="C2149" t="s">
        <v>309</v>
      </c>
      <c r="D2149">
        <v>701227</v>
      </c>
      <c r="E2149" t="s">
        <v>104</v>
      </c>
      <c r="F2149" t="s">
        <v>21</v>
      </c>
      <c r="G2149" t="s">
        <v>76</v>
      </c>
      <c r="H2149" t="s">
        <v>77</v>
      </c>
      <c r="J2149">
        <v>0</v>
      </c>
      <c r="K2149">
        <v>0</v>
      </c>
    </row>
    <row r="2150" spans="2:11" x14ac:dyDescent="0.25">
      <c r="B2150" t="s">
        <v>6</v>
      </c>
      <c r="C2150" t="s">
        <v>309</v>
      </c>
      <c r="D2150">
        <v>701327</v>
      </c>
      <c r="E2150" t="s">
        <v>106</v>
      </c>
      <c r="F2150" t="s">
        <v>21</v>
      </c>
      <c r="G2150" t="s">
        <v>76</v>
      </c>
      <c r="H2150" t="s">
        <v>77</v>
      </c>
      <c r="J2150">
        <v>0</v>
      </c>
      <c r="K2150">
        <v>0</v>
      </c>
    </row>
    <row r="2151" spans="2:11" x14ac:dyDescent="0.25">
      <c r="B2151" t="s">
        <v>6</v>
      </c>
      <c r="C2151" t="s">
        <v>309</v>
      </c>
      <c r="D2151">
        <v>701427</v>
      </c>
      <c r="E2151" t="s">
        <v>107</v>
      </c>
      <c r="F2151" t="s">
        <v>21</v>
      </c>
      <c r="G2151" t="s">
        <v>76</v>
      </c>
      <c r="H2151" t="s">
        <v>108</v>
      </c>
      <c r="J2151">
        <v>0</v>
      </c>
      <c r="K2151">
        <v>0</v>
      </c>
    </row>
    <row r="2152" spans="2:11" x14ac:dyDescent="0.25">
      <c r="B2152" t="s">
        <v>6</v>
      </c>
      <c r="C2152" t="s">
        <v>309</v>
      </c>
      <c r="D2152">
        <v>701527</v>
      </c>
      <c r="E2152" t="s">
        <v>109</v>
      </c>
      <c r="F2152" t="s">
        <v>21</v>
      </c>
      <c r="G2152" t="s">
        <v>76</v>
      </c>
      <c r="H2152" t="s">
        <v>77</v>
      </c>
      <c r="J2152">
        <v>0</v>
      </c>
      <c r="K2152">
        <v>0</v>
      </c>
    </row>
    <row r="2153" spans="2:11" x14ac:dyDescent="0.25">
      <c r="B2153" t="s">
        <v>6</v>
      </c>
      <c r="C2153" t="s">
        <v>309</v>
      </c>
      <c r="D2153">
        <v>701627</v>
      </c>
      <c r="E2153" t="s">
        <v>110</v>
      </c>
      <c r="F2153" t="s">
        <v>21</v>
      </c>
      <c r="G2153" t="s">
        <v>76</v>
      </c>
      <c r="H2153" t="s">
        <v>77</v>
      </c>
      <c r="J2153">
        <v>0</v>
      </c>
      <c r="K2153">
        <v>0</v>
      </c>
    </row>
    <row r="2154" spans="2:11" x14ac:dyDescent="0.25">
      <c r="B2154" t="s">
        <v>6</v>
      </c>
      <c r="C2154" t="s">
        <v>309</v>
      </c>
      <c r="D2154">
        <v>701727</v>
      </c>
      <c r="E2154" t="s">
        <v>111</v>
      </c>
      <c r="F2154" t="s">
        <v>21</v>
      </c>
      <c r="G2154" t="s">
        <v>76</v>
      </c>
      <c r="H2154" t="s">
        <v>77</v>
      </c>
      <c r="J2154">
        <v>0</v>
      </c>
      <c r="K2154">
        <v>0</v>
      </c>
    </row>
    <row r="2155" spans="2:11" x14ac:dyDescent="0.25">
      <c r="B2155" t="s">
        <v>6</v>
      </c>
      <c r="C2155" t="s">
        <v>309</v>
      </c>
      <c r="D2155">
        <v>701801</v>
      </c>
      <c r="E2155" t="s">
        <v>112</v>
      </c>
      <c r="F2155" t="s">
        <v>21</v>
      </c>
      <c r="G2155" t="s">
        <v>76</v>
      </c>
      <c r="H2155" t="s">
        <v>77</v>
      </c>
      <c r="J2155">
        <v>0</v>
      </c>
      <c r="K2155">
        <v>0</v>
      </c>
    </row>
    <row r="2156" spans="2:11" x14ac:dyDescent="0.25">
      <c r="B2156" t="s">
        <v>6</v>
      </c>
      <c r="C2156" t="s">
        <v>309</v>
      </c>
      <c r="D2156">
        <v>701802</v>
      </c>
      <c r="E2156" t="s">
        <v>113</v>
      </c>
      <c r="F2156" t="s">
        <v>21</v>
      </c>
      <c r="G2156" t="s">
        <v>61</v>
      </c>
      <c r="H2156" t="s">
        <v>62</v>
      </c>
      <c r="J2156">
        <v>0</v>
      </c>
      <c r="K2156">
        <v>0</v>
      </c>
    </row>
    <row r="2157" spans="2:11" x14ac:dyDescent="0.25">
      <c r="B2157" t="s">
        <v>6</v>
      </c>
      <c r="C2157" t="s">
        <v>309</v>
      </c>
      <c r="D2157">
        <v>703010</v>
      </c>
      <c r="E2157" t="s">
        <v>114</v>
      </c>
      <c r="F2157" t="s">
        <v>21</v>
      </c>
      <c r="G2157" t="s">
        <v>22</v>
      </c>
      <c r="H2157" t="s">
        <v>115</v>
      </c>
      <c r="J2157">
        <v>0</v>
      </c>
      <c r="K2157">
        <v>0</v>
      </c>
    </row>
    <row r="2158" spans="2:11" x14ac:dyDescent="0.25">
      <c r="B2158" t="s">
        <v>6</v>
      </c>
      <c r="C2158" t="s">
        <v>309</v>
      </c>
      <c r="D2158">
        <v>703011</v>
      </c>
      <c r="E2158" t="s">
        <v>116</v>
      </c>
      <c r="F2158" t="s">
        <v>21</v>
      </c>
      <c r="G2158" t="s">
        <v>22</v>
      </c>
      <c r="H2158" t="s">
        <v>115</v>
      </c>
      <c r="J2158">
        <v>0</v>
      </c>
      <c r="K2158">
        <v>0</v>
      </c>
    </row>
    <row r="2159" spans="2:11" x14ac:dyDescent="0.25">
      <c r="B2159" t="s">
        <v>6</v>
      </c>
      <c r="C2159" t="s">
        <v>309</v>
      </c>
      <c r="D2159">
        <v>703012</v>
      </c>
      <c r="E2159" t="s">
        <v>117</v>
      </c>
      <c r="F2159" t="s">
        <v>21</v>
      </c>
      <c r="G2159" t="s">
        <v>22</v>
      </c>
      <c r="H2159" t="s">
        <v>115</v>
      </c>
      <c r="J2159">
        <v>0</v>
      </c>
      <c r="K2159">
        <v>0</v>
      </c>
    </row>
    <row r="2160" spans="2:11" x14ac:dyDescent="0.25">
      <c r="B2160" t="s">
        <v>6</v>
      </c>
      <c r="C2160" t="s">
        <v>309</v>
      </c>
      <c r="D2160">
        <v>703013</v>
      </c>
      <c r="E2160" t="s">
        <v>118</v>
      </c>
      <c r="F2160" t="s">
        <v>21</v>
      </c>
      <c r="G2160" t="s">
        <v>22</v>
      </c>
      <c r="H2160" t="s">
        <v>115</v>
      </c>
      <c r="J2160">
        <v>0</v>
      </c>
      <c r="K2160">
        <v>0</v>
      </c>
    </row>
    <row r="2161" spans="2:11" x14ac:dyDescent="0.25">
      <c r="B2161" t="s">
        <v>6</v>
      </c>
      <c r="C2161" t="s">
        <v>309</v>
      </c>
      <c r="D2161">
        <v>703014</v>
      </c>
      <c r="E2161" t="s">
        <v>119</v>
      </c>
      <c r="F2161" t="s">
        <v>21</v>
      </c>
      <c r="G2161" t="s">
        <v>22</v>
      </c>
      <c r="H2161" t="s">
        <v>115</v>
      </c>
      <c r="J2161">
        <v>0</v>
      </c>
      <c r="K2161">
        <v>0</v>
      </c>
    </row>
    <row r="2162" spans="2:11" x14ac:dyDescent="0.25">
      <c r="B2162" t="s">
        <v>6</v>
      </c>
      <c r="C2162" t="s">
        <v>309</v>
      </c>
      <c r="D2162">
        <v>703015</v>
      </c>
      <c r="E2162" t="s">
        <v>120</v>
      </c>
      <c r="F2162" t="s">
        <v>21</v>
      </c>
      <c r="G2162" t="s">
        <v>22</v>
      </c>
      <c r="H2162" t="s">
        <v>115</v>
      </c>
      <c r="J2162">
        <v>0</v>
      </c>
      <c r="K2162">
        <v>0</v>
      </c>
    </row>
    <row r="2163" spans="2:11" x14ac:dyDescent="0.25">
      <c r="B2163" t="s">
        <v>6</v>
      </c>
      <c r="C2163" t="s">
        <v>309</v>
      </c>
      <c r="D2163">
        <v>703016</v>
      </c>
      <c r="E2163" t="s">
        <v>121</v>
      </c>
      <c r="F2163" t="s">
        <v>21</v>
      </c>
      <c r="G2163" t="s">
        <v>22</v>
      </c>
      <c r="H2163" t="s">
        <v>115</v>
      </c>
      <c r="J2163">
        <v>0</v>
      </c>
      <c r="K2163">
        <v>0</v>
      </c>
    </row>
    <row r="2164" spans="2:11" x14ac:dyDescent="0.25">
      <c r="B2164" t="s">
        <v>6</v>
      </c>
      <c r="C2164" t="s">
        <v>309</v>
      </c>
      <c r="D2164">
        <v>703017</v>
      </c>
      <c r="E2164" t="s">
        <v>122</v>
      </c>
      <c r="F2164" t="s">
        <v>21</v>
      </c>
      <c r="G2164" t="s">
        <v>22</v>
      </c>
      <c r="H2164" t="s">
        <v>115</v>
      </c>
      <c r="J2164">
        <v>0</v>
      </c>
      <c r="K2164">
        <v>0</v>
      </c>
    </row>
    <row r="2165" spans="2:11" x14ac:dyDescent="0.25">
      <c r="B2165" t="s">
        <v>6</v>
      </c>
      <c r="C2165" t="s">
        <v>309</v>
      </c>
      <c r="D2165">
        <v>703018</v>
      </c>
      <c r="E2165" t="s">
        <v>123</v>
      </c>
      <c r="F2165" t="s">
        <v>21</v>
      </c>
      <c r="G2165" t="s">
        <v>22</v>
      </c>
      <c r="H2165" t="s">
        <v>115</v>
      </c>
      <c r="J2165">
        <v>0</v>
      </c>
      <c r="K2165">
        <v>0</v>
      </c>
    </row>
    <row r="2166" spans="2:11" x14ac:dyDescent="0.25">
      <c r="B2166" t="s">
        <v>6</v>
      </c>
      <c r="C2166" t="s">
        <v>309</v>
      </c>
      <c r="D2166">
        <v>703019</v>
      </c>
      <c r="E2166" t="s">
        <v>124</v>
      </c>
      <c r="F2166" t="s">
        <v>21</v>
      </c>
      <c r="G2166" t="s">
        <v>22</v>
      </c>
      <c r="H2166" t="s">
        <v>115</v>
      </c>
      <c r="J2166">
        <v>0</v>
      </c>
      <c r="K2166">
        <v>0</v>
      </c>
    </row>
    <row r="2167" spans="2:11" x14ac:dyDescent="0.25">
      <c r="B2167" t="s">
        <v>6</v>
      </c>
      <c r="C2167" t="s">
        <v>309</v>
      </c>
      <c r="D2167">
        <v>703210</v>
      </c>
      <c r="E2167" t="s">
        <v>125</v>
      </c>
      <c r="F2167" t="s">
        <v>21</v>
      </c>
      <c r="G2167" t="s">
        <v>22</v>
      </c>
      <c r="H2167" t="s">
        <v>23</v>
      </c>
      <c r="J2167">
        <v>0</v>
      </c>
      <c r="K2167">
        <v>0</v>
      </c>
    </row>
    <row r="2168" spans="2:11" x14ac:dyDescent="0.25">
      <c r="B2168" t="s">
        <v>6</v>
      </c>
      <c r="C2168" t="s">
        <v>309</v>
      </c>
      <c r="D2168">
        <v>703211</v>
      </c>
      <c r="E2168" t="s">
        <v>126</v>
      </c>
      <c r="F2168" t="s">
        <v>21</v>
      </c>
      <c r="G2168" t="s">
        <v>22</v>
      </c>
      <c r="H2168" t="s">
        <v>23</v>
      </c>
      <c r="J2168">
        <v>0</v>
      </c>
      <c r="K2168">
        <v>0</v>
      </c>
    </row>
    <row r="2169" spans="2:11" x14ac:dyDescent="0.25">
      <c r="B2169" t="s">
        <v>6</v>
      </c>
      <c r="C2169" t="s">
        <v>309</v>
      </c>
      <c r="D2169">
        <v>703212</v>
      </c>
      <c r="E2169" t="s">
        <v>127</v>
      </c>
      <c r="F2169" t="s">
        <v>21</v>
      </c>
      <c r="G2169" t="s">
        <v>22</v>
      </c>
      <c r="H2169" t="s">
        <v>23</v>
      </c>
      <c r="J2169">
        <v>0</v>
      </c>
      <c r="K2169">
        <v>0</v>
      </c>
    </row>
    <row r="2170" spans="2:11" x14ac:dyDescent="0.25">
      <c r="B2170" t="s">
        <v>6</v>
      </c>
      <c r="C2170" t="s">
        <v>309</v>
      </c>
      <c r="D2170">
        <v>703213</v>
      </c>
      <c r="E2170" t="s">
        <v>128</v>
      </c>
      <c r="F2170" t="s">
        <v>21</v>
      </c>
      <c r="G2170" t="s">
        <v>22</v>
      </c>
      <c r="H2170" t="s">
        <v>23</v>
      </c>
      <c r="J2170">
        <v>0</v>
      </c>
      <c r="K2170">
        <v>0</v>
      </c>
    </row>
    <row r="2171" spans="2:11" x14ac:dyDescent="0.25">
      <c r="B2171" t="s">
        <v>6</v>
      </c>
      <c r="C2171" t="s">
        <v>309</v>
      </c>
      <c r="D2171">
        <v>703214</v>
      </c>
      <c r="E2171" t="s">
        <v>129</v>
      </c>
      <c r="F2171" t="s">
        <v>21</v>
      </c>
      <c r="G2171" t="s">
        <v>22</v>
      </c>
      <c r="H2171" t="s">
        <v>23</v>
      </c>
      <c r="J2171">
        <v>0</v>
      </c>
      <c r="K2171">
        <v>0</v>
      </c>
    </row>
    <row r="2172" spans="2:11" x14ac:dyDescent="0.25">
      <c r="B2172" t="s">
        <v>6</v>
      </c>
      <c r="C2172" t="s">
        <v>309</v>
      </c>
      <c r="D2172">
        <v>703215</v>
      </c>
      <c r="E2172" t="s">
        <v>130</v>
      </c>
      <c r="F2172" t="s">
        <v>21</v>
      </c>
      <c r="G2172" t="s">
        <v>22</v>
      </c>
      <c r="H2172" t="s">
        <v>23</v>
      </c>
      <c r="J2172">
        <v>0</v>
      </c>
      <c r="K2172">
        <v>0</v>
      </c>
    </row>
    <row r="2173" spans="2:11" x14ac:dyDescent="0.25">
      <c r="B2173" t="s">
        <v>6</v>
      </c>
      <c r="C2173" t="s">
        <v>309</v>
      </c>
      <c r="D2173">
        <v>703216</v>
      </c>
      <c r="E2173" t="s">
        <v>131</v>
      </c>
      <c r="F2173" t="s">
        <v>21</v>
      </c>
      <c r="G2173" t="s">
        <v>22</v>
      </c>
      <c r="H2173" t="s">
        <v>23</v>
      </c>
      <c r="J2173">
        <v>0</v>
      </c>
      <c r="K2173">
        <v>0</v>
      </c>
    </row>
    <row r="2174" spans="2:11" x14ac:dyDescent="0.25">
      <c r="B2174" t="s">
        <v>6</v>
      </c>
      <c r="C2174" t="s">
        <v>309</v>
      </c>
      <c r="D2174">
        <v>703217</v>
      </c>
      <c r="E2174" t="s">
        <v>132</v>
      </c>
      <c r="F2174" t="s">
        <v>21</v>
      </c>
      <c r="G2174" t="s">
        <v>22</v>
      </c>
      <c r="H2174" t="s">
        <v>23</v>
      </c>
      <c r="J2174">
        <v>0</v>
      </c>
      <c r="K2174">
        <v>0</v>
      </c>
    </row>
    <row r="2175" spans="2:11" x14ac:dyDescent="0.25">
      <c r="B2175" t="s">
        <v>6</v>
      </c>
      <c r="C2175" t="s">
        <v>309</v>
      </c>
      <c r="D2175">
        <v>703219</v>
      </c>
      <c r="E2175" t="s">
        <v>133</v>
      </c>
      <c r="F2175" t="s">
        <v>21</v>
      </c>
      <c r="G2175" t="s">
        <v>22</v>
      </c>
      <c r="H2175" t="s">
        <v>23</v>
      </c>
      <c r="J2175">
        <v>0</v>
      </c>
      <c r="K2175">
        <v>0</v>
      </c>
    </row>
    <row r="2176" spans="2:11" x14ac:dyDescent="0.25">
      <c r="B2176" t="s">
        <v>6</v>
      </c>
      <c r="C2176" t="s">
        <v>309</v>
      </c>
      <c r="D2176">
        <v>703220</v>
      </c>
      <c r="E2176" t="s">
        <v>134</v>
      </c>
      <c r="F2176" t="s">
        <v>21</v>
      </c>
      <c r="G2176" t="s">
        <v>71</v>
      </c>
      <c r="H2176" t="s">
        <v>135</v>
      </c>
      <c r="J2176">
        <v>0</v>
      </c>
      <c r="K2176">
        <v>0</v>
      </c>
    </row>
    <row r="2177" spans="2:11" x14ac:dyDescent="0.25">
      <c r="B2177" t="s">
        <v>6</v>
      </c>
      <c r="C2177" t="s">
        <v>309</v>
      </c>
      <c r="D2177">
        <v>703221</v>
      </c>
      <c r="E2177" t="s">
        <v>136</v>
      </c>
      <c r="F2177" t="s">
        <v>21</v>
      </c>
      <c r="G2177" t="s">
        <v>137</v>
      </c>
      <c r="H2177" t="s">
        <v>138</v>
      </c>
      <c r="J2177">
        <v>0</v>
      </c>
      <c r="K2177">
        <v>0</v>
      </c>
    </row>
    <row r="2178" spans="2:11" x14ac:dyDescent="0.25">
      <c r="B2178" t="s">
        <v>6</v>
      </c>
      <c r="C2178" t="s">
        <v>309</v>
      </c>
      <c r="D2178">
        <v>703222</v>
      </c>
      <c r="E2178" t="s">
        <v>139</v>
      </c>
      <c r="F2178" t="s">
        <v>21</v>
      </c>
      <c r="G2178" t="s">
        <v>137</v>
      </c>
      <c r="H2178" t="s">
        <v>138</v>
      </c>
      <c r="J2178">
        <v>0</v>
      </c>
      <c r="K2178">
        <v>0</v>
      </c>
    </row>
    <row r="2179" spans="2:11" x14ac:dyDescent="0.25">
      <c r="B2179" t="s">
        <v>6</v>
      </c>
      <c r="C2179" t="s">
        <v>309</v>
      </c>
      <c r="D2179">
        <v>703223</v>
      </c>
      <c r="E2179" t="s">
        <v>140</v>
      </c>
      <c r="F2179" t="s">
        <v>21</v>
      </c>
      <c r="G2179" t="s">
        <v>137</v>
      </c>
      <c r="H2179" t="s">
        <v>141</v>
      </c>
      <c r="J2179">
        <v>0</v>
      </c>
      <c r="K2179">
        <v>0</v>
      </c>
    </row>
    <row r="2180" spans="2:11" x14ac:dyDescent="0.25">
      <c r="B2180" t="s">
        <v>6</v>
      </c>
      <c r="C2180" t="s">
        <v>309</v>
      </c>
      <c r="D2180">
        <v>703224</v>
      </c>
      <c r="E2180" t="s">
        <v>142</v>
      </c>
      <c r="F2180" t="s">
        <v>21</v>
      </c>
      <c r="G2180" t="s">
        <v>71</v>
      </c>
      <c r="H2180" t="s">
        <v>88</v>
      </c>
      <c r="J2180">
        <v>0</v>
      </c>
      <c r="K2180">
        <v>0</v>
      </c>
    </row>
    <row r="2181" spans="2:11" x14ac:dyDescent="0.25">
      <c r="B2181" t="s">
        <v>6</v>
      </c>
      <c r="C2181" t="s">
        <v>309</v>
      </c>
      <c r="D2181">
        <v>703225</v>
      </c>
      <c r="E2181" t="s">
        <v>143</v>
      </c>
      <c r="F2181" t="s">
        <v>21</v>
      </c>
      <c r="G2181" t="s">
        <v>71</v>
      </c>
      <c r="H2181" t="s">
        <v>88</v>
      </c>
      <c r="J2181">
        <v>0</v>
      </c>
      <c r="K2181">
        <v>0</v>
      </c>
    </row>
    <row r="2182" spans="2:11" x14ac:dyDescent="0.25">
      <c r="B2182" t="s">
        <v>6</v>
      </c>
      <c r="C2182" t="s">
        <v>309</v>
      </c>
      <c r="D2182">
        <v>703226</v>
      </c>
      <c r="E2182" t="s">
        <v>144</v>
      </c>
      <c r="F2182" t="s">
        <v>21</v>
      </c>
      <c r="G2182" t="s">
        <v>71</v>
      </c>
      <c r="H2182" t="s">
        <v>82</v>
      </c>
      <c r="J2182">
        <v>0</v>
      </c>
      <c r="K2182">
        <v>0</v>
      </c>
    </row>
    <row r="2183" spans="2:11" x14ac:dyDescent="0.25">
      <c r="B2183" t="s">
        <v>6</v>
      </c>
      <c r="C2183" t="s">
        <v>309</v>
      </c>
      <c r="D2183">
        <v>703227</v>
      </c>
      <c r="E2183" t="s">
        <v>145</v>
      </c>
      <c r="F2183" t="s">
        <v>21</v>
      </c>
      <c r="G2183" t="s">
        <v>137</v>
      </c>
      <c r="H2183" t="s">
        <v>138</v>
      </c>
      <c r="J2183">
        <v>0</v>
      </c>
      <c r="K2183">
        <v>0</v>
      </c>
    </row>
    <row r="2184" spans="2:11" x14ac:dyDescent="0.25">
      <c r="B2184" t="s">
        <v>6</v>
      </c>
      <c r="C2184" t="s">
        <v>309</v>
      </c>
      <c r="D2184">
        <v>703228</v>
      </c>
      <c r="E2184" t="s">
        <v>146</v>
      </c>
      <c r="F2184" t="s">
        <v>21</v>
      </c>
      <c r="G2184" t="s">
        <v>147</v>
      </c>
      <c r="H2184" t="s">
        <v>147</v>
      </c>
      <c r="J2184">
        <v>0</v>
      </c>
      <c r="K2184">
        <v>0</v>
      </c>
    </row>
    <row r="2185" spans="2:11" x14ac:dyDescent="0.25">
      <c r="B2185" t="s">
        <v>6</v>
      </c>
      <c r="C2185" t="s">
        <v>309</v>
      </c>
      <c r="D2185">
        <v>703229</v>
      </c>
      <c r="E2185" t="s">
        <v>148</v>
      </c>
      <c r="F2185" t="s">
        <v>21</v>
      </c>
      <c r="G2185" t="s">
        <v>147</v>
      </c>
      <c r="H2185" t="s">
        <v>147</v>
      </c>
      <c r="J2185">
        <v>0</v>
      </c>
      <c r="K2185">
        <v>0</v>
      </c>
    </row>
    <row r="2186" spans="2:11" x14ac:dyDescent="0.25">
      <c r="B2186" t="s">
        <v>6</v>
      </c>
      <c r="C2186" t="s">
        <v>309</v>
      </c>
      <c r="D2186">
        <v>703230</v>
      </c>
      <c r="E2186" t="s">
        <v>149</v>
      </c>
      <c r="F2186" t="s">
        <v>21</v>
      </c>
      <c r="G2186" t="s">
        <v>147</v>
      </c>
      <c r="H2186" t="s">
        <v>147</v>
      </c>
      <c r="J2186">
        <v>0</v>
      </c>
      <c r="K2186">
        <v>0</v>
      </c>
    </row>
    <row r="2187" spans="2:11" x14ac:dyDescent="0.25">
      <c r="B2187" t="s">
        <v>6</v>
      </c>
      <c r="C2187" t="s">
        <v>309</v>
      </c>
      <c r="D2187">
        <v>703231</v>
      </c>
      <c r="E2187" t="s">
        <v>150</v>
      </c>
      <c r="F2187" t="s">
        <v>21</v>
      </c>
      <c r="G2187" t="s">
        <v>137</v>
      </c>
      <c r="H2187" t="s">
        <v>141</v>
      </c>
      <c r="J2187">
        <v>0</v>
      </c>
      <c r="K2187">
        <v>0</v>
      </c>
    </row>
    <row r="2188" spans="2:11" x14ac:dyDescent="0.25">
      <c r="B2188" t="s">
        <v>6</v>
      </c>
      <c r="C2188" t="s">
        <v>309</v>
      </c>
      <c r="D2188">
        <v>703232</v>
      </c>
      <c r="E2188" t="s">
        <v>151</v>
      </c>
      <c r="F2188" t="s">
        <v>21</v>
      </c>
      <c r="G2188" t="s">
        <v>147</v>
      </c>
      <c r="H2188" t="s">
        <v>147</v>
      </c>
      <c r="J2188">
        <v>0</v>
      </c>
      <c r="K2188">
        <v>0</v>
      </c>
    </row>
    <row r="2189" spans="2:11" x14ac:dyDescent="0.25">
      <c r="B2189" t="s">
        <v>6</v>
      </c>
      <c r="C2189" t="s">
        <v>309</v>
      </c>
      <c r="D2189">
        <v>703233</v>
      </c>
      <c r="E2189" t="s">
        <v>152</v>
      </c>
      <c r="F2189" t="s">
        <v>21</v>
      </c>
      <c r="G2189" t="s">
        <v>71</v>
      </c>
      <c r="H2189" t="s">
        <v>153</v>
      </c>
      <c r="J2189">
        <v>0</v>
      </c>
      <c r="K2189">
        <v>0</v>
      </c>
    </row>
    <row r="2190" spans="2:11" x14ac:dyDescent="0.25">
      <c r="B2190" t="s">
        <v>6</v>
      </c>
      <c r="C2190" t="s">
        <v>309</v>
      </c>
      <c r="D2190">
        <v>703234</v>
      </c>
      <c r="E2190" t="s">
        <v>154</v>
      </c>
      <c r="F2190" t="s">
        <v>21</v>
      </c>
      <c r="G2190" t="s">
        <v>71</v>
      </c>
      <c r="H2190" t="s">
        <v>153</v>
      </c>
      <c r="J2190">
        <v>0</v>
      </c>
      <c r="K2190">
        <v>0</v>
      </c>
    </row>
    <row r="2191" spans="2:11" x14ac:dyDescent="0.25">
      <c r="B2191" t="s">
        <v>6</v>
      </c>
      <c r="C2191" t="s">
        <v>309</v>
      </c>
      <c r="D2191">
        <v>703235</v>
      </c>
      <c r="E2191" t="s">
        <v>155</v>
      </c>
      <c r="F2191" t="s">
        <v>21</v>
      </c>
      <c r="G2191" t="s">
        <v>71</v>
      </c>
      <c r="H2191" t="s">
        <v>153</v>
      </c>
      <c r="J2191">
        <v>0</v>
      </c>
      <c r="K2191">
        <v>0</v>
      </c>
    </row>
    <row r="2192" spans="2:11" x14ac:dyDescent="0.25">
      <c r="B2192" t="s">
        <v>6</v>
      </c>
      <c r="C2192" t="s">
        <v>309</v>
      </c>
      <c r="D2192">
        <v>703236</v>
      </c>
      <c r="E2192" t="s">
        <v>156</v>
      </c>
      <c r="F2192" t="s">
        <v>21</v>
      </c>
      <c r="G2192" t="s">
        <v>76</v>
      </c>
      <c r="H2192" t="s">
        <v>77</v>
      </c>
      <c r="J2192">
        <v>0</v>
      </c>
      <c r="K2192">
        <v>0</v>
      </c>
    </row>
    <row r="2193" spans="2:11" x14ac:dyDescent="0.25">
      <c r="B2193" t="s">
        <v>6</v>
      </c>
      <c r="C2193" t="s">
        <v>309</v>
      </c>
      <c r="D2193">
        <v>703237</v>
      </c>
      <c r="E2193" t="s">
        <v>157</v>
      </c>
      <c r="F2193" t="s">
        <v>21</v>
      </c>
      <c r="G2193" t="s">
        <v>22</v>
      </c>
      <c r="H2193" t="s">
        <v>23</v>
      </c>
      <c r="J2193">
        <v>0</v>
      </c>
      <c r="K2193">
        <v>0</v>
      </c>
    </row>
    <row r="2194" spans="2:11" x14ac:dyDescent="0.25">
      <c r="B2194" t="s">
        <v>6</v>
      </c>
      <c r="C2194" t="s">
        <v>309</v>
      </c>
      <c r="D2194">
        <v>703238</v>
      </c>
      <c r="E2194" t="s">
        <v>158</v>
      </c>
      <c r="F2194" t="s">
        <v>21</v>
      </c>
      <c r="G2194" t="s">
        <v>61</v>
      </c>
      <c r="H2194" t="s">
        <v>68</v>
      </c>
      <c r="J2194">
        <v>0</v>
      </c>
      <c r="K2194">
        <v>0</v>
      </c>
    </row>
    <row r="2195" spans="2:11" x14ac:dyDescent="0.25">
      <c r="B2195" t="s">
        <v>6</v>
      </c>
      <c r="C2195" t="s">
        <v>309</v>
      </c>
      <c r="D2195">
        <v>703239</v>
      </c>
      <c r="E2195" t="s">
        <v>159</v>
      </c>
      <c r="F2195" t="s">
        <v>21</v>
      </c>
      <c r="G2195" t="s">
        <v>61</v>
      </c>
      <c r="H2195" t="s">
        <v>68</v>
      </c>
      <c r="J2195">
        <v>0</v>
      </c>
      <c r="K2195">
        <v>0</v>
      </c>
    </row>
    <row r="2196" spans="2:11" x14ac:dyDescent="0.25">
      <c r="B2196" t="s">
        <v>6</v>
      </c>
      <c r="C2196" t="s">
        <v>309</v>
      </c>
      <c r="D2196">
        <v>703240</v>
      </c>
      <c r="E2196" t="s">
        <v>160</v>
      </c>
      <c r="F2196" t="s">
        <v>21</v>
      </c>
      <c r="G2196" t="s">
        <v>61</v>
      </c>
      <c r="H2196" t="s">
        <v>68</v>
      </c>
      <c r="J2196">
        <v>0</v>
      </c>
      <c r="K2196">
        <v>0</v>
      </c>
    </row>
    <row r="2197" spans="2:11" x14ac:dyDescent="0.25">
      <c r="B2197" t="s">
        <v>6</v>
      </c>
      <c r="C2197" t="s">
        <v>309</v>
      </c>
      <c r="D2197">
        <v>703241</v>
      </c>
      <c r="E2197" t="s">
        <v>161</v>
      </c>
      <c r="F2197" t="s">
        <v>21</v>
      </c>
      <c r="G2197" t="s">
        <v>137</v>
      </c>
      <c r="H2197" t="s">
        <v>141</v>
      </c>
      <c r="J2197">
        <v>0</v>
      </c>
      <c r="K2197">
        <v>0</v>
      </c>
    </row>
    <row r="2198" spans="2:11" x14ac:dyDescent="0.25">
      <c r="B2198" t="s">
        <v>6</v>
      </c>
      <c r="C2198" t="s">
        <v>309</v>
      </c>
      <c r="D2198">
        <v>703242</v>
      </c>
      <c r="E2198" t="s">
        <v>162</v>
      </c>
      <c r="F2198" t="s">
        <v>21</v>
      </c>
      <c r="G2198" t="s">
        <v>137</v>
      </c>
      <c r="H2198" t="s">
        <v>141</v>
      </c>
      <c r="J2198">
        <v>0</v>
      </c>
      <c r="K2198">
        <v>0</v>
      </c>
    </row>
    <row r="2199" spans="2:11" x14ac:dyDescent="0.25">
      <c r="B2199" t="s">
        <v>6</v>
      </c>
      <c r="C2199" t="s">
        <v>309</v>
      </c>
      <c r="D2199">
        <v>703243</v>
      </c>
      <c r="E2199" t="s">
        <v>163</v>
      </c>
      <c r="F2199" t="s">
        <v>21</v>
      </c>
      <c r="G2199" t="s">
        <v>137</v>
      </c>
      <c r="H2199" t="s">
        <v>141</v>
      </c>
      <c r="J2199">
        <v>0</v>
      </c>
      <c r="K2199">
        <v>0</v>
      </c>
    </row>
    <row r="2200" spans="2:11" x14ac:dyDescent="0.25">
      <c r="B2200" t="s">
        <v>6</v>
      </c>
      <c r="C2200" t="s">
        <v>309</v>
      </c>
      <c r="D2200">
        <v>703244</v>
      </c>
      <c r="E2200" t="s">
        <v>164</v>
      </c>
      <c r="F2200" t="s">
        <v>21</v>
      </c>
      <c r="G2200" t="s">
        <v>71</v>
      </c>
      <c r="H2200" t="s">
        <v>88</v>
      </c>
      <c r="J2200">
        <v>0</v>
      </c>
      <c r="K2200">
        <v>0</v>
      </c>
    </row>
    <row r="2201" spans="2:11" x14ac:dyDescent="0.25">
      <c r="B2201" t="s">
        <v>6</v>
      </c>
      <c r="C2201" t="s">
        <v>309</v>
      </c>
      <c r="D2201">
        <v>703245</v>
      </c>
      <c r="E2201" t="s">
        <v>165</v>
      </c>
      <c r="F2201" t="s">
        <v>21</v>
      </c>
      <c r="G2201" t="s">
        <v>137</v>
      </c>
      <c r="H2201" t="s">
        <v>138</v>
      </c>
      <c r="J2201">
        <v>0</v>
      </c>
      <c r="K2201">
        <v>0</v>
      </c>
    </row>
    <row r="2202" spans="2:11" x14ac:dyDescent="0.25">
      <c r="B2202" t="s">
        <v>6</v>
      </c>
      <c r="C2202" t="s">
        <v>309</v>
      </c>
      <c r="D2202">
        <v>703246</v>
      </c>
      <c r="E2202" t="s">
        <v>166</v>
      </c>
      <c r="F2202" t="s">
        <v>21</v>
      </c>
      <c r="G2202" t="s">
        <v>137</v>
      </c>
      <c r="H2202" t="s">
        <v>138</v>
      </c>
      <c r="J2202">
        <v>0</v>
      </c>
      <c r="K2202">
        <v>0</v>
      </c>
    </row>
    <row r="2203" spans="2:11" x14ac:dyDescent="0.25">
      <c r="B2203" t="s">
        <v>6</v>
      </c>
      <c r="C2203" t="s">
        <v>309</v>
      </c>
      <c r="D2203">
        <v>703247</v>
      </c>
      <c r="E2203" t="s">
        <v>167</v>
      </c>
      <c r="F2203" t="s">
        <v>21</v>
      </c>
      <c r="G2203" t="s">
        <v>137</v>
      </c>
      <c r="H2203" t="s">
        <v>138</v>
      </c>
      <c r="J2203">
        <v>0</v>
      </c>
      <c r="K2203">
        <v>0</v>
      </c>
    </row>
    <row r="2204" spans="2:11" x14ac:dyDescent="0.25">
      <c r="B2204" t="s">
        <v>6</v>
      </c>
      <c r="C2204" t="s">
        <v>309</v>
      </c>
      <c r="D2204">
        <v>703248</v>
      </c>
      <c r="E2204" t="s">
        <v>168</v>
      </c>
      <c r="F2204" t="s">
        <v>21</v>
      </c>
      <c r="G2204" t="s">
        <v>137</v>
      </c>
      <c r="H2204" t="s">
        <v>141</v>
      </c>
      <c r="J2204">
        <v>0</v>
      </c>
      <c r="K2204">
        <v>0</v>
      </c>
    </row>
    <row r="2205" spans="2:11" x14ac:dyDescent="0.25">
      <c r="B2205" t="s">
        <v>6</v>
      </c>
      <c r="C2205" t="s">
        <v>309</v>
      </c>
      <c r="D2205">
        <v>703249</v>
      </c>
      <c r="E2205" t="s">
        <v>169</v>
      </c>
      <c r="F2205" t="s">
        <v>21</v>
      </c>
      <c r="G2205" t="s">
        <v>147</v>
      </c>
      <c r="H2205" t="s">
        <v>147</v>
      </c>
      <c r="J2205">
        <v>0</v>
      </c>
      <c r="K2205">
        <v>0</v>
      </c>
    </row>
    <row r="2206" spans="2:11" x14ac:dyDescent="0.25">
      <c r="B2206" t="s">
        <v>6</v>
      </c>
      <c r="C2206" t="s">
        <v>309</v>
      </c>
      <c r="D2206">
        <v>703250</v>
      </c>
      <c r="E2206" t="s">
        <v>170</v>
      </c>
      <c r="F2206" t="s">
        <v>21</v>
      </c>
      <c r="G2206" t="s">
        <v>71</v>
      </c>
      <c r="H2206" t="s">
        <v>171</v>
      </c>
      <c r="J2206">
        <v>0</v>
      </c>
      <c r="K2206">
        <v>0</v>
      </c>
    </row>
    <row r="2207" spans="2:11" x14ac:dyDescent="0.25">
      <c r="B2207" t="s">
        <v>6</v>
      </c>
      <c r="C2207" t="s">
        <v>309</v>
      </c>
      <c r="D2207">
        <v>703251</v>
      </c>
      <c r="E2207" t="s">
        <v>172</v>
      </c>
      <c r="F2207" t="s">
        <v>21</v>
      </c>
      <c r="G2207" t="s">
        <v>22</v>
      </c>
      <c r="H2207" t="s">
        <v>115</v>
      </c>
      <c r="J2207">
        <v>0</v>
      </c>
      <c r="K2207">
        <v>0</v>
      </c>
    </row>
    <row r="2208" spans="2:11" x14ac:dyDescent="0.25">
      <c r="B2208" t="s">
        <v>6</v>
      </c>
      <c r="C2208" t="s">
        <v>309</v>
      </c>
      <c r="D2208">
        <v>703252</v>
      </c>
      <c r="E2208" t="s">
        <v>173</v>
      </c>
      <c r="F2208" t="s">
        <v>21</v>
      </c>
      <c r="G2208" t="s">
        <v>22</v>
      </c>
      <c r="H2208" t="s">
        <v>115</v>
      </c>
      <c r="J2208">
        <v>0</v>
      </c>
      <c r="K2208">
        <v>0</v>
      </c>
    </row>
    <row r="2209" spans="2:11" x14ac:dyDescent="0.25">
      <c r="B2209" t="s">
        <v>6</v>
      </c>
      <c r="C2209" t="s">
        <v>309</v>
      </c>
      <c r="D2209">
        <v>703253</v>
      </c>
      <c r="E2209" t="s">
        <v>174</v>
      </c>
      <c r="F2209" t="s">
        <v>21</v>
      </c>
      <c r="G2209" t="s">
        <v>22</v>
      </c>
      <c r="H2209" t="s">
        <v>115</v>
      </c>
      <c r="J2209">
        <v>0</v>
      </c>
      <c r="K2209">
        <v>0</v>
      </c>
    </row>
    <row r="2210" spans="2:11" x14ac:dyDescent="0.25">
      <c r="B2210" t="s">
        <v>6</v>
      </c>
      <c r="C2210" t="s">
        <v>309</v>
      </c>
      <c r="D2210">
        <v>703254</v>
      </c>
      <c r="E2210" t="s">
        <v>175</v>
      </c>
      <c r="F2210" t="s">
        <v>21</v>
      </c>
      <c r="G2210" t="s">
        <v>22</v>
      </c>
      <c r="H2210" t="s">
        <v>115</v>
      </c>
      <c r="J2210">
        <v>0</v>
      </c>
      <c r="K2210">
        <v>0</v>
      </c>
    </row>
    <row r="2211" spans="2:11" x14ac:dyDescent="0.25">
      <c r="B2211" t="s">
        <v>6</v>
      </c>
      <c r="C2211" t="s">
        <v>309</v>
      </c>
      <c r="D2211">
        <v>703255</v>
      </c>
      <c r="E2211" t="s">
        <v>176</v>
      </c>
      <c r="F2211" t="s">
        <v>21</v>
      </c>
      <c r="G2211" t="s">
        <v>22</v>
      </c>
      <c r="H2211" t="s">
        <v>115</v>
      </c>
      <c r="J2211">
        <v>0</v>
      </c>
      <c r="K2211">
        <v>0</v>
      </c>
    </row>
    <row r="2212" spans="2:11" x14ac:dyDescent="0.25">
      <c r="B2212" t="s">
        <v>6</v>
      </c>
      <c r="C2212" t="s">
        <v>309</v>
      </c>
      <c r="D2212">
        <v>703257</v>
      </c>
      <c r="E2212" t="s">
        <v>177</v>
      </c>
      <c r="F2212" t="s">
        <v>21</v>
      </c>
      <c r="G2212" t="s">
        <v>147</v>
      </c>
      <c r="H2212" t="s">
        <v>147</v>
      </c>
      <c r="J2212">
        <v>0</v>
      </c>
      <c r="K2212">
        <v>0</v>
      </c>
    </row>
    <row r="2213" spans="2:11" x14ac:dyDescent="0.25">
      <c r="B2213" t="s">
        <v>6</v>
      </c>
      <c r="C2213" t="s">
        <v>309</v>
      </c>
      <c r="D2213">
        <v>703258</v>
      </c>
      <c r="E2213" t="s">
        <v>178</v>
      </c>
      <c r="F2213" t="s">
        <v>21</v>
      </c>
      <c r="G2213" t="s">
        <v>147</v>
      </c>
      <c r="H2213" t="s">
        <v>147</v>
      </c>
      <c r="J2213">
        <v>0</v>
      </c>
      <c r="K2213">
        <v>0</v>
      </c>
    </row>
    <row r="2214" spans="2:11" x14ac:dyDescent="0.25">
      <c r="B2214" t="s">
        <v>6</v>
      </c>
      <c r="C2214" t="s">
        <v>309</v>
      </c>
      <c r="D2214">
        <v>703260</v>
      </c>
      <c r="E2214" t="s">
        <v>179</v>
      </c>
      <c r="F2214" t="s">
        <v>21</v>
      </c>
      <c r="G2214" t="s">
        <v>76</v>
      </c>
      <c r="H2214" t="s">
        <v>77</v>
      </c>
      <c r="J2214">
        <v>0</v>
      </c>
      <c r="K2214">
        <v>0</v>
      </c>
    </row>
    <row r="2215" spans="2:11" x14ac:dyDescent="0.25">
      <c r="B2215" t="s">
        <v>6</v>
      </c>
      <c r="C2215" t="s">
        <v>309</v>
      </c>
      <c r="D2215">
        <v>703261</v>
      </c>
      <c r="E2215" t="s">
        <v>180</v>
      </c>
      <c r="F2215" t="s">
        <v>21</v>
      </c>
      <c r="G2215" t="s">
        <v>22</v>
      </c>
      <c r="H2215" t="s">
        <v>115</v>
      </c>
      <c r="J2215">
        <v>0</v>
      </c>
      <c r="K2215">
        <v>0</v>
      </c>
    </row>
    <row r="2216" spans="2:11" x14ac:dyDescent="0.25">
      <c r="B2216" t="s">
        <v>6</v>
      </c>
      <c r="C2216" t="s">
        <v>309</v>
      </c>
      <c r="D2216">
        <v>703262</v>
      </c>
      <c r="E2216" t="s">
        <v>181</v>
      </c>
      <c r="F2216" t="s">
        <v>21</v>
      </c>
      <c r="G2216" t="s">
        <v>22</v>
      </c>
      <c r="H2216" t="s">
        <v>23</v>
      </c>
      <c r="J2216">
        <v>0</v>
      </c>
      <c r="K2216">
        <v>0</v>
      </c>
    </row>
    <row r="2217" spans="2:11" x14ac:dyDescent="0.25">
      <c r="B2217" t="s">
        <v>6</v>
      </c>
      <c r="C2217" t="s">
        <v>309</v>
      </c>
      <c r="D2217">
        <v>703263</v>
      </c>
      <c r="E2217" t="s">
        <v>182</v>
      </c>
      <c r="F2217" t="s">
        <v>21</v>
      </c>
      <c r="G2217" t="s">
        <v>22</v>
      </c>
      <c r="H2217" t="s">
        <v>115</v>
      </c>
      <c r="J2217">
        <v>0</v>
      </c>
      <c r="K2217">
        <v>0</v>
      </c>
    </row>
    <row r="2218" spans="2:11" x14ac:dyDescent="0.25">
      <c r="B2218" t="s">
        <v>6</v>
      </c>
      <c r="C2218" t="s">
        <v>309</v>
      </c>
      <c r="D2218">
        <v>703264</v>
      </c>
      <c r="E2218" t="s">
        <v>183</v>
      </c>
      <c r="F2218" t="s">
        <v>21</v>
      </c>
      <c r="G2218" t="s">
        <v>22</v>
      </c>
      <c r="H2218" t="s">
        <v>115</v>
      </c>
      <c r="J2218">
        <v>0</v>
      </c>
      <c r="K2218">
        <v>0</v>
      </c>
    </row>
    <row r="2219" spans="2:11" x14ac:dyDescent="0.25">
      <c r="B2219" t="s">
        <v>6</v>
      </c>
      <c r="C2219" t="s">
        <v>309</v>
      </c>
      <c r="D2219">
        <v>703265</v>
      </c>
      <c r="E2219" t="s">
        <v>184</v>
      </c>
      <c r="F2219" t="s">
        <v>21</v>
      </c>
      <c r="G2219" t="s">
        <v>22</v>
      </c>
      <c r="H2219" t="s">
        <v>115</v>
      </c>
      <c r="J2219">
        <v>0</v>
      </c>
      <c r="K2219">
        <v>0</v>
      </c>
    </row>
    <row r="2220" spans="2:11" x14ac:dyDescent="0.25">
      <c r="B2220" t="s">
        <v>6</v>
      </c>
      <c r="C2220" t="s">
        <v>309</v>
      </c>
      <c r="D2220">
        <v>703266</v>
      </c>
      <c r="E2220" t="s">
        <v>185</v>
      </c>
      <c r="F2220" t="s">
        <v>21</v>
      </c>
      <c r="G2220" t="s">
        <v>71</v>
      </c>
      <c r="H2220" t="s">
        <v>186</v>
      </c>
      <c r="J2220">
        <v>0</v>
      </c>
      <c r="K2220">
        <v>0</v>
      </c>
    </row>
    <row r="2221" spans="2:11" x14ac:dyDescent="0.25">
      <c r="B2221" t="s">
        <v>6</v>
      </c>
      <c r="C2221" t="s">
        <v>309</v>
      </c>
      <c r="D2221">
        <v>703267</v>
      </c>
      <c r="E2221" t="s">
        <v>187</v>
      </c>
      <c r="F2221" t="s">
        <v>21</v>
      </c>
      <c r="G2221" t="s">
        <v>71</v>
      </c>
      <c r="H2221" t="s">
        <v>88</v>
      </c>
      <c r="J2221">
        <v>0</v>
      </c>
      <c r="K2221">
        <v>0</v>
      </c>
    </row>
    <row r="2222" spans="2:11" x14ac:dyDescent="0.25">
      <c r="B2222" t="s">
        <v>6</v>
      </c>
      <c r="C2222" t="s">
        <v>309</v>
      </c>
      <c r="D2222">
        <v>703268</v>
      </c>
      <c r="E2222" t="s">
        <v>188</v>
      </c>
      <c r="F2222" t="s">
        <v>21</v>
      </c>
      <c r="G2222" t="s">
        <v>147</v>
      </c>
      <c r="H2222" t="s">
        <v>147</v>
      </c>
      <c r="J2222">
        <v>0</v>
      </c>
      <c r="K2222">
        <v>0</v>
      </c>
    </row>
    <row r="2223" spans="2:11" x14ac:dyDescent="0.25">
      <c r="B2223" t="s">
        <v>6</v>
      </c>
      <c r="C2223" t="s">
        <v>309</v>
      </c>
      <c r="D2223">
        <v>703269</v>
      </c>
      <c r="E2223" t="s">
        <v>189</v>
      </c>
      <c r="F2223" t="s">
        <v>21</v>
      </c>
      <c r="G2223" t="s">
        <v>147</v>
      </c>
      <c r="H2223" t="s">
        <v>147</v>
      </c>
      <c r="J2223">
        <v>0</v>
      </c>
      <c r="K2223">
        <v>0</v>
      </c>
    </row>
    <row r="2224" spans="2:11" x14ac:dyDescent="0.25">
      <c r="B2224" t="s">
        <v>6</v>
      </c>
      <c r="C2224" t="s">
        <v>309</v>
      </c>
      <c r="D2224">
        <v>703270</v>
      </c>
      <c r="E2224" t="s">
        <v>190</v>
      </c>
      <c r="F2224" t="s">
        <v>21</v>
      </c>
      <c r="G2224" t="s">
        <v>137</v>
      </c>
      <c r="H2224" t="s">
        <v>141</v>
      </c>
      <c r="J2224">
        <v>0</v>
      </c>
      <c r="K2224">
        <v>0</v>
      </c>
    </row>
    <row r="2225" spans="2:11" x14ac:dyDescent="0.25">
      <c r="B2225" t="s">
        <v>6</v>
      </c>
      <c r="C2225" t="s">
        <v>309</v>
      </c>
      <c r="D2225">
        <v>703271</v>
      </c>
      <c r="E2225" t="s">
        <v>191</v>
      </c>
      <c r="F2225" t="s">
        <v>21</v>
      </c>
      <c r="G2225" t="s">
        <v>22</v>
      </c>
      <c r="H2225" t="s">
        <v>115</v>
      </c>
      <c r="J2225">
        <v>0</v>
      </c>
      <c r="K2225">
        <v>0</v>
      </c>
    </row>
    <row r="2226" spans="2:11" x14ac:dyDescent="0.25">
      <c r="B2226" t="s">
        <v>6</v>
      </c>
      <c r="C2226" t="s">
        <v>309</v>
      </c>
      <c r="D2226">
        <v>703272</v>
      </c>
      <c r="E2226" t="s">
        <v>192</v>
      </c>
      <c r="F2226" t="s">
        <v>21</v>
      </c>
      <c r="G2226" t="s">
        <v>22</v>
      </c>
      <c r="H2226" t="s">
        <v>23</v>
      </c>
      <c r="J2226">
        <v>0</v>
      </c>
      <c r="K2226">
        <v>0</v>
      </c>
    </row>
    <row r="2227" spans="2:11" x14ac:dyDescent="0.25">
      <c r="B2227" t="s">
        <v>6</v>
      </c>
      <c r="C2227" t="s">
        <v>309</v>
      </c>
      <c r="D2227">
        <v>703273</v>
      </c>
      <c r="E2227" t="s">
        <v>193</v>
      </c>
      <c r="F2227" t="s">
        <v>21</v>
      </c>
      <c r="G2227" t="s">
        <v>147</v>
      </c>
      <c r="H2227" t="s">
        <v>147</v>
      </c>
      <c r="J2227">
        <v>0</v>
      </c>
      <c r="K2227">
        <v>0</v>
      </c>
    </row>
    <row r="2228" spans="2:11" x14ac:dyDescent="0.25">
      <c r="B2228" t="s">
        <v>6</v>
      </c>
      <c r="C2228" t="s">
        <v>309</v>
      </c>
      <c r="D2228">
        <v>703274</v>
      </c>
      <c r="E2228" t="s">
        <v>194</v>
      </c>
      <c r="F2228" t="s">
        <v>21</v>
      </c>
      <c r="G2228" t="s">
        <v>147</v>
      </c>
      <c r="H2228" t="s">
        <v>147</v>
      </c>
      <c r="J2228">
        <v>0</v>
      </c>
      <c r="K2228">
        <v>0</v>
      </c>
    </row>
    <row r="2229" spans="2:11" x14ac:dyDescent="0.25">
      <c r="B2229" t="s">
        <v>6</v>
      </c>
      <c r="C2229" t="s">
        <v>309</v>
      </c>
      <c r="D2229">
        <v>703275</v>
      </c>
      <c r="E2229" t="s">
        <v>195</v>
      </c>
      <c r="F2229" t="s">
        <v>21</v>
      </c>
      <c r="G2229" t="s">
        <v>137</v>
      </c>
      <c r="H2229" t="s">
        <v>138</v>
      </c>
      <c r="J2229">
        <v>0</v>
      </c>
      <c r="K2229">
        <v>0</v>
      </c>
    </row>
    <row r="2230" spans="2:11" x14ac:dyDescent="0.25">
      <c r="B2230" t="s">
        <v>6</v>
      </c>
      <c r="C2230" t="s">
        <v>309</v>
      </c>
      <c r="D2230">
        <v>703280</v>
      </c>
      <c r="E2230" t="s">
        <v>196</v>
      </c>
      <c r="F2230" t="s">
        <v>21</v>
      </c>
      <c r="G2230" t="s">
        <v>71</v>
      </c>
      <c r="H2230" t="s">
        <v>171</v>
      </c>
      <c r="J2230">
        <v>0</v>
      </c>
      <c r="K2230">
        <v>0</v>
      </c>
    </row>
    <row r="2231" spans="2:11" x14ac:dyDescent="0.25">
      <c r="B2231" t="s">
        <v>6</v>
      </c>
      <c r="C2231" t="s">
        <v>309</v>
      </c>
      <c r="D2231">
        <v>703281</v>
      </c>
      <c r="E2231" t="s">
        <v>197</v>
      </c>
      <c r="F2231" t="s">
        <v>21</v>
      </c>
      <c r="G2231" t="s">
        <v>76</v>
      </c>
      <c r="H2231" t="s">
        <v>77</v>
      </c>
      <c r="J2231">
        <v>0</v>
      </c>
      <c r="K2231">
        <v>0</v>
      </c>
    </row>
    <row r="2232" spans="2:11" x14ac:dyDescent="0.25">
      <c r="B2232" t="s">
        <v>6</v>
      </c>
      <c r="C2232" t="s">
        <v>309</v>
      </c>
      <c r="D2232">
        <v>703282</v>
      </c>
      <c r="E2232" t="s">
        <v>198</v>
      </c>
      <c r="F2232" t="s">
        <v>21</v>
      </c>
      <c r="G2232" t="s">
        <v>76</v>
      </c>
      <c r="H2232" t="s">
        <v>77</v>
      </c>
      <c r="J2232">
        <v>0</v>
      </c>
      <c r="K2232">
        <v>0</v>
      </c>
    </row>
    <row r="2233" spans="2:11" x14ac:dyDescent="0.25">
      <c r="B2233" t="s">
        <v>6</v>
      </c>
      <c r="C2233" t="s">
        <v>309</v>
      </c>
      <c r="D2233">
        <v>703283</v>
      </c>
      <c r="E2233" t="s">
        <v>199</v>
      </c>
      <c r="F2233" t="s">
        <v>21</v>
      </c>
      <c r="G2233" t="s">
        <v>61</v>
      </c>
      <c r="H2233" t="s">
        <v>68</v>
      </c>
      <c r="J2233">
        <v>0</v>
      </c>
      <c r="K2233">
        <v>0</v>
      </c>
    </row>
    <row r="2234" spans="2:11" x14ac:dyDescent="0.25">
      <c r="B2234" t="s">
        <v>6</v>
      </c>
      <c r="C2234" t="s">
        <v>309</v>
      </c>
      <c r="D2234">
        <v>703310</v>
      </c>
      <c r="E2234" t="s">
        <v>200</v>
      </c>
      <c r="F2234" t="s">
        <v>21</v>
      </c>
      <c r="G2234" t="s">
        <v>22</v>
      </c>
      <c r="H2234" t="s">
        <v>23</v>
      </c>
      <c r="J2234">
        <v>0</v>
      </c>
      <c r="K2234">
        <v>0</v>
      </c>
    </row>
    <row r="2235" spans="2:11" x14ac:dyDescent="0.25">
      <c r="B2235" t="s">
        <v>6</v>
      </c>
      <c r="C2235" t="s">
        <v>309</v>
      </c>
      <c r="D2235">
        <v>703311</v>
      </c>
      <c r="E2235" t="s">
        <v>201</v>
      </c>
      <c r="F2235" t="s">
        <v>21</v>
      </c>
      <c r="G2235" t="s">
        <v>71</v>
      </c>
      <c r="H2235" t="s">
        <v>171</v>
      </c>
      <c r="J2235">
        <v>0</v>
      </c>
      <c r="K2235">
        <v>0</v>
      </c>
    </row>
    <row r="2236" spans="2:11" x14ac:dyDescent="0.25">
      <c r="B2236" t="s">
        <v>6</v>
      </c>
      <c r="C2236" t="s">
        <v>309</v>
      </c>
      <c r="D2236">
        <v>703312</v>
      </c>
      <c r="E2236" t="s">
        <v>202</v>
      </c>
      <c r="F2236" t="s">
        <v>21</v>
      </c>
      <c r="G2236" t="s">
        <v>76</v>
      </c>
      <c r="H2236" t="s">
        <v>77</v>
      </c>
      <c r="J2236">
        <v>0</v>
      </c>
      <c r="K2236">
        <v>0</v>
      </c>
    </row>
    <row r="2237" spans="2:11" x14ac:dyDescent="0.25">
      <c r="B2237" t="s">
        <v>6</v>
      </c>
      <c r="C2237" t="s">
        <v>309</v>
      </c>
      <c r="D2237">
        <v>703313</v>
      </c>
      <c r="E2237" t="s">
        <v>203</v>
      </c>
      <c r="F2237" t="s">
        <v>21</v>
      </c>
      <c r="G2237" t="s">
        <v>76</v>
      </c>
      <c r="H2237" t="s">
        <v>77</v>
      </c>
      <c r="J2237">
        <v>0</v>
      </c>
      <c r="K2237">
        <v>0</v>
      </c>
    </row>
    <row r="2238" spans="2:11" x14ac:dyDescent="0.25">
      <c r="B2238" t="s">
        <v>6</v>
      </c>
      <c r="C2238" t="s">
        <v>309</v>
      </c>
      <c r="D2238">
        <v>703314</v>
      </c>
      <c r="E2238" t="s">
        <v>204</v>
      </c>
      <c r="F2238" t="s">
        <v>21</v>
      </c>
      <c r="G2238" t="s">
        <v>76</v>
      </c>
      <c r="H2238" t="s">
        <v>77</v>
      </c>
      <c r="J2238">
        <v>0</v>
      </c>
      <c r="K2238">
        <v>0</v>
      </c>
    </row>
    <row r="2239" spans="2:11" x14ac:dyDescent="0.25">
      <c r="B2239" t="s">
        <v>6</v>
      </c>
      <c r="C2239" t="s">
        <v>309</v>
      </c>
      <c r="D2239">
        <v>703315</v>
      </c>
      <c r="E2239" t="s">
        <v>205</v>
      </c>
      <c r="F2239" t="s">
        <v>21</v>
      </c>
      <c r="G2239" t="s">
        <v>76</v>
      </c>
      <c r="H2239" t="s">
        <v>135</v>
      </c>
      <c r="J2239">
        <v>0</v>
      </c>
      <c r="K2239">
        <v>0</v>
      </c>
    </row>
    <row r="2240" spans="2:11" x14ac:dyDescent="0.25">
      <c r="B2240" t="s">
        <v>6</v>
      </c>
      <c r="C2240" t="s">
        <v>309</v>
      </c>
      <c r="D2240">
        <v>703316</v>
      </c>
      <c r="E2240" t="s">
        <v>206</v>
      </c>
      <c r="F2240" t="s">
        <v>21</v>
      </c>
      <c r="G2240" t="s">
        <v>76</v>
      </c>
      <c r="H2240" t="s">
        <v>77</v>
      </c>
      <c r="J2240">
        <v>0</v>
      </c>
      <c r="K2240">
        <v>0</v>
      </c>
    </row>
    <row r="2241" spans="2:11" x14ac:dyDescent="0.25">
      <c r="B2241" t="s">
        <v>6</v>
      </c>
      <c r="C2241" t="s">
        <v>309</v>
      </c>
      <c r="D2241">
        <v>703317</v>
      </c>
      <c r="E2241" t="s">
        <v>207</v>
      </c>
      <c r="F2241" t="s">
        <v>21</v>
      </c>
      <c r="G2241" t="s">
        <v>76</v>
      </c>
      <c r="H2241" t="s">
        <v>77</v>
      </c>
      <c r="J2241">
        <v>0</v>
      </c>
      <c r="K2241">
        <v>0</v>
      </c>
    </row>
    <row r="2242" spans="2:11" x14ac:dyDescent="0.25">
      <c r="B2242" t="s">
        <v>6</v>
      </c>
      <c r="C2242" t="s">
        <v>309</v>
      </c>
      <c r="D2242">
        <v>703318</v>
      </c>
      <c r="E2242" t="s">
        <v>208</v>
      </c>
      <c r="F2242" t="s">
        <v>21</v>
      </c>
      <c r="G2242" t="s">
        <v>71</v>
      </c>
      <c r="H2242" t="s">
        <v>209</v>
      </c>
      <c r="J2242">
        <v>0</v>
      </c>
      <c r="K2242">
        <v>0</v>
      </c>
    </row>
    <row r="2243" spans="2:11" x14ac:dyDescent="0.25">
      <c r="B2243" t="s">
        <v>6</v>
      </c>
      <c r="C2243" t="s">
        <v>309</v>
      </c>
      <c r="D2243">
        <v>703319</v>
      </c>
      <c r="E2243" t="s">
        <v>210</v>
      </c>
      <c r="F2243" t="s">
        <v>21</v>
      </c>
      <c r="G2243" t="s">
        <v>61</v>
      </c>
      <c r="H2243" t="s">
        <v>79</v>
      </c>
      <c r="J2243">
        <v>0</v>
      </c>
      <c r="K2243">
        <v>0</v>
      </c>
    </row>
    <row r="2244" spans="2:11" x14ac:dyDescent="0.25">
      <c r="B2244" t="s">
        <v>6</v>
      </c>
      <c r="C2244" t="s">
        <v>309</v>
      </c>
      <c r="D2244">
        <v>703320</v>
      </c>
      <c r="E2244" t="s">
        <v>211</v>
      </c>
      <c r="F2244" t="s">
        <v>21</v>
      </c>
      <c r="G2244" t="s">
        <v>71</v>
      </c>
      <c r="H2244" t="s">
        <v>135</v>
      </c>
      <c r="J2244">
        <v>0</v>
      </c>
      <c r="K2244">
        <v>0</v>
      </c>
    </row>
    <row r="2245" spans="2:11" x14ac:dyDescent="0.25">
      <c r="B2245" t="s">
        <v>6</v>
      </c>
      <c r="C2245" t="s">
        <v>309</v>
      </c>
      <c r="D2245">
        <v>703321</v>
      </c>
      <c r="E2245" t="s">
        <v>212</v>
      </c>
      <c r="F2245" t="s">
        <v>21</v>
      </c>
      <c r="G2245" t="s">
        <v>22</v>
      </c>
      <c r="H2245" t="s">
        <v>23</v>
      </c>
      <c r="J2245">
        <v>0</v>
      </c>
      <c r="K2245">
        <v>0</v>
      </c>
    </row>
    <row r="2246" spans="2:11" x14ac:dyDescent="0.25">
      <c r="B2246" t="s">
        <v>6</v>
      </c>
      <c r="C2246" t="s">
        <v>309</v>
      </c>
      <c r="D2246">
        <v>703322</v>
      </c>
      <c r="E2246" t="s">
        <v>213</v>
      </c>
      <c r="F2246" t="s">
        <v>21</v>
      </c>
      <c r="G2246" t="s">
        <v>22</v>
      </c>
      <c r="H2246" t="s">
        <v>23</v>
      </c>
      <c r="J2246">
        <v>0</v>
      </c>
      <c r="K2246">
        <v>0</v>
      </c>
    </row>
    <row r="2247" spans="2:11" x14ac:dyDescent="0.25">
      <c r="B2247" t="s">
        <v>6</v>
      </c>
      <c r="C2247" t="s">
        <v>309</v>
      </c>
      <c r="D2247">
        <v>703323</v>
      </c>
      <c r="E2247" t="s">
        <v>214</v>
      </c>
      <c r="F2247" t="s">
        <v>21</v>
      </c>
      <c r="G2247" t="s">
        <v>22</v>
      </c>
      <c r="H2247" t="s">
        <v>23</v>
      </c>
      <c r="J2247">
        <v>0</v>
      </c>
      <c r="K2247">
        <v>0</v>
      </c>
    </row>
    <row r="2248" spans="2:11" x14ac:dyDescent="0.25">
      <c r="B2248" t="s">
        <v>6</v>
      </c>
      <c r="C2248" t="s">
        <v>309</v>
      </c>
      <c r="D2248">
        <v>703324</v>
      </c>
      <c r="E2248" t="s">
        <v>215</v>
      </c>
      <c r="F2248" t="s">
        <v>21</v>
      </c>
      <c r="G2248" t="s">
        <v>22</v>
      </c>
      <c r="H2248" t="s">
        <v>23</v>
      </c>
      <c r="J2248">
        <v>0</v>
      </c>
      <c r="K2248">
        <v>0</v>
      </c>
    </row>
    <row r="2249" spans="2:11" x14ac:dyDescent="0.25">
      <c r="B2249" t="s">
        <v>6</v>
      </c>
      <c r="C2249" t="s">
        <v>309</v>
      </c>
      <c r="D2249">
        <v>703325</v>
      </c>
      <c r="E2249" t="s">
        <v>216</v>
      </c>
      <c r="F2249" t="s">
        <v>21</v>
      </c>
      <c r="G2249" t="s">
        <v>22</v>
      </c>
      <c r="H2249" t="s">
        <v>23</v>
      </c>
      <c r="J2249">
        <v>0</v>
      </c>
      <c r="K2249">
        <v>0</v>
      </c>
    </row>
    <row r="2250" spans="2:11" x14ac:dyDescent="0.25">
      <c r="B2250" t="s">
        <v>6</v>
      </c>
      <c r="C2250" t="s">
        <v>309</v>
      </c>
      <c r="D2250">
        <v>703326</v>
      </c>
      <c r="E2250" t="s">
        <v>217</v>
      </c>
      <c r="F2250" t="s">
        <v>21</v>
      </c>
      <c r="G2250" t="s">
        <v>22</v>
      </c>
      <c r="H2250" t="s">
        <v>23</v>
      </c>
      <c r="J2250">
        <v>0</v>
      </c>
      <c r="K2250">
        <v>0</v>
      </c>
    </row>
    <row r="2251" spans="2:11" x14ac:dyDescent="0.25">
      <c r="B2251" t="s">
        <v>6</v>
      </c>
      <c r="C2251" t="s">
        <v>309</v>
      </c>
      <c r="D2251">
        <v>703327</v>
      </c>
      <c r="E2251" t="s">
        <v>218</v>
      </c>
      <c r="F2251" t="s">
        <v>21</v>
      </c>
      <c r="G2251" t="s">
        <v>76</v>
      </c>
      <c r="H2251" t="s">
        <v>77</v>
      </c>
      <c r="J2251">
        <v>0</v>
      </c>
      <c r="K2251">
        <v>0</v>
      </c>
    </row>
    <row r="2252" spans="2:11" x14ac:dyDescent="0.25">
      <c r="B2252" t="s">
        <v>6</v>
      </c>
      <c r="C2252" t="s">
        <v>309</v>
      </c>
      <c r="D2252">
        <v>703328</v>
      </c>
      <c r="E2252" t="s">
        <v>219</v>
      </c>
      <c r="F2252" t="s">
        <v>21</v>
      </c>
      <c r="G2252" t="s">
        <v>22</v>
      </c>
      <c r="H2252" t="s">
        <v>23</v>
      </c>
      <c r="J2252">
        <v>0</v>
      </c>
      <c r="K2252">
        <v>0</v>
      </c>
    </row>
    <row r="2253" spans="2:11" x14ac:dyDescent="0.25">
      <c r="B2253" t="s">
        <v>6</v>
      </c>
      <c r="C2253" t="s">
        <v>309</v>
      </c>
      <c r="D2253">
        <v>703329</v>
      </c>
      <c r="E2253" t="s">
        <v>220</v>
      </c>
      <c r="F2253" t="s">
        <v>21</v>
      </c>
      <c r="G2253" t="s">
        <v>22</v>
      </c>
      <c r="H2253" t="s">
        <v>23</v>
      </c>
      <c r="J2253">
        <v>0</v>
      </c>
      <c r="K2253">
        <v>0</v>
      </c>
    </row>
    <row r="2254" spans="2:11" x14ac:dyDescent="0.25">
      <c r="B2254" t="s">
        <v>6</v>
      </c>
      <c r="C2254" t="s">
        <v>309</v>
      </c>
      <c r="D2254">
        <v>703330</v>
      </c>
      <c r="E2254" t="s">
        <v>221</v>
      </c>
      <c r="F2254" t="s">
        <v>21</v>
      </c>
      <c r="G2254" t="s">
        <v>22</v>
      </c>
      <c r="H2254" t="s">
        <v>23</v>
      </c>
      <c r="J2254">
        <v>0</v>
      </c>
      <c r="K2254">
        <v>0</v>
      </c>
    </row>
    <row r="2255" spans="2:11" x14ac:dyDescent="0.25">
      <c r="B2255" t="s">
        <v>6</v>
      </c>
      <c r="C2255" t="s">
        <v>309</v>
      </c>
      <c r="D2255">
        <v>703340</v>
      </c>
      <c r="E2255" t="s">
        <v>222</v>
      </c>
      <c r="F2255" t="s">
        <v>21</v>
      </c>
      <c r="G2255" t="s">
        <v>61</v>
      </c>
      <c r="H2255" t="s">
        <v>68</v>
      </c>
      <c r="J2255">
        <v>0</v>
      </c>
      <c r="K2255">
        <v>0</v>
      </c>
    </row>
    <row r="2256" spans="2:11" x14ac:dyDescent="0.25">
      <c r="B2256" t="s">
        <v>6</v>
      </c>
      <c r="C2256" t="s">
        <v>309</v>
      </c>
      <c r="D2256">
        <v>703350</v>
      </c>
      <c r="E2256" t="s">
        <v>223</v>
      </c>
      <c r="F2256" t="s">
        <v>21</v>
      </c>
      <c r="G2256" t="s">
        <v>22</v>
      </c>
      <c r="H2256" t="s">
        <v>23</v>
      </c>
      <c r="J2256">
        <v>0</v>
      </c>
      <c r="K2256">
        <v>0</v>
      </c>
    </row>
    <row r="2257" spans="2:11" x14ac:dyDescent="0.25">
      <c r="B2257" t="s">
        <v>6</v>
      </c>
      <c r="C2257" t="s">
        <v>309</v>
      </c>
      <c r="D2257">
        <v>703351</v>
      </c>
      <c r="E2257" t="s">
        <v>224</v>
      </c>
      <c r="F2257" t="s">
        <v>21</v>
      </c>
      <c r="G2257" t="s">
        <v>22</v>
      </c>
      <c r="H2257" t="s">
        <v>23</v>
      </c>
      <c r="J2257">
        <v>0</v>
      </c>
      <c r="K2257">
        <v>0</v>
      </c>
    </row>
    <row r="2258" spans="2:11" x14ac:dyDescent="0.25">
      <c r="B2258" t="s">
        <v>6</v>
      </c>
      <c r="C2258" t="s">
        <v>309</v>
      </c>
      <c r="D2258">
        <v>703352</v>
      </c>
      <c r="E2258" t="s">
        <v>225</v>
      </c>
      <c r="F2258" t="s">
        <v>21</v>
      </c>
      <c r="G2258" t="s">
        <v>22</v>
      </c>
      <c r="H2258" t="s">
        <v>23</v>
      </c>
      <c r="J2258">
        <v>0</v>
      </c>
      <c r="K2258">
        <v>0</v>
      </c>
    </row>
    <row r="2259" spans="2:11" x14ac:dyDescent="0.25">
      <c r="B2259" t="s">
        <v>6</v>
      </c>
      <c r="C2259" t="s">
        <v>309</v>
      </c>
      <c r="D2259">
        <v>703360</v>
      </c>
      <c r="E2259" t="s">
        <v>226</v>
      </c>
      <c r="F2259" t="s">
        <v>21</v>
      </c>
      <c r="G2259" t="s">
        <v>22</v>
      </c>
      <c r="H2259" t="s">
        <v>23</v>
      </c>
      <c r="J2259">
        <v>0</v>
      </c>
      <c r="K2259">
        <v>0</v>
      </c>
    </row>
    <row r="2260" spans="2:11" x14ac:dyDescent="0.25">
      <c r="B2260" t="s">
        <v>6</v>
      </c>
      <c r="C2260" t="s">
        <v>309</v>
      </c>
      <c r="D2260">
        <v>703370</v>
      </c>
      <c r="E2260" t="s">
        <v>227</v>
      </c>
      <c r="F2260" t="s">
        <v>21</v>
      </c>
      <c r="G2260" t="s">
        <v>22</v>
      </c>
      <c r="H2260" t="s">
        <v>23</v>
      </c>
      <c r="J2260">
        <v>0</v>
      </c>
      <c r="K2260">
        <v>0</v>
      </c>
    </row>
    <row r="2261" spans="2:11" x14ac:dyDescent="0.25">
      <c r="B2261" t="s">
        <v>6</v>
      </c>
      <c r="C2261" t="s">
        <v>309</v>
      </c>
      <c r="D2261">
        <v>703410</v>
      </c>
      <c r="E2261" t="s">
        <v>228</v>
      </c>
      <c r="F2261" t="s">
        <v>21</v>
      </c>
      <c r="G2261" t="s">
        <v>22</v>
      </c>
      <c r="H2261" t="s">
        <v>23</v>
      </c>
      <c r="J2261">
        <v>0</v>
      </c>
      <c r="K2261">
        <v>0</v>
      </c>
    </row>
    <row r="2262" spans="2:11" x14ac:dyDescent="0.25">
      <c r="B2262" t="s">
        <v>6</v>
      </c>
      <c r="C2262" t="s">
        <v>309</v>
      </c>
      <c r="D2262">
        <v>703411</v>
      </c>
      <c r="E2262" t="s">
        <v>229</v>
      </c>
      <c r="F2262" t="s">
        <v>21</v>
      </c>
      <c r="G2262" t="s">
        <v>22</v>
      </c>
      <c r="H2262" t="s">
        <v>23</v>
      </c>
      <c r="J2262">
        <v>0</v>
      </c>
      <c r="K2262">
        <v>0</v>
      </c>
    </row>
    <row r="2263" spans="2:11" x14ac:dyDescent="0.25">
      <c r="B2263" t="s">
        <v>6</v>
      </c>
      <c r="C2263" t="s">
        <v>309</v>
      </c>
      <c r="D2263">
        <v>703412</v>
      </c>
      <c r="E2263" t="s">
        <v>230</v>
      </c>
      <c r="F2263" t="s">
        <v>21</v>
      </c>
      <c r="G2263" t="s">
        <v>22</v>
      </c>
      <c r="H2263" t="s">
        <v>23</v>
      </c>
      <c r="J2263">
        <v>0</v>
      </c>
      <c r="K2263">
        <v>0</v>
      </c>
    </row>
    <row r="2264" spans="2:11" x14ac:dyDescent="0.25">
      <c r="B2264" t="s">
        <v>6</v>
      </c>
      <c r="C2264" t="s">
        <v>309</v>
      </c>
      <c r="D2264">
        <v>703420</v>
      </c>
      <c r="E2264" t="s">
        <v>231</v>
      </c>
      <c r="F2264" t="s">
        <v>21</v>
      </c>
      <c r="G2264" t="s">
        <v>71</v>
      </c>
      <c r="H2264" t="s">
        <v>171</v>
      </c>
      <c r="J2264">
        <v>0</v>
      </c>
      <c r="K2264">
        <v>0</v>
      </c>
    </row>
    <row r="2265" spans="2:11" x14ac:dyDescent="0.25">
      <c r="B2265" t="s">
        <v>6</v>
      </c>
      <c r="C2265" t="s">
        <v>309</v>
      </c>
      <c r="D2265">
        <v>703421</v>
      </c>
      <c r="E2265" t="s">
        <v>232</v>
      </c>
      <c r="F2265" t="s">
        <v>21</v>
      </c>
      <c r="G2265" t="s">
        <v>22</v>
      </c>
      <c r="H2265" t="s">
        <v>23</v>
      </c>
      <c r="J2265">
        <v>0</v>
      </c>
      <c r="K2265">
        <v>0</v>
      </c>
    </row>
    <row r="2266" spans="2:11" x14ac:dyDescent="0.25">
      <c r="B2266" t="s">
        <v>6</v>
      </c>
      <c r="C2266" t="s">
        <v>309</v>
      </c>
      <c r="D2266">
        <v>703422</v>
      </c>
      <c r="E2266" t="s">
        <v>233</v>
      </c>
      <c r="F2266" t="s">
        <v>21</v>
      </c>
      <c r="G2266" t="s">
        <v>76</v>
      </c>
      <c r="H2266" t="s">
        <v>77</v>
      </c>
      <c r="J2266">
        <v>0</v>
      </c>
      <c r="K2266">
        <v>0</v>
      </c>
    </row>
    <row r="2267" spans="2:11" x14ac:dyDescent="0.25">
      <c r="B2267" t="s">
        <v>6</v>
      </c>
      <c r="C2267" t="s">
        <v>309</v>
      </c>
      <c r="D2267">
        <v>703423</v>
      </c>
      <c r="E2267" t="s">
        <v>234</v>
      </c>
      <c r="F2267" t="s">
        <v>21</v>
      </c>
      <c r="G2267" t="s">
        <v>71</v>
      </c>
      <c r="H2267" t="s">
        <v>88</v>
      </c>
      <c r="J2267">
        <v>0</v>
      </c>
      <c r="K2267">
        <v>0</v>
      </c>
    </row>
    <row r="2268" spans="2:11" x14ac:dyDescent="0.25">
      <c r="B2268" t="s">
        <v>6</v>
      </c>
      <c r="C2268" t="s">
        <v>309</v>
      </c>
      <c r="D2268">
        <v>703424</v>
      </c>
      <c r="E2268" t="s">
        <v>235</v>
      </c>
      <c r="F2268" t="s">
        <v>21</v>
      </c>
      <c r="G2268" t="s">
        <v>71</v>
      </c>
      <c r="H2268" t="s">
        <v>88</v>
      </c>
      <c r="J2268">
        <v>0</v>
      </c>
      <c r="K2268">
        <v>0</v>
      </c>
    </row>
    <row r="2269" spans="2:11" x14ac:dyDescent="0.25">
      <c r="B2269" t="s">
        <v>6</v>
      </c>
      <c r="C2269" t="s">
        <v>309</v>
      </c>
      <c r="D2269">
        <v>703425</v>
      </c>
      <c r="E2269" t="s">
        <v>236</v>
      </c>
      <c r="F2269" t="s">
        <v>21</v>
      </c>
      <c r="G2269" t="s">
        <v>76</v>
      </c>
      <c r="H2269" t="s">
        <v>77</v>
      </c>
      <c r="J2269">
        <v>0</v>
      </c>
      <c r="K2269">
        <v>0</v>
      </c>
    </row>
    <row r="2270" spans="2:11" x14ac:dyDescent="0.25">
      <c r="B2270" t="s">
        <v>6</v>
      </c>
      <c r="C2270" t="s">
        <v>309</v>
      </c>
      <c r="D2270">
        <v>703426</v>
      </c>
      <c r="E2270" t="s">
        <v>237</v>
      </c>
      <c r="F2270" t="s">
        <v>21</v>
      </c>
      <c r="G2270" t="s">
        <v>22</v>
      </c>
      <c r="H2270" t="s">
        <v>23</v>
      </c>
      <c r="J2270">
        <v>0</v>
      </c>
      <c r="K2270">
        <v>0</v>
      </c>
    </row>
    <row r="2271" spans="2:11" x14ac:dyDescent="0.25">
      <c r="B2271" t="s">
        <v>6</v>
      </c>
      <c r="C2271" t="s">
        <v>309</v>
      </c>
      <c r="D2271">
        <v>703427</v>
      </c>
      <c r="E2271" t="s">
        <v>238</v>
      </c>
      <c r="F2271" t="s">
        <v>21</v>
      </c>
      <c r="G2271" t="s">
        <v>76</v>
      </c>
      <c r="H2271" t="s">
        <v>77</v>
      </c>
      <c r="J2271">
        <v>0</v>
      </c>
      <c r="K2271">
        <v>0</v>
      </c>
    </row>
    <row r="2272" spans="2:11" x14ac:dyDescent="0.25">
      <c r="B2272" t="s">
        <v>6</v>
      </c>
      <c r="C2272" t="s">
        <v>309</v>
      </c>
      <c r="D2272">
        <v>703428</v>
      </c>
      <c r="E2272" t="s">
        <v>239</v>
      </c>
      <c r="F2272" t="s">
        <v>21</v>
      </c>
      <c r="G2272" t="s">
        <v>76</v>
      </c>
      <c r="H2272" t="s">
        <v>77</v>
      </c>
      <c r="J2272">
        <v>0</v>
      </c>
      <c r="K2272">
        <v>0</v>
      </c>
    </row>
    <row r="2273" spans="2:11" x14ac:dyDescent="0.25">
      <c r="B2273" t="s">
        <v>6</v>
      </c>
      <c r="C2273" t="s">
        <v>309</v>
      </c>
      <c r="D2273">
        <v>703429</v>
      </c>
      <c r="E2273" t="s">
        <v>240</v>
      </c>
      <c r="F2273" t="s">
        <v>21</v>
      </c>
      <c r="G2273" t="s">
        <v>76</v>
      </c>
      <c r="H2273" t="s">
        <v>77</v>
      </c>
      <c r="J2273">
        <v>0</v>
      </c>
      <c r="K2273">
        <v>0</v>
      </c>
    </row>
    <row r="2274" spans="2:11" x14ac:dyDescent="0.25">
      <c r="B2274" t="s">
        <v>6</v>
      </c>
      <c r="C2274" t="s">
        <v>309</v>
      </c>
      <c r="D2274">
        <v>703430</v>
      </c>
      <c r="E2274" t="s">
        <v>20</v>
      </c>
      <c r="F2274" t="s">
        <v>21</v>
      </c>
      <c r="G2274" t="s">
        <v>22</v>
      </c>
      <c r="H2274" t="s">
        <v>23</v>
      </c>
      <c r="J2274">
        <v>0</v>
      </c>
      <c r="K2274">
        <v>0</v>
      </c>
    </row>
    <row r="2275" spans="2:11" x14ac:dyDescent="0.25">
      <c r="B2275" t="s">
        <v>6</v>
      </c>
      <c r="C2275" t="s">
        <v>309</v>
      </c>
      <c r="D2275">
        <v>703431</v>
      </c>
      <c r="E2275" t="s">
        <v>241</v>
      </c>
      <c r="F2275" t="s">
        <v>21</v>
      </c>
      <c r="G2275" t="s">
        <v>22</v>
      </c>
      <c r="H2275" t="s">
        <v>23</v>
      </c>
      <c r="J2275">
        <v>0</v>
      </c>
      <c r="K2275">
        <v>0</v>
      </c>
    </row>
    <row r="2276" spans="2:11" x14ac:dyDescent="0.25">
      <c r="B2276" t="s">
        <v>6</v>
      </c>
      <c r="C2276" t="s">
        <v>309</v>
      </c>
      <c r="D2276">
        <v>703432</v>
      </c>
      <c r="E2276" t="s">
        <v>242</v>
      </c>
      <c r="F2276" t="s">
        <v>21</v>
      </c>
      <c r="G2276" t="s">
        <v>22</v>
      </c>
      <c r="H2276" t="s">
        <v>23</v>
      </c>
      <c r="J2276">
        <v>0</v>
      </c>
      <c r="K2276">
        <v>0</v>
      </c>
    </row>
    <row r="2277" spans="2:11" x14ac:dyDescent="0.25">
      <c r="B2277" t="s">
        <v>6</v>
      </c>
      <c r="C2277" t="s">
        <v>309</v>
      </c>
      <c r="D2277">
        <v>703433</v>
      </c>
      <c r="E2277" t="s">
        <v>243</v>
      </c>
      <c r="F2277" t="s">
        <v>21</v>
      </c>
      <c r="G2277" t="s">
        <v>71</v>
      </c>
      <c r="H2277" t="s">
        <v>88</v>
      </c>
      <c r="J2277">
        <v>0</v>
      </c>
      <c r="K2277">
        <v>0</v>
      </c>
    </row>
    <row r="2278" spans="2:11" x14ac:dyDescent="0.25">
      <c r="B2278" t="s">
        <v>6</v>
      </c>
      <c r="C2278" t="s">
        <v>309</v>
      </c>
      <c r="D2278">
        <v>703434</v>
      </c>
      <c r="E2278" t="s">
        <v>244</v>
      </c>
      <c r="F2278" t="s">
        <v>21</v>
      </c>
      <c r="G2278" t="s">
        <v>22</v>
      </c>
      <c r="H2278" t="s">
        <v>23</v>
      </c>
      <c r="J2278">
        <v>0</v>
      </c>
      <c r="K2278">
        <v>0</v>
      </c>
    </row>
    <row r="2279" spans="2:11" x14ac:dyDescent="0.25">
      <c r="B2279" t="s">
        <v>6</v>
      </c>
      <c r="C2279" t="s">
        <v>309</v>
      </c>
      <c r="D2279">
        <v>703435</v>
      </c>
      <c r="E2279" t="s">
        <v>245</v>
      </c>
      <c r="F2279" t="s">
        <v>21</v>
      </c>
      <c r="G2279" t="s">
        <v>71</v>
      </c>
      <c r="H2279" t="s">
        <v>88</v>
      </c>
      <c r="J2279">
        <v>0</v>
      </c>
      <c r="K2279">
        <v>0</v>
      </c>
    </row>
    <row r="2280" spans="2:11" x14ac:dyDescent="0.25">
      <c r="B2280" t="s">
        <v>6</v>
      </c>
      <c r="C2280" t="s">
        <v>309</v>
      </c>
      <c r="D2280">
        <v>703436</v>
      </c>
      <c r="E2280" t="s">
        <v>246</v>
      </c>
      <c r="F2280" t="s">
        <v>21</v>
      </c>
      <c r="G2280" t="s">
        <v>71</v>
      </c>
      <c r="H2280" t="s">
        <v>88</v>
      </c>
      <c r="J2280">
        <v>0</v>
      </c>
      <c r="K2280">
        <v>0</v>
      </c>
    </row>
    <row r="2281" spans="2:11" x14ac:dyDescent="0.25">
      <c r="B2281" t="s">
        <v>6</v>
      </c>
      <c r="C2281" t="s">
        <v>309</v>
      </c>
      <c r="D2281">
        <v>703437</v>
      </c>
      <c r="E2281" t="s">
        <v>247</v>
      </c>
      <c r="F2281" t="s">
        <v>21</v>
      </c>
      <c r="G2281" t="s">
        <v>71</v>
      </c>
      <c r="H2281" t="s">
        <v>88</v>
      </c>
      <c r="J2281">
        <v>0</v>
      </c>
      <c r="K2281">
        <v>0</v>
      </c>
    </row>
    <row r="2282" spans="2:11" x14ac:dyDescent="0.25">
      <c r="B2282" t="s">
        <v>6</v>
      </c>
      <c r="C2282" t="s">
        <v>309</v>
      </c>
      <c r="D2282">
        <v>703438</v>
      </c>
      <c r="E2282" t="s">
        <v>248</v>
      </c>
      <c r="F2282" t="s">
        <v>21</v>
      </c>
      <c r="G2282" t="s">
        <v>71</v>
      </c>
      <c r="H2282" t="s">
        <v>88</v>
      </c>
      <c r="J2282">
        <v>0</v>
      </c>
      <c r="K2282">
        <v>0</v>
      </c>
    </row>
    <row r="2283" spans="2:11" x14ac:dyDescent="0.25">
      <c r="B2283" t="s">
        <v>6</v>
      </c>
      <c r="C2283" t="s">
        <v>309</v>
      </c>
      <c r="D2283">
        <v>703439</v>
      </c>
      <c r="E2283" t="s">
        <v>249</v>
      </c>
      <c r="F2283" t="s">
        <v>21</v>
      </c>
      <c r="G2283" t="s">
        <v>22</v>
      </c>
      <c r="H2283" t="s">
        <v>23</v>
      </c>
      <c r="J2283">
        <v>0</v>
      </c>
      <c r="K2283">
        <v>0</v>
      </c>
    </row>
    <row r="2284" spans="2:11" x14ac:dyDescent="0.25">
      <c r="B2284" t="s">
        <v>6</v>
      </c>
      <c r="C2284" t="s">
        <v>309</v>
      </c>
      <c r="D2284">
        <v>703440</v>
      </c>
      <c r="E2284" t="s">
        <v>250</v>
      </c>
      <c r="F2284" t="s">
        <v>21</v>
      </c>
      <c r="G2284" t="s">
        <v>61</v>
      </c>
      <c r="H2284" t="s">
        <v>68</v>
      </c>
      <c r="J2284">
        <v>0</v>
      </c>
      <c r="K2284">
        <v>0</v>
      </c>
    </row>
    <row r="2285" spans="2:11" x14ac:dyDescent="0.25">
      <c r="B2285" t="s">
        <v>6</v>
      </c>
      <c r="C2285" t="s">
        <v>309</v>
      </c>
      <c r="D2285">
        <v>703441</v>
      </c>
      <c r="E2285" t="s">
        <v>251</v>
      </c>
      <c r="F2285" t="s">
        <v>21</v>
      </c>
      <c r="G2285" t="s">
        <v>61</v>
      </c>
      <c r="H2285" t="s">
        <v>79</v>
      </c>
      <c r="J2285">
        <v>0</v>
      </c>
      <c r="K2285">
        <v>0</v>
      </c>
    </row>
    <row r="2286" spans="2:11" x14ac:dyDescent="0.25">
      <c r="B2286" t="s">
        <v>6</v>
      </c>
      <c r="C2286" t="s">
        <v>309</v>
      </c>
      <c r="D2286">
        <v>703442</v>
      </c>
      <c r="E2286" t="s">
        <v>252</v>
      </c>
      <c r="F2286" t="s">
        <v>21</v>
      </c>
      <c r="G2286" t="s">
        <v>76</v>
      </c>
      <c r="H2286" t="s">
        <v>77</v>
      </c>
      <c r="J2286">
        <v>0</v>
      </c>
      <c r="K2286">
        <v>0</v>
      </c>
    </row>
    <row r="2287" spans="2:11" x14ac:dyDescent="0.25">
      <c r="B2287" t="s">
        <v>6</v>
      </c>
      <c r="C2287" t="s">
        <v>309</v>
      </c>
      <c r="D2287">
        <v>703443</v>
      </c>
      <c r="E2287" t="s">
        <v>253</v>
      </c>
      <c r="F2287" t="s">
        <v>21</v>
      </c>
      <c r="G2287" t="s">
        <v>71</v>
      </c>
      <c r="H2287" t="s">
        <v>88</v>
      </c>
      <c r="J2287">
        <v>0</v>
      </c>
      <c r="K2287">
        <v>0</v>
      </c>
    </row>
    <row r="2288" spans="2:11" x14ac:dyDescent="0.25">
      <c r="B2288" t="s">
        <v>6</v>
      </c>
      <c r="C2288" t="s">
        <v>309</v>
      </c>
      <c r="D2288">
        <v>703444</v>
      </c>
      <c r="E2288" t="s">
        <v>254</v>
      </c>
      <c r="F2288" t="s">
        <v>21</v>
      </c>
      <c r="G2288" t="s">
        <v>22</v>
      </c>
      <c r="H2288" t="s">
        <v>23</v>
      </c>
      <c r="J2288">
        <v>0</v>
      </c>
      <c r="K2288">
        <v>0</v>
      </c>
    </row>
    <row r="2289" spans="2:11" x14ac:dyDescent="0.25">
      <c r="B2289" t="s">
        <v>6</v>
      </c>
      <c r="C2289" t="s">
        <v>309</v>
      </c>
      <c r="D2289">
        <v>703445</v>
      </c>
      <c r="E2289" t="s">
        <v>255</v>
      </c>
      <c r="F2289" t="s">
        <v>21</v>
      </c>
      <c r="G2289" t="s">
        <v>22</v>
      </c>
      <c r="H2289" t="s">
        <v>23</v>
      </c>
      <c r="J2289">
        <v>0</v>
      </c>
      <c r="K2289">
        <v>0</v>
      </c>
    </row>
    <row r="2290" spans="2:11" x14ac:dyDescent="0.25">
      <c r="B2290" t="s">
        <v>6</v>
      </c>
      <c r="C2290" t="s">
        <v>309</v>
      </c>
      <c r="D2290">
        <v>703446</v>
      </c>
      <c r="E2290" t="s">
        <v>256</v>
      </c>
      <c r="F2290" t="s">
        <v>21</v>
      </c>
      <c r="G2290" t="s">
        <v>22</v>
      </c>
      <c r="H2290" t="s">
        <v>23</v>
      </c>
      <c r="J2290">
        <v>0</v>
      </c>
      <c r="K2290">
        <v>0</v>
      </c>
    </row>
    <row r="2291" spans="2:11" x14ac:dyDescent="0.25">
      <c r="B2291" t="s">
        <v>6</v>
      </c>
      <c r="C2291" t="s">
        <v>309</v>
      </c>
      <c r="D2291">
        <v>703447</v>
      </c>
      <c r="E2291" t="s">
        <v>257</v>
      </c>
      <c r="F2291" t="s">
        <v>21</v>
      </c>
      <c r="G2291" t="s">
        <v>22</v>
      </c>
      <c r="H2291" t="s">
        <v>23</v>
      </c>
      <c r="J2291">
        <v>0</v>
      </c>
      <c r="K2291">
        <v>0</v>
      </c>
    </row>
    <row r="2292" spans="2:11" x14ac:dyDescent="0.25">
      <c r="B2292" t="s">
        <v>6</v>
      </c>
      <c r="C2292" t="s">
        <v>309</v>
      </c>
      <c r="D2292">
        <v>703448</v>
      </c>
      <c r="E2292" t="s">
        <v>258</v>
      </c>
      <c r="F2292" t="s">
        <v>21</v>
      </c>
      <c r="G2292" t="s">
        <v>22</v>
      </c>
      <c r="H2292" t="s">
        <v>23</v>
      </c>
      <c r="J2292">
        <v>0</v>
      </c>
      <c r="K2292">
        <v>0</v>
      </c>
    </row>
    <row r="2293" spans="2:11" x14ac:dyDescent="0.25">
      <c r="B2293" t="s">
        <v>6</v>
      </c>
      <c r="C2293" t="s">
        <v>309</v>
      </c>
      <c r="D2293">
        <v>703449</v>
      </c>
      <c r="E2293" t="s">
        <v>259</v>
      </c>
      <c r="F2293" t="s">
        <v>21</v>
      </c>
      <c r="G2293" t="s">
        <v>22</v>
      </c>
      <c r="H2293" t="s">
        <v>23</v>
      </c>
      <c r="J2293">
        <v>0</v>
      </c>
      <c r="K2293">
        <v>0</v>
      </c>
    </row>
    <row r="2294" spans="2:11" x14ac:dyDescent="0.25">
      <c r="B2294" t="s">
        <v>6</v>
      </c>
      <c r="C2294" t="s">
        <v>309</v>
      </c>
      <c r="D2294">
        <v>703450</v>
      </c>
      <c r="E2294" t="s">
        <v>260</v>
      </c>
      <c r="F2294" t="s">
        <v>21</v>
      </c>
      <c r="G2294" t="s">
        <v>71</v>
      </c>
      <c r="H2294" t="s">
        <v>88</v>
      </c>
      <c r="J2294">
        <v>0</v>
      </c>
      <c r="K2294">
        <v>0</v>
      </c>
    </row>
    <row r="2295" spans="2:11" x14ac:dyDescent="0.25">
      <c r="B2295" t="s">
        <v>6</v>
      </c>
      <c r="C2295" t="s">
        <v>309</v>
      </c>
      <c r="D2295">
        <v>703510</v>
      </c>
      <c r="E2295" t="s">
        <v>261</v>
      </c>
      <c r="F2295" t="s">
        <v>21</v>
      </c>
      <c r="G2295" t="s">
        <v>22</v>
      </c>
      <c r="H2295" t="s">
        <v>23</v>
      </c>
      <c r="J2295">
        <v>0</v>
      </c>
      <c r="K2295">
        <v>0</v>
      </c>
    </row>
    <row r="2296" spans="2:11" x14ac:dyDescent="0.25">
      <c r="B2296" t="s">
        <v>6</v>
      </c>
      <c r="C2296" t="s">
        <v>309</v>
      </c>
      <c r="D2296">
        <v>703511</v>
      </c>
      <c r="E2296" t="s">
        <v>262</v>
      </c>
      <c r="F2296" t="s">
        <v>21</v>
      </c>
      <c r="G2296" t="s">
        <v>22</v>
      </c>
      <c r="H2296" t="s">
        <v>23</v>
      </c>
      <c r="J2296">
        <v>0</v>
      </c>
      <c r="K2296">
        <v>0</v>
      </c>
    </row>
    <row r="2297" spans="2:11" x14ac:dyDescent="0.25">
      <c r="B2297" t="s">
        <v>6</v>
      </c>
      <c r="C2297" t="s">
        <v>309</v>
      </c>
      <c r="D2297">
        <v>703512</v>
      </c>
      <c r="E2297" t="s">
        <v>263</v>
      </c>
      <c r="F2297" t="s">
        <v>21</v>
      </c>
      <c r="G2297" t="s">
        <v>22</v>
      </c>
      <c r="H2297" t="s">
        <v>23</v>
      </c>
      <c r="J2297">
        <v>0</v>
      </c>
      <c r="K2297">
        <v>0</v>
      </c>
    </row>
    <row r="2298" spans="2:11" x14ac:dyDescent="0.25">
      <c r="B2298" t="s">
        <v>6</v>
      </c>
      <c r="C2298" t="s">
        <v>309</v>
      </c>
      <c r="D2298">
        <v>703513</v>
      </c>
      <c r="E2298" t="s">
        <v>264</v>
      </c>
      <c r="F2298" t="s">
        <v>21</v>
      </c>
      <c r="G2298" t="s">
        <v>22</v>
      </c>
      <c r="H2298" t="s">
        <v>23</v>
      </c>
      <c r="J2298">
        <v>0</v>
      </c>
      <c r="K2298">
        <v>0</v>
      </c>
    </row>
    <row r="2299" spans="2:11" x14ac:dyDescent="0.25">
      <c r="B2299" t="s">
        <v>6</v>
      </c>
      <c r="C2299" t="s">
        <v>309</v>
      </c>
      <c r="D2299">
        <v>703514</v>
      </c>
      <c r="E2299" t="s">
        <v>265</v>
      </c>
      <c r="F2299" t="s">
        <v>21</v>
      </c>
      <c r="G2299" t="s">
        <v>22</v>
      </c>
      <c r="H2299" t="s">
        <v>23</v>
      </c>
      <c r="J2299">
        <v>0</v>
      </c>
      <c r="K2299">
        <v>0</v>
      </c>
    </row>
    <row r="2300" spans="2:11" x14ac:dyDescent="0.25">
      <c r="B2300" t="s">
        <v>6</v>
      </c>
      <c r="C2300" t="s">
        <v>309</v>
      </c>
      <c r="D2300">
        <v>703515</v>
      </c>
      <c r="E2300" t="s">
        <v>266</v>
      </c>
      <c r="F2300" t="s">
        <v>21</v>
      </c>
      <c r="G2300" t="s">
        <v>22</v>
      </c>
      <c r="H2300" t="s">
        <v>23</v>
      </c>
      <c r="J2300">
        <v>0</v>
      </c>
      <c r="K2300">
        <v>0</v>
      </c>
    </row>
    <row r="2301" spans="2:11" x14ac:dyDescent="0.25">
      <c r="B2301" t="s">
        <v>6</v>
      </c>
      <c r="C2301" t="s">
        <v>309</v>
      </c>
      <c r="D2301">
        <v>703520</v>
      </c>
      <c r="E2301" t="s">
        <v>267</v>
      </c>
      <c r="F2301" t="s">
        <v>21</v>
      </c>
      <c r="G2301" t="s">
        <v>22</v>
      </c>
      <c r="H2301" t="s">
        <v>23</v>
      </c>
      <c r="J2301">
        <v>0</v>
      </c>
      <c r="K2301">
        <v>0</v>
      </c>
    </row>
    <row r="2302" spans="2:11" x14ac:dyDescent="0.25">
      <c r="B2302" t="s">
        <v>6</v>
      </c>
      <c r="C2302" t="s">
        <v>309</v>
      </c>
      <c r="D2302">
        <v>703530</v>
      </c>
      <c r="E2302" t="s">
        <v>268</v>
      </c>
      <c r="F2302" t="s">
        <v>21</v>
      </c>
      <c r="G2302" t="s">
        <v>22</v>
      </c>
      <c r="H2302" t="s">
        <v>23</v>
      </c>
      <c r="J2302">
        <v>0</v>
      </c>
      <c r="K2302">
        <v>0</v>
      </c>
    </row>
    <row r="2303" spans="2:11" x14ac:dyDescent="0.25">
      <c r="B2303" t="s">
        <v>6</v>
      </c>
      <c r="C2303" t="s">
        <v>309</v>
      </c>
      <c r="D2303">
        <v>703540</v>
      </c>
      <c r="E2303" t="s">
        <v>269</v>
      </c>
      <c r="F2303" t="s">
        <v>21</v>
      </c>
      <c r="G2303" t="s">
        <v>22</v>
      </c>
      <c r="H2303" t="s">
        <v>23</v>
      </c>
      <c r="J2303">
        <v>0</v>
      </c>
      <c r="K2303">
        <v>0</v>
      </c>
    </row>
    <row r="2304" spans="2:11" x14ac:dyDescent="0.25">
      <c r="B2304" t="s">
        <v>6</v>
      </c>
      <c r="C2304" t="s">
        <v>309</v>
      </c>
      <c r="D2304">
        <v>703550</v>
      </c>
      <c r="E2304" t="s">
        <v>270</v>
      </c>
      <c r="F2304" t="s">
        <v>21</v>
      </c>
      <c r="G2304" t="s">
        <v>22</v>
      </c>
      <c r="H2304" t="s">
        <v>23</v>
      </c>
      <c r="J2304">
        <v>0</v>
      </c>
      <c r="K2304">
        <v>0</v>
      </c>
    </row>
    <row r="2305" spans="2:11" x14ac:dyDescent="0.25">
      <c r="B2305" t="s">
        <v>6</v>
      </c>
      <c r="C2305" t="s">
        <v>309</v>
      </c>
      <c r="D2305">
        <v>703560</v>
      </c>
      <c r="E2305" t="s">
        <v>271</v>
      </c>
      <c r="F2305" t="s">
        <v>21</v>
      </c>
      <c r="G2305" t="s">
        <v>22</v>
      </c>
      <c r="H2305" t="s">
        <v>23</v>
      </c>
      <c r="J2305">
        <v>0</v>
      </c>
      <c r="K2305">
        <v>0</v>
      </c>
    </row>
    <row r="2306" spans="2:11" x14ac:dyDescent="0.25">
      <c r="B2306" t="s">
        <v>6</v>
      </c>
      <c r="C2306" t="s">
        <v>309</v>
      </c>
      <c r="D2306">
        <v>703570</v>
      </c>
      <c r="E2306" t="s">
        <v>272</v>
      </c>
      <c r="F2306" t="s">
        <v>21</v>
      </c>
      <c r="G2306" t="s">
        <v>22</v>
      </c>
      <c r="H2306" t="s">
        <v>23</v>
      </c>
      <c r="J2306">
        <v>0</v>
      </c>
      <c r="K2306">
        <v>0</v>
      </c>
    </row>
    <row r="2307" spans="2:11" x14ac:dyDescent="0.25">
      <c r="B2307" t="s">
        <v>6</v>
      </c>
      <c r="C2307" t="s">
        <v>309</v>
      </c>
      <c r="D2307">
        <v>703571</v>
      </c>
      <c r="E2307" t="s">
        <v>273</v>
      </c>
      <c r="F2307" t="s">
        <v>21</v>
      </c>
      <c r="G2307" t="s">
        <v>22</v>
      </c>
      <c r="H2307" t="s">
        <v>23</v>
      </c>
      <c r="J2307">
        <v>0</v>
      </c>
    </row>
    <row r="2308" spans="2:11" x14ac:dyDescent="0.25">
      <c r="B2308" t="s">
        <v>6</v>
      </c>
      <c r="C2308" t="s">
        <v>309</v>
      </c>
      <c r="D2308">
        <v>703572</v>
      </c>
      <c r="E2308" t="s">
        <v>274</v>
      </c>
      <c r="F2308" t="s">
        <v>21</v>
      </c>
      <c r="G2308" t="s">
        <v>22</v>
      </c>
      <c r="H2308" t="s">
        <v>23</v>
      </c>
      <c r="J2308">
        <v>0</v>
      </c>
    </row>
    <row r="2309" spans="2:11" x14ac:dyDescent="0.25">
      <c r="B2309" t="s">
        <v>6</v>
      </c>
      <c r="C2309" t="s">
        <v>309</v>
      </c>
      <c r="D2309">
        <v>703573</v>
      </c>
      <c r="E2309" t="s">
        <v>275</v>
      </c>
      <c r="F2309" t="s">
        <v>21</v>
      </c>
      <c r="G2309" t="s">
        <v>22</v>
      </c>
      <c r="H2309" t="s">
        <v>23</v>
      </c>
      <c r="J2309">
        <v>0</v>
      </c>
    </row>
    <row r="2310" spans="2:11" x14ac:dyDescent="0.25">
      <c r="B2310" t="s">
        <v>6</v>
      </c>
      <c r="C2310" t="s">
        <v>309</v>
      </c>
      <c r="D2310">
        <v>703574</v>
      </c>
      <c r="E2310" t="s">
        <v>276</v>
      </c>
      <c r="F2310" t="s">
        <v>21</v>
      </c>
      <c r="G2310" t="s">
        <v>22</v>
      </c>
      <c r="H2310" t="s">
        <v>23</v>
      </c>
      <c r="J2310">
        <v>0</v>
      </c>
    </row>
    <row r="2311" spans="2:11" x14ac:dyDescent="0.25">
      <c r="B2311" t="s">
        <v>6</v>
      </c>
      <c r="C2311" t="s">
        <v>309</v>
      </c>
      <c r="D2311">
        <v>703580</v>
      </c>
      <c r="E2311" t="s">
        <v>277</v>
      </c>
      <c r="F2311" t="s">
        <v>21</v>
      </c>
      <c r="G2311" t="s">
        <v>22</v>
      </c>
      <c r="H2311" t="s">
        <v>23</v>
      </c>
      <c r="J2311">
        <v>0</v>
      </c>
      <c r="K2311">
        <v>0</v>
      </c>
    </row>
    <row r="2312" spans="2:11" x14ac:dyDescent="0.25">
      <c r="B2312" t="s">
        <v>6</v>
      </c>
      <c r="C2312" t="s">
        <v>309</v>
      </c>
      <c r="D2312">
        <v>703590</v>
      </c>
      <c r="E2312" t="s">
        <v>278</v>
      </c>
      <c r="F2312" t="s">
        <v>21</v>
      </c>
      <c r="G2312" t="s">
        <v>22</v>
      </c>
      <c r="H2312" t="s">
        <v>23</v>
      </c>
      <c r="J2312">
        <v>0</v>
      </c>
      <c r="K2312">
        <v>0</v>
      </c>
    </row>
    <row r="2313" spans="2:11" x14ac:dyDescent="0.25">
      <c r="B2313" t="s">
        <v>6</v>
      </c>
      <c r="C2313" t="s">
        <v>309</v>
      </c>
      <c r="D2313">
        <v>703650</v>
      </c>
      <c r="E2313" t="s">
        <v>279</v>
      </c>
      <c r="F2313" t="s">
        <v>21</v>
      </c>
      <c r="G2313" t="s">
        <v>22</v>
      </c>
      <c r="H2313" t="s">
        <v>23</v>
      </c>
      <c r="J2313">
        <v>0</v>
      </c>
      <c r="K2313">
        <v>0</v>
      </c>
    </row>
    <row r="2314" spans="2:11" x14ac:dyDescent="0.25">
      <c r="B2314" t="s">
        <v>6</v>
      </c>
      <c r="C2314" t="s">
        <v>309</v>
      </c>
      <c r="D2314">
        <v>703651</v>
      </c>
      <c r="E2314" t="s">
        <v>280</v>
      </c>
      <c r="F2314" t="s">
        <v>21</v>
      </c>
      <c r="G2314" t="s">
        <v>22</v>
      </c>
      <c r="H2314" t="s">
        <v>23</v>
      </c>
      <c r="J2314">
        <v>0</v>
      </c>
      <c r="K2314">
        <v>0</v>
      </c>
    </row>
    <row r="2315" spans="2:11" x14ac:dyDescent="0.25">
      <c r="B2315" t="s">
        <v>6</v>
      </c>
      <c r="C2315" t="s">
        <v>309</v>
      </c>
      <c r="D2315">
        <v>703850</v>
      </c>
      <c r="E2315" t="s">
        <v>281</v>
      </c>
      <c r="F2315" t="s">
        <v>21</v>
      </c>
      <c r="G2315" t="s">
        <v>22</v>
      </c>
      <c r="H2315" t="s">
        <v>23</v>
      </c>
      <c r="J2315">
        <v>0</v>
      </c>
      <c r="K2315">
        <v>0</v>
      </c>
    </row>
    <row r="2316" spans="2:11" x14ac:dyDescent="0.25">
      <c r="B2316" t="s">
        <v>6</v>
      </c>
      <c r="C2316" t="s">
        <v>309</v>
      </c>
      <c r="D2316">
        <v>703851</v>
      </c>
      <c r="E2316" t="s">
        <v>282</v>
      </c>
      <c r="F2316" t="s">
        <v>21</v>
      </c>
      <c r="G2316" t="s">
        <v>22</v>
      </c>
      <c r="H2316" t="s">
        <v>23</v>
      </c>
      <c r="J2316">
        <v>0</v>
      </c>
      <c r="K2316">
        <v>0</v>
      </c>
    </row>
    <row r="2317" spans="2:11" x14ac:dyDescent="0.25">
      <c r="B2317" t="s">
        <v>6</v>
      </c>
      <c r="C2317" t="s">
        <v>309</v>
      </c>
      <c r="D2317">
        <v>703852</v>
      </c>
      <c r="E2317" t="s">
        <v>283</v>
      </c>
      <c r="F2317" t="s">
        <v>21</v>
      </c>
      <c r="G2317" t="s">
        <v>22</v>
      </c>
      <c r="H2317" t="s">
        <v>23</v>
      </c>
      <c r="J2317">
        <v>0</v>
      </c>
      <c r="K2317">
        <v>0</v>
      </c>
    </row>
    <row r="2318" spans="2:11" x14ac:dyDescent="0.25">
      <c r="B2318" t="s">
        <v>6</v>
      </c>
      <c r="C2318" t="s">
        <v>309</v>
      </c>
      <c r="D2318">
        <v>703853</v>
      </c>
      <c r="E2318" t="s">
        <v>284</v>
      </c>
      <c r="F2318" t="s">
        <v>21</v>
      </c>
      <c r="G2318" t="s">
        <v>22</v>
      </c>
      <c r="H2318" t="s">
        <v>23</v>
      </c>
      <c r="J2318">
        <v>0</v>
      </c>
      <c r="K2318">
        <v>0</v>
      </c>
    </row>
    <row r="2319" spans="2:11" x14ac:dyDescent="0.25">
      <c r="B2319" t="s">
        <v>6</v>
      </c>
      <c r="C2319" t="s">
        <v>309</v>
      </c>
      <c r="D2319">
        <v>703854</v>
      </c>
      <c r="E2319" t="s">
        <v>285</v>
      </c>
      <c r="F2319" t="s">
        <v>21</v>
      </c>
      <c r="G2319" t="s">
        <v>22</v>
      </c>
      <c r="H2319" t="s">
        <v>115</v>
      </c>
      <c r="J2319">
        <v>0</v>
      </c>
      <c r="K2319">
        <v>0</v>
      </c>
    </row>
    <row r="2320" spans="2:11" x14ac:dyDescent="0.25">
      <c r="B2320" t="s">
        <v>6</v>
      </c>
      <c r="C2320" t="s">
        <v>309</v>
      </c>
      <c r="D2320">
        <v>703855</v>
      </c>
      <c r="E2320" t="s">
        <v>286</v>
      </c>
      <c r="F2320" t="s">
        <v>21</v>
      </c>
      <c r="G2320" t="s">
        <v>22</v>
      </c>
      <c r="H2320" t="s">
        <v>23</v>
      </c>
      <c r="J2320">
        <v>0</v>
      </c>
      <c r="K2320">
        <v>0</v>
      </c>
    </row>
    <row r="2321" spans="2:11" x14ac:dyDescent="0.25">
      <c r="B2321" t="s">
        <v>6</v>
      </c>
      <c r="C2321" t="s">
        <v>309</v>
      </c>
      <c r="D2321">
        <v>703856</v>
      </c>
      <c r="E2321" t="s">
        <v>287</v>
      </c>
      <c r="F2321" t="s">
        <v>21</v>
      </c>
      <c r="G2321" t="s">
        <v>22</v>
      </c>
      <c r="H2321" t="s">
        <v>23</v>
      </c>
      <c r="J2321">
        <v>0</v>
      </c>
      <c r="K2321">
        <v>0</v>
      </c>
    </row>
    <row r="2322" spans="2:11" x14ac:dyDescent="0.25">
      <c r="B2322" t="s">
        <v>6</v>
      </c>
      <c r="C2322" t="s">
        <v>309</v>
      </c>
      <c r="D2322">
        <v>703857</v>
      </c>
      <c r="E2322" t="s">
        <v>288</v>
      </c>
      <c r="F2322" t="s">
        <v>21</v>
      </c>
      <c r="G2322" t="s">
        <v>71</v>
      </c>
      <c r="H2322" t="s">
        <v>88</v>
      </c>
      <c r="J2322">
        <v>0</v>
      </c>
      <c r="K2322">
        <v>0</v>
      </c>
    </row>
    <row r="2323" spans="2:11" x14ac:dyDescent="0.25">
      <c r="B2323" t="s">
        <v>6</v>
      </c>
      <c r="C2323" t="s">
        <v>309</v>
      </c>
      <c r="D2323">
        <v>703858</v>
      </c>
      <c r="E2323" t="s">
        <v>289</v>
      </c>
      <c r="F2323" t="s">
        <v>21</v>
      </c>
      <c r="G2323" t="s">
        <v>22</v>
      </c>
      <c r="H2323" t="s">
        <v>23</v>
      </c>
      <c r="J2323">
        <v>0</v>
      </c>
      <c r="K2323">
        <v>0</v>
      </c>
    </row>
    <row r="2324" spans="2:11" x14ac:dyDescent="0.25">
      <c r="B2324" t="s">
        <v>6</v>
      </c>
      <c r="C2324" t="s">
        <v>309</v>
      </c>
      <c r="D2324">
        <v>703859</v>
      </c>
      <c r="E2324" t="s">
        <v>290</v>
      </c>
      <c r="F2324" t="s">
        <v>21</v>
      </c>
      <c r="G2324" t="s">
        <v>22</v>
      </c>
      <c r="H2324" t="s">
        <v>23</v>
      </c>
      <c r="J2324">
        <v>0</v>
      </c>
      <c r="K2324">
        <v>0</v>
      </c>
    </row>
    <row r="2325" spans="2:11" x14ac:dyDescent="0.25">
      <c r="B2325" t="s">
        <v>6</v>
      </c>
      <c r="C2325" t="s">
        <v>309</v>
      </c>
      <c r="D2325">
        <v>703860</v>
      </c>
      <c r="E2325" t="s">
        <v>291</v>
      </c>
      <c r="F2325" t="s">
        <v>21</v>
      </c>
      <c r="G2325" t="s">
        <v>22</v>
      </c>
      <c r="H2325" t="s">
        <v>23</v>
      </c>
      <c r="J2325">
        <v>0</v>
      </c>
      <c r="K2325">
        <v>0</v>
      </c>
    </row>
    <row r="2326" spans="2:11" x14ac:dyDescent="0.25">
      <c r="B2326" t="s">
        <v>6</v>
      </c>
      <c r="C2326" t="s">
        <v>309</v>
      </c>
      <c r="D2326">
        <v>703861</v>
      </c>
      <c r="E2326" t="s">
        <v>292</v>
      </c>
      <c r="F2326" t="s">
        <v>21</v>
      </c>
      <c r="G2326" t="s">
        <v>22</v>
      </c>
      <c r="H2326" t="s">
        <v>23</v>
      </c>
      <c r="J2326">
        <v>0</v>
      </c>
      <c r="K2326">
        <v>0</v>
      </c>
    </row>
    <row r="2327" spans="2:11" x14ac:dyDescent="0.25">
      <c r="B2327" t="s">
        <v>6</v>
      </c>
      <c r="C2327" t="s">
        <v>309</v>
      </c>
      <c r="D2327">
        <v>703862</v>
      </c>
      <c r="E2327" t="s">
        <v>293</v>
      </c>
      <c r="F2327" t="s">
        <v>21</v>
      </c>
      <c r="G2327" t="s">
        <v>22</v>
      </c>
      <c r="H2327" t="s">
        <v>23</v>
      </c>
      <c r="J2327">
        <v>0</v>
      </c>
      <c r="K2327">
        <v>0</v>
      </c>
    </row>
    <row r="2328" spans="2:11" x14ac:dyDescent="0.25">
      <c r="B2328" t="s">
        <v>6</v>
      </c>
      <c r="C2328" t="s">
        <v>309</v>
      </c>
      <c r="D2328">
        <v>703870</v>
      </c>
      <c r="E2328" t="s">
        <v>294</v>
      </c>
      <c r="F2328" t="s">
        <v>21</v>
      </c>
      <c r="G2328" t="s">
        <v>22</v>
      </c>
      <c r="H2328" t="s">
        <v>23</v>
      </c>
      <c r="J2328">
        <v>0</v>
      </c>
      <c r="K2328">
        <v>0</v>
      </c>
    </row>
    <row r="2329" spans="2:11" x14ac:dyDescent="0.25">
      <c r="B2329" t="s">
        <v>6</v>
      </c>
      <c r="C2329" t="s">
        <v>309</v>
      </c>
      <c r="D2329">
        <v>703880</v>
      </c>
      <c r="E2329" t="s">
        <v>295</v>
      </c>
      <c r="F2329" t="s">
        <v>21</v>
      </c>
      <c r="G2329" t="s">
        <v>22</v>
      </c>
      <c r="H2329" t="s">
        <v>23</v>
      </c>
      <c r="J2329">
        <v>0</v>
      </c>
      <c r="K2329">
        <v>0</v>
      </c>
    </row>
    <row r="2330" spans="2:11" x14ac:dyDescent="0.25">
      <c r="B2330" t="s">
        <v>6</v>
      </c>
      <c r="C2330" t="s">
        <v>309</v>
      </c>
      <c r="D2330">
        <v>703899</v>
      </c>
      <c r="E2330" t="s">
        <v>296</v>
      </c>
      <c r="F2330" t="s">
        <v>21</v>
      </c>
      <c r="G2330" t="s">
        <v>22</v>
      </c>
      <c r="H2330" t="s">
        <v>23</v>
      </c>
      <c r="J2330">
        <v>0</v>
      </c>
      <c r="K2330">
        <v>0</v>
      </c>
    </row>
    <row r="2331" spans="2:11" x14ac:dyDescent="0.25">
      <c r="B2331" t="s">
        <v>6</v>
      </c>
      <c r="C2331" t="s">
        <v>309</v>
      </c>
      <c r="D2331">
        <v>706700</v>
      </c>
      <c r="E2331" t="s">
        <v>25</v>
      </c>
      <c r="F2331" t="s">
        <v>26</v>
      </c>
      <c r="G2331" t="s">
        <v>27</v>
      </c>
      <c r="H2331" t="s">
        <v>28</v>
      </c>
      <c r="J2331">
        <v>0</v>
      </c>
      <c r="K2331">
        <v>0</v>
      </c>
    </row>
    <row r="2332" spans="2:11" x14ac:dyDescent="0.25">
      <c r="B2332" t="s">
        <v>6</v>
      </c>
      <c r="C2332" t="s">
        <v>309</v>
      </c>
      <c r="D2332" t="s">
        <v>29</v>
      </c>
      <c r="E2332" t="s">
        <v>30</v>
      </c>
      <c r="F2332" t="s">
        <v>26</v>
      </c>
      <c r="G2332" t="s">
        <v>27</v>
      </c>
      <c r="H2332" t="s">
        <v>31</v>
      </c>
      <c r="J2332">
        <v>0</v>
      </c>
      <c r="K2332">
        <v>0</v>
      </c>
    </row>
    <row r="2333" spans="2:11" x14ac:dyDescent="0.25">
      <c r="B2333" t="s">
        <v>6</v>
      </c>
      <c r="C2333" t="s">
        <v>309</v>
      </c>
      <c r="D2333" t="s">
        <v>32</v>
      </c>
      <c r="E2333" t="s">
        <v>33</v>
      </c>
      <c r="F2333" t="s">
        <v>26</v>
      </c>
      <c r="G2333" t="s">
        <v>27</v>
      </c>
      <c r="H2333" t="s">
        <v>28</v>
      </c>
      <c r="J2333">
        <v>0</v>
      </c>
      <c r="K2333">
        <v>0</v>
      </c>
    </row>
    <row r="2334" spans="2:11" x14ac:dyDescent="0.25">
      <c r="B2334" t="s">
        <v>6</v>
      </c>
      <c r="C2334" t="s">
        <v>309</v>
      </c>
      <c r="D2334" t="s">
        <v>34</v>
      </c>
      <c r="E2334" t="s">
        <v>35</v>
      </c>
      <c r="F2334" t="s">
        <v>26</v>
      </c>
      <c r="G2334" t="s">
        <v>36</v>
      </c>
      <c r="H2334" t="s">
        <v>36</v>
      </c>
      <c r="J2334">
        <v>0</v>
      </c>
      <c r="K2334">
        <v>0</v>
      </c>
    </row>
    <row r="2335" spans="2:11" x14ac:dyDescent="0.25">
      <c r="B2335" t="s">
        <v>6</v>
      </c>
      <c r="C2335" t="s">
        <v>309</v>
      </c>
      <c r="D2335" t="s">
        <v>37</v>
      </c>
      <c r="E2335" t="s">
        <v>38</v>
      </c>
      <c r="F2335" t="s">
        <v>21</v>
      </c>
      <c r="G2335" t="s">
        <v>39</v>
      </c>
      <c r="H2335" t="s">
        <v>39</v>
      </c>
      <c r="J2335">
        <v>0</v>
      </c>
      <c r="K2335">
        <v>0</v>
      </c>
    </row>
    <row r="2336" spans="2:11" x14ac:dyDescent="0.25">
      <c r="B2336" t="s">
        <v>6</v>
      </c>
      <c r="C2336" t="s">
        <v>309</v>
      </c>
      <c r="D2336" t="s">
        <v>40</v>
      </c>
      <c r="E2336" t="s">
        <v>41</v>
      </c>
      <c r="F2336" t="s">
        <v>26</v>
      </c>
      <c r="G2336" t="s">
        <v>39</v>
      </c>
      <c r="H2336" t="s">
        <v>39</v>
      </c>
      <c r="J2336">
        <v>0</v>
      </c>
      <c r="K2336">
        <v>0</v>
      </c>
    </row>
    <row r="2337" spans="2:11" x14ac:dyDescent="0.25">
      <c r="B2337" t="s">
        <v>6</v>
      </c>
      <c r="C2337" t="s">
        <v>309</v>
      </c>
      <c r="D2337" t="s">
        <v>42</v>
      </c>
      <c r="E2337" t="s">
        <v>43</v>
      </c>
      <c r="F2337" t="s">
        <v>21</v>
      </c>
      <c r="G2337" t="s">
        <v>44</v>
      </c>
      <c r="H2337" t="s">
        <v>44</v>
      </c>
      <c r="J2337">
        <v>0</v>
      </c>
      <c r="K2337">
        <v>0</v>
      </c>
    </row>
    <row r="2338" spans="2:11" x14ac:dyDescent="0.25">
      <c r="B2338" t="s">
        <v>6</v>
      </c>
      <c r="C2338" t="s">
        <v>309</v>
      </c>
      <c r="D2338" t="s">
        <v>45</v>
      </c>
      <c r="E2338" t="s">
        <v>46</v>
      </c>
      <c r="F2338" t="s">
        <v>26</v>
      </c>
      <c r="G2338" t="s">
        <v>44</v>
      </c>
      <c r="H2338" t="s">
        <v>44</v>
      </c>
      <c r="J2338">
        <v>0</v>
      </c>
      <c r="K2338">
        <v>0</v>
      </c>
    </row>
    <row r="2339" spans="2:11" x14ac:dyDescent="0.25">
      <c r="B2339" t="s">
        <v>6</v>
      </c>
      <c r="C2339" t="s">
        <v>309</v>
      </c>
      <c r="D2339" t="s">
        <v>297</v>
      </c>
      <c r="E2339" t="s">
        <v>298</v>
      </c>
      <c r="F2339" t="s">
        <v>26</v>
      </c>
      <c r="G2339" t="s">
        <v>299</v>
      </c>
      <c r="H2339" t="s">
        <v>299</v>
      </c>
      <c r="J2339">
        <v>0</v>
      </c>
    </row>
    <row r="2340" spans="2:11" x14ac:dyDescent="0.25">
      <c r="B2340" t="s">
        <v>6</v>
      </c>
      <c r="C2340" t="s">
        <v>309</v>
      </c>
      <c r="D2340" t="s">
        <v>300</v>
      </c>
      <c r="E2340" t="s">
        <v>301</v>
      </c>
      <c r="F2340" t="s">
        <v>21</v>
      </c>
      <c r="G2340" t="s">
        <v>299</v>
      </c>
      <c r="H2340" t="s">
        <v>299</v>
      </c>
      <c r="J2340">
        <v>0</v>
      </c>
    </row>
    <row r="2341" spans="2:11" x14ac:dyDescent="0.25">
      <c r="B2341" t="s">
        <v>6</v>
      </c>
      <c r="C2341" t="s">
        <v>309</v>
      </c>
      <c r="D2341" t="s">
        <v>47</v>
      </c>
      <c r="E2341" t="s">
        <v>48</v>
      </c>
      <c r="F2341" t="s">
        <v>26</v>
      </c>
      <c r="G2341" t="s">
        <v>49</v>
      </c>
      <c r="H2341" t="s">
        <v>49</v>
      </c>
      <c r="J2341">
        <v>0</v>
      </c>
      <c r="K2341">
        <v>0</v>
      </c>
    </row>
    <row r="2342" spans="2:11" x14ac:dyDescent="0.25">
      <c r="B2342" t="s">
        <v>6</v>
      </c>
      <c r="C2342" t="s">
        <v>310</v>
      </c>
      <c r="D2342">
        <v>701000</v>
      </c>
      <c r="E2342" t="s">
        <v>51</v>
      </c>
      <c r="F2342" t="s">
        <v>21</v>
      </c>
      <c r="G2342" t="s">
        <v>52</v>
      </c>
      <c r="H2342" t="s">
        <v>53</v>
      </c>
      <c r="J2342">
        <v>0</v>
      </c>
      <c r="K2342">
        <v>0</v>
      </c>
    </row>
    <row r="2343" spans="2:11" x14ac:dyDescent="0.25">
      <c r="B2343" t="s">
        <v>6</v>
      </c>
      <c r="C2343" t="s">
        <v>310</v>
      </c>
      <c r="D2343">
        <v>701008</v>
      </c>
      <c r="E2343" t="s">
        <v>54</v>
      </c>
      <c r="F2343" t="s">
        <v>21</v>
      </c>
      <c r="G2343" t="s">
        <v>52</v>
      </c>
      <c r="H2343" t="s">
        <v>53</v>
      </c>
      <c r="J2343">
        <v>0</v>
      </c>
      <c r="K2343">
        <v>0</v>
      </c>
    </row>
    <row r="2344" spans="2:11" x14ac:dyDescent="0.25">
      <c r="B2344" t="s">
        <v>6</v>
      </c>
      <c r="C2344" t="s">
        <v>310</v>
      </c>
      <c r="D2344">
        <v>701009</v>
      </c>
      <c r="E2344" t="s">
        <v>55</v>
      </c>
      <c r="F2344" t="s">
        <v>21</v>
      </c>
      <c r="G2344" t="s">
        <v>52</v>
      </c>
      <c r="H2344" t="s">
        <v>53</v>
      </c>
      <c r="J2344">
        <v>0</v>
      </c>
      <c r="K2344">
        <v>0</v>
      </c>
    </row>
    <row r="2345" spans="2:11" x14ac:dyDescent="0.25">
      <c r="B2345" t="s">
        <v>6</v>
      </c>
      <c r="C2345" t="s">
        <v>310</v>
      </c>
      <c r="D2345">
        <v>701010</v>
      </c>
      <c r="E2345" t="s">
        <v>56</v>
      </c>
      <c r="F2345" t="s">
        <v>21</v>
      </c>
      <c r="G2345" t="s">
        <v>52</v>
      </c>
      <c r="H2345" t="s">
        <v>57</v>
      </c>
      <c r="J2345">
        <v>0</v>
      </c>
      <c r="K2345">
        <v>0</v>
      </c>
    </row>
    <row r="2346" spans="2:11" x14ac:dyDescent="0.25">
      <c r="B2346" t="s">
        <v>6</v>
      </c>
      <c r="C2346" t="s">
        <v>310</v>
      </c>
      <c r="D2346">
        <v>701011</v>
      </c>
      <c r="E2346" t="s">
        <v>58</v>
      </c>
      <c r="F2346" t="s">
        <v>21</v>
      </c>
      <c r="G2346" t="s">
        <v>52</v>
      </c>
      <c r="H2346" t="s">
        <v>53</v>
      </c>
      <c r="J2346">
        <v>0</v>
      </c>
      <c r="K2346">
        <v>0</v>
      </c>
    </row>
    <row r="2347" spans="2:11" x14ac:dyDescent="0.25">
      <c r="B2347" t="s">
        <v>6</v>
      </c>
      <c r="C2347" t="s">
        <v>310</v>
      </c>
      <c r="D2347">
        <v>701012</v>
      </c>
      <c r="E2347" t="s">
        <v>59</v>
      </c>
      <c r="F2347" t="s">
        <v>21</v>
      </c>
      <c r="G2347" t="s">
        <v>52</v>
      </c>
      <c r="H2347" t="s">
        <v>53</v>
      </c>
      <c r="J2347">
        <v>0</v>
      </c>
      <c r="K2347">
        <v>0</v>
      </c>
    </row>
    <row r="2348" spans="2:11" x14ac:dyDescent="0.25">
      <c r="B2348" t="s">
        <v>6</v>
      </c>
      <c r="C2348" t="s">
        <v>310</v>
      </c>
      <c r="D2348">
        <v>701013</v>
      </c>
      <c r="E2348" t="s">
        <v>60</v>
      </c>
      <c r="F2348" t="s">
        <v>21</v>
      </c>
      <c r="G2348" t="s">
        <v>61</v>
      </c>
      <c r="H2348" t="s">
        <v>62</v>
      </c>
      <c r="J2348">
        <v>0</v>
      </c>
      <c r="K2348">
        <v>0</v>
      </c>
    </row>
    <row r="2349" spans="2:11" x14ac:dyDescent="0.25">
      <c r="B2349" t="s">
        <v>6</v>
      </c>
      <c r="C2349" t="s">
        <v>310</v>
      </c>
      <c r="D2349">
        <v>701014</v>
      </c>
      <c r="E2349" t="s">
        <v>63</v>
      </c>
      <c r="F2349" t="s">
        <v>21</v>
      </c>
      <c r="G2349" t="s">
        <v>61</v>
      </c>
      <c r="H2349" t="s">
        <v>64</v>
      </c>
      <c r="J2349">
        <v>0</v>
      </c>
      <c r="K2349">
        <v>0</v>
      </c>
    </row>
    <row r="2350" spans="2:11" x14ac:dyDescent="0.25">
      <c r="B2350" t="s">
        <v>6</v>
      </c>
      <c r="C2350" t="s">
        <v>310</v>
      </c>
      <c r="D2350">
        <v>701015</v>
      </c>
      <c r="E2350" t="s">
        <v>65</v>
      </c>
      <c r="F2350" t="s">
        <v>21</v>
      </c>
      <c r="G2350" t="s">
        <v>52</v>
      </c>
      <c r="H2350" t="s">
        <v>53</v>
      </c>
      <c r="J2350">
        <v>0</v>
      </c>
      <c r="K2350">
        <v>0</v>
      </c>
    </row>
    <row r="2351" spans="2:11" x14ac:dyDescent="0.25">
      <c r="B2351" t="s">
        <v>6</v>
      </c>
      <c r="C2351" t="s">
        <v>310</v>
      </c>
      <c r="D2351">
        <v>701016</v>
      </c>
      <c r="E2351" t="s">
        <v>66</v>
      </c>
      <c r="F2351" t="s">
        <v>21</v>
      </c>
      <c r="G2351" t="s">
        <v>52</v>
      </c>
      <c r="H2351" t="s">
        <v>53</v>
      </c>
      <c r="J2351">
        <v>0</v>
      </c>
      <c r="K2351">
        <v>0</v>
      </c>
    </row>
    <row r="2352" spans="2:11" x14ac:dyDescent="0.25">
      <c r="B2352" t="s">
        <v>6</v>
      </c>
      <c r="C2352" t="s">
        <v>310</v>
      </c>
      <c r="D2352">
        <v>701017</v>
      </c>
      <c r="E2352" t="s">
        <v>67</v>
      </c>
      <c r="F2352" t="s">
        <v>21</v>
      </c>
      <c r="G2352" t="s">
        <v>61</v>
      </c>
      <c r="H2352" t="s">
        <v>68</v>
      </c>
      <c r="J2352">
        <v>0</v>
      </c>
      <c r="K2352">
        <v>0</v>
      </c>
    </row>
    <row r="2353" spans="2:11" x14ac:dyDescent="0.25">
      <c r="B2353" t="s">
        <v>6</v>
      </c>
      <c r="C2353" t="s">
        <v>310</v>
      </c>
      <c r="D2353">
        <v>701018</v>
      </c>
      <c r="E2353" t="s">
        <v>69</v>
      </c>
      <c r="F2353" t="s">
        <v>21</v>
      </c>
      <c r="G2353" t="s">
        <v>61</v>
      </c>
      <c r="H2353" t="s">
        <v>68</v>
      </c>
      <c r="J2353">
        <v>0</v>
      </c>
      <c r="K2353">
        <v>0</v>
      </c>
    </row>
    <row r="2354" spans="2:11" x14ac:dyDescent="0.25">
      <c r="B2354" t="s">
        <v>6</v>
      </c>
      <c r="C2354" t="s">
        <v>310</v>
      </c>
      <c r="D2354">
        <v>701019</v>
      </c>
      <c r="E2354" t="s">
        <v>70</v>
      </c>
      <c r="F2354" t="s">
        <v>21</v>
      </c>
      <c r="G2354" t="s">
        <v>71</v>
      </c>
      <c r="H2354" t="s">
        <v>72</v>
      </c>
      <c r="J2354">
        <v>0</v>
      </c>
      <c r="K2354">
        <v>0</v>
      </c>
    </row>
    <row r="2355" spans="2:11" x14ac:dyDescent="0.25">
      <c r="B2355" t="s">
        <v>6</v>
      </c>
      <c r="C2355" t="s">
        <v>310</v>
      </c>
      <c r="D2355">
        <v>701020</v>
      </c>
      <c r="E2355" t="s">
        <v>73</v>
      </c>
      <c r="F2355" t="s">
        <v>21</v>
      </c>
      <c r="G2355" t="s">
        <v>52</v>
      </c>
      <c r="H2355" t="s">
        <v>53</v>
      </c>
      <c r="J2355">
        <v>0</v>
      </c>
      <c r="K2355">
        <v>0</v>
      </c>
    </row>
    <row r="2356" spans="2:11" x14ac:dyDescent="0.25">
      <c r="B2356" t="s">
        <v>6</v>
      </c>
      <c r="C2356" t="s">
        <v>310</v>
      </c>
      <c r="D2356">
        <v>701021</v>
      </c>
      <c r="E2356" t="s">
        <v>74</v>
      </c>
      <c r="F2356" t="s">
        <v>21</v>
      </c>
      <c r="G2356" t="s">
        <v>61</v>
      </c>
      <c r="H2356" t="s">
        <v>74</v>
      </c>
      <c r="J2356">
        <v>0</v>
      </c>
      <c r="K2356">
        <v>0</v>
      </c>
    </row>
    <row r="2357" spans="2:11" x14ac:dyDescent="0.25">
      <c r="B2357" t="s">
        <v>6</v>
      </c>
      <c r="C2357" t="s">
        <v>310</v>
      </c>
      <c r="D2357">
        <v>701022</v>
      </c>
      <c r="E2357" t="s">
        <v>75</v>
      </c>
      <c r="F2357" t="s">
        <v>21</v>
      </c>
      <c r="G2357" t="s">
        <v>76</v>
      </c>
      <c r="H2357" t="s">
        <v>77</v>
      </c>
      <c r="J2357">
        <v>0</v>
      </c>
      <c r="K2357">
        <v>0</v>
      </c>
    </row>
    <row r="2358" spans="2:11" x14ac:dyDescent="0.25">
      <c r="B2358" t="s">
        <v>6</v>
      </c>
      <c r="C2358" t="s">
        <v>310</v>
      </c>
      <c r="D2358">
        <v>701023</v>
      </c>
      <c r="E2358" t="s">
        <v>78</v>
      </c>
      <c r="F2358" t="s">
        <v>21</v>
      </c>
      <c r="G2358" t="s">
        <v>61</v>
      </c>
      <c r="H2358" t="s">
        <v>79</v>
      </c>
      <c r="J2358">
        <v>0</v>
      </c>
      <c r="K2358">
        <v>0</v>
      </c>
    </row>
    <row r="2359" spans="2:11" x14ac:dyDescent="0.25">
      <c r="B2359" t="s">
        <v>6</v>
      </c>
      <c r="C2359" t="s">
        <v>310</v>
      </c>
      <c r="D2359">
        <v>701024</v>
      </c>
      <c r="E2359" t="s">
        <v>80</v>
      </c>
      <c r="F2359" t="s">
        <v>21</v>
      </c>
      <c r="G2359" t="s">
        <v>76</v>
      </c>
      <c r="H2359" t="s">
        <v>77</v>
      </c>
      <c r="J2359">
        <v>0</v>
      </c>
      <c r="K2359">
        <v>0</v>
      </c>
    </row>
    <row r="2360" spans="2:11" x14ac:dyDescent="0.25">
      <c r="B2360" t="s">
        <v>6</v>
      </c>
      <c r="C2360" t="s">
        <v>310</v>
      </c>
      <c r="D2360">
        <v>701025</v>
      </c>
      <c r="E2360" t="s">
        <v>81</v>
      </c>
      <c r="F2360" t="s">
        <v>21</v>
      </c>
      <c r="G2360" t="s">
        <v>71</v>
      </c>
      <c r="H2360" t="s">
        <v>82</v>
      </c>
      <c r="J2360">
        <v>0</v>
      </c>
      <c r="K2360">
        <v>0</v>
      </c>
    </row>
    <row r="2361" spans="2:11" x14ac:dyDescent="0.25">
      <c r="B2361" t="s">
        <v>6</v>
      </c>
      <c r="C2361" t="s">
        <v>310</v>
      </c>
      <c r="D2361">
        <v>701026</v>
      </c>
      <c r="E2361" t="s">
        <v>83</v>
      </c>
      <c r="F2361" t="s">
        <v>21</v>
      </c>
      <c r="G2361" t="s">
        <v>76</v>
      </c>
      <c r="H2361" t="s">
        <v>77</v>
      </c>
      <c r="J2361">
        <v>0</v>
      </c>
      <c r="K2361">
        <v>0</v>
      </c>
    </row>
    <row r="2362" spans="2:11" x14ac:dyDescent="0.25">
      <c r="B2362" t="s">
        <v>6</v>
      </c>
      <c r="C2362" t="s">
        <v>310</v>
      </c>
      <c r="D2362">
        <v>701027</v>
      </c>
      <c r="E2362" t="s">
        <v>84</v>
      </c>
      <c r="F2362" t="s">
        <v>21</v>
      </c>
      <c r="G2362" t="s">
        <v>76</v>
      </c>
      <c r="H2362" t="s">
        <v>77</v>
      </c>
      <c r="J2362">
        <v>0</v>
      </c>
      <c r="K2362">
        <v>0</v>
      </c>
    </row>
    <row r="2363" spans="2:11" x14ac:dyDescent="0.25">
      <c r="B2363" t="s">
        <v>6</v>
      </c>
      <c r="C2363" t="s">
        <v>310</v>
      </c>
      <c r="D2363">
        <v>701028</v>
      </c>
      <c r="E2363" t="s">
        <v>85</v>
      </c>
      <c r="F2363" t="s">
        <v>21</v>
      </c>
      <c r="G2363" t="s">
        <v>61</v>
      </c>
      <c r="H2363" t="s">
        <v>68</v>
      </c>
      <c r="J2363">
        <v>0</v>
      </c>
      <c r="K2363">
        <v>0</v>
      </c>
    </row>
    <row r="2364" spans="2:11" x14ac:dyDescent="0.25">
      <c r="B2364" t="s">
        <v>6</v>
      </c>
      <c r="C2364" t="s">
        <v>310</v>
      </c>
      <c r="D2364">
        <v>701029</v>
      </c>
      <c r="E2364" t="s">
        <v>86</v>
      </c>
      <c r="F2364" t="s">
        <v>21</v>
      </c>
      <c r="G2364" t="s">
        <v>61</v>
      </c>
      <c r="H2364" t="s">
        <v>68</v>
      </c>
      <c r="J2364">
        <v>0</v>
      </c>
      <c r="K2364">
        <v>0</v>
      </c>
    </row>
    <row r="2365" spans="2:11" x14ac:dyDescent="0.25">
      <c r="B2365" t="s">
        <v>6</v>
      </c>
      <c r="C2365" t="s">
        <v>310</v>
      </c>
      <c r="D2365">
        <v>701030</v>
      </c>
      <c r="E2365" t="s">
        <v>87</v>
      </c>
      <c r="F2365" t="s">
        <v>21</v>
      </c>
      <c r="G2365" t="s">
        <v>71</v>
      </c>
      <c r="H2365" t="s">
        <v>88</v>
      </c>
      <c r="J2365">
        <v>0</v>
      </c>
      <c r="K2365">
        <v>0</v>
      </c>
    </row>
    <row r="2366" spans="2:11" x14ac:dyDescent="0.25">
      <c r="B2366" t="s">
        <v>6</v>
      </c>
      <c r="C2366" t="s">
        <v>310</v>
      </c>
      <c r="D2366">
        <v>701031</v>
      </c>
      <c r="E2366" t="s">
        <v>89</v>
      </c>
      <c r="F2366" t="s">
        <v>21</v>
      </c>
      <c r="G2366" t="s">
        <v>76</v>
      </c>
      <c r="H2366" t="s">
        <v>77</v>
      </c>
      <c r="J2366">
        <v>0</v>
      </c>
      <c r="K2366">
        <v>0</v>
      </c>
    </row>
    <row r="2367" spans="2:11" x14ac:dyDescent="0.25">
      <c r="B2367" t="s">
        <v>6</v>
      </c>
      <c r="C2367" t="s">
        <v>310</v>
      </c>
      <c r="D2367">
        <v>701032</v>
      </c>
      <c r="E2367" t="s">
        <v>90</v>
      </c>
      <c r="F2367" t="s">
        <v>21</v>
      </c>
      <c r="G2367" t="s">
        <v>52</v>
      </c>
      <c r="H2367" t="s">
        <v>53</v>
      </c>
      <c r="J2367">
        <v>0</v>
      </c>
      <c r="K2367">
        <v>0</v>
      </c>
    </row>
    <row r="2368" spans="2:11" x14ac:dyDescent="0.25">
      <c r="B2368" t="s">
        <v>6</v>
      </c>
      <c r="C2368" t="s">
        <v>310</v>
      </c>
      <c r="D2368">
        <v>701034</v>
      </c>
      <c r="E2368" t="s">
        <v>91</v>
      </c>
      <c r="F2368" t="s">
        <v>21</v>
      </c>
      <c r="G2368" t="s">
        <v>76</v>
      </c>
      <c r="H2368" t="s">
        <v>77</v>
      </c>
      <c r="J2368">
        <v>0</v>
      </c>
      <c r="K2368">
        <v>0</v>
      </c>
    </row>
    <row r="2369" spans="2:11" x14ac:dyDescent="0.25">
      <c r="B2369" t="s">
        <v>6</v>
      </c>
      <c r="C2369" t="s">
        <v>310</v>
      </c>
      <c r="D2369">
        <v>701035</v>
      </c>
      <c r="E2369" t="s">
        <v>92</v>
      </c>
      <c r="F2369" t="s">
        <v>21</v>
      </c>
      <c r="G2369" t="s">
        <v>61</v>
      </c>
      <c r="H2369" t="s">
        <v>68</v>
      </c>
      <c r="J2369">
        <v>0</v>
      </c>
      <c r="K2369">
        <v>0</v>
      </c>
    </row>
    <row r="2370" spans="2:11" x14ac:dyDescent="0.25">
      <c r="B2370" t="s">
        <v>6</v>
      </c>
      <c r="C2370" t="s">
        <v>310</v>
      </c>
      <c r="D2370">
        <v>701036</v>
      </c>
      <c r="E2370" t="s">
        <v>93</v>
      </c>
      <c r="F2370" t="s">
        <v>21</v>
      </c>
      <c r="G2370" t="s">
        <v>52</v>
      </c>
      <c r="H2370" t="s">
        <v>53</v>
      </c>
      <c r="J2370">
        <v>0</v>
      </c>
      <c r="K2370">
        <v>0</v>
      </c>
    </row>
    <row r="2371" spans="2:11" x14ac:dyDescent="0.25">
      <c r="B2371" t="s">
        <v>6</v>
      </c>
      <c r="C2371" t="s">
        <v>310</v>
      </c>
      <c r="D2371">
        <v>701113</v>
      </c>
      <c r="E2371" t="s">
        <v>94</v>
      </c>
      <c r="F2371" t="s">
        <v>21</v>
      </c>
      <c r="G2371" t="s">
        <v>61</v>
      </c>
      <c r="H2371" t="s">
        <v>62</v>
      </c>
      <c r="J2371">
        <v>0</v>
      </c>
      <c r="K2371">
        <v>0</v>
      </c>
    </row>
    <row r="2372" spans="2:11" x14ac:dyDescent="0.25">
      <c r="B2372" t="s">
        <v>6</v>
      </c>
      <c r="C2372" t="s">
        <v>310</v>
      </c>
      <c r="D2372">
        <v>701119</v>
      </c>
      <c r="E2372" t="s">
        <v>95</v>
      </c>
      <c r="F2372" t="s">
        <v>21</v>
      </c>
      <c r="G2372" t="s">
        <v>22</v>
      </c>
      <c r="H2372" t="s">
        <v>23</v>
      </c>
      <c r="J2372">
        <v>0</v>
      </c>
      <c r="K2372">
        <v>0</v>
      </c>
    </row>
    <row r="2373" spans="2:11" x14ac:dyDescent="0.25">
      <c r="B2373" t="s">
        <v>6</v>
      </c>
      <c r="C2373" t="s">
        <v>310</v>
      </c>
      <c r="D2373">
        <v>701120</v>
      </c>
      <c r="E2373" t="s">
        <v>96</v>
      </c>
      <c r="F2373" t="s">
        <v>21</v>
      </c>
      <c r="G2373" t="s">
        <v>22</v>
      </c>
      <c r="H2373" t="s">
        <v>23</v>
      </c>
      <c r="J2373">
        <v>0</v>
      </c>
      <c r="K2373">
        <v>0</v>
      </c>
    </row>
    <row r="2374" spans="2:11" x14ac:dyDescent="0.25">
      <c r="B2374" t="s">
        <v>6</v>
      </c>
      <c r="C2374" t="s">
        <v>310</v>
      </c>
      <c r="D2374">
        <v>701121</v>
      </c>
      <c r="E2374" t="s">
        <v>97</v>
      </c>
      <c r="F2374" t="s">
        <v>21</v>
      </c>
      <c r="G2374" t="s">
        <v>22</v>
      </c>
      <c r="H2374" t="s">
        <v>23</v>
      </c>
      <c r="J2374">
        <v>0</v>
      </c>
      <c r="K2374">
        <v>0</v>
      </c>
    </row>
    <row r="2375" spans="2:11" x14ac:dyDescent="0.25">
      <c r="B2375" t="s">
        <v>6</v>
      </c>
      <c r="C2375" t="s">
        <v>310</v>
      </c>
      <c r="D2375">
        <v>701122</v>
      </c>
      <c r="E2375" t="s">
        <v>98</v>
      </c>
      <c r="F2375" t="s">
        <v>21</v>
      </c>
      <c r="G2375" t="s">
        <v>71</v>
      </c>
      <c r="H2375" t="s">
        <v>88</v>
      </c>
      <c r="J2375">
        <v>0</v>
      </c>
      <c r="K2375">
        <v>0</v>
      </c>
    </row>
    <row r="2376" spans="2:11" x14ac:dyDescent="0.25">
      <c r="B2376" t="s">
        <v>6</v>
      </c>
      <c r="C2376" t="s">
        <v>310</v>
      </c>
      <c r="D2376">
        <v>701123</v>
      </c>
      <c r="E2376" t="s">
        <v>99</v>
      </c>
      <c r="F2376" t="s">
        <v>21</v>
      </c>
      <c r="G2376" t="s">
        <v>22</v>
      </c>
      <c r="H2376" t="s">
        <v>23</v>
      </c>
      <c r="J2376">
        <v>0</v>
      </c>
      <c r="K2376">
        <v>0</v>
      </c>
    </row>
    <row r="2377" spans="2:11" x14ac:dyDescent="0.25">
      <c r="B2377" t="s">
        <v>6</v>
      </c>
      <c r="C2377" t="s">
        <v>310</v>
      </c>
      <c r="D2377">
        <v>701127</v>
      </c>
      <c r="E2377" t="s">
        <v>100</v>
      </c>
      <c r="F2377" t="s">
        <v>21</v>
      </c>
      <c r="G2377" t="s">
        <v>76</v>
      </c>
      <c r="H2377" t="s">
        <v>77</v>
      </c>
      <c r="J2377">
        <v>0</v>
      </c>
      <c r="K2377">
        <v>0</v>
      </c>
    </row>
    <row r="2378" spans="2:11" x14ac:dyDescent="0.25">
      <c r="B2378" t="s">
        <v>6</v>
      </c>
      <c r="C2378" t="s">
        <v>310</v>
      </c>
      <c r="D2378">
        <v>701213</v>
      </c>
      <c r="E2378" t="s">
        <v>101</v>
      </c>
      <c r="F2378" t="s">
        <v>21</v>
      </c>
      <c r="G2378" t="s">
        <v>61</v>
      </c>
      <c r="H2378" t="s">
        <v>62</v>
      </c>
      <c r="J2378">
        <v>0</v>
      </c>
      <c r="K2378">
        <v>0</v>
      </c>
    </row>
    <row r="2379" spans="2:11" x14ac:dyDescent="0.25">
      <c r="B2379" t="s">
        <v>6</v>
      </c>
      <c r="C2379" t="s">
        <v>310</v>
      </c>
      <c r="D2379">
        <v>701214</v>
      </c>
      <c r="E2379" t="s">
        <v>102</v>
      </c>
      <c r="F2379" t="s">
        <v>21</v>
      </c>
      <c r="G2379" t="s">
        <v>61</v>
      </c>
      <c r="H2379" t="s">
        <v>62</v>
      </c>
      <c r="J2379">
        <v>0</v>
      </c>
      <c r="K2379">
        <v>0</v>
      </c>
    </row>
    <row r="2380" spans="2:11" x14ac:dyDescent="0.25">
      <c r="B2380" t="s">
        <v>6</v>
      </c>
      <c r="C2380" t="s">
        <v>310</v>
      </c>
      <c r="D2380">
        <v>701215</v>
      </c>
      <c r="E2380" t="s">
        <v>103</v>
      </c>
      <c r="F2380" t="s">
        <v>21</v>
      </c>
      <c r="G2380" t="s">
        <v>61</v>
      </c>
      <c r="H2380" t="s">
        <v>62</v>
      </c>
      <c r="J2380">
        <v>0</v>
      </c>
      <c r="K2380">
        <v>0</v>
      </c>
    </row>
    <row r="2381" spans="2:11" x14ac:dyDescent="0.25">
      <c r="B2381" t="s">
        <v>6</v>
      </c>
      <c r="C2381" t="s">
        <v>310</v>
      </c>
      <c r="D2381">
        <v>701227</v>
      </c>
      <c r="E2381" t="s">
        <v>104</v>
      </c>
      <c r="F2381" t="s">
        <v>21</v>
      </c>
      <c r="G2381" t="s">
        <v>76</v>
      </c>
      <c r="H2381" t="s">
        <v>77</v>
      </c>
      <c r="J2381">
        <v>0</v>
      </c>
      <c r="K2381">
        <v>0</v>
      </c>
    </row>
    <row r="2382" spans="2:11" x14ac:dyDescent="0.25">
      <c r="B2382" t="s">
        <v>6</v>
      </c>
      <c r="C2382" t="s">
        <v>310</v>
      </c>
      <c r="D2382">
        <v>701327</v>
      </c>
      <c r="E2382" t="s">
        <v>106</v>
      </c>
      <c r="F2382" t="s">
        <v>21</v>
      </c>
      <c r="G2382" t="s">
        <v>76</v>
      </c>
      <c r="H2382" t="s">
        <v>77</v>
      </c>
      <c r="J2382">
        <v>0</v>
      </c>
      <c r="K2382">
        <v>0</v>
      </c>
    </row>
    <row r="2383" spans="2:11" x14ac:dyDescent="0.25">
      <c r="B2383" t="s">
        <v>6</v>
      </c>
      <c r="C2383" t="s">
        <v>310</v>
      </c>
      <c r="D2383">
        <v>701427</v>
      </c>
      <c r="E2383" t="s">
        <v>107</v>
      </c>
      <c r="F2383" t="s">
        <v>21</v>
      </c>
      <c r="G2383" t="s">
        <v>76</v>
      </c>
      <c r="H2383" t="s">
        <v>108</v>
      </c>
      <c r="J2383">
        <v>0</v>
      </c>
      <c r="K2383">
        <v>0</v>
      </c>
    </row>
    <row r="2384" spans="2:11" x14ac:dyDescent="0.25">
      <c r="B2384" t="s">
        <v>6</v>
      </c>
      <c r="C2384" t="s">
        <v>310</v>
      </c>
      <c r="D2384">
        <v>701527</v>
      </c>
      <c r="E2384" t="s">
        <v>109</v>
      </c>
      <c r="F2384" t="s">
        <v>21</v>
      </c>
      <c r="G2384" t="s">
        <v>76</v>
      </c>
      <c r="H2384" t="s">
        <v>77</v>
      </c>
      <c r="J2384">
        <v>0</v>
      </c>
      <c r="K2384">
        <v>0</v>
      </c>
    </row>
    <row r="2385" spans="2:11" x14ac:dyDescent="0.25">
      <c r="B2385" t="s">
        <v>6</v>
      </c>
      <c r="C2385" t="s">
        <v>310</v>
      </c>
      <c r="D2385">
        <v>701627</v>
      </c>
      <c r="E2385" t="s">
        <v>110</v>
      </c>
      <c r="F2385" t="s">
        <v>21</v>
      </c>
      <c r="G2385" t="s">
        <v>76</v>
      </c>
      <c r="H2385" t="s">
        <v>77</v>
      </c>
      <c r="J2385">
        <v>0</v>
      </c>
      <c r="K2385">
        <v>0</v>
      </c>
    </row>
    <row r="2386" spans="2:11" x14ac:dyDescent="0.25">
      <c r="B2386" t="s">
        <v>6</v>
      </c>
      <c r="C2386" t="s">
        <v>310</v>
      </c>
      <c r="D2386">
        <v>701727</v>
      </c>
      <c r="E2386" t="s">
        <v>111</v>
      </c>
      <c r="F2386" t="s">
        <v>21</v>
      </c>
      <c r="G2386" t="s">
        <v>76</v>
      </c>
      <c r="H2386" t="s">
        <v>77</v>
      </c>
      <c r="J2386">
        <v>0</v>
      </c>
      <c r="K2386">
        <v>0</v>
      </c>
    </row>
    <row r="2387" spans="2:11" x14ac:dyDescent="0.25">
      <c r="B2387" t="s">
        <v>6</v>
      </c>
      <c r="C2387" t="s">
        <v>310</v>
      </c>
      <c r="D2387">
        <v>701801</v>
      </c>
      <c r="E2387" t="s">
        <v>112</v>
      </c>
      <c r="F2387" t="s">
        <v>21</v>
      </c>
      <c r="G2387" t="s">
        <v>76</v>
      </c>
      <c r="H2387" t="s">
        <v>77</v>
      </c>
      <c r="J2387">
        <v>0</v>
      </c>
      <c r="K2387">
        <v>0</v>
      </c>
    </row>
    <row r="2388" spans="2:11" x14ac:dyDescent="0.25">
      <c r="B2388" t="s">
        <v>6</v>
      </c>
      <c r="C2388" t="s">
        <v>310</v>
      </c>
      <c r="D2388">
        <v>701802</v>
      </c>
      <c r="E2388" t="s">
        <v>113</v>
      </c>
      <c r="F2388" t="s">
        <v>21</v>
      </c>
      <c r="G2388" t="s">
        <v>61</v>
      </c>
      <c r="H2388" t="s">
        <v>62</v>
      </c>
      <c r="J2388">
        <v>0</v>
      </c>
      <c r="K2388">
        <v>0</v>
      </c>
    </row>
    <row r="2389" spans="2:11" x14ac:dyDescent="0.25">
      <c r="B2389" t="s">
        <v>6</v>
      </c>
      <c r="C2389" t="s">
        <v>310</v>
      </c>
      <c r="D2389">
        <v>703010</v>
      </c>
      <c r="E2389" t="s">
        <v>114</v>
      </c>
      <c r="F2389" t="s">
        <v>21</v>
      </c>
      <c r="G2389" t="s">
        <v>22</v>
      </c>
      <c r="H2389" t="s">
        <v>115</v>
      </c>
      <c r="J2389">
        <v>0</v>
      </c>
      <c r="K2389">
        <v>0</v>
      </c>
    </row>
    <row r="2390" spans="2:11" x14ac:dyDescent="0.25">
      <c r="B2390" t="s">
        <v>6</v>
      </c>
      <c r="C2390" t="s">
        <v>310</v>
      </c>
      <c r="D2390">
        <v>703011</v>
      </c>
      <c r="E2390" t="s">
        <v>116</v>
      </c>
      <c r="F2390" t="s">
        <v>21</v>
      </c>
      <c r="G2390" t="s">
        <v>22</v>
      </c>
      <c r="H2390" t="s">
        <v>115</v>
      </c>
      <c r="J2390">
        <v>0</v>
      </c>
      <c r="K2390">
        <v>0</v>
      </c>
    </row>
    <row r="2391" spans="2:11" x14ac:dyDescent="0.25">
      <c r="B2391" t="s">
        <v>6</v>
      </c>
      <c r="C2391" t="s">
        <v>310</v>
      </c>
      <c r="D2391">
        <v>703012</v>
      </c>
      <c r="E2391" t="s">
        <v>117</v>
      </c>
      <c r="F2391" t="s">
        <v>21</v>
      </c>
      <c r="G2391" t="s">
        <v>22</v>
      </c>
      <c r="H2391" t="s">
        <v>115</v>
      </c>
      <c r="J2391">
        <v>0</v>
      </c>
      <c r="K2391">
        <v>0</v>
      </c>
    </row>
    <row r="2392" spans="2:11" x14ac:dyDescent="0.25">
      <c r="B2392" t="s">
        <v>6</v>
      </c>
      <c r="C2392" t="s">
        <v>310</v>
      </c>
      <c r="D2392">
        <v>703013</v>
      </c>
      <c r="E2392" t="s">
        <v>118</v>
      </c>
      <c r="F2392" t="s">
        <v>21</v>
      </c>
      <c r="G2392" t="s">
        <v>22</v>
      </c>
      <c r="H2392" t="s">
        <v>115</v>
      </c>
      <c r="J2392">
        <v>0</v>
      </c>
      <c r="K2392">
        <v>0</v>
      </c>
    </row>
    <row r="2393" spans="2:11" x14ac:dyDescent="0.25">
      <c r="B2393" t="s">
        <v>6</v>
      </c>
      <c r="C2393" t="s">
        <v>310</v>
      </c>
      <c r="D2393">
        <v>703014</v>
      </c>
      <c r="E2393" t="s">
        <v>119</v>
      </c>
      <c r="F2393" t="s">
        <v>21</v>
      </c>
      <c r="G2393" t="s">
        <v>22</v>
      </c>
      <c r="H2393" t="s">
        <v>115</v>
      </c>
      <c r="J2393">
        <v>0</v>
      </c>
      <c r="K2393">
        <v>0</v>
      </c>
    </row>
    <row r="2394" spans="2:11" x14ac:dyDescent="0.25">
      <c r="B2394" t="s">
        <v>6</v>
      </c>
      <c r="C2394" t="s">
        <v>310</v>
      </c>
      <c r="D2394">
        <v>703015</v>
      </c>
      <c r="E2394" t="s">
        <v>120</v>
      </c>
      <c r="F2394" t="s">
        <v>21</v>
      </c>
      <c r="G2394" t="s">
        <v>22</v>
      </c>
      <c r="H2394" t="s">
        <v>115</v>
      </c>
      <c r="J2394">
        <v>0</v>
      </c>
      <c r="K2394">
        <v>0</v>
      </c>
    </row>
    <row r="2395" spans="2:11" x14ac:dyDescent="0.25">
      <c r="B2395" t="s">
        <v>6</v>
      </c>
      <c r="C2395" t="s">
        <v>310</v>
      </c>
      <c r="D2395">
        <v>703016</v>
      </c>
      <c r="E2395" t="s">
        <v>121</v>
      </c>
      <c r="F2395" t="s">
        <v>21</v>
      </c>
      <c r="G2395" t="s">
        <v>22</v>
      </c>
      <c r="H2395" t="s">
        <v>115</v>
      </c>
      <c r="J2395">
        <v>0</v>
      </c>
      <c r="K2395">
        <v>0</v>
      </c>
    </row>
    <row r="2396" spans="2:11" x14ac:dyDescent="0.25">
      <c r="B2396" t="s">
        <v>6</v>
      </c>
      <c r="C2396" t="s">
        <v>310</v>
      </c>
      <c r="D2396">
        <v>703017</v>
      </c>
      <c r="E2396" t="s">
        <v>122</v>
      </c>
      <c r="F2396" t="s">
        <v>21</v>
      </c>
      <c r="G2396" t="s">
        <v>22</v>
      </c>
      <c r="H2396" t="s">
        <v>115</v>
      </c>
      <c r="J2396">
        <v>0</v>
      </c>
      <c r="K2396">
        <v>0</v>
      </c>
    </row>
    <row r="2397" spans="2:11" x14ac:dyDescent="0.25">
      <c r="B2397" t="s">
        <v>6</v>
      </c>
      <c r="C2397" t="s">
        <v>310</v>
      </c>
      <c r="D2397">
        <v>703018</v>
      </c>
      <c r="E2397" t="s">
        <v>123</v>
      </c>
      <c r="F2397" t="s">
        <v>21</v>
      </c>
      <c r="G2397" t="s">
        <v>22</v>
      </c>
      <c r="H2397" t="s">
        <v>115</v>
      </c>
      <c r="J2397">
        <v>0</v>
      </c>
      <c r="K2397">
        <v>0</v>
      </c>
    </row>
    <row r="2398" spans="2:11" x14ac:dyDescent="0.25">
      <c r="B2398" t="s">
        <v>6</v>
      </c>
      <c r="C2398" t="s">
        <v>310</v>
      </c>
      <c r="D2398">
        <v>703019</v>
      </c>
      <c r="E2398" t="s">
        <v>124</v>
      </c>
      <c r="F2398" t="s">
        <v>21</v>
      </c>
      <c r="G2398" t="s">
        <v>22</v>
      </c>
      <c r="H2398" t="s">
        <v>115</v>
      </c>
      <c r="J2398">
        <v>0</v>
      </c>
      <c r="K2398">
        <v>0</v>
      </c>
    </row>
    <row r="2399" spans="2:11" x14ac:dyDescent="0.25">
      <c r="B2399" t="s">
        <v>6</v>
      </c>
      <c r="C2399" t="s">
        <v>310</v>
      </c>
      <c r="D2399">
        <v>703210</v>
      </c>
      <c r="E2399" t="s">
        <v>125</v>
      </c>
      <c r="F2399" t="s">
        <v>21</v>
      </c>
      <c r="G2399" t="s">
        <v>22</v>
      </c>
      <c r="H2399" t="s">
        <v>23</v>
      </c>
      <c r="J2399">
        <v>0</v>
      </c>
      <c r="K2399">
        <v>0</v>
      </c>
    </row>
    <row r="2400" spans="2:11" x14ac:dyDescent="0.25">
      <c r="B2400" t="s">
        <v>6</v>
      </c>
      <c r="C2400" t="s">
        <v>310</v>
      </c>
      <c r="D2400">
        <v>703211</v>
      </c>
      <c r="E2400" t="s">
        <v>126</v>
      </c>
      <c r="F2400" t="s">
        <v>21</v>
      </c>
      <c r="G2400" t="s">
        <v>22</v>
      </c>
      <c r="H2400" t="s">
        <v>23</v>
      </c>
      <c r="J2400">
        <v>0</v>
      </c>
      <c r="K2400">
        <v>0</v>
      </c>
    </row>
    <row r="2401" spans="2:11" x14ac:dyDescent="0.25">
      <c r="B2401" t="s">
        <v>6</v>
      </c>
      <c r="C2401" t="s">
        <v>310</v>
      </c>
      <c r="D2401">
        <v>703212</v>
      </c>
      <c r="E2401" t="s">
        <v>127</v>
      </c>
      <c r="F2401" t="s">
        <v>21</v>
      </c>
      <c r="G2401" t="s">
        <v>22</v>
      </c>
      <c r="H2401" t="s">
        <v>23</v>
      </c>
      <c r="J2401">
        <v>0</v>
      </c>
      <c r="K2401">
        <v>0</v>
      </c>
    </row>
    <row r="2402" spans="2:11" x14ac:dyDescent="0.25">
      <c r="B2402" t="s">
        <v>6</v>
      </c>
      <c r="C2402" t="s">
        <v>310</v>
      </c>
      <c r="D2402">
        <v>703213</v>
      </c>
      <c r="E2402" t="s">
        <v>128</v>
      </c>
      <c r="F2402" t="s">
        <v>21</v>
      </c>
      <c r="G2402" t="s">
        <v>22</v>
      </c>
      <c r="H2402" t="s">
        <v>23</v>
      </c>
      <c r="J2402">
        <v>0</v>
      </c>
      <c r="K2402">
        <v>0</v>
      </c>
    </row>
    <row r="2403" spans="2:11" x14ac:dyDescent="0.25">
      <c r="B2403" t="s">
        <v>6</v>
      </c>
      <c r="C2403" t="s">
        <v>310</v>
      </c>
      <c r="D2403">
        <v>703214</v>
      </c>
      <c r="E2403" t="s">
        <v>129</v>
      </c>
      <c r="F2403" t="s">
        <v>21</v>
      </c>
      <c r="G2403" t="s">
        <v>22</v>
      </c>
      <c r="H2403" t="s">
        <v>23</v>
      </c>
      <c r="J2403">
        <v>0</v>
      </c>
      <c r="K2403">
        <v>0</v>
      </c>
    </row>
    <row r="2404" spans="2:11" x14ac:dyDescent="0.25">
      <c r="B2404" t="s">
        <v>6</v>
      </c>
      <c r="C2404" t="s">
        <v>310</v>
      </c>
      <c r="D2404">
        <v>703215</v>
      </c>
      <c r="E2404" t="s">
        <v>130</v>
      </c>
      <c r="F2404" t="s">
        <v>21</v>
      </c>
      <c r="G2404" t="s">
        <v>22</v>
      </c>
      <c r="H2404" t="s">
        <v>23</v>
      </c>
      <c r="J2404">
        <v>0</v>
      </c>
      <c r="K2404">
        <v>0</v>
      </c>
    </row>
    <row r="2405" spans="2:11" x14ac:dyDescent="0.25">
      <c r="B2405" t="s">
        <v>6</v>
      </c>
      <c r="C2405" t="s">
        <v>310</v>
      </c>
      <c r="D2405">
        <v>703216</v>
      </c>
      <c r="E2405" t="s">
        <v>131</v>
      </c>
      <c r="F2405" t="s">
        <v>21</v>
      </c>
      <c r="G2405" t="s">
        <v>22</v>
      </c>
      <c r="H2405" t="s">
        <v>23</v>
      </c>
      <c r="J2405">
        <v>0</v>
      </c>
      <c r="K2405">
        <v>0</v>
      </c>
    </row>
    <row r="2406" spans="2:11" x14ac:dyDescent="0.25">
      <c r="B2406" t="s">
        <v>6</v>
      </c>
      <c r="C2406" t="s">
        <v>310</v>
      </c>
      <c r="D2406">
        <v>703217</v>
      </c>
      <c r="E2406" t="s">
        <v>132</v>
      </c>
      <c r="F2406" t="s">
        <v>21</v>
      </c>
      <c r="G2406" t="s">
        <v>22</v>
      </c>
      <c r="H2406" t="s">
        <v>23</v>
      </c>
      <c r="J2406">
        <v>0</v>
      </c>
      <c r="K2406">
        <v>0</v>
      </c>
    </row>
    <row r="2407" spans="2:11" x14ac:dyDescent="0.25">
      <c r="B2407" t="s">
        <v>6</v>
      </c>
      <c r="C2407" t="s">
        <v>310</v>
      </c>
      <c r="D2407">
        <v>703219</v>
      </c>
      <c r="E2407" t="s">
        <v>133</v>
      </c>
      <c r="F2407" t="s">
        <v>21</v>
      </c>
      <c r="G2407" t="s">
        <v>22</v>
      </c>
      <c r="H2407" t="s">
        <v>23</v>
      </c>
      <c r="J2407">
        <v>0</v>
      </c>
      <c r="K2407">
        <v>0</v>
      </c>
    </row>
    <row r="2408" spans="2:11" x14ac:dyDescent="0.25">
      <c r="B2408" t="s">
        <v>6</v>
      </c>
      <c r="C2408" t="s">
        <v>310</v>
      </c>
      <c r="D2408">
        <v>703220</v>
      </c>
      <c r="E2408" t="s">
        <v>134</v>
      </c>
      <c r="F2408" t="s">
        <v>21</v>
      </c>
      <c r="G2408" t="s">
        <v>71</v>
      </c>
      <c r="H2408" t="s">
        <v>135</v>
      </c>
      <c r="J2408">
        <v>0</v>
      </c>
      <c r="K2408">
        <v>0</v>
      </c>
    </row>
    <row r="2409" spans="2:11" x14ac:dyDescent="0.25">
      <c r="B2409" t="s">
        <v>6</v>
      </c>
      <c r="C2409" t="s">
        <v>310</v>
      </c>
      <c r="D2409">
        <v>703221</v>
      </c>
      <c r="E2409" t="s">
        <v>136</v>
      </c>
      <c r="F2409" t="s">
        <v>21</v>
      </c>
      <c r="G2409" t="s">
        <v>137</v>
      </c>
      <c r="H2409" t="s">
        <v>138</v>
      </c>
      <c r="J2409">
        <v>0</v>
      </c>
      <c r="K2409">
        <v>0</v>
      </c>
    </row>
    <row r="2410" spans="2:11" x14ac:dyDescent="0.25">
      <c r="B2410" t="s">
        <v>6</v>
      </c>
      <c r="C2410" t="s">
        <v>310</v>
      </c>
      <c r="D2410">
        <v>703222</v>
      </c>
      <c r="E2410" t="s">
        <v>139</v>
      </c>
      <c r="F2410" t="s">
        <v>21</v>
      </c>
      <c r="G2410" t="s">
        <v>137</v>
      </c>
      <c r="H2410" t="s">
        <v>138</v>
      </c>
      <c r="J2410">
        <v>0</v>
      </c>
      <c r="K2410">
        <v>0</v>
      </c>
    </row>
    <row r="2411" spans="2:11" x14ac:dyDescent="0.25">
      <c r="B2411" t="s">
        <v>6</v>
      </c>
      <c r="C2411" t="s">
        <v>310</v>
      </c>
      <c r="D2411">
        <v>703223</v>
      </c>
      <c r="E2411" t="s">
        <v>140</v>
      </c>
      <c r="F2411" t="s">
        <v>21</v>
      </c>
      <c r="G2411" t="s">
        <v>137</v>
      </c>
      <c r="H2411" t="s">
        <v>141</v>
      </c>
      <c r="J2411">
        <v>0</v>
      </c>
      <c r="K2411">
        <v>0</v>
      </c>
    </row>
    <row r="2412" spans="2:11" x14ac:dyDescent="0.25">
      <c r="B2412" t="s">
        <v>6</v>
      </c>
      <c r="C2412" t="s">
        <v>310</v>
      </c>
      <c r="D2412">
        <v>703224</v>
      </c>
      <c r="E2412" t="s">
        <v>142</v>
      </c>
      <c r="F2412" t="s">
        <v>21</v>
      </c>
      <c r="G2412" t="s">
        <v>71</v>
      </c>
      <c r="H2412" t="s">
        <v>88</v>
      </c>
      <c r="J2412">
        <v>0</v>
      </c>
      <c r="K2412">
        <v>0</v>
      </c>
    </row>
    <row r="2413" spans="2:11" x14ac:dyDescent="0.25">
      <c r="B2413" t="s">
        <v>6</v>
      </c>
      <c r="C2413" t="s">
        <v>310</v>
      </c>
      <c r="D2413">
        <v>703225</v>
      </c>
      <c r="E2413" t="s">
        <v>143</v>
      </c>
      <c r="F2413" t="s">
        <v>21</v>
      </c>
      <c r="G2413" t="s">
        <v>71</v>
      </c>
      <c r="H2413" t="s">
        <v>88</v>
      </c>
      <c r="J2413">
        <v>0</v>
      </c>
      <c r="K2413">
        <v>0</v>
      </c>
    </row>
    <row r="2414" spans="2:11" x14ac:dyDescent="0.25">
      <c r="B2414" t="s">
        <v>6</v>
      </c>
      <c r="C2414" t="s">
        <v>310</v>
      </c>
      <c r="D2414">
        <v>703226</v>
      </c>
      <c r="E2414" t="s">
        <v>144</v>
      </c>
      <c r="F2414" t="s">
        <v>21</v>
      </c>
      <c r="G2414" t="s">
        <v>71</v>
      </c>
      <c r="H2414" t="s">
        <v>82</v>
      </c>
      <c r="J2414">
        <v>0</v>
      </c>
      <c r="K2414">
        <v>0</v>
      </c>
    </row>
    <row r="2415" spans="2:11" x14ac:dyDescent="0.25">
      <c r="B2415" t="s">
        <v>6</v>
      </c>
      <c r="C2415" t="s">
        <v>310</v>
      </c>
      <c r="D2415">
        <v>703227</v>
      </c>
      <c r="E2415" t="s">
        <v>145</v>
      </c>
      <c r="F2415" t="s">
        <v>21</v>
      </c>
      <c r="G2415" t="s">
        <v>137</v>
      </c>
      <c r="H2415" t="s">
        <v>138</v>
      </c>
      <c r="J2415">
        <v>0</v>
      </c>
      <c r="K2415">
        <v>0</v>
      </c>
    </row>
    <row r="2416" spans="2:11" x14ac:dyDescent="0.25">
      <c r="B2416" t="s">
        <v>6</v>
      </c>
      <c r="C2416" t="s">
        <v>310</v>
      </c>
      <c r="D2416">
        <v>703228</v>
      </c>
      <c r="E2416" t="s">
        <v>146</v>
      </c>
      <c r="F2416" t="s">
        <v>21</v>
      </c>
      <c r="G2416" t="s">
        <v>147</v>
      </c>
      <c r="H2416" t="s">
        <v>147</v>
      </c>
      <c r="J2416">
        <v>0</v>
      </c>
      <c r="K2416">
        <v>0</v>
      </c>
    </row>
    <row r="2417" spans="2:11" x14ac:dyDescent="0.25">
      <c r="B2417" t="s">
        <v>6</v>
      </c>
      <c r="C2417" t="s">
        <v>310</v>
      </c>
      <c r="D2417">
        <v>703229</v>
      </c>
      <c r="E2417" t="s">
        <v>148</v>
      </c>
      <c r="F2417" t="s">
        <v>21</v>
      </c>
      <c r="G2417" t="s">
        <v>147</v>
      </c>
      <c r="H2417" t="s">
        <v>147</v>
      </c>
      <c r="J2417">
        <v>0</v>
      </c>
      <c r="K2417">
        <v>0</v>
      </c>
    </row>
    <row r="2418" spans="2:11" x14ac:dyDescent="0.25">
      <c r="B2418" t="s">
        <v>6</v>
      </c>
      <c r="C2418" t="s">
        <v>310</v>
      </c>
      <c r="D2418">
        <v>703230</v>
      </c>
      <c r="E2418" t="s">
        <v>149</v>
      </c>
      <c r="F2418" t="s">
        <v>21</v>
      </c>
      <c r="G2418" t="s">
        <v>147</v>
      </c>
      <c r="H2418" t="s">
        <v>147</v>
      </c>
      <c r="J2418">
        <v>0</v>
      </c>
      <c r="K2418">
        <v>0</v>
      </c>
    </row>
    <row r="2419" spans="2:11" x14ac:dyDescent="0.25">
      <c r="B2419" t="s">
        <v>6</v>
      </c>
      <c r="C2419" t="s">
        <v>310</v>
      </c>
      <c r="D2419">
        <v>703231</v>
      </c>
      <c r="E2419" t="s">
        <v>150</v>
      </c>
      <c r="F2419" t="s">
        <v>21</v>
      </c>
      <c r="G2419" t="s">
        <v>137</v>
      </c>
      <c r="H2419" t="s">
        <v>141</v>
      </c>
      <c r="J2419">
        <v>0</v>
      </c>
      <c r="K2419">
        <v>0</v>
      </c>
    </row>
    <row r="2420" spans="2:11" x14ac:dyDescent="0.25">
      <c r="B2420" t="s">
        <v>6</v>
      </c>
      <c r="C2420" t="s">
        <v>310</v>
      </c>
      <c r="D2420">
        <v>703232</v>
      </c>
      <c r="E2420" t="s">
        <v>151</v>
      </c>
      <c r="F2420" t="s">
        <v>21</v>
      </c>
      <c r="G2420" t="s">
        <v>147</v>
      </c>
      <c r="H2420" t="s">
        <v>147</v>
      </c>
      <c r="J2420">
        <v>0</v>
      </c>
      <c r="K2420">
        <v>0</v>
      </c>
    </row>
    <row r="2421" spans="2:11" x14ac:dyDescent="0.25">
      <c r="B2421" t="s">
        <v>6</v>
      </c>
      <c r="C2421" t="s">
        <v>310</v>
      </c>
      <c r="D2421">
        <v>703233</v>
      </c>
      <c r="E2421" t="s">
        <v>152</v>
      </c>
      <c r="F2421" t="s">
        <v>21</v>
      </c>
      <c r="G2421" t="s">
        <v>71</v>
      </c>
      <c r="H2421" t="s">
        <v>153</v>
      </c>
      <c r="J2421">
        <v>0</v>
      </c>
      <c r="K2421">
        <v>0</v>
      </c>
    </row>
    <row r="2422" spans="2:11" x14ac:dyDescent="0.25">
      <c r="B2422" t="s">
        <v>6</v>
      </c>
      <c r="C2422" t="s">
        <v>310</v>
      </c>
      <c r="D2422">
        <v>703234</v>
      </c>
      <c r="E2422" t="s">
        <v>154</v>
      </c>
      <c r="F2422" t="s">
        <v>21</v>
      </c>
      <c r="G2422" t="s">
        <v>71</v>
      </c>
      <c r="H2422" t="s">
        <v>153</v>
      </c>
      <c r="J2422">
        <v>0</v>
      </c>
      <c r="K2422">
        <v>0</v>
      </c>
    </row>
    <row r="2423" spans="2:11" x14ac:dyDescent="0.25">
      <c r="B2423" t="s">
        <v>6</v>
      </c>
      <c r="C2423" t="s">
        <v>310</v>
      </c>
      <c r="D2423">
        <v>703235</v>
      </c>
      <c r="E2423" t="s">
        <v>155</v>
      </c>
      <c r="F2423" t="s">
        <v>21</v>
      </c>
      <c r="G2423" t="s">
        <v>71</v>
      </c>
      <c r="H2423" t="s">
        <v>153</v>
      </c>
      <c r="J2423">
        <v>0</v>
      </c>
      <c r="K2423">
        <v>0</v>
      </c>
    </row>
    <row r="2424" spans="2:11" x14ac:dyDescent="0.25">
      <c r="B2424" t="s">
        <v>6</v>
      </c>
      <c r="C2424" t="s">
        <v>310</v>
      </c>
      <c r="D2424">
        <v>703236</v>
      </c>
      <c r="E2424" t="s">
        <v>156</v>
      </c>
      <c r="F2424" t="s">
        <v>21</v>
      </c>
      <c r="G2424" t="s">
        <v>76</v>
      </c>
      <c r="H2424" t="s">
        <v>77</v>
      </c>
      <c r="J2424">
        <v>0</v>
      </c>
      <c r="K2424">
        <v>0</v>
      </c>
    </row>
    <row r="2425" spans="2:11" x14ac:dyDescent="0.25">
      <c r="B2425" t="s">
        <v>6</v>
      </c>
      <c r="C2425" t="s">
        <v>310</v>
      </c>
      <c r="D2425">
        <v>703237</v>
      </c>
      <c r="E2425" t="s">
        <v>157</v>
      </c>
      <c r="F2425" t="s">
        <v>21</v>
      </c>
      <c r="G2425" t="s">
        <v>22</v>
      </c>
      <c r="H2425" t="s">
        <v>23</v>
      </c>
      <c r="J2425">
        <v>0</v>
      </c>
      <c r="K2425">
        <v>0</v>
      </c>
    </row>
    <row r="2426" spans="2:11" x14ac:dyDescent="0.25">
      <c r="B2426" t="s">
        <v>6</v>
      </c>
      <c r="C2426" t="s">
        <v>310</v>
      </c>
      <c r="D2426">
        <v>703238</v>
      </c>
      <c r="E2426" t="s">
        <v>158</v>
      </c>
      <c r="F2426" t="s">
        <v>21</v>
      </c>
      <c r="G2426" t="s">
        <v>61</v>
      </c>
      <c r="H2426" t="s">
        <v>68</v>
      </c>
      <c r="J2426">
        <v>0</v>
      </c>
      <c r="K2426">
        <v>0</v>
      </c>
    </row>
    <row r="2427" spans="2:11" x14ac:dyDescent="0.25">
      <c r="B2427" t="s">
        <v>6</v>
      </c>
      <c r="C2427" t="s">
        <v>310</v>
      </c>
      <c r="D2427">
        <v>703239</v>
      </c>
      <c r="E2427" t="s">
        <v>159</v>
      </c>
      <c r="F2427" t="s">
        <v>21</v>
      </c>
      <c r="G2427" t="s">
        <v>61</v>
      </c>
      <c r="H2427" t="s">
        <v>68</v>
      </c>
      <c r="J2427">
        <v>0</v>
      </c>
      <c r="K2427">
        <v>0</v>
      </c>
    </row>
    <row r="2428" spans="2:11" x14ac:dyDescent="0.25">
      <c r="B2428" t="s">
        <v>6</v>
      </c>
      <c r="C2428" t="s">
        <v>310</v>
      </c>
      <c r="D2428">
        <v>703240</v>
      </c>
      <c r="E2428" t="s">
        <v>160</v>
      </c>
      <c r="F2428" t="s">
        <v>21</v>
      </c>
      <c r="G2428" t="s">
        <v>61</v>
      </c>
      <c r="H2428" t="s">
        <v>68</v>
      </c>
      <c r="J2428">
        <v>0</v>
      </c>
      <c r="K2428">
        <v>0</v>
      </c>
    </row>
    <row r="2429" spans="2:11" x14ac:dyDescent="0.25">
      <c r="B2429" t="s">
        <v>6</v>
      </c>
      <c r="C2429" t="s">
        <v>310</v>
      </c>
      <c r="D2429">
        <v>703241</v>
      </c>
      <c r="E2429" t="s">
        <v>161</v>
      </c>
      <c r="F2429" t="s">
        <v>21</v>
      </c>
      <c r="G2429" t="s">
        <v>137</v>
      </c>
      <c r="H2429" t="s">
        <v>141</v>
      </c>
      <c r="J2429">
        <v>0</v>
      </c>
      <c r="K2429">
        <v>0</v>
      </c>
    </row>
    <row r="2430" spans="2:11" x14ac:dyDescent="0.25">
      <c r="B2430" t="s">
        <v>6</v>
      </c>
      <c r="C2430" t="s">
        <v>310</v>
      </c>
      <c r="D2430">
        <v>703242</v>
      </c>
      <c r="E2430" t="s">
        <v>162</v>
      </c>
      <c r="F2430" t="s">
        <v>21</v>
      </c>
      <c r="G2430" t="s">
        <v>137</v>
      </c>
      <c r="H2430" t="s">
        <v>141</v>
      </c>
      <c r="J2430">
        <v>0</v>
      </c>
      <c r="K2430">
        <v>0</v>
      </c>
    </row>
    <row r="2431" spans="2:11" x14ac:dyDescent="0.25">
      <c r="B2431" t="s">
        <v>6</v>
      </c>
      <c r="C2431" t="s">
        <v>310</v>
      </c>
      <c r="D2431">
        <v>703243</v>
      </c>
      <c r="E2431" t="s">
        <v>163</v>
      </c>
      <c r="F2431" t="s">
        <v>21</v>
      </c>
      <c r="G2431" t="s">
        <v>137</v>
      </c>
      <c r="H2431" t="s">
        <v>141</v>
      </c>
      <c r="J2431">
        <v>0</v>
      </c>
      <c r="K2431">
        <v>0</v>
      </c>
    </row>
    <row r="2432" spans="2:11" x14ac:dyDescent="0.25">
      <c r="B2432" t="s">
        <v>6</v>
      </c>
      <c r="C2432" t="s">
        <v>310</v>
      </c>
      <c r="D2432">
        <v>703244</v>
      </c>
      <c r="E2432" t="s">
        <v>164</v>
      </c>
      <c r="F2432" t="s">
        <v>21</v>
      </c>
      <c r="G2432" t="s">
        <v>71</v>
      </c>
      <c r="H2432" t="s">
        <v>88</v>
      </c>
      <c r="J2432">
        <v>0</v>
      </c>
      <c r="K2432">
        <v>0</v>
      </c>
    </row>
    <row r="2433" spans="2:11" x14ac:dyDescent="0.25">
      <c r="B2433" t="s">
        <v>6</v>
      </c>
      <c r="C2433" t="s">
        <v>310</v>
      </c>
      <c r="D2433">
        <v>703245</v>
      </c>
      <c r="E2433" t="s">
        <v>165</v>
      </c>
      <c r="F2433" t="s">
        <v>21</v>
      </c>
      <c r="G2433" t="s">
        <v>137</v>
      </c>
      <c r="H2433" t="s">
        <v>138</v>
      </c>
      <c r="J2433">
        <v>0</v>
      </c>
      <c r="K2433">
        <v>0</v>
      </c>
    </row>
    <row r="2434" spans="2:11" x14ac:dyDescent="0.25">
      <c r="B2434" t="s">
        <v>6</v>
      </c>
      <c r="C2434" t="s">
        <v>310</v>
      </c>
      <c r="D2434">
        <v>703246</v>
      </c>
      <c r="E2434" t="s">
        <v>166</v>
      </c>
      <c r="F2434" t="s">
        <v>21</v>
      </c>
      <c r="G2434" t="s">
        <v>137</v>
      </c>
      <c r="H2434" t="s">
        <v>138</v>
      </c>
      <c r="J2434">
        <v>0</v>
      </c>
      <c r="K2434">
        <v>0</v>
      </c>
    </row>
    <row r="2435" spans="2:11" x14ac:dyDescent="0.25">
      <c r="B2435" t="s">
        <v>6</v>
      </c>
      <c r="C2435" t="s">
        <v>310</v>
      </c>
      <c r="D2435">
        <v>703247</v>
      </c>
      <c r="E2435" t="s">
        <v>167</v>
      </c>
      <c r="F2435" t="s">
        <v>21</v>
      </c>
      <c r="G2435" t="s">
        <v>137</v>
      </c>
      <c r="H2435" t="s">
        <v>138</v>
      </c>
      <c r="J2435">
        <v>0</v>
      </c>
      <c r="K2435">
        <v>0</v>
      </c>
    </row>
    <row r="2436" spans="2:11" x14ac:dyDescent="0.25">
      <c r="B2436" t="s">
        <v>6</v>
      </c>
      <c r="C2436" t="s">
        <v>310</v>
      </c>
      <c r="D2436">
        <v>703248</v>
      </c>
      <c r="E2436" t="s">
        <v>168</v>
      </c>
      <c r="F2436" t="s">
        <v>21</v>
      </c>
      <c r="G2436" t="s">
        <v>137</v>
      </c>
      <c r="H2436" t="s">
        <v>141</v>
      </c>
      <c r="J2436">
        <v>0</v>
      </c>
      <c r="K2436">
        <v>0</v>
      </c>
    </row>
    <row r="2437" spans="2:11" x14ac:dyDescent="0.25">
      <c r="B2437" t="s">
        <v>6</v>
      </c>
      <c r="C2437" t="s">
        <v>310</v>
      </c>
      <c r="D2437">
        <v>703249</v>
      </c>
      <c r="E2437" t="s">
        <v>169</v>
      </c>
      <c r="F2437" t="s">
        <v>21</v>
      </c>
      <c r="G2437" t="s">
        <v>147</v>
      </c>
      <c r="H2437" t="s">
        <v>147</v>
      </c>
      <c r="J2437">
        <v>0</v>
      </c>
      <c r="K2437">
        <v>0</v>
      </c>
    </row>
    <row r="2438" spans="2:11" x14ac:dyDescent="0.25">
      <c r="B2438" t="s">
        <v>6</v>
      </c>
      <c r="C2438" t="s">
        <v>310</v>
      </c>
      <c r="D2438">
        <v>703250</v>
      </c>
      <c r="E2438" t="s">
        <v>170</v>
      </c>
      <c r="F2438" t="s">
        <v>21</v>
      </c>
      <c r="G2438" t="s">
        <v>71</v>
      </c>
      <c r="H2438" t="s">
        <v>171</v>
      </c>
      <c r="J2438">
        <v>0</v>
      </c>
      <c r="K2438">
        <v>0</v>
      </c>
    </row>
    <row r="2439" spans="2:11" x14ac:dyDescent="0.25">
      <c r="B2439" t="s">
        <v>6</v>
      </c>
      <c r="C2439" t="s">
        <v>310</v>
      </c>
      <c r="D2439">
        <v>703251</v>
      </c>
      <c r="E2439" t="s">
        <v>172</v>
      </c>
      <c r="F2439" t="s">
        <v>21</v>
      </c>
      <c r="G2439" t="s">
        <v>22</v>
      </c>
      <c r="H2439" t="s">
        <v>115</v>
      </c>
      <c r="J2439">
        <v>0</v>
      </c>
      <c r="K2439">
        <v>0</v>
      </c>
    </row>
    <row r="2440" spans="2:11" x14ac:dyDescent="0.25">
      <c r="B2440" t="s">
        <v>6</v>
      </c>
      <c r="C2440" t="s">
        <v>310</v>
      </c>
      <c r="D2440">
        <v>703252</v>
      </c>
      <c r="E2440" t="s">
        <v>173</v>
      </c>
      <c r="F2440" t="s">
        <v>21</v>
      </c>
      <c r="G2440" t="s">
        <v>22</v>
      </c>
      <c r="H2440" t="s">
        <v>115</v>
      </c>
      <c r="J2440">
        <v>0</v>
      </c>
      <c r="K2440">
        <v>0</v>
      </c>
    </row>
    <row r="2441" spans="2:11" x14ac:dyDescent="0.25">
      <c r="B2441" t="s">
        <v>6</v>
      </c>
      <c r="C2441" t="s">
        <v>310</v>
      </c>
      <c r="D2441">
        <v>703253</v>
      </c>
      <c r="E2441" t="s">
        <v>174</v>
      </c>
      <c r="F2441" t="s">
        <v>21</v>
      </c>
      <c r="G2441" t="s">
        <v>22</v>
      </c>
      <c r="H2441" t="s">
        <v>115</v>
      </c>
      <c r="J2441">
        <v>0</v>
      </c>
      <c r="K2441">
        <v>0</v>
      </c>
    </row>
    <row r="2442" spans="2:11" x14ac:dyDescent="0.25">
      <c r="B2442" t="s">
        <v>6</v>
      </c>
      <c r="C2442" t="s">
        <v>310</v>
      </c>
      <c r="D2442">
        <v>703254</v>
      </c>
      <c r="E2442" t="s">
        <v>175</v>
      </c>
      <c r="F2442" t="s">
        <v>21</v>
      </c>
      <c r="G2442" t="s">
        <v>22</v>
      </c>
      <c r="H2442" t="s">
        <v>115</v>
      </c>
      <c r="J2442">
        <v>0</v>
      </c>
      <c r="K2442">
        <v>0</v>
      </c>
    </row>
    <row r="2443" spans="2:11" x14ac:dyDescent="0.25">
      <c r="B2443" t="s">
        <v>6</v>
      </c>
      <c r="C2443" t="s">
        <v>310</v>
      </c>
      <c r="D2443">
        <v>703255</v>
      </c>
      <c r="E2443" t="s">
        <v>176</v>
      </c>
      <c r="F2443" t="s">
        <v>21</v>
      </c>
      <c r="G2443" t="s">
        <v>22</v>
      </c>
      <c r="H2443" t="s">
        <v>115</v>
      </c>
      <c r="J2443">
        <v>0</v>
      </c>
      <c r="K2443">
        <v>0</v>
      </c>
    </row>
    <row r="2444" spans="2:11" x14ac:dyDescent="0.25">
      <c r="B2444" t="s">
        <v>6</v>
      </c>
      <c r="C2444" t="s">
        <v>310</v>
      </c>
      <c r="D2444">
        <v>703257</v>
      </c>
      <c r="E2444" t="s">
        <v>177</v>
      </c>
      <c r="F2444" t="s">
        <v>21</v>
      </c>
      <c r="G2444" t="s">
        <v>147</v>
      </c>
      <c r="H2444" t="s">
        <v>147</v>
      </c>
      <c r="J2444">
        <v>0</v>
      </c>
      <c r="K2444">
        <v>0</v>
      </c>
    </row>
    <row r="2445" spans="2:11" x14ac:dyDescent="0.25">
      <c r="B2445" t="s">
        <v>6</v>
      </c>
      <c r="C2445" t="s">
        <v>310</v>
      </c>
      <c r="D2445">
        <v>703258</v>
      </c>
      <c r="E2445" t="s">
        <v>178</v>
      </c>
      <c r="F2445" t="s">
        <v>21</v>
      </c>
      <c r="G2445" t="s">
        <v>147</v>
      </c>
      <c r="H2445" t="s">
        <v>147</v>
      </c>
      <c r="J2445">
        <v>0</v>
      </c>
      <c r="K2445">
        <v>0</v>
      </c>
    </row>
    <row r="2446" spans="2:11" x14ac:dyDescent="0.25">
      <c r="B2446" t="s">
        <v>6</v>
      </c>
      <c r="C2446" t="s">
        <v>310</v>
      </c>
      <c r="D2446">
        <v>703260</v>
      </c>
      <c r="E2446" t="s">
        <v>179</v>
      </c>
      <c r="F2446" t="s">
        <v>21</v>
      </c>
      <c r="G2446" t="s">
        <v>76</v>
      </c>
      <c r="H2446" t="s">
        <v>77</v>
      </c>
      <c r="J2446">
        <v>0</v>
      </c>
      <c r="K2446">
        <v>0</v>
      </c>
    </row>
    <row r="2447" spans="2:11" x14ac:dyDescent="0.25">
      <c r="B2447" t="s">
        <v>6</v>
      </c>
      <c r="C2447" t="s">
        <v>310</v>
      </c>
      <c r="D2447">
        <v>703261</v>
      </c>
      <c r="E2447" t="s">
        <v>180</v>
      </c>
      <c r="F2447" t="s">
        <v>21</v>
      </c>
      <c r="G2447" t="s">
        <v>22</v>
      </c>
      <c r="H2447" t="s">
        <v>115</v>
      </c>
      <c r="J2447">
        <v>0</v>
      </c>
      <c r="K2447">
        <v>0</v>
      </c>
    </row>
    <row r="2448" spans="2:11" x14ac:dyDescent="0.25">
      <c r="B2448" t="s">
        <v>6</v>
      </c>
      <c r="C2448" t="s">
        <v>310</v>
      </c>
      <c r="D2448">
        <v>703262</v>
      </c>
      <c r="E2448" t="s">
        <v>181</v>
      </c>
      <c r="F2448" t="s">
        <v>21</v>
      </c>
      <c r="G2448" t="s">
        <v>22</v>
      </c>
      <c r="H2448" t="s">
        <v>23</v>
      </c>
      <c r="J2448">
        <v>0</v>
      </c>
      <c r="K2448">
        <v>0</v>
      </c>
    </row>
    <row r="2449" spans="2:11" x14ac:dyDescent="0.25">
      <c r="B2449" t="s">
        <v>6</v>
      </c>
      <c r="C2449" t="s">
        <v>310</v>
      </c>
      <c r="D2449">
        <v>703263</v>
      </c>
      <c r="E2449" t="s">
        <v>182</v>
      </c>
      <c r="F2449" t="s">
        <v>21</v>
      </c>
      <c r="G2449" t="s">
        <v>22</v>
      </c>
      <c r="H2449" t="s">
        <v>115</v>
      </c>
      <c r="J2449">
        <v>0</v>
      </c>
      <c r="K2449">
        <v>0</v>
      </c>
    </row>
    <row r="2450" spans="2:11" x14ac:dyDescent="0.25">
      <c r="B2450" t="s">
        <v>6</v>
      </c>
      <c r="C2450" t="s">
        <v>310</v>
      </c>
      <c r="D2450">
        <v>703264</v>
      </c>
      <c r="E2450" t="s">
        <v>183</v>
      </c>
      <c r="F2450" t="s">
        <v>21</v>
      </c>
      <c r="G2450" t="s">
        <v>22</v>
      </c>
      <c r="H2450" t="s">
        <v>115</v>
      </c>
      <c r="J2450">
        <v>0</v>
      </c>
      <c r="K2450">
        <v>0</v>
      </c>
    </row>
    <row r="2451" spans="2:11" x14ac:dyDescent="0.25">
      <c r="B2451" t="s">
        <v>6</v>
      </c>
      <c r="C2451" t="s">
        <v>310</v>
      </c>
      <c r="D2451">
        <v>703265</v>
      </c>
      <c r="E2451" t="s">
        <v>184</v>
      </c>
      <c r="F2451" t="s">
        <v>21</v>
      </c>
      <c r="G2451" t="s">
        <v>22</v>
      </c>
      <c r="H2451" t="s">
        <v>115</v>
      </c>
      <c r="J2451">
        <v>0</v>
      </c>
      <c r="K2451">
        <v>0</v>
      </c>
    </row>
    <row r="2452" spans="2:11" x14ac:dyDescent="0.25">
      <c r="B2452" t="s">
        <v>6</v>
      </c>
      <c r="C2452" t="s">
        <v>310</v>
      </c>
      <c r="D2452">
        <v>703266</v>
      </c>
      <c r="E2452" t="s">
        <v>185</v>
      </c>
      <c r="F2452" t="s">
        <v>21</v>
      </c>
      <c r="G2452" t="s">
        <v>71</v>
      </c>
      <c r="H2452" t="s">
        <v>186</v>
      </c>
      <c r="J2452">
        <v>0</v>
      </c>
      <c r="K2452">
        <v>0</v>
      </c>
    </row>
    <row r="2453" spans="2:11" x14ac:dyDescent="0.25">
      <c r="B2453" t="s">
        <v>6</v>
      </c>
      <c r="C2453" t="s">
        <v>310</v>
      </c>
      <c r="D2453">
        <v>703267</v>
      </c>
      <c r="E2453" t="s">
        <v>187</v>
      </c>
      <c r="F2453" t="s">
        <v>21</v>
      </c>
      <c r="G2453" t="s">
        <v>71</v>
      </c>
      <c r="H2453" t="s">
        <v>88</v>
      </c>
      <c r="J2453">
        <v>0</v>
      </c>
      <c r="K2453">
        <v>0</v>
      </c>
    </row>
    <row r="2454" spans="2:11" x14ac:dyDescent="0.25">
      <c r="B2454" t="s">
        <v>6</v>
      </c>
      <c r="C2454" t="s">
        <v>310</v>
      </c>
      <c r="D2454">
        <v>703268</v>
      </c>
      <c r="E2454" t="s">
        <v>188</v>
      </c>
      <c r="F2454" t="s">
        <v>21</v>
      </c>
      <c r="G2454" t="s">
        <v>147</v>
      </c>
      <c r="H2454" t="s">
        <v>147</v>
      </c>
      <c r="J2454">
        <v>0</v>
      </c>
      <c r="K2454">
        <v>0</v>
      </c>
    </row>
    <row r="2455" spans="2:11" x14ac:dyDescent="0.25">
      <c r="B2455" t="s">
        <v>6</v>
      </c>
      <c r="C2455" t="s">
        <v>310</v>
      </c>
      <c r="D2455">
        <v>703269</v>
      </c>
      <c r="E2455" t="s">
        <v>189</v>
      </c>
      <c r="F2455" t="s">
        <v>21</v>
      </c>
      <c r="G2455" t="s">
        <v>147</v>
      </c>
      <c r="H2455" t="s">
        <v>147</v>
      </c>
      <c r="J2455">
        <v>0</v>
      </c>
      <c r="K2455">
        <v>0</v>
      </c>
    </row>
    <row r="2456" spans="2:11" x14ac:dyDescent="0.25">
      <c r="B2456" t="s">
        <v>6</v>
      </c>
      <c r="C2456" t="s">
        <v>310</v>
      </c>
      <c r="D2456">
        <v>703270</v>
      </c>
      <c r="E2456" t="s">
        <v>190</v>
      </c>
      <c r="F2456" t="s">
        <v>21</v>
      </c>
      <c r="G2456" t="s">
        <v>137</v>
      </c>
      <c r="H2456" t="s">
        <v>141</v>
      </c>
      <c r="J2456">
        <v>0</v>
      </c>
      <c r="K2456">
        <v>0</v>
      </c>
    </row>
    <row r="2457" spans="2:11" x14ac:dyDescent="0.25">
      <c r="B2457" t="s">
        <v>6</v>
      </c>
      <c r="C2457" t="s">
        <v>310</v>
      </c>
      <c r="D2457">
        <v>703271</v>
      </c>
      <c r="E2457" t="s">
        <v>191</v>
      </c>
      <c r="F2457" t="s">
        <v>21</v>
      </c>
      <c r="G2457" t="s">
        <v>22</v>
      </c>
      <c r="H2457" t="s">
        <v>115</v>
      </c>
      <c r="J2457">
        <v>0</v>
      </c>
      <c r="K2457">
        <v>0</v>
      </c>
    </row>
    <row r="2458" spans="2:11" x14ac:dyDescent="0.25">
      <c r="B2458" t="s">
        <v>6</v>
      </c>
      <c r="C2458" t="s">
        <v>310</v>
      </c>
      <c r="D2458">
        <v>703272</v>
      </c>
      <c r="E2458" t="s">
        <v>192</v>
      </c>
      <c r="F2458" t="s">
        <v>21</v>
      </c>
      <c r="G2458" t="s">
        <v>22</v>
      </c>
      <c r="H2458" t="s">
        <v>23</v>
      </c>
      <c r="J2458">
        <v>0</v>
      </c>
      <c r="K2458">
        <v>0</v>
      </c>
    </row>
    <row r="2459" spans="2:11" x14ac:dyDescent="0.25">
      <c r="B2459" t="s">
        <v>6</v>
      </c>
      <c r="C2459" t="s">
        <v>310</v>
      </c>
      <c r="D2459">
        <v>703273</v>
      </c>
      <c r="E2459" t="s">
        <v>193</v>
      </c>
      <c r="F2459" t="s">
        <v>21</v>
      </c>
      <c r="G2459" t="s">
        <v>147</v>
      </c>
      <c r="H2459" t="s">
        <v>147</v>
      </c>
      <c r="J2459">
        <v>0</v>
      </c>
      <c r="K2459">
        <v>0</v>
      </c>
    </row>
    <row r="2460" spans="2:11" x14ac:dyDescent="0.25">
      <c r="B2460" t="s">
        <v>6</v>
      </c>
      <c r="C2460" t="s">
        <v>310</v>
      </c>
      <c r="D2460">
        <v>703274</v>
      </c>
      <c r="E2460" t="s">
        <v>194</v>
      </c>
      <c r="F2460" t="s">
        <v>21</v>
      </c>
      <c r="G2460" t="s">
        <v>147</v>
      </c>
      <c r="H2460" t="s">
        <v>147</v>
      </c>
      <c r="J2460">
        <v>0</v>
      </c>
      <c r="K2460">
        <v>0</v>
      </c>
    </row>
    <row r="2461" spans="2:11" x14ac:dyDescent="0.25">
      <c r="B2461" t="s">
        <v>6</v>
      </c>
      <c r="C2461" t="s">
        <v>310</v>
      </c>
      <c r="D2461">
        <v>703275</v>
      </c>
      <c r="E2461" t="s">
        <v>195</v>
      </c>
      <c r="F2461" t="s">
        <v>21</v>
      </c>
      <c r="G2461" t="s">
        <v>137</v>
      </c>
      <c r="H2461" t="s">
        <v>138</v>
      </c>
      <c r="J2461">
        <v>0</v>
      </c>
      <c r="K2461">
        <v>0</v>
      </c>
    </row>
    <row r="2462" spans="2:11" x14ac:dyDescent="0.25">
      <c r="B2462" t="s">
        <v>6</v>
      </c>
      <c r="C2462" t="s">
        <v>310</v>
      </c>
      <c r="D2462">
        <v>703280</v>
      </c>
      <c r="E2462" t="s">
        <v>196</v>
      </c>
      <c r="F2462" t="s">
        <v>21</v>
      </c>
      <c r="G2462" t="s">
        <v>71</v>
      </c>
      <c r="H2462" t="s">
        <v>171</v>
      </c>
      <c r="J2462">
        <v>0</v>
      </c>
      <c r="K2462">
        <v>0</v>
      </c>
    </row>
    <row r="2463" spans="2:11" x14ac:dyDescent="0.25">
      <c r="B2463" t="s">
        <v>6</v>
      </c>
      <c r="C2463" t="s">
        <v>310</v>
      </c>
      <c r="D2463">
        <v>703281</v>
      </c>
      <c r="E2463" t="s">
        <v>197</v>
      </c>
      <c r="F2463" t="s">
        <v>21</v>
      </c>
      <c r="G2463" t="s">
        <v>76</v>
      </c>
      <c r="H2463" t="s">
        <v>77</v>
      </c>
      <c r="J2463">
        <v>0</v>
      </c>
      <c r="K2463">
        <v>0</v>
      </c>
    </row>
    <row r="2464" spans="2:11" x14ac:dyDescent="0.25">
      <c r="B2464" t="s">
        <v>6</v>
      </c>
      <c r="C2464" t="s">
        <v>310</v>
      </c>
      <c r="D2464">
        <v>703282</v>
      </c>
      <c r="E2464" t="s">
        <v>198</v>
      </c>
      <c r="F2464" t="s">
        <v>21</v>
      </c>
      <c r="G2464" t="s">
        <v>76</v>
      </c>
      <c r="H2464" t="s">
        <v>77</v>
      </c>
      <c r="J2464">
        <v>0</v>
      </c>
      <c r="K2464">
        <v>0</v>
      </c>
    </row>
    <row r="2465" spans="2:11" x14ac:dyDescent="0.25">
      <c r="B2465" t="s">
        <v>6</v>
      </c>
      <c r="C2465" t="s">
        <v>310</v>
      </c>
      <c r="D2465">
        <v>703283</v>
      </c>
      <c r="E2465" t="s">
        <v>199</v>
      </c>
      <c r="F2465" t="s">
        <v>21</v>
      </c>
      <c r="G2465" t="s">
        <v>61</v>
      </c>
      <c r="H2465" t="s">
        <v>68</v>
      </c>
      <c r="J2465">
        <v>0</v>
      </c>
      <c r="K2465">
        <v>0</v>
      </c>
    </row>
    <row r="2466" spans="2:11" x14ac:dyDescent="0.25">
      <c r="B2466" t="s">
        <v>6</v>
      </c>
      <c r="C2466" t="s">
        <v>310</v>
      </c>
      <c r="D2466">
        <v>703310</v>
      </c>
      <c r="E2466" t="s">
        <v>200</v>
      </c>
      <c r="F2466" t="s">
        <v>21</v>
      </c>
      <c r="G2466" t="s">
        <v>22</v>
      </c>
      <c r="H2466" t="s">
        <v>23</v>
      </c>
      <c r="J2466">
        <v>0</v>
      </c>
      <c r="K2466">
        <v>0</v>
      </c>
    </row>
    <row r="2467" spans="2:11" x14ac:dyDescent="0.25">
      <c r="B2467" t="s">
        <v>6</v>
      </c>
      <c r="C2467" t="s">
        <v>310</v>
      </c>
      <c r="D2467">
        <v>703311</v>
      </c>
      <c r="E2467" t="s">
        <v>201</v>
      </c>
      <c r="F2467" t="s">
        <v>21</v>
      </c>
      <c r="G2467" t="s">
        <v>71</v>
      </c>
      <c r="H2467" t="s">
        <v>171</v>
      </c>
      <c r="J2467">
        <v>0</v>
      </c>
      <c r="K2467">
        <v>0</v>
      </c>
    </row>
    <row r="2468" spans="2:11" x14ac:dyDescent="0.25">
      <c r="B2468" t="s">
        <v>6</v>
      </c>
      <c r="C2468" t="s">
        <v>310</v>
      </c>
      <c r="D2468">
        <v>703312</v>
      </c>
      <c r="E2468" t="s">
        <v>202</v>
      </c>
      <c r="F2468" t="s">
        <v>21</v>
      </c>
      <c r="G2468" t="s">
        <v>76</v>
      </c>
      <c r="H2468" t="s">
        <v>77</v>
      </c>
      <c r="J2468">
        <v>0</v>
      </c>
      <c r="K2468">
        <v>0</v>
      </c>
    </row>
    <row r="2469" spans="2:11" x14ac:dyDescent="0.25">
      <c r="B2469" t="s">
        <v>6</v>
      </c>
      <c r="C2469" t="s">
        <v>310</v>
      </c>
      <c r="D2469">
        <v>703313</v>
      </c>
      <c r="E2469" t="s">
        <v>203</v>
      </c>
      <c r="F2469" t="s">
        <v>21</v>
      </c>
      <c r="G2469" t="s">
        <v>76</v>
      </c>
      <c r="H2469" t="s">
        <v>77</v>
      </c>
      <c r="J2469">
        <v>0</v>
      </c>
      <c r="K2469">
        <v>0</v>
      </c>
    </row>
    <row r="2470" spans="2:11" x14ac:dyDescent="0.25">
      <c r="B2470" t="s">
        <v>6</v>
      </c>
      <c r="C2470" t="s">
        <v>310</v>
      </c>
      <c r="D2470">
        <v>703314</v>
      </c>
      <c r="E2470" t="s">
        <v>204</v>
      </c>
      <c r="F2470" t="s">
        <v>21</v>
      </c>
      <c r="G2470" t="s">
        <v>76</v>
      </c>
      <c r="H2470" t="s">
        <v>77</v>
      </c>
      <c r="J2470">
        <v>0</v>
      </c>
      <c r="K2470">
        <v>0</v>
      </c>
    </row>
    <row r="2471" spans="2:11" x14ac:dyDescent="0.25">
      <c r="B2471" t="s">
        <v>6</v>
      </c>
      <c r="C2471" t="s">
        <v>310</v>
      </c>
      <c r="D2471">
        <v>703315</v>
      </c>
      <c r="E2471" t="s">
        <v>205</v>
      </c>
      <c r="F2471" t="s">
        <v>21</v>
      </c>
      <c r="G2471" t="s">
        <v>76</v>
      </c>
      <c r="H2471" t="s">
        <v>135</v>
      </c>
      <c r="J2471">
        <v>0</v>
      </c>
      <c r="K2471">
        <v>0</v>
      </c>
    </row>
    <row r="2472" spans="2:11" x14ac:dyDescent="0.25">
      <c r="B2472" t="s">
        <v>6</v>
      </c>
      <c r="C2472" t="s">
        <v>310</v>
      </c>
      <c r="D2472">
        <v>703316</v>
      </c>
      <c r="E2472" t="s">
        <v>206</v>
      </c>
      <c r="F2472" t="s">
        <v>21</v>
      </c>
      <c r="G2472" t="s">
        <v>76</v>
      </c>
      <c r="H2472" t="s">
        <v>77</v>
      </c>
      <c r="J2472">
        <v>0</v>
      </c>
      <c r="K2472">
        <v>0</v>
      </c>
    </row>
    <row r="2473" spans="2:11" x14ac:dyDescent="0.25">
      <c r="B2473" t="s">
        <v>6</v>
      </c>
      <c r="C2473" t="s">
        <v>310</v>
      </c>
      <c r="D2473">
        <v>703317</v>
      </c>
      <c r="E2473" t="s">
        <v>207</v>
      </c>
      <c r="F2473" t="s">
        <v>21</v>
      </c>
      <c r="G2473" t="s">
        <v>76</v>
      </c>
      <c r="H2473" t="s">
        <v>77</v>
      </c>
      <c r="J2473">
        <v>0</v>
      </c>
      <c r="K2473">
        <v>0</v>
      </c>
    </row>
    <row r="2474" spans="2:11" x14ac:dyDescent="0.25">
      <c r="B2474" t="s">
        <v>6</v>
      </c>
      <c r="C2474" t="s">
        <v>310</v>
      </c>
      <c r="D2474">
        <v>703318</v>
      </c>
      <c r="E2474" t="s">
        <v>208</v>
      </c>
      <c r="F2474" t="s">
        <v>21</v>
      </c>
      <c r="G2474" t="s">
        <v>71</v>
      </c>
      <c r="H2474" t="s">
        <v>209</v>
      </c>
      <c r="J2474">
        <v>0</v>
      </c>
      <c r="K2474">
        <v>0</v>
      </c>
    </row>
    <row r="2475" spans="2:11" x14ac:dyDescent="0.25">
      <c r="B2475" t="s">
        <v>6</v>
      </c>
      <c r="C2475" t="s">
        <v>310</v>
      </c>
      <c r="D2475">
        <v>703319</v>
      </c>
      <c r="E2475" t="s">
        <v>210</v>
      </c>
      <c r="F2475" t="s">
        <v>21</v>
      </c>
      <c r="G2475" t="s">
        <v>61</v>
      </c>
      <c r="H2475" t="s">
        <v>79</v>
      </c>
      <c r="J2475">
        <v>0</v>
      </c>
      <c r="K2475">
        <v>0</v>
      </c>
    </row>
    <row r="2476" spans="2:11" x14ac:dyDescent="0.25">
      <c r="B2476" t="s">
        <v>6</v>
      </c>
      <c r="C2476" t="s">
        <v>310</v>
      </c>
      <c r="D2476">
        <v>703320</v>
      </c>
      <c r="E2476" t="s">
        <v>211</v>
      </c>
      <c r="F2476" t="s">
        <v>21</v>
      </c>
      <c r="G2476" t="s">
        <v>71</v>
      </c>
      <c r="H2476" t="s">
        <v>135</v>
      </c>
      <c r="J2476">
        <v>0</v>
      </c>
      <c r="K2476">
        <v>0</v>
      </c>
    </row>
    <row r="2477" spans="2:11" x14ac:dyDescent="0.25">
      <c r="B2477" t="s">
        <v>6</v>
      </c>
      <c r="C2477" t="s">
        <v>310</v>
      </c>
      <c r="D2477">
        <v>703321</v>
      </c>
      <c r="E2477" t="s">
        <v>212</v>
      </c>
      <c r="F2477" t="s">
        <v>21</v>
      </c>
      <c r="G2477" t="s">
        <v>22</v>
      </c>
      <c r="H2477" t="s">
        <v>23</v>
      </c>
      <c r="J2477">
        <v>0</v>
      </c>
      <c r="K2477">
        <v>0</v>
      </c>
    </row>
    <row r="2478" spans="2:11" x14ac:dyDescent="0.25">
      <c r="B2478" t="s">
        <v>6</v>
      </c>
      <c r="C2478" t="s">
        <v>310</v>
      </c>
      <c r="D2478">
        <v>703322</v>
      </c>
      <c r="E2478" t="s">
        <v>213</v>
      </c>
      <c r="F2478" t="s">
        <v>21</v>
      </c>
      <c r="G2478" t="s">
        <v>22</v>
      </c>
      <c r="H2478" t="s">
        <v>23</v>
      </c>
      <c r="J2478">
        <v>0</v>
      </c>
      <c r="K2478">
        <v>0</v>
      </c>
    </row>
    <row r="2479" spans="2:11" x14ac:dyDescent="0.25">
      <c r="B2479" t="s">
        <v>6</v>
      </c>
      <c r="C2479" t="s">
        <v>310</v>
      </c>
      <c r="D2479">
        <v>703323</v>
      </c>
      <c r="E2479" t="s">
        <v>214</v>
      </c>
      <c r="F2479" t="s">
        <v>21</v>
      </c>
      <c r="G2479" t="s">
        <v>22</v>
      </c>
      <c r="H2479" t="s">
        <v>23</v>
      </c>
      <c r="J2479">
        <v>0</v>
      </c>
      <c r="K2479">
        <v>0</v>
      </c>
    </row>
    <row r="2480" spans="2:11" x14ac:dyDescent="0.25">
      <c r="B2480" t="s">
        <v>6</v>
      </c>
      <c r="C2480" t="s">
        <v>310</v>
      </c>
      <c r="D2480">
        <v>703324</v>
      </c>
      <c r="E2480" t="s">
        <v>215</v>
      </c>
      <c r="F2480" t="s">
        <v>21</v>
      </c>
      <c r="G2480" t="s">
        <v>22</v>
      </c>
      <c r="H2480" t="s">
        <v>23</v>
      </c>
      <c r="J2480">
        <v>0</v>
      </c>
      <c r="K2480">
        <v>0</v>
      </c>
    </row>
    <row r="2481" spans="2:11" x14ac:dyDescent="0.25">
      <c r="B2481" t="s">
        <v>6</v>
      </c>
      <c r="C2481" t="s">
        <v>310</v>
      </c>
      <c r="D2481">
        <v>703325</v>
      </c>
      <c r="E2481" t="s">
        <v>216</v>
      </c>
      <c r="F2481" t="s">
        <v>21</v>
      </c>
      <c r="G2481" t="s">
        <v>22</v>
      </c>
      <c r="H2481" t="s">
        <v>23</v>
      </c>
      <c r="J2481">
        <v>0</v>
      </c>
      <c r="K2481">
        <v>0</v>
      </c>
    </row>
    <row r="2482" spans="2:11" x14ac:dyDescent="0.25">
      <c r="B2482" t="s">
        <v>6</v>
      </c>
      <c r="C2482" t="s">
        <v>310</v>
      </c>
      <c r="D2482">
        <v>703326</v>
      </c>
      <c r="E2482" t="s">
        <v>217</v>
      </c>
      <c r="F2482" t="s">
        <v>21</v>
      </c>
      <c r="G2482" t="s">
        <v>22</v>
      </c>
      <c r="H2482" t="s">
        <v>23</v>
      </c>
      <c r="J2482">
        <v>0</v>
      </c>
      <c r="K2482">
        <v>0</v>
      </c>
    </row>
    <row r="2483" spans="2:11" x14ac:dyDescent="0.25">
      <c r="B2483" t="s">
        <v>6</v>
      </c>
      <c r="C2483" t="s">
        <v>310</v>
      </c>
      <c r="D2483">
        <v>703327</v>
      </c>
      <c r="E2483" t="s">
        <v>218</v>
      </c>
      <c r="F2483" t="s">
        <v>21</v>
      </c>
      <c r="G2483" t="s">
        <v>76</v>
      </c>
      <c r="H2483" t="s">
        <v>77</v>
      </c>
      <c r="J2483">
        <v>0</v>
      </c>
      <c r="K2483">
        <v>0</v>
      </c>
    </row>
    <row r="2484" spans="2:11" x14ac:dyDescent="0.25">
      <c r="B2484" t="s">
        <v>6</v>
      </c>
      <c r="C2484" t="s">
        <v>310</v>
      </c>
      <c r="D2484">
        <v>703328</v>
      </c>
      <c r="E2484" t="s">
        <v>219</v>
      </c>
      <c r="F2484" t="s">
        <v>21</v>
      </c>
      <c r="G2484" t="s">
        <v>22</v>
      </c>
      <c r="H2484" t="s">
        <v>23</v>
      </c>
      <c r="J2484">
        <v>0</v>
      </c>
      <c r="K2484">
        <v>0</v>
      </c>
    </row>
    <row r="2485" spans="2:11" x14ac:dyDescent="0.25">
      <c r="B2485" t="s">
        <v>6</v>
      </c>
      <c r="C2485" t="s">
        <v>310</v>
      </c>
      <c r="D2485">
        <v>703329</v>
      </c>
      <c r="E2485" t="s">
        <v>220</v>
      </c>
      <c r="F2485" t="s">
        <v>21</v>
      </c>
      <c r="G2485" t="s">
        <v>22</v>
      </c>
      <c r="H2485" t="s">
        <v>23</v>
      </c>
      <c r="J2485">
        <v>0</v>
      </c>
      <c r="K2485">
        <v>0</v>
      </c>
    </row>
    <row r="2486" spans="2:11" x14ac:dyDescent="0.25">
      <c r="B2486" t="s">
        <v>6</v>
      </c>
      <c r="C2486" t="s">
        <v>310</v>
      </c>
      <c r="D2486">
        <v>703330</v>
      </c>
      <c r="E2486" t="s">
        <v>221</v>
      </c>
      <c r="F2486" t="s">
        <v>21</v>
      </c>
      <c r="G2486" t="s">
        <v>22</v>
      </c>
      <c r="H2486" t="s">
        <v>23</v>
      </c>
      <c r="J2486">
        <v>0</v>
      </c>
      <c r="K2486">
        <v>0</v>
      </c>
    </row>
    <row r="2487" spans="2:11" x14ac:dyDescent="0.25">
      <c r="B2487" t="s">
        <v>6</v>
      </c>
      <c r="C2487" t="s">
        <v>310</v>
      </c>
      <c r="D2487">
        <v>703340</v>
      </c>
      <c r="E2487" t="s">
        <v>222</v>
      </c>
      <c r="F2487" t="s">
        <v>21</v>
      </c>
      <c r="G2487" t="s">
        <v>61</v>
      </c>
      <c r="H2487" t="s">
        <v>68</v>
      </c>
      <c r="J2487">
        <v>0</v>
      </c>
      <c r="K2487">
        <v>0</v>
      </c>
    </row>
    <row r="2488" spans="2:11" x14ac:dyDescent="0.25">
      <c r="B2488" t="s">
        <v>6</v>
      </c>
      <c r="C2488" t="s">
        <v>310</v>
      </c>
      <c r="D2488">
        <v>703350</v>
      </c>
      <c r="E2488" t="s">
        <v>223</v>
      </c>
      <c r="F2488" t="s">
        <v>21</v>
      </c>
      <c r="G2488" t="s">
        <v>22</v>
      </c>
      <c r="H2488" t="s">
        <v>23</v>
      </c>
      <c r="J2488">
        <v>0</v>
      </c>
      <c r="K2488">
        <v>0</v>
      </c>
    </row>
    <row r="2489" spans="2:11" x14ac:dyDescent="0.25">
      <c r="B2489" t="s">
        <v>6</v>
      </c>
      <c r="C2489" t="s">
        <v>310</v>
      </c>
      <c r="D2489">
        <v>703351</v>
      </c>
      <c r="E2489" t="s">
        <v>224</v>
      </c>
      <c r="F2489" t="s">
        <v>21</v>
      </c>
      <c r="G2489" t="s">
        <v>22</v>
      </c>
      <c r="H2489" t="s">
        <v>23</v>
      </c>
      <c r="J2489">
        <v>0</v>
      </c>
      <c r="K2489">
        <v>0</v>
      </c>
    </row>
    <row r="2490" spans="2:11" x14ac:dyDescent="0.25">
      <c r="B2490" t="s">
        <v>6</v>
      </c>
      <c r="C2490" t="s">
        <v>310</v>
      </c>
      <c r="D2490">
        <v>703352</v>
      </c>
      <c r="E2490" t="s">
        <v>225</v>
      </c>
      <c r="F2490" t="s">
        <v>21</v>
      </c>
      <c r="G2490" t="s">
        <v>22</v>
      </c>
      <c r="H2490" t="s">
        <v>23</v>
      </c>
      <c r="J2490">
        <v>0</v>
      </c>
      <c r="K2490">
        <v>0</v>
      </c>
    </row>
    <row r="2491" spans="2:11" x14ac:dyDescent="0.25">
      <c r="B2491" t="s">
        <v>6</v>
      </c>
      <c r="C2491" t="s">
        <v>310</v>
      </c>
      <c r="D2491">
        <v>703360</v>
      </c>
      <c r="E2491" t="s">
        <v>226</v>
      </c>
      <c r="F2491" t="s">
        <v>21</v>
      </c>
      <c r="G2491" t="s">
        <v>22</v>
      </c>
      <c r="H2491" t="s">
        <v>23</v>
      </c>
      <c r="J2491">
        <v>0</v>
      </c>
      <c r="K2491">
        <v>0</v>
      </c>
    </row>
    <row r="2492" spans="2:11" x14ac:dyDescent="0.25">
      <c r="B2492" t="s">
        <v>6</v>
      </c>
      <c r="C2492" t="s">
        <v>310</v>
      </c>
      <c r="D2492">
        <v>703370</v>
      </c>
      <c r="E2492" t="s">
        <v>227</v>
      </c>
      <c r="F2492" t="s">
        <v>21</v>
      </c>
      <c r="G2492" t="s">
        <v>22</v>
      </c>
      <c r="H2492" t="s">
        <v>23</v>
      </c>
      <c r="J2492">
        <v>0</v>
      </c>
      <c r="K2492">
        <v>0</v>
      </c>
    </row>
    <row r="2493" spans="2:11" x14ac:dyDescent="0.25">
      <c r="B2493" t="s">
        <v>6</v>
      </c>
      <c r="C2493" t="s">
        <v>310</v>
      </c>
      <c r="D2493">
        <v>703410</v>
      </c>
      <c r="E2493" t="s">
        <v>228</v>
      </c>
      <c r="F2493" t="s">
        <v>21</v>
      </c>
      <c r="G2493" t="s">
        <v>22</v>
      </c>
      <c r="H2493" t="s">
        <v>23</v>
      </c>
      <c r="J2493">
        <v>0</v>
      </c>
      <c r="K2493">
        <v>0</v>
      </c>
    </row>
    <row r="2494" spans="2:11" x14ac:dyDescent="0.25">
      <c r="B2494" t="s">
        <v>6</v>
      </c>
      <c r="C2494" t="s">
        <v>310</v>
      </c>
      <c r="D2494">
        <v>703411</v>
      </c>
      <c r="E2494" t="s">
        <v>229</v>
      </c>
      <c r="F2494" t="s">
        <v>21</v>
      </c>
      <c r="G2494" t="s">
        <v>22</v>
      </c>
      <c r="H2494" t="s">
        <v>23</v>
      </c>
      <c r="J2494">
        <v>0</v>
      </c>
      <c r="K2494">
        <v>0</v>
      </c>
    </row>
    <row r="2495" spans="2:11" x14ac:dyDescent="0.25">
      <c r="B2495" t="s">
        <v>6</v>
      </c>
      <c r="C2495" t="s">
        <v>310</v>
      </c>
      <c r="D2495">
        <v>703412</v>
      </c>
      <c r="E2495" t="s">
        <v>230</v>
      </c>
      <c r="F2495" t="s">
        <v>21</v>
      </c>
      <c r="G2495" t="s">
        <v>22</v>
      </c>
      <c r="H2495" t="s">
        <v>23</v>
      </c>
      <c r="J2495">
        <v>0</v>
      </c>
      <c r="K2495">
        <v>0</v>
      </c>
    </row>
    <row r="2496" spans="2:11" x14ac:dyDescent="0.25">
      <c r="B2496" t="s">
        <v>6</v>
      </c>
      <c r="C2496" t="s">
        <v>310</v>
      </c>
      <c r="D2496">
        <v>703420</v>
      </c>
      <c r="E2496" t="s">
        <v>231</v>
      </c>
      <c r="F2496" t="s">
        <v>21</v>
      </c>
      <c r="G2496" t="s">
        <v>71</v>
      </c>
      <c r="H2496" t="s">
        <v>171</v>
      </c>
      <c r="J2496">
        <v>0</v>
      </c>
      <c r="K2496">
        <v>0</v>
      </c>
    </row>
    <row r="2497" spans="2:11" x14ac:dyDescent="0.25">
      <c r="B2497" t="s">
        <v>6</v>
      </c>
      <c r="C2497" t="s">
        <v>310</v>
      </c>
      <c r="D2497">
        <v>703421</v>
      </c>
      <c r="E2497" t="s">
        <v>232</v>
      </c>
      <c r="F2497" t="s">
        <v>21</v>
      </c>
      <c r="G2497" t="s">
        <v>22</v>
      </c>
      <c r="H2497" t="s">
        <v>23</v>
      </c>
      <c r="J2497">
        <v>0</v>
      </c>
      <c r="K2497">
        <v>0</v>
      </c>
    </row>
    <row r="2498" spans="2:11" x14ac:dyDescent="0.25">
      <c r="B2498" t="s">
        <v>6</v>
      </c>
      <c r="C2498" t="s">
        <v>310</v>
      </c>
      <c r="D2498">
        <v>703422</v>
      </c>
      <c r="E2498" t="s">
        <v>233</v>
      </c>
      <c r="F2498" t="s">
        <v>21</v>
      </c>
      <c r="G2498" t="s">
        <v>76</v>
      </c>
      <c r="H2498" t="s">
        <v>77</v>
      </c>
      <c r="J2498">
        <v>0</v>
      </c>
      <c r="K2498">
        <v>0</v>
      </c>
    </row>
    <row r="2499" spans="2:11" x14ac:dyDescent="0.25">
      <c r="B2499" t="s">
        <v>6</v>
      </c>
      <c r="C2499" t="s">
        <v>310</v>
      </c>
      <c r="D2499">
        <v>703423</v>
      </c>
      <c r="E2499" t="s">
        <v>234</v>
      </c>
      <c r="F2499" t="s">
        <v>21</v>
      </c>
      <c r="G2499" t="s">
        <v>71</v>
      </c>
      <c r="H2499" t="s">
        <v>88</v>
      </c>
      <c r="J2499">
        <v>0</v>
      </c>
      <c r="K2499">
        <v>0</v>
      </c>
    </row>
    <row r="2500" spans="2:11" x14ac:dyDescent="0.25">
      <c r="B2500" t="s">
        <v>6</v>
      </c>
      <c r="C2500" t="s">
        <v>310</v>
      </c>
      <c r="D2500">
        <v>703424</v>
      </c>
      <c r="E2500" t="s">
        <v>235</v>
      </c>
      <c r="F2500" t="s">
        <v>21</v>
      </c>
      <c r="G2500" t="s">
        <v>71</v>
      </c>
      <c r="H2500" t="s">
        <v>88</v>
      </c>
      <c r="J2500">
        <v>0</v>
      </c>
      <c r="K2500">
        <v>0</v>
      </c>
    </row>
    <row r="2501" spans="2:11" x14ac:dyDescent="0.25">
      <c r="B2501" t="s">
        <v>6</v>
      </c>
      <c r="C2501" t="s">
        <v>310</v>
      </c>
      <c r="D2501">
        <v>703425</v>
      </c>
      <c r="E2501" t="s">
        <v>236</v>
      </c>
      <c r="F2501" t="s">
        <v>21</v>
      </c>
      <c r="G2501" t="s">
        <v>76</v>
      </c>
      <c r="H2501" t="s">
        <v>77</v>
      </c>
      <c r="J2501">
        <v>0</v>
      </c>
      <c r="K2501">
        <v>0</v>
      </c>
    </row>
    <row r="2502" spans="2:11" x14ac:dyDescent="0.25">
      <c r="B2502" t="s">
        <v>6</v>
      </c>
      <c r="C2502" t="s">
        <v>310</v>
      </c>
      <c r="D2502">
        <v>703426</v>
      </c>
      <c r="E2502" t="s">
        <v>237</v>
      </c>
      <c r="F2502" t="s">
        <v>21</v>
      </c>
      <c r="G2502" t="s">
        <v>22</v>
      </c>
      <c r="H2502" t="s">
        <v>23</v>
      </c>
      <c r="J2502">
        <v>0</v>
      </c>
      <c r="K2502">
        <v>0</v>
      </c>
    </row>
    <row r="2503" spans="2:11" x14ac:dyDescent="0.25">
      <c r="B2503" t="s">
        <v>6</v>
      </c>
      <c r="C2503" t="s">
        <v>310</v>
      </c>
      <c r="D2503">
        <v>703427</v>
      </c>
      <c r="E2503" t="s">
        <v>238</v>
      </c>
      <c r="F2503" t="s">
        <v>21</v>
      </c>
      <c r="G2503" t="s">
        <v>76</v>
      </c>
      <c r="H2503" t="s">
        <v>77</v>
      </c>
      <c r="J2503">
        <v>0</v>
      </c>
      <c r="K2503">
        <v>0</v>
      </c>
    </row>
    <row r="2504" spans="2:11" x14ac:dyDescent="0.25">
      <c r="B2504" t="s">
        <v>6</v>
      </c>
      <c r="C2504" t="s">
        <v>310</v>
      </c>
      <c r="D2504">
        <v>703428</v>
      </c>
      <c r="E2504" t="s">
        <v>239</v>
      </c>
      <c r="F2504" t="s">
        <v>21</v>
      </c>
      <c r="G2504" t="s">
        <v>76</v>
      </c>
      <c r="H2504" t="s">
        <v>77</v>
      </c>
      <c r="J2504">
        <v>0</v>
      </c>
      <c r="K2504">
        <v>0</v>
      </c>
    </row>
    <row r="2505" spans="2:11" x14ac:dyDescent="0.25">
      <c r="B2505" t="s">
        <v>6</v>
      </c>
      <c r="C2505" t="s">
        <v>310</v>
      </c>
      <c r="D2505">
        <v>703429</v>
      </c>
      <c r="E2505" t="s">
        <v>240</v>
      </c>
      <c r="F2505" t="s">
        <v>21</v>
      </c>
      <c r="G2505" t="s">
        <v>76</v>
      </c>
      <c r="H2505" t="s">
        <v>77</v>
      </c>
      <c r="J2505">
        <v>0</v>
      </c>
      <c r="K2505">
        <v>0</v>
      </c>
    </row>
    <row r="2506" spans="2:11" x14ac:dyDescent="0.25">
      <c r="B2506" t="s">
        <v>6</v>
      </c>
      <c r="C2506" t="s">
        <v>310</v>
      </c>
      <c r="D2506">
        <v>703430</v>
      </c>
      <c r="E2506" t="s">
        <v>20</v>
      </c>
      <c r="F2506" t="s">
        <v>21</v>
      </c>
      <c r="G2506" t="s">
        <v>22</v>
      </c>
      <c r="H2506" t="s">
        <v>23</v>
      </c>
      <c r="J2506">
        <v>0</v>
      </c>
      <c r="K2506">
        <v>0</v>
      </c>
    </row>
    <row r="2507" spans="2:11" x14ac:dyDescent="0.25">
      <c r="B2507" t="s">
        <v>6</v>
      </c>
      <c r="C2507" t="s">
        <v>310</v>
      </c>
      <c r="D2507">
        <v>703431</v>
      </c>
      <c r="E2507" t="s">
        <v>241</v>
      </c>
      <c r="F2507" t="s">
        <v>21</v>
      </c>
      <c r="G2507" t="s">
        <v>22</v>
      </c>
      <c r="H2507" t="s">
        <v>23</v>
      </c>
      <c r="J2507">
        <v>0</v>
      </c>
      <c r="K2507">
        <v>0</v>
      </c>
    </row>
    <row r="2508" spans="2:11" x14ac:dyDescent="0.25">
      <c r="B2508" t="s">
        <v>6</v>
      </c>
      <c r="C2508" t="s">
        <v>310</v>
      </c>
      <c r="D2508">
        <v>703432</v>
      </c>
      <c r="E2508" t="s">
        <v>242</v>
      </c>
      <c r="F2508" t="s">
        <v>21</v>
      </c>
      <c r="G2508" t="s">
        <v>22</v>
      </c>
      <c r="H2508" t="s">
        <v>23</v>
      </c>
      <c r="J2508">
        <v>0</v>
      </c>
      <c r="K2508">
        <v>0</v>
      </c>
    </row>
    <row r="2509" spans="2:11" x14ac:dyDescent="0.25">
      <c r="B2509" t="s">
        <v>6</v>
      </c>
      <c r="C2509" t="s">
        <v>310</v>
      </c>
      <c r="D2509">
        <v>703433</v>
      </c>
      <c r="E2509" t="s">
        <v>243</v>
      </c>
      <c r="F2509" t="s">
        <v>21</v>
      </c>
      <c r="G2509" t="s">
        <v>71</v>
      </c>
      <c r="H2509" t="s">
        <v>88</v>
      </c>
      <c r="J2509">
        <v>0</v>
      </c>
      <c r="K2509">
        <v>0</v>
      </c>
    </row>
    <row r="2510" spans="2:11" x14ac:dyDescent="0.25">
      <c r="B2510" t="s">
        <v>6</v>
      </c>
      <c r="C2510" t="s">
        <v>310</v>
      </c>
      <c r="D2510">
        <v>703434</v>
      </c>
      <c r="E2510" t="s">
        <v>244</v>
      </c>
      <c r="F2510" t="s">
        <v>21</v>
      </c>
      <c r="G2510" t="s">
        <v>22</v>
      </c>
      <c r="H2510" t="s">
        <v>23</v>
      </c>
      <c r="J2510">
        <v>0</v>
      </c>
      <c r="K2510">
        <v>0</v>
      </c>
    </row>
    <row r="2511" spans="2:11" x14ac:dyDescent="0.25">
      <c r="B2511" t="s">
        <v>6</v>
      </c>
      <c r="C2511" t="s">
        <v>310</v>
      </c>
      <c r="D2511">
        <v>703435</v>
      </c>
      <c r="E2511" t="s">
        <v>245</v>
      </c>
      <c r="F2511" t="s">
        <v>21</v>
      </c>
      <c r="G2511" t="s">
        <v>71</v>
      </c>
      <c r="H2511" t="s">
        <v>88</v>
      </c>
      <c r="J2511">
        <v>0</v>
      </c>
      <c r="K2511">
        <v>0</v>
      </c>
    </row>
    <row r="2512" spans="2:11" x14ac:dyDescent="0.25">
      <c r="B2512" t="s">
        <v>6</v>
      </c>
      <c r="C2512" t="s">
        <v>310</v>
      </c>
      <c r="D2512">
        <v>703436</v>
      </c>
      <c r="E2512" t="s">
        <v>246</v>
      </c>
      <c r="F2512" t="s">
        <v>21</v>
      </c>
      <c r="G2512" t="s">
        <v>71</v>
      </c>
      <c r="H2512" t="s">
        <v>88</v>
      </c>
      <c r="J2512">
        <v>0</v>
      </c>
      <c r="K2512">
        <v>0</v>
      </c>
    </row>
    <row r="2513" spans="2:11" x14ac:dyDescent="0.25">
      <c r="B2513" t="s">
        <v>6</v>
      </c>
      <c r="C2513" t="s">
        <v>310</v>
      </c>
      <c r="D2513">
        <v>703437</v>
      </c>
      <c r="E2513" t="s">
        <v>247</v>
      </c>
      <c r="F2513" t="s">
        <v>21</v>
      </c>
      <c r="G2513" t="s">
        <v>71</v>
      </c>
      <c r="H2513" t="s">
        <v>88</v>
      </c>
      <c r="J2513">
        <v>0</v>
      </c>
      <c r="K2513">
        <v>0</v>
      </c>
    </row>
    <row r="2514" spans="2:11" x14ac:dyDescent="0.25">
      <c r="B2514" t="s">
        <v>6</v>
      </c>
      <c r="C2514" t="s">
        <v>310</v>
      </c>
      <c r="D2514">
        <v>703438</v>
      </c>
      <c r="E2514" t="s">
        <v>248</v>
      </c>
      <c r="F2514" t="s">
        <v>21</v>
      </c>
      <c r="G2514" t="s">
        <v>71</v>
      </c>
      <c r="H2514" t="s">
        <v>88</v>
      </c>
      <c r="J2514">
        <v>0</v>
      </c>
      <c r="K2514">
        <v>0</v>
      </c>
    </row>
    <row r="2515" spans="2:11" x14ac:dyDescent="0.25">
      <c r="B2515" t="s">
        <v>6</v>
      </c>
      <c r="C2515" t="s">
        <v>310</v>
      </c>
      <c r="D2515">
        <v>703439</v>
      </c>
      <c r="E2515" t="s">
        <v>249</v>
      </c>
      <c r="F2515" t="s">
        <v>21</v>
      </c>
      <c r="G2515" t="s">
        <v>22</v>
      </c>
      <c r="H2515" t="s">
        <v>23</v>
      </c>
      <c r="J2515">
        <v>0</v>
      </c>
      <c r="K2515">
        <v>0</v>
      </c>
    </row>
    <row r="2516" spans="2:11" x14ac:dyDescent="0.25">
      <c r="B2516" t="s">
        <v>6</v>
      </c>
      <c r="C2516" t="s">
        <v>310</v>
      </c>
      <c r="D2516">
        <v>703440</v>
      </c>
      <c r="E2516" t="s">
        <v>250</v>
      </c>
      <c r="F2516" t="s">
        <v>21</v>
      </c>
      <c r="G2516" t="s">
        <v>61</v>
      </c>
      <c r="H2516" t="s">
        <v>68</v>
      </c>
      <c r="J2516">
        <v>0</v>
      </c>
      <c r="K2516">
        <v>0</v>
      </c>
    </row>
    <row r="2517" spans="2:11" x14ac:dyDescent="0.25">
      <c r="B2517" t="s">
        <v>6</v>
      </c>
      <c r="C2517" t="s">
        <v>310</v>
      </c>
      <c r="D2517">
        <v>703441</v>
      </c>
      <c r="E2517" t="s">
        <v>251</v>
      </c>
      <c r="F2517" t="s">
        <v>21</v>
      </c>
      <c r="G2517" t="s">
        <v>61</v>
      </c>
      <c r="H2517" t="s">
        <v>79</v>
      </c>
      <c r="J2517">
        <v>0</v>
      </c>
      <c r="K2517">
        <v>0</v>
      </c>
    </row>
    <row r="2518" spans="2:11" x14ac:dyDescent="0.25">
      <c r="B2518" t="s">
        <v>6</v>
      </c>
      <c r="C2518" t="s">
        <v>310</v>
      </c>
      <c r="D2518">
        <v>703442</v>
      </c>
      <c r="E2518" t="s">
        <v>252</v>
      </c>
      <c r="F2518" t="s">
        <v>21</v>
      </c>
      <c r="G2518" t="s">
        <v>76</v>
      </c>
      <c r="H2518" t="s">
        <v>77</v>
      </c>
      <c r="J2518">
        <v>0</v>
      </c>
      <c r="K2518">
        <v>0</v>
      </c>
    </row>
    <row r="2519" spans="2:11" x14ac:dyDescent="0.25">
      <c r="B2519" t="s">
        <v>6</v>
      </c>
      <c r="C2519" t="s">
        <v>310</v>
      </c>
      <c r="D2519">
        <v>703443</v>
      </c>
      <c r="E2519" t="s">
        <v>253</v>
      </c>
      <c r="F2519" t="s">
        <v>21</v>
      </c>
      <c r="G2519" t="s">
        <v>71</v>
      </c>
      <c r="H2519" t="s">
        <v>88</v>
      </c>
      <c r="J2519">
        <v>0</v>
      </c>
      <c r="K2519">
        <v>0</v>
      </c>
    </row>
    <row r="2520" spans="2:11" x14ac:dyDescent="0.25">
      <c r="B2520" t="s">
        <v>6</v>
      </c>
      <c r="C2520" t="s">
        <v>310</v>
      </c>
      <c r="D2520">
        <v>703444</v>
      </c>
      <c r="E2520" t="s">
        <v>254</v>
      </c>
      <c r="F2520" t="s">
        <v>21</v>
      </c>
      <c r="G2520" t="s">
        <v>22</v>
      </c>
      <c r="H2520" t="s">
        <v>23</v>
      </c>
      <c r="J2520">
        <v>0</v>
      </c>
      <c r="K2520">
        <v>0</v>
      </c>
    </row>
    <row r="2521" spans="2:11" x14ac:dyDescent="0.25">
      <c r="B2521" t="s">
        <v>6</v>
      </c>
      <c r="C2521" t="s">
        <v>310</v>
      </c>
      <c r="D2521">
        <v>703445</v>
      </c>
      <c r="E2521" t="s">
        <v>255</v>
      </c>
      <c r="F2521" t="s">
        <v>21</v>
      </c>
      <c r="G2521" t="s">
        <v>22</v>
      </c>
      <c r="H2521" t="s">
        <v>23</v>
      </c>
      <c r="J2521">
        <v>0</v>
      </c>
      <c r="K2521">
        <v>0</v>
      </c>
    </row>
    <row r="2522" spans="2:11" x14ac:dyDescent="0.25">
      <c r="B2522" t="s">
        <v>6</v>
      </c>
      <c r="C2522" t="s">
        <v>310</v>
      </c>
      <c r="D2522">
        <v>703446</v>
      </c>
      <c r="E2522" t="s">
        <v>256</v>
      </c>
      <c r="F2522" t="s">
        <v>21</v>
      </c>
      <c r="G2522" t="s">
        <v>22</v>
      </c>
      <c r="H2522" t="s">
        <v>23</v>
      </c>
      <c r="J2522">
        <v>0</v>
      </c>
      <c r="K2522">
        <v>0</v>
      </c>
    </row>
    <row r="2523" spans="2:11" x14ac:dyDescent="0.25">
      <c r="B2523" t="s">
        <v>6</v>
      </c>
      <c r="C2523" t="s">
        <v>310</v>
      </c>
      <c r="D2523">
        <v>703447</v>
      </c>
      <c r="E2523" t="s">
        <v>257</v>
      </c>
      <c r="F2523" t="s">
        <v>21</v>
      </c>
      <c r="G2523" t="s">
        <v>22</v>
      </c>
      <c r="H2523" t="s">
        <v>23</v>
      </c>
      <c r="J2523">
        <v>0</v>
      </c>
      <c r="K2523">
        <v>0</v>
      </c>
    </row>
    <row r="2524" spans="2:11" x14ac:dyDescent="0.25">
      <c r="B2524" t="s">
        <v>6</v>
      </c>
      <c r="C2524" t="s">
        <v>310</v>
      </c>
      <c r="D2524">
        <v>703448</v>
      </c>
      <c r="E2524" t="s">
        <v>258</v>
      </c>
      <c r="F2524" t="s">
        <v>21</v>
      </c>
      <c r="G2524" t="s">
        <v>22</v>
      </c>
      <c r="H2524" t="s">
        <v>23</v>
      </c>
      <c r="J2524">
        <v>0</v>
      </c>
      <c r="K2524">
        <v>0</v>
      </c>
    </row>
    <row r="2525" spans="2:11" x14ac:dyDescent="0.25">
      <c r="B2525" t="s">
        <v>6</v>
      </c>
      <c r="C2525" t="s">
        <v>310</v>
      </c>
      <c r="D2525">
        <v>703449</v>
      </c>
      <c r="E2525" t="s">
        <v>259</v>
      </c>
      <c r="F2525" t="s">
        <v>21</v>
      </c>
      <c r="G2525" t="s">
        <v>22</v>
      </c>
      <c r="H2525" t="s">
        <v>23</v>
      </c>
      <c r="J2525">
        <v>0</v>
      </c>
      <c r="K2525">
        <v>0</v>
      </c>
    </row>
    <row r="2526" spans="2:11" x14ac:dyDescent="0.25">
      <c r="B2526" t="s">
        <v>6</v>
      </c>
      <c r="C2526" t="s">
        <v>310</v>
      </c>
      <c r="D2526">
        <v>703450</v>
      </c>
      <c r="E2526" t="s">
        <v>260</v>
      </c>
      <c r="F2526" t="s">
        <v>21</v>
      </c>
      <c r="G2526" t="s">
        <v>71</v>
      </c>
      <c r="H2526" t="s">
        <v>88</v>
      </c>
      <c r="J2526">
        <v>0</v>
      </c>
      <c r="K2526">
        <v>0</v>
      </c>
    </row>
    <row r="2527" spans="2:11" x14ac:dyDescent="0.25">
      <c r="B2527" t="s">
        <v>6</v>
      </c>
      <c r="C2527" t="s">
        <v>310</v>
      </c>
      <c r="D2527">
        <v>703510</v>
      </c>
      <c r="E2527" t="s">
        <v>261</v>
      </c>
      <c r="F2527" t="s">
        <v>21</v>
      </c>
      <c r="G2527" t="s">
        <v>22</v>
      </c>
      <c r="H2527" t="s">
        <v>23</v>
      </c>
      <c r="J2527">
        <v>0</v>
      </c>
      <c r="K2527">
        <v>0</v>
      </c>
    </row>
    <row r="2528" spans="2:11" x14ac:dyDescent="0.25">
      <c r="B2528" t="s">
        <v>6</v>
      </c>
      <c r="C2528" t="s">
        <v>310</v>
      </c>
      <c r="D2528">
        <v>703511</v>
      </c>
      <c r="E2528" t="s">
        <v>262</v>
      </c>
      <c r="F2528" t="s">
        <v>21</v>
      </c>
      <c r="G2528" t="s">
        <v>22</v>
      </c>
      <c r="H2528" t="s">
        <v>23</v>
      </c>
      <c r="J2528">
        <v>0</v>
      </c>
      <c r="K2528">
        <v>0</v>
      </c>
    </row>
    <row r="2529" spans="2:11" x14ac:dyDescent="0.25">
      <c r="B2529" t="s">
        <v>6</v>
      </c>
      <c r="C2529" t="s">
        <v>310</v>
      </c>
      <c r="D2529">
        <v>703512</v>
      </c>
      <c r="E2529" t="s">
        <v>263</v>
      </c>
      <c r="F2529" t="s">
        <v>21</v>
      </c>
      <c r="G2529" t="s">
        <v>22</v>
      </c>
      <c r="H2529" t="s">
        <v>23</v>
      </c>
      <c r="J2529">
        <v>0</v>
      </c>
      <c r="K2529">
        <v>0</v>
      </c>
    </row>
    <row r="2530" spans="2:11" x14ac:dyDescent="0.25">
      <c r="B2530" t="s">
        <v>6</v>
      </c>
      <c r="C2530" t="s">
        <v>310</v>
      </c>
      <c r="D2530">
        <v>703513</v>
      </c>
      <c r="E2530" t="s">
        <v>264</v>
      </c>
      <c r="F2530" t="s">
        <v>21</v>
      </c>
      <c r="G2530" t="s">
        <v>22</v>
      </c>
      <c r="H2530" t="s">
        <v>23</v>
      </c>
      <c r="J2530">
        <v>0</v>
      </c>
      <c r="K2530">
        <v>0</v>
      </c>
    </row>
    <row r="2531" spans="2:11" x14ac:dyDescent="0.25">
      <c r="B2531" t="s">
        <v>6</v>
      </c>
      <c r="C2531" t="s">
        <v>310</v>
      </c>
      <c r="D2531">
        <v>703514</v>
      </c>
      <c r="E2531" t="s">
        <v>265</v>
      </c>
      <c r="F2531" t="s">
        <v>21</v>
      </c>
      <c r="G2531" t="s">
        <v>22</v>
      </c>
      <c r="H2531" t="s">
        <v>23</v>
      </c>
      <c r="J2531">
        <v>0</v>
      </c>
      <c r="K2531">
        <v>0</v>
      </c>
    </row>
    <row r="2532" spans="2:11" x14ac:dyDescent="0.25">
      <c r="B2532" t="s">
        <v>6</v>
      </c>
      <c r="C2532" t="s">
        <v>310</v>
      </c>
      <c r="D2532">
        <v>703515</v>
      </c>
      <c r="E2532" t="s">
        <v>266</v>
      </c>
      <c r="F2532" t="s">
        <v>21</v>
      </c>
      <c r="G2532" t="s">
        <v>22</v>
      </c>
      <c r="H2532" t="s">
        <v>23</v>
      </c>
      <c r="J2532">
        <v>0</v>
      </c>
      <c r="K2532">
        <v>0</v>
      </c>
    </row>
    <row r="2533" spans="2:11" x14ac:dyDescent="0.25">
      <c r="B2533" t="s">
        <v>6</v>
      </c>
      <c r="C2533" t="s">
        <v>310</v>
      </c>
      <c r="D2533">
        <v>703520</v>
      </c>
      <c r="E2533" t="s">
        <v>267</v>
      </c>
      <c r="F2533" t="s">
        <v>21</v>
      </c>
      <c r="G2533" t="s">
        <v>22</v>
      </c>
      <c r="H2533" t="s">
        <v>23</v>
      </c>
      <c r="J2533">
        <v>0</v>
      </c>
      <c r="K2533">
        <v>0</v>
      </c>
    </row>
    <row r="2534" spans="2:11" x14ac:dyDescent="0.25">
      <c r="B2534" t="s">
        <v>6</v>
      </c>
      <c r="C2534" t="s">
        <v>310</v>
      </c>
      <c r="D2534">
        <v>703530</v>
      </c>
      <c r="E2534" t="s">
        <v>268</v>
      </c>
      <c r="F2534" t="s">
        <v>21</v>
      </c>
      <c r="G2534" t="s">
        <v>22</v>
      </c>
      <c r="H2534" t="s">
        <v>23</v>
      </c>
      <c r="J2534">
        <v>0</v>
      </c>
      <c r="K2534">
        <v>0</v>
      </c>
    </row>
    <row r="2535" spans="2:11" x14ac:dyDescent="0.25">
      <c r="B2535" t="s">
        <v>6</v>
      </c>
      <c r="C2535" t="s">
        <v>310</v>
      </c>
      <c r="D2535">
        <v>703540</v>
      </c>
      <c r="E2535" t="s">
        <v>269</v>
      </c>
      <c r="F2535" t="s">
        <v>21</v>
      </c>
      <c r="G2535" t="s">
        <v>22</v>
      </c>
      <c r="H2535" t="s">
        <v>23</v>
      </c>
      <c r="J2535">
        <v>0</v>
      </c>
      <c r="K2535">
        <v>0</v>
      </c>
    </row>
    <row r="2536" spans="2:11" x14ac:dyDescent="0.25">
      <c r="B2536" t="s">
        <v>6</v>
      </c>
      <c r="C2536" t="s">
        <v>310</v>
      </c>
      <c r="D2536">
        <v>703550</v>
      </c>
      <c r="E2536" t="s">
        <v>270</v>
      </c>
      <c r="F2536" t="s">
        <v>21</v>
      </c>
      <c r="G2536" t="s">
        <v>22</v>
      </c>
      <c r="H2536" t="s">
        <v>23</v>
      </c>
      <c r="J2536">
        <v>0</v>
      </c>
      <c r="K2536">
        <v>0</v>
      </c>
    </row>
    <row r="2537" spans="2:11" x14ac:dyDescent="0.25">
      <c r="B2537" t="s">
        <v>6</v>
      </c>
      <c r="C2537" t="s">
        <v>310</v>
      </c>
      <c r="D2537">
        <v>703560</v>
      </c>
      <c r="E2537" t="s">
        <v>271</v>
      </c>
      <c r="F2537" t="s">
        <v>21</v>
      </c>
      <c r="G2537" t="s">
        <v>22</v>
      </c>
      <c r="H2537" t="s">
        <v>23</v>
      </c>
      <c r="J2537">
        <v>0</v>
      </c>
      <c r="K2537">
        <v>0</v>
      </c>
    </row>
    <row r="2538" spans="2:11" x14ac:dyDescent="0.25">
      <c r="B2538" t="s">
        <v>6</v>
      </c>
      <c r="C2538" t="s">
        <v>310</v>
      </c>
      <c r="D2538">
        <v>703570</v>
      </c>
      <c r="E2538" t="s">
        <v>272</v>
      </c>
      <c r="F2538" t="s">
        <v>21</v>
      </c>
      <c r="G2538" t="s">
        <v>22</v>
      </c>
      <c r="H2538" t="s">
        <v>23</v>
      </c>
      <c r="J2538">
        <v>0</v>
      </c>
      <c r="K2538">
        <v>0</v>
      </c>
    </row>
    <row r="2539" spans="2:11" x14ac:dyDescent="0.25">
      <c r="B2539" t="s">
        <v>6</v>
      </c>
      <c r="C2539" t="s">
        <v>310</v>
      </c>
      <c r="D2539">
        <v>703571</v>
      </c>
      <c r="E2539" t="s">
        <v>273</v>
      </c>
      <c r="F2539" t="s">
        <v>21</v>
      </c>
      <c r="G2539" t="s">
        <v>22</v>
      </c>
      <c r="H2539" t="s">
        <v>23</v>
      </c>
      <c r="J2539">
        <v>0</v>
      </c>
    </row>
    <row r="2540" spans="2:11" x14ac:dyDescent="0.25">
      <c r="B2540" t="s">
        <v>6</v>
      </c>
      <c r="C2540" t="s">
        <v>310</v>
      </c>
      <c r="D2540">
        <v>703572</v>
      </c>
      <c r="E2540" t="s">
        <v>274</v>
      </c>
      <c r="F2540" t="s">
        <v>21</v>
      </c>
      <c r="G2540" t="s">
        <v>22</v>
      </c>
      <c r="H2540" t="s">
        <v>23</v>
      </c>
      <c r="J2540">
        <v>0</v>
      </c>
    </row>
    <row r="2541" spans="2:11" x14ac:dyDescent="0.25">
      <c r="B2541" t="s">
        <v>6</v>
      </c>
      <c r="C2541" t="s">
        <v>310</v>
      </c>
      <c r="D2541">
        <v>703573</v>
      </c>
      <c r="E2541" t="s">
        <v>275</v>
      </c>
      <c r="F2541" t="s">
        <v>21</v>
      </c>
      <c r="G2541" t="s">
        <v>22</v>
      </c>
      <c r="H2541" t="s">
        <v>23</v>
      </c>
      <c r="J2541">
        <v>0</v>
      </c>
    </row>
    <row r="2542" spans="2:11" x14ac:dyDescent="0.25">
      <c r="B2542" t="s">
        <v>6</v>
      </c>
      <c r="C2542" t="s">
        <v>310</v>
      </c>
      <c r="D2542">
        <v>703574</v>
      </c>
      <c r="E2542" t="s">
        <v>276</v>
      </c>
      <c r="F2542" t="s">
        <v>21</v>
      </c>
      <c r="G2542" t="s">
        <v>22</v>
      </c>
      <c r="H2542" t="s">
        <v>23</v>
      </c>
      <c r="J2542">
        <v>0</v>
      </c>
    </row>
    <row r="2543" spans="2:11" x14ac:dyDescent="0.25">
      <c r="B2543" t="s">
        <v>6</v>
      </c>
      <c r="C2543" t="s">
        <v>310</v>
      </c>
      <c r="D2543">
        <v>703580</v>
      </c>
      <c r="E2543" t="s">
        <v>277</v>
      </c>
      <c r="F2543" t="s">
        <v>21</v>
      </c>
      <c r="G2543" t="s">
        <v>22</v>
      </c>
      <c r="H2543" t="s">
        <v>23</v>
      </c>
      <c r="J2543">
        <v>0</v>
      </c>
      <c r="K2543">
        <v>0</v>
      </c>
    </row>
    <row r="2544" spans="2:11" x14ac:dyDescent="0.25">
      <c r="B2544" t="s">
        <v>6</v>
      </c>
      <c r="C2544" t="s">
        <v>310</v>
      </c>
      <c r="D2544">
        <v>703590</v>
      </c>
      <c r="E2544" t="s">
        <v>278</v>
      </c>
      <c r="F2544" t="s">
        <v>21</v>
      </c>
      <c r="G2544" t="s">
        <v>22</v>
      </c>
      <c r="H2544" t="s">
        <v>23</v>
      </c>
      <c r="J2544">
        <v>0</v>
      </c>
      <c r="K2544">
        <v>0</v>
      </c>
    </row>
    <row r="2545" spans="2:11" x14ac:dyDescent="0.25">
      <c r="B2545" t="s">
        <v>6</v>
      </c>
      <c r="C2545" t="s">
        <v>310</v>
      </c>
      <c r="D2545">
        <v>703650</v>
      </c>
      <c r="E2545" t="s">
        <v>279</v>
      </c>
      <c r="F2545" t="s">
        <v>21</v>
      </c>
      <c r="G2545" t="s">
        <v>22</v>
      </c>
      <c r="H2545" t="s">
        <v>23</v>
      </c>
      <c r="J2545">
        <v>0</v>
      </c>
      <c r="K2545">
        <v>0</v>
      </c>
    </row>
    <row r="2546" spans="2:11" x14ac:dyDescent="0.25">
      <c r="B2546" t="s">
        <v>6</v>
      </c>
      <c r="C2546" t="s">
        <v>310</v>
      </c>
      <c r="D2546">
        <v>703651</v>
      </c>
      <c r="E2546" t="s">
        <v>280</v>
      </c>
      <c r="F2546" t="s">
        <v>21</v>
      </c>
      <c r="G2546" t="s">
        <v>22</v>
      </c>
      <c r="H2546" t="s">
        <v>23</v>
      </c>
      <c r="J2546">
        <v>0</v>
      </c>
      <c r="K2546">
        <v>0</v>
      </c>
    </row>
    <row r="2547" spans="2:11" x14ac:dyDescent="0.25">
      <c r="B2547" t="s">
        <v>6</v>
      </c>
      <c r="C2547" t="s">
        <v>310</v>
      </c>
      <c r="D2547">
        <v>703850</v>
      </c>
      <c r="E2547" t="s">
        <v>281</v>
      </c>
      <c r="F2547" t="s">
        <v>21</v>
      </c>
      <c r="G2547" t="s">
        <v>22</v>
      </c>
      <c r="H2547" t="s">
        <v>23</v>
      </c>
      <c r="J2547">
        <v>0</v>
      </c>
      <c r="K2547">
        <v>0</v>
      </c>
    </row>
    <row r="2548" spans="2:11" x14ac:dyDescent="0.25">
      <c r="B2548" t="s">
        <v>6</v>
      </c>
      <c r="C2548" t="s">
        <v>310</v>
      </c>
      <c r="D2548">
        <v>703851</v>
      </c>
      <c r="E2548" t="s">
        <v>282</v>
      </c>
      <c r="F2548" t="s">
        <v>21</v>
      </c>
      <c r="G2548" t="s">
        <v>22</v>
      </c>
      <c r="H2548" t="s">
        <v>23</v>
      </c>
      <c r="J2548">
        <v>0</v>
      </c>
      <c r="K2548">
        <v>0</v>
      </c>
    </row>
    <row r="2549" spans="2:11" x14ac:dyDescent="0.25">
      <c r="B2549" t="s">
        <v>6</v>
      </c>
      <c r="C2549" t="s">
        <v>310</v>
      </c>
      <c r="D2549">
        <v>703852</v>
      </c>
      <c r="E2549" t="s">
        <v>283</v>
      </c>
      <c r="F2549" t="s">
        <v>21</v>
      </c>
      <c r="G2549" t="s">
        <v>22</v>
      </c>
      <c r="H2549" t="s">
        <v>23</v>
      </c>
      <c r="J2549">
        <v>0</v>
      </c>
      <c r="K2549">
        <v>0</v>
      </c>
    </row>
    <row r="2550" spans="2:11" x14ac:dyDescent="0.25">
      <c r="B2550" t="s">
        <v>6</v>
      </c>
      <c r="C2550" t="s">
        <v>310</v>
      </c>
      <c r="D2550">
        <v>703853</v>
      </c>
      <c r="E2550" t="s">
        <v>284</v>
      </c>
      <c r="F2550" t="s">
        <v>21</v>
      </c>
      <c r="G2550" t="s">
        <v>22</v>
      </c>
      <c r="H2550" t="s">
        <v>23</v>
      </c>
      <c r="J2550">
        <v>0</v>
      </c>
      <c r="K2550">
        <v>0</v>
      </c>
    </row>
    <row r="2551" spans="2:11" x14ac:dyDescent="0.25">
      <c r="B2551" t="s">
        <v>6</v>
      </c>
      <c r="C2551" t="s">
        <v>310</v>
      </c>
      <c r="D2551">
        <v>703854</v>
      </c>
      <c r="E2551" t="s">
        <v>285</v>
      </c>
      <c r="F2551" t="s">
        <v>21</v>
      </c>
      <c r="G2551" t="s">
        <v>22</v>
      </c>
      <c r="H2551" t="s">
        <v>115</v>
      </c>
      <c r="J2551">
        <v>0</v>
      </c>
      <c r="K2551">
        <v>0</v>
      </c>
    </row>
    <row r="2552" spans="2:11" x14ac:dyDescent="0.25">
      <c r="B2552" t="s">
        <v>6</v>
      </c>
      <c r="C2552" t="s">
        <v>310</v>
      </c>
      <c r="D2552">
        <v>703855</v>
      </c>
      <c r="E2552" t="s">
        <v>286</v>
      </c>
      <c r="F2552" t="s">
        <v>21</v>
      </c>
      <c r="G2552" t="s">
        <v>22</v>
      </c>
      <c r="H2552" t="s">
        <v>23</v>
      </c>
      <c r="J2552">
        <v>0</v>
      </c>
      <c r="K2552">
        <v>0</v>
      </c>
    </row>
    <row r="2553" spans="2:11" x14ac:dyDescent="0.25">
      <c r="B2553" t="s">
        <v>6</v>
      </c>
      <c r="C2553" t="s">
        <v>310</v>
      </c>
      <c r="D2553">
        <v>703856</v>
      </c>
      <c r="E2553" t="s">
        <v>287</v>
      </c>
      <c r="F2553" t="s">
        <v>21</v>
      </c>
      <c r="G2553" t="s">
        <v>22</v>
      </c>
      <c r="H2553" t="s">
        <v>23</v>
      </c>
      <c r="J2553">
        <v>0</v>
      </c>
      <c r="K2553">
        <v>0</v>
      </c>
    </row>
    <row r="2554" spans="2:11" x14ac:dyDescent="0.25">
      <c r="B2554" t="s">
        <v>6</v>
      </c>
      <c r="C2554" t="s">
        <v>310</v>
      </c>
      <c r="D2554">
        <v>703857</v>
      </c>
      <c r="E2554" t="s">
        <v>288</v>
      </c>
      <c r="F2554" t="s">
        <v>21</v>
      </c>
      <c r="G2554" t="s">
        <v>71</v>
      </c>
      <c r="H2554" t="s">
        <v>88</v>
      </c>
      <c r="J2554">
        <v>0</v>
      </c>
      <c r="K2554">
        <v>0</v>
      </c>
    </row>
    <row r="2555" spans="2:11" x14ac:dyDescent="0.25">
      <c r="B2555" t="s">
        <v>6</v>
      </c>
      <c r="C2555" t="s">
        <v>310</v>
      </c>
      <c r="D2555">
        <v>703858</v>
      </c>
      <c r="E2555" t="s">
        <v>289</v>
      </c>
      <c r="F2555" t="s">
        <v>21</v>
      </c>
      <c r="G2555" t="s">
        <v>22</v>
      </c>
      <c r="H2555" t="s">
        <v>23</v>
      </c>
      <c r="J2555">
        <v>0</v>
      </c>
      <c r="K2555">
        <v>0</v>
      </c>
    </row>
    <row r="2556" spans="2:11" x14ac:dyDescent="0.25">
      <c r="B2556" t="s">
        <v>6</v>
      </c>
      <c r="C2556" t="s">
        <v>310</v>
      </c>
      <c r="D2556">
        <v>703859</v>
      </c>
      <c r="E2556" t="s">
        <v>290</v>
      </c>
      <c r="F2556" t="s">
        <v>21</v>
      </c>
      <c r="G2556" t="s">
        <v>22</v>
      </c>
      <c r="H2556" t="s">
        <v>23</v>
      </c>
      <c r="J2556">
        <v>0</v>
      </c>
      <c r="K2556">
        <v>0</v>
      </c>
    </row>
    <row r="2557" spans="2:11" x14ac:dyDescent="0.25">
      <c r="B2557" t="s">
        <v>6</v>
      </c>
      <c r="C2557" t="s">
        <v>310</v>
      </c>
      <c r="D2557">
        <v>703860</v>
      </c>
      <c r="E2557" t="s">
        <v>291</v>
      </c>
      <c r="F2557" t="s">
        <v>21</v>
      </c>
      <c r="G2557" t="s">
        <v>22</v>
      </c>
      <c r="H2557" t="s">
        <v>23</v>
      </c>
      <c r="J2557">
        <v>0</v>
      </c>
      <c r="K2557">
        <v>0</v>
      </c>
    </row>
    <row r="2558" spans="2:11" x14ac:dyDescent="0.25">
      <c r="B2558" t="s">
        <v>6</v>
      </c>
      <c r="C2558" t="s">
        <v>310</v>
      </c>
      <c r="D2558">
        <v>703861</v>
      </c>
      <c r="E2558" t="s">
        <v>292</v>
      </c>
      <c r="F2558" t="s">
        <v>21</v>
      </c>
      <c r="G2558" t="s">
        <v>22</v>
      </c>
      <c r="H2558" t="s">
        <v>23</v>
      </c>
      <c r="J2558">
        <v>0</v>
      </c>
      <c r="K2558">
        <v>0</v>
      </c>
    </row>
    <row r="2559" spans="2:11" x14ac:dyDescent="0.25">
      <c r="B2559" t="s">
        <v>6</v>
      </c>
      <c r="C2559" t="s">
        <v>310</v>
      </c>
      <c r="D2559">
        <v>703862</v>
      </c>
      <c r="E2559" t="s">
        <v>293</v>
      </c>
      <c r="F2559" t="s">
        <v>21</v>
      </c>
      <c r="G2559" t="s">
        <v>22</v>
      </c>
      <c r="H2559" t="s">
        <v>23</v>
      </c>
      <c r="J2559">
        <v>0</v>
      </c>
      <c r="K2559">
        <v>0</v>
      </c>
    </row>
    <row r="2560" spans="2:11" x14ac:dyDescent="0.25">
      <c r="B2560" t="s">
        <v>6</v>
      </c>
      <c r="C2560" t="s">
        <v>310</v>
      </c>
      <c r="D2560">
        <v>703870</v>
      </c>
      <c r="E2560" t="s">
        <v>294</v>
      </c>
      <c r="F2560" t="s">
        <v>21</v>
      </c>
      <c r="G2560" t="s">
        <v>22</v>
      </c>
      <c r="H2560" t="s">
        <v>23</v>
      </c>
      <c r="J2560">
        <v>0</v>
      </c>
      <c r="K2560">
        <v>0</v>
      </c>
    </row>
    <row r="2561" spans="2:11" x14ac:dyDescent="0.25">
      <c r="B2561" t="s">
        <v>6</v>
      </c>
      <c r="C2561" t="s">
        <v>310</v>
      </c>
      <c r="D2561">
        <v>703880</v>
      </c>
      <c r="E2561" t="s">
        <v>295</v>
      </c>
      <c r="F2561" t="s">
        <v>21</v>
      </c>
      <c r="G2561" t="s">
        <v>22</v>
      </c>
      <c r="H2561" t="s">
        <v>23</v>
      </c>
      <c r="J2561">
        <v>0</v>
      </c>
      <c r="K2561">
        <v>0</v>
      </c>
    </row>
    <row r="2562" spans="2:11" x14ac:dyDescent="0.25">
      <c r="B2562" t="s">
        <v>6</v>
      </c>
      <c r="C2562" t="s">
        <v>310</v>
      </c>
      <c r="D2562">
        <v>703899</v>
      </c>
      <c r="E2562" t="s">
        <v>296</v>
      </c>
      <c r="F2562" t="s">
        <v>21</v>
      </c>
      <c r="G2562" t="s">
        <v>22</v>
      </c>
      <c r="H2562" t="s">
        <v>23</v>
      </c>
      <c r="J2562">
        <v>0</v>
      </c>
      <c r="K2562">
        <v>0</v>
      </c>
    </row>
    <row r="2563" spans="2:11" x14ac:dyDescent="0.25">
      <c r="B2563" t="s">
        <v>6</v>
      </c>
      <c r="C2563" t="s">
        <v>310</v>
      </c>
      <c r="D2563">
        <v>706700</v>
      </c>
      <c r="E2563" t="s">
        <v>25</v>
      </c>
      <c r="F2563" t="s">
        <v>26</v>
      </c>
      <c r="G2563" t="s">
        <v>27</v>
      </c>
      <c r="H2563" t="s">
        <v>28</v>
      </c>
      <c r="J2563">
        <v>0</v>
      </c>
      <c r="K2563">
        <v>0</v>
      </c>
    </row>
    <row r="2564" spans="2:11" x14ac:dyDescent="0.25">
      <c r="B2564" t="s">
        <v>6</v>
      </c>
      <c r="C2564" t="s">
        <v>310</v>
      </c>
      <c r="D2564" t="s">
        <v>29</v>
      </c>
      <c r="E2564" t="s">
        <v>30</v>
      </c>
      <c r="F2564" t="s">
        <v>26</v>
      </c>
      <c r="G2564" t="s">
        <v>27</v>
      </c>
      <c r="H2564" t="s">
        <v>31</v>
      </c>
      <c r="J2564">
        <v>0</v>
      </c>
      <c r="K2564">
        <v>0</v>
      </c>
    </row>
    <row r="2565" spans="2:11" x14ac:dyDescent="0.25">
      <c r="B2565" t="s">
        <v>6</v>
      </c>
      <c r="C2565" t="s">
        <v>310</v>
      </c>
      <c r="D2565" t="s">
        <v>32</v>
      </c>
      <c r="E2565" t="s">
        <v>33</v>
      </c>
      <c r="F2565" t="s">
        <v>26</v>
      </c>
      <c r="G2565" t="s">
        <v>27</v>
      </c>
      <c r="H2565" t="s">
        <v>28</v>
      </c>
      <c r="J2565">
        <v>0</v>
      </c>
      <c r="K2565">
        <v>0</v>
      </c>
    </row>
    <row r="2566" spans="2:11" x14ac:dyDescent="0.25">
      <c r="B2566" t="s">
        <v>6</v>
      </c>
      <c r="C2566" t="s">
        <v>310</v>
      </c>
      <c r="D2566" t="s">
        <v>34</v>
      </c>
      <c r="E2566" t="s">
        <v>35</v>
      </c>
      <c r="F2566" t="s">
        <v>26</v>
      </c>
      <c r="G2566" t="s">
        <v>36</v>
      </c>
      <c r="H2566" t="s">
        <v>36</v>
      </c>
      <c r="J2566">
        <v>0</v>
      </c>
      <c r="K2566">
        <v>0</v>
      </c>
    </row>
    <row r="2567" spans="2:11" x14ac:dyDescent="0.25">
      <c r="B2567" t="s">
        <v>6</v>
      </c>
      <c r="C2567" t="s">
        <v>310</v>
      </c>
      <c r="D2567" t="s">
        <v>37</v>
      </c>
      <c r="E2567" t="s">
        <v>38</v>
      </c>
      <c r="F2567" t="s">
        <v>21</v>
      </c>
      <c r="G2567" t="s">
        <v>39</v>
      </c>
      <c r="H2567" t="s">
        <v>39</v>
      </c>
      <c r="J2567">
        <v>0</v>
      </c>
      <c r="K2567">
        <v>0</v>
      </c>
    </row>
    <row r="2568" spans="2:11" x14ac:dyDescent="0.25">
      <c r="B2568" t="s">
        <v>6</v>
      </c>
      <c r="C2568" t="s">
        <v>310</v>
      </c>
      <c r="D2568" t="s">
        <v>40</v>
      </c>
      <c r="E2568" t="s">
        <v>41</v>
      </c>
      <c r="F2568" t="s">
        <v>26</v>
      </c>
      <c r="G2568" t="s">
        <v>39</v>
      </c>
      <c r="H2568" t="s">
        <v>39</v>
      </c>
      <c r="J2568">
        <v>0</v>
      </c>
      <c r="K2568">
        <v>0</v>
      </c>
    </row>
    <row r="2569" spans="2:11" x14ac:dyDescent="0.25">
      <c r="B2569" t="s">
        <v>6</v>
      </c>
      <c r="C2569" t="s">
        <v>310</v>
      </c>
      <c r="D2569" t="s">
        <v>42</v>
      </c>
      <c r="E2569" t="s">
        <v>43</v>
      </c>
      <c r="F2569" t="s">
        <v>21</v>
      </c>
      <c r="G2569" t="s">
        <v>44</v>
      </c>
      <c r="H2569" t="s">
        <v>44</v>
      </c>
      <c r="J2569">
        <v>0</v>
      </c>
      <c r="K2569">
        <v>0</v>
      </c>
    </row>
    <row r="2570" spans="2:11" x14ac:dyDescent="0.25">
      <c r="B2570" t="s">
        <v>6</v>
      </c>
      <c r="C2570" t="s">
        <v>310</v>
      </c>
      <c r="D2570" t="s">
        <v>45</v>
      </c>
      <c r="E2570" t="s">
        <v>46</v>
      </c>
      <c r="F2570" t="s">
        <v>26</v>
      </c>
      <c r="G2570" t="s">
        <v>44</v>
      </c>
      <c r="H2570" t="s">
        <v>44</v>
      </c>
      <c r="J2570">
        <v>0</v>
      </c>
      <c r="K2570">
        <v>0</v>
      </c>
    </row>
    <row r="2571" spans="2:11" x14ac:dyDescent="0.25">
      <c r="B2571" t="s">
        <v>6</v>
      </c>
      <c r="C2571" t="s">
        <v>310</v>
      </c>
      <c r="D2571" t="s">
        <v>297</v>
      </c>
      <c r="E2571" t="s">
        <v>298</v>
      </c>
      <c r="F2571" t="s">
        <v>26</v>
      </c>
      <c r="G2571" t="s">
        <v>299</v>
      </c>
      <c r="H2571" t="s">
        <v>299</v>
      </c>
      <c r="J2571">
        <v>0</v>
      </c>
    </row>
    <row r="2572" spans="2:11" x14ac:dyDescent="0.25">
      <c r="B2572" t="s">
        <v>6</v>
      </c>
      <c r="C2572" t="s">
        <v>310</v>
      </c>
      <c r="D2572" t="s">
        <v>300</v>
      </c>
      <c r="E2572" t="s">
        <v>301</v>
      </c>
      <c r="F2572" t="s">
        <v>21</v>
      </c>
      <c r="G2572" t="s">
        <v>299</v>
      </c>
      <c r="H2572" t="s">
        <v>299</v>
      </c>
      <c r="J2572">
        <v>0</v>
      </c>
    </row>
    <row r="2573" spans="2:11" x14ac:dyDescent="0.25">
      <c r="B2573" t="s">
        <v>6</v>
      </c>
      <c r="C2573" t="s">
        <v>310</v>
      </c>
      <c r="D2573" t="s">
        <v>47</v>
      </c>
      <c r="E2573" t="s">
        <v>48</v>
      </c>
      <c r="F2573" t="s">
        <v>26</v>
      </c>
      <c r="G2573" t="s">
        <v>49</v>
      </c>
      <c r="H2573" t="s">
        <v>49</v>
      </c>
      <c r="J2573">
        <v>0</v>
      </c>
      <c r="K2573">
        <v>0</v>
      </c>
    </row>
    <row r="2574" spans="2:11" x14ac:dyDescent="0.25">
      <c r="B2574" t="s">
        <v>6</v>
      </c>
      <c r="C2574" t="s">
        <v>311</v>
      </c>
      <c r="D2574">
        <v>701000</v>
      </c>
      <c r="E2574" t="s">
        <v>51</v>
      </c>
      <c r="F2574" t="s">
        <v>21</v>
      </c>
      <c r="G2574" t="s">
        <v>52</v>
      </c>
      <c r="H2574" t="s">
        <v>53</v>
      </c>
      <c r="J2574">
        <v>0</v>
      </c>
      <c r="K2574">
        <v>0</v>
      </c>
    </row>
    <row r="2575" spans="2:11" x14ac:dyDescent="0.25">
      <c r="B2575" t="s">
        <v>6</v>
      </c>
      <c r="C2575" t="s">
        <v>311</v>
      </c>
      <c r="D2575">
        <v>701008</v>
      </c>
      <c r="E2575" t="s">
        <v>54</v>
      </c>
      <c r="F2575" t="s">
        <v>21</v>
      </c>
      <c r="G2575" t="s">
        <v>52</v>
      </c>
      <c r="H2575" t="s">
        <v>53</v>
      </c>
      <c r="J2575">
        <v>0</v>
      </c>
      <c r="K2575">
        <v>0</v>
      </c>
    </row>
    <row r="2576" spans="2:11" x14ac:dyDescent="0.25">
      <c r="B2576" t="s">
        <v>6</v>
      </c>
      <c r="C2576" t="s">
        <v>311</v>
      </c>
      <c r="D2576">
        <v>701009</v>
      </c>
      <c r="E2576" t="s">
        <v>55</v>
      </c>
      <c r="F2576" t="s">
        <v>21</v>
      </c>
      <c r="G2576" t="s">
        <v>52</v>
      </c>
      <c r="H2576" t="s">
        <v>53</v>
      </c>
      <c r="J2576">
        <v>0</v>
      </c>
      <c r="K2576">
        <v>0</v>
      </c>
    </row>
    <row r="2577" spans="2:11" x14ac:dyDescent="0.25">
      <c r="B2577" t="s">
        <v>6</v>
      </c>
      <c r="C2577" t="s">
        <v>311</v>
      </c>
      <c r="D2577">
        <v>701010</v>
      </c>
      <c r="E2577" t="s">
        <v>56</v>
      </c>
      <c r="F2577" t="s">
        <v>21</v>
      </c>
      <c r="G2577" t="s">
        <v>52</v>
      </c>
      <c r="H2577" t="s">
        <v>57</v>
      </c>
      <c r="J2577">
        <v>0</v>
      </c>
      <c r="K2577">
        <v>0</v>
      </c>
    </row>
    <row r="2578" spans="2:11" x14ac:dyDescent="0.25">
      <c r="B2578" t="s">
        <v>6</v>
      </c>
      <c r="C2578" t="s">
        <v>311</v>
      </c>
      <c r="D2578">
        <v>701011</v>
      </c>
      <c r="E2578" t="s">
        <v>58</v>
      </c>
      <c r="F2578" t="s">
        <v>21</v>
      </c>
      <c r="G2578" t="s">
        <v>52</v>
      </c>
      <c r="H2578" t="s">
        <v>53</v>
      </c>
      <c r="J2578">
        <v>0</v>
      </c>
      <c r="K2578">
        <v>0</v>
      </c>
    </row>
    <row r="2579" spans="2:11" x14ac:dyDescent="0.25">
      <c r="B2579" t="s">
        <v>6</v>
      </c>
      <c r="C2579" t="s">
        <v>311</v>
      </c>
      <c r="D2579">
        <v>701012</v>
      </c>
      <c r="E2579" t="s">
        <v>59</v>
      </c>
      <c r="F2579" t="s">
        <v>21</v>
      </c>
      <c r="G2579" t="s">
        <v>52</v>
      </c>
      <c r="H2579" t="s">
        <v>53</v>
      </c>
      <c r="J2579">
        <v>0</v>
      </c>
      <c r="K2579">
        <v>0</v>
      </c>
    </row>
    <row r="2580" spans="2:11" x14ac:dyDescent="0.25">
      <c r="B2580" t="s">
        <v>6</v>
      </c>
      <c r="C2580" t="s">
        <v>311</v>
      </c>
      <c r="D2580">
        <v>701013</v>
      </c>
      <c r="E2580" t="s">
        <v>60</v>
      </c>
      <c r="F2580" t="s">
        <v>21</v>
      </c>
      <c r="G2580" t="s">
        <v>61</v>
      </c>
      <c r="H2580" t="s">
        <v>62</v>
      </c>
      <c r="J2580">
        <v>0</v>
      </c>
      <c r="K2580">
        <v>0</v>
      </c>
    </row>
    <row r="2581" spans="2:11" x14ac:dyDescent="0.25">
      <c r="B2581" t="s">
        <v>6</v>
      </c>
      <c r="C2581" t="s">
        <v>311</v>
      </c>
      <c r="D2581">
        <v>701014</v>
      </c>
      <c r="E2581" t="s">
        <v>63</v>
      </c>
      <c r="F2581" t="s">
        <v>21</v>
      </c>
      <c r="G2581" t="s">
        <v>61</v>
      </c>
      <c r="H2581" t="s">
        <v>64</v>
      </c>
      <c r="J2581">
        <v>0</v>
      </c>
      <c r="K2581">
        <v>0</v>
      </c>
    </row>
    <row r="2582" spans="2:11" x14ac:dyDescent="0.25">
      <c r="B2582" t="s">
        <v>6</v>
      </c>
      <c r="C2582" t="s">
        <v>311</v>
      </c>
      <c r="D2582">
        <v>701015</v>
      </c>
      <c r="E2582" t="s">
        <v>65</v>
      </c>
      <c r="F2582" t="s">
        <v>21</v>
      </c>
      <c r="G2582" t="s">
        <v>52</v>
      </c>
      <c r="H2582" t="s">
        <v>53</v>
      </c>
      <c r="J2582">
        <v>0</v>
      </c>
      <c r="K2582">
        <v>0</v>
      </c>
    </row>
    <row r="2583" spans="2:11" x14ac:dyDescent="0.25">
      <c r="B2583" t="s">
        <v>6</v>
      </c>
      <c r="C2583" t="s">
        <v>311</v>
      </c>
      <c r="D2583">
        <v>701016</v>
      </c>
      <c r="E2583" t="s">
        <v>66</v>
      </c>
      <c r="F2583" t="s">
        <v>21</v>
      </c>
      <c r="G2583" t="s">
        <v>52</v>
      </c>
      <c r="H2583" t="s">
        <v>53</v>
      </c>
      <c r="J2583">
        <v>0</v>
      </c>
      <c r="K2583">
        <v>0</v>
      </c>
    </row>
    <row r="2584" spans="2:11" x14ac:dyDescent="0.25">
      <c r="B2584" t="s">
        <v>6</v>
      </c>
      <c r="C2584" t="s">
        <v>311</v>
      </c>
      <c r="D2584">
        <v>701017</v>
      </c>
      <c r="E2584" t="s">
        <v>67</v>
      </c>
      <c r="F2584" t="s">
        <v>21</v>
      </c>
      <c r="G2584" t="s">
        <v>61</v>
      </c>
      <c r="H2584" t="s">
        <v>68</v>
      </c>
      <c r="J2584">
        <v>0</v>
      </c>
      <c r="K2584">
        <v>0</v>
      </c>
    </row>
    <row r="2585" spans="2:11" x14ac:dyDescent="0.25">
      <c r="B2585" t="s">
        <v>6</v>
      </c>
      <c r="C2585" t="s">
        <v>311</v>
      </c>
      <c r="D2585">
        <v>701018</v>
      </c>
      <c r="E2585" t="s">
        <v>69</v>
      </c>
      <c r="F2585" t="s">
        <v>21</v>
      </c>
      <c r="G2585" t="s">
        <v>61</v>
      </c>
      <c r="H2585" t="s">
        <v>68</v>
      </c>
      <c r="J2585">
        <v>0</v>
      </c>
      <c r="K2585">
        <v>0</v>
      </c>
    </row>
    <row r="2586" spans="2:11" x14ac:dyDescent="0.25">
      <c r="B2586" t="s">
        <v>6</v>
      </c>
      <c r="C2586" t="s">
        <v>311</v>
      </c>
      <c r="D2586">
        <v>701019</v>
      </c>
      <c r="E2586" t="s">
        <v>70</v>
      </c>
      <c r="F2586" t="s">
        <v>21</v>
      </c>
      <c r="G2586" t="s">
        <v>71</v>
      </c>
      <c r="H2586" t="s">
        <v>72</v>
      </c>
      <c r="J2586">
        <v>0</v>
      </c>
      <c r="K2586">
        <v>0</v>
      </c>
    </row>
    <row r="2587" spans="2:11" x14ac:dyDescent="0.25">
      <c r="B2587" t="s">
        <v>6</v>
      </c>
      <c r="C2587" t="s">
        <v>311</v>
      </c>
      <c r="D2587">
        <v>701020</v>
      </c>
      <c r="E2587" t="s">
        <v>73</v>
      </c>
      <c r="F2587" t="s">
        <v>21</v>
      </c>
      <c r="G2587" t="s">
        <v>52</v>
      </c>
      <c r="H2587" t="s">
        <v>53</v>
      </c>
      <c r="J2587">
        <v>0</v>
      </c>
      <c r="K2587">
        <v>0</v>
      </c>
    </row>
    <row r="2588" spans="2:11" x14ac:dyDescent="0.25">
      <c r="B2588" t="s">
        <v>6</v>
      </c>
      <c r="C2588" t="s">
        <v>311</v>
      </c>
      <c r="D2588">
        <v>701021</v>
      </c>
      <c r="E2588" t="s">
        <v>74</v>
      </c>
      <c r="F2588" t="s">
        <v>21</v>
      </c>
      <c r="G2588" t="s">
        <v>61</v>
      </c>
      <c r="H2588" t="s">
        <v>74</v>
      </c>
      <c r="J2588">
        <v>0</v>
      </c>
      <c r="K2588">
        <v>0</v>
      </c>
    </row>
    <row r="2589" spans="2:11" x14ac:dyDescent="0.25">
      <c r="B2589" t="s">
        <v>6</v>
      </c>
      <c r="C2589" t="s">
        <v>311</v>
      </c>
      <c r="D2589">
        <v>701022</v>
      </c>
      <c r="E2589" t="s">
        <v>75</v>
      </c>
      <c r="F2589" t="s">
        <v>21</v>
      </c>
      <c r="G2589" t="s">
        <v>76</v>
      </c>
      <c r="H2589" t="s">
        <v>77</v>
      </c>
      <c r="J2589">
        <v>0</v>
      </c>
      <c r="K2589">
        <v>0</v>
      </c>
    </row>
    <row r="2590" spans="2:11" x14ac:dyDescent="0.25">
      <c r="B2590" t="s">
        <v>6</v>
      </c>
      <c r="C2590" t="s">
        <v>311</v>
      </c>
      <c r="D2590">
        <v>701023</v>
      </c>
      <c r="E2590" t="s">
        <v>78</v>
      </c>
      <c r="F2590" t="s">
        <v>21</v>
      </c>
      <c r="G2590" t="s">
        <v>61</v>
      </c>
      <c r="H2590" t="s">
        <v>79</v>
      </c>
      <c r="J2590">
        <v>0</v>
      </c>
      <c r="K2590">
        <v>0</v>
      </c>
    </row>
    <row r="2591" spans="2:11" x14ac:dyDescent="0.25">
      <c r="B2591" t="s">
        <v>6</v>
      </c>
      <c r="C2591" t="s">
        <v>311</v>
      </c>
      <c r="D2591">
        <v>701024</v>
      </c>
      <c r="E2591" t="s">
        <v>80</v>
      </c>
      <c r="F2591" t="s">
        <v>21</v>
      </c>
      <c r="G2591" t="s">
        <v>76</v>
      </c>
      <c r="H2591" t="s">
        <v>77</v>
      </c>
      <c r="J2591">
        <v>0</v>
      </c>
      <c r="K2591">
        <v>0</v>
      </c>
    </row>
    <row r="2592" spans="2:11" x14ac:dyDescent="0.25">
      <c r="B2592" t="s">
        <v>6</v>
      </c>
      <c r="C2592" t="s">
        <v>311</v>
      </c>
      <c r="D2592">
        <v>701025</v>
      </c>
      <c r="E2592" t="s">
        <v>81</v>
      </c>
      <c r="F2592" t="s">
        <v>21</v>
      </c>
      <c r="G2592" t="s">
        <v>71</v>
      </c>
      <c r="H2592" t="s">
        <v>82</v>
      </c>
      <c r="J2592">
        <v>0</v>
      </c>
      <c r="K2592">
        <v>0</v>
      </c>
    </row>
    <row r="2593" spans="2:11" x14ac:dyDescent="0.25">
      <c r="B2593" t="s">
        <v>6</v>
      </c>
      <c r="C2593" t="s">
        <v>311</v>
      </c>
      <c r="D2593">
        <v>701026</v>
      </c>
      <c r="E2593" t="s">
        <v>83</v>
      </c>
      <c r="F2593" t="s">
        <v>21</v>
      </c>
      <c r="G2593" t="s">
        <v>76</v>
      </c>
      <c r="H2593" t="s">
        <v>77</v>
      </c>
      <c r="J2593">
        <v>0</v>
      </c>
      <c r="K2593">
        <v>0</v>
      </c>
    </row>
    <row r="2594" spans="2:11" x14ac:dyDescent="0.25">
      <c r="B2594" t="s">
        <v>6</v>
      </c>
      <c r="C2594" t="s">
        <v>311</v>
      </c>
      <c r="D2594">
        <v>701027</v>
      </c>
      <c r="E2594" t="s">
        <v>84</v>
      </c>
      <c r="F2594" t="s">
        <v>21</v>
      </c>
      <c r="G2594" t="s">
        <v>76</v>
      </c>
      <c r="H2594" t="s">
        <v>77</v>
      </c>
      <c r="J2594">
        <v>0</v>
      </c>
      <c r="K2594">
        <v>0</v>
      </c>
    </row>
    <row r="2595" spans="2:11" x14ac:dyDescent="0.25">
      <c r="B2595" t="s">
        <v>6</v>
      </c>
      <c r="C2595" t="s">
        <v>311</v>
      </c>
      <c r="D2595">
        <v>701028</v>
      </c>
      <c r="E2595" t="s">
        <v>85</v>
      </c>
      <c r="F2595" t="s">
        <v>21</v>
      </c>
      <c r="G2595" t="s">
        <v>61</v>
      </c>
      <c r="H2595" t="s">
        <v>68</v>
      </c>
      <c r="J2595">
        <v>0</v>
      </c>
      <c r="K2595">
        <v>0</v>
      </c>
    </row>
    <row r="2596" spans="2:11" x14ac:dyDescent="0.25">
      <c r="B2596" t="s">
        <v>6</v>
      </c>
      <c r="C2596" t="s">
        <v>311</v>
      </c>
      <c r="D2596">
        <v>701029</v>
      </c>
      <c r="E2596" t="s">
        <v>86</v>
      </c>
      <c r="F2596" t="s">
        <v>21</v>
      </c>
      <c r="G2596" t="s">
        <v>61</v>
      </c>
      <c r="H2596" t="s">
        <v>68</v>
      </c>
      <c r="J2596">
        <v>0</v>
      </c>
      <c r="K2596">
        <v>0</v>
      </c>
    </row>
    <row r="2597" spans="2:11" x14ac:dyDescent="0.25">
      <c r="B2597" t="s">
        <v>6</v>
      </c>
      <c r="C2597" t="s">
        <v>311</v>
      </c>
      <c r="D2597">
        <v>701030</v>
      </c>
      <c r="E2597" t="s">
        <v>87</v>
      </c>
      <c r="F2597" t="s">
        <v>21</v>
      </c>
      <c r="G2597" t="s">
        <v>71</v>
      </c>
      <c r="H2597" t="s">
        <v>88</v>
      </c>
      <c r="J2597">
        <v>0</v>
      </c>
      <c r="K2597">
        <v>0</v>
      </c>
    </row>
    <row r="2598" spans="2:11" x14ac:dyDescent="0.25">
      <c r="B2598" t="s">
        <v>6</v>
      </c>
      <c r="C2598" t="s">
        <v>311</v>
      </c>
      <c r="D2598">
        <v>701031</v>
      </c>
      <c r="E2598" t="s">
        <v>89</v>
      </c>
      <c r="F2598" t="s">
        <v>21</v>
      </c>
      <c r="G2598" t="s">
        <v>76</v>
      </c>
      <c r="H2598" t="s">
        <v>77</v>
      </c>
      <c r="J2598">
        <v>0</v>
      </c>
      <c r="K2598">
        <v>0</v>
      </c>
    </row>
    <row r="2599" spans="2:11" x14ac:dyDescent="0.25">
      <c r="B2599" t="s">
        <v>6</v>
      </c>
      <c r="C2599" t="s">
        <v>311</v>
      </c>
      <c r="D2599">
        <v>701032</v>
      </c>
      <c r="E2599" t="s">
        <v>90</v>
      </c>
      <c r="F2599" t="s">
        <v>21</v>
      </c>
      <c r="G2599" t="s">
        <v>52</v>
      </c>
      <c r="H2599" t="s">
        <v>53</v>
      </c>
      <c r="J2599">
        <v>0</v>
      </c>
      <c r="K2599">
        <v>0</v>
      </c>
    </row>
    <row r="2600" spans="2:11" x14ac:dyDescent="0.25">
      <c r="B2600" t="s">
        <v>6</v>
      </c>
      <c r="C2600" t="s">
        <v>311</v>
      </c>
      <c r="D2600">
        <v>701034</v>
      </c>
      <c r="E2600" t="s">
        <v>91</v>
      </c>
      <c r="F2600" t="s">
        <v>21</v>
      </c>
      <c r="G2600" t="s">
        <v>76</v>
      </c>
      <c r="H2600" t="s">
        <v>77</v>
      </c>
      <c r="J2600">
        <v>0</v>
      </c>
      <c r="K2600">
        <v>0</v>
      </c>
    </row>
    <row r="2601" spans="2:11" x14ac:dyDescent="0.25">
      <c r="B2601" t="s">
        <v>6</v>
      </c>
      <c r="C2601" t="s">
        <v>311</v>
      </c>
      <c r="D2601">
        <v>701035</v>
      </c>
      <c r="E2601" t="s">
        <v>92</v>
      </c>
      <c r="F2601" t="s">
        <v>21</v>
      </c>
      <c r="G2601" t="s">
        <v>61</v>
      </c>
      <c r="H2601" t="s">
        <v>68</v>
      </c>
      <c r="J2601">
        <v>0</v>
      </c>
      <c r="K2601">
        <v>0</v>
      </c>
    </row>
    <row r="2602" spans="2:11" x14ac:dyDescent="0.25">
      <c r="B2602" t="s">
        <v>6</v>
      </c>
      <c r="C2602" t="s">
        <v>311</v>
      </c>
      <c r="D2602">
        <v>701036</v>
      </c>
      <c r="E2602" t="s">
        <v>93</v>
      </c>
      <c r="F2602" t="s">
        <v>21</v>
      </c>
      <c r="G2602" t="s">
        <v>52</v>
      </c>
      <c r="H2602" t="s">
        <v>53</v>
      </c>
      <c r="J2602">
        <v>0</v>
      </c>
      <c r="K2602">
        <v>0</v>
      </c>
    </row>
    <row r="2603" spans="2:11" x14ac:dyDescent="0.25">
      <c r="B2603" t="s">
        <v>6</v>
      </c>
      <c r="C2603" t="s">
        <v>311</v>
      </c>
      <c r="D2603">
        <v>701113</v>
      </c>
      <c r="E2603" t="s">
        <v>94</v>
      </c>
      <c r="F2603" t="s">
        <v>21</v>
      </c>
      <c r="G2603" t="s">
        <v>61</v>
      </c>
      <c r="H2603" t="s">
        <v>62</v>
      </c>
      <c r="J2603">
        <v>0</v>
      </c>
      <c r="K2603">
        <v>0</v>
      </c>
    </row>
    <row r="2604" spans="2:11" x14ac:dyDescent="0.25">
      <c r="B2604" t="s">
        <v>6</v>
      </c>
      <c r="C2604" t="s">
        <v>311</v>
      </c>
      <c r="D2604">
        <v>701119</v>
      </c>
      <c r="E2604" t="s">
        <v>95</v>
      </c>
      <c r="F2604" t="s">
        <v>21</v>
      </c>
      <c r="G2604" t="s">
        <v>22</v>
      </c>
      <c r="H2604" t="s">
        <v>23</v>
      </c>
      <c r="J2604">
        <v>0</v>
      </c>
      <c r="K2604">
        <v>0</v>
      </c>
    </row>
    <row r="2605" spans="2:11" x14ac:dyDescent="0.25">
      <c r="B2605" t="s">
        <v>6</v>
      </c>
      <c r="C2605" t="s">
        <v>311</v>
      </c>
      <c r="D2605">
        <v>701120</v>
      </c>
      <c r="E2605" t="s">
        <v>96</v>
      </c>
      <c r="F2605" t="s">
        <v>21</v>
      </c>
      <c r="G2605" t="s">
        <v>22</v>
      </c>
      <c r="H2605" t="s">
        <v>23</v>
      </c>
      <c r="J2605">
        <v>0</v>
      </c>
      <c r="K2605">
        <v>0</v>
      </c>
    </row>
    <row r="2606" spans="2:11" x14ac:dyDescent="0.25">
      <c r="B2606" t="s">
        <v>6</v>
      </c>
      <c r="C2606" t="s">
        <v>311</v>
      </c>
      <c r="D2606">
        <v>701121</v>
      </c>
      <c r="E2606" t="s">
        <v>97</v>
      </c>
      <c r="F2606" t="s">
        <v>21</v>
      </c>
      <c r="G2606" t="s">
        <v>22</v>
      </c>
      <c r="H2606" t="s">
        <v>23</v>
      </c>
      <c r="J2606">
        <v>0</v>
      </c>
      <c r="K2606">
        <v>0</v>
      </c>
    </row>
    <row r="2607" spans="2:11" x14ac:dyDescent="0.25">
      <c r="B2607" t="s">
        <v>6</v>
      </c>
      <c r="C2607" t="s">
        <v>311</v>
      </c>
      <c r="D2607">
        <v>701122</v>
      </c>
      <c r="E2607" t="s">
        <v>98</v>
      </c>
      <c r="F2607" t="s">
        <v>21</v>
      </c>
      <c r="G2607" t="s">
        <v>71</v>
      </c>
      <c r="H2607" t="s">
        <v>88</v>
      </c>
      <c r="J2607">
        <v>0</v>
      </c>
      <c r="K2607">
        <v>0</v>
      </c>
    </row>
    <row r="2608" spans="2:11" x14ac:dyDescent="0.25">
      <c r="B2608" t="s">
        <v>6</v>
      </c>
      <c r="C2608" t="s">
        <v>311</v>
      </c>
      <c r="D2608">
        <v>701123</v>
      </c>
      <c r="E2608" t="s">
        <v>99</v>
      </c>
      <c r="F2608" t="s">
        <v>21</v>
      </c>
      <c r="G2608" t="s">
        <v>22</v>
      </c>
      <c r="H2608" t="s">
        <v>23</v>
      </c>
      <c r="J2608">
        <v>0</v>
      </c>
      <c r="K2608">
        <v>0</v>
      </c>
    </row>
    <row r="2609" spans="2:11" x14ac:dyDescent="0.25">
      <c r="B2609" t="s">
        <v>6</v>
      </c>
      <c r="C2609" t="s">
        <v>311</v>
      </c>
      <c r="D2609">
        <v>701127</v>
      </c>
      <c r="E2609" t="s">
        <v>100</v>
      </c>
      <c r="F2609" t="s">
        <v>21</v>
      </c>
      <c r="G2609" t="s">
        <v>76</v>
      </c>
      <c r="H2609" t="s">
        <v>77</v>
      </c>
      <c r="J2609">
        <v>0</v>
      </c>
      <c r="K2609">
        <v>0</v>
      </c>
    </row>
    <row r="2610" spans="2:11" x14ac:dyDescent="0.25">
      <c r="B2610" t="s">
        <v>6</v>
      </c>
      <c r="C2610" t="s">
        <v>311</v>
      </c>
      <c r="D2610">
        <v>701213</v>
      </c>
      <c r="E2610" t="s">
        <v>101</v>
      </c>
      <c r="F2610" t="s">
        <v>21</v>
      </c>
      <c r="G2610" t="s">
        <v>61</v>
      </c>
      <c r="H2610" t="s">
        <v>62</v>
      </c>
      <c r="J2610">
        <v>0</v>
      </c>
      <c r="K2610">
        <v>0</v>
      </c>
    </row>
    <row r="2611" spans="2:11" x14ac:dyDescent="0.25">
      <c r="B2611" t="s">
        <v>6</v>
      </c>
      <c r="C2611" t="s">
        <v>311</v>
      </c>
      <c r="D2611">
        <v>701214</v>
      </c>
      <c r="E2611" t="s">
        <v>102</v>
      </c>
      <c r="F2611" t="s">
        <v>21</v>
      </c>
      <c r="G2611" t="s">
        <v>61</v>
      </c>
      <c r="H2611" t="s">
        <v>62</v>
      </c>
      <c r="J2611">
        <v>0</v>
      </c>
      <c r="K2611">
        <v>0</v>
      </c>
    </row>
    <row r="2612" spans="2:11" x14ac:dyDescent="0.25">
      <c r="B2612" t="s">
        <v>6</v>
      </c>
      <c r="C2612" t="s">
        <v>311</v>
      </c>
      <c r="D2612">
        <v>701215</v>
      </c>
      <c r="E2612" t="s">
        <v>103</v>
      </c>
      <c r="F2612" t="s">
        <v>21</v>
      </c>
      <c r="G2612" t="s">
        <v>61</v>
      </c>
      <c r="H2612" t="s">
        <v>62</v>
      </c>
      <c r="J2612">
        <v>0</v>
      </c>
      <c r="K2612">
        <v>0</v>
      </c>
    </row>
    <row r="2613" spans="2:11" x14ac:dyDescent="0.25">
      <c r="B2613" t="s">
        <v>6</v>
      </c>
      <c r="C2613" t="s">
        <v>311</v>
      </c>
      <c r="D2613">
        <v>701227</v>
      </c>
      <c r="E2613" t="s">
        <v>104</v>
      </c>
      <c r="F2613" t="s">
        <v>21</v>
      </c>
      <c r="G2613" t="s">
        <v>76</v>
      </c>
      <c r="H2613" t="s">
        <v>77</v>
      </c>
      <c r="J2613">
        <v>0</v>
      </c>
      <c r="K2613">
        <v>0</v>
      </c>
    </row>
    <row r="2614" spans="2:11" x14ac:dyDescent="0.25">
      <c r="B2614" t="s">
        <v>6</v>
      </c>
      <c r="C2614" t="s">
        <v>311</v>
      </c>
      <c r="D2614">
        <v>701327</v>
      </c>
      <c r="E2614" t="s">
        <v>106</v>
      </c>
      <c r="F2614" t="s">
        <v>21</v>
      </c>
      <c r="G2614" t="s">
        <v>76</v>
      </c>
      <c r="H2614" t="s">
        <v>77</v>
      </c>
      <c r="J2614">
        <v>0</v>
      </c>
      <c r="K2614">
        <v>0</v>
      </c>
    </row>
    <row r="2615" spans="2:11" x14ac:dyDescent="0.25">
      <c r="B2615" t="s">
        <v>6</v>
      </c>
      <c r="C2615" t="s">
        <v>311</v>
      </c>
      <c r="D2615">
        <v>701427</v>
      </c>
      <c r="E2615" t="s">
        <v>107</v>
      </c>
      <c r="F2615" t="s">
        <v>21</v>
      </c>
      <c r="G2615" t="s">
        <v>76</v>
      </c>
      <c r="H2615" t="s">
        <v>108</v>
      </c>
      <c r="J2615">
        <v>0</v>
      </c>
      <c r="K2615">
        <v>0</v>
      </c>
    </row>
    <row r="2616" spans="2:11" x14ac:dyDescent="0.25">
      <c r="B2616" t="s">
        <v>6</v>
      </c>
      <c r="C2616" t="s">
        <v>311</v>
      </c>
      <c r="D2616">
        <v>701527</v>
      </c>
      <c r="E2616" t="s">
        <v>109</v>
      </c>
      <c r="F2616" t="s">
        <v>21</v>
      </c>
      <c r="G2616" t="s">
        <v>76</v>
      </c>
      <c r="H2616" t="s">
        <v>77</v>
      </c>
      <c r="J2616">
        <v>0</v>
      </c>
      <c r="K2616">
        <v>0</v>
      </c>
    </row>
    <row r="2617" spans="2:11" x14ac:dyDescent="0.25">
      <c r="B2617" t="s">
        <v>6</v>
      </c>
      <c r="C2617" t="s">
        <v>311</v>
      </c>
      <c r="D2617">
        <v>701627</v>
      </c>
      <c r="E2617" t="s">
        <v>110</v>
      </c>
      <c r="F2617" t="s">
        <v>21</v>
      </c>
      <c r="G2617" t="s">
        <v>76</v>
      </c>
      <c r="H2617" t="s">
        <v>77</v>
      </c>
      <c r="J2617">
        <v>0</v>
      </c>
      <c r="K2617">
        <v>0</v>
      </c>
    </row>
    <row r="2618" spans="2:11" x14ac:dyDescent="0.25">
      <c r="B2618" t="s">
        <v>6</v>
      </c>
      <c r="C2618" t="s">
        <v>311</v>
      </c>
      <c r="D2618">
        <v>701727</v>
      </c>
      <c r="E2618" t="s">
        <v>111</v>
      </c>
      <c r="F2618" t="s">
        <v>21</v>
      </c>
      <c r="G2618" t="s">
        <v>76</v>
      </c>
      <c r="H2618" t="s">
        <v>77</v>
      </c>
      <c r="J2618">
        <v>0</v>
      </c>
      <c r="K2618">
        <v>0</v>
      </c>
    </row>
    <row r="2619" spans="2:11" x14ac:dyDescent="0.25">
      <c r="B2619" t="s">
        <v>6</v>
      </c>
      <c r="C2619" t="s">
        <v>311</v>
      </c>
      <c r="D2619">
        <v>701801</v>
      </c>
      <c r="E2619" t="s">
        <v>112</v>
      </c>
      <c r="F2619" t="s">
        <v>21</v>
      </c>
      <c r="G2619" t="s">
        <v>76</v>
      </c>
      <c r="H2619" t="s">
        <v>77</v>
      </c>
      <c r="J2619">
        <v>0</v>
      </c>
      <c r="K2619">
        <v>0</v>
      </c>
    </row>
    <row r="2620" spans="2:11" x14ac:dyDescent="0.25">
      <c r="B2620" t="s">
        <v>6</v>
      </c>
      <c r="C2620" t="s">
        <v>311</v>
      </c>
      <c r="D2620">
        <v>701802</v>
      </c>
      <c r="E2620" t="s">
        <v>113</v>
      </c>
      <c r="F2620" t="s">
        <v>21</v>
      </c>
      <c r="G2620" t="s">
        <v>61</v>
      </c>
      <c r="H2620" t="s">
        <v>62</v>
      </c>
      <c r="J2620">
        <v>0</v>
      </c>
      <c r="K2620">
        <v>0</v>
      </c>
    </row>
    <row r="2621" spans="2:11" x14ac:dyDescent="0.25">
      <c r="B2621" t="s">
        <v>6</v>
      </c>
      <c r="C2621" t="s">
        <v>311</v>
      </c>
      <c r="D2621">
        <v>703010</v>
      </c>
      <c r="E2621" t="s">
        <v>114</v>
      </c>
      <c r="F2621" t="s">
        <v>21</v>
      </c>
      <c r="G2621" t="s">
        <v>22</v>
      </c>
      <c r="H2621" t="s">
        <v>115</v>
      </c>
      <c r="J2621">
        <v>0</v>
      </c>
      <c r="K2621">
        <v>0</v>
      </c>
    </row>
    <row r="2622" spans="2:11" x14ac:dyDescent="0.25">
      <c r="B2622" t="s">
        <v>6</v>
      </c>
      <c r="C2622" t="s">
        <v>311</v>
      </c>
      <c r="D2622">
        <v>703011</v>
      </c>
      <c r="E2622" t="s">
        <v>116</v>
      </c>
      <c r="F2622" t="s">
        <v>21</v>
      </c>
      <c r="G2622" t="s">
        <v>22</v>
      </c>
      <c r="H2622" t="s">
        <v>115</v>
      </c>
      <c r="J2622">
        <v>0</v>
      </c>
      <c r="K2622">
        <v>0</v>
      </c>
    </row>
    <row r="2623" spans="2:11" x14ac:dyDescent="0.25">
      <c r="B2623" t="s">
        <v>6</v>
      </c>
      <c r="C2623" t="s">
        <v>311</v>
      </c>
      <c r="D2623">
        <v>703012</v>
      </c>
      <c r="E2623" t="s">
        <v>117</v>
      </c>
      <c r="F2623" t="s">
        <v>21</v>
      </c>
      <c r="G2623" t="s">
        <v>22</v>
      </c>
      <c r="H2623" t="s">
        <v>115</v>
      </c>
      <c r="J2623">
        <v>0</v>
      </c>
      <c r="K2623">
        <v>0</v>
      </c>
    </row>
    <row r="2624" spans="2:11" x14ac:dyDescent="0.25">
      <c r="B2624" t="s">
        <v>6</v>
      </c>
      <c r="C2624" t="s">
        <v>311</v>
      </c>
      <c r="D2624">
        <v>703013</v>
      </c>
      <c r="E2624" t="s">
        <v>118</v>
      </c>
      <c r="F2624" t="s">
        <v>21</v>
      </c>
      <c r="G2624" t="s">
        <v>22</v>
      </c>
      <c r="H2624" t="s">
        <v>115</v>
      </c>
      <c r="J2624">
        <v>0</v>
      </c>
      <c r="K2624">
        <v>0</v>
      </c>
    </row>
    <row r="2625" spans="2:11" x14ac:dyDescent="0.25">
      <c r="B2625" t="s">
        <v>6</v>
      </c>
      <c r="C2625" t="s">
        <v>311</v>
      </c>
      <c r="D2625">
        <v>703014</v>
      </c>
      <c r="E2625" t="s">
        <v>119</v>
      </c>
      <c r="F2625" t="s">
        <v>21</v>
      </c>
      <c r="G2625" t="s">
        <v>22</v>
      </c>
      <c r="H2625" t="s">
        <v>115</v>
      </c>
      <c r="J2625">
        <v>0</v>
      </c>
      <c r="K2625">
        <v>0</v>
      </c>
    </row>
    <row r="2626" spans="2:11" x14ac:dyDescent="0.25">
      <c r="B2626" t="s">
        <v>6</v>
      </c>
      <c r="C2626" t="s">
        <v>311</v>
      </c>
      <c r="D2626">
        <v>703015</v>
      </c>
      <c r="E2626" t="s">
        <v>120</v>
      </c>
      <c r="F2626" t="s">
        <v>21</v>
      </c>
      <c r="G2626" t="s">
        <v>22</v>
      </c>
      <c r="H2626" t="s">
        <v>115</v>
      </c>
      <c r="J2626">
        <v>0</v>
      </c>
      <c r="K2626">
        <v>0</v>
      </c>
    </row>
    <row r="2627" spans="2:11" x14ac:dyDescent="0.25">
      <c r="B2627" t="s">
        <v>6</v>
      </c>
      <c r="C2627" t="s">
        <v>311</v>
      </c>
      <c r="D2627">
        <v>703016</v>
      </c>
      <c r="E2627" t="s">
        <v>121</v>
      </c>
      <c r="F2627" t="s">
        <v>21</v>
      </c>
      <c r="G2627" t="s">
        <v>22</v>
      </c>
      <c r="H2627" t="s">
        <v>115</v>
      </c>
      <c r="J2627">
        <v>0</v>
      </c>
      <c r="K2627">
        <v>0</v>
      </c>
    </row>
    <row r="2628" spans="2:11" x14ac:dyDescent="0.25">
      <c r="B2628" t="s">
        <v>6</v>
      </c>
      <c r="C2628" t="s">
        <v>311</v>
      </c>
      <c r="D2628">
        <v>703017</v>
      </c>
      <c r="E2628" t="s">
        <v>122</v>
      </c>
      <c r="F2628" t="s">
        <v>21</v>
      </c>
      <c r="G2628" t="s">
        <v>22</v>
      </c>
      <c r="H2628" t="s">
        <v>115</v>
      </c>
      <c r="J2628">
        <v>0</v>
      </c>
      <c r="K2628">
        <v>0</v>
      </c>
    </row>
    <row r="2629" spans="2:11" x14ac:dyDescent="0.25">
      <c r="B2629" t="s">
        <v>6</v>
      </c>
      <c r="C2629" t="s">
        <v>311</v>
      </c>
      <c r="D2629">
        <v>703018</v>
      </c>
      <c r="E2629" t="s">
        <v>123</v>
      </c>
      <c r="F2629" t="s">
        <v>21</v>
      </c>
      <c r="G2629" t="s">
        <v>22</v>
      </c>
      <c r="H2629" t="s">
        <v>115</v>
      </c>
      <c r="J2629">
        <v>0</v>
      </c>
      <c r="K2629">
        <v>0</v>
      </c>
    </row>
    <row r="2630" spans="2:11" x14ac:dyDescent="0.25">
      <c r="B2630" t="s">
        <v>6</v>
      </c>
      <c r="C2630" t="s">
        <v>311</v>
      </c>
      <c r="D2630">
        <v>703019</v>
      </c>
      <c r="E2630" t="s">
        <v>124</v>
      </c>
      <c r="F2630" t="s">
        <v>21</v>
      </c>
      <c r="G2630" t="s">
        <v>22</v>
      </c>
      <c r="H2630" t="s">
        <v>115</v>
      </c>
      <c r="J2630">
        <v>0</v>
      </c>
      <c r="K2630">
        <v>0</v>
      </c>
    </row>
    <row r="2631" spans="2:11" x14ac:dyDescent="0.25">
      <c r="B2631" t="s">
        <v>6</v>
      </c>
      <c r="C2631" t="s">
        <v>311</v>
      </c>
      <c r="D2631">
        <v>703210</v>
      </c>
      <c r="E2631" t="s">
        <v>125</v>
      </c>
      <c r="F2631" t="s">
        <v>21</v>
      </c>
      <c r="G2631" t="s">
        <v>22</v>
      </c>
      <c r="H2631" t="s">
        <v>23</v>
      </c>
      <c r="J2631">
        <v>0</v>
      </c>
      <c r="K2631">
        <v>0</v>
      </c>
    </row>
    <row r="2632" spans="2:11" x14ac:dyDescent="0.25">
      <c r="B2632" t="s">
        <v>6</v>
      </c>
      <c r="C2632" t="s">
        <v>311</v>
      </c>
      <c r="D2632">
        <v>703211</v>
      </c>
      <c r="E2632" t="s">
        <v>126</v>
      </c>
      <c r="F2632" t="s">
        <v>21</v>
      </c>
      <c r="G2632" t="s">
        <v>22</v>
      </c>
      <c r="H2632" t="s">
        <v>23</v>
      </c>
      <c r="J2632">
        <v>0</v>
      </c>
      <c r="K2632">
        <v>0</v>
      </c>
    </row>
    <row r="2633" spans="2:11" x14ac:dyDescent="0.25">
      <c r="B2633" t="s">
        <v>6</v>
      </c>
      <c r="C2633" t="s">
        <v>311</v>
      </c>
      <c r="D2633">
        <v>703212</v>
      </c>
      <c r="E2633" t="s">
        <v>127</v>
      </c>
      <c r="F2633" t="s">
        <v>21</v>
      </c>
      <c r="G2633" t="s">
        <v>22</v>
      </c>
      <c r="H2633" t="s">
        <v>23</v>
      </c>
      <c r="J2633">
        <v>0</v>
      </c>
      <c r="K2633">
        <v>0</v>
      </c>
    </row>
    <row r="2634" spans="2:11" x14ac:dyDescent="0.25">
      <c r="B2634" t="s">
        <v>6</v>
      </c>
      <c r="C2634" t="s">
        <v>311</v>
      </c>
      <c r="D2634">
        <v>703213</v>
      </c>
      <c r="E2634" t="s">
        <v>128</v>
      </c>
      <c r="F2634" t="s">
        <v>21</v>
      </c>
      <c r="G2634" t="s">
        <v>22</v>
      </c>
      <c r="H2634" t="s">
        <v>23</v>
      </c>
      <c r="J2634">
        <v>0</v>
      </c>
      <c r="K2634">
        <v>0</v>
      </c>
    </row>
    <row r="2635" spans="2:11" x14ac:dyDescent="0.25">
      <c r="B2635" t="s">
        <v>6</v>
      </c>
      <c r="C2635" t="s">
        <v>311</v>
      </c>
      <c r="D2635">
        <v>703214</v>
      </c>
      <c r="E2635" t="s">
        <v>129</v>
      </c>
      <c r="F2635" t="s">
        <v>21</v>
      </c>
      <c r="G2635" t="s">
        <v>22</v>
      </c>
      <c r="H2635" t="s">
        <v>23</v>
      </c>
      <c r="J2635">
        <v>0</v>
      </c>
      <c r="K2635">
        <v>0</v>
      </c>
    </row>
    <row r="2636" spans="2:11" x14ac:dyDescent="0.25">
      <c r="B2636" t="s">
        <v>6</v>
      </c>
      <c r="C2636" t="s">
        <v>311</v>
      </c>
      <c r="D2636">
        <v>703215</v>
      </c>
      <c r="E2636" t="s">
        <v>130</v>
      </c>
      <c r="F2636" t="s">
        <v>21</v>
      </c>
      <c r="G2636" t="s">
        <v>22</v>
      </c>
      <c r="H2636" t="s">
        <v>23</v>
      </c>
      <c r="J2636">
        <v>0</v>
      </c>
      <c r="K2636">
        <v>0</v>
      </c>
    </row>
    <row r="2637" spans="2:11" x14ac:dyDescent="0.25">
      <c r="B2637" t="s">
        <v>6</v>
      </c>
      <c r="C2637" t="s">
        <v>311</v>
      </c>
      <c r="D2637">
        <v>703216</v>
      </c>
      <c r="E2637" t="s">
        <v>131</v>
      </c>
      <c r="F2637" t="s">
        <v>21</v>
      </c>
      <c r="G2637" t="s">
        <v>22</v>
      </c>
      <c r="H2637" t="s">
        <v>23</v>
      </c>
      <c r="J2637">
        <v>0</v>
      </c>
      <c r="K2637">
        <v>0</v>
      </c>
    </row>
    <row r="2638" spans="2:11" x14ac:dyDescent="0.25">
      <c r="B2638" t="s">
        <v>6</v>
      </c>
      <c r="C2638" t="s">
        <v>311</v>
      </c>
      <c r="D2638">
        <v>703217</v>
      </c>
      <c r="E2638" t="s">
        <v>132</v>
      </c>
      <c r="F2638" t="s">
        <v>21</v>
      </c>
      <c r="G2638" t="s">
        <v>22</v>
      </c>
      <c r="H2638" t="s">
        <v>23</v>
      </c>
      <c r="J2638">
        <v>0</v>
      </c>
      <c r="K2638">
        <v>0</v>
      </c>
    </row>
    <row r="2639" spans="2:11" x14ac:dyDescent="0.25">
      <c r="B2639" t="s">
        <v>6</v>
      </c>
      <c r="C2639" t="s">
        <v>311</v>
      </c>
      <c r="D2639">
        <v>703219</v>
      </c>
      <c r="E2639" t="s">
        <v>133</v>
      </c>
      <c r="F2639" t="s">
        <v>21</v>
      </c>
      <c r="G2639" t="s">
        <v>22</v>
      </c>
      <c r="H2639" t="s">
        <v>23</v>
      </c>
      <c r="J2639">
        <v>0</v>
      </c>
      <c r="K2639">
        <v>0</v>
      </c>
    </row>
    <row r="2640" spans="2:11" x14ac:dyDescent="0.25">
      <c r="B2640" t="s">
        <v>6</v>
      </c>
      <c r="C2640" t="s">
        <v>311</v>
      </c>
      <c r="D2640">
        <v>703220</v>
      </c>
      <c r="E2640" t="s">
        <v>134</v>
      </c>
      <c r="F2640" t="s">
        <v>21</v>
      </c>
      <c r="G2640" t="s">
        <v>71</v>
      </c>
      <c r="H2640" t="s">
        <v>135</v>
      </c>
      <c r="J2640">
        <v>0</v>
      </c>
      <c r="K2640">
        <v>0</v>
      </c>
    </row>
    <row r="2641" spans="2:11" x14ac:dyDescent="0.25">
      <c r="B2641" t="s">
        <v>6</v>
      </c>
      <c r="C2641" t="s">
        <v>311</v>
      </c>
      <c r="D2641">
        <v>703221</v>
      </c>
      <c r="E2641" t="s">
        <v>136</v>
      </c>
      <c r="F2641" t="s">
        <v>21</v>
      </c>
      <c r="G2641" t="s">
        <v>137</v>
      </c>
      <c r="H2641" t="s">
        <v>138</v>
      </c>
      <c r="J2641">
        <v>0</v>
      </c>
      <c r="K2641">
        <v>0</v>
      </c>
    </row>
    <row r="2642" spans="2:11" x14ac:dyDescent="0.25">
      <c r="B2642" t="s">
        <v>6</v>
      </c>
      <c r="C2642" t="s">
        <v>311</v>
      </c>
      <c r="D2642">
        <v>703222</v>
      </c>
      <c r="E2642" t="s">
        <v>139</v>
      </c>
      <c r="F2642" t="s">
        <v>21</v>
      </c>
      <c r="G2642" t="s">
        <v>137</v>
      </c>
      <c r="H2642" t="s">
        <v>138</v>
      </c>
      <c r="J2642">
        <v>0</v>
      </c>
      <c r="K2642">
        <v>0</v>
      </c>
    </row>
    <row r="2643" spans="2:11" x14ac:dyDescent="0.25">
      <c r="B2643" t="s">
        <v>6</v>
      </c>
      <c r="C2643" t="s">
        <v>311</v>
      </c>
      <c r="D2643">
        <v>703223</v>
      </c>
      <c r="E2643" t="s">
        <v>140</v>
      </c>
      <c r="F2643" t="s">
        <v>21</v>
      </c>
      <c r="G2643" t="s">
        <v>137</v>
      </c>
      <c r="H2643" t="s">
        <v>141</v>
      </c>
      <c r="J2643">
        <v>0</v>
      </c>
      <c r="K2643">
        <v>0</v>
      </c>
    </row>
    <row r="2644" spans="2:11" x14ac:dyDescent="0.25">
      <c r="B2644" t="s">
        <v>6</v>
      </c>
      <c r="C2644" t="s">
        <v>311</v>
      </c>
      <c r="D2644">
        <v>703224</v>
      </c>
      <c r="E2644" t="s">
        <v>142</v>
      </c>
      <c r="F2644" t="s">
        <v>21</v>
      </c>
      <c r="G2644" t="s">
        <v>71</v>
      </c>
      <c r="H2644" t="s">
        <v>88</v>
      </c>
      <c r="J2644">
        <v>0</v>
      </c>
      <c r="K2644">
        <v>0</v>
      </c>
    </row>
    <row r="2645" spans="2:11" x14ac:dyDescent="0.25">
      <c r="B2645" t="s">
        <v>6</v>
      </c>
      <c r="C2645" t="s">
        <v>311</v>
      </c>
      <c r="D2645">
        <v>703225</v>
      </c>
      <c r="E2645" t="s">
        <v>143</v>
      </c>
      <c r="F2645" t="s">
        <v>21</v>
      </c>
      <c r="G2645" t="s">
        <v>71</v>
      </c>
      <c r="H2645" t="s">
        <v>88</v>
      </c>
      <c r="J2645">
        <v>0</v>
      </c>
      <c r="K2645">
        <v>0</v>
      </c>
    </row>
    <row r="2646" spans="2:11" x14ac:dyDescent="0.25">
      <c r="B2646" t="s">
        <v>6</v>
      </c>
      <c r="C2646" t="s">
        <v>311</v>
      </c>
      <c r="D2646">
        <v>703226</v>
      </c>
      <c r="E2646" t="s">
        <v>144</v>
      </c>
      <c r="F2646" t="s">
        <v>21</v>
      </c>
      <c r="G2646" t="s">
        <v>71</v>
      </c>
      <c r="H2646" t="s">
        <v>82</v>
      </c>
      <c r="J2646">
        <v>0</v>
      </c>
      <c r="K2646">
        <v>0</v>
      </c>
    </row>
    <row r="2647" spans="2:11" x14ac:dyDescent="0.25">
      <c r="B2647" t="s">
        <v>6</v>
      </c>
      <c r="C2647" t="s">
        <v>311</v>
      </c>
      <c r="D2647">
        <v>703227</v>
      </c>
      <c r="E2647" t="s">
        <v>145</v>
      </c>
      <c r="F2647" t="s">
        <v>21</v>
      </c>
      <c r="G2647" t="s">
        <v>137</v>
      </c>
      <c r="H2647" t="s">
        <v>138</v>
      </c>
      <c r="J2647">
        <v>0</v>
      </c>
      <c r="K2647">
        <v>0</v>
      </c>
    </row>
    <row r="2648" spans="2:11" x14ac:dyDescent="0.25">
      <c r="B2648" t="s">
        <v>6</v>
      </c>
      <c r="C2648" t="s">
        <v>311</v>
      </c>
      <c r="D2648">
        <v>703228</v>
      </c>
      <c r="E2648" t="s">
        <v>146</v>
      </c>
      <c r="F2648" t="s">
        <v>21</v>
      </c>
      <c r="G2648" t="s">
        <v>147</v>
      </c>
      <c r="H2648" t="s">
        <v>147</v>
      </c>
      <c r="J2648">
        <v>0</v>
      </c>
      <c r="K2648">
        <v>0</v>
      </c>
    </row>
    <row r="2649" spans="2:11" x14ac:dyDescent="0.25">
      <c r="B2649" t="s">
        <v>6</v>
      </c>
      <c r="C2649" t="s">
        <v>311</v>
      </c>
      <c r="D2649">
        <v>703229</v>
      </c>
      <c r="E2649" t="s">
        <v>148</v>
      </c>
      <c r="F2649" t="s">
        <v>21</v>
      </c>
      <c r="G2649" t="s">
        <v>147</v>
      </c>
      <c r="H2649" t="s">
        <v>147</v>
      </c>
      <c r="J2649">
        <v>0</v>
      </c>
      <c r="K2649">
        <v>0</v>
      </c>
    </row>
    <row r="2650" spans="2:11" x14ac:dyDescent="0.25">
      <c r="B2650" t="s">
        <v>6</v>
      </c>
      <c r="C2650" t="s">
        <v>311</v>
      </c>
      <c r="D2650">
        <v>703230</v>
      </c>
      <c r="E2650" t="s">
        <v>149</v>
      </c>
      <c r="F2650" t="s">
        <v>21</v>
      </c>
      <c r="G2650" t="s">
        <v>147</v>
      </c>
      <c r="H2650" t="s">
        <v>147</v>
      </c>
      <c r="J2650">
        <v>0</v>
      </c>
      <c r="K2650">
        <v>0</v>
      </c>
    </row>
    <row r="2651" spans="2:11" x14ac:dyDescent="0.25">
      <c r="B2651" t="s">
        <v>6</v>
      </c>
      <c r="C2651" t="s">
        <v>311</v>
      </c>
      <c r="D2651">
        <v>703231</v>
      </c>
      <c r="E2651" t="s">
        <v>150</v>
      </c>
      <c r="F2651" t="s">
        <v>21</v>
      </c>
      <c r="G2651" t="s">
        <v>137</v>
      </c>
      <c r="H2651" t="s">
        <v>141</v>
      </c>
      <c r="J2651">
        <v>0</v>
      </c>
      <c r="K2651">
        <v>0</v>
      </c>
    </row>
    <row r="2652" spans="2:11" x14ac:dyDescent="0.25">
      <c r="B2652" t="s">
        <v>6</v>
      </c>
      <c r="C2652" t="s">
        <v>311</v>
      </c>
      <c r="D2652">
        <v>703232</v>
      </c>
      <c r="E2652" t="s">
        <v>151</v>
      </c>
      <c r="F2652" t="s">
        <v>21</v>
      </c>
      <c r="G2652" t="s">
        <v>147</v>
      </c>
      <c r="H2652" t="s">
        <v>147</v>
      </c>
      <c r="J2652">
        <v>0</v>
      </c>
      <c r="K2652">
        <v>0</v>
      </c>
    </row>
    <row r="2653" spans="2:11" x14ac:dyDescent="0.25">
      <c r="B2653" t="s">
        <v>6</v>
      </c>
      <c r="C2653" t="s">
        <v>311</v>
      </c>
      <c r="D2653">
        <v>703233</v>
      </c>
      <c r="E2653" t="s">
        <v>152</v>
      </c>
      <c r="F2653" t="s">
        <v>21</v>
      </c>
      <c r="G2653" t="s">
        <v>71</v>
      </c>
      <c r="H2653" t="s">
        <v>153</v>
      </c>
      <c r="J2653">
        <v>0</v>
      </c>
      <c r="K2653">
        <v>0</v>
      </c>
    </row>
    <row r="2654" spans="2:11" x14ac:dyDescent="0.25">
      <c r="B2654" t="s">
        <v>6</v>
      </c>
      <c r="C2654" t="s">
        <v>311</v>
      </c>
      <c r="D2654">
        <v>703234</v>
      </c>
      <c r="E2654" t="s">
        <v>154</v>
      </c>
      <c r="F2654" t="s">
        <v>21</v>
      </c>
      <c r="G2654" t="s">
        <v>71</v>
      </c>
      <c r="H2654" t="s">
        <v>153</v>
      </c>
      <c r="J2654">
        <v>0</v>
      </c>
      <c r="K2654">
        <v>0</v>
      </c>
    </row>
    <row r="2655" spans="2:11" x14ac:dyDescent="0.25">
      <c r="B2655" t="s">
        <v>6</v>
      </c>
      <c r="C2655" t="s">
        <v>311</v>
      </c>
      <c r="D2655">
        <v>703235</v>
      </c>
      <c r="E2655" t="s">
        <v>155</v>
      </c>
      <c r="F2655" t="s">
        <v>21</v>
      </c>
      <c r="G2655" t="s">
        <v>71</v>
      </c>
      <c r="H2655" t="s">
        <v>153</v>
      </c>
      <c r="J2655">
        <v>0</v>
      </c>
      <c r="K2655">
        <v>0</v>
      </c>
    </row>
    <row r="2656" spans="2:11" x14ac:dyDescent="0.25">
      <c r="B2656" t="s">
        <v>6</v>
      </c>
      <c r="C2656" t="s">
        <v>311</v>
      </c>
      <c r="D2656">
        <v>703236</v>
      </c>
      <c r="E2656" t="s">
        <v>156</v>
      </c>
      <c r="F2656" t="s">
        <v>21</v>
      </c>
      <c r="G2656" t="s">
        <v>76</v>
      </c>
      <c r="H2656" t="s">
        <v>77</v>
      </c>
      <c r="J2656">
        <v>0</v>
      </c>
      <c r="K2656">
        <v>0</v>
      </c>
    </row>
    <row r="2657" spans="2:11" x14ac:dyDescent="0.25">
      <c r="B2657" t="s">
        <v>6</v>
      </c>
      <c r="C2657" t="s">
        <v>311</v>
      </c>
      <c r="D2657">
        <v>703237</v>
      </c>
      <c r="E2657" t="s">
        <v>157</v>
      </c>
      <c r="F2657" t="s">
        <v>21</v>
      </c>
      <c r="G2657" t="s">
        <v>22</v>
      </c>
      <c r="H2657" t="s">
        <v>23</v>
      </c>
      <c r="J2657">
        <v>0</v>
      </c>
      <c r="K2657">
        <v>0</v>
      </c>
    </row>
    <row r="2658" spans="2:11" x14ac:dyDescent="0.25">
      <c r="B2658" t="s">
        <v>6</v>
      </c>
      <c r="C2658" t="s">
        <v>311</v>
      </c>
      <c r="D2658">
        <v>703238</v>
      </c>
      <c r="E2658" t="s">
        <v>158</v>
      </c>
      <c r="F2658" t="s">
        <v>21</v>
      </c>
      <c r="G2658" t="s">
        <v>61</v>
      </c>
      <c r="H2658" t="s">
        <v>68</v>
      </c>
      <c r="J2658">
        <v>0</v>
      </c>
      <c r="K2658">
        <v>0</v>
      </c>
    </row>
    <row r="2659" spans="2:11" x14ac:dyDescent="0.25">
      <c r="B2659" t="s">
        <v>6</v>
      </c>
      <c r="C2659" t="s">
        <v>311</v>
      </c>
      <c r="D2659">
        <v>703239</v>
      </c>
      <c r="E2659" t="s">
        <v>159</v>
      </c>
      <c r="F2659" t="s">
        <v>21</v>
      </c>
      <c r="G2659" t="s">
        <v>61</v>
      </c>
      <c r="H2659" t="s">
        <v>68</v>
      </c>
      <c r="J2659">
        <v>0</v>
      </c>
      <c r="K2659">
        <v>0</v>
      </c>
    </row>
    <row r="2660" spans="2:11" x14ac:dyDescent="0.25">
      <c r="B2660" t="s">
        <v>6</v>
      </c>
      <c r="C2660" t="s">
        <v>311</v>
      </c>
      <c r="D2660">
        <v>703240</v>
      </c>
      <c r="E2660" t="s">
        <v>160</v>
      </c>
      <c r="F2660" t="s">
        <v>21</v>
      </c>
      <c r="G2660" t="s">
        <v>61</v>
      </c>
      <c r="H2660" t="s">
        <v>68</v>
      </c>
      <c r="J2660">
        <v>0</v>
      </c>
      <c r="K2660">
        <v>0</v>
      </c>
    </row>
    <row r="2661" spans="2:11" x14ac:dyDescent="0.25">
      <c r="B2661" t="s">
        <v>6</v>
      </c>
      <c r="C2661" t="s">
        <v>311</v>
      </c>
      <c r="D2661">
        <v>703241</v>
      </c>
      <c r="E2661" t="s">
        <v>161</v>
      </c>
      <c r="F2661" t="s">
        <v>21</v>
      </c>
      <c r="G2661" t="s">
        <v>137</v>
      </c>
      <c r="H2661" t="s">
        <v>141</v>
      </c>
      <c r="J2661">
        <v>0</v>
      </c>
      <c r="K2661">
        <v>0</v>
      </c>
    </row>
    <row r="2662" spans="2:11" x14ac:dyDescent="0.25">
      <c r="B2662" t="s">
        <v>6</v>
      </c>
      <c r="C2662" t="s">
        <v>311</v>
      </c>
      <c r="D2662">
        <v>703242</v>
      </c>
      <c r="E2662" t="s">
        <v>162</v>
      </c>
      <c r="F2662" t="s">
        <v>21</v>
      </c>
      <c r="G2662" t="s">
        <v>137</v>
      </c>
      <c r="H2662" t="s">
        <v>141</v>
      </c>
      <c r="J2662">
        <v>0</v>
      </c>
      <c r="K2662">
        <v>0</v>
      </c>
    </row>
    <row r="2663" spans="2:11" x14ac:dyDescent="0.25">
      <c r="B2663" t="s">
        <v>6</v>
      </c>
      <c r="C2663" t="s">
        <v>311</v>
      </c>
      <c r="D2663">
        <v>703243</v>
      </c>
      <c r="E2663" t="s">
        <v>163</v>
      </c>
      <c r="F2663" t="s">
        <v>21</v>
      </c>
      <c r="G2663" t="s">
        <v>137</v>
      </c>
      <c r="H2663" t="s">
        <v>141</v>
      </c>
      <c r="J2663">
        <v>0</v>
      </c>
      <c r="K2663">
        <v>0</v>
      </c>
    </row>
    <row r="2664" spans="2:11" x14ac:dyDescent="0.25">
      <c r="B2664" t="s">
        <v>6</v>
      </c>
      <c r="C2664" t="s">
        <v>311</v>
      </c>
      <c r="D2664">
        <v>703244</v>
      </c>
      <c r="E2664" t="s">
        <v>164</v>
      </c>
      <c r="F2664" t="s">
        <v>21</v>
      </c>
      <c r="G2664" t="s">
        <v>71</v>
      </c>
      <c r="H2664" t="s">
        <v>88</v>
      </c>
      <c r="J2664">
        <v>0</v>
      </c>
      <c r="K2664">
        <v>0</v>
      </c>
    </row>
    <row r="2665" spans="2:11" x14ac:dyDescent="0.25">
      <c r="B2665" t="s">
        <v>6</v>
      </c>
      <c r="C2665" t="s">
        <v>311</v>
      </c>
      <c r="D2665">
        <v>703245</v>
      </c>
      <c r="E2665" t="s">
        <v>165</v>
      </c>
      <c r="F2665" t="s">
        <v>21</v>
      </c>
      <c r="G2665" t="s">
        <v>137</v>
      </c>
      <c r="H2665" t="s">
        <v>138</v>
      </c>
      <c r="J2665">
        <v>0</v>
      </c>
      <c r="K2665">
        <v>0</v>
      </c>
    </row>
    <row r="2666" spans="2:11" x14ac:dyDescent="0.25">
      <c r="B2666" t="s">
        <v>6</v>
      </c>
      <c r="C2666" t="s">
        <v>311</v>
      </c>
      <c r="D2666">
        <v>703246</v>
      </c>
      <c r="E2666" t="s">
        <v>166</v>
      </c>
      <c r="F2666" t="s">
        <v>21</v>
      </c>
      <c r="G2666" t="s">
        <v>137</v>
      </c>
      <c r="H2666" t="s">
        <v>138</v>
      </c>
      <c r="J2666">
        <v>0</v>
      </c>
      <c r="K2666">
        <v>0</v>
      </c>
    </row>
    <row r="2667" spans="2:11" x14ac:dyDescent="0.25">
      <c r="B2667" t="s">
        <v>6</v>
      </c>
      <c r="C2667" t="s">
        <v>311</v>
      </c>
      <c r="D2667">
        <v>703247</v>
      </c>
      <c r="E2667" t="s">
        <v>167</v>
      </c>
      <c r="F2667" t="s">
        <v>21</v>
      </c>
      <c r="G2667" t="s">
        <v>137</v>
      </c>
      <c r="H2667" t="s">
        <v>138</v>
      </c>
      <c r="J2667">
        <v>0</v>
      </c>
      <c r="K2667">
        <v>0</v>
      </c>
    </row>
    <row r="2668" spans="2:11" x14ac:dyDescent="0.25">
      <c r="B2668" t="s">
        <v>6</v>
      </c>
      <c r="C2668" t="s">
        <v>311</v>
      </c>
      <c r="D2668">
        <v>703248</v>
      </c>
      <c r="E2668" t="s">
        <v>168</v>
      </c>
      <c r="F2668" t="s">
        <v>21</v>
      </c>
      <c r="G2668" t="s">
        <v>137</v>
      </c>
      <c r="H2668" t="s">
        <v>141</v>
      </c>
      <c r="J2668">
        <v>0</v>
      </c>
      <c r="K2668">
        <v>0</v>
      </c>
    </row>
    <row r="2669" spans="2:11" x14ac:dyDescent="0.25">
      <c r="B2669" t="s">
        <v>6</v>
      </c>
      <c r="C2669" t="s">
        <v>311</v>
      </c>
      <c r="D2669">
        <v>703249</v>
      </c>
      <c r="E2669" t="s">
        <v>169</v>
      </c>
      <c r="F2669" t="s">
        <v>21</v>
      </c>
      <c r="G2669" t="s">
        <v>147</v>
      </c>
      <c r="H2669" t="s">
        <v>147</v>
      </c>
      <c r="J2669">
        <v>0</v>
      </c>
      <c r="K2669">
        <v>0</v>
      </c>
    </row>
    <row r="2670" spans="2:11" x14ac:dyDescent="0.25">
      <c r="B2670" t="s">
        <v>6</v>
      </c>
      <c r="C2670" t="s">
        <v>311</v>
      </c>
      <c r="D2670">
        <v>703250</v>
      </c>
      <c r="E2670" t="s">
        <v>170</v>
      </c>
      <c r="F2670" t="s">
        <v>21</v>
      </c>
      <c r="G2670" t="s">
        <v>71</v>
      </c>
      <c r="H2670" t="s">
        <v>171</v>
      </c>
      <c r="J2670">
        <v>0</v>
      </c>
      <c r="K2670">
        <v>0</v>
      </c>
    </row>
    <row r="2671" spans="2:11" x14ac:dyDescent="0.25">
      <c r="B2671" t="s">
        <v>6</v>
      </c>
      <c r="C2671" t="s">
        <v>311</v>
      </c>
      <c r="D2671">
        <v>703251</v>
      </c>
      <c r="E2671" t="s">
        <v>172</v>
      </c>
      <c r="F2671" t="s">
        <v>21</v>
      </c>
      <c r="G2671" t="s">
        <v>22</v>
      </c>
      <c r="H2671" t="s">
        <v>115</v>
      </c>
      <c r="J2671">
        <v>0</v>
      </c>
      <c r="K2671">
        <v>0</v>
      </c>
    </row>
    <row r="2672" spans="2:11" x14ac:dyDescent="0.25">
      <c r="B2672" t="s">
        <v>6</v>
      </c>
      <c r="C2672" t="s">
        <v>311</v>
      </c>
      <c r="D2672">
        <v>703252</v>
      </c>
      <c r="E2672" t="s">
        <v>173</v>
      </c>
      <c r="F2672" t="s">
        <v>21</v>
      </c>
      <c r="G2672" t="s">
        <v>22</v>
      </c>
      <c r="H2672" t="s">
        <v>115</v>
      </c>
      <c r="J2672">
        <v>0</v>
      </c>
      <c r="K2672">
        <v>0</v>
      </c>
    </row>
    <row r="2673" spans="2:11" x14ac:dyDescent="0.25">
      <c r="B2673" t="s">
        <v>6</v>
      </c>
      <c r="C2673" t="s">
        <v>311</v>
      </c>
      <c r="D2673">
        <v>703253</v>
      </c>
      <c r="E2673" t="s">
        <v>174</v>
      </c>
      <c r="F2673" t="s">
        <v>21</v>
      </c>
      <c r="G2673" t="s">
        <v>22</v>
      </c>
      <c r="H2673" t="s">
        <v>115</v>
      </c>
      <c r="J2673">
        <v>0</v>
      </c>
      <c r="K2673">
        <v>0</v>
      </c>
    </row>
    <row r="2674" spans="2:11" x14ac:dyDescent="0.25">
      <c r="B2674" t="s">
        <v>6</v>
      </c>
      <c r="C2674" t="s">
        <v>311</v>
      </c>
      <c r="D2674">
        <v>703254</v>
      </c>
      <c r="E2674" t="s">
        <v>175</v>
      </c>
      <c r="F2674" t="s">
        <v>21</v>
      </c>
      <c r="G2674" t="s">
        <v>22</v>
      </c>
      <c r="H2674" t="s">
        <v>115</v>
      </c>
      <c r="J2674">
        <v>0</v>
      </c>
      <c r="K2674">
        <v>0</v>
      </c>
    </row>
    <row r="2675" spans="2:11" x14ac:dyDescent="0.25">
      <c r="B2675" t="s">
        <v>6</v>
      </c>
      <c r="C2675" t="s">
        <v>311</v>
      </c>
      <c r="D2675">
        <v>703255</v>
      </c>
      <c r="E2675" t="s">
        <v>176</v>
      </c>
      <c r="F2675" t="s">
        <v>21</v>
      </c>
      <c r="G2675" t="s">
        <v>22</v>
      </c>
      <c r="H2675" t="s">
        <v>115</v>
      </c>
      <c r="J2675">
        <v>0</v>
      </c>
      <c r="K2675">
        <v>0</v>
      </c>
    </row>
    <row r="2676" spans="2:11" x14ac:dyDescent="0.25">
      <c r="B2676" t="s">
        <v>6</v>
      </c>
      <c r="C2676" t="s">
        <v>311</v>
      </c>
      <c r="D2676">
        <v>703257</v>
      </c>
      <c r="E2676" t="s">
        <v>177</v>
      </c>
      <c r="F2676" t="s">
        <v>21</v>
      </c>
      <c r="G2676" t="s">
        <v>147</v>
      </c>
      <c r="H2676" t="s">
        <v>147</v>
      </c>
      <c r="J2676">
        <v>0</v>
      </c>
      <c r="K2676">
        <v>0</v>
      </c>
    </row>
    <row r="2677" spans="2:11" x14ac:dyDescent="0.25">
      <c r="B2677" t="s">
        <v>6</v>
      </c>
      <c r="C2677" t="s">
        <v>311</v>
      </c>
      <c r="D2677">
        <v>703258</v>
      </c>
      <c r="E2677" t="s">
        <v>178</v>
      </c>
      <c r="F2677" t="s">
        <v>21</v>
      </c>
      <c r="G2677" t="s">
        <v>147</v>
      </c>
      <c r="H2677" t="s">
        <v>147</v>
      </c>
      <c r="J2677">
        <v>0</v>
      </c>
      <c r="K2677">
        <v>0</v>
      </c>
    </row>
    <row r="2678" spans="2:11" x14ac:dyDescent="0.25">
      <c r="B2678" t="s">
        <v>6</v>
      </c>
      <c r="C2678" t="s">
        <v>311</v>
      </c>
      <c r="D2678">
        <v>703260</v>
      </c>
      <c r="E2678" t="s">
        <v>179</v>
      </c>
      <c r="F2678" t="s">
        <v>21</v>
      </c>
      <c r="G2678" t="s">
        <v>76</v>
      </c>
      <c r="H2678" t="s">
        <v>77</v>
      </c>
      <c r="J2678">
        <v>0</v>
      </c>
      <c r="K2678">
        <v>0</v>
      </c>
    </row>
    <row r="2679" spans="2:11" x14ac:dyDescent="0.25">
      <c r="B2679" t="s">
        <v>6</v>
      </c>
      <c r="C2679" t="s">
        <v>311</v>
      </c>
      <c r="D2679">
        <v>703261</v>
      </c>
      <c r="E2679" t="s">
        <v>180</v>
      </c>
      <c r="F2679" t="s">
        <v>21</v>
      </c>
      <c r="G2679" t="s">
        <v>22</v>
      </c>
      <c r="H2679" t="s">
        <v>115</v>
      </c>
      <c r="J2679">
        <v>0</v>
      </c>
      <c r="K2679">
        <v>0</v>
      </c>
    </row>
    <row r="2680" spans="2:11" x14ac:dyDescent="0.25">
      <c r="B2680" t="s">
        <v>6</v>
      </c>
      <c r="C2680" t="s">
        <v>311</v>
      </c>
      <c r="D2680">
        <v>703262</v>
      </c>
      <c r="E2680" t="s">
        <v>181</v>
      </c>
      <c r="F2680" t="s">
        <v>21</v>
      </c>
      <c r="G2680" t="s">
        <v>22</v>
      </c>
      <c r="H2680" t="s">
        <v>23</v>
      </c>
      <c r="J2680">
        <v>0</v>
      </c>
      <c r="K2680">
        <v>0</v>
      </c>
    </row>
    <row r="2681" spans="2:11" x14ac:dyDescent="0.25">
      <c r="B2681" t="s">
        <v>6</v>
      </c>
      <c r="C2681" t="s">
        <v>311</v>
      </c>
      <c r="D2681">
        <v>703263</v>
      </c>
      <c r="E2681" t="s">
        <v>182</v>
      </c>
      <c r="F2681" t="s">
        <v>21</v>
      </c>
      <c r="G2681" t="s">
        <v>22</v>
      </c>
      <c r="H2681" t="s">
        <v>115</v>
      </c>
      <c r="J2681">
        <v>0</v>
      </c>
      <c r="K2681">
        <v>0</v>
      </c>
    </row>
    <row r="2682" spans="2:11" x14ac:dyDescent="0.25">
      <c r="B2682" t="s">
        <v>6</v>
      </c>
      <c r="C2682" t="s">
        <v>311</v>
      </c>
      <c r="D2682">
        <v>703264</v>
      </c>
      <c r="E2682" t="s">
        <v>183</v>
      </c>
      <c r="F2682" t="s">
        <v>21</v>
      </c>
      <c r="G2682" t="s">
        <v>22</v>
      </c>
      <c r="H2682" t="s">
        <v>115</v>
      </c>
      <c r="J2682">
        <v>0</v>
      </c>
      <c r="K2682">
        <v>0</v>
      </c>
    </row>
    <row r="2683" spans="2:11" x14ac:dyDescent="0.25">
      <c r="B2683" t="s">
        <v>6</v>
      </c>
      <c r="C2683" t="s">
        <v>311</v>
      </c>
      <c r="D2683">
        <v>703265</v>
      </c>
      <c r="E2683" t="s">
        <v>184</v>
      </c>
      <c r="F2683" t="s">
        <v>21</v>
      </c>
      <c r="G2683" t="s">
        <v>22</v>
      </c>
      <c r="H2683" t="s">
        <v>115</v>
      </c>
      <c r="J2683">
        <v>0</v>
      </c>
      <c r="K2683">
        <v>0</v>
      </c>
    </row>
    <row r="2684" spans="2:11" x14ac:dyDescent="0.25">
      <c r="B2684" t="s">
        <v>6</v>
      </c>
      <c r="C2684" t="s">
        <v>311</v>
      </c>
      <c r="D2684">
        <v>703266</v>
      </c>
      <c r="E2684" t="s">
        <v>185</v>
      </c>
      <c r="F2684" t="s">
        <v>21</v>
      </c>
      <c r="G2684" t="s">
        <v>71</v>
      </c>
      <c r="H2684" t="s">
        <v>186</v>
      </c>
      <c r="J2684">
        <v>0</v>
      </c>
      <c r="K2684">
        <v>0</v>
      </c>
    </row>
    <row r="2685" spans="2:11" x14ac:dyDescent="0.25">
      <c r="B2685" t="s">
        <v>6</v>
      </c>
      <c r="C2685" t="s">
        <v>311</v>
      </c>
      <c r="D2685">
        <v>703267</v>
      </c>
      <c r="E2685" t="s">
        <v>187</v>
      </c>
      <c r="F2685" t="s">
        <v>21</v>
      </c>
      <c r="G2685" t="s">
        <v>71</v>
      </c>
      <c r="H2685" t="s">
        <v>88</v>
      </c>
      <c r="J2685">
        <v>0</v>
      </c>
      <c r="K2685">
        <v>0</v>
      </c>
    </row>
    <row r="2686" spans="2:11" x14ac:dyDescent="0.25">
      <c r="B2686" t="s">
        <v>6</v>
      </c>
      <c r="C2686" t="s">
        <v>311</v>
      </c>
      <c r="D2686">
        <v>703268</v>
      </c>
      <c r="E2686" t="s">
        <v>188</v>
      </c>
      <c r="F2686" t="s">
        <v>21</v>
      </c>
      <c r="G2686" t="s">
        <v>147</v>
      </c>
      <c r="H2686" t="s">
        <v>147</v>
      </c>
      <c r="J2686">
        <v>0</v>
      </c>
      <c r="K2686">
        <v>0</v>
      </c>
    </row>
    <row r="2687" spans="2:11" x14ac:dyDescent="0.25">
      <c r="B2687" t="s">
        <v>6</v>
      </c>
      <c r="C2687" t="s">
        <v>311</v>
      </c>
      <c r="D2687">
        <v>703269</v>
      </c>
      <c r="E2687" t="s">
        <v>189</v>
      </c>
      <c r="F2687" t="s">
        <v>21</v>
      </c>
      <c r="G2687" t="s">
        <v>147</v>
      </c>
      <c r="H2687" t="s">
        <v>147</v>
      </c>
      <c r="J2687">
        <v>0</v>
      </c>
      <c r="K2687">
        <v>0</v>
      </c>
    </row>
    <row r="2688" spans="2:11" x14ac:dyDescent="0.25">
      <c r="B2688" t="s">
        <v>6</v>
      </c>
      <c r="C2688" t="s">
        <v>311</v>
      </c>
      <c r="D2688">
        <v>703270</v>
      </c>
      <c r="E2688" t="s">
        <v>190</v>
      </c>
      <c r="F2688" t="s">
        <v>21</v>
      </c>
      <c r="G2688" t="s">
        <v>137</v>
      </c>
      <c r="H2688" t="s">
        <v>141</v>
      </c>
      <c r="J2688">
        <v>0</v>
      </c>
      <c r="K2688">
        <v>0</v>
      </c>
    </row>
    <row r="2689" spans="2:11" x14ac:dyDescent="0.25">
      <c r="B2689" t="s">
        <v>6</v>
      </c>
      <c r="C2689" t="s">
        <v>311</v>
      </c>
      <c r="D2689">
        <v>703271</v>
      </c>
      <c r="E2689" t="s">
        <v>191</v>
      </c>
      <c r="F2689" t="s">
        <v>21</v>
      </c>
      <c r="G2689" t="s">
        <v>22</v>
      </c>
      <c r="H2689" t="s">
        <v>115</v>
      </c>
      <c r="J2689">
        <v>0</v>
      </c>
      <c r="K2689">
        <v>0</v>
      </c>
    </row>
    <row r="2690" spans="2:11" x14ac:dyDescent="0.25">
      <c r="B2690" t="s">
        <v>6</v>
      </c>
      <c r="C2690" t="s">
        <v>311</v>
      </c>
      <c r="D2690">
        <v>703272</v>
      </c>
      <c r="E2690" t="s">
        <v>192</v>
      </c>
      <c r="F2690" t="s">
        <v>21</v>
      </c>
      <c r="G2690" t="s">
        <v>22</v>
      </c>
      <c r="H2690" t="s">
        <v>23</v>
      </c>
      <c r="J2690">
        <v>0</v>
      </c>
      <c r="K2690">
        <v>0</v>
      </c>
    </row>
    <row r="2691" spans="2:11" x14ac:dyDescent="0.25">
      <c r="B2691" t="s">
        <v>6</v>
      </c>
      <c r="C2691" t="s">
        <v>311</v>
      </c>
      <c r="D2691">
        <v>703273</v>
      </c>
      <c r="E2691" t="s">
        <v>193</v>
      </c>
      <c r="F2691" t="s">
        <v>21</v>
      </c>
      <c r="G2691" t="s">
        <v>147</v>
      </c>
      <c r="H2691" t="s">
        <v>147</v>
      </c>
      <c r="J2691">
        <v>0</v>
      </c>
      <c r="K2691">
        <v>0</v>
      </c>
    </row>
    <row r="2692" spans="2:11" x14ac:dyDescent="0.25">
      <c r="B2692" t="s">
        <v>6</v>
      </c>
      <c r="C2692" t="s">
        <v>311</v>
      </c>
      <c r="D2692">
        <v>703274</v>
      </c>
      <c r="E2692" t="s">
        <v>194</v>
      </c>
      <c r="F2692" t="s">
        <v>21</v>
      </c>
      <c r="G2692" t="s">
        <v>147</v>
      </c>
      <c r="H2692" t="s">
        <v>147</v>
      </c>
      <c r="J2692">
        <v>0</v>
      </c>
      <c r="K2692">
        <v>0</v>
      </c>
    </row>
    <row r="2693" spans="2:11" x14ac:dyDescent="0.25">
      <c r="B2693" t="s">
        <v>6</v>
      </c>
      <c r="C2693" t="s">
        <v>311</v>
      </c>
      <c r="D2693">
        <v>703275</v>
      </c>
      <c r="E2693" t="s">
        <v>195</v>
      </c>
      <c r="F2693" t="s">
        <v>21</v>
      </c>
      <c r="G2693" t="s">
        <v>137</v>
      </c>
      <c r="H2693" t="s">
        <v>138</v>
      </c>
      <c r="J2693">
        <v>0</v>
      </c>
      <c r="K2693">
        <v>0</v>
      </c>
    </row>
    <row r="2694" spans="2:11" x14ac:dyDescent="0.25">
      <c r="B2694" t="s">
        <v>6</v>
      </c>
      <c r="C2694" t="s">
        <v>311</v>
      </c>
      <c r="D2694">
        <v>703280</v>
      </c>
      <c r="E2694" t="s">
        <v>196</v>
      </c>
      <c r="F2694" t="s">
        <v>21</v>
      </c>
      <c r="G2694" t="s">
        <v>71</v>
      </c>
      <c r="H2694" t="s">
        <v>171</v>
      </c>
      <c r="J2694">
        <v>0</v>
      </c>
      <c r="K2694">
        <v>0</v>
      </c>
    </row>
    <row r="2695" spans="2:11" x14ac:dyDescent="0.25">
      <c r="B2695" t="s">
        <v>6</v>
      </c>
      <c r="C2695" t="s">
        <v>311</v>
      </c>
      <c r="D2695">
        <v>703281</v>
      </c>
      <c r="E2695" t="s">
        <v>197</v>
      </c>
      <c r="F2695" t="s">
        <v>21</v>
      </c>
      <c r="G2695" t="s">
        <v>76</v>
      </c>
      <c r="H2695" t="s">
        <v>77</v>
      </c>
      <c r="J2695">
        <v>0</v>
      </c>
      <c r="K2695">
        <v>0</v>
      </c>
    </row>
    <row r="2696" spans="2:11" x14ac:dyDescent="0.25">
      <c r="B2696" t="s">
        <v>6</v>
      </c>
      <c r="C2696" t="s">
        <v>311</v>
      </c>
      <c r="D2696">
        <v>703282</v>
      </c>
      <c r="E2696" t="s">
        <v>198</v>
      </c>
      <c r="F2696" t="s">
        <v>21</v>
      </c>
      <c r="G2696" t="s">
        <v>76</v>
      </c>
      <c r="H2696" t="s">
        <v>77</v>
      </c>
      <c r="J2696">
        <v>0</v>
      </c>
      <c r="K2696">
        <v>0</v>
      </c>
    </row>
    <row r="2697" spans="2:11" x14ac:dyDescent="0.25">
      <c r="B2697" t="s">
        <v>6</v>
      </c>
      <c r="C2697" t="s">
        <v>311</v>
      </c>
      <c r="D2697">
        <v>703283</v>
      </c>
      <c r="E2697" t="s">
        <v>199</v>
      </c>
      <c r="F2697" t="s">
        <v>21</v>
      </c>
      <c r="G2697" t="s">
        <v>61</v>
      </c>
      <c r="H2697" t="s">
        <v>68</v>
      </c>
      <c r="J2697">
        <v>0</v>
      </c>
      <c r="K2697">
        <v>0</v>
      </c>
    </row>
    <row r="2698" spans="2:11" x14ac:dyDescent="0.25">
      <c r="B2698" t="s">
        <v>6</v>
      </c>
      <c r="C2698" t="s">
        <v>311</v>
      </c>
      <c r="D2698">
        <v>703310</v>
      </c>
      <c r="E2698" t="s">
        <v>200</v>
      </c>
      <c r="F2698" t="s">
        <v>21</v>
      </c>
      <c r="G2698" t="s">
        <v>22</v>
      </c>
      <c r="H2698" t="s">
        <v>23</v>
      </c>
      <c r="J2698">
        <v>0</v>
      </c>
      <c r="K2698">
        <v>0</v>
      </c>
    </row>
    <row r="2699" spans="2:11" x14ac:dyDescent="0.25">
      <c r="B2699" t="s">
        <v>6</v>
      </c>
      <c r="C2699" t="s">
        <v>311</v>
      </c>
      <c r="D2699">
        <v>703311</v>
      </c>
      <c r="E2699" t="s">
        <v>201</v>
      </c>
      <c r="F2699" t="s">
        <v>21</v>
      </c>
      <c r="G2699" t="s">
        <v>71</v>
      </c>
      <c r="H2699" t="s">
        <v>171</v>
      </c>
      <c r="J2699">
        <v>0</v>
      </c>
      <c r="K2699">
        <v>0</v>
      </c>
    </row>
    <row r="2700" spans="2:11" x14ac:dyDescent="0.25">
      <c r="B2700" t="s">
        <v>6</v>
      </c>
      <c r="C2700" t="s">
        <v>311</v>
      </c>
      <c r="D2700">
        <v>703312</v>
      </c>
      <c r="E2700" t="s">
        <v>202</v>
      </c>
      <c r="F2700" t="s">
        <v>21</v>
      </c>
      <c r="G2700" t="s">
        <v>76</v>
      </c>
      <c r="H2700" t="s">
        <v>77</v>
      </c>
      <c r="J2700">
        <v>0</v>
      </c>
      <c r="K2700">
        <v>0</v>
      </c>
    </row>
    <row r="2701" spans="2:11" x14ac:dyDescent="0.25">
      <c r="B2701" t="s">
        <v>6</v>
      </c>
      <c r="C2701" t="s">
        <v>311</v>
      </c>
      <c r="D2701">
        <v>703313</v>
      </c>
      <c r="E2701" t="s">
        <v>203</v>
      </c>
      <c r="F2701" t="s">
        <v>21</v>
      </c>
      <c r="G2701" t="s">
        <v>76</v>
      </c>
      <c r="H2701" t="s">
        <v>77</v>
      </c>
      <c r="J2701">
        <v>0</v>
      </c>
      <c r="K2701">
        <v>0</v>
      </c>
    </row>
    <row r="2702" spans="2:11" x14ac:dyDescent="0.25">
      <c r="B2702" t="s">
        <v>6</v>
      </c>
      <c r="C2702" t="s">
        <v>311</v>
      </c>
      <c r="D2702">
        <v>703314</v>
      </c>
      <c r="E2702" t="s">
        <v>204</v>
      </c>
      <c r="F2702" t="s">
        <v>21</v>
      </c>
      <c r="G2702" t="s">
        <v>76</v>
      </c>
      <c r="H2702" t="s">
        <v>77</v>
      </c>
      <c r="J2702">
        <v>0</v>
      </c>
      <c r="K2702">
        <v>0</v>
      </c>
    </row>
    <row r="2703" spans="2:11" x14ac:dyDescent="0.25">
      <c r="B2703" t="s">
        <v>6</v>
      </c>
      <c r="C2703" t="s">
        <v>311</v>
      </c>
      <c r="D2703">
        <v>703315</v>
      </c>
      <c r="E2703" t="s">
        <v>205</v>
      </c>
      <c r="F2703" t="s">
        <v>21</v>
      </c>
      <c r="G2703" t="s">
        <v>76</v>
      </c>
      <c r="H2703" t="s">
        <v>135</v>
      </c>
      <c r="J2703">
        <v>0</v>
      </c>
      <c r="K2703">
        <v>0</v>
      </c>
    </row>
    <row r="2704" spans="2:11" x14ac:dyDescent="0.25">
      <c r="B2704" t="s">
        <v>6</v>
      </c>
      <c r="C2704" t="s">
        <v>311</v>
      </c>
      <c r="D2704">
        <v>703316</v>
      </c>
      <c r="E2704" t="s">
        <v>206</v>
      </c>
      <c r="F2704" t="s">
        <v>21</v>
      </c>
      <c r="G2704" t="s">
        <v>76</v>
      </c>
      <c r="H2704" t="s">
        <v>77</v>
      </c>
      <c r="J2704">
        <v>0</v>
      </c>
      <c r="K2704">
        <v>0</v>
      </c>
    </row>
    <row r="2705" spans="2:11" x14ac:dyDescent="0.25">
      <c r="B2705" t="s">
        <v>6</v>
      </c>
      <c r="C2705" t="s">
        <v>311</v>
      </c>
      <c r="D2705">
        <v>703317</v>
      </c>
      <c r="E2705" t="s">
        <v>207</v>
      </c>
      <c r="F2705" t="s">
        <v>21</v>
      </c>
      <c r="G2705" t="s">
        <v>76</v>
      </c>
      <c r="H2705" t="s">
        <v>77</v>
      </c>
      <c r="J2705">
        <v>0</v>
      </c>
      <c r="K2705">
        <v>0</v>
      </c>
    </row>
    <row r="2706" spans="2:11" x14ac:dyDescent="0.25">
      <c r="B2706" t="s">
        <v>6</v>
      </c>
      <c r="C2706" t="s">
        <v>311</v>
      </c>
      <c r="D2706">
        <v>703318</v>
      </c>
      <c r="E2706" t="s">
        <v>208</v>
      </c>
      <c r="F2706" t="s">
        <v>21</v>
      </c>
      <c r="G2706" t="s">
        <v>71</v>
      </c>
      <c r="H2706" t="s">
        <v>209</v>
      </c>
      <c r="J2706">
        <v>0</v>
      </c>
      <c r="K2706">
        <v>0</v>
      </c>
    </row>
    <row r="2707" spans="2:11" x14ac:dyDescent="0.25">
      <c r="B2707" t="s">
        <v>6</v>
      </c>
      <c r="C2707" t="s">
        <v>311</v>
      </c>
      <c r="D2707">
        <v>703319</v>
      </c>
      <c r="E2707" t="s">
        <v>210</v>
      </c>
      <c r="F2707" t="s">
        <v>21</v>
      </c>
      <c r="G2707" t="s">
        <v>61</v>
      </c>
      <c r="H2707" t="s">
        <v>79</v>
      </c>
      <c r="J2707">
        <v>0</v>
      </c>
      <c r="K2707">
        <v>0</v>
      </c>
    </row>
    <row r="2708" spans="2:11" x14ac:dyDescent="0.25">
      <c r="B2708" t="s">
        <v>6</v>
      </c>
      <c r="C2708" t="s">
        <v>311</v>
      </c>
      <c r="D2708">
        <v>703320</v>
      </c>
      <c r="E2708" t="s">
        <v>211</v>
      </c>
      <c r="F2708" t="s">
        <v>21</v>
      </c>
      <c r="G2708" t="s">
        <v>71</v>
      </c>
      <c r="H2708" t="s">
        <v>135</v>
      </c>
      <c r="J2708">
        <v>0</v>
      </c>
      <c r="K2708">
        <v>0</v>
      </c>
    </row>
    <row r="2709" spans="2:11" x14ac:dyDescent="0.25">
      <c r="B2709" t="s">
        <v>6</v>
      </c>
      <c r="C2709" t="s">
        <v>311</v>
      </c>
      <c r="D2709">
        <v>703321</v>
      </c>
      <c r="E2709" t="s">
        <v>212</v>
      </c>
      <c r="F2709" t="s">
        <v>21</v>
      </c>
      <c r="G2709" t="s">
        <v>22</v>
      </c>
      <c r="H2709" t="s">
        <v>23</v>
      </c>
      <c r="J2709">
        <v>0</v>
      </c>
      <c r="K2709">
        <v>0</v>
      </c>
    </row>
    <row r="2710" spans="2:11" x14ac:dyDescent="0.25">
      <c r="B2710" t="s">
        <v>6</v>
      </c>
      <c r="C2710" t="s">
        <v>311</v>
      </c>
      <c r="D2710">
        <v>703322</v>
      </c>
      <c r="E2710" t="s">
        <v>213</v>
      </c>
      <c r="F2710" t="s">
        <v>21</v>
      </c>
      <c r="G2710" t="s">
        <v>22</v>
      </c>
      <c r="H2710" t="s">
        <v>23</v>
      </c>
      <c r="J2710">
        <v>0</v>
      </c>
      <c r="K2710">
        <v>0</v>
      </c>
    </row>
    <row r="2711" spans="2:11" x14ac:dyDescent="0.25">
      <c r="B2711" t="s">
        <v>6</v>
      </c>
      <c r="C2711" t="s">
        <v>311</v>
      </c>
      <c r="D2711">
        <v>703323</v>
      </c>
      <c r="E2711" t="s">
        <v>214</v>
      </c>
      <c r="F2711" t="s">
        <v>21</v>
      </c>
      <c r="G2711" t="s">
        <v>22</v>
      </c>
      <c r="H2711" t="s">
        <v>23</v>
      </c>
      <c r="J2711">
        <v>0</v>
      </c>
      <c r="K2711">
        <v>0</v>
      </c>
    </row>
    <row r="2712" spans="2:11" x14ac:dyDescent="0.25">
      <c r="B2712" t="s">
        <v>6</v>
      </c>
      <c r="C2712" t="s">
        <v>311</v>
      </c>
      <c r="D2712">
        <v>703324</v>
      </c>
      <c r="E2712" t="s">
        <v>215</v>
      </c>
      <c r="F2712" t="s">
        <v>21</v>
      </c>
      <c r="G2712" t="s">
        <v>22</v>
      </c>
      <c r="H2712" t="s">
        <v>23</v>
      </c>
      <c r="J2712">
        <v>0</v>
      </c>
      <c r="K2712">
        <v>0</v>
      </c>
    </row>
    <row r="2713" spans="2:11" x14ac:dyDescent="0.25">
      <c r="B2713" t="s">
        <v>6</v>
      </c>
      <c r="C2713" t="s">
        <v>311</v>
      </c>
      <c r="D2713">
        <v>703325</v>
      </c>
      <c r="E2713" t="s">
        <v>216</v>
      </c>
      <c r="F2713" t="s">
        <v>21</v>
      </c>
      <c r="G2713" t="s">
        <v>22</v>
      </c>
      <c r="H2713" t="s">
        <v>23</v>
      </c>
      <c r="J2713">
        <v>0</v>
      </c>
      <c r="K2713">
        <v>0</v>
      </c>
    </row>
    <row r="2714" spans="2:11" x14ac:dyDescent="0.25">
      <c r="B2714" t="s">
        <v>6</v>
      </c>
      <c r="C2714" t="s">
        <v>311</v>
      </c>
      <c r="D2714">
        <v>703326</v>
      </c>
      <c r="E2714" t="s">
        <v>217</v>
      </c>
      <c r="F2714" t="s">
        <v>21</v>
      </c>
      <c r="G2714" t="s">
        <v>22</v>
      </c>
      <c r="H2714" t="s">
        <v>23</v>
      </c>
      <c r="J2714">
        <v>0</v>
      </c>
      <c r="K2714">
        <v>0</v>
      </c>
    </row>
    <row r="2715" spans="2:11" x14ac:dyDescent="0.25">
      <c r="B2715" t="s">
        <v>6</v>
      </c>
      <c r="C2715" t="s">
        <v>311</v>
      </c>
      <c r="D2715">
        <v>703327</v>
      </c>
      <c r="E2715" t="s">
        <v>218</v>
      </c>
      <c r="F2715" t="s">
        <v>21</v>
      </c>
      <c r="G2715" t="s">
        <v>76</v>
      </c>
      <c r="H2715" t="s">
        <v>77</v>
      </c>
      <c r="J2715">
        <v>0</v>
      </c>
      <c r="K2715">
        <v>0</v>
      </c>
    </row>
    <row r="2716" spans="2:11" x14ac:dyDescent="0.25">
      <c r="B2716" t="s">
        <v>6</v>
      </c>
      <c r="C2716" t="s">
        <v>311</v>
      </c>
      <c r="D2716">
        <v>703328</v>
      </c>
      <c r="E2716" t="s">
        <v>219</v>
      </c>
      <c r="F2716" t="s">
        <v>21</v>
      </c>
      <c r="G2716" t="s">
        <v>22</v>
      </c>
      <c r="H2716" t="s">
        <v>23</v>
      </c>
      <c r="J2716">
        <v>0</v>
      </c>
      <c r="K2716">
        <v>0</v>
      </c>
    </row>
    <row r="2717" spans="2:11" x14ac:dyDescent="0.25">
      <c r="B2717" t="s">
        <v>6</v>
      </c>
      <c r="C2717" t="s">
        <v>311</v>
      </c>
      <c r="D2717">
        <v>703329</v>
      </c>
      <c r="E2717" t="s">
        <v>220</v>
      </c>
      <c r="F2717" t="s">
        <v>21</v>
      </c>
      <c r="G2717" t="s">
        <v>22</v>
      </c>
      <c r="H2717" t="s">
        <v>23</v>
      </c>
      <c r="J2717">
        <v>0</v>
      </c>
      <c r="K2717">
        <v>0</v>
      </c>
    </row>
    <row r="2718" spans="2:11" x14ac:dyDescent="0.25">
      <c r="B2718" t="s">
        <v>6</v>
      </c>
      <c r="C2718" t="s">
        <v>311</v>
      </c>
      <c r="D2718">
        <v>703330</v>
      </c>
      <c r="E2718" t="s">
        <v>221</v>
      </c>
      <c r="F2718" t="s">
        <v>21</v>
      </c>
      <c r="G2718" t="s">
        <v>22</v>
      </c>
      <c r="H2718" t="s">
        <v>23</v>
      </c>
      <c r="J2718">
        <v>0</v>
      </c>
      <c r="K2718">
        <v>0</v>
      </c>
    </row>
    <row r="2719" spans="2:11" x14ac:dyDescent="0.25">
      <c r="B2719" t="s">
        <v>6</v>
      </c>
      <c r="C2719" t="s">
        <v>311</v>
      </c>
      <c r="D2719">
        <v>703340</v>
      </c>
      <c r="E2719" t="s">
        <v>222</v>
      </c>
      <c r="F2719" t="s">
        <v>21</v>
      </c>
      <c r="G2719" t="s">
        <v>61</v>
      </c>
      <c r="H2719" t="s">
        <v>68</v>
      </c>
      <c r="J2719">
        <v>0</v>
      </c>
      <c r="K2719">
        <v>0</v>
      </c>
    </row>
    <row r="2720" spans="2:11" x14ac:dyDescent="0.25">
      <c r="B2720" t="s">
        <v>6</v>
      </c>
      <c r="C2720" t="s">
        <v>311</v>
      </c>
      <c r="D2720">
        <v>703350</v>
      </c>
      <c r="E2720" t="s">
        <v>223</v>
      </c>
      <c r="F2720" t="s">
        <v>21</v>
      </c>
      <c r="G2720" t="s">
        <v>22</v>
      </c>
      <c r="H2720" t="s">
        <v>23</v>
      </c>
      <c r="J2720">
        <v>0</v>
      </c>
      <c r="K2720">
        <v>0</v>
      </c>
    </row>
    <row r="2721" spans="2:11" x14ac:dyDescent="0.25">
      <c r="B2721" t="s">
        <v>6</v>
      </c>
      <c r="C2721" t="s">
        <v>311</v>
      </c>
      <c r="D2721">
        <v>703351</v>
      </c>
      <c r="E2721" t="s">
        <v>224</v>
      </c>
      <c r="F2721" t="s">
        <v>21</v>
      </c>
      <c r="G2721" t="s">
        <v>22</v>
      </c>
      <c r="H2721" t="s">
        <v>23</v>
      </c>
      <c r="J2721">
        <v>0</v>
      </c>
      <c r="K2721">
        <v>0</v>
      </c>
    </row>
    <row r="2722" spans="2:11" x14ac:dyDescent="0.25">
      <c r="B2722" t="s">
        <v>6</v>
      </c>
      <c r="C2722" t="s">
        <v>311</v>
      </c>
      <c r="D2722">
        <v>703352</v>
      </c>
      <c r="E2722" t="s">
        <v>225</v>
      </c>
      <c r="F2722" t="s">
        <v>21</v>
      </c>
      <c r="G2722" t="s">
        <v>22</v>
      </c>
      <c r="H2722" t="s">
        <v>23</v>
      </c>
      <c r="J2722">
        <v>0</v>
      </c>
      <c r="K2722">
        <v>0</v>
      </c>
    </row>
    <row r="2723" spans="2:11" x14ac:dyDescent="0.25">
      <c r="B2723" t="s">
        <v>6</v>
      </c>
      <c r="C2723" t="s">
        <v>311</v>
      </c>
      <c r="D2723">
        <v>703360</v>
      </c>
      <c r="E2723" t="s">
        <v>226</v>
      </c>
      <c r="F2723" t="s">
        <v>21</v>
      </c>
      <c r="G2723" t="s">
        <v>22</v>
      </c>
      <c r="H2723" t="s">
        <v>23</v>
      </c>
      <c r="J2723">
        <v>0</v>
      </c>
      <c r="K2723">
        <v>0</v>
      </c>
    </row>
    <row r="2724" spans="2:11" x14ac:dyDescent="0.25">
      <c r="B2724" t="s">
        <v>6</v>
      </c>
      <c r="C2724" t="s">
        <v>311</v>
      </c>
      <c r="D2724">
        <v>703370</v>
      </c>
      <c r="E2724" t="s">
        <v>227</v>
      </c>
      <c r="F2724" t="s">
        <v>21</v>
      </c>
      <c r="G2724" t="s">
        <v>22</v>
      </c>
      <c r="H2724" t="s">
        <v>23</v>
      </c>
      <c r="J2724">
        <v>0</v>
      </c>
      <c r="K2724">
        <v>0</v>
      </c>
    </row>
    <row r="2725" spans="2:11" x14ac:dyDescent="0.25">
      <c r="B2725" t="s">
        <v>6</v>
      </c>
      <c r="C2725" t="s">
        <v>311</v>
      </c>
      <c r="D2725">
        <v>703410</v>
      </c>
      <c r="E2725" t="s">
        <v>228</v>
      </c>
      <c r="F2725" t="s">
        <v>21</v>
      </c>
      <c r="G2725" t="s">
        <v>22</v>
      </c>
      <c r="H2725" t="s">
        <v>23</v>
      </c>
      <c r="J2725">
        <v>0</v>
      </c>
      <c r="K2725">
        <v>0</v>
      </c>
    </row>
    <row r="2726" spans="2:11" x14ac:dyDescent="0.25">
      <c r="B2726" t="s">
        <v>6</v>
      </c>
      <c r="C2726" t="s">
        <v>311</v>
      </c>
      <c r="D2726">
        <v>703411</v>
      </c>
      <c r="E2726" t="s">
        <v>229</v>
      </c>
      <c r="F2726" t="s">
        <v>21</v>
      </c>
      <c r="G2726" t="s">
        <v>22</v>
      </c>
      <c r="H2726" t="s">
        <v>23</v>
      </c>
      <c r="J2726">
        <v>0</v>
      </c>
      <c r="K2726">
        <v>0</v>
      </c>
    </row>
    <row r="2727" spans="2:11" x14ac:dyDescent="0.25">
      <c r="B2727" t="s">
        <v>6</v>
      </c>
      <c r="C2727" t="s">
        <v>311</v>
      </c>
      <c r="D2727">
        <v>703412</v>
      </c>
      <c r="E2727" t="s">
        <v>230</v>
      </c>
      <c r="F2727" t="s">
        <v>21</v>
      </c>
      <c r="G2727" t="s">
        <v>22</v>
      </c>
      <c r="H2727" t="s">
        <v>23</v>
      </c>
      <c r="J2727">
        <v>0</v>
      </c>
      <c r="K2727">
        <v>0</v>
      </c>
    </row>
    <row r="2728" spans="2:11" x14ac:dyDescent="0.25">
      <c r="B2728" t="s">
        <v>6</v>
      </c>
      <c r="C2728" t="s">
        <v>311</v>
      </c>
      <c r="D2728">
        <v>703420</v>
      </c>
      <c r="E2728" t="s">
        <v>231</v>
      </c>
      <c r="F2728" t="s">
        <v>21</v>
      </c>
      <c r="G2728" t="s">
        <v>71</v>
      </c>
      <c r="H2728" t="s">
        <v>171</v>
      </c>
      <c r="J2728">
        <v>0</v>
      </c>
      <c r="K2728">
        <v>0</v>
      </c>
    </row>
    <row r="2729" spans="2:11" x14ac:dyDescent="0.25">
      <c r="B2729" t="s">
        <v>6</v>
      </c>
      <c r="C2729" t="s">
        <v>311</v>
      </c>
      <c r="D2729">
        <v>703421</v>
      </c>
      <c r="E2729" t="s">
        <v>232</v>
      </c>
      <c r="F2729" t="s">
        <v>21</v>
      </c>
      <c r="G2729" t="s">
        <v>22</v>
      </c>
      <c r="H2729" t="s">
        <v>23</v>
      </c>
      <c r="J2729">
        <v>0</v>
      </c>
      <c r="K2729">
        <v>0</v>
      </c>
    </row>
    <row r="2730" spans="2:11" x14ac:dyDescent="0.25">
      <c r="B2730" t="s">
        <v>6</v>
      </c>
      <c r="C2730" t="s">
        <v>311</v>
      </c>
      <c r="D2730">
        <v>703422</v>
      </c>
      <c r="E2730" t="s">
        <v>233</v>
      </c>
      <c r="F2730" t="s">
        <v>21</v>
      </c>
      <c r="G2730" t="s">
        <v>76</v>
      </c>
      <c r="H2730" t="s">
        <v>77</v>
      </c>
      <c r="J2730">
        <v>0</v>
      </c>
      <c r="K2730">
        <v>0</v>
      </c>
    </row>
    <row r="2731" spans="2:11" x14ac:dyDescent="0.25">
      <c r="B2731" t="s">
        <v>6</v>
      </c>
      <c r="C2731" t="s">
        <v>311</v>
      </c>
      <c r="D2731">
        <v>703423</v>
      </c>
      <c r="E2731" t="s">
        <v>234</v>
      </c>
      <c r="F2731" t="s">
        <v>21</v>
      </c>
      <c r="G2731" t="s">
        <v>71</v>
      </c>
      <c r="H2731" t="s">
        <v>88</v>
      </c>
      <c r="J2731">
        <v>0</v>
      </c>
      <c r="K2731">
        <v>0</v>
      </c>
    </row>
    <row r="2732" spans="2:11" x14ac:dyDescent="0.25">
      <c r="B2732" t="s">
        <v>6</v>
      </c>
      <c r="C2732" t="s">
        <v>311</v>
      </c>
      <c r="D2732">
        <v>703424</v>
      </c>
      <c r="E2732" t="s">
        <v>235</v>
      </c>
      <c r="F2732" t="s">
        <v>21</v>
      </c>
      <c r="G2732" t="s">
        <v>71</v>
      </c>
      <c r="H2732" t="s">
        <v>88</v>
      </c>
      <c r="J2732">
        <v>0</v>
      </c>
      <c r="K2732">
        <v>0</v>
      </c>
    </row>
    <row r="2733" spans="2:11" x14ac:dyDescent="0.25">
      <c r="B2733" t="s">
        <v>6</v>
      </c>
      <c r="C2733" t="s">
        <v>311</v>
      </c>
      <c r="D2733">
        <v>703425</v>
      </c>
      <c r="E2733" t="s">
        <v>236</v>
      </c>
      <c r="F2733" t="s">
        <v>21</v>
      </c>
      <c r="G2733" t="s">
        <v>76</v>
      </c>
      <c r="H2733" t="s">
        <v>77</v>
      </c>
      <c r="J2733">
        <v>0</v>
      </c>
      <c r="K2733">
        <v>0</v>
      </c>
    </row>
    <row r="2734" spans="2:11" x14ac:dyDescent="0.25">
      <c r="B2734" t="s">
        <v>6</v>
      </c>
      <c r="C2734" t="s">
        <v>311</v>
      </c>
      <c r="D2734">
        <v>703426</v>
      </c>
      <c r="E2734" t="s">
        <v>237</v>
      </c>
      <c r="F2734" t="s">
        <v>21</v>
      </c>
      <c r="G2734" t="s">
        <v>22</v>
      </c>
      <c r="H2734" t="s">
        <v>23</v>
      </c>
      <c r="J2734">
        <v>0</v>
      </c>
      <c r="K2734">
        <v>0</v>
      </c>
    </row>
    <row r="2735" spans="2:11" x14ac:dyDescent="0.25">
      <c r="B2735" t="s">
        <v>6</v>
      </c>
      <c r="C2735" t="s">
        <v>311</v>
      </c>
      <c r="D2735">
        <v>703427</v>
      </c>
      <c r="E2735" t="s">
        <v>238</v>
      </c>
      <c r="F2735" t="s">
        <v>21</v>
      </c>
      <c r="G2735" t="s">
        <v>76</v>
      </c>
      <c r="H2735" t="s">
        <v>77</v>
      </c>
      <c r="J2735">
        <v>0</v>
      </c>
      <c r="K2735">
        <v>0</v>
      </c>
    </row>
    <row r="2736" spans="2:11" x14ac:dyDescent="0.25">
      <c r="B2736" t="s">
        <v>6</v>
      </c>
      <c r="C2736" t="s">
        <v>311</v>
      </c>
      <c r="D2736">
        <v>703428</v>
      </c>
      <c r="E2736" t="s">
        <v>239</v>
      </c>
      <c r="F2736" t="s">
        <v>21</v>
      </c>
      <c r="G2736" t="s">
        <v>76</v>
      </c>
      <c r="H2736" t="s">
        <v>77</v>
      </c>
      <c r="J2736">
        <v>0</v>
      </c>
      <c r="K2736">
        <v>0</v>
      </c>
    </row>
    <row r="2737" spans="2:11" x14ac:dyDescent="0.25">
      <c r="B2737" t="s">
        <v>6</v>
      </c>
      <c r="C2737" t="s">
        <v>311</v>
      </c>
      <c r="D2737">
        <v>703429</v>
      </c>
      <c r="E2737" t="s">
        <v>240</v>
      </c>
      <c r="F2737" t="s">
        <v>21</v>
      </c>
      <c r="G2737" t="s">
        <v>76</v>
      </c>
      <c r="H2737" t="s">
        <v>77</v>
      </c>
      <c r="J2737">
        <v>0</v>
      </c>
      <c r="K2737">
        <v>0</v>
      </c>
    </row>
    <row r="2738" spans="2:11" x14ac:dyDescent="0.25">
      <c r="B2738" t="s">
        <v>6</v>
      </c>
      <c r="C2738" t="s">
        <v>311</v>
      </c>
      <c r="D2738">
        <v>703430</v>
      </c>
      <c r="E2738" t="s">
        <v>20</v>
      </c>
      <c r="F2738" t="s">
        <v>21</v>
      </c>
      <c r="G2738" t="s">
        <v>22</v>
      </c>
      <c r="H2738" t="s">
        <v>23</v>
      </c>
      <c r="J2738">
        <v>0</v>
      </c>
      <c r="K2738">
        <v>0</v>
      </c>
    </row>
    <row r="2739" spans="2:11" x14ac:dyDescent="0.25">
      <c r="B2739" t="s">
        <v>6</v>
      </c>
      <c r="C2739" t="s">
        <v>311</v>
      </c>
      <c r="D2739">
        <v>703431</v>
      </c>
      <c r="E2739" t="s">
        <v>241</v>
      </c>
      <c r="F2739" t="s">
        <v>21</v>
      </c>
      <c r="G2739" t="s">
        <v>22</v>
      </c>
      <c r="H2739" t="s">
        <v>23</v>
      </c>
      <c r="J2739">
        <v>0</v>
      </c>
      <c r="K2739">
        <v>0</v>
      </c>
    </row>
    <row r="2740" spans="2:11" x14ac:dyDescent="0.25">
      <c r="B2740" t="s">
        <v>6</v>
      </c>
      <c r="C2740" t="s">
        <v>311</v>
      </c>
      <c r="D2740">
        <v>703432</v>
      </c>
      <c r="E2740" t="s">
        <v>242</v>
      </c>
      <c r="F2740" t="s">
        <v>21</v>
      </c>
      <c r="G2740" t="s">
        <v>22</v>
      </c>
      <c r="H2740" t="s">
        <v>23</v>
      </c>
      <c r="J2740">
        <v>0</v>
      </c>
      <c r="K2740">
        <v>0</v>
      </c>
    </row>
    <row r="2741" spans="2:11" x14ac:dyDescent="0.25">
      <c r="B2741" t="s">
        <v>6</v>
      </c>
      <c r="C2741" t="s">
        <v>311</v>
      </c>
      <c r="D2741">
        <v>703433</v>
      </c>
      <c r="E2741" t="s">
        <v>243</v>
      </c>
      <c r="F2741" t="s">
        <v>21</v>
      </c>
      <c r="G2741" t="s">
        <v>71</v>
      </c>
      <c r="H2741" t="s">
        <v>88</v>
      </c>
      <c r="J2741">
        <v>0</v>
      </c>
      <c r="K2741">
        <v>0</v>
      </c>
    </row>
    <row r="2742" spans="2:11" x14ac:dyDescent="0.25">
      <c r="B2742" t="s">
        <v>6</v>
      </c>
      <c r="C2742" t="s">
        <v>311</v>
      </c>
      <c r="D2742">
        <v>703434</v>
      </c>
      <c r="E2742" t="s">
        <v>244</v>
      </c>
      <c r="F2742" t="s">
        <v>21</v>
      </c>
      <c r="G2742" t="s">
        <v>22</v>
      </c>
      <c r="H2742" t="s">
        <v>23</v>
      </c>
      <c r="J2742">
        <v>0</v>
      </c>
      <c r="K2742">
        <v>0</v>
      </c>
    </row>
    <row r="2743" spans="2:11" x14ac:dyDescent="0.25">
      <c r="B2743" t="s">
        <v>6</v>
      </c>
      <c r="C2743" t="s">
        <v>311</v>
      </c>
      <c r="D2743">
        <v>703435</v>
      </c>
      <c r="E2743" t="s">
        <v>245</v>
      </c>
      <c r="F2743" t="s">
        <v>21</v>
      </c>
      <c r="G2743" t="s">
        <v>71</v>
      </c>
      <c r="H2743" t="s">
        <v>88</v>
      </c>
      <c r="J2743">
        <v>0</v>
      </c>
      <c r="K2743">
        <v>0</v>
      </c>
    </row>
    <row r="2744" spans="2:11" x14ac:dyDescent="0.25">
      <c r="B2744" t="s">
        <v>6</v>
      </c>
      <c r="C2744" t="s">
        <v>311</v>
      </c>
      <c r="D2744">
        <v>703436</v>
      </c>
      <c r="E2744" t="s">
        <v>246</v>
      </c>
      <c r="F2744" t="s">
        <v>21</v>
      </c>
      <c r="G2744" t="s">
        <v>71</v>
      </c>
      <c r="H2744" t="s">
        <v>88</v>
      </c>
      <c r="J2744">
        <v>0</v>
      </c>
      <c r="K2744">
        <v>0</v>
      </c>
    </row>
    <row r="2745" spans="2:11" x14ac:dyDescent="0.25">
      <c r="B2745" t="s">
        <v>6</v>
      </c>
      <c r="C2745" t="s">
        <v>311</v>
      </c>
      <c r="D2745">
        <v>703437</v>
      </c>
      <c r="E2745" t="s">
        <v>247</v>
      </c>
      <c r="F2745" t="s">
        <v>21</v>
      </c>
      <c r="G2745" t="s">
        <v>71</v>
      </c>
      <c r="H2745" t="s">
        <v>88</v>
      </c>
      <c r="J2745">
        <v>0</v>
      </c>
      <c r="K2745">
        <v>0</v>
      </c>
    </row>
    <row r="2746" spans="2:11" x14ac:dyDescent="0.25">
      <c r="B2746" t="s">
        <v>6</v>
      </c>
      <c r="C2746" t="s">
        <v>311</v>
      </c>
      <c r="D2746">
        <v>703438</v>
      </c>
      <c r="E2746" t="s">
        <v>248</v>
      </c>
      <c r="F2746" t="s">
        <v>21</v>
      </c>
      <c r="G2746" t="s">
        <v>71</v>
      </c>
      <c r="H2746" t="s">
        <v>88</v>
      </c>
      <c r="J2746">
        <v>0</v>
      </c>
      <c r="K2746">
        <v>0</v>
      </c>
    </row>
    <row r="2747" spans="2:11" x14ac:dyDescent="0.25">
      <c r="B2747" t="s">
        <v>6</v>
      </c>
      <c r="C2747" t="s">
        <v>311</v>
      </c>
      <c r="D2747">
        <v>703439</v>
      </c>
      <c r="E2747" t="s">
        <v>249</v>
      </c>
      <c r="F2747" t="s">
        <v>21</v>
      </c>
      <c r="G2747" t="s">
        <v>22</v>
      </c>
      <c r="H2747" t="s">
        <v>23</v>
      </c>
      <c r="J2747">
        <v>0</v>
      </c>
      <c r="K2747">
        <v>0</v>
      </c>
    </row>
    <row r="2748" spans="2:11" x14ac:dyDescent="0.25">
      <c r="B2748" t="s">
        <v>6</v>
      </c>
      <c r="C2748" t="s">
        <v>311</v>
      </c>
      <c r="D2748">
        <v>703440</v>
      </c>
      <c r="E2748" t="s">
        <v>250</v>
      </c>
      <c r="F2748" t="s">
        <v>21</v>
      </c>
      <c r="G2748" t="s">
        <v>61</v>
      </c>
      <c r="H2748" t="s">
        <v>68</v>
      </c>
      <c r="J2748">
        <v>0</v>
      </c>
      <c r="K2748">
        <v>0</v>
      </c>
    </row>
    <row r="2749" spans="2:11" x14ac:dyDescent="0.25">
      <c r="B2749" t="s">
        <v>6</v>
      </c>
      <c r="C2749" t="s">
        <v>311</v>
      </c>
      <c r="D2749">
        <v>703441</v>
      </c>
      <c r="E2749" t="s">
        <v>251</v>
      </c>
      <c r="F2749" t="s">
        <v>21</v>
      </c>
      <c r="G2749" t="s">
        <v>61</v>
      </c>
      <c r="H2749" t="s">
        <v>79</v>
      </c>
      <c r="J2749">
        <v>0</v>
      </c>
      <c r="K2749">
        <v>0</v>
      </c>
    </row>
    <row r="2750" spans="2:11" x14ac:dyDescent="0.25">
      <c r="B2750" t="s">
        <v>6</v>
      </c>
      <c r="C2750" t="s">
        <v>311</v>
      </c>
      <c r="D2750">
        <v>703442</v>
      </c>
      <c r="E2750" t="s">
        <v>252</v>
      </c>
      <c r="F2750" t="s">
        <v>21</v>
      </c>
      <c r="G2750" t="s">
        <v>76</v>
      </c>
      <c r="H2750" t="s">
        <v>77</v>
      </c>
      <c r="J2750">
        <v>0</v>
      </c>
      <c r="K2750">
        <v>0</v>
      </c>
    </row>
    <row r="2751" spans="2:11" x14ac:dyDescent="0.25">
      <c r="B2751" t="s">
        <v>6</v>
      </c>
      <c r="C2751" t="s">
        <v>311</v>
      </c>
      <c r="D2751">
        <v>703443</v>
      </c>
      <c r="E2751" t="s">
        <v>253</v>
      </c>
      <c r="F2751" t="s">
        <v>21</v>
      </c>
      <c r="G2751" t="s">
        <v>71</v>
      </c>
      <c r="H2751" t="s">
        <v>88</v>
      </c>
      <c r="J2751">
        <v>0</v>
      </c>
      <c r="K2751">
        <v>0</v>
      </c>
    </row>
    <row r="2752" spans="2:11" x14ac:dyDescent="0.25">
      <c r="B2752" t="s">
        <v>6</v>
      </c>
      <c r="C2752" t="s">
        <v>311</v>
      </c>
      <c r="D2752">
        <v>703444</v>
      </c>
      <c r="E2752" t="s">
        <v>254</v>
      </c>
      <c r="F2752" t="s">
        <v>21</v>
      </c>
      <c r="G2752" t="s">
        <v>22</v>
      </c>
      <c r="H2752" t="s">
        <v>23</v>
      </c>
      <c r="J2752">
        <v>0</v>
      </c>
      <c r="K2752">
        <v>0</v>
      </c>
    </row>
    <row r="2753" spans="2:11" x14ac:dyDescent="0.25">
      <c r="B2753" t="s">
        <v>6</v>
      </c>
      <c r="C2753" t="s">
        <v>311</v>
      </c>
      <c r="D2753">
        <v>703445</v>
      </c>
      <c r="E2753" t="s">
        <v>255</v>
      </c>
      <c r="F2753" t="s">
        <v>21</v>
      </c>
      <c r="G2753" t="s">
        <v>22</v>
      </c>
      <c r="H2753" t="s">
        <v>23</v>
      </c>
      <c r="J2753">
        <v>0</v>
      </c>
      <c r="K2753">
        <v>0</v>
      </c>
    </row>
    <row r="2754" spans="2:11" x14ac:dyDescent="0.25">
      <c r="B2754" t="s">
        <v>6</v>
      </c>
      <c r="C2754" t="s">
        <v>311</v>
      </c>
      <c r="D2754">
        <v>703446</v>
      </c>
      <c r="E2754" t="s">
        <v>256</v>
      </c>
      <c r="F2754" t="s">
        <v>21</v>
      </c>
      <c r="G2754" t="s">
        <v>22</v>
      </c>
      <c r="H2754" t="s">
        <v>23</v>
      </c>
      <c r="J2754">
        <v>0</v>
      </c>
      <c r="K2754">
        <v>0</v>
      </c>
    </row>
    <row r="2755" spans="2:11" x14ac:dyDescent="0.25">
      <c r="B2755" t="s">
        <v>6</v>
      </c>
      <c r="C2755" t="s">
        <v>311</v>
      </c>
      <c r="D2755">
        <v>703447</v>
      </c>
      <c r="E2755" t="s">
        <v>257</v>
      </c>
      <c r="F2755" t="s">
        <v>21</v>
      </c>
      <c r="G2755" t="s">
        <v>22</v>
      </c>
      <c r="H2755" t="s">
        <v>23</v>
      </c>
      <c r="J2755">
        <v>0</v>
      </c>
      <c r="K2755">
        <v>0</v>
      </c>
    </row>
    <row r="2756" spans="2:11" x14ac:dyDescent="0.25">
      <c r="B2756" t="s">
        <v>6</v>
      </c>
      <c r="C2756" t="s">
        <v>311</v>
      </c>
      <c r="D2756">
        <v>703448</v>
      </c>
      <c r="E2756" t="s">
        <v>258</v>
      </c>
      <c r="F2756" t="s">
        <v>21</v>
      </c>
      <c r="G2756" t="s">
        <v>22</v>
      </c>
      <c r="H2756" t="s">
        <v>23</v>
      </c>
      <c r="J2756">
        <v>0</v>
      </c>
      <c r="K2756">
        <v>0</v>
      </c>
    </row>
    <row r="2757" spans="2:11" x14ac:dyDescent="0.25">
      <c r="B2757" t="s">
        <v>6</v>
      </c>
      <c r="C2757" t="s">
        <v>311</v>
      </c>
      <c r="D2757">
        <v>703449</v>
      </c>
      <c r="E2757" t="s">
        <v>259</v>
      </c>
      <c r="F2757" t="s">
        <v>21</v>
      </c>
      <c r="G2757" t="s">
        <v>22</v>
      </c>
      <c r="H2757" t="s">
        <v>23</v>
      </c>
      <c r="J2757">
        <v>0</v>
      </c>
      <c r="K2757">
        <v>0</v>
      </c>
    </row>
    <row r="2758" spans="2:11" x14ac:dyDescent="0.25">
      <c r="B2758" t="s">
        <v>6</v>
      </c>
      <c r="C2758" t="s">
        <v>311</v>
      </c>
      <c r="D2758">
        <v>703450</v>
      </c>
      <c r="E2758" t="s">
        <v>260</v>
      </c>
      <c r="F2758" t="s">
        <v>21</v>
      </c>
      <c r="G2758" t="s">
        <v>71</v>
      </c>
      <c r="H2758" t="s">
        <v>88</v>
      </c>
      <c r="J2758">
        <v>0</v>
      </c>
      <c r="K2758">
        <v>0</v>
      </c>
    </row>
    <row r="2759" spans="2:11" x14ac:dyDescent="0.25">
      <c r="B2759" t="s">
        <v>6</v>
      </c>
      <c r="C2759" t="s">
        <v>311</v>
      </c>
      <c r="D2759">
        <v>703510</v>
      </c>
      <c r="E2759" t="s">
        <v>261</v>
      </c>
      <c r="F2759" t="s">
        <v>21</v>
      </c>
      <c r="G2759" t="s">
        <v>22</v>
      </c>
      <c r="H2759" t="s">
        <v>23</v>
      </c>
      <c r="J2759">
        <v>0</v>
      </c>
      <c r="K2759">
        <v>0</v>
      </c>
    </row>
    <row r="2760" spans="2:11" x14ac:dyDescent="0.25">
      <c r="B2760" t="s">
        <v>6</v>
      </c>
      <c r="C2760" t="s">
        <v>311</v>
      </c>
      <c r="D2760">
        <v>703511</v>
      </c>
      <c r="E2760" t="s">
        <v>262</v>
      </c>
      <c r="F2760" t="s">
        <v>21</v>
      </c>
      <c r="G2760" t="s">
        <v>22</v>
      </c>
      <c r="H2760" t="s">
        <v>23</v>
      </c>
      <c r="J2760">
        <v>0</v>
      </c>
      <c r="K2760">
        <v>0</v>
      </c>
    </row>
    <row r="2761" spans="2:11" x14ac:dyDescent="0.25">
      <c r="B2761" t="s">
        <v>6</v>
      </c>
      <c r="C2761" t="s">
        <v>311</v>
      </c>
      <c r="D2761">
        <v>703512</v>
      </c>
      <c r="E2761" t="s">
        <v>263</v>
      </c>
      <c r="F2761" t="s">
        <v>21</v>
      </c>
      <c r="G2761" t="s">
        <v>22</v>
      </c>
      <c r="H2761" t="s">
        <v>23</v>
      </c>
      <c r="J2761">
        <v>0</v>
      </c>
      <c r="K2761">
        <v>0</v>
      </c>
    </row>
    <row r="2762" spans="2:11" x14ac:dyDescent="0.25">
      <c r="B2762" t="s">
        <v>6</v>
      </c>
      <c r="C2762" t="s">
        <v>311</v>
      </c>
      <c r="D2762">
        <v>703513</v>
      </c>
      <c r="E2762" t="s">
        <v>264</v>
      </c>
      <c r="F2762" t="s">
        <v>21</v>
      </c>
      <c r="G2762" t="s">
        <v>22</v>
      </c>
      <c r="H2762" t="s">
        <v>23</v>
      </c>
      <c r="J2762">
        <v>0</v>
      </c>
      <c r="K2762">
        <v>0</v>
      </c>
    </row>
    <row r="2763" spans="2:11" x14ac:dyDescent="0.25">
      <c r="B2763" t="s">
        <v>6</v>
      </c>
      <c r="C2763" t="s">
        <v>311</v>
      </c>
      <c r="D2763">
        <v>703514</v>
      </c>
      <c r="E2763" t="s">
        <v>265</v>
      </c>
      <c r="F2763" t="s">
        <v>21</v>
      </c>
      <c r="G2763" t="s">
        <v>22</v>
      </c>
      <c r="H2763" t="s">
        <v>23</v>
      </c>
      <c r="J2763">
        <v>0</v>
      </c>
      <c r="K2763">
        <v>0</v>
      </c>
    </row>
    <row r="2764" spans="2:11" x14ac:dyDescent="0.25">
      <c r="B2764" t="s">
        <v>6</v>
      </c>
      <c r="C2764" t="s">
        <v>311</v>
      </c>
      <c r="D2764">
        <v>703515</v>
      </c>
      <c r="E2764" t="s">
        <v>266</v>
      </c>
      <c r="F2764" t="s">
        <v>21</v>
      </c>
      <c r="G2764" t="s">
        <v>22</v>
      </c>
      <c r="H2764" t="s">
        <v>23</v>
      </c>
      <c r="J2764">
        <v>0</v>
      </c>
      <c r="K2764">
        <v>0</v>
      </c>
    </row>
    <row r="2765" spans="2:11" x14ac:dyDescent="0.25">
      <c r="B2765" t="s">
        <v>6</v>
      </c>
      <c r="C2765" t="s">
        <v>311</v>
      </c>
      <c r="D2765">
        <v>703520</v>
      </c>
      <c r="E2765" t="s">
        <v>267</v>
      </c>
      <c r="F2765" t="s">
        <v>21</v>
      </c>
      <c r="G2765" t="s">
        <v>22</v>
      </c>
      <c r="H2765" t="s">
        <v>23</v>
      </c>
      <c r="J2765">
        <v>0</v>
      </c>
      <c r="K2765">
        <v>0</v>
      </c>
    </row>
    <row r="2766" spans="2:11" x14ac:dyDescent="0.25">
      <c r="B2766" t="s">
        <v>6</v>
      </c>
      <c r="C2766" t="s">
        <v>311</v>
      </c>
      <c r="D2766">
        <v>703530</v>
      </c>
      <c r="E2766" t="s">
        <v>268</v>
      </c>
      <c r="F2766" t="s">
        <v>21</v>
      </c>
      <c r="G2766" t="s">
        <v>22</v>
      </c>
      <c r="H2766" t="s">
        <v>23</v>
      </c>
      <c r="J2766">
        <v>0</v>
      </c>
      <c r="K2766">
        <v>0</v>
      </c>
    </row>
    <row r="2767" spans="2:11" x14ac:dyDescent="0.25">
      <c r="B2767" t="s">
        <v>6</v>
      </c>
      <c r="C2767" t="s">
        <v>311</v>
      </c>
      <c r="D2767">
        <v>703540</v>
      </c>
      <c r="E2767" t="s">
        <v>269</v>
      </c>
      <c r="F2767" t="s">
        <v>21</v>
      </c>
      <c r="G2767" t="s">
        <v>22</v>
      </c>
      <c r="H2767" t="s">
        <v>23</v>
      </c>
      <c r="J2767">
        <v>0</v>
      </c>
      <c r="K2767">
        <v>0</v>
      </c>
    </row>
    <row r="2768" spans="2:11" x14ac:dyDescent="0.25">
      <c r="B2768" t="s">
        <v>6</v>
      </c>
      <c r="C2768" t="s">
        <v>311</v>
      </c>
      <c r="D2768">
        <v>703550</v>
      </c>
      <c r="E2768" t="s">
        <v>270</v>
      </c>
      <c r="F2768" t="s">
        <v>21</v>
      </c>
      <c r="G2768" t="s">
        <v>22</v>
      </c>
      <c r="H2768" t="s">
        <v>23</v>
      </c>
      <c r="J2768">
        <v>0</v>
      </c>
      <c r="K2768">
        <v>0</v>
      </c>
    </row>
    <row r="2769" spans="2:11" x14ac:dyDescent="0.25">
      <c r="B2769" t="s">
        <v>6</v>
      </c>
      <c r="C2769" t="s">
        <v>311</v>
      </c>
      <c r="D2769">
        <v>703560</v>
      </c>
      <c r="E2769" t="s">
        <v>271</v>
      </c>
      <c r="F2769" t="s">
        <v>21</v>
      </c>
      <c r="G2769" t="s">
        <v>22</v>
      </c>
      <c r="H2769" t="s">
        <v>23</v>
      </c>
      <c r="J2769">
        <v>0</v>
      </c>
      <c r="K2769">
        <v>0</v>
      </c>
    </row>
    <row r="2770" spans="2:11" x14ac:dyDescent="0.25">
      <c r="B2770" t="s">
        <v>6</v>
      </c>
      <c r="C2770" t="s">
        <v>311</v>
      </c>
      <c r="D2770">
        <v>703570</v>
      </c>
      <c r="E2770" t="s">
        <v>272</v>
      </c>
      <c r="F2770" t="s">
        <v>21</v>
      </c>
      <c r="G2770" t="s">
        <v>22</v>
      </c>
      <c r="H2770" t="s">
        <v>23</v>
      </c>
      <c r="J2770">
        <v>0</v>
      </c>
      <c r="K2770">
        <v>0</v>
      </c>
    </row>
    <row r="2771" spans="2:11" x14ac:dyDescent="0.25">
      <c r="B2771" t="s">
        <v>6</v>
      </c>
      <c r="C2771" t="s">
        <v>311</v>
      </c>
      <c r="D2771">
        <v>703571</v>
      </c>
      <c r="E2771" t="s">
        <v>273</v>
      </c>
      <c r="F2771" t="s">
        <v>21</v>
      </c>
      <c r="G2771" t="s">
        <v>22</v>
      </c>
      <c r="H2771" t="s">
        <v>23</v>
      </c>
      <c r="J2771">
        <v>0</v>
      </c>
    </row>
    <row r="2772" spans="2:11" x14ac:dyDescent="0.25">
      <c r="B2772" t="s">
        <v>6</v>
      </c>
      <c r="C2772" t="s">
        <v>311</v>
      </c>
      <c r="D2772">
        <v>703572</v>
      </c>
      <c r="E2772" t="s">
        <v>274</v>
      </c>
      <c r="F2772" t="s">
        <v>21</v>
      </c>
      <c r="G2772" t="s">
        <v>22</v>
      </c>
      <c r="H2772" t="s">
        <v>23</v>
      </c>
      <c r="J2772">
        <v>0</v>
      </c>
    </row>
    <row r="2773" spans="2:11" x14ac:dyDescent="0.25">
      <c r="B2773" t="s">
        <v>6</v>
      </c>
      <c r="C2773" t="s">
        <v>311</v>
      </c>
      <c r="D2773">
        <v>703573</v>
      </c>
      <c r="E2773" t="s">
        <v>275</v>
      </c>
      <c r="F2773" t="s">
        <v>21</v>
      </c>
      <c r="G2773" t="s">
        <v>22</v>
      </c>
      <c r="H2773" t="s">
        <v>23</v>
      </c>
      <c r="J2773">
        <v>0</v>
      </c>
    </row>
    <row r="2774" spans="2:11" x14ac:dyDescent="0.25">
      <c r="B2774" t="s">
        <v>6</v>
      </c>
      <c r="C2774" t="s">
        <v>311</v>
      </c>
      <c r="D2774">
        <v>703574</v>
      </c>
      <c r="E2774" t="s">
        <v>276</v>
      </c>
      <c r="F2774" t="s">
        <v>21</v>
      </c>
      <c r="G2774" t="s">
        <v>22</v>
      </c>
      <c r="H2774" t="s">
        <v>23</v>
      </c>
      <c r="J2774">
        <v>0</v>
      </c>
    </row>
    <row r="2775" spans="2:11" x14ac:dyDescent="0.25">
      <c r="B2775" t="s">
        <v>6</v>
      </c>
      <c r="C2775" t="s">
        <v>311</v>
      </c>
      <c r="D2775">
        <v>703580</v>
      </c>
      <c r="E2775" t="s">
        <v>277</v>
      </c>
      <c r="F2775" t="s">
        <v>21</v>
      </c>
      <c r="G2775" t="s">
        <v>22</v>
      </c>
      <c r="H2775" t="s">
        <v>23</v>
      </c>
      <c r="J2775">
        <v>0</v>
      </c>
      <c r="K2775">
        <v>0</v>
      </c>
    </row>
    <row r="2776" spans="2:11" x14ac:dyDescent="0.25">
      <c r="B2776" t="s">
        <v>6</v>
      </c>
      <c r="C2776" t="s">
        <v>311</v>
      </c>
      <c r="D2776">
        <v>703590</v>
      </c>
      <c r="E2776" t="s">
        <v>278</v>
      </c>
      <c r="F2776" t="s">
        <v>21</v>
      </c>
      <c r="G2776" t="s">
        <v>22</v>
      </c>
      <c r="H2776" t="s">
        <v>23</v>
      </c>
      <c r="J2776">
        <v>0</v>
      </c>
      <c r="K2776">
        <v>0</v>
      </c>
    </row>
    <row r="2777" spans="2:11" x14ac:dyDescent="0.25">
      <c r="B2777" t="s">
        <v>6</v>
      </c>
      <c r="C2777" t="s">
        <v>311</v>
      </c>
      <c r="D2777">
        <v>703650</v>
      </c>
      <c r="E2777" t="s">
        <v>279</v>
      </c>
      <c r="F2777" t="s">
        <v>21</v>
      </c>
      <c r="G2777" t="s">
        <v>22</v>
      </c>
      <c r="H2777" t="s">
        <v>23</v>
      </c>
      <c r="J2777">
        <v>0</v>
      </c>
      <c r="K2777">
        <v>0</v>
      </c>
    </row>
    <row r="2778" spans="2:11" x14ac:dyDescent="0.25">
      <c r="B2778" t="s">
        <v>6</v>
      </c>
      <c r="C2778" t="s">
        <v>311</v>
      </c>
      <c r="D2778">
        <v>703651</v>
      </c>
      <c r="E2778" t="s">
        <v>280</v>
      </c>
      <c r="F2778" t="s">
        <v>21</v>
      </c>
      <c r="G2778" t="s">
        <v>22</v>
      </c>
      <c r="H2778" t="s">
        <v>23</v>
      </c>
      <c r="J2778">
        <v>0</v>
      </c>
      <c r="K2778">
        <v>0</v>
      </c>
    </row>
    <row r="2779" spans="2:11" x14ac:dyDescent="0.25">
      <c r="B2779" t="s">
        <v>6</v>
      </c>
      <c r="C2779" t="s">
        <v>311</v>
      </c>
      <c r="D2779">
        <v>703850</v>
      </c>
      <c r="E2779" t="s">
        <v>281</v>
      </c>
      <c r="F2779" t="s">
        <v>21</v>
      </c>
      <c r="G2779" t="s">
        <v>22</v>
      </c>
      <c r="H2779" t="s">
        <v>23</v>
      </c>
      <c r="J2779">
        <v>0</v>
      </c>
      <c r="K2779">
        <v>0</v>
      </c>
    </row>
    <row r="2780" spans="2:11" x14ac:dyDescent="0.25">
      <c r="B2780" t="s">
        <v>6</v>
      </c>
      <c r="C2780" t="s">
        <v>311</v>
      </c>
      <c r="D2780">
        <v>703851</v>
      </c>
      <c r="E2780" t="s">
        <v>282</v>
      </c>
      <c r="F2780" t="s">
        <v>21</v>
      </c>
      <c r="G2780" t="s">
        <v>22</v>
      </c>
      <c r="H2780" t="s">
        <v>23</v>
      </c>
      <c r="J2780">
        <v>0</v>
      </c>
      <c r="K2780">
        <v>0</v>
      </c>
    </row>
    <row r="2781" spans="2:11" x14ac:dyDescent="0.25">
      <c r="B2781" t="s">
        <v>6</v>
      </c>
      <c r="C2781" t="s">
        <v>311</v>
      </c>
      <c r="D2781">
        <v>703852</v>
      </c>
      <c r="E2781" t="s">
        <v>283</v>
      </c>
      <c r="F2781" t="s">
        <v>21</v>
      </c>
      <c r="G2781" t="s">
        <v>22</v>
      </c>
      <c r="H2781" t="s">
        <v>23</v>
      </c>
      <c r="J2781">
        <v>0</v>
      </c>
      <c r="K2781">
        <v>0</v>
      </c>
    </row>
    <row r="2782" spans="2:11" x14ac:dyDescent="0.25">
      <c r="B2782" t="s">
        <v>6</v>
      </c>
      <c r="C2782" t="s">
        <v>311</v>
      </c>
      <c r="D2782">
        <v>703853</v>
      </c>
      <c r="E2782" t="s">
        <v>284</v>
      </c>
      <c r="F2782" t="s">
        <v>21</v>
      </c>
      <c r="G2782" t="s">
        <v>22</v>
      </c>
      <c r="H2782" t="s">
        <v>23</v>
      </c>
      <c r="J2782">
        <v>0</v>
      </c>
      <c r="K2782">
        <v>0</v>
      </c>
    </row>
    <row r="2783" spans="2:11" x14ac:dyDescent="0.25">
      <c r="B2783" t="s">
        <v>6</v>
      </c>
      <c r="C2783" t="s">
        <v>311</v>
      </c>
      <c r="D2783">
        <v>703854</v>
      </c>
      <c r="E2783" t="s">
        <v>285</v>
      </c>
      <c r="F2783" t="s">
        <v>21</v>
      </c>
      <c r="G2783" t="s">
        <v>22</v>
      </c>
      <c r="H2783" t="s">
        <v>115</v>
      </c>
      <c r="J2783">
        <v>0</v>
      </c>
      <c r="K2783">
        <v>0</v>
      </c>
    </row>
    <row r="2784" spans="2:11" x14ac:dyDescent="0.25">
      <c r="B2784" t="s">
        <v>6</v>
      </c>
      <c r="C2784" t="s">
        <v>311</v>
      </c>
      <c r="D2784">
        <v>703855</v>
      </c>
      <c r="E2784" t="s">
        <v>286</v>
      </c>
      <c r="F2784" t="s">
        <v>21</v>
      </c>
      <c r="G2784" t="s">
        <v>22</v>
      </c>
      <c r="H2784" t="s">
        <v>23</v>
      </c>
      <c r="J2784">
        <v>0</v>
      </c>
      <c r="K2784">
        <v>0</v>
      </c>
    </row>
    <row r="2785" spans="2:11" x14ac:dyDescent="0.25">
      <c r="B2785" t="s">
        <v>6</v>
      </c>
      <c r="C2785" t="s">
        <v>311</v>
      </c>
      <c r="D2785">
        <v>703856</v>
      </c>
      <c r="E2785" t="s">
        <v>287</v>
      </c>
      <c r="F2785" t="s">
        <v>21</v>
      </c>
      <c r="G2785" t="s">
        <v>22</v>
      </c>
      <c r="H2785" t="s">
        <v>23</v>
      </c>
      <c r="J2785">
        <v>0</v>
      </c>
      <c r="K2785">
        <v>0</v>
      </c>
    </row>
    <row r="2786" spans="2:11" x14ac:dyDescent="0.25">
      <c r="B2786" t="s">
        <v>6</v>
      </c>
      <c r="C2786" t="s">
        <v>311</v>
      </c>
      <c r="D2786">
        <v>703857</v>
      </c>
      <c r="E2786" t="s">
        <v>288</v>
      </c>
      <c r="F2786" t="s">
        <v>21</v>
      </c>
      <c r="G2786" t="s">
        <v>71</v>
      </c>
      <c r="H2786" t="s">
        <v>88</v>
      </c>
      <c r="J2786">
        <v>0</v>
      </c>
      <c r="K2786">
        <v>0</v>
      </c>
    </row>
    <row r="2787" spans="2:11" x14ac:dyDescent="0.25">
      <c r="B2787" t="s">
        <v>6</v>
      </c>
      <c r="C2787" t="s">
        <v>311</v>
      </c>
      <c r="D2787">
        <v>703858</v>
      </c>
      <c r="E2787" t="s">
        <v>289</v>
      </c>
      <c r="F2787" t="s">
        <v>21</v>
      </c>
      <c r="G2787" t="s">
        <v>22</v>
      </c>
      <c r="H2787" t="s">
        <v>23</v>
      </c>
      <c r="J2787">
        <v>0</v>
      </c>
      <c r="K2787">
        <v>0</v>
      </c>
    </row>
    <row r="2788" spans="2:11" x14ac:dyDescent="0.25">
      <c r="B2788" t="s">
        <v>6</v>
      </c>
      <c r="C2788" t="s">
        <v>311</v>
      </c>
      <c r="D2788">
        <v>703859</v>
      </c>
      <c r="E2788" t="s">
        <v>290</v>
      </c>
      <c r="F2788" t="s">
        <v>21</v>
      </c>
      <c r="G2788" t="s">
        <v>22</v>
      </c>
      <c r="H2788" t="s">
        <v>23</v>
      </c>
      <c r="J2788">
        <v>0</v>
      </c>
      <c r="K2788">
        <v>0</v>
      </c>
    </row>
    <row r="2789" spans="2:11" x14ac:dyDescent="0.25">
      <c r="B2789" t="s">
        <v>6</v>
      </c>
      <c r="C2789" t="s">
        <v>311</v>
      </c>
      <c r="D2789">
        <v>703860</v>
      </c>
      <c r="E2789" t="s">
        <v>291</v>
      </c>
      <c r="F2789" t="s">
        <v>21</v>
      </c>
      <c r="G2789" t="s">
        <v>22</v>
      </c>
      <c r="H2789" t="s">
        <v>23</v>
      </c>
      <c r="J2789">
        <v>0</v>
      </c>
      <c r="K2789">
        <v>0</v>
      </c>
    </row>
    <row r="2790" spans="2:11" x14ac:dyDescent="0.25">
      <c r="B2790" t="s">
        <v>6</v>
      </c>
      <c r="C2790" t="s">
        <v>311</v>
      </c>
      <c r="D2790">
        <v>703861</v>
      </c>
      <c r="E2790" t="s">
        <v>292</v>
      </c>
      <c r="F2790" t="s">
        <v>21</v>
      </c>
      <c r="G2790" t="s">
        <v>22</v>
      </c>
      <c r="H2790" t="s">
        <v>23</v>
      </c>
      <c r="J2790">
        <v>0</v>
      </c>
      <c r="K2790">
        <v>0</v>
      </c>
    </row>
    <row r="2791" spans="2:11" x14ac:dyDescent="0.25">
      <c r="B2791" t="s">
        <v>6</v>
      </c>
      <c r="C2791" t="s">
        <v>311</v>
      </c>
      <c r="D2791">
        <v>703862</v>
      </c>
      <c r="E2791" t="s">
        <v>293</v>
      </c>
      <c r="F2791" t="s">
        <v>21</v>
      </c>
      <c r="G2791" t="s">
        <v>22</v>
      </c>
      <c r="H2791" t="s">
        <v>23</v>
      </c>
      <c r="J2791">
        <v>0</v>
      </c>
      <c r="K2791">
        <v>0</v>
      </c>
    </row>
    <row r="2792" spans="2:11" x14ac:dyDescent="0.25">
      <c r="B2792" t="s">
        <v>6</v>
      </c>
      <c r="C2792" t="s">
        <v>311</v>
      </c>
      <c r="D2792">
        <v>703870</v>
      </c>
      <c r="E2792" t="s">
        <v>294</v>
      </c>
      <c r="F2792" t="s">
        <v>21</v>
      </c>
      <c r="G2792" t="s">
        <v>22</v>
      </c>
      <c r="H2792" t="s">
        <v>23</v>
      </c>
      <c r="J2792">
        <v>0</v>
      </c>
      <c r="K2792">
        <v>0</v>
      </c>
    </row>
    <row r="2793" spans="2:11" x14ac:dyDescent="0.25">
      <c r="B2793" t="s">
        <v>6</v>
      </c>
      <c r="C2793" t="s">
        <v>311</v>
      </c>
      <c r="D2793">
        <v>703880</v>
      </c>
      <c r="E2793" t="s">
        <v>295</v>
      </c>
      <c r="F2793" t="s">
        <v>21</v>
      </c>
      <c r="G2793" t="s">
        <v>22</v>
      </c>
      <c r="H2793" t="s">
        <v>23</v>
      </c>
      <c r="J2793">
        <v>0</v>
      </c>
      <c r="K2793">
        <v>0</v>
      </c>
    </row>
    <row r="2794" spans="2:11" x14ac:dyDescent="0.25">
      <c r="B2794" t="s">
        <v>6</v>
      </c>
      <c r="C2794" t="s">
        <v>311</v>
      </c>
      <c r="D2794">
        <v>703899</v>
      </c>
      <c r="E2794" t="s">
        <v>296</v>
      </c>
      <c r="F2794" t="s">
        <v>21</v>
      </c>
      <c r="G2794" t="s">
        <v>22</v>
      </c>
      <c r="H2794" t="s">
        <v>23</v>
      </c>
      <c r="J2794">
        <v>0</v>
      </c>
      <c r="K2794">
        <v>0</v>
      </c>
    </row>
    <row r="2795" spans="2:11" x14ac:dyDescent="0.25">
      <c r="B2795" t="s">
        <v>6</v>
      </c>
      <c r="C2795" t="s">
        <v>311</v>
      </c>
      <c r="D2795">
        <v>706700</v>
      </c>
      <c r="E2795" t="s">
        <v>25</v>
      </c>
      <c r="F2795" t="s">
        <v>26</v>
      </c>
      <c r="G2795" t="s">
        <v>27</v>
      </c>
      <c r="H2795" t="s">
        <v>28</v>
      </c>
      <c r="J2795">
        <v>0</v>
      </c>
      <c r="K2795">
        <v>0</v>
      </c>
    </row>
    <row r="2796" spans="2:11" x14ac:dyDescent="0.25">
      <c r="B2796" t="s">
        <v>6</v>
      </c>
      <c r="C2796" t="s">
        <v>311</v>
      </c>
      <c r="D2796" t="s">
        <v>29</v>
      </c>
      <c r="E2796" t="s">
        <v>30</v>
      </c>
      <c r="F2796" t="s">
        <v>26</v>
      </c>
      <c r="G2796" t="s">
        <v>27</v>
      </c>
      <c r="H2796" t="s">
        <v>31</v>
      </c>
      <c r="J2796">
        <v>0</v>
      </c>
      <c r="K2796">
        <v>0</v>
      </c>
    </row>
    <row r="2797" spans="2:11" x14ac:dyDescent="0.25">
      <c r="B2797" t="s">
        <v>6</v>
      </c>
      <c r="C2797" t="s">
        <v>311</v>
      </c>
      <c r="D2797" t="s">
        <v>32</v>
      </c>
      <c r="E2797" t="s">
        <v>33</v>
      </c>
      <c r="F2797" t="s">
        <v>26</v>
      </c>
      <c r="G2797" t="s">
        <v>27</v>
      </c>
      <c r="H2797" t="s">
        <v>28</v>
      </c>
      <c r="J2797">
        <v>0</v>
      </c>
      <c r="K2797">
        <v>0</v>
      </c>
    </row>
    <row r="2798" spans="2:11" x14ac:dyDescent="0.25">
      <c r="B2798" t="s">
        <v>6</v>
      </c>
      <c r="C2798" t="s">
        <v>311</v>
      </c>
      <c r="D2798" t="s">
        <v>34</v>
      </c>
      <c r="E2798" t="s">
        <v>35</v>
      </c>
      <c r="F2798" t="s">
        <v>26</v>
      </c>
      <c r="G2798" t="s">
        <v>36</v>
      </c>
      <c r="H2798" t="s">
        <v>36</v>
      </c>
      <c r="J2798">
        <v>0</v>
      </c>
      <c r="K2798">
        <v>0</v>
      </c>
    </row>
    <row r="2799" spans="2:11" x14ac:dyDescent="0.25">
      <c r="B2799" t="s">
        <v>6</v>
      </c>
      <c r="C2799" t="s">
        <v>311</v>
      </c>
      <c r="D2799" t="s">
        <v>37</v>
      </c>
      <c r="E2799" t="s">
        <v>38</v>
      </c>
      <c r="F2799" t="s">
        <v>21</v>
      </c>
      <c r="G2799" t="s">
        <v>39</v>
      </c>
      <c r="H2799" t="s">
        <v>39</v>
      </c>
      <c r="J2799">
        <v>0</v>
      </c>
      <c r="K2799">
        <v>0</v>
      </c>
    </row>
    <row r="2800" spans="2:11" x14ac:dyDescent="0.25">
      <c r="B2800" t="s">
        <v>6</v>
      </c>
      <c r="C2800" t="s">
        <v>311</v>
      </c>
      <c r="D2800" t="s">
        <v>40</v>
      </c>
      <c r="E2800" t="s">
        <v>41</v>
      </c>
      <c r="F2800" t="s">
        <v>26</v>
      </c>
      <c r="G2800" t="s">
        <v>39</v>
      </c>
      <c r="H2800" t="s">
        <v>39</v>
      </c>
      <c r="J2800">
        <v>0</v>
      </c>
      <c r="K2800">
        <v>0</v>
      </c>
    </row>
    <row r="2801" spans="2:11" x14ac:dyDescent="0.25">
      <c r="B2801" t="s">
        <v>6</v>
      </c>
      <c r="C2801" t="s">
        <v>311</v>
      </c>
      <c r="D2801" t="s">
        <v>42</v>
      </c>
      <c r="E2801" t="s">
        <v>43</v>
      </c>
      <c r="F2801" t="s">
        <v>21</v>
      </c>
      <c r="G2801" t="s">
        <v>44</v>
      </c>
      <c r="H2801" t="s">
        <v>44</v>
      </c>
      <c r="J2801">
        <v>0</v>
      </c>
      <c r="K2801">
        <v>0</v>
      </c>
    </row>
    <row r="2802" spans="2:11" x14ac:dyDescent="0.25">
      <c r="B2802" t="s">
        <v>6</v>
      </c>
      <c r="C2802" t="s">
        <v>311</v>
      </c>
      <c r="D2802" t="s">
        <v>45</v>
      </c>
      <c r="E2802" t="s">
        <v>46</v>
      </c>
      <c r="F2802" t="s">
        <v>26</v>
      </c>
      <c r="G2802" t="s">
        <v>44</v>
      </c>
      <c r="H2802" t="s">
        <v>44</v>
      </c>
      <c r="J2802">
        <v>0</v>
      </c>
      <c r="K2802">
        <v>0</v>
      </c>
    </row>
    <row r="2803" spans="2:11" x14ac:dyDescent="0.25">
      <c r="B2803" t="s">
        <v>6</v>
      </c>
      <c r="C2803" t="s">
        <v>311</v>
      </c>
      <c r="D2803" t="s">
        <v>297</v>
      </c>
      <c r="E2803" t="s">
        <v>298</v>
      </c>
      <c r="F2803" t="s">
        <v>26</v>
      </c>
      <c r="G2803" t="s">
        <v>299</v>
      </c>
      <c r="H2803" t="s">
        <v>299</v>
      </c>
      <c r="J2803">
        <v>0</v>
      </c>
    </row>
    <row r="2804" spans="2:11" x14ac:dyDescent="0.25">
      <c r="B2804" t="s">
        <v>6</v>
      </c>
      <c r="C2804" t="s">
        <v>311</v>
      </c>
      <c r="D2804" t="s">
        <v>300</v>
      </c>
      <c r="E2804" t="s">
        <v>301</v>
      </c>
      <c r="F2804" t="s">
        <v>21</v>
      </c>
      <c r="G2804" t="s">
        <v>299</v>
      </c>
      <c r="H2804" t="s">
        <v>299</v>
      </c>
      <c r="J2804">
        <v>0</v>
      </c>
    </row>
    <row r="2805" spans="2:11" x14ac:dyDescent="0.25">
      <c r="B2805" t="s">
        <v>6</v>
      </c>
      <c r="C2805" t="s">
        <v>311</v>
      </c>
      <c r="D2805" t="s">
        <v>47</v>
      </c>
      <c r="E2805" t="s">
        <v>48</v>
      </c>
      <c r="F2805" t="s">
        <v>26</v>
      </c>
      <c r="G2805" t="s">
        <v>49</v>
      </c>
      <c r="H2805" t="s">
        <v>49</v>
      </c>
      <c r="J2805">
        <v>0</v>
      </c>
      <c r="K2805">
        <v>0</v>
      </c>
    </row>
    <row r="2806" spans="2:11" x14ac:dyDescent="0.25">
      <c r="B2806" t="s">
        <v>6</v>
      </c>
      <c r="C2806" t="s">
        <v>312</v>
      </c>
      <c r="D2806">
        <v>701000</v>
      </c>
      <c r="E2806" t="s">
        <v>51</v>
      </c>
      <c r="F2806" t="s">
        <v>21</v>
      </c>
      <c r="G2806" t="s">
        <v>52</v>
      </c>
      <c r="H2806" t="s">
        <v>53</v>
      </c>
      <c r="J2806">
        <v>0</v>
      </c>
      <c r="K2806">
        <v>0</v>
      </c>
    </row>
    <row r="2807" spans="2:11" x14ac:dyDescent="0.25">
      <c r="B2807" t="s">
        <v>6</v>
      </c>
      <c r="C2807" t="s">
        <v>312</v>
      </c>
      <c r="D2807">
        <v>701008</v>
      </c>
      <c r="E2807" t="s">
        <v>54</v>
      </c>
      <c r="F2807" t="s">
        <v>21</v>
      </c>
      <c r="G2807" t="s">
        <v>52</v>
      </c>
      <c r="H2807" t="s">
        <v>53</v>
      </c>
      <c r="J2807">
        <v>0</v>
      </c>
      <c r="K2807">
        <v>0</v>
      </c>
    </row>
    <row r="2808" spans="2:11" x14ac:dyDescent="0.25">
      <c r="B2808" t="s">
        <v>6</v>
      </c>
      <c r="C2808" t="s">
        <v>312</v>
      </c>
      <c r="D2808">
        <v>701009</v>
      </c>
      <c r="E2808" t="s">
        <v>55</v>
      </c>
      <c r="F2808" t="s">
        <v>21</v>
      </c>
      <c r="G2808" t="s">
        <v>52</v>
      </c>
      <c r="H2808" t="s">
        <v>53</v>
      </c>
      <c r="J2808">
        <v>0</v>
      </c>
      <c r="K2808">
        <v>0</v>
      </c>
    </row>
    <row r="2809" spans="2:11" x14ac:dyDescent="0.25">
      <c r="B2809" t="s">
        <v>6</v>
      </c>
      <c r="C2809" t="s">
        <v>312</v>
      </c>
      <c r="D2809">
        <v>701010</v>
      </c>
      <c r="E2809" t="s">
        <v>56</v>
      </c>
      <c r="F2809" t="s">
        <v>21</v>
      </c>
      <c r="G2809" t="s">
        <v>52</v>
      </c>
      <c r="H2809" t="s">
        <v>57</v>
      </c>
      <c r="J2809">
        <v>0</v>
      </c>
      <c r="K2809">
        <v>0</v>
      </c>
    </row>
    <row r="2810" spans="2:11" x14ac:dyDescent="0.25">
      <c r="B2810" t="s">
        <v>6</v>
      </c>
      <c r="C2810" t="s">
        <v>312</v>
      </c>
      <c r="D2810">
        <v>701011</v>
      </c>
      <c r="E2810" t="s">
        <v>58</v>
      </c>
      <c r="F2810" t="s">
        <v>21</v>
      </c>
      <c r="G2810" t="s">
        <v>52</v>
      </c>
      <c r="H2810" t="s">
        <v>53</v>
      </c>
      <c r="J2810">
        <v>0</v>
      </c>
      <c r="K2810">
        <v>0</v>
      </c>
    </row>
    <row r="2811" spans="2:11" x14ac:dyDescent="0.25">
      <c r="B2811" t="s">
        <v>6</v>
      </c>
      <c r="C2811" t="s">
        <v>312</v>
      </c>
      <c r="D2811">
        <v>701012</v>
      </c>
      <c r="E2811" t="s">
        <v>59</v>
      </c>
      <c r="F2811" t="s">
        <v>21</v>
      </c>
      <c r="G2811" t="s">
        <v>52</v>
      </c>
      <c r="H2811" t="s">
        <v>53</v>
      </c>
      <c r="J2811">
        <v>0</v>
      </c>
      <c r="K2811">
        <v>0</v>
      </c>
    </row>
    <row r="2812" spans="2:11" x14ac:dyDescent="0.25">
      <c r="B2812" t="s">
        <v>6</v>
      </c>
      <c r="C2812" t="s">
        <v>312</v>
      </c>
      <c r="D2812">
        <v>701013</v>
      </c>
      <c r="E2812" t="s">
        <v>60</v>
      </c>
      <c r="F2812" t="s">
        <v>21</v>
      </c>
      <c r="G2812" t="s">
        <v>61</v>
      </c>
      <c r="H2812" t="s">
        <v>62</v>
      </c>
      <c r="J2812">
        <v>0</v>
      </c>
      <c r="K2812">
        <v>0</v>
      </c>
    </row>
    <row r="2813" spans="2:11" x14ac:dyDescent="0.25">
      <c r="B2813" t="s">
        <v>6</v>
      </c>
      <c r="C2813" t="s">
        <v>312</v>
      </c>
      <c r="D2813">
        <v>701014</v>
      </c>
      <c r="E2813" t="s">
        <v>63</v>
      </c>
      <c r="F2813" t="s">
        <v>21</v>
      </c>
      <c r="G2813" t="s">
        <v>61</v>
      </c>
      <c r="H2813" t="s">
        <v>64</v>
      </c>
      <c r="J2813">
        <v>0</v>
      </c>
      <c r="K2813">
        <v>0</v>
      </c>
    </row>
    <row r="2814" spans="2:11" x14ac:dyDescent="0.25">
      <c r="B2814" t="s">
        <v>6</v>
      </c>
      <c r="C2814" t="s">
        <v>312</v>
      </c>
      <c r="D2814">
        <v>701015</v>
      </c>
      <c r="E2814" t="s">
        <v>65</v>
      </c>
      <c r="F2814" t="s">
        <v>21</v>
      </c>
      <c r="G2814" t="s">
        <v>52</v>
      </c>
      <c r="H2814" t="s">
        <v>53</v>
      </c>
      <c r="J2814">
        <v>0</v>
      </c>
      <c r="K2814">
        <v>0</v>
      </c>
    </row>
    <row r="2815" spans="2:11" x14ac:dyDescent="0.25">
      <c r="B2815" t="s">
        <v>6</v>
      </c>
      <c r="C2815" t="s">
        <v>312</v>
      </c>
      <c r="D2815">
        <v>701016</v>
      </c>
      <c r="E2815" t="s">
        <v>66</v>
      </c>
      <c r="F2815" t="s">
        <v>21</v>
      </c>
      <c r="G2815" t="s">
        <v>52</v>
      </c>
      <c r="H2815" t="s">
        <v>53</v>
      </c>
      <c r="J2815">
        <v>0</v>
      </c>
      <c r="K2815">
        <v>0</v>
      </c>
    </row>
    <row r="2816" spans="2:11" x14ac:dyDescent="0.25">
      <c r="B2816" t="s">
        <v>6</v>
      </c>
      <c r="C2816" t="s">
        <v>312</v>
      </c>
      <c r="D2816">
        <v>701017</v>
      </c>
      <c r="E2816" t="s">
        <v>67</v>
      </c>
      <c r="F2816" t="s">
        <v>21</v>
      </c>
      <c r="G2816" t="s">
        <v>61</v>
      </c>
      <c r="H2816" t="s">
        <v>68</v>
      </c>
      <c r="J2816">
        <v>0</v>
      </c>
      <c r="K2816">
        <v>0</v>
      </c>
    </row>
    <row r="2817" spans="2:11" x14ac:dyDescent="0.25">
      <c r="B2817" t="s">
        <v>6</v>
      </c>
      <c r="C2817" t="s">
        <v>312</v>
      </c>
      <c r="D2817">
        <v>701018</v>
      </c>
      <c r="E2817" t="s">
        <v>69</v>
      </c>
      <c r="F2817" t="s">
        <v>21</v>
      </c>
      <c r="G2817" t="s">
        <v>61</v>
      </c>
      <c r="H2817" t="s">
        <v>68</v>
      </c>
      <c r="J2817">
        <v>0</v>
      </c>
      <c r="K2817">
        <v>0</v>
      </c>
    </row>
    <row r="2818" spans="2:11" x14ac:dyDescent="0.25">
      <c r="B2818" t="s">
        <v>6</v>
      </c>
      <c r="C2818" t="s">
        <v>312</v>
      </c>
      <c r="D2818">
        <v>701019</v>
      </c>
      <c r="E2818" t="s">
        <v>70</v>
      </c>
      <c r="F2818" t="s">
        <v>21</v>
      </c>
      <c r="G2818" t="s">
        <v>71</v>
      </c>
      <c r="H2818" t="s">
        <v>72</v>
      </c>
      <c r="J2818">
        <v>0</v>
      </c>
      <c r="K2818">
        <v>0</v>
      </c>
    </row>
    <row r="2819" spans="2:11" x14ac:dyDescent="0.25">
      <c r="B2819" t="s">
        <v>6</v>
      </c>
      <c r="C2819" t="s">
        <v>312</v>
      </c>
      <c r="D2819">
        <v>701020</v>
      </c>
      <c r="E2819" t="s">
        <v>73</v>
      </c>
      <c r="F2819" t="s">
        <v>21</v>
      </c>
      <c r="G2819" t="s">
        <v>52</v>
      </c>
      <c r="H2819" t="s">
        <v>53</v>
      </c>
      <c r="J2819">
        <v>0</v>
      </c>
      <c r="K2819">
        <v>0</v>
      </c>
    </row>
    <row r="2820" spans="2:11" x14ac:dyDescent="0.25">
      <c r="B2820" t="s">
        <v>6</v>
      </c>
      <c r="C2820" t="s">
        <v>312</v>
      </c>
      <c r="D2820">
        <v>701021</v>
      </c>
      <c r="E2820" t="s">
        <v>74</v>
      </c>
      <c r="F2820" t="s">
        <v>21</v>
      </c>
      <c r="G2820" t="s">
        <v>61</v>
      </c>
      <c r="H2820" t="s">
        <v>74</v>
      </c>
      <c r="J2820">
        <v>0</v>
      </c>
      <c r="K2820">
        <v>0</v>
      </c>
    </row>
    <row r="2821" spans="2:11" x14ac:dyDescent="0.25">
      <c r="B2821" t="s">
        <v>6</v>
      </c>
      <c r="C2821" t="s">
        <v>312</v>
      </c>
      <c r="D2821">
        <v>701022</v>
      </c>
      <c r="E2821" t="s">
        <v>75</v>
      </c>
      <c r="F2821" t="s">
        <v>21</v>
      </c>
      <c r="G2821" t="s">
        <v>76</v>
      </c>
      <c r="H2821" t="s">
        <v>77</v>
      </c>
      <c r="J2821">
        <v>0</v>
      </c>
      <c r="K2821">
        <v>0</v>
      </c>
    </row>
    <row r="2822" spans="2:11" x14ac:dyDescent="0.25">
      <c r="B2822" t="s">
        <v>6</v>
      </c>
      <c r="C2822" t="s">
        <v>312</v>
      </c>
      <c r="D2822">
        <v>701023</v>
      </c>
      <c r="E2822" t="s">
        <v>78</v>
      </c>
      <c r="F2822" t="s">
        <v>21</v>
      </c>
      <c r="G2822" t="s">
        <v>61</v>
      </c>
      <c r="H2822" t="s">
        <v>79</v>
      </c>
      <c r="J2822">
        <v>0</v>
      </c>
      <c r="K2822">
        <v>0</v>
      </c>
    </row>
    <row r="2823" spans="2:11" x14ac:dyDescent="0.25">
      <c r="B2823" t="s">
        <v>6</v>
      </c>
      <c r="C2823" t="s">
        <v>312</v>
      </c>
      <c r="D2823">
        <v>701024</v>
      </c>
      <c r="E2823" t="s">
        <v>80</v>
      </c>
      <c r="F2823" t="s">
        <v>21</v>
      </c>
      <c r="G2823" t="s">
        <v>76</v>
      </c>
      <c r="H2823" t="s">
        <v>77</v>
      </c>
      <c r="J2823">
        <v>0</v>
      </c>
      <c r="K2823">
        <v>0</v>
      </c>
    </row>
    <row r="2824" spans="2:11" x14ac:dyDescent="0.25">
      <c r="B2824" t="s">
        <v>6</v>
      </c>
      <c r="C2824" t="s">
        <v>312</v>
      </c>
      <c r="D2824">
        <v>701025</v>
      </c>
      <c r="E2824" t="s">
        <v>81</v>
      </c>
      <c r="F2824" t="s">
        <v>21</v>
      </c>
      <c r="G2824" t="s">
        <v>71</v>
      </c>
      <c r="H2824" t="s">
        <v>82</v>
      </c>
      <c r="J2824">
        <v>0</v>
      </c>
      <c r="K2824">
        <v>0</v>
      </c>
    </row>
    <row r="2825" spans="2:11" x14ac:dyDescent="0.25">
      <c r="B2825" t="s">
        <v>6</v>
      </c>
      <c r="C2825" t="s">
        <v>312</v>
      </c>
      <c r="D2825">
        <v>701026</v>
      </c>
      <c r="E2825" t="s">
        <v>83</v>
      </c>
      <c r="F2825" t="s">
        <v>21</v>
      </c>
      <c r="G2825" t="s">
        <v>76</v>
      </c>
      <c r="H2825" t="s">
        <v>77</v>
      </c>
      <c r="J2825">
        <v>0</v>
      </c>
      <c r="K2825">
        <v>0</v>
      </c>
    </row>
    <row r="2826" spans="2:11" x14ac:dyDescent="0.25">
      <c r="B2826" t="s">
        <v>6</v>
      </c>
      <c r="C2826" t="s">
        <v>312</v>
      </c>
      <c r="D2826">
        <v>701027</v>
      </c>
      <c r="E2826" t="s">
        <v>84</v>
      </c>
      <c r="F2826" t="s">
        <v>21</v>
      </c>
      <c r="G2826" t="s">
        <v>76</v>
      </c>
      <c r="H2826" t="s">
        <v>77</v>
      </c>
      <c r="J2826">
        <v>0</v>
      </c>
      <c r="K2826">
        <v>0</v>
      </c>
    </row>
    <row r="2827" spans="2:11" x14ac:dyDescent="0.25">
      <c r="B2827" t="s">
        <v>6</v>
      </c>
      <c r="C2827" t="s">
        <v>312</v>
      </c>
      <c r="D2827">
        <v>701028</v>
      </c>
      <c r="E2827" t="s">
        <v>85</v>
      </c>
      <c r="F2827" t="s">
        <v>21</v>
      </c>
      <c r="G2827" t="s">
        <v>61</v>
      </c>
      <c r="H2827" t="s">
        <v>68</v>
      </c>
      <c r="J2827">
        <v>0</v>
      </c>
      <c r="K2827">
        <v>0</v>
      </c>
    </row>
    <row r="2828" spans="2:11" x14ac:dyDescent="0.25">
      <c r="B2828" t="s">
        <v>6</v>
      </c>
      <c r="C2828" t="s">
        <v>312</v>
      </c>
      <c r="D2828">
        <v>701029</v>
      </c>
      <c r="E2828" t="s">
        <v>86</v>
      </c>
      <c r="F2828" t="s">
        <v>21</v>
      </c>
      <c r="G2828" t="s">
        <v>61</v>
      </c>
      <c r="H2828" t="s">
        <v>68</v>
      </c>
      <c r="J2828">
        <v>0</v>
      </c>
      <c r="K2828">
        <v>0</v>
      </c>
    </row>
    <row r="2829" spans="2:11" x14ac:dyDescent="0.25">
      <c r="B2829" t="s">
        <v>6</v>
      </c>
      <c r="C2829" t="s">
        <v>312</v>
      </c>
      <c r="D2829">
        <v>701030</v>
      </c>
      <c r="E2829" t="s">
        <v>87</v>
      </c>
      <c r="F2829" t="s">
        <v>21</v>
      </c>
      <c r="G2829" t="s">
        <v>71</v>
      </c>
      <c r="H2829" t="s">
        <v>88</v>
      </c>
      <c r="J2829">
        <v>0</v>
      </c>
      <c r="K2829">
        <v>0</v>
      </c>
    </row>
    <row r="2830" spans="2:11" x14ac:dyDescent="0.25">
      <c r="B2830" t="s">
        <v>6</v>
      </c>
      <c r="C2830" t="s">
        <v>312</v>
      </c>
      <c r="D2830">
        <v>701031</v>
      </c>
      <c r="E2830" t="s">
        <v>89</v>
      </c>
      <c r="F2830" t="s">
        <v>21</v>
      </c>
      <c r="G2830" t="s">
        <v>76</v>
      </c>
      <c r="H2830" t="s">
        <v>77</v>
      </c>
      <c r="J2830">
        <v>0</v>
      </c>
      <c r="K2830">
        <v>0</v>
      </c>
    </row>
    <row r="2831" spans="2:11" x14ac:dyDescent="0.25">
      <c r="B2831" t="s">
        <v>6</v>
      </c>
      <c r="C2831" t="s">
        <v>312</v>
      </c>
      <c r="D2831">
        <v>701032</v>
      </c>
      <c r="E2831" t="s">
        <v>90</v>
      </c>
      <c r="F2831" t="s">
        <v>21</v>
      </c>
      <c r="G2831" t="s">
        <v>52</v>
      </c>
      <c r="H2831" t="s">
        <v>53</v>
      </c>
      <c r="J2831">
        <v>0</v>
      </c>
      <c r="K2831">
        <v>0</v>
      </c>
    </row>
    <row r="2832" spans="2:11" x14ac:dyDescent="0.25">
      <c r="B2832" t="s">
        <v>6</v>
      </c>
      <c r="C2832" t="s">
        <v>312</v>
      </c>
      <c r="D2832">
        <v>701034</v>
      </c>
      <c r="E2832" t="s">
        <v>91</v>
      </c>
      <c r="F2832" t="s">
        <v>21</v>
      </c>
      <c r="G2832" t="s">
        <v>76</v>
      </c>
      <c r="H2832" t="s">
        <v>77</v>
      </c>
      <c r="J2832">
        <v>0</v>
      </c>
      <c r="K2832">
        <v>0</v>
      </c>
    </row>
    <row r="2833" spans="2:11" x14ac:dyDescent="0.25">
      <c r="B2833" t="s">
        <v>6</v>
      </c>
      <c r="C2833" t="s">
        <v>312</v>
      </c>
      <c r="D2833">
        <v>701035</v>
      </c>
      <c r="E2833" t="s">
        <v>92</v>
      </c>
      <c r="F2833" t="s">
        <v>21</v>
      </c>
      <c r="G2833" t="s">
        <v>61</v>
      </c>
      <c r="H2833" t="s">
        <v>68</v>
      </c>
      <c r="J2833">
        <v>0</v>
      </c>
      <c r="K2833">
        <v>0</v>
      </c>
    </row>
    <row r="2834" spans="2:11" x14ac:dyDescent="0.25">
      <c r="B2834" t="s">
        <v>6</v>
      </c>
      <c r="C2834" t="s">
        <v>312</v>
      </c>
      <c r="D2834">
        <v>701036</v>
      </c>
      <c r="E2834" t="s">
        <v>93</v>
      </c>
      <c r="F2834" t="s">
        <v>21</v>
      </c>
      <c r="G2834" t="s">
        <v>52</v>
      </c>
      <c r="H2834" t="s">
        <v>53</v>
      </c>
      <c r="J2834">
        <v>0</v>
      </c>
      <c r="K2834">
        <v>0</v>
      </c>
    </row>
    <row r="2835" spans="2:11" x14ac:dyDescent="0.25">
      <c r="B2835" t="s">
        <v>6</v>
      </c>
      <c r="C2835" t="s">
        <v>312</v>
      </c>
      <c r="D2835">
        <v>701113</v>
      </c>
      <c r="E2835" t="s">
        <v>94</v>
      </c>
      <c r="F2835" t="s">
        <v>21</v>
      </c>
      <c r="G2835" t="s">
        <v>61</v>
      </c>
      <c r="H2835" t="s">
        <v>62</v>
      </c>
      <c r="J2835">
        <v>0</v>
      </c>
      <c r="K2835">
        <v>0</v>
      </c>
    </row>
    <row r="2836" spans="2:11" x14ac:dyDescent="0.25">
      <c r="B2836" t="s">
        <v>6</v>
      </c>
      <c r="C2836" t="s">
        <v>312</v>
      </c>
      <c r="D2836">
        <v>701119</v>
      </c>
      <c r="E2836" t="s">
        <v>95</v>
      </c>
      <c r="F2836" t="s">
        <v>21</v>
      </c>
      <c r="G2836" t="s">
        <v>22</v>
      </c>
      <c r="H2836" t="s">
        <v>23</v>
      </c>
      <c r="J2836">
        <v>0</v>
      </c>
      <c r="K2836">
        <v>0</v>
      </c>
    </row>
    <row r="2837" spans="2:11" x14ac:dyDescent="0.25">
      <c r="B2837" t="s">
        <v>6</v>
      </c>
      <c r="C2837" t="s">
        <v>312</v>
      </c>
      <c r="D2837">
        <v>701120</v>
      </c>
      <c r="E2837" t="s">
        <v>96</v>
      </c>
      <c r="F2837" t="s">
        <v>21</v>
      </c>
      <c r="G2837" t="s">
        <v>22</v>
      </c>
      <c r="H2837" t="s">
        <v>23</v>
      </c>
      <c r="J2837">
        <v>0</v>
      </c>
      <c r="K2837">
        <v>0</v>
      </c>
    </row>
    <row r="2838" spans="2:11" x14ac:dyDescent="0.25">
      <c r="B2838" t="s">
        <v>6</v>
      </c>
      <c r="C2838" t="s">
        <v>312</v>
      </c>
      <c r="D2838">
        <v>701121</v>
      </c>
      <c r="E2838" t="s">
        <v>97</v>
      </c>
      <c r="F2838" t="s">
        <v>21</v>
      </c>
      <c r="G2838" t="s">
        <v>22</v>
      </c>
      <c r="H2838" t="s">
        <v>23</v>
      </c>
      <c r="J2838">
        <v>0</v>
      </c>
      <c r="K2838">
        <v>0</v>
      </c>
    </row>
    <row r="2839" spans="2:11" x14ac:dyDescent="0.25">
      <c r="B2839" t="s">
        <v>6</v>
      </c>
      <c r="C2839" t="s">
        <v>312</v>
      </c>
      <c r="D2839">
        <v>701122</v>
      </c>
      <c r="E2839" t="s">
        <v>98</v>
      </c>
      <c r="F2839" t="s">
        <v>21</v>
      </c>
      <c r="G2839" t="s">
        <v>71</v>
      </c>
      <c r="H2839" t="s">
        <v>88</v>
      </c>
      <c r="J2839">
        <v>0</v>
      </c>
      <c r="K2839">
        <v>0</v>
      </c>
    </row>
    <row r="2840" spans="2:11" x14ac:dyDescent="0.25">
      <c r="B2840" t="s">
        <v>6</v>
      </c>
      <c r="C2840" t="s">
        <v>312</v>
      </c>
      <c r="D2840">
        <v>701123</v>
      </c>
      <c r="E2840" t="s">
        <v>99</v>
      </c>
      <c r="F2840" t="s">
        <v>21</v>
      </c>
      <c r="G2840" t="s">
        <v>22</v>
      </c>
      <c r="H2840" t="s">
        <v>23</v>
      </c>
      <c r="J2840">
        <v>0</v>
      </c>
      <c r="K2840">
        <v>0</v>
      </c>
    </row>
    <row r="2841" spans="2:11" x14ac:dyDescent="0.25">
      <c r="B2841" t="s">
        <v>6</v>
      </c>
      <c r="C2841" t="s">
        <v>312</v>
      </c>
      <c r="D2841">
        <v>701127</v>
      </c>
      <c r="E2841" t="s">
        <v>100</v>
      </c>
      <c r="F2841" t="s">
        <v>21</v>
      </c>
      <c r="G2841" t="s">
        <v>76</v>
      </c>
      <c r="H2841" t="s">
        <v>77</v>
      </c>
      <c r="J2841">
        <v>0</v>
      </c>
      <c r="K2841">
        <v>0</v>
      </c>
    </row>
    <row r="2842" spans="2:11" x14ac:dyDescent="0.25">
      <c r="B2842" t="s">
        <v>6</v>
      </c>
      <c r="C2842" t="s">
        <v>312</v>
      </c>
      <c r="D2842">
        <v>701213</v>
      </c>
      <c r="E2842" t="s">
        <v>101</v>
      </c>
      <c r="F2842" t="s">
        <v>21</v>
      </c>
      <c r="G2842" t="s">
        <v>61</v>
      </c>
      <c r="H2842" t="s">
        <v>62</v>
      </c>
      <c r="J2842">
        <v>0</v>
      </c>
      <c r="K2842">
        <v>0</v>
      </c>
    </row>
    <row r="2843" spans="2:11" x14ac:dyDescent="0.25">
      <c r="B2843" t="s">
        <v>6</v>
      </c>
      <c r="C2843" t="s">
        <v>312</v>
      </c>
      <c r="D2843">
        <v>701214</v>
      </c>
      <c r="E2843" t="s">
        <v>102</v>
      </c>
      <c r="F2843" t="s">
        <v>21</v>
      </c>
      <c r="G2843" t="s">
        <v>61</v>
      </c>
      <c r="H2843" t="s">
        <v>62</v>
      </c>
      <c r="J2843">
        <v>0</v>
      </c>
      <c r="K2843">
        <v>0</v>
      </c>
    </row>
    <row r="2844" spans="2:11" x14ac:dyDescent="0.25">
      <c r="B2844" t="s">
        <v>6</v>
      </c>
      <c r="C2844" t="s">
        <v>312</v>
      </c>
      <c r="D2844">
        <v>701215</v>
      </c>
      <c r="E2844" t="s">
        <v>103</v>
      </c>
      <c r="F2844" t="s">
        <v>21</v>
      </c>
      <c r="G2844" t="s">
        <v>61</v>
      </c>
      <c r="H2844" t="s">
        <v>62</v>
      </c>
      <c r="J2844">
        <v>0</v>
      </c>
      <c r="K2844">
        <v>0</v>
      </c>
    </row>
    <row r="2845" spans="2:11" x14ac:dyDescent="0.25">
      <c r="B2845" t="s">
        <v>6</v>
      </c>
      <c r="C2845" t="s">
        <v>312</v>
      </c>
      <c r="D2845">
        <v>701227</v>
      </c>
      <c r="E2845" t="s">
        <v>104</v>
      </c>
      <c r="F2845" t="s">
        <v>21</v>
      </c>
      <c r="G2845" t="s">
        <v>76</v>
      </c>
      <c r="H2845" t="s">
        <v>77</v>
      </c>
      <c r="J2845">
        <v>0</v>
      </c>
      <c r="K2845">
        <v>0</v>
      </c>
    </row>
    <row r="2846" spans="2:11" x14ac:dyDescent="0.25">
      <c r="B2846" t="s">
        <v>6</v>
      </c>
      <c r="C2846" t="s">
        <v>312</v>
      </c>
      <c r="D2846">
        <v>701327</v>
      </c>
      <c r="E2846" t="s">
        <v>106</v>
      </c>
      <c r="F2846" t="s">
        <v>21</v>
      </c>
      <c r="G2846" t="s">
        <v>76</v>
      </c>
      <c r="H2846" t="s">
        <v>77</v>
      </c>
      <c r="J2846">
        <v>0</v>
      </c>
      <c r="K2846">
        <v>0</v>
      </c>
    </row>
    <row r="2847" spans="2:11" x14ac:dyDescent="0.25">
      <c r="B2847" t="s">
        <v>6</v>
      </c>
      <c r="C2847" t="s">
        <v>312</v>
      </c>
      <c r="D2847">
        <v>701427</v>
      </c>
      <c r="E2847" t="s">
        <v>107</v>
      </c>
      <c r="F2847" t="s">
        <v>21</v>
      </c>
      <c r="G2847" t="s">
        <v>76</v>
      </c>
      <c r="H2847" t="s">
        <v>108</v>
      </c>
      <c r="J2847">
        <v>0</v>
      </c>
      <c r="K2847">
        <v>0</v>
      </c>
    </row>
    <row r="2848" spans="2:11" x14ac:dyDescent="0.25">
      <c r="B2848" t="s">
        <v>6</v>
      </c>
      <c r="C2848" t="s">
        <v>312</v>
      </c>
      <c r="D2848">
        <v>701527</v>
      </c>
      <c r="E2848" t="s">
        <v>109</v>
      </c>
      <c r="F2848" t="s">
        <v>21</v>
      </c>
      <c r="G2848" t="s">
        <v>76</v>
      </c>
      <c r="H2848" t="s">
        <v>77</v>
      </c>
      <c r="J2848">
        <v>0</v>
      </c>
      <c r="K2848">
        <v>0</v>
      </c>
    </row>
    <row r="2849" spans="2:11" x14ac:dyDescent="0.25">
      <c r="B2849" t="s">
        <v>6</v>
      </c>
      <c r="C2849" t="s">
        <v>312</v>
      </c>
      <c r="D2849">
        <v>701627</v>
      </c>
      <c r="E2849" t="s">
        <v>110</v>
      </c>
      <c r="F2849" t="s">
        <v>21</v>
      </c>
      <c r="G2849" t="s">
        <v>76</v>
      </c>
      <c r="H2849" t="s">
        <v>77</v>
      </c>
      <c r="J2849">
        <v>0</v>
      </c>
      <c r="K2849">
        <v>0</v>
      </c>
    </row>
    <row r="2850" spans="2:11" x14ac:dyDescent="0.25">
      <c r="B2850" t="s">
        <v>6</v>
      </c>
      <c r="C2850" t="s">
        <v>312</v>
      </c>
      <c r="D2850">
        <v>701727</v>
      </c>
      <c r="E2850" t="s">
        <v>111</v>
      </c>
      <c r="F2850" t="s">
        <v>21</v>
      </c>
      <c r="G2850" t="s">
        <v>76</v>
      </c>
      <c r="H2850" t="s">
        <v>77</v>
      </c>
      <c r="J2850">
        <v>0</v>
      </c>
      <c r="K2850">
        <v>0</v>
      </c>
    </row>
    <row r="2851" spans="2:11" x14ac:dyDescent="0.25">
      <c r="B2851" t="s">
        <v>6</v>
      </c>
      <c r="C2851" t="s">
        <v>312</v>
      </c>
      <c r="D2851">
        <v>701801</v>
      </c>
      <c r="E2851" t="s">
        <v>112</v>
      </c>
      <c r="F2851" t="s">
        <v>21</v>
      </c>
      <c r="G2851" t="s">
        <v>76</v>
      </c>
      <c r="H2851" t="s">
        <v>77</v>
      </c>
      <c r="J2851">
        <v>0</v>
      </c>
      <c r="K2851">
        <v>0</v>
      </c>
    </row>
    <row r="2852" spans="2:11" x14ac:dyDescent="0.25">
      <c r="B2852" t="s">
        <v>6</v>
      </c>
      <c r="C2852" t="s">
        <v>312</v>
      </c>
      <c r="D2852">
        <v>701802</v>
      </c>
      <c r="E2852" t="s">
        <v>113</v>
      </c>
      <c r="F2852" t="s">
        <v>21</v>
      </c>
      <c r="G2852" t="s">
        <v>61</v>
      </c>
      <c r="H2852" t="s">
        <v>62</v>
      </c>
      <c r="J2852">
        <v>0</v>
      </c>
      <c r="K2852">
        <v>0</v>
      </c>
    </row>
    <row r="2853" spans="2:11" x14ac:dyDescent="0.25">
      <c r="B2853" t="s">
        <v>6</v>
      </c>
      <c r="C2853" t="s">
        <v>312</v>
      </c>
      <c r="D2853">
        <v>703010</v>
      </c>
      <c r="E2853" t="s">
        <v>114</v>
      </c>
      <c r="F2853" t="s">
        <v>21</v>
      </c>
      <c r="G2853" t="s">
        <v>22</v>
      </c>
      <c r="H2853" t="s">
        <v>115</v>
      </c>
      <c r="J2853">
        <v>0</v>
      </c>
      <c r="K2853">
        <v>0</v>
      </c>
    </row>
    <row r="2854" spans="2:11" x14ac:dyDescent="0.25">
      <c r="B2854" t="s">
        <v>6</v>
      </c>
      <c r="C2854" t="s">
        <v>312</v>
      </c>
      <c r="D2854">
        <v>703011</v>
      </c>
      <c r="E2854" t="s">
        <v>116</v>
      </c>
      <c r="F2854" t="s">
        <v>21</v>
      </c>
      <c r="G2854" t="s">
        <v>22</v>
      </c>
      <c r="H2854" t="s">
        <v>115</v>
      </c>
      <c r="J2854">
        <v>0</v>
      </c>
      <c r="K2854">
        <v>0</v>
      </c>
    </row>
    <row r="2855" spans="2:11" x14ac:dyDescent="0.25">
      <c r="B2855" t="s">
        <v>6</v>
      </c>
      <c r="C2855" t="s">
        <v>312</v>
      </c>
      <c r="D2855">
        <v>703012</v>
      </c>
      <c r="E2855" t="s">
        <v>117</v>
      </c>
      <c r="F2855" t="s">
        <v>21</v>
      </c>
      <c r="G2855" t="s">
        <v>22</v>
      </c>
      <c r="H2855" t="s">
        <v>115</v>
      </c>
      <c r="J2855">
        <v>0</v>
      </c>
      <c r="K2855">
        <v>0</v>
      </c>
    </row>
    <row r="2856" spans="2:11" x14ac:dyDescent="0.25">
      <c r="B2856" t="s">
        <v>6</v>
      </c>
      <c r="C2856" t="s">
        <v>312</v>
      </c>
      <c r="D2856">
        <v>703013</v>
      </c>
      <c r="E2856" t="s">
        <v>118</v>
      </c>
      <c r="F2856" t="s">
        <v>21</v>
      </c>
      <c r="G2856" t="s">
        <v>22</v>
      </c>
      <c r="H2856" t="s">
        <v>115</v>
      </c>
      <c r="J2856">
        <v>0</v>
      </c>
      <c r="K2856">
        <v>0</v>
      </c>
    </row>
    <row r="2857" spans="2:11" x14ac:dyDescent="0.25">
      <c r="B2857" t="s">
        <v>6</v>
      </c>
      <c r="C2857" t="s">
        <v>312</v>
      </c>
      <c r="D2857">
        <v>703014</v>
      </c>
      <c r="E2857" t="s">
        <v>119</v>
      </c>
      <c r="F2857" t="s">
        <v>21</v>
      </c>
      <c r="G2857" t="s">
        <v>22</v>
      </c>
      <c r="H2857" t="s">
        <v>115</v>
      </c>
      <c r="J2857">
        <v>0</v>
      </c>
      <c r="K2857">
        <v>0</v>
      </c>
    </row>
    <row r="2858" spans="2:11" x14ac:dyDescent="0.25">
      <c r="B2858" t="s">
        <v>6</v>
      </c>
      <c r="C2858" t="s">
        <v>312</v>
      </c>
      <c r="D2858">
        <v>703015</v>
      </c>
      <c r="E2858" t="s">
        <v>120</v>
      </c>
      <c r="F2858" t="s">
        <v>21</v>
      </c>
      <c r="G2858" t="s">
        <v>22</v>
      </c>
      <c r="H2858" t="s">
        <v>115</v>
      </c>
      <c r="J2858">
        <v>0</v>
      </c>
      <c r="K2858">
        <v>0</v>
      </c>
    </row>
    <row r="2859" spans="2:11" x14ac:dyDescent="0.25">
      <c r="B2859" t="s">
        <v>6</v>
      </c>
      <c r="C2859" t="s">
        <v>312</v>
      </c>
      <c r="D2859">
        <v>703016</v>
      </c>
      <c r="E2859" t="s">
        <v>121</v>
      </c>
      <c r="F2859" t="s">
        <v>21</v>
      </c>
      <c r="G2859" t="s">
        <v>22</v>
      </c>
      <c r="H2859" t="s">
        <v>115</v>
      </c>
      <c r="J2859">
        <v>0</v>
      </c>
      <c r="K2859">
        <v>0</v>
      </c>
    </row>
    <row r="2860" spans="2:11" x14ac:dyDescent="0.25">
      <c r="B2860" t="s">
        <v>6</v>
      </c>
      <c r="C2860" t="s">
        <v>312</v>
      </c>
      <c r="D2860">
        <v>703017</v>
      </c>
      <c r="E2860" t="s">
        <v>122</v>
      </c>
      <c r="F2860" t="s">
        <v>21</v>
      </c>
      <c r="G2860" t="s">
        <v>22</v>
      </c>
      <c r="H2860" t="s">
        <v>115</v>
      </c>
      <c r="J2860">
        <v>0</v>
      </c>
      <c r="K2860">
        <v>0</v>
      </c>
    </row>
    <row r="2861" spans="2:11" x14ac:dyDescent="0.25">
      <c r="B2861" t="s">
        <v>6</v>
      </c>
      <c r="C2861" t="s">
        <v>312</v>
      </c>
      <c r="D2861">
        <v>703018</v>
      </c>
      <c r="E2861" t="s">
        <v>123</v>
      </c>
      <c r="F2861" t="s">
        <v>21</v>
      </c>
      <c r="G2861" t="s">
        <v>22</v>
      </c>
      <c r="H2861" t="s">
        <v>115</v>
      </c>
      <c r="J2861">
        <v>0</v>
      </c>
      <c r="K2861">
        <v>0</v>
      </c>
    </row>
    <row r="2862" spans="2:11" x14ac:dyDescent="0.25">
      <c r="B2862" t="s">
        <v>6</v>
      </c>
      <c r="C2862" t="s">
        <v>312</v>
      </c>
      <c r="D2862">
        <v>703019</v>
      </c>
      <c r="E2862" t="s">
        <v>124</v>
      </c>
      <c r="F2862" t="s">
        <v>21</v>
      </c>
      <c r="G2862" t="s">
        <v>22</v>
      </c>
      <c r="H2862" t="s">
        <v>115</v>
      </c>
      <c r="J2862">
        <v>0</v>
      </c>
      <c r="K2862">
        <v>0</v>
      </c>
    </row>
    <row r="2863" spans="2:11" x14ac:dyDescent="0.25">
      <c r="B2863" t="s">
        <v>6</v>
      </c>
      <c r="C2863" t="s">
        <v>312</v>
      </c>
      <c r="D2863">
        <v>703210</v>
      </c>
      <c r="E2863" t="s">
        <v>125</v>
      </c>
      <c r="F2863" t="s">
        <v>21</v>
      </c>
      <c r="G2863" t="s">
        <v>22</v>
      </c>
      <c r="H2863" t="s">
        <v>23</v>
      </c>
      <c r="J2863">
        <v>0</v>
      </c>
      <c r="K2863">
        <v>0</v>
      </c>
    </row>
    <row r="2864" spans="2:11" x14ac:dyDescent="0.25">
      <c r="B2864" t="s">
        <v>6</v>
      </c>
      <c r="C2864" t="s">
        <v>312</v>
      </c>
      <c r="D2864">
        <v>703211</v>
      </c>
      <c r="E2864" t="s">
        <v>126</v>
      </c>
      <c r="F2864" t="s">
        <v>21</v>
      </c>
      <c r="G2864" t="s">
        <v>22</v>
      </c>
      <c r="H2864" t="s">
        <v>23</v>
      </c>
      <c r="J2864">
        <v>0</v>
      </c>
      <c r="K2864">
        <v>0</v>
      </c>
    </row>
    <row r="2865" spans="2:11" x14ac:dyDescent="0.25">
      <c r="B2865" t="s">
        <v>6</v>
      </c>
      <c r="C2865" t="s">
        <v>312</v>
      </c>
      <c r="D2865">
        <v>703212</v>
      </c>
      <c r="E2865" t="s">
        <v>127</v>
      </c>
      <c r="F2865" t="s">
        <v>21</v>
      </c>
      <c r="G2865" t="s">
        <v>22</v>
      </c>
      <c r="H2865" t="s">
        <v>23</v>
      </c>
      <c r="J2865">
        <v>0</v>
      </c>
      <c r="K2865">
        <v>0</v>
      </c>
    </row>
    <row r="2866" spans="2:11" x14ac:dyDescent="0.25">
      <c r="B2866" t="s">
        <v>6</v>
      </c>
      <c r="C2866" t="s">
        <v>312</v>
      </c>
      <c r="D2866">
        <v>703213</v>
      </c>
      <c r="E2866" t="s">
        <v>128</v>
      </c>
      <c r="F2866" t="s">
        <v>21</v>
      </c>
      <c r="G2866" t="s">
        <v>22</v>
      </c>
      <c r="H2866" t="s">
        <v>23</v>
      </c>
      <c r="J2866">
        <v>0</v>
      </c>
      <c r="K2866">
        <v>0</v>
      </c>
    </row>
    <row r="2867" spans="2:11" x14ac:dyDescent="0.25">
      <c r="B2867" t="s">
        <v>6</v>
      </c>
      <c r="C2867" t="s">
        <v>312</v>
      </c>
      <c r="D2867">
        <v>703214</v>
      </c>
      <c r="E2867" t="s">
        <v>129</v>
      </c>
      <c r="F2867" t="s">
        <v>21</v>
      </c>
      <c r="G2867" t="s">
        <v>22</v>
      </c>
      <c r="H2867" t="s">
        <v>23</v>
      </c>
      <c r="J2867">
        <v>0</v>
      </c>
      <c r="K2867">
        <v>0</v>
      </c>
    </row>
    <row r="2868" spans="2:11" x14ac:dyDescent="0.25">
      <c r="B2868" t="s">
        <v>6</v>
      </c>
      <c r="C2868" t="s">
        <v>312</v>
      </c>
      <c r="D2868">
        <v>703215</v>
      </c>
      <c r="E2868" t="s">
        <v>130</v>
      </c>
      <c r="F2868" t="s">
        <v>21</v>
      </c>
      <c r="G2868" t="s">
        <v>22</v>
      </c>
      <c r="H2868" t="s">
        <v>23</v>
      </c>
      <c r="J2868">
        <v>0</v>
      </c>
      <c r="K2868">
        <v>0</v>
      </c>
    </row>
    <row r="2869" spans="2:11" x14ac:dyDescent="0.25">
      <c r="B2869" t="s">
        <v>6</v>
      </c>
      <c r="C2869" t="s">
        <v>312</v>
      </c>
      <c r="D2869">
        <v>703216</v>
      </c>
      <c r="E2869" t="s">
        <v>131</v>
      </c>
      <c r="F2869" t="s">
        <v>21</v>
      </c>
      <c r="G2869" t="s">
        <v>22</v>
      </c>
      <c r="H2869" t="s">
        <v>23</v>
      </c>
      <c r="J2869">
        <v>0</v>
      </c>
      <c r="K2869">
        <v>0</v>
      </c>
    </row>
    <row r="2870" spans="2:11" x14ac:dyDescent="0.25">
      <c r="B2870" t="s">
        <v>6</v>
      </c>
      <c r="C2870" t="s">
        <v>312</v>
      </c>
      <c r="D2870">
        <v>703217</v>
      </c>
      <c r="E2870" t="s">
        <v>132</v>
      </c>
      <c r="F2870" t="s">
        <v>21</v>
      </c>
      <c r="G2870" t="s">
        <v>22</v>
      </c>
      <c r="H2870" t="s">
        <v>23</v>
      </c>
      <c r="J2870">
        <v>0</v>
      </c>
      <c r="K2870">
        <v>0</v>
      </c>
    </row>
    <row r="2871" spans="2:11" x14ac:dyDescent="0.25">
      <c r="B2871" t="s">
        <v>6</v>
      </c>
      <c r="C2871" t="s">
        <v>312</v>
      </c>
      <c r="D2871">
        <v>703219</v>
      </c>
      <c r="E2871" t="s">
        <v>133</v>
      </c>
      <c r="F2871" t="s">
        <v>21</v>
      </c>
      <c r="G2871" t="s">
        <v>22</v>
      </c>
      <c r="H2871" t="s">
        <v>23</v>
      </c>
      <c r="J2871">
        <v>0</v>
      </c>
      <c r="K2871">
        <v>0</v>
      </c>
    </row>
    <row r="2872" spans="2:11" x14ac:dyDescent="0.25">
      <c r="B2872" t="s">
        <v>6</v>
      </c>
      <c r="C2872" t="s">
        <v>312</v>
      </c>
      <c r="D2872">
        <v>703220</v>
      </c>
      <c r="E2872" t="s">
        <v>134</v>
      </c>
      <c r="F2872" t="s">
        <v>21</v>
      </c>
      <c r="G2872" t="s">
        <v>71</v>
      </c>
      <c r="H2872" t="s">
        <v>135</v>
      </c>
      <c r="J2872">
        <v>0</v>
      </c>
      <c r="K2872">
        <v>0</v>
      </c>
    </row>
    <row r="2873" spans="2:11" x14ac:dyDescent="0.25">
      <c r="B2873" t="s">
        <v>6</v>
      </c>
      <c r="C2873" t="s">
        <v>312</v>
      </c>
      <c r="D2873">
        <v>703221</v>
      </c>
      <c r="E2873" t="s">
        <v>136</v>
      </c>
      <c r="F2873" t="s">
        <v>21</v>
      </c>
      <c r="G2873" t="s">
        <v>137</v>
      </c>
      <c r="H2873" t="s">
        <v>138</v>
      </c>
      <c r="J2873">
        <v>0</v>
      </c>
      <c r="K2873">
        <v>0</v>
      </c>
    </row>
    <row r="2874" spans="2:11" x14ac:dyDescent="0.25">
      <c r="B2874" t="s">
        <v>6</v>
      </c>
      <c r="C2874" t="s">
        <v>312</v>
      </c>
      <c r="D2874">
        <v>703222</v>
      </c>
      <c r="E2874" t="s">
        <v>139</v>
      </c>
      <c r="F2874" t="s">
        <v>21</v>
      </c>
      <c r="G2874" t="s">
        <v>137</v>
      </c>
      <c r="H2874" t="s">
        <v>138</v>
      </c>
      <c r="J2874">
        <v>0</v>
      </c>
      <c r="K2874">
        <v>0</v>
      </c>
    </row>
    <row r="2875" spans="2:11" x14ac:dyDescent="0.25">
      <c r="B2875" t="s">
        <v>6</v>
      </c>
      <c r="C2875" t="s">
        <v>312</v>
      </c>
      <c r="D2875">
        <v>703223</v>
      </c>
      <c r="E2875" t="s">
        <v>140</v>
      </c>
      <c r="F2875" t="s">
        <v>21</v>
      </c>
      <c r="G2875" t="s">
        <v>137</v>
      </c>
      <c r="H2875" t="s">
        <v>141</v>
      </c>
      <c r="J2875">
        <v>0</v>
      </c>
      <c r="K2875">
        <v>0</v>
      </c>
    </row>
    <row r="2876" spans="2:11" x14ac:dyDescent="0.25">
      <c r="B2876" t="s">
        <v>6</v>
      </c>
      <c r="C2876" t="s">
        <v>312</v>
      </c>
      <c r="D2876">
        <v>703224</v>
      </c>
      <c r="E2876" t="s">
        <v>142</v>
      </c>
      <c r="F2876" t="s">
        <v>21</v>
      </c>
      <c r="G2876" t="s">
        <v>71</v>
      </c>
      <c r="H2876" t="s">
        <v>88</v>
      </c>
      <c r="J2876">
        <v>0</v>
      </c>
      <c r="K2876">
        <v>0</v>
      </c>
    </row>
    <row r="2877" spans="2:11" x14ac:dyDescent="0.25">
      <c r="B2877" t="s">
        <v>6</v>
      </c>
      <c r="C2877" t="s">
        <v>312</v>
      </c>
      <c r="D2877">
        <v>703225</v>
      </c>
      <c r="E2877" t="s">
        <v>143</v>
      </c>
      <c r="F2877" t="s">
        <v>21</v>
      </c>
      <c r="G2877" t="s">
        <v>71</v>
      </c>
      <c r="H2877" t="s">
        <v>88</v>
      </c>
      <c r="J2877">
        <v>0</v>
      </c>
      <c r="K2877">
        <v>0</v>
      </c>
    </row>
    <row r="2878" spans="2:11" x14ac:dyDescent="0.25">
      <c r="B2878" t="s">
        <v>6</v>
      </c>
      <c r="C2878" t="s">
        <v>312</v>
      </c>
      <c r="D2878">
        <v>703226</v>
      </c>
      <c r="E2878" t="s">
        <v>144</v>
      </c>
      <c r="F2878" t="s">
        <v>21</v>
      </c>
      <c r="G2878" t="s">
        <v>71</v>
      </c>
      <c r="H2878" t="s">
        <v>82</v>
      </c>
      <c r="J2878">
        <v>0</v>
      </c>
      <c r="K2878">
        <v>0</v>
      </c>
    </row>
    <row r="2879" spans="2:11" x14ac:dyDescent="0.25">
      <c r="B2879" t="s">
        <v>6</v>
      </c>
      <c r="C2879" t="s">
        <v>312</v>
      </c>
      <c r="D2879">
        <v>703227</v>
      </c>
      <c r="E2879" t="s">
        <v>145</v>
      </c>
      <c r="F2879" t="s">
        <v>21</v>
      </c>
      <c r="G2879" t="s">
        <v>137</v>
      </c>
      <c r="H2879" t="s">
        <v>138</v>
      </c>
      <c r="J2879">
        <v>0</v>
      </c>
      <c r="K2879">
        <v>0</v>
      </c>
    </row>
    <row r="2880" spans="2:11" x14ac:dyDescent="0.25">
      <c r="B2880" t="s">
        <v>6</v>
      </c>
      <c r="C2880" t="s">
        <v>312</v>
      </c>
      <c r="D2880">
        <v>703228</v>
      </c>
      <c r="E2880" t="s">
        <v>146</v>
      </c>
      <c r="F2880" t="s">
        <v>21</v>
      </c>
      <c r="G2880" t="s">
        <v>147</v>
      </c>
      <c r="H2880" t="s">
        <v>147</v>
      </c>
      <c r="J2880">
        <v>0</v>
      </c>
      <c r="K2880">
        <v>0</v>
      </c>
    </row>
    <row r="2881" spans="2:11" x14ac:dyDescent="0.25">
      <c r="B2881" t="s">
        <v>6</v>
      </c>
      <c r="C2881" t="s">
        <v>312</v>
      </c>
      <c r="D2881">
        <v>703229</v>
      </c>
      <c r="E2881" t="s">
        <v>148</v>
      </c>
      <c r="F2881" t="s">
        <v>21</v>
      </c>
      <c r="G2881" t="s">
        <v>147</v>
      </c>
      <c r="H2881" t="s">
        <v>147</v>
      </c>
      <c r="J2881">
        <v>0</v>
      </c>
      <c r="K2881">
        <v>0</v>
      </c>
    </row>
    <row r="2882" spans="2:11" x14ac:dyDescent="0.25">
      <c r="B2882" t="s">
        <v>6</v>
      </c>
      <c r="C2882" t="s">
        <v>312</v>
      </c>
      <c r="D2882">
        <v>703230</v>
      </c>
      <c r="E2882" t="s">
        <v>149</v>
      </c>
      <c r="F2882" t="s">
        <v>21</v>
      </c>
      <c r="G2882" t="s">
        <v>147</v>
      </c>
      <c r="H2882" t="s">
        <v>147</v>
      </c>
      <c r="J2882">
        <v>0</v>
      </c>
      <c r="K2882">
        <v>0</v>
      </c>
    </row>
    <row r="2883" spans="2:11" x14ac:dyDescent="0.25">
      <c r="B2883" t="s">
        <v>6</v>
      </c>
      <c r="C2883" t="s">
        <v>312</v>
      </c>
      <c r="D2883">
        <v>703231</v>
      </c>
      <c r="E2883" t="s">
        <v>150</v>
      </c>
      <c r="F2883" t="s">
        <v>21</v>
      </c>
      <c r="G2883" t="s">
        <v>137</v>
      </c>
      <c r="H2883" t="s">
        <v>141</v>
      </c>
      <c r="J2883">
        <v>0</v>
      </c>
      <c r="K2883">
        <v>0</v>
      </c>
    </row>
    <row r="2884" spans="2:11" x14ac:dyDescent="0.25">
      <c r="B2884" t="s">
        <v>6</v>
      </c>
      <c r="C2884" t="s">
        <v>312</v>
      </c>
      <c r="D2884">
        <v>703232</v>
      </c>
      <c r="E2884" t="s">
        <v>151</v>
      </c>
      <c r="F2884" t="s">
        <v>21</v>
      </c>
      <c r="G2884" t="s">
        <v>147</v>
      </c>
      <c r="H2884" t="s">
        <v>147</v>
      </c>
      <c r="J2884">
        <v>0</v>
      </c>
      <c r="K2884">
        <v>0</v>
      </c>
    </row>
    <row r="2885" spans="2:11" x14ac:dyDescent="0.25">
      <c r="B2885" t="s">
        <v>6</v>
      </c>
      <c r="C2885" t="s">
        <v>312</v>
      </c>
      <c r="D2885">
        <v>703233</v>
      </c>
      <c r="E2885" t="s">
        <v>152</v>
      </c>
      <c r="F2885" t="s">
        <v>21</v>
      </c>
      <c r="G2885" t="s">
        <v>71</v>
      </c>
      <c r="H2885" t="s">
        <v>153</v>
      </c>
      <c r="J2885">
        <v>0</v>
      </c>
      <c r="K2885">
        <v>0</v>
      </c>
    </row>
    <row r="2886" spans="2:11" x14ac:dyDescent="0.25">
      <c r="B2886" t="s">
        <v>6</v>
      </c>
      <c r="C2886" t="s">
        <v>312</v>
      </c>
      <c r="D2886">
        <v>703234</v>
      </c>
      <c r="E2886" t="s">
        <v>154</v>
      </c>
      <c r="F2886" t="s">
        <v>21</v>
      </c>
      <c r="G2886" t="s">
        <v>71</v>
      </c>
      <c r="H2886" t="s">
        <v>153</v>
      </c>
      <c r="J2886">
        <v>0</v>
      </c>
      <c r="K2886">
        <v>0</v>
      </c>
    </row>
    <row r="2887" spans="2:11" x14ac:dyDescent="0.25">
      <c r="B2887" t="s">
        <v>6</v>
      </c>
      <c r="C2887" t="s">
        <v>312</v>
      </c>
      <c r="D2887">
        <v>703235</v>
      </c>
      <c r="E2887" t="s">
        <v>155</v>
      </c>
      <c r="F2887" t="s">
        <v>21</v>
      </c>
      <c r="G2887" t="s">
        <v>71</v>
      </c>
      <c r="H2887" t="s">
        <v>153</v>
      </c>
      <c r="J2887">
        <v>0</v>
      </c>
      <c r="K2887">
        <v>0</v>
      </c>
    </row>
    <row r="2888" spans="2:11" x14ac:dyDescent="0.25">
      <c r="B2888" t="s">
        <v>6</v>
      </c>
      <c r="C2888" t="s">
        <v>312</v>
      </c>
      <c r="D2888">
        <v>703236</v>
      </c>
      <c r="E2888" t="s">
        <v>156</v>
      </c>
      <c r="F2888" t="s">
        <v>21</v>
      </c>
      <c r="G2888" t="s">
        <v>76</v>
      </c>
      <c r="H2888" t="s">
        <v>77</v>
      </c>
      <c r="J2888">
        <v>0</v>
      </c>
      <c r="K2888">
        <v>0</v>
      </c>
    </row>
    <row r="2889" spans="2:11" x14ac:dyDescent="0.25">
      <c r="B2889" t="s">
        <v>6</v>
      </c>
      <c r="C2889" t="s">
        <v>312</v>
      </c>
      <c r="D2889">
        <v>703237</v>
      </c>
      <c r="E2889" t="s">
        <v>157</v>
      </c>
      <c r="F2889" t="s">
        <v>21</v>
      </c>
      <c r="G2889" t="s">
        <v>22</v>
      </c>
      <c r="H2889" t="s">
        <v>23</v>
      </c>
      <c r="J2889">
        <v>0</v>
      </c>
      <c r="K2889">
        <v>0</v>
      </c>
    </row>
    <row r="2890" spans="2:11" x14ac:dyDescent="0.25">
      <c r="B2890" t="s">
        <v>6</v>
      </c>
      <c r="C2890" t="s">
        <v>312</v>
      </c>
      <c r="D2890">
        <v>703238</v>
      </c>
      <c r="E2890" t="s">
        <v>158</v>
      </c>
      <c r="F2890" t="s">
        <v>21</v>
      </c>
      <c r="G2890" t="s">
        <v>61</v>
      </c>
      <c r="H2890" t="s">
        <v>68</v>
      </c>
      <c r="J2890">
        <v>0</v>
      </c>
      <c r="K2890">
        <v>0</v>
      </c>
    </row>
    <row r="2891" spans="2:11" x14ac:dyDescent="0.25">
      <c r="B2891" t="s">
        <v>6</v>
      </c>
      <c r="C2891" t="s">
        <v>312</v>
      </c>
      <c r="D2891">
        <v>703239</v>
      </c>
      <c r="E2891" t="s">
        <v>159</v>
      </c>
      <c r="F2891" t="s">
        <v>21</v>
      </c>
      <c r="G2891" t="s">
        <v>61</v>
      </c>
      <c r="H2891" t="s">
        <v>68</v>
      </c>
      <c r="J2891">
        <v>0</v>
      </c>
      <c r="K2891">
        <v>0</v>
      </c>
    </row>
    <row r="2892" spans="2:11" x14ac:dyDescent="0.25">
      <c r="B2892" t="s">
        <v>6</v>
      </c>
      <c r="C2892" t="s">
        <v>312</v>
      </c>
      <c r="D2892">
        <v>703240</v>
      </c>
      <c r="E2892" t="s">
        <v>160</v>
      </c>
      <c r="F2892" t="s">
        <v>21</v>
      </c>
      <c r="G2892" t="s">
        <v>61</v>
      </c>
      <c r="H2892" t="s">
        <v>68</v>
      </c>
      <c r="J2892">
        <v>0</v>
      </c>
      <c r="K2892">
        <v>0</v>
      </c>
    </row>
    <row r="2893" spans="2:11" x14ac:dyDescent="0.25">
      <c r="B2893" t="s">
        <v>6</v>
      </c>
      <c r="C2893" t="s">
        <v>312</v>
      </c>
      <c r="D2893">
        <v>703241</v>
      </c>
      <c r="E2893" t="s">
        <v>161</v>
      </c>
      <c r="F2893" t="s">
        <v>21</v>
      </c>
      <c r="G2893" t="s">
        <v>137</v>
      </c>
      <c r="H2893" t="s">
        <v>141</v>
      </c>
      <c r="J2893">
        <v>0</v>
      </c>
      <c r="K2893">
        <v>0</v>
      </c>
    </row>
    <row r="2894" spans="2:11" x14ac:dyDescent="0.25">
      <c r="B2894" t="s">
        <v>6</v>
      </c>
      <c r="C2894" t="s">
        <v>312</v>
      </c>
      <c r="D2894">
        <v>703242</v>
      </c>
      <c r="E2894" t="s">
        <v>162</v>
      </c>
      <c r="F2894" t="s">
        <v>21</v>
      </c>
      <c r="G2894" t="s">
        <v>137</v>
      </c>
      <c r="H2894" t="s">
        <v>141</v>
      </c>
      <c r="J2894">
        <v>0</v>
      </c>
      <c r="K2894">
        <v>0</v>
      </c>
    </row>
    <row r="2895" spans="2:11" x14ac:dyDescent="0.25">
      <c r="B2895" t="s">
        <v>6</v>
      </c>
      <c r="C2895" t="s">
        <v>312</v>
      </c>
      <c r="D2895">
        <v>703243</v>
      </c>
      <c r="E2895" t="s">
        <v>163</v>
      </c>
      <c r="F2895" t="s">
        <v>21</v>
      </c>
      <c r="G2895" t="s">
        <v>137</v>
      </c>
      <c r="H2895" t="s">
        <v>141</v>
      </c>
      <c r="J2895">
        <v>0</v>
      </c>
      <c r="K2895">
        <v>0</v>
      </c>
    </row>
    <row r="2896" spans="2:11" x14ac:dyDescent="0.25">
      <c r="B2896" t="s">
        <v>6</v>
      </c>
      <c r="C2896" t="s">
        <v>312</v>
      </c>
      <c r="D2896">
        <v>703244</v>
      </c>
      <c r="E2896" t="s">
        <v>164</v>
      </c>
      <c r="F2896" t="s">
        <v>21</v>
      </c>
      <c r="G2896" t="s">
        <v>71</v>
      </c>
      <c r="H2896" t="s">
        <v>88</v>
      </c>
      <c r="J2896">
        <v>0</v>
      </c>
      <c r="K2896">
        <v>0</v>
      </c>
    </row>
    <row r="2897" spans="2:11" x14ac:dyDescent="0.25">
      <c r="B2897" t="s">
        <v>6</v>
      </c>
      <c r="C2897" t="s">
        <v>312</v>
      </c>
      <c r="D2897">
        <v>703245</v>
      </c>
      <c r="E2897" t="s">
        <v>165</v>
      </c>
      <c r="F2897" t="s">
        <v>21</v>
      </c>
      <c r="G2897" t="s">
        <v>137</v>
      </c>
      <c r="H2897" t="s">
        <v>138</v>
      </c>
      <c r="J2897">
        <v>0</v>
      </c>
      <c r="K2897">
        <v>0</v>
      </c>
    </row>
    <row r="2898" spans="2:11" x14ac:dyDescent="0.25">
      <c r="B2898" t="s">
        <v>6</v>
      </c>
      <c r="C2898" t="s">
        <v>312</v>
      </c>
      <c r="D2898">
        <v>703246</v>
      </c>
      <c r="E2898" t="s">
        <v>166</v>
      </c>
      <c r="F2898" t="s">
        <v>21</v>
      </c>
      <c r="G2898" t="s">
        <v>137</v>
      </c>
      <c r="H2898" t="s">
        <v>138</v>
      </c>
      <c r="J2898">
        <v>0</v>
      </c>
      <c r="K2898">
        <v>0</v>
      </c>
    </row>
    <row r="2899" spans="2:11" x14ac:dyDescent="0.25">
      <c r="B2899" t="s">
        <v>6</v>
      </c>
      <c r="C2899" t="s">
        <v>312</v>
      </c>
      <c r="D2899">
        <v>703247</v>
      </c>
      <c r="E2899" t="s">
        <v>167</v>
      </c>
      <c r="F2899" t="s">
        <v>21</v>
      </c>
      <c r="G2899" t="s">
        <v>137</v>
      </c>
      <c r="H2899" t="s">
        <v>138</v>
      </c>
      <c r="J2899">
        <v>0</v>
      </c>
      <c r="K2899">
        <v>0</v>
      </c>
    </row>
    <row r="2900" spans="2:11" x14ac:dyDescent="0.25">
      <c r="B2900" t="s">
        <v>6</v>
      </c>
      <c r="C2900" t="s">
        <v>312</v>
      </c>
      <c r="D2900">
        <v>703248</v>
      </c>
      <c r="E2900" t="s">
        <v>168</v>
      </c>
      <c r="F2900" t="s">
        <v>21</v>
      </c>
      <c r="G2900" t="s">
        <v>137</v>
      </c>
      <c r="H2900" t="s">
        <v>141</v>
      </c>
      <c r="J2900">
        <v>0</v>
      </c>
      <c r="K2900">
        <v>0</v>
      </c>
    </row>
    <row r="2901" spans="2:11" x14ac:dyDescent="0.25">
      <c r="B2901" t="s">
        <v>6</v>
      </c>
      <c r="C2901" t="s">
        <v>312</v>
      </c>
      <c r="D2901">
        <v>703249</v>
      </c>
      <c r="E2901" t="s">
        <v>169</v>
      </c>
      <c r="F2901" t="s">
        <v>21</v>
      </c>
      <c r="G2901" t="s">
        <v>147</v>
      </c>
      <c r="H2901" t="s">
        <v>147</v>
      </c>
      <c r="J2901">
        <v>0</v>
      </c>
      <c r="K2901">
        <v>0</v>
      </c>
    </row>
    <row r="2902" spans="2:11" x14ac:dyDescent="0.25">
      <c r="B2902" t="s">
        <v>6</v>
      </c>
      <c r="C2902" t="s">
        <v>312</v>
      </c>
      <c r="D2902">
        <v>703250</v>
      </c>
      <c r="E2902" t="s">
        <v>170</v>
      </c>
      <c r="F2902" t="s">
        <v>21</v>
      </c>
      <c r="G2902" t="s">
        <v>71</v>
      </c>
      <c r="H2902" t="s">
        <v>171</v>
      </c>
      <c r="J2902">
        <v>0</v>
      </c>
      <c r="K2902">
        <v>0</v>
      </c>
    </row>
    <row r="2903" spans="2:11" x14ac:dyDescent="0.25">
      <c r="B2903" t="s">
        <v>6</v>
      </c>
      <c r="C2903" t="s">
        <v>312</v>
      </c>
      <c r="D2903">
        <v>703251</v>
      </c>
      <c r="E2903" t="s">
        <v>172</v>
      </c>
      <c r="F2903" t="s">
        <v>21</v>
      </c>
      <c r="G2903" t="s">
        <v>22</v>
      </c>
      <c r="H2903" t="s">
        <v>115</v>
      </c>
      <c r="J2903">
        <v>0</v>
      </c>
      <c r="K2903">
        <v>0</v>
      </c>
    </row>
    <row r="2904" spans="2:11" x14ac:dyDescent="0.25">
      <c r="B2904" t="s">
        <v>6</v>
      </c>
      <c r="C2904" t="s">
        <v>312</v>
      </c>
      <c r="D2904">
        <v>703252</v>
      </c>
      <c r="E2904" t="s">
        <v>173</v>
      </c>
      <c r="F2904" t="s">
        <v>21</v>
      </c>
      <c r="G2904" t="s">
        <v>22</v>
      </c>
      <c r="H2904" t="s">
        <v>115</v>
      </c>
      <c r="J2904">
        <v>0</v>
      </c>
      <c r="K2904">
        <v>0</v>
      </c>
    </row>
    <row r="2905" spans="2:11" x14ac:dyDescent="0.25">
      <c r="B2905" t="s">
        <v>6</v>
      </c>
      <c r="C2905" t="s">
        <v>312</v>
      </c>
      <c r="D2905">
        <v>703253</v>
      </c>
      <c r="E2905" t="s">
        <v>174</v>
      </c>
      <c r="F2905" t="s">
        <v>21</v>
      </c>
      <c r="G2905" t="s">
        <v>22</v>
      </c>
      <c r="H2905" t="s">
        <v>115</v>
      </c>
      <c r="J2905">
        <v>0</v>
      </c>
      <c r="K2905">
        <v>0</v>
      </c>
    </row>
    <row r="2906" spans="2:11" x14ac:dyDescent="0.25">
      <c r="B2906" t="s">
        <v>6</v>
      </c>
      <c r="C2906" t="s">
        <v>312</v>
      </c>
      <c r="D2906">
        <v>703254</v>
      </c>
      <c r="E2906" t="s">
        <v>175</v>
      </c>
      <c r="F2906" t="s">
        <v>21</v>
      </c>
      <c r="G2906" t="s">
        <v>22</v>
      </c>
      <c r="H2906" t="s">
        <v>115</v>
      </c>
      <c r="J2906">
        <v>0</v>
      </c>
      <c r="K2906">
        <v>0</v>
      </c>
    </row>
    <row r="2907" spans="2:11" x14ac:dyDescent="0.25">
      <c r="B2907" t="s">
        <v>6</v>
      </c>
      <c r="C2907" t="s">
        <v>312</v>
      </c>
      <c r="D2907">
        <v>703255</v>
      </c>
      <c r="E2907" t="s">
        <v>176</v>
      </c>
      <c r="F2907" t="s">
        <v>21</v>
      </c>
      <c r="G2907" t="s">
        <v>22</v>
      </c>
      <c r="H2907" t="s">
        <v>115</v>
      </c>
      <c r="J2907">
        <v>0</v>
      </c>
      <c r="K2907">
        <v>0</v>
      </c>
    </row>
    <row r="2908" spans="2:11" x14ac:dyDescent="0.25">
      <c r="B2908" t="s">
        <v>6</v>
      </c>
      <c r="C2908" t="s">
        <v>312</v>
      </c>
      <c r="D2908">
        <v>703257</v>
      </c>
      <c r="E2908" t="s">
        <v>177</v>
      </c>
      <c r="F2908" t="s">
        <v>21</v>
      </c>
      <c r="G2908" t="s">
        <v>147</v>
      </c>
      <c r="H2908" t="s">
        <v>147</v>
      </c>
      <c r="J2908">
        <v>0</v>
      </c>
      <c r="K2908">
        <v>0</v>
      </c>
    </row>
    <row r="2909" spans="2:11" x14ac:dyDescent="0.25">
      <c r="B2909" t="s">
        <v>6</v>
      </c>
      <c r="C2909" t="s">
        <v>312</v>
      </c>
      <c r="D2909">
        <v>703258</v>
      </c>
      <c r="E2909" t="s">
        <v>178</v>
      </c>
      <c r="F2909" t="s">
        <v>21</v>
      </c>
      <c r="G2909" t="s">
        <v>147</v>
      </c>
      <c r="H2909" t="s">
        <v>147</v>
      </c>
      <c r="J2909">
        <v>0</v>
      </c>
      <c r="K2909">
        <v>0</v>
      </c>
    </row>
    <row r="2910" spans="2:11" x14ac:dyDescent="0.25">
      <c r="B2910" t="s">
        <v>6</v>
      </c>
      <c r="C2910" t="s">
        <v>312</v>
      </c>
      <c r="D2910">
        <v>703260</v>
      </c>
      <c r="E2910" t="s">
        <v>179</v>
      </c>
      <c r="F2910" t="s">
        <v>21</v>
      </c>
      <c r="G2910" t="s">
        <v>76</v>
      </c>
      <c r="H2910" t="s">
        <v>77</v>
      </c>
      <c r="J2910">
        <v>0</v>
      </c>
      <c r="K2910">
        <v>0</v>
      </c>
    </row>
    <row r="2911" spans="2:11" x14ac:dyDescent="0.25">
      <c r="B2911" t="s">
        <v>6</v>
      </c>
      <c r="C2911" t="s">
        <v>312</v>
      </c>
      <c r="D2911">
        <v>703261</v>
      </c>
      <c r="E2911" t="s">
        <v>180</v>
      </c>
      <c r="F2911" t="s">
        <v>21</v>
      </c>
      <c r="G2911" t="s">
        <v>22</v>
      </c>
      <c r="H2911" t="s">
        <v>115</v>
      </c>
      <c r="J2911">
        <v>0</v>
      </c>
      <c r="K2911">
        <v>0</v>
      </c>
    </row>
    <row r="2912" spans="2:11" x14ac:dyDescent="0.25">
      <c r="B2912" t="s">
        <v>6</v>
      </c>
      <c r="C2912" t="s">
        <v>312</v>
      </c>
      <c r="D2912">
        <v>703262</v>
      </c>
      <c r="E2912" t="s">
        <v>181</v>
      </c>
      <c r="F2912" t="s">
        <v>21</v>
      </c>
      <c r="G2912" t="s">
        <v>22</v>
      </c>
      <c r="H2912" t="s">
        <v>23</v>
      </c>
      <c r="J2912">
        <v>0</v>
      </c>
      <c r="K2912">
        <v>0</v>
      </c>
    </row>
    <row r="2913" spans="2:11" x14ac:dyDescent="0.25">
      <c r="B2913" t="s">
        <v>6</v>
      </c>
      <c r="C2913" t="s">
        <v>312</v>
      </c>
      <c r="D2913">
        <v>703263</v>
      </c>
      <c r="E2913" t="s">
        <v>182</v>
      </c>
      <c r="F2913" t="s">
        <v>21</v>
      </c>
      <c r="G2913" t="s">
        <v>22</v>
      </c>
      <c r="H2913" t="s">
        <v>115</v>
      </c>
      <c r="J2913">
        <v>0</v>
      </c>
      <c r="K2913">
        <v>0</v>
      </c>
    </row>
    <row r="2914" spans="2:11" x14ac:dyDescent="0.25">
      <c r="B2914" t="s">
        <v>6</v>
      </c>
      <c r="C2914" t="s">
        <v>312</v>
      </c>
      <c r="D2914">
        <v>703264</v>
      </c>
      <c r="E2914" t="s">
        <v>183</v>
      </c>
      <c r="F2914" t="s">
        <v>21</v>
      </c>
      <c r="G2914" t="s">
        <v>22</v>
      </c>
      <c r="H2914" t="s">
        <v>115</v>
      </c>
      <c r="J2914">
        <v>0</v>
      </c>
      <c r="K2914">
        <v>0</v>
      </c>
    </row>
    <row r="2915" spans="2:11" x14ac:dyDescent="0.25">
      <c r="B2915" t="s">
        <v>6</v>
      </c>
      <c r="C2915" t="s">
        <v>312</v>
      </c>
      <c r="D2915">
        <v>703265</v>
      </c>
      <c r="E2915" t="s">
        <v>184</v>
      </c>
      <c r="F2915" t="s">
        <v>21</v>
      </c>
      <c r="G2915" t="s">
        <v>22</v>
      </c>
      <c r="H2915" t="s">
        <v>115</v>
      </c>
      <c r="J2915">
        <v>0</v>
      </c>
      <c r="K2915">
        <v>0</v>
      </c>
    </row>
    <row r="2916" spans="2:11" x14ac:dyDescent="0.25">
      <c r="B2916" t="s">
        <v>6</v>
      </c>
      <c r="C2916" t="s">
        <v>312</v>
      </c>
      <c r="D2916">
        <v>703266</v>
      </c>
      <c r="E2916" t="s">
        <v>185</v>
      </c>
      <c r="F2916" t="s">
        <v>21</v>
      </c>
      <c r="G2916" t="s">
        <v>71</v>
      </c>
      <c r="H2916" t="s">
        <v>186</v>
      </c>
      <c r="J2916">
        <v>0</v>
      </c>
      <c r="K2916">
        <v>0</v>
      </c>
    </row>
    <row r="2917" spans="2:11" x14ac:dyDescent="0.25">
      <c r="B2917" t="s">
        <v>6</v>
      </c>
      <c r="C2917" t="s">
        <v>312</v>
      </c>
      <c r="D2917">
        <v>703267</v>
      </c>
      <c r="E2917" t="s">
        <v>187</v>
      </c>
      <c r="F2917" t="s">
        <v>21</v>
      </c>
      <c r="G2917" t="s">
        <v>71</v>
      </c>
      <c r="H2917" t="s">
        <v>88</v>
      </c>
      <c r="J2917">
        <v>0</v>
      </c>
      <c r="K2917">
        <v>0</v>
      </c>
    </row>
    <row r="2918" spans="2:11" x14ac:dyDescent="0.25">
      <c r="B2918" t="s">
        <v>6</v>
      </c>
      <c r="C2918" t="s">
        <v>312</v>
      </c>
      <c r="D2918">
        <v>703268</v>
      </c>
      <c r="E2918" t="s">
        <v>188</v>
      </c>
      <c r="F2918" t="s">
        <v>21</v>
      </c>
      <c r="G2918" t="s">
        <v>147</v>
      </c>
      <c r="H2918" t="s">
        <v>147</v>
      </c>
      <c r="J2918">
        <v>0</v>
      </c>
      <c r="K2918">
        <v>0</v>
      </c>
    </row>
    <row r="2919" spans="2:11" x14ac:dyDescent="0.25">
      <c r="B2919" t="s">
        <v>6</v>
      </c>
      <c r="C2919" t="s">
        <v>312</v>
      </c>
      <c r="D2919">
        <v>703269</v>
      </c>
      <c r="E2919" t="s">
        <v>189</v>
      </c>
      <c r="F2919" t="s">
        <v>21</v>
      </c>
      <c r="G2919" t="s">
        <v>147</v>
      </c>
      <c r="H2919" t="s">
        <v>147</v>
      </c>
      <c r="J2919">
        <v>0</v>
      </c>
      <c r="K2919">
        <v>0</v>
      </c>
    </row>
    <row r="2920" spans="2:11" x14ac:dyDescent="0.25">
      <c r="B2920" t="s">
        <v>6</v>
      </c>
      <c r="C2920" t="s">
        <v>312</v>
      </c>
      <c r="D2920">
        <v>703270</v>
      </c>
      <c r="E2920" t="s">
        <v>190</v>
      </c>
      <c r="F2920" t="s">
        <v>21</v>
      </c>
      <c r="G2920" t="s">
        <v>137</v>
      </c>
      <c r="H2920" t="s">
        <v>141</v>
      </c>
      <c r="J2920">
        <v>0</v>
      </c>
      <c r="K2920">
        <v>0</v>
      </c>
    </row>
    <row r="2921" spans="2:11" x14ac:dyDescent="0.25">
      <c r="B2921" t="s">
        <v>6</v>
      </c>
      <c r="C2921" t="s">
        <v>312</v>
      </c>
      <c r="D2921">
        <v>703271</v>
      </c>
      <c r="E2921" t="s">
        <v>191</v>
      </c>
      <c r="F2921" t="s">
        <v>21</v>
      </c>
      <c r="G2921" t="s">
        <v>22</v>
      </c>
      <c r="H2921" t="s">
        <v>115</v>
      </c>
      <c r="J2921">
        <v>0</v>
      </c>
      <c r="K2921">
        <v>0</v>
      </c>
    </row>
    <row r="2922" spans="2:11" x14ac:dyDescent="0.25">
      <c r="B2922" t="s">
        <v>6</v>
      </c>
      <c r="C2922" t="s">
        <v>312</v>
      </c>
      <c r="D2922">
        <v>703272</v>
      </c>
      <c r="E2922" t="s">
        <v>192</v>
      </c>
      <c r="F2922" t="s">
        <v>21</v>
      </c>
      <c r="G2922" t="s">
        <v>22</v>
      </c>
      <c r="H2922" t="s">
        <v>23</v>
      </c>
      <c r="J2922">
        <v>0</v>
      </c>
      <c r="K2922">
        <v>0</v>
      </c>
    </row>
    <row r="2923" spans="2:11" x14ac:dyDescent="0.25">
      <c r="B2923" t="s">
        <v>6</v>
      </c>
      <c r="C2923" t="s">
        <v>312</v>
      </c>
      <c r="D2923">
        <v>703273</v>
      </c>
      <c r="E2923" t="s">
        <v>193</v>
      </c>
      <c r="F2923" t="s">
        <v>21</v>
      </c>
      <c r="G2923" t="s">
        <v>147</v>
      </c>
      <c r="H2923" t="s">
        <v>147</v>
      </c>
      <c r="J2923">
        <v>0</v>
      </c>
      <c r="K2923">
        <v>0</v>
      </c>
    </row>
    <row r="2924" spans="2:11" x14ac:dyDescent="0.25">
      <c r="B2924" t="s">
        <v>6</v>
      </c>
      <c r="C2924" t="s">
        <v>312</v>
      </c>
      <c r="D2924">
        <v>703274</v>
      </c>
      <c r="E2924" t="s">
        <v>194</v>
      </c>
      <c r="F2924" t="s">
        <v>21</v>
      </c>
      <c r="G2924" t="s">
        <v>147</v>
      </c>
      <c r="H2924" t="s">
        <v>147</v>
      </c>
      <c r="J2924">
        <v>0</v>
      </c>
      <c r="K2924">
        <v>0</v>
      </c>
    </row>
    <row r="2925" spans="2:11" x14ac:dyDescent="0.25">
      <c r="B2925" t="s">
        <v>6</v>
      </c>
      <c r="C2925" t="s">
        <v>312</v>
      </c>
      <c r="D2925">
        <v>703275</v>
      </c>
      <c r="E2925" t="s">
        <v>195</v>
      </c>
      <c r="F2925" t="s">
        <v>21</v>
      </c>
      <c r="G2925" t="s">
        <v>137</v>
      </c>
      <c r="H2925" t="s">
        <v>138</v>
      </c>
      <c r="J2925">
        <v>0</v>
      </c>
      <c r="K2925">
        <v>0</v>
      </c>
    </row>
    <row r="2926" spans="2:11" x14ac:dyDescent="0.25">
      <c r="B2926" t="s">
        <v>6</v>
      </c>
      <c r="C2926" t="s">
        <v>312</v>
      </c>
      <c r="D2926">
        <v>703280</v>
      </c>
      <c r="E2926" t="s">
        <v>196</v>
      </c>
      <c r="F2926" t="s">
        <v>21</v>
      </c>
      <c r="G2926" t="s">
        <v>71</v>
      </c>
      <c r="H2926" t="s">
        <v>171</v>
      </c>
      <c r="J2926">
        <v>0</v>
      </c>
      <c r="K2926">
        <v>0</v>
      </c>
    </row>
    <row r="2927" spans="2:11" x14ac:dyDescent="0.25">
      <c r="B2927" t="s">
        <v>6</v>
      </c>
      <c r="C2927" t="s">
        <v>312</v>
      </c>
      <c r="D2927">
        <v>703281</v>
      </c>
      <c r="E2927" t="s">
        <v>197</v>
      </c>
      <c r="F2927" t="s">
        <v>21</v>
      </c>
      <c r="G2927" t="s">
        <v>76</v>
      </c>
      <c r="H2927" t="s">
        <v>77</v>
      </c>
      <c r="J2927">
        <v>0</v>
      </c>
      <c r="K2927">
        <v>0</v>
      </c>
    </row>
    <row r="2928" spans="2:11" x14ac:dyDescent="0.25">
      <c r="B2928" t="s">
        <v>6</v>
      </c>
      <c r="C2928" t="s">
        <v>312</v>
      </c>
      <c r="D2928">
        <v>703282</v>
      </c>
      <c r="E2928" t="s">
        <v>198</v>
      </c>
      <c r="F2928" t="s">
        <v>21</v>
      </c>
      <c r="G2928" t="s">
        <v>76</v>
      </c>
      <c r="H2928" t="s">
        <v>77</v>
      </c>
      <c r="J2928">
        <v>0</v>
      </c>
      <c r="K2928">
        <v>0</v>
      </c>
    </row>
    <row r="2929" spans="2:11" x14ac:dyDescent="0.25">
      <c r="B2929" t="s">
        <v>6</v>
      </c>
      <c r="C2929" t="s">
        <v>312</v>
      </c>
      <c r="D2929">
        <v>703283</v>
      </c>
      <c r="E2929" t="s">
        <v>199</v>
      </c>
      <c r="F2929" t="s">
        <v>21</v>
      </c>
      <c r="G2929" t="s">
        <v>61</v>
      </c>
      <c r="H2929" t="s">
        <v>68</v>
      </c>
      <c r="J2929">
        <v>0</v>
      </c>
      <c r="K2929">
        <v>0</v>
      </c>
    </row>
    <row r="2930" spans="2:11" x14ac:dyDescent="0.25">
      <c r="B2930" t="s">
        <v>6</v>
      </c>
      <c r="C2930" t="s">
        <v>312</v>
      </c>
      <c r="D2930">
        <v>703310</v>
      </c>
      <c r="E2930" t="s">
        <v>200</v>
      </c>
      <c r="F2930" t="s">
        <v>21</v>
      </c>
      <c r="G2930" t="s">
        <v>22</v>
      </c>
      <c r="H2930" t="s">
        <v>23</v>
      </c>
      <c r="J2930">
        <v>0</v>
      </c>
      <c r="K2930">
        <v>0</v>
      </c>
    </row>
    <row r="2931" spans="2:11" x14ac:dyDescent="0.25">
      <c r="B2931" t="s">
        <v>6</v>
      </c>
      <c r="C2931" t="s">
        <v>312</v>
      </c>
      <c r="D2931">
        <v>703311</v>
      </c>
      <c r="E2931" t="s">
        <v>201</v>
      </c>
      <c r="F2931" t="s">
        <v>21</v>
      </c>
      <c r="G2931" t="s">
        <v>71</v>
      </c>
      <c r="H2931" t="s">
        <v>171</v>
      </c>
      <c r="J2931">
        <v>0</v>
      </c>
      <c r="K2931">
        <v>0</v>
      </c>
    </row>
    <row r="2932" spans="2:11" x14ac:dyDescent="0.25">
      <c r="B2932" t="s">
        <v>6</v>
      </c>
      <c r="C2932" t="s">
        <v>312</v>
      </c>
      <c r="D2932">
        <v>703312</v>
      </c>
      <c r="E2932" t="s">
        <v>202</v>
      </c>
      <c r="F2932" t="s">
        <v>21</v>
      </c>
      <c r="G2932" t="s">
        <v>76</v>
      </c>
      <c r="H2932" t="s">
        <v>77</v>
      </c>
      <c r="J2932">
        <v>0</v>
      </c>
      <c r="K2932">
        <v>0</v>
      </c>
    </row>
    <row r="2933" spans="2:11" x14ac:dyDescent="0.25">
      <c r="B2933" t="s">
        <v>6</v>
      </c>
      <c r="C2933" t="s">
        <v>312</v>
      </c>
      <c r="D2933">
        <v>703313</v>
      </c>
      <c r="E2933" t="s">
        <v>203</v>
      </c>
      <c r="F2933" t="s">
        <v>21</v>
      </c>
      <c r="G2933" t="s">
        <v>76</v>
      </c>
      <c r="H2933" t="s">
        <v>77</v>
      </c>
      <c r="J2933">
        <v>0</v>
      </c>
      <c r="K2933">
        <v>0</v>
      </c>
    </row>
    <row r="2934" spans="2:11" x14ac:dyDescent="0.25">
      <c r="B2934" t="s">
        <v>6</v>
      </c>
      <c r="C2934" t="s">
        <v>312</v>
      </c>
      <c r="D2934">
        <v>703314</v>
      </c>
      <c r="E2934" t="s">
        <v>204</v>
      </c>
      <c r="F2934" t="s">
        <v>21</v>
      </c>
      <c r="G2934" t="s">
        <v>76</v>
      </c>
      <c r="H2934" t="s">
        <v>77</v>
      </c>
      <c r="J2934">
        <v>0</v>
      </c>
      <c r="K2934">
        <v>0</v>
      </c>
    </row>
    <row r="2935" spans="2:11" x14ac:dyDescent="0.25">
      <c r="B2935" t="s">
        <v>6</v>
      </c>
      <c r="C2935" t="s">
        <v>312</v>
      </c>
      <c r="D2935">
        <v>703315</v>
      </c>
      <c r="E2935" t="s">
        <v>205</v>
      </c>
      <c r="F2935" t="s">
        <v>21</v>
      </c>
      <c r="G2935" t="s">
        <v>76</v>
      </c>
      <c r="H2935" t="s">
        <v>135</v>
      </c>
      <c r="J2935">
        <v>0</v>
      </c>
      <c r="K2935">
        <v>0</v>
      </c>
    </row>
    <row r="2936" spans="2:11" x14ac:dyDescent="0.25">
      <c r="B2936" t="s">
        <v>6</v>
      </c>
      <c r="C2936" t="s">
        <v>312</v>
      </c>
      <c r="D2936">
        <v>703316</v>
      </c>
      <c r="E2936" t="s">
        <v>206</v>
      </c>
      <c r="F2936" t="s">
        <v>21</v>
      </c>
      <c r="G2936" t="s">
        <v>76</v>
      </c>
      <c r="H2936" t="s">
        <v>77</v>
      </c>
      <c r="J2936">
        <v>0</v>
      </c>
      <c r="K2936">
        <v>0</v>
      </c>
    </row>
    <row r="2937" spans="2:11" x14ac:dyDescent="0.25">
      <c r="B2937" t="s">
        <v>6</v>
      </c>
      <c r="C2937" t="s">
        <v>312</v>
      </c>
      <c r="D2937">
        <v>703317</v>
      </c>
      <c r="E2937" t="s">
        <v>207</v>
      </c>
      <c r="F2937" t="s">
        <v>21</v>
      </c>
      <c r="G2937" t="s">
        <v>76</v>
      </c>
      <c r="H2937" t="s">
        <v>77</v>
      </c>
      <c r="J2937">
        <v>0</v>
      </c>
      <c r="K2937">
        <v>0</v>
      </c>
    </row>
    <row r="2938" spans="2:11" x14ac:dyDescent="0.25">
      <c r="B2938" t="s">
        <v>6</v>
      </c>
      <c r="C2938" t="s">
        <v>312</v>
      </c>
      <c r="D2938">
        <v>703318</v>
      </c>
      <c r="E2938" t="s">
        <v>208</v>
      </c>
      <c r="F2938" t="s">
        <v>21</v>
      </c>
      <c r="G2938" t="s">
        <v>71</v>
      </c>
      <c r="H2938" t="s">
        <v>209</v>
      </c>
      <c r="J2938">
        <v>0</v>
      </c>
      <c r="K2938">
        <v>0</v>
      </c>
    </row>
    <row r="2939" spans="2:11" x14ac:dyDescent="0.25">
      <c r="B2939" t="s">
        <v>6</v>
      </c>
      <c r="C2939" t="s">
        <v>312</v>
      </c>
      <c r="D2939">
        <v>703319</v>
      </c>
      <c r="E2939" t="s">
        <v>210</v>
      </c>
      <c r="F2939" t="s">
        <v>21</v>
      </c>
      <c r="G2939" t="s">
        <v>61</v>
      </c>
      <c r="H2939" t="s">
        <v>79</v>
      </c>
      <c r="J2939">
        <v>0</v>
      </c>
      <c r="K2939">
        <v>0</v>
      </c>
    </row>
    <row r="2940" spans="2:11" x14ac:dyDescent="0.25">
      <c r="B2940" t="s">
        <v>6</v>
      </c>
      <c r="C2940" t="s">
        <v>312</v>
      </c>
      <c r="D2940">
        <v>703320</v>
      </c>
      <c r="E2940" t="s">
        <v>211</v>
      </c>
      <c r="F2940" t="s">
        <v>21</v>
      </c>
      <c r="G2940" t="s">
        <v>71</v>
      </c>
      <c r="H2940" t="s">
        <v>135</v>
      </c>
      <c r="J2940">
        <v>0</v>
      </c>
      <c r="K2940">
        <v>0</v>
      </c>
    </row>
    <row r="2941" spans="2:11" x14ac:dyDescent="0.25">
      <c r="B2941" t="s">
        <v>6</v>
      </c>
      <c r="C2941" t="s">
        <v>312</v>
      </c>
      <c r="D2941">
        <v>703321</v>
      </c>
      <c r="E2941" t="s">
        <v>212</v>
      </c>
      <c r="F2941" t="s">
        <v>21</v>
      </c>
      <c r="G2941" t="s">
        <v>22</v>
      </c>
      <c r="H2941" t="s">
        <v>23</v>
      </c>
      <c r="J2941">
        <v>0</v>
      </c>
      <c r="K2941">
        <v>0</v>
      </c>
    </row>
    <row r="2942" spans="2:11" x14ac:dyDescent="0.25">
      <c r="B2942" t="s">
        <v>6</v>
      </c>
      <c r="C2942" t="s">
        <v>312</v>
      </c>
      <c r="D2942">
        <v>703322</v>
      </c>
      <c r="E2942" t="s">
        <v>213</v>
      </c>
      <c r="F2942" t="s">
        <v>21</v>
      </c>
      <c r="G2942" t="s">
        <v>22</v>
      </c>
      <c r="H2942" t="s">
        <v>23</v>
      </c>
      <c r="J2942">
        <v>0</v>
      </c>
      <c r="K2942">
        <v>0</v>
      </c>
    </row>
    <row r="2943" spans="2:11" x14ac:dyDescent="0.25">
      <c r="B2943" t="s">
        <v>6</v>
      </c>
      <c r="C2943" t="s">
        <v>312</v>
      </c>
      <c r="D2943">
        <v>703323</v>
      </c>
      <c r="E2943" t="s">
        <v>214</v>
      </c>
      <c r="F2943" t="s">
        <v>21</v>
      </c>
      <c r="G2943" t="s">
        <v>22</v>
      </c>
      <c r="H2943" t="s">
        <v>23</v>
      </c>
      <c r="J2943">
        <v>0</v>
      </c>
      <c r="K2943">
        <v>0</v>
      </c>
    </row>
    <row r="2944" spans="2:11" x14ac:dyDescent="0.25">
      <c r="B2944" t="s">
        <v>6</v>
      </c>
      <c r="C2944" t="s">
        <v>312</v>
      </c>
      <c r="D2944">
        <v>703324</v>
      </c>
      <c r="E2944" t="s">
        <v>215</v>
      </c>
      <c r="F2944" t="s">
        <v>21</v>
      </c>
      <c r="G2944" t="s">
        <v>22</v>
      </c>
      <c r="H2944" t="s">
        <v>23</v>
      </c>
      <c r="J2944">
        <v>0</v>
      </c>
      <c r="K2944">
        <v>0</v>
      </c>
    </row>
    <row r="2945" spans="2:11" x14ac:dyDescent="0.25">
      <c r="B2945" t="s">
        <v>6</v>
      </c>
      <c r="C2945" t="s">
        <v>312</v>
      </c>
      <c r="D2945">
        <v>703325</v>
      </c>
      <c r="E2945" t="s">
        <v>216</v>
      </c>
      <c r="F2945" t="s">
        <v>21</v>
      </c>
      <c r="G2945" t="s">
        <v>22</v>
      </c>
      <c r="H2945" t="s">
        <v>23</v>
      </c>
      <c r="J2945">
        <v>0</v>
      </c>
      <c r="K2945">
        <v>0</v>
      </c>
    </row>
    <row r="2946" spans="2:11" x14ac:dyDescent="0.25">
      <c r="B2946" t="s">
        <v>6</v>
      </c>
      <c r="C2946" t="s">
        <v>312</v>
      </c>
      <c r="D2946">
        <v>703326</v>
      </c>
      <c r="E2946" t="s">
        <v>217</v>
      </c>
      <c r="F2946" t="s">
        <v>21</v>
      </c>
      <c r="G2946" t="s">
        <v>22</v>
      </c>
      <c r="H2946" t="s">
        <v>23</v>
      </c>
      <c r="J2946">
        <v>0</v>
      </c>
      <c r="K2946">
        <v>0</v>
      </c>
    </row>
    <row r="2947" spans="2:11" x14ac:dyDescent="0.25">
      <c r="B2947" t="s">
        <v>6</v>
      </c>
      <c r="C2947" t="s">
        <v>312</v>
      </c>
      <c r="D2947">
        <v>703327</v>
      </c>
      <c r="E2947" t="s">
        <v>218</v>
      </c>
      <c r="F2947" t="s">
        <v>21</v>
      </c>
      <c r="G2947" t="s">
        <v>76</v>
      </c>
      <c r="H2947" t="s">
        <v>77</v>
      </c>
      <c r="J2947">
        <v>0</v>
      </c>
      <c r="K2947">
        <v>0</v>
      </c>
    </row>
    <row r="2948" spans="2:11" x14ac:dyDescent="0.25">
      <c r="B2948" t="s">
        <v>6</v>
      </c>
      <c r="C2948" t="s">
        <v>312</v>
      </c>
      <c r="D2948">
        <v>703328</v>
      </c>
      <c r="E2948" t="s">
        <v>219</v>
      </c>
      <c r="F2948" t="s">
        <v>21</v>
      </c>
      <c r="G2948" t="s">
        <v>22</v>
      </c>
      <c r="H2948" t="s">
        <v>23</v>
      </c>
      <c r="J2948">
        <v>0</v>
      </c>
      <c r="K2948">
        <v>0</v>
      </c>
    </row>
    <row r="2949" spans="2:11" x14ac:dyDescent="0.25">
      <c r="B2949" t="s">
        <v>6</v>
      </c>
      <c r="C2949" t="s">
        <v>312</v>
      </c>
      <c r="D2949">
        <v>703329</v>
      </c>
      <c r="E2949" t="s">
        <v>220</v>
      </c>
      <c r="F2949" t="s">
        <v>21</v>
      </c>
      <c r="G2949" t="s">
        <v>22</v>
      </c>
      <c r="H2949" t="s">
        <v>23</v>
      </c>
      <c r="J2949">
        <v>0</v>
      </c>
      <c r="K2949">
        <v>0</v>
      </c>
    </row>
    <row r="2950" spans="2:11" x14ac:dyDescent="0.25">
      <c r="B2950" t="s">
        <v>6</v>
      </c>
      <c r="C2950" t="s">
        <v>312</v>
      </c>
      <c r="D2950">
        <v>703330</v>
      </c>
      <c r="E2950" t="s">
        <v>221</v>
      </c>
      <c r="F2950" t="s">
        <v>21</v>
      </c>
      <c r="G2950" t="s">
        <v>22</v>
      </c>
      <c r="H2950" t="s">
        <v>23</v>
      </c>
      <c r="J2950">
        <v>0</v>
      </c>
      <c r="K2950">
        <v>0</v>
      </c>
    </row>
    <row r="2951" spans="2:11" x14ac:dyDescent="0.25">
      <c r="B2951" t="s">
        <v>6</v>
      </c>
      <c r="C2951" t="s">
        <v>312</v>
      </c>
      <c r="D2951">
        <v>703340</v>
      </c>
      <c r="E2951" t="s">
        <v>222</v>
      </c>
      <c r="F2951" t="s">
        <v>21</v>
      </c>
      <c r="G2951" t="s">
        <v>61</v>
      </c>
      <c r="H2951" t="s">
        <v>68</v>
      </c>
      <c r="J2951">
        <v>0</v>
      </c>
      <c r="K2951">
        <v>0</v>
      </c>
    </row>
    <row r="2952" spans="2:11" x14ac:dyDescent="0.25">
      <c r="B2952" t="s">
        <v>6</v>
      </c>
      <c r="C2952" t="s">
        <v>312</v>
      </c>
      <c r="D2952">
        <v>703350</v>
      </c>
      <c r="E2952" t="s">
        <v>223</v>
      </c>
      <c r="F2952" t="s">
        <v>21</v>
      </c>
      <c r="G2952" t="s">
        <v>22</v>
      </c>
      <c r="H2952" t="s">
        <v>23</v>
      </c>
      <c r="J2952">
        <v>0</v>
      </c>
      <c r="K2952">
        <v>0</v>
      </c>
    </row>
    <row r="2953" spans="2:11" x14ac:dyDescent="0.25">
      <c r="B2953" t="s">
        <v>6</v>
      </c>
      <c r="C2953" t="s">
        <v>312</v>
      </c>
      <c r="D2953">
        <v>703351</v>
      </c>
      <c r="E2953" t="s">
        <v>224</v>
      </c>
      <c r="F2953" t="s">
        <v>21</v>
      </c>
      <c r="G2953" t="s">
        <v>22</v>
      </c>
      <c r="H2953" t="s">
        <v>23</v>
      </c>
      <c r="J2953">
        <v>0</v>
      </c>
      <c r="K2953">
        <v>0</v>
      </c>
    </row>
    <row r="2954" spans="2:11" x14ac:dyDescent="0.25">
      <c r="B2954" t="s">
        <v>6</v>
      </c>
      <c r="C2954" t="s">
        <v>312</v>
      </c>
      <c r="D2954">
        <v>703352</v>
      </c>
      <c r="E2954" t="s">
        <v>225</v>
      </c>
      <c r="F2954" t="s">
        <v>21</v>
      </c>
      <c r="G2954" t="s">
        <v>22</v>
      </c>
      <c r="H2954" t="s">
        <v>23</v>
      </c>
      <c r="J2954">
        <v>0</v>
      </c>
      <c r="K2954">
        <v>0</v>
      </c>
    </row>
    <row r="2955" spans="2:11" x14ac:dyDescent="0.25">
      <c r="B2955" t="s">
        <v>6</v>
      </c>
      <c r="C2955" t="s">
        <v>312</v>
      </c>
      <c r="D2955">
        <v>703360</v>
      </c>
      <c r="E2955" t="s">
        <v>226</v>
      </c>
      <c r="F2955" t="s">
        <v>21</v>
      </c>
      <c r="G2955" t="s">
        <v>22</v>
      </c>
      <c r="H2955" t="s">
        <v>23</v>
      </c>
      <c r="J2955">
        <v>0</v>
      </c>
      <c r="K2955">
        <v>0</v>
      </c>
    </row>
    <row r="2956" spans="2:11" x14ac:dyDescent="0.25">
      <c r="B2956" t="s">
        <v>6</v>
      </c>
      <c r="C2956" t="s">
        <v>312</v>
      </c>
      <c r="D2956">
        <v>703370</v>
      </c>
      <c r="E2956" t="s">
        <v>227</v>
      </c>
      <c r="F2956" t="s">
        <v>21</v>
      </c>
      <c r="G2956" t="s">
        <v>22</v>
      </c>
      <c r="H2956" t="s">
        <v>23</v>
      </c>
      <c r="J2956">
        <v>0</v>
      </c>
      <c r="K2956">
        <v>0</v>
      </c>
    </row>
    <row r="2957" spans="2:11" x14ac:dyDescent="0.25">
      <c r="B2957" t="s">
        <v>6</v>
      </c>
      <c r="C2957" t="s">
        <v>312</v>
      </c>
      <c r="D2957">
        <v>703410</v>
      </c>
      <c r="E2957" t="s">
        <v>228</v>
      </c>
      <c r="F2957" t="s">
        <v>21</v>
      </c>
      <c r="G2957" t="s">
        <v>22</v>
      </c>
      <c r="H2957" t="s">
        <v>23</v>
      </c>
      <c r="J2957">
        <v>0</v>
      </c>
      <c r="K2957">
        <v>0</v>
      </c>
    </row>
    <row r="2958" spans="2:11" x14ac:dyDescent="0.25">
      <c r="B2958" t="s">
        <v>6</v>
      </c>
      <c r="C2958" t="s">
        <v>312</v>
      </c>
      <c r="D2958">
        <v>703411</v>
      </c>
      <c r="E2958" t="s">
        <v>229</v>
      </c>
      <c r="F2958" t="s">
        <v>21</v>
      </c>
      <c r="G2958" t="s">
        <v>22</v>
      </c>
      <c r="H2958" t="s">
        <v>23</v>
      </c>
      <c r="J2958">
        <v>0</v>
      </c>
      <c r="K2958">
        <v>0</v>
      </c>
    </row>
    <row r="2959" spans="2:11" x14ac:dyDescent="0.25">
      <c r="B2959" t="s">
        <v>6</v>
      </c>
      <c r="C2959" t="s">
        <v>312</v>
      </c>
      <c r="D2959">
        <v>703412</v>
      </c>
      <c r="E2959" t="s">
        <v>230</v>
      </c>
      <c r="F2959" t="s">
        <v>21</v>
      </c>
      <c r="G2959" t="s">
        <v>22</v>
      </c>
      <c r="H2959" t="s">
        <v>23</v>
      </c>
      <c r="J2959">
        <v>0</v>
      </c>
      <c r="K2959">
        <v>0</v>
      </c>
    </row>
    <row r="2960" spans="2:11" x14ac:dyDescent="0.25">
      <c r="B2960" t="s">
        <v>6</v>
      </c>
      <c r="C2960" t="s">
        <v>312</v>
      </c>
      <c r="D2960">
        <v>703420</v>
      </c>
      <c r="E2960" t="s">
        <v>231</v>
      </c>
      <c r="F2960" t="s">
        <v>21</v>
      </c>
      <c r="G2960" t="s">
        <v>71</v>
      </c>
      <c r="H2960" t="s">
        <v>171</v>
      </c>
      <c r="J2960">
        <v>0</v>
      </c>
      <c r="K2960">
        <v>0</v>
      </c>
    </row>
    <row r="2961" spans="2:11" x14ac:dyDescent="0.25">
      <c r="B2961" t="s">
        <v>6</v>
      </c>
      <c r="C2961" t="s">
        <v>312</v>
      </c>
      <c r="D2961">
        <v>703421</v>
      </c>
      <c r="E2961" t="s">
        <v>232</v>
      </c>
      <c r="F2961" t="s">
        <v>21</v>
      </c>
      <c r="G2961" t="s">
        <v>22</v>
      </c>
      <c r="H2961" t="s">
        <v>23</v>
      </c>
      <c r="J2961">
        <v>0</v>
      </c>
      <c r="K2961">
        <v>0</v>
      </c>
    </row>
    <row r="2962" spans="2:11" x14ac:dyDescent="0.25">
      <c r="B2962" t="s">
        <v>6</v>
      </c>
      <c r="C2962" t="s">
        <v>312</v>
      </c>
      <c r="D2962">
        <v>703422</v>
      </c>
      <c r="E2962" t="s">
        <v>233</v>
      </c>
      <c r="F2962" t="s">
        <v>21</v>
      </c>
      <c r="G2962" t="s">
        <v>76</v>
      </c>
      <c r="H2962" t="s">
        <v>77</v>
      </c>
      <c r="J2962">
        <v>0</v>
      </c>
      <c r="K2962">
        <v>0</v>
      </c>
    </row>
    <row r="2963" spans="2:11" x14ac:dyDescent="0.25">
      <c r="B2963" t="s">
        <v>6</v>
      </c>
      <c r="C2963" t="s">
        <v>312</v>
      </c>
      <c r="D2963">
        <v>703423</v>
      </c>
      <c r="E2963" t="s">
        <v>234</v>
      </c>
      <c r="F2963" t="s">
        <v>21</v>
      </c>
      <c r="G2963" t="s">
        <v>71</v>
      </c>
      <c r="H2963" t="s">
        <v>88</v>
      </c>
      <c r="J2963">
        <v>0</v>
      </c>
      <c r="K2963">
        <v>0</v>
      </c>
    </row>
    <row r="2964" spans="2:11" x14ac:dyDescent="0.25">
      <c r="B2964" t="s">
        <v>6</v>
      </c>
      <c r="C2964" t="s">
        <v>312</v>
      </c>
      <c r="D2964">
        <v>703424</v>
      </c>
      <c r="E2964" t="s">
        <v>235</v>
      </c>
      <c r="F2964" t="s">
        <v>21</v>
      </c>
      <c r="G2964" t="s">
        <v>71</v>
      </c>
      <c r="H2964" t="s">
        <v>88</v>
      </c>
      <c r="J2964">
        <v>0</v>
      </c>
      <c r="K2964">
        <v>0</v>
      </c>
    </row>
    <row r="2965" spans="2:11" x14ac:dyDescent="0.25">
      <c r="B2965" t="s">
        <v>6</v>
      </c>
      <c r="C2965" t="s">
        <v>312</v>
      </c>
      <c r="D2965">
        <v>703425</v>
      </c>
      <c r="E2965" t="s">
        <v>236</v>
      </c>
      <c r="F2965" t="s">
        <v>21</v>
      </c>
      <c r="G2965" t="s">
        <v>76</v>
      </c>
      <c r="H2965" t="s">
        <v>77</v>
      </c>
      <c r="J2965">
        <v>0</v>
      </c>
      <c r="K2965">
        <v>0</v>
      </c>
    </row>
    <row r="2966" spans="2:11" x14ac:dyDescent="0.25">
      <c r="B2966" t="s">
        <v>6</v>
      </c>
      <c r="C2966" t="s">
        <v>312</v>
      </c>
      <c r="D2966">
        <v>703426</v>
      </c>
      <c r="E2966" t="s">
        <v>237</v>
      </c>
      <c r="F2966" t="s">
        <v>21</v>
      </c>
      <c r="G2966" t="s">
        <v>22</v>
      </c>
      <c r="H2966" t="s">
        <v>23</v>
      </c>
      <c r="J2966">
        <v>0</v>
      </c>
      <c r="K2966">
        <v>0</v>
      </c>
    </row>
    <row r="2967" spans="2:11" x14ac:dyDescent="0.25">
      <c r="B2967" t="s">
        <v>6</v>
      </c>
      <c r="C2967" t="s">
        <v>312</v>
      </c>
      <c r="D2967">
        <v>703427</v>
      </c>
      <c r="E2967" t="s">
        <v>238</v>
      </c>
      <c r="F2967" t="s">
        <v>21</v>
      </c>
      <c r="G2967" t="s">
        <v>76</v>
      </c>
      <c r="H2967" t="s">
        <v>77</v>
      </c>
      <c r="J2967">
        <v>0</v>
      </c>
      <c r="K2967">
        <v>0</v>
      </c>
    </row>
    <row r="2968" spans="2:11" x14ac:dyDescent="0.25">
      <c r="B2968" t="s">
        <v>6</v>
      </c>
      <c r="C2968" t="s">
        <v>312</v>
      </c>
      <c r="D2968">
        <v>703428</v>
      </c>
      <c r="E2968" t="s">
        <v>239</v>
      </c>
      <c r="F2968" t="s">
        <v>21</v>
      </c>
      <c r="G2968" t="s">
        <v>76</v>
      </c>
      <c r="H2968" t="s">
        <v>77</v>
      </c>
      <c r="J2968">
        <v>0</v>
      </c>
      <c r="K2968">
        <v>0</v>
      </c>
    </row>
    <row r="2969" spans="2:11" x14ac:dyDescent="0.25">
      <c r="B2969" t="s">
        <v>6</v>
      </c>
      <c r="C2969" t="s">
        <v>312</v>
      </c>
      <c r="D2969">
        <v>703429</v>
      </c>
      <c r="E2969" t="s">
        <v>240</v>
      </c>
      <c r="F2969" t="s">
        <v>21</v>
      </c>
      <c r="G2969" t="s">
        <v>76</v>
      </c>
      <c r="H2969" t="s">
        <v>77</v>
      </c>
      <c r="J2969">
        <v>0</v>
      </c>
      <c r="K2969">
        <v>0</v>
      </c>
    </row>
    <row r="2970" spans="2:11" x14ac:dyDescent="0.25">
      <c r="B2970" t="s">
        <v>6</v>
      </c>
      <c r="C2970" t="s">
        <v>312</v>
      </c>
      <c r="D2970">
        <v>703430</v>
      </c>
      <c r="E2970" t="s">
        <v>20</v>
      </c>
      <c r="F2970" t="s">
        <v>21</v>
      </c>
      <c r="G2970" t="s">
        <v>22</v>
      </c>
      <c r="H2970" t="s">
        <v>23</v>
      </c>
      <c r="J2970">
        <v>0</v>
      </c>
      <c r="K2970">
        <v>0</v>
      </c>
    </row>
    <row r="2971" spans="2:11" x14ac:dyDescent="0.25">
      <c r="B2971" t="s">
        <v>6</v>
      </c>
      <c r="C2971" t="s">
        <v>312</v>
      </c>
      <c r="D2971">
        <v>703431</v>
      </c>
      <c r="E2971" t="s">
        <v>241</v>
      </c>
      <c r="F2971" t="s">
        <v>21</v>
      </c>
      <c r="G2971" t="s">
        <v>22</v>
      </c>
      <c r="H2971" t="s">
        <v>23</v>
      </c>
      <c r="J2971">
        <v>0</v>
      </c>
      <c r="K2971">
        <v>0</v>
      </c>
    </row>
    <row r="2972" spans="2:11" x14ac:dyDescent="0.25">
      <c r="B2972" t="s">
        <v>6</v>
      </c>
      <c r="C2972" t="s">
        <v>312</v>
      </c>
      <c r="D2972">
        <v>703432</v>
      </c>
      <c r="E2972" t="s">
        <v>242</v>
      </c>
      <c r="F2972" t="s">
        <v>21</v>
      </c>
      <c r="G2972" t="s">
        <v>22</v>
      </c>
      <c r="H2972" t="s">
        <v>23</v>
      </c>
      <c r="J2972">
        <v>0</v>
      </c>
      <c r="K2972">
        <v>0</v>
      </c>
    </row>
    <row r="2973" spans="2:11" x14ac:dyDescent="0.25">
      <c r="B2973" t="s">
        <v>6</v>
      </c>
      <c r="C2973" t="s">
        <v>312</v>
      </c>
      <c r="D2973">
        <v>703433</v>
      </c>
      <c r="E2973" t="s">
        <v>243</v>
      </c>
      <c r="F2973" t="s">
        <v>21</v>
      </c>
      <c r="G2973" t="s">
        <v>71</v>
      </c>
      <c r="H2973" t="s">
        <v>88</v>
      </c>
      <c r="J2973">
        <v>0</v>
      </c>
      <c r="K2973">
        <v>0</v>
      </c>
    </row>
    <row r="2974" spans="2:11" x14ac:dyDescent="0.25">
      <c r="B2974" t="s">
        <v>6</v>
      </c>
      <c r="C2974" t="s">
        <v>312</v>
      </c>
      <c r="D2974">
        <v>703434</v>
      </c>
      <c r="E2974" t="s">
        <v>244</v>
      </c>
      <c r="F2974" t="s">
        <v>21</v>
      </c>
      <c r="G2974" t="s">
        <v>22</v>
      </c>
      <c r="H2974" t="s">
        <v>23</v>
      </c>
      <c r="J2974">
        <v>0</v>
      </c>
      <c r="K2974">
        <v>0</v>
      </c>
    </row>
    <row r="2975" spans="2:11" x14ac:dyDescent="0.25">
      <c r="B2975" t="s">
        <v>6</v>
      </c>
      <c r="C2975" t="s">
        <v>312</v>
      </c>
      <c r="D2975">
        <v>703435</v>
      </c>
      <c r="E2975" t="s">
        <v>245</v>
      </c>
      <c r="F2975" t="s">
        <v>21</v>
      </c>
      <c r="G2975" t="s">
        <v>71</v>
      </c>
      <c r="H2975" t="s">
        <v>88</v>
      </c>
      <c r="J2975">
        <v>0</v>
      </c>
      <c r="K2975">
        <v>0</v>
      </c>
    </row>
    <row r="2976" spans="2:11" x14ac:dyDescent="0.25">
      <c r="B2976" t="s">
        <v>6</v>
      </c>
      <c r="C2976" t="s">
        <v>312</v>
      </c>
      <c r="D2976">
        <v>703436</v>
      </c>
      <c r="E2976" t="s">
        <v>246</v>
      </c>
      <c r="F2976" t="s">
        <v>21</v>
      </c>
      <c r="G2976" t="s">
        <v>71</v>
      </c>
      <c r="H2976" t="s">
        <v>88</v>
      </c>
      <c r="J2976">
        <v>0</v>
      </c>
      <c r="K2976">
        <v>0</v>
      </c>
    </row>
    <row r="2977" spans="2:11" x14ac:dyDescent="0.25">
      <c r="B2977" t="s">
        <v>6</v>
      </c>
      <c r="C2977" t="s">
        <v>312</v>
      </c>
      <c r="D2977">
        <v>703437</v>
      </c>
      <c r="E2977" t="s">
        <v>247</v>
      </c>
      <c r="F2977" t="s">
        <v>21</v>
      </c>
      <c r="G2977" t="s">
        <v>71</v>
      </c>
      <c r="H2977" t="s">
        <v>88</v>
      </c>
      <c r="J2977">
        <v>0</v>
      </c>
      <c r="K2977">
        <v>0</v>
      </c>
    </row>
    <row r="2978" spans="2:11" x14ac:dyDescent="0.25">
      <c r="B2978" t="s">
        <v>6</v>
      </c>
      <c r="C2978" t="s">
        <v>312</v>
      </c>
      <c r="D2978">
        <v>703438</v>
      </c>
      <c r="E2978" t="s">
        <v>248</v>
      </c>
      <c r="F2978" t="s">
        <v>21</v>
      </c>
      <c r="G2978" t="s">
        <v>71</v>
      </c>
      <c r="H2978" t="s">
        <v>88</v>
      </c>
      <c r="J2978">
        <v>0</v>
      </c>
      <c r="K2978">
        <v>0</v>
      </c>
    </row>
    <row r="2979" spans="2:11" x14ac:dyDescent="0.25">
      <c r="B2979" t="s">
        <v>6</v>
      </c>
      <c r="C2979" t="s">
        <v>312</v>
      </c>
      <c r="D2979">
        <v>703439</v>
      </c>
      <c r="E2979" t="s">
        <v>249</v>
      </c>
      <c r="F2979" t="s">
        <v>21</v>
      </c>
      <c r="G2979" t="s">
        <v>22</v>
      </c>
      <c r="H2979" t="s">
        <v>23</v>
      </c>
      <c r="J2979">
        <v>0</v>
      </c>
      <c r="K2979">
        <v>0</v>
      </c>
    </row>
    <row r="2980" spans="2:11" x14ac:dyDescent="0.25">
      <c r="B2980" t="s">
        <v>6</v>
      </c>
      <c r="C2980" t="s">
        <v>312</v>
      </c>
      <c r="D2980">
        <v>703440</v>
      </c>
      <c r="E2980" t="s">
        <v>250</v>
      </c>
      <c r="F2980" t="s">
        <v>21</v>
      </c>
      <c r="G2980" t="s">
        <v>61</v>
      </c>
      <c r="H2980" t="s">
        <v>68</v>
      </c>
      <c r="J2980">
        <v>0</v>
      </c>
      <c r="K2980">
        <v>0</v>
      </c>
    </row>
    <row r="2981" spans="2:11" x14ac:dyDescent="0.25">
      <c r="B2981" t="s">
        <v>6</v>
      </c>
      <c r="C2981" t="s">
        <v>312</v>
      </c>
      <c r="D2981">
        <v>703441</v>
      </c>
      <c r="E2981" t="s">
        <v>251</v>
      </c>
      <c r="F2981" t="s">
        <v>21</v>
      </c>
      <c r="G2981" t="s">
        <v>61</v>
      </c>
      <c r="H2981" t="s">
        <v>79</v>
      </c>
      <c r="J2981">
        <v>0</v>
      </c>
      <c r="K2981">
        <v>0</v>
      </c>
    </row>
    <row r="2982" spans="2:11" x14ac:dyDescent="0.25">
      <c r="B2982" t="s">
        <v>6</v>
      </c>
      <c r="C2982" t="s">
        <v>312</v>
      </c>
      <c r="D2982">
        <v>703442</v>
      </c>
      <c r="E2982" t="s">
        <v>252</v>
      </c>
      <c r="F2982" t="s">
        <v>21</v>
      </c>
      <c r="G2982" t="s">
        <v>76</v>
      </c>
      <c r="H2982" t="s">
        <v>77</v>
      </c>
      <c r="J2982">
        <v>0</v>
      </c>
      <c r="K2982">
        <v>0</v>
      </c>
    </row>
    <row r="2983" spans="2:11" x14ac:dyDescent="0.25">
      <c r="B2983" t="s">
        <v>6</v>
      </c>
      <c r="C2983" t="s">
        <v>312</v>
      </c>
      <c r="D2983">
        <v>703443</v>
      </c>
      <c r="E2983" t="s">
        <v>253</v>
      </c>
      <c r="F2983" t="s">
        <v>21</v>
      </c>
      <c r="G2983" t="s">
        <v>71</v>
      </c>
      <c r="H2983" t="s">
        <v>88</v>
      </c>
      <c r="J2983">
        <v>0</v>
      </c>
      <c r="K2983">
        <v>0</v>
      </c>
    </row>
    <row r="2984" spans="2:11" x14ac:dyDescent="0.25">
      <c r="B2984" t="s">
        <v>6</v>
      </c>
      <c r="C2984" t="s">
        <v>312</v>
      </c>
      <c r="D2984">
        <v>703444</v>
      </c>
      <c r="E2984" t="s">
        <v>254</v>
      </c>
      <c r="F2984" t="s">
        <v>21</v>
      </c>
      <c r="G2984" t="s">
        <v>22</v>
      </c>
      <c r="H2984" t="s">
        <v>23</v>
      </c>
      <c r="J2984">
        <v>0</v>
      </c>
      <c r="K2984">
        <v>0</v>
      </c>
    </row>
    <row r="2985" spans="2:11" x14ac:dyDescent="0.25">
      <c r="B2985" t="s">
        <v>6</v>
      </c>
      <c r="C2985" t="s">
        <v>312</v>
      </c>
      <c r="D2985">
        <v>703445</v>
      </c>
      <c r="E2985" t="s">
        <v>255</v>
      </c>
      <c r="F2985" t="s">
        <v>21</v>
      </c>
      <c r="G2985" t="s">
        <v>22</v>
      </c>
      <c r="H2985" t="s">
        <v>23</v>
      </c>
      <c r="J2985">
        <v>0</v>
      </c>
      <c r="K2985">
        <v>0</v>
      </c>
    </row>
    <row r="2986" spans="2:11" x14ac:dyDescent="0.25">
      <c r="B2986" t="s">
        <v>6</v>
      </c>
      <c r="C2986" t="s">
        <v>312</v>
      </c>
      <c r="D2986">
        <v>703446</v>
      </c>
      <c r="E2986" t="s">
        <v>256</v>
      </c>
      <c r="F2986" t="s">
        <v>21</v>
      </c>
      <c r="G2986" t="s">
        <v>22</v>
      </c>
      <c r="H2986" t="s">
        <v>23</v>
      </c>
      <c r="J2986">
        <v>0</v>
      </c>
      <c r="K2986">
        <v>0</v>
      </c>
    </row>
    <row r="2987" spans="2:11" x14ac:dyDescent="0.25">
      <c r="B2987" t="s">
        <v>6</v>
      </c>
      <c r="C2987" t="s">
        <v>312</v>
      </c>
      <c r="D2987">
        <v>703447</v>
      </c>
      <c r="E2987" t="s">
        <v>257</v>
      </c>
      <c r="F2987" t="s">
        <v>21</v>
      </c>
      <c r="G2987" t="s">
        <v>22</v>
      </c>
      <c r="H2987" t="s">
        <v>23</v>
      </c>
      <c r="J2987">
        <v>0</v>
      </c>
      <c r="K2987">
        <v>0</v>
      </c>
    </row>
    <row r="2988" spans="2:11" x14ac:dyDescent="0.25">
      <c r="B2988" t="s">
        <v>6</v>
      </c>
      <c r="C2988" t="s">
        <v>312</v>
      </c>
      <c r="D2988">
        <v>703448</v>
      </c>
      <c r="E2988" t="s">
        <v>258</v>
      </c>
      <c r="F2988" t="s">
        <v>21</v>
      </c>
      <c r="G2988" t="s">
        <v>22</v>
      </c>
      <c r="H2988" t="s">
        <v>23</v>
      </c>
      <c r="J2988">
        <v>0</v>
      </c>
      <c r="K2988">
        <v>0</v>
      </c>
    </row>
    <row r="2989" spans="2:11" x14ac:dyDescent="0.25">
      <c r="B2989" t="s">
        <v>6</v>
      </c>
      <c r="C2989" t="s">
        <v>312</v>
      </c>
      <c r="D2989">
        <v>703449</v>
      </c>
      <c r="E2989" t="s">
        <v>259</v>
      </c>
      <c r="F2989" t="s">
        <v>21</v>
      </c>
      <c r="G2989" t="s">
        <v>22</v>
      </c>
      <c r="H2989" t="s">
        <v>23</v>
      </c>
      <c r="J2989">
        <v>0</v>
      </c>
      <c r="K2989">
        <v>0</v>
      </c>
    </row>
    <row r="2990" spans="2:11" x14ac:dyDescent="0.25">
      <c r="B2990" t="s">
        <v>6</v>
      </c>
      <c r="C2990" t="s">
        <v>312</v>
      </c>
      <c r="D2990">
        <v>703450</v>
      </c>
      <c r="E2990" t="s">
        <v>260</v>
      </c>
      <c r="F2990" t="s">
        <v>21</v>
      </c>
      <c r="G2990" t="s">
        <v>71</v>
      </c>
      <c r="H2990" t="s">
        <v>88</v>
      </c>
      <c r="J2990">
        <v>0</v>
      </c>
      <c r="K2990">
        <v>0</v>
      </c>
    </row>
    <row r="2991" spans="2:11" x14ac:dyDescent="0.25">
      <c r="B2991" t="s">
        <v>6</v>
      </c>
      <c r="C2991" t="s">
        <v>312</v>
      </c>
      <c r="D2991">
        <v>703510</v>
      </c>
      <c r="E2991" t="s">
        <v>261</v>
      </c>
      <c r="F2991" t="s">
        <v>21</v>
      </c>
      <c r="G2991" t="s">
        <v>22</v>
      </c>
      <c r="H2991" t="s">
        <v>23</v>
      </c>
      <c r="J2991">
        <v>0</v>
      </c>
      <c r="K2991">
        <v>0</v>
      </c>
    </row>
    <row r="2992" spans="2:11" x14ac:dyDescent="0.25">
      <c r="B2992" t="s">
        <v>6</v>
      </c>
      <c r="C2992" t="s">
        <v>312</v>
      </c>
      <c r="D2992">
        <v>703511</v>
      </c>
      <c r="E2992" t="s">
        <v>262</v>
      </c>
      <c r="F2992" t="s">
        <v>21</v>
      </c>
      <c r="G2992" t="s">
        <v>22</v>
      </c>
      <c r="H2992" t="s">
        <v>23</v>
      </c>
      <c r="J2992">
        <v>0</v>
      </c>
      <c r="K2992">
        <v>0</v>
      </c>
    </row>
    <row r="2993" spans="2:11" x14ac:dyDescent="0.25">
      <c r="B2993" t="s">
        <v>6</v>
      </c>
      <c r="C2993" t="s">
        <v>312</v>
      </c>
      <c r="D2993">
        <v>703512</v>
      </c>
      <c r="E2993" t="s">
        <v>263</v>
      </c>
      <c r="F2993" t="s">
        <v>21</v>
      </c>
      <c r="G2993" t="s">
        <v>22</v>
      </c>
      <c r="H2993" t="s">
        <v>23</v>
      </c>
      <c r="J2993">
        <v>0</v>
      </c>
      <c r="K2993">
        <v>0</v>
      </c>
    </row>
    <row r="2994" spans="2:11" x14ac:dyDescent="0.25">
      <c r="B2994" t="s">
        <v>6</v>
      </c>
      <c r="C2994" t="s">
        <v>312</v>
      </c>
      <c r="D2994">
        <v>703513</v>
      </c>
      <c r="E2994" t="s">
        <v>264</v>
      </c>
      <c r="F2994" t="s">
        <v>21</v>
      </c>
      <c r="G2994" t="s">
        <v>22</v>
      </c>
      <c r="H2994" t="s">
        <v>23</v>
      </c>
      <c r="J2994">
        <v>0</v>
      </c>
      <c r="K2994">
        <v>0</v>
      </c>
    </row>
    <row r="2995" spans="2:11" x14ac:dyDescent="0.25">
      <c r="B2995" t="s">
        <v>6</v>
      </c>
      <c r="C2995" t="s">
        <v>312</v>
      </c>
      <c r="D2995">
        <v>703514</v>
      </c>
      <c r="E2995" t="s">
        <v>265</v>
      </c>
      <c r="F2995" t="s">
        <v>21</v>
      </c>
      <c r="G2995" t="s">
        <v>22</v>
      </c>
      <c r="H2995" t="s">
        <v>23</v>
      </c>
      <c r="J2995">
        <v>0</v>
      </c>
      <c r="K2995">
        <v>0</v>
      </c>
    </row>
    <row r="2996" spans="2:11" x14ac:dyDescent="0.25">
      <c r="B2996" t="s">
        <v>6</v>
      </c>
      <c r="C2996" t="s">
        <v>312</v>
      </c>
      <c r="D2996">
        <v>703515</v>
      </c>
      <c r="E2996" t="s">
        <v>266</v>
      </c>
      <c r="F2996" t="s">
        <v>21</v>
      </c>
      <c r="G2996" t="s">
        <v>22</v>
      </c>
      <c r="H2996" t="s">
        <v>23</v>
      </c>
      <c r="J2996">
        <v>0</v>
      </c>
      <c r="K2996">
        <v>0</v>
      </c>
    </row>
    <row r="2997" spans="2:11" x14ac:dyDescent="0.25">
      <c r="B2997" t="s">
        <v>6</v>
      </c>
      <c r="C2997" t="s">
        <v>312</v>
      </c>
      <c r="D2997">
        <v>703520</v>
      </c>
      <c r="E2997" t="s">
        <v>267</v>
      </c>
      <c r="F2997" t="s">
        <v>21</v>
      </c>
      <c r="G2997" t="s">
        <v>22</v>
      </c>
      <c r="H2997" t="s">
        <v>23</v>
      </c>
      <c r="J2997">
        <v>0</v>
      </c>
      <c r="K2997">
        <v>0</v>
      </c>
    </row>
    <row r="2998" spans="2:11" x14ac:dyDescent="0.25">
      <c r="B2998" t="s">
        <v>6</v>
      </c>
      <c r="C2998" t="s">
        <v>312</v>
      </c>
      <c r="D2998">
        <v>703530</v>
      </c>
      <c r="E2998" t="s">
        <v>268</v>
      </c>
      <c r="F2998" t="s">
        <v>21</v>
      </c>
      <c r="G2998" t="s">
        <v>22</v>
      </c>
      <c r="H2998" t="s">
        <v>23</v>
      </c>
      <c r="J2998">
        <v>0</v>
      </c>
      <c r="K2998">
        <v>0</v>
      </c>
    </row>
    <row r="2999" spans="2:11" x14ac:dyDescent="0.25">
      <c r="B2999" t="s">
        <v>6</v>
      </c>
      <c r="C2999" t="s">
        <v>312</v>
      </c>
      <c r="D2999">
        <v>703540</v>
      </c>
      <c r="E2999" t="s">
        <v>269</v>
      </c>
      <c r="F2999" t="s">
        <v>21</v>
      </c>
      <c r="G2999" t="s">
        <v>22</v>
      </c>
      <c r="H2999" t="s">
        <v>23</v>
      </c>
      <c r="J2999">
        <v>0</v>
      </c>
      <c r="K2999">
        <v>0</v>
      </c>
    </row>
    <row r="3000" spans="2:11" x14ac:dyDescent="0.25">
      <c r="B3000" t="s">
        <v>6</v>
      </c>
      <c r="C3000" t="s">
        <v>312</v>
      </c>
      <c r="D3000">
        <v>703550</v>
      </c>
      <c r="E3000" t="s">
        <v>270</v>
      </c>
      <c r="F3000" t="s">
        <v>21</v>
      </c>
      <c r="G3000" t="s">
        <v>22</v>
      </c>
      <c r="H3000" t="s">
        <v>23</v>
      </c>
      <c r="J3000">
        <v>0</v>
      </c>
      <c r="K3000">
        <v>0</v>
      </c>
    </row>
    <row r="3001" spans="2:11" x14ac:dyDescent="0.25">
      <c r="B3001" t="s">
        <v>6</v>
      </c>
      <c r="C3001" t="s">
        <v>312</v>
      </c>
      <c r="D3001">
        <v>703560</v>
      </c>
      <c r="E3001" t="s">
        <v>271</v>
      </c>
      <c r="F3001" t="s">
        <v>21</v>
      </c>
      <c r="G3001" t="s">
        <v>22</v>
      </c>
      <c r="H3001" t="s">
        <v>23</v>
      </c>
      <c r="J3001">
        <v>0</v>
      </c>
      <c r="K3001">
        <v>0</v>
      </c>
    </row>
    <row r="3002" spans="2:11" x14ac:dyDescent="0.25">
      <c r="B3002" t="s">
        <v>6</v>
      </c>
      <c r="C3002" t="s">
        <v>312</v>
      </c>
      <c r="D3002">
        <v>703570</v>
      </c>
      <c r="E3002" t="s">
        <v>272</v>
      </c>
      <c r="F3002" t="s">
        <v>21</v>
      </c>
      <c r="G3002" t="s">
        <v>22</v>
      </c>
      <c r="H3002" t="s">
        <v>23</v>
      </c>
      <c r="J3002">
        <v>0</v>
      </c>
      <c r="K3002">
        <v>0</v>
      </c>
    </row>
    <row r="3003" spans="2:11" x14ac:dyDescent="0.25">
      <c r="B3003" t="s">
        <v>6</v>
      </c>
      <c r="C3003" t="s">
        <v>312</v>
      </c>
      <c r="D3003">
        <v>703571</v>
      </c>
      <c r="E3003" t="s">
        <v>273</v>
      </c>
      <c r="F3003" t="s">
        <v>21</v>
      </c>
      <c r="G3003" t="s">
        <v>22</v>
      </c>
      <c r="H3003" t="s">
        <v>23</v>
      </c>
      <c r="J3003">
        <v>0</v>
      </c>
    </row>
    <row r="3004" spans="2:11" x14ac:dyDescent="0.25">
      <c r="B3004" t="s">
        <v>6</v>
      </c>
      <c r="C3004" t="s">
        <v>312</v>
      </c>
      <c r="D3004">
        <v>703572</v>
      </c>
      <c r="E3004" t="s">
        <v>274</v>
      </c>
      <c r="F3004" t="s">
        <v>21</v>
      </c>
      <c r="G3004" t="s">
        <v>22</v>
      </c>
      <c r="H3004" t="s">
        <v>23</v>
      </c>
      <c r="J3004">
        <v>0</v>
      </c>
    </row>
    <row r="3005" spans="2:11" x14ac:dyDescent="0.25">
      <c r="B3005" t="s">
        <v>6</v>
      </c>
      <c r="C3005" t="s">
        <v>312</v>
      </c>
      <c r="D3005">
        <v>703573</v>
      </c>
      <c r="E3005" t="s">
        <v>275</v>
      </c>
      <c r="F3005" t="s">
        <v>21</v>
      </c>
      <c r="G3005" t="s">
        <v>22</v>
      </c>
      <c r="H3005" t="s">
        <v>23</v>
      </c>
      <c r="J3005">
        <v>0</v>
      </c>
    </row>
    <row r="3006" spans="2:11" x14ac:dyDescent="0.25">
      <c r="B3006" t="s">
        <v>6</v>
      </c>
      <c r="C3006" t="s">
        <v>312</v>
      </c>
      <c r="D3006">
        <v>703574</v>
      </c>
      <c r="E3006" t="s">
        <v>276</v>
      </c>
      <c r="F3006" t="s">
        <v>21</v>
      </c>
      <c r="G3006" t="s">
        <v>22</v>
      </c>
      <c r="H3006" t="s">
        <v>23</v>
      </c>
      <c r="J3006">
        <v>0</v>
      </c>
    </row>
    <row r="3007" spans="2:11" x14ac:dyDescent="0.25">
      <c r="B3007" t="s">
        <v>6</v>
      </c>
      <c r="C3007" t="s">
        <v>312</v>
      </c>
      <c r="D3007">
        <v>703580</v>
      </c>
      <c r="E3007" t="s">
        <v>277</v>
      </c>
      <c r="F3007" t="s">
        <v>21</v>
      </c>
      <c r="G3007" t="s">
        <v>22</v>
      </c>
      <c r="H3007" t="s">
        <v>23</v>
      </c>
      <c r="J3007">
        <v>0</v>
      </c>
      <c r="K3007">
        <v>0</v>
      </c>
    </row>
    <row r="3008" spans="2:11" x14ac:dyDescent="0.25">
      <c r="B3008" t="s">
        <v>6</v>
      </c>
      <c r="C3008" t="s">
        <v>312</v>
      </c>
      <c r="D3008">
        <v>703590</v>
      </c>
      <c r="E3008" t="s">
        <v>278</v>
      </c>
      <c r="F3008" t="s">
        <v>21</v>
      </c>
      <c r="G3008" t="s">
        <v>22</v>
      </c>
      <c r="H3008" t="s">
        <v>23</v>
      </c>
      <c r="J3008">
        <v>0</v>
      </c>
      <c r="K3008">
        <v>0</v>
      </c>
    </row>
    <row r="3009" spans="2:11" x14ac:dyDescent="0.25">
      <c r="B3009" t="s">
        <v>6</v>
      </c>
      <c r="C3009" t="s">
        <v>312</v>
      </c>
      <c r="D3009">
        <v>703650</v>
      </c>
      <c r="E3009" t="s">
        <v>279</v>
      </c>
      <c r="F3009" t="s">
        <v>21</v>
      </c>
      <c r="G3009" t="s">
        <v>22</v>
      </c>
      <c r="H3009" t="s">
        <v>23</v>
      </c>
      <c r="J3009">
        <v>0</v>
      </c>
      <c r="K3009">
        <v>0</v>
      </c>
    </row>
    <row r="3010" spans="2:11" x14ac:dyDescent="0.25">
      <c r="B3010" t="s">
        <v>6</v>
      </c>
      <c r="C3010" t="s">
        <v>312</v>
      </c>
      <c r="D3010">
        <v>703651</v>
      </c>
      <c r="E3010" t="s">
        <v>280</v>
      </c>
      <c r="F3010" t="s">
        <v>21</v>
      </c>
      <c r="G3010" t="s">
        <v>22</v>
      </c>
      <c r="H3010" t="s">
        <v>23</v>
      </c>
      <c r="J3010">
        <v>0</v>
      </c>
      <c r="K3010">
        <v>0</v>
      </c>
    </row>
    <row r="3011" spans="2:11" x14ac:dyDescent="0.25">
      <c r="B3011" t="s">
        <v>6</v>
      </c>
      <c r="C3011" t="s">
        <v>312</v>
      </c>
      <c r="D3011">
        <v>703850</v>
      </c>
      <c r="E3011" t="s">
        <v>281</v>
      </c>
      <c r="F3011" t="s">
        <v>21</v>
      </c>
      <c r="G3011" t="s">
        <v>22</v>
      </c>
      <c r="H3011" t="s">
        <v>23</v>
      </c>
      <c r="J3011">
        <v>0</v>
      </c>
      <c r="K3011">
        <v>0</v>
      </c>
    </row>
    <row r="3012" spans="2:11" x14ac:dyDescent="0.25">
      <c r="B3012" t="s">
        <v>6</v>
      </c>
      <c r="C3012" t="s">
        <v>312</v>
      </c>
      <c r="D3012">
        <v>703851</v>
      </c>
      <c r="E3012" t="s">
        <v>282</v>
      </c>
      <c r="F3012" t="s">
        <v>21</v>
      </c>
      <c r="G3012" t="s">
        <v>22</v>
      </c>
      <c r="H3012" t="s">
        <v>23</v>
      </c>
      <c r="J3012">
        <v>0</v>
      </c>
      <c r="K3012">
        <v>0</v>
      </c>
    </row>
    <row r="3013" spans="2:11" x14ac:dyDescent="0.25">
      <c r="B3013" t="s">
        <v>6</v>
      </c>
      <c r="C3013" t="s">
        <v>312</v>
      </c>
      <c r="D3013">
        <v>703852</v>
      </c>
      <c r="E3013" t="s">
        <v>283</v>
      </c>
      <c r="F3013" t="s">
        <v>21</v>
      </c>
      <c r="G3013" t="s">
        <v>22</v>
      </c>
      <c r="H3013" t="s">
        <v>23</v>
      </c>
      <c r="J3013">
        <v>0</v>
      </c>
      <c r="K3013">
        <v>0</v>
      </c>
    </row>
    <row r="3014" spans="2:11" x14ac:dyDescent="0.25">
      <c r="B3014" t="s">
        <v>6</v>
      </c>
      <c r="C3014" t="s">
        <v>312</v>
      </c>
      <c r="D3014">
        <v>703853</v>
      </c>
      <c r="E3014" t="s">
        <v>284</v>
      </c>
      <c r="F3014" t="s">
        <v>21</v>
      </c>
      <c r="G3014" t="s">
        <v>22</v>
      </c>
      <c r="H3014" t="s">
        <v>23</v>
      </c>
      <c r="J3014">
        <v>0</v>
      </c>
      <c r="K3014">
        <v>0</v>
      </c>
    </row>
    <row r="3015" spans="2:11" x14ac:dyDescent="0.25">
      <c r="B3015" t="s">
        <v>6</v>
      </c>
      <c r="C3015" t="s">
        <v>312</v>
      </c>
      <c r="D3015">
        <v>703854</v>
      </c>
      <c r="E3015" t="s">
        <v>285</v>
      </c>
      <c r="F3015" t="s">
        <v>21</v>
      </c>
      <c r="G3015" t="s">
        <v>22</v>
      </c>
      <c r="H3015" t="s">
        <v>115</v>
      </c>
      <c r="J3015">
        <v>0</v>
      </c>
      <c r="K3015">
        <v>0</v>
      </c>
    </row>
    <row r="3016" spans="2:11" x14ac:dyDescent="0.25">
      <c r="B3016" t="s">
        <v>6</v>
      </c>
      <c r="C3016" t="s">
        <v>312</v>
      </c>
      <c r="D3016">
        <v>703855</v>
      </c>
      <c r="E3016" t="s">
        <v>286</v>
      </c>
      <c r="F3016" t="s">
        <v>21</v>
      </c>
      <c r="G3016" t="s">
        <v>22</v>
      </c>
      <c r="H3016" t="s">
        <v>23</v>
      </c>
      <c r="J3016">
        <v>0</v>
      </c>
      <c r="K3016">
        <v>0</v>
      </c>
    </row>
    <row r="3017" spans="2:11" x14ac:dyDescent="0.25">
      <c r="B3017" t="s">
        <v>6</v>
      </c>
      <c r="C3017" t="s">
        <v>312</v>
      </c>
      <c r="D3017">
        <v>703856</v>
      </c>
      <c r="E3017" t="s">
        <v>287</v>
      </c>
      <c r="F3017" t="s">
        <v>21</v>
      </c>
      <c r="G3017" t="s">
        <v>22</v>
      </c>
      <c r="H3017" t="s">
        <v>23</v>
      </c>
      <c r="J3017">
        <v>0</v>
      </c>
      <c r="K3017">
        <v>0</v>
      </c>
    </row>
    <row r="3018" spans="2:11" x14ac:dyDescent="0.25">
      <c r="B3018" t="s">
        <v>6</v>
      </c>
      <c r="C3018" t="s">
        <v>312</v>
      </c>
      <c r="D3018">
        <v>703857</v>
      </c>
      <c r="E3018" t="s">
        <v>288</v>
      </c>
      <c r="F3018" t="s">
        <v>21</v>
      </c>
      <c r="G3018" t="s">
        <v>71</v>
      </c>
      <c r="H3018" t="s">
        <v>88</v>
      </c>
      <c r="J3018">
        <v>0</v>
      </c>
      <c r="K3018">
        <v>0</v>
      </c>
    </row>
    <row r="3019" spans="2:11" x14ac:dyDescent="0.25">
      <c r="B3019" t="s">
        <v>6</v>
      </c>
      <c r="C3019" t="s">
        <v>312</v>
      </c>
      <c r="D3019">
        <v>703858</v>
      </c>
      <c r="E3019" t="s">
        <v>289</v>
      </c>
      <c r="F3019" t="s">
        <v>21</v>
      </c>
      <c r="G3019" t="s">
        <v>22</v>
      </c>
      <c r="H3019" t="s">
        <v>23</v>
      </c>
      <c r="J3019">
        <v>0</v>
      </c>
      <c r="K3019">
        <v>0</v>
      </c>
    </row>
    <row r="3020" spans="2:11" x14ac:dyDescent="0.25">
      <c r="B3020" t="s">
        <v>6</v>
      </c>
      <c r="C3020" t="s">
        <v>312</v>
      </c>
      <c r="D3020">
        <v>703859</v>
      </c>
      <c r="E3020" t="s">
        <v>290</v>
      </c>
      <c r="F3020" t="s">
        <v>21</v>
      </c>
      <c r="G3020" t="s">
        <v>22</v>
      </c>
      <c r="H3020" t="s">
        <v>23</v>
      </c>
      <c r="J3020">
        <v>0</v>
      </c>
      <c r="K3020">
        <v>0</v>
      </c>
    </row>
    <row r="3021" spans="2:11" x14ac:dyDescent="0.25">
      <c r="B3021" t="s">
        <v>6</v>
      </c>
      <c r="C3021" t="s">
        <v>312</v>
      </c>
      <c r="D3021">
        <v>703860</v>
      </c>
      <c r="E3021" t="s">
        <v>291</v>
      </c>
      <c r="F3021" t="s">
        <v>21</v>
      </c>
      <c r="G3021" t="s">
        <v>22</v>
      </c>
      <c r="H3021" t="s">
        <v>23</v>
      </c>
      <c r="J3021">
        <v>0</v>
      </c>
      <c r="K3021">
        <v>0</v>
      </c>
    </row>
    <row r="3022" spans="2:11" x14ac:dyDescent="0.25">
      <c r="B3022" t="s">
        <v>6</v>
      </c>
      <c r="C3022" t="s">
        <v>312</v>
      </c>
      <c r="D3022">
        <v>703861</v>
      </c>
      <c r="E3022" t="s">
        <v>292</v>
      </c>
      <c r="F3022" t="s">
        <v>21</v>
      </c>
      <c r="G3022" t="s">
        <v>22</v>
      </c>
      <c r="H3022" t="s">
        <v>23</v>
      </c>
      <c r="J3022">
        <v>0</v>
      </c>
      <c r="K3022">
        <v>0</v>
      </c>
    </row>
    <row r="3023" spans="2:11" x14ac:dyDescent="0.25">
      <c r="B3023" t="s">
        <v>6</v>
      </c>
      <c r="C3023" t="s">
        <v>312</v>
      </c>
      <c r="D3023">
        <v>703862</v>
      </c>
      <c r="E3023" t="s">
        <v>293</v>
      </c>
      <c r="F3023" t="s">
        <v>21</v>
      </c>
      <c r="G3023" t="s">
        <v>22</v>
      </c>
      <c r="H3023" t="s">
        <v>23</v>
      </c>
      <c r="J3023">
        <v>0</v>
      </c>
      <c r="K3023">
        <v>0</v>
      </c>
    </row>
    <row r="3024" spans="2:11" x14ac:dyDescent="0.25">
      <c r="B3024" t="s">
        <v>6</v>
      </c>
      <c r="C3024" t="s">
        <v>312</v>
      </c>
      <c r="D3024">
        <v>703870</v>
      </c>
      <c r="E3024" t="s">
        <v>294</v>
      </c>
      <c r="F3024" t="s">
        <v>21</v>
      </c>
      <c r="G3024" t="s">
        <v>22</v>
      </c>
      <c r="H3024" t="s">
        <v>23</v>
      </c>
      <c r="J3024">
        <v>0</v>
      </c>
      <c r="K3024">
        <v>0</v>
      </c>
    </row>
    <row r="3025" spans="2:11" x14ac:dyDescent="0.25">
      <c r="B3025" t="s">
        <v>6</v>
      </c>
      <c r="C3025" t="s">
        <v>312</v>
      </c>
      <c r="D3025">
        <v>703880</v>
      </c>
      <c r="E3025" t="s">
        <v>295</v>
      </c>
      <c r="F3025" t="s">
        <v>21</v>
      </c>
      <c r="G3025" t="s">
        <v>22</v>
      </c>
      <c r="H3025" t="s">
        <v>23</v>
      </c>
      <c r="J3025">
        <v>0</v>
      </c>
      <c r="K3025">
        <v>0</v>
      </c>
    </row>
    <row r="3026" spans="2:11" x14ac:dyDescent="0.25">
      <c r="B3026" t="s">
        <v>6</v>
      </c>
      <c r="C3026" t="s">
        <v>312</v>
      </c>
      <c r="D3026">
        <v>703899</v>
      </c>
      <c r="E3026" t="s">
        <v>296</v>
      </c>
      <c r="F3026" t="s">
        <v>21</v>
      </c>
      <c r="G3026" t="s">
        <v>22</v>
      </c>
      <c r="H3026" t="s">
        <v>23</v>
      </c>
      <c r="J3026">
        <v>0</v>
      </c>
      <c r="K3026">
        <v>0</v>
      </c>
    </row>
    <row r="3027" spans="2:11" x14ac:dyDescent="0.25">
      <c r="B3027" t="s">
        <v>6</v>
      </c>
      <c r="C3027" t="s">
        <v>312</v>
      </c>
      <c r="D3027">
        <v>706700</v>
      </c>
      <c r="E3027" t="s">
        <v>25</v>
      </c>
      <c r="F3027" t="s">
        <v>26</v>
      </c>
      <c r="G3027" t="s">
        <v>27</v>
      </c>
      <c r="H3027" t="s">
        <v>28</v>
      </c>
      <c r="J3027">
        <v>0</v>
      </c>
      <c r="K3027">
        <v>0</v>
      </c>
    </row>
    <row r="3028" spans="2:11" x14ac:dyDescent="0.25">
      <c r="B3028" t="s">
        <v>6</v>
      </c>
      <c r="C3028" t="s">
        <v>312</v>
      </c>
      <c r="D3028" t="s">
        <v>29</v>
      </c>
      <c r="E3028" t="s">
        <v>30</v>
      </c>
      <c r="F3028" t="s">
        <v>26</v>
      </c>
      <c r="G3028" t="s">
        <v>27</v>
      </c>
      <c r="H3028" t="s">
        <v>31</v>
      </c>
      <c r="J3028">
        <v>0</v>
      </c>
      <c r="K3028">
        <v>0</v>
      </c>
    </row>
    <row r="3029" spans="2:11" x14ac:dyDescent="0.25">
      <c r="B3029" t="s">
        <v>6</v>
      </c>
      <c r="C3029" t="s">
        <v>312</v>
      </c>
      <c r="D3029" t="s">
        <v>32</v>
      </c>
      <c r="E3029" t="s">
        <v>33</v>
      </c>
      <c r="F3029" t="s">
        <v>26</v>
      </c>
      <c r="G3029" t="s">
        <v>27</v>
      </c>
      <c r="H3029" t="s">
        <v>28</v>
      </c>
      <c r="J3029">
        <v>0</v>
      </c>
      <c r="K3029">
        <v>0</v>
      </c>
    </row>
    <row r="3030" spans="2:11" x14ac:dyDescent="0.25">
      <c r="B3030" t="s">
        <v>6</v>
      </c>
      <c r="C3030" t="s">
        <v>312</v>
      </c>
      <c r="D3030" t="s">
        <v>34</v>
      </c>
      <c r="E3030" t="s">
        <v>35</v>
      </c>
      <c r="F3030" t="s">
        <v>26</v>
      </c>
      <c r="G3030" t="s">
        <v>36</v>
      </c>
      <c r="H3030" t="s">
        <v>36</v>
      </c>
      <c r="J3030">
        <v>0</v>
      </c>
      <c r="K3030">
        <v>0</v>
      </c>
    </row>
    <row r="3031" spans="2:11" x14ac:dyDescent="0.25">
      <c r="B3031" t="s">
        <v>6</v>
      </c>
      <c r="C3031" t="s">
        <v>312</v>
      </c>
      <c r="D3031" t="s">
        <v>37</v>
      </c>
      <c r="E3031" t="s">
        <v>38</v>
      </c>
      <c r="F3031" t="s">
        <v>21</v>
      </c>
      <c r="G3031" t="s">
        <v>39</v>
      </c>
      <c r="H3031" t="s">
        <v>39</v>
      </c>
      <c r="J3031">
        <v>0</v>
      </c>
      <c r="K3031">
        <v>0</v>
      </c>
    </row>
    <row r="3032" spans="2:11" x14ac:dyDescent="0.25">
      <c r="B3032" t="s">
        <v>6</v>
      </c>
      <c r="C3032" t="s">
        <v>312</v>
      </c>
      <c r="D3032" t="s">
        <v>40</v>
      </c>
      <c r="E3032" t="s">
        <v>41</v>
      </c>
      <c r="F3032" t="s">
        <v>26</v>
      </c>
      <c r="G3032" t="s">
        <v>39</v>
      </c>
      <c r="H3032" t="s">
        <v>39</v>
      </c>
      <c r="J3032">
        <v>0</v>
      </c>
      <c r="K3032">
        <v>0</v>
      </c>
    </row>
    <row r="3033" spans="2:11" x14ac:dyDescent="0.25">
      <c r="B3033" t="s">
        <v>6</v>
      </c>
      <c r="C3033" t="s">
        <v>312</v>
      </c>
      <c r="D3033" t="s">
        <v>42</v>
      </c>
      <c r="E3033" t="s">
        <v>43</v>
      </c>
      <c r="F3033" t="s">
        <v>21</v>
      </c>
      <c r="G3033" t="s">
        <v>44</v>
      </c>
      <c r="H3033" t="s">
        <v>44</v>
      </c>
      <c r="J3033">
        <v>0</v>
      </c>
      <c r="K3033">
        <v>0</v>
      </c>
    </row>
    <row r="3034" spans="2:11" x14ac:dyDescent="0.25">
      <c r="B3034" t="s">
        <v>6</v>
      </c>
      <c r="C3034" t="s">
        <v>312</v>
      </c>
      <c r="D3034" t="s">
        <v>45</v>
      </c>
      <c r="E3034" t="s">
        <v>46</v>
      </c>
      <c r="F3034" t="s">
        <v>26</v>
      </c>
      <c r="G3034" t="s">
        <v>44</v>
      </c>
      <c r="H3034" t="s">
        <v>44</v>
      </c>
      <c r="J3034">
        <v>0</v>
      </c>
      <c r="K3034">
        <v>0</v>
      </c>
    </row>
    <row r="3035" spans="2:11" x14ac:dyDescent="0.25">
      <c r="B3035" t="s">
        <v>6</v>
      </c>
      <c r="C3035" t="s">
        <v>312</v>
      </c>
      <c r="D3035" t="s">
        <v>297</v>
      </c>
      <c r="E3035" t="s">
        <v>298</v>
      </c>
      <c r="F3035" t="s">
        <v>26</v>
      </c>
      <c r="G3035" t="s">
        <v>299</v>
      </c>
      <c r="H3035" t="s">
        <v>299</v>
      </c>
      <c r="J3035">
        <v>0</v>
      </c>
    </row>
    <row r="3036" spans="2:11" x14ac:dyDescent="0.25">
      <c r="B3036" t="s">
        <v>6</v>
      </c>
      <c r="C3036" t="s">
        <v>312</v>
      </c>
      <c r="D3036" t="s">
        <v>300</v>
      </c>
      <c r="E3036" t="s">
        <v>301</v>
      </c>
      <c r="F3036" t="s">
        <v>21</v>
      </c>
      <c r="G3036" t="s">
        <v>299</v>
      </c>
      <c r="H3036" t="s">
        <v>299</v>
      </c>
      <c r="J3036">
        <v>0</v>
      </c>
    </row>
    <row r="3037" spans="2:11" x14ac:dyDescent="0.25">
      <c r="B3037" t="s">
        <v>6</v>
      </c>
      <c r="C3037" t="s">
        <v>312</v>
      </c>
      <c r="D3037" t="s">
        <v>47</v>
      </c>
      <c r="E3037" t="s">
        <v>48</v>
      </c>
      <c r="F3037" t="s">
        <v>26</v>
      </c>
      <c r="G3037" t="s">
        <v>49</v>
      </c>
      <c r="H3037" t="s">
        <v>49</v>
      </c>
      <c r="J3037">
        <v>0</v>
      </c>
      <c r="K3037">
        <v>0</v>
      </c>
    </row>
    <row r="3038" spans="2:11" x14ac:dyDescent="0.25">
      <c r="B3038" t="s">
        <v>6</v>
      </c>
      <c r="C3038" t="s">
        <v>313</v>
      </c>
      <c r="D3038">
        <v>701000</v>
      </c>
      <c r="E3038" t="s">
        <v>51</v>
      </c>
      <c r="F3038" t="s">
        <v>21</v>
      </c>
      <c r="G3038" t="s">
        <v>52</v>
      </c>
      <c r="H3038" t="s">
        <v>53</v>
      </c>
      <c r="J3038">
        <v>0</v>
      </c>
      <c r="K3038">
        <v>0</v>
      </c>
    </row>
    <row r="3039" spans="2:11" x14ac:dyDescent="0.25">
      <c r="B3039" t="s">
        <v>6</v>
      </c>
      <c r="C3039" t="s">
        <v>313</v>
      </c>
      <c r="D3039">
        <v>701008</v>
      </c>
      <c r="E3039" t="s">
        <v>54</v>
      </c>
      <c r="F3039" t="s">
        <v>21</v>
      </c>
      <c r="G3039" t="s">
        <v>52</v>
      </c>
      <c r="H3039" t="s">
        <v>53</v>
      </c>
      <c r="J3039">
        <v>0</v>
      </c>
      <c r="K3039">
        <v>0</v>
      </c>
    </row>
    <row r="3040" spans="2:11" x14ac:dyDescent="0.25">
      <c r="B3040" t="s">
        <v>6</v>
      </c>
      <c r="C3040" t="s">
        <v>313</v>
      </c>
      <c r="D3040">
        <v>701009</v>
      </c>
      <c r="E3040" t="s">
        <v>55</v>
      </c>
      <c r="F3040" t="s">
        <v>21</v>
      </c>
      <c r="G3040" t="s">
        <v>52</v>
      </c>
      <c r="H3040" t="s">
        <v>53</v>
      </c>
      <c r="J3040">
        <v>0</v>
      </c>
      <c r="K3040">
        <v>0</v>
      </c>
    </row>
    <row r="3041" spans="2:11" x14ac:dyDescent="0.25">
      <c r="B3041" t="s">
        <v>6</v>
      </c>
      <c r="C3041" t="s">
        <v>313</v>
      </c>
      <c r="D3041">
        <v>701010</v>
      </c>
      <c r="E3041" t="s">
        <v>56</v>
      </c>
      <c r="F3041" t="s">
        <v>21</v>
      </c>
      <c r="G3041" t="s">
        <v>52</v>
      </c>
      <c r="H3041" t="s">
        <v>57</v>
      </c>
      <c r="J3041">
        <v>0</v>
      </c>
      <c r="K3041">
        <v>0</v>
      </c>
    </row>
    <row r="3042" spans="2:11" x14ac:dyDescent="0.25">
      <c r="B3042" t="s">
        <v>6</v>
      </c>
      <c r="C3042" t="s">
        <v>313</v>
      </c>
      <c r="D3042">
        <v>701011</v>
      </c>
      <c r="E3042" t="s">
        <v>58</v>
      </c>
      <c r="F3042" t="s">
        <v>21</v>
      </c>
      <c r="G3042" t="s">
        <v>52</v>
      </c>
      <c r="H3042" t="s">
        <v>53</v>
      </c>
      <c r="J3042">
        <v>0</v>
      </c>
      <c r="K3042">
        <v>0</v>
      </c>
    </row>
    <row r="3043" spans="2:11" x14ac:dyDescent="0.25">
      <c r="B3043" t="s">
        <v>6</v>
      </c>
      <c r="C3043" t="s">
        <v>313</v>
      </c>
      <c r="D3043">
        <v>701012</v>
      </c>
      <c r="E3043" t="s">
        <v>59</v>
      </c>
      <c r="F3043" t="s">
        <v>21</v>
      </c>
      <c r="G3043" t="s">
        <v>52</v>
      </c>
      <c r="H3043" t="s">
        <v>53</v>
      </c>
      <c r="J3043">
        <v>0</v>
      </c>
      <c r="K3043">
        <v>0</v>
      </c>
    </row>
    <row r="3044" spans="2:11" x14ac:dyDescent="0.25">
      <c r="B3044" t="s">
        <v>6</v>
      </c>
      <c r="C3044" t="s">
        <v>313</v>
      </c>
      <c r="D3044">
        <v>701013</v>
      </c>
      <c r="E3044" t="s">
        <v>60</v>
      </c>
      <c r="F3044" t="s">
        <v>21</v>
      </c>
      <c r="G3044" t="s">
        <v>61</v>
      </c>
      <c r="H3044" t="s">
        <v>62</v>
      </c>
      <c r="J3044">
        <v>0</v>
      </c>
      <c r="K3044">
        <v>0</v>
      </c>
    </row>
    <row r="3045" spans="2:11" x14ac:dyDescent="0.25">
      <c r="B3045" t="s">
        <v>6</v>
      </c>
      <c r="C3045" t="s">
        <v>313</v>
      </c>
      <c r="D3045">
        <v>701014</v>
      </c>
      <c r="E3045" t="s">
        <v>63</v>
      </c>
      <c r="F3045" t="s">
        <v>21</v>
      </c>
      <c r="G3045" t="s">
        <v>61</v>
      </c>
      <c r="H3045" t="s">
        <v>64</v>
      </c>
      <c r="J3045">
        <v>0</v>
      </c>
      <c r="K3045">
        <v>0</v>
      </c>
    </row>
    <row r="3046" spans="2:11" x14ac:dyDescent="0.25">
      <c r="B3046" t="s">
        <v>6</v>
      </c>
      <c r="C3046" t="s">
        <v>313</v>
      </c>
      <c r="D3046">
        <v>701015</v>
      </c>
      <c r="E3046" t="s">
        <v>65</v>
      </c>
      <c r="F3046" t="s">
        <v>21</v>
      </c>
      <c r="G3046" t="s">
        <v>52</v>
      </c>
      <c r="H3046" t="s">
        <v>53</v>
      </c>
      <c r="J3046">
        <v>0</v>
      </c>
      <c r="K3046">
        <v>0</v>
      </c>
    </row>
    <row r="3047" spans="2:11" x14ac:dyDescent="0.25">
      <c r="B3047" t="s">
        <v>6</v>
      </c>
      <c r="C3047" t="s">
        <v>313</v>
      </c>
      <c r="D3047">
        <v>701016</v>
      </c>
      <c r="E3047" t="s">
        <v>66</v>
      </c>
      <c r="F3047" t="s">
        <v>21</v>
      </c>
      <c r="G3047" t="s">
        <v>52</v>
      </c>
      <c r="H3047" t="s">
        <v>53</v>
      </c>
      <c r="J3047">
        <v>0</v>
      </c>
      <c r="K3047">
        <v>0</v>
      </c>
    </row>
    <row r="3048" spans="2:11" x14ac:dyDescent="0.25">
      <c r="B3048" t="s">
        <v>6</v>
      </c>
      <c r="C3048" t="s">
        <v>313</v>
      </c>
      <c r="D3048">
        <v>701017</v>
      </c>
      <c r="E3048" t="s">
        <v>67</v>
      </c>
      <c r="F3048" t="s">
        <v>21</v>
      </c>
      <c r="G3048" t="s">
        <v>61</v>
      </c>
      <c r="H3048" t="s">
        <v>68</v>
      </c>
      <c r="J3048">
        <v>0</v>
      </c>
      <c r="K3048">
        <v>0</v>
      </c>
    </row>
    <row r="3049" spans="2:11" x14ac:dyDescent="0.25">
      <c r="B3049" t="s">
        <v>6</v>
      </c>
      <c r="C3049" t="s">
        <v>313</v>
      </c>
      <c r="D3049">
        <v>701018</v>
      </c>
      <c r="E3049" t="s">
        <v>69</v>
      </c>
      <c r="F3049" t="s">
        <v>21</v>
      </c>
      <c r="G3049" t="s">
        <v>61</v>
      </c>
      <c r="H3049" t="s">
        <v>68</v>
      </c>
      <c r="J3049">
        <v>0</v>
      </c>
      <c r="K3049">
        <v>0</v>
      </c>
    </row>
    <row r="3050" spans="2:11" x14ac:dyDescent="0.25">
      <c r="B3050" t="s">
        <v>6</v>
      </c>
      <c r="C3050" t="s">
        <v>313</v>
      </c>
      <c r="D3050">
        <v>701019</v>
      </c>
      <c r="E3050" t="s">
        <v>70</v>
      </c>
      <c r="F3050" t="s">
        <v>21</v>
      </c>
      <c r="G3050" t="s">
        <v>71</v>
      </c>
      <c r="H3050" t="s">
        <v>72</v>
      </c>
      <c r="J3050">
        <v>0</v>
      </c>
      <c r="K3050">
        <v>0</v>
      </c>
    </row>
    <row r="3051" spans="2:11" x14ac:dyDescent="0.25">
      <c r="B3051" t="s">
        <v>6</v>
      </c>
      <c r="C3051" t="s">
        <v>313</v>
      </c>
      <c r="D3051">
        <v>701020</v>
      </c>
      <c r="E3051" t="s">
        <v>73</v>
      </c>
      <c r="F3051" t="s">
        <v>21</v>
      </c>
      <c r="G3051" t="s">
        <v>52</v>
      </c>
      <c r="H3051" t="s">
        <v>53</v>
      </c>
      <c r="J3051">
        <v>0</v>
      </c>
      <c r="K3051">
        <v>0</v>
      </c>
    </row>
    <row r="3052" spans="2:11" x14ac:dyDescent="0.25">
      <c r="B3052" t="s">
        <v>6</v>
      </c>
      <c r="C3052" t="s">
        <v>313</v>
      </c>
      <c r="D3052">
        <v>701021</v>
      </c>
      <c r="E3052" t="s">
        <v>74</v>
      </c>
      <c r="F3052" t="s">
        <v>21</v>
      </c>
      <c r="G3052" t="s">
        <v>61</v>
      </c>
      <c r="H3052" t="s">
        <v>74</v>
      </c>
      <c r="J3052">
        <v>0</v>
      </c>
      <c r="K3052">
        <v>0</v>
      </c>
    </row>
    <row r="3053" spans="2:11" x14ac:dyDescent="0.25">
      <c r="B3053" t="s">
        <v>6</v>
      </c>
      <c r="C3053" t="s">
        <v>313</v>
      </c>
      <c r="D3053">
        <v>701022</v>
      </c>
      <c r="E3053" t="s">
        <v>75</v>
      </c>
      <c r="F3053" t="s">
        <v>21</v>
      </c>
      <c r="G3053" t="s">
        <v>76</v>
      </c>
      <c r="H3053" t="s">
        <v>77</v>
      </c>
      <c r="J3053">
        <v>0</v>
      </c>
      <c r="K3053">
        <v>0</v>
      </c>
    </row>
    <row r="3054" spans="2:11" x14ac:dyDescent="0.25">
      <c r="B3054" t="s">
        <v>6</v>
      </c>
      <c r="C3054" t="s">
        <v>313</v>
      </c>
      <c r="D3054">
        <v>701023</v>
      </c>
      <c r="E3054" t="s">
        <v>78</v>
      </c>
      <c r="F3054" t="s">
        <v>21</v>
      </c>
      <c r="G3054" t="s">
        <v>61</v>
      </c>
      <c r="H3054" t="s">
        <v>79</v>
      </c>
      <c r="J3054">
        <v>0</v>
      </c>
      <c r="K3054">
        <v>0</v>
      </c>
    </row>
    <row r="3055" spans="2:11" x14ac:dyDescent="0.25">
      <c r="B3055" t="s">
        <v>6</v>
      </c>
      <c r="C3055" t="s">
        <v>313</v>
      </c>
      <c r="D3055">
        <v>701024</v>
      </c>
      <c r="E3055" t="s">
        <v>80</v>
      </c>
      <c r="F3055" t="s">
        <v>21</v>
      </c>
      <c r="G3055" t="s">
        <v>76</v>
      </c>
      <c r="H3055" t="s">
        <v>77</v>
      </c>
      <c r="J3055">
        <v>0</v>
      </c>
      <c r="K3055">
        <v>0</v>
      </c>
    </row>
    <row r="3056" spans="2:11" x14ac:dyDescent="0.25">
      <c r="B3056" t="s">
        <v>6</v>
      </c>
      <c r="C3056" t="s">
        <v>313</v>
      </c>
      <c r="D3056">
        <v>701025</v>
      </c>
      <c r="E3056" t="s">
        <v>81</v>
      </c>
      <c r="F3056" t="s">
        <v>21</v>
      </c>
      <c r="G3056" t="s">
        <v>71</v>
      </c>
      <c r="H3056" t="s">
        <v>82</v>
      </c>
      <c r="J3056">
        <v>0</v>
      </c>
      <c r="K3056">
        <v>0</v>
      </c>
    </row>
    <row r="3057" spans="2:11" x14ac:dyDescent="0.25">
      <c r="B3057" t="s">
        <v>6</v>
      </c>
      <c r="C3057" t="s">
        <v>313</v>
      </c>
      <c r="D3057">
        <v>701026</v>
      </c>
      <c r="E3057" t="s">
        <v>83</v>
      </c>
      <c r="F3057" t="s">
        <v>21</v>
      </c>
      <c r="G3057" t="s">
        <v>76</v>
      </c>
      <c r="H3057" t="s">
        <v>77</v>
      </c>
      <c r="J3057">
        <v>0</v>
      </c>
      <c r="K3057">
        <v>0</v>
      </c>
    </row>
    <row r="3058" spans="2:11" x14ac:dyDescent="0.25">
      <c r="B3058" t="s">
        <v>6</v>
      </c>
      <c r="C3058" t="s">
        <v>313</v>
      </c>
      <c r="D3058">
        <v>701027</v>
      </c>
      <c r="E3058" t="s">
        <v>84</v>
      </c>
      <c r="F3058" t="s">
        <v>21</v>
      </c>
      <c r="G3058" t="s">
        <v>76</v>
      </c>
      <c r="H3058" t="s">
        <v>77</v>
      </c>
      <c r="J3058">
        <v>0</v>
      </c>
      <c r="K3058">
        <v>0</v>
      </c>
    </row>
    <row r="3059" spans="2:11" x14ac:dyDescent="0.25">
      <c r="B3059" t="s">
        <v>6</v>
      </c>
      <c r="C3059" t="s">
        <v>313</v>
      </c>
      <c r="D3059">
        <v>701028</v>
      </c>
      <c r="E3059" t="s">
        <v>85</v>
      </c>
      <c r="F3059" t="s">
        <v>21</v>
      </c>
      <c r="G3059" t="s">
        <v>61</v>
      </c>
      <c r="H3059" t="s">
        <v>68</v>
      </c>
      <c r="J3059">
        <v>0</v>
      </c>
      <c r="K3059">
        <v>0</v>
      </c>
    </row>
    <row r="3060" spans="2:11" x14ac:dyDescent="0.25">
      <c r="B3060" t="s">
        <v>6</v>
      </c>
      <c r="C3060" t="s">
        <v>313</v>
      </c>
      <c r="D3060">
        <v>701029</v>
      </c>
      <c r="E3060" t="s">
        <v>86</v>
      </c>
      <c r="F3060" t="s">
        <v>21</v>
      </c>
      <c r="G3060" t="s">
        <v>61</v>
      </c>
      <c r="H3060" t="s">
        <v>68</v>
      </c>
      <c r="J3060">
        <v>0</v>
      </c>
      <c r="K3060">
        <v>0</v>
      </c>
    </row>
    <row r="3061" spans="2:11" x14ac:dyDescent="0.25">
      <c r="B3061" t="s">
        <v>6</v>
      </c>
      <c r="C3061" t="s">
        <v>313</v>
      </c>
      <c r="D3061">
        <v>701030</v>
      </c>
      <c r="E3061" t="s">
        <v>87</v>
      </c>
      <c r="F3061" t="s">
        <v>21</v>
      </c>
      <c r="G3061" t="s">
        <v>71</v>
      </c>
      <c r="H3061" t="s">
        <v>88</v>
      </c>
      <c r="J3061">
        <v>0</v>
      </c>
      <c r="K3061">
        <v>0</v>
      </c>
    </row>
    <row r="3062" spans="2:11" x14ac:dyDescent="0.25">
      <c r="B3062" t="s">
        <v>6</v>
      </c>
      <c r="C3062" t="s">
        <v>313</v>
      </c>
      <c r="D3062">
        <v>701031</v>
      </c>
      <c r="E3062" t="s">
        <v>89</v>
      </c>
      <c r="F3062" t="s">
        <v>21</v>
      </c>
      <c r="G3062" t="s">
        <v>76</v>
      </c>
      <c r="H3062" t="s">
        <v>77</v>
      </c>
      <c r="J3062">
        <v>0</v>
      </c>
      <c r="K3062">
        <v>0</v>
      </c>
    </row>
    <row r="3063" spans="2:11" x14ac:dyDescent="0.25">
      <c r="B3063" t="s">
        <v>6</v>
      </c>
      <c r="C3063" t="s">
        <v>313</v>
      </c>
      <c r="D3063">
        <v>701032</v>
      </c>
      <c r="E3063" t="s">
        <v>90</v>
      </c>
      <c r="F3063" t="s">
        <v>21</v>
      </c>
      <c r="G3063" t="s">
        <v>52</v>
      </c>
      <c r="H3063" t="s">
        <v>53</v>
      </c>
      <c r="J3063">
        <v>0</v>
      </c>
      <c r="K3063">
        <v>0</v>
      </c>
    </row>
    <row r="3064" spans="2:11" x14ac:dyDescent="0.25">
      <c r="B3064" t="s">
        <v>6</v>
      </c>
      <c r="C3064" t="s">
        <v>313</v>
      </c>
      <c r="D3064">
        <v>701034</v>
      </c>
      <c r="E3064" t="s">
        <v>91</v>
      </c>
      <c r="F3064" t="s">
        <v>21</v>
      </c>
      <c r="G3064" t="s">
        <v>76</v>
      </c>
      <c r="H3064" t="s">
        <v>77</v>
      </c>
      <c r="J3064">
        <v>0</v>
      </c>
      <c r="K3064">
        <v>0</v>
      </c>
    </row>
    <row r="3065" spans="2:11" x14ac:dyDescent="0.25">
      <c r="B3065" t="s">
        <v>6</v>
      </c>
      <c r="C3065" t="s">
        <v>313</v>
      </c>
      <c r="D3065">
        <v>701035</v>
      </c>
      <c r="E3065" t="s">
        <v>92</v>
      </c>
      <c r="F3065" t="s">
        <v>21</v>
      </c>
      <c r="G3065" t="s">
        <v>61</v>
      </c>
      <c r="H3065" t="s">
        <v>68</v>
      </c>
      <c r="J3065">
        <v>0</v>
      </c>
      <c r="K3065">
        <v>0</v>
      </c>
    </row>
    <row r="3066" spans="2:11" x14ac:dyDescent="0.25">
      <c r="B3066" t="s">
        <v>6</v>
      </c>
      <c r="C3066" t="s">
        <v>313</v>
      </c>
      <c r="D3066">
        <v>701036</v>
      </c>
      <c r="E3066" t="s">
        <v>93</v>
      </c>
      <c r="F3066" t="s">
        <v>21</v>
      </c>
      <c r="G3066" t="s">
        <v>52</v>
      </c>
      <c r="H3066" t="s">
        <v>53</v>
      </c>
      <c r="J3066">
        <v>0</v>
      </c>
      <c r="K3066">
        <v>0</v>
      </c>
    </row>
    <row r="3067" spans="2:11" x14ac:dyDescent="0.25">
      <c r="B3067" t="s">
        <v>6</v>
      </c>
      <c r="C3067" t="s">
        <v>313</v>
      </c>
      <c r="D3067">
        <v>701113</v>
      </c>
      <c r="E3067" t="s">
        <v>94</v>
      </c>
      <c r="F3067" t="s">
        <v>21</v>
      </c>
      <c r="G3067" t="s">
        <v>61</v>
      </c>
      <c r="H3067" t="s">
        <v>62</v>
      </c>
      <c r="J3067">
        <v>0</v>
      </c>
      <c r="K3067">
        <v>0</v>
      </c>
    </row>
    <row r="3068" spans="2:11" x14ac:dyDescent="0.25">
      <c r="B3068" t="s">
        <v>6</v>
      </c>
      <c r="C3068" t="s">
        <v>313</v>
      </c>
      <c r="D3068">
        <v>701119</v>
      </c>
      <c r="E3068" t="s">
        <v>95</v>
      </c>
      <c r="F3068" t="s">
        <v>21</v>
      </c>
      <c r="G3068" t="s">
        <v>22</v>
      </c>
      <c r="H3068" t="s">
        <v>23</v>
      </c>
      <c r="J3068">
        <v>0</v>
      </c>
      <c r="K3068">
        <v>0</v>
      </c>
    </row>
    <row r="3069" spans="2:11" x14ac:dyDescent="0.25">
      <c r="B3069" t="s">
        <v>6</v>
      </c>
      <c r="C3069" t="s">
        <v>313</v>
      </c>
      <c r="D3069">
        <v>701120</v>
      </c>
      <c r="E3069" t="s">
        <v>96</v>
      </c>
      <c r="F3069" t="s">
        <v>21</v>
      </c>
      <c r="G3069" t="s">
        <v>22</v>
      </c>
      <c r="H3069" t="s">
        <v>23</v>
      </c>
      <c r="J3069">
        <v>0</v>
      </c>
      <c r="K3069">
        <v>0</v>
      </c>
    </row>
    <row r="3070" spans="2:11" x14ac:dyDescent="0.25">
      <c r="B3070" t="s">
        <v>6</v>
      </c>
      <c r="C3070" t="s">
        <v>313</v>
      </c>
      <c r="D3070">
        <v>701121</v>
      </c>
      <c r="E3070" t="s">
        <v>97</v>
      </c>
      <c r="F3070" t="s">
        <v>21</v>
      </c>
      <c r="G3070" t="s">
        <v>22</v>
      </c>
      <c r="H3070" t="s">
        <v>23</v>
      </c>
      <c r="J3070">
        <v>0</v>
      </c>
      <c r="K3070">
        <v>0</v>
      </c>
    </row>
    <row r="3071" spans="2:11" x14ac:dyDescent="0.25">
      <c r="B3071" t="s">
        <v>6</v>
      </c>
      <c r="C3071" t="s">
        <v>313</v>
      </c>
      <c r="D3071">
        <v>701122</v>
      </c>
      <c r="E3071" t="s">
        <v>98</v>
      </c>
      <c r="F3071" t="s">
        <v>21</v>
      </c>
      <c r="G3071" t="s">
        <v>71</v>
      </c>
      <c r="H3071" t="s">
        <v>88</v>
      </c>
      <c r="J3071">
        <v>0</v>
      </c>
      <c r="K3071">
        <v>0</v>
      </c>
    </row>
    <row r="3072" spans="2:11" x14ac:dyDescent="0.25">
      <c r="B3072" t="s">
        <v>6</v>
      </c>
      <c r="C3072" t="s">
        <v>313</v>
      </c>
      <c r="D3072">
        <v>701123</v>
      </c>
      <c r="E3072" t="s">
        <v>99</v>
      </c>
      <c r="F3072" t="s">
        <v>21</v>
      </c>
      <c r="G3072" t="s">
        <v>22</v>
      </c>
      <c r="H3072" t="s">
        <v>23</v>
      </c>
      <c r="J3072">
        <v>0</v>
      </c>
      <c r="K3072">
        <v>0</v>
      </c>
    </row>
    <row r="3073" spans="2:11" x14ac:dyDescent="0.25">
      <c r="B3073" t="s">
        <v>6</v>
      </c>
      <c r="C3073" t="s">
        <v>313</v>
      </c>
      <c r="D3073">
        <v>701127</v>
      </c>
      <c r="E3073" t="s">
        <v>100</v>
      </c>
      <c r="F3073" t="s">
        <v>21</v>
      </c>
      <c r="G3073" t="s">
        <v>76</v>
      </c>
      <c r="H3073" t="s">
        <v>77</v>
      </c>
      <c r="J3073">
        <v>0</v>
      </c>
      <c r="K3073">
        <v>0</v>
      </c>
    </row>
    <row r="3074" spans="2:11" x14ac:dyDescent="0.25">
      <c r="B3074" t="s">
        <v>6</v>
      </c>
      <c r="C3074" t="s">
        <v>313</v>
      </c>
      <c r="D3074">
        <v>701213</v>
      </c>
      <c r="E3074" t="s">
        <v>101</v>
      </c>
      <c r="F3074" t="s">
        <v>21</v>
      </c>
      <c r="G3074" t="s">
        <v>61</v>
      </c>
      <c r="H3074" t="s">
        <v>62</v>
      </c>
      <c r="J3074">
        <v>0</v>
      </c>
      <c r="K3074">
        <v>0</v>
      </c>
    </row>
    <row r="3075" spans="2:11" x14ac:dyDescent="0.25">
      <c r="B3075" t="s">
        <v>6</v>
      </c>
      <c r="C3075" t="s">
        <v>313</v>
      </c>
      <c r="D3075">
        <v>701214</v>
      </c>
      <c r="E3075" t="s">
        <v>102</v>
      </c>
      <c r="F3075" t="s">
        <v>21</v>
      </c>
      <c r="G3075" t="s">
        <v>61</v>
      </c>
      <c r="H3075" t="s">
        <v>62</v>
      </c>
      <c r="J3075">
        <v>0</v>
      </c>
      <c r="K3075">
        <v>0</v>
      </c>
    </row>
    <row r="3076" spans="2:11" x14ac:dyDescent="0.25">
      <c r="B3076" t="s">
        <v>6</v>
      </c>
      <c r="C3076" t="s">
        <v>313</v>
      </c>
      <c r="D3076">
        <v>701215</v>
      </c>
      <c r="E3076" t="s">
        <v>103</v>
      </c>
      <c r="F3076" t="s">
        <v>21</v>
      </c>
      <c r="G3076" t="s">
        <v>61</v>
      </c>
      <c r="H3076" t="s">
        <v>62</v>
      </c>
      <c r="J3076">
        <v>0</v>
      </c>
      <c r="K3076">
        <v>0</v>
      </c>
    </row>
    <row r="3077" spans="2:11" x14ac:dyDescent="0.25">
      <c r="B3077" t="s">
        <v>6</v>
      </c>
      <c r="C3077" t="s">
        <v>313</v>
      </c>
      <c r="D3077">
        <v>701227</v>
      </c>
      <c r="E3077" t="s">
        <v>104</v>
      </c>
      <c r="F3077" t="s">
        <v>21</v>
      </c>
      <c r="G3077" t="s">
        <v>76</v>
      </c>
      <c r="H3077" t="s">
        <v>77</v>
      </c>
      <c r="J3077">
        <v>0</v>
      </c>
      <c r="K3077">
        <v>0</v>
      </c>
    </row>
    <row r="3078" spans="2:11" x14ac:dyDescent="0.25">
      <c r="B3078" t="s">
        <v>6</v>
      </c>
      <c r="C3078" t="s">
        <v>313</v>
      </c>
      <c r="D3078">
        <v>701327</v>
      </c>
      <c r="E3078" t="s">
        <v>106</v>
      </c>
      <c r="F3078" t="s">
        <v>21</v>
      </c>
      <c r="G3078" t="s">
        <v>76</v>
      </c>
      <c r="H3078" t="s">
        <v>77</v>
      </c>
      <c r="J3078">
        <v>0</v>
      </c>
      <c r="K3078">
        <v>0</v>
      </c>
    </row>
    <row r="3079" spans="2:11" x14ac:dyDescent="0.25">
      <c r="B3079" t="s">
        <v>6</v>
      </c>
      <c r="C3079" t="s">
        <v>313</v>
      </c>
      <c r="D3079">
        <v>701427</v>
      </c>
      <c r="E3079" t="s">
        <v>107</v>
      </c>
      <c r="F3079" t="s">
        <v>21</v>
      </c>
      <c r="G3079" t="s">
        <v>76</v>
      </c>
      <c r="H3079" t="s">
        <v>108</v>
      </c>
      <c r="J3079">
        <v>0</v>
      </c>
      <c r="K3079">
        <v>0</v>
      </c>
    </row>
    <row r="3080" spans="2:11" x14ac:dyDescent="0.25">
      <c r="B3080" t="s">
        <v>6</v>
      </c>
      <c r="C3080" t="s">
        <v>313</v>
      </c>
      <c r="D3080">
        <v>701527</v>
      </c>
      <c r="E3080" t="s">
        <v>109</v>
      </c>
      <c r="F3080" t="s">
        <v>21</v>
      </c>
      <c r="G3080" t="s">
        <v>76</v>
      </c>
      <c r="H3080" t="s">
        <v>77</v>
      </c>
      <c r="J3080">
        <v>0</v>
      </c>
      <c r="K3080">
        <v>0</v>
      </c>
    </row>
    <row r="3081" spans="2:11" x14ac:dyDescent="0.25">
      <c r="B3081" t="s">
        <v>6</v>
      </c>
      <c r="C3081" t="s">
        <v>313</v>
      </c>
      <c r="D3081">
        <v>701627</v>
      </c>
      <c r="E3081" t="s">
        <v>110</v>
      </c>
      <c r="F3081" t="s">
        <v>21</v>
      </c>
      <c r="G3081" t="s">
        <v>76</v>
      </c>
      <c r="H3081" t="s">
        <v>77</v>
      </c>
      <c r="J3081">
        <v>0</v>
      </c>
      <c r="K3081">
        <v>0</v>
      </c>
    </row>
    <row r="3082" spans="2:11" x14ac:dyDescent="0.25">
      <c r="B3082" t="s">
        <v>6</v>
      </c>
      <c r="C3082" t="s">
        <v>313</v>
      </c>
      <c r="D3082">
        <v>701727</v>
      </c>
      <c r="E3082" t="s">
        <v>111</v>
      </c>
      <c r="F3082" t="s">
        <v>21</v>
      </c>
      <c r="G3082" t="s">
        <v>76</v>
      </c>
      <c r="H3082" t="s">
        <v>77</v>
      </c>
      <c r="J3082">
        <v>0</v>
      </c>
      <c r="K3082">
        <v>0</v>
      </c>
    </row>
    <row r="3083" spans="2:11" x14ac:dyDescent="0.25">
      <c r="B3083" t="s">
        <v>6</v>
      </c>
      <c r="C3083" t="s">
        <v>313</v>
      </c>
      <c r="D3083">
        <v>701801</v>
      </c>
      <c r="E3083" t="s">
        <v>112</v>
      </c>
      <c r="F3083" t="s">
        <v>21</v>
      </c>
      <c r="G3083" t="s">
        <v>76</v>
      </c>
      <c r="H3083" t="s">
        <v>77</v>
      </c>
      <c r="J3083">
        <v>0</v>
      </c>
      <c r="K3083">
        <v>0</v>
      </c>
    </row>
    <row r="3084" spans="2:11" x14ac:dyDescent="0.25">
      <c r="B3084" t="s">
        <v>6</v>
      </c>
      <c r="C3084" t="s">
        <v>313</v>
      </c>
      <c r="D3084">
        <v>701802</v>
      </c>
      <c r="E3084" t="s">
        <v>113</v>
      </c>
      <c r="F3084" t="s">
        <v>21</v>
      </c>
      <c r="G3084" t="s">
        <v>61</v>
      </c>
      <c r="H3084" t="s">
        <v>62</v>
      </c>
      <c r="J3084">
        <v>0</v>
      </c>
      <c r="K3084">
        <v>0</v>
      </c>
    </row>
    <row r="3085" spans="2:11" x14ac:dyDescent="0.25">
      <c r="B3085" t="s">
        <v>6</v>
      </c>
      <c r="C3085" t="s">
        <v>313</v>
      </c>
      <c r="D3085">
        <v>703010</v>
      </c>
      <c r="E3085" t="s">
        <v>114</v>
      </c>
      <c r="F3085" t="s">
        <v>21</v>
      </c>
      <c r="G3085" t="s">
        <v>22</v>
      </c>
      <c r="H3085" t="s">
        <v>115</v>
      </c>
      <c r="J3085">
        <v>0</v>
      </c>
      <c r="K3085">
        <v>0</v>
      </c>
    </row>
    <row r="3086" spans="2:11" x14ac:dyDescent="0.25">
      <c r="B3086" t="s">
        <v>6</v>
      </c>
      <c r="C3086" t="s">
        <v>313</v>
      </c>
      <c r="D3086">
        <v>703011</v>
      </c>
      <c r="E3086" t="s">
        <v>116</v>
      </c>
      <c r="F3086" t="s">
        <v>21</v>
      </c>
      <c r="G3086" t="s">
        <v>22</v>
      </c>
      <c r="H3086" t="s">
        <v>115</v>
      </c>
      <c r="J3086">
        <v>0</v>
      </c>
      <c r="K3086">
        <v>0</v>
      </c>
    </row>
    <row r="3087" spans="2:11" x14ac:dyDescent="0.25">
      <c r="B3087" t="s">
        <v>6</v>
      </c>
      <c r="C3087" t="s">
        <v>313</v>
      </c>
      <c r="D3087">
        <v>703012</v>
      </c>
      <c r="E3087" t="s">
        <v>117</v>
      </c>
      <c r="F3087" t="s">
        <v>21</v>
      </c>
      <c r="G3087" t="s">
        <v>22</v>
      </c>
      <c r="H3087" t="s">
        <v>115</v>
      </c>
      <c r="J3087">
        <v>0</v>
      </c>
      <c r="K3087">
        <v>0</v>
      </c>
    </row>
    <row r="3088" spans="2:11" x14ac:dyDescent="0.25">
      <c r="B3088" t="s">
        <v>6</v>
      </c>
      <c r="C3088" t="s">
        <v>313</v>
      </c>
      <c r="D3088">
        <v>703013</v>
      </c>
      <c r="E3088" t="s">
        <v>118</v>
      </c>
      <c r="F3088" t="s">
        <v>21</v>
      </c>
      <c r="G3088" t="s">
        <v>22</v>
      </c>
      <c r="H3088" t="s">
        <v>115</v>
      </c>
      <c r="J3088">
        <v>0</v>
      </c>
      <c r="K3088">
        <v>0</v>
      </c>
    </row>
    <row r="3089" spans="2:11" x14ac:dyDescent="0.25">
      <c r="B3089" t="s">
        <v>6</v>
      </c>
      <c r="C3089" t="s">
        <v>313</v>
      </c>
      <c r="D3089">
        <v>703014</v>
      </c>
      <c r="E3089" t="s">
        <v>119</v>
      </c>
      <c r="F3089" t="s">
        <v>21</v>
      </c>
      <c r="G3089" t="s">
        <v>22</v>
      </c>
      <c r="H3089" t="s">
        <v>115</v>
      </c>
      <c r="J3089">
        <v>0</v>
      </c>
      <c r="K3089">
        <v>0</v>
      </c>
    </row>
    <row r="3090" spans="2:11" x14ac:dyDescent="0.25">
      <c r="B3090" t="s">
        <v>6</v>
      </c>
      <c r="C3090" t="s">
        <v>313</v>
      </c>
      <c r="D3090">
        <v>703015</v>
      </c>
      <c r="E3090" t="s">
        <v>120</v>
      </c>
      <c r="F3090" t="s">
        <v>21</v>
      </c>
      <c r="G3090" t="s">
        <v>22</v>
      </c>
      <c r="H3090" t="s">
        <v>115</v>
      </c>
      <c r="J3090">
        <v>0</v>
      </c>
      <c r="K3090">
        <v>0</v>
      </c>
    </row>
    <row r="3091" spans="2:11" x14ac:dyDescent="0.25">
      <c r="B3091" t="s">
        <v>6</v>
      </c>
      <c r="C3091" t="s">
        <v>313</v>
      </c>
      <c r="D3091">
        <v>703016</v>
      </c>
      <c r="E3091" t="s">
        <v>121</v>
      </c>
      <c r="F3091" t="s">
        <v>21</v>
      </c>
      <c r="G3091" t="s">
        <v>22</v>
      </c>
      <c r="H3091" t="s">
        <v>115</v>
      </c>
      <c r="J3091">
        <v>0</v>
      </c>
      <c r="K3091">
        <v>0</v>
      </c>
    </row>
    <row r="3092" spans="2:11" x14ac:dyDescent="0.25">
      <c r="B3092" t="s">
        <v>6</v>
      </c>
      <c r="C3092" t="s">
        <v>313</v>
      </c>
      <c r="D3092">
        <v>703017</v>
      </c>
      <c r="E3092" t="s">
        <v>122</v>
      </c>
      <c r="F3092" t="s">
        <v>21</v>
      </c>
      <c r="G3092" t="s">
        <v>22</v>
      </c>
      <c r="H3092" t="s">
        <v>115</v>
      </c>
      <c r="J3092">
        <v>0</v>
      </c>
      <c r="K3092">
        <v>0</v>
      </c>
    </row>
    <row r="3093" spans="2:11" x14ac:dyDescent="0.25">
      <c r="B3093" t="s">
        <v>6</v>
      </c>
      <c r="C3093" t="s">
        <v>313</v>
      </c>
      <c r="D3093">
        <v>703018</v>
      </c>
      <c r="E3093" t="s">
        <v>123</v>
      </c>
      <c r="F3093" t="s">
        <v>21</v>
      </c>
      <c r="G3093" t="s">
        <v>22</v>
      </c>
      <c r="H3093" t="s">
        <v>115</v>
      </c>
      <c r="J3093">
        <v>0</v>
      </c>
      <c r="K3093">
        <v>0</v>
      </c>
    </row>
    <row r="3094" spans="2:11" x14ac:dyDescent="0.25">
      <c r="B3094" t="s">
        <v>6</v>
      </c>
      <c r="C3094" t="s">
        <v>313</v>
      </c>
      <c r="D3094">
        <v>703019</v>
      </c>
      <c r="E3094" t="s">
        <v>124</v>
      </c>
      <c r="F3094" t="s">
        <v>21</v>
      </c>
      <c r="G3094" t="s">
        <v>22</v>
      </c>
      <c r="H3094" t="s">
        <v>115</v>
      </c>
      <c r="J3094">
        <v>0</v>
      </c>
      <c r="K3094">
        <v>0</v>
      </c>
    </row>
    <row r="3095" spans="2:11" x14ac:dyDescent="0.25">
      <c r="B3095" t="s">
        <v>6</v>
      </c>
      <c r="C3095" t="s">
        <v>313</v>
      </c>
      <c r="D3095">
        <v>703210</v>
      </c>
      <c r="E3095" t="s">
        <v>125</v>
      </c>
      <c r="F3095" t="s">
        <v>21</v>
      </c>
      <c r="G3095" t="s">
        <v>22</v>
      </c>
      <c r="H3095" t="s">
        <v>23</v>
      </c>
      <c r="J3095">
        <v>0</v>
      </c>
      <c r="K3095">
        <v>0</v>
      </c>
    </row>
    <row r="3096" spans="2:11" x14ac:dyDescent="0.25">
      <c r="B3096" t="s">
        <v>6</v>
      </c>
      <c r="C3096" t="s">
        <v>313</v>
      </c>
      <c r="D3096">
        <v>703211</v>
      </c>
      <c r="E3096" t="s">
        <v>126</v>
      </c>
      <c r="F3096" t="s">
        <v>21</v>
      </c>
      <c r="G3096" t="s">
        <v>22</v>
      </c>
      <c r="H3096" t="s">
        <v>23</v>
      </c>
      <c r="J3096">
        <v>0</v>
      </c>
      <c r="K3096">
        <v>0</v>
      </c>
    </row>
    <row r="3097" spans="2:11" x14ac:dyDescent="0.25">
      <c r="B3097" t="s">
        <v>6</v>
      </c>
      <c r="C3097" t="s">
        <v>313</v>
      </c>
      <c r="D3097">
        <v>703212</v>
      </c>
      <c r="E3097" t="s">
        <v>127</v>
      </c>
      <c r="F3097" t="s">
        <v>21</v>
      </c>
      <c r="G3097" t="s">
        <v>22</v>
      </c>
      <c r="H3097" t="s">
        <v>23</v>
      </c>
      <c r="J3097">
        <v>0</v>
      </c>
      <c r="K3097">
        <v>0</v>
      </c>
    </row>
    <row r="3098" spans="2:11" x14ac:dyDescent="0.25">
      <c r="B3098" t="s">
        <v>6</v>
      </c>
      <c r="C3098" t="s">
        <v>313</v>
      </c>
      <c r="D3098">
        <v>703213</v>
      </c>
      <c r="E3098" t="s">
        <v>128</v>
      </c>
      <c r="F3098" t="s">
        <v>21</v>
      </c>
      <c r="G3098" t="s">
        <v>22</v>
      </c>
      <c r="H3098" t="s">
        <v>23</v>
      </c>
      <c r="J3098">
        <v>0</v>
      </c>
      <c r="K3098">
        <v>0</v>
      </c>
    </row>
    <row r="3099" spans="2:11" x14ac:dyDescent="0.25">
      <c r="B3099" t="s">
        <v>6</v>
      </c>
      <c r="C3099" t="s">
        <v>313</v>
      </c>
      <c r="D3099">
        <v>703214</v>
      </c>
      <c r="E3099" t="s">
        <v>129</v>
      </c>
      <c r="F3099" t="s">
        <v>21</v>
      </c>
      <c r="G3099" t="s">
        <v>22</v>
      </c>
      <c r="H3099" t="s">
        <v>23</v>
      </c>
      <c r="J3099">
        <v>0</v>
      </c>
      <c r="K3099">
        <v>0</v>
      </c>
    </row>
    <row r="3100" spans="2:11" x14ac:dyDescent="0.25">
      <c r="B3100" t="s">
        <v>6</v>
      </c>
      <c r="C3100" t="s">
        <v>313</v>
      </c>
      <c r="D3100">
        <v>703215</v>
      </c>
      <c r="E3100" t="s">
        <v>130</v>
      </c>
      <c r="F3100" t="s">
        <v>21</v>
      </c>
      <c r="G3100" t="s">
        <v>22</v>
      </c>
      <c r="H3100" t="s">
        <v>23</v>
      </c>
      <c r="J3100">
        <v>0</v>
      </c>
      <c r="K3100">
        <v>0</v>
      </c>
    </row>
    <row r="3101" spans="2:11" x14ac:dyDescent="0.25">
      <c r="B3101" t="s">
        <v>6</v>
      </c>
      <c r="C3101" t="s">
        <v>313</v>
      </c>
      <c r="D3101">
        <v>703216</v>
      </c>
      <c r="E3101" t="s">
        <v>131</v>
      </c>
      <c r="F3101" t="s">
        <v>21</v>
      </c>
      <c r="G3101" t="s">
        <v>22</v>
      </c>
      <c r="H3101" t="s">
        <v>23</v>
      </c>
      <c r="J3101">
        <v>0</v>
      </c>
      <c r="K3101">
        <v>0</v>
      </c>
    </row>
    <row r="3102" spans="2:11" x14ac:dyDescent="0.25">
      <c r="B3102" t="s">
        <v>6</v>
      </c>
      <c r="C3102" t="s">
        <v>313</v>
      </c>
      <c r="D3102">
        <v>703217</v>
      </c>
      <c r="E3102" t="s">
        <v>132</v>
      </c>
      <c r="F3102" t="s">
        <v>21</v>
      </c>
      <c r="G3102" t="s">
        <v>22</v>
      </c>
      <c r="H3102" t="s">
        <v>23</v>
      </c>
      <c r="J3102">
        <v>0</v>
      </c>
      <c r="K3102">
        <v>0</v>
      </c>
    </row>
    <row r="3103" spans="2:11" x14ac:dyDescent="0.25">
      <c r="B3103" t="s">
        <v>6</v>
      </c>
      <c r="C3103" t="s">
        <v>313</v>
      </c>
      <c r="D3103">
        <v>703219</v>
      </c>
      <c r="E3103" t="s">
        <v>133</v>
      </c>
      <c r="F3103" t="s">
        <v>21</v>
      </c>
      <c r="G3103" t="s">
        <v>22</v>
      </c>
      <c r="H3103" t="s">
        <v>23</v>
      </c>
      <c r="J3103">
        <v>0</v>
      </c>
      <c r="K3103">
        <v>0</v>
      </c>
    </row>
    <row r="3104" spans="2:11" x14ac:dyDescent="0.25">
      <c r="B3104" t="s">
        <v>6</v>
      </c>
      <c r="C3104" t="s">
        <v>313</v>
      </c>
      <c r="D3104">
        <v>703220</v>
      </c>
      <c r="E3104" t="s">
        <v>134</v>
      </c>
      <c r="F3104" t="s">
        <v>21</v>
      </c>
      <c r="G3104" t="s">
        <v>71</v>
      </c>
      <c r="H3104" t="s">
        <v>135</v>
      </c>
      <c r="J3104">
        <v>0</v>
      </c>
      <c r="K3104">
        <v>0</v>
      </c>
    </row>
    <row r="3105" spans="2:11" x14ac:dyDescent="0.25">
      <c r="B3105" t="s">
        <v>6</v>
      </c>
      <c r="C3105" t="s">
        <v>313</v>
      </c>
      <c r="D3105">
        <v>703221</v>
      </c>
      <c r="E3105" t="s">
        <v>136</v>
      </c>
      <c r="F3105" t="s">
        <v>21</v>
      </c>
      <c r="G3105" t="s">
        <v>137</v>
      </c>
      <c r="H3105" t="s">
        <v>138</v>
      </c>
      <c r="J3105">
        <v>0</v>
      </c>
      <c r="K3105">
        <v>0</v>
      </c>
    </row>
    <row r="3106" spans="2:11" x14ac:dyDescent="0.25">
      <c r="B3106" t="s">
        <v>6</v>
      </c>
      <c r="C3106" t="s">
        <v>313</v>
      </c>
      <c r="D3106">
        <v>703222</v>
      </c>
      <c r="E3106" t="s">
        <v>139</v>
      </c>
      <c r="F3106" t="s">
        <v>21</v>
      </c>
      <c r="G3106" t="s">
        <v>137</v>
      </c>
      <c r="H3106" t="s">
        <v>138</v>
      </c>
      <c r="J3106">
        <v>0</v>
      </c>
      <c r="K3106">
        <v>0</v>
      </c>
    </row>
    <row r="3107" spans="2:11" x14ac:dyDescent="0.25">
      <c r="B3107" t="s">
        <v>6</v>
      </c>
      <c r="C3107" t="s">
        <v>313</v>
      </c>
      <c r="D3107">
        <v>703223</v>
      </c>
      <c r="E3107" t="s">
        <v>140</v>
      </c>
      <c r="F3107" t="s">
        <v>21</v>
      </c>
      <c r="G3107" t="s">
        <v>137</v>
      </c>
      <c r="H3107" t="s">
        <v>141</v>
      </c>
      <c r="J3107">
        <v>0</v>
      </c>
      <c r="K3107">
        <v>0</v>
      </c>
    </row>
    <row r="3108" spans="2:11" x14ac:dyDescent="0.25">
      <c r="B3108" t="s">
        <v>6</v>
      </c>
      <c r="C3108" t="s">
        <v>313</v>
      </c>
      <c r="D3108">
        <v>703224</v>
      </c>
      <c r="E3108" t="s">
        <v>142</v>
      </c>
      <c r="F3108" t="s">
        <v>21</v>
      </c>
      <c r="G3108" t="s">
        <v>71</v>
      </c>
      <c r="H3108" t="s">
        <v>88</v>
      </c>
      <c r="J3108">
        <v>0</v>
      </c>
      <c r="K3108">
        <v>0</v>
      </c>
    </row>
    <row r="3109" spans="2:11" x14ac:dyDescent="0.25">
      <c r="B3109" t="s">
        <v>6</v>
      </c>
      <c r="C3109" t="s">
        <v>313</v>
      </c>
      <c r="D3109">
        <v>703225</v>
      </c>
      <c r="E3109" t="s">
        <v>143</v>
      </c>
      <c r="F3109" t="s">
        <v>21</v>
      </c>
      <c r="G3109" t="s">
        <v>71</v>
      </c>
      <c r="H3109" t="s">
        <v>88</v>
      </c>
      <c r="J3109">
        <v>0</v>
      </c>
      <c r="K3109">
        <v>0</v>
      </c>
    </row>
    <row r="3110" spans="2:11" x14ac:dyDescent="0.25">
      <c r="B3110" t="s">
        <v>6</v>
      </c>
      <c r="C3110" t="s">
        <v>313</v>
      </c>
      <c r="D3110">
        <v>703226</v>
      </c>
      <c r="E3110" t="s">
        <v>144</v>
      </c>
      <c r="F3110" t="s">
        <v>21</v>
      </c>
      <c r="G3110" t="s">
        <v>71</v>
      </c>
      <c r="H3110" t="s">
        <v>82</v>
      </c>
      <c r="J3110">
        <v>0</v>
      </c>
      <c r="K3110">
        <v>0</v>
      </c>
    </row>
    <row r="3111" spans="2:11" x14ac:dyDescent="0.25">
      <c r="B3111" t="s">
        <v>6</v>
      </c>
      <c r="C3111" t="s">
        <v>313</v>
      </c>
      <c r="D3111">
        <v>703227</v>
      </c>
      <c r="E3111" t="s">
        <v>145</v>
      </c>
      <c r="F3111" t="s">
        <v>21</v>
      </c>
      <c r="G3111" t="s">
        <v>137</v>
      </c>
      <c r="H3111" t="s">
        <v>138</v>
      </c>
      <c r="J3111">
        <v>0</v>
      </c>
      <c r="K3111">
        <v>0</v>
      </c>
    </row>
    <row r="3112" spans="2:11" x14ac:dyDescent="0.25">
      <c r="B3112" t="s">
        <v>6</v>
      </c>
      <c r="C3112" t="s">
        <v>313</v>
      </c>
      <c r="D3112">
        <v>703228</v>
      </c>
      <c r="E3112" t="s">
        <v>146</v>
      </c>
      <c r="F3112" t="s">
        <v>21</v>
      </c>
      <c r="G3112" t="s">
        <v>147</v>
      </c>
      <c r="H3112" t="s">
        <v>147</v>
      </c>
      <c r="J3112">
        <v>0</v>
      </c>
      <c r="K3112">
        <v>0</v>
      </c>
    </row>
    <row r="3113" spans="2:11" x14ac:dyDescent="0.25">
      <c r="B3113" t="s">
        <v>6</v>
      </c>
      <c r="C3113" t="s">
        <v>313</v>
      </c>
      <c r="D3113">
        <v>703229</v>
      </c>
      <c r="E3113" t="s">
        <v>148</v>
      </c>
      <c r="F3113" t="s">
        <v>21</v>
      </c>
      <c r="G3113" t="s">
        <v>147</v>
      </c>
      <c r="H3113" t="s">
        <v>147</v>
      </c>
      <c r="J3113">
        <v>0</v>
      </c>
      <c r="K3113">
        <v>0</v>
      </c>
    </row>
    <row r="3114" spans="2:11" x14ac:dyDescent="0.25">
      <c r="B3114" t="s">
        <v>6</v>
      </c>
      <c r="C3114" t="s">
        <v>313</v>
      </c>
      <c r="D3114">
        <v>703230</v>
      </c>
      <c r="E3114" t="s">
        <v>149</v>
      </c>
      <c r="F3114" t="s">
        <v>21</v>
      </c>
      <c r="G3114" t="s">
        <v>147</v>
      </c>
      <c r="H3114" t="s">
        <v>147</v>
      </c>
      <c r="J3114">
        <v>0</v>
      </c>
      <c r="K3114">
        <v>0</v>
      </c>
    </row>
    <row r="3115" spans="2:11" x14ac:dyDescent="0.25">
      <c r="B3115" t="s">
        <v>6</v>
      </c>
      <c r="C3115" t="s">
        <v>313</v>
      </c>
      <c r="D3115">
        <v>703231</v>
      </c>
      <c r="E3115" t="s">
        <v>150</v>
      </c>
      <c r="F3115" t="s">
        <v>21</v>
      </c>
      <c r="G3115" t="s">
        <v>137</v>
      </c>
      <c r="H3115" t="s">
        <v>141</v>
      </c>
      <c r="J3115">
        <v>0</v>
      </c>
      <c r="K3115">
        <v>0</v>
      </c>
    </row>
    <row r="3116" spans="2:11" x14ac:dyDescent="0.25">
      <c r="B3116" t="s">
        <v>6</v>
      </c>
      <c r="C3116" t="s">
        <v>313</v>
      </c>
      <c r="D3116">
        <v>703232</v>
      </c>
      <c r="E3116" t="s">
        <v>151</v>
      </c>
      <c r="F3116" t="s">
        <v>21</v>
      </c>
      <c r="G3116" t="s">
        <v>147</v>
      </c>
      <c r="H3116" t="s">
        <v>147</v>
      </c>
      <c r="J3116">
        <v>0</v>
      </c>
      <c r="K3116">
        <v>0</v>
      </c>
    </row>
    <row r="3117" spans="2:11" x14ac:dyDescent="0.25">
      <c r="B3117" t="s">
        <v>6</v>
      </c>
      <c r="C3117" t="s">
        <v>313</v>
      </c>
      <c r="D3117">
        <v>703233</v>
      </c>
      <c r="E3117" t="s">
        <v>152</v>
      </c>
      <c r="F3117" t="s">
        <v>21</v>
      </c>
      <c r="G3117" t="s">
        <v>71</v>
      </c>
      <c r="H3117" t="s">
        <v>153</v>
      </c>
      <c r="J3117">
        <v>0</v>
      </c>
      <c r="K3117">
        <v>0</v>
      </c>
    </row>
    <row r="3118" spans="2:11" x14ac:dyDescent="0.25">
      <c r="B3118" t="s">
        <v>6</v>
      </c>
      <c r="C3118" t="s">
        <v>313</v>
      </c>
      <c r="D3118">
        <v>703234</v>
      </c>
      <c r="E3118" t="s">
        <v>154</v>
      </c>
      <c r="F3118" t="s">
        <v>21</v>
      </c>
      <c r="G3118" t="s">
        <v>71</v>
      </c>
      <c r="H3118" t="s">
        <v>153</v>
      </c>
      <c r="J3118">
        <v>0</v>
      </c>
      <c r="K3118">
        <v>0</v>
      </c>
    </row>
    <row r="3119" spans="2:11" x14ac:dyDescent="0.25">
      <c r="B3119" t="s">
        <v>6</v>
      </c>
      <c r="C3119" t="s">
        <v>313</v>
      </c>
      <c r="D3119">
        <v>703235</v>
      </c>
      <c r="E3119" t="s">
        <v>155</v>
      </c>
      <c r="F3119" t="s">
        <v>21</v>
      </c>
      <c r="G3119" t="s">
        <v>71</v>
      </c>
      <c r="H3119" t="s">
        <v>153</v>
      </c>
      <c r="J3119">
        <v>0</v>
      </c>
      <c r="K3119">
        <v>0</v>
      </c>
    </row>
    <row r="3120" spans="2:11" x14ac:dyDescent="0.25">
      <c r="B3120" t="s">
        <v>6</v>
      </c>
      <c r="C3120" t="s">
        <v>313</v>
      </c>
      <c r="D3120">
        <v>703236</v>
      </c>
      <c r="E3120" t="s">
        <v>156</v>
      </c>
      <c r="F3120" t="s">
        <v>21</v>
      </c>
      <c r="G3120" t="s">
        <v>76</v>
      </c>
      <c r="H3120" t="s">
        <v>77</v>
      </c>
      <c r="J3120">
        <v>0</v>
      </c>
      <c r="K3120">
        <v>0</v>
      </c>
    </row>
    <row r="3121" spans="2:11" x14ac:dyDescent="0.25">
      <c r="B3121" t="s">
        <v>6</v>
      </c>
      <c r="C3121" t="s">
        <v>313</v>
      </c>
      <c r="D3121">
        <v>703237</v>
      </c>
      <c r="E3121" t="s">
        <v>157</v>
      </c>
      <c r="F3121" t="s">
        <v>21</v>
      </c>
      <c r="G3121" t="s">
        <v>22</v>
      </c>
      <c r="H3121" t="s">
        <v>23</v>
      </c>
      <c r="J3121">
        <v>0</v>
      </c>
      <c r="K3121">
        <v>0</v>
      </c>
    </row>
    <row r="3122" spans="2:11" x14ac:dyDescent="0.25">
      <c r="B3122" t="s">
        <v>6</v>
      </c>
      <c r="C3122" t="s">
        <v>313</v>
      </c>
      <c r="D3122">
        <v>703238</v>
      </c>
      <c r="E3122" t="s">
        <v>158</v>
      </c>
      <c r="F3122" t="s">
        <v>21</v>
      </c>
      <c r="G3122" t="s">
        <v>61</v>
      </c>
      <c r="H3122" t="s">
        <v>68</v>
      </c>
      <c r="J3122">
        <v>0</v>
      </c>
      <c r="K3122">
        <v>0</v>
      </c>
    </row>
    <row r="3123" spans="2:11" x14ac:dyDescent="0.25">
      <c r="B3123" t="s">
        <v>6</v>
      </c>
      <c r="C3123" t="s">
        <v>313</v>
      </c>
      <c r="D3123">
        <v>703239</v>
      </c>
      <c r="E3123" t="s">
        <v>159</v>
      </c>
      <c r="F3123" t="s">
        <v>21</v>
      </c>
      <c r="G3123" t="s">
        <v>61</v>
      </c>
      <c r="H3123" t="s">
        <v>68</v>
      </c>
      <c r="J3123">
        <v>0</v>
      </c>
      <c r="K3123">
        <v>0</v>
      </c>
    </row>
    <row r="3124" spans="2:11" x14ac:dyDescent="0.25">
      <c r="B3124" t="s">
        <v>6</v>
      </c>
      <c r="C3124" t="s">
        <v>313</v>
      </c>
      <c r="D3124">
        <v>703240</v>
      </c>
      <c r="E3124" t="s">
        <v>160</v>
      </c>
      <c r="F3124" t="s">
        <v>21</v>
      </c>
      <c r="G3124" t="s">
        <v>61</v>
      </c>
      <c r="H3124" t="s">
        <v>68</v>
      </c>
      <c r="J3124">
        <v>0</v>
      </c>
      <c r="K3124">
        <v>0</v>
      </c>
    </row>
    <row r="3125" spans="2:11" x14ac:dyDescent="0.25">
      <c r="B3125" t="s">
        <v>6</v>
      </c>
      <c r="C3125" t="s">
        <v>313</v>
      </c>
      <c r="D3125">
        <v>703241</v>
      </c>
      <c r="E3125" t="s">
        <v>161</v>
      </c>
      <c r="F3125" t="s">
        <v>21</v>
      </c>
      <c r="G3125" t="s">
        <v>137</v>
      </c>
      <c r="H3125" t="s">
        <v>141</v>
      </c>
      <c r="J3125">
        <v>0</v>
      </c>
      <c r="K3125">
        <v>0</v>
      </c>
    </row>
    <row r="3126" spans="2:11" x14ac:dyDescent="0.25">
      <c r="B3126" t="s">
        <v>6</v>
      </c>
      <c r="C3126" t="s">
        <v>313</v>
      </c>
      <c r="D3126">
        <v>703242</v>
      </c>
      <c r="E3126" t="s">
        <v>162</v>
      </c>
      <c r="F3126" t="s">
        <v>21</v>
      </c>
      <c r="G3126" t="s">
        <v>137</v>
      </c>
      <c r="H3126" t="s">
        <v>141</v>
      </c>
      <c r="J3126">
        <v>0</v>
      </c>
      <c r="K3126">
        <v>0</v>
      </c>
    </row>
    <row r="3127" spans="2:11" x14ac:dyDescent="0.25">
      <c r="B3127" t="s">
        <v>6</v>
      </c>
      <c r="C3127" t="s">
        <v>313</v>
      </c>
      <c r="D3127">
        <v>703243</v>
      </c>
      <c r="E3127" t="s">
        <v>163</v>
      </c>
      <c r="F3127" t="s">
        <v>21</v>
      </c>
      <c r="G3127" t="s">
        <v>137</v>
      </c>
      <c r="H3127" t="s">
        <v>141</v>
      </c>
      <c r="J3127">
        <v>0</v>
      </c>
      <c r="K3127">
        <v>0</v>
      </c>
    </row>
    <row r="3128" spans="2:11" x14ac:dyDescent="0.25">
      <c r="B3128" t="s">
        <v>6</v>
      </c>
      <c r="C3128" t="s">
        <v>313</v>
      </c>
      <c r="D3128">
        <v>703244</v>
      </c>
      <c r="E3128" t="s">
        <v>164</v>
      </c>
      <c r="F3128" t="s">
        <v>21</v>
      </c>
      <c r="G3128" t="s">
        <v>71</v>
      </c>
      <c r="H3128" t="s">
        <v>88</v>
      </c>
      <c r="J3128">
        <v>0</v>
      </c>
      <c r="K3128">
        <v>0</v>
      </c>
    </row>
    <row r="3129" spans="2:11" x14ac:dyDescent="0.25">
      <c r="B3129" t="s">
        <v>6</v>
      </c>
      <c r="C3129" t="s">
        <v>313</v>
      </c>
      <c r="D3129">
        <v>703245</v>
      </c>
      <c r="E3129" t="s">
        <v>165</v>
      </c>
      <c r="F3129" t="s">
        <v>21</v>
      </c>
      <c r="G3129" t="s">
        <v>137</v>
      </c>
      <c r="H3129" t="s">
        <v>138</v>
      </c>
      <c r="J3129">
        <v>0</v>
      </c>
      <c r="K3129">
        <v>0</v>
      </c>
    </row>
    <row r="3130" spans="2:11" x14ac:dyDescent="0.25">
      <c r="B3130" t="s">
        <v>6</v>
      </c>
      <c r="C3130" t="s">
        <v>313</v>
      </c>
      <c r="D3130">
        <v>703246</v>
      </c>
      <c r="E3130" t="s">
        <v>166</v>
      </c>
      <c r="F3130" t="s">
        <v>21</v>
      </c>
      <c r="G3130" t="s">
        <v>137</v>
      </c>
      <c r="H3130" t="s">
        <v>138</v>
      </c>
      <c r="J3130">
        <v>0</v>
      </c>
      <c r="K3130">
        <v>0</v>
      </c>
    </row>
    <row r="3131" spans="2:11" x14ac:dyDescent="0.25">
      <c r="B3131" t="s">
        <v>6</v>
      </c>
      <c r="C3131" t="s">
        <v>313</v>
      </c>
      <c r="D3131">
        <v>703247</v>
      </c>
      <c r="E3131" t="s">
        <v>167</v>
      </c>
      <c r="F3131" t="s">
        <v>21</v>
      </c>
      <c r="G3131" t="s">
        <v>137</v>
      </c>
      <c r="H3131" t="s">
        <v>138</v>
      </c>
      <c r="J3131">
        <v>0</v>
      </c>
      <c r="K3131">
        <v>0</v>
      </c>
    </row>
    <row r="3132" spans="2:11" x14ac:dyDescent="0.25">
      <c r="B3132" t="s">
        <v>6</v>
      </c>
      <c r="C3132" t="s">
        <v>313</v>
      </c>
      <c r="D3132">
        <v>703248</v>
      </c>
      <c r="E3132" t="s">
        <v>168</v>
      </c>
      <c r="F3132" t="s">
        <v>21</v>
      </c>
      <c r="G3132" t="s">
        <v>137</v>
      </c>
      <c r="H3132" t="s">
        <v>141</v>
      </c>
      <c r="J3132">
        <v>0</v>
      </c>
      <c r="K3132">
        <v>0</v>
      </c>
    </row>
    <row r="3133" spans="2:11" x14ac:dyDescent="0.25">
      <c r="B3133" t="s">
        <v>6</v>
      </c>
      <c r="C3133" t="s">
        <v>313</v>
      </c>
      <c r="D3133">
        <v>703249</v>
      </c>
      <c r="E3133" t="s">
        <v>169</v>
      </c>
      <c r="F3133" t="s">
        <v>21</v>
      </c>
      <c r="G3133" t="s">
        <v>147</v>
      </c>
      <c r="H3133" t="s">
        <v>147</v>
      </c>
      <c r="J3133">
        <v>0</v>
      </c>
      <c r="K3133">
        <v>0</v>
      </c>
    </row>
    <row r="3134" spans="2:11" x14ac:dyDescent="0.25">
      <c r="B3134" t="s">
        <v>6</v>
      </c>
      <c r="C3134" t="s">
        <v>313</v>
      </c>
      <c r="D3134">
        <v>703250</v>
      </c>
      <c r="E3134" t="s">
        <v>170</v>
      </c>
      <c r="F3134" t="s">
        <v>21</v>
      </c>
      <c r="G3134" t="s">
        <v>71</v>
      </c>
      <c r="H3134" t="s">
        <v>171</v>
      </c>
      <c r="J3134">
        <v>0</v>
      </c>
      <c r="K3134">
        <v>0</v>
      </c>
    </row>
    <row r="3135" spans="2:11" x14ac:dyDescent="0.25">
      <c r="B3135" t="s">
        <v>6</v>
      </c>
      <c r="C3135" t="s">
        <v>313</v>
      </c>
      <c r="D3135">
        <v>703251</v>
      </c>
      <c r="E3135" t="s">
        <v>172</v>
      </c>
      <c r="F3135" t="s">
        <v>21</v>
      </c>
      <c r="G3135" t="s">
        <v>22</v>
      </c>
      <c r="H3135" t="s">
        <v>115</v>
      </c>
      <c r="J3135">
        <v>0</v>
      </c>
      <c r="K3135">
        <v>0</v>
      </c>
    </row>
    <row r="3136" spans="2:11" x14ac:dyDescent="0.25">
      <c r="B3136" t="s">
        <v>6</v>
      </c>
      <c r="C3136" t="s">
        <v>313</v>
      </c>
      <c r="D3136">
        <v>703252</v>
      </c>
      <c r="E3136" t="s">
        <v>173</v>
      </c>
      <c r="F3136" t="s">
        <v>21</v>
      </c>
      <c r="G3136" t="s">
        <v>22</v>
      </c>
      <c r="H3136" t="s">
        <v>115</v>
      </c>
      <c r="J3136">
        <v>0</v>
      </c>
      <c r="K3136">
        <v>0</v>
      </c>
    </row>
    <row r="3137" spans="2:11" x14ac:dyDescent="0.25">
      <c r="B3137" t="s">
        <v>6</v>
      </c>
      <c r="C3137" t="s">
        <v>313</v>
      </c>
      <c r="D3137">
        <v>703253</v>
      </c>
      <c r="E3137" t="s">
        <v>174</v>
      </c>
      <c r="F3137" t="s">
        <v>21</v>
      </c>
      <c r="G3137" t="s">
        <v>22</v>
      </c>
      <c r="H3137" t="s">
        <v>115</v>
      </c>
      <c r="J3137">
        <v>0</v>
      </c>
      <c r="K3137">
        <v>0</v>
      </c>
    </row>
    <row r="3138" spans="2:11" x14ac:dyDescent="0.25">
      <c r="B3138" t="s">
        <v>6</v>
      </c>
      <c r="C3138" t="s">
        <v>313</v>
      </c>
      <c r="D3138">
        <v>703254</v>
      </c>
      <c r="E3138" t="s">
        <v>175</v>
      </c>
      <c r="F3138" t="s">
        <v>21</v>
      </c>
      <c r="G3138" t="s">
        <v>22</v>
      </c>
      <c r="H3138" t="s">
        <v>115</v>
      </c>
      <c r="J3138">
        <v>0</v>
      </c>
      <c r="K3138">
        <v>0</v>
      </c>
    </row>
    <row r="3139" spans="2:11" x14ac:dyDescent="0.25">
      <c r="B3139" t="s">
        <v>6</v>
      </c>
      <c r="C3139" t="s">
        <v>313</v>
      </c>
      <c r="D3139">
        <v>703255</v>
      </c>
      <c r="E3139" t="s">
        <v>176</v>
      </c>
      <c r="F3139" t="s">
        <v>21</v>
      </c>
      <c r="G3139" t="s">
        <v>22</v>
      </c>
      <c r="H3139" t="s">
        <v>115</v>
      </c>
      <c r="J3139">
        <v>0</v>
      </c>
      <c r="K3139">
        <v>0</v>
      </c>
    </row>
    <row r="3140" spans="2:11" x14ac:dyDescent="0.25">
      <c r="B3140" t="s">
        <v>6</v>
      </c>
      <c r="C3140" t="s">
        <v>313</v>
      </c>
      <c r="D3140">
        <v>703257</v>
      </c>
      <c r="E3140" t="s">
        <v>177</v>
      </c>
      <c r="F3140" t="s">
        <v>21</v>
      </c>
      <c r="G3140" t="s">
        <v>147</v>
      </c>
      <c r="H3140" t="s">
        <v>147</v>
      </c>
      <c r="J3140">
        <v>0</v>
      </c>
      <c r="K3140">
        <v>0</v>
      </c>
    </row>
    <row r="3141" spans="2:11" x14ac:dyDescent="0.25">
      <c r="B3141" t="s">
        <v>6</v>
      </c>
      <c r="C3141" t="s">
        <v>313</v>
      </c>
      <c r="D3141">
        <v>703258</v>
      </c>
      <c r="E3141" t="s">
        <v>178</v>
      </c>
      <c r="F3141" t="s">
        <v>21</v>
      </c>
      <c r="G3141" t="s">
        <v>147</v>
      </c>
      <c r="H3141" t="s">
        <v>147</v>
      </c>
      <c r="J3141">
        <v>0</v>
      </c>
      <c r="K3141">
        <v>0</v>
      </c>
    </row>
    <row r="3142" spans="2:11" x14ac:dyDescent="0.25">
      <c r="B3142" t="s">
        <v>6</v>
      </c>
      <c r="C3142" t="s">
        <v>313</v>
      </c>
      <c r="D3142">
        <v>703260</v>
      </c>
      <c r="E3142" t="s">
        <v>179</v>
      </c>
      <c r="F3142" t="s">
        <v>21</v>
      </c>
      <c r="G3142" t="s">
        <v>76</v>
      </c>
      <c r="H3142" t="s">
        <v>77</v>
      </c>
      <c r="J3142">
        <v>0</v>
      </c>
      <c r="K3142">
        <v>0</v>
      </c>
    </row>
    <row r="3143" spans="2:11" x14ac:dyDescent="0.25">
      <c r="B3143" t="s">
        <v>6</v>
      </c>
      <c r="C3143" t="s">
        <v>313</v>
      </c>
      <c r="D3143">
        <v>703261</v>
      </c>
      <c r="E3143" t="s">
        <v>180</v>
      </c>
      <c r="F3143" t="s">
        <v>21</v>
      </c>
      <c r="G3143" t="s">
        <v>22</v>
      </c>
      <c r="H3143" t="s">
        <v>115</v>
      </c>
      <c r="J3143">
        <v>0</v>
      </c>
      <c r="K3143">
        <v>0</v>
      </c>
    </row>
    <row r="3144" spans="2:11" x14ac:dyDescent="0.25">
      <c r="B3144" t="s">
        <v>6</v>
      </c>
      <c r="C3144" t="s">
        <v>313</v>
      </c>
      <c r="D3144">
        <v>703262</v>
      </c>
      <c r="E3144" t="s">
        <v>181</v>
      </c>
      <c r="F3144" t="s">
        <v>21</v>
      </c>
      <c r="G3144" t="s">
        <v>22</v>
      </c>
      <c r="H3144" t="s">
        <v>23</v>
      </c>
      <c r="J3144">
        <v>0</v>
      </c>
      <c r="K3144">
        <v>0</v>
      </c>
    </row>
    <row r="3145" spans="2:11" x14ac:dyDescent="0.25">
      <c r="B3145" t="s">
        <v>6</v>
      </c>
      <c r="C3145" t="s">
        <v>313</v>
      </c>
      <c r="D3145">
        <v>703263</v>
      </c>
      <c r="E3145" t="s">
        <v>182</v>
      </c>
      <c r="F3145" t="s">
        <v>21</v>
      </c>
      <c r="G3145" t="s">
        <v>22</v>
      </c>
      <c r="H3145" t="s">
        <v>115</v>
      </c>
      <c r="J3145">
        <v>0</v>
      </c>
      <c r="K3145">
        <v>0</v>
      </c>
    </row>
    <row r="3146" spans="2:11" x14ac:dyDescent="0.25">
      <c r="B3146" t="s">
        <v>6</v>
      </c>
      <c r="C3146" t="s">
        <v>313</v>
      </c>
      <c r="D3146">
        <v>703264</v>
      </c>
      <c r="E3146" t="s">
        <v>183</v>
      </c>
      <c r="F3146" t="s">
        <v>21</v>
      </c>
      <c r="G3146" t="s">
        <v>22</v>
      </c>
      <c r="H3146" t="s">
        <v>115</v>
      </c>
      <c r="J3146">
        <v>0</v>
      </c>
      <c r="K3146">
        <v>0</v>
      </c>
    </row>
    <row r="3147" spans="2:11" x14ac:dyDescent="0.25">
      <c r="B3147" t="s">
        <v>6</v>
      </c>
      <c r="C3147" t="s">
        <v>313</v>
      </c>
      <c r="D3147">
        <v>703265</v>
      </c>
      <c r="E3147" t="s">
        <v>184</v>
      </c>
      <c r="F3147" t="s">
        <v>21</v>
      </c>
      <c r="G3147" t="s">
        <v>22</v>
      </c>
      <c r="H3147" t="s">
        <v>115</v>
      </c>
      <c r="J3147">
        <v>0</v>
      </c>
      <c r="K3147">
        <v>0</v>
      </c>
    </row>
    <row r="3148" spans="2:11" x14ac:dyDescent="0.25">
      <c r="B3148" t="s">
        <v>6</v>
      </c>
      <c r="C3148" t="s">
        <v>313</v>
      </c>
      <c r="D3148">
        <v>703266</v>
      </c>
      <c r="E3148" t="s">
        <v>185</v>
      </c>
      <c r="F3148" t="s">
        <v>21</v>
      </c>
      <c r="G3148" t="s">
        <v>71</v>
      </c>
      <c r="H3148" t="s">
        <v>186</v>
      </c>
      <c r="J3148">
        <v>0</v>
      </c>
      <c r="K3148">
        <v>0</v>
      </c>
    </row>
    <row r="3149" spans="2:11" x14ac:dyDescent="0.25">
      <c r="B3149" t="s">
        <v>6</v>
      </c>
      <c r="C3149" t="s">
        <v>313</v>
      </c>
      <c r="D3149">
        <v>703267</v>
      </c>
      <c r="E3149" t="s">
        <v>187</v>
      </c>
      <c r="F3149" t="s">
        <v>21</v>
      </c>
      <c r="G3149" t="s">
        <v>71</v>
      </c>
      <c r="H3149" t="s">
        <v>88</v>
      </c>
      <c r="J3149">
        <v>0</v>
      </c>
      <c r="K3149">
        <v>0</v>
      </c>
    </row>
    <row r="3150" spans="2:11" x14ac:dyDescent="0.25">
      <c r="B3150" t="s">
        <v>6</v>
      </c>
      <c r="C3150" t="s">
        <v>313</v>
      </c>
      <c r="D3150">
        <v>703268</v>
      </c>
      <c r="E3150" t="s">
        <v>188</v>
      </c>
      <c r="F3150" t="s">
        <v>21</v>
      </c>
      <c r="G3150" t="s">
        <v>147</v>
      </c>
      <c r="H3150" t="s">
        <v>147</v>
      </c>
      <c r="J3150">
        <v>0</v>
      </c>
      <c r="K3150">
        <v>0</v>
      </c>
    </row>
    <row r="3151" spans="2:11" x14ac:dyDescent="0.25">
      <c r="B3151" t="s">
        <v>6</v>
      </c>
      <c r="C3151" t="s">
        <v>313</v>
      </c>
      <c r="D3151">
        <v>703269</v>
      </c>
      <c r="E3151" t="s">
        <v>189</v>
      </c>
      <c r="F3151" t="s">
        <v>21</v>
      </c>
      <c r="G3151" t="s">
        <v>147</v>
      </c>
      <c r="H3151" t="s">
        <v>147</v>
      </c>
      <c r="J3151">
        <v>0</v>
      </c>
      <c r="K3151">
        <v>0</v>
      </c>
    </row>
    <row r="3152" spans="2:11" x14ac:dyDescent="0.25">
      <c r="B3152" t="s">
        <v>6</v>
      </c>
      <c r="C3152" t="s">
        <v>313</v>
      </c>
      <c r="D3152">
        <v>703270</v>
      </c>
      <c r="E3152" t="s">
        <v>190</v>
      </c>
      <c r="F3152" t="s">
        <v>21</v>
      </c>
      <c r="G3152" t="s">
        <v>137</v>
      </c>
      <c r="H3152" t="s">
        <v>141</v>
      </c>
      <c r="J3152">
        <v>0</v>
      </c>
      <c r="K3152">
        <v>0</v>
      </c>
    </row>
    <row r="3153" spans="2:11" x14ac:dyDescent="0.25">
      <c r="B3153" t="s">
        <v>6</v>
      </c>
      <c r="C3153" t="s">
        <v>313</v>
      </c>
      <c r="D3153">
        <v>703271</v>
      </c>
      <c r="E3153" t="s">
        <v>191</v>
      </c>
      <c r="F3153" t="s">
        <v>21</v>
      </c>
      <c r="G3153" t="s">
        <v>22</v>
      </c>
      <c r="H3153" t="s">
        <v>115</v>
      </c>
      <c r="J3153">
        <v>0</v>
      </c>
      <c r="K3153">
        <v>0</v>
      </c>
    </row>
    <row r="3154" spans="2:11" x14ac:dyDescent="0.25">
      <c r="B3154" t="s">
        <v>6</v>
      </c>
      <c r="C3154" t="s">
        <v>313</v>
      </c>
      <c r="D3154">
        <v>703272</v>
      </c>
      <c r="E3154" t="s">
        <v>192</v>
      </c>
      <c r="F3154" t="s">
        <v>21</v>
      </c>
      <c r="G3154" t="s">
        <v>22</v>
      </c>
      <c r="H3154" t="s">
        <v>23</v>
      </c>
      <c r="J3154">
        <v>0</v>
      </c>
      <c r="K3154">
        <v>0</v>
      </c>
    </row>
    <row r="3155" spans="2:11" x14ac:dyDescent="0.25">
      <c r="B3155" t="s">
        <v>6</v>
      </c>
      <c r="C3155" t="s">
        <v>313</v>
      </c>
      <c r="D3155">
        <v>703273</v>
      </c>
      <c r="E3155" t="s">
        <v>193</v>
      </c>
      <c r="F3155" t="s">
        <v>21</v>
      </c>
      <c r="G3155" t="s">
        <v>147</v>
      </c>
      <c r="H3155" t="s">
        <v>147</v>
      </c>
      <c r="J3155">
        <v>0</v>
      </c>
      <c r="K3155">
        <v>0</v>
      </c>
    </row>
    <row r="3156" spans="2:11" x14ac:dyDescent="0.25">
      <c r="B3156" t="s">
        <v>6</v>
      </c>
      <c r="C3156" t="s">
        <v>313</v>
      </c>
      <c r="D3156">
        <v>703274</v>
      </c>
      <c r="E3156" t="s">
        <v>194</v>
      </c>
      <c r="F3156" t="s">
        <v>21</v>
      </c>
      <c r="G3156" t="s">
        <v>147</v>
      </c>
      <c r="H3156" t="s">
        <v>147</v>
      </c>
      <c r="J3156">
        <v>0</v>
      </c>
      <c r="K3156">
        <v>0</v>
      </c>
    </row>
    <row r="3157" spans="2:11" x14ac:dyDescent="0.25">
      <c r="B3157" t="s">
        <v>6</v>
      </c>
      <c r="C3157" t="s">
        <v>313</v>
      </c>
      <c r="D3157">
        <v>703275</v>
      </c>
      <c r="E3157" t="s">
        <v>195</v>
      </c>
      <c r="F3157" t="s">
        <v>21</v>
      </c>
      <c r="G3157" t="s">
        <v>137</v>
      </c>
      <c r="H3157" t="s">
        <v>138</v>
      </c>
      <c r="J3157">
        <v>0</v>
      </c>
      <c r="K3157">
        <v>0</v>
      </c>
    </row>
    <row r="3158" spans="2:11" x14ac:dyDescent="0.25">
      <c r="B3158" t="s">
        <v>6</v>
      </c>
      <c r="C3158" t="s">
        <v>313</v>
      </c>
      <c r="D3158">
        <v>703280</v>
      </c>
      <c r="E3158" t="s">
        <v>196</v>
      </c>
      <c r="F3158" t="s">
        <v>21</v>
      </c>
      <c r="G3158" t="s">
        <v>71</v>
      </c>
      <c r="H3158" t="s">
        <v>171</v>
      </c>
      <c r="J3158">
        <v>0</v>
      </c>
      <c r="K3158">
        <v>0</v>
      </c>
    </row>
    <row r="3159" spans="2:11" x14ac:dyDescent="0.25">
      <c r="B3159" t="s">
        <v>6</v>
      </c>
      <c r="C3159" t="s">
        <v>313</v>
      </c>
      <c r="D3159">
        <v>703281</v>
      </c>
      <c r="E3159" t="s">
        <v>197</v>
      </c>
      <c r="F3159" t="s">
        <v>21</v>
      </c>
      <c r="G3159" t="s">
        <v>76</v>
      </c>
      <c r="H3159" t="s">
        <v>77</v>
      </c>
      <c r="J3159">
        <v>0</v>
      </c>
      <c r="K3159">
        <v>0</v>
      </c>
    </row>
    <row r="3160" spans="2:11" x14ac:dyDescent="0.25">
      <c r="B3160" t="s">
        <v>6</v>
      </c>
      <c r="C3160" t="s">
        <v>313</v>
      </c>
      <c r="D3160">
        <v>703282</v>
      </c>
      <c r="E3160" t="s">
        <v>198</v>
      </c>
      <c r="F3160" t="s">
        <v>21</v>
      </c>
      <c r="G3160" t="s">
        <v>76</v>
      </c>
      <c r="H3160" t="s">
        <v>77</v>
      </c>
      <c r="J3160">
        <v>0</v>
      </c>
      <c r="K3160">
        <v>0</v>
      </c>
    </row>
    <row r="3161" spans="2:11" x14ac:dyDescent="0.25">
      <c r="B3161" t="s">
        <v>6</v>
      </c>
      <c r="C3161" t="s">
        <v>313</v>
      </c>
      <c r="D3161">
        <v>703283</v>
      </c>
      <c r="E3161" t="s">
        <v>199</v>
      </c>
      <c r="F3161" t="s">
        <v>21</v>
      </c>
      <c r="G3161" t="s">
        <v>61</v>
      </c>
      <c r="H3161" t="s">
        <v>68</v>
      </c>
      <c r="J3161">
        <v>0</v>
      </c>
      <c r="K3161">
        <v>0</v>
      </c>
    </row>
    <row r="3162" spans="2:11" x14ac:dyDescent="0.25">
      <c r="B3162" t="s">
        <v>6</v>
      </c>
      <c r="C3162" t="s">
        <v>313</v>
      </c>
      <c r="D3162">
        <v>703310</v>
      </c>
      <c r="E3162" t="s">
        <v>200</v>
      </c>
      <c r="F3162" t="s">
        <v>21</v>
      </c>
      <c r="G3162" t="s">
        <v>22</v>
      </c>
      <c r="H3162" t="s">
        <v>23</v>
      </c>
      <c r="J3162">
        <v>0</v>
      </c>
      <c r="K3162">
        <v>0</v>
      </c>
    </row>
    <row r="3163" spans="2:11" x14ac:dyDescent="0.25">
      <c r="B3163" t="s">
        <v>6</v>
      </c>
      <c r="C3163" t="s">
        <v>313</v>
      </c>
      <c r="D3163">
        <v>703311</v>
      </c>
      <c r="E3163" t="s">
        <v>201</v>
      </c>
      <c r="F3163" t="s">
        <v>21</v>
      </c>
      <c r="G3163" t="s">
        <v>71</v>
      </c>
      <c r="H3163" t="s">
        <v>171</v>
      </c>
      <c r="J3163">
        <v>0</v>
      </c>
      <c r="K3163">
        <v>0</v>
      </c>
    </row>
    <row r="3164" spans="2:11" x14ac:dyDescent="0.25">
      <c r="B3164" t="s">
        <v>6</v>
      </c>
      <c r="C3164" t="s">
        <v>313</v>
      </c>
      <c r="D3164">
        <v>703312</v>
      </c>
      <c r="E3164" t="s">
        <v>202</v>
      </c>
      <c r="F3164" t="s">
        <v>21</v>
      </c>
      <c r="G3164" t="s">
        <v>76</v>
      </c>
      <c r="H3164" t="s">
        <v>77</v>
      </c>
      <c r="J3164">
        <v>0</v>
      </c>
      <c r="K3164">
        <v>0</v>
      </c>
    </row>
    <row r="3165" spans="2:11" x14ac:dyDescent="0.25">
      <c r="B3165" t="s">
        <v>6</v>
      </c>
      <c r="C3165" t="s">
        <v>313</v>
      </c>
      <c r="D3165">
        <v>703313</v>
      </c>
      <c r="E3165" t="s">
        <v>203</v>
      </c>
      <c r="F3165" t="s">
        <v>21</v>
      </c>
      <c r="G3165" t="s">
        <v>76</v>
      </c>
      <c r="H3165" t="s">
        <v>77</v>
      </c>
      <c r="J3165">
        <v>0</v>
      </c>
      <c r="K3165">
        <v>0</v>
      </c>
    </row>
    <row r="3166" spans="2:11" x14ac:dyDescent="0.25">
      <c r="B3166" t="s">
        <v>6</v>
      </c>
      <c r="C3166" t="s">
        <v>313</v>
      </c>
      <c r="D3166">
        <v>703314</v>
      </c>
      <c r="E3166" t="s">
        <v>204</v>
      </c>
      <c r="F3166" t="s">
        <v>21</v>
      </c>
      <c r="G3166" t="s">
        <v>76</v>
      </c>
      <c r="H3166" t="s">
        <v>77</v>
      </c>
      <c r="J3166">
        <v>0</v>
      </c>
      <c r="K3166">
        <v>0</v>
      </c>
    </row>
    <row r="3167" spans="2:11" x14ac:dyDescent="0.25">
      <c r="B3167" t="s">
        <v>6</v>
      </c>
      <c r="C3167" t="s">
        <v>313</v>
      </c>
      <c r="D3167">
        <v>703315</v>
      </c>
      <c r="E3167" t="s">
        <v>205</v>
      </c>
      <c r="F3167" t="s">
        <v>21</v>
      </c>
      <c r="G3167" t="s">
        <v>76</v>
      </c>
      <c r="H3167" t="s">
        <v>135</v>
      </c>
      <c r="J3167">
        <v>0</v>
      </c>
      <c r="K3167">
        <v>0</v>
      </c>
    </row>
    <row r="3168" spans="2:11" x14ac:dyDescent="0.25">
      <c r="B3168" t="s">
        <v>6</v>
      </c>
      <c r="C3168" t="s">
        <v>313</v>
      </c>
      <c r="D3168">
        <v>703316</v>
      </c>
      <c r="E3168" t="s">
        <v>206</v>
      </c>
      <c r="F3168" t="s">
        <v>21</v>
      </c>
      <c r="G3168" t="s">
        <v>76</v>
      </c>
      <c r="H3168" t="s">
        <v>77</v>
      </c>
      <c r="J3168">
        <v>0</v>
      </c>
      <c r="K3168">
        <v>0</v>
      </c>
    </row>
    <row r="3169" spans="2:11" x14ac:dyDescent="0.25">
      <c r="B3169" t="s">
        <v>6</v>
      </c>
      <c r="C3169" t="s">
        <v>313</v>
      </c>
      <c r="D3169">
        <v>703317</v>
      </c>
      <c r="E3169" t="s">
        <v>207</v>
      </c>
      <c r="F3169" t="s">
        <v>21</v>
      </c>
      <c r="G3169" t="s">
        <v>76</v>
      </c>
      <c r="H3169" t="s">
        <v>77</v>
      </c>
      <c r="J3169">
        <v>0</v>
      </c>
      <c r="K3169">
        <v>0</v>
      </c>
    </row>
    <row r="3170" spans="2:11" x14ac:dyDescent="0.25">
      <c r="B3170" t="s">
        <v>6</v>
      </c>
      <c r="C3170" t="s">
        <v>313</v>
      </c>
      <c r="D3170">
        <v>703318</v>
      </c>
      <c r="E3170" t="s">
        <v>208</v>
      </c>
      <c r="F3170" t="s">
        <v>21</v>
      </c>
      <c r="G3170" t="s">
        <v>71</v>
      </c>
      <c r="H3170" t="s">
        <v>209</v>
      </c>
      <c r="J3170">
        <v>0</v>
      </c>
      <c r="K3170">
        <v>0</v>
      </c>
    </row>
    <row r="3171" spans="2:11" x14ac:dyDescent="0.25">
      <c r="B3171" t="s">
        <v>6</v>
      </c>
      <c r="C3171" t="s">
        <v>313</v>
      </c>
      <c r="D3171">
        <v>703319</v>
      </c>
      <c r="E3171" t="s">
        <v>210</v>
      </c>
      <c r="F3171" t="s">
        <v>21</v>
      </c>
      <c r="G3171" t="s">
        <v>61</v>
      </c>
      <c r="H3171" t="s">
        <v>79</v>
      </c>
      <c r="J3171">
        <v>0</v>
      </c>
      <c r="K3171">
        <v>0</v>
      </c>
    </row>
    <row r="3172" spans="2:11" x14ac:dyDescent="0.25">
      <c r="B3172" t="s">
        <v>6</v>
      </c>
      <c r="C3172" t="s">
        <v>313</v>
      </c>
      <c r="D3172">
        <v>703320</v>
      </c>
      <c r="E3172" t="s">
        <v>211</v>
      </c>
      <c r="F3172" t="s">
        <v>21</v>
      </c>
      <c r="G3172" t="s">
        <v>71</v>
      </c>
      <c r="H3172" t="s">
        <v>135</v>
      </c>
      <c r="J3172">
        <v>0</v>
      </c>
      <c r="K3172">
        <v>0</v>
      </c>
    </row>
    <row r="3173" spans="2:11" x14ac:dyDescent="0.25">
      <c r="B3173" t="s">
        <v>6</v>
      </c>
      <c r="C3173" t="s">
        <v>313</v>
      </c>
      <c r="D3173">
        <v>703321</v>
      </c>
      <c r="E3173" t="s">
        <v>212</v>
      </c>
      <c r="F3173" t="s">
        <v>21</v>
      </c>
      <c r="G3173" t="s">
        <v>22</v>
      </c>
      <c r="H3173" t="s">
        <v>23</v>
      </c>
      <c r="J3173">
        <v>0</v>
      </c>
      <c r="K3173">
        <v>0</v>
      </c>
    </row>
    <row r="3174" spans="2:11" x14ac:dyDescent="0.25">
      <c r="B3174" t="s">
        <v>6</v>
      </c>
      <c r="C3174" t="s">
        <v>313</v>
      </c>
      <c r="D3174">
        <v>703322</v>
      </c>
      <c r="E3174" t="s">
        <v>213</v>
      </c>
      <c r="F3174" t="s">
        <v>21</v>
      </c>
      <c r="G3174" t="s">
        <v>22</v>
      </c>
      <c r="H3174" t="s">
        <v>23</v>
      </c>
      <c r="J3174">
        <v>0</v>
      </c>
      <c r="K3174">
        <v>0</v>
      </c>
    </row>
    <row r="3175" spans="2:11" x14ac:dyDescent="0.25">
      <c r="B3175" t="s">
        <v>6</v>
      </c>
      <c r="C3175" t="s">
        <v>313</v>
      </c>
      <c r="D3175">
        <v>703323</v>
      </c>
      <c r="E3175" t="s">
        <v>214</v>
      </c>
      <c r="F3175" t="s">
        <v>21</v>
      </c>
      <c r="G3175" t="s">
        <v>22</v>
      </c>
      <c r="H3175" t="s">
        <v>23</v>
      </c>
      <c r="J3175">
        <v>0</v>
      </c>
      <c r="K3175">
        <v>0</v>
      </c>
    </row>
    <row r="3176" spans="2:11" x14ac:dyDescent="0.25">
      <c r="B3176" t="s">
        <v>6</v>
      </c>
      <c r="C3176" t="s">
        <v>313</v>
      </c>
      <c r="D3176">
        <v>703324</v>
      </c>
      <c r="E3176" t="s">
        <v>215</v>
      </c>
      <c r="F3176" t="s">
        <v>21</v>
      </c>
      <c r="G3176" t="s">
        <v>22</v>
      </c>
      <c r="H3176" t="s">
        <v>23</v>
      </c>
      <c r="J3176">
        <v>0</v>
      </c>
      <c r="K3176">
        <v>0</v>
      </c>
    </row>
    <row r="3177" spans="2:11" x14ac:dyDescent="0.25">
      <c r="B3177" t="s">
        <v>6</v>
      </c>
      <c r="C3177" t="s">
        <v>313</v>
      </c>
      <c r="D3177">
        <v>703325</v>
      </c>
      <c r="E3177" t="s">
        <v>216</v>
      </c>
      <c r="F3177" t="s">
        <v>21</v>
      </c>
      <c r="G3177" t="s">
        <v>22</v>
      </c>
      <c r="H3177" t="s">
        <v>23</v>
      </c>
      <c r="J3177">
        <v>0</v>
      </c>
      <c r="K3177">
        <v>0</v>
      </c>
    </row>
    <row r="3178" spans="2:11" x14ac:dyDescent="0.25">
      <c r="B3178" t="s">
        <v>6</v>
      </c>
      <c r="C3178" t="s">
        <v>313</v>
      </c>
      <c r="D3178">
        <v>703326</v>
      </c>
      <c r="E3178" t="s">
        <v>217</v>
      </c>
      <c r="F3178" t="s">
        <v>21</v>
      </c>
      <c r="G3178" t="s">
        <v>22</v>
      </c>
      <c r="H3178" t="s">
        <v>23</v>
      </c>
      <c r="J3178">
        <v>0</v>
      </c>
      <c r="K3178">
        <v>0</v>
      </c>
    </row>
    <row r="3179" spans="2:11" x14ac:dyDescent="0.25">
      <c r="B3179" t="s">
        <v>6</v>
      </c>
      <c r="C3179" t="s">
        <v>313</v>
      </c>
      <c r="D3179">
        <v>703327</v>
      </c>
      <c r="E3179" t="s">
        <v>218</v>
      </c>
      <c r="F3179" t="s">
        <v>21</v>
      </c>
      <c r="G3179" t="s">
        <v>76</v>
      </c>
      <c r="H3179" t="s">
        <v>77</v>
      </c>
      <c r="J3179">
        <v>0</v>
      </c>
      <c r="K3179">
        <v>0</v>
      </c>
    </row>
    <row r="3180" spans="2:11" x14ac:dyDescent="0.25">
      <c r="B3180" t="s">
        <v>6</v>
      </c>
      <c r="C3180" t="s">
        <v>313</v>
      </c>
      <c r="D3180">
        <v>703328</v>
      </c>
      <c r="E3180" t="s">
        <v>219</v>
      </c>
      <c r="F3180" t="s">
        <v>21</v>
      </c>
      <c r="G3180" t="s">
        <v>22</v>
      </c>
      <c r="H3180" t="s">
        <v>23</v>
      </c>
      <c r="J3180">
        <v>0</v>
      </c>
      <c r="K3180">
        <v>0</v>
      </c>
    </row>
    <row r="3181" spans="2:11" x14ac:dyDescent="0.25">
      <c r="B3181" t="s">
        <v>6</v>
      </c>
      <c r="C3181" t="s">
        <v>313</v>
      </c>
      <c r="D3181">
        <v>703329</v>
      </c>
      <c r="E3181" t="s">
        <v>220</v>
      </c>
      <c r="F3181" t="s">
        <v>21</v>
      </c>
      <c r="G3181" t="s">
        <v>22</v>
      </c>
      <c r="H3181" t="s">
        <v>23</v>
      </c>
      <c r="J3181">
        <v>0</v>
      </c>
      <c r="K3181">
        <v>0</v>
      </c>
    </row>
    <row r="3182" spans="2:11" x14ac:dyDescent="0.25">
      <c r="B3182" t="s">
        <v>6</v>
      </c>
      <c r="C3182" t="s">
        <v>313</v>
      </c>
      <c r="D3182">
        <v>703330</v>
      </c>
      <c r="E3182" t="s">
        <v>221</v>
      </c>
      <c r="F3182" t="s">
        <v>21</v>
      </c>
      <c r="G3182" t="s">
        <v>22</v>
      </c>
      <c r="H3182" t="s">
        <v>23</v>
      </c>
      <c r="J3182">
        <v>0</v>
      </c>
      <c r="K3182">
        <v>0</v>
      </c>
    </row>
    <row r="3183" spans="2:11" x14ac:dyDescent="0.25">
      <c r="B3183" t="s">
        <v>6</v>
      </c>
      <c r="C3183" t="s">
        <v>313</v>
      </c>
      <c r="D3183">
        <v>703340</v>
      </c>
      <c r="E3183" t="s">
        <v>222</v>
      </c>
      <c r="F3183" t="s">
        <v>21</v>
      </c>
      <c r="G3183" t="s">
        <v>61</v>
      </c>
      <c r="H3183" t="s">
        <v>68</v>
      </c>
      <c r="J3183">
        <v>0</v>
      </c>
      <c r="K3183">
        <v>0</v>
      </c>
    </row>
    <row r="3184" spans="2:11" x14ac:dyDescent="0.25">
      <c r="B3184" t="s">
        <v>6</v>
      </c>
      <c r="C3184" t="s">
        <v>313</v>
      </c>
      <c r="D3184">
        <v>703350</v>
      </c>
      <c r="E3184" t="s">
        <v>223</v>
      </c>
      <c r="F3184" t="s">
        <v>21</v>
      </c>
      <c r="G3184" t="s">
        <v>22</v>
      </c>
      <c r="H3184" t="s">
        <v>23</v>
      </c>
      <c r="J3184">
        <v>0</v>
      </c>
      <c r="K3184">
        <v>0</v>
      </c>
    </row>
    <row r="3185" spans="2:11" x14ac:dyDescent="0.25">
      <c r="B3185" t="s">
        <v>6</v>
      </c>
      <c r="C3185" t="s">
        <v>313</v>
      </c>
      <c r="D3185">
        <v>703351</v>
      </c>
      <c r="E3185" t="s">
        <v>224</v>
      </c>
      <c r="F3185" t="s">
        <v>21</v>
      </c>
      <c r="G3185" t="s">
        <v>22</v>
      </c>
      <c r="H3185" t="s">
        <v>23</v>
      </c>
      <c r="J3185">
        <v>0</v>
      </c>
      <c r="K3185">
        <v>0</v>
      </c>
    </row>
    <row r="3186" spans="2:11" x14ac:dyDescent="0.25">
      <c r="B3186" t="s">
        <v>6</v>
      </c>
      <c r="C3186" t="s">
        <v>313</v>
      </c>
      <c r="D3186">
        <v>703352</v>
      </c>
      <c r="E3186" t="s">
        <v>225</v>
      </c>
      <c r="F3186" t="s">
        <v>21</v>
      </c>
      <c r="G3186" t="s">
        <v>22</v>
      </c>
      <c r="H3186" t="s">
        <v>23</v>
      </c>
      <c r="J3186">
        <v>0</v>
      </c>
      <c r="K3186">
        <v>0</v>
      </c>
    </row>
    <row r="3187" spans="2:11" x14ac:dyDescent="0.25">
      <c r="B3187" t="s">
        <v>6</v>
      </c>
      <c r="C3187" t="s">
        <v>313</v>
      </c>
      <c r="D3187">
        <v>703360</v>
      </c>
      <c r="E3187" t="s">
        <v>226</v>
      </c>
      <c r="F3187" t="s">
        <v>21</v>
      </c>
      <c r="G3187" t="s">
        <v>22</v>
      </c>
      <c r="H3187" t="s">
        <v>23</v>
      </c>
      <c r="J3187">
        <v>0</v>
      </c>
      <c r="K3187">
        <v>0</v>
      </c>
    </row>
    <row r="3188" spans="2:11" x14ac:dyDescent="0.25">
      <c r="B3188" t="s">
        <v>6</v>
      </c>
      <c r="C3188" t="s">
        <v>313</v>
      </c>
      <c r="D3188">
        <v>703370</v>
      </c>
      <c r="E3188" t="s">
        <v>227</v>
      </c>
      <c r="F3188" t="s">
        <v>21</v>
      </c>
      <c r="G3188" t="s">
        <v>22</v>
      </c>
      <c r="H3188" t="s">
        <v>23</v>
      </c>
      <c r="J3188">
        <v>0</v>
      </c>
      <c r="K3188">
        <v>0</v>
      </c>
    </row>
    <row r="3189" spans="2:11" x14ac:dyDescent="0.25">
      <c r="B3189" t="s">
        <v>6</v>
      </c>
      <c r="C3189" t="s">
        <v>313</v>
      </c>
      <c r="D3189">
        <v>703410</v>
      </c>
      <c r="E3189" t="s">
        <v>228</v>
      </c>
      <c r="F3189" t="s">
        <v>21</v>
      </c>
      <c r="G3189" t="s">
        <v>22</v>
      </c>
      <c r="H3189" t="s">
        <v>23</v>
      </c>
      <c r="J3189">
        <v>0</v>
      </c>
      <c r="K3189">
        <v>0</v>
      </c>
    </row>
    <row r="3190" spans="2:11" x14ac:dyDescent="0.25">
      <c r="B3190" t="s">
        <v>6</v>
      </c>
      <c r="C3190" t="s">
        <v>313</v>
      </c>
      <c r="D3190">
        <v>703411</v>
      </c>
      <c r="E3190" t="s">
        <v>229</v>
      </c>
      <c r="F3190" t="s">
        <v>21</v>
      </c>
      <c r="G3190" t="s">
        <v>22</v>
      </c>
      <c r="H3190" t="s">
        <v>23</v>
      </c>
      <c r="J3190">
        <v>0</v>
      </c>
      <c r="K3190">
        <v>0</v>
      </c>
    </row>
    <row r="3191" spans="2:11" x14ac:dyDescent="0.25">
      <c r="B3191" t="s">
        <v>6</v>
      </c>
      <c r="C3191" t="s">
        <v>313</v>
      </c>
      <c r="D3191">
        <v>703412</v>
      </c>
      <c r="E3191" t="s">
        <v>230</v>
      </c>
      <c r="F3191" t="s">
        <v>21</v>
      </c>
      <c r="G3191" t="s">
        <v>22</v>
      </c>
      <c r="H3191" t="s">
        <v>23</v>
      </c>
      <c r="J3191">
        <v>0</v>
      </c>
      <c r="K3191">
        <v>0</v>
      </c>
    </row>
    <row r="3192" spans="2:11" x14ac:dyDescent="0.25">
      <c r="B3192" t="s">
        <v>6</v>
      </c>
      <c r="C3192" t="s">
        <v>313</v>
      </c>
      <c r="D3192">
        <v>703420</v>
      </c>
      <c r="E3192" t="s">
        <v>231</v>
      </c>
      <c r="F3192" t="s">
        <v>21</v>
      </c>
      <c r="G3192" t="s">
        <v>71</v>
      </c>
      <c r="H3192" t="s">
        <v>171</v>
      </c>
      <c r="J3192">
        <v>0</v>
      </c>
      <c r="K3192">
        <v>0</v>
      </c>
    </row>
    <row r="3193" spans="2:11" x14ac:dyDescent="0.25">
      <c r="B3193" t="s">
        <v>6</v>
      </c>
      <c r="C3193" t="s">
        <v>313</v>
      </c>
      <c r="D3193">
        <v>703421</v>
      </c>
      <c r="E3193" t="s">
        <v>232</v>
      </c>
      <c r="F3193" t="s">
        <v>21</v>
      </c>
      <c r="G3193" t="s">
        <v>22</v>
      </c>
      <c r="H3193" t="s">
        <v>23</v>
      </c>
      <c r="J3193">
        <v>0</v>
      </c>
      <c r="K3193">
        <v>0</v>
      </c>
    </row>
    <row r="3194" spans="2:11" x14ac:dyDescent="0.25">
      <c r="B3194" t="s">
        <v>6</v>
      </c>
      <c r="C3194" t="s">
        <v>313</v>
      </c>
      <c r="D3194">
        <v>703422</v>
      </c>
      <c r="E3194" t="s">
        <v>233</v>
      </c>
      <c r="F3194" t="s">
        <v>21</v>
      </c>
      <c r="G3194" t="s">
        <v>76</v>
      </c>
      <c r="H3194" t="s">
        <v>77</v>
      </c>
      <c r="J3194">
        <v>0</v>
      </c>
      <c r="K3194">
        <v>0</v>
      </c>
    </row>
    <row r="3195" spans="2:11" x14ac:dyDescent="0.25">
      <c r="B3195" t="s">
        <v>6</v>
      </c>
      <c r="C3195" t="s">
        <v>313</v>
      </c>
      <c r="D3195">
        <v>703423</v>
      </c>
      <c r="E3195" t="s">
        <v>234</v>
      </c>
      <c r="F3195" t="s">
        <v>21</v>
      </c>
      <c r="G3195" t="s">
        <v>71</v>
      </c>
      <c r="H3195" t="s">
        <v>88</v>
      </c>
      <c r="J3195">
        <v>0</v>
      </c>
      <c r="K3195">
        <v>0</v>
      </c>
    </row>
    <row r="3196" spans="2:11" x14ac:dyDescent="0.25">
      <c r="B3196" t="s">
        <v>6</v>
      </c>
      <c r="C3196" t="s">
        <v>313</v>
      </c>
      <c r="D3196">
        <v>703424</v>
      </c>
      <c r="E3196" t="s">
        <v>235</v>
      </c>
      <c r="F3196" t="s">
        <v>21</v>
      </c>
      <c r="G3196" t="s">
        <v>71</v>
      </c>
      <c r="H3196" t="s">
        <v>88</v>
      </c>
      <c r="J3196">
        <v>0</v>
      </c>
      <c r="K3196">
        <v>0</v>
      </c>
    </row>
    <row r="3197" spans="2:11" x14ac:dyDescent="0.25">
      <c r="B3197" t="s">
        <v>6</v>
      </c>
      <c r="C3197" t="s">
        <v>313</v>
      </c>
      <c r="D3197">
        <v>703425</v>
      </c>
      <c r="E3197" t="s">
        <v>236</v>
      </c>
      <c r="F3197" t="s">
        <v>21</v>
      </c>
      <c r="G3197" t="s">
        <v>76</v>
      </c>
      <c r="H3197" t="s">
        <v>77</v>
      </c>
      <c r="J3197">
        <v>0</v>
      </c>
      <c r="K3197">
        <v>0</v>
      </c>
    </row>
    <row r="3198" spans="2:11" x14ac:dyDescent="0.25">
      <c r="B3198" t="s">
        <v>6</v>
      </c>
      <c r="C3198" t="s">
        <v>313</v>
      </c>
      <c r="D3198">
        <v>703426</v>
      </c>
      <c r="E3198" t="s">
        <v>237</v>
      </c>
      <c r="F3198" t="s">
        <v>21</v>
      </c>
      <c r="G3198" t="s">
        <v>22</v>
      </c>
      <c r="H3198" t="s">
        <v>23</v>
      </c>
      <c r="J3198">
        <v>0</v>
      </c>
      <c r="K3198">
        <v>0</v>
      </c>
    </row>
    <row r="3199" spans="2:11" x14ac:dyDescent="0.25">
      <c r="B3199" t="s">
        <v>6</v>
      </c>
      <c r="C3199" t="s">
        <v>313</v>
      </c>
      <c r="D3199">
        <v>703427</v>
      </c>
      <c r="E3199" t="s">
        <v>238</v>
      </c>
      <c r="F3199" t="s">
        <v>21</v>
      </c>
      <c r="G3199" t="s">
        <v>76</v>
      </c>
      <c r="H3199" t="s">
        <v>77</v>
      </c>
      <c r="J3199">
        <v>0</v>
      </c>
      <c r="K3199">
        <v>0</v>
      </c>
    </row>
    <row r="3200" spans="2:11" x14ac:dyDescent="0.25">
      <c r="B3200" t="s">
        <v>6</v>
      </c>
      <c r="C3200" t="s">
        <v>313</v>
      </c>
      <c r="D3200">
        <v>703428</v>
      </c>
      <c r="E3200" t="s">
        <v>239</v>
      </c>
      <c r="F3200" t="s">
        <v>21</v>
      </c>
      <c r="G3200" t="s">
        <v>76</v>
      </c>
      <c r="H3200" t="s">
        <v>77</v>
      </c>
      <c r="J3200">
        <v>0</v>
      </c>
      <c r="K3200">
        <v>0</v>
      </c>
    </row>
    <row r="3201" spans="2:11" x14ac:dyDescent="0.25">
      <c r="B3201" t="s">
        <v>6</v>
      </c>
      <c r="C3201" t="s">
        <v>313</v>
      </c>
      <c r="D3201">
        <v>703429</v>
      </c>
      <c r="E3201" t="s">
        <v>240</v>
      </c>
      <c r="F3201" t="s">
        <v>21</v>
      </c>
      <c r="G3201" t="s">
        <v>76</v>
      </c>
      <c r="H3201" t="s">
        <v>77</v>
      </c>
      <c r="J3201">
        <v>0</v>
      </c>
      <c r="K3201">
        <v>0</v>
      </c>
    </row>
    <row r="3202" spans="2:11" x14ac:dyDescent="0.25">
      <c r="B3202" t="s">
        <v>6</v>
      </c>
      <c r="C3202" t="s">
        <v>313</v>
      </c>
      <c r="D3202">
        <v>703430</v>
      </c>
      <c r="E3202" t="s">
        <v>20</v>
      </c>
      <c r="F3202" t="s">
        <v>21</v>
      </c>
      <c r="G3202" t="s">
        <v>22</v>
      </c>
      <c r="H3202" t="s">
        <v>23</v>
      </c>
      <c r="J3202">
        <v>0</v>
      </c>
      <c r="K3202">
        <v>0</v>
      </c>
    </row>
    <row r="3203" spans="2:11" x14ac:dyDescent="0.25">
      <c r="B3203" t="s">
        <v>6</v>
      </c>
      <c r="C3203" t="s">
        <v>313</v>
      </c>
      <c r="D3203">
        <v>703431</v>
      </c>
      <c r="E3203" t="s">
        <v>241</v>
      </c>
      <c r="F3203" t="s">
        <v>21</v>
      </c>
      <c r="G3203" t="s">
        <v>22</v>
      </c>
      <c r="H3203" t="s">
        <v>23</v>
      </c>
      <c r="J3203">
        <v>0</v>
      </c>
      <c r="K3203">
        <v>0</v>
      </c>
    </row>
    <row r="3204" spans="2:11" x14ac:dyDescent="0.25">
      <c r="B3204" t="s">
        <v>6</v>
      </c>
      <c r="C3204" t="s">
        <v>313</v>
      </c>
      <c r="D3204">
        <v>703432</v>
      </c>
      <c r="E3204" t="s">
        <v>242</v>
      </c>
      <c r="F3204" t="s">
        <v>21</v>
      </c>
      <c r="G3204" t="s">
        <v>22</v>
      </c>
      <c r="H3204" t="s">
        <v>23</v>
      </c>
      <c r="J3204">
        <v>0</v>
      </c>
      <c r="K3204">
        <v>0</v>
      </c>
    </row>
    <row r="3205" spans="2:11" x14ac:dyDescent="0.25">
      <c r="B3205" t="s">
        <v>6</v>
      </c>
      <c r="C3205" t="s">
        <v>313</v>
      </c>
      <c r="D3205">
        <v>703433</v>
      </c>
      <c r="E3205" t="s">
        <v>243</v>
      </c>
      <c r="F3205" t="s">
        <v>21</v>
      </c>
      <c r="G3205" t="s">
        <v>71</v>
      </c>
      <c r="H3205" t="s">
        <v>88</v>
      </c>
      <c r="J3205">
        <v>0</v>
      </c>
      <c r="K3205">
        <v>0</v>
      </c>
    </row>
    <row r="3206" spans="2:11" x14ac:dyDescent="0.25">
      <c r="B3206" t="s">
        <v>6</v>
      </c>
      <c r="C3206" t="s">
        <v>313</v>
      </c>
      <c r="D3206">
        <v>703434</v>
      </c>
      <c r="E3206" t="s">
        <v>244</v>
      </c>
      <c r="F3206" t="s">
        <v>21</v>
      </c>
      <c r="G3206" t="s">
        <v>22</v>
      </c>
      <c r="H3206" t="s">
        <v>23</v>
      </c>
      <c r="J3206">
        <v>0</v>
      </c>
      <c r="K3206">
        <v>0</v>
      </c>
    </row>
    <row r="3207" spans="2:11" x14ac:dyDescent="0.25">
      <c r="B3207" t="s">
        <v>6</v>
      </c>
      <c r="C3207" t="s">
        <v>313</v>
      </c>
      <c r="D3207">
        <v>703435</v>
      </c>
      <c r="E3207" t="s">
        <v>245</v>
      </c>
      <c r="F3207" t="s">
        <v>21</v>
      </c>
      <c r="G3207" t="s">
        <v>71</v>
      </c>
      <c r="H3207" t="s">
        <v>88</v>
      </c>
      <c r="J3207">
        <v>0</v>
      </c>
      <c r="K3207">
        <v>0</v>
      </c>
    </row>
    <row r="3208" spans="2:11" x14ac:dyDescent="0.25">
      <c r="B3208" t="s">
        <v>6</v>
      </c>
      <c r="C3208" t="s">
        <v>313</v>
      </c>
      <c r="D3208">
        <v>703436</v>
      </c>
      <c r="E3208" t="s">
        <v>246</v>
      </c>
      <c r="F3208" t="s">
        <v>21</v>
      </c>
      <c r="G3208" t="s">
        <v>71</v>
      </c>
      <c r="H3208" t="s">
        <v>88</v>
      </c>
      <c r="J3208">
        <v>0</v>
      </c>
      <c r="K3208">
        <v>0</v>
      </c>
    </row>
    <row r="3209" spans="2:11" x14ac:dyDescent="0.25">
      <c r="B3209" t="s">
        <v>6</v>
      </c>
      <c r="C3209" t="s">
        <v>313</v>
      </c>
      <c r="D3209">
        <v>703437</v>
      </c>
      <c r="E3209" t="s">
        <v>247</v>
      </c>
      <c r="F3209" t="s">
        <v>21</v>
      </c>
      <c r="G3209" t="s">
        <v>71</v>
      </c>
      <c r="H3209" t="s">
        <v>88</v>
      </c>
      <c r="J3209">
        <v>0</v>
      </c>
      <c r="K3209">
        <v>0</v>
      </c>
    </row>
    <row r="3210" spans="2:11" x14ac:dyDescent="0.25">
      <c r="B3210" t="s">
        <v>6</v>
      </c>
      <c r="C3210" t="s">
        <v>313</v>
      </c>
      <c r="D3210">
        <v>703438</v>
      </c>
      <c r="E3210" t="s">
        <v>248</v>
      </c>
      <c r="F3210" t="s">
        <v>21</v>
      </c>
      <c r="G3210" t="s">
        <v>71</v>
      </c>
      <c r="H3210" t="s">
        <v>88</v>
      </c>
      <c r="J3210">
        <v>0</v>
      </c>
      <c r="K3210">
        <v>0</v>
      </c>
    </row>
    <row r="3211" spans="2:11" x14ac:dyDescent="0.25">
      <c r="B3211" t="s">
        <v>6</v>
      </c>
      <c r="C3211" t="s">
        <v>313</v>
      </c>
      <c r="D3211">
        <v>703439</v>
      </c>
      <c r="E3211" t="s">
        <v>249</v>
      </c>
      <c r="F3211" t="s">
        <v>21</v>
      </c>
      <c r="G3211" t="s">
        <v>22</v>
      </c>
      <c r="H3211" t="s">
        <v>23</v>
      </c>
      <c r="J3211">
        <v>0</v>
      </c>
      <c r="K3211">
        <v>0</v>
      </c>
    </row>
    <row r="3212" spans="2:11" x14ac:dyDescent="0.25">
      <c r="B3212" t="s">
        <v>6</v>
      </c>
      <c r="C3212" t="s">
        <v>313</v>
      </c>
      <c r="D3212">
        <v>703440</v>
      </c>
      <c r="E3212" t="s">
        <v>250</v>
      </c>
      <c r="F3212" t="s">
        <v>21</v>
      </c>
      <c r="G3212" t="s">
        <v>61</v>
      </c>
      <c r="H3212" t="s">
        <v>68</v>
      </c>
      <c r="J3212">
        <v>0</v>
      </c>
      <c r="K3212">
        <v>0</v>
      </c>
    </row>
    <row r="3213" spans="2:11" x14ac:dyDescent="0.25">
      <c r="B3213" t="s">
        <v>6</v>
      </c>
      <c r="C3213" t="s">
        <v>313</v>
      </c>
      <c r="D3213">
        <v>703441</v>
      </c>
      <c r="E3213" t="s">
        <v>251</v>
      </c>
      <c r="F3213" t="s">
        <v>21</v>
      </c>
      <c r="G3213" t="s">
        <v>61</v>
      </c>
      <c r="H3213" t="s">
        <v>79</v>
      </c>
      <c r="J3213">
        <v>0</v>
      </c>
      <c r="K3213">
        <v>0</v>
      </c>
    </row>
    <row r="3214" spans="2:11" x14ac:dyDescent="0.25">
      <c r="B3214" t="s">
        <v>6</v>
      </c>
      <c r="C3214" t="s">
        <v>313</v>
      </c>
      <c r="D3214">
        <v>703442</v>
      </c>
      <c r="E3214" t="s">
        <v>252</v>
      </c>
      <c r="F3214" t="s">
        <v>21</v>
      </c>
      <c r="G3214" t="s">
        <v>76</v>
      </c>
      <c r="H3214" t="s">
        <v>77</v>
      </c>
      <c r="J3214">
        <v>0</v>
      </c>
      <c r="K3214">
        <v>0</v>
      </c>
    </row>
    <row r="3215" spans="2:11" x14ac:dyDescent="0.25">
      <c r="B3215" t="s">
        <v>6</v>
      </c>
      <c r="C3215" t="s">
        <v>313</v>
      </c>
      <c r="D3215">
        <v>703443</v>
      </c>
      <c r="E3215" t="s">
        <v>253</v>
      </c>
      <c r="F3215" t="s">
        <v>21</v>
      </c>
      <c r="G3215" t="s">
        <v>71</v>
      </c>
      <c r="H3215" t="s">
        <v>88</v>
      </c>
      <c r="J3215">
        <v>0</v>
      </c>
      <c r="K3215">
        <v>0</v>
      </c>
    </row>
    <row r="3216" spans="2:11" x14ac:dyDescent="0.25">
      <c r="B3216" t="s">
        <v>6</v>
      </c>
      <c r="C3216" t="s">
        <v>313</v>
      </c>
      <c r="D3216">
        <v>703444</v>
      </c>
      <c r="E3216" t="s">
        <v>254</v>
      </c>
      <c r="F3216" t="s">
        <v>21</v>
      </c>
      <c r="G3216" t="s">
        <v>22</v>
      </c>
      <c r="H3216" t="s">
        <v>23</v>
      </c>
      <c r="J3216">
        <v>0</v>
      </c>
      <c r="K3216">
        <v>0</v>
      </c>
    </row>
    <row r="3217" spans="2:11" x14ac:dyDescent="0.25">
      <c r="B3217" t="s">
        <v>6</v>
      </c>
      <c r="C3217" t="s">
        <v>313</v>
      </c>
      <c r="D3217">
        <v>703445</v>
      </c>
      <c r="E3217" t="s">
        <v>255</v>
      </c>
      <c r="F3217" t="s">
        <v>21</v>
      </c>
      <c r="G3217" t="s">
        <v>22</v>
      </c>
      <c r="H3217" t="s">
        <v>23</v>
      </c>
      <c r="J3217">
        <v>0</v>
      </c>
      <c r="K3217">
        <v>0</v>
      </c>
    </row>
    <row r="3218" spans="2:11" x14ac:dyDescent="0.25">
      <c r="B3218" t="s">
        <v>6</v>
      </c>
      <c r="C3218" t="s">
        <v>313</v>
      </c>
      <c r="D3218">
        <v>703446</v>
      </c>
      <c r="E3218" t="s">
        <v>256</v>
      </c>
      <c r="F3218" t="s">
        <v>21</v>
      </c>
      <c r="G3218" t="s">
        <v>22</v>
      </c>
      <c r="H3218" t="s">
        <v>23</v>
      </c>
      <c r="J3218">
        <v>0</v>
      </c>
      <c r="K3218">
        <v>0</v>
      </c>
    </row>
    <row r="3219" spans="2:11" x14ac:dyDescent="0.25">
      <c r="B3219" t="s">
        <v>6</v>
      </c>
      <c r="C3219" t="s">
        <v>313</v>
      </c>
      <c r="D3219">
        <v>703447</v>
      </c>
      <c r="E3219" t="s">
        <v>257</v>
      </c>
      <c r="F3219" t="s">
        <v>21</v>
      </c>
      <c r="G3219" t="s">
        <v>22</v>
      </c>
      <c r="H3219" t="s">
        <v>23</v>
      </c>
      <c r="J3219">
        <v>0</v>
      </c>
      <c r="K3219">
        <v>0</v>
      </c>
    </row>
    <row r="3220" spans="2:11" x14ac:dyDescent="0.25">
      <c r="B3220" t="s">
        <v>6</v>
      </c>
      <c r="C3220" t="s">
        <v>313</v>
      </c>
      <c r="D3220">
        <v>703448</v>
      </c>
      <c r="E3220" t="s">
        <v>258</v>
      </c>
      <c r="F3220" t="s">
        <v>21</v>
      </c>
      <c r="G3220" t="s">
        <v>22</v>
      </c>
      <c r="H3220" t="s">
        <v>23</v>
      </c>
      <c r="J3220">
        <v>0</v>
      </c>
      <c r="K3220">
        <v>0</v>
      </c>
    </row>
    <row r="3221" spans="2:11" x14ac:dyDescent="0.25">
      <c r="B3221" t="s">
        <v>6</v>
      </c>
      <c r="C3221" t="s">
        <v>313</v>
      </c>
      <c r="D3221">
        <v>703449</v>
      </c>
      <c r="E3221" t="s">
        <v>259</v>
      </c>
      <c r="F3221" t="s">
        <v>21</v>
      </c>
      <c r="G3221" t="s">
        <v>22</v>
      </c>
      <c r="H3221" t="s">
        <v>23</v>
      </c>
      <c r="J3221">
        <v>0</v>
      </c>
      <c r="K3221">
        <v>0</v>
      </c>
    </row>
    <row r="3222" spans="2:11" x14ac:dyDescent="0.25">
      <c r="B3222" t="s">
        <v>6</v>
      </c>
      <c r="C3222" t="s">
        <v>313</v>
      </c>
      <c r="D3222">
        <v>703450</v>
      </c>
      <c r="E3222" t="s">
        <v>260</v>
      </c>
      <c r="F3222" t="s">
        <v>21</v>
      </c>
      <c r="G3222" t="s">
        <v>71</v>
      </c>
      <c r="H3222" t="s">
        <v>88</v>
      </c>
      <c r="J3222">
        <v>0</v>
      </c>
      <c r="K3222">
        <v>0</v>
      </c>
    </row>
    <row r="3223" spans="2:11" x14ac:dyDescent="0.25">
      <c r="B3223" t="s">
        <v>6</v>
      </c>
      <c r="C3223" t="s">
        <v>313</v>
      </c>
      <c r="D3223">
        <v>703510</v>
      </c>
      <c r="E3223" t="s">
        <v>261</v>
      </c>
      <c r="F3223" t="s">
        <v>21</v>
      </c>
      <c r="G3223" t="s">
        <v>22</v>
      </c>
      <c r="H3223" t="s">
        <v>23</v>
      </c>
      <c r="J3223">
        <v>0</v>
      </c>
      <c r="K3223">
        <v>0</v>
      </c>
    </row>
    <row r="3224" spans="2:11" x14ac:dyDescent="0.25">
      <c r="B3224" t="s">
        <v>6</v>
      </c>
      <c r="C3224" t="s">
        <v>313</v>
      </c>
      <c r="D3224">
        <v>703511</v>
      </c>
      <c r="E3224" t="s">
        <v>262</v>
      </c>
      <c r="F3224" t="s">
        <v>21</v>
      </c>
      <c r="G3224" t="s">
        <v>22</v>
      </c>
      <c r="H3224" t="s">
        <v>23</v>
      </c>
      <c r="J3224">
        <v>0</v>
      </c>
      <c r="K3224">
        <v>0</v>
      </c>
    </row>
    <row r="3225" spans="2:11" x14ac:dyDescent="0.25">
      <c r="B3225" t="s">
        <v>6</v>
      </c>
      <c r="C3225" t="s">
        <v>313</v>
      </c>
      <c r="D3225">
        <v>703512</v>
      </c>
      <c r="E3225" t="s">
        <v>263</v>
      </c>
      <c r="F3225" t="s">
        <v>21</v>
      </c>
      <c r="G3225" t="s">
        <v>22</v>
      </c>
      <c r="H3225" t="s">
        <v>23</v>
      </c>
      <c r="J3225">
        <v>0</v>
      </c>
      <c r="K3225">
        <v>0</v>
      </c>
    </row>
    <row r="3226" spans="2:11" x14ac:dyDescent="0.25">
      <c r="B3226" t="s">
        <v>6</v>
      </c>
      <c r="C3226" t="s">
        <v>313</v>
      </c>
      <c r="D3226">
        <v>703513</v>
      </c>
      <c r="E3226" t="s">
        <v>264</v>
      </c>
      <c r="F3226" t="s">
        <v>21</v>
      </c>
      <c r="G3226" t="s">
        <v>22</v>
      </c>
      <c r="H3226" t="s">
        <v>23</v>
      </c>
      <c r="J3226">
        <v>0</v>
      </c>
      <c r="K3226">
        <v>0</v>
      </c>
    </row>
    <row r="3227" spans="2:11" x14ac:dyDescent="0.25">
      <c r="B3227" t="s">
        <v>6</v>
      </c>
      <c r="C3227" t="s">
        <v>313</v>
      </c>
      <c r="D3227">
        <v>703514</v>
      </c>
      <c r="E3227" t="s">
        <v>265</v>
      </c>
      <c r="F3227" t="s">
        <v>21</v>
      </c>
      <c r="G3227" t="s">
        <v>22</v>
      </c>
      <c r="H3227" t="s">
        <v>23</v>
      </c>
      <c r="J3227">
        <v>0</v>
      </c>
      <c r="K3227">
        <v>0</v>
      </c>
    </row>
    <row r="3228" spans="2:11" x14ac:dyDescent="0.25">
      <c r="B3228" t="s">
        <v>6</v>
      </c>
      <c r="C3228" t="s">
        <v>313</v>
      </c>
      <c r="D3228">
        <v>703515</v>
      </c>
      <c r="E3228" t="s">
        <v>266</v>
      </c>
      <c r="F3228" t="s">
        <v>21</v>
      </c>
      <c r="G3228" t="s">
        <v>22</v>
      </c>
      <c r="H3228" t="s">
        <v>23</v>
      </c>
      <c r="J3228">
        <v>0</v>
      </c>
      <c r="K3228">
        <v>0</v>
      </c>
    </row>
    <row r="3229" spans="2:11" x14ac:dyDescent="0.25">
      <c r="B3229" t="s">
        <v>6</v>
      </c>
      <c r="C3229" t="s">
        <v>313</v>
      </c>
      <c r="D3229">
        <v>703520</v>
      </c>
      <c r="E3229" t="s">
        <v>267</v>
      </c>
      <c r="F3229" t="s">
        <v>21</v>
      </c>
      <c r="G3229" t="s">
        <v>22</v>
      </c>
      <c r="H3229" t="s">
        <v>23</v>
      </c>
      <c r="J3229">
        <v>0</v>
      </c>
      <c r="K3229">
        <v>0</v>
      </c>
    </row>
    <row r="3230" spans="2:11" x14ac:dyDescent="0.25">
      <c r="B3230" t="s">
        <v>6</v>
      </c>
      <c r="C3230" t="s">
        <v>313</v>
      </c>
      <c r="D3230">
        <v>703530</v>
      </c>
      <c r="E3230" t="s">
        <v>268</v>
      </c>
      <c r="F3230" t="s">
        <v>21</v>
      </c>
      <c r="G3230" t="s">
        <v>22</v>
      </c>
      <c r="H3230" t="s">
        <v>23</v>
      </c>
      <c r="J3230">
        <v>0</v>
      </c>
      <c r="K3230">
        <v>0</v>
      </c>
    </row>
    <row r="3231" spans="2:11" x14ac:dyDescent="0.25">
      <c r="B3231" t="s">
        <v>6</v>
      </c>
      <c r="C3231" t="s">
        <v>313</v>
      </c>
      <c r="D3231">
        <v>703540</v>
      </c>
      <c r="E3231" t="s">
        <v>269</v>
      </c>
      <c r="F3231" t="s">
        <v>21</v>
      </c>
      <c r="G3231" t="s">
        <v>22</v>
      </c>
      <c r="H3231" t="s">
        <v>23</v>
      </c>
      <c r="J3231">
        <v>0</v>
      </c>
      <c r="K3231">
        <v>0</v>
      </c>
    </row>
    <row r="3232" spans="2:11" x14ac:dyDescent="0.25">
      <c r="B3232" t="s">
        <v>6</v>
      </c>
      <c r="C3232" t="s">
        <v>313</v>
      </c>
      <c r="D3232">
        <v>703550</v>
      </c>
      <c r="E3232" t="s">
        <v>270</v>
      </c>
      <c r="F3232" t="s">
        <v>21</v>
      </c>
      <c r="G3232" t="s">
        <v>22</v>
      </c>
      <c r="H3232" t="s">
        <v>23</v>
      </c>
      <c r="J3232">
        <v>0</v>
      </c>
      <c r="K3232">
        <v>0</v>
      </c>
    </row>
    <row r="3233" spans="2:11" x14ac:dyDescent="0.25">
      <c r="B3233" t="s">
        <v>6</v>
      </c>
      <c r="C3233" t="s">
        <v>313</v>
      </c>
      <c r="D3233">
        <v>703560</v>
      </c>
      <c r="E3233" t="s">
        <v>271</v>
      </c>
      <c r="F3233" t="s">
        <v>21</v>
      </c>
      <c r="G3233" t="s">
        <v>22</v>
      </c>
      <c r="H3233" t="s">
        <v>23</v>
      </c>
      <c r="J3233">
        <v>0</v>
      </c>
      <c r="K3233">
        <v>0</v>
      </c>
    </row>
    <row r="3234" spans="2:11" x14ac:dyDescent="0.25">
      <c r="B3234" t="s">
        <v>6</v>
      </c>
      <c r="C3234" t="s">
        <v>313</v>
      </c>
      <c r="D3234">
        <v>703570</v>
      </c>
      <c r="E3234" t="s">
        <v>272</v>
      </c>
      <c r="F3234" t="s">
        <v>21</v>
      </c>
      <c r="G3234" t="s">
        <v>22</v>
      </c>
      <c r="H3234" t="s">
        <v>23</v>
      </c>
      <c r="J3234">
        <v>0</v>
      </c>
      <c r="K3234">
        <v>0</v>
      </c>
    </row>
    <row r="3235" spans="2:11" x14ac:dyDescent="0.25">
      <c r="B3235" t="s">
        <v>6</v>
      </c>
      <c r="C3235" t="s">
        <v>313</v>
      </c>
      <c r="D3235">
        <v>703571</v>
      </c>
      <c r="E3235" t="s">
        <v>273</v>
      </c>
      <c r="F3235" t="s">
        <v>21</v>
      </c>
      <c r="G3235" t="s">
        <v>22</v>
      </c>
      <c r="H3235" t="s">
        <v>23</v>
      </c>
      <c r="J3235">
        <v>0</v>
      </c>
    </row>
    <row r="3236" spans="2:11" x14ac:dyDescent="0.25">
      <c r="B3236" t="s">
        <v>6</v>
      </c>
      <c r="C3236" t="s">
        <v>313</v>
      </c>
      <c r="D3236">
        <v>703572</v>
      </c>
      <c r="E3236" t="s">
        <v>274</v>
      </c>
      <c r="F3236" t="s">
        <v>21</v>
      </c>
      <c r="G3236" t="s">
        <v>22</v>
      </c>
      <c r="H3236" t="s">
        <v>23</v>
      </c>
      <c r="J3236">
        <v>0</v>
      </c>
    </row>
    <row r="3237" spans="2:11" x14ac:dyDescent="0.25">
      <c r="B3237" t="s">
        <v>6</v>
      </c>
      <c r="C3237" t="s">
        <v>313</v>
      </c>
      <c r="D3237">
        <v>703573</v>
      </c>
      <c r="E3237" t="s">
        <v>275</v>
      </c>
      <c r="F3237" t="s">
        <v>21</v>
      </c>
      <c r="G3237" t="s">
        <v>22</v>
      </c>
      <c r="H3237" t="s">
        <v>23</v>
      </c>
      <c r="J3237">
        <v>0</v>
      </c>
    </row>
    <row r="3238" spans="2:11" x14ac:dyDescent="0.25">
      <c r="B3238" t="s">
        <v>6</v>
      </c>
      <c r="C3238" t="s">
        <v>313</v>
      </c>
      <c r="D3238">
        <v>703574</v>
      </c>
      <c r="E3238" t="s">
        <v>276</v>
      </c>
      <c r="F3238" t="s">
        <v>21</v>
      </c>
      <c r="G3238" t="s">
        <v>22</v>
      </c>
      <c r="H3238" t="s">
        <v>23</v>
      </c>
      <c r="J3238">
        <v>0</v>
      </c>
    </row>
    <row r="3239" spans="2:11" x14ac:dyDescent="0.25">
      <c r="B3239" t="s">
        <v>6</v>
      </c>
      <c r="C3239" t="s">
        <v>313</v>
      </c>
      <c r="D3239">
        <v>703580</v>
      </c>
      <c r="E3239" t="s">
        <v>277</v>
      </c>
      <c r="F3239" t="s">
        <v>21</v>
      </c>
      <c r="G3239" t="s">
        <v>22</v>
      </c>
      <c r="H3239" t="s">
        <v>23</v>
      </c>
      <c r="J3239">
        <v>0</v>
      </c>
      <c r="K3239">
        <v>0</v>
      </c>
    </row>
    <row r="3240" spans="2:11" x14ac:dyDescent="0.25">
      <c r="B3240" t="s">
        <v>6</v>
      </c>
      <c r="C3240" t="s">
        <v>313</v>
      </c>
      <c r="D3240">
        <v>703590</v>
      </c>
      <c r="E3240" t="s">
        <v>278</v>
      </c>
      <c r="F3240" t="s">
        <v>21</v>
      </c>
      <c r="G3240" t="s">
        <v>22</v>
      </c>
      <c r="H3240" t="s">
        <v>23</v>
      </c>
      <c r="J3240">
        <v>0</v>
      </c>
      <c r="K3240">
        <v>0</v>
      </c>
    </row>
    <row r="3241" spans="2:11" x14ac:dyDescent="0.25">
      <c r="B3241" t="s">
        <v>6</v>
      </c>
      <c r="C3241" t="s">
        <v>313</v>
      </c>
      <c r="D3241">
        <v>703650</v>
      </c>
      <c r="E3241" t="s">
        <v>279</v>
      </c>
      <c r="F3241" t="s">
        <v>21</v>
      </c>
      <c r="G3241" t="s">
        <v>22</v>
      </c>
      <c r="H3241" t="s">
        <v>23</v>
      </c>
      <c r="J3241">
        <v>0</v>
      </c>
      <c r="K3241">
        <v>0</v>
      </c>
    </row>
    <row r="3242" spans="2:11" x14ac:dyDescent="0.25">
      <c r="B3242" t="s">
        <v>6</v>
      </c>
      <c r="C3242" t="s">
        <v>313</v>
      </c>
      <c r="D3242">
        <v>703651</v>
      </c>
      <c r="E3242" t="s">
        <v>280</v>
      </c>
      <c r="F3242" t="s">
        <v>21</v>
      </c>
      <c r="G3242" t="s">
        <v>22</v>
      </c>
      <c r="H3242" t="s">
        <v>23</v>
      </c>
      <c r="J3242">
        <v>0</v>
      </c>
      <c r="K3242">
        <v>0</v>
      </c>
    </row>
    <row r="3243" spans="2:11" x14ac:dyDescent="0.25">
      <c r="B3243" t="s">
        <v>6</v>
      </c>
      <c r="C3243" t="s">
        <v>313</v>
      </c>
      <c r="D3243">
        <v>703850</v>
      </c>
      <c r="E3243" t="s">
        <v>281</v>
      </c>
      <c r="F3243" t="s">
        <v>21</v>
      </c>
      <c r="G3243" t="s">
        <v>22</v>
      </c>
      <c r="H3243" t="s">
        <v>23</v>
      </c>
      <c r="J3243">
        <v>0</v>
      </c>
      <c r="K3243">
        <v>0</v>
      </c>
    </row>
    <row r="3244" spans="2:11" x14ac:dyDescent="0.25">
      <c r="B3244" t="s">
        <v>6</v>
      </c>
      <c r="C3244" t="s">
        <v>313</v>
      </c>
      <c r="D3244">
        <v>703851</v>
      </c>
      <c r="E3244" t="s">
        <v>282</v>
      </c>
      <c r="F3244" t="s">
        <v>21</v>
      </c>
      <c r="G3244" t="s">
        <v>22</v>
      </c>
      <c r="H3244" t="s">
        <v>23</v>
      </c>
      <c r="J3244">
        <v>0</v>
      </c>
      <c r="K3244">
        <v>0</v>
      </c>
    </row>
    <row r="3245" spans="2:11" x14ac:dyDescent="0.25">
      <c r="B3245" t="s">
        <v>6</v>
      </c>
      <c r="C3245" t="s">
        <v>313</v>
      </c>
      <c r="D3245">
        <v>703852</v>
      </c>
      <c r="E3245" t="s">
        <v>283</v>
      </c>
      <c r="F3245" t="s">
        <v>21</v>
      </c>
      <c r="G3245" t="s">
        <v>22</v>
      </c>
      <c r="H3245" t="s">
        <v>23</v>
      </c>
      <c r="J3245">
        <v>0</v>
      </c>
      <c r="K3245">
        <v>0</v>
      </c>
    </row>
    <row r="3246" spans="2:11" x14ac:dyDescent="0.25">
      <c r="B3246" t="s">
        <v>6</v>
      </c>
      <c r="C3246" t="s">
        <v>313</v>
      </c>
      <c r="D3246">
        <v>703853</v>
      </c>
      <c r="E3246" t="s">
        <v>284</v>
      </c>
      <c r="F3246" t="s">
        <v>21</v>
      </c>
      <c r="G3246" t="s">
        <v>22</v>
      </c>
      <c r="H3246" t="s">
        <v>23</v>
      </c>
      <c r="J3246">
        <v>0</v>
      </c>
      <c r="K3246">
        <v>0</v>
      </c>
    </row>
    <row r="3247" spans="2:11" x14ac:dyDescent="0.25">
      <c r="B3247" t="s">
        <v>6</v>
      </c>
      <c r="C3247" t="s">
        <v>313</v>
      </c>
      <c r="D3247">
        <v>703854</v>
      </c>
      <c r="E3247" t="s">
        <v>285</v>
      </c>
      <c r="F3247" t="s">
        <v>21</v>
      </c>
      <c r="G3247" t="s">
        <v>22</v>
      </c>
      <c r="H3247" t="s">
        <v>115</v>
      </c>
      <c r="J3247">
        <v>0</v>
      </c>
      <c r="K3247">
        <v>0</v>
      </c>
    </row>
    <row r="3248" spans="2:11" x14ac:dyDescent="0.25">
      <c r="B3248" t="s">
        <v>6</v>
      </c>
      <c r="C3248" t="s">
        <v>313</v>
      </c>
      <c r="D3248">
        <v>703855</v>
      </c>
      <c r="E3248" t="s">
        <v>286</v>
      </c>
      <c r="F3248" t="s">
        <v>21</v>
      </c>
      <c r="G3248" t="s">
        <v>22</v>
      </c>
      <c r="H3248" t="s">
        <v>23</v>
      </c>
      <c r="J3248">
        <v>0</v>
      </c>
      <c r="K3248">
        <v>0</v>
      </c>
    </row>
    <row r="3249" spans="2:11" x14ac:dyDescent="0.25">
      <c r="B3249" t="s">
        <v>6</v>
      </c>
      <c r="C3249" t="s">
        <v>313</v>
      </c>
      <c r="D3249">
        <v>703856</v>
      </c>
      <c r="E3249" t="s">
        <v>287</v>
      </c>
      <c r="F3249" t="s">
        <v>21</v>
      </c>
      <c r="G3249" t="s">
        <v>22</v>
      </c>
      <c r="H3249" t="s">
        <v>23</v>
      </c>
      <c r="J3249">
        <v>0</v>
      </c>
      <c r="K3249">
        <v>0</v>
      </c>
    </row>
    <row r="3250" spans="2:11" x14ac:dyDescent="0.25">
      <c r="B3250" t="s">
        <v>6</v>
      </c>
      <c r="C3250" t="s">
        <v>313</v>
      </c>
      <c r="D3250">
        <v>703857</v>
      </c>
      <c r="E3250" t="s">
        <v>288</v>
      </c>
      <c r="F3250" t="s">
        <v>21</v>
      </c>
      <c r="G3250" t="s">
        <v>71</v>
      </c>
      <c r="H3250" t="s">
        <v>88</v>
      </c>
      <c r="J3250">
        <v>0</v>
      </c>
      <c r="K3250">
        <v>0</v>
      </c>
    </row>
    <row r="3251" spans="2:11" x14ac:dyDescent="0.25">
      <c r="B3251" t="s">
        <v>6</v>
      </c>
      <c r="C3251" t="s">
        <v>313</v>
      </c>
      <c r="D3251">
        <v>703858</v>
      </c>
      <c r="E3251" t="s">
        <v>289</v>
      </c>
      <c r="F3251" t="s">
        <v>21</v>
      </c>
      <c r="G3251" t="s">
        <v>22</v>
      </c>
      <c r="H3251" t="s">
        <v>23</v>
      </c>
      <c r="J3251">
        <v>0</v>
      </c>
      <c r="K3251">
        <v>0</v>
      </c>
    </row>
    <row r="3252" spans="2:11" x14ac:dyDescent="0.25">
      <c r="B3252" t="s">
        <v>6</v>
      </c>
      <c r="C3252" t="s">
        <v>313</v>
      </c>
      <c r="D3252">
        <v>703859</v>
      </c>
      <c r="E3252" t="s">
        <v>290</v>
      </c>
      <c r="F3252" t="s">
        <v>21</v>
      </c>
      <c r="G3252" t="s">
        <v>22</v>
      </c>
      <c r="H3252" t="s">
        <v>23</v>
      </c>
      <c r="J3252">
        <v>0</v>
      </c>
      <c r="K3252">
        <v>0</v>
      </c>
    </row>
    <row r="3253" spans="2:11" x14ac:dyDescent="0.25">
      <c r="B3253" t="s">
        <v>6</v>
      </c>
      <c r="C3253" t="s">
        <v>313</v>
      </c>
      <c r="D3253">
        <v>703860</v>
      </c>
      <c r="E3253" t="s">
        <v>291</v>
      </c>
      <c r="F3253" t="s">
        <v>21</v>
      </c>
      <c r="G3253" t="s">
        <v>22</v>
      </c>
      <c r="H3253" t="s">
        <v>23</v>
      </c>
      <c r="J3253">
        <v>0</v>
      </c>
      <c r="K3253">
        <v>0</v>
      </c>
    </row>
    <row r="3254" spans="2:11" x14ac:dyDescent="0.25">
      <c r="B3254" t="s">
        <v>6</v>
      </c>
      <c r="C3254" t="s">
        <v>313</v>
      </c>
      <c r="D3254">
        <v>703861</v>
      </c>
      <c r="E3254" t="s">
        <v>292</v>
      </c>
      <c r="F3254" t="s">
        <v>21</v>
      </c>
      <c r="G3254" t="s">
        <v>22</v>
      </c>
      <c r="H3254" t="s">
        <v>23</v>
      </c>
      <c r="J3254">
        <v>0</v>
      </c>
      <c r="K3254">
        <v>0</v>
      </c>
    </row>
    <row r="3255" spans="2:11" x14ac:dyDescent="0.25">
      <c r="B3255" t="s">
        <v>6</v>
      </c>
      <c r="C3255" t="s">
        <v>313</v>
      </c>
      <c r="D3255">
        <v>703862</v>
      </c>
      <c r="E3255" t="s">
        <v>293</v>
      </c>
      <c r="F3255" t="s">
        <v>21</v>
      </c>
      <c r="G3255" t="s">
        <v>22</v>
      </c>
      <c r="H3255" t="s">
        <v>23</v>
      </c>
      <c r="J3255">
        <v>0</v>
      </c>
      <c r="K3255">
        <v>0</v>
      </c>
    </row>
    <row r="3256" spans="2:11" x14ac:dyDescent="0.25">
      <c r="B3256" t="s">
        <v>6</v>
      </c>
      <c r="C3256" t="s">
        <v>313</v>
      </c>
      <c r="D3256">
        <v>703870</v>
      </c>
      <c r="E3256" t="s">
        <v>294</v>
      </c>
      <c r="F3256" t="s">
        <v>21</v>
      </c>
      <c r="G3256" t="s">
        <v>22</v>
      </c>
      <c r="H3256" t="s">
        <v>23</v>
      </c>
      <c r="J3256">
        <v>0</v>
      </c>
      <c r="K3256">
        <v>0</v>
      </c>
    </row>
    <row r="3257" spans="2:11" x14ac:dyDescent="0.25">
      <c r="B3257" t="s">
        <v>6</v>
      </c>
      <c r="C3257" t="s">
        <v>313</v>
      </c>
      <c r="D3257">
        <v>703880</v>
      </c>
      <c r="E3257" t="s">
        <v>295</v>
      </c>
      <c r="F3257" t="s">
        <v>21</v>
      </c>
      <c r="G3257" t="s">
        <v>22</v>
      </c>
      <c r="H3257" t="s">
        <v>23</v>
      </c>
      <c r="J3257">
        <v>0</v>
      </c>
      <c r="K3257">
        <v>0</v>
      </c>
    </row>
    <row r="3258" spans="2:11" x14ac:dyDescent="0.25">
      <c r="B3258" t="s">
        <v>6</v>
      </c>
      <c r="C3258" t="s">
        <v>313</v>
      </c>
      <c r="D3258">
        <v>703899</v>
      </c>
      <c r="E3258" t="s">
        <v>296</v>
      </c>
      <c r="F3258" t="s">
        <v>21</v>
      </c>
      <c r="G3258" t="s">
        <v>22</v>
      </c>
      <c r="H3258" t="s">
        <v>23</v>
      </c>
      <c r="J3258">
        <v>0</v>
      </c>
      <c r="K3258">
        <v>0</v>
      </c>
    </row>
    <row r="3259" spans="2:11" x14ac:dyDescent="0.25">
      <c r="B3259" t="s">
        <v>6</v>
      </c>
      <c r="C3259" t="s">
        <v>313</v>
      </c>
      <c r="D3259">
        <v>706700</v>
      </c>
      <c r="E3259" t="s">
        <v>25</v>
      </c>
      <c r="F3259" t="s">
        <v>26</v>
      </c>
      <c r="G3259" t="s">
        <v>27</v>
      </c>
      <c r="H3259" t="s">
        <v>28</v>
      </c>
      <c r="J3259">
        <v>0</v>
      </c>
      <c r="K3259">
        <v>0</v>
      </c>
    </row>
    <row r="3260" spans="2:11" x14ac:dyDescent="0.25">
      <c r="B3260" t="s">
        <v>6</v>
      </c>
      <c r="C3260" t="s">
        <v>313</v>
      </c>
      <c r="D3260" t="s">
        <v>29</v>
      </c>
      <c r="E3260" t="s">
        <v>30</v>
      </c>
      <c r="F3260" t="s">
        <v>26</v>
      </c>
      <c r="G3260" t="s">
        <v>27</v>
      </c>
      <c r="H3260" t="s">
        <v>31</v>
      </c>
      <c r="J3260">
        <v>0</v>
      </c>
      <c r="K3260">
        <v>0</v>
      </c>
    </row>
    <row r="3261" spans="2:11" x14ac:dyDescent="0.25">
      <c r="B3261" t="s">
        <v>6</v>
      </c>
      <c r="C3261" t="s">
        <v>313</v>
      </c>
      <c r="D3261" t="s">
        <v>32</v>
      </c>
      <c r="E3261" t="s">
        <v>33</v>
      </c>
      <c r="F3261" t="s">
        <v>26</v>
      </c>
      <c r="G3261" t="s">
        <v>27</v>
      </c>
      <c r="H3261" t="s">
        <v>28</v>
      </c>
      <c r="J3261">
        <v>0</v>
      </c>
      <c r="K3261">
        <v>0</v>
      </c>
    </row>
    <row r="3262" spans="2:11" x14ac:dyDescent="0.25">
      <c r="B3262" t="s">
        <v>6</v>
      </c>
      <c r="C3262" t="s">
        <v>313</v>
      </c>
      <c r="D3262" t="s">
        <v>34</v>
      </c>
      <c r="E3262" t="s">
        <v>35</v>
      </c>
      <c r="F3262" t="s">
        <v>26</v>
      </c>
      <c r="G3262" t="s">
        <v>36</v>
      </c>
      <c r="H3262" t="s">
        <v>36</v>
      </c>
      <c r="J3262">
        <v>0</v>
      </c>
      <c r="K3262">
        <v>0</v>
      </c>
    </row>
    <row r="3263" spans="2:11" x14ac:dyDescent="0.25">
      <c r="B3263" t="s">
        <v>6</v>
      </c>
      <c r="C3263" t="s">
        <v>313</v>
      </c>
      <c r="D3263" t="s">
        <v>37</v>
      </c>
      <c r="E3263" t="s">
        <v>38</v>
      </c>
      <c r="F3263" t="s">
        <v>21</v>
      </c>
      <c r="G3263" t="s">
        <v>39</v>
      </c>
      <c r="H3263" t="s">
        <v>39</v>
      </c>
      <c r="J3263">
        <v>0</v>
      </c>
      <c r="K3263">
        <v>0</v>
      </c>
    </row>
    <row r="3264" spans="2:11" x14ac:dyDescent="0.25">
      <c r="B3264" t="s">
        <v>6</v>
      </c>
      <c r="C3264" t="s">
        <v>313</v>
      </c>
      <c r="D3264" t="s">
        <v>40</v>
      </c>
      <c r="E3264" t="s">
        <v>41</v>
      </c>
      <c r="F3264" t="s">
        <v>26</v>
      </c>
      <c r="G3264" t="s">
        <v>39</v>
      </c>
      <c r="H3264" t="s">
        <v>39</v>
      </c>
      <c r="J3264">
        <v>0</v>
      </c>
      <c r="K3264">
        <v>0</v>
      </c>
    </row>
    <row r="3265" spans="2:11" x14ac:dyDescent="0.25">
      <c r="B3265" t="s">
        <v>6</v>
      </c>
      <c r="C3265" t="s">
        <v>313</v>
      </c>
      <c r="D3265" t="s">
        <v>42</v>
      </c>
      <c r="E3265" t="s">
        <v>43</v>
      </c>
      <c r="F3265" t="s">
        <v>21</v>
      </c>
      <c r="G3265" t="s">
        <v>44</v>
      </c>
      <c r="H3265" t="s">
        <v>44</v>
      </c>
      <c r="J3265">
        <v>0</v>
      </c>
      <c r="K3265">
        <v>0</v>
      </c>
    </row>
    <row r="3266" spans="2:11" x14ac:dyDescent="0.25">
      <c r="B3266" t="s">
        <v>6</v>
      </c>
      <c r="C3266" t="s">
        <v>313</v>
      </c>
      <c r="D3266" t="s">
        <v>45</v>
      </c>
      <c r="E3266" t="s">
        <v>46</v>
      </c>
      <c r="F3266" t="s">
        <v>26</v>
      </c>
      <c r="G3266" t="s">
        <v>44</v>
      </c>
      <c r="H3266" t="s">
        <v>44</v>
      </c>
      <c r="J3266">
        <v>0</v>
      </c>
      <c r="K3266">
        <v>0</v>
      </c>
    </row>
    <row r="3267" spans="2:11" x14ac:dyDescent="0.25">
      <c r="B3267" t="s">
        <v>6</v>
      </c>
      <c r="C3267" t="s">
        <v>313</v>
      </c>
      <c r="D3267" t="s">
        <v>297</v>
      </c>
      <c r="E3267" t="s">
        <v>298</v>
      </c>
      <c r="F3267" t="s">
        <v>26</v>
      </c>
      <c r="G3267" t="s">
        <v>299</v>
      </c>
      <c r="H3267" t="s">
        <v>299</v>
      </c>
      <c r="J3267">
        <v>0</v>
      </c>
    </row>
    <row r="3268" spans="2:11" x14ac:dyDescent="0.25">
      <c r="B3268" t="s">
        <v>6</v>
      </c>
      <c r="C3268" t="s">
        <v>313</v>
      </c>
      <c r="D3268" t="s">
        <v>300</v>
      </c>
      <c r="E3268" t="s">
        <v>301</v>
      </c>
      <c r="F3268" t="s">
        <v>21</v>
      </c>
      <c r="G3268" t="s">
        <v>299</v>
      </c>
      <c r="H3268" t="s">
        <v>299</v>
      </c>
      <c r="J3268">
        <v>0</v>
      </c>
    </row>
    <row r="3269" spans="2:11" x14ac:dyDescent="0.25">
      <c r="B3269" t="s">
        <v>6</v>
      </c>
      <c r="C3269" t="s">
        <v>313</v>
      </c>
      <c r="D3269" t="s">
        <v>47</v>
      </c>
      <c r="E3269" t="s">
        <v>48</v>
      </c>
      <c r="F3269" t="s">
        <v>26</v>
      </c>
      <c r="G3269" t="s">
        <v>49</v>
      </c>
      <c r="H3269" t="s">
        <v>49</v>
      </c>
      <c r="J3269">
        <v>0</v>
      </c>
      <c r="K3269">
        <v>0</v>
      </c>
    </row>
    <row r="3270" spans="2:11" x14ac:dyDescent="0.25">
      <c r="B3270" t="s">
        <v>6</v>
      </c>
      <c r="C3270" t="s">
        <v>8</v>
      </c>
      <c r="D3270">
        <v>701000</v>
      </c>
      <c r="E3270" t="s">
        <v>51</v>
      </c>
      <c r="F3270" t="s">
        <v>21</v>
      </c>
      <c r="G3270" t="s">
        <v>52</v>
      </c>
      <c r="H3270" t="s">
        <v>53</v>
      </c>
      <c r="J3270">
        <v>0</v>
      </c>
      <c r="K3270">
        <v>0</v>
      </c>
    </row>
    <row r="3271" spans="2:11" x14ac:dyDescent="0.25">
      <c r="B3271" t="s">
        <v>6</v>
      </c>
      <c r="C3271" t="s">
        <v>8</v>
      </c>
      <c r="D3271">
        <v>701008</v>
      </c>
      <c r="E3271" t="s">
        <v>54</v>
      </c>
      <c r="F3271" t="s">
        <v>21</v>
      </c>
      <c r="G3271" t="s">
        <v>52</v>
      </c>
      <c r="H3271" t="s">
        <v>53</v>
      </c>
      <c r="J3271">
        <v>0</v>
      </c>
      <c r="K3271">
        <v>0</v>
      </c>
    </row>
    <row r="3272" spans="2:11" x14ac:dyDescent="0.25">
      <c r="B3272" t="s">
        <v>6</v>
      </c>
      <c r="C3272" t="s">
        <v>8</v>
      </c>
      <c r="D3272">
        <v>701009</v>
      </c>
      <c r="E3272" t="s">
        <v>55</v>
      </c>
      <c r="F3272" t="s">
        <v>21</v>
      </c>
      <c r="G3272" t="s">
        <v>52</v>
      </c>
      <c r="H3272" t="s">
        <v>53</v>
      </c>
      <c r="J3272">
        <v>0</v>
      </c>
      <c r="K3272">
        <v>0</v>
      </c>
    </row>
    <row r="3273" spans="2:11" x14ac:dyDescent="0.25">
      <c r="B3273" t="s">
        <v>6</v>
      </c>
      <c r="C3273" t="s">
        <v>8</v>
      </c>
      <c r="D3273">
        <v>701010</v>
      </c>
      <c r="E3273" t="s">
        <v>56</v>
      </c>
      <c r="F3273" t="s">
        <v>21</v>
      </c>
      <c r="G3273" t="s">
        <v>52</v>
      </c>
      <c r="H3273" t="s">
        <v>57</v>
      </c>
      <c r="J3273">
        <v>0</v>
      </c>
      <c r="K3273">
        <v>0</v>
      </c>
    </row>
    <row r="3274" spans="2:11" x14ac:dyDescent="0.25">
      <c r="B3274" t="s">
        <v>6</v>
      </c>
      <c r="C3274" t="s">
        <v>8</v>
      </c>
      <c r="D3274">
        <v>701011</v>
      </c>
      <c r="E3274" t="s">
        <v>58</v>
      </c>
      <c r="F3274" t="s">
        <v>21</v>
      </c>
      <c r="G3274" t="s">
        <v>52</v>
      </c>
      <c r="H3274" t="s">
        <v>53</v>
      </c>
      <c r="J3274">
        <v>0</v>
      </c>
      <c r="K3274">
        <v>0</v>
      </c>
    </row>
    <row r="3275" spans="2:11" x14ac:dyDescent="0.25">
      <c r="B3275" t="s">
        <v>6</v>
      </c>
      <c r="C3275" t="s">
        <v>8</v>
      </c>
      <c r="D3275">
        <v>701012</v>
      </c>
      <c r="E3275" t="s">
        <v>59</v>
      </c>
      <c r="F3275" t="s">
        <v>21</v>
      </c>
      <c r="G3275" t="s">
        <v>52</v>
      </c>
      <c r="H3275" t="s">
        <v>53</v>
      </c>
      <c r="J3275">
        <v>0</v>
      </c>
      <c r="K3275">
        <v>0</v>
      </c>
    </row>
    <row r="3276" spans="2:11" x14ac:dyDescent="0.25">
      <c r="B3276" t="s">
        <v>6</v>
      </c>
      <c r="C3276" t="s">
        <v>8</v>
      </c>
      <c r="D3276">
        <v>701013</v>
      </c>
      <c r="E3276" t="s">
        <v>60</v>
      </c>
      <c r="F3276" t="s">
        <v>21</v>
      </c>
      <c r="G3276" t="s">
        <v>61</v>
      </c>
      <c r="H3276" t="s">
        <v>62</v>
      </c>
      <c r="J3276">
        <v>0</v>
      </c>
      <c r="K3276">
        <v>0</v>
      </c>
    </row>
    <row r="3277" spans="2:11" x14ac:dyDescent="0.25">
      <c r="B3277" t="s">
        <v>6</v>
      </c>
      <c r="C3277" t="s">
        <v>8</v>
      </c>
      <c r="D3277">
        <v>701014</v>
      </c>
      <c r="E3277" t="s">
        <v>63</v>
      </c>
      <c r="F3277" t="s">
        <v>21</v>
      </c>
      <c r="G3277" t="s">
        <v>61</v>
      </c>
      <c r="H3277" t="s">
        <v>64</v>
      </c>
      <c r="J3277">
        <v>0</v>
      </c>
      <c r="K3277">
        <v>0</v>
      </c>
    </row>
    <row r="3278" spans="2:11" x14ac:dyDescent="0.25">
      <c r="B3278" t="s">
        <v>6</v>
      </c>
      <c r="C3278" t="s">
        <v>8</v>
      </c>
      <c r="D3278">
        <v>701015</v>
      </c>
      <c r="E3278" t="s">
        <v>65</v>
      </c>
      <c r="F3278" t="s">
        <v>21</v>
      </c>
      <c r="G3278" t="s">
        <v>52</v>
      </c>
      <c r="H3278" t="s">
        <v>53</v>
      </c>
      <c r="J3278">
        <v>0</v>
      </c>
      <c r="K3278">
        <v>0</v>
      </c>
    </row>
    <row r="3279" spans="2:11" x14ac:dyDescent="0.25">
      <c r="B3279" t="s">
        <v>6</v>
      </c>
      <c r="C3279" t="s">
        <v>8</v>
      </c>
      <c r="D3279">
        <v>701016</v>
      </c>
      <c r="E3279" t="s">
        <v>66</v>
      </c>
      <c r="F3279" t="s">
        <v>21</v>
      </c>
      <c r="G3279" t="s">
        <v>52</v>
      </c>
      <c r="H3279" t="s">
        <v>53</v>
      </c>
      <c r="J3279">
        <v>0</v>
      </c>
      <c r="K3279">
        <v>0</v>
      </c>
    </row>
    <row r="3280" spans="2:11" x14ac:dyDescent="0.25">
      <c r="B3280" t="s">
        <v>6</v>
      </c>
      <c r="C3280" t="s">
        <v>8</v>
      </c>
      <c r="D3280">
        <v>701017</v>
      </c>
      <c r="E3280" t="s">
        <v>67</v>
      </c>
      <c r="F3280" t="s">
        <v>21</v>
      </c>
      <c r="G3280" t="s">
        <v>61</v>
      </c>
      <c r="H3280" t="s">
        <v>68</v>
      </c>
      <c r="J3280">
        <v>0</v>
      </c>
      <c r="K3280">
        <v>0</v>
      </c>
    </row>
    <row r="3281" spans="2:11" x14ac:dyDescent="0.25">
      <c r="B3281" t="s">
        <v>6</v>
      </c>
      <c r="C3281" t="s">
        <v>8</v>
      </c>
      <c r="D3281">
        <v>701018</v>
      </c>
      <c r="E3281" t="s">
        <v>69</v>
      </c>
      <c r="F3281" t="s">
        <v>21</v>
      </c>
      <c r="G3281" t="s">
        <v>61</v>
      </c>
      <c r="H3281" t="s">
        <v>68</v>
      </c>
      <c r="J3281">
        <v>0</v>
      </c>
      <c r="K3281">
        <v>0</v>
      </c>
    </row>
    <row r="3282" spans="2:11" x14ac:dyDescent="0.25">
      <c r="B3282" t="s">
        <v>6</v>
      </c>
      <c r="C3282" t="s">
        <v>8</v>
      </c>
      <c r="D3282">
        <v>701019</v>
      </c>
      <c r="E3282" t="s">
        <v>70</v>
      </c>
      <c r="F3282" t="s">
        <v>21</v>
      </c>
      <c r="G3282" t="s">
        <v>71</v>
      </c>
      <c r="H3282" t="s">
        <v>72</v>
      </c>
      <c r="J3282">
        <v>0</v>
      </c>
      <c r="K3282">
        <v>0</v>
      </c>
    </row>
    <row r="3283" spans="2:11" x14ac:dyDescent="0.25">
      <c r="B3283" t="s">
        <v>6</v>
      </c>
      <c r="C3283" t="s">
        <v>8</v>
      </c>
      <c r="D3283">
        <v>701020</v>
      </c>
      <c r="E3283" t="s">
        <v>73</v>
      </c>
      <c r="F3283" t="s">
        <v>21</v>
      </c>
      <c r="G3283" t="s">
        <v>52</v>
      </c>
      <c r="H3283" t="s">
        <v>53</v>
      </c>
      <c r="J3283">
        <v>0</v>
      </c>
      <c r="K3283">
        <v>0</v>
      </c>
    </row>
    <row r="3284" spans="2:11" x14ac:dyDescent="0.25">
      <c r="B3284" t="s">
        <v>6</v>
      </c>
      <c r="C3284" t="s">
        <v>8</v>
      </c>
      <c r="D3284">
        <v>701021</v>
      </c>
      <c r="E3284" t="s">
        <v>74</v>
      </c>
      <c r="F3284" t="s">
        <v>21</v>
      </c>
      <c r="G3284" t="s">
        <v>61</v>
      </c>
      <c r="H3284" t="s">
        <v>74</v>
      </c>
      <c r="J3284">
        <v>0</v>
      </c>
      <c r="K3284">
        <v>0</v>
      </c>
    </row>
    <row r="3285" spans="2:11" x14ac:dyDescent="0.25">
      <c r="B3285" t="s">
        <v>6</v>
      </c>
      <c r="C3285" t="s">
        <v>8</v>
      </c>
      <c r="D3285">
        <v>701022</v>
      </c>
      <c r="E3285" t="s">
        <v>75</v>
      </c>
      <c r="F3285" t="s">
        <v>21</v>
      </c>
      <c r="G3285" t="s">
        <v>76</v>
      </c>
      <c r="H3285" t="s">
        <v>77</v>
      </c>
      <c r="J3285">
        <v>0</v>
      </c>
      <c r="K3285">
        <v>0</v>
      </c>
    </row>
    <row r="3286" spans="2:11" x14ac:dyDescent="0.25">
      <c r="B3286" t="s">
        <v>6</v>
      </c>
      <c r="C3286" t="s">
        <v>8</v>
      </c>
      <c r="D3286">
        <v>701023</v>
      </c>
      <c r="E3286" t="s">
        <v>78</v>
      </c>
      <c r="F3286" t="s">
        <v>21</v>
      </c>
      <c r="G3286" t="s">
        <v>61</v>
      </c>
      <c r="H3286" t="s">
        <v>79</v>
      </c>
      <c r="J3286">
        <v>0</v>
      </c>
      <c r="K3286">
        <v>0</v>
      </c>
    </row>
    <row r="3287" spans="2:11" x14ac:dyDescent="0.25">
      <c r="B3287" t="s">
        <v>6</v>
      </c>
      <c r="C3287" t="s">
        <v>8</v>
      </c>
      <c r="D3287">
        <v>701024</v>
      </c>
      <c r="E3287" t="s">
        <v>80</v>
      </c>
      <c r="F3287" t="s">
        <v>21</v>
      </c>
      <c r="G3287" t="s">
        <v>76</v>
      </c>
      <c r="H3287" t="s">
        <v>77</v>
      </c>
      <c r="J3287">
        <v>0</v>
      </c>
      <c r="K3287">
        <v>0</v>
      </c>
    </row>
    <row r="3288" spans="2:11" x14ac:dyDescent="0.25">
      <c r="B3288" t="s">
        <v>6</v>
      </c>
      <c r="C3288" t="s">
        <v>8</v>
      </c>
      <c r="D3288">
        <v>701025</v>
      </c>
      <c r="E3288" t="s">
        <v>81</v>
      </c>
      <c r="F3288" t="s">
        <v>21</v>
      </c>
      <c r="G3288" t="s">
        <v>71</v>
      </c>
      <c r="H3288" t="s">
        <v>82</v>
      </c>
      <c r="J3288">
        <v>0</v>
      </c>
      <c r="K3288">
        <v>0</v>
      </c>
    </row>
    <row r="3289" spans="2:11" x14ac:dyDescent="0.25">
      <c r="B3289" t="s">
        <v>6</v>
      </c>
      <c r="C3289" t="s">
        <v>8</v>
      </c>
      <c r="D3289">
        <v>701026</v>
      </c>
      <c r="E3289" t="s">
        <v>83</v>
      </c>
      <c r="F3289" t="s">
        <v>21</v>
      </c>
      <c r="G3289" t="s">
        <v>76</v>
      </c>
      <c r="H3289" t="s">
        <v>77</v>
      </c>
      <c r="J3289">
        <v>0</v>
      </c>
      <c r="K3289">
        <v>0</v>
      </c>
    </row>
    <row r="3290" spans="2:11" x14ac:dyDescent="0.25">
      <c r="B3290" t="s">
        <v>6</v>
      </c>
      <c r="C3290" t="s">
        <v>8</v>
      </c>
      <c r="D3290">
        <v>701027</v>
      </c>
      <c r="E3290" t="s">
        <v>84</v>
      </c>
      <c r="F3290" t="s">
        <v>21</v>
      </c>
      <c r="G3290" t="s">
        <v>76</v>
      </c>
      <c r="H3290" t="s">
        <v>77</v>
      </c>
      <c r="J3290">
        <v>0</v>
      </c>
      <c r="K3290">
        <v>0</v>
      </c>
    </row>
    <row r="3291" spans="2:11" x14ac:dyDescent="0.25">
      <c r="B3291" t="s">
        <v>6</v>
      </c>
      <c r="C3291" t="s">
        <v>8</v>
      </c>
      <c r="D3291">
        <v>701028</v>
      </c>
      <c r="E3291" t="s">
        <v>85</v>
      </c>
      <c r="F3291" t="s">
        <v>21</v>
      </c>
      <c r="G3291" t="s">
        <v>61</v>
      </c>
      <c r="H3291" t="s">
        <v>68</v>
      </c>
      <c r="J3291">
        <v>0</v>
      </c>
      <c r="K3291">
        <v>0</v>
      </c>
    </row>
    <row r="3292" spans="2:11" x14ac:dyDescent="0.25">
      <c r="B3292" t="s">
        <v>6</v>
      </c>
      <c r="C3292" t="s">
        <v>8</v>
      </c>
      <c r="D3292">
        <v>701029</v>
      </c>
      <c r="E3292" t="s">
        <v>86</v>
      </c>
      <c r="F3292" t="s">
        <v>21</v>
      </c>
      <c r="G3292" t="s">
        <v>61</v>
      </c>
      <c r="H3292" t="s">
        <v>68</v>
      </c>
      <c r="J3292">
        <v>0</v>
      </c>
      <c r="K3292">
        <v>0</v>
      </c>
    </row>
    <row r="3293" spans="2:11" x14ac:dyDescent="0.25">
      <c r="B3293" t="s">
        <v>6</v>
      </c>
      <c r="C3293" t="s">
        <v>8</v>
      </c>
      <c r="D3293">
        <v>701030</v>
      </c>
      <c r="E3293" t="s">
        <v>87</v>
      </c>
      <c r="F3293" t="s">
        <v>21</v>
      </c>
      <c r="G3293" t="s">
        <v>71</v>
      </c>
      <c r="H3293" t="s">
        <v>88</v>
      </c>
      <c r="J3293">
        <v>0</v>
      </c>
      <c r="K3293">
        <v>0</v>
      </c>
    </row>
    <row r="3294" spans="2:11" x14ac:dyDescent="0.25">
      <c r="B3294" t="s">
        <v>6</v>
      </c>
      <c r="C3294" t="s">
        <v>8</v>
      </c>
      <c r="D3294">
        <v>701031</v>
      </c>
      <c r="E3294" t="s">
        <v>89</v>
      </c>
      <c r="F3294" t="s">
        <v>21</v>
      </c>
      <c r="G3294" t="s">
        <v>76</v>
      </c>
      <c r="H3294" t="s">
        <v>77</v>
      </c>
      <c r="J3294">
        <v>0</v>
      </c>
      <c r="K3294">
        <v>0</v>
      </c>
    </row>
    <row r="3295" spans="2:11" x14ac:dyDescent="0.25">
      <c r="B3295" t="s">
        <v>6</v>
      </c>
      <c r="C3295" t="s">
        <v>8</v>
      </c>
      <c r="D3295">
        <v>701032</v>
      </c>
      <c r="E3295" t="s">
        <v>90</v>
      </c>
      <c r="F3295" t="s">
        <v>21</v>
      </c>
      <c r="G3295" t="s">
        <v>52</v>
      </c>
      <c r="H3295" t="s">
        <v>53</v>
      </c>
      <c r="J3295">
        <v>0</v>
      </c>
      <c r="K3295">
        <v>0</v>
      </c>
    </row>
    <row r="3296" spans="2:11" x14ac:dyDescent="0.25">
      <c r="B3296" t="s">
        <v>6</v>
      </c>
      <c r="C3296" t="s">
        <v>8</v>
      </c>
      <c r="D3296">
        <v>701034</v>
      </c>
      <c r="E3296" t="s">
        <v>91</v>
      </c>
      <c r="F3296" t="s">
        <v>21</v>
      </c>
      <c r="G3296" t="s">
        <v>76</v>
      </c>
      <c r="H3296" t="s">
        <v>77</v>
      </c>
      <c r="J3296">
        <v>0</v>
      </c>
      <c r="K3296">
        <v>0</v>
      </c>
    </row>
    <row r="3297" spans="2:11" x14ac:dyDescent="0.25">
      <c r="B3297" t="s">
        <v>6</v>
      </c>
      <c r="C3297" t="s">
        <v>8</v>
      </c>
      <c r="D3297">
        <v>701035</v>
      </c>
      <c r="E3297" t="s">
        <v>92</v>
      </c>
      <c r="F3297" t="s">
        <v>21</v>
      </c>
      <c r="G3297" t="s">
        <v>61</v>
      </c>
      <c r="H3297" t="s">
        <v>68</v>
      </c>
      <c r="J3297">
        <v>0</v>
      </c>
      <c r="K3297">
        <v>0</v>
      </c>
    </row>
    <row r="3298" spans="2:11" x14ac:dyDescent="0.25">
      <c r="B3298" t="s">
        <v>6</v>
      </c>
      <c r="C3298" t="s">
        <v>8</v>
      </c>
      <c r="D3298">
        <v>701036</v>
      </c>
      <c r="E3298" t="s">
        <v>93</v>
      </c>
      <c r="F3298" t="s">
        <v>21</v>
      </c>
      <c r="G3298" t="s">
        <v>52</v>
      </c>
      <c r="H3298" t="s">
        <v>53</v>
      </c>
      <c r="J3298">
        <v>0</v>
      </c>
      <c r="K3298">
        <v>0</v>
      </c>
    </row>
    <row r="3299" spans="2:11" x14ac:dyDescent="0.25">
      <c r="B3299" t="s">
        <v>6</v>
      </c>
      <c r="C3299" t="s">
        <v>8</v>
      </c>
      <c r="D3299">
        <v>701113</v>
      </c>
      <c r="E3299" t="s">
        <v>94</v>
      </c>
      <c r="F3299" t="s">
        <v>21</v>
      </c>
      <c r="G3299" t="s">
        <v>61</v>
      </c>
      <c r="H3299" t="s">
        <v>62</v>
      </c>
      <c r="J3299">
        <v>0</v>
      </c>
      <c r="K3299">
        <v>0</v>
      </c>
    </row>
    <row r="3300" spans="2:11" x14ac:dyDescent="0.25">
      <c r="B3300" t="s">
        <v>6</v>
      </c>
      <c r="C3300" t="s">
        <v>8</v>
      </c>
      <c r="D3300">
        <v>701119</v>
      </c>
      <c r="E3300" t="s">
        <v>95</v>
      </c>
      <c r="F3300" t="s">
        <v>21</v>
      </c>
      <c r="G3300" t="s">
        <v>22</v>
      </c>
      <c r="H3300" t="s">
        <v>23</v>
      </c>
      <c r="J3300">
        <v>0</v>
      </c>
      <c r="K3300">
        <v>0</v>
      </c>
    </row>
    <row r="3301" spans="2:11" x14ac:dyDescent="0.25">
      <c r="B3301" t="s">
        <v>6</v>
      </c>
      <c r="C3301" t="s">
        <v>8</v>
      </c>
      <c r="D3301">
        <v>701120</v>
      </c>
      <c r="E3301" t="s">
        <v>96</v>
      </c>
      <c r="F3301" t="s">
        <v>21</v>
      </c>
      <c r="G3301" t="s">
        <v>22</v>
      </c>
      <c r="H3301" t="s">
        <v>23</v>
      </c>
      <c r="J3301">
        <v>0</v>
      </c>
      <c r="K3301">
        <v>0</v>
      </c>
    </row>
    <row r="3302" spans="2:11" x14ac:dyDescent="0.25">
      <c r="B3302" t="s">
        <v>6</v>
      </c>
      <c r="C3302" t="s">
        <v>8</v>
      </c>
      <c r="D3302">
        <v>701121</v>
      </c>
      <c r="E3302" t="s">
        <v>97</v>
      </c>
      <c r="F3302" t="s">
        <v>21</v>
      </c>
      <c r="G3302" t="s">
        <v>22</v>
      </c>
      <c r="H3302" t="s">
        <v>23</v>
      </c>
      <c r="J3302">
        <v>0</v>
      </c>
      <c r="K3302">
        <v>0</v>
      </c>
    </row>
    <row r="3303" spans="2:11" x14ac:dyDescent="0.25">
      <c r="B3303" t="s">
        <v>6</v>
      </c>
      <c r="C3303" t="s">
        <v>8</v>
      </c>
      <c r="D3303">
        <v>701122</v>
      </c>
      <c r="E3303" t="s">
        <v>98</v>
      </c>
      <c r="F3303" t="s">
        <v>21</v>
      </c>
      <c r="G3303" t="s">
        <v>71</v>
      </c>
      <c r="H3303" t="s">
        <v>88</v>
      </c>
      <c r="J3303">
        <v>0</v>
      </c>
      <c r="K3303">
        <v>0</v>
      </c>
    </row>
    <row r="3304" spans="2:11" x14ac:dyDescent="0.25">
      <c r="B3304" t="s">
        <v>6</v>
      </c>
      <c r="C3304" t="s">
        <v>8</v>
      </c>
      <c r="D3304">
        <v>701123</v>
      </c>
      <c r="E3304" t="s">
        <v>99</v>
      </c>
      <c r="F3304" t="s">
        <v>21</v>
      </c>
      <c r="G3304" t="s">
        <v>22</v>
      </c>
      <c r="H3304" t="s">
        <v>23</v>
      </c>
      <c r="J3304">
        <v>0</v>
      </c>
      <c r="K3304">
        <v>0</v>
      </c>
    </row>
    <row r="3305" spans="2:11" x14ac:dyDescent="0.25">
      <c r="B3305" t="s">
        <v>6</v>
      </c>
      <c r="C3305" t="s">
        <v>8</v>
      </c>
      <c r="D3305">
        <v>701127</v>
      </c>
      <c r="E3305" t="s">
        <v>100</v>
      </c>
      <c r="F3305" t="s">
        <v>21</v>
      </c>
      <c r="G3305" t="s">
        <v>76</v>
      </c>
      <c r="H3305" t="s">
        <v>77</v>
      </c>
      <c r="J3305">
        <v>0</v>
      </c>
      <c r="K3305">
        <v>0</v>
      </c>
    </row>
    <row r="3306" spans="2:11" x14ac:dyDescent="0.25">
      <c r="B3306" t="s">
        <v>6</v>
      </c>
      <c r="C3306" t="s">
        <v>8</v>
      </c>
      <c r="D3306">
        <v>701213</v>
      </c>
      <c r="E3306" t="s">
        <v>101</v>
      </c>
      <c r="F3306" t="s">
        <v>21</v>
      </c>
      <c r="G3306" t="s">
        <v>61</v>
      </c>
      <c r="H3306" t="s">
        <v>62</v>
      </c>
      <c r="J3306">
        <v>0</v>
      </c>
      <c r="K3306">
        <v>0</v>
      </c>
    </row>
    <row r="3307" spans="2:11" x14ac:dyDescent="0.25">
      <c r="B3307" t="s">
        <v>6</v>
      </c>
      <c r="C3307" t="s">
        <v>8</v>
      </c>
      <c r="D3307">
        <v>701214</v>
      </c>
      <c r="E3307" t="s">
        <v>102</v>
      </c>
      <c r="F3307" t="s">
        <v>21</v>
      </c>
      <c r="G3307" t="s">
        <v>61</v>
      </c>
      <c r="H3307" t="s">
        <v>62</v>
      </c>
      <c r="J3307">
        <v>0</v>
      </c>
      <c r="K3307">
        <v>0</v>
      </c>
    </row>
    <row r="3308" spans="2:11" x14ac:dyDescent="0.25">
      <c r="B3308" t="s">
        <v>6</v>
      </c>
      <c r="C3308" t="s">
        <v>8</v>
      </c>
      <c r="D3308">
        <v>701215</v>
      </c>
      <c r="E3308" t="s">
        <v>103</v>
      </c>
      <c r="F3308" t="s">
        <v>21</v>
      </c>
      <c r="G3308" t="s">
        <v>61</v>
      </c>
      <c r="H3308" t="s">
        <v>62</v>
      </c>
      <c r="J3308">
        <v>0</v>
      </c>
      <c r="K3308">
        <v>0</v>
      </c>
    </row>
    <row r="3309" spans="2:11" x14ac:dyDescent="0.25">
      <c r="B3309" t="s">
        <v>6</v>
      </c>
      <c r="C3309" t="s">
        <v>8</v>
      </c>
      <c r="D3309">
        <v>701227</v>
      </c>
      <c r="E3309" t="s">
        <v>104</v>
      </c>
      <c r="F3309" t="s">
        <v>21</v>
      </c>
      <c r="G3309" t="s">
        <v>76</v>
      </c>
      <c r="H3309" t="s">
        <v>77</v>
      </c>
      <c r="J3309">
        <v>0</v>
      </c>
      <c r="K3309">
        <v>0</v>
      </c>
    </row>
    <row r="3310" spans="2:11" x14ac:dyDescent="0.25">
      <c r="B3310" t="s">
        <v>6</v>
      </c>
      <c r="C3310" t="s">
        <v>8</v>
      </c>
      <c r="D3310">
        <v>701327</v>
      </c>
      <c r="E3310" t="s">
        <v>106</v>
      </c>
      <c r="F3310" t="s">
        <v>21</v>
      </c>
      <c r="G3310" t="s">
        <v>76</v>
      </c>
      <c r="H3310" t="s">
        <v>77</v>
      </c>
      <c r="J3310">
        <v>0</v>
      </c>
      <c r="K3310">
        <v>0</v>
      </c>
    </row>
    <row r="3311" spans="2:11" x14ac:dyDescent="0.25">
      <c r="B3311" t="s">
        <v>6</v>
      </c>
      <c r="C3311" t="s">
        <v>8</v>
      </c>
      <c r="D3311">
        <v>701427</v>
      </c>
      <c r="E3311" t="s">
        <v>107</v>
      </c>
      <c r="F3311" t="s">
        <v>21</v>
      </c>
      <c r="G3311" t="s">
        <v>76</v>
      </c>
      <c r="H3311" t="s">
        <v>108</v>
      </c>
      <c r="J3311">
        <v>0</v>
      </c>
      <c r="K3311">
        <v>0</v>
      </c>
    </row>
    <row r="3312" spans="2:11" x14ac:dyDescent="0.25">
      <c r="B3312" t="s">
        <v>6</v>
      </c>
      <c r="C3312" t="s">
        <v>8</v>
      </c>
      <c r="D3312">
        <v>701527</v>
      </c>
      <c r="E3312" t="s">
        <v>109</v>
      </c>
      <c r="F3312" t="s">
        <v>21</v>
      </c>
      <c r="G3312" t="s">
        <v>76</v>
      </c>
      <c r="H3312" t="s">
        <v>77</v>
      </c>
      <c r="J3312">
        <v>0</v>
      </c>
      <c r="K3312">
        <v>0</v>
      </c>
    </row>
    <row r="3313" spans="2:11" x14ac:dyDescent="0.25">
      <c r="B3313" t="s">
        <v>6</v>
      </c>
      <c r="C3313" t="s">
        <v>8</v>
      </c>
      <c r="D3313">
        <v>701627</v>
      </c>
      <c r="E3313" t="s">
        <v>110</v>
      </c>
      <c r="F3313" t="s">
        <v>21</v>
      </c>
      <c r="G3313" t="s">
        <v>76</v>
      </c>
      <c r="H3313" t="s">
        <v>77</v>
      </c>
      <c r="J3313">
        <v>0</v>
      </c>
      <c r="K3313">
        <v>0</v>
      </c>
    </row>
    <row r="3314" spans="2:11" x14ac:dyDescent="0.25">
      <c r="B3314" t="s">
        <v>6</v>
      </c>
      <c r="C3314" t="s">
        <v>8</v>
      </c>
      <c r="D3314">
        <v>701727</v>
      </c>
      <c r="E3314" t="s">
        <v>111</v>
      </c>
      <c r="F3314" t="s">
        <v>21</v>
      </c>
      <c r="G3314" t="s">
        <v>76</v>
      </c>
      <c r="H3314" t="s">
        <v>77</v>
      </c>
      <c r="J3314">
        <v>0</v>
      </c>
      <c r="K3314">
        <v>0</v>
      </c>
    </row>
    <row r="3315" spans="2:11" x14ac:dyDescent="0.25">
      <c r="B3315" t="s">
        <v>6</v>
      </c>
      <c r="C3315" t="s">
        <v>8</v>
      </c>
      <c r="D3315">
        <v>701801</v>
      </c>
      <c r="E3315" t="s">
        <v>112</v>
      </c>
      <c r="F3315" t="s">
        <v>21</v>
      </c>
      <c r="G3315" t="s">
        <v>76</v>
      </c>
      <c r="H3315" t="s">
        <v>77</v>
      </c>
      <c r="J3315">
        <v>0</v>
      </c>
      <c r="K3315">
        <v>0</v>
      </c>
    </row>
    <row r="3316" spans="2:11" x14ac:dyDescent="0.25">
      <c r="B3316" t="s">
        <v>6</v>
      </c>
      <c r="C3316" t="s">
        <v>8</v>
      </c>
      <c r="D3316">
        <v>701802</v>
      </c>
      <c r="E3316" t="s">
        <v>113</v>
      </c>
      <c r="F3316" t="s">
        <v>21</v>
      </c>
      <c r="G3316" t="s">
        <v>61</v>
      </c>
      <c r="H3316" t="s">
        <v>62</v>
      </c>
      <c r="J3316">
        <v>0</v>
      </c>
      <c r="K3316">
        <v>0</v>
      </c>
    </row>
    <row r="3317" spans="2:11" x14ac:dyDescent="0.25">
      <c r="B3317" t="s">
        <v>6</v>
      </c>
      <c r="C3317" t="s">
        <v>8</v>
      </c>
      <c r="D3317">
        <v>703010</v>
      </c>
      <c r="E3317" t="s">
        <v>114</v>
      </c>
      <c r="F3317" t="s">
        <v>21</v>
      </c>
      <c r="G3317" t="s">
        <v>22</v>
      </c>
      <c r="H3317" t="s">
        <v>115</v>
      </c>
      <c r="J3317">
        <v>0</v>
      </c>
      <c r="K3317">
        <v>0</v>
      </c>
    </row>
    <row r="3318" spans="2:11" x14ac:dyDescent="0.25">
      <c r="B3318" t="s">
        <v>6</v>
      </c>
      <c r="C3318" t="s">
        <v>8</v>
      </c>
      <c r="D3318">
        <v>703011</v>
      </c>
      <c r="E3318" t="s">
        <v>116</v>
      </c>
      <c r="F3318" t="s">
        <v>21</v>
      </c>
      <c r="G3318" t="s">
        <v>22</v>
      </c>
      <c r="H3318" t="s">
        <v>115</v>
      </c>
      <c r="J3318">
        <v>0</v>
      </c>
      <c r="K3318">
        <v>0</v>
      </c>
    </row>
    <row r="3319" spans="2:11" x14ac:dyDescent="0.25">
      <c r="B3319" t="s">
        <v>6</v>
      </c>
      <c r="C3319" t="s">
        <v>8</v>
      </c>
      <c r="D3319">
        <v>703012</v>
      </c>
      <c r="E3319" t="s">
        <v>117</v>
      </c>
      <c r="F3319" t="s">
        <v>21</v>
      </c>
      <c r="G3319" t="s">
        <v>22</v>
      </c>
      <c r="H3319" t="s">
        <v>115</v>
      </c>
      <c r="J3319">
        <v>0</v>
      </c>
      <c r="K3319">
        <v>0</v>
      </c>
    </row>
    <row r="3320" spans="2:11" x14ac:dyDescent="0.25">
      <c r="B3320" t="s">
        <v>6</v>
      </c>
      <c r="C3320" t="s">
        <v>8</v>
      </c>
      <c r="D3320">
        <v>703013</v>
      </c>
      <c r="E3320" t="s">
        <v>118</v>
      </c>
      <c r="F3320" t="s">
        <v>21</v>
      </c>
      <c r="G3320" t="s">
        <v>22</v>
      </c>
      <c r="H3320" t="s">
        <v>115</v>
      </c>
      <c r="J3320">
        <v>0</v>
      </c>
      <c r="K3320">
        <v>0</v>
      </c>
    </row>
    <row r="3321" spans="2:11" x14ac:dyDescent="0.25">
      <c r="B3321" t="s">
        <v>6</v>
      </c>
      <c r="C3321" t="s">
        <v>8</v>
      </c>
      <c r="D3321">
        <v>703014</v>
      </c>
      <c r="E3321" t="s">
        <v>119</v>
      </c>
      <c r="F3321" t="s">
        <v>21</v>
      </c>
      <c r="G3321" t="s">
        <v>22</v>
      </c>
      <c r="H3321" t="s">
        <v>115</v>
      </c>
      <c r="J3321">
        <v>0</v>
      </c>
      <c r="K3321">
        <v>0</v>
      </c>
    </row>
    <row r="3322" spans="2:11" x14ac:dyDescent="0.25">
      <c r="B3322" t="s">
        <v>6</v>
      </c>
      <c r="C3322" t="s">
        <v>8</v>
      </c>
      <c r="D3322">
        <v>703015</v>
      </c>
      <c r="E3322" t="s">
        <v>120</v>
      </c>
      <c r="F3322" t="s">
        <v>21</v>
      </c>
      <c r="G3322" t="s">
        <v>22</v>
      </c>
      <c r="H3322" t="s">
        <v>115</v>
      </c>
      <c r="J3322">
        <v>0</v>
      </c>
      <c r="K3322">
        <v>0</v>
      </c>
    </row>
    <row r="3323" spans="2:11" x14ac:dyDescent="0.25">
      <c r="B3323" t="s">
        <v>6</v>
      </c>
      <c r="C3323" t="s">
        <v>8</v>
      </c>
      <c r="D3323">
        <v>703016</v>
      </c>
      <c r="E3323" t="s">
        <v>121</v>
      </c>
      <c r="F3323" t="s">
        <v>21</v>
      </c>
      <c r="G3323" t="s">
        <v>22</v>
      </c>
      <c r="H3323" t="s">
        <v>115</v>
      </c>
      <c r="J3323">
        <v>0</v>
      </c>
      <c r="K3323">
        <v>0</v>
      </c>
    </row>
    <row r="3324" spans="2:11" x14ac:dyDescent="0.25">
      <c r="B3324" t="s">
        <v>6</v>
      </c>
      <c r="C3324" t="s">
        <v>8</v>
      </c>
      <c r="D3324">
        <v>703017</v>
      </c>
      <c r="E3324" t="s">
        <v>122</v>
      </c>
      <c r="F3324" t="s">
        <v>21</v>
      </c>
      <c r="G3324" t="s">
        <v>22</v>
      </c>
      <c r="H3324" t="s">
        <v>115</v>
      </c>
      <c r="J3324">
        <v>0</v>
      </c>
      <c r="K3324">
        <v>0</v>
      </c>
    </row>
    <row r="3325" spans="2:11" x14ac:dyDescent="0.25">
      <c r="B3325" t="s">
        <v>6</v>
      </c>
      <c r="C3325" t="s">
        <v>8</v>
      </c>
      <c r="D3325">
        <v>703018</v>
      </c>
      <c r="E3325" t="s">
        <v>123</v>
      </c>
      <c r="F3325" t="s">
        <v>21</v>
      </c>
      <c r="G3325" t="s">
        <v>22</v>
      </c>
      <c r="H3325" t="s">
        <v>115</v>
      </c>
      <c r="J3325">
        <v>0</v>
      </c>
      <c r="K3325">
        <v>0</v>
      </c>
    </row>
    <row r="3326" spans="2:11" x14ac:dyDescent="0.25">
      <c r="B3326" t="s">
        <v>6</v>
      </c>
      <c r="C3326" t="s">
        <v>8</v>
      </c>
      <c r="D3326">
        <v>703019</v>
      </c>
      <c r="E3326" t="s">
        <v>124</v>
      </c>
      <c r="F3326" t="s">
        <v>21</v>
      </c>
      <c r="G3326" t="s">
        <v>22</v>
      </c>
      <c r="H3326" t="s">
        <v>115</v>
      </c>
      <c r="J3326">
        <v>0</v>
      </c>
      <c r="K3326">
        <v>0</v>
      </c>
    </row>
    <row r="3327" spans="2:11" x14ac:dyDescent="0.25">
      <c r="B3327" t="s">
        <v>6</v>
      </c>
      <c r="C3327" t="s">
        <v>8</v>
      </c>
      <c r="D3327">
        <v>703210</v>
      </c>
      <c r="E3327" t="s">
        <v>125</v>
      </c>
      <c r="F3327" t="s">
        <v>21</v>
      </c>
      <c r="G3327" t="s">
        <v>22</v>
      </c>
      <c r="H3327" t="s">
        <v>23</v>
      </c>
      <c r="J3327">
        <v>0</v>
      </c>
      <c r="K3327">
        <v>0</v>
      </c>
    </row>
    <row r="3328" spans="2:11" x14ac:dyDescent="0.25">
      <c r="B3328" t="s">
        <v>6</v>
      </c>
      <c r="C3328" t="s">
        <v>8</v>
      </c>
      <c r="D3328">
        <v>703211</v>
      </c>
      <c r="E3328" t="s">
        <v>126</v>
      </c>
      <c r="F3328" t="s">
        <v>21</v>
      </c>
      <c r="G3328" t="s">
        <v>22</v>
      </c>
      <c r="H3328" t="s">
        <v>23</v>
      </c>
      <c r="J3328">
        <v>0</v>
      </c>
      <c r="K3328">
        <v>0</v>
      </c>
    </row>
    <row r="3329" spans="2:11" x14ac:dyDescent="0.25">
      <c r="B3329" t="s">
        <v>6</v>
      </c>
      <c r="C3329" t="s">
        <v>8</v>
      </c>
      <c r="D3329">
        <v>703212</v>
      </c>
      <c r="E3329" t="s">
        <v>127</v>
      </c>
      <c r="F3329" t="s">
        <v>21</v>
      </c>
      <c r="G3329" t="s">
        <v>22</v>
      </c>
      <c r="H3329" t="s">
        <v>23</v>
      </c>
      <c r="J3329">
        <v>0</v>
      </c>
      <c r="K3329">
        <v>0</v>
      </c>
    </row>
    <row r="3330" spans="2:11" x14ac:dyDescent="0.25">
      <c r="B3330" t="s">
        <v>6</v>
      </c>
      <c r="C3330" t="s">
        <v>8</v>
      </c>
      <c r="D3330">
        <v>703213</v>
      </c>
      <c r="E3330" t="s">
        <v>128</v>
      </c>
      <c r="F3330" t="s">
        <v>21</v>
      </c>
      <c r="G3330" t="s">
        <v>22</v>
      </c>
      <c r="H3330" t="s">
        <v>23</v>
      </c>
      <c r="J3330">
        <v>0</v>
      </c>
      <c r="K3330">
        <v>0</v>
      </c>
    </row>
    <row r="3331" spans="2:11" x14ac:dyDescent="0.25">
      <c r="B3331" t="s">
        <v>6</v>
      </c>
      <c r="C3331" t="s">
        <v>8</v>
      </c>
      <c r="D3331">
        <v>703214</v>
      </c>
      <c r="E3331" t="s">
        <v>129</v>
      </c>
      <c r="F3331" t="s">
        <v>21</v>
      </c>
      <c r="G3331" t="s">
        <v>22</v>
      </c>
      <c r="H3331" t="s">
        <v>23</v>
      </c>
      <c r="J3331">
        <v>0</v>
      </c>
      <c r="K3331">
        <v>0</v>
      </c>
    </row>
    <row r="3332" spans="2:11" x14ac:dyDescent="0.25">
      <c r="B3332" t="s">
        <v>6</v>
      </c>
      <c r="C3332" t="s">
        <v>8</v>
      </c>
      <c r="D3332">
        <v>703215</v>
      </c>
      <c r="E3332" t="s">
        <v>130</v>
      </c>
      <c r="F3332" t="s">
        <v>21</v>
      </c>
      <c r="G3332" t="s">
        <v>22</v>
      </c>
      <c r="H3332" t="s">
        <v>23</v>
      </c>
      <c r="J3332">
        <v>0</v>
      </c>
      <c r="K3332">
        <v>0</v>
      </c>
    </row>
    <row r="3333" spans="2:11" x14ac:dyDescent="0.25">
      <c r="B3333" t="s">
        <v>6</v>
      </c>
      <c r="C3333" t="s">
        <v>8</v>
      </c>
      <c r="D3333">
        <v>703216</v>
      </c>
      <c r="E3333" t="s">
        <v>131</v>
      </c>
      <c r="F3333" t="s">
        <v>21</v>
      </c>
      <c r="G3333" t="s">
        <v>22</v>
      </c>
      <c r="H3333" t="s">
        <v>23</v>
      </c>
      <c r="J3333">
        <v>0</v>
      </c>
      <c r="K3333">
        <v>0</v>
      </c>
    </row>
    <row r="3334" spans="2:11" x14ac:dyDescent="0.25">
      <c r="B3334" t="s">
        <v>6</v>
      </c>
      <c r="C3334" t="s">
        <v>8</v>
      </c>
      <c r="D3334">
        <v>703217</v>
      </c>
      <c r="E3334" t="s">
        <v>132</v>
      </c>
      <c r="F3334" t="s">
        <v>21</v>
      </c>
      <c r="G3334" t="s">
        <v>22</v>
      </c>
      <c r="H3334" t="s">
        <v>23</v>
      </c>
      <c r="J3334">
        <v>0</v>
      </c>
      <c r="K3334">
        <v>0</v>
      </c>
    </row>
    <row r="3335" spans="2:11" x14ac:dyDescent="0.25">
      <c r="B3335" t="s">
        <v>6</v>
      </c>
      <c r="C3335" t="s">
        <v>8</v>
      </c>
      <c r="D3335">
        <v>703219</v>
      </c>
      <c r="E3335" t="s">
        <v>133</v>
      </c>
      <c r="F3335" t="s">
        <v>21</v>
      </c>
      <c r="G3335" t="s">
        <v>22</v>
      </c>
      <c r="H3335" t="s">
        <v>23</v>
      </c>
      <c r="J3335">
        <v>0</v>
      </c>
      <c r="K3335">
        <v>0</v>
      </c>
    </row>
    <row r="3336" spans="2:11" x14ac:dyDescent="0.25">
      <c r="B3336" t="s">
        <v>6</v>
      </c>
      <c r="C3336" t="s">
        <v>8</v>
      </c>
      <c r="D3336">
        <v>703220</v>
      </c>
      <c r="E3336" t="s">
        <v>134</v>
      </c>
      <c r="F3336" t="s">
        <v>21</v>
      </c>
      <c r="G3336" t="s">
        <v>71</v>
      </c>
      <c r="H3336" t="s">
        <v>135</v>
      </c>
      <c r="J3336">
        <v>0</v>
      </c>
      <c r="K3336">
        <v>0</v>
      </c>
    </row>
    <row r="3337" spans="2:11" x14ac:dyDescent="0.25">
      <c r="B3337" t="s">
        <v>6</v>
      </c>
      <c r="C3337" t="s">
        <v>8</v>
      </c>
      <c r="D3337">
        <v>703221</v>
      </c>
      <c r="E3337" t="s">
        <v>136</v>
      </c>
      <c r="F3337" t="s">
        <v>21</v>
      </c>
      <c r="G3337" t="s">
        <v>137</v>
      </c>
      <c r="H3337" t="s">
        <v>138</v>
      </c>
      <c r="J3337">
        <v>0</v>
      </c>
      <c r="K3337">
        <v>0</v>
      </c>
    </row>
    <row r="3338" spans="2:11" x14ac:dyDescent="0.25">
      <c r="B3338" t="s">
        <v>6</v>
      </c>
      <c r="C3338" t="s">
        <v>8</v>
      </c>
      <c r="D3338">
        <v>703222</v>
      </c>
      <c r="E3338" t="s">
        <v>139</v>
      </c>
      <c r="F3338" t="s">
        <v>21</v>
      </c>
      <c r="G3338" t="s">
        <v>137</v>
      </c>
      <c r="H3338" t="s">
        <v>138</v>
      </c>
      <c r="J3338">
        <v>0</v>
      </c>
      <c r="K3338">
        <v>0</v>
      </c>
    </row>
    <row r="3339" spans="2:11" x14ac:dyDescent="0.25">
      <c r="B3339" t="s">
        <v>6</v>
      </c>
      <c r="C3339" t="s">
        <v>8</v>
      </c>
      <c r="D3339">
        <v>703223</v>
      </c>
      <c r="E3339" t="s">
        <v>140</v>
      </c>
      <c r="F3339" t="s">
        <v>21</v>
      </c>
      <c r="G3339" t="s">
        <v>137</v>
      </c>
      <c r="H3339" t="s">
        <v>141</v>
      </c>
      <c r="J3339">
        <v>0</v>
      </c>
      <c r="K3339">
        <v>0</v>
      </c>
    </row>
    <row r="3340" spans="2:11" x14ac:dyDescent="0.25">
      <c r="B3340" t="s">
        <v>6</v>
      </c>
      <c r="C3340" t="s">
        <v>8</v>
      </c>
      <c r="D3340">
        <v>703224</v>
      </c>
      <c r="E3340" t="s">
        <v>142</v>
      </c>
      <c r="F3340" t="s">
        <v>21</v>
      </c>
      <c r="G3340" t="s">
        <v>71</v>
      </c>
      <c r="H3340" t="s">
        <v>88</v>
      </c>
      <c r="J3340">
        <v>0</v>
      </c>
      <c r="K3340">
        <v>0</v>
      </c>
    </row>
    <row r="3341" spans="2:11" x14ac:dyDescent="0.25">
      <c r="B3341" t="s">
        <v>6</v>
      </c>
      <c r="C3341" t="s">
        <v>8</v>
      </c>
      <c r="D3341">
        <v>703225</v>
      </c>
      <c r="E3341" t="s">
        <v>143</v>
      </c>
      <c r="F3341" t="s">
        <v>21</v>
      </c>
      <c r="G3341" t="s">
        <v>71</v>
      </c>
      <c r="H3341" t="s">
        <v>88</v>
      </c>
      <c r="J3341">
        <v>0</v>
      </c>
      <c r="K3341">
        <v>0</v>
      </c>
    </row>
    <row r="3342" spans="2:11" x14ac:dyDescent="0.25">
      <c r="B3342" t="s">
        <v>6</v>
      </c>
      <c r="C3342" t="s">
        <v>8</v>
      </c>
      <c r="D3342">
        <v>703226</v>
      </c>
      <c r="E3342" t="s">
        <v>144</v>
      </c>
      <c r="F3342" t="s">
        <v>21</v>
      </c>
      <c r="G3342" t="s">
        <v>71</v>
      </c>
      <c r="H3342" t="s">
        <v>82</v>
      </c>
      <c r="J3342">
        <v>0</v>
      </c>
      <c r="K3342">
        <v>0</v>
      </c>
    </row>
    <row r="3343" spans="2:11" x14ac:dyDescent="0.25">
      <c r="B3343" t="s">
        <v>6</v>
      </c>
      <c r="C3343" t="s">
        <v>8</v>
      </c>
      <c r="D3343">
        <v>703227</v>
      </c>
      <c r="E3343" t="s">
        <v>145</v>
      </c>
      <c r="F3343" t="s">
        <v>21</v>
      </c>
      <c r="G3343" t="s">
        <v>137</v>
      </c>
      <c r="H3343" t="s">
        <v>138</v>
      </c>
      <c r="J3343">
        <v>0</v>
      </c>
      <c r="K3343">
        <v>0</v>
      </c>
    </row>
    <row r="3344" spans="2:11" x14ac:dyDescent="0.25">
      <c r="B3344" t="s">
        <v>6</v>
      </c>
      <c r="C3344" t="s">
        <v>8</v>
      </c>
      <c r="D3344">
        <v>703228</v>
      </c>
      <c r="E3344" t="s">
        <v>146</v>
      </c>
      <c r="F3344" t="s">
        <v>21</v>
      </c>
      <c r="G3344" t="s">
        <v>147</v>
      </c>
      <c r="H3344" t="s">
        <v>147</v>
      </c>
      <c r="J3344">
        <v>0</v>
      </c>
      <c r="K3344">
        <v>0</v>
      </c>
    </row>
    <row r="3345" spans="2:11" x14ac:dyDescent="0.25">
      <c r="B3345" t="s">
        <v>6</v>
      </c>
      <c r="C3345" t="s">
        <v>8</v>
      </c>
      <c r="D3345">
        <v>703229</v>
      </c>
      <c r="E3345" t="s">
        <v>148</v>
      </c>
      <c r="F3345" t="s">
        <v>21</v>
      </c>
      <c r="G3345" t="s">
        <v>147</v>
      </c>
      <c r="H3345" t="s">
        <v>147</v>
      </c>
      <c r="J3345">
        <v>0</v>
      </c>
      <c r="K3345">
        <v>0</v>
      </c>
    </row>
    <row r="3346" spans="2:11" x14ac:dyDescent="0.25">
      <c r="B3346" t="s">
        <v>6</v>
      </c>
      <c r="C3346" t="s">
        <v>8</v>
      </c>
      <c r="D3346">
        <v>703230</v>
      </c>
      <c r="E3346" t="s">
        <v>149</v>
      </c>
      <c r="F3346" t="s">
        <v>21</v>
      </c>
      <c r="G3346" t="s">
        <v>147</v>
      </c>
      <c r="H3346" t="s">
        <v>147</v>
      </c>
      <c r="J3346">
        <v>0</v>
      </c>
      <c r="K3346">
        <v>0</v>
      </c>
    </row>
    <row r="3347" spans="2:11" x14ac:dyDescent="0.25">
      <c r="B3347" t="s">
        <v>6</v>
      </c>
      <c r="C3347" t="s">
        <v>8</v>
      </c>
      <c r="D3347">
        <v>703231</v>
      </c>
      <c r="E3347" t="s">
        <v>150</v>
      </c>
      <c r="F3347" t="s">
        <v>21</v>
      </c>
      <c r="G3347" t="s">
        <v>137</v>
      </c>
      <c r="H3347" t="s">
        <v>141</v>
      </c>
      <c r="J3347">
        <v>0</v>
      </c>
      <c r="K3347">
        <v>0</v>
      </c>
    </row>
    <row r="3348" spans="2:11" x14ac:dyDescent="0.25">
      <c r="B3348" t="s">
        <v>6</v>
      </c>
      <c r="C3348" t="s">
        <v>8</v>
      </c>
      <c r="D3348">
        <v>703232</v>
      </c>
      <c r="E3348" t="s">
        <v>151</v>
      </c>
      <c r="F3348" t="s">
        <v>21</v>
      </c>
      <c r="G3348" t="s">
        <v>147</v>
      </c>
      <c r="H3348" t="s">
        <v>147</v>
      </c>
      <c r="J3348">
        <v>0</v>
      </c>
      <c r="K3348">
        <v>0</v>
      </c>
    </row>
    <row r="3349" spans="2:11" x14ac:dyDescent="0.25">
      <c r="B3349" t="s">
        <v>6</v>
      </c>
      <c r="C3349" t="s">
        <v>8</v>
      </c>
      <c r="D3349">
        <v>703233</v>
      </c>
      <c r="E3349" t="s">
        <v>152</v>
      </c>
      <c r="F3349" t="s">
        <v>21</v>
      </c>
      <c r="G3349" t="s">
        <v>71</v>
      </c>
      <c r="H3349" t="s">
        <v>153</v>
      </c>
      <c r="J3349">
        <v>0</v>
      </c>
      <c r="K3349">
        <v>0</v>
      </c>
    </row>
    <row r="3350" spans="2:11" x14ac:dyDescent="0.25">
      <c r="B3350" t="s">
        <v>6</v>
      </c>
      <c r="C3350" t="s">
        <v>8</v>
      </c>
      <c r="D3350">
        <v>703234</v>
      </c>
      <c r="E3350" t="s">
        <v>154</v>
      </c>
      <c r="F3350" t="s">
        <v>21</v>
      </c>
      <c r="G3350" t="s">
        <v>71</v>
      </c>
      <c r="H3350" t="s">
        <v>153</v>
      </c>
      <c r="J3350">
        <v>0</v>
      </c>
      <c r="K3350">
        <v>0</v>
      </c>
    </row>
    <row r="3351" spans="2:11" x14ac:dyDescent="0.25">
      <c r="B3351" t="s">
        <v>6</v>
      </c>
      <c r="C3351" t="s">
        <v>8</v>
      </c>
      <c r="D3351">
        <v>703235</v>
      </c>
      <c r="E3351" t="s">
        <v>155</v>
      </c>
      <c r="F3351" t="s">
        <v>21</v>
      </c>
      <c r="G3351" t="s">
        <v>71</v>
      </c>
      <c r="H3351" t="s">
        <v>153</v>
      </c>
      <c r="J3351">
        <v>0</v>
      </c>
      <c r="K3351">
        <v>0</v>
      </c>
    </row>
    <row r="3352" spans="2:11" x14ac:dyDescent="0.25">
      <c r="B3352" t="s">
        <v>6</v>
      </c>
      <c r="C3352" t="s">
        <v>8</v>
      </c>
      <c r="D3352">
        <v>703236</v>
      </c>
      <c r="E3352" t="s">
        <v>156</v>
      </c>
      <c r="F3352" t="s">
        <v>21</v>
      </c>
      <c r="G3352" t="s">
        <v>76</v>
      </c>
      <c r="H3352" t="s">
        <v>77</v>
      </c>
      <c r="J3352">
        <v>0</v>
      </c>
      <c r="K3352">
        <v>0</v>
      </c>
    </row>
    <row r="3353" spans="2:11" x14ac:dyDescent="0.25">
      <c r="B3353" t="s">
        <v>6</v>
      </c>
      <c r="C3353" t="s">
        <v>8</v>
      </c>
      <c r="D3353">
        <v>703237</v>
      </c>
      <c r="E3353" t="s">
        <v>157</v>
      </c>
      <c r="F3353" t="s">
        <v>21</v>
      </c>
      <c r="G3353" t="s">
        <v>22</v>
      </c>
      <c r="H3353" t="s">
        <v>23</v>
      </c>
      <c r="J3353">
        <v>0</v>
      </c>
      <c r="K3353">
        <v>0</v>
      </c>
    </row>
    <row r="3354" spans="2:11" x14ac:dyDescent="0.25">
      <c r="B3354" t="s">
        <v>6</v>
      </c>
      <c r="C3354" t="s">
        <v>8</v>
      </c>
      <c r="D3354">
        <v>703238</v>
      </c>
      <c r="E3354" t="s">
        <v>158</v>
      </c>
      <c r="F3354" t="s">
        <v>21</v>
      </c>
      <c r="G3354" t="s">
        <v>61</v>
      </c>
      <c r="H3354" t="s">
        <v>68</v>
      </c>
      <c r="J3354">
        <v>0</v>
      </c>
      <c r="K3354">
        <v>0</v>
      </c>
    </row>
    <row r="3355" spans="2:11" x14ac:dyDescent="0.25">
      <c r="B3355" t="s">
        <v>6</v>
      </c>
      <c r="C3355" t="s">
        <v>8</v>
      </c>
      <c r="D3355">
        <v>703239</v>
      </c>
      <c r="E3355" t="s">
        <v>159</v>
      </c>
      <c r="F3355" t="s">
        <v>21</v>
      </c>
      <c r="G3355" t="s">
        <v>61</v>
      </c>
      <c r="H3355" t="s">
        <v>68</v>
      </c>
      <c r="J3355">
        <v>0</v>
      </c>
      <c r="K3355">
        <v>0</v>
      </c>
    </row>
    <row r="3356" spans="2:11" x14ac:dyDescent="0.25">
      <c r="B3356" t="s">
        <v>6</v>
      </c>
      <c r="C3356" t="s">
        <v>8</v>
      </c>
      <c r="D3356">
        <v>703240</v>
      </c>
      <c r="E3356" t="s">
        <v>160</v>
      </c>
      <c r="F3356" t="s">
        <v>21</v>
      </c>
      <c r="G3356" t="s">
        <v>61</v>
      </c>
      <c r="H3356" t="s">
        <v>68</v>
      </c>
      <c r="J3356">
        <v>0</v>
      </c>
      <c r="K3356">
        <v>0</v>
      </c>
    </row>
    <row r="3357" spans="2:11" x14ac:dyDescent="0.25">
      <c r="B3357" t="s">
        <v>6</v>
      </c>
      <c r="C3357" t="s">
        <v>8</v>
      </c>
      <c r="D3357">
        <v>703241</v>
      </c>
      <c r="E3357" t="s">
        <v>161</v>
      </c>
      <c r="F3357" t="s">
        <v>21</v>
      </c>
      <c r="G3357" t="s">
        <v>137</v>
      </c>
      <c r="H3357" t="s">
        <v>141</v>
      </c>
      <c r="J3357">
        <v>0</v>
      </c>
      <c r="K3357">
        <v>0</v>
      </c>
    </row>
    <row r="3358" spans="2:11" x14ac:dyDescent="0.25">
      <c r="B3358" t="s">
        <v>6</v>
      </c>
      <c r="C3358" t="s">
        <v>8</v>
      </c>
      <c r="D3358">
        <v>703242</v>
      </c>
      <c r="E3358" t="s">
        <v>162</v>
      </c>
      <c r="F3358" t="s">
        <v>21</v>
      </c>
      <c r="G3358" t="s">
        <v>137</v>
      </c>
      <c r="H3358" t="s">
        <v>141</v>
      </c>
      <c r="J3358">
        <v>0</v>
      </c>
      <c r="K3358">
        <v>0</v>
      </c>
    </row>
    <row r="3359" spans="2:11" x14ac:dyDescent="0.25">
      <c r="B3359" t="s">
        <v>6</v>
      </c>
      <c r="C3359" t="s">
        <v>8</v>
      </c>
      <c r="D3359">
        <v>703243</v>
      </c>
      <c r="E3359" t="s">
        <v>163</v>
      </c>
      <c r="F3359" t="s">
        <v>21</v>
      </c>
      <c r="G3359" t="s">
        <v>137</v>
      </c>
      <c r="H3359" t="s">
        <v>141</v>
      </c>
      <c r="J3359">
        <v>0</v>
      </c>
      <c r="K3359">
        <v>0</v>
      </c>
    </row>
    <row r="3360" spans="2:11" x14ac:dyDescent="0.25">
      <c r="B3360" t="s">
        <v>6</v>
      </c>
      <c r="C3360" t="s">
        <v>8</v>
      </c>
      <c r="D3360">
        <v>703244</v>
      </c>
      <c r="E3360" t="s">
        <v>164</v>
      </c>
      <c r="F3360" t="s">
        <v>21</v>
      </c>
      <c r="G3360" t="s">
        <v>71</v>
      </c>
      <c r="H3360" t="s">
        <v>88</v>
      </c>
      <c r="J3360">
        <v>0</v>
      </c>
      <c r="K3360">
        <v>0</v>
      </c>
    </row>
    <row r="3361" spans="2:11" x14ac:dyDescent="0.25">
      <c r="B3361" t="s">
        <v>6</v>
      </c>
      <c r="C3361" t="s">
        <v>8</v>
      </c>
      <c r="D3361">
        <v>703245</v>
      </c>
      <c r="E3361" t="s">
        <v>165</v>
      </c>
      <c r="F3361" t="s">
        <v>21</v>
      </c>
      <c r="G3361" t="s">
        <v>137</v>
      </c>
      <c r="H3361" t="s">
        <v>138</v>
      </c>
      <c r="J3361">
        <v>0</v>
      </c>
      <c r="K3361">
        <v>0</v>
      </c>
    </row>
    <row r="3362" spans="2:11" x14ac:dyDescent="0.25">
      <c r="B3362" t="s">
        <v>6</v>
      </c>
      <c r="C3362" t="s">
        <v>8</v>
      </c>
      <c r="D3362">
        <v>703246</v>
      </c>
      <c r="E3362" t="s">
        <v>166</v>
      </c>
      <c r="F3362" t="s">
        <v>21</v>
      </c>
      <c r="G3362" t="s">
        <v>137</v>
      </c>
      <c r="H3362" t="s">
        <v>138</v>
      </c>
      <c r="J3362">
        <v>0</v>
      </c>
      <c r="K3362">
        <v>0</v>
      </c>
    </row>
    <row r="3363" spans="2:11" x14ac:dyDescent="0.25">
      <c r="B3363" t="s">
        <v>6</v>
      </c>
      <c r="C3363" t="s">
        <v>8</v>
      </c>
      <c r="D3363">
        <v>703247</v>
      </c>
      <c r="E3363" t="s">
        <v>167</v>
      </c>
      <c r="F3363" t="s">
        <v>21</v>
      </c>
      <c r="G3363" t="s">
        <v>137</v>
      </c>
      <c r="H3363" t="s">
        <v>138</v>
      </c>
      <c r="J3363">
        <v>0</v>
      </c>
      <c r="K3363">
        <v>0</v>
      </c>
    </row>
    <row r="3364" spans="2:11" x14ac:dyDescent="0.25">
      <c r="B3364" t="s">
        <v>6</v>
      </c>
      <c r="C3364" t="s">
        <v>8</v>
      </c>
      <c r="D3364">
        <v>703248</v>
      </c>
      <c r="E3364" t="s">
        <v>168</v>
      </c>
      <c r="F3364" t="s">
        <v>21</v>
      </c>
      <c r="G3364" t="s">
        <v>137</v>
      </c>
      <c r="H3364" t="s">
        <v>141</v>
      </c>
      <c r="J3364">
        <v>0</v>
      </c>
      <c r="K3364">
        <v>0</v>
      </c>
    </row>
    <row r="3365" spans="2:11" x14ac:dyDescent="0.25">
      <c r="B3365" t="s">
        <v>6</v>
      </c>
      <c r="C3365" t="s">
        <v>8</v>
      </c>
      <c r="D3365">
        <v>703249</v>
      </c>
      <c r="E3365" t="s">
        <v>169</v>
      </c>
      <c r="F3365" t="s">
        <v>21</v>
      </c>
      <c r="G3365" t="s">
        <v>147</v>
      </c>
      <c r="H3365" t="s">
        <v>147</v>
      </c>
      <c r="J3365">
        <v>0</v>
      </c>
      <c r="K3365">
        <v>0</v>
      </c>
    </row>
    <row r="3366" spans="2:11" x14ac:dyDescent="0.25">
      <c r="B3366" t="s">
        <v>6</v>
      </c>
      <c r="C3366" t="s">
        <v>8</v>
      </c>
      <c r="D3366">
        <v>703250</v>
      </c>
      <c r="E3366" t="s">
        <v>170</v>
      </c>
      <c r="F3366" t="s">
        <v>21</v>
      </c>
      <c r="G3366" t="s">
        <v>71</v>
      </c>
      <c r="H3366" t="s">
        <v>171</v>
      </c>
      <c r="J3366">
        <v>0</v>
      </c>
      <c r="K3366">
        <v>0</v>
      </c>
    </row>
    <row r="3367" spans="2:11" x14ac:dyDescent="0.25">
      <c r="B3367" t="s">
        <v>6</v>
      </c>
      <c r="C3367" t="s">
        <v>8</v>
      </c>
      <c r="D3367">
        <v>703251</v>
      </c>
      <c r="E3367" t="s">
        <v>172</v>
      </c>
      <c r="F3367" t="s">
        <v>21</v>
      </c>
      <c r="G3367" t="s">
        <v>22</v>
      </c>
      <c r="H3367" t="s">
        <v>115</v>
      </c>
      <c r="J3367">
        <v>0</v>
      </c>
      <c r="K3367">
        <v>0</v>
      </c>
    </row>
    <row r="3368" spans="2:11" x14ac:dyDescent="0.25">
      <c r="B3368" t="s">
        <v>6</v>
      </c>
      <c r="C3368" t="s">
        <v>8</v>
      </c>
      <c r="D3368">
        <v>703252</v>
      </c>
      <c r="E3368" t="s">
        <v>173</v>
      </c>
      <c r="F3368" t="s">
        <v>21</v>
      </c>
      <c r="G3368" t="s">
        <v>22</v>
      </c>
      <c r="H3368" t="s">
        <v>115</v>
      </c>
      <c r="J3368">
        <v>0</v>
      </c>
      <c r="K3368">
        <v>0</v>
      </c>
    </row>
    <row r="3369" spans="2:11" x14ac:dyDescent="0.25">
      <c r="B3369" t="s">
        <v>6</v>
      </c>
      <c r="C3369" t="s">
        <v>8</v>
      </c>
      <c r="D3369">
        <v>703253</v>
      </c>
      <c r="E3369" t="s">
        <v>174</v>
      </c>
      <c r="F3369" t="s">
        <v>21</v>
      </c>
      <c r="G3369" t="s">
        <v>22</v>
      </c>
      <c r="H3369" t="s">
        <v>115</v>
      </c>
      <c r="J3369">
        <v>0</v>
      </c>
      <c r="K3369">
        <v>0</v>
      </c>
    </row>
    <row r="3370" spans="2:11" x14ac:dyDescent="0.25">
      <c r="B3370" t="s">
        <v>6</v>
      </c>
      <c r="C3370" t="s">
        <v>8</v>
      </c>
      <c r="D3370">
        <v>703254</v>
      </c>
      <c r="E3370" t="s">
        <v>175</v>
      </c>
      <c r="F3370" t="s">
        <v>21</v>
      </c>
      <c r="G3370" t="s">
        <v>22</v>
      </c>
      <c r="H3370" t="s">
        <v>115</v>
      </c>
      <c r="J3370">
        <v>0</v>
      </c>
      <c r="K3370">
        <v>0</v>
      </c>
    </row>
    <row r="3371" spans="2:11" x14ac:dyDescent="0.25">
      <c r="B3371" t="s">
        <v>6</v>
      </c>
      <c r="C3371" t="s">
        <v>8</v>
      </c>
      <c r="D3371">
        <v>703255</v>
      </c>
      <c r="E3371" t="s">
        <v>176</v>
      </c>
      <c r="F3371" t="s">
        <v>21</v>
      </c>
      <c r="G3371" t="s">
        <v>22</v>
      </c>
      <c r="H3371" t="s">
        <v>115</v>
      </c>
      <c r="J3371">
        <v>0</v>
      </c>
      <c r="K3371">
        <v>0</v>
      </c>
    </row>
    <row r="3372" spans="2:11" x14ac:dyDescent="0.25">
      <c r="B3372" t="s">
        <v>6</v>
      </c>
      <c r="C3372" t="s">
        <v>8</v>
      </c>
      <c r="D3372">
        <v>703257</v>
      </c>
      <c r="E3372" t="s">
        <v>177</v>
      </c>
      <c r="F3372" t="s">
        <v>21</v>
      </c>
      <c r="G3372" t="s">
        <v>147</v>
      </c>
      <c r="H3372" t="s">
        <v>147</v>
      </c>
      <c r="J3372">
        <v>0</v>
      </c>
      <c r="K3372">
        <v>0</v>
      </c>
    </row>
    <row r="3373" spans="2:11" x14ac:dyDescent="0.25">
      <c r="B3373" t="s">
        <v>6</v>
      </c>
      <c r="C3373" t="s">
        <v>8</v>
      </c>
      <c r="D3373">
        <v>703258</v>
      </c>
      <c r="E3373" t="s">
        <v>178</v>
      </c>
      <c r="F3373" t="s">
        <v>21</v>
      </c>
      <c r="G3373" t="s">
        <v>147</v>
      </c>
      <c r="H3373" t="s">
        <v>147</v>
      </c>
      <c r="J3373">
        <v>0</v>
      </c>
      <c r="K3373">
        <v>0</v>
      </c>
    </row>
    <row r="3374" spans="2:11" x14ac:dyDescent="0.25">
      <c r="B3374" t="s">
        <v>6</v>
      </c>
      <c r="C3374" t="s">
        <v>8</v>
      </c>
      <c r="D3374">
        <v>703260</v>
      </c>
      <c r="E3374" t="s">
        <v>179</v>
      </c>
      <c r="F3374" t="s">
        <v>21</v>
      </c>
      <c r="G3374" t="s">
        <v>76</v>
      </c>
      <c r="H3374" t="s">
        <v>77</v>
      </c>
      <c r="J3374">
        <v>0</v>
      </c>
      <c r="K3374">
        <v>0</v>
      </c>
    </row>
    <row r="3375" spans="2:11" x14ac:dyDescent="0.25">
      <c r="B3375" t="s">
        <v>6</v>
      </c>
      <c r="C3375" t="s">
        <v>8</v>
      </c>
      <c r="D3375">
        <v>703261</v>
      </c>
      <c r="E3375" t="s">
        <v>180</v>
      </c>
      <c r="F3375" t="s">
        <v>21</v>
      </c>
      <c r="G3375" t="s">
        <v>22</v>
      </c>
      <c r="H3375" t="s">
        <v>115</v>
      </c>
      <c r="J3375">
        <v>0</v>
      </c>
      <c r="K3375">
        <v>0</v>
      </c>
    </row>
    <row r="3376" spans="2:11" x14ac:dyDescent="0.25">
      <c r="B3376" t="s">
        <v>6</v>
      </c>
      <c r="C3376" t="s">
        <v>8</v>
      </c>
      <c r="D3376">
        <v>703262</v>
      </c>
      <c r="E3376" t="s">
        <v>181</v>
      </c>
      <c r="F3376" t="s">
        <v>21</v>
      </c>
      <c r="G3376" t="s">
        <v>22</v>
      </c>
      <c r="H3376" t="s">
        <v>23</v>
      </c>
      <c r="J3376">
        <v>0</v>
      </c>
      <c r="K3376">
        <v>0</v>
      </c>
    </row>
    <row r="3377" spans="2:11" x14ac:dyDescent="0.25">
      <c r="B3377" t="s">
        <v>6</v>
      </c>
      <c r="C3377" t="s">
        <v>8</v>
      </c>
      <c r="D3377">
        <v>703263</v>
      </c>
      <c r="E3377" t="s">
        <v>182</v>
      </c>
      <c r="F3377" t="s">
        <v>21</v>
      </c>
      <c r="G3377" t="s">
        <v>22</v>
      </c>
      <c r="H3377" t="s">
        <v>115</v>
      </c>
      <c r="J3377">
        <v>0</v>
      </c>
      <c r="K3377">
        <v>0</v>
      </c>
    </row>
    <row r="3378" spans="2:11" x14ac:dyDescent="0.25">
      <c r="B3378" t="s">
        <v>6</v>
      </c>
      <c r="C3378" t="s">
        <v>8</v>
      </c>
      <c r="D3378">
        <v>703264</v>
      </c>
      <c r="E3378" t="s">
        <v>183</v>
      </c>
      <c r="F3378" t="s">
        <v>21</v>
      </c>
      <c r="G3378" t="s">
        <v>22</v>
      </c>
      <c r="H3378" t="s">
        <v>115</v>
      </c>
      <c r="J3378">
        <v>0</v>
      </c>
      <c r="K3378">
        <v>0</v>
      </c>
    </row>
    <row r="3379" spans="2:11" x14ac:dyDescent="0.25">
      <c r="B3379" t="s">
        <v>6</v>
      </c>
      <c r="C3379" t="s">
        <v>8</v>
      </c>
      <c r="D3379">
        <v>703265</v>
      </c>
      <c r="E3379" t="s">
        <v>184</v>
      </c>
      <c r="F3379" t="s">
        <v>21</v>
      </c>
      <c r="G3379" t="s">
        <v>22</v>
      </c>
      <c r="H3379" t="s">
        <v>115</v>
      </c>
      <c r="J3379">
        <v>0</v>
      </c>
      <c r="K3379">
        <v>0</v>
      </c>
    </row>
    <row r="3380" spans="2:11" x14ac:dyDescent="0.25">
      <c r="B3380" t="s">
        <v>6</v>
      </c>
      <c r="C3380" t="s">
        <v>8</v>
      </c>
      <c r="D3380">
        <v>703266</v>
      </c>
      <c r="E3380" t="s">
        <v>185</v>
      </c>
      <c r="F3380" t="s">
        <v>21</v>
      </c>
      <c r="G3380" t="s">
        <v>71</v>
      </c>
      <c r="H3380" t="s">
        <v>186</v>
      </c>
      <c r="J3380">
        <v>0</v>
      </c>
      <c r="K3380">
        <v>0</v>
      </c>
    </row>
    <row r="3381" spans="2:11" x14ac:dyDescent="0.25">
      <c r="B3381" t="s">
        <v>6</v>
      </c>
      <c r="C3381" t="s">
        <v>8</v>
      </c>
      <c r="D3381">
        <v>703267</v>
      </c>
      <c r="E3381" t="s">
        <v>187</v>
      </c>
      <c r="F3381" t="s">
        <v>21</v>
      </c>
      <c r="G3381" t="s">
        <v>71</v>
      </c>
      <c r="H3381" t="s">
        <v>88</v>
      </c>
      <c r="J3381">
        <v>0</v>
      </c>
      <c r="K3381">
        <v>0</v>
      </c>
    </row>
    <row r="3382" spans="2:11" x14ac:dyDescent="0.25">
      <c r="B3382" t="s">
        <v>6</v>
      </c>
      <c r="C3382" t="s">
        <v>8</v>
      </c>
      <c r="D3382">
        <v>703268</v>
      </c>
      <c r="E3382" t="s">
        <v>188</v>
      </c>
      <c r="F3382" t="s">
        <v>21</v>
      </c>
      <c r="G3382" t="s">
        <v>147</v>
      </c>
      <c r="H3382" t="s">
        <v>147</v>
      </c>
      <c r="J3382">
        <v>0</v>
      </c>
      <c r="K3382">
        <v>0</v>
      </c>
    </row>
    <row r="3383" spans="2:11" x14ac:dyDescent="0.25">
      <c r="B3383" t="s">
        <v>6</v>
      </c>
      <c r="C3383" t="s">
        <v>8</v>
      </c>
      <c r="D3383">
        <v>703269</v>
      </c>
      <c r="E3383" t="s">
        <v>189</v>
      </c>
      <c r="F3383" t="s">
        <v>21</v>
      </c>
      <c r="G3383" t="s">
        <v>147</v>
      </c>
      <c r="H3383" t="s">
        <v>147</v>
      </c>
      <c r="J3383">
        <v>0</v>
      </c>
      <c r="K3383">
        <v>0</v>
      </c>
    </row>
    <row r="3384" spans="2:11" x14ac:dyDescent="0.25">
      <c r="B3384" t="s">
        <v>6</v>
      </c>
      <c r="C3384" t="s">
        <v>8</v>
      </c>
      <c r="D3384">
        <v>703270</v>
      </c>
      <c r="E3384" t="s">
        <v>190</v>
      </c>
      <c r="F3384" t="s">
        <v>21</v>
      </c>
      <c r="G3384" t="s">
        <v>137</v>
      </c>
      <c r="H3384" t="s">
        <v>141</v>
      </c>
      <c r="J3384">
        <v>0</v>
      </c>
      <c r="K3384">
        <v>0</v>
      </c>
    </row>
    <row r="3385" spans="2:11" x14ac:dyDescent="0.25">
      <c r="B3385" t="s">
        <v>6</v>
      </c>
      <c r="C3385" t="s">
        <v>8</v>
      </c>
      <c r="D3385">
        <v>703271</v>
      </c>
      <c r="E3385" t="s">
        <v>191</v>
      </c>
      <c r="F3385" t="s">
        <v>21</v>
      </c>
      <c r="G3385" t="s">
        <v>22</v>
      </c>
      <c r="H3385" t="s">
        <v>115</v>
      </c>
      <c r="J3385">
        <v>0</v>
      </c>
      <c r="K3385">
        <v>0</v>
      </c>
    </row>
    <row r="3386" spans="2:11" x14ac:dyDescent="0.25">
      <c r="B3386" t="s">
        <v>6</v>
      </c>
      <c r="C3386" t="s">
        <v>8</v>
      </c>
      <c r="D3386">
        <v>703272</v>
      </c>
      <c r="E3386" t="s">
        <v>192</v>
      </c>
      <c r="F3386" t="s">
        <v>21</v>
      </c>
      <c r="G3386" t="s">
        <v>22</v>
      </c>
      <c r="H3386" t="s">
        <v>23</v>
      </c>
      <c r="J3386">
        <v>0</v>
      </c>
      <c r="K3386">
        <v>0</v>
      </c>
    </row>
    <row r="3387" spans="2:11" x14ac:dyDescent="0.25">
      <c r="B3387" t="s">
        <v>6</v>
      </c>
      <c r="C3387" t="s">
        <v>8</v>
      </c>
      <c r="D3387">
        <v>703273</v>
      </c>
      <c r="E3387" t="s">
        <v>193</v>
      </c>
      <c r="F3387" t="s">
        <v>21</v>
      </c>
      <c r="G3387" t="s">
        <v>147</v>
      </c>
      <c r="H3387" t="s">
        <v>147</v>
      </c>
      <c r="J3387">
        <v>0</v>
      </c>
      <c r="K3387">
        <v>0</v>
      </c>
    </row>
    <row r="3388" spans="2:11" x14ac:dyDescent="0.25">
      <c r="B3388" t="s">
        <v>6</v>
      </c>
      <c r="C3388" t="s">
        <v>8</v>
      </c>
      <c r="D3388">
        <v>703274</v>
      </c>
      <c r="E3388" t="s">
        <v>194</v>
      </c>
      <c r="F3388" t="s">
        <v>21</v>
      </c>
      <c r="G3388" t="s">
        <v>147</v>
      </c>
      <c r="H3388" t="s">
        <v>147</v>
      </c>
      <c r="J3388">
        <v>0</v>
      </c>
      <c r="K3388">
        <v>0</v>
      </c>
    </row>
    <row r="3389" spans="2:11" x14ac:dyDescent="0.25">
      <c r="B3389" t="s">
        <v>6</v>
      </c>
      <c r="C3389" t="s">
        <v>8</v>
      </c>
      <c r="D3389">
        <v>703275</v>
      </c>
      <c r="E3389" t="s">
        <v>195</v>
      </c>
      <c r="F3389" t="s">
        <v>21</v>
      </c>
      <c r="G3389" t="s">
        <v>137</v>
      </c>
      <c r="H3389" t="s">
        <v>138</v>
      </c>
      <c r="J3389">
        <v>0</v>
      </c>
      <c r="K3389">
        <v>0</v>
      </c>
    </row>
    <row r="3390" spans="2:11" x14ac:dyDescent="0.25">
      <c r="B3390" t="s">
        <v>6</v>
      </c>
      <c r="C3390" t="s">
        <v>8</v>
      </c>
      <c r="D3390">
        <v>703280</v>
      </c>
      <c r="E3390" t="s">
        <v>196</v>
      </c>
      <c r="F3390" t="s">
        <v>21</v>
      </c>
      <c r="G3390" t="s">
        <v>71</v>
      </c>
      <c r="H3390" t="s">
        <v>171</v>
      </c>
      <c r="J3390">
        <v>0</v>
      </c>
      <c r="K3390">
        <v>0</v>
      </c>
    </row>
    <row r="3391" spans="2:11" x14ac:dyDescent="0.25">
      <c r="B3391" t="s">
        <v>6</v>
      </c>
      <c r="C3391" t="s">
        <v>8</v>
      </c>
      <c r="D3391">
        <v>703281</v>
      </c>
      <c r="E3391" t="s">
        <v>197</v>
      </c>
      <c r="F3391" t="s">
        <v>21</v>
      </c>
      <c r="G3391" t="s">
        <v>76</v>
      </c>
      <c r="H3391" t="s">
        <v>77</v>
      </c>
      <c r="J3391">
        <v>0</v>
      </c>
      <c r="K3391">
        <v>0</v>
      </c>
    </row>
    <row r="3392" spans="2:11" x14ac:dyDescent="0.25">
      <c r="B3392" t="s">
        <v>6</v>
      </c>
      <c r="C3392" t="s">
        <v>8</v>
      </c>
      <c r="D3392">
        <v>703282</v>
      </c>
      <c r="E3392" t="s">
        <v>198</v>
      </c>
      <c r="F3392" t="s">
        <v>21</v>
      </c>
      <c r="G3392" t="s">
        <v>76</v>
      </c>
      <c r="H3392" t="s">
        <v>77</v>
      </c>
      <c r="J3392">
        <v>0</v>
      </c>
      <c r="K3392">
        <v>0</v>
      </c>
    </row>
    <row r="3393" spans="2:11" x14ac:dyDescent="0.25">
      <c r="B3393" t="s">
        <v>6</v>
      </c>
      <c r="C3393" t="s">
        <v>8</v>
      </c>
      <c r="D3393">
        <v>703283</v>
      </c>
      <c r="E3393" t="s">
        <v>199</v>
      </c>
      <c r="F3393" t="s">
        <v>21</v>
      </c>
      <c r="G3393" t="s">
        <v>61</v>
      </c>
      <c r="H3393" t="s">
        <v>68</v>
      </c>
      <c r="J3393">
        <v>0</v>
      </c>
      <c r="K3393">
        <v>0</v>
      </c>
    </row>
    <row r="3394" spans="2:11" x14ac:dyDescent="0.25">
      <c r="B3394" t="s">
        <v>6</v>
      </c>
      <c r="C3394" t="s">
        <v>8</v>
      </c>
      <c r="D3394">
        <v>703310</v>
      </c>
      <c r="E3394" t="s">
        <v>200</v>
      </c>
      <c r="F3394" t="s">
        <v>21</v>
      </c>
      <c r="G3394" t="s">
        <v>22</v>
      </c>
      <c r="H3394" t="s">
        <v>23</v>
      </c>
      <c r="J3394">
        <v>0</v>
      </c>
      <c r="K3394">
        <v>0</v>
      </c>
    </row>
    <row r="3395" spans="2:11" x14ac:dyDescent="0.25">
      <c r="B3395" t="s">
        <v>6</v>
      </c>
      <c r="C3395" t="s">
        <v>8</v>
      </c>
      <c r="D3395">
        <v>703311</v>
      </c>
      <c r="E3395" t="s">
        <v>201</v>
      </c>
      <c r="F3395" t="s">
        <v>21</v>
      </c>
      <c r="G3395" t="s">
        <v>71</v>
      </c>
      <c r="H3395" t="s">
        <v>171</v>
      </c>
      <c r="J3395">
        <v>0</v>
      </c>
      <c r="K3395">
        <v>0</v>
      </c>
    </row>
    <row r="3396" spans="2:11" x14ac:dyDescent="0.25">
      <c r="B3396" t="s">
        <v>6</v>
      </c>
      <c r="C3396" t="s">
        <v>8</v>
      </c>
      <c r="D3396">
        <v>703312</v>
      </c>
      <c r="E3396" t="s">
        <v>202</v>
      </c>
      <c r="F3396" t="s">
        <v>21</v>
      </c>
      <c r="G3396" t="s">
        <v>76</v>
      </c>
      <c r="H3396" t="s">
        <v>77</v>
      </c>
      <c r="J3396">
        <v>0</v>
      </c>
      <c r="K3396">
        <v>0</v>
      </c>
    </row>
    <row r="3397" spans="2:11" x14ac:dyDescent="0.25">
      <c r="B3397" t="s">
        <v>6</v>
      </c>
      <c r="C3397" t="s">
        <v>8</v>
      </c>
      <c r="D3397">
        <v>703313</v>
      </c>
      <c r="E3397" t="s">
        <v>203</v>
      </c>
      <c r="F3397" t="s">
        <v>21</v>
      </c>
      <c r="G3397" t="s">
        <v>76</v>
      </c>
      <c r="H3397" t="s">
        <v>77</v>
      </c>
      <c r="J3397">
        <v>0</v>
      </c>
      <c r="K3397">
        <v>0</v>
      </c>
    </row>
    <row r="3398" spans="2:11" x14ac:dyDescent="0.25">
      <c r="B3398" t="s">
        <v>6</v>
      </c>
      <c r="C3398" t="s">
        <v>8</v>
      </c>
      <c r="D3398">
        <v>703314</v>
      </c>
      <c r="E3398" t="s">
        <v>204</v>
      </c>
      <c r="F3398" t="s">
        <v>21</v>
      </c>
      <c r="G3398" t="s">
        <v>76</v>
      </c>
      <c r="H3398" t="s">
        <v>77</v>
      </c>
      <c r="J3398">
        <v>0</v>
      </c>
      <c r="K3398">
        <v>0</v>
      </c>
    </row>
    <row r="3399" spans="2:11" x14ac:dyDescent="0.25">
      <c r="B3399" t="s">
        <v>6</v>
      </c>
      <c r="C3399" t="s">
        <v>8</v>
      </c>
      <c r="D3399">
        <v>703315</v>
      </c>
      <c r="E3399" t="s">
        <v>205</v>
      </c>
      <c r="F3399" t="s">
        <v>21</v>
      </c>
      <c r="G3399" t="s">
        <v>76</v>
      </c>
      <c r="H3399" t="s">
        <v>135</v>
      </c>
      <c r="J3399">
        <v>0</v>
      </c>
      <c r="K3399">
        <v>0</v>
      </c>
    </row>
    <row r="3400" spans="2:11" x14ac:dyDescent="0.25">
      <c r="B3400" t="s">
        <v>6</v>
      </c>
      <c r="C3400" t="s">
        <v>8</v>
      </c>
      <c r="D3400">
        <v>703316</v>
      </c>
      <c r="E3400" t="s">
        <v>206</v>
      </c>
      <c r="F3400" t="s">
        <v>21</v>
      </c>
      <c r="G3400" t="s">
        <v>76</v>
      </c>
      <c r="H3400" t="s">
        <v>77</v>
      </c>
      <c r="J3400">
        <v>0</v>
      </c>
      <c r="K3400">
        <v>0</v>
      </c>
    </row>
    <row r="3401" spans="2:11" x14ac:dyDescent="0.25">
      <c r="B3401" t="s">
        <v>6</v>
      </c>
      <c r="C3401" t="s">
        <v>8</v>
      </c>
      <c r="D3401">
        <v>703317</v>
      </c>
      <c r="E3401" t="s">
        <v>207</v>
      </c>
      <c r="F3401" t="s">
        <v>21</v>
      </c>
      <c r="G3401" t="s">
        <v>76</v>
      </c>
      <c r="H3401" t="s">
        <v>77</v>
      </c>
      <c r="J3401">
        <v>0</v>
      </c>
      <c r="K3401">
        <v>0</v>
      </c>
    </row>
    <row r="3402" spans="2:11" x14ac:dyDescent="0.25">
      <c r="B3402" t="s">
        <v>6</v>
      </c>
      <c r="C3402" t="s">
        <v>8</v>
      </c>
      <c r="D3402">
        <v>703318</v>
      </c>
      <c r="E3402" t="s">
        <v>208</v>
      </c>
      <c r="F3402" t="s">
        <v>21</v>
      </c>
      <c r="G3402" t="s">
        <v>71</v>
      </c>
      <c r="H3402" t="s">
        <v>209</v>
      </c>
      <c r="J3402">
        <v>0</v>
      </c>
      <c r="K3402">
        <v>0</v>
      </c>
    </row>
    <row r="3403" spans="2:11" x14ac:dyDescent="0.25">
      <c r="B3403" t="s">
        <v>6</v>
      </c>
      <c r="C3403" t="s">
        <v>8</v>
      </c>
      <c r="D3403">
        <v>703319</v>
      </c>
      <c r="E3403" t="s">
        <v>210</v>
      </c>
      <c r="F3403" t="s">
        <v>21</v>
      </c>
      <c r="G3403" t="s">
        <v>61</v>
      </c>
      <c r="H3403" t="s">
        <v>79</v>
      </c>
      <c r="J3403">
        <v>0</v>
      </c>
      <c r="K3403">
        <v>0</v>
      </c>
    </row>
    <row r="3404" spans="2:11" x14ac:dyDescent="0.25">
      <c r="B3404" t="s">
        <v>6</v>
      </c>
      <c r="C3404" t="s">
        <v>8</v>
      </c>
      <c r="D3404">
        <v>703320</v>
      </c>
      <c r="E3404" t="s">
        <v>211</v>
      </c>
      <c r="F3404" t="s">
        <v>21</v>
      </c>
      <c r="G3404" t="s">
        <v>71</v>
      </c>
      <c r="H3404" t="s">
        <v>135</v>
      </c>
      <c r="J3404">
        <v>0</v>
      </c>
      <c r="K3404">
        <v>0</v>
      </c>
    </row>
    <row r="3405" spans="2:11" x14ac:dyDescent="0.25">
      <c r="B3405" t="s">
        <v>6</v>
      </c>
      <c r="C3405" t="s">
        <v>8</v>
      </c>
      <c r="D3405">
        <v>703321</v>
      </c>
      <c r="E3405" t="s">
        <v>212</v>
      </c>
      <c r="F3405" t="s">
        <v>21</v>
      </c>
      <c r="G3405" t="s">
        <v>22</v>
      </c>
      <c r="H3405" t="s">
        <v>23</v>
      </c>
      <c r="J3405">
        <v>0</v>
      </c>
      <c r="K3405">
        <v>0</v>
      </c>
    </row>
    <row r="3406" spans="2:11" x14ac:dyDescent="0.25">
      <c r="B3406" t="s">
        <v>6</v>
      </c>
      <c r="C3406" t="s">
        <v>8</v>
      </c>
      <c r="D3406">
        <v>703322</v>
      </c>
      <c r="E3406" t="s">
        <v>213</v>
      </c>
      <c r="F3406" t="s">
        <v>21</v>
      </c>
      <c r="G3406" t="s">
        <v>22</v>
      </c>
      <c r="H3406" t="s">
        <v>23</v>
      </c>
      <c r="J3406">
        <v>0</v>
      </c>
      <c r="K3406">
        <v>0</v>
      </c>
    </row>
    <row r="3407" spans="2:11" x14ac:dyDescent="0.25">
      <c r="B3407" t="s">
        <v>6</v>
      </c>
      <c r="C3407" t="s">
        <v>8</v>
      </c>
      <c r="D3407">
        <v>703323</v>
      </c>
      <c r="E3407" t="s">
        <v>214</v>
      </c>
      <c r="F3407" t="s">
        <v>21</v>
      </c>
      <c r="G3407" t="s">
        <v>22</v>
      </c>
      <c r="H3407" t="s">
        <v>23</v>
      </c>
      <c r="J3407">
        <v>0</v>
      </c>
      <c r="K3407">
        <v>0</v>
      </c>
    </row>
    <row r="3408" spans="2:11" x14ac:dyDescent="0.25">
      <c r="B3408" t="s">
        <v>6</v>
      </c>
      <c r="C3408" t="s">
        <v>8</v>
      </c>
      <c r="D3408">
        <v>703324</v>
      </c>
      <c r="E3408" t="s">
        <v>215</v>
      </c>
      <c r="F3408" t="s">
        <v>21</v>
      </c>
      <c r="G3408" t="s">
        <v>22</v>
      </c>
      <c r="H3408" t="s">
        <v>23</v>
      </c>
      <c r="J3408">
        <v>0</v>
      </c>
      <c r="K3408">
        <v>0</v>
      </c>
    </row>
    <row r="3409" spans="2:11" x14ac:dyDescent="0.25">
      <c r="B3409" t="s">
        <v>6</v>
      </c>
      <c r="C3409" t="s">
        <v>8</v>
      </c>
      <c r="D3409">
        <v>703325</v>
      </c>
      <c r="E3409" t="s">
        <v>216</v>
      </c>
      <c r="F3409" t="s">
        <v>21</v>
      </c>
      <c r="G3409" t="s">
        <v>22</v>
      </c>
      <c r="H3409" t="s">
        <v>23</v>
      </c>
      <c r="J3409">
        <v>0</v>
      </c>
      <c r="K3409">
        <v>0</v>
      </c>
    </row>
    <row r="3410" spans="2:11" x14ac:dyDescent="0.25">
      <c r="B3410" t="s">
        <v>6</v>
      </c>
      <c r="C3410" t="s">
        <v>8</v>
      </c>
      <c r="D3410">
        <v>703326</v>
      </c>
      <c r="E3410" t="s">
        <v>217</v>
      </c>
      <c r="F3410" t="s">
        <v>21</v>
      </c>
      <c r="G3410" t="s">
        <v>22</v>
      </c>
      <c r="H3410" t="s">
        <v>23</v>
      </c>
      <c r="J3410">
        <v>0</v>
      </c>
      <c r="K3410">
        <v>0</v>
      </c>
    </row>
    <row r="3411" spans="2:11" x14ac:dyDescent="0.25">
      <c r="B3411" t="s">
        <v>6</v>
      </c>
      <c r="C3411" t="s">
        <v>8</v>
      </c>
      <c r="D3411">
        <v>703327</v>
      </c>
      <c r="E3411" t="s">
        <v>218</v>
      </c>
      <c r="F3411" t="s">
        <v>21</v>
      </c>
      <c r="G3411" t="s">
        <v>76</v>
      </c>
      <c r="H3411" t="s">
        <v>77</v>
      </c>
      <c r="J3411">
        <v>0</v>
      </c>
      <c r="K3411">
        <v>0</v>
      </c>
    </row>
    <row r="3412" spans="2:11" x14ac:dyDescent="0.25">
      <c r="B3412" t="s">
        <v>6</v>
      </c>
      <c r="C3412" t="s">
        <v>8</v>
      </c>
      <c r="D3412">
        <v>703328</v>
      </c>
      <c r="E3412" t="s">
        <v>219</v>
      </c>
      <c r="F3412" t="s">
        <v>21</v>
      </c>
      <c r="G3412" t="s">
        <v>22</v>
      </c>
      <c r="H3412" t="s">
        <v>23</v>
      </c>
      <c r="J3412">
        <v>0</v>
      </c>
      <c r="K3412">
        <v>0</v>
      </c>
    </row>
    <row r="3413" spans="2:11" x14ac:dyDescent="0.25">
      <c r="B3413" t="s">
        <v>6</v>
      </c>
      <c r="C3413" t="s">
        <v>8</v>
      </c>
      <c r="D3413">
        <v>703329</v>
      </c>
      <c r="E3413" t="s">
        <v>220</v>
      </c>
      <c r="F3413" t="s">
        <v>21</v>
      </c>
      <c r="G3413" t="s">
        <v>22</v>
      </c>
      <c r="H3413" t="s">
        <v>23</v>
      </c>
      <c r="J3413">
        <v>0</v>
      </c>
      <c r="K3413">
        <v>0</v>
      </c>
    </row>
    <row r="3414" spans="2:11" x14ac:dyDescent="0.25">
      <c r="B3414" t="s">
        <v>6</v>
      </c>
      <c r="C3414" t="s">
        <v>8</v>
      </c>
      <c r="D3414">
        <v>703330</v>
      </c>
      <c r="E3414" t="s">
        <v>221</v>
      </c>
      <c r="F3414" t="s">
        <v>21</v>
      </c>
      <c r="G3414" t="s">
        <v>22</v>
      </c>
      <c r="H3414" t="s">
        <v>23</v>
      </c>
      <c r="J3414">
        <v>0</v>
      </c>
      <c r="K3414">
        <v>0</v>
      </c>
    </row>
    <row r="3415" spans="2:11" x14ac:dyDescent="0.25">
      <c r="B3415" t="s">
        <v>6</v>
      </c>
      <c r="C3415" t="s">
        <v>8</v>
      </c>
      <c r="D3415">
        <v>703340</v>
      </c>
      <c r="E3415" t="s">
        <v>222</v>
      </c>
      <c r="F3415" t="s">
        <v>21</v>
      </c>
      <c r="G3415" t="s">
        <v>61</v>
      </c>
      <c r="H3415" t="s">
        <v>68</v>
      </c>
      <c r="J3415">
        <v>0</v>
      </c>
      <c r="K3415">
        <v>0</v>
      </c>
    </row>
    <row r="3416" spans="2:11" x14ac:dyDescent="0.25">
      <c r="B3416" t="s">
        <v>6</v>
      </c>
      <c r="C3416" t="s">
        <v>8</v>
      </c>
      <c r="D3416">
        <v>703350</v>
      </c>
      <c r="E3416" t="s">
        <v>223</v>
      </c>
      <c r="F3416" t="s">
        <v>21</v>
      </c>
      <c r="G3416" t="s">
        <v>22</v>
      </c>
      <c r="H3416" t="s">
        <v>23</v>
      </c>
      <c r="J3416">
        <v>0</v>
      </c>
      <c r="K3416">
        <v>0</v>
      </c>
    </row>
    <row r="3417" spans="2:11" x14ac:dyDescent="0.25">
      <c r="B3417" t="s">
        <v>6</v>
      </c>
      <c r="C3417" t="s">
        <v>8</v>
      </c>
      <c r="D3417">
        <v>703351</v>
      </c>
      <c r="E3417" t="s">
        <v>224</v>
      </c>
      <c r="F3417" t="s">
        <v>21</v>
      </c>
      <c r="G3417" t="s">
        <v>22</v>
      </c>
      <c r="H3417" t="s">
        <v>23</v>
      </c>
      <c r="J3417">
        <v>0</v>
      </c>
      <c r="K3417">
        <v>0</v>
      </c>
    </row>
    <row r="3418" spans="2:11" x14ac:dyDescent="0.25">
      <c r="B3418" t="s">
        <v>6</v>
      </c>
      <c r="C3418" t="s">
        <v>8</v>
      </c>
      <c r="D3418">
        <v>703352</v>
      </c>
      <c r="E3418" t="s">
        <v>225</v>
      </c>
      <c r="F3418" t="s">
        <v>21</v>
      </c>
      <c r="G3418" t="s">
        <v>22</v>
      </c>
      <c r="H3418" t="s">
        <v>23</v>
      </c>
      <c r="J3418">
        <v>0</v>
      </c>
      <c r="K3418">
        <v>0</v>
      </c>
    </row>
    <row r="3419" spans="2:11" x14ac:dyDescent="0.25">
      <c r="B3419" t="s">
        <v>6</v>
      </c>
      <c r="C3419" t="s">
        <v>8</v>
      </c>
      <c r="D3419">
        <v>703360</v>
      </c>
      <c r="E3419" t="s">
        <v>226</v>
      </c>
      <c r="F3419" t="s">
        <v>21</v>
      </c>
      <c r="G3419" t="s">
        <v>22</v>
      </c>
      <c r="H3419" t="s">
        <v>23</v>
      </c>
      <c r="J3419">
        <v>0</v>
      </c>
      <c r="K3419">
        <v>0</v>
      </c>
    </row>
    <row r="3420" spans="2:11" x14ac:dyDescent="0.25">
      <c r="B3420" t="s">
        <v>6</v>
      </c>
      <c r="C3420" t="s">
        <v>8</v>
      </c>
      <c r="D3420">
        <v>703370</v>
      </c>
      <c r="E3420" t="s">
        <v>227</v>
      </c>
      <c r="F3420" t="s">
        <v>21</v>
      </c>
      <c r="G3420" t="s">
        <v>22</v>
      </c>
      <c r="H3420" t="s">
        <v>23</v>
      </c>
      <c r="J3420">
        <v>0</v>
      </c>
      <c r="K3420">
        <v>0</v>
      </c>
    </row>
    <row r="3421" spans="2:11" x14ac:dyDescent="0.25">
      <c r="B3421" t="s">
        <v>6</v>
      </c>
      <c r="C3421" t="s">
        <v>8</v>
      </c>
      <c r="D3421">
        <v>703410</v>
      </c>
      <c r="E3421" t="s">
        <v>228</v>
      </c>
      <c r="F3421" t="s">
        <v>21</v>
      </c>
      <c r="G3421" t="s">
        <v>22</v>
      </c>
      <c r="H3421" t="s">
        <v>23</v>
      </c>
      <c r="J3421">
        <v>0</v>
      </c>
      <c r="K3421">
        <v>0</v>
      </c>
    </row>
    <row r="3422" spans="2:11" x14ac:dyDescent="0.25">
      <c r="B3422" t="s">
        <v>6</v>
      </c>
      <c r="C3422" t="s">
        <v>8</v>
      </c>
      <c r="D3422">
        <v>703411</v>
      </c>
      <c r="E3422" t="s">
        <v>229</v>
      </c>
      <c r="F3422" t="s">
        <v>21</v>
      </c>
      <c r="G3422" t="s">
        <v>22</v>
      </c>
      <c r="H3422" t="s">
        <v>23</v>
      </c>
      <c r="J3422">
        <v>0</v>
      </c>
      <c r="K3422">
        <v>0</v>
      </c>
    </row>
    <row r="3423" spans="2:11" x14ac:dyDescent="0.25">
      <c r="B3423" t="s">
        <v>6</v>
      </c>
      <c r="C3423" t="s">
        <v>8</v>
      </c>
      <c r="D3423">
        <v>703412</v>
      </c>
      <c r="E3423" t="s">
        <v>230</v>
      </c>
      <c r="F3423" t="s">
        <v>21</v>
      </c>
      <c r="G3423" t="s">
        <v>22</v>
      </c>
      <c r="H3423" t="s">
        <v>23</v>
      </c>
      <c r="J3423">
        <v>0</v>
      </c>
      <c r="K3423">
        <v>0</v>
      </c>
    </row>
    <row r="3424" spans="2:11" x14ac:dyDescent="0.25">
      <c r="B3424" t="s">
        <v>6</v>
      </c>
      <c r="C3424" t="s">
        <v>8</v>
      </c>
      <c r="D3424">
        <v>703420</v>
      </c>
      <c r="E3424" t="s">
        <v>231</v>
      </c>
      <c r="F3424" t="s">
        <v>21</v>
      </c>
      <c r="G3424" t="s">
        <v>71</v>
      </c>
      <c r="H3424" t="s">
        <v>171</v>
      </c>
      <c r="J3424">
        <v>0</v>
      </c>
      <c r="K3424">
        <v>0</v>
      </c>
    </row>
    <row r="3425" spans="2:11" x14ac:dyDescent="0.25">
      <c r="B3425" t="s">
        <v>6</v>
      </c>
      <c r="C3425" t="s">
        <v>8</v>
      </c>
      <c r="D3425">
        <v>703421</v>
      </c>
      <c r="E3425" t="s">
        <v>232</v>
      </c>
      <c r="F3425" t="s">
        <v>21</v>
      </c>
      <c r="G3425" t="s">
        <v>22</v>
      </c>
      <c r="H3425" t="s">
        <v>23</v>
      </c>
      <c r="J3425">
        <v>0</v>
      </c>
      <c r="K3425">
        <v>0</v>
      </c>
    </row>
    <row r="3426" spans="2:11" x14ac:dyDescent="0.25">
      <c r="B3426" t="s">
        <v>6</v>
      </c>
      <c r="C3426" t="s">
        <v>8</v>
      </c>
      <c r="D3426">
        <v>703422</v>
      </c>
      <c r="E3426" t="s">
        <v>233</v>
      </c>
      <c r="F3426" t="s">
        <v>21</v>
      </c>
      <c r="G3426" t="s">
        <v>76</v>
      </c>
      <c r="H3426" t="s">
        <v>77</v>
      </c>
      <c r="J3426">
        <v>0</v>
      </c>
      <c r="K3426">
        <v>0</v>
      </c>
    </row>
    <row r="3427" spans="2:11" x14ac:dyDescent="0.25">
      <c r="B3427" t="s">
        <v>6</v>
      </c>
      <c r="C3427" t="s">
        <v>8</v>
      </c>
      <c r="D3427">
        <v>703423</v>
      </c>
      <c r="E3427" t="s">
        <v>234</v>
      </c>
      <c r="F3427" t="s">
        <v>21</v>
      </c>
      <c r="G3427" t="s">
        <v>71</v>
      </c>
      <c r="H3427" t="s">
        <v>88</v>
      </c>
      <c r="J3427">
        <v>0</v>
      </c>
      <c r="K3427">
        <v>0</v>
      </c>
    </row>
    <row r="3428" spans="2:11" x14ac:dyDescent="0.25">
      <c r="B3428" t="s">
        <v>6</v>
      </c>
      <c r="C3428" t="s">
        <v>8</v>
      </c>
      <c r="D3428">
        <v>703424</v>
      </c>
      <c r="E3428" t="s">
        <v>235</v>
      </c>
      <c r="F3428" t="s">
        <v>21</v>
      </c>
      <c r="G3428" t="s">
        <v>71</v>
      </c>
      <c r="H3428" t="s">
        <v>88</v>
      </c>
      <c r="J3428">
        <v>0</v>
      </c>
      <c r="K3428">
        <v>0</v>
      </c>
    </row>
    <row r="3429" spans="2:11" x14ac:dyDescent="0.25">
      <c r="B3429" t="s">
        <v>6</v>
      </c>
      <c r="C3429" t="s">
        <v>8</v>
      </c>
      <c r="D3429">
        <v>703425</v>
      </c>
      <c r="E3429" t="s">
        <v>236</v>
      </c>
      <c r="F3429" t="s">
        <v>21</v>
      </c>
      <c r="G3429" t="s">
        <v>76</v>
      </c>
      <c r="H3429" t="s">
        <v>77</v>
      </c>
      <c r="J3429">
        <v>0</v>
      </c>
      <c r="K3429">
        <v>0</v>
      </c>
    </row>
    <row r="3430" spans="2:11" x14ac:dyDescent="0.25">
      <c r="B3430" t="s">
        <v>6</v>
      </c>
      <c r="C3430" t="s">
        <v>8</v>
      </c>
      <c r="D3430">
        <v>703426</v>
      </c>
      <c r="E3430" t="s">
        <v>237</v>
      </c>
      <c r="F3430" t="s">
        <v>21</v>
      </c>
      <c r="G3430" t="s">
        <v>22</v>
      </c>
      <c r="H3430" t="s">
        <v>23</v>
      </c>
      <c r="J3430">
        <v>0</v>
      </c>
      <c r="K3430">
        <v>0</v>
      </c>
    </row>
    <row r="3431" spans="2:11" x14ac:dyDescent="0.25">
      <c r="B3431" t="s">
        <v>6</v>
      </c>
      <c r="C3431" t="s">
        <v>8</v>
      </c>
      <c r="D3431">
        <v>703427</v>
      </c>
      <c r="E3431" t="s">
        <v>238</v>
      </c>
      <c r="F3431" t="s">
        <v>21</v>
      </c>
      <c r="G3431" t="s">
        <v>76</v>
      </c>
      <c r="H3431" t="s">
        <v>77</v>
      </c>
      <c r="J3431">
        <v>0</v>
      </c>
      <c r="K3431">
        <v>0</v>
      </c>
    </row>
    <row r="3432" spans="2:11" x14ac:dyDescent="0.25">
      <c r="B3432" t="s">
        <v>6</v>
      </c>
      <c r="C3432" t="s">
        <v>8</v>
      </c>
      <c r="D3432">
        <v>703428</v>
      </c>
      <c r="E3432" t="s">
        <v>239</v>
      </c>
      <c r="F3432" t="s">
        <v>21</v>
      </c>
      <c r="G3432" t="s">
        <v>76</v>
      </c>
      <c r="H3432" t="s">
        <v>77</v>
      </c>
      <c r="J3432">
        <v>0</v>
      </c>
      <c r="K3432">
        <v>0</v>
      </c>
    </row>
    <row r="3433" spans="2:11" x14ac:dyDescent="0.25">
      <c r="B3433" t="s">
        <v>6</v>
      </c>
      <c r="C3433" t="s">
        <v>8</v>
      </c>
      <c r="D3433">
        <v>703429</v>
      </c>
      <c r="E3433" t="s">
        <v>240</v>
      </c>
      <c r="F3433" t="s">
        <v>21</v>
      </c>
      <c r="G3433" t="s">
        <v>76</v>
      </c>
      <c r="H3433" t="s">
        <v>77</v>
      </c>
      <c r="J3433">
        <v>0</v>
      </c>
      <c r="K3433">
        <v>0</v>
      </c>
    </row>
    <row r="3434" spans="2:11" x14ac:dyDescent="0.25">
      <c r="B3434" t="s">
        <v>6</v>
      </c>
      <c r="C3434" t="s">
        <v>8</v>
      </c>
      <c r="D3434">
        <v>703430</v>
      </c>
      <c r="E3434" t="s">
        <v>20</v>
      </c>
      <c r="F3434" t="s">
        <v>21</v>
      </c>
      <c r="G3434" t="s">
        <v>22</v>
      </c>
      <c r="H3434" t="s">
        <v>23</v>
      </c>
      <c r="J3434">
        <v>0</v>
      </c>
      <c r="K3434">
        <v>0</v>
      </c>
    </row>
    <row r="3435" spans="2:11" x14ac:dyDescent="0.25">
      <c r="B3435" t="s">
        <v>6</v>
      </c>
      <c r="C3435" t="s">
        <v>8</v>
      </c>
      <c r="D3435">
        <v>703431</v>
      </c>
      <c r="E3435" t="s">
        <v>241</v>
      </c>
      <c r="F3435" t="s">
        <v>21</v>
      </c>
      <c r="G3435" t="s">
        <v>22</v>
      </c>
      <c r="H3435" t="s">
        <v>23</v>
      </c>
      <c r="J3435">
        <v>0</v>
      </c>
      <c r="K3435">
        <v>0</v>
      </c>
    </row>
    <row r="3436" spans="2:11" x14ac:dyDescent="0.25">
      <c r="B3436" t="s">
        <v>6</v>
      </c>
      <c r="C3436" t="s">
        <v>8</v>
      </c>
      <c r="D3436">
        <v>703432</v>
      </c>
      <c r="E3436" t="s">
        <v>242</v>
      </c>
      <c r="F3436" t="s">
        <v>21</v>
      </c>
      <c r="G3436" t="s">
        <v>22</v>
      </c>
      <c r="H3436" t="s">
        <v>23</v>
      </c>
      <c r="J3436">
        <v>0</v>
      </c>
      <c r="K3436">
        <v>0</v>
      </c>
    </row>
    <row r="3437" spans="2:11" x14ac:dyDescent="0.25">
      <c r="B3437" t="s">
        <v>6</v>
      </c>
      <c r="C3437" t="s">
        <v>8</v>
      </c>
      <c r="D3437">
        <v>703433</v>
      </c>
      <c r="E3437" t="s">
        <v>243</v>
      </c>
      <c r="F3437" t="s">
        <v>21</v>
      </c>
      <c r="G3437" t="s">
        <v>71</v>
      </c>
      <c r="H3437" t="s">
        <v>88</v>
      </c>
      <c r="J3437">
        <v>0</v>
      </c>
      <c r="K3437">
        <v>0</v>
      </c>
    </row>
    <row r="3438" spans="2:11" x14ac:dyDescent="0.25">
      <c r="B3438" t="s">
        <v>6</v>
      </c>
      <c r="C3438" t="s">
        <v>8</v>
      </c>
      <c r="D3438">
        <v>703434</v>
      </c>
      <c r="E3438" t="s">
        <v>244</v>
      </c>
      <c r="F3438" t="s">
        <v>21</v>
      </c>
      <c r="G3438" t="s">
        <v>22</v>
      </c>
      <c r="H3438" t="s">
        <v>23</v>
      </c>
      <c r="J3438">
        <v>0</v>
      </c>
      <c r="K3438">
        <v>0</v>
      </c>
    </row>
    <row r="3439" spans="2:11" x14ac:dyDescent="0.25">
      <c r="B3439" t="s">
        <v>6</v>
      </c>
      <c r="C3439" t="s">
        <v>8</v>
      </c>
      <c r="D3439">
        <v>703435</v>
      </c>
      <c r="E3439" t="s">
        <v>245</v>
      </c>
      <c r="F3439" t="s">
        <v>21</v>
      </c>
      <c r="G3439" t="s">
        <v>71</v>
      </c>
      <c r="H3439" t="s">
        <v>88</v>
      </c>
      <c r="J3439">
        <v>0</v>
      </c>
      <c r="K3439">
        <v>0</v>
      </c>
    </row>
    <row r="3440" spans="2:11" x14ac:dyDescent="0.25">
      <c r="B3440" t="s">
        <v>6</v>
      </c>
      <c r="C3440" t="s">
        <v>8</v>
      </c>
      <c r="D3440">
        <v>703436</v>
      </c>
      <c r="E3440" t="s">
        <v>246</v>
      </c>
      <c r="F3440" t="s">
        <v>21</v>
      </c>
      <c r="G3440" t="s">
        <v>71</v>
      </c>
      <c r="H3440" t="s">
        <v>88</v>
      </c>
      <c r="J3440">
        <v>0</v>
      </c>
      <c r="K3440">
        <v>0</v>
      </c>
    </row>
    <row r="3441" spans="2:11" x14ac:dyDescent="0.25">
      <c r="B3441" t="s">
        <v>6</v>
      </c>
      <c r="C3441" t="s">
        <v>8</v>
      </c>
      <c r="D3441">
        <v>703437</v>
      </c>
      <c r="E3441" t="s">
        <v>247</v>
      </c>
      <c r="F3441" t="s">
        <v>21</v>
      </c>
      <c r="G3441" t="s">
        <v>71</v>
      </c>
      <c r="H3441" t="s">
        <v>88</v>
      </c>
      <c r="J3441">
        <v>0</v>
      </c>
      <c r="K3441">
        <v>0</v>
      </c>
    </row>
    <row r="3442" spans="2:11" x14ac:dyDescent="0.25">
      <c r="B3442" t="s">
        <v>6</v>
      </c>
      <c r="C3442" t="s">
        <v>8</v>
      </c>
      <c r="D3442">
        <v>703438</v>
      </c>
      <c r="E3442" t="s">
        <v>248</v>
      </c>
      <c r="F3442" t="s">
        <v>21</v>
      </c>
      <c r="G3442" t="s">
        <v>71</v>
      </c>
      <c r="H3442" t="s">
        <v>88</v>
      </c>
      <c r="J3442">
        <v>0</v>
      </c>
      <c r="K3442">
        <v>0</v>
      </c>
    </row>
    <row r="3443" spans="2:11" x14ac:dyDescent="0.25">
      <c r="B3443" t="s">
        <v>6</v>
      </c>
      <c r="C3443" t="s">
        <v>8</v>
      </c>
      <c r="D3443">
        <v>703439</v>
      </c>
      <c r="E3443" t="s">
        <v>249</v>
      </c>
      <c r="F3443" t="s">
        <v>21</v>
      </c>
      <c r="G3443" t="s">
        <v>22</v>
      </c>
      <c r="H3443" t="s">
        <v>23</v>
      </c>
      <c r="J3443">
        <v>0</v>
      </c>
      <c r="K3443">
        <v>0</v>
      </c>
    </row>
    <row r="3444" spans="2:11" x14ac:dyDescent="0.25">
      <c r="B3444" t="s">
        <v>6</v>
      </c>
      <c r="C3444" t="s">
        <v>8</v>
      </c>
      <c r="D3444">
        <v>703440</v>
      </c>
      <c r="E3444" t="s">
        <v>250</v>
      </c>
      <c r="F3444" t="s">
        <v>21</v>
      </c>
      <c r="G3444" t="s">
        <v>61</v>
      </c>
      <c r="H3444" t="s">
        <v>68</v>
      </c>
      <c r="J3444">
        <v>0</v>
      </c>
      <c r="K3444">
        <v>0</v>
      </c>
    </row>
    <row r="3445" spans="2:11" x14ac:dyDescent="0.25">
      <c r="B3445" t="s">
        <v>6</v>
      </c>
      <c r="C3445" t="s">
        <v>8</v>
      </c>
      <c r="D3445">
        <v>703441</v>
      </c>
      <c r="E3445" t="s">
        <v>251</v>
      </c>
      <c r="F3445" t="s">
        <v>21</v>
      </c>
      <c r="G3445" t="s">
        <v>61</v>
      </c>
      <c r="H3445" t="s">
        <v>79</v>
      </c>
      <c r="J3445">
        <v>0</v>
      </c>
      <c r="K3445">
        <v>0</v>
      </c>
    </row>
    <row r="3446" spans="2:11" x14ac:dyDescent="0.25">
      <c r="B3446" t="s">
        <v>6</v>
      </c>
      <c r="C3446" t="s">
        <v>8</v>
      </c>
      <c r="D3446">
        <v>703442</v>
      </c>
      <c r="E3446" t="s">
        <v>252</v>
      </c>
      <c r="F3446" t="s">
        <v>21</v>
      </c>
      <c r="G3446" t="s">
        <v>76</v>
      </c>
      <c r="H3446" t="s">
        <v>77</v>
      </c>
      <c r="J3446">
        <v>0</v>
      </c>
      <c r="K3446">
        <v>0</v>
      </c>
    </row>
    <row r="3447" spans="2:11" x14ac:dyDescent="0.25">
      <c r="B3447" t="s">
        <v>6</v>
      </c>
      <c r="C3447" t="s">
        <v>8</v>
      </c>
      <c r="D3447">
        <v>703443</v>
      </c>
      <c r="E3447" t="s">
        <v>253</v>
      </c>
      <c r="F3447" t="s">
        <v>21</v>
      </c>
      <c r="G3447" t="s">
        <v>71</v>
      </c>
      <c r="H3447" t="s">
        <v>88</v>
      </c>
      <c r="J3447">
        <v>0</v>
      </c>
      <c r="K3447">
        <v>0</v>
      </c>
    </row>
    <row r="3448" spans="2:11" x14ac:dyDescent="0.25">
      <c r="B3448" t="s">
        <v>6</v>
      </c>
      <c r="C3448" t="s">
        <v>8</v>
      </c>
      <c r="D3448">
        <v>703444</v>
      </c>
      <c r="E3448" t="s">
        <v>254</v>
      </c>
      <c r="F3448" t="s">
        <v>21</v>
      </c>
      <c r="G3448" t="s">
        <v>22</v>
      </c>
      <c r="H3448" t="s">
        <v>23</v>
      </c>
      <c r="J3448">
        <v>0</v>
      </c>
      <c r="K3448">
        <v>0</v>
      </c>
    </row>
    <row r="3449" spans="2:11" x14ac:dyDescent="0.25">
      <c r="B3449" t="s">
        <v>6</v>
      </c>
      <c r="C3449" t="s">
        <v>8</v>
      </c>
      <c r="D3449">
        <v>703445</v>
      </c>
      <c r="E3449" t="s">
        <v>255</v>
      </c>
      <c r="F3449" t="s">
        <v>21</v>
      </c>
      <c r="G3449" t="s">
        <v>22</v>
      </c>
      <c r="H3449" t="s">
        <v>23</v>
      </c>
      <c r="J3449">
        <v>0</v>
      </c>
      <c r="K3449">
        <v>0</v>
      </c>
    </row>
    <row r="3450" spans="2:11" x14ac:dyDescent="0.25">
      <c r="B3450" t="s">
        <v>6</v>
      </c>
      <c r="C3450" t="s">
        <v>8</v>
      </c>
      <c r="D3450">
        <v>703446</v>
      </c>
      <c r="E3450" t="s">
        <v>256</v>
      </c>
      <c r="F3450" t="s">
        <v>21</v>
      </c>
      <c r="G3450" t="s">
        <v>22</v>
      </c>
      <c r="H3450" t="s">
        <v>23</v>
      </c>
      <c r="J3450">
        <v>0</v>
      </c>
      <c r="K3450">
        <v>0</v>
      </c>
    </row>
    <row r="3451" spans="2:11" x14ac:dyDescent="0.25">
      <c r="B3451" t="s">
        <v>6</v>
      </c>
      <c r="C3451" t="s">
        <v>8</v>
      </c>
      <c r="D3451">
        <v>703447</v>
      </c>
      <c r="E3451" t="s">
        <v>257</v>
      </c>
      <c r="F3451" t="s">
        <v>21</v>
      </c>
      <c r="G3451" t="s">
        <v>22</v>
      </c>
      <c r="H3451" t="s">
        <v>23</v>
      </c>
      <c r="J3451">
        <v>0</v>
      </c>
      <c r="K3451">
        <v>0</v>
      </c>
    </row>
    <row r="3452" spans="2:11" x14ac:dyDescent="0.25">
      <c r="B3452" t="s">
        <v>6</v>
      </c>
      <c r="C3452" t="s">
        <v>8</v>
      </c>
      <c r="D3452">
        <v>703448</v>
      </c>
      <c r="E3452" t="s">
        <v>258</v>
      </c>
      <c r="F3452" t="s">
        <v>21</v>
      </c>
      <c r="G3452" t="s">
        <v>22</v>
      </c>
      <c r="H3452" t="s">
        <v>23</v>
      </c>
      <c r="J3452">
        <v>0</v>
      </c>
      <c r="K3452">
        <v>0</v>
      </c>
    </row>
    <row r="3453" spans="2:11" x14ac:dyDescent="0.25">
      <c r="B3453" t="s">
        <v>6</v>
      </c>
      <c r="C3453" t="s">
        <v>8</v>
      </c>
      <c r="D3453">
        <v>703449</v>
      </c>
      <c r="E3453" t="s">
        <v>259</v>
      </c>
      <c r="F3453" t="s">
        <v>21</v>
      </c>
      <c r="G3453" t="s">
        <v>22</v>
      </c>
      <c r="H3453" t="s">
        <v>23</v>
      </c>
      <c r="J3453">
        <v>0</v>
      </c>
      <c r="K3453">
        <v>0</v>
      </c>
    </row>
    <row r="3454" spans="2:11" x14ac:dyDescent="0.25">
      <c r="B3454" t="s">
        <v>6</v>
      </c>
      <c r="C3454" t="s">
        <v>8</v>
      </c>
      <c r="D3454">
        <v>703450</v>
      </c>
      <c r="E3454" t="s">
        <v>260</v>
      </c>
      <c r="F3454" t="s">
        <v>21</v>
      </c>
      <c r="G3454" t="s">
        <v>71</v>
      </c>
      <c r="H3454" t="s">
        <v>88</v>
      </c>
      <c r="J3454">
        <v>0</v>
      </c>
      <c r="K3454">
        <v>0</v>
      </c>
    </row>
    <row r="3455" spans="2:11" x14ac:dyDescent="0.25">
      <c r="B3455" t="s">
        <v>6</v>
      </c>
      <c r="C3455" t="s">
        <v>8</v>
      </c>
      <c r="D3455">
        <v>703510</v>
      </c>
      <c r="E3455" t="s">
        <v>261</v>
      </c>
      <c r="F3455" t="s">
        <v>21</v>
      </c>
      <c r="G3455" t="s">
        <v>22</v>
      </c>
      <c r="H3455" t="s">
        <v>23</v>
      </c>
      <c r="J3455">
        <v>0</v>
      </c>
      <c r="K3455">
        <v>0</v>
      </c>
    </row>
    <row r="3456" spans="2:11" x14ac:dyDescent="0.25">
      <c r="B3456" t="s">
        <v>6</v>
      </c>
      <c r="C3456" t="s">
        <v>8</v>
      </c>
      <c r="D3456">
        <v>703511</v>
      </c>
      <c r="E3456" t="s">
        <v>262</v>
      </c>
      <c r="F3456" t="s">
        <v>21</v>
      </c>
      <c r="G3456" t="s">
        <v>22</v>
      </c>
      <c r="H3456" t="s">
        <v>23</v>
      </c>
      <c r="J3456">
        <v>0</v>
      </c>
      <c r="K3456">
        <v>0</v>
      </c>
    </row>
    <row r="3457" spans="2:11" x14ac:dyDescent="0.25">
      <c r="B3457" t="s">
        <v>6</v>
      </c>
      <c r="C3457" t="s">
        <v>8</v>
      </c>
      <c r="D3457">
        <v>703512</v>
      </c>
      <c r="E3457" t="s">
        <v>263</v>
      </c>
      <c r="F3457" t="s">
        <v>21</v>
      </c>
      <c r="G3457" t="s">
        <v>22</v>
      </c>
      <c r="H3457" t="s">
        <v>23</v>
      </c>
      <c r="J3457">
        <v>0</v>
      </c>
      <c r="K3457">
        <v>0</v>
      </c>
    </row>
    <row r="3458" spans="2:11" x14ac:dyDescent="0.25">
      <c r="B3458" t="s">
        <v>6</v>
      </c>
      <c r="C3458" t="s">
        <v>8</v>
      </c>
      <c r="D3458">
        <v>703513</v>
      </c>
      <c r="E3458" t="s">
        <v>264</v>
      </c>
      <c r="F3458" t="s">
        <v>21</v>
      </c>
      <c r="G3458" t="s">
        <v>22</v>
      </c>
      <c r="H3458" t="s">
        <v>23</v>
      </c>
      <c r="J3458">
        <v>0</v>
      </c>
      <c r="K3458">
        <v>0</v>
      </c>
    </row>
    <row r="3459" spans="2:11" x14ac:dyDescent="0.25">
      <c r="B3459" t="s">
        <v>6</v>
      </c>
      <c r="C3459" t="s">
        <v>8</v>
      </c>
      <c r="D3459">
        <v>703514</v>
      </c>
      <c r="E3459" t="s">
        <v>265</v>
      </c>
      <c r="F3459" t="s">
        <v>21</v>
      </c>
      <c r="G3459" t="s">
        <v>22</v>
      </c>
      <c r="H3459" t="s">
        <v>23</v>
      </c>
      <c r="J3459">
        <v>0</v>
      </c>
      <c r="K3459">
        <v>0</v>
      </c>
    </row>
    <row r="3460" spans="2:11" x14ac:dyDescent="0.25">
      <c r="B3460" t="s">
        <v>6</v>
      </c>
      <c r="C3460" t="s">
        <v>8</v>
      </c>
      <c r="D3460">
        <v>703515</v>
      </c>
      <c r="E3460" t="s">
        <v>266</v>
      </c>
      <c r="F3460" t="s">
        <v>21</v>
      </c>
      <c r="G3460" t="s">
        <v>22</v>
      </c>
      <c r="H3460" t="s">
        <v>23</v>
      </c>
      <c r="J3460">
        <v>0</v>
      </c>
      <c r="K3460">
        <v>0</v>
      </c>
    </row>
    <row r="3461" spans="2:11" x14ac:dyDescent="0.25">
      <c r="B3461" t="s">
        <v>6</v>
      </c>
      <c r="C3461" t="s">
        <v>8</v>
      </c>
      <c r="D3461">
        <v>703520</v>
      </c>
      <c r="E3461" t="s">
        <v>267</v>
      </c>
      <c r="F3461" t="s">
        <v>21</v>
      </c>
      <c r="G3461" t="s">
        <v>22</v>
      </c>
      <c r="H3461" t="s">
        <v>23</v>
      </c>
      <c r="J3461">
        <v>0</v>
      </c>
      <c r="K3461">
        <v>0</v>
      </c>
    </row>
    <row r="3462" spans="2:11" x14ac:dyDescent="0.25">
      <c r="B3462" t="s">
        <v>6</v>
      </c>
      <c r="C3462" t="s">
        <v>8</v>
      </c>
      <c r="D3462">
        <v>703530</v>
      </c>
      <c r="E3462" t="s">
        <v>268</v>
      </c>
      <c r="F3462" t="s">
        <v>21</v>
      </c>
      <c r="G3462" t="s">
        <v>22</v>
      </c>
      <c r="H3462" t="s">
        <v>23</v>
      </c>
      <c r="J3462">
        <v>0</v>
      </c>
      <c r="K3462">
        <v>0</v>
      </c>
    </row>
    <row r="3463" spans="2:11" x14ac:dyDescent="0.25">
      <c r="B3463" t="s">
        <v>6</v>
      </c>
      <c r="C3463" t="s">
        <v>8</v>
      </c>
      <c r="D3463">
        <v>703540</v>
      </c>
      <c r="E3463" t="s">
        <v>269</v>
      </c>
      <c r="F3463" t="s">
        <v>21</v>
      </c>
      <c r="G3463" t="s">
        <v>22</v>
      </c>
      <c r="H3463" t="s">
        <v>23</v>
      </c>
      <c r="J3463">
        <v>0</v>
      </c>
      <c r="K3463">
        <v>0</v>
      </c>
    </row>
    <row r="3464" spans="2:11" x14ac:dyDescent="0.25">
      <c r="B3464" t="s">
        <v>6</v>
      </c>
      <c r="C3464" t="s">
        <v>8</v>
      </c>
      <c r="D3464">
        <v>703550</v>
      </c>
      <c r="E3464" t="s">
        <v>270</v>
      </c>
      <c r="F3464" t="s">
        <v>21</v>
      </c>
      <c r="G3464" t="s">
        <v>22</v>
      </c>
      <c r="H3464" t="s">
        <v>23</v>
      </c>
      <c r="J3464">
        <v>0</v>
      </c>
      <c r="K3464">
        <v>0</v>
      </c>
    </row>
    <row r="3465" spans="2:11" x14ac:dyDescent="0.25">
      <c r="B3465" t="s">
        <v>6</v>
      </c>
      <c r="C3465" t="s">
        <v>8</v>
      </c>
      <c r="D3465">
        <v>703560</v>
      </c>
      <c r="E3465" t="s">
        <v>271</v>
      </c>
      <c r="F3465" t="s">
        <v>21</v>
      </c>
      <c r="G3465" t="s">
        <v>22</v>
      </c>
      <c r="H3465" t="s">
        <v>23</v>
      </c>
      <c r="J3465">
        <v>0</v>
      </c>
      <c r="K3465">
        <v>0</v>
      </c>
    </row>
    <row r="3466" spans="2:11" x14ac:dyDescent="0.25">
      <c r="B3466" t="s">
        <v>6</v>
      </c>
      <c r="C3466" t="s">
        <v>8</v>
      </c>
      <c r="D3466">
        <v>703570</v>
      </c>
      <c r="E3466" t="s">
        <v>272</v>
      </c>
      <c r="F3466" t="s">
        <v>21</v>
      </c>
      <c r="G3466" t="s">
        <v>22</v>
      </c>
      <c r="H3466" t="s">
        <v>23</v>
      </c>
      <c r="J3466">
        <v>0</v>
      </c>
      <c r="K3466">
        <v>0</v>
      </c>
    </row>
    <row r="3467" spans="2:11" x14ac:dyDescent="0.25">
      <c r="B3467" t="s">
        <v>6</v>
      </c>
      <c r="C3467" t="s">
        <v>8</v>
      </c>
      <c r="D3467">
        <v>703571</v>
      </c>
      <c r="E3467" t="s">
        <v>273</v>
      </c>
      <c r="F3467" t="s">
        <v>21</v>
      </c>
      <c r="G3467" t="s">
        <v>22</v>
      </c>
      <c r="H3467" t="s">
        <v>23</v>
      </c>
      <c r="J3467">
        <v>0</v>
      </c>
    </row>
    <row r="3468" spans="2:11" x14ac:dyDescent="0.25">
      <c r="B3468" t="s">
        <v>6</v>
      </c>
      <c r="C3468" t="s">
        <v>8</v>
      </c>
      <c r="D3468">
        <v>703572</v>
      </c>
      <c r="E3468" t="s">
        <v>274</v>
      </c>
      <c r="F3468" t="s">
        <v>21</v>
      </c>
      <c r="G3468" t="s">
        <v>22</v>
      </c>
      <c r="H3468" t="s">
        <v>23</v>
      </c>
      <c r="J3468">
        <v>0</v>
      </c>
    </row>
    <row r="3469" spans="2:11" x14ac:dyDescent="0.25">
      <c r="B3469" t="s">
        <v>6</v>
      </c>
      <c r="C3469" t="s">
        <v>8</v>
      </c>
      <c r="D3469">
        <v>703573</v>
      </c>
      <c r="E3469" t="s">
        <v>275</v>
      </c>
      <c r="F3469" t="s">
        <v>21</v>
      </c>
      <c r="G3469" t="s">
        <v>22</v>
      </c>
      <c r="H3469" t="s">
        <v>23</v>
      </c>
      <c r="J3469">
        <v>0</v>
      </c>
    </row>
    <row r="3470" spans="2:11" x14ac:dyDescent="0.25">
      <c r="B3470" t="s">
        <v>6</v>
      </c>
      <c r="C3470" t="s">
        <v>8</v>
      </c>
      <c r="D3470">
        <v>703574</v>
      </c>
      <c r="E3470" t="s">
        <v>276</v>
      </c>
      <c r="F3470" t="s">
        <v>21</v>
      </c>
      <c r="G3470" t="s">
        <v>22</v>
      </c>
      <c r="H3470" t="s">
        <v>23</v>
      </c>
      <c r="J3470">
        <v>0</v>
      </c>
    </row>
    <row r="3471" spans="2:11" x14ac:dyDescent="0.25">
      <c r="B3471" t="s">
        <v>6</v>
      </c>
      <c r="C3471" t="s">
        <v>8</v>
      </c>
      <c r="D3471">
        <v>703580</v>
      </c>
      <c r="E3471" t="s">
        <v>277</v>
      </c>
      <c r="F3471" t="s">
        <v>21</v>
      </c>
      <c r="G3471" t="s">
        <v>22</v>
      </c>
      <c r="H3471" t="s">
        <v>23</v>
      </c>
      <c r="J3471">
        <v>0</v>
      </c>
      <c r="K3471">
        <v>0</v>
      </c>
    </row>
    <row r="3472" spans="2:11" x14ac:dyDescent="0.25">
      <c r="B3472" t="s">
        <v>6</v>
      </c>
      <c r="C3472" t="s">
        <v>8</v>
      </c>
      <c r="D3472">
        <v>703590</v>
      </c>
      <c r="E3472" t="s">
        <v>278</v>
      </c>
      <c r="F3472" t="s">
        <v>21</v>
      </c>
      <c r="G3472" t="s">
        <v>22</v>
      </c>
      <c r="H3472" t="s">
        <v>23</v>
      </c>
      <c r="J3472">
        <v>0</v>
      </c>
      <c r="K3472">
        <v>0</v>
      </c>
    </row>
    <row r="3473" spans="2:11" x14ac:dyDescent="0.25">
      <c r="B3473" t="s">
        <v>6</v>
      </c>
      <c r="C3473" t="s">
        <v>8</v>
      </c>
      <c r="D3473">
        <v>703650</v>
      </c>
      <c r="E3473" t="s">
        <v>279</v>
      </c>
      <c r="F3473" t="s">
        <v>21</v>
      </c>
      <c r="G3473" t="s">
        <v>22</v>
      </c>
      <c r="H3473" t="s">
        <v>23</v>
      </c>
      <c r="J3473">
        <v>0</v>
      </c>
      <c r="K3473">
        <v>0</v>
      </c>
    </row>
    <row r="3474" spans="2:11" x14ac:dyDescent="0.25">
      <c r="B3474" t="s">
        <v>6</v>
      </c>
      <c r="C3474" t="s">
        <v>8</v>
      </c>
      <c r="D3474">
        <v>703651</v>
      </c>
      <c r="E3474" t="s">
        <v>280</v>
      </c>
      <c r="F3474" t="s">
        <v>21</v>
      </c>
      <c r="G3474" t="s">
        <v>22</v>
      </c>
      <c r="H3474" t="s">
        <v>23</v>
      </c>
      <c r="J3474">
        <v>0</v>
      </c>
      <c r="K3474">
        <v>0</v>
      </c>
    </row>
    <row r="3475" spans="2:11" x14ac:dyDescent="0.25">
      <c r="B3475" t="s">
        <v>6</v>
      </c>
      <c r="C3475" t="s">
        <v>8</v>
      </c>
      <c r="D3475">
        <v>703850</v>
      </c>
      <c r="E3475" t="s">
        <v>281</v>
      </c>
      <c r="F3475" t="s">
        <v>21</v>
      </c>
      <c r="G3475" t="s">
        <v>22</v>
      </c>
      <c r="H3475" t="s">
        <v>23</v>
      </c>
      <c r="J3475">
        <v>0</v>
      </c>
      <c r="K3475">
        <v>0</v>
      </c>
    </row>
    <row r="3476" spans="2:11" x14ac:dyDescent="0.25">
      <c r="B3476" t="s">
        <v>6</v>
      </c>
      <c r="C3476" t="s">
        <v>8</v>
      </c>
      <c r="D3476">
        <v>703851</v>
      </c>
      <c r="E3476" t="s">
        <v>282</v>
      </c>
      <c r="F3476" t="s">
        <v>21</v>
      </c>
      <c r="G3476" t="s">
        <v>22</v>
      </c>
      <c r="H3476" t="s">
        <v>23</v>
      </c>
      <c r="J3476">
        <v>0</v>
      </c>
      <c r="K3476">
        <v>0</v>
      </c>
    </row>
    <row r="3477" spans="2:11" x14ac:dyDescent="0.25">
      <c r="B3477" t="s">
        <v>6</v>
      </c>
      <c r="C3477" t="s">
        <v>8</v>
      </c>
      <c r="D3477">
        <v>703852</v>
      </c>
      <c r="E3477" t="s">
        <v>283</v>
      </c>
      <c r="F3477" t="s">
        <v>21</v>
      </c>
      <c r="G3477" t="s">
        <v>22</v>
      </c>
      <c r="H3477" t="s">
        <v>23</v>
      </c>
      <c r="J3477">
        <v>0</v>
      </c>
      <c r="K3477">
        <v>0</v>
      </c>
    </row>
    <row r="3478" spans="2:11" x14ac:dyDescent="0.25">
      <c r="B3478" t="s">
        <v>6</v>
      </c>
      <c r="C3478" t="s">
        <v>8</v>
      </c>
      <c r="D3478">
        <v>703853</v>
      </c>
      <c r="E3478" t="s">
        <v>284</v>
      </c>
      <c r="F3478" t="s">
        <v>21</v>
      </c>
      <c r="G3478" t="s">
        <v>22</v>
      </c>
      <c r="H3478" t="s">
        <v>23</v>
      </c>
      <c r="J3478">
        <v>0</v>
      </c>
      <c r="K3478">
        <v>0</v>
      </c>
    </row>
    <row r="3479" spans="2:11" x14ac:dyDescent="0.25">
      <c r="B3479" t="s">
        <v>6</v>
      </c>
      <c r="C3479" t="s">
        <v>8</v>
      </c>
      <c r="D3479">
        <v>703854</v>
      </c>
      <c r="E3479" t="s">
        <v>285</v>
      </c>
      <c r="F3479" t="s">
        <v>21</v>
      </c>
      <c r="G3479" t="s">
        <v>22</v>
      </c>
      <c r="H3479" t="s">
        <v>115</v>
      </c>
      <c r="J3479">
        <v>0</v>
      </c>
      <c r="K3479">
        <v>0</v>
      </c>
    </row>
    <row r="3480" spans="2:11" x14ac:dyDescent="0.25">
      <c r="B3480" t="s">
        <v>6</v>
      </c>
      <c r="C3480" t="s">
        <v>8</v>
      </c>
      <c r="D3480">
        <v>703855</v>
      </c>
      <c r="E3480" t="s">
        <v>286</v>
      </c>
      <c r="F3480" t="s">
        <v>21</v>
      </c>
      <c r="G3480" t="s">
        <v>22</v>
      </c>
      <c r="H3480" t="s">
        <v>23</v>
      </c>
      <c r="J3480">
        <v>0</v>
      </c>
      <c r="K3480">
        <v>0</v>
      </c>
    </row>
    <row r="3481" spans="2:11" x14ac:dyDescent="0.25">
      <c r="B3481" t="s">
        <v>6</v>
      </c>
      <c r="C3481" t="s">
        <v>8</v>
      </c>
      <c r="D3481">
        <v>703856</v>
      </c>
      <c r="E3481" t="s">
        <v>287</v>
      </c>
      <c r="F3481" t="s">
        <v>21</v>
      </c>
      <c r="G3481" t="s">
        <v>22</v>
      </c>
      <c r="H3481" t="s">
        <v>23</v>
      </c>
      <c r="J3481">
        <v>0</v>
      </c>
      <c r="K3481">
        <v>0</v>
      </c>
    </row>
    <row r="3482" spans="2:11" x14ac:dyDescent="0.25">
      <c r="B3482" t="s">
        <v>6</v>
      </c>
      <c r="C3482" t="s">
        <v>8</v>
      </c>
      <c r="D3482">
        <v>703857</v>
      </c>
      <c r="E3482" t="s">
        <v>288</v>
      </c>
      <c r="F3482" t="s">
        <v>21</v>
      </c>
      <c r="G3482" t="s">
        <v>71</v>
      </c>
      <c r="H3482" t="s">
        <v>88</v>
      </c>
      <c r="J3482">
        <v>0</v>
      </c>
      <c r="K3482">
        <v>0</v>
      </c>
    </row>
    <row r="3483" spans="2:11" x14ac:dyDescent="0.25">
      <c r="B3483" t="s">
        <v>6</v>
      </c>
      <c r="C3483" t="s">
        <v>8</v>
      </c>
      <c r="D3483">
        <v>703858</v>
      </c>
      <c r="E3483" t="s">
        <v>289</v>
      </c>
      <c r="F3483" t="s">
        <v>21</v>
      </c>
      <c r="G3483" t="s">
        <v>22</v>
      </c>
      <c r="H3483" t="s">
        <v>23</v>
      </c>
      <c r="J3483">
        <v>0</v>
      </c>
      <c r="K3483">
        <v>0</v>
      </c>
    </row>
    <row r="3484" spans="2:11" x14ac:dyDescent="0.25">
      <c r="B3484" t="s">
        <v>6</v>
      </c>
      <c r="C3484" t="s">
        <v>8</v>
      </c>
      <c r="D3484">
        <v>703859</v>
      </c>
      <c r="E3484" t="s">
        <v>290</v>
      </c>
      <c r="F3484" t="s">
        <v>21</v>
      </c>
      <c r="G3484" t="s">
        <v>22</v>
      </c>
      <c r="H3484" t="s">
        <v>23</v>
      </c>
      <c r="J3484">
        <v>0</v>
      </c>
      <c r="K3484">
        <v>0</v>
      </c>
    </row>
    <row r="3485" spans="2:11" x14ac:dyDescent="0.25">
      <c r="B3485" t="s">
        <v>6</v>
      </c>
      <c r="C3485" t="s">
        <v>8</v>
      </c>
      <c r="D3485">
        <v>703860</v>
      </c>
      <c r="E3485" t="s">
        <v>291</v>
      </c>
      <c r="F3485" t="s">
        <v>21</v>
      </c>
      <c r="G3485" t="s">
        <v>22</v>
      </c>
      <c r="H3485" t="s">
        <v>23</v>
      </c>
      <c r="J3485">
        <v>0</v>
      </c>
      <c r="K3485">
        <v>0</v>
      </c>
    </row>
    <row r="3486" spans="2:11" x14ac:dyDescent="0.25">
      <c r="B3486" t="s">
        <v>6</v>
      </c>
      <c r="C3486" t="s">
        <v>8</v>
      </c>
      <c r="D3486">
        <v>703861</v>
      </c>
      <c r="E3486" t="s">
        <v>292</v>
      </c>
      <c r="F3486" t="s">
        <v>21</v>
      </c>
      <c r="G3486" t="s">
        <v>22</v>
      </c>
      <c r="H3486" t="s">
        <v>23</v>
      </c>
      <c r="J3486">
        <v>0</v>
      </c>
      <c r="K3486">
        <v>0</v>
      </c>
    </row>
    <row r="3487" spans="2:11" x14ac:dyDescent="0.25">
      <c r="B3487" t="s">
        <v>6</v>
      </c>
      <c r="C3487" t="s">
        <v>8</v>
      </c>
      <c r="D3487">
        <v>703862</v>
      </c>
      <c r="E3487" t="s">
        <v>293</v>
      </c>
      <c r="F3487" t="s">
        <v>21</v>
      </c>
      <c r="G3487" t="s">
        <v>22</v>
      </c>
      <c r="H3487" t="s">
        <v>23</v>
      </c>
      <c r="J3487">
        <v>0</v>
      </c>
      <c r="K3487">
        <v>0</v>
      </c>
    </row>
    <row r="3488" spans="2:11" x14ac:dyDescent="0.25">
      <c r="B3488" t="s">
        <v>6</v>
      </c>
      <c r="C3488" t="s">
        <v>8</v>
      </c>
      <c r="D3488">
        <v>703870</v>
      </c>
      <c r="E3488" t="s">
        <v>294</v>
      </c>
      <c r="F3488" t="s">
        <v>21</v>
      </c>
      <c r="G3488" t="s">
        <v>22</v>
      </c>
      <c r="H3488" t="s">
        <v>23</v>
      </c>
      <c r="J3488">
        <v>0</v>
      </c>
      <c r="K3488">
        <v>0</v>
      </c>
    </row>
    <row r="3489" spans="2:11" x14ac:dyDescent="0.25">
      <c r="B3489" t="s">
        <v>6</v>
      </c>
      <c r="C3489" t="s">
        <v>8</v>
      </c>
      <c r="D3489">
        <v>703880</v>
      </c>
      <c r="E3489" t="s">
        <v>295</v>
      </c>
      <c r="F3489" t="s">
        <v>21</v>
      </c>
      <c r="G3489" t="s">
        <v>22</v>
      </c>
      <c r="H3489" t="s">
        <v>23</v>
      </c>
      <c r="J3489">
        <v>0</v>
      </c>
      <c r="K3489">
        <v>0</v>
      </c>
    </row>
    <row r="3490" spans="2:11" x14ac:dyDescent="0.25">
      <c r="B3490" t="s">
        <v>6</v>
      </c>
      <c r="C3490" t="s">
        <v>8</v>
      </c>
      <c r="D3490">
        <v>703899</v>
      </c>
      <c r="E3490" t="s">
        <v>296</v>
      </c>
      <c r="F3490" t="s">
        <v>21</v>
      </c>
      <c r="G3490" t="s">
        <v>22</v>
      </c>
      <c r="H3490" t="s">
        <v>23</v>
      </c>
      <c r="J3490">
        <v>0</v>
      </c>
      <c r="K3490">
        <v>0</v>
      </c>
    </row>
    <row r="3491" spans="2:11" x14ac:dyDescent="0.25">
      <c r="B3491" t="s">
        <v>6</v>
      </c>
      <c r="C3491" t="s">
        <v>8</v>
      </c>
      <c r="D3491">
        <v>706700</v>
      </c>
      <c r="E3491" t="s">
        <v>25</v>
      </c>
      <c r="F3491" t="s">
        <v>26</v>
      </c>
      <c r="G3491" t="s">
        <v>27</v>
      </c>
      <c r="H3491" t="s">
        <v>28</v>
      </c>
      <c r="J3491">
        <v>0</v>
      </c>
      <c r="K3491">
        <v>0</v>
      </c>
    </row>
    <row r="3492" spans="2:11" x14ac:dyDescent="0.25">
      <c r="B3492" t="s">
        <v>6</v>
      </c>
      <c r="C3492" t="s">
        <v>8</v>
      </c>
      <c r="D3492" t="s">
        <v>29</v>
      </c>
      <c r="E3492" t="s">
        <v>30</v>
      </c>
      <c r="F3492" t="s">
        <v>26</v>
      </c>
      <c r="G3492" t="s">
        <v>27</v>
      </c>
      <c r="H3492" t="s">
        <v>31</v>
      </c>
      <c r="J3492">
        <v>0</v>
      </c>
      <c r="K3492">
        <v>0</v>
      </c>
    </row>
    <row r="3493" spans="2:11" x14ac:dyDescent="0.25">
      <c r="B3493" t="s">
        <v>6</v>
      </c>
      <c r="C3493" t="s">
        <v>8</v>
      </c>
      <c r="D3493" t="s">
        <v>32</v>
      </c>
      <c r="E3493" t="s">
        <v>33</v>
      </c>
      <c r="F3493" t="s">
        <v>26</v>
      </c>
      <c r="G3493" t="s">
        <v>27</v>
      </c>
      <c r="H3493" t="s">
        <v>28</v>
      </c>
      <c r="J3493">
        <v>0</v>
      </c>
      <c r="K3493">
        <v>0</v>
      </c>
    </row>
    <row r="3494" spans="2:11" x14ac:dyDescent="0.25">
      <c r="B3494" t="s">
        <v>6</v>
      </c>
      <c r="C3494" t="s">
        <v>8</v>
      </c>
      <c r="D3494" t="s">
        <v>34</v>
      </c>
      <c r="E3494" t="s">
        <v>35</v>
      </c>
      <c r="F3494" t="s">
        <v>26</v>
      </c>
      <c r="G3494" t="s">
        <v>36</v>
      </c>
      <c r="H3494" t="s">
        <v>36</v>
      </c>
      <c r="J3494">
        <v>0</v>
      </c>
      <c r="K3494">
        <v>0</v>
      </c>
    </row>
    <row r="3495" spans="2:11" x14ac:dyDescent="0.25">
      <c r="B3495" t="s">
        <v>6</v>
      </c>
      <c r="C3495" t="s">
        <v>8</v>
      </c>
      <c r="D3495" t="s">
        <v>37</v>
      </c>
      <c r="E3495" t="s">
        <v>38</v>
      </c>
      <c r="F3495" t="s">
        <v>21</v>
      </c>
      <c r="G3495" t="s">
        <v>39</v>
      </c>
      <c r="H3495" t="s">
        <v>39</v>
      </c>
      <c r="J3495">
        <v>0</v>
      </c>
      <c r="K3495">
        <v>0</v>
      </c>
    </row>
    <row r="3496" spans="2:11" x14ac:dyDescent="0.25">
      <c r="B3496" t="s">
        <v>6</v>
      </c>
      <c r="C3496" t="s">
        <v>8</v>
      </c>
      <c r="D3496" t="s">
        <v>40</v>
      </c>
      <c r="E3496" t="s">
        <v>41</v>
      </c>
      <c r="F3496" t="s">
        <v>26</v>
      </c>
      <c r="G3496" t="s">
        <v>39</v>
      </c>
      <c r="H3496" t="s">
        <v>39</v>
      </c>
      <c r="J3496">
        <v>0</v>
      </c>
      <c r="K3496">
        <v>0</v>
      </c>
    </row>
    <row r="3497" spans="2:11" x14ac:dyDescent="0.25">
      <c r="B3497" t="s">
        <v>6</v>
      </c>
      <c r="C3497" t="s">
        <v>8</v>
      </c>
      <c r="D3497" t="s">
        <v>42</v>
      </c>
      <c r="E3497" t="s">
        <v>43</v>
      </c>
      <c r="F3497" t="s">
        <v>21</v>
      </c>
      <c r="G3497" t="s">
        <v>44</v>
      </c>
      <c r="H3497" t="s">
        <v>44</v>
      </c>
      <c r="J3497">
        <v>0</v>
      </c>
      <c r="K3497">
        <v>0</v>
      </c>
    </row>
    <row r="3498" spans="2:11" x14ac:dyDescent="0.25">
      <c r="B3498" t="s">
        <v>6</v>
      </c>
      <c r="C3498" t="s">
        <v>8</v>
      </c>
      <c r="D3498" t="s">
        <v>45</v>
      </c>
      <c r="E3498" t="s">
        <v>46</v>
      </c>
      <c r="F3498" t="s">
        <v>26</v>
      </c>
      <c r="G3498" t="s">
        <v>44</v>
      </c>
      <c r="H3498" t="s">
        <v>44</v>
      </c>
      <c r="J3498">
        <v>0</v>
      </c>
      <c r="K3498">
        <v>0</v>
      </c>
    </row>
    <row r="3499" spans="2:11" x14ac:dyDescent="0.25">
      <c r="B3499" t="s">
        <v>6</v>
      </c>
      <c r="C3499" t="s">
        <v>8</v>
      </c>
      <c r="D3499" t="s">
        <v>297</v>
      </c>
      <c r="E3499" t="s">
        <v>298</v>
      </c>
      <c r="F3499" t="s">
        <v>26</v>
      </c>
      <c r="G3499" t="s">
        <v>299</v>
      </c>
      <c r="H3499" t="s">
        <v>299</v>
      </c>
      <c r="J3499">
        <v>0</v>
      </c>
    </row>
    <row r="3500" spans="2:11" x14ac:dyDescent="0.25">
      <c r="B3500" t="s">
        <v>6</v>
      </c>
      <c r="C3500" t="s">
        <v>8</v>
      </c>
      <c r="D3500" t="s">
        <v>300</v>
      </c>
      <c r="E3500" t="s">
        <v>301</v>
      </c>
      <c r="F3500" t="s">
        <v>21</v>
      </c>
      <c r="G3500" t="s">
        <v>299</v>
      </c>
      <c r="H3500" t="s">
        <v>299</v>
      </c>
      <c r="J3500">
        <v>0</v>
      </c>
    </row>
    <row r="3501" spans="2:11" x14ac:dyDescent="0.25">
      <c r="B3501" t="s">
        <v>6</v>
      </c>
      <c r="C3501" t="s">
        <v>8</v>
      </c>
      <c r="D3501" t="s">
        <v>47</v>
      </c>
      <c r="E3501" t="s">
        <v>48</v>
      </c>
      <c r="F3501" t="s">
        <v>26</v>
      </c>
      <c r="G3501" t="s">
        <v>49</v>
      </c>
      <c r="H3501" t="s">
        <v>49</v>
      </c>
      <c r="J3501">
        <v>0</v>
      </c>
      <c r="K3501">
        <v>0</v>
      </c>
    </row>
  </sheetData>
  <autoFilter ref="B10:K3501" xr:uid="{07193C9C-78B7-4C7A-B73D-02437F59103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7655-DA7E-4A90-A02C-6B7AEBAD1D99}">
  <sheetPr codeName="Sheet4"/>
  <dimension ref="A1:J4"/>
  <sheetViews>
    <sheetView topLeftCell="D1" workbookViewId="0">
      <selection activeCell="F9" sqref="F9"/>
    </sheetView>
  </sheetViews>
  <sheetFormatPr defaultRowHeight="15" x14ac:dyDescent="0.25"/>
  <cols>
    <col min="1" max="1" width="17.42578125" customWidth="1"/>
    <col min="2" max="2" width="14.85546875" customWidth="1"/>
    <col min="3" max="3" width="13.5703125" customWidth="1"/>
    <col min="4" max="4" width="27.85546875" customWidth="1"/>
    <col min="5" max="5" width="25.85546875" customWidth="1"/>
    <col min="6" max="6" width="54.42578125" bestFit="1" customWidth="1"/>
    <col min="7" max="9" width="20.140625" bestFit="1" customWidth="1"/>
    <col min="10" max="10" width="19.85546875" bestFit="1" customWidth="1"/>
  </cols>
  <sheetData>
    <row r="1" spans="1:10" x14ac:dyDescent="0.25">
      <c r="A1" t="s">
        <v>330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s="26" t="s">
        <v>323</v>
      </c>
      <c r="H1" s="26" t="s">
        <v>324</v>
      </c>
      <c r="I1" s="26" t="s">
        <v>325</v>
      </c>
      <c r="J1" s="26" t="s">
        <v>326</v>
      </c>
    </row>
    <row r="2" spans="1:10" x14ac:dyDescent="0.25">
      <c r="A2">
        <v>2</v>
      </c>
      <c r="B2" t="s">
        <v>319</v>
      </c>
      <c r="C2" t="s">
        <v>320</v>
      </c>
      <c r="D2" s="4">
        <v>45292</v>
      </c>
      <c r="E2" s="4">
        <v>46388</v>
      </c>
      <c r="F2" t="s">
        <v>322</v>
      </c>
      <c r="G2" t="s">
        <v>327</v>
      </c>
      <c r="H2" t="s">
        <v>328</v>
      </c>
      <c r="I2" t="s">
        <v>327</v>
      </c>
      <c r="J2" t="s">
        <v>329</v>
      </c>
    </row>
    <row r="3" spans="1:10" x14ac:dyDescent="0.25">
      <c r="F3" t="s">
        <v>335</v>
      </c>
    </row>
    <row r="4" spans="1:10" x14ac:dyDescent="0.25">
      <c r="F4" t="s">
        <v>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DF99-03FB-4B12-8D59-8F0C5E7B91E3}">
  <sheetPr codeName="Sheet5"/>
  <dimension ref="B1:I300"/>
  <sheetViews>
    <sheetView zoomScaleNormal="100" workbookViewId="0">
      <selection activeCell="I10" sqref="I10"/>
    </sheetView>
  </sheetViews>
  <sheetFormatPr defaultRowHeight="15" x14ac:dyDescent="0.25"/>
  <cols>
    <col min="8" max="8" width="7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</v>
      </c>
      <c r="I1" s="1" t="s">
        <v>16</v>
      </c>
    </row>
    <row r="2" spans="2:9" x14ac:dyDescent="0.25">
      <c r="B2" t="str" cm="1">
        <f t="array" aca="1" ref="B2" ca="1">IF('Raw Data'!B2="",_xlfn.REGEXEXTRACT(CELL("address",'Raw Data'!B2),"\$([A-Z]+)\$[0-9]+"),"")</f>
        <v>$B$2</v>
      </c>
      <c r="C2" t="str" cm="1">
        <f t="array" aca="1" ref="C2" ca="1">IF('Raw Data'!C2="",_xlfn.REGEXEXTRACT(CELL("address",'Raw Data'!C2),"\$([A-Z]+)\$[0-9]+"),"")</f>
        <v>$C$2</v>
      </c>
      <c r="D2" t="str" cm="1">
        <f t="array" aca="1" ref="D2" ca="1">IF('Raw Data'!D2="",_xlfn.REGEXEXTRACT(CELL("address",'Raw Data'!D2),"\$([A-Z]+)\$[0-9]+"),"")</f>
        <v>$D$2</v>
      </c>
      <c r="E2" t="str" cm="1">
        <f t="array" aca="1" ref="E2" ca="1">IF('Raw Data'!E2="",_xlfn.REGEXEXTRACT(CELL("address",'Raw Data'!E2),"\$([A-Z]+)\$[0-9]+"),"")</f>
        <v>$E$2</v>
      </c>
      <c r="F2" t="str" cm="1">
        <f t="array" aca="1" ref="F2" ca="1">IF('Raw Data'!F2="",_xlfn.REGEXEXTRACT(CELL("address",'Raw Data'!F2),"\$([A-Z]+)\$[0-9]+"),"")</f>
        <v>$F$2</v>
      </c>
      <c r="G2" t="e" cm="1">
        <f t="array" aca="1" ref="G2" ca="1">IF('Raw Data'!#REF!="",_xlfn.REGEXEXTRACT(CELL("address",'Raw Data'!#REF!),"\$([A-Z]+)\$[0-9]+"),"")</f>
        <v>#REF!</v>
      </c>
      <c r="H2" t="str" cm="1">
        <f t="array" aca="1" ref="H2" ca="1">IF('Raw Data'!G2="",_xlfn.REGEXEXTRACT(CELL("address",'Raw Data'!G2),"\$([A-Z]+)\$[0-9]+"),"")</f>
        <v>$G$2</v>
      </c>
      <c r="I2" t="e" cm="1">
        <f t="array" aca="1" ref="I2" ca="1">IF('Raw Data'!#REF!="",_xlfn.REGEXEXTRACT(CELL("address",'Raw Data'!#REF!),"\$([A-Z]+)\$[0-9]+"),"")</f>
        <v>#REF!</v>
      </c>
    </row>
    <row r="3" spans="2:9" x14ac:dyDescent="0.25">
      <c r="B3" t="str" cm="1">
        <f t="array" aca="1" ref="B3" ca="1">IF('Raw Data'!B3="",_xlfn.REGEXEXTRACT(CELL("address",'Raw Data'!B3),"\$([A-Z]+)\$[0-9]+"),"")</f>
        <v>$B$3</v>
      </c>
      <c r="C3" t="str" cm="1">
        <f t="array" aca="1" ref="C3" ca="1">IF('Raw Data'!C3="",_xlfn.REGEXEXTRACT(CELL("address",'Raw Data'!C3),"\$([A-Z]+)\$[0-9]+"),"")</f>
        <v>$C$3</v>
      </c>
      <c r="D3" t="str" cm="1">
        <f t="array" aca="1" ref="D3" ca="1">IF('Raw Data'!D3="",_xlfn.REGEXEXTRACT(CELL("address",'Raw Data'!D3),"\$([A-Z]+)\$[0-9]+"),"")</f>
        <v>$D$3</v>
      </c>
      <c r="E3" t="str" cm="1">
        <f t="array" aca="1" ref="E3" ca="1">IF('Raw Data'!E3="",_xlfn.REGEXEXTRACT(CELL("address",'Raw Data'!E3),"\$([A-Z]+)\$[0-9]+"),"")</f>
        <v>$E$3</v>
      </c>
      <c r="F3" t="str" cm="1">
        <f t="array" aca="1" ref="F3" ca="1">IF('Raw Data'!F3="",_xlfn.REGEXEXTRACT(CELL("address",'Raw Data'!F3),"\$([A-Z]+)\$[0-9]+"),"")</f>
        <v>$F$3</v>
      </c>
      <c r="G3" t="e" cm="1">
        <f t="array" aca="1" ref="G3" ca="1">IF('Raw Data'!#REF!="",_xlfn.REGEXEXTRACT(CELL("address",'Raw Data'!#REF!),"\$([A-Z]+)\$[0-9]+"),"")</f>
        <v>#REF!</v>
      </c>
      <c r="H3" t="str" cm="1">
        <f t="array" aca="1" ref="H3" ca="1">IF('Raw Data'!G3="",_xlfn.REGEXEXTRACT(CELL("address",'Raw Data'!G3),"\$([A-Z]+)\$[0-9]+"),"")</f>
        <v>$G$3</v>
      </c>
      <c r="I3" t="e" cm="1">
        <f t="array" aca="1" ref="I3" ca="1">IF('Raw Data'!#REF!="",_xlfn.REGEXEXTRACT(CELL("address",'Raw Data'!#REF!),"\$([A-Z]+)\$[0-9]+"),"")</f>
        <v>#REF!</v>
      </c>
    </row>
    <row r="4" spans="2:9" x14ac:dyDescent="0.25">
      <c r="B4" t="str" cm="1">
        <f t="array" aca="1" ref="B4" ca="1">IF('Raw Data'!B4="",_xlfn.REGEXEXTRACT(CELL("address",'Raw Data'!B4),"\$([A-Z]+)\$[0-9]+"),"")</f>
        <v>$B$4</v>
      </c>
      <c r="C4" t="str" cm="1">
        <f t="array" aca="1" ref="C4" ca="1">IF('Raw Data'!C4="",_xlfn.REGEXEXTRACT(CELL("address",'Raw Data'!C4),"\$([A-Z]+)\$[0-9]+"),"")</f>
        <v>$C$4</v>
      </c>
      <c r="D4" t="str" cm="1">
        <f t="array" aca="1" ref="D4" ca="1">IF('Raw Data'!D4="",_xlfn.REGEXEXTRACT(CELL("address",'Raw Data'!D4),"\$([A-Z]+)\$[0-9]+"),"")</f>
        <v>$D$4</v>
      </c>
      <c r="E4" t="str" cm="1">
        <f t="array" aca="1" ref="E4" ca="1">IF('Raw Data'!E4="",_xlfn.REGEXEXTRACT(CELL("address",'Raw Data'!E4),"\$([A-Z]+)\$[0-9]+"),"")</f>
        <v>$E$4</v>
      </c>
      <c r="F4" t="str" cm="1">
        <f t="array" aca="1" ref="F4" ca="1">IF('Raw Data'!F4="",_xlfn.REGEXEXTRACT(CELL("address",'Raw Data'!F4),"\$([A-Z]+)\$[0-9]+"),"")</f>
        <v>$F$4</v>
      </c>
      <c r="G4" t="e" cm="1">
        <f t="array" aca="1" ref="G4" ca="1">IF('Raw Data'!#REF!="",_xlfn.REGEXEXTRACT(CELL("address",'Raw Data'!#REF!),"\$([A-Z]+)\$[0-9]+"),"")</f>
        <v>#REF!</v>
      </c>
      <c r="H4" t="str" cm="1">
        <f t="array" aca="1" ref="H4" ca="1">IF('Raw Data'!G4="",_xlfn.REGEXEXTRACT(CELL("address",'Raw Data'!G4),"\$([A-Z]+)\$[0-9]+"),"")</f>
        <v>$G$4</v>
      </c>
      <c r="I4" t="e" cm="1">
        <f t="array" aca="1" ref="I4" ca="1">IF('Raw Data'!#REF!="",_xlfn.REGEXEXTRACT(CELL("address",'Raw Data'!#REF!),"\$([A-Z]+)\$[0-9]+"),"")</f>
        <v>#REF!</v>
      </c>
    </row>
    <row r="5" spans="2:9" x14ac:dyDescent="0.25">
      <c r="B5" t="str" cm="1">
        <f t="array" aca="1" ref="B5" ca="1">IF('Raw Data'!B5="",_xlfn.REGEXEXTRACT(CELL("address",'Raw Data'!B5),"\$([A-Z]+)\$[0-9]+"),"")</f>
        <v>$B$5</v>
      </c>
      <c r="C5" t="str" cm="1">
        <f t="array" aca="1" ref="C5" ca="1">IF('Raw Data'!C5="",_xlfn.REGEXEXTRACT(CELL("address",'Raw Data'!C5),"\$([A-Z]+)\$[0-9]+"),"")</f>
        <v>$C$5</v>
      </c>
      <c r="D5" t="str" cm="1">
        <f t="array" aca="1" ref="D5" ca="1">IF('Raw Data'!D5="",_xlfn.REGEXEXTRACT(CELL("address",'Raw Data'!D5),"\$([A-Z]+)\$[0-9]+"),"")</f>
        <v>$D$5</v>
      </c>
      <c r="E5" t="str" cm="1">
        <f t="array" aca="1" ref="E5" ca="1">IF('Raw Data'!E5="",_xlfn.REGEXEXTRACT(CELL("address",'Raw Data'!E5),"\$([A-Z]+)\$[0-9]+"),"")</f>
        <v>$E$5</v>
      </c>
      <c r="F5" t="str" cm="1">
        <f t="array" aca="1" ref="F5" ca="1">IF('Raw Data'!F5="",_xlfn.REGEXEXTRACT(CELL("address",'Raw Data'!F5),"\$([A-Z]+)\$[0-9]+"),"")</f>
        <v>$F$5</v>
      </c>
      <c r="G5" t="e" cm="1">
        <f t="array" aca="1" ref="G5" ca="1">IF('Raw Data'!#REF!="",_xlfn.REGEXEXTRACT(CELL("address",'Raw Data'!#REF!),"\$([A-Z]+)\$[0-9]+"),"")</f>
        <v>#REF!</v>
      </c>
      <c r="H5" t="str" cm="1">
        <f t="array" aca="1" ref="H5" ca="1">IF('Raw Data'!G5="",_xlfn.REGEXEXTRACT(CELL("address",'Raw Data'!G5),"\$([A-Z]+)\$[0-9]+"),"")</f>
        <v>$G$5</v>
      </c>
      <c r="I5" t="e" cm="1">
        <f t="array" aca="1" ref="I5" ca="1">IF('Raw Data'!#REF!="",_xlfn.REGEXEXTRACT(CELL("address",'Raw Data'!#REF!),"\$([A-Z]+)\$[0-9]+"),"")</f>
        <v>#REF!</v>
      </c>
    </row>
    <row r="6" spans="2:9" x14ac:dyDescent="0.25">
      <c r="B6" t="str" cm="1">
        <f t="array" aca="1" ref="B6" ca="1">IF('Raw Data'!B6="",_xlfn.REGEXEXTRACT(CELL("address",'Raw Data'!B6),"\$([A-Z]+)\$[0-9]+"),"")</f>
        <v>$B$6</v>
      </c>
      <c r="C6" t="str" cm="1">
        <f t="array" aca="1" ref="C6" ca="1">IF('Raw Data'!C6="",_xlfn.REGEXEXTRACT(CELL("address",'Raw Data'!C6),"\$([A-Z]+)\$[0-9]+"),"")</f>
        <v>$C$6</v>
      </c>
      <c r="D6" t="str" cm="1">
        <f t="array" aca="1" ref="D6" ca="1">IF('Raw Data'!D6="",_xlfn.REGEXEXTRACT(CELL("address",'Raw Data'!D6),"\$([A-Z]+)\$[0-9]+"),"")</f>
        <v>$D$6</v>
      </c>
      <c r="E6" t="str" cm="1">
        <f t="array" aca="1" ref="E6" ca="1">IF('Raw Data'!E6="",_xlfn.REGEXEXTRACT(CELL("address",'Raw Data'!E6),"\$([A-Z]+)\$[0-9]+"),"")</f>
        <v>$E$6</v>
      </c>
      <c r="F6" t="str" cm="1">
        <f t="array" aca="1" ref="F6" ca="1">IF('Raw Data'!F6="",_xlfn.REGEXEXTRACT(CELL("address",'Raw Data'!F6),"\$([A-Z]+)\$[0-9]+"),"")</f>
        <v>$F$6</v>
      </c>
      <c r="G6" t="e" cm="1">
        <f t="array" aca="1" ref="G6" ca="1">IF('Raw Data'!#REF!="",_xlfn.REGEXEXTRACT(CELL("address",'Raw Data'!#REF!),"\$([A-Z]+)\$[0-9]+"),"")</f>
        <v>#REF!</v>
      </c>
      <c r="H6" t="str" cm="1">
        <f t="array" aca="1" ref="H6" ca="1">IF('Raw Data'!G6="",_xlfn.REGEXEXTRACT(CELL("address",'Raw Data'!G6),"\$([A-Z]+)\$[0-9]+"),"")</f>
        <v>$G$6</v>
      </c>
      <c r="I6" t="e" cm="1">
        <f t="array" aca="1" ref="I6" ca="1">IF('Raw Data'!#REF!="",_xlfn.REGEXEXTRACT(CELL("address",'Raw Data'!#REF!),"\$([A-Z]+)\$[0-9]+"),"")</f>
        <v>#REF!</v>
      </c>
    </row>
    <row r="7" spans="2:9" x14ac:dyDescent="0.25">
      <c r="B7" t="str" cm="1">
        <f t="array" aca="1" ref="B7" ca="1">IF('Raw Data'!B10="",_xlfn.REGEXEXTRACT(CELL("address",'Raw Data'!B10),"\$([A-Z]+)\$[0-9]+"),"")</f>
        <v>$B$10</v>
      </c>
      <c r="C7" t="str" cm="1">
        <f t="array" aca="1" ref="C7" ca="1">IF('Raw Data'!C10="",_xlfn.REGEXEXTRACT(CELL("address",'Raw Data'!C10),"\$([A-Z]+)\$[0-9]+"),"")</f>
        <v>$C$10</v>
      </c>
      <c r="D7" t="str" cm="1">
        <f t="array" aca="1" ref="D7" ca="1">IF('Raw Data'!D10="",_xlfn.REGEXEXTRACT(CELL("address",'Raw Data'!D10),"\$([A-Z]+)\$[0-9]+"),"")</f>
        <v>$D$10</v>
      </c>
      <c r="E7" t="str" cm="1">
        <f t="array" aca="1" ref="E7" ca="1">IF('Raw Data'!E10="",_xlfn.REGEXEXTRACT(CELL("address",'Raw Data'!E10),"\$([A-Z]+)\$[0-9]+"),"")</f>
        <v>$E$10</v>
      </c>
      <c r="F7" t="str" cm="1">
        <f t="array" aca="1" ref="F7" ca="1">IF('Raw Data'!F10="",_xlfn.REGEXEXTRACT(CELL("address",'Raw Data'!F10),"\$([A-Z]+)\$[0-9]+"),"")</f>
        <v>$F$10</v>
      </c>
      <c r="G7" t="e" cm="1">
        <f t="array" aca="1" ref="G7" ca="1">IF('Raw Data'!#REF!="",_xlfn.REGEXEXTRACT(CELL("address",'Raw Data'!#REF!),"\$([A-Z]+)\$[0-9]+"),"")</f>
        <v>#REF!</v>
      </c>
      <c r="H7" t="str" cm="1">
        <f t="array" aca="1" ref="H7" ca="1">IF('Raw Data'!G10="",_xlfn.REGEXEXTRACT(CELL("address",'Raw Data'!G10),"\$([A-Z]+)\$[0-9]+"),"")</f>
        <v>$G$10</v>
      </c>
      <c r="I7" t="e" cm="1">
        <f t="array" aca="1" ref="I7" ca="1">IF('Raw Data'!#REF!="",_xlfn.REGEXEXTRACT(CELL("address",'Raw Data'!#REF!),"\$([A-Z]+)\$[0-9]+"),"")</f>
        <v>#REF!</v>
      </c>
    </row>
    <row r="8" spans="2:9" x14ac:dyDescent="0.25">
      <c r="B8" t="e" cm="1">
        <f t="array" aca="1" ref="B8" ca="1">IF('Raw Data'!#REF!="",_xlfn.REGEXEXTRACT(CELL("address",'Raw Data'!#REF!),"\$([A-Z]+)\$[0-9]+"),"")</f>
        <v>#REF!</v>
      </c>
      <c r="C8" t="e" cm="1">
        <f t="array" aca="1" ref="C8" ca="1">IF('Raw Data'!#REF!="",_xlfn.REGEXEXTRACT(CELL("address",'Raw Data'!#REF!),"\$([A-Z]+)\$[0-9]+"),"")</f>
        <v>#REF!</v>
      </c>
      <c r="D8" t="e" cm="1">
        <f t="array" aca="1" ref="D8" ca="1">IF('Raw Data'!#REF!="",_xlfn.REGEXEXTRACT(CELL("address",'Raw Data'!#REF!),"\$([A-Z]+)\$[0-9]+"),"")</f>
        <v>#REF!</v>
      </c>
      <c r="E8" t="e" cm="1">
        <f t="array" aca="1" ref="E8" ca="1">IF('Raw Data'!#REF!="",_xlfn.REGEXEXTRACT(CELL("address",'Raw Data'!#REF!),"\$([A-Z]+)\$[0-9]+"),"")</f>
        <v>#REF!</v>
      </c>
      <c r="F8" t="e" cm="1">
        <f t="array" aca="1" ref="F8" ca="1">IF('Raw Data'!#REF!="",_xlfn.REGEXEXTRACT(CELL("address",'Raw Data'!#REF!),"\$([A-Z]+)\$[0-9]+"),"")</f>
        <v>#REF!</v>
      </c>
      <c r="G8" t="e" cm="1">
        <f t="array" aca="1" ref="G8" ca="1">IF('Raw Data'!#REF!="",_xlfn.REGEXEXTRACT(CELL("address",'Raw Data'!#REF!),"\$([A-Z]+)\$[0-9]+"),"")</f>
        <v>#REF!</v>
      </c>
      <c r="H8" t="e" cm="1">
        <f t="array" aca="1" ref="H8" ca="1">IF('Raw Data'!#REF!="",_xlfn.REGEXEXTRACT(CELL("address",'Raw Data'!#REF!),"\$([A-Z]+)\$[0-9]+"),"")</f>
        <v>#REF!</v>
      </c>
      <c r="I8" t="e" cm="1">
        <f t="array" aca="1" ref="I8" ca="1">IF('Raw Data'!#REF!="",_xlfn.REGEXEXTRACT(CELL("address",'Raw Data'!#REF!),"\$([A-Z]+)\$[0-9]+"),"")</f>
        <v>#REF!</v>
      </c>
    </row>
    <row r="9" spans="2:9" x14ac:dyDescent="0.25">
      <c r="B9" t="e" cm="1">
        <f t="array" aca="1" ref="B9" ca="1">IF('Raw Data'!#REF!="",_xlfn.REGEXEXTRACT(CELL("address",'Raw Data'!#REF!),"\$([A-Z]+)\$[0-9]+"),"")</f>
        <v>#REF!</v>
      </c>
      <c r="C9" t="e" cm="1">
        <f t="array" aca="1" ref="C9" ca="1">IF('Raw Data'!#REF!="",_xlfn.REGEXEXTRACT(CELL("address",'Raw Data'!#REF!),"\$([A-Z]+)\$[0-9]+"),"")</f>
        <v>#REF!</v>
      </c>
      <c r="D9" t="e" cm="1">
        <f t="array" aca="1" ref="D9" ca="1">IF('Raw Data'!#REF!="",_xlfn.REGEXEXTRACT(CELL("address",'Raw Data'!#REF!),"\$([A-Z]+)\$[0-9]+"),"")</f>
        <v>#REF!</v>
      </c>
      <c r="E9" t="e" cm="1">
        <f t="array" aca="1" ref="E9" ca="1">IF('Raw Data'!#REF!="",_xlfn.REGEXEXTRACT(CELL("address",'Raw Data'!#REF!),"\$([A-Z]+)\$[0-9]+"),"")</f>
        <v>#REF!</v>
      </c>
      <c r="F9" t="e" cm="1">
        <f t="array" aca="1" ref="F9" ca="1">IF('Raw Data'!#REF!="",_xlfn.REGEXEXTRACT(CELL("address",'Raw Data'!#REF!),"\$([A-Z]+)\$[0-9]+"),"")</f>
        <v>#REF!</v>
      </c>
      <c r="G9" t="e" cm="1">
        <f t="array" aca="1" ref="G9" ca="1">IF('Raw Data'!#REF!="",_xlfn.REGEXEXTRACT(CELL("address",'Raw Data'!#REF!),"\$([A-Z]+)\$[0-9]+"),"")</f>
        <v>#REF!</v>
      </c>
      <c r="H9" t="str" cm="1">
        <f t="array" aca="1" ref="H9" ca="1">IF('Raw Data'!G11="",_xlfn.REGEXEXTRACT(CELL("address",'Raw Data'!G11),"\$([A-Z]+)\$[0-9]+"),"")</f>
        <v/>
      </c>
      <c r="I9" t="e" cm="1">
        <f t="array" aca="1" ref="I9" ca="1">IF('Raw Data'!#REF!="",_xlfn.REGEXEXTRACT(CELL("address",'Raw Data'!#REF!),"\$([A-Z]+)\$[0-9]+"),"")</f>
        <v>#REF!</v>
      </c>
    </row>
    <row r="10" spans="2:9" x14ac:dyDescent="0.25">
      <c r="B10" t="str" cm="1">
        <f t="array" aca="1" ref="B10" ca="1">IF('Raw Data'!B12="",_xlfn.REGEXEXTRACT(CELL("address",'Raw Data'!B12),"\$([A-Z]+)\$[0-9]+"),"")</f>
        <v/>
      </c>
      <c r="C10" t="str" cm="1">
        <f t="array" aca="1" ref="C10" ca="1">IF('Raw Data'!C12="",_xlfn.REGEXEXTRACT(CELL("address",'Raw Data'!C12),"\$([A-Z]+)\$[0-9]+"),"")</f>
        <v/>
      </c>
      <c r="D10" t="str" cm="1">
        <f t="array" aca="1" ref="D10" ca="1">IF('Raw Data'!D12="",_xlfn.REGEXEXTRACT(CELL("address",'Raw Data'!D12),"\$([A-Z]+)\$[0-9]+"),"")</f>
        <v/>
      </c>
      <c r="E10" t="str" cm="1">
        <f t="array" aca="1" ref="E10" ca="1">IF('Raw Data'!E12="",_xlfn.REGEXEXTRACT(CELL("address",'Raw Data'!E12),"\$([A-Z]+)\$[0-9]+"),"")</f>
        <v/>
      </c>
      <c r="F10" t="str" cm="1">
        <f t="array" aca="1" ref="F10" ca="1">IF('Raw Data'!F12="",_xlfn.REGEXEXTRACT(CELL("address",'Raw Data'!F12),"\$([A-Z]+)\$[0-9]+"),"")</f>
        <v/>
      </c>
      <c r="G10" t="e" cm="1">
        <f t="array" aca="1" ref="G10" ca="1">IF('Raw Data'!#REF!="",_xlfn.REGEXEXTRACT(CELL("address",'Raw Data'!#REF!),"\$([A-Z]+)\$[0-9]+"),"")</f>
        <v>#REF!</v>
      </c>
      <c r="H10" t="str" cm="1">
        <f t="array" aca="1" ref="H10" ca="1">IF('Raw Data'!G12="",_xlfn.REGEXEXTRACT(CELL("address",'Raw Data'!G12),"\$([A-Z]+)\$[0-9]+"),"")</f>
        <v>$G$12</v>
      </c>
      <c r="I10" t="e" cm="1">
        <f t="array" aca="1" ref="I10" ca="1">IF('Raw Data'!#REF!="",_xlfn.REGEXEXTRACT(CELL("address",'Raw Data'!#REF!),"\$([A-Z]+)\$[0-9]+"),"")</f>
        <v>#REF!</v>
      </c>
    </row>
    <row r="11" spans="2:9" x14ac:dyDescent="0.25">
      <c r="B11" t="str" cm="1">
        <f t="array" aca="1" ref="B11" ca="1">IF('Raw Data'!B13="",_xlfn.REGEXEXTRACT(CELL("address",'Raw Data'!B13),"\$([A-Z]+)\$[0-9]+"),"")</f>
        <v/>
      </c>
      <c r="C11" t="str" cm="1">
        <f t="array" aca="1" ref="C11" ca="1">IF('Raw Data'!C13="",_xlfn.REGEXEXTRACT(CELL("address",'Raw Data'!C13),"\$([A-Z]+)\$[0-9]+"),"")</f>
        <v/>
      </c>
      <c r="D11" t="str" cm="1">
        <f t="array" aca="1" ref="D11" ca="1">IF('Raw Data'!D13="",_xlfn.REGEXEXTRACT(CELL("address",'Raw Data'!D13),"\$([A-Z]+)\$[0-9]+"),"")</f>
        <v/>
      </c>
      <c r="E11" t="str" cm="1">
        <f t="array" aca="1" ref="E11" ca="1">IF('Raw Data'!E13="",_xlfn.REGEXEXTRACT(CELL("address",'Raw Data'!E13),"\$([A-Z]+)\$[0-9]+"),"")</f>
        <v/>
      </c>
      <c r="F11" t="str" cm="1">
        <f t="array" aca="1" ref="F11" ca="1">IF('Raw Data'!F13="",_xlfn.REGEXEXTRACT(CELL("address",'Raw Data'!F13),"\$([A-Z]+)\$[0-9]+"),"")</f>
        <v/>
      </c>
      <c r="G11" t="e" cm="1">
        <f t="array" aca="1" ref="G11" ca="1">IF('Raw Data'!#REF!="",_xlfn.REGEXEXTRACT(CELL("address",'Raw Data'!#REF!),"\$([A-Z]+)\$[0-9]+"),"")</f>
        <v>#REF!</v>
      </c>
      <c r="H11" t="str" cm="1">
        <f t="array" aca="1" ref="H11" ca="1">IF('Raw Data'!G13="",_xlfn.REGEXEXTRACT(CELL("address",'Raw Data'!G13),"\$([A-Z]+)\$[0-9]+"),"")</f>
        <v>$G$13</v>
      </c>
      <c r="I11" t="e" cm="1">
        <f t="array" aca="1" ref="I11" ca="1">IF('Raw Data'!#REF!="",_xlfn.REGEXEXTRACT(CELL("address",'Raw Data'!#REF!),"\$([A-Z]+)\$[0-9]+"),"")</f>
        <v>#REF!</v>
      </c>
    </row>
    <row r="12" spans="2:9" x14ac:dyDescent="0.25">
      <c r="B12" t="str" cm="1">
        <f t="array" aca="1" ref="B12" ca="1">IF('Raw Data'!B14="",_xlfn.REGEXEXTRACT(CELL("address",'Raw Data'!B14),"\$([A-Z]+)\$[0-9]+"),"")</f>
        <v/>
      </c>
      <c r="C12" t="str" cm="1">
        <f t="array" aca="1" ref="C12" ca="1">IF('Raw Data'!C14="",_xlfn.REGEXEXTRACT(CELL("address",'Raw Data'!C14),"\$([A-Z]+)\$[0-9]+"),"")</f>
        <v/>
      </c>
      <c r="D12" t="str" cm="1">
        <f t="array" aca="1" ref="D12" ca="1">IF('Raw Data'!D14="",_xlfn.REGEXEXTRACT(CELL("address",'Raw Data'!D14),"\$([A-Z]+)\$[0-9]+"),"")</f>
        <v/>
      </c>
      <c r="E12" t="str" cm="1">
        <f t="array" aca="1" ref="E12" ca="1">IF('Raw Data'!E14="",_xlfn.REGEXEXTRACT(CELL("address",'Raw Data'!E14),"\$([A-Z]+)\$[0-9]+"),"")</f>
        <v/>
      </c>
      <c r="F12" t="str" cm="1">
        <f t="array" aca="1" ref="F12" ca="1">IF('Raw Data'!F14="",_xlfn.REGEXEXTRACT(CELL("address",'Raw Data'!F14),"\$([A-Z]+)\$[0-9]+"),"")</f>
        <v/>
      </c>
      <c r="G12" t="e" cm="1">
        <f t="array" aca="1" ref="G12" ca="1">IF('Raw Data'!#REF!="",_xlfn.REGEXEXTRACT(CELL("address",'Raw Data'!#REF!),"\$([A-Z]+)\$[0-9]+"),"")</f>
        <v>#REF!</v>
      </c>
      <c r="H12" t="str" cm="1">
        <f t="array" aca="1" ref="H12" ca="1">IF('Raw Data'!G14="",_xlfn.REGEXEXTRACT(CELL("address",'Raw Data'!G14),"\$([A-Z]+)\$[0-9]+"),"")</f>
        <v>$G$14</v>
      </c>
      <c r="I12" t="e" cm="1">
        <f t="array" aca="1" ref="I12" ca="1">IF('Raw Data'!#REF!="",_xlfn.REGEXEXTRACT(CELL("address",'Raw Data'!#REF!),"\$([A-Z]+)\$[0-9]+"),"")</f>
        <v>#REF!</v>
      </c>
    </row>
    <row r="13" spans="2:9" x14ac:dyDescent="0.25">
      <c r="B13" t="str" cm="1">
        <f t="array" aca="1" ref="B13" ca="1">IF('Raw Data'!B15="",_xlfn.REGEXEXTRACT(CELL("address",'Raw Data'!B15),"\$([A-Z]+)\$[0-9]+"),"")</f>
        <v/>
      </c>
      <c r="C13" t="str" cm="1">
        <f t="array" aca="1" ref="C13" ca="1">IF('Raw Data'!C15="",_xlfn.REGEXEXTRACT(CELL("address",'Raw Data'!C15),"\$([A-Z]+)\$[0-9]+"),"")</f>
        <v/>
      </c>
      <c r="D13" t="str" cm="1">
        <f t="array" aca="1" ref="D13" ca="1">IF('Raw Data'!D15="",_xlfn.REGEXEXTRACT(CELL("address",'Raw Data'!D15),"\$([A-Z]+)\$[0-9]+"),"")</f>
        <v/>
      </c>
      <c r="E13" t="str" cm="1">
        <f t="array" aca="1" ref="E13" ca="1">IF('Raw Data'!E15="",_xlfn.REGEXEXTRACT(CELL("address",'Raw Data'!E15),"\$([A-Z]+)\$[0-9]+"),"")</f>
        <v/>
      </c>
      <c r="F13" t="str" cm="1">
        <f t="array" aca="1" ref="F13" ca="1">IF('Raw Data'!F15="",_xlfn.REGEXEXTRACT(CELL("address",'Raw Data'!F15),"\$([A-Z]+)\$[0-9]+"),"")</f>
        <v/>
      </c>
      <c r="G13" t="e" cm="1">
        <f t="array" aca="1" ref="G13" ca="1">IF('Raw Data'!#REF!="",_xlfn.REGEXEXTRACT(CELL("address",'Raw Data'!#REF!),"\$([A-Z]+)\$[0-9]+"),"")</f>
        <v>#REF!</v>
      </c>
      <c r="H13" t="str" cm="1">
        <f t="array" aca="1" ref="H13" ca="1">IF('Raw Data'!G15="",_xlfn.REGEXEXTRACT(CELL("address",'Raw Data'!G15),"\$([A-Z]+)\$[0-9]+"),"")</f>
        <v>$G$15</v>
      </c>
      <c r="I13" t="e" cm="1">
        <f t="array" aca="1" ref="I13" ca="1">IF('Raw Data'!#REF!="",_xlfn.REGEXEXTRACT(CELL("address",'Raw Data'!#REF!),"\$([A-Z]+)\$[0-9]+"),"")</f>
        <v>#REF!</v>
      </c>
    </row>
    <row r="14" spans="2:9" x14ac:dyDescent="0.25">
      <c r="B14" t="str" cm="1">
        <f t="array" aca="1" ref="B14" ca="1">IF('Raw Data'!B16="",_xlfn.REGEXEXTRACT(CELL("address",'Raw Data'!B16),"\$([A-Z]+)\$[0-9]+"),"")</f>
        <v/>
      </c>
      <c r="C14" t="str" cm="1">
        <f t="array" aca="1" ref="C14" ca="1">IF('Raw Data'!C16="",_xlfn.REGEXEXTRACT(CELL("address",'Raw Data'!C16),"\$([A-Z]+)\$[0-9]+"),"")</f>
        <v/>
      </c>
      <c r="D14" t="str" cm="1">
        <f t="array" aca="1" ref="D14" ca="1">IF('Raw Data'!D16="",_xlfn.REGEXEXTRACT(CELL("address",'Raw Data'!D16),"\$([A-Z]+)\$[0-9]+"),"")</f>
        <v/>
      </c>
      <c r="E14" t="str" cm="1">
        <f t="array" aca="1" ref="E14" ca="1">IF('Raw Data'!E16="",_xlfn.REGEXEXTRACT(CELL("address",'Raw Data'!E16),"\$([A-Z]+)\$[0-9]+"),"")</f>
        <v/>
      </c>
      <c r="F14" t="str" cm="1">
        <f t="array" aca="1" ref="F14" ca="1">IF('Raw Data'!F16="",_xlfn.REGEXEXTRACT(CELL("address",'Raw Data'!F16),"\$([A-Z]+)\$[0-9]+"),"")</f>
        <v/>
      </c>
      <c r="G14" t="e" cm="1">
        <f t="array" aca="1" ref="G14" ca="1">IF('Raw Data'!#REF!="",_xlfn.REGEXEXTRACT(CELL("address",'Raw Data'!#REF!),"\$([A-Z]+)\$[0-9]+"),"")</f>
        <v>#REF!</v>
      </c>
      <c r="H14" t="str" cm="1">
        <f t="array" aca="1" ref="H14" ca="1">IF('Raw Data'!G16="",_xlfn.REGEXEXTRACT(CELL("address",'Raw Data'!G16),"\$([A-Z]+)\$[0-9]+"),"")</f>
        <v>$G$16</v>
      </c>
      <c r="I14" t="e" cm="1">
        <f t="array" aca="1" ref="I14" ca="1">IF('Raw Data'!#REF!="",_xlfn.REGEXEXTRACT(CELL("address",'Raw Data'!#REF!),"\$([A-Z]+)\$[0-9]+"),"")</f>
        <v>#REF!</v>
      </c>
    </row>
    <row r="15" spans="2:9" x14ac:dyDescent="0.25">
      <c r="B15" t="str" cm="1">
        <f t="array" aca="1" ref="B15" ca="1">IF('Raw Data'!B17="",_xlfn.REGEXEXTRACT(CELL("address",'Raw Data'!B17),"\$([A-Z]+)\$[0-9]+"),"")</f>
        <v/>
      </c>
      <c r="C15" t="str" cm="1">
        <f t="array" aca="1" ref="C15" ca="1">IF('Raw Data'!C17="",_xlfn.REGEXEXTRACT(CELL("address",'Raw Data'!C17),"\$([A-Z]+)\$[0-9]+"),"")</f>
        <v/>
      </c>
      <c r="D15" t="str" cm="1">
        <f t="array" aca="1" ref="D15" ca="1">IF('Raw Data'!D17="",_xlfn.REGEXEXTRACT(CELL("address",'Raw Data'!D17),"\$([A-Z]+)\$[0-9]+"),"")</f>
        <v/>
      </c>
      <c r="E15" t="str" cm="1">
        <f t="array" aca="1" ref="E15" ca="1">IF('Raw Data'!E17="",_xlfn.REGEXEXTRACT(CELL("address",'Raw Data'!E17),"\$([A-Z]+)\$[0-9]+"),"")</f>
        <v/>
      </c>
      <c r="F15" t="str" cm="1">
        <f t="array" aca="1" ref="F15" ca="1">IF('Raw Data'!F17="",_xlfn.REGEXEXTRACT(CELL("address",'Raw Data'!F17),"\$([A-Z]+)\$[0-9]+"),"")</f>
        <v/>
      </c>
      <c r="G15" t="e" cm="1">
        <f t="array" aca="1" ref="G15" ca="1">IF('Raw Data'!#REF!="",_xlfn.REGEXEXTRACT(CELL("address",'Raw Data'!#REF!),"\$([A-Z]+)\$[0-9]+"),"")</f>
        <v>#REF!</v>
      </c>
      <c r="H15" t="str" cm="1">
        <f t="array" aca="1" ref="H15" ca="1">IF('Raw Data'!G17="",_xlfn.REGEXEXTRACT(CELL("address",'Raw Data'!G17),"\$([A-Z]+)\$[0-9]+"),"")</f>
        <v>$G$17</v>
      </c>
      <c r="I15" t="e" cm="1">
        <f t="array" aca="1" ref="I15" ca="1">IF('Raw Data'!#REF!="",_xlfn.REGEXEXTRACT(CELL("address",'Raw Data'!#REF!),"\$([A-Z]+)\$[0-9]+"),"")</f>
        <v>#REF!</v>
      </c>
    </row>
    <row r="16" spans="2:9" x14ac:dyDescent="0.25">
      <c r="B16" t="str" cm="1">
        <f t="array" aca="1" ref="B16" ca="1">IF('Raw Data'!B18="",_xlfn.REGEXEXTRACT(CELL("address",'Raw Data'!B18),"\$([A-Z]+)\$[0-9]+"),"")</f>
        <v/>
      </c>
      <c r="C16" t="str" cm="1">
        <f t="array" aca="1" ref="C16" ca="1">IF('Raw Data'!C18="",_xlfn.REGEXEXTRACT(CELL("address",'Raw Data'!C18),"\$([A-Z]+)\$[0-9]+"),"")</f>
        <v/>
      </c>
      <c r="D16" t="str" cm="1">
        <f t="array" aca="1" ref="D16" ca="1">IF('Raw Data'!D18="",_xlfn.REGEXEXTRACT(CELL("address",'Raw Data'!D18),"\$([A-Z]+)\$[0-9]+"),"")</f>
        <v/>
      </c>
      <c r="E16" t="str" cm="1">
        <f t="array" aca="1" ref="E16" ca="1">IF('Raw Data'!E18="",_xlfn.REGEXEXTRACT(CELL("address",'Raw Data'!E18),"\$([A-Z]+)\$[0-9]+"),"")</f>
        <v/>
      </c>
      <c r="F16" t="str" cm="1">
        <f t="array" aca="1" ref="F16" ca="1">IF('Raw Data'!F18="",_xlfn.REGEXEXTRACT(CELL("address",'Raw Data'!F18),"\$([A-Z]+)\$[0-9]+"),"")</f>
        <v/>
      </c>
      <c r="G16" t="e" cm="1">
        <f t="array" aca="1" ref="G16" ca="1">IF('Raw Data'!#REF!="",_xlfn.REGEXEXTRACT(CELL("address",'Raw Data'!#REF!),"\$([A-Z]+)\$[0-9]+"),"")</f>
        <v>#REF!</v>
      </c>
      <c r="H16" t="str" cm="1">
        <f t="array" aca="1" ref="H16" ca="1">IF('Raw Data'!G18="",_xlfn.REGEXEXTRACT(CELL("address",'Raw Data'!G18),"\$([A-Z]+)\$[0-9]+"),"")</f>
        <v>$G$18</v>
      </c>
      <c r="I16" t="e" cm="1">
        <f t="array" aca="1" ref="I16" ca="1">IF('Raw Data'!#REF!="",_xlfn.REGEXEXTRACT(CELL("address",'Raw Data'!#REF!),"\$([A-Z]+)\$[0-9]+"),"")</f>
        <v>#REF!</v>
      </c>
    </row>
    <row r="17" spans="2:9" x14ac:dyDescent="0.25">
      <c r="B17" t="str" cm="1">
        <f t="array" aca="1" ref="B17" ca="1">IF('Raw Data'!B19="",_xlfn.REGEXEXTRACT(CELL("address",'Raw Data'!B19),"\$([A-Z]+)\$[0-9]+"),"")</f>
        <v/>
      </c>
      <c r="C17" t="str" cm="1">
        <f t="array" aca="1" ref="C17" ca="1">IF('Raw Data'!C19="",_xlfn.REGEXEXTRACT(CELL("address",'Raw Data'!C19),"\$([A-Z]+)\$[0-9]+"),"")</f>
        <v/>
      </c>
      <c r="D17" t="str" cm="1">
        <f t="array" aca="1" ref="D17" ca="1">IF('Raw Data'!D19="",_xlfn.REGEXEXTRACT(CELL("address",'Raw Data'!D19),"\$([A-Z]+)\$[0-9]+"),"")</f>
        <v/>
      </c>
      <c r="E17" t="str" cm="1">
        <f t="array" aca="1" ref="E17" ca="1">IF('Raw Data'!E19="",_xlfn.REGEXEXTRACT(CELL("address",'Raw Data'!E19),"\$([A-Z]+)\$[0-9]+"),"")</f>
        <v/>
      </c>
      <c r="F17" t="str" cm="1">
        <f t="array" aca="1" ref="F17" ca="1">IF('Raw Data'!F19="",_xlfn.REGEXEXTRACT(CELL("address",'Raw Data'!F19),"\$([A-Z]+)\$[0-9]+"),"")</f>
        <v/>
      </c>
      <c r="G17" t="e" cm="1">
        <f t="array" aca="1" ref="G17" ca="1">IF('Raw Data'!#REF!="",_xlfn.REGEXEXTRACT(CELL("address",'Raw Data'!#REF!),"\$([A-Z]+)\$[0-9]+"),"")</f>
        <v>#REF!</v>
      </c>
      <c r="H17" t="str" cm="1">
        <f t="array" aca="1" ref="H17" ca="1">IF('Raw Data'!G19="",_xlfn.REGEXEXTRACT(CELL("address",'Raw Data'!G19),"\$([A-Z]+)\$[0-9]+"),"")</f>
        <v>$G$19</v>
      </c>
      <c r="I17" t="e" cm="1">
        <f t="array" aca="1" ref="I17" ca="1">IF('Raw Data'!#REF!="",_xlfn.REGEXEXTRACT(CELL("address",'Raw Data'!#REF!),"\$([A-Z]+)\$[0-9]+"),"")</f>
        <v>#REF!</v>
      </c>
    </row>
    <row r="18" spans="2:9" x14ac:dyDescent="0.25">
      <c r="B18" t="str" cm="1">
        <f t="array" aca="1" ref="B18" ca="1">IF('Raw Data'!B20="",_xlfn.REGEXEXTRACT(CELL("address",'Raw Data'!B20),"\$([A-Z]+)\$[0-9]+"),"")</f>
        <v/>
      </c>
      <c r="C18" t="str" cm="1">
        <f t="array" aca="1" ref="C18" ca="1">IF('Raw Data'!C20="",_xlfn.REGEXEXTRACT(CELL("address",'Raw Data'!C20),"\$([A-Z]+)\$[0-9]+"),"")</f>
        <v/>
      </c>
      <c r="D18" t="str" cm="1">
        <f t="array" aca="1" ref="D18" ca="1">IF('Raw Data'!D20="",_xlfn.REGEXEXTRACT(CELL("address",'Raw Data'!D20),"\$([A-Z]+)\$[0-9]+"),"")</f>
        <v/>
      </c>
      <c r="E18" t="str" cm="1">
        <f t="array" aca="1" ref="E18" ca="1">IF('Raw Data'!E20="",_xlfn.REGEXEXTRACT(CELL("address",'Raw Data'!E20),"\$([A-Z]+)\$[0-9]+"),"")</f>
        <v/>
      </c>
      <c r="F18" t="str" cm="1">
        <f t="array" aca="1" ref="F18" ca="1">IF('Raw Data'!F20="",_xlfn.REGEXEXTRACT(CELL("address",'Raw Data'!F20),"\$([A-Z]+)\$[0-9]+"),"")</f>
        <v/>
      </c>
      <c r="G18" t="e" cm="1">
        <f t="array" aca="1" ref="G18" ca="1">IF('Raw Data'!#REF!="",_xlfn.REGEXEXTRACT(CELL("address",'Raw Data'!#REF!),"\$([A-Z]+)\$[0-9]+"),"")</f>
        <v>#REF!</v>
      </c>
      <c r="H18" t="str" cm="1">
        <f t="array" aca="1" ref="H18" ca="1">IF('Raw Data'!G20="",_xlfn.REGEXEXTRACT(CELL("address",'Raw Data'!G20),"\$([A-Z]+)\$[0-9]+"),"")</f>
        <v>$G$20</v>
      </c>
      <c r="I18" t="e" cm="1">
        <f t="array" aca="1" ref="I18" ca="1">IF('Raw Data'!#REF!="",_xlfn.REGEXEXTRACT(CELL("address",'Raw Data'!#REF!),"\$([A-Z]+)\$[0-9]+"),"")</f>
        <v>#REF!</v>
      </c>
    </row>
    <row r="19" spans="2:9" x14ac:dyDescent="0.25">
      <c r="B19" t="str" cm="1">
        <f t="array" aca="1" ref="B19" ca="1">IF('Raw Data'!B21="",_xlfn.REGEXEXTRACT(CELL("address",'Raw Data'!B21),"\$([A-Z]+)\$[0-9]+"),"")</f>
        <v/>
      </c>
      <c r="C19" t="str" cm="1">
        <f t="array" aca="1" ref="C19" ca="1">IF('Raw Data'!C21="",_xlfn.REGEXEXTRACT(CELL("address",'Raw Data'!C21),"\$([A-Z]+)\$[0-9]+"),"")</f>
        <v/>
      </c>
      <c r="D19" t="str" cm="1">
        <f t="array" aca="1" ref="D19" ca="1">IF('Raw Data'!D21="",_xlfn.REGEXEXTRACT(CELL("address",'Raw Data'!D21),"\$([A-Z]+)\$[0-9]+"),"")</f>
        <v/>
      </c>
      <c r="E19" t="str" cm="1">
        <f t="array" aca="1" ref="E19" ca="1">IF('Raw Data'!E21="",_xlfn.REGEXEXTRACT(CELL("address",'Raw Data'!E21),"\$([A-Z]+)\$[0-9]+"),"")</f>
        <v/>
      </c>
      <c r="F19" t="str" cm="1">
        <f t="array" aca="1" ref="F19" ca="1">IF('Raw Data'!F21="",_xlfn.REGEXEXTRACT(CELL("address",'Raw Data'!F21),"\$([A-Z]+)\$[0-9]+"),"")</f>
        <v/>
      </c>
      <c r="G19" t="e" cm="1">
        <f t="array" aca="1" ref="G19" ca="1">IF('Raw Data'!#REF!="",_xlfn.REGEXEXTRACT(CELL("address",'Raw Data'!#REF!),"\$([A-Z]+)\$[0-9]+"),"")</f>
        <v>#REF!</v>
      </c>
      <c r="H19" t="str" cm="1">
        <f t="array" aca="1" ref="H19" ca="1">IF('Raw Data'!G21="",_xlfn.REGEXEXTRACT(CELL("address",'Raw Data'!G21),"\$([A-Z]+)\$[0-9]+"),"")</f>
        <v>$G$21</v>
      </c>
      <c r="I19" t="e" cm="1">
        <f t="array" aca="1" ref="I19" ca="1">IF('Raw Data'!#REF!="",_xlfn.REGEXEXTRACT(CELL("address",'Raw Data'!#REF!),"\$([A-Z]+)\$[0-9]+"),"")</f>
        <v>#REF!</v>
      </c>
    </row>
    <row r="20" spans="2:9" x14ac:dyDescent="0.25">
      <c r="B20" t="str" cm="1">
        <f t="array" aca="1" ref="B20" ca="1">IF('Raw Data'!B22="",_xlfn.REGEXEXTRACT(CELL("address",'Raw Data'!B22),"\$([A-Z]+)\$[0-9]+"),"")</f>
        <v/>
      </c>
      <c r="C20" t="str" cm="1">
        <f t="array" aca="1" ref="C20" ca="1">IF('Raw Data'!C22="",_xlfn.REGEXEXTRACT(CELL("address",'Raw Data'!C22),"\$([A-Z]+)\$[0-9]+"),"")</f>
        <v/>
      </c>
      <c r="D20" t="str" cm="1">
        <f t="array" aca="1" ref="D20" ca="1">IF('Raw Data'!D22="",_xlfn.REGEXEXTRACT(CELL("address",'Raw Data'!D22),"\$([A-Z]+)\$[0-9]+"),"")</f>
        <v/>
      </c>
      <c r="E20" t="str" cm="1">
        <f t="array" aca="1" ref="E20" ca="1">IF('Raw Data'!E22="",_xlfn.REGEXEXTRACT(CELL("address",'Raw Data'!E22),"\$([A-Z]+)\$[0-9]+"),"")</f>
        <v/>
      </c>
      <c r="F20" t="str" cm="1">
        <f t="array" aca="1" ref="F20" ca="1">IF('Raw Data'!F22="",_xlfn.REGEXEXTRACT(CELL("address",'Raw Data'!F22),"\$([A-Z]+)\$[0-9]+"),"")</f>
        <v/>
      </c>
      <c r="G20" t="e" cm="1">
        <f t="array" aca="1" ref="G20" ca="1">IF('Raw Data'!#REF!="",_xlfn.REGEXEXTRACT(CELL("address",'Raw Data'!#REF!),"\$([A-Z]+)\$[0-9]+"),"")</f>
        <v>#REF!</v>
      </c>
      <c r="H20" t="str" cm="1">
        <f t="array" aca="1" ref="H20" ca="1">IF('Raw Data'!G22="",_xlfn.REGEXEXTRACT(CELL("address",'Raw Data'!G22),"\$([A-Z]+)\$[0-9]+"),"")</f>
        <v>$G$22</v>
      </c>
      <c r="I20" t="e" cm="1">
        <f t="array" aca="1" ref="I20" ca="1">IF('Raw Data'!#REF!="",_xlfn.REGEXEXTRACT(CELL("address",'Raw Data'!#REF!),"\$([A-Z]+)\$[0-9]+"),"")</f>
        <v>#REF!</v>
      </c>
    </row>
    <row r="21" spans="2:9" x14ac:dyDescent="0.25">
      <c r="B21" t="str" cm="1">
        <f t="array" aca="1" ref="B21" ca="1">IF('Raw Data'!B23="",_xlfn.REGEXEXTRACT(CELL("address",'Raw Data'!B23),"\$([A-Z]+)\$[0-9]+"),"")</f>
        <v>$B$23</v>
      </c>
      <c r="C21" t="str" cm="1">
        <f t="array" aca="1" ref="C21" ca="1">IF('Raw Data'!C23="",_xlfn.REGEXEXTRACT(CELL("address",'Raw Data'!C23),"\$([A-Z]+)\$[0-9]+"),"")</f>
        <v>$C$23</v>
      </c>
      <c r="D21" t="str" cm="1">
        <f t="array" aca="1" ref="D21" ca="1">IF('Raw Data'!D23="",_xlfn.REGEXEXTRACT(CELL("address",'Raw Data'!D23),"\$([A-Z]+)\$[0-9]+"),"")</f>
        <v>$D$23</v>
      </c>
      <c r="E21" t="str" cm="1">
        <f t="array" aca="1" ref="E21" ca="1">IF('Raw Data'!E23="",_xlfn.REGEXEXTRACT(CELL("address",'Raw Data'!E23),"\$([A-Z]+)\$[0-9]+"),"")</f>
        <v>$E$23</v>
      </c>
      <c r="F21" t="str" cm="1">
        <f t="array" aca="1" ref="F21" ca="1">IF('Raw Data'!F23="",_xlfn.REGEXEXTRACT(CELL("address",'Raw Data'!F23),"\$([A-Z]+)\$[0-9]+"),"")</f>
        <v>$F$23</v>
      </c>
      <c r="G21" t="e" cm="1">
        <f t="array" aca="1" ref="G21" ca="1">IF('Raw Data'!#REF!="",_xlfn.REGEXEXTRACT(CELL("address",'Raw Data'!#REF!),"\$([A-Z]+)\$[0-9]+"),"")</f>
        <v>#REF!</v>
      </c>
      <c r="H21" t="str" cm="1">
        <f t="array" aca="1" ref="H21" ca="1">IF('Raw Data'!G23="",_xlfn.REGEXEXTRACT(CELL("address",'Raw Data'!G23),"\$([A-Z]+)\$[0-9]+"),"")</f>
        <v>$G$23</v>
      </c>
      <c r="I21" t="e" cm="1">
        <f t="array" aca="1" ref="I21" ca="1">IF('Raw Data'!#REF!="",_xlfn.REGEXEXTRACT(CELL("address",'Raw Data'!#REF!),"\$([A-Z]+)\$[0-9]+"),"")</f>
        <v>#REF!</v>
      </c>
    </row>
    <row r="22" spans="2:9" x14ac:dyDescent="0.25">
      <c r="B22" t="str" cm="1">
        <f t="array" aca="1" ref="B22" ca="1">IF('Raw Data'!B24="",_xlfn.REGEXEXTRACT(CELL("address",'Raw Data'!B24),"\$([A-Z]+)\$[0-9]+"),"")</f>
        <v>$B$24</v>
      </c>
      <c r="C22" t="str" cm="1">
        <f t="array" aca="1" ref="C22" ca="1">IF('Raw Data'!C24="",_xlfn.REGEXEXTRACT(CELL("address",'Raw Data'!C24),"\$([A-Z]+)\$[0-9]+"),"")</f>
        <v>$C$24</v>
      </c>
      <c r="D22" t="str" cm="1">
        <f t="array" aca="1" ref="D22" ca="1">IF('Raw Data'!D24="",_xlfn.REGEXEXTRACT(CELL("address",'Raw Data'!D24),"\$([A-Z]+)\$[0-9]+"),"")</f>
        <v>$D$24</v>
      </c>
      <c r="E22" t="str" cm="1">
        <f t="array" aca="1" ref="E22" ca="1">IF('Raw Data'!E24="",_xlfn.REGEXEXTRACT(CELL("address",'Raw Data'!E24),"\$([A-Z]+)\$[0-9]+"),"")</f>
        <v>$E$24</v>
      </c>
      <c r="F22" t="str" cm="1">
        <f t="array" aca="1" ref="F22" ca="1">IF('Raw Data'!F24="",_xlfn.REGEXEXTRACT(CELL("address",'Raw Data'!F24),"\$([A-Z]+)\$[0-9]+"),"")</f>
        <v>$F$24</v>
      </c>
      <c r="G22" t="e" cm="1">
        <f t="array" aca="1" ref="G22" ca="1">IF('Raw Data'!#REF!="",_xlfn.REGEXEXTRACT(CELL("address",'Raw Data'!#REF!),"\$([A-Z]+)\$[0-9]+"),"")</f>
        <v>#REF!</v>
      </c>
      <c r="H22" t="str" cm="1">
        <f t="array" aca="1" ref="H22" ca="1">IF('Raw Data'!G24="",_xlfn.REGEXEXTRACT(CELL("address",'Raw Data'!G24),"\$([A-Z]+)\$[0-9]+"),"")</f>
        <v>$G$24</v>
      </c>
      <c r="I22" t="e" cm="1">
        <f t="array" aca="1" ref="I22" ca="1">IF('Raw Data'!#REF!="",_xlfn.REGEXEXTRACT(CELL("address",'Raw Data'!#REF!),"\$([A-Z]+)\$[0-9]+"),"")</f>
        <v>#REF!</v>
      </c>
    </row>
    <row r="23" spans="2:9" x14ac:dyDescent="0.25">
      <c r="B23" t="str" cm="1">
        <f t="array" aca="1" ref="B23" ca="1">IF('Raw Data'!B25="",_xlfn.REGEXEXTRACT(CELL("address",'Raw Data'!B25),"\$([A-Z]+)\$[0-9]+"),"")</f>
        <v>$B$25</v>
      </c>
      <c r="C23" t="str" cm="1">
        <f t="array" aca="1" ref="C23" ca="1">IF('Raw Data'!C25="",_xlfn.REGEXEXTRACT(CELL("address",'Raw Data'!C25),"\$([A-Z]+)\$[0-9]+"),"")</f>
        <v>$C$25</v>
      </c>
      <c r="D23" t="str" cm="1">
        <f t="array" aca="1" ref="D23" ca="1">IF('Raw Data'!D25="",_xlfn.REGEXEXTRACT(CELL("address",'Raw Data'!D25),"\$([A-Z]+)\$[0-9]+"),"")</f>
        <v>$D$25</v>
      </c>
      <c r="E23" t="str" cm="1">
        <f t="array" aca="1" ref="E23" ca="1">IF('Raw Data'!E25="",_xlfn.REGEXEXTRACT(CELL("address",'Raw Data'!E25),"\$([A-Z]+)\$[0-9]+"),"")</f>
        <v>$E$25</v>
      </c>
      <c r="F23" t="str" cm="1">
        <f t="array" aca="1" ref="F23" ca="1">IF('Raw Data'!F25="",_xlfn.REGEXEXTRACT(CELL("address",'Raw Data'!F25),"\$([A-Z]+)\$[0-9]+"),"")</f>
        <v>$F$25</v>
      </c>
      <c r="G23" t="e" cm="1">
        <f t="array" aca="1" ref="G23" ca="1">IF('Raw Data'!#REF!="",_xlfn.REGEXEXTRACT(CELL("address",'Raw Data'!#REF!),"\$([A-Z]+)\$[0-9]+"),"")</f>
        <v>#REF!</v>
      </c>
      <c r="H23" t="str" cm="1">
        <f t="array" aca="1" ref="H23" ca="1">IF('Raw Data'!G25="",_xlfn.REGEXEXTRACT(CELL("address",'Raw Data'!G25),"\$([A-Z]+)\$[0-9]+"),"")</f>
        <v>$G$25</v>
      </c>
      <c r="I23" t="e" cm="1">
        <f t="array" aca="1" ref="I23" ca="1">IF('Raw Data'!#REF!="",_xlfn.REGEXEXTRACT(CELL("address",'Raw Data'!#REF!),"\$([A-Z]+)\$[0-9]+"),"")</f>
        <v>#REF!</v>
      </c>
    </row>
    <row r="24" spans="2:9" x14ac:dyDescent="0.25">
      <c r="B24" t="str" cm="1">
        <f t="array" aca="1" ref="B24" ca="1">IF('Raw Data'!B26="",_xlfn.REGEXEXTRACT(CELL("address",'Raw Data'!B26),"\$([A-Z]+)\$[0-9]+"),"")</f>
        <v>$B$26</v>
      </c>
      <c r="C24" t="str" cm="1">
        <f t="array" aca="1" ref="C24" ca="1">IF('Raw Data'!C26="",_xlfn.REGEXEXTRACT(CELL("address",'Raw Data'!C26),"\$([A-Z]+)\$[0-9]+"),"")</f>
        <v>$C$26</v>
      </c>
      <c r="D24" t="str" cm="1">
        <f t="array" aca="1" ref="D24" ca="1">IF('Raw Data'!D26="",_xlfn.REGEXEXTRACT(CELL("address",'Raw Data'!D26),"\$([A-Z]+)\$[0-9]+"),"")</f>
        <v>$D$26</v>
      </c>
      <c r="E24" t="str" cm="1">
        <f t="array" aca="1" ref="E24" ca="1">IF('Raw Data'!E26="",_xlfn.REGEXEXTRACT(CELL("address",'Raw Data'!E26),"\$([A-Z]+)\$[0-9]+"),"")</f>
        <v>$E$26</v>
      </c>
      <c r="F24" t="str" cm="1">
        <f t="array" aca="1" ref="F24" ca="1">IF('Raw Data'!F26="",_xlfn.REGEXEXTRACT(CELL("address",'Raw Data'!F26),"\$([A-Z]+)\$[0-9]+"),"")</f>
        <v>$F$26</v>
      </c>
      <c r="G24" t="e" cm="1">
        <f t="array" aca="1" ref="G24" ca="1">IF('Raw Data'!#REF!="",_xlfn.REGEXEXTRACT(CELL("address",'Raw Data'!#REF!),"\$([A-Z]+)\$[0-9]+"),"")</f>
        <v>#REF!</v>
      </c>
      <c r="H24" t="str" cm="1">
        <f t="array" aca="1" ref="H24" ca="1">IF('Raw Data'!G26="",_xlfn.REGEXEXTRACT(CELL("address",'Raw Data'!G26),"\$([A-Z]+)\$[0-9]+"),"")</f>
        <v>$G$26</v>
      </c>
      <c r="I24" t="e" cm="1">
        <f t="array" aca="1" ref="I24" ca="1">IF('Raw Data'!#REF!="",_xlfn.REGEXEXTRACT(CELL("address",'Raw Data'!#REF!),"\$([A-Z]+)\$[0-9]+"),"")</f>
        <v>#REF!</v>
      </c>
    </row>
    <row r="25" spans="2:9" x14ac:dyDescent="0.25">
      <c r="B25" t="str" cm="1">
        <f t="array" aca="1" ref="B25" ca="1">IF('Raw Data'!B27="",_xlfn.REGEXEXTRACT(CELL("address",'Raw Data'!B27),"\$([A-Z]+)\$[0-9]+"),"")</f>
        <v>$B$27</v>
      </c>
      <c r="C25" t="str" cm="1">
        <f t="array" aca="1" ref="C25" ca="1">IF('Raw Data'!C27="",_xlfn.REGEXEXTRACT(CELL("address",'Raw Data'!C27),"\$([A-Z]+)\$[0-9]+"),"")</f>
        <v>$C$27</v>
      </c>
      <c r="D25" t="str" cm="1">
        <f t="array" aca="1" ref="D25" ca="1">IF('Raw Data'!D27="",_xlfn.REGEXEXTRACT(CELL("address",'Raw Data'!D27),"\$([A-Z]+)\$[0-9]+"),"")</f>
        <v>$D$27</v>
      </c>
      <c r="E25" t="str" cm="1">
        <f t="array" aca="1" ref="E25" ca="1">IF('Raw Data'!E27="",_xlfn.REGEXEXTRACT(CELL("address",'Raw Data'!E27),"\$([A-Z]+)\$[0-9]+"),"")</f>
        <v>$E$27</v>
      </c>
      <c r="F25" t="str" cm="1">
        <f t="array" aca="1" ref="F25" ca="1">IF('Raw Data'!F27="",_xlfn.REGEXEXTRACT(CELL("address",'Raw Data'!F27),"\$([A-Z]+)\$[0-9]+"),"")</f>
        <v>$F$27</v>
      </c>
      <c r="G25" t="e" cm="1">
        <f t="array" aca="1" ref="G25" ca="1">IF('Raw Data'!#REF!="",_xlfn.REGEXEXTRACT(CELL("address",'Raw Data'!#REF!),"\$([A-Z]+)\$[0-9]+"),"")</f>
        <v>#REF!</v>
      </c>
      <c r="H25" t="str" cm="1">
        <f t="array" aca="1" ref="H25" ca="1">IF('Raw Data'!G27="",_xlfn.REGEXEXTRACT(CELL("address",'Raw Data'!G27),"\$([A-Z]+)\$[0-9]+"),"")</f>
        <v>$G$27</v>
      </c>
      <c r="I25" t="e" cm="1">
        <f t="array" aca="1" ref="I25" ca="1">IF('Raw Data'!#REF!="",_xlfn.REGEXEXTRACT(CELL("address",'Raw Data'!#REF!),"\$([A-Z]+)\$[0-9]+"),"")</f>
        <v>#REF!</v>
      </c>
    </row>
    <row r="26" spans="2:9" x14ac:dyDescent="0.25">
      <c r="B26" t="str" cm="1">
        <f t="array" aca="1" ref="B26" ca="1">IF('Raw Data'!B28="",_xlfn.REGEXEXTRACT(CELL("address",'Raw Data'!B28),"\$([A-Z]+)\$[0-9]+"),"")</f>
        <v>$B$28</v>
      </c>
      <c r="C26" t="str" cm="1">
        <f t="array" aca="1" ref="C26" ca="1">IF('Raw Data'!C28="",_xlfn.REGEXEXTRACT(CELL("address",'Raw Data'!C28),"\$([A-Z]+)\$[0-9]+"),"")</f>
        <v>$C$28</v>
      </c>
      <c r="D26" t="str" cm="1">
        <f t="array" aca="1" ref="D26" ca="1">IF('Raw Data'!D28="",_xlfn.REGEXEXTRACT(CELL("address",'Raw Data'!D28),"\$([A-Z]+)\$[0-9]+"),"")</f>
        <v>$D$28</v>
      </c>
      <c r="E26" t="str" cm="1">
        <f t="array" aca="1" ref="E26" ca="1">IF('Raw Data'!E28="",_xlfn.REGEXEXTRACT(CELL("address",'Raw Data'!E28),"\$([A-Z]+)\$[0-9]+"),"")</f>
        <v>$E$28</v>
      </c>
      <c r="F26" t="str" cm="1">
        <f t="array" aca="1" ref="F26" ca="1">IF('Raw Data'!F28="",_xlfn.REGEXEXTRACT(CELL("address",'Raw Data'!F28),"\$([A-Z]+)\$[0-9]+"),"")</f>
        <v>$F$28</v>
      </c>
      <c r="G26" t="e" cm="1">
        <f t="array" aca="1" ref="G26" ca="1">IF('Raw Data'!#REF!="",_xlfn.REGEXEXTRACT(CELL("address",'Raw Data'!#REF!),"\$([A-Z]+)\$[0-9]+"),"")</f>
        <v>#REF!</v>
      </c>
      <c r="H26" t="str" cm="1">
        <f t="array" aca="1" ref="H26" ca="1">IF('Raw Data'!G28="",_xlfn.REGEXEXTRACT(CELL("address",'Raw Data'!G28),"\$([A-Z]+)\$[0-9]+"),"")</f>
        <v>$G$28</v>
      </c>
      <c r="I26" t="e" cm="1">
        <f t="array" aca="1" ref="I26" ca="1">IF('Raw Data'!#REF!="",_xlfn.REGEXEXTRACT(CELL("address",'Raw Data'!#REF!),"\$([A-Z]+)\$[0-9]+"),"")</f>
        <v>#REF!</v>
      </c>
    </row>
    <row r="27" spans="2:9" x14ac:dyDescent="0.25">
      <c r="B27" t="str" cm="1">
        <f t="array" aca="1" ref="B27" ca="1">IF('Raw Data'!B29="",_xlfn.REGEXEXTRACT(CELL("address",'Raw Data'!B29),"\$([A-Z]+)\$[0-9]+"),"")</f>
        <v>$B$29</v>
      </c>
      <c r="C27" t="str" cm="1">
        <f t="array" aca="1" ref="C27" ca="1">IF('Raw Data'!C29="",_xlfn.REGEXEXTRACT(CELL("address",'Raw Data'!C29),"\$([A-Z]+)\$[0-9]+"),"")</f>
        <v>$C$29</v>
      </c>
      <c r="D27" t="str" cm="1">
        <f t="array" aca="1" ref="D27" ca="1">IF('Raw Data'!D29="",_xlfn.REGEXEXTRACT(CELL("address",'Raw Data'!D29),"\$([A-Z]+)\$[0-9]+"),"")</f>
        <v>$D$29</v>
      </c>
      <c r="E27" t="str" cm="1">
        <f t="array" aca="1" ref="E27" ca="1">IF('Raw Data'!E29="",_xlfn.REGEXEXTRACT(CELL("address",'Raw Data'!E29),"\$([A-Z]+)\$[0-9]+"),"")</f>
        <v>$E$29</v>
      </c>
      <c r="F27" t="str" cm="1">
        <f t="array" aca="1" ref="F27" ca="1">IF('Raw Data'!F29="",_xlfn.REGEXEXTRACT(CELL("address",'Raw Data'!F29),"\$([A-Z]+)\$[0-9]+"),"")</f>
        <v>$F$29</v>
      </c>
      <c r="G27" t="e" cm="1">
        <f t="array" aca="1" ref="G27" ca="1">IF('Raw Data'!#REF!="",_xlfn.REGEXEXTRACT(CELL("address",'Raw Data'!#REF!),"\$([A-Z]+)\$[0-9]+"),"")</f>
        <v>#REF!</v>
      </c>
      <c r="H27" t="str" cm="1">
        <f t="array" aca="1" ref="H27" ca="1">IF('Raw Data'!G29="",_xlfn.REGEXEXTRACT(CELL("address",'Raw Data'!G29),"\$([A-Z]+)\$[0-9]+"),"")</f>
        <v>$G$29</v>
      </c>
      <c r="I27" t="e" cm="1">
        <f t="array" aca="1" ref="I27" ca="1">IF('Raw Data'!#REF!="",_xlfn.REGEXEXTRACT(CELL("address",'Raw Data'!#REF!),"\$([A-Z]+)\$[0-9]+"),"")</f>
        <v>#REF!</v>
      </c>
    </row>
    <row r="28" spans="2:9" x14ac:dyDescent="0.25">
      <c r="B28" t="str" cm="1">
        <f t="array" aca="1" ref="B28" ca="1">IF('Raw Data'!B30="",_xlfn.REGEXEXTRACT(CELL("address",'Raw Data'!B30),"\$([A-Z]+)\$[0-9]+"),"")</f>
        <v>$B$30</v>
      </c>
      <c r="C28" t="str" cm="1">
        <f t="array" aca="1" ref="C28" ca="1">IF('Raw Data'!C30="",_xlfn.REGEXEXTRACT(CELL("address",'Raw Data'!C30),"\$([A-Z]+)\$[0-9]+"),"")</f>
        <v>$C$30</v>
      </c>
      <c r="D28" t="str" cm="1">
        <f t="array" aca="1" ref="D28" ca="1">IF('Raw Data'!D30="",_xlfn.REGEXEXTRACT(CELL("address",'Raw Data'!D30),"\$([A-Z]+)\$[0-9]+"),"")</f>
        <v>$D$30</v>
      </c>
      <c r="E28" t="str" cm="1">
        <f t="array" aca="1" ref="E28" ca="1">IF('Raw Data'!E30="",_xlfn.REGEXEXTRACT(CELL("address",'Raw Data'!E30),"\$([A-Z]+)\$[0-9]+"),"")</f>
        <v>$E$30</v>
      </c>
      <c r="F28" t="str" cm="1">
        <f t="array" aca="1" ref="F28" ca="1">IF('Raw Data'!F30="",_xlfn.REGEXEXTRACT(CELL("address",'Raw Data'!F30),"\$([A-Z]+)\$[0-9]+"),"")</f>
        <v>$F$30</v>
      </c>
      <c r="G28" t="e" cm="1">
        <f t="array" aca="1" ref="G28" ca="1">IF('Raw Data'!#REF!="",_xlfn.REGEXEXTRACT(CELL("address",'Raw Data'!#REF!),"\$([A-Z]+)\$[0-9]+"),"")</f>
        <v>#REF!</v>
      </c>
      <c r="H28" t="str" cm="1">
        <f t="array" aca="1" ref="H28" ca="1">IF('Raw Data'!G30="",_xlfn.REGEXEXTRACT(CELL("address",'Raw Data'!G30),"\$([A-Z]+)\$[0-9]+"),"")</f>
        <v>$G$30</v>
      </c>
      <c r="I28" t="e" cm="1">
        <f t="array" aca="1" ref="I28" ca="1">IF('Raw Data'!#REF!="",_xlfn.REGEXEXTRACT(CELL("address",'Raw Data'!#REF!),"\$([A-Z]+)\$[0-9]+"),"")</f>
        <v>#REF!</v>
      </c>
    </row>
    <row r="29" spans="2:9" x14ac:dyDescent="0.25">
      <c r="B29" t="str" cm="1">
        <f t="array" aca="1" ref="B29" ca="1">IF('Raw Data'!B31="",_xlfn.REGEXEXTRACT(CELL("address",'Raw Data'!B31),"\$([A-Z]+)\$[0-9]+"),"")</f>
        <v>$B$31</v>
      </c>
      <c r="C29" t="str" cm="1">
        <f t="array" aca="1" ref="C29" ca="1">IF('Raw Data'!C31="",_xlfn.REGEXEXTRACT(CELL("address",'Raw Data'!C31),"\$([A-Z]+)\$[0-9]+"),"")</f>
        <v>$C$31</v>
      </c>
      <c r="D29" t="str" cm="1">
        <f t="array" aca="1" ref="D29" ca="1">IF('Raw Data'!D31="",_xlfn.REGEXEXTRACT(CELL("address",'Raw Data'!D31),"\$([A-Z]+)\$[0-9]+"),"")</f>
        <v>$D$31</v>
      </c>
      <c r="E29" t="str" cm="1">
        <f t="array" aca="1" ref="E29" ca="1">IF('Raw Data'!E31="",_xlfn.REGEXEXTRACT(CELL("address",'Raw Data'!E31),"\$([A-Z]+)\$[0-9]+"),"")</f>
        <v>$E$31</v>
      </c>
      <c r="F29" t="str" cm="1">
        <f t="array" aca="1" ref="F29" ca="1">IF('Raw Data'!F31="",_xlfn.REGEXEXTRACT(CELL("address",'Raw Data'!F31),"\$([A-Z]+)\$[0-9]+"),"")</f>
        <v>$F$31</v>
      </c>
      <c r="G29" t="e" cm="1">
        <f t="array" aca="1" ref="G29" ca="1">IF('Raw Data'!#REF!="",_xlfn.REGEXEXTRACT(CELL("address",'Raw Data'!#REF!),"\$([A-Z]+)\$[0-9]+"),"")</f>
        <v>#REF!</v>
      </c>
      <c r="H29" t="str" cm="1">
        <f t="array" aca="1" ref="H29" ca="1">IF('Raw Data'!G31="",_xlfn.REGEXEXTRACT(CELL("address",'Raw Data'!G31),"\$([A-Z]+)\$[0-9]+"),"")</f>
        <v>$G$31</v>
      </c>
      <c r="I29" t="e" cm="1">
        <f t="array" aca="1" ref="I29" ca="1">IF('Raw Data'!#REF!="",_xlfn.REGEXEXTRACT(CELL("address",'Raw Data'!#REF!),"\$([A-Z]+)\$[0-9]+"),"")</f>
        <v>#REF!</v>
      </c>
    </row>
    <row r="30" spans="2:9" x14ac:dyDescent="0.25">
      <c r="B30" t="str" cm="1">
        <f t="array" aca="1" ref="B30" ca="1">IF('Raw Data'!B32="",_xlfn.REGEXEXTRACT(CELL("address",'Raw Data'!B32),"\$([A-Z]+)\$[0-9]+"),"")</f>
        <v>$B$32</v>
      </c>
      <c r="C30" t="str" cm="1">
        <f t="array" aca="1" ref="C30" ca="1">IF('Raw Data'!C32="",_xlfn.REGEXEXTRACT(CELL("address",'Raw Data'!C32),"\$([A-Z]+)\$[0-9]+"),"")</f>
        <v>$C$32</v>
      </c>
      <c r="D30" t="str" cm="1">
        <f t="array" aca="1" ref="D30" ca="1">IF('Raw Data'!D32="",_xlfn.REGEXEXTRACT(CELL("address",'Raw Data'!D32),"\$([A-Z]+)\$[0-9]+"),"")</f>
        <v>$D$32</v>
      </c>
      <c r="E30" t="str" cm="1">
        <f t="array" aca="1" ref="E30" ca="1">IF('Raw Data'!E32="",_xlfn.REGEXEXTRACT(CELL("address",'Raw Data'!E32),"\$([A-Z]+)\$[0-9]+"),"")</f>
        <v>$E$32</v>
      </c>
      <c r="F30" t="str" cm="1">
        <f t="array" aca="1" ref="F30" ca="1">IF('Raw Data'!F32="",_xlfn.REGEXEXTRACT(CELL("address",'Raw Data'!F32),"\$([A-Z]+)\$[0-9]+"),"")</f>
        <v>$F$32</v>
      </c>
      <c r="G30" t="e" cm="1">
        <f t="array" aca="1" ref="G30" ca="1">IF('Raw Data'!#REF!="",_xlfn.REGEXEXTRACT(CELL("address",'Raw Data'!#REF!),"\$([A-Z]+)\$[0-9]+"),"")</f>
        <v>#REF!</v>
      </c>
      <c r="H30" t="str" cm="1">
        <f t="array" aca="1" ref="H30" ca="1">IF('Raw Data'!G32="",_xlfn.REGEXEXTRACT(CELL("address",'Raw Data'!G32),"\$([A-Z]+)\$[0-9]+"),"")</f>
        <v>$G$32</v>
      </c>
      <c r="I30" t="e" cm="1">
        <f t="array" aca="1" ref="I30" ca="1">IF('Raw Data'!#REF!="",_xlfn.REGEXEXTRACT(CELL("address",'Raw Data'!#REF!),"\$([A-Z]+)\$[0-9]+"),"")</f>
        <v>#REF!</v>
      </c>
    </row>
    <row r="31" spans="2:9" x14ac:dyDescent="0.25">
      <c r="B31" t="str" cm="1">
        <f t="array" aca="1" ref="B31" ca="1">IF('Raw Data'!B33="",_xlfn.REGEXEXTRACT(CELL("address",'Raw Data'!B33),"\$([A-Z]+)\$[0-9]+"),"")</f>
        <v>$B$33</v>
      </c>
      <c r="C31" t="str" cm="1">
        <f t="array" aca="1" ref="C31" ca="1">IF('Raw Data'!C33="",_xlfn.REGEXEXTRACT(CELL("address",'Raw Data'!C33),"\$([A-Z]+)\$[0-9]+"),"")</f>
        <v>$C$33</v>
      </c>
      <c r="D31" t="str" cm="1">
        <f t="array" aca="1" ref="D31" ca="1">IF('Raw Data'!D33="",_xlfn.REGEXEXTRACT(CELL("address",'Raw Data'!D33),"\$([A-Z]+)\$[0-9]+"),"")</f>
        <v>$D$33</v>
      </c>
      <c r="E31" t="str" cm="1">
        <f t="array" aca="1" ref="E31" ca="1">IF('Raw Data'!E33="",_xlfn.REGEXEXTRACT(CELL("address",'Raw Data'!E33),"\$([A-Z]+)\$[0-9]+"),"")</f>
        <v>$E$33</v>
      </c>
      <c r="F31" t="str" cm="1">
        <f t="array" aca="1" ref="F31" ca="1">IF('Raw Data'!F33="",_xlfn.REGEXEXTRACT(CELL("address",'Raw Data'!F33),"\$([A-Z]+)\$[0-9]+"),"")</f>
        <v>$F$33</v>
      </c>
      <c r="G31" t="e" cm="1">
        <f t="array" aca="1" ref="G31" ca="1">IF('Raw Data'!#REF!="",_xlfn.REGEXEXTRACT(CELL("address",'Raw Data'!#REF!),"\$([A-Z]+)\$[0-9]+"),"")</f>
        <v>#REF!</v>
      </c>
      <c r="H31" t="str" cm="1">
        <f t="array" aca="1" ref="H31" ca="1">IF('Raw Data'!G33="",_xlfn.REGEXEXTRACT(CELL("address",'Raw Data'!G33),"\$([A-Z]+)\$[0-9]+"),"")</f>
        <v>$G$33</v>
      </c>
      <c r="I31" t="e" cm="1">
        <f t="array" aca="1" ref="I31" ca="1">IF('Raw Data'!#REF!="",_xlfn.REGEXEXTRACT(CELL("address",'Raw Data'!#REF!),"\$([A-Z]+)\$[0-9]+"),"")</f>
        <v>#REF!</v>
      </c>
    </row>
    <row r="32" spans="2:9" x14ac:dyDescent="0.25">
      <c r="B32" t="str" cm="1">
        <f t="array" aca="1" ref="B32" ca="1">IF('Raw Data'!B34="",_xlfn.REGEXEXTRACT(CELL("address",'Raw Data'!B34),"\$([A-Z]+)\$[0-9]+"),"")</f>
        <v>$B$34</v>
      </c>
      <c r="C32" t="str" cm="1">
        <f t="array" aca="1" ref="C32" ca="1">IF('Raw Data'!C34="",_xlfn.REGEXEXTRACT(CELL("address",'Raw Data'!C34),"\$([A-Z]+)\$[0-9]+"),"")</f>
        <v>$C$34</v>
      </c>
      <c r="D32" t="str" cm="1">
        <f t="array" aca="1" ref="D32" ca="1">IF('Raw Data'!D34="",_xlfn.REGEXEXTRACT(CELL("address",'Raw Data'!D34),"\$([A-Z]+)\$[0-9]+"),"")</f>
        <v>$D$34</v>
      </c>
      <c r="E32" t="str" cm="1">
        <f t="array" aca="1" ref="E32" ca="1">IF('Raw Data'!E34="",_xlfn.REGEXEXTRACT(CELL("address",'Raw Data'!E34),"\$([A-Z]+)\$[0-9]+"),"")</f>
        <v>$E$34</v>
      </c>
      <c r="F32" t="str" cm="1">
        <f t="array" aca="1" ref="F32" ca="1">IF('Raw Data'!F34="",_xlfn.REGEXEXTRACT(CELL("address",'Raw Data'!F34),"\$([A-Z]+)\$[0-9]+"),"")</f>
        <v>$F$34</v>
      </c>
      <c r="G32" t="e" cm="1">
        <f t="array" aca="1" ref="G32" ca="1">IF('Raw Data'!#REF!="",_xlfn.REGEXEXTRACT(CELL("address",'Raw Data'!#REF!),"\$([A-Z]+)\$[0-9]+"),"")</f>
        <v>#REF!</v>
      </c>
      <c r="H32" t="str" cm="1">
        <f t="array" aca="1" ref="H32" ca="1">IF('Raw Data'!G34="",_xlfn.REGEXEXTRACT(CELL("address",'Raw Data'!G34),"\$([A-Z]+)\$[0-9]+"),"")</f>
        <v>$G$34</v>
      </c>
      <c r="I32" t="e" cm="1">
        <f t="array" aca="1" ref="I32" ca="1">IF('Raw Data'!#REF!="",_xlfn.REGEXEXTRACT(CELL("address",'Raw Data'!#REF!),"\$([A-Z]+)\$[0-9]+"),"")</f>
        <v>#REF!</v>
      </c>
    </row>
    <row r="33" spans="2:9" x14ac:dyDescent="0.25">
      <c r="B33" t="str" cm="1">
        <f t="array" aca="1" ref="B33" ca="1">IF('Raw Data'!B35="",_xlfn.REGEXEXTRACT(CELL("address",'Raw Data'!B35),"\$([A-Z]+)\$[0-9]+"),"")</f>
        <v>$B$35</v>
      </c>
      <c r="C33" t="str" cm="1">
        <f t="array" aca="1" ref="C33" ca="1">IF('Raw Data'!C35="",_xlfn.REGEXEXTRACT(CELL("address",'Raw Data'!C35),"\$([A-Z]+)\$[0-9]+"),"")</f>
        <v>$C$35</v>
      </c>
      <c r="D33" t="str" cm="1">
        <f t="array" aca="1" ref="D33" ca="1">IF('Raw Data'!D35="",_xlfn.REGEXEXTRACT(CELL("address",'Raw Data'!D35),"\$([A-Z]+)\$[0-9]+"),"")</f>
        <v>$D$35</v>
      </c>
      <c r="E33" t="str" cm="1">
        <f t="array" aca="1" ref="E33" ca="1">IF('Raw Data'!E35="",_xlfn.REGEXEXTRACT(CELL("address",'Raw Data'!E35),"\$([A-Z]+)\$[0-9]+"),"")</f>
        <v>$E$35</v>
      </c>
      <c r="F33" t="str" cm="1">
        <f t="array" aca="1" ref="F33" ca="1">IF('Raw Data'!F35="",_xlfn.REGEXEXTRACT(CELL("address",'Raw Data'!F35),"\$([A-Z]+)\$[0-9]+"),"")</f>
        <v>$F$35</v>
      </c>
      <c r="G33" t="e" cm="1">
        <f t="array" aca="1" ref="G33" ca="1">IF('Raw Data'!#REF!="",_xlfn.REGEXEXTRACT(CELL("address",'Raw Data'!#REF!),"\$([A-Z]+)\$[0-9]+"),"")</f>
        <v>#REF!</v>
      </c>
      <c r="H33" t="str" cm="1">
        <f t="array" aca="1" ref="H33" ca="1">IF('Raw Data'!G35="",_xlfn.REGEXEXTRACT(CELL("address",'Raw Data'!G35),"\$([A-Z]+)\$[0-9]+"),"")</f>
        <v>$G$35</v>
      </c>
      <c r="I33" t="e" cm="1">
        <f t="array" aca="1" ref="I33" ca="1">IF('Raw Data'!#REF!="",_xlfn.REGEXEXTRACT(CELL("address",'Raw Data'!#REF!),"\$([A-Z]+)\$[0-9]+"),"")</f>
        <v>#REF!</v>
      </c>
    </row>
    <row r="34" spans="2:9" x14ac:dyDescent="0.25">
      <c r="B34" t="str" cm="1">
        <f t="array" aca="1" ref="B34" ca="1">IF('Raw Data'!B36="",_xlfn.REGEXEXTRACT(CELL("address",'Raw Data'!B36),"\$([A-Z]+)\$[0-9]+"),"")</f>
        <v>$B$36</v>
      </c>
      <c r="C34" t="str" cm="1">
        <f t="array" aca="1" ref="C34" ca="1">IF('Raw Data'!C36="",_xlfn.REGEXEXTRACT(CELL("address",'Raw Data'!C36),"\$([A-Z]+)\$[0-9]+"),"")</f>
        <v>$C$36</v>
      </c>
      <c r="D34" t="str" cm="1">
        <f t="array" aca="1" ref="D34" ca="1">IF('Raw Data'!D36="",_xlfn.REGEXEXTRACT(CELL("address",'Raw Data'!D36),"\$([A-Z]+)\$[0-9]+"),"")</f>
        <v>$D$36</v>
      </c>
      <c r="E34" t="str" cm="1">
        <f t="array" aca="1" ref="E34" ca="1">IF('Raw Data'!E36="",_xlfn.REGEXEXTRACT(CELL("address",'Raw Data'!E36),"\$([A-Z]+)\$[0-9]+"),"")</f>
        <v>$E$36</v>
      </c>
      <c r="F34" t="str" cm="1">
        <f t="array" aca="1" ref="F34" ca="1">IF('Raw Data'!F36="",_xlfn.REGEXEXTRACT(CELL("address",'Raw Data'!F36),"\$([A-Z]+)\$[0-9]+"),"")</f>
        <v>$F$36</v>
      </c>
      <c r="G34" t="e" cm="1">
        <f t="array" aca="1" ref="G34" ca="1">IF('Raw Data'!#REF!="",_xlfn.REGEXEXTRACT(CELL("address",'Raw Data'!#REF!),"\$([A-Z]+)\$[0-9]+"),"")</f>
        <v>#REF!</v>
      </c>
      <c r="H34" t="str" cm="1">
        <f t="array" aca="1" ref="H34" ca="1">IF('Raw Data'!G36="",_xlfn.REGEXEXTRACT(CELL("address",'Raw Data'!G36),"\$([A-Z]+)\$[0-9]+"),"")</f>
        <v>$G$36</v>
      </c>
      <c r="I34" t="e" cm="1">
        <f t="array" aca="1" ref="I34" ca="1">IF('Raw Data'!#REF!="",_xlfn.REGEXEXTRACT(CELL("address",'Raw Data'!#REF!),"\$([A-Z]+)\$[0-9]+"),"")</f>
        <v>#REF!</v>
      </c>
    </row>
    <row r="35" spans="2:9" x14ac:dyDescent="0.25">
      <c r="B35" t="str" cm="1">
        <f t="array" aca="1" ref="B35" ca="1">IF('Raw Data'!B37="",_xlfn.REGEXEXTRACT(CELL("address",'Raw Data'!B37),"\$([A-Z]+)\$[0-9]+"),"")</f>
        <v>$B$37</v>
      </c>
      <c r="C35" t="str" cm="1">
        <f t="array" aca="1" ref="C35" ca="1">IF('Raw Data'!C37="",_xlfn.REGEXEXTRACT(CELL("address",'Raw Data'!C37),"\$([A-Z]+)\$[0-9]+"),"")</f>
        <v>$C$37</v>
      </c>
      <c r="D35" t="str" cm="1">
        <f t="array" aca="1" ref="D35" ca="1">IF('Raw Data'!D37="",_xlfn.REGEXEXTRACT(CELL("address",'Raw Data'!D37),"\$([A-Z]+)\$[0-9]+"),"")</f>
        <v>$D$37</v>
      </c>
      <c r="E35" t="str" cm="1">
        <f t="array" aca="1" ref="E35" ca="1">IF('Raw Data'!E37="",_xlfn.REGEXEXTRACT(CELL("address",'Raw Data'!E37),"\$([A-Z]+)\$[0-9]+"),"")</f>
        <v>$E$37</v>
      </c>
      <c r="F35" t="str" cm="1">
        <f t="array" aca="1" ref="F35" ca="1">IF('Raw Data'!F37="",_xlfn.REGEXEXTRACT(CELL("address",'Raw Data'!F37),"\$([A-Z]+)\$[0-9]+"),"")</f>
        <v>$F$37</v>
      </c>
      <c r="G35" t="e" cm="1">
        <f t="array" aca="1" ref="G35" ca="1">IF('Raw Data'!#REF!="",_xlfn.REGEXEXTRACT(CELL("address",'Raw Data'!#REF!),"\$([A-Z]+)\$[0-9]+"),"")</f>
        <v>#REF!</v>
      </c>
      <c r="H35" t="str" cm="1">
        <f t="array" aca="1" ref="H35" ca="1">IF('Raw Data'!G37="",_xlfn.REGEXEXTRACT(CELL("address",'Raw Data'!G37),"\$([A-Z]+)\$[0-9]+"),"")</f>
        <v>$G$37</v>
      </c>
      <c r="I35" t="e" cm="1">
        <f t="array" aca="1" ref="I35" ca="1">IF('Raw Data'!#REF!="",_xlfn.REGEXEXTRACT(CELL("address",'Raw Data'!#REF!),"\$([A-Z]+)\$[0-9]+"),"")</f>
        <v>#REF!</v>
      </c>
    </row>
    <row r="36" spans="2:9" x14ac:dyDescent="0.25">
      <c r="B36" t="str" cm="1">
        <f t="array" aca="1" ref="B36" ca="1">IF('Raw Data'!B38="",_xlfn.REGEXEXTRACT(CELL("address",'Raw Data'!B38),"\$([A-Z]+)\$[0-9]+"),"")</f>
        <v>$B$38</v>
      </c>
      <c r="C36" t="str" cm="1">
        <f t="array" aca="1" ref="C36" ca="1">IF('Raw Data'!C38="",_xlfn.REGEXEXTRACT(CELL("address",'Raw Data'!C38),"\$([A-Z]+)\$[0-9]+"),"")</f>
        <v>$C$38</v>
      </c>
      <c r="D36" t="str" cm="1">
        <f t="array" aca="1" ref="D36" ca="1">IF('Raw Data'!D38="",_xlfn.REGEXEXTRACT(CELL("address",'Raw Data'!D38),"\$([A-Z]+)\$[0-9]+"),"")</f>
        <v>$D$38</v>
      </c>
      <c r="E36" t="str" cm="1">
        <f t="array" aca="1" ref="E36" ca="1">IF('Raw Data'!E38="",_xlfn.REGEXEXTRACT(CELL("address",'Raw Data'!E38),"\$([A-Z]+)\$[0-9]+"),"")</f>
        <v>$E$38</v>
      </c>
      <c r="F36" t="str" cm="1">
        <f t="array" aca="1" ref="F36" ca="1">IF('Raw Data'!F38="",_xlfn.REGEXEXTRACT(CELL("address",'Raw Data'!F38),"\$([A-Z]+)\$[0-9]+"),"")</f>
        <v>$F$38</v>
      </c>
      <c r="G36" t="e" cm="1">
        <f t="array" aca="1" ref="G36" ca="1">IF('Raw Data'!#REF!="",_xlfn.REGEXEXTRACT(CELL("address",'Raw Data'!#REF!),"\$([A-Z]+)\$[0-9]+"),"")</f>
        <v>#REF!</v>
      </c>
      <c r="H36" t="str" cm="1">
        <f t="array" aca="1" ref="H36" ca="1">IF('Raw Data'!G38="",_xlfn.REGEXEXTRACT(CELL("address",'Raw Data'!G38),"\$([A-Z]+)\$[0-9]+"),"")</f>
        <v>$G$38</v>
      </c>
      <c r="I36" t="e" cm="1">
        <f t="array" aca="1" ref="I36" ca="1">IF('Raw Data'!#REF!="",_xlfn.REGEXEXTRACT(CELL("address",'Raw Data'!#REF!),"\$([A-Z]+)\$[0-9]+"),"")</f>
        <v>#REF!</v>
      </c>
    </row>
    <row r="37" spans="2:9" x14ac:dyDescent="0.25">
      <c r="B37" t="str" cm="1">
        <f t="array" aca="1" ref="B37" ca="1">IF('Raw Data'!B39="",_xlfn.REGEXEXTRACT(CELL("address",'Raw Data'!B39),"\$([A-Z]+)\$[0-9]+"),"")</f>
        <v>$B$39</v>
      </c>
      <c r="C37" t="str" cm="1">
        <f t="array" aca="1" ref="C37" ca="1">IF('Raw Data'!C39="",_xlfn.REGEXEXTRACT(CELL("address",'Raw Data'!C39),"\$([A-Z]+)\$[0-9]+"),"")</f>
        <v>$C$39</v>
      </c>
      <c r="D37" t="str" cm="1">
        <f t="array" aca="1" ref="D37" ca="1">IF('Raw Data'!D39="",_xlfn.REGEXEXTRACT(CELL("address",'Raw Data'!D39),"\$([A-Z]+)\$[0-9]+"),"")</f>
        <v>$D$39</v>
      </c>
      <c r="E37" t="str" cm="1">
        <f t="array" aca="1" ref="E37" ca="1">IF('Raw Data'!E39="",_xlfn.REGEXEXTRACT(CELL("address",'Raw Data'!E39),"\$([A-Z]+)\$[0-9]+"),"")</f>
        <v>$E$39</v>
      </c>
      <c r="F37" t="str" cm="1">
        <f t="array" aca="1" ref="F37" ca="1">IF('Raw Data'!F39="",_xlfn.REGEXEXTRACT(CELL("address",'Raw Data'!F39),"\$([A-Z]+)\$[0-9]+"),"")</f>
        <v>$F$39</v>
      </c>
      <c r="G37" t="e" cm="1">
        <f t="array" aca="1" ref="G37" ca="1">IF('Raw Data'!#REF!="",_xlfn.REGEXEXTRACT(CELL("address",'Raw Data'!#REF!),"\$([A-Z]+)\$[0-9]+"),"")</f>
        <v>#REF!</v>
      </c>
      <c r="H37" t="str" cm="1">
        <f t="array" aca="1" ref="H37" ca="1">IF('Raw Data'!G39="",_xlfn.REGEXEXTRACT(CELL("address",'Raw Data'!G39),"\$([A-Z]+)\$[0-9]+"),"")</f>
        <v>$G$39</v>
      </c>
      <c r="I37" t="e" cm="1">
        <f t="array" aca="1" ref="I37" ca="1">IF('Raw Data'!#REF!="",_xlfn.REGEXEXTRACT(CELL("address",'Raw Data'!#REF!),"\$([A-Z]+)\$[0-9]+"),"")</f>
        <v>#REF!</v>
      </c>
    </row>
    <row r="38" spans="2:9" x14ac:dyDescent="0.25">
      <c r="B38" t="str" cm="1">
        <f t="array" aca="1" ref="B38" ca="1">IF('Raw Data'!B40="",_xlfn.REGEXEXTRACT(CELL("address",'Raw Data'!B40),"\$([A-Z]+)\$[0-9]+"),"")</f>
        <v>$B$40</v>
      </c>
      <c r="C38" t="str" cm="1">
        <f t="array" aca="1" ref="C38" ca="1">IF('Raw Data'!C40="",_xlfn.REGEXEXTRACT(CELL("address",'Raw Data'!C40),"\$([A-Z]+)\$[0-9]+"),"")</f>
        <v>$C$40</v>
      </c>
      <c r="D38" t="str" cm="1">
        <f t="array" aca="1" ref="D38" ca="1">IF('Raw Data'!D40="",_xlfn.REGEXEXTRACT(CELL("address",'Raw Data'!D40),"\$([A-Z]+)\$[0-9]+"),"")</f>
        <v>$D$40</v>
      </c>
      <c r="E38" t="str" cm="1">
        <f t="array" aca="1" ref="E38" ca="1">IF('Raw Data'!E40="",_xlfn.REGEXEXTRACT(CELL("address",'Raw Data'!E40),"\$([A-Z]+)\$[0-9]+"),"")</f>
        <v>$E$40</v>
      </c>
      <c r="F38" t="str" cm="1">
        <f t="array" aca="1" ref="F38" ca="1">IF('Raw Data'!F40="",_xlfn.REGEXEXTRACT(CELL("address",'Raw Data'!F40),"\$([A-Z]+)\$[0-9]+"),"")</f>
        <v>$F$40</v>
      </c>
      <c r="G38" t="e" cm="1">
        <f t="array" aca="1" ref="G38" ca="1">IF('Raw Data'!#REF!="",_xlfn.REGEXEXTRACT(CELL("address",'Raw Data'!#REF!),"\$([A-Z]+)\$[0-9]+"),"")</f>
        <v>#REF!</v>
      </c>
      <c r="H38" t="str" cm="1">
        <f t="array" aca="1" ref="H38" ca="1">IF('Raw Data'!G40="",_xlfn.REGEXEXTRACT(CELL("address",'Raw Data'!G40),"\$([A-Z]+)\$[0-9]+"),"")</f>
        <v>$G$40</v>
      </c>
      <c r="I38" t="e" cm="1">
        <f t="array" aca="1" ref="I38" ca="1">IF('Raw Data'!#REF!="",_xlfn.REGEXEXTRACT(CELL("address",'Raw Data'!#REF!),"\$([A-Z]+)\$[0-9]+"),"")</f>
        <v>#REF!</v>
      </c>
    </row>
    <row r="39" spans="2:9" x14ac:dyDescent="0.25">
      <c r="B39" t="str" cm="1">
        <f t="array" aca="1" ref="B39" ca="1">IF('Raw Data'!B41="",_xlfn.REGEXEXTRACT(CELL("address",'Raw Data'!B41),"\$([A-Z]+)\$[0-9]+"),"")</f>
        <v>$B$41</v>
      </c>
      <c r="C39" t="str" cm="1">
        <f t="array" aca="1" ref="C39" ca="1">IF('Raw Data'!C41="",_xlfn.REGEXEXTRACT(CELL("address",'Raw Data'!C41),"\$([A-Z]+)\$[0-9]+"),"")</f>
        <v>$C$41</v>
      </c>
      <c r="D39" t="str" cm="1">
        <f t="array" aca="1" ref="D39" ca="1">IF('Raw Data'!D41="",_xlfn.REGEXEXTRACT(CELL("address",'Raw Data'!D41),"\$([A-Z]+)\$[0-9]+"),"")</f>
        <v>$D$41</v>
      </c>
      <c r="E39" t="str" cm="1">
        <f t="array" aca="1" ref="E39" ca="1">IF('Raw Data'!E41="",_xlfn.REGEXEXTRACT(CELL("address",'Raw Data'!E41),"\$([A-Z]+)\$[0-9]+"),"")</f>
        <v>$E$41</v>
      </c>
      <c r="F39" t="str" cm="1">
        <f t="array" aca="1" ref="F39" ca="1">IF('Raw Data'!F41="",_xlfn.REGEXEXTRACT(CELL("address",'Raw Data'!F41),"\$([A-Z]+)\$[0-9]+"),"")</f>
        <v>$F$41</v>
      </c>
      <c r="G39" t="e" cm="1">
        <f t="array" aca="1" ref="G39" ca="1">IF('Raw Data'!#REF!="",_xlfn.REGEXEXTRACT(CELL("address",'Raw Data'!#REF!),"\$([A-Z]+)\$[0-9]+"),"")</f>
        <v>#REF!</v>
      </c>
      <c r="H39" t="str" cm="1">
        <f t="array" aca="1" ref="H39" ca="1">IF('Raw Data'!G41="",_xlfn.REGEXEXTRACT(CELL("address",'Raw Data'!G41),"\$([A-Z]+)\$[0-9]+"),"")</f>
        <v>$G$41</v>
      </c>
      <c r="I39" t="e" cm="1">
        <f t="array" aca="1" ref="I39" ca="1">IF('Raw Data'!#REF!="",_xlfn.REGEXEXTRACT(CELL("address",'Raw Data'!#REF!),"\$([A-Z]+)\$[0-9]+"),"")</f>
        <v>#REF!</v>
      </c>
    </row>
    <row r="40" spans="2:9" x14ac:dyDescent="0.25">
      <c r="B40" t="str" cm="1">
        <f t="array" aca="1" ref="B40" ca="1">IF('Raw Data'!B42="",_xlfn.REGEXEXTRACT(CELL("address",'Raw Data'!B42),"\$([A-Z]+)\$[0-9]+"),"")</f>
        <v>$B$42</v>
      </c>
      <c r="C40" t="str" cm="1">
        <f t="array" aca="1" ref="C40" ca="1">IF('Raw Data'!C42="",_xlfn.REGEXEXTRACT(CELL("address",'Raw Data'!C42),"\$([A-Z]+)\$[0-9]+"),"")</f>
        <v>$C$42</v>
      </c>
      <c r="D40" t="str" cm="1">
        <f t="array" aca="1" ref="D40" ca="1">IF('Raw Data'!D42="",_xlfn.REGEXEXTRACT(CELL("address",'Raw Data'!D42),"\$([A-Z]+)\$[0-9]+"),"")</f>
        <v>$D$42</v>
      </c>
      <c r="E40" t="str" cm="1">
        <f t="array" aca="1" ref="E40" ca="1">IF('Raw Data'!E42="",_xlfn.REGEXEXTRACT(CELL("address",'Raw Data'!E42),"\$([A-Z]+)\$[0-9]+"),"")</f>
        <v>$E$42</v>
      </c>
      <c r="F40" t="str" cm="1">
        <f t="array" aca="1" ref="F40" ca="1">IF('Raw Data'!F42="",_xlfn.REGEXEXTRACT(CELL("address",'Raw Data'!F42),"\$([A-Z]+)\$[0-9]+"),"")</f>
        <v>$F$42</v>
      </c>
      <c r="G40" t="e" cm="1">
        <f t="array" aca="1" ref="G40" ca="1">IF('Raw Data'!#REF!="",_xlfn.REGEXEXTRACT(CELL("address",'Raw Data'!#REF!),"\$([A-Z]+)\$[0-9]+"),"")</f>
        <v>#REF!</v>
      </c>
      <c r="H40" t="str" cm="1">
        <f t="array" aca="1" ref="H40" ca="1">IF('Raw Data'!G42="",_xlfn.REGEXEXTRACT(CELL("address",'Raw Data'!G42),"\$([A-Z]+)\$[0-9]+"),"")</f>
        <v>$G$42</v>
      </c>
      <c r="I40" t="e" cm="1">
        <f t="array" aca="1" ref="I40" ca="1">IF('Raw Data'!#REF!="",_xlfn.REGEXEXTRACT(CELL("address",'Raw Data'!#REF!),"\$([A-Z]+)\$[0-9]+"),"")</f>
        <v>#REF!</v>
      </c>
    </row>
    <row r="41" spans="2:9" x14ac:dyDescent="0.25">
      <c r="B41" t="str" cm="1">
        <f t="array" aca="1" ref="B41" ca="1">IF('Raw Data'!B43="",_xlfn.REGEXEXTRACT(CELL("address",'Raw Data'!B43),"\$([A-Z]+)\$[0-9]+"),"")</f>
        <v>$B$43</v>
      </c>
      <c r="C41" t="str" cm="1">
        <f t="array" aca="1" ref="C41" ca="1">IF('Raw Data'!C43="",_xlfn.REGEXEXTRACT(CELL("address",'Raw Data'!C43),"\$([A-Z]+)\$[0-9]+"),"")</f>
        <v>$C$43</v>
      </c>
      <c r="D41" t="str" cm="1">
        <f t="array" aca="1" ref="D41" ca="1">IF('Raw Data'!D43="",_xlfn.REGEXEXTRACT(CELL("address",'Raw Data'!D43),"\$([A-Z]+)\$[0-9]+"),"")</f>
        <v>$D$43</v>
      </c>
      <c r="E41" t="str" cm="1">
        <f t="array" aca="1" ref="E41" ca="1">IF('Raw Data'!E43="",_xlfn.REGEXEXTRACT(CELL("address",'Raw Data'!E43),"\$([A-Z]+)\$[0-9]+"),"")</f>
        <v>$E$43</v>
      </c>
      <c r="F41" t="str" cm="1">
        <f t="array" aca="1" ref="F41" ca="1">IF('Raw Data'!F43="",_xlfn.REGEXEXTRACT(CELL("address",'Raw Data'!F43),"\$([A-Z]+)\$[0-9]+"),"")</f>
        <v>$F$43</v>
      </c>
      <c r="G41" t="e" cm="1">
        <f t="array" aca="1" ref="G41" ca="1">IF('Raw Data'!#REF!="",_xlfn.REGEXEXTRACT(CELL("address",'Raw Data'!#REF!),"\$([A-Z]+)\$[0-9]+"),"")</f>
        <v>#REF!</v>
      </c>
      <c r="H41" t="str" cm="1">
        <f t="array" aca="1" ref="H41" ca="1">IF('Raw Data'!G43="",_xlfn.REGEXEXTRACT(CELL("address",'Raw Data'!G43),"\$([A-Z]+)\$[0-9]+"),"")</f>
        <v>$G$43</v>
      </c>
      <c r="I41" t="e" cm="1">
        <f t="array" aca="1" ref="I41" ca="1">IF('Raw Data'!#REF!="",_xlfn.REGEXEXTRACT(CELL("address",'Raw Data'!#REF!),"\$([A-Z]+)\$[0-9]+"),"")</f>
        <v>#REF!</v>
      </c>
    </row>
    <row r="42" spans="2:9" x14ac:dyDescent="0.25">
      <c r="B42" t="str" cm="1">
        <f t="array" aca="1" ref="B42" ca="1">IF('Raw Data'!B44="",_xlfn.REGEXEXTRACT(CELL("address",'Raw Data'!B44),"\$([A-Z]+)\$[0-9]+"),"")</f>
        <v>$B$44</v>
      </c>
      <c r="C42" t="str" cm="1">
        <f t="array" aca="1" ref="C42" ca="1">IF('Raw Data'!C44="",_xlfn.REGEXEXTRACT(CELL("address",'Raw Data'!C44),"\$([A-Z]+)\$[0-9]+"),"")</f>
        <v>$C$44</v>
      </c>
      <c r="D42" t="str" cm="1">
        <f t="array" aca="1" ref="D42" ca="1">IF('Raw Data'!D44="",_xlfn.REGEXEXTRACT(CELL("address",'Raw Data'!D44),"\$([A-Z]+)\$[0-9]+"),"")</f>
        <v>$D$44</v>
      </c>
      <c r="E42" t="str" cm="1">
        <f t="array" aca="1" ref="E42" ca="1">IF('Raw Data'!E44="",_xlfn.REGEXEXTRACT(CELL("address",'Raw Data'!E44),"\$([A-Z]+)\$[0-9]+"),"")</f>
        <v>$E$44</v>
      </c>
      <c r="F42" t="str" cm="1">
        <f t="array" aca="1" ref="F42" ca="1">IF('Raw Data'!F44="",_xlfn.REGEXEXTRACT(CELL("address",'Raw Data'!F44),"\$([A-Z]+)\$[0-9]+"),"")</f>
        <v>$F$44</v>
      </c>
      <c r="G42" t="e" cm="1">
        <f t="array" aca="1" ref="G42" ca="1">IF('Raw Data'!#REF!="",_xlfn.REGEXEXTRACT(CELL("address",'Raw Data'!#REF!),"\$([A-Z]+)\$[0-9]+"),"")</f>
        <v>#REF!</v>
      </c>
      <c r="H42" t="str" cm="1">
        <f t="array" aca="1" ref="H42" ca="1">IF('Raw Data'!G44="",_xlfn.REGEXEXTRACT(CELL("address",'Raw Data'!G44),"\$([A-Z]+)\$[0-9]+"),"")</f>
        <v>$G$44</v>
      </c>
      <c r="I42" t="e" cm="1">
        <f t="array" aca="1" ref="I42" ca="1">IF('Raw Data'!#REF!="",_xlfn.REGEXEXTRACT(CELL("address",'Raw Data'!#REF!),"\$([A-Z]+)\$[0-9]+"),"")</f>
        <v>#REF!</v>
      </c>
    </row>
    <row r="43" spans="2:9" x14ac:dyDescent="0.25">
      <c r="B43" t="str" cm="1">
        <f t="array" aca="1" ref="B43" ca="1">IF('Raw Data'!B45="",_xlfn.REGEXEXTRACT(CELL("address",'Raw Data'!B45),"\$([A-Z]+)\$[0-9]+"),"")</f>
        <v>$B$45</v>
      </c>
      <c r="C43" t="str" cm="1">
        <f t="array" aca="1" ref="C43" ca="1">IF('Raw Data'!C45="",_xlfn.REGEXEXTRACT(CELL("address",'Raw Data'!C45),"\$([A-Z]+)\$[0-9]+"),"")</f>
        <v>$C$45</v>
      </c>
      <c r="D43" t="str" cm="1">
        <f t="array" aca="1" ref="D43" ca="1">IF('Raw Data'!D45="",_xlfn.REGEXEXTRACT(CELL("address",'Raw Data'!D45),"\$([A-Z]+)\$[0-9]+"),"")</f>
        <v>$D$45</v>
      </c>
      <c r="E43" t="str" cm="1">
        <f t="array" aca="1" ref="E43" ca="1">IF('Raw Data'!E45="",_xlfn.REGEXEXTRACT(CELL("address",'Raw Data'!E45),"\$([A-Z]+)\$[0-9]+"),"")</f>
        <v>$E$45</v>
      </c>
      <c r="F43" t="str" cm="1">
        <f t="array" aca="1" ref="F43" ca="1">IF('Raw Data'!F45="",_xlfn.REGEXEXTRACT(CELL("address",'Raw Data'!F45),"\$([A-Z]+)\$[0-9]+"),"")</f>
        <v>$F$45</v>
      </c>
      <c r="G43" t="e" cm="1">
        <f t="array" aca="1" ref="G43" ca="1">IF('Raw Data'!#REF!="",_xlfn.REGEXEXTRACT(CELL("address",'Raw Data'!#REF!),"\$([A-Z]+)\$[0-9]+"),"")</f>
        <v>#REF!</v>
      </c>
      <c r="H43" t="str" cm="1">
        <f t="array" aca="1" ref="H43" ca="1">IF('Raw Data'!G45="",_xlfn.REGEXEXTRACT(CELL("address",'Raw Data'!G45),"\$([A-Z]+)\$[0-9]+"),"")</f>
        <v>$G$45</v>
      </c>
      <c r="I43" t="e" cm="1">
        <f t="array" aca="1" ref="I43" ca="1">IF('Raw Data'!#REF!="",_xlfn.REGEXEXTRACT(CELL("address",'Raw Data'!#REF!),"\$([A-Z]+)\$[0-9]+"),"")</f>
        <v>#REF!</v>
      </c>
    </row>
    <row r="44" spans="2:9" x14ac:dyDescent="0.25">
      <c r="B44" t="str" cm="1">
        <f t="array" aca="1" ref="B44" ca="1">IF('Raw Data'!B46="",_xlfn.REGEXEXTRACT(CELL("address",'Raw Data'!B46),"\$([A-Z]+)\$[0-9]+"),"")</f>
        <v>$B$46</v>
      </c>
      <c r="C44" t="str" cm="1">
        <f t="array" aca="1" ref="C44" ca="1">IF('Raw Data'!C46="",_xlfn.REGEXEXTRACT(CELL("address",'Raw Data'!C46),"\$([A-Z]+)\$[0-9]+"),"")</f>
        <v>$C$46</v>
      </c>
      <c r="D44" t="str" cm="1">
        <f t="array" aca="1" ref="D44" ca="1">IF('Raw Data'!D46="",_xlfn.REGEXEXTRACT(CELL("address",'Raw Data'!D46),"\$([A-Z]+)\$[0-9]+"),"")</f>
        <v>$D$46</v>
      </c>
      <c r="E44" t="str" cm="1">
        <f t="array" aca="1" ref="E44" ca="1">IF('Raw Data'!E46="",_xlfn.REGEXEXTRACT(CELL("address",'Raw Data'!E46),"\$([A-Z]+)\$[0-9]+"),"")</f>
        <v>$E$46</v>
      </c>
      <c r="F44" t="str" cm="1">
        <f t="array" aca="1" ref="F44" ca="1">IF('Raw Data'!F46="",_xlfn.REGEXEXTRACT(CELL("address",'Raw Data'!F46),"\$([A-Z]+)\$[0-9]+"),"")</f>
        <v>$F$46</v>
      </c>
      <c r="G44" t="e" cm="1">
        <f t="array" aca="1" ref="G44" ca="1">IF('Raw Data'!#REF!="",_xlfn.REGEXEXTRACT(CELL("address",'Raw Data'!#REF!),"\$([A-Z]+)\$[0-9]+"),"")</f>
        <v>#REF!</v>
      </c>
      <c r="H44" t="str" cm="1">
        <f t="array" aca="1" ref="H44" ca="1">IF('Raw Data'!G46="",_xlfn.REGEXEXTRACT(CELL("address",'Raw Data'!G46),"\$([A-Z]+)\$[0-9]+"),"")</f>
        <v>$G$46</v>
      </c>
      <c r="I44" t="e" cm="1">
        <f t="array" aca="1" ref="I44" ca="1">IF('Raw Data'!#REF!="",_xlfn.REGEXEXTRACT(CELL("address",'Raw Data'!#REF!),"\$([A-Z]+)\$[0-9]+"),"")</f>
        <v>#REF!</v>
      </c>
    </row>
    <row r="45" spans="2:9" x14ac:dyDescent="0.25">
      <c r="B45" t="str" cm="1">
        <f t="array" aca="1" ref="B45" ca="1">IF('Raw Data'!B47="",_xlfn.REGEXEXTRACT(CELL("address",'Raw Data'!B47),"\$([A-Z]+)\$[0-9]+"),"")</f>
        <v>$B$47</v>
      </c>
      <c r="C45" t="str" cm="1">
        <f t="array" aca="1" ref="C45" ca="1">IF('Raw Data'!C47="",_xlfn.REGEXEXTRACT(CELL("address",'Raw Data'!C47),"\$([A-Z]+)\$[0-9]+"),"")</f>
        <v>$C$47</v>
      </c>
      <c r="D45" t="str" cm="1">
        <f t="array" aca="1" ref="D45" ca="1">IF('Raw Data'!D47="",_xlfn.REGEXEXTRACT(CELL("address",'Raw Data'!D47),"\$([A-Z]+)\$[0-9]+"),"")</f>
        <v>$D$47</v>
      </c>
      <c r="E45" t="str" cm="1">
        <f t="array" aca="1" ref="E45" ca="1">IF('Raw Data'!E47="",_xlfn.REGEXEXTRACT(CELL("address",'Raw Data'!E47),"\$([A-Z]+)\$[0-9]+"),"")</f>
        <v>$E$47</v>
      </c>
      <c r="F45" t="str" cm="1">
        <f t="array" aca="1" ref="F45" ca="1">IF('Raw Data'!F47="",_xlfn.REGEXEXTRACT(CELL("address",'Raw Data'!F47),"\$([A-Z]+)\$[0-9]+"),"")</f>
        <v>$F$47</v>
      </c>
      <c r="G45" t="e" cm="1">
        <f t="array" aca="1" ref="G45" ca="1">IF('Raw Data'!#REF!="",_xlfn.REGEXEXTRACT(CELL("address",'Raw Data'!#REF!),"\$([A-Z]+)\$[0-9]+"),"")</f>
        <v>#REF!</v>
      </c>
      <c r="H45" t="str" cm="1">
        <f t="array" aca="1" ref="H45" ca="1">IF('Raw Data'!G47="",_xlfn.REGEXEXTRACT(CELL("address",'Raw Data'!G47),"\$([A-Z]+)\$[0-9]+"),"")</f>
        <v>$G$47</v>
      </c>
      <c r="I45" t="e" cm="1">
        <f t="array" aca="1" ref="I45" ca="1">IF('Raw Data'!#REF!="",_xlfn.REGEXEXTRACT(CELL("address",'Raw Data'!#REF!),"\$([A-Z]+)\$[0-9]+"),"")</f>
        <v>#REF!</v>
      </c>
    </row>
    <row r="46" spans="2:9" x14ac:dyDescent="0.25">
      <c r="B46" t="str" cm="1">
        <f t="array" aca="1" ref="B46" ca="1">IF('Raw Data'!B48="",_xlfn.REGEXEXTRACT(CELL("address",'Raw Data'!B48),"\$([A-Z]+)\$[0-9]+"),"")</f>
        <v>$B$48</v>
      </c>
      <c r="C46" t="str" cm="1">
        <f t="array" aca="1" ref="C46" ca="1">IF('Raw Data'!C48="",_xlfn.REGEXEXTRACT(CELL("address",'Raw Data'!C48),"\$([A-Z]+)\$[0-9]+"),"")</f>
        <v>$C$48</v>
      </c>
      <c r="D46" t="str" cm="1">
        <f t="array" aca="1" ref="D46" ca="1">IF('Raw Data'!D48="",_xlfn.REGEXEXTRACT(CELL("address",'Raw Data'!D48),"\$([A-Z]+)\$[0-9]+"),"")</f>
        <v>$D$48</v>
      </c>
      <c r="E46" t="str" cm="1">
        <f t="array" aca="1" ref="E46" ca="1">IF('Raw Data'!E48="",_xlfn.REGEXEXTRACT(CELL("address",'Raw Data'!E48),"\$([A-Z]+)\$[0-9]+"),"")</f>
        <v>$E$48</v>
      </c>
      <c r="F46" t="str" cm="1">
        <f t="array" aca="1" ref="F46" ca="1">IF('Raw Data'!F48="",_xlfn.REGEXEXTRACT(CELL("address",'Raw Data'!F48),"\$([A-Z]+)\$[0-9]+"),"")</f>
        <v>$F$48</v>
      </c>
      <c r="G46" t="e" cm="1">
        <f t="array" aca="1" ref="G46" ca="1">IF('Raw Data'!#REF!="",_xlfn.REGEXEXTRACT(CELL("address",'Raw Data'!#REF!),"\$([A-Z]+)\$[0-9]+"),"")</f>
        <v>#REF!</v>
      </c>
      <c r="H46" t="str" cm="1">
        <f t="array" aca="1" ref="H46" ca="1">IF('Raw Data'!G48="",_xlfn.REGEXEXTRACT(CELL("address",'Raw Data'!G48),"\$([A-Z]+)\$[0-9]+"),"")</f>
        <v>$G$48</v>
      </c>
      <c r="I46" t="e" cm="1">
        <f t="array" aca="1" ref="I46" ca="1">IF('Raw Data'!#REF!="",_xlfn.REGEXEXTRACT(CELL("address",'Raw Data'!#REF!),"\$([A-Z]+)\$[0-9]+"),"")</f>
        <v>#REF!</v>
      </c>
    </row>
    <row r="47" spans="2:9" x14ac:dyDescent="0.25">
      <c r="B47" t="str" cm="1">
        <f t="array" aca="1" ref="B47" ca="1">IF('Raw Data'!B49="",_xlfn.REGEXEXTRACT(CELL("address",'Raw Data'!B49),"\$([A-Z]+)\$[0-9]+"),"")</f>
        <v>$B$49</v>
      </c>
      <c r="C47" t="str" cm="1">
        <f t="array" aca="1" ref="C47" ca="1">IF('Raw Data'!C49="",_xlfn.REGEXEXTRACT(CELL("address",'Raw Data'!C49),"\$([A-Z]+)\$[0-9]+"),"")</f>
        <v>$C$49</v>
      </c>
      <c r="D47" t="str" cm="1">
        <f t="array" aca="1" ref="D47" ca="1">IF('Raw Data'!D49="",_xlfn.REGEXEXTRACT(CELL("address",'Raw Data'!D49),"\$([A-Z]+)\$[0-9]+"),"")</f>
        <v>$D$49</v>
      </c>
      <c r="E47" t="str" cm="1">
        <f t="array" aca="1" ref="E47" ca="1">IF('Raw Data'!E49="",_xlfn.REGEXEXTRACT(CELL("address",'Raw Data'!E49),"\$([A-Z]+)\$[0-9]+"),"")</f>
        <v>$E$49</v>
      </c>
      <c r="F47" t="str" cm="1">
        <f t="array" aca="1" ref="F47" ca="1">IF('Raw Data'!F49="",_xlfn.REGEXEXTRACT(CELL("address",'Raw Data'!F49),"\$([A-Z]+)\$[0-9]+"),"")</f>
        <v>$F$49</v>
      </c>
      <c r="G47" t="e" cm="1">
        <f t="array" aca="1" ref="G47" ca="1">IF('Raw Data'!#REF!="",_xlfn.REGEXEXTRACT(CELL("address",'Raw Data'!#REF!),"\$([A-Z]+)\$[0-9]+"),"")</f>
        <v>#REF!</v>
      </c>
      <c r="H47" t="str" cm="1">
        <f t="array" aca="1" ref="H47" ca="1">IF('Raw Data'!G49="",_xlfn.REGEXEXTRACT(CELL("address",'Raw Data'!G49),"\$([A-Z]+)\$[0-9]+"),"")</f>
        <v>$G$49</v>
      </c>
      <c r="I47" t="e" cm="1">
        <f t="array" aca="1" ref="I47" ca="1">IF('Raw Data'!#REF!="",_xlfn.REGEXEXTRACT(CELL("address",'Raw Data'!#REF!),"\$([A-Z]+)\$[0-9]+"),"")</f>
        <v>#REF!</v>
      </c>
    </row>
    <row r="48" spans="2:9" x14ac:dyDescent="0.25">
      <c r="B48" t="str" cm="1">
        <f t="array" aca="1" ref="B48" ca="1">IF('Raw Data'!B50="",_xlfn.REGEXEXTRACT(CELL("address",'Raw Data'!B50),"\$([A-Z]+)\$[0-9]+"),"")</f>
        <v>$B$50</v>
      </c>
      <c r="C48" t="str" cm="1">
        <f t="array" aca="1" ref="C48" ca="1">IF('Raw Data'!C50="",_xlfn.REGEXEXTRACT(CELL("address",'Raw Data'!C50),"\$([A-Z]+)\$[0-9]+"),"")</f>
        <v>$C$50</v>
      </c>
      <c r="D48" t="str" cm="1">
        <f t="array" aca="1" ref="D48" ca="1">IF('Raw Data'!D50="",_xlfn.REGEXEXTRACT(CELL("address",'Raw Data'!D50),"\$([A-Z]+)\$[0-9]+"),"")</f>
        <v>$D$50</v>
      </c>
      <c r="E48" t="str" cm="1">
        <f t="array" aca="1" ref="E48" ca="1">IF('Raw Data'!E50="",_xlfn.REGEXEXTRACT(CELL("address",'Raw Data'!E50),"\$([A-Z]+)\$[0-9]+"),"")</f>
        <v>$E$50</v>
      </c>
      <c r="F48" t="str" cm="1">
        <f t="array" aca="1" ref="F48" ca="1">IF('Raw Data'!F50="",_xlfn.REGEXEXTRACT(CELL("address",'Raw Data'!F50),"\$([A-Z]+)\$[0-9]+"),"")</f>
        <v>$F$50</v>
      </c>
      <c r="G48" t="e" cm="1">
        <f t="array" aca="1" ref="G48" ca="1">IF('Raw Data'!#REF!="",_xlfn.REGEXEXTRACT(CELL("address",'Raw Data'!#REF!),"\$([A-Z]+)\$[0-9]+"),"")</f>
        <v>#REF!</v>
      </c>
      <c r="H48" t="str" cm="1">
        <f t="array" aca="1" ref="H48" ca="1">IF('Raw Data'!G50="",_xlfn.REGEXEXTRACT(CELL("address",'Raw Data'!G50),"\$([A-Z]+)\$[0-9]+"),"")</f>
        <v>$G$50</v>
      </c>
      <c r="I48" t="e" cm="1">
        <f t="array" aca="1" ref="I48" ca="1">IF('Raw Data'!#REF!="",_xlfn.REGEXEXTRACT(CELL("address",'Raw Data'!#REF!),"\$([A-Z]+)\$[0-9]+"),"")</f>
        <v>#REF!</v>
      </c>
    </row>
    <row r="49" spans="2:9" x14ac:dyDescent="0.25">
      <c r="B49" t="str" cm="1">
        <f t="array" aca="1" ref="B49" ca="1">IF('Raw Data'!B51="",_xlfn.REGEXEXTRACT(CELL("address",'Raw Data'!B51),"\$([A-Z]+)\$[0-9]+"),"")</f>
        <v>$B$51</v>
      </c>
      <c r="C49" t="str" cm="1">
        <f t="array" aca="1" ref="C49" ca="1">IF('Raw Data'!C51="",_xlfn.REGEXEXTRACT(CELL("address",'Raw Data'!C51),"\$([A-Z]+)\$[0-9]+"),"")</f>
        <v>$C$51</v>
      </c>
      <c r="D49" t="str" cm="1">
        <f t="array" aca="1" ref="D49" ca="1">IF('Raw Data'!D51="",_xlfn.REGEXEXTRACT(CELL("address",'Raw Data'!D51),"\$([A-Z]+)\$[0-9]+"),"")</f>
        <v>$D$51</v>
      </c>
      <c r="E49" t="str" cm="1">
        <f t="array" aca="1" ref="E49" ca="1">IF('Raw Data'!E51="",_xlfn.REGEXEXTRACT(CELL("address",'Raw Data'!E51),"\$([A-Z]+)\$[0-9]+"),"")</f>
        <v>$E$51</v>
      </c>
      <c r="F49" t="str" cm="1">
        <f t="array" aca="1" ref="F49" ca="1">IF('Raw Data'!F51="",_xlfn.REGEXEXTRACT(CELL("address",'Raw Data'!F51),"\$([A-Z]+)\$[0-9]+"),"")</f>
        <v>$F$51</v>
      </c>
      <c r="G49" t="e" cm="1">
        <f t="array" aca="1" ref="G49" ca="1">IF('Raw Data'!#REF!="",_xlfn.REGEXEXTRACT(CELL("address",'Raw Data'!#REF!),"\$([A-Z]+)\$[0-9]+"),"")</f>
        <v>#REF!</v>
      </c>
      <c r="H49" t="str" cm="1">
        <f t="array" aca="1" ref="H49" ca="1">IF('Raw Data'!G51="",_xlfn.REGEXEXTRACT(CELL("address",'Raw Data'!G51),"\$([A-Z]+)\$[0-9]+"),"")</f>
        <v>$G$51</v>
      </c>
      <c r="I49" t="e" cm="1">
        <f t="array" aca="1" ref="I49" ca="1">IF('Raw Data'!#REF!="",_xlfn.REGEXEXTRACT(CELL("address",'Raw Data'!#REF!),"\$([A-Z]+)\$[0-9]+"),"")</f>
        <v>#REF!</v>
      </c>
    </row>
    <row r="50" spans="2:9" x14ac:dyDescent="0.25">
      <c r="B50" t="str" cm="1">
        <f t="array" aca="1" ref="B50" ca="1">IF('Raw Data'!B52="",_xlfn.REGEXEXTRACT(CELL("address",'Raw Data'!B52),"\$([A-Z]+)\$[0-9]+"),"")</f>
        <v>$B$52</v>
      </c>
      <c r="C50" t="str" cm="1">
        <f t="array" aca="1" ref="C50" ca="1">IF('Raw Data'!C52="",_xlfn.REGEXEXTRACT(CELL("address",'Raw Data'!C52),"\$([A-Z]+)\$[0-9]+"),"")</f>
        <v>$C$52</v>
      </c>
      <c r="D50" t="str" cm="1">
        <f t="array" aca="1" ref="D50" ca="1">IF('Raw Data'!D52="",_xlfn.REGEXEXTRACT(CELL("address",'Raw Data'!D52),"\$([A-Z]+)\$[0-9]+"),"")</f>
        <v>$D$52</v>
      </c>
      <c r="E50" t="str" cm="1">
        <f t="array" aca="1" ref="E50" ca="1">IF('Raw Data'!E52="",_xlfn.REGEXEXTRACT(CELL("address",'Raw Data'!E52),"\$([A-Z]+)\$[0-9]+"),"")</f>
        <v>$E$52</v>
      </c>
      <c r="F50" t="str" cm="1">
        <f t="array" aca="1" ref="F50" ca="1">IF('Raw Data'!F52="",_xlfn.REGEXEXTRACT(CELL("address",'Raw Data'!F52),"\$([A-Z]+)\$[0-9]+"),"")</f>
        <v>$F$52</v>
      </c>
      <c r="G50" t="e" cm="1">
        <f t="array" aca="1" ref="G50" ca="1">IF('Raw Data'!#REF!="",_xlfn.REGEXEXTRACT(CELL("address",'Raw Data'!#REF!),"\$([A-Z]+)\$[0-9]+"),"")</f>
        <v>#REF!</v>
      </c>
      <c r="H50" t="str" cm="1">
        <f t="array" aca="1" ref="H50" ca="1">IF('Raw Data'!G52="",_xlfn.REGEXEXTRACT(CELL("address",'Raw Data'!G52),"\$([A-Z]+)\$[0-9]+"),"")</f>
        <v>$G$52</v>
      </c>
      <c r="I50" t="e" cm="1">
        <f t="array" aca="1" ref="I50" ca="1">IF('Raw Data'!#REF!="",_xlfn.REGEXEXTRACT(CELL("address",'Raw Data'!#REF!),"\$([A-Z]+)\$[0-9]+"),"")</f>
        <v>#REF!</v>
      </c>
    </row>
    <row r="51" spans="2:9" x14ac:dyDescent="0.25">
      <c r="B51" t="str" cm="1">
        <f t="array" aca="1" ref="B51" ca="1">IF('Raw Data'!B53="",_xlfn.REGEXEXTRACT(CELL("address",'Raw Data'!B53),"\$([A-Z]+)\$[0-9]+"),"")</f>
        <v>$B$53</v>
      </c>
      <c r="C51" t="str" cm="1">
        <f t="array" aca="1" ref="C51" ca="1">IF('Raw Data'!C53="",_xlfn.REGEXEXTRACT(CELL("address",'Raw Data'!C53),"\$([A-Z]+)\$[0-9]+"),"")</f>
        <v>$C$53</v>
      </c>
      <c r="D51" t="str" cm="1">
        <f t="array" aca="1" ref="D51" ca="1">IF('Raw Data'!D53="",_xlfn.REGEXEXTRACT(CELL("address",'Raw Data'!D53),"\$([A-Z]+)\$[0-9]+"),"")</f>
        <v>$D$53</v>
      </c>
      <c r="E51" t="str" cm="1">
        <f t="array" aca="1" ref="E51" ca="1">IF('Raw Data'!E53="",_xlfn.REGEXEXTRACT(CELL("address",'Raw Data'!E53),"\$([A-Z]+)\$[0-9]+"),"")</f>
        <v>$E$53</v>
      </c>
      <c r="F51" t="str" cm="1">
        <f t="array" aca="1" ref="F51" ca="1">IF('Raw Data'!F53="",_xlfn.REGEXEXTRACT(CELL("address",'Raw Data'!F53),"\$([A-Z]+)\$[0-9]+"),"")</f>
        <v>$F$53</v>
      </c>
      <c r="G51" t="e" cm="1">
        <f t="array" aca="1" ref="G51" ca="1">IF('Raw Data'!#REF!="",_xlfn.REGEXEXTRACT(CELL("address",'Raw Data'!#REF!),"\$([A-Z]+)\$[0-9]+"),"")</f>
        <v>#REF!</v>
      </c>
      <c r="H51" t="str" cm="1">
        <f t="array" aca="1" ref="H51" ca="1">IF('Raw Data'!G53="",_xlfn.REGEXEXTRACT(CELL("address",'Raw Data'!G53),"\$([A-Z]+)\$[0-9]+"),"")</f>
        <v>$G$53</v>
      </c>
      <c r="I51" t="e" cm="1">
        <f t="array" aca="1" ref="I51" ca="1">IF('Raw Data'!#REF!="",_xlfn.REGEXEXTRACT(CELL("address",'Raw Data'!#REF!),"\$([A-Z]+)\$[0-9]+"),"")</f>
        <v>#REF!</v>
      </c>
    </row>
    <row r="52" spans="2:9" x14ac:dyDescent="0.25">
      <c r="B52" t="str" cm="1">
        <f t="array" aca="1" ref="B52" ca="1">IF('Raw Data'!B54="",_xlfn.REGEXEXTRACT(CELL("address",'Raw Data'!B54),"\$([A-Z]+)\$[0-9]+"),"")</f>
        <v>$B$54</v>
      </c>
      <c r="C52" t="str" cm="1">
        <f t="array" aca="1" ref="C52" ca="1">IF('Raw Data'!C54="",_xlfn.REGEXEXTRACT(CELL("address",'Raw Data'!C54),"\$([A-Z]+)\$[0-9]+"),"")</f>
        <v>$C$54</v>
      </c>
      <c r="D52" t="str" cm="1">
        <f t="array" aca="1" ref="D52" ca="1">IF('Raw Data'!D54="",_xlfn.REGEXEXTRACT(CELL("address",'Raw Data'!D54),"\$([A-Z]+)\$[0-9]+"),"")</f>
        <v>$D$54</v>
      </c>
      <c r="E52" t="str" cm="1">
        <f t="array" aca="1" ref="E52" ca="1">IF('Raw Data'!E54="",_xlfn.REGEXEXTRACT(CELL("address",'Raw Data'!E54),"\$([A-Z]+)\$[0-9]+"),"")</f>
        <v>$E$54</v>
      </c>
      <c r="F52" t="str" cm="1">
        <f t="array" aca="1" ref="F52" ca="1">IF('Raw Data'!F54="",_xlfn.REGEXEXTRACT(CELL("address",'Raw Data'!F54),"\$([A-Z]+)\$[0-9]+"),"")</f>
        <v>$F$54</v>
      </c>
      <c r="G52" t="e" cm="1">
        <f t="array" aca="1" ref="G52" ca="1">IF('Raw Data'!#REF!="",_xlfn.REGEXEXTRACT(CELL("address",'Raw Data'!#REF!),"\$([A-Z]+)\$[0-9]+"),"")</f>
        <v>#REF!</v>
      </c>
      <c r="H52" t="str" cm="1">
        <f t="array" aca="1" ref="H52" ca="1">IF('Raw Data'!G54="",_xlfn.REGEXEXTRACT(CELL("address",'Raw Data'!G54),"\$([A-Z]+)\$[0-9]+"),"")</f>
        <v>$G$54</v>
      </c>
      <c r="I52" t="e" cm="1">
        <f t="array" aca="1" ref="I52" ca="1">IF('Raw Data'!#REF!="",_xlfn.REGEXEXTRACT(CELL("address",'Raw Data'!#REF!),"\$([A-Z]+)\$[0-9]+"),"")</f>
        <v>#REF!</v>
      </c>
    </row>
    <row r="53" spans="2:9" x14ac:dyDescent="0.25">
      <c r="B53" t="str" cm="1">
        <f t="array" aca="1" ref="B53" ca="1">IF('Raw Data'!B55="",_xlfn.REGEXEXTRACT(CELL("address",'Raw Data'!B55),"\$([A-Z]+)\$[0-9]+"),"")</f>
        <v>$B$55</v>
      </c>
      <c r="C53" t="str" cm="1">
        <f t="array" aca="1" ref="C53" ca="1">IF('Raw Data'!C55="",_xlfn.REGEXEXTRACT(CELL("address",'Raw Data'!C55),"\$([A-Z]+)\$[0-9]+"),"")</f>
        <v>$C$55</v>
      </c>
      <c r="D53" t="str" cm="1">
        <f t="array" aca="1" ref="D53" ca="1">IF('Raw Data'!D55="",_xlfn.REGEXEXTRACT(CELL("address",'Raw Data'!D55),"\$([A-Z]+)\$[0-9]+"),"")</f>
        <v>$D$55</v>
      </c>
      <c r="E53" t="str" cm="1">
        <f t="array" aca="1" ref="E53" ca="1">IF('Raw Data'!E55="",_xlfn.REGEXEXTRACT(CELL("address",'Raw Data'!E55),"\$([A-Z]+)\$[0-9]+"),"")</f>
        <v>$E$55</v>
      </c>
      <c r="F53" t="str" cm="1">
        <f t="array" aca="1" ref="F53" ca="1">IF('Raw Data'!F55="",_xlfn.REGEXEXTRACT(CELL("address",'Raw Data'!F55),"\$([A-Z]+)\$[0-9]+"),"")</f>
        <v>$F$55</v>
      </c>
      <c r="G53" t="e" cm="1">
        <f t="array" aca="1" ref="G53" ca="1">IF('Raw Data'!#REF!="",_xlfn.REGEXEXTRACT(CELL("address",'Raw Data'!#REF!),"\$([A-Z]+)\$[0-9]+"),"")</f>
        <v>#REF!</v>
      </c>
      <c r="H53" t="str" cm="1">
        <f t="array" aca="1" ref="H53" ca="1">IF('Raw Data'!G55="",_xlfn.REGEXEXTRACT(CELL("address",'Raw Data'!G55),"\$([A-Z]+)\$[0-9]+"),"")</f>
        <v>$G$55</v>
      </c>
      <c r="I53" t="e" cm="1">
        <f t="array" aca="1" ref="I53" ca="1">IF('Raw Data'!#REF!="",_xlfn.REGEXEXTRACT(CELL("address",'Raw Data'!#REF!),"\$([A-Z]+)\$[0-9]+"),"")</f>
        <v>#REF!</v>
      </c>
    </row>
    <row r="54" spans="2:9" x14ac:dyDescent="0.25">
      <c r="B54" t="str" cm="1">
        <f t="array" aca="1" ref="B54" ca="1">IF('Raw Data'!B56="",_xlfn.REGEXEXTRACT(CELL("address",'Raw Data'!B56),"\$([A-Z]+)\$[0-9]+"),"")</f>
        <v>$B$56</v>
      </c>
      <c r="C54" t="str" cm="1">
        <f t="array" aca="1" ref="C54" ca="1">IF('Raw Data'!C56="",_xlfn.REGEXEXTRACT(CELL("address",'Raw Data'!C56),"\$([A-Z]+)\$[0-9]+"),"")</f>
        <v>$C$56</v>
      </c>
      <c r="D54" t="str" cm="1">
        <f t="array" aca="1" ref="D54" ca="1">IF('Raw Data'!D56="",_xlfn.REGEXEXTRACT(CELL("address",'Raw Data'!D56),"\$([A-Z]+)\$[0-9]+"),"")</f>
        <v>$D$56</v>
      </c>
      <c r="E54" t="str" cm="1">
        <f t="array" aca="1" ref="E54" ca="1">IF('Raw Data'!E56="",_xlfn.REGEXEXTRACT(CELL("address",'Raw Data'!E56),"\$([A-Z]+)\$[0-9]+"),"")</f>
        <v>$E$56</v>
      </c>
      <c r="F54" t="str" cm="1">
        <f t="array" aca="1" ref="F54" ca="1">IF('Raw Data'!F56="",_xlfn.REGEXEXTRACT(CELL("address",'Raw Data'!F56),"\$([A-Z]+)\$[0-9]+"),"")</f>
        <v>$F$56</v>
      </c>
      <c r="G54" t="e" cm="1">
        <f t="array" aca="1" ref="G54" ca="1">IF('Raw Data'!#REF!="",_xlfn.REGEXEXTRACT(CELL("address",'Raw Data'!#REF!),"\$([A-Z]+)\$[0-9]+"),"")</f>
        <v>#REF!</v>
      </c>
      <c r="H54" t="str" cm="1">
        <f t="array" aca="1" ref="H54" ca="1">IF('Raw Data'!G56="",_xlfn.REGEXEXTRACT(CELL("address",'Raw Data'!G56),"\$([A-Z]+)\$[0-9]+"),"")</f>
        <v>$G$56</v>
      </c>
      <c r="I54" t="e" cm="1">
        <f t="array" aca="1" ref="I54" ca="1">IF('Raw Data'!#REF!="",_xlfn.REGEXEXTRACT(CELL("address",'Raw Data'!#REF!),"\$([A-Z]+)\$[0-9]+"),"")</f>
        <v>#REF!</v>
      </c>
    </row>
    <row r="55" spans="2:9" x14ac:dyDescent="0.25">
      <c r="B55" t="str" cm="1">
        <f t="array" aca="1" ref="B55" ca="1">IF('Raw Data'!B57="",_xlfn.REGEXEXTRACT(CELL("address",'Raw Data'!B57),"\$([A-Z]+)\$[0-9]+"),"")</f>
        <v>$B$57</v>
      </c>
      <c r="C55" t="str" cm="1">
        <f t="array" aca="1" ref="C55" ca="1">IF('Raw Data'!C57="",_xlfn.REGEXEXTRACT(CELL("address",'Raw Data'!C57),"\$([A-Z]+)\$[0-9]+"),"")</f>
        <v>$C$57</v>
      </c>
      <c r="D55" t="str" cm="1">
        <f t="array" aca="1" ref="D55" ca="1">IF('Raw Data'!D57="",_xlfn.REGEXEXTRACT(CELL("address",'Raw Data'!D57),"\$([A-Z]+)\$[0-9]+"),"")</f>
        <v>$D$57</v>
      </c>
      <c r="E55" t="str" cm="1">
        <f t="array" aca="1" ref="E55" ca="1">IF('Raw Data'!E57="",_xlfn.REGEXEXTRACT(CELL("address",'Raw Data'!E57),"\$([A-Z]+)\$[0-9]+"),"")</f>
        <v>$E$57</v>
      </c>
      <c r="F55" t="str" cm="1">
        <f t="array" aca="1" ref="F55" ca="1">IF('Raw Data'!F57="",_xlfn.REGEXEXTRACT(CELL("address",'Raw Data'!F57),"\$([A-Z]+)\$[0-9]+"),"")</f>
        <v>$F$57</v>
      </c>
      <c r="G55" t="e" cm="1">
        <f t="array" aca="1" ref="G55" ca="1">IF('Raw Data'!#REF!="",_xlfn.REGEXEXTRACT(CELL("address",'Raw Data'!#REF!),"\$([A-Z]+)\$[0-9]+"),"")</f>
        <v>#REF!</v>
      </c>
      <c r="H55" t="str" cm="1">
        <f t="array" aca="1" ref="H55" ca="1">IF('Raw Data'!G57="",_xlfn.REGEXEXTRACT(CELL("address",'Raw Data'!G57),"\$([A-Z]+)\$[0-9]+"),"")</f>
        <v>$G$57</v>
      </c>
      <c r="I55" t="e" cm="1">
        <f t="array" aca="1" ref="I55" ca="1">IF('Raw Data'!#REF!="",_xlfn.REGEXEXTRACT(CELL("address",'Raw Data'!#REF!),"\$([A-Z]+)\$[0-9]+"),"")</f>
        <v>#REF!</v>
      </c>
    </row>
    <row r="56" spans="2:9" x14ac:dyDescent="0.25">
      <c r="B56" t="str" cm="1">
        <f t="array" aca="1" ref="B56" ca="1">IF('Raw Data'!B58="",_xlfn.REGEXEXTRACT(CELL("address",'Raw Data'!B58),"\$([A-Z]+)\$[0-9]+"),"")</f>
        <v>$B$58</v>
      </c>
      <c r="C56" t="str" cm="1">
        <f t="array" aca="1" ref="C56" ca="1">IF('Raw Data'!C58="",_xlfn.REGEXEXTRACT(CELL("address",'Raw Data'!C58),"\$([A-Z]+)\$[0-9]+"),"")</f>
        <v>$C$58</v>
      </c>
      <c r="D56" t="str" cm="1">
        <f t="array" aca="1" ref="D56" ca="1">IF('Raw Data'!D58="",_xlfn.REGEXEXTRACT(CELL("address",'Raw Data'!D58),"\$([A-Z]+)\$[0-9]+"),"")</f>
        <v>$D$58</v>
      </c>
      <c r="E56" t="str" cm="1">
        <f t="array" aca="1" ref="E56" ca="1">IF('Raw Data'!E58="",_xlfn.REGEXEXTRACT(CELL("address",'Raw Data'!E58),"\$([A-Z]+)\$[0-9]+"),"")</f>
        <v>$E$58</v>
      </c>
      <c r="F56" t="str" cm="1">
        <f t="array" aca="1" ref="F56" ca="1">IF('Raw Data'!F58="",_xlfn.REGEXEXTRACT(CELL("address",'Raw Data'!F58),"\$([A-Z]+)\$[0-9]+"),"")</f>
        <v>$F$58</v>
      </c>
      <c r="G56" t="e" cm="1">
        <f t="array" aca="1" ref="G56" ca="1">IF('Raw Data'!#REF!="",_xlfn.REGEXEXTRACT(CELL("address",'Raw Data'!#REF!),"\$([A-Z]+)\$[0-9]+"),"")</f>
        <v>#REF!</v>
      </c>
      <c r="H56" t="str" cm="1">
        <f t="array" aca="1" ref="H56" ca="1">IF('Raw Data'!G58="",_xlfn.REGEXEXTRACT(CELL("address",'Raw Data'!G58),"\$([A-Z]+)\$[0-9]+"),"")</f>
        <v>$G$58</v>
      </c>
      <c r="I56" t="e" cm="1">
        <f t="array" aca="1" ref="I56" ca="1">IF('Raw Data'!#REF!="",_xlfn.REGEXEXTRACT(CELL("address",'Raw Data'!#REF!),"\$([A-Z]+)\$[0-9]+"),"")</f>
        <v>#REF!</v>
      </c>
    </row>
    <row r="57" spans="2:9" x14ac:dyDescent="0.25">
      <c r="B57" t="str" cm="1">
        <f t="array" aca="1" ref="B57" ca="1">IF('Raw Data'!B59="",_xlfn.REGEXEXTRACT(CELL("address",'Raw Data'!B59),"\$([A-Z]+)\$[0-9]+"),"")</f>
        <v>$B$59</v>
      </c>
      <c r="C57" t="str" cm="1">
        <f t="array" aca="1" ref="C57" ca="1">IF('Raw Data'!C59="",_xlfn.REGEXEXTRACT(CELL("address",'Raw Data'!C59),"\$([A-Z]+)\$[0-9]+"),"")</f>
        <v>$C$59</v>
      </c>
      <c r="D57" t="str" cm="1">
        <f t="array" aca="1" ref="D57" ca="1">IF('Raw Data'!D59="",_xlfn.REGEXEXTRACT(CELL("address",'Raw Data'!D59),"\$([A-Z]+)\$[0-9]+"),"")</f>
        <v>$D$59</v>
      </c>
      <c r="E57" t="str" cm="1">
        <f t="array" aca="1" ref="E57" ca="1">IF('Raw Data'!E59="",_xlfn.REGEXEXTRACT(CELL("address",'Raw Data'!E59),"\$([A-Z]+)\$[0-9]+"),"")</f>
        <v>$E$59</v>
      </c>
      <c r="F57" t="str" cm="1">
        <f t="array" aca="1" ref="F57" ca="1">IF('Raw Data'!F59="",_xlfn.REGEXEXTRACT(CELL("address",'Raw Data'!F59),"\$([A-Z]+)\$[0-9]+"),"")</f>
        <v>$F$59</v>
      </c>
      <c r="G57" t="e" cm="1">
        <f t="array" aca="1" ref="G57" ca="1">IF('Raw Data'!#REF!="",_xlfn.REGEXEXTRACT(CELL("address",'Raw Data'!#REF!),"\$([A-Z]+)\$[0-9]+"),"")</f>
        <v>#REF!</v>
      </c>
      <c r="H57" t="str" cm="1">
        <f t="array" aca="1" ref="H57" ca="1">IF('Raw Data'!G59="",_xlfn.REGEXEXTRACT(CELL("address",'Raw Data'!G59),"\$([A-Z]+)\$[0-9]+"),"")</f>
        <v>$G$59</v>
      </c>
      <c r="I57" t="e" cm="1">
        <f t="array" aca="1" ref="I57" ca="1">IF('Raw Data'!#REF!="",_xlfn.REGEXEXTRACT(CELL("address",'Raw Data'!#REF!),"\$([A-Z]+)\$[0-9]+"),"")</f>
        <v>#REF!</v>
      </c>
    </row>
    <row r="58" spans="2:9" x14ac:dyDescent="0.25">
      <c r="B58" t="str" cm="1">
        <f t="array" aca="1" ref="B58" ca="1">IF('Raw Data'!B60="",_xlfn.REGEXEXTRACT(CELL("address",'Raw Data'!B60),"\$([A-Z]+)\$[0-9]+"),"")</f>
        <v>$B$60</v>
      </c>
      <c r="C58" t="str" cm="1">
        <f t="array" aca="1" ref="C58" ca="1">IF('Raw Data'!C60="",_xlfn.REGEXEXTRACT(CELL("address",'Raw Data'!C60),"\$([A-Z]+)\$[0-9]+"),"")</f>
        <v>$C$60</v>
      </c>
      <c r="D58" t="str" cm="1">
        <f t="array" aca="1" ref="D58" ca="1">IF('Raw Data'!D60="",_xlfn.REGEXEXTRACT(CELL("address",'Raw Data'!D60),"\$([A-Z]+)\$[0-9]+"),"")</f>
        <v>$D$60</v>
      </c>
      <c r="E58" t="str" cm="1">
        <f t="array" aca="1" ref="E58" ca="1">IF('Raw Data'!E60="",_xlfn.REGEXEXTRACT(CELL("address",'Raw Data'!E60),"\$([A-Z]+)\$[0-9]+"),"")</f>
        <v>$E$60</v>
      </c>
      <c r="F58" t="str" cm="1">
        <f t="array" aca="1" ref="F58" ca="1">IF('Raw Data'!F60="",_xlfn.REGEXEXTRACT(CELL("address",'Raw Data'!F60),"\$([A-Z]+)\$[0-9]+"),"")</f>
        <v>$F$60</v>
      </c>
      <c r="G58" t="e" cm="1">
        <f t="array" aca="1" ref="G58" ca="1">IF('Raw Data'!#REF!="",_xlfn.REGEXEXTRACT(CELL("address",'Raw Data'!#REF!),"\$([A-Z]+)\$[0-9]+"),"")</f>
        <v>#REF!</v>
      </c>
      <c r="H58" t="str" cm="1">
        <f t="array" aca="1" ref="H58" ca="1">IF('Raw Data'!G60="",_xlfn.REGEXEXTRACT(CELL("address",'Raw Data'!G60),"\$([A-Z]+)\$[0-9]+"),"")</f>
        <v>$G$60</v>
      </c>
      <c r="I58" t="e" cm="1">
        <f t="array" aca="1" ref="I58" ca="1">IF('Raw Data'!#REF!="",_xlfn.REGEXEXTRACT(CELL("address",'Raw Data'!#REF!),"\$([A-Z]+)\$[0-9]+"),"")</f>
        <v>#REF!</v>
      </c>
    </row>
    <row r="59" spans="2:9" x14ac:dyDescent="0.25">
      <c r="B59" t="str" cm="1">
        <f t="array" aca="1" ref="B59" ca="1">IF('Raw Data'!B61="",_xlfn.REGEXEXTRACT(CELL("address",'Raw Data'!B61),"\$([A-Z]+)\$[0-9]+"),"")</f>
        <v>$B$61</v>
      </c>
      <c r="C59" t="str" cm="1">
        <f t="array" aca="1" ref="C59" ca="1">IF('Raw Data'!C61="",_xlfn.REGEXEXTRACT(CELL("address",'Raw Data'!C61),"\$([A-Z]+)\$[0-9]+"),"")</f>
        <v>$C$61</v>
      </c>
      <c r="D59" t="str" cm="1">
        <f t="array" aca="1" ref="D59" ca="1">IF('Raw Data'!D61="",_xlfn.REGEXEXTRACT(CELL("address",'Raw Data'!D61),"\$([A-Z]+)\$[0-9]+"),"")</f>
        <v>$D$61</v>
      </c>
      <c r="E59" t="str" cm="1">
        <f t="array" aca="1" ref="E59" ca="1">IF('Raw Data'!E61="",_xlfn.REGEXEXTRACT(CELL("address",'Raw Data'!E61),"\$([A-Z]+)\$[0-9]+"),"")</f>
        <v>$E$61</v>
      </c>
      <c r="F59" t="str" cm="1">
        <f t="array" aca="1" ref="F59" ca="1">IF('Raw Data'!F61="",_xlfn.REGEXEXTRACT(CELL("address",'Raw Data'!F61),"\$([A-Z]+)\$[0-9]+"),"")</f>
        <v>$F$61</v>
      </c>
      <c r="G59" t="e" cm="1">
        <f t="array" aca="1" ref="G59" ca="1">IF('Raw Data'!#REF!="",_xlfn.REGEXEXTRACT(CELL("address",'Raw Data'!#REF!),"\$([A-Z]+)\$[0-9]+"),"")</f>
        <v>#REF!</v>
      </c>
      <c r="H59" t="str" cm="1">
        <f t="array" aca="1" ref="H59" ca="1">IF('Raw Data'!G61="",_xlfn.REGEXEXTRACT(CELL("address",'Raw Data'!G61),"\$([A-Z]+)\$[0-9]+"),"")</f>
        <v>$G$61</v>
      </c>
      <c r="I59" t="e" cm="1">
        <f t="array" aca="1" ref="I59" ca="1">IF('Raw Data'!#REF!="",_xlfn.REGEXEXTRACT(CELL("address",'Raw Data'!#REF!),"\$([A-Z]+)\$[0-9]+"),"")</f>
        <v>#REF!</v>
      </c>
    </row>
    <row r="60" spans="2:9" x14ac:dyDescent="0.25">
      <c r="B60" t="str" cm="1">
        <f t="array" aca="1" ref="B60" ca="1">IF('Raw Data'!B62="",_xlfn.REGEXEXTRACT(CELL("address",'Raw Data'!B62),"\$([A-Z]+)\$[0-9]+"),"")</f>
        <v>$B$62</v>
      </c>
      <c r="C60" t="str" cm="1">
        <f t="array" aca="1" ref="C60" ca="1">IF('Raw Data'!C62="",_xlfn.REGEXEXTRACT(CELL("address",'Raw Data'!C62),"\$([A-Z]+)\$[0-9]+"),"")</f>
        <v>$C$62</v>
      </c>
      <c r="D60" t="str" cm="1">
        <f t="array" aca="1" ref="D60" ca="1">IF('Raw Data'!D62="",_xlfn.REGEXEXTRACT(CELL("address",'Raw Data'!D62),"\$([A-Z]+)\$[0-9]+"),"")</f>
        <v>$D$62</v>
      </c>
      <c r="E60" t="str" cm="1">
        <f t="array" aca="1" ref="E60" ca="1">IF('Raw Data'!E62="",_xlfn.REGEXEXTRACT(CELL("address",'Raw Data'!E62),"\$([A-Z]+)\$[0-9]+"),"")</f>
        <v>$E$62</v>
      </c>
      <c r="F60" t="str" cm="1">
        <f t="array" aca="1" ref="F60" ca="1">IF('Raw Data'!F62="",_xlfn.REGEXEXTRACT(CELL("address",'Raw Data'!F62),"\$([A-Z]+)\$[0-9]+"),"")</f>
        <v>$F$62</v>
      </c>
      <c r="G60" t="e" cm="1">
        <f t="array" aca="1" ref="G60" ca="1">IF('Raw Data'!#REF!="",_xlfn.REGEXEXTRACT(CELL("address",'Raw Data'!#REF!),"\$([A-Z]+)\$[0-9]+"),"")</f>
        <v>#REF!</v>
      </c>
      <c r="H60" t="str" cm="1">
        <f t="array" aca="1" ref="H60" ca="1">IF('Raw Data'!G62="",_xlfn.REGEXEXTRACT(CELL("address",'Raw Data'!G62),"\$([A-Z]+)\$[0-9]+"),"")</f>
        <v>$G$62</v>
      </c>
      <c r="I60" t="e" cm="1">
        <f t="array" aca="1" ref="I60" ca="1">IF('Raw Data'!#REF!="",_xlfn.REGEXEXTRACT(CELL("address",'Raw Data'!#REF!),"\$([A-Z]+)\$[0-9]+"),"")</f>
        <v>#REF!</v>
      </c>
    </row>
    <row r="61" spans="2:9" x14ac:dyDescent="0.25">
      <c r="B61" t="str" cm="1">
        <f t="array" aca="1" ref="B61" ca="1">IF('Raw Data'!B63="",_xlfn.REGEXEXTRACT(CELL("address",'Raw Data'!B63),"\$([A-Z]+)\$[0-9]+"),"")</f>
        <v>$B$63</v>
      </c>
      <c r="C61" t="str" cm="1">
        <f t="array" aca="1" ref="C61" ca="1">IF('Raw Data'!C63="",_xlfn.REGEXEXTRACT(CELL("address",'Raw Data'!C63),"\$([A-Z]+)\$[0-9]+"),"")</f>
        <v>$C$63</v>
      </c>
      <c r="D61" t="str" cm="1">
        <f t="array" aca="1" ref="D61" ca="1">IF('Raw Data'!D63="",_xlfn.REGEXEXTRACT(CELL("address",'Raw Data'!D63),"\$([A-Z]+)\$[0-9]+"),"")</f>
        <v>$D$63</v>
      </c>
      <c r="E61" t="str" cm="1">
        <f t="array" aca="1" ref="E61" ca="1">IF('Raw Data'!E63="",_xlfn.REGEXEXTRACT(CELL("address",'Raw Data'!E63),"\$([A-Z]+)\$[0-9]+"),"")</f>
        <v>$E$63</v>
      </c>
      <c r="F61" t="str" cm="1">
        <f t="array" aca="1" ref="F61" ca="1">IF('Raw Data'!F63="",_xlfn.REGEXEXTRACT(CELL("address",'Raw Data'!F63),"\$([A-Z]+)\$[0-9]+"),"")</f>
        <v>$F$63</v>
      </c>
      <c r="G61" t="e" cm="1">
        <f t="array" aca="1" ref="G61" ca="1">IF('Raw Data'!#REF!="",_xlfn.REGEXEXTRACT(CELL("address",'Raw Data'!#REF!),"\$([A-Z]+)\$[0-9]+"),"")</f>
        <v>#REF!</v>
      </c>
      <c r="H61" t="str" cm="1">
        <f t="array" aca="1" ref="H61" ca="1">IF('Raw Data'!G63="",_xlfn.REGEXEXTRACT(CELL("address",'Raw Data'!G63),"\$([A-Z]+)\$[0-9]+"),"")</f>
        <v>$G$63</v>
      </c>
      <c r="I61" t="e" cm="1">
        <f t="array" aca="1" ref="I61" ca="1">IF('Raw Data'!#REF!="",_xlfn.REGEXEXTRACT(CELL("address",'Raw Data'!#REF!),"\$([A-Z]+)\$[0-9]+"),"")</f>
        <v>#REF!</v>
      </c>
    </row>
    <row r="62" spans="2:9" x14ac:dyDescent="0.25">
      <c r="B62" t="str" cm="1">
        <f t="array" aca="1" ref="B62" ca="1">IF('Raw Data'!B64="",_xlfn.REGEXEXTRACT(CELL("address",'Raw Data'!B64),"\$([A-Z]+)\$[0-9]+"),"")</f>
        <v>$B$64</v>
      </c>
      <c r="C62" t="str" cm="1">
        <f t="array" aca="1" ref="C62" ca="1">IF('Raw Data'!C64="",_xlfn.REGEXEXTRACT(CELL("address",'Raw Data'!C64),"\$([A-Z]+)\$[0-9]+"),"")</f>
        <v>$C$64</v>
      </c>
      <c r="D62" t="str" cm="1">
        <f t="array" aca="1" ref="D62" ca="1">IF('Raw Data'!D64="",_xlfn.REGEXEXTRACT(CELL("address",'Raw Data'!D64),"\$([A-Z]+)\$[0-9]+"),"")</f>
        <v>$D$64</v>
      </c>
      <c r="E62" t="str" cm="1">
        <f t="array" aca="1" ref="E62" ca="1">IF('Raw Data'!E64="",_xlfn.REGEXEXTRACT(CELL("address",'Raw Data'!E64),"\$([A-Z]+)\$[0-9]+"),"")</f>
        <v>$E$64</v>
      </c>
      <c r="F62" t="str" cm="1">
        <f t="array" aca="1" ref="F62" ca="1">IF('Raw Data'!F64="",_xlfn.REGEXEXTRACT(CELL("address",'Raw Data'!F64),"\$([A-Z]+)\$[0-9]+"),"")</f>
        <v>$F$64</v>
      </c>
      <c r="G62" t="e" cm="1">
        <f t="array" aca="1" ref="G62" ca="1">IF('Raw Data'!#REF!="",_xlfn.REGEXEXTRACT(CELL("address",'Raw Data'!#REF!),"\$([A-Z]+)\$[0-9]+"),"")</f>
        <v>#REF!</v>
      </c>
      <c r="H62" t="str" cm="1">
        <f t="array" aca="1" ref="H62" ca="1">IF('Raw Data'!G64="",_xlfn.REGEXEXTRACT(CELL("address",'Raw Data'!G64),"\$([A-Z]+)\$[0-9]+"),"")</f>
        <v>$G$64</v>
      </c>
      <c r="I62" t="e" cm="1">
        <f t="array" aca="1" ref="I62" ca="1">IF('Raw Data'!#REF!="",_xlfn.REGEXEXTRACT(CELL("address",'Raw Data'!#REF!),"\$([A-Z]+)\$[0-9]+"),"")</f>
        <v>#REF!</v>
      </c>
    </row>
    <row r="63" spans="2:9" x14ac:dyDescent="0.25">
      <c r="B63" t="str" cm="1">
        <f t="array" aca="1" ref="B63" ca="1">IF('Raw Data'!B65="",_xlfn.REGEXEXTRACT(CELL("address",'Raw Data'!B65),"\$([A-Z]+)\$[0-9]+"),"")</f>
        <v>$B$65</v>
      </c>
      <c r="C63" t="str" cm="1">
        <f t="array" aca="1" ref="C63" ca="1">IF('Raw Data'!C65="",_xlfn.REGEXEXTRACT(CELL("address",'Raw Data'!C65),"\$([A-Z]+)\$[0-9]+"),"")</f>
        <v>$C$65</v>
      </c>
      <c r="D63" t="str" cm="1">
        <f t="array" aca="1" ref="D63" ca="1">IF('Raw Data'!D65="",_xlfn.REGEXEXTRACT(CELL("address",'Raw Data'!D65),"\$([A-Z]+)\$[0-9]+"),"")</f>
        <v>$D$65</v>
      </c>
      <c r="E63" t="str" cm="1">
        <f t="array" aca="1" ref="E63" ca="1">IF('Raw Data'!E65="",_xlfn.REGEXEXTRACT(CELL("address",'Raw Data'!E65),"\$([A-Z]+)\$[0-9]+"),"")</f>
        <v>$E$65</v>
      </c>
      <c r="F63" t="str" cm="1">
        <f t="array" aca="1" ref="F63" ca="1">IF('Raw Data'!F65="",_xlfn.REGEXEXTRACT(CELL("address",'Raw Data'!F65),"\$([A-Z]+)\$[0-9]+"),"")</f>
        <v>$F$65</v>
      </c>
      <c r="G63" t="e" cm="1">
        <f t="array" aca="1" ref="G63" ca="1">IF('Raw Data'!#REF!="",_xlfn.REGEXEXTRACT(CELL("address",'Raw Data'!#REF!),"\$([A-Z]+)\$[0-9]+"),"")</f>
        <v>#REF!</v>
      </c>
      <c r="H63" t="str" cm="1">
        <f t="array" aca="1" ref="H63" ca="1">IF('Raw Data'!G65="",_xlfn.REGEXEXTRACT(CELL("address",'Raw Data'!G65),"\$([A-Z]+)\$[0-9]+"),"")</f>
        <v>$G$65</v>
      </c>
      <c r="I63" t="e" cm="1">
        <f t="array" aca="1" ref="I63" ca="1">IF('Raw Data'!#REF!="",_xlfn.REGEXEXTRACT(CELL("address",'Raw Data'!#REF!),"\$([A-Z]+)\$[0-9]+"),"")</f>
        <v>#REF!</v>
      </c>
    </row>
    <row r="64" spans="2:9" x14ac:dyDescent="0.25">
      <c r="B64" t="str" cm="1">
        <f t="array" aca="1" ref="B64" ca="1">IF('Raw Data'!B66="",_xlfn.REGEXEXTRACT(CELL("address",'Raw Data'!B66),"\$([A-Z]+)\$[0-9]+"),"")</f>
        <v>$B$66</v>
      </c>
      <c r="C64" t="str" cm="1">
        <f t="array" aca="1" ref="C64" ca="1">IF('Raw Data'!C66="",_xlfn.REGEXEXTRACT(CELL("address",'Raw Data'!C66),"\$([A-Z]+)\$[0-9]+"),"")</f>
        <v>$C$66</v>
      </c>
      <c r="D64" t="str" cm="1">
        <f t="array" aca="1" ref="D64" ca="1">IF('Raw Data'!D66="",_xlfn.REGEXEXTRACT(CELL("address",'Raw Data'!D66),"\$([A-Z]+)\$[0-9]+"),"")</f>
        <v>$D$66</v>
      </c>
      <c r="E64" t="str" cm="1">
        <f t="array" aca="1" ref="E64" ca="1">IF('Raw Data'!E66="",_xlfn.REGEXEXTRACT(CELL("address",'Raw Data'!E66),"\$([A-Z]+)\$[0-9]+"),"")</f>
        <v>$E$66</v>
      </c>
      <c r="F64" t="str" cm="1">
        <f t="array" aca="1" ref="F64" ca="1">IF('Raw Data'!F66="",_xlfn.REGEXEXTRACT(CELL("address",'Raw Data'!F66),"\$([A-Z]+)\$[0-9]+"),"")</f>
        <v>$F$66</v>
      </c>
      <c r="G64" t="e" cm="1">
        <f t="array" aca="1" ref="G64" ca="1">IF('Raw Data'!#REF!="",_xlfn.REGEXEXTRACT(CELL("address",'Raw Data'!#REF!),"\$([A-Z]+)\$[0-9]+"),"")</f>
        <v>#REF!</v>
      </c>
      <c r="H64" t="str" cm="1">
        <f t="array" aca="1" ref="H64" ca="1">IF('Raw Data'!G66="",_xlfn.REGEXEXTRACT(CELL("address",'Raw Data'!G66),"\$([A-Z]+)\$[0-9]+"),"")</f>
        <v>$G$66</v>
      </c>
      <c r="I64" t="e" cm="1">
        <f t="array" aca="1" ref="I64" ca="1">IF('Raw Data'!#REF!="",_xlfn.REGEXEXTRACT(CELL("address",'Raw Data'!#REF!),"\$([A-Z]+)\$[0-9]+"),"")</f>
        <v>#REF!</v>
      </c>
    </row>
    <row r="65" spans="2:9" x14ac:dyDescent="0.25">
      <c r="B65" t="str" cm="1">
        <f t="array" aca="1" ref="B65" ca="1">IF('Raw Data'!B67="",_xlfn.REGEXEXTRACT(CELL("address",'Raw Data'!B67),"\$([A-Z]+)\$[0-9]+"),"")</f>
        <v>$B$67</v>
      </c>
      <c r="C65" t="str" cm="1">
        <f t="array" aca="1" ref="C65" ca="1">IF('Raw Data'!C67="",_xlfn.REGEXEXTRACT(CELL("address",'Raw Data'!C67),"\$([A-Z]+)\$[0-9]+"),"")</f>
        <v>$C$67</v>
      </c>
      <c r="D65" t="str" cm="1">
        <f t="array" aca="1" ref="D65" ca="1">IF('Raw Data'!D67="",_xlfn.REGEXEXTRACT(CELL("address",'Raw Data'!D67),"\$([A-Z]+)\$[0-9]+"),"")</f>
        <v>$D$67</v>
      </c>
      <c r="E65" t="str" cm="1">
        <f t="array" aca="1" ref="E65" ca="1">IF('Raw Data'!E67="",_xlfn.REGEXEXTRACT(CELL("address",'Raw Data'!E67),"\$([A-Z]+)\$[0-9]+"),"")</f>
        <v>$E$67</v>
      </c>
      <c r="F65" t="str" cm="1">
        <f t="array" aca="1" ref="F65" ca="1">IF('Raw Data'!F67="",_xlfn.REGEXEXTRACT(CELL("address",'Raw Data'!F67),"\$([A-Z]+)\$[0-9]+"),"")</f>
        <v>$F$67</v>
      </c>
      <c r="G65" t="e" cm="1">
        <f t="array" aca="1" ref="G65" ca="1">IF('Raw Data'!#REF!="",_xlfn.REGEXEXTRACT(CELL("address",'Raw Data'!#REF!),"\$([A-Z]+)\$[0-9]+"),"")</f>
        <v>#REF!</v>
      </c>
      <c r="H65" t="str" cm="1">
        <f t="array" aca="1" ref="H65" ca="1">IF('Raw Data'!G67="",_xlfn.REGEXEXTRACT(CELL("address",'Raw Data'!G67),"\$([A-Z]+)\$[0-9]+"),"")</f>
        <v>$G$67</v>
      </c>
      <c r="I65" t="e" cm="1">
        <f t="array" aca="1" ref="I65" ca="1">IF('Raw Data'!#REF!="",_xlfn.REGEXEXTRACT(CELL("address",'Raw Data'!#REF!),"\$([A-Z]+)\$[0-9]+"),"")</f>
        <v>#REF!</v>
      </c>
    </row>
    <row r="66" spans="2:9" x14ac:dyDescent="0.25">
      <c r="B66" t="str" cm="1">
        <f t="array" aca="1" ref="B66" ca="1">IF('Raw Data'!B68="",_xlfn.REGEXEXTRACT(CELL("address",'Raw Data'!B68),"\$([A-Z]+)\$[0-9]+"),"")</f>
        <v>$B$68</v>
      </c>
      <c r="C66" t="str" cm="1">
        <f t="array" aca="1" ref="C66" ca="1">IF('Raw Data'!C68="",_xlfn.REGEXEXTRACT(CELL("address",'Raw Data'!C68),"\$([A-Z]+)\$[0-9]+"),"")</f>
        <v>$C$68</v>
      </c>
      <c r="D66" t="str" cm="1">
        <f t="array" aca="1" ref="D66" ca="1">IF('Raw Data'!D68="",_xlfn.REGEXEXTRACT(CELL("address",'Raw Data'!D68),"\$([A-Z]+)\$[0-9]+"),"")</f>
        <v>$D$68</v>
      </c>
      <c r="E66" t="str" cm="1">
        <f t="array" aca="1" ref="E66" ca="1">IF('Raw Data'!E68="",_xlfn.REGEXEXTRACT(CELL("address",'Raw Data'!E68),"\$([A-Z]+)\$[0-9]+"),"")</f>
        <v>$E$68</v>
      </c>
      <c r="F66" t="str" cm="1">
        <f t="array" aca="1" ref="F66" ca="1">IF('Raw Data'!F68="",_xlfn.REGEXEXTRACT(CELL("address",'Raw Data'!F68),"\$([A-Z]+)\$[0-9]+"),"")</f>
        <v>$F$68</v>
      </c>
      <c r="G66" t="e" cm="1">
        <f t="array" aca="1" ref="G66" ca="1">IF('Raw Data'!#REF!="",_xlfn.REGEXEXTRACT(CELL("address",'Raw Data'!#REF!),"\$([A-Z]+)\$[0-9]+"),"")</f>
        <v>#REF!</v>
      </c>
      <c r="H66" t="str" cm="1">
        <f t="array" aca="1" ref="H66" ca="1">IF('Raw Data'!G68="",_xlfn.REGEXEXTRACT(CELL("address",'Raw Data'!G68),"\$([A-Z]+)\$[0-9]+"),"")</f>
        <v>$G$68</v>
      </c>
      <c r="I66" t="e" cm="1">
        <f t="array" aca="1" ref="I66" ca="1">IF('Raw Data'!#REF!="",_xlfn.REGEXEXTRACT(CELL("address",'Raw Data'!#REF!),"\$([A-Z]+)\$[0-9]+"),"")</f>
        <v>#REF!</v>
      </c>
    </row>
    <row r="67" spans="2:9" x14ac:dyDescent="0.25">
      <c r="B67" t="str" cm="1">
        <f t="array" aca="1" ref="B67" ca="1">IF('Raw Data'!B69="",_xlfn.REGEXEXTRACT(CELL("address",'Raw Data'!B69),"\$([A-Z]+)\$[0-9]+"),"")</f>
        <v>$B$69</v>
      </c>
      <c r="C67" t="str" cm="1">
        <f t="array" aca="1" ref="C67" ca="1">IF('Raw Data'!C69="",_xlfn.REGEXEXTRACT(CELL("address",'Raw Data'!C69),"\$([A-Z]+)\$[0-9]+"),"")</f>
        <v>$C$69</v>
      </c>
      <c r="D67" t="str" cm="1">
        <f t="array" aca="1" ref="D67" ca="1">IF('Raw Data'!D69="",_xlfn.REGEXEXTRACT(CELL("address",'Raw Data'!D69),"\$([A-Z]+)\$[0-9]+"),"")</f>
        <v>$D$69</v>
      </c>
      <c r="E67" t="str" cm="1">
        <f t="array" aca="1" ref="E67" ca="1">IF('Raw Data'!E69="",_xlfn.REGEXEXTRACT(CELL("address",'Raw Data'!E69),"\$([A-Z]+)\$[0-9]+"),"")</f>
        <v>$E$69</v>
      </c>
      <c r="F67" t="str" cm="1">
        <f t="array" aca="1" ref="F67" ca="1">IF('Raw Data'!F69="",_xlfn.REGEXEXTRACT(CELL("address",'Raw Data'!F69),"\$([A-Z]+)\$[0-9]+"),"")</f>
        <v>$F$69</v>
      </c>
      <c r="G67" t="e" cm="1">
        <f t="array" aca="1" ref="G67" ca="1">IF('Raw Data'!#REF!="",_xlfn.REGEXEXTRACT(CELL("address",'Raw Data'!#REF!),"\$([A-Z]+)\$[0-9]+"),"")</f>
        <v>#REF!</v>
      </c>
      <c r="H67" t="str" cm="1">
        <f t="array" aca="1" ref="H67" ca="1">IF('Raw Data'!G69="",_xlfn.REGEXEXTRACT(CELL("address",'Raw Data'!G69),"\$([A-Z]+)\$[0-9]+"),"")</f>
        <v>$G$69</v>
      </c>
      <c r="I67" t="e" cm="1">
        <f t="array" aca="1" ref="I67" ca="1">IF('Raw Data'!#REF!="",_xlfn.REGEXEXTRACT(CELL("address",'Raw Data'!#REF!),"\$([A-Z]+)\$[0-9]+"),"")</f>
        <v>#REF!</v>
      </c>
    </row>
    <row r="68" spans="2:9" x14ac:dyDescent="0.25">
      <c r="B68" t="str" cm="1">
        <f t="array" aca="1" ref="B68" ca="1">IF('Raw Data'!B70="",_xlfn.REGEXEXTRACT(CELL("address",'Raw Data'!B70),"\$([A-Z]+)\$[0-9]+"),"")</f>
        <v>$B$70</v>
      </c>
      <c r="C68" t="str" cm="1">
        <f t="array" aca="1" ref="C68" ca="1">IF('Raw Data'!C70="",_xlfn.REGEXEXTRACT(CELL("address",'Raw Data'!C70),"\$([A-Z]+)\$[0-9]+"),"")</f>
        <v>$C$70</v>
      </c>
      <c r="D68" t="str" cm="1">
        <f t="array" aca="1" ref="D68" ca="1">IF('Raw Data'!D70="",_xlfn.REGEXEXTRACT(CELL("address",'Raw Data'!D70),"\$([A-Z]+)\$[0-9]+"),"")</f>
        <v>$D$70</v>
      </c>
      <c r="E68" t="str" cm="1">
        <f t="array" aca="1" ref="E68" ca="1">IF('Raw Data'!E70="",_xlfn.REGEXEXTRACT(CELL("address",'Raw Data'!E70),"\$([A-Z]+)\$[0-9]+"),"")</f>
        <v>$E$70</v>
      </c>
      <c r="F68" t="str" cm="1">
        <f t="array" aca="1" ref="F68" ca="1">IF('Raw Data'!F70="",_xlfn.REGEXEXTRACT(CELL("address",'Raw Data'!F70),"\$([A-Z]+)\$[0-9]+"),"")</f>
        <v>$F$70</v>
      </c>
      <c r="G68" t="e" cm="1">
        <f t="array" aca="1" ref="G68" ca="1">IF('Raw Data'!#REF!="",_xlfn.REGEXEXTRACT(CELL("address",'Raw Data'!#REF!),"\$([A-Z]+)\$[0-9]+"),"")</f>
        <v>#REF!</v>
      </c>
      <c r="H68" t="str" cm="1">
        <f t="array" aca="1" ref="H68" ca="1">IF('Raw Data'!G70="",_xlfn.REGEXEXTRACT(CELL("address",'Raw Data'!G70),"\$([A-Z]+)\$[0-9]+"),"")</f>
        <v>$G$70</v>
      </c>
      <c r="I68" t="e" cm="1">
        <f t="array" aca="1" ref="I68" ca="1">IF('Raw Data'!#REF!="",_xlfn.REGEXEXTRACT(CELL("address",'Raw Data'!#REF!),"\$([A-Z]+)\$[0-9]+"),"")</f>
        <v>#REF!</v>
      </c>
    </row>
    <row r="69" spans="2:9" x14ac:dyDescent="0.25">
      <c r="B69" t="str" cm="1">
        <f t="array" aca="1" ref="B69" ca="1">IF('Raw Data'!B71="",_xlfn.REGEXEXTRACT(CELL("address",'Raw Data'!B71),"\$([A-Z]+)\$[0-9]+"),"")</f>
        <v>$B$71</v>
      </c>
      <c r="C69" t="str" cm="1">
        <f t="array" aca="1" ref="C69" ca="1">IF('Raw Data'!C71="",_xlfn.REGEXEXTRACT(CELL("address",'Raw Data'!C71),"\$([A-Z]+)\$[0-9]+"),"")</f>
        <v>$C$71</v>
      </c>
      <c r="D69" t="str" cm="1">
        <f t="array" aca="1" ref="D69" ca="1">IF('Raw Data'!D71="",_xlfn.REGEXEXTRACT(CELL("address",'Raw Data'!D71),"\$([A-Z]+)\$[0-9]+"),"")</f>
        <v>$D$71</v>
      </c>
      <c r="E69" t="str" cm="1">
        <f t="array" aca="1" ref="E69" ca="1">IF('Raw Data'!E71="",_xlfn.REGEXEXTRACT(CELL("address",'Raw Data'!E71),"\$([A-Z]+)\$[0-9]+"),"")</f>
        <v>$E$71</v>
      </c>
      <c r="F69" t="str" cm="1">
        <f t="array" aca="1" ref="F69" ca="1">IF('Raw Data'!F71="",_xlfn.REGEXEXTRACT(CELL("address",'Raw Data'!F71),"\$([A-Z]+)\$[0-9]+"),"")</f>
        <v>$F$71</v>
      </c>
      <c r="G69" t="e" cm="1">
        <f t="array" aca="1" ref="G69" ca="1">IF('Raw Data'!#REF!="",_xlfn.REGEXEXTRACT(CELL("address",'Raw Data'!#REF!),"\$([A-Z]+)\$[0-9]+"),"")</f>
        <v>#REF!</v>
      </c>
      <c r="H69" t="str" cm="1">
        <f t="array" aca="1" ref="H69" ca="1">IF('Raw Data'!G71="",_xlfn.REGEXEXTRACT(CELL("address",'Raw Data'!G71),"\$([A-Z]+)\$[0-9]+"),"")</f>
        <v>$G$71</v>
      </c>
      <c r="I69" t="e" cm="1">
        <f t="array" aca="1" ref="I69" ca="1">IF('Raw Data'!#REF!="",_xlfn.REGEXEXTRACT(CELL("address",'Raw Data'!#REF!),"\$([A-Z]+)\$[0-9]+"),"")</f>
        <v>#REF!</v>
      </c>
    </row>
    <row r="70" spans="2:9" x14ac:dyDescent="0.25">
      <c r="B70" t="str" cm="1">
        <f t="array" aca="1" ref="B70" ca="1">IF('Raw Data'!B72="",_xlfn.REGEXEXTRACT(CELL("address",'Raw Data'!B72),"\$([A-Z]+)\$[0-9]+"),"")</f>
        <v>$B$72</v>
      </c>
      <c r="C70" t="str" cm="1">
        <f t="array" aca="1" ref="C70" ca="1">IF('Raw Data'!C72="",_xlfn.REGEXEXTRACT(CELL("address",'Raw Data'!C72),"\$([A-Z]+)\$[0-9]+"),"")</f>
        <v>$C$72</v>
      </c>
      <c r="D70" t="str" cm="1">
        <f t="array" aca="1" ref="D70" ca="1">IF('Raw Data'!D72="",_xlfn.REGEXEXTRACT(CELL("address",'Raw Data'!D72),"\$([A-Z]+)\$[0-9]+"),"")</f>
        <v>$D$72</v>
      </c>
      <c r="E70" t="str" cm="1">
        <f t="array" aca="1" ref="E70" ca="1">IF('Raw Data'!E72="",_xlfn.REGEXEXTRACT(CELL("address",'Raw Data'!E72),"\$([A-Z]+)\$[0-9]+"),"")</f>
        <v>$E$72</v>
      </c>
      <c r="F70" t="str" cm="1">
        <f t="array" aca="1" ref="F70" ca="1">IF('Raw Data'!F72="",_xlfn.REGEXEXTRACT(CELL("address",'Raw Data'!F72),"\$([A-Z]+)\$[0-9]+"),"")</f>
        <v>$F$72</v>
      </c>
      <c r="G70" t="e" cm="1">
        <f t="array" aca="1" ref="G70" ca="1">IF('Raw Data'!#REF!="",_xlfn.REGEXEXTRACT(CELL("address",'Raw Data'!#REF!),"\$([A-Z]+)\$[0-9]+"),"")</f>
        <v>#REF!</v>
      </c>
      <c r="H70" t="str" cm="1">
        <f t="array" aca="1" ref="H70" ca="1">IF('Raw Data'!G72="",_xlfn.REGEXEXTRACT(CELL("address",'Raw Data'!G72),"\$([A-Z]+)\$[0-9]+"),"")</f>
        <v>$G$72</v>
      </c>
      <c r="I70" t="e" cm="1">
        <f t="array" aca="1" ref="I70" ca="1">IF('Raw Data'!#REF!="",_xlfn.REGEXEXTRACT(CELL("address",'Raw Data'!#REF!),"\$([A-Z]+)\$[0-9]+"),"")</f>
        <v>#REF!</v>
      </c>
    </row>
    <row r="71" spans="2:9" x14ac:dyDescent="0.25">
      <c r="B71" t="str" cm="1">
        <f t="array" aca="1" ref="B71" ca="1">IF('Raw Data'!B73="",_xlfn.REGEXEXTRACT(CELL("address",'Raw Data'!B73),"\$([A-Z]+)\$[0-9]+"),"")</f>
        <v>$B$73</v>
      </c>
      <c r="C71" t="str" cm="1">
        <f t="array" aca="1" ref="C71" ca="1">IF('Raw Data'!C73="",_xlfn.REGEXEXTRACT(CELL("address",'Raw Data'!C73),"\$([A-Z]+)\$[0-9]+"),"")</f>
        <v>$C$73</v>
      </c>
      <c r="D71" t="str" cm="1">
        <f t="array" aca="1" ref="D71" ca="1">IF('Raw Data'!D73="",_xlfn.REGEXEXTRACT(CELL("address",'Raw Data'!D73),"\$([A-Z]+)\$[0-9]+"),"")</f>
        <v>$D$73</v>
      </c>
      <c r="E71" t="str" cm="1">
        <f t="array" aca="1" ref="E71" ca="1">IF('Raw Data'!E73="",_xlfn.REGEXEXTRACT(CELL("address",'Raw Data'!E73),"\$([A-Z]+)\$[0-9]+"),"")</f>
        <v>$E$73</v>
      </c>
      <c r="F71" t="str" cm="1">
        <f t="array" aca="1" ref="F71" ca="1">IF('Raw Data'!F73="",_xlfn.REGEXEXTRACT(CELL("address",'Raw Data'!F73),"\$([A-Z]+)\$[0-9]+"),"")</f>
        <v>$F$73</v>
      </c>
      <c r="G71" t="e" cm="1">
        <f t="array" aca="1" ref="G71" ca="1">IF('Raw Data'!#REF!="",_xlfn.REGEXEXTRACT(CELL("address",'Raw Data'!#REF!),"\$([A-Z]+)\$[0-9]+"),"")</f>
        <v>#REF!</v>
      </c>
      <c r="H71" t="str" cm="1">
        <f t="array" aca="1" ref="H71" ca="1">IF('Raw Data'!G73="",_xlfn.REGEXEXTRACT(CELL("address",'Raw Data'!G73),"\$([A-Z]+)\$[0-9]+"),"")</f>
        <v>$G$73</v>
      </c>
      <c r="I71" t="e" cm="1">
        <f t="array" aca="1" ref="I71" ca="1">IF('Raw Data'!#REF!="",_xlfn.REGEXEXTRACT(CELL("address",'Raw Data'!#REF!),"\$([A-Z]+)\$[0-9]+"),"")</f>
        <v>#REF!</v>
      </c>
    </row>
    <row r="72" spans="2:9" x14ac:dyDescent="0.25">
      <c r="B72" t="str" cm="1">
        <f t="array" aca="1" ref="B72" ca="1">IF('Raw Data'!B74="",_xlfn.REGEXEXTRACT(CELL("address",'Raw Data'!B74),"\$([A-Z]+)\$[0-9]+"),"")</f>
        <v>$B$74</v>
      </c>
      <c r="C72" t="str" cm="1">
        <f t="array" aca="1" ref="C72" ca="1">IF('Raw Data'!C74="",_xlfn.REGEXEXTRACT(CELL("address",'Raw Data'!C74),"\$([A-Z]+)\$[0-9]+"),"")</f>
        <v>$C$74</v>
      </c>
      <c r="D72" t="str" cm="1">
        <f t="array" aca="1" ref="D72" ca="1">IF('Raw Data'!D74="",_xlfn.REGEXEXTRACT(CELL("address",'Raw Data'!D74),"\$([A-Z]+)\$[0-9]+"),"")</f>
        <v>$D$74</v>
      </c>
      <c r="E72" t="str" cm="1">
        <f t="array" aca="1" ref="E72" ca="1">IF('Raw Data'!E74="",_xlfn.REGEXEXTRACT(CELL("address",'Raw Data'!E74),"\$([A-Z]+)\$[0-9]+"),"")</f>
        <v>$E$74</v>
      </c>
      <c r="F72" t="str" cm="1">
        <f t="array" aca="1" ref="F72" ca="1">IF('Raw Data'!F74="",_xlfn.REGEXEXTRACT(CELL("address",'Raw Data'!F74),"\$([A-Z]+)\$[0-9]+"),"")</f>
        <v>$F$74</v>
      </c>
      <c r="G72" t="e" cm="1">
        <f t="array" aca="1" ref="G72" ca="1">IF('Raw Data'!#REF!="",_xlfn.REGEXEXTRACT(CELL("address",'Raw Data'!#REF!),"\$([A-Z]+)\$[0-9]+"),"")</f>
        <v>#REF!</v>
      </c>
      <c r="H72" t="str" cm="1">
        <f t="array" aca="1" ref="H72" ca="1">IF('Raw Data'!G74="",_xlfn.REGEXEXTRACT(CELL("address",'Raw Data'!G74),"\$([A-Z]+)\$[0-9]+"),"")</f>
        <v>$G$74</v>
      </c>
      <c r="I72" t="e" cm="1">
        <f t="array" aca="1" ref="I72" ca="1">IF('Raw Data'!#REF!="",_xlfn.REGEXEXTRACT(CELL("address",'Raw Data'!#REF!),"\$([A-Z]+)\$[0-9]+"),"")</f>
        <v>#REF!</v>
      </c>
    </row>
    <row r="73" spans="2:9" x14ac:dyDescent="0.25">
      <c r="B73" t="str" cm="1">
        <f t="array" aca="1" ref="B73" ca="1">IF('Raw Data'!B75="",_xlfn.REGEXEXTRACT(CELL("address",'Raw Data'!B75),"\$([A-Z]+)\$[0-9]+"),"")</f>
        <v>$B$75</v>
      </c>
      <c r="C73" t="str" cm="1">
        <f t="array" aca="1" ref="C73" ca="1">IF('Raw Data'!C75="",_xlfn.REGEXEXTRACT(CELL("address",'Raw Data'!C75),"\$([A-Z]+)\$[0-9]+"),"")</f>
        <v>$C$75</v>
      </c>
      <c r="D73" t="str" cm="1">
        <f t="array" aca="1" ref="D73" ca="1">IF('Raw Data'!D75="",_xlfn.REGEXEXTRACT(CELL("address",'Raw Data'!D75),"\$([A-Z]+)\$[0-9]+"),"")</f>
        <v>$D$75</v>
      </c>
      <c r="E73" t="str" cm="1">
        <f t="array" aca="1" ref="E73" ca="1">IF('Raw Data'!E75="",_xlfn.REGEXEXTRACT(CELL("address",'Raw Data'!E75),"\$([A-Z]+)\$[0-9]+"),"")</f>
        <v>$E$75</v>
      </c>
      <c r="F73" t="str" cm="1">
        <f t="array" aca="1" ref="F73" ca="1">IF('Raw Data'!F75="",_xlfn.REGEXEXTRACT(CELL("address",'Raw Data'!F75),"\$([A-Z]+)\$[0-9]+"),"")</f>
        <v>$F$75</v>
      </c>
      <c r="G73" t="e" cm="1">
        <f t="array" aca="1" ref="G73" ca="1">IF('Raw Data'!#REF!="",_xlfn.REGEXEXTRACT(CELL("address",'Raw Data'!#REF!),"\$([A-Z]+)\$[0-9]+"),"")</f>
        <v>#REF!</v>
      </c>
      <c r="H73" t="str" cm="1">
        <f t="array" aca="1" ref="H73" ca="1">IF('Raw Data'!G75="",_xlfn.REGEXEXTRACT(CELL("address",'Raw Data'!G75),"\$([A-Z]+)\$[0-9]+"),"")</f>
        <v>$G$75</v>
      </c>
      <c r="I73" t="e" cm="1">
        <f t="array" aca="1" ref="I73" ca="1">IF('Raw Data'!#REF!="",_xlfn.REGEXEXTRACT(CELL("address",'Raw Data'!#REF!),"\$([A-Z]+)\$[0-9]+"),"")</f>
        <v>#REF!</v>
      </c>
    </row>
    <row r="74" spans="2:9" x14ac:dyDescent="0.25">
      <c r="B74" t="str" cm="1">
        <f t="array" aca="1" ref="B74" ca="1">IF('Raw Data'!B76="",_xlfn.REGEXEXTRACT(CELL("address",'Raw Data'!B76),"\$([A-Z]+)\$[0-9]+"),"")</f>
        <v>$B$76</v>
      </c>
      <c r="C74" t="str" cm="1">
        <f t="array" aca="1" ref="C74" ca="1">IF('Raw Data'!C76="",_xlfn.REGEXEXTRACT(CELL("address",'Raw Data'!C76),"\$([A-Z]+)\$[0-9]+"),"")</f>
        <v>$C$76</v>
      </c>
      <c r="D74" t="str" cm="1">
        <f t="array" aca="1" ref="D74" ca="1">IF('Raw Data'!D76="",_xlfn.REGEXEXTRACT(CELL("address",'Raw Data'!D76),"\$([A-Z]+)\$[0-9]+"),"")</f>
        <v>$D$76</v>
      </c>
      <c r="E74" t="str" cm="1">
        <f t="array" aca="1" ref="E74" ca="1">IF('Raw Data'!E76="",_xlfn.REGEXEXTRACT(CELL("address",'Raw Data'!E76),"\$([A-Z]+)\$[0-9]+"),"")</f>
        <v>$E$76</v>
      </c>
      <c r="F74" t="str" cm="1">
        <f t="array" aca="1" ref="F74" ca="1">IF('Raw Data'!F76="",_xlfn.REGEXEXTRACT(CELL("address",'Raw Data'!F76),"\$([A-Z]+)\$[0-9]+"),"")</f>
        <v>$F$76</v>
      </c>
      <c r="G74" t="e" cm="1">
        <f t="array" aca="1" ref="G74" ca="1">IF('Raw Data'!#REF!="",_xlfn.REGEXEXTRACT(CELL("address",'Raw Data'!#REF!),"\$([A-Z]+)\$[0-9]+"),"")</f>
        <v>#REF!</v>
      </c>
      <c r="H74" t="str" cm="1">
        <f t="array" aca="1" ref="H74" ca="1">IF('Raw Data'!G76="",_xlfn.REGEXEXTRACT(CELL("address",'Raw Data'!G76),"\$([A-Z]+)\$[0-9]+"),"")</f>
        <v>$G$76</v>
      </c>
      <c r="I74" t="e" cm="1">
        <f t="array" aca="1" ref="I74" ca="1">IF('Raw Data'!#REF!="",_xlfn.REGEXEXTRACT(CELL("address",'Raw Data'!#REF!),"\$([A-Z]+)\$[0-9]+"),"")</f>
        <v>#REF!</v>
      </c>
    </row>
    <row r="75" spans="2:9" x14ac:dyDescent="0.25">
      <c r="B75" t="str" cm="1">
        <f t="array" aca="1" ref="B75" ca="1">IF('Raw Data'!B77="",_xlfn.REGEXEXTRACT(CELL("address",'Raw Data'!B77),"\$([A-Z]+)\$[0-9]+"),"")</f>
        <v>$B$77</v>
      </c>
      <c r="C75" t="str" cm="1">
        <f t="array" aca="1" ref="C75" ca="1">IF('Raw Data'!C77="",_xlfn.REGEXEXTRACT(CELL("address",'Raw Data'!C77),"\$([A-Z]+)\$[0-9]+"),"")</f>
        <v>$C$77</v>
      </c>
      <c r="D75" t="str" cm="1">
        <f t="array" aca="1" ref="D75" ca="1">IF('Raw Data'!D77="",_xlfn.REGEXEXTRACT(CELL("address",'Raw Data'!D77),"\$([A-Z]+)\$[0-9]+"),"")</f>
        <v>$D$77</v>
      </c>
      <c r="E75" t="str" cm="1">
        <f t="array" aca="1" ref="E75" ca="1">IF('Raw Data'!E77="",_xlfn.REGEXEXTRACT(CELL("address",'Raw Data'!E77),"\$([A-Z]+)\$[0-9]+"),"")</f>
        <v>$E$77</v>
      </c>
      <c r="F75" t="str" cm="1">
        <f t="array" aca="1" ref="F75" ca="1">IF('Raw Data'!F77="",_xlfn.REGEXEXTRACT(CELL("address",'Raw Data'!F77),"\$([A-Z]+)\$[0-9]+"),"")</f>
        <v>$F$77</v>
      </c>
      <c r="G75" t="e" cm="1">
        <f t="array" aca="1" ref="G75" ca="1">IF('Raw Data'!#REF!="",_xlfn.REGEXEXTRACT(CELL("address",'Raw Data'!#REF!),"\$([A-Z]+)\$[0-9]+"),"")</f>
        <v>#REF!</v>
      </c>
      <c r="H75" t="str" cm="1">
        <f t="array" aca="1" ref="H75" ca="1">IF('Raw Data'!G77="",_xlfn.REGEXEXTRACT(CELL("address",'Raw Data'!G77),"\$([A-Z]+)\$[0-9]+"),"")</f>
        <v>$G$77</v>
      </c>
      <c r="I75" t="e" cm="1">
        <f t="array" aca="1" ref="I75" ca="1">IF('Raw Data'!#REF!="",_xlfn.REGEXEXTRACT(CELL("address",'Raw Data'!#REF!),"\$([A-Z]+)\$[0-9]+"),"")</f>
        <v>#REF!</v>
      </c>
    </row>
    <row r="76" spans="2:9" x14ac:dyDescent="0.25">
      <c r="B76" t="str" cm="1">
        <f t="array" aca="1" ref="B76" ca="1">IF('Raw Data'!B78="",_xlfn.REGEXEXTRACT(CELL("address",'Raw Data'!B78),"\$([A-Z]+)\$[0-9]+"),"")</f>
        <v>$B$78</v>
      </c>
      <c r="C76" t="str" cm="1">
        <f t="array" aca="1" ref="C76" ca="1">IF('Raw Data'!C78="",_xlfn.REGEXEXTRACT(CELL("address",'Raw Data'!C78),"\$([A-Z]+)\$[0-9]+"),"")</f>
        <v>$C$78</v>
      </c>
      <c r="D76" t="str" cm="1">
        <f t="array" aca="1" ref="D76" ca="1">IF('Raw Data'!D78="",_xlfn.REGEXEXTRACT(CELL("address",'Raw Data'!D78),"\$([A-Z]+)\$[0-9]+"),"")</f>
        <v>$D$78</v>
      </c>
      <c r="E76" t="str" cm="1">
        <f t="array" aca="1" ref="E76" ca="1">IF('Raw Data'!E78="",_xlfn.REGEXEXTRACT(CELL("address",'Raw Data'!E78),"\$([A-Z]+)\$[0-9]+"),"")</f>
        <v>$E$78</v>
      </c>
      <c r="F76" t="str" cm="1">
        <f t="array" aca="1" ref="F76" ca="1">IF('Raw Data'!F78="",_xlfn.REGEXEXTRACT(CELL("address",'Raw Data'!F78),"\$([A-Z]+)\$[0-9]+"),"")</f>
        <v>$F$78</v>
      </c>
      <c r="G76" t="e" cm="1">
        <f t="array" aca="1" ref="G76" ca="1">IF('Raw Data'!#REF!="",_xlfn.REGEXEXTRACT(CELL("address",'Raw Data'!#REF!),"\$([A-Z]+)\$[0-9]+"),"")</f>
        <v>#REF!</v>
      </c>
      <c r="H76" t="str" cm="1">
        <f t="array" aca="1" ref="H76" ca="1">IF('Raw Data'!G78="",_xlfn.REGEXEXTRACT(CELL("address",'Raw Data'!G78),"\$([A-Z]+)\$[0-9]+"),"")</f>
        <v>$G$78</v>
      </c>
      <c r="I76" t="e" cm="1">
        <f t="array" aca="1" ref="I76" ca="1">IF('Raw Data'!#REF!="",_xlfn.REGEXEXTRACT(CELL("address",'Raw Data'!#REF!),"\$([A-Z]+)\$[0-9]+"),"")</f>
        <v>#REF!</v>
      </c>
    </row>
    <row r="77" spans="2:9" x14ac:dyDescent="0.25">
      <c r="B77" t="str" cm="1">
        <f t="array" aca="1" ref="B77" ca="1">IF('Raw Data'!B79="",_xlfn.REGEXEXTRACT(CELL("address",'Raw Data'!B79),"\$([A-Z]+)\$[0-9]+"),"")</f>
        <v>$B$79</v>
      </c>
      <c r="C77" t="str" cm="1">
        <f t="array" aca="1" ref="C77" ca="1">IF('Raw Data'!C79="",_xlfn.REGEXEXTRACT(CELL("address",'Raw Data'!C79),"\$([A-Z]+)\$[0-9]+"),"")</f>
        <v>$C$79</v>
      </c>
      <c r="D77" t="str" cm="1">
        <f t="array" aca="1" ref="D77" ca="1">IF('Raw Data'!D79="",_xlfn.REGEXEXTRACT(CELL("address",'Raw Data'!D79),"\$([A-Z]+)\$[0-9]+"),"")</f>
        <v>$D$79</v>
      </c>
      <c r="E77" t="str" cm="1">
        <f t="array" aca="1" ref="E77" ca="1">IF('Raw Data'!E79="",_xlfn.REGEXEXTRACT(CELL("address",'Raw Data'!E79),"\$([A-Z]+)\$[0-9]+"),"")</f>
        <v>$E$79</v>
      </c>
      <c r="F77" t="str" cm="1">
        <f t="array" aca="1" ref="F77" ca="1">IF('Raw Data'!F79="",_xlfn.REGEXEXTRACT(CELL("address",'Raw Data'!F79),"\$([A-Z]+)\$[0-9]+"),"")</f>
        <v>$F$79</v>
      </c>
      <c r="G77" t="e" cm="1">
        <f t="array" aca="1" ref="G77" ca="1">IF('Raw Data'!#REF!="",_xlfn.REGEXEXTRACT(CELL("address",'Raw Data'!#REF!),"\$([A-Z]+)\$[0-9]+"),"")</f>
        <v>#REF!</v>
      </c>
      <c r="H77" t="str" cm="1">
        <f t="array" aca="1" ref="H77" ca="1">IF('Raw Data'!G79="",_xlfn.REGEXEXTRACT(CELL("address",'Raw Data'!G79),"\$([A-Z]+)\$[0-9]+"),"")</f>
        <v>$G$79</v>
      </c>
      <c r="I77" t="e" cm="1">
        <f t="array" aca="1" ref="I77" ca="1">IF('Raw Data'!#REF!="",_xlfn.REGEXEXTRACT(CELL("address",'Raw Data'!#REF!),"\$([A-Z]+)\$[0-9]+"),"")</f>
        <v>#REF!</v>
      </c>
    </row>
    <row r="78" spans="2:9" x14ac:dyDescent="0.25">
      <c r="B78" t="str" cm="1">
        <f t="array" aca="1" ref="B78" ca="1">IF('Raw Data'!B80="",_xlfn.REGEXEXTRACT(CELL("address",'Raw Data'!B80),"\$([A-Z]+)\$[0-9]+"),"")</f>
        <v>$B$80</v>
      </c>
      <c r="C78" t="str" cm="1">
        <f t="array" aca="1" ref="C78" ca="1">IF('Raw Data'!C80="",_xlfn.REGEXEXTRACT(CELL("address",'Raw Data'!C80),"\$([A-Z]+)\$[0-9]+"),"")</f>
        <v>$C$80</v>
      </c>
      <c r="D78" t="str" cm="1">
        <f t="array" aca="1" ref="D78" ca="1">IF('Raw Data'!D80="",_xlfn.REGEXEXTRACT(CELL("address",'Raw Data'!D80),"\$([A-Z]+)\$[0-9]+"),"")</f>
        <v>$D$80</v>
      </c>
      <c r="E78" t="str" cm="1">
        <f t="array" aca="1" ref="E78" ca="1">IF('Raw Data'!E80="",_xlfn.REGEXEXTRACT(CELL("address",'Raw Data'!E80),"\$([A-Z]+)\$[0-9]+"),"")</f>
        <v>$E$80</v>
      </c>
      <c r="F78" t="str" cm="1">
        <f t="array" aca="1" ref="F78" ca="1">IF('Raw Data'!F80="",_xlfn.REGEXEXTRACT(CELL("address",'Raw Data'!F80),"\$([A-Z]+)\$[0-9]+"),"")</f>
        <v>$F$80</v>
      </c>
      <c r="G78" t="e" cm="1">
        <f t="array" aca="1" ref="G78" ca="1">IF('Raw Data'!#REF!="",_xlfn.REGEXEXTRACT(CELL("address",'Raw Data'!#REF!),"\$([A-Z]+)\$[0-9]+"),"")</f>
        <v>#REF!</v>
      </c>
      <c r="H78" t="str" cm="1">
        <f t="array" aca="1" ref="H78" ca="1">IF('Raw Data'!G80="",_xlfn.REGEXEXTRACT(CELL("address",'Raw Data'!G80),"\$([A-Z]+)\$[0-9]+"),"")</f>
        <v>$G$80</v>
      </c>
      <c r="I78" t="e" cm="1">
        <f t="array" aca="1" ref="I78" ca="1">IF('Raw Data'!#REF!="",_xlfn.REGEXEXTRACT(CELL("address",'Raw Data'!#REF!),"\$([A-Z]+)\$[0-9]+"),"")</f>
        <v>#REF!</v>
      </c>
    </row>
    <row r="79" spans="2:9" x14ac:dyDescent="0.25">
      <c r="B79" t="str" cm="1">
        <f t="array" aca="1" ref="B79" ca="1">IF('Raw Data'!B81="",_xlfn.REGEXEXTRACT(CELL("address",'Raw Data'!B81),"\$([A-Z]+)\$[0-9]+"),"")</f>
        <v>$B$81</v>
      </c>
      <c r="C79" t="str" cm="1">
        <f t="array" aca="1" ref="C79" ca="1">IF('Raw Data'!C81="",_xlfn.REGEXEXTRACT(CELL("address",'Raw Data'!C81),"\$([A-Z]+)\$[0-9]+"),"")</f>
        <v>$C$81</v>
      </c>
      <c r="D79" t="str" cm="1">
        <f t="array" aca="1" ref="D79" ca="1">IF('Raw Data'!D81="",_xlfn.REGEXEXTRACT(CELL("address",'Raw Data'!D81),"\$([A-Z]+)\$[0-9]+"),"")</f>
        <v>$D$81</v>
      </c>
      <c r="E79" t="str" cm="1">
        <f t="array" aca="1" ref="E79" ca="1">IF('Raw Data'!E81="",_xlfn.REGEXEXTRACT(CELL("address",'Raw Data'!E81),"\$([A-Z]+)\$[0-9]+"),"")</f>
        <v>$E$81</v>
      </c>
      <c r="F79" t="str" cm="1">
        <f t="array" aca="1" ref="F79" ca="1">IF('Raw Data'!F81="",_xlfn.REGEXEXTRACT(CELL("address",'Raw Data'!F81),"\$([A-Z]+)\$[0-9]+"),"")</f>
        <v>$F$81</v>
      </c>
      <c r="G79" t="e" cm="1">
        <f t="array" aca="1" ref="G79" ca="1">IF('Raw Data'!#REF!="",_xlfn.REGEXEXTRACT(CELL("address",'Raw Data'!#REF!),"\$([A-Z]+)\$[0-9]+"),"")</f>
        <v>#REF!</v>
      </c>
      <c r="H79" t="str" cm="1">
        <f t="array" aca="1" ref="H79" ca="1">IF('Raw Data'!G81="",_xlfn.REGEXEXTRACT(CELL("address",'Raw Data'!G81),"\$([A-Z]+)\$[0-9]+"),"")</f>
        <v>$G$81</v>
      </c>
      <c r="I79" t="e" cm="1">
        <f t="array" aca="1" ref="I79" ca="1">IF('Raw Data'!#REF!="",_xlfn.REGEXEXTRACT(CELL("address",'Raw Data'!#REF!),"\$([A-Z]+)\$[0-9]+"),"")</f>
        <v>#REF!</v>
      </c>
    </row>
    <row r="80" spans="2:9" x14ac:dyDescent="0.25">
      <c r="B80" t="str" cm="1">
        <f t="array" aca="1" ref="B80" ca="1">IF('Raw Data'!B82="",_xlfn.REGEXEXTRACT(CELL("address",'Raw Data'!B82),"\$([A-Z]+)\$[0-9]+"),"")</f>
        <v>$B$82</v>
      </c>
      <c r="C80" t="str" cm="1">
        <f t="array" aca="1" ref="C80" ca="1">IF('Raw Data'!C82="",_xlfn.REGEXEXTRACT(CELL("address",'Raw Data'!C82),"\$([A-Z]+)\$[0-9]+"),"")</f>
        <v>$C$82</v>
      </c>
      <c r="D80" t="str" cm="1">
        <f t="array" aca="1" ref="D80" ca="1">IF('Raw Data'!D82="",_xlfn.REGEXEXTRACT(CELL("address",'Raw Data'!D82),"\$([A-Z]+)\$[0-9]+"),"")</f>
        <v>$D$82</v>
      </c>
      <c r="E80" t="str" cm="1">
        <f t="array" aca="1" ref="E80" ca="1">IF('Raw Data'!E82="",_xlfn.REGEXEXTRACT(CELL("address",'Raw Data'!E82),"\$([A-Z]+)\$[0-9]+"),"")</f>
        <v>$E$82</v>
      </c>
      <c r="F80" t="str" cm="1">
        <f t="array" aca="1" ref="F80" ca="1">IF('Raw Data'!F82="",_xlfn.REGEXEXTRACT(CELL("address",'Raw Data'!F82),"\$([A-Z]+)\$[0-9]+"),"")</f>
        <v>$F$82</v>
      </c>
      <c r="G80" t="e" cm="1">
        <f t="array" aca="1" ref="G80" ca="1">IF('Raw Data'!#REF!="",_xlfn.REGEXEXTRACT(CELL("address",'Raw Data'!#REF!),"\$([A-Z]+)\$[0-9]+"),"")</f>
        <v>#REF!</v>
      </c>
      <c r="H80" t="str" cm="1">
        <f t="array" aca="1" ref="H80" ca="1">IF('Raw Data'!G82="",_xlfn.REGEXEXTRACT(CELL("address",'Raw Data'!G82),"\$([A-Z]+)\$[0-9]+"),"")</f>
        <v>$G$82</v>
      </c>
      <c r="I80" t="e" cm="1">
        <f t="array" aca="1" ref="I80" ca="1">IF('Raw Data'!#REF!="",_xlfn.REGEXEXTRACT(CELL("address",'Raw Data'!#REF!),"\$([A-Z]+)\$[0-9]+"),"")</f>
        <v>#REF!</v>
      </c>
    </row>
    <row r="81" spans="2:9" x14ac:dyDescent="0.25">
      <c r="B81" t="str" cm="1">
        <f t="array" aca="1" ref="B81" ca="1">IF('Raw Data'!B83="",_xlfn.REGEXEXTRACT(CELL("address",'Raw Data'!B83),"\$([A-Z]+)\$[0-9]+"),"")</f>
        <v>$B$83</v>
      </c>
      <c r="C81" t="str" cm="1">
        <f t="array" aca="1" ref="C81" ca="1">IF('Raw Data'!C83="",_xlfn.REGEXEXTRACT(CELL("address",'Raw Data'!C83),"\$([A-Z]+)\$[0-9]+"),"")</f>
        <v>$C$83</v>
      </c>
      <c r="D81" t="str" cm="1">
        <f t="array" aca="1" ref="D81" ca="1">IF('Raw Data'!D83="",_xlfn.REGEXEXTRACT(CELL("address",'Raw Data'!D83),"\$([A-Z]+)\$[0-9]+"),"")</f>
        <v>$D$83</v>
      </c>
      <c r="E81" t="str" cm="1">
        <f t="array" aca="1" ref="E81" ca="1">IF('Raw Data'!E83="",_xlfn.REGEXEXTRACT(CELL("address",'Raw Data'!E83),"\$([A-Z]+)\$[0-9]+"),"")</f>
        <v>$E$83</v>
      </c>
      <c r="F81" t="str" cm="1">
        <f t="array" aca="1" ref="F81" ca="1">IF('Raw Data'!F83="",_xlfn.REGEXEXTRACT(CELL("address",'Raw Data'!F83),"\$([A-Z]+)\$[0-9]+"),"")</f>
        <v>$F$83</v>
      </c>
      <c r="G81" t="e" cm="1">
        <f t="array" aca="1" ref="G81" ca="1">IF('Raw Data'!#REF!="",_xlfn.REGEXEXTRACT(CELL("address",'Raw Data'!#REF!),"\$([A-Z]+)\$[0-9]+"),"")</f>
        <v>#REF!</v>
      </c>
      <c r="H81" t="str" cm="1">
        <f t="array" aca="1" ref="H81" ca="1">IF('Raw Data'!G83="",_xlfn.REGEXEXTRACT(CELL("address",'Raw Data'!G83),"\$([A-Z]+)\$[0-9]+"),"")</f>
        <v>$G$83</v>
      </c>
      <c r="I81" t="e" cm="1">
        <f t="array" aca="1" ref="I81" ca="1">IF('Raw Data'!#REF!="",_xlfn.REGEXEXTRACT(CELL("address",'Raw Data'!#REF!),"\$([A-Z]+)\$[0-9]+"),"")</f>
        <v>#REF!</v>
      </c>
    </row>
    <row r="82" spans="2:9" x14ac:dyDescent="0.25">
      <c r="B82" t="str" cm="1">
        <f t="array" aca="1" ref="B82" ca="1">IF('Raw Data'!B84="",_xlfn.REGEXEXTRACT(CELL("address",'Raw Data'!B84),"\$([A-Z]+)\$[0-9]+"),"")</f>
        <v>$B$84</v>
      </c>
      <c r="C82" t="str" cm="1">
        <f t="array" aca="1" ref="C82" ca="1">IF('Raw Data'!C84="",_xlfn.REGEXEXTRACT(CELL("address",'Raw Data'!C84),"\$([A-Z]+)\$[0-9]+"),"")</f>
        <v>$C$84</v>
      </c>
      <c r="D82" t="str" cm="1">
        <f t="array" aca="1" ref="D82" ca="1">IF('Raw Data'!D84="",_xlfn.REGEXEXTRACT(CELL("address",'Raw Data'!D84),"\$([A-Z]+)\$[0-9]+"),"")</f>
        <v>$D$84</v>
      </c>
      <c r="E82" t="str" cm="1">
        <f t="array" aca="1" ref="E82" ca="1">IF('Raw Data'!E84="",_xlfn.REGEXEXTRACT(CELL("address",'Raw Data'!E84),"\$([A-Z]+)\$[0-9]+"),"")</f>
        <v>$E$84</v>
      </c>
      <c r="F82" t="str" cm="1">
        <f t="array" aca="1" ref="F82" ca="1">IF('Raw Data'!F84="",_xlfn.REGEXEXTRACT(CELL("address",'Raw Data'!F84),"\$([A-Z]+)\$[0-9]+"),"")</f>
        <v>$F$84</v>
      </c>
      <c r="G82" t="e" cm="1">
        <f t="array" aca="1" ref="G82" ca="1">IF('Raw Data'!#REF!="",_xlfn.REGEXEXTRACT(CELL("address",'Raw Data'!#REF!),"\$([A-Z]+)\$[0-9]+"),"")</f>
        <v>#REF!</v>
      </c>
      <c r="H82" t="str" cm="1">
        <f t="array" aca="1" ref="H82" ca="1">IF('Raw Data'!G84="",_xlfn.REGEXEXTRACT(CELL("address",'Raw Data'!G84),"\$([A-Z]+)\$[0-9]+"),"")</f>
        <v>$G$84</v>
      </c>
      <c r="I82" t="e" cm="1">
        <f t="array" aca="1" ref="I82" ca="1">IF('Raw Data'!#REF!="",_xlfn.REGEXEXTRACT(CELL("address",'Raw Data'!#REF!),"\$([A-Z]+)\$[0-9]+"),"")</f>
        <v>#REF!</v>
      </c>
    </row>
    <row r="83" spans="2:9" x14ac:dyDescent="0.25">
      <c r="B83" t="str" cm="1">
        <f t="array" aca="1" ref="B83" ca="1">IF('Raw Data'!B85="",_xlfn.REGEXEXTRACT(CELL("address",'Raw Data'!B85),"\$([A-Z]+)\$[0-9]+"),"")</f>
        <v>$B$85</v>
      </c>
      <c r="C83" t="str" cm="1">
        <f t="array" aca="1" ref="C83" ca="1">IF('Raw Data'!C85="",_xlfn.REGEXEXTRACT(CELL("address",'Raw Data'!C85),"\$([A-Z]+)\$[0-9]+"),"")</f>
        <v>$C$85</v>
      </c>
      <c r="D83" t="str" cm="1">
        <f t="array" aca="1" ref="D83" ca="1">IF('Raw Data'!D85="",_xlfn.REGEXEXTRACT(CELL("address",'Raw Data'!D85),"\$([A-Z]+)\$[0-9]+"),"")</f>
        <v>$D$85</v>
      </c>
      <c r="E83" t="str" cm="1">
        <f t="array" aca="1" ref="E83" ca="1">IF('Raw Data'!E85="",_xlfn.REGEXEXTRACT(CELL("address",'Raw Data'!E85),"\$([A-Z]+)\$[0-9]+"),"")</f>
        <v>$E$85</v>
      </c>
      <c r="F83" t="str" cm="1">
        <f t="array" aca="1" ref="F83" ca="1">IF('Raw Data'!F85="",_xlfn.REGEXEXTRACT(CELL("address",'Raw Data'!F85),"\$([A-Z]+)\$[0-9]+"),"")</f>
        <v>$F$85</v>
      </c>
      <c r="G83" t="e" cm="1">
        <f t="array" aca="1" ref="G83" ca="1">IF('Raw Data'!#REF!="",_xlfn.REGEXEXTRACT(CELL("address",'Raw Data'!#REF!),"\$([A-Z]+)\$[0-9]+"),"")</f>
        <v>#REF!</v>
      </c>
      <c r="H83" t="str" cm="1">
        <f t="array" aca="1" ref="H83" ca="1">IF('Raw Data'!G85="",_xlfn.REGEXEXTRACT(CELL("address",'Raw Data'!G85),"\$([A-Z]+)\$[0-9]+"),"")</f>
        <v>$G$85</v>
      </c>
      <c r="I83" t="e" cm="1">
        <f t="array" aca="1" ref="I83" ca="1">IF('Raw Data'!#REF!="",_xlfn.REGEXEXTRACT(CELL("address",'Raw Data'!#REF!),"\$([A-Z]+)\$[0-9]+"),"")</f>
        <v>#REF!</v>
      </c>
    </row>
    <row r="84" spans="2:9" x14ac:dyDescent="0.25">
      <c r="B84" t="str" cm="1">
        <f t="array" aca="1" ref="B84" ca="1">IF('Raw Data'!B86="",_xlfn.REGEXEXTRACT(CELL("address",'Raw Data'!B86),"\$([A-Z]+)\$[0-9]+"),"")</f>
        <v>$B$86</v>
      </c>
      <c r="C84" t="str" cm="1">
        <f t="array" aca="1" ref="C84" ca="1">IF('Raw Data'!C86="",_xlfn.REGEXEXTRACT(CELL("address",'Raw Data'!C86),"\$([A-Z]+)\$[0-9]+"),"")</f>
        <v>$C$86</v>
      </c>
      <c r="D84" t="str" cm="1">
        <f t="array" aca="1" ref="D84" ca="1">IF('Raw Data'!D86="",_xlfn.REGEXEXTRACT(CELL("address",'Raw Data'!D86),"\$([A-Z]+)\$[0-9]+"),"")</f>
        <v>$D$86</v>
      </c>
      <c r="E84" t="str" cm="1">
        <f t="array" aca="1" ref="E84" ca="1">IF('Raw Data'!E86="",_xlfn.REGEXEXTRACT(CELL("address",'Raw Data'!E86),"\$([A-Z]+)\$[0-9]+"),"")</f>
        <v>$E$86</v>
      </c>
      <c r="F84" t="str" cm="1">
        <f t="array" aca="1" ref="F84" ca="1">IF('Raw Data'!F86="",_xlfn.REGEXEXTRACT(CELL("address",'Raw Data'!F86),"\$([A-Z]+)\$[0-9]+"),"")</f>
        <v>$F$86</v>
      </c>
      <c r="G84" t="e" cm="1">
        <f t="array" aca="1" ref="G84" ca="1">IF('Raw Data'!#REF!="",_xlfn.REGEXEXTRACT(CELL("address",'Raw Data'!#REF!),"\$([A-Z]+)\$[0-9]+"),"")</f>
        <v>#REF!</v>
      </c>
      <c r="H84" t="str" cm="1">
        <f t="array" aca="1" ref="H84" ca="1">IF('Raw Data'!G86="",_xlfn.REGEXEXTRACT(CELL("address",'Raw Data'!G86),"\$([A-Z]+)\$[0-9]+"),"")</f>
        <v>$G$86</v>
      </c>
      <c r="I84" t="e" cm="1">
        <f t="array" aca="1" ref="I84" ca="1">IF('Raw Data'!#REF!="",_xlfn.REGEXEXTRACT(CELL("address",'Raw Data'!#REF!),"\$([A-Z]+)\$[0-9]+"),"")</f>
        <v>#REF!</v>
      </c>
    </row>
    <row r="85" spans="2:9" x14ac:dyDescent="0.25">
      <c r="B85" t="str" cm="1">
        <f t="array" aca="1" ref="B85" ca="1">IF('Raw Data'!B87="",_xlfn.REGEXEXTRACT(CELL("address",'Raw Data'!B87),"\$([A-Z]+)\$[0-9]+"),"")</f>
        <v>$B$87</v>
      </c>
      <c r="C85" t="str" cm="1">
        <f t="array" aca="1" ref="C85" ca="1">IF('Raw Data'!C87="",_xlfn.REGEXEXTRACT(CELL("address",'Raw Data'!C87),"\$([A-Z]+)\$[0-9]+"),"")</f>
        <v>$C$87</v>
      </c>
      <c r="D85" t="str" cm="1">
        <f t="array" aca="1" ref="D85" ca="1">IF('Raw Data'!D87="",_xlfn.REGEXEXTRACT(CELL("address",'Raw Data'!D87),"\$([A-Z]+)\$[0-9]+"),"")</f>
        <v>$D$87</v>
      </c>
      <c r="E85" t="str" cm="1">
        <f t="array" aca="1" ref="E85" ca="1">IF('Raw Data'!E87="",_xlfn.REGEXEXTRACT(CELL("address",'Raw Data'!E87),"\$([A-Z]+)\$[0-9]+"),"")</f>
        <v>$E$87</v>
      </c>
      <c r="F85" t="str" cm="1">
        <f t="array" aca="1" ref="F85" ca="1">IF('Raw Data'!F87="",_xlfn.REGEXEXTRACT(CELL("address",'Raw Data'!F87),"\$([A-Z]+)\$[0-9]+"),"")</f>
        <v>$F$87</v>
      </c>
      <c r="G85" t="e" cm="1">
        <f t="array" aca="1" ref="G85" ca="1">IF('Raw Data'!#REF!="",_xlfn.REGEXEXTRACT(CELL("address",'Raw Data'!#REF!),"\$([A-Z]+)\$[0-9]+"),"")</f>
        <v>#REF!</v>
      </c>
      <c r="H85" t="str" cm="1">
        <f t="array" aca="1" ref="H85" ca="1">IF('Raw Data'!G87="",_xlfn.REGEXEXTRACT(CELL("address",'Raw Data'!G87),"\$([A-Z]+)\$[0-9]+"),"")</f>
        <v>$G$87</v>
      </c>
      <c r="I85" t="e" cm="1">
        <f t="array" aca="1" ref="I85" ca="1">IF('Raw Data'!#REF!="",_xlfn.REGEXEXTRACT(CELL("address",'Raw Data'!#REF!),"\$([A-Z]+)\$[0-9]+"),"")</f>
        <v>#REF!</v>
      </c>
    </row>
    <row r="86" spans="2:9" x14ac:dyDescent="0.25">
      <c r="B86" t="str" cm="1">
        <f t="array" aca="1" ref="B86" ca="1">IF('Raw Data'!B88="",_xlfn.REGEXEXTRACT(CELL("address",'Raw Data'!B88),"\$([A-Z]+)\$[0-9]+"),"")</f>
        <v>$B$88</v>
      </c>
      <c r="C86" t="str" cm="1">
        <f t="array" aca="1" ref="C86" ca="1">IF('Raw Data'!C88="",_xlfn.REGEXEXTRACT(CELL("address",'Raw Data'!C88),"\$([A-Z]+)\$[0-9]+"),"")</f>
        <v>$C$88</v>
      </c>
      <c r="D86" t="str" cm="1">
        <f t="array" aca="1" ref="D86" ca="1">IF('Raw Data'!D88="",_xlfn.REGEXEXTRACT(CELL("address",'Raw Data'!D88),"\$([A-Z]+)\$[0-9]+"),"")</f>
        <v>$D$88</v>
      </c>
      <c r="E86" t="str" cm="1">
        <f t="array" aca="1" ref="E86" ca="1">IF('Raw Data'!E88="",_xlfn.REGEXEXTRACT(CELL("address",'Raw Data'!E88),"\$([A-Z]+)\$[0-9]+"),"")</f>
        <v>$E$88</v>
      </c>
      <c r="F86" t="str" cm="1">
        <f t="array" aca="1" ref="F86" ca="1">IF('Raw Data'!F88="",_xlfn.REGEXEXTRACT(CELL("address",'Raw Data'!F88),"\$([A-Z]+)\$[0-9]+"),"")</f>
        <v>$F$88</v>
      </c>
      <c r="G86" t="e" cm="1">
        <f t="array" aca="1" ref="G86" ca="1">IF('Raw Data'!#REF!="",_xlfn.REGEXEXTRACT(CELL("address",'Raw Data'!#REF!),"\$([A-Z]+)\$[0-9]+"),"")</f>
        <v>#REF!</v>
      </c>
      <c r="H86" t="str" cm="1">
        <f t="array" aca="1" ref="H86" ca="1">IF('Raw Data'!G88="",_xlfn.REGEXEXTRACT(CELL("address",'Raw Data'!G88),"\$([A-Z]+)\$[0-9]+"),"")</f>
        <v>$G$88</v>
      </c>
      <c r="I86" t="e" cm="1">
        <f t="array" aca="1" ref="I86" ca="1">IF('Raw Data'!#REF!="",_xlfn.REGEXEXTRACT(CELL("address",'Raw Data'!#REF!),"\$([A-Z]+)\$[0-9]+"),"")</f>
        <v>#REF!</v>
      </c>
    </row>
    <row r="87" spans="2:9" x14ac:dyDescent="0.25">
      <c r="B87" t="str" cm="1">
        <f t="array" aca="1" ref="B87" ca="1">IF('Raw Data'!B89="",_xlfn.REGEXEXTRACT(CELL("address",'Raw Data'!B89),"\$([A-Z]+)\$[0-9]+"),"")</f>
        <v>$B$89</v>
      </c>
      <c r="C87" t="str" cm="1">
        <f t="array" aca="1" ref="C87" ca="1">IF('Raw Data'!C89="",_xlfn.REGEXEXTRACT(CELL("address",'Raw Data'!C89),"\$([A-Z]+)\$[0-9]+"),"")</f>
        <v>$C$89</v>
      </c>
      <c r="D87" t="str" cm="1">
        <f t="array" aca="1" ref="D87" ca="1">IF('Raw Data'!D89="",_xlfn.REGEXEXTRACT(CELL("address",'Raw Data'!D89),"\$([A-Z]+)\$[0-9]+"),"")</f>
        <v>$D$89</v>
      </c>
      <c r="E87" t="str" cm="1">
        <f t="array" aca="1" ref="E87" ca="1">IF('Raw Data'!E89="",_xlfn.REGEXEXTRACT(CELL("address",'Raw Data'!E89),"\$([A-Z]+)\$[0-9]+"),"")</f>
        <v>$E$89</v>
      </c>
      <c r="F87" t="str" cm="1">
        <f t="array" aca="1" ref="F87" ca="1">IF('Raw Data'!F89="",_xlfn.REGEXEXTRACT(CELL("address",'Raw Data'!F89),"\$([A-Z]+)\$[0-9]+"),"")</f>
        <v>$F$89</v>
      </c>
      <c r="G87" t="e" cm="1">
        <f t="array" aca="1" ref="G87" ca="1">IF('Raw Data'!#REF!="",_xlfn.REGEXEXTRACT(CELL("address",'Raw Data'!#REF!),"\$([A-Z]+)\$[0-9]+"),"")</f>
        <v>#REF!</v>
      </c>
      <c r="H87" t="str" cm="1">
        <f t="array" aca="1" ref="H87" ca="1">IF('Raw Data'!G89="",_xlfn.REGEXEXTRACT(CELL("address",'Raw Data'!G89),"\$([A-Z]+)\$[0-9]+"),"")</f>
        <v>$G$89</v>
      </c>
      <c r="I87" t="e" cm="1">
        <f t="array" aca="1" ref="I87" ca="1">IF('Raw Data'!#REF!="",_xlfn.REGEXEXTRACT(CELL("address",'Raw Data'!#REF!),"\$([A-Z]+)\$[0-9]+"),"")</f>
        <v>#REF!</v>
      </c>
    </row>
    <row r="88" spans="2:9" x14ac:dyDescent="0.25">
      <c r="B88" t="str" cm="1">
        <f t="array" aca="1" ref="B88" ca="1">IF('Raw Data'!B90="",_xlfn.REGEXEXTRACT(CELL("address",'Raw Data'!B90),"\$([A-Z]+)\$[0-9]+"),"")</f>
        <v>$B$90</v>
      </c>
      <c r="C88" t="str" cm="1">
        <f t="array" aca="1" ref="C88" ca="1">IF('Raw Data'!C90="",_xlfn.REGEXEXTRACT(CELL("address",'Raw Data'!C90),"\$([A-Z]+)\$[0-9]+"),"")</f>
        <v>$C$90</v>
      </c>
      <c r="D88" t="str" cm="1">
        <f t="array" aca="1" ref="D88" ca="1">IF('Raw Data'!D90="",_xlfn.REGEXEXTRACT(CELL("address",'Raw Data'!D90),"\$([A-Z]+)\$[0-9]+"),"")</f>
        <v>$D$90</v>
      </c>
      <c r="E88" t="str" cm="1">
        <f t="array" aca="1" ref="E88" ca="1">IF('Raw Data'!E90="",_xlfn.REGEXEXTRACT(CELL("address",'Raw Data'!E90),"\$([A-Z]+)\$[0-9]+"),"")</f>
        <v>$E$90</v>
      </c>
      <c r="F88" t="str" cm="1">
        <f t="array" aca="1" ref="F88" ca="1">IF('Raw Data'!F90="",_xlfn.REGEXEXTRACT(CELL("address",'Raw Data'!F90),"\$([A-Z]+)\$[0-9]+"),"")</f>
        <v>$F$90</v>
      </c>
      <c r="G88" t="e" cm="1">
        <f t="array" aca="1" ref="G88" ca="1">IF('Raw Data'!#REF!="",_xlfn.REGEXEXTRACT(CELL("address",'Raw Data'!#REF!),"\$([A-Z]+)\$[0-9]+"),"")</f>
        <v>#REF!</v>
      </c>
      <c r="H88" t="str" cm="1">
        <f t="array" aca="1" ref="H88" ca="1">IF('Raw Data'!G90="",_xlfn.REGEXEXTRACT(CELL("address",'Raw Data'!G90),"\$([A-Z]+)\$[0-9]+"),"")</f>
        <v>$G$90</v>
      </c>
      <c r="I88" t="e" cm="1">
        <f t="array" aca="1" ref="I88" ca="1">IF('Raw Data'!#REF!="",_xlfn.REGEXEXTRACT(CELL("address",'Raw Data'!#REF!),"\$([A-Z]+)\$[0-9]+"),"")</f>
        <v>#REF!</v>
      </c>
    </row>
    <row r="89" spans="2:9" x14ac:dyDescent="0.25">
      <c r="B89" t="str" cm="1">
        <f t="array" aca="1" ref="B89" ca="1">IF('Raw Data'!B91="",_xlfn.REGEXEXTRACT(CELL("address",'Raw Data'!B91),"\$([A-Z]+)\$[0-9]+"),"")</f>
        <v>$B$91</v>
      </c>
      <c r="C89" t="str" cm="1">
        <f t="array" aca="1" ref="C89" ca="1">IF('Raw Data'!C91="",_xlfn.REGEXEXTRACT(CELL("address",'Raw Data'!C91),"\$([A-Z]+)\$[0-9]+"),"")</f>
        <v>$C$91</v>
      </c>
      <c r="D89" t="str" cm="1">
        <f t="array" aca="1" ref="D89" ca="1">IF('Raw Data'!D91="",_xlfn.REGEXEXTRACT(CELL("address",'Raw Data'!D91),"\$([A-Z]+)\$[0-9]+"),"")</f>
        <v>$D$91</v>
      </c>
      <c r="E89" t="str" cm="1">
        <f t="array" aca="1" ref="E89" ca="1">IF('Raw Data'!E91="",_xlfn.REGEXEXTRACT(CELL("address",'Raw Data'!E91),"\$([A-Z]+)\$[0-9]+"),"")</f>
        <v>$E$91</v>
      </c>
      <c r="F89" t="str" cm="1">
        <f t="array" aca="1" ref="F89" ca="1">IF('Raw Data'!F91="",_xlfn.REGEXEXTRACT(CELL("address",'Raw Data'!F91),"\$([A-Z]+)\$[0-9]+"),"")</f>
        <v>$F$91</v>
      </c>
      <c r="G89" t="e" cm="1">
        <f t="array" aca="1" ref="G89" ca="1">IF('Raw Data'!#REF!="",_xlfn.REGEXEXTRACT(CELL("address",'Raw Data'!#REF!),"\$([A-Z]+)\$[0-9]+"),"")</f>
        <v>#REF!</v>
      </c>
      <c r="H89" t="str" cm="1">
        <f t="array" aca="1" ref="H89" ca="1">IF('Raw Data'!G91="",_xlfn.REGEXEXTRACT(CELL("address",'Raw Data'!G91),"\$([A-Z]+)\$[0-9]+"),"")</f>
        <v>$G$91</v>
      </c>
      <c r="I89" t="e" cm="1">
        <f t="array" aca="1" ref="I89" ca="1">IF('Raw Data'!#REF!="",_xlfn.REGEXEXTRACT(CELL("address",'Raw Data'!#REF!),"\$([A-Z]+)\$[0-9]+"),"")</f>
        <v>#REF!</v>
      </c>
    </row>
    <row r="90" spans="2:9" x14ac:dyDescent="0.25">
      <c r="B90" t="str" cm="1">
        <f t="array" aca="1" ref="B90" ca="1">IF('Raw Data'!B92="",_xlfn.REGEXEXTRACT(CELL("address",'Raw Data'!B92),"\$([A-Z]+)\$[0-9]+"),"")</f>
        <v>$B$92</v>
      </c>
      <c r="C90" t="str" cm="1">
        <f t="array" aca="1" ref="C90" ca="1">IF('Raw Data'!C92="",_xlfn.REGEXEXTRACT(CELL("address",'Raw Data'!C92),"\$([A-Z]+)\$[0-9]+"),"")</f>
        <v>$C$92</v>
      </c>
      <c r="D90" t="str" cm="1">
        <f t="array" aca="1" ref="D90" ca="1">IF('Raw Data'!D92="",_xlfn.REGEXEXTRACT(CELL("address",'Raw Data'!D92),"\$([A-Z]+)\$[0-9]+"),"")</f>
        <v>$D$92</v>
      </c>
      <c r="E90" t="str" cm="1">
        <f t="array" aca="1" ref="E90" ca="1">IF('Raw Data'!E92="",_xlfn.REGEXEXTRACT(CELL("address",'Raw Data'!E92),"\$([A-Z]+)\$[0-9]+"),"")</f>
        <v>$E$92</v>
      </c>
      <c r="F90" t="str" cm="1">
        <f t="array" aca="1" ref="F90" ca="1">IF('Raw Data'!F92="",_xlfn.REGEXEXTRACT(CELL("address",'Raw Data'!F92),"\$([A-Z]+)\$[0-9]+"),"")</f>
        <v>$F$92</v>
      </c>
      <c r="G90" t="e" cm="1">
        <f t="array" aca="1" ref="G90" ca="1">IF('Raw Data'!#REF!="",_xlfn.REGEXEXTRACT(CELL("address",'Raw Data'!#REF!),"\$([A-Z]+)\$[0-9]+"),"")</f>
        <v>#REF!</v>
      </c>
      <c r="H90" t="str" cm="1">
        <f t="array" aca="1" ref="H90" ca="1">IF('Raw Data'!G92="",_xlfn.REGEXEXTRACT(CELL("address",'Raw Data'!G92),"\$([A-Z]+)\$[0-9]+"),"")</f>
        <v>$G$92</v>
      </c>
      <c r="I90" t="e" cm="1">
        <f t="array" aca="1" ref="I90" ca="1">IF('Raw Data'!#REF!="",_xlfn.REGEXEXTRACT(CELL("address",'Raw Data'!#REF!),"\$([A-Z]+)\$[0-9]+"),"")</f>
        <v>#REF!</v>
      </c>
    </row>
    <row r="91" spans="2:9" x14ac:dyDescent="0.25">
      <c r="B91" t="str" cm="1">
        <f t="array" aca="1" ref="B91" ca="1">IF('Raw Data'!B93="",_xlfn.REGEXEXTRACT(CELL("address",'Raw Data'!B93),"\$([A-Z]+)\$[0-9]+"),"")</f>
        <v>$B$93</v>
      </c>
      <c r="C91" t="str" cm="1">
        <f t="array" aca="1" ref="C91" ca="1">IF('Raw Data'!C93="",_xlfn.REGEXEXTRACT(CELL("address",'Raw Data'!C93),"\$([A-Z]+)\$[0-9]+"),"")</f>
        <v>$C$93</v>
      </c>
      <c r="D91" t="str" cm="1">
        <f t="array" aca="1" ref="D91" ca="1">IF('Raw Data'!D93="",_xlfn.REGEXEXTRACT(CELL("address",'Raw Data'!D93),"\$([A-Z]+)\$[0-9]+"),"")</f>
        <v>$D$93</v>
      </c>
      <c r="E91" t="str" cm="1">
        <f t="array" aca="1" ref="E91" ca="1">IF('Raw Data'!E93="",_xlfn.REGEXEXTRACT(CELL("address",'Raw Data'!E93),"\$([A-Z]+)\$[0-9]+"),"")</f>
        <v>$E$93</v>
      </c>
      <c r="F91" t="str" cm="1">
        <f t="array" aca="1" ref="F91" ca="1">IF('Raw Data'!F93="",_xlfn.REGEXEXTRACT(CELL("address",'Raw Data'!F93),"\$([A-Z]+)\$[0-9]+"),"")</f>
        <v>$F$93</v>
      </c>
      <c r="G91" t="e" cm="1">
        <f t="array" aca="1" ref="G91" ca="1">IF('Raw Data'!#REF!="",_xlfn.REGEXEXTRACT(CELL("address",'Raw Data'!#REF!),"\$([A-Z]+)\$[0-9]+"),"")</f>
        <v>#REF!</v>
      </c>
      <c r="H91" t="str" cm="1">
        <f t="array" aca="1" ref="H91" ca="1">IF('Raw Data'!G93="",_xlfn.REGEXEXTRACT(CELL("address",'Raw Data'!G93),"\$([A-Z]+)\$[0-9]+"),"")</f>
        <v>$G$93</v>
      </c>
      <c r="I91" t="e" cm="1">
        <f t="array" aca="1" ref="I91" ca="1">IF('Raw Data'!#REF!="",_xlfn.REGEXEXTRACT(CELL("address",'Raw Data'!#REF!),"\$([A-Z]+)\$[0-9]+"),"")</f>
        <v>#REF!</v>
      </c>
    </row>
    <row r="92" spans="2:9" x14ac:dyDescent="0.25">
      <c r="B92" t="str" cm="1">
        <f t="array" aca="1" ref="B92" ca="1">IF('Raw Data'!B94="",_xlfn.REGEXEXTRACT(CELL("address",'Raw Data'!B94),"\$([A-Z]+)\$[0-9]+"),"")</f>
        <v>$B$94</v>
      </c>
      <c r="C92" t="str" cm="1">
        <f t="array" aca="1" ref="C92" ca="1">IF('Raw Data'!C94="",_xlfn.REGEXEXTRACT(CELL("address",'Raw Data'!C94),"\$([A-Z]+)\$[0-9]+"),"")</f>
        <v>$C$94</v>
      </c>
      <c r="D92" t="str" cm="1">
        <f t="array" aca="1" ref="D92" ca="1">IF('Raw Data'!D94="",_xlfn.REGEXEXTRACT(CELL("address",'Raw Data'!D94),"\$([A-Z]+)\$[0-9]+"),"")</f>
        <v>$D$94</v>
      </c>
      <c r="E92" t="str" cm="1">
        <f t="array" aca="1" ref="E92" ca="1">IF('Raw Data'!E94="",_xlfn.REGEXEXTRACT(CELL("address",'Raw Data'!E94),"\$([A-Z]+)\$[0-9]+"),"")</f>
        <v>$E$94</v>
      </c>
      <c r="F92" t="str" cm="1">
        <f t="array" aca="1" ref="F92" ca="1">IF('Raw Data'!F94="",_xlfn.REGEXEXTRACT(CELL("address",'Raw Data'!F94),"\$([A-Z]+)\$[0-9]+"),"")</f>
        <v>$F$94</v>
      </c>
      <c r="G92" t="e" cm="1">
        <f t="array" aca="1" ref="G92" ca="1">IF('Raw Data'!#REF!="",_xlfn.REGEXEXTRACT(CELL("address",'Raw Data'!#REF!),"\$([A-Z]+)\$[0-9]+"),"")</f>
        <v>#REF!</v>
      </c>
      <c r="H92" t="str" cm="1">
        <f t="array" aca="1" ref="H92" ca="1">IF('Raw Data'!G94="",_xlfn.REGEXEXTRACT(CELL("address",'Raw Data'!G94),"\$([A-Z]+)\$[0-9]+"),"")</f>
        <v>$G$94</v>
      </c>
      <c r="I92" t="e" cm="1">
        <f t="array" aca="1" ref="I92" ca="1">IF('Raw Data'!#REF!="",_xlfn.REGEXEXTRACT(CELL("address",'Raw Data'!#REF!),"\$([A-Z]+)\$[0-9]+"),"")</f>
        <v>#REF!</v>
      </c>
    </row>
    <row r="93" spans="2:9" x14ac:dyDescent="0.25">
      <c r="B93" t="str" cm="1">
        <f t="array" aca="1" ref="B93" ca="1">IF('Raw Data'!B95="",_xlfn.REGEXEXTRACT(CELL("address",'Raw Data'!B95),"\$([A-Z]+)\$[0-9]+"),"")</f>
        <v>$B$95</v>
      </c>
      <c r="C93" t="str" cm="1">
        <f t="array" aca="1" ref="C93" ca="1">IF('Raw Data'!C95="",_xlfn.REGEXEXTRACT(CELL("address",'Raw Data'!C95),"\$([A-Z]+)\$[0-9]+"),"")</f>
        <v>$C$95</v>
      </c>
      <c r="D93" t="str" cm="1">
        <f t="array" aca="1" ref="D93" ca="1">IF('Raw Data'!D95="",_xlfn.REGEXEXTRACT(CELL("address",'Raw Data'!D95),"\$([A-Z]+)\$[0-9]+"),"")</f>
        <v>$D$95</v>
      </c>
      <c r="E93" t="str" cm="1">
        <f t="array" aca="1" ref="E93" ca="1">IF('Raw Data'!E95="",_xlfn.REGEXEXTRACT(CELL("address",'Raw Data'!E95),"\$([A-Z]+)\$[0-9]+"),"")</f>
        <v>$E$95</v>
      </c>
      <c r="F93" t="str" cm="1">
        <f t="array" aca="1" ref="F93" ca="1">IF('Raw Data'!F95="",_xlfn.REGEXEXTRACT(CELL("address",'Raw Data'!F95),"\$([A-Z]+)\$[0-9]+"),"")</f>
        <v>$F$95</v>
      </c>
      <c r="G93" t="e" cm="1">
        <f t="array" aca="1" ref="G93" ca="1">IF('Raw Data'!#REF!="",_xlfn.REGEXEXTRACT(CELL("address",'Raw Data'!#REF!),"\$([A-Z]+)\$[0-9]+"),"")</f>
        <v>#REF!</v>
      </c>
      <c r="H93" t="str" cm="1">
        <f t="array" aca="1" ref="H93" ca="1">IF('Raw Data'!G95="",_xlfn.REGEXEXTRACT(CELL("address",'Raw Data'!G95),"\$([A-Z]+)\$[0-9]+"),"")</f>
        <v>$G$95</v>
      </c>
      <c r="I93" t="e" cm="1">
        <f t="array" aca="1" ref="I93" ca="1">IF('Raw Data'!#REF!="",_xlfn.REGEXEXTRACT(CELL("address",'Raw Data'!#REF!),"\$([A-Z]+)\$[0-9]+"),"")</f>
        <v>#REF!</v>
      </c>
    </row>
    <row r="94" spans="2:9" x14ac:dyDescent="0.25">
      <c r="B94" t="str" cm="1">
        <f t="array" aca="1" ref="B94" ca="1">IF('Raw Data'!B96="",_xlfn.REGEXEXTRACT(CELL("address",'Raw Data'!B96),"\$([A-Z]+)\$[0-9]+"),"")</f>
        <v>$B$96</v>
      </c>
      <c r="C94" t="str" cm="1">
        <f t="array" aca="1" ref="C94" ca="1">IF('Raw Data'!C96="",_xlfn.REGEXEXTRACT(CELL("address",'Raw Data'!C96),"\$([A-Z]+)\$[0-9]+"),"")</f>
        <v>$C$96</v>
      </c>
      <c r="D94" t="str" cm="1">
        <f t="array" aca="1" ref="D94" ca="1">IF('Raw Data'!D96="",_xlfn.REGEXEXTRACT(CELL("address",'Raw Data'!D96),"\$([A-Z]+)\$[0-9]+"),"")</f>
        <v>$D$96</v>
      </c>
      <c r="E94" t="str" cm="1">
        <f t="array" aca="1" ref="E94" ca="1">IF('Raw Data'!E96="",_xlfn.REGEXEXTRACT(CELL("address",'Raw Data'!E96),"\$([A-Z]+)\$[0-9]+"),"")</f>
        <v>$E$96</v>
      </c>
      <c r="F94" t="str" cm="1">
        <f t="array" aca="1" ref="F94" ca="1">IF('Raw Data'!F96="",_xlfn.REGEXEXTRACT(CELL("address",'Raw Data'!F96),"\$([A-Z]+)\$[0-9]+"),"")</f>
        <v>$F$96</v>
      </c>
      <c r="G94" t="e" cm="1">
        <f t="array" aca="1" ref="G94" ca="1">IF('Raw Data'!#REF!="",_xlfn.REGEXEXTRACT(CELL("address",'Raw Data'!#REF!),"\$([A-Z]+)\$[0-9]+"),"")</f>
        <v>#REF!</v>
      </c>
      <c r="H94" t="str" cm="1">
        <f t="array" aca="1" ref="H94" ca="1">IF('Raw Data'!G96="",_xlfn.REGEXEXTRACT(CELL("address",'Raw Data'!G96),"\$([A-Z]+)\$[0-9]+"),"")</f>
        <v>$G$96</v>
      </c>
      <c r="I94" t="e" cm="1">
        <f t="array" aca="1" ref="I94" ca="1">IF('Raw Data'!#REF!="",_xlfn.REGEXEXTRACT(CELL("address",'Raw Data'!#REF!),"\$([A-Z]+)\$[0-9]+"),"")</f>
        <v>#REF!</v>
      </c>
    </row>
    <row r="95" spans="2:9" x14ac:dyDescent="0.25">
      <c r="B95" t="str" cm="1">
        <f t="array" aca="1" ref="B95" ca="1">IF('Raw Data'!B97="",_xlfn.REGEXEXTRACT(CELL("address",'Raw Data'!B97),"\$([A-Z]+)\$[0-9]+"),"")</f>
        <v>$B$97</v>
      </c>
      <c r="C95" t="str" cm="1">
        <f t="array" aca="1" ref="C95" ca="1">IF('Raw Data'!C97="",_xlfn.REGEXEXTRACT(CELL("address",'Raw Data'!C97),"\$([A-Z]+)\$[0-9]+"),"")</f>
        <v>$C$97</v>
      </c>
      <c r="D95" t="str" cm="1">
        <f t="array" aca="1" ref="D95" ca="1">IF('Raw Data'!D97="",_xlfn.REGEXEXTRACT(CELL("address",'Raw Data'!D97),"\$([A-Z]+)\$[0-9]+"),"")</f>
        <v>$D$97</v>
      </c>
      <c r="E95" t="str" cm="1">
        <f t="array" aca="1" ref="E95" ca="1">IF('Raw Data'!E97="",_xlfn.REGEXEXTRACT(CELL("address",'Raw Data'!E97),"\$([A-Z]+)\$[0-9]+"),"")</f>
        <v>$E$97</v>
      </c>
      <c r="F95" t="str" cm="1">
        <f t="array" aca="1" ref="F95" ca="1">IF('Raw Data'!F97="",_xlfn.REGEXEXTRACT(CELL("address",'Raw Data'!F97),"\$([A-Z]+)\$[0-9]+"),"")</f>
        <v>$F$97</v>
      </c>
      <c r="G95" t="e" cm="1">
        <f t="array" aca="1" ref="G95" ca="1">IF('Raw Data'!#REF!="",_xlfn.REGEXEXTRACT(CELL("address",'Raw Data'!#REF!),"\$([A-Z]+)\$[0-9]+"),"")</f>
        <v>#REF!</v>
      </c>
      <c r="H95" t="str" cm="1">
        <f t="array" aca="1" ref="H95" ca="1">IF('Raw Data'!G97="",_xlfn.REGEXEXTRACT(CELL("address",'Raw Data'!G97),"\$([A-Z]+)\$[0-9]+"),"")</f>
        <v>$G$97</v>
      </c>
      <c r="I95" t="e" cm="1">
        <f t="array" aca="1" ref="I95" ca="1">IF('Raw Data'!#REF!="",_xlfn.REGEXEXTRACT(CELL("address",'Raw Data'!#REF!),"\$([A-Z]+)\$[0-9]+"),"")</f>
        <v>#REF!</v>
      </c>
    </row>
    <row r="96" spans="2:9" x14ac:dyDescent="0.25">
      <c r="B96" t="str" cm="1">
        <f t="array" aca="1" ref="B96" ca="1">IF('Raw Data'!B98="",_xlfn.REGEXEXTRACT(CELL("address",'Raw Data'!B98),"\$([A-Z]+)\$[0-9]+"),"")</f>
        <v>$B$98</v>
      </c>
      <c r="C96" t="str" cm="1">
        <f t="array" aca="1" ref="C96" ca="1">IF('Raw Data'!C98="",_xlfn.REGEXEXTRACT(CELL("address",'Raw Data'!C98),"\$([A-Z]+)\$[0-9]+"),"")</f>
        <v>$C$98</v>
      </c>
      <c r="D96" t="str" cm="1">
        <f t="array" aca="1" ref="D96" ca="1">IF('Raw Data'!D98="",_xlfn.REGEXEXTRACT(CELL("address",'Raw Data'!D98),"\$([A-Z]+)\$[0-9]+"),"")</f>
        <v>$D$98</v>
      </c>
      <c r="E96" t="str" cm="1">
        <f t="array" aca="1" ref="E96" ca="1">IF('Raw Data'!E98="",_xlfn.REGEXEXTRACT(CELL("address",'Raw Data'!E98),"\$([A-Z]+)\$[0-9]+"),"")</f>
        <v>$E$98</v>
      </c>
      <c r="F96" t="str" cm="1">
        <f t="array" aca="1" ref="F96" ca="1">IF('Raw Data'!F98="",_xlfn.REGEXEXTRACT(CELL("address",'Raw Data'!F98),"\$([A-Z]+)\$[0-9]+"),"")</f>
        <v>$F$98</v>
      </c>
      <c r="G96" t="e" cm="1">
        <f t="array" aca="1" ref="G96" ca="1">IF('Raw Data'!#REF!="",_xlfn.REGEXEXTRACT(CELL("address",'Raw Data'!#REF!),"\$([A-Z]+)\$[0-9]+"),"")</f>
        <v>#REF!</v>
      </c>
      <c r="H96" t="str" cm="1">
        <f t="array" aca="1" ref="H96" ca="1">IF('Raw Data'!G98="",_xlfn.REGEXEXTRACT(CELL("address",'Raw Data'!G98),"\$([A-Z]+)\$[0-9]+"),"")</f>
        <v>$G$98</v>
      </c>
      <c r="I96" t="e" cm="1">
        <f t="array" aca="1" ref="I96" ca="1">IF('Raw Data'!#REF!="",_xlfn.REGEXEXTRACT(CELL("address",'Raw Data'!#REF!),"\$([A-Z]+)\$[0-9]+"),"")</f>
        <v>#REF!</v>
      </c>
    </row>
    <row r="97" spans="2:9" x14ac:dyDescent="0.25">
      <c r="B97" t="str" cm="1">
        <f t="array" aca="1" ref="B97" ca="1">IF('Raw Data'!B99="",_xlfn.REGEXEXTRACT(CELL("address",'Raw Data'!B99),"\$([A-Z]+)\$[0-9]+"),"")</f>
        <v>$B$99</v>
      </c>
      <c r="C97" t="str" cm="1">
        <f t="array" aca="1" ref="C97" ca="1">IF('Raw Data'!C99="",_xlfn.REGEXEXTRACT(CELL("address",'Raw Data'!C99),"\$([A-Z]+)\$[0-9]+"),"")</f>
        <v>$C$99</v>
      </c>
      <c r="D97" t="str" cm="1">
        <f t="array" aca="1" ref="D97" ca="1">IF('Raw Data'!D99="",_xlfn.REGEXEXTRACT(CELL("address",'Raw Data'!D99),"\$([A-Z]+)\$[0-9]+"),"")</f>
        <v>$D$99</v>
      </c>
      <c r="E97" t="str" cm="1">
        <f t="array" aca="1" ref="E97" ca="1">IF('Raw Data'!E99="",_xlfn.REGEXEXTRACT(CELL("address",'Raw Data'!E99),"\$([A-Z]+)\$[0-9]+"),"")</f>
        <v>$E$99</v>
      </c>
      <c r="F97" t="str" cm="1">
        <f t="array" aca="1" ref="F97" ca="1">IF('Raw Data'!F99="",_xlfn.REGEXEXTRACT(CELL("address",'Raw Data'!F99),"\$([A-Z]+)\$[0-9]+"),"")</f>
        <v>$F$99</v>
      </c>
      <c r="G97" t="e" cm="1">
        <f t="array" aca="1" ref="G97" ca="1">IF('Raw Data'!#REF!="",_xlfn.REGEXEXTRACT(CELL("address",'Raw Data'!#REF!),"\$([A-Z]+)\$[0-9]+"),"")</f>
        <v>#REF!</v>
      </c>
      <c r="H97" t="str" cm="1">
        <f t="array" aca="1" ref="H97" ca="1">IF('Raw Data'!G99="",_xlfn.REGEXEXTRACT(CELL("address",'Raw Data'!G99),"\$([A-Z]+)\$[0-9]+"),"")</f>
        <v>$G$99</v>
      </c>
      <c r="I97" t="e" cm="1">
        <f t="array" aca="1" ref="I97" ca="1">IF('Raw Data'!#REF!="",_xlfn.REGEXEXTRACT(CELL("address",'Raw Data'!#REF!),"\$([A-Z]+)\$[0-9]+"),"")</f>
        <v>#REF!</v>
      </c>
    </row>
    <row r="98" spans="2:9" x14ac:dyDescent="0.25">
      <c r="B98" t="str" cm="1">
        <f t="array" aca="1" ref="B98" ca="1">IF('Raw Data'!B100="",_xlfn.REGEXEXTRACT(CELL("address",'Raw Data'!B100),"\$([A-Z]+)\$[0-9]+"),"")</f>
        <v>$B$100</v>
      </c>
      <c r="C98" t="str" cm="1">
        <f t="array" aca="1" ref="C98" ca="1">IF('Raw Data'!C100="",_xlfn.REGEXEXTRACT(CELL("address",'Raw Data'!C100),"\$([A-Z]+)\$[0-9]+"),"")</f>
        <v>$C$100</v>
      </c>
      <c r="D98" t="str" cm="1">
        <f t="array" aca="1" ref="D98" ca="1">IF('Raw Data'!D100="",_xlfn.REGEXEXTRACT(CELL("address",'Raw Data'!D100),"\$([A-Z]+)\$[0-9]+"),"")</f>
        <v>$D$100</v>
      </c>
      <c r="E98" t="str" cm="1">
        <f t="array" aca="1" ref="E98" ca="1">IF('Raw Data'!E100="",_xlfn.REGEXEXTRACT(CELL("address",'Raw Data'!E100),"\$([A-Z]+)\$[0-9]+"),"")</f>
        <v>$E$100</v>
      </c>
      <c r="F98" t="str" cm="1">
        <f t="array" aca="1" ref="F98" ca="1">IF('Raw Data'!F100="",_xlfn.REGEXEXTRACT(CELL("address",'Raw Data'!F100),"\$([A-Z]+)\$[0-9]+"),"")</f>
        <v>$F$100</v>
      </c>
      <c r="G98" t="e" cm="1">
        <f t="array" aca="1" ref="G98" ca="1">IF('Raw Data'!#REF!="",_xlfn.REGEXEXTRACT(CELL("address",'Raw Data'!#REF!),"\$([A-Z]+)\$[0-9]+"),"")</f>
        <v>#REF!</v>
      </c>
      <c r="H98" t="str" cm="1">
        <f t="array" aca="1" ref="H98" ca="1">IF('Raw Data'!G100="",_xlfn.REGEXEXTRACT(CELL("address",'Raw Data'!G100),"\$([A-Z]+)\$[0-9]+"),"")</f>
        <v>$G$100</v>
      </c>
      <c r="I98" t="e" cm="1">
        <f t="array" aca="1" ref="I98" ca="1">IF('Raw Data'!#REF!="",_xlfn.REGEXEXTRACT(CELL("address",'Raw Data'!#REF!),"\$([A-Z]+)\$[0-9]+"),"")</f>
        <v>#REF!</v>
      </c>
    </row>
    <row r="99" spans="2:9" x14ac:dyDescent="0.25">
      <c r="B99" t="str" cm="1">
        <f t="array" aca="1" ref="B99" ca="1">IF('Raw Data'!B101="",_xlfn.REGEXEXTRACT(CELL("address",'Raw Data'!B101),"\$([A-Z]+)\$[0-9]+"),"")</f>
        <v>$B$101</v>
      </c>
      <c r="C99" t="str" cm="1">
        <f t="array" aca="1" ref="C99" ca="1">IF('Raw Data'!C101="",_xlfn.REGEXEXTRACT(CELL("address",'Raw Data'!C101),"\$([A-Z]+)\$[0-9]+"),"")</f>
        <v>$C$101</v>
      </c>
      <c r="D99" t="str" cm="1">
        <f t="array" aca="1" ref="D99" ca="1">IF('Raw Data'!D101="",_xlfn.REGEXEXTRACT(CELL("address",'Raw Data'!D101),"\$([A-Z]+)\$[0-9]+"),"")</f>
        <v>$D$101</v>
      </c>
      <c r="E99" t="str" cm="1">
        <f t="array" aca="1" ref="E99" ca="1">IF('Raw Data'!E101="",_xlfn.REGEXEXTRACT(CELL("address",'Raw Data'!E101),"\$([A-Z]+)\$[0-9]+"),"")</f>
        <v>$E$101</v>
      </c>
      <c r="F99" t="str" cm="1">
        <f t="array" aca="1" ref="F99" ca="1">IF('Raw Data'!F101="",_xlfn.REGEXEXTRACT(CELL("address",'Raw Data'!F101),"\$([A-Z]+)\$[0-9]+"),"")</f>
        <v>$F$101</v>
      </c>
      <c r="G99" t="e" cm="1">
        <f t="array" aca="1" ref="G99" ca="1">IF('Raw Data'!#REF!="",_xlfn.REGEXEXTRACT(CELL("address",'Raw Data'!#REF!),"\$([A-Z]+)\$[0-9]+"),"")</f>
        <v>#REF!</v>
      </c>
      <c r="H99" t="str" cm="1">
        <f t="array" aca="1" ref="H99" ca="1">IF('Raw Data'!G101="",_xlfn.REGEXEXTRACT(CELL("address",'Raw Data'!G101),"\$([A-Z]+)\$[0-9]+"),"")</f>
        <v>$G$101</v>
      </c>
      <c r="I99" t="e" cm="1">
        <f t="array" aca="1" ref="I99" ca="1">IF('Raw Data'!#REF!="",_xlfn.REGEXEXTRACT(CELL("address",'Raw Data'!#REF!),"\$([A-Z]+)\$[0-9]+"),"")</f>
        <v>#REF!</v>
      </c>
    </row>
    <row r="100" spans="2:9" x14ac:dyDescent="0.25">
      <c r="B100" t="str" cm="1">
        <f t="array" aca="1" ref="B100" ca="1">IF('Raw Data'!B102="",_xlfn.REGEXEXTRACT(CELL("address",'Raw Data'!B102),"\$([A-Z]+)\$[0-9]+"),"")</f>
        <v>$B$102</v>
      </c>
      <c r="C100" t="str" cm="1">
        <f t="array" aca="1" ref="C100" ca="1">IF('Raw Data'!C102="",_xlfn.REGEXEXTRACT(CELL("address",'Raw Data'!C102),"\$([A-Z]+)\$[0-9]+"),"")</f>
        <v>$C$102</v>
      </c>
      <c r="D100" t="str" cm="1">
        <f t="array" aca="1" ref="D100" ca="1">IF('Raw Data'!D102="",_xlfn.REGEXEXTRACT(CELL("address",'Raw Data'!D102),"\$([A-Z]+)\$[0-9]+"),"")</f>
        <v>$D$102</v>
      </c>
      <c r="E100" t="str" cm="1">
        <f t="array" aca="1" ref="E100" ca="1">IF('Raw Data'!E102="",_xlfn.REGEXEXTRACT(CELL("address",'Raw Data'!E102),"\$([A-Z]+)\$[0-9]+"),"")</f>
        <v>$E$102</v>
      </c>
      <c r="F100" t="str" cm="1">
        <f t="array" aca="1" ref="F100" ca="1">IF('Raw Data'!F102="",_xlfn.REGEXEXTRACT(CELL("address",'Raw Data'!F102),"\$([A-Z]+)\$[0-9]+"),"")</f>
        <v>$F$102</v>
      </c>
      <c r="G100" t="e" cm="1">
        <f t="array" aca="1" ref="G100" ca="1">IF('Raw Data'!#REF!="",_xlfn.REGEXEXTRACT(CELL("address",'Raw Data'!#REF!),"\$([A-Z]+)\$[0-9]+"),"")</f>
        <v>#REF!</v>
      </c>
      <c r="H100" t="str" cm="1">
        <f t="array" aca="1" ref="H100" ca="1">IF('Raw Data'!G102="",_xlfn.REGEXEXTRACT(CELL("address",'Raw Data'!G102),"\$([A-Z]+)\$[0-9]+"),"")</f>
        <v>$G$102</v>
      </c>
      <c r="I100" t="e" cm="1">
        <f t="array" aca="1" ref="I100" ca="1">IF('Raw Data'!#REF!="",_xlfn.REGEXEXTRACT(CELL("address",'Raw Data'!#REF!),"\$([A-Z]+)\$[0-9]+"),"")</f>
        <v>#REF!</v>
      </c>
    </row>
    <row r="101" spans="2:9" x14ac:dyDescent="0.25">
      <c r="B101" t="str" cm="1">
        <f t="array" aca="1" ref="B101" ca="1">IF('Raw Data'!B103="",_xlfn.REGEXEXTRACT(CELL("address",'Raw Data'!B103),"\$([A-Z]+)\$[0-9]+"),"")</f>
        <v>$B$103</v>
      </c>
      <c r="C101" t="str" cm="1">
        <f t="array" aca="1" ref="C101" ca="1">IF('Raw Data'!C103="",_xlfn.REGEXEXTRACT(CELL("address",'Raw Data'!C103),"\$([A-Z]+)\$[0-9]+"),"")</f>
        <v>$C$103</v>
      </c>
      <c r="D101" t="str" cm="1">
        <f t="array" aca="1" ref="D101" ca="1">IF('Raw Data'!D103="",_xlfn.REGEXEXTRACT(CELL("address",'Raw Data'!D103),"\$([A-Z]+)\$[0-9]+"),"")</f>
        <v>$D$103</v>
      </c>
      <c r="E101" t="str" cm="1">
        <f t="array" aca="1" ref="E101" ca="1">IF('Raw Data'!E103="",_xlfn.REGEXEXTRACT(CELL("address",'Raw Data'!E103),"\$([A-Z]+)\$[0-9]+"),"")</f>
        <v>$E$103</v>
      </c>
      <c r="F101" t="str" cm="1">
        <f t="array" aca="1" ref="F101" ca="1">IF('Raw Data'!F103="",_xlfn.REGEXEXTRACT(CELL("address",'Raw Data'!F103),"\$([A-Z]+)\$[0-9]+"),"")</f>
        <v>$F$103</v>
      </c>
      <c r="G101" t="e" cm="1">
        <f t="array" aca="1" ref="G101" ca="1">IF('Raw Data'!#REF!="",_xlfn.REGEXEXTRACT(CELL("address",'Raw Data'!#REF!),"\$([A-Z]+)\$[0-9]+"),"")</f>
        <v>#REF!</v>
      </c>
      <c r="H101" t="str" cm="1">
        <f t="array" aca="1" ref="H101" ca="1">IF('Raw Data'!G103="",_xlfn.REGEXEXTRACT(CELL("address",'Raw Data'!G103),"\$([A-Z]+)\$[0-9]+"),"")</f>
        <v>$G$103</v>
      </c>
      <c r="I101" t="e" cm="1">
        <f t="array" aca="1" ref="I101" ca="1">IF('Raw Data'!#REF!="",_xlfn.REGEXEXTRACT(CELL("address",'Raw Data'!#REF!),"\$([A-Z]+)\$[0-9]+"),"")</f>
        <v>#REF!</v>
      </c>
    </row>
    <row r="102" spans="2:9" x14ac:dyDescent="0.25">
      <c r="B102" t="str" cm="1">
        <f t="array" aca="1" ref="B102" ca="1">IF('Raw Data'!B104="",_xlfn.REGEXEXTRACT(CELL("address",'Raw Data'!B104),"\$([A-Z]+)\$[0-9]+"),"")</f>
        <v>$B$104</v>
      </c>
      <c r="C102" t="str" cm="1">
        <f t="array" aca="1" ref="C102" ca="1">IF('Raw Data'!C104="",_xlfn.REGEXEXTRACT(CELL("address",'Raw Data'!C104),"\$([A-Z]+)\$[0-9]+"),"")</f>
        <v>$C$104</v>
      </c>
      <c r="D102" t="str" cm="1">
        <f t="array" aca="1" ref="D102" ca="1">IF('Raw Data'!D104="",_xlfn.REGEXEXTRACT(CELL("address",'Raw Data'!D104),"\$([A-Z]+)\$[0-9]+"),"")</f>
        <v>$D$104</v>
      </c>
      <c r="E102" t="str" cm="1">
        <f t="array" aca="1" ref="E102" ca="1">IF('Raw Data'!E104="",_xlfn.REGEXEXTRACT(CELL("address",'Raw Data'!E104),"\$([A-Z]+)\$[0-9]+"),"")</f>
        <v>$E$104</v>
      </c>
      <c r="F102" t="str" cm="1">
        <f t="array" aca="1" ref="F102" ca="1">IF('Raw Data'!F104="",_xlfn.REGEXEXTRACT(CELL("address",'Raw Data'!F104),"\$([A-Z]+)\$[0-9]+"),"")</f>
        <v>$F$104</v>
      </c>
      <c r="G102" t="e" cm="1">
        <f t="array" aca="1" ref="G102" ca="1">IF('Raw Data'!#REF!="",_xlfn.REGEXEXTRACT(CELL("address",'Raw Data'!#REF!),"\$([A-Z]+)\$[0-9]+"),"")</f>
        <v>#REF!</v>
      </c>
      <c r="H102" t="str" cm="1">
        <f t="array" aca="1" ref="H102" ca="1">IF('Raw Data'!G104="",_xlfn.REGEXEXTRACT(CELL("address",'Raw Data'!G104),"\$([A-Z]+)\$[0-9]+"),"")</f>
        <v>$G$104</v>
      </c>
      <c r="I102" t="e" cm="1">
        <f t="array" aca="1" ref="I102" ca="1">IF('Raw Data'!#REF!="",_xlfn.REGEXEXTRACT(CELL("address",'Raw Data'!#REF!),"\$([A-Z]+)\$[0-9]+"),"")</f>
        <v>#REF!</v>
      </c>
    </row>
    <row r="103" spans="2:9" x14ac:dyDescent="0.25">
      <c r="B103" t="str" cm="1">
        <f t="array" aca="1" ref="B103" ca="1">IF('Raw Data'!B105="",_xlfn.REGEXEXTRACT(CELL("address",'Raw Data'!B105),"\$([A-Z]+)\$[0-9]+"),"")</f>
        <v>$B$105</v>
      </c>
      <c r="C103" t="str" cm="1">
        <f t="array" aca="1" ref="C103" ca="1">IF('Raw Data'!C105="",_xlfn.REGEXEXTRACT(CELL("address",'Raw Data'!C105),"\$([A-Z]+)\$[0-9]+"),"")</f>
        <v>$C$105</v>
      </c>
      <c r="D103" t="str" cm="1">
        <f t="array" aca="1" ref="D103" ca="1">IF('Raw Data'!D105="",_xlfn.REGEXEXTRACT(CELL("address",'Raw Data'!D105),"\$([A-Z]+)\$[0-9]+"),"")</f>
        <v>$D$105</v>
      </c>
      <c r="E103" t="str" cm="1">
        <f t="array" aca="1" ref="E103" ca="1">IF('Raw Data'!E105="",_xlfn.REGEXEXTRACT(CELL("address",'Raw Data'!E105),"\$([A-Z]+)\$[0-9]+"),"")</f>
        <v>$E$105</v>
      </c>
      <c r="F103" t="str" cm="1">
        <f t="array" aca="1" ref="F103" ca="1">IF('Raw Data'!F105="",_xlfn.REGEXEXTRACT(CELL("address",'Raw Data'!F105),"\$([A-Z]+)\$[0-9]+"),"")</f>
        <v>$F$105</v>
      </c>
      <c r="G103" t="e" cm="1">
        <f t="array" aca="1" ref="G103" ca="1">IF('Raw Data'!#REF!="",_xlfn.REGEXEXTRACT(CELL("address",'Raw Data'!#REF!),"\$([A-Z]+)\$[0-9]+"),"")</f>
        <v>#REF!</v>
      </c>
      <c r="H103" t="str" cm="1">
        <f t="array" aca="1" ref="H103" ca="1">IF('Raw Data'!G105="",_xlfn.REGEXEXTRACT(CELL("address",'Raw Data'!G105),"\$([A-Z]+)\$[0-9]+"),"")</f>
        <v>$G$105</v>
      </c>
      <c r="I103" t="e" cm="1">
        <f t="array" aca="1" ref="I103" ca="1">IF('Raw Data'!#REF!="",_xlfn.REGEXEXTRACT(CELL("address",'Raw Data'!#REF!),"\$([A-Z]+)\$[0-9]+"),"")</f>
        <v>#REF!</v>
      </c>
    </row>
    <row r="104" spans="2:9" x14ac:dyDescent="0.25">
      <c r="B104" t="str" cm="1">
        <f t="array" aca="1" ref="B104" ca="1">IF('Raw Data'!B106="",_xlfn.REGEXEXTRACT(CELL("address",'Raw Data'!B106),"\$([A-Z]+)\$[0-9]+"),"")</f>
        <v>$B$106</v>
      </c>
      <c r="C104" t="str" cm="1">
        <f t="array" aca="1" ref="C104" ca="1">IF('Raw Data'!C106="",_xlfn.REGEXEXTRACT(CELL("address",'Raw Data'!C106),"\$([A-Z]+)\$[0-9]+"),"")</f>
        <v>$C$106</v>
      </c>
      <c r="D104" t="str" cm="1">
        <f t="array" aca="1" ref="D104" ca="1">IF('Raw Data'!D106="",_xlfn.REGEXEXTRACT(CELL("address",'Raw Data'!D106),"\$([A-Z]+)\$[0-9]+"),"")</f>
        <v>$D$106</v>
      </c>
      <c r="E104" t="str" cm="1">
        <f t="array" aca="1" ref="E104" ca="1">IF('Raw Data'!E106="",_xlfn.REGEXEXTRACT(CELL("address",'Raw Data'!E106),"\$([A-Z]+)\$[0-9]+"),"")</f>
        <v>$E$106</v>
      </c>
      <c r="F104" t="str" cm="1">
        <f t="array" aca="1" ref="F104" ca="1">IF('Raw Data'!F106="",_xlfn.REGEXEXTRACT(CELL("address",'Raw Data'!F106),"\$([A-Z]+)\$[0-9]+"),"")</f>
        <v>$F$106</v>
      </c>
      <c r="G104" t="e" cm="1">
        <f t="array" aca="1" ref="G104" ca="1">IF('Raw Data'!#REF!="",_xlfn.REGEXEXTRACT(CELL("address",'Raw Data'!#REF!),"\$([A-Z]+)\$[0-9]+"),"")</f>
        <v>#REF!</v>
      </c>
      <c r="H104" t="str" cm="1">
        <f t="array" aca="1" ref="H104" ca="1">IF('Raw Data'!G106="",_xlfn.REGEXEXTRACT(CELL("address",'Raw Data'!G106),"\$([A-Z]+)\$[0-9]+"),"")</f>
        <v>$G$106</v>
      </c>
      <c r="I104" t="e" cm="1">
        <f t="array" aca="1" ref="I104" ca="1">IF('Raw Data'!#REF!="",_xlfn.REGEXEXTRACT(CELL("address",'Raw Data'!#REF!),"\$([A-Z]+)\$[0-9]+"),"")</f>
        <v>#REF!</v>
      </c>
    </row>
    <row r="105" spans="2:9" x14ac:dyDescent="0.25">
      <c r="B105" t="str" cm="1">
        <f t="array" aca="1" ref="B105" ca="1">IF('Raw Data'!B107="",_xlfn.REGEXEXTRACT(CELL("address",'Raw Data'!B107),"\$([A-Z]+)\$[0-9]+"),"")</f>
        <v>$B$107</v>
      </c>
      <c r="C105" t="str" cm="1">
        <f t="array" aca="1" ref="C105" ca="1">IF('Raw Data'!C107="",_xlfn.REGEXEXTRACT(CELL("address",'Raw Data'!C107),"\$([A-Z]+)\$[0-9]+"),"")</f>
        <v>$C$107</v>
      </c>
      <c r="D105" t="str" cm="1">
        <f t="array" aca="1" ref="D105" ca="1">IF('Raw Data'!D107="",_xlfn.REGEXEXTRACT(CELL("address",'Raw Data'!D107),"\$([A-Z]+)\$[0-9]+"),"")</f>
        <v>$D$107</v>
      </c>
      <c r="E105" t="str" cm="1">
        <f t="array" aca="1" ref="E105" ca="1">IF('Raw Data'!E107="",_xlfn.REGEXEXTRACT(CELL("address",'Raw Data'!E107),"\$([A-Z]+)\$[0-9]+"),"")</f>
        <v>$E$107</v>
      </c>
      <c r="F105" t="str" cm="1">
        <f t="array" aca="1" ref="F105" ca="1">IF('Raw Data'!F107="",_xlfn.REGEXEXTRACT(CELL("address",'Raw Data'!F107),"\$([A-Z]+)\$[0-9]+"),"")</f>
        <v>$F$107</v>
      </c>
      <c r="G105" t="e" cm="1">
        <f t="array" aca="1" ref="G105" ca="1">IF('Raw Data'!#REF!="",_xlfn.REGEXEXTRACT(CELL("address",'Raw Data'!#REF!),"\$([A-Z]+)\$[0-9]+"),"")</f>
        <v>#REF!</v>
      </c>
      <c r="H105" t="str" cm="1">
        <f t="array" aca="1" ref="H105" ca="1">IF('Raw Data'!G107="",_xlfn.REGEXEXTRACT(CELL("address",'Raw Data'!G107),"\$([A-Z]+)\$[0-9]+"),"")</f>
        <v>$G$107</v>
      </c>
      <c r="I105" t="e" cm="1">
        <f t="array" aca="1" ref="I105" ca="1">IF('Raw Data'!#REF!="",_xlfn.REGEXEXTRACT(CELL("address",'Raw Data'!#REF!),"\$([A-Z]+)\$[0-9]+"),"")</f>
        <v>#REF!</v>
      </c>
    </row>
    <row r="106" spans="2:9" x14ac:dyDescent="0.25">
      <c r="B106" t="str" cm="1">
        <f t="array" aca="1" ref="B106" ca="1">IF('Raw Data'!B108="",_xlfn.REGEXEXTRACT(CELL("address",'Raw Data'!B108),"\$([A-Z]+)\$[0-9]+"),"")</f>
        <v>$B$108</v>
      </c>
      <c r="C106" t="str" cm="1">
        <f t="array" aca="1" ref="C106" ca="1">IF('Raw Data'!C108="",_xlfn.REGEXEXTRACT(CELL("address",'Raw Data'!C108),"\$([A-Z]+)\$[0-9]+"),"")</f>
        <v>$C$108</v>
      </c>
      <c r="D106" t="str" cm="1">
        <f t="array" aca="1" ref="D106" ca="1">IF('Raw Data'!D108="",_xlfn.REGEXEXTRACT(CELL("address",'Raw Data'!D108),"\$([A-Z]+)\$[0-9]+"),"")</f>
        <v>$D$108</v>
      </c>
      <c r="E106" t="str" cm="1">
        <f t="array" aca="1" ref="E106" ca="1">IF('Raw Data'!E108="",_xlfn.REGEXEXTRACT(CELL("address",'Raw Data'!E108),"\$([A-Z]+)\$[0-9]+"),"")</f>
        <v>$E$108</v>
      </c>
      <c r="F106" t="str" cm="1">
        <f t="array" aca="1" ref="F106" ca="1">IF('Raw Data'!F108="",_xlfn.REGEXEXTRACT(CELL("address",'Raw Data'!F108),"\$([A-Z]+)\$[0-9]+"),"")</f>
        <v>$F$108</v>
      </c>
      <c r="G106" t="e" cm="1">
        <f t="array" aca="1" ref="G106" ca="1">IF('Raw Data'!#REF!="",_xlfn.REGEXEXTRACT(CELL("address",'Raw Data'!#REF!),"\$([A-Z]+)\$[0-9]+"),"")</f>
        <v>#REF!</v>
      </c>
      <c r="H106" t="str" cm="1">
        <f t="array" aca="1" ref="H106" ca="1">IF('Raw Data'!G108="",_xlfn.REGEXEXTRACT(CELL("address",'Raw Data'!G108),"\$([A-Z]+)\$[0-9]+"),"")</f>
        <v>$G$108</v>
      </c>
      <c r="I106" t="e" cm="1">
        <f t="array" aca="1" ref="I106" ca="1">IF('Raw Data'!#REF!="",_xlfn.REGEXEXTRACT(CELL("address",'Raw Data'!#REF!),"\$([A-Z]+)\$[0-9]+"),"")</f>
        <v>#REF!</v>
      </c>
    </row>
    <row r="107" spans="2:9" x14ac:dyDescent="0.25">
      <c r="B107" t="str" cm="1">
        <f t="array" aca="1" ref="B107" ca="1">IF('Raw Data'!B109="",_xlfn.REGEXEXTRACT(CELL("address",'Raw Data'!B109),"\$([A-Z]+)\$[0-9]+"),"")</f>
        <v>$B$109</v>
      </c>
      <c r="C107" t="str" cm="1">
        <f t="array" aca="1" ref="C107" ca="1">IF('Raw Data'!C109="",_xlfn.REGEXEXTRACT(CELL("address",'Raw Data'!C109),"\$([A-Z]+)\$[0-9]+"),"")</f>
        <v>$C$109</v>
      </c>
      <c r="D107" t="str" cm="1">
        <f t="array" aca="1" ref="D107" ca="1">IF('Raw Data'!D109="",_xlfn.REGEXEXTRACT(CELL("address",'Raw Data'!D109),"\$([A-Z]+)\$[0-9]+"),"")</f>
        <v>$D$109</v>
      </c>
      <c r="E107" t="str" cm="1">
        <f t="array" aca="1" ref="E107" ca="1">IF('Raw Data'!E109="",_xlfn.REGEXEXTRACT(CELL("address",'Raw Data'!E109),"\$([A-Z]+)\$[0-9]+"),"")</f>
        <v>$E$109</v>
      </c>
      <c r="F107" t="str" cm="1">
        <f t="array" aca="1" ref="F107" ca="1">IF('Raw Data'!F109="",_xlfn.REGEXEXTRACT(CELL("address",'Raw Data'!F109),"\$([A-Z]+)\$[0-9]+"),"")</f>
        <v>$F$109</v>
      </c>
      <c r="G107" t="e" cm="1">
        <f t="array" aca="1" ref="G107" ca="1">IF('Raw Data'!#REF!="",_xlfn.REGEXEXTRACT(CELL("address",'Raw Data'!#REF!),"\$([A-Z]+)\$[0-9]+"),"")</f>
        <v>#REF!</v>
      </c>
      <c r="H107" t="str" cm="1">
        <f t="array" aca="1" ref="H107" ca="1">IF('Raw Data'!G109="",_xlfn.REGEXEXTRACT(CELL("address",'Raw Data'!G109),"\$([A-Z]+)\$[0-9]+"),"")</f>
        <v>$G$109</v>
      </c>
      <c r="I107" t="e" cm="1">
        <f t="array" aca="1" ref="I107" ca="1">IF('Raw Data'!#REF!="",_xlfn.REGEXEXTRACT(CELL("address",'Raw Data'!#REF!),"\$([A-Z]+)\$[0-9]+"),"")</f>
        <v>#REF!</v>
      </c>
    </row>
    <row r="108" spans="2:9" x14ac:dyDescent="0.25">
      <c r="B108" t="str" cm="1">
        <f t="array" aca="1" ref="B108" ca="1">IF('Raw Data'!B110="",_xlfn.REGEXEXTRACT(CELL("address",'Raw Data'!B110),"\$([A-Z]+)\$[0-9]+"),"")</f>
        <v>$B$110</v>
      </c>
      <c r="C108" t="str" cm="1">
        <f t="array" aca="1" ref="C108" ca="1">IF('Raw Data'!C110="",_xlfn.REGEXEXTRACT(CELL("address",'Raw Data'!C110),"\$([A-Z]+)\$[0-9]+"),"")</f>
        <v>$C$110</v>
      </c>
      <c r="D108" t="str" cm="1">
        <f t="array" aca="1" ref="D108" ca="1">IF('Raw Data'!D110="",_xlfn.REGEXEXTRACT(CELL("address",'Raw Data'!D110),"\$([A-Z]+)\$[0-9]+"),"")</f>
        <v>$D$110</v>
      </c>
      <c r="E108" t="str" cm="1">
        <f t="array" aca="1" ref="E108" ca="1">IF('Raw Data'!E110="",_xlfn.REGEXEXTRACT(CELL("address",'Raw Data'!E110),"\$([A-Z]+)\$[0-9]+"),"")</f>
        <v>$E$110</v>
      </c>
      <c r="F108" t="str" cm="1">
        <f t="array" aca="1" ref="F108" ca="1">IF('Raw Data'!F110="",_xlfn.REGEXEXTRACT(CELL("address",'Raw Data'!F110),"\$([A-Z]+)\$[0-9]+"),"")</f>
        <v>$F$110</v>
      </c>
      <c r="G108" t="e" cm="1">
        <f t="array" aca="1" ref="G108" ca="1">IF('Raw Data'!#REF!="",_xlfn.REGEXEXTRACT(CELL("address",'Raw Data'!#REF!),"\$([A-Z]+)\$[0-9]+"),"")</f>
        <v>#REF!</v>
      </c>
      <c r="H108" t="str" cm="1">
        <f t="array" aca="1" ref="H108" ca="1">IF('Raw Data'!G110="",_xlfn.REGEXEXTRACT(CELL("address",'Raw Data'!G110),"\$([A-Z]+)\$[0-9]+"),"")</f>
        <v>$G$110</v>
      </c>
      <c r="I108" t="e" cm="1">
        <f t="array" aca="1" ref="I108" ca="1">IF('Raw Data'!#REF!="",_xlfn.REGEXEXTRACT(CELL("address",'Raw Data'!#REF!),"\$([A-Z]+)\$[0-9]+"),"")</f>
        <v>#REF!</v>
      </c>
    </row>
    <row r="109" spans="2:9" x14ac:dyDescent="0.25">
      <c r="B109" t="str" cm="1">
        <f t="array" aca="1" ref="B109" ca="1">IF('Raw Data'!B111="",_xlfn.REGEXEXTRACT(CELL("address",'Raw Data'!B111),"\$([A-Z]+)\$[0-9]+"),"")</f>
        <v>$B$111</v>
      </c>
      <c r="C109" t="str" cm="1">
        <f t="array" aca="1" ref="C109" ca="1">IF('Raw Data'!C111="",_xlfn.REGEXEXTRACT(CELL("address",'Raw Data'!C111),"\$([A-Z]+)\$[0-9]+"),"")</f>
        <v>$C$111</v>
      </c>
      <c r="D109" t="str" cm="1">
        <f t="array" aca="1" ref="D109" ca="1">IF('Raw Data'!D111="",_xlfn.REGEXEXTRACT(CELL("address",'Raw Data'!D111),"\$([A-Z]+)\$[0-9]+"),"")</f>
        <v>$D$111</v>
      </c>
      <c r="E109" t="str" cm="1">
        <f t="array" aca="1" ref="E109" ca="1">IF('Raw Data'!E111="",_xlfn.REGEXEXTRACT(CELL("address",'Raw Data'!E111),"\$([A-Z]+)\$[0-9]+"),"")</f>
        <v>$E$111</v>
      </c>
      <c r="F109" t="str" cm="1">
        <f t="array" aca="1" ref="F109" ca="1">IF('Raw Data'!F111="",_xlfn.REGEXEXTRACT(CELL("address",'Raw Data'!F111),"\$([A-Z]+)\$[0-9]+"),"")</f>
        <v>$F$111</v>
      </c>
      <c r="G109" t="e" cm="1">
        <f t="array" aca="1" ref="G109" ca="1">IF('Raw Data'!#REF!="",_xlfn.REGEXEXTRACT(CELL("address",'Raw Data'!#REF!),"\$([A-Z]+)\$[0-9]+"),"")</f>
        <v>#REF!</v>
      </c>
      <c r="H109" t="str" cm="1">
        <f t="array" aca="1" ref="H109" ca="1">IF('Raw Data'!G111="",_xlfn.REGEXEXTRACT(CELL("address",'Raw Data'!G111),"\$([A-Z]+)\$[0-9]+"),"")</f>
        <v>$G$111</v>
      </c>
      <c r="I109" t="e" cm="1">
        <f t="array" aca="1" ref="I109" ca="1">IF('Raw Data'!#REF!="",_xlfn.REGEXEXTRACT(CELL("address",'Raw Data'!#REF!),"\$([A-Z]+)\$[0-9]+"),"")</f>
        <v>#REF!</v>
      </c>
    </row>
    <row r="110" spans="2:9" x14ac:dyDescent="0.25">
      <c r="B110" t="str" cm="1">
        <f t="array" aca="1" ref="B110" ca="1">IF('Raw Data'!B112="",_xlfn.REGEXEXTRACT(CELL("address",'Raw Data'!B112),"\$([A-Z]+)\$[0-9]+"),"")</f>
        <v>$B$112</v>
      </c>
      <c r="C110" t="str" cm="1">
        <f t="array" aca="1" ref="C110" ca="1">IF('Raw Data'!C112="",_xlfn.REGEXEXTRACT(CELL("address",'Raw Data'!C112),"\$([A-Z]+)\$[0-9]+"),"")</f>
        <v>$C$112</v>
      </c>
      <c r="D110" t="str" cm="1">
        <f t="array" aca="1" ref="D110" ca="1">IF('Raw Data'!D112="",_xlfn.REGEXEXTRACT(CELL("address",'Raw Data'!D112),"\$([A-Z]+)\$[0-9]+"),"")</f>
        <v>$D$112</v>
      </c>
      <c r="E110" t="str" cm="1">
        <f t="array" aca="1" ref="E110" ca="1">IF('Raw Data'!E112="",_xlfn.REGEXEXTRACT(CELL("address",'Raw Data'!E112),"\$([A-Z]+)\$[0-9]+"),"")</f>
        <v>$E$112</v>
      </c>
      <c r="F110" t="str" cm="1">
        <f t="array" aca="1" ref="F110" ca="1">IF('Raw Data'!F112="",_xlfn.REGEXEXTRACT(CELL("address",'Raw Data'!F112),"\$([A-Z]+)\$[0-9]+"),"")</f>
        <v>$F$112</v>
      </c>
      <c r="G110" t="e" cm="1">
        <f t="array" aca="1" ref="G110" ca="1">IF('Raw Data'!#REF!="",_xlfn.REGEXEXTRACT(CELL("address",'Raw Data'!#REF!),"\$([A-Z]+)\$[0-9]+"),"")</f>
        <v>#REF!</v>
      </c>
      <c r="H110" t="str" cm="1">
        <f t="array" aca="1" ref="H110" ca="1">IF('Raw Data'!G112="",_xlfn.REGEXEXTRACT(CELL("address",'Raw Data'!G112),"\$([A-Z]+)\$[0-9]+"),"")</f>
        <v>$G$112</v>
      </c>
      <c r="I110" t="e" cm="1">
        <f t="array" aca="1" ref="I110" ca="1">IF('Raw Data'!#REF!="",_xlfn.REGEXEXTRACT(CELL("address",'Raw Data'!#REF!),"\$([A-Z]+)\$[0-9]+"),"")</f>
        <v>#REF!</v>
      </c>
    </row>
    <row r="111" spans="2:9" x14ac:dyDescent="0.25">
      <c r="B111" t="str" cm="1">
        <f t="array" aca="1" ref="B111" ca="1">IF('Raw Data'!B113="",_xlfn.REGEXEXTRACT(CELL("address",'Raw Data'!B113),"\$([A-Z]+)\$[0-9]+"),"")</f>
        <v>$B$113</v>
      </c>
      <c r="C111" t="str" cm="1">
        <f t="array" aca="1" ref="C111" ca="1">IF('Raw Data'!C113="",_xlfn.REGEXEXTRACT(CELL("address",'Raw Data'!C113),"\$([A-Z]+)\$[0-9]+"),"")</f>
        <v>$C$113</v>
      </c>
      <c r="D111" t="str" cm="1">
        <f t="array" aca="1" ref="D111" ca="1">IF('Raw Data'!D113="",_xlfn.REGEXEXTRACT(CELL("address",'Raw Data'!D113),"\$([A-Z]+)\$[0-9]+"),"")</f>
        <v>$D$113</v>
      </c>
      <c r="E111" t="str" cm="1">
        <f t="array" aca="1" ref="E111" ca="1">IF('Raw Data'!E113="",_xlfn.REGEXEXTRACT(CELL("address",'Raw Data'!E113),"\$([A-Z]+)\$[0-9]+"),"")</f>
        <v>$E$113</v>
      </c>
      <c r="F111" t="str" cm="1">
        <f t="array" aca="1" ref="F111" ca="1">IF('Raw Data'!F113="",_xlfn.REGEXEXTRACT(CELL("address",'Raw Data'!F113),"\$([A-Z]+)\$[0-9]+"),"")</f>
        <v>$F$113</v>
      </c>
      <c r="G111" t="e" cm="1">
        <f t="array" aca="1" ref="G111" ca="1">IF('Raw Data'!#REF!="",_xlfn.REGEXEXTRACT(CELL("address",'Raw Data'!#REF!),"\$([A-Z]+)\$[0-9]+"),"")</f>
        <v>#REF!</v>
      </c>
      <c r="H111" t="str" cm="1">
        <f t="array" aca="1" ref="H111" ca="1">IF('Raw Data'!G113="",_xlfn.REGEXEXTRACT(CELL("address",'Raw Data'!G113),"\$([A-Z]+)\$[0-9]+"),"")</f>
        <v>$G$113</v>
      </c>
      <c r="I111" t="e" cm="1">
        <f t="array" aca="1" ref="I111" ca="1">IF('Raw Data'!#REF!="",_xlfn.REGEXEXTRACT(CELL("address",'Raw Data'!#REF!),"\$([A-Z]+)\$[0-9]+"),"")</f>
        <v>#REF!</v>
      </c>
    </row>
    <row r="112" spans="2:9" x14ac:dyDescent="0.25">
      <c r="B112" t="str" cm="1">
        <f t="array" aca="1" ref="B112" ca="1">IF('Raw Data'!B114="",_xlfn.REGEXEXTRACT(CELL("address",'Raw Data'!B114),"\$([A-Z]+)\$[0-9]+"),"")</f>
        <v>$B$114</v>
      </c>
      <c r="C112" t="str" cm="1">
        <f t="array" aca="1" ref="C112" ca="1">IF('Raw Data'!C114="",_xlfn.REGEXEXTRACT(CELL("address",'Raw Data'!C114),"\$([A-Z]+)\$[0-9]+"),"")</f>
        <v>$C$114</v>
      </c>
      <c r="D112" t="str" cm="1">
        <f t="array" aca="1" ref="D112" ca="1">IF('Raw Data'!D114="",_xlfn.REGEXEXTRACT(CELL("address",'Raw Data'!D114),"\$([A-Z]+)\$[0-9]+"),"")</f>
        <v>$D$114</v>
      </c>
      <c r="E112" t="str" cm="1">
        <f t="array" aca="1" ref="E112" ca="1">IF('Raw Data'!E114="",_xlfn.REGEXEXTRACT(CELL("address",'Raw Data'!E114),"\$([A-Z]+)\$[0-9]+"),"")</f>
        <v>$E$114</v>
      </c>
      <c r="F112" t="str" cm="1">
        <f t="array" aca="1" ref="F112" ca="1">IF('Raw Data'!F114="",_xlfn.REGEXEXTRACT(CELL("address",'Raw Data'!F114),"\$([A-Z]+)\$[0-9]+"),"")</f>
        <v>$F$114</v>
      </c>
      <c r="G112" t="e" cm="1">
        <f t="array" aca="1" ref="G112" ca="1">IF('Raw Data'!#REF!="",_xlfn.REGEXEXTRACT(CELL("address",'Raw Data'!#REF!),"\$([A-Z]+)\$[0-9]+"),"")</f>
        <v>#REF!</v>
      </c>
      <c r="H112" t="str" cm="1">
        <f t="array" aca="1" ref="H112" ca="1">IF('Raw Data'!G114="",_xlfn.REGEXEXTRACT(CELL("address",'Raw Data'!G114),"\$([A-Z]+)\$[0-9]+"),"")</f>
        <v>$G$114</v>
      </c>
      <c r="I112" t="e" cm="1">
        <f t="array" aca="1" ref="I112" ca="1">IF('Raw Data'!#REF!="",_xlfn.REGEXEXTRACT(CELL("address",'Raw Data'!#REF!),"\$([A-Z]+)\$[0-9]+"),"")</f>
        <v>#REF!</v>
      </c>
    </row>
    <row r="113" spans="2:9" x14ac:dyDescent="0.25">
      <c r="B113" t="str" cm="1">
        <f t="array" aca="1" ref="B113" ca="1">IF('Raw Data'!B115="",_xlfn.REGEXEXTRACT(CELL("address",'Raw Data'!B115),"\$([A-Z]+)\$[0-9]+"),"")</f>
        <v>$B$115</v>
      </c>
      <c r="C113" t="str" cm="1">
        <f t="array" aca="1" ref="C113" ca="1">IF('Raw Data'!C115="",_xlfn.REGEXEXTRACT(CELL("address",'Raw Data'!C115),"\$([A-Z]+)\$[0-9]+"),"")</f>
        <v>$C$115</v>
      </c>
      <c r="D113" t="str" cm="1">
        <f t="array" aca="1" ref="D113" ca="1">IF('Raw Data'!D115="",_xlfn.REGEXEXTRACT(CELL("address",'Raw Data'!D115),"\$([A-Z]+)\$[0-9]+"),"")</f>
        <v>$D$115</v>
      </c>
      <c r="E113" t="str" cm="1">
        <f t="array" aca="1" ref="E113" ca="1">IF('Raw Data'!E115="",_xlfn.REGEXEXTRACT(CELL("address",'Raw Data'!E115),"\$([A-Z]+)\$[0-9]+"),"")</f>
        <v>$E$115</v>
      </c>
      <c r="F113" t="str" cm="1">
        <f t="array" aca="1" ref="F113" ca="1">IF('Raw Data'!F115="",_xlfn.REGEXEXTRACT(CELL("address",'Raw Data'!F115),"\$([A-Z]+)\$[0-9]+"),"")</f>
        <v>$F$115</v>
      </c>
      <c r="G113" t="e" cm="1">
        <f t="array" aca="1" ref="G113" ca="1">IF('Raw Data'!#REF!="",_xlfn.REGEXEXTRACT(CELL("address",'Raw Data'!#REF!),"\$([A-Z]+)\$[0-9]+"),"")</f>
        <v>#REF!</v>
      </c>
      <c r="H113" t="str" cm="1">
        <f t="array" aca="1" ref="H113" ca="1">IF('Raw Data'!G115="",_xlfn.REGEXEXTRACT(CELL("address",'Raw Data'!G115),"\$([A-Z]+)\$[0-9]+"),"")</f>
        <v>$G$115</v>
      </c>
      <c r="I113" t="e" cm="1">
        <f t="array" aca="1" ref="I113" ca="1">IF('Raw Data'!#REF!="",_xlfn.REGEXEXTRACT(CELL("address",'Raw Data'!#REF!),"\$([A-Z]+)\$[0-9]+"),"")</f>
        <v>#REF!</v>
      </c>
    </row>
    <row r="114" spans="2:9" x14ac:dyDescent="0.25">
      <c r="B114" t="str" cm="1">
        <f t="array" aca="1" ref="B114" ca="1">IF('Raw Data'!B116="",_xlfn.REGEXEXTRACT(CELL("address",'Raw Data'!B116),"\$([A-Z]+)\$[0-9]+"),"")</f>
        <v>$B$116</v>
      </c>
      <c r="C114" t="str" cm="1">
        <f t="array" aca="1" ref="C114" ca="1">IF('Raw Data'!C116="",_xlfn.REGEXEXTRACT(CELL("address",'Raw Data'!C116),"\$([A-Z]+)\$[0-9]+"),"")</f>
        <v>$C$116</v>
      </c>
      <c r="D114" t="str" cm="1">
        <f t="array" aca="1" ref="D114" ca="1">IF('Raw Data'!D116="",_xlfn.REGEXEXTRACT(CELL("address",'Raw Data'!D116),"\$([A-Z]+)\$[0-9]+"),"")</f>
        <v>$D$116</v>
      </c>
      <c r="E114" t="str" cm="1">
        <f t="array" aca="1" ref="E114" ca="1">IF('Raw Data'!E116="",_xlfn.REGEXEXTRACT(CELL("address",'Raw Data'!E116),"\$([A-Z]+)\$[0-9]+"),"")</f>
        <v>$E$116</v>
      </c>
      <c r="F114" t="str" cm="1">
        <f t="array" aca="1" ref="F114" ca="1">IF('Raw Data'!F116="",_xlfn.REGEXEXTRACT(CELL("address",'Raw Data'!F116),"\$([A-Z]+)\$[0-9]+"),"")</f>
        <v>$F$116</v>
      </c>
      <c r="G114" t="e" cm="1">
        <f t="array" aca="1" ref="G114" ca="1">IF('Raw Data'!#REF!="",_xlfn.REGEXEXTRACT(CELL("address",'Raw Data'!#REF!),"\$([A-Z]+)\$[0-9]+"),"")</f>
        <v>#REF!</v>
      </c>
      <c r="H114" t="str" cm="1">
        <f t="array" aca="1" ref="H114" ca="1">IF('Raw Data'!G116="",_xlfn.REGEXEXTRACT(CELL("address",'Raw Data'!G116),"\$([A-Z]+)\$[0-9]+"),"")</f>
        <v>$G$116</v>
      </c>
      <c r="I114" t="e" cm="1">
        <f t="array" aca="1" ref="I114" ca="1">IF('Raw Data'!#REF!="",_xlfn.REGEXEXTRACT(CELL("address",'Raw Data'!#REF!),"\$([A-Z]+)\$[0-9]+"),"")</f>
        <v>#REF!</v>
      </c>
    </row>
    <row r="115" spans="2:9" x14ac:dyDescent="0.25">
      <c r="B115" t="str" cm="1">
        <f t="array" aca="1" ref="B115" ca="1">IF('Raw Data'!B117="",_xlfn.REGEXEXTRACT(CELL("address",'Raw Data'!B117),"\$([A-Z]+)\$[0-9]+"),"")</f>
        <v>$B$117</v>
      </c>
      <c r="C115" t="str" cm="1">
        <f t="array" aca="1" ref="C115" ca="1">IF('Raw Data'!C117="",_xlfn.REGEXEXTRACT(CELL("address",'Raw Data'!C117),"\$([A-Z]+)\$[0-9]+"),"")</f>
        <v>$C$117</v>
      </c>
      <c r="D115" t="str" cm="1">
        <f t="array" aca="1" ref="D115" ca="1">IF('Raw Data'!D117="",_xlfn.REGEXEXTRACT(CELL("address",'Raw Data'!D117),"\$([A-Z]+)\$[0-9]+"),"")</f>
        <v>$D$117</v>
      </c>
      <c r="E115" t="str" cm="1">
        <f t="array" aca="1" ref="E115" ca="1">IF('Raw Data'!E117="",_xlfn.REGEXEXTRACT(CELL("address",'Raw Data'!E117),"\$([A-Z]+)\$[0-9]+"),"")</f>
        <v>$E$117</v>
      </c>
      <c r="F115" t="str" cm="1">
        <f t="array" aca="1" ref="F115" ca="1">IF('Raw Data'!F117="",_xlfn.REGEXEXTRACT(CELL("address",'Raw Data'!F117),"\$([A-Z]+)\$[0-9]+"),"")</f>
        <v>$F$117</v>
      </c>
      <c r="G115" t="e" cm="1">
        <f t="array" aca="1" ref="G115" ca="1">IF('Raw Data'!#REF!="",_xlfn.REGEXEXTRACT(CELL("address",'Raw Data'!#REF!),"\$([A-Z]+)\$[0-9]+"),"")</f>
        <v>#REF!</v>
      </c>
      <c r="H115" t="str" cm="1">
        <f t="array" aca="1" ref="H115" ca="1">IF('Raw Data'!G117="",_xlfn.REGEXEXTRACT(CELL("address",'Raw Data'!G117),"\$([A-Z]+)\$[0-9]+"),"")</f>
        <v>$G$117</v>
      </c>
      <c r="I115" t="e" cm="1">
        <f t="array" aca="1" ref="I115" ca="1">IF('Raw Data'!#REF!="",_xlfn.REGEXEXTRACT(CELL("address",'Raw Data'!#REF!),"\$([A-Z]+)\$[0-9]+"),"")</f>
        <v>#REF!</v>
      </c>
    </row>
    <row r="116" spans="2:9" x14ac:dyDescent="0.25">
      <c r="B116" t="str" cm="1">
        <f t="array" aca="1" ref="B116" ca="1">IF('Raw Data'!B118="",_xlfn.REGEXEXTRACT(CELL("address",'Raw Data'!B118),"\$([A-Z]+)\$[0-9]+"),"")</f>
        <v>$B$118</v>
      </c>
      <c r="C116" t="str" cm="1">
        <f t="array" aca="1" ref="C116" ca="1">IF('Raw Data'!C118="",_xlfn.REGEXEXTRACT(CELL("address",'Raw Data'!C118),"\$([A-Z]+)\$[0-9]+"),"")</f>
        <v>$C$118</v>
      </c>
      <c r="D116" t="str" cm="1">
        <f t="array" aca="1" ref="D116" ca="1">IF('Raw Data'!D118="",_xlfn.REGEXEXTRACT(CELL("address",'Raw Data'!D118),"\$([A-Z]+)\$[0-9]+"),"")</f>
        <v>$D$118</v>
      </c>
      <c r="E116" t="str" cm="1">
        <f t="array" aca="1" ref="E116" ca="1">IF('Raw Data'!E118="",_xlfn.REGEXEXTRACT(CELL("address",'Raw Data'!E118),"\$([A-Z]+)\$[0-9]+"),"")</f>
        <v>$E$118</v>
      </c>
      <c r="F116" t="str" cm="1">
        <f t="array" aca="1" ref="F116" ca="1">IF('Raw Data'!F118="",_xlfn.REGEXEXTRACT(CELL("address",'Raw Data'!F118),"\$([A-Z]+)\$[0-9]+"),"")</f>
        <v>$F$118</v>
      </c>
      <c r="G116" t="e" cm="1">
        <f t="array" aca="1" ref="G116" ca="1">IF('Raw Data'!#REF!="",_xlfn.REGEXEXTRACT(CELL("address",'Raw Data'!#REF!),"\$([A-Z]+)\$[0-9]+"),"")</f>
        <v>#REF!</v>
      </c>
      <c r="H116" t="str" cm="1">
        <f t="array" aca="1" ref="H116" ca="1">IF('Raw Data'!G118="",_xlfn.REGEXEXTRACT(CELL("address",'Raw Data'!G118),"\$([A-Z]+)\$[0-9]+"),"")</f>
        <v>$G$118</v>
      </c>
      <c r="I116" t="e" cm="1">
        <f t="array" aca="1" ref="I116" ca="1">IF('Raw Data'!#REF!="",_xlfn.REGEXEXTRACT(CELL("address",'Raw Data'!#REF!),"\$([A-Z]+)\$[0-9]+"),"")</f>
        <v>#REF!</v>
      </c>
    </row>
    <row r="117" spans="2:9" x14ac:dyDescent="0.25">
      <c r="B117" t="str" cm="1">
        <f t="array" aca="1" ref="B117" ca="1">IF('Raw Data'!B119="",_xlfn.REGEXEXTRACT(CELL("address",'Raw Data'!B119),"\$([A-Z]+)\$[0-9]+"),"")</f>
        <v>$B$119</v>
      </c>
      <c r="C117" t="str" cm="1">
        <f t="array" aca="1" ref="C117" ca="1">IF('Raw Data'!C119="",_xlfn.REGEXEXTRACT(CELL("address",'Raw Data'!C119),"\$([A-Z]+)\$[0-9]+"),"")</f>
        <v>$C$119</v>
      </c>
      <c r="D117" t="str" cm="1">
        <f t="array" aca="1" ref="D117" ca="1">IF('Raw Data'!D119="",_xlfn.REGEXEXTRACT(CELL("address",'Raw Data'!D119),"\$([A-Z]+)\$[0-9]+"),"")</f>
        <v>$D$119</v>
      </c>
      <c r="E117" t="str" cm="1">
        <f t="array" aca="1" ref="E117" ca="1">IF('Raw Data'!E119="",_xlfn.REGEXEXTRACT(CELL("address",'Raw Data'!E119),"\$([A-Z]+)\$[0-9]+"),"")</f>
        <v>$E$119</v>
      </c>
      <c r="F117" t="str" cm="1">
        <f t="array" aca="1" ref="F117" ca="1">IF('Raw Data'!F119="",_xlfn.REGEXEXTRACT(CELL("address",'Raw Data'!F119),"\$([A-Z]+)\$[0-9]+"),"")</f>
        <v>$F$119</v>
      </c>
      <c r="G117" t="e" cm="1">
        <f t="array" aca="1" ref="G117" ca="1">IF('Raw Data'!#REF!="",_xlfn.REGEXEXTRACT(CELL("address",'Raw Data'!#REF!),"\$([A-Z]+)\$[0-9]+"),"")</f>
        <v>#REF!</v>
      </c>
      <c r="H117" t="str" cm="1">
        <f t="array" aca="1" ref="H117" ca="1">IF('Raw Data'!G119="",_xlfn.REGEXEXTRACT(CELL("address",'Raw Data'!G119),"\$([A-Z]+)\$[0-9]+"),"")</f>
        <v>$G$119</v>
      </c>
      <c r="I117" t="e" cm="1">
        <f t="array" aca="1" ref="I117" ca="1">IF('Raw Data'!#REF!="",_xlfn.REGEXEXTRACT(CELL("address",'Raw Data'!#REF!),"\$([A-Z]+)\$[0-9]+"),"")</f>
        <v>#REF!</v>
      </c>
    </row>
    <row r="118" spans="2:9" x14ac:dyDescent="0.25">
      <c r="B118" t="str" cm="1">
        <f t="array" aca="1" ref="B118" ca="1">IF('Raw Data'!B120="",_xlfn.REGEXEXTRACT(CELL("address",'Raw Data'!B120),"\$([A-Z]+)\$[0-9]+"),"")</f>
        <v>$B$120</v>
      </c>
      <c r="C118" t="str" cm="1">
        <f t="array" aca="1" ref="C118" ca="1">IF('Raw Data'!C120="",_xlfn.REGEXEXTRACT(CELL("address",'Raw Data'!C120),"\$([A-Z]+)\$[0-9]+"),"")</f>
        <v>$C$120</v>
      </c>
      <c r="D118" t="str" cm="1">
        <f t="array" aca="1" ref="D118" ca="1">IF('Raw Data'!D120="",_xlfn.REGEXEXTRACT(CELL("address",'Raw Data'!D120),"\$([A-Z]+)\$[0-9]+"),"")</f>
        <v>$D$120</v>
      </c>
      <c r="E118" t="str" cm="1">
        <f t="array" aca="1" ref="E118" ca="1">IF('Raw Data'!E120="",_xlfn.REGEXEXTRACT(CELL("address",'Raw Data'!E120),"\$([A-Z]+)\$[0-9]+"),"")</f>
        <v>$E$120</v>
      </c>
      <c r="F118" t="str" cm="1">
        <f t="array" aca="1" ref="F118" ca="1">IF('Raw Data'!F120="",_xlfn.REGEXEXTRACT(CELL("address",'Raw Data'!F120),"\$([A-Z]+)\$[0-9]+"),"")</f>
        <v>$F$120</v>
      </c>
      <c r="G118" t="e" cm="1">
        <f t="array" aca="1" ref="G118" ca="1">IF('Raw Data'!#REF!="",_xlfn.REGEXEXTRACT(CELL("address",'Raw Data'!#REF!),"\$([A-Z]+)\$[0-9]+"),"")</f>
        <v>#REF!</v>
      </c>
      <c r="H118" t="str" cm="1">
        <f t="array" aca="1" ref="H118" ca="1">IF('Raw Data'!G120="",_xlfn.REGEXEXTRACT(CELL("address",'Raw Data'!G120),"\$([A-Z]+)\$[0-9]+"),"")</f>
        <v>$G$120</v>
      </c>
      <c r="I118" t="e" cm="1">
        <f t="array" aca="1" ref="I118" ca="1">IF('Raw Data'!#REF!="",_xlfn.REGEXEXTRACT(CELL("address",'Raw Data'!#REF!),"\$([A-Z]+)\$[0-9]+"),"")</f>
        <v>#REF!</v>
      </c>
    </row>
    <row r="119" spans="2:9" x14ac:dyDescent="0.25">
      <c r="B119" t="str" cm="1">
        <f t="array" aca="1" ref="B119" ca="1">IF('Raw Data'!B121="",_xlfn.REGEXEXTRACT(CELL("address",'Raw Data'!B121),"\$([A-Z]+)\$[0-9]+"),"")</f>
        <v>$B$121</v>
      </c>
      <c r="C119" t="str" cm="1">
        <f t="array" aca="1" ref="C119" ca="1">IF('Raw Data'!C121="",_xlfn.REGEXEXTRACT(CELL("address",'Raw Data'!C121),"\$([A-Z]+)\$[0-9]+"),"")</f>
        <v>$C$121</v>
      </c>
      <c r="D119" t="str" cm="1">
        <f t="array" aca="1" ref="D119" ca="1">IF('Raw Data'!D121="",_xlfn.REGEXEXTRACT(CELL("address",'Raw Data'!D121),"\$([A-Z]+)\$[0-9]+"),"")</f>
        <v>$D$121</v>
      </c>
      <c r="E119" t="str" cm="1">
        <f t="array" aca="1" ref="E119" ca="1">IF('Raw Data'!E121="",_xlfn.REGEXEXTRACT(CELL("address",'Raw Data'!E121),"\$([A-Z]+)\$[0-9]+"),"")</f>
        <v>$E$121</v>
      </c>
      <c r="F119" t="str" cm="1">
        <f t="array" aca="1" ref="F119" ca="1">IF('Raw Data'!F121="",_xlfn.REGEXEXTRACT(CELL("address",'Raw Data'!F121),"\$([A-Z]+)\$[0-9]+"),"")</f>
        <v>$F$121</v>
      </c>
      <c r="G119" t="e" cm="1">
        <f t="array" aca="1" ref="G119" ca="1">IF('Raw Data'!#REF!="",_xlfn.REGEXEXTRACT(CELL("address",'Raw Data'!#REF!),"\$([A-Z]+)\$[0-9]+"),"")</f>
        <v>#REF!</v>
      </c>
      <c r="H119" t="str" cm="1">
        <f t="array" aca="1" ref="H119" ca="1">IF('Raw Data'!G121="",_xlfn.REGEXEXTRACT(CELL("address",'Raw Data'!G121),"\$([A-Z]+)\$[0-9]+"),"")</f>
        <v>$G$121</v>
      </c>
      <c r="I119" t="e" cm="1">
        <f t="array" aca="1" ref="I119" ca="1">IF('Raw Data'!#REF!="",_xlfn.REGEXEXTRACT(CELL("address",'Raw Data'!#REF!),"\$([A-Z]+)\$[0-9]+"),"")</f>
        <v>#REF!</v>
      </c>
    </row>
    <row r="120" spans="2:9" x14ac:dyDescent="0.25">
      <c r="B120" t="str" cm="1">
        <f t="array" aca="1" ref="B120" ca="1">IF('Raw Data'!B122="",_xlfn.REGEXEXTRACT(CELL("address",'Raw Data'!B122),"\$([A-Z]+)\$[0-9]+"),"")</f>
        <v>$B$122</v>
      </c>
      <c r="C120" t="str" cm="1">
        <f t="array" aca="1" ref="C120" ca="1">IF('Raw Data'!C122="",_xlfn.REGEXEXTRACT(CELL("address",'Raw Data'!C122),"\$([A-Z]+)\$[0-9]+"),"")</f>
        <v>$C$122</v>
      </c>
      <c r="D120" t="str" cm="1">
        <f t="array" aca="1" ref="D120" ca="1">IF('Raw Data'!D122="",_xlfn.REGEXEXTRACT(CELL("address",'Raw Data'!D122),"\$([A-Z]+)\$[0-9]+"),"")</f>
        <v>$D$122</v>
      </c>
      <c r="E120" t="str" cm="1">
        <f t="array" aca="1" ref="E120" ca="1">IF('Raw Data'!E122="",_xlfn.REGEXEXTRACT(CELL("address",'Raw Data'!E122),"\$([A-Z]+)\$[0-9]+"),"")</f>
        <v>$E$122</v>
      </c>
      <c r="F120" t="str" cm="1">
        <f t="array" aca="1" ref="F120" ca="1">IF('Raw Data'!F122="",_xlfn.REGEXEXTRACT(CELL("address",'Raw Data'!F122),"\$([A-Z]+)\$[0-9]+"),"")</f>
        <v>$F$122</v>
      </c>
      <c r="G120" t="e" cm="1">
        <f t="array" aca="1" ref="G120" ca="1">IF('Raw Data'!#REF!="",_xlfn.REGEXEXTRACT(CELL("address",'Raw Data'!#REF!),"\$([A-Z]+)\$[0-9]+"),"")</f>
        <v>#REF!</v>
      </c>
      <c r="H120" t="str" cm="1">
        <f t="array" aca="1" ref="H120" ca="1">IF('Raw Data'!G122="",_xlfn.REGEXEXTRACT(CELL("address",'Raw Data'!G122),"\$([A-Z]+)\$[0-9]+"),"")</f>
        <v>$G$122</v>
      </c>
      <c r="I120" t="e" cm="1">
        <f t="array" aca="1" ref="I120" ca="1">IF('Raw Data'!#REF!="",_xlfn.REGEXEXTRACT(CELL("address",'Raw Data'!#REF!),"\$([A-Z]+)\$[0-9]+"),"")</f>
        <v>#REF!</v>
      </c>
    </row>
    <row r="121" spans="2:9" x14ac:dyDescent="0.25">
      <c r="B121" t="str" cm="1">
        <f t="array" aca="1" ref="B121" ca="1">IF('Raw Data'!B123="",_xlfn.REGEXEXTRACT(CELL("address",'Raw Data'!B123),"\$([A-Z]+)\$[0-9]+"),"")</f>
        <v>$B$123</v>
      </c>
      <c r="C121" t="str" cm="1">
        <f t="array" aca="1" ref="C121" ca="1">IF('Raw Data'!C123="",_xlfn.REGEXEXTRACT(CELL("address",'Raw Data'!C123),"\$([A-Z]+)\$[0-9]+"),"")</f>
        <v>$C$123</v>
      </c>
      <c r="D121" t="str" cm="1">
        <f t="array" aca="1" ref="D121" ca="1">IF('Raw Data'!D123="",_xlfn.REGEXEXTRACT(CELL("address",'Raw Data'!D123),"\$([A-Z]+)\$[0-9]+"),"")</f>
        <v>$D$123</v>
      </c>
      <c r="E121" t="str" cm="1">
        <f t="array" aca="1" ref="E121" ca="1">IF('Raw Data'!E123="",_xlfn.REGEXEXTRACT(CELL("address",'Raw Data'!E123),"\$([A-Z]+)\$[0-9]+"),"")</f>
        <v>$E$123</v>
      </c>
      <c r="F121" t="str" cm="1">
        <f t="array" aca="1" ref="F121" ca="1">IF('Raw Data'!F123="",_xlfn.REGEXEXTRACT(CELL("address",'Raw Data'!F123),"\$([A-Z]+)\$[0-9]+"),"")</f>
        <v>$F$123</v>
      </c>
      <c r="G121" t="e" cm="1">
        <f t="array" aca="1" ref="G121" ca="1">IF('Raw Data'!#REF!="",_xlfn.REGEXEXTRACT(CELL("address",'Raw Data'!#REF!),"\$([A-Z]+)\$[0-9]+"),"")</f>
        <v>#REF!</v>
      </c>
      <c r="H121" t="str" cm="1">
        <f t="array" aca="1" ref="H121" ca="1">IF('Raw Data'!G123="",_xlfn.REGEXEXTRACT(CELL("address",'Raw Data'!G123),"\$([A-Z]+)\$[0-9]+"),"")</f>
        <v>$G$123</v>
      </c>
      <c r="I121" t="e" cm="1">
        <f t="array" aca="1" ref="I121" ca="1">IF('Raw Data'!#REF!="",_xlfn.REGEXEXTRACT(CELL("address",'Raw Data'!#REF!),"\$([A-Z]+)\$[0-9]+"),"")</f>
        <v>#REF!</v>
      </c>
    </row>
    <row r="122" spans="2:9" x14ac:dyDescent="0.25">
      <c r="B122" t="str" cm="1">
        <f t="array" aca="1" ref="B122" ca="1">IF('Raw Data'!B124="",_xlfn.REGEXEXTRACT(CELL("address",'Raw Data'!B124),"\$([A-Z]+)\$[0-9]+"),"")</f>
        <v>$B$124</v>
      </c>
      <c r="C122" t="str" cm="1">
        <f t="array" aca="1" ref="C122" ca="1">IF('Raw Data'!C124="",_xlfn.REGEXEXTRACT(CELL("address",'Raw Data'!C124),"\$([A-Z]+)\$[0-9]+"),"")</f>
        <v>$C$124</v>
      </c>
      <c r="D122" t="str" cm="1">
        <f t="array" aca="1" ref="D122" ca="1">IF('Raw Data'!D124="",_xlfn.REGEXEXTRACT(CELL("address",'Raw Data'!D124),"\$([A-Z]+)\$[0-9]+"),"")</f>
        <v>$D$124</v>
      </c>
      <c r="E122" t="str" cm="1">
        <f t="array" aca="1" ref="E122" ca="1">IF('Raw Data'!E124="",_xlfn.REGEXEXTRACT(CELL("address",'Raw Data'!E124),"\$([A-Z]+)\$[0-9]+"),"")</f>
        <v>$E$124</v>
      </c>
      <c r="F122" t="str" cm="1">
        <f t="array" aca="1" ref="F122" ca="1">IF('Raw Data'!F124="",_xlfn.REGEXEXTRACT(CELL("address",'Raw Data'!F124),"\$([A-Z]+)\$[0-9]+"),"")</f>
        <v>$F$124</v>
      </c>
      <c r="G122" t="e" cm="1">
        <f t="array" aca="1" ref="G122" ca="1">IF('Raw Data'!#REF!="",_xlfn.REGEXEXTRACT(CELL("address",'Raw Data'!#REF!),"\$([A-Z]+)\$[0-9]+"),"")</f>
        <v>#REF!</v>
      </c>
      <c r="H122" t="str" cm="1">
        <f t="array" aca="1" ref="H122" ca="1">IF('Raw Data'!G124="",_xlfn.REGEXEXTRACT(CELL("address",'Raw Data'!G124),"\$([A-Z]+)\$[0-9]+"),"")</f>
        <v>$G$124</v>
      </c>
      <c r="I122" t="e" cm="1">
        <f t="array" aca="1" ref="I122" ca="1">IF('Raw Data'!#REF!="",_xlfn.REGEXEXTRACT(CELL("address",'Raw Data'!#REF!),"\$([A-Z]+)\$[0-9]+"),"")</f>
        <v>#REF!</v>
      </c>
    </row>
    <row r="123" spans="2:9" x14ac:dyDescent="0.25">
      <c r="B123" t="str" cm="1">
        <f t="array" aca="1" ref="B123" ca="1">IF('Raw Data'!B125="",_xlfn.REGEXEXTRACT(CELL("address",'Raw Data'!B125),"\$([A-Z]+)\$[0-9]+"),"")</f>
        <v>$B$125</v>
      </c>
      <c r="C123" t="str" cm="1">
        <f t="array" aca="1" ref="C123" ca="1">IF('Raw Data'!C125="",_xlfn.REGEXEXTRACT(CELL("address",'Raw Data'!C125),"\$([A-Z]+)\$[0-9]+"),"")</f>
        <v>$C$125</v>
      </c>
      <c r="D123" t="str" cm="1">
        <f t="array" aca="1" ref="D123" ca="1">IF('Raw Data'!D125="",_xlfn.REGEXEXTRACT(CELL("address",'Raw Data'!D125),"\$([A-Z]+)\$[0-9]+"),"")</f>
        <v>$D$125</v>
      </c>
      <c r="E123" t="str" cm="1">
        <f t="array" aca="1" ref="E123" ca="1">IF('Raw Data'!E125="",_xlfn.REGEXEXTRACT(CELL("address",'Raw Data'!E125),"\$([A-Z]+)\$[0-9]+"),"")</f>
        <v>$E$125</v>
      </c>
      <c r="F123" t="str" cm="1">
        <f t="array" aca="1" ref="F123" ca="1">IF('Raw Data'!F125="",_xlfn.REGEXEXTRACT(CELL("address",'Raw Data'!F125),"\$([A-Z]+)\$[0-9]+"),"")</f>
        <v>$F$125</v>
      </c>
      <c r="G123" t="e" cm="1">
        <f t="array" aca="1" ref="G123" ca="1">IF('Raw Data'!#REF!="",_xlfn.REGEXEXTRACT(CELL("address",'Raw Data'!#REF!),"\$([A-Z]+)\$[0-9]+"),"")</f>
        <v>#REF!</v>
      </c>
      <c r="H123" t="str" cm="1">
        <f t="array" aca="1" ref="H123" ca="1">IF('Raw Data'!G125="",_xlfn.REGEXEXTRACT(CELL("address",'Raw Data'!G125),"\$([A-Z]+)\$[0-9]+"),"")</f>
        <v>$G$125</v>
      </c>
      <c r="I123" t="e" cm="1">
        <f t="array" aca="1" ref="I123" ca="1">IF('Raw Data'!#REF!="",_xlfn.REGEXEXTRACT(CELL("address",'Raw Data'!#REF!),"\$([A-Z]+)\$[0-9]+"),"")</f>
        <v>#REF!</v>
      </c>
    </row>
    <row r="124" spans="2:9" x14ac:dyDescent="0.25">
      <c r="B124" t="str" cm="1">
        <f t="array" aca="1" ref="B124" ca="1">IF('Raw Data'!B126="",_xlfn.REGEXEXTRACT(CELL("address",'Raw Data'!B126),"\$([A-Z]+)\$[0-9]+"),"")</f>
        <v>$B$126</v>
      </c>
      <c r="C124" t="str" cm="1">
        <f t="array" aca="1" ref="C124" ca="1">IF('Raw Data'!C126="",_xlfn.REGEXEXTRACT(CELL("address",'Raw Data'!C126),"\$([A-Z]+)\$[0-9]+"),"")</f>
        <v>$C$126</v>
      </c>
      <c r="D124" t="str" cm="1">
        <f t="array" aca="1" ref="D124" ca="1">IF('Raw Data'!D126="",_xlfn.REGEXEXTRACT(CELL("address",'Raw Data'!D126),"\$([A-Z]+)\$[0-9]+"),"")</f>
        <v>$D$126</v>
      </c>
      <c r="E124" t="str" cm="1">
        <f t="array" aca="1" ref="E124" ca="1">IF('Raw Data'!E126="",_xlfn.REGEXEXTRACT(CELL("address",'Raw Data'!E126),"\$([A-Z]+)\$[0-9]+"),"")</f>
        <v>$E$126</v>
      </c>
      <c r="F124" t="str" cm="1">
        <f t="array" aca="1" ref="F124" ca="1">IF('Raw Data'!F126="",_xlfn.REGEXEXTRACT(CELL("address",'Raw Data'!F126),"\$([A-Z]+)\$[0-9]+"),"")</f>
        <v>$F$126</v>
      </c>
      <c r="G124" t="e" cm="1">
        <f t="array" aca="1" ref="G124" ca="1">IF('Raw Data'!#REF!="",_xlfn.REGEXEXTRACT(CELL("address",'Raw Data'!#REF!),"\$([A-Z]+)\$[0-9]+"),"")</f>
        <v>#REF!</v>
      </c>
      <c r="H124" t="str" cm="1">
        <f t="array" aca="1" ref="H124" ca="1">IF('Raw Data'!G126="",_xlfn.REGEXEXTRACT(CELL("address",'Raw Data'!G126),"\$([A-Z]+)\$[0-9]+"),"")</f>
        <v>$G$126</v>
      </c>
      <c r="I124" t="e" cm="1">
        <f t="array" aca="1" ref="I124" ca="1">IF('Raw Data'!#REF!="",_xlfn.REGEXEXTRACT(CELL("address",'Raw Data'!#REF!),"\$([A-Z]+)\$[0-9]+"),"")</f>
        <v>#REF!</v>
      </c>
    </row>
    <row r="125" spans="2:9" x14ac:dyDescent="0.25">
      <c r="B125" t="str" cm="1">
        <f t="array" aca="1" ref="B125" ca="1">IF('Raw Data'!B127="",_xlfn.REGEXEXTRACT(CELL("address",'Raw Data'!B127),"\$([A-Z]+)\$[0-9]+"),"")</f>
        <v>$B$127</v>
      </c>
      <c r="C125" t="str" cm="1">
        <f t="array" aca="1" ref="C125" ca="1">IF('Raw Data'!C127="",_xlfn.REGEXEXTRACT(CELL("address",'Raw Data'!C127),"\$([A-Z]+)\$[0-9]+"),"")</f>
        <v>$C$127</v>
      </c>
      <c r="D125" t="str" cm="1">
        <f t="array" aca="1" ref="D125" ca="1">IF('Raw Data'!D127="",_xlfn.REGEXEXTRACT(CELL("address",'Raw Data'!D127),"\$([A-Z]+)\$[0-9]+"),"")</f>
        <v>$D$127</v>
      </c>
      <c r="E125" t="str" cm="1">
        <f t="array" aca="1" ref="E125" ca="1">IF('Raw Data'!E127="",_xlfn.REGEXEXTRACT(CELL("address",'Raw Data'!E127),"\$([A-Z]+)\$[0-9]+"),"")</f>
        <v>$E$127</v>
      </c>
      <c r="F125" t="str" cm="1">
        <f t="array" aca="1" ref="F125" ca="1">IF('Raw Data'!F127="",_xlfn.REGEXEXTRACT(CELL("address",'Raw Data'!F127),"\$([A-Z]+)\$[0-9]+"),"")</f>
        <v>$F$127</v>
      </c>
      <c r="G125" t="e" cm="1">
        <f t="array" aca="1" ref="G125" ca="1">IF('Raw Data'!#REF!="",_xlfn.REGEXEXTRACT(CELL("address",'Raw Data'!#REF!),"\$([A-Z]+)\$[0-9]+"),"")</f>
        <v>#REF!</v>
      </c>
      <c r="H125" t="str" cm="1">
        <f t="array" aca="1" ref="H125" ca="1">IF('Raw Data'!G127="",_xlfn.REGEXEXTRACT(CELL("address",'Raw Data'!G127),"\$([A-Z]+)\$[0-9]+"),"")</f>
        <v>$G$127</v>
      </c>
      <c r="I125" t="e" cm="1">
        <f t="array" aca="1" ref="I125" ca="1">IF('Raw Data'!#REF!="",_xlfn.REGEXEXTRACT(CELL("address",'Raw Data'!#REF!),"\$([A-Z]+)\$[0-9]+"),"")</f>
        <v>#REF!</v>
      </c>
    </row>
    <row r="126" spans="2:9" x14ac:dyDescent="0.25">
      <c r="B126" t="str" cm="1">
        <f t="array" aca="1" ref="B126" ca="1">IF('Raw Data'!B128="",_xlfn.REGEXEXTRACT(CELL("address",'Raw Data'!B128),"\$([A-Z]+)\$[0-9]+"),"")</f>
        <v>$B$128</v>
      </c>
      <c r="C126" t="str" cm="1">
        <f t="array" aca="1" ref="C126" ca="1">IF('Raw Data'!C128="",_xlfn.REGEXEXTRACT(CELL("address",'Raw Data'!C128),"\$([A-Z]+)\$[0-9]+"),"")</f>
        <v>$C$128</v>
      </c>
      <c r="D126" t="str" cm="1">
        <f t="array" aca="1" ref="D126" ca="1">IF('Raw Data'!D128="",_xlfn.REGEXEXTRACT(CELL("address",'Raw Data'!D128),"\$([A-Z]+)\$[0-9]+"),"")</f>
        <v>$D$128</v>
      </c>
      <c r="E126" t="str" cm="1">
        <f t="array" aca="1" ref="E126" ca="1">IF('Raw Data'!E128="",_xlfn.REGEXEXTRACT(CELL("address",'Raw Data'!E128),"\$([A-Z]+)\$[0-9]+"),"")</f>
        <v>$E$128</v>
      </c>
      <c r="F126" t="str" cm="1">
        <f t="array" aca="1" ref="F126" ca="1">IF('Raw Data'!F128="",_xlfn.REGEXEXTRACT(CELL("address",'Raw Data'!F128),"\$([A-Z]+)\$[0-9]+"),"")</f>
        <v>$F$128</v>
      </c>
      <c r="G126" t="e" cm="1">
        <f t="array" aca="1" ref="G126" ca="1">IF('Raw Data'!#REF!="",_xlfn.REGEXEXTRACT(CELL("address",'Raw Data'!#REF!),"\$([A-Z]+)\$[0-9]+"),"")</f>
        <v>#REF!</v>
      </c>
      <c r="H126" t="str" cm="1">
        <f t="array" aca="1" ref="H126" ca="1">IF('Raw Data'!G128="",_xlfn.REGEXEXTRACT(CELL("address",'Raw Data'!G128),"\$([A-Z]+)\$[0-9]+"),"")</f>
        <v>$G$128</v>
      </c>
      <c r="I126" t="e" cm="1">
        <f t="array" aca="1" ref="I126" ca="1">IF('Raw Data'!#REF!="",_xlfn.REGEXEXTRACT(CELL("address",'Raw Data'!#REF!),"\$([A-Z]+)\$[0-9]+"),"")</f>
        <v>#REF!</v>
      </c>
    </row>
    <row r="127" spans="2:9" x14ac:dyDescent="0.25">
      <c r="B127" t="str" cm="1">
        <f t="array" aca="1" ref="B127" ca="1">IF('Raw Data'!B129="",_xlfn.REGEXEXTRACT(CELL("address",'Raw Data'!B129),"\$([A-Z]+)\$[0-9]+"),"")</f>
        <v>$B$129</v>
      </c>
      <c r="C127" t="str" cm="1">
        <f t="array" aca="1" ref="C127" ca="1">IF('Raw Data'!C129="",_xlfn.REGEXEXTRACT(CELL("address",'Raw Data'!C129),"\$([A-Z]+)\$[0-9]+"),"")</f>
        <v>$C$129</v>
      </c>
      <c r="D127" t="str" cm="1">
        <f t="array" aca="1" ref="D127" ca="1">IF('Raw Data'!D129="",_xlfn.REGEXEXTRACT(CELL("address",'Raw Data'!D129),"\$([A-Z]+)\$[0-9]+"),"")</f>
        <v>$D$129</v>
      </c>
      <c r="E127" t="str" cm="1">
        <f t="array" aca="1" ref="E127" ca="1">IF('Raw Data'!E129="",_xlfn.REGEXEXTRACT(CELL("address",'Raw Data'!E129),"\$([A-Z]+)\$[0-9]+"),"")</f>
        <v>$E$129</v>
      </c>
      <c r="F127" t="str" cm="1">
        <f t="array" aca="1" ref="F127" ca="1">IF('Raw Data'!F129="",_xlfn.REGEXEXTRACT(CELL("address",'Raw Data'!F129),"\$([A-Z]+)\$[0-9]+"),"")</f>
        <v>$F$129</v>
      </c>
      <c r="G127" t="e" cm="1">
        <f t="array" aca="1" ref="G127" ca="1">IF('Raw Data'!#REF!="",_xlfn.REGEXEXTRACT(CELL("address",'Raw Data'!#REF!),"\$([A-Z]+)\$[0-9]+"),"")</f>
        <v>#REF!</v>
      </c>
      <c r="H127" t="str" cm="1">
        <f t="array" aca="1" ref="H127" ca="1">IF('Raw Data'!G129="",_xlfn.REGEXEXTRACT(CELL("address",'Raw Data'!G129),"\$([A-Z]+)\$[0-9]+"),"")</f>
        <v>$G$129</v>
      </c>
      <c r="I127" t="e" cm="1">
        <f t="array" aca="1" ref="I127" ca="1">IF('Raw Data'!#REF!="",_xlfn.REGEXEXTRACT(CELL("address",'Raw Data'!#REF!),"\$([A-Z]+)\$[0-9]+"),"")</f>
        <v>#REF!</v>
      </c>
    </row>
    <row r="128" spans="2:9" x14ac:dyDescent="0.25">
      <c r="B128" t="str" cm="1">
        <f t="array" aca="1" ref="B128" ca="1">IF('Raw Data'!B130="",_xlfn.REGEXEXTRACT(CELL("address",'Raw Data'!B130),"\$([A-Z]+)\$[0-9]+"),"")</f>
        <v>$B$130</v>
      </c>
      <c r="C128" t="str" cm="1">
        <f t="array" aca="1" ref="C128" ca="1">IF('Raw Data'!C130="",_xlfn.REGEXEXTRACT(CELL("address",'Raw Data'!C130),"\$([A-Z]+)\$[0-9]+"),"")</f>
        <v>$C$130</v>
      </c>
      <c r="D128" t="str" cm="1">
        <f t="array" aca="1" ref="D128" ca="1">IF('Raw Data'!D130="",_xlfn.REGEXEXTRACT(CELL("address",'Raw Data'!D130),"\$([A-Z]+)\$[0-9]+"),"")</f>
        <v>$D$130</v>
      </c>
      <c r="E128" t="str" cm="1">
        <f t="array" aca="1" ref="E128" ca="1">IF('Raw Data'!E130="",_xlfn.REGEXEXTRACT(CELL("address",'Raw Data'!E130),"\$([A-Z]+)\$[0-9]+"),"")</f>
        <v>$E$130</v>
      </c>
      <c r="F128" t="str" cm="1">
        <f t="array" aca="1" ref="F128" ca="1">IF('Raw Data'!F130="",_xlfn.REGEXEXTRACT(CELL("address",'Raw Data'!F130),"\$([A-Z]+)\$[0-9]+"),"")</f>
        <v>$F$130</v>
      </c>
      <c r="G128" t="e" cm="1">
        <f t="array" aca="1" ref="G128" ca="1">IF('Raw Data'!#REF!="",_xlfn.REGEXEXTRACT(CELL("address",'Raw Data'!#REF!),"\$([A-Z]+)\$[0-9]+"),"")</f>
        <v>#REF!</v>
      </c>
      <c r="H128" t="str" cm="1">
        <f t="array" aca="1" ref="H128" ca="1">IF('Raw Data'!G130="",_xlfn.REGEXEXTRACT(CELL("address",'Raw Data'!G130),"\$([A-Z]+)\$[0-9]+"),"")</f>
        <v>$G$130</v>
      </c>
      <c r="I128" t="e" cm="1">
        <f t="array" aca="1" ref="I128" ca="1">IF('Raw Data'!#REF!="",_xlfn.REGEXEXTRACT(CELL("address",'Raw Data'!#REF!),"\$([A-Z]+)\$[0-9]+"),"")</f>
        <v>#REF!</v>
      </c>
    </row>
    <row r="129" spans="2:9" x14ac:dyDescent="0.25">
      <c r="B129" t="str" cm="1">
        <f t="array" aca="1" ref="B129" ca="1">IF('Raw Data'!B131="",_xlfn.REGEXEXTRACT(CELL("address",'Raw Data'!B131),"\$([A-Z]+)\$[0-9]+"),"")</f>
        <v>$B$131</v>
      </c>
      <c r="C129" t="str" cm="1">
        <f t="array" aca="1" ref="C129" ca="1">IF('Raw Data'!C131="",_xlfn.REGEXEXTRACT(CELL("address",'Raw Data'!C131),"\$([A-Z]+)\$[0-9]+"),"")</f>
        <v>$C$131</v>
      </c>
      <c r="D129" t="str" cm="1">
        <f t="array" aca="1" ref="D129" ca="1">IF('Raw Data'!D131="",_xlfn.REGEXEXTRACT(CELL("address",'Raw Data'!D131),"\$([A-Z]+)\$[0-9]+"),"")</f>
        <v>$D$131</v>
      </c>
      <c r="E129" t="str" cm="1">
        <f t="array" aca="1" ref="E129" ca="1">IF('Raw Data'!E131="",_xlfn.REGEXEXTRACT(CELL("address",'Raw Data'!E131),"\$([A-Z]+)\$[0-9]+"),"")</f>
        <v>$E$131</v>
      </c>
      <c r="F129" t="str" cm="1">
        <f t="array" aca="1" ref="F129" ca="1">IF('Raw Data'!F131="",_xlfn.REGEXEXTRACT(CELL("address",'Raw Data'!F131),"\$([A-Z]+)\$[0-9]+"),"")</f>
        <v>$F$131</v>
      </c>
      <c r="G129" t="e" cm="1">
        <f t="array" aca="1" ref="G129" ca="1">IF('Raw Data'!#REF!="",_xlfn.REGEXEXTRACT(CELL("address",'Raw Data'!#REF!),"\$([A-Z]+)\$[0-9]+"),"")</f>
        <v>#REF!</v>
      </c>
      <c r="H129" t="str" cm="1">
        <f t="array" aca="1" ref="H129" ca="1">IF('Raw Data'!G131="",_xlfn.REGEXEXTRACT(CELL("address",'Raw Data'!G131),"\$([A-Z]+)\$[0-9]+"),"")</f>
        <v>$G$131</v>
      </c>
      <c r="I129" t="e" cm="1">
        <f t="array" aca="1" ref="I129" ca="1">IF('Raw Data'!#REF!="",_xlfn.REGEXEXTRACT(CELL("address",'Raw Data'!#REF!),"\$([A-Z]+)\$[0-9]+"),"")</f>
        <v>#REF!</v>
      </c>
    </row>
    <row r="130" spans="2:9" x14ac:dyDescent="0.25">
      <c r="B130" t="str" cm="1">
        <f t="array" aca="1" ref="B130" ca="1">IF('Raw Data'!B132="",_xlfn.REGEXEXTRACT(CELL("address",'Raw Data'!B132),"\$([A-Z]+)\$[0-9]+"),"")</f>
        <v>$B$132</v>
      </c>
      <c r="C130" t="str" cm="1">
        <f t="array" aca="1" ref="C130" ca="1">IF('Raw Data'!C132="",_xlfn.REGEXEXTRACT(CELL("address",'Raw Data'!C132),"\$([A-Z]+)\$[0-9]+"),"")</f>
        <v>$C$132</v>
      </c>
      <c r="D130" t="str" cm="1">
        <f t="array" aca="1" ref="D130" ca="1">IF('Raw Data'!D132="",_xlfn.REGEXEXTRACT(CELL("address",'Raw Data'!D132),"\$([A-Z]+)\$[0-9]+"),"")</f>
        <v>$D$132</v>
      </c>
      <c r="E130" t="str" cm="1">
        <f t="array" aca="1" ref="E130" ca="1">IF('Raw Data'!E132="",_xlfn.REGEXEXTRACT(CELL("address",'Raw Data'!E132),"\$([A-Z]+)\$[0-9]+"),"")</f>
        <v>$E$132</v>
      </c>
      <c r="F130" t="str" cm="1">
        <f t="array" aca="1" ref="F130" ca="1">IF('Raw Data'!F132="",_xlfn.REGEXEXTRACT(CELL("address",'Raw Data'!F132),"\$([A-Z]+)\$[0-9]+"),"")</f>
        <v>$F$132</v>
      </c>
      <c r="G130" t="e" cm="1">
        <f t="array" aca="1" ref="G130" ca="1">IF('Raw Data'!#REF!="",_xlfn.REGEXEXTRACT(CELL("address",'Raw Data'!#REF!),"\$([A-Z]+)\$[0-9]+"),"")</f>
        <v>#REF!</v>
      </c>
      <c r="H130" t="str" cm="1">
        <f t="array" aca="1" ref="H130" ca="1">IF('Raw Data'!G132="",_xlfn.REGEXEXTRACT(CELL("address",'Raw Data'!G132),"\$([A-Z]+)\$[0-9]+"),"")</f>
        <v>$G$132</v>
      </c>
      <c r="I130" t="e" cm="1">
        <f t="array" aca="1" ref="I130" ca="1">IF('Raw Data'!#REF!="",_xlfn.REGEXEXTRACT(CELL("address",'Raw Data'!#REF!),"\$([A-Z]+)\$[0-9]+"),"")</f>
        <v>#REF!</v>
      </c>
    </row>
    <row r="131" spans="2:9" x14ac:dyDescent="0.25">
      <c r="B131" t="str" cm="1">
        <f t="array" aca="1" ref="B131" ca="1">IF('Raw Data'!B133="",_xlfn.REGEXEXTRACT(CELL("address",'Raw Data'!B133),"\$([A-Z]+)\$[0-9]+"),"")</f>
        <v>$B$133</v>
      </c>
      <c r="C131" t="str" cm="1">
        <f t="array" aca="1" ref="C131" ca="1">IF('Raw Data'!C133="",_xlfn.REGEXEXTRACT(CELL("address",'Raw Data'!C133),"\$([A-Z]+)\$[0-9]+"),"")</f>
        <v>$C$133</v>
      </c>
      <c r="D131" t="str" cm="1">
        <f t="array" aca="1" ref="D131" ca="1">IF('Raw Data'!D133="",_xlfn.REGEXEXTRACT(CELL("address",'Raw Data'!D133),"\$([A-Z]+)\$[0-9]+"),"")</f>
        <v>$D$133</v>
      </c>
      <c r="E131" t="str" cm="1">
        <f t="array" aca="1" ref="E131" ca="1">IF('Raw Data'!E133="",_xlfn.REGEXEXTRACT(CELL("address",'Raw Data'!E133),"\$([A-Z]+)\$[0-9]+"),"")</f>
        <v>$E$133</v>
      </c>
      <c r="F131" t="str" cm="1">
        <f t="array" aca="1" ref="F131" ca="1">IF('Raw Data'!F133="",_xlfn.REGEXEXTRACT(CELL("address",'Raw Data'!F133),"\$([A-Z]+)\$[0-9]+"),"")</f>
        <v>$F$133</v>
      </c>
      <c r="G131" t="e" cm="1">
        <f t="array" aca="1" ref="G131" ca="1">IF('Raw Data'!#REF!="",_xlfn.REGEXEXTRACT(CELL("address",'Raw Data'!#REF!),"\$([A-Z]+)\$[0-9]+"),"")</f>
        <v>#REF!</v>
      </c>
      <c r="H131" t="str" cm="1">
        <f t="array" aca="1" ref="H131" ca="1">IF('Raw Data'!G133="",_xlfn.REGEXEXTRACT(CELL("address",'Raw Data'!G133),"\$([A-Z]+)\$[0-9]+"),"")</f>
        <v>$G$133</v>
      </c>
      <c r="I131" t="e" cm="1">
        <f t="array" aca="1" ref="I131" ca="1">IF('Raw Data'!#REF!="",_xlfn.REGEXEXTRACT(CELL("address",'Raw Data'!#REF!),"\$([A-Z]+)\$[0-9]+"),"")</f>
        <v>#REF!</v>
      </c>
    </row>
    <row r="132" spans="2:9" x14ac:dyDescent="0.25">
      <c r="B132" t="str" cm="1">
        <f t="array" aca="1" ref="B132" ca="1">IF('Raw Data'!B134="",_xlfn.REGEXEXTRACT(CELL("address",'Raw Data'!B134),"\$([A-Z]+)\$[0-9]+"),"")</f>
        <v>$B$134</v>
      </c>
      <c r="C132" t="str" cm="1">
        <f t="array" aca="1" ref="C132" ca="1">IF('Raw Data'!C134="",_xlfn.REGEXEXTRACT(CELL("address",'Raw Data'!C134),"\$([A-Z]+)\$[0-9]+"),"")</f>
        <v>$C$134</v>
      </c>
      <c r="D132" t="str" cm="1">
        <f t="array" aca="1" ref="D132" ca="1">IF('Raw Data'!D134="",_xlfn.REGEXEXTRACT(CELL("address",'Raw Data'!D134),"\$([A-Z]+)\$[0-9]+"),"")</f>
        <v>$D$134</v>
      </c>
      <c r="E132" t="str" cm="1">
        <f t="array" aca="1" ref="E132" ca="1">IF('Raw Data'!E134="",_xlfn.REGEXEXTRACT(CELL("address",'Raw Data'!E134),"\$([A-Z]+)\$[0-9]+"),"")</f>
        <v>$E$134</v>
      </c>
      <c r="F132" t="str" cm="1">
        <f t="array" aca="1" ref="F132" ca="1">IF('Raw Data'!F134="",_xlfn.REGEXEXTRACT(CELL("address",'Raw Data'!F134),"\$([A-Z]+)\$[0-9]+"),"")</f>
        <v>$F$134</v>
      </c>
      <c r="G132" t="e" cm="1">
        <f t="array" aca="1" ref="G132" ca="1">IF('Raw Data'!#REF!="",_xlfn.REGEXEXTRACT(CELL("address",'Raw Data'!#REF!),"\$([A-Z]+)\$[0-9]+"),"")</f>
        <v>#REF!</v>
      </c>
      <c r="H132" t="str" cm="1">
        <f t="array" aca="1" ref="H132" ca="1">IF('Raw Data'!G134="",_xlfn.REGEXEXTRACT(CELL("address",'Raw Data'!G134),"\$([A-Z]+)\$[0-9]+"),"")</f>
        <v>$G$134</v>
      </c>
      <c r="I132" t="e" cm="1">
        <f t="array" aca="1" ref="I132" ca="1">IF('Raw Data'!#REF!="",_xlfn.REGEXEXTRACT(CELL("address",'Raw Data'!#REF!),"\$([A-Z]+)\$[0-9]+"),"")</f>
        <v>#REF!</v>
      </c>
    </row>
    <row r="133" spans="2:9" x14ac:dyDescent="0.25">
      <c r="B133" t="str" cm="1">
        <f t="array" aca="1" ref="B133" ca="1">IF('Raw Data'!B135="",_xlfn.REGEXEXTRACT(CELL("address",'Raw Data'!B135),"\$([A-Z]+)\$[0-9]+"),"")</f>
        <v>$B$135</v>
      </c>
      <c r="C133" t="str" cm="1">
        <f t="array" aca="1" ref="C133" ca="1">IF('Raw Data'!C135="",_xlfn.REGEXEXTRACT(CELL("address",'Raw Data'!C135),"\$([A-Z]+)\$[0-9]+"),"")</f>
        <v>$C$135</v>
      </c>
      <c r="D133" t="str" cm="1">
        <f t="array" aca="1" ref="D133" ca="1">IF('Raw Data'!D135="",_xlfn.REGEXEXTRACT(CELL("address",'Raw Data'!D135),"\$([A-Z]+)\$[0-9]+"),"")</f>
        <v>$D$135</v>
      </c>
      <c r="E133" t="str" cm="1">
        <f t="array" aca="1" ref="E133" ca="1">IF('Raw Data'!E135="",_xlfn.REGEXEXTRACT(CELL("address",'Raw Data'!E135),"\$([A-Z]+)\$[0-9]+"),"")</f>
        <v>$E$135</v>
      </c>
      <c r="F133" t="str" cm="1">
        <f t="array" aca="1" ref="F133" ca="1">IF('Raw Data'!F135="",_xlfn.REGEXEXTRACT(CELL("address",'Raw Data'!F135),"\$([A-Z]+)\$[0-9]+"),"")</f>
        <v>$F$135</v>
      </c>
      <c r="G133" t="e" cm="1">
        <f t="array" aca="1" ref="G133" ca="1">IF('Raw Data'!#REF!="",_xlfn.REGEXEXTRACT(CELL("address",'Raw Data'!#REF!),"\$([A-Z]+)\$[0-9]+"),"")</f>
        <v>#REF!</v>
      </c>
      <c r="H133" t="str" cm="1">
        <f t="array" aca="1" ref="H133" ca="1">IF('Raw Data'!G135="",_xlfn.REGEXEXTRACT(CELL("address",'Raw Data'!G135),"\$([A-Z]+)\$[0-9]+"),"")</f>
        <v>$G$135</v>
      </c>
      <c r="I133" t="e" cm="1">
        <f t="array" aca="1" ref="I133" ca="1">IF('Raw Data'!#REF!="",_xlfn.REGEXEXTRACT(CELL("address",'Raw Data'!#REF!),"\$([A-Z]+)\$[0-9]+"),"")</f>
        <v>#REF!</v>
      </c>
    </row>
    <row r="134" spans="2:9" x14ac:dyDescent="0.25">
      <c r="B134" t="str" cm="1">
        <f t="array" aca="1" ref="B134" ca="1">IF('Raw Data'!B136="",_xlfn.REGEXEXTRACT(CELL("address",'Raw Data'!B136),"\$([A-Z]+)\$[0-9]+"),"")</f>
        <v>$B$136</v>
      </c>
      <c r="C134" t="str" cm="1">
        <f t="array" aca="1" ref="C134" ca="1">IF('Raw Data'!C136="",_xlfn.REGEXEXTRACT(CELL("address",'Raw Data'!C136),"\$([A-Z]+)\$[0-9]+"),"")</f>
        <v>$C$136</v>
      </c>
      <c r="D134" t="str" cm="1">
        <f t="array" aca="1" ref="D134" ca="1">IF('Raw Data'!D136="",_xlfn.REGEXEXTRACT(CELL("address",'Raw Data'!D136),"\$([A-Z]+)\$[0-9]+"),"")</f>
        <v>$D$136</v>
      </c>
      <c r="E134" t="str" cm="1">
        <f t="array" aca="1" ref="E134" ca="1">IF('Raw Data'!E136="",_xlfn.REGEXEXTRACT(CELL("address",'Raw Data'!E136),"\$([A-Z]+)\$[0-9]+"),"")</f>
        <v>$E$136</v>
      </c>
      <c r="F134" t="str" cm="1">
        <f t="array" aca="1" ref="F134" ca="1">IF('Raw Data'!F136="",_xlfn.REGEXEXTRACT(CELL("address",'Raw Data'!F136),"\$([A-Z]+)\$[0-9]+"),"")</f>
        <v>$F$136</v>
      </c>
      <c r="G134" t="e" cm="1">
        <f t="array" aca="1" ref="G134" ca="1">IF('Raw Data'!#REF!="",_xlfn.REGEXEXTRACT(CELL("address",'Raw Data'!#REF!),"\$([A-Z]+)\$[0-9]+"),"")</f>
        <v>#REF!</v>
      </c>
      <c r="H134" t="str" cm="1">
        <f t="array" aca="1" ref="H134" ca="1">IF('Raw Data'!G136="",_xlfn.REGEXEXTRACT(CELL("address",'Raw Data'!G136),"\$([A-Z]+)\$[0-9]+"),"")</f>
        <v>$G$136</v>
      </c>
      <c r="I134" t="e" cm="1">
        <f t="array" aca="1" ref="I134" ca="1">IF('Raw Data'!#REF!="",_xlfn.REGEXEXTRACT(CELL("address",'Raw Data'!#REF!),"\$([A-Z]+)\$[0-9]+"),"")</f>
        <v>#REF!</v>
      </c>
    </row>
    <row r="135" spans="2:9" x14ac:dyDescent="0.25">
      <c r="B135" t="str" cm="1">
        <f t="array" aca="1" ref="B135" ca="1">IF('Raw Data'!B137="",_xlfn.REGEXEXTRACT(CELL("address",'Raw Data'!B137),"\$([A-Z]+)\$[0-9]+"),"")</f>
        <v>$B$137</v>
      </c>
      <c r="C135" t="str" cm="1">
        <f t="array" aca="1" ref="C135" ca="1">IF('Raw Data'!C137="",_xlfn.REGEXEXTRACT(CELL("address",'Raw Data'!C137),"\$([A-Z]+)\$[0-9]+"),"")</f>
        <v>$C$137</v>
      </c>
      <c r="D135" t="str" cm="1">
        <f t="array" aca="1" ref="D135" ca="1">IF('Raw Data'!D137="",_xlfn.REGEXEXTRACT(CELL("address",'Raw Data'!D137),"\$([A-Z]+)\$[0-9]+"),"")</f>
        <v>$D$137</v>
      </c>
      <c r="E135" t="str" cm="1">
        <f t="array" aca="1" ref="E135" ca="1">IF('Raw Data'!E137="",_xlfn.REGEXEXTRACT(CELL("address",'Raw Data'!E137),"\$([A-Z]+)\$[0-9]+"),"")</f>
        <v>$E$137</v>
      </c>
      <c r="F135" t="str" cm="1">
        <f t="array" aca="1" ref="F135" ca="1">IF('Raw Data'!F137="",_xlfn.REGEXEXTRACT(CELL("address",'Raw Data'!F137),"\$([A-Z]+)\$[0-9]+"),"")</f>
        <v>$F$137</v>
      </c>
      <c r="G135" t="e" cm="1">
        <f t="array" aca="1" ref="G135" ca="1">IF('Raw Data'!#REF!="",_xlfn.REGEXEXTRACT(CELL("address",'Raw Data'!#REF!),"\$([A-Z]+)\$[0-9]+"),"")</f>
        <v>#REF!</v>
      </c>
      <c r="H135" t="str" cm="1">
        <f t="array" aca="1" ref="H135" ca="1">IF('Raw Data'!G137="",_xlfn.REGEXEXTRACT(CELL("address",'Raw Data'!G137),"\$([A-Z]+)\$[0-9]+"),"")</f>
        <v>$G$137</v>
      </c>
      <c r="I135" t="e" cm="1">
        <f t="array" aca="1" ref="I135" ca="1">IF('Raw Data'!#REF!="",_xlfn.REGEXEXTRACT(CELL("address",'Raw Data'!#REF!),"\$([A-Z]+)\$[0-9]+"),"")</f>
        <v>#REF!</v>
      </c>
    </row>
    <row r="136" spans="2:9" x14ac:dyDescent="0.25">
      <c r="B136" t="str" cm="1">
        <f t="array" aca="1" ref="B136" ca="1">IF('Raw Data'!B138="",_xlfn.REGEXEXTRACT(CELL("address",'Raw Data'!B138),"\$([A-Z]+)\$[0-9]+"),"")</f>
        <v>$B$138</v>
      </c>
      <c r="C136" t="str" cm="1">
        <f t="array" aca="1" ref="C136" ca="1">IF('Raw Data'!C138="",_xlfn.REGEXEXTRACT(CELL("address",'Raw Data'!C138),"\$([A-Z]+)\$[0-9]+"),"")</f>
        <v>$C$138</v>
      </c>
      <c r="D136" t="str" cm="1">
        <f t="array" aca="1" ref="D136" ca="1">IF('Raw Data'!D138="",_xlfn.REGEXEXTRACT(CELL("address",'Raw Data'!D138),"\$([A-Z]+)\$[0-9]+"),"")</f>
        <v>$D$138</v>
      </c>
      <c r="E136" t="str" cm="1">
        <f t="array" aca="1" ref="E136" ca="1">IF('Raw Data'!E138="",_xlfn.REGEXEXTRACT(CELL("address",'Raw Data'!E138),"\$([A-Z]+)\$[0-9]+"),"")</f>
        <v>$E$138</v>
      </c>
      <c r="F136" t="str" cm="1">
        <f t="array" aca="1" ref="F136" ca="1">IF('Raw Data'!F138="",_xlfn.REGEXEXTRACT(CELL("address",'Raw Data'!F138),"\$([A-Z]+)\$[0-9]+"),"")</f>
        <v>$F$138</v>
      </c>
      <c r="G136" t="e" cm="1">
        <f t="array" aca="1" ref="G136" ca="1">IF('Raw Data'!#REF!="",_xlfn.REGEXEXTRACT(CELL("address",'Raw Data'!#REF!),"\$([A-Z]+)\$[0-9]+"),"")</f>
        <v>#REF!</v>
      </c>
      <c r="H136" t="str" cm="1">
        <f t="array" aca="1" ref="H136" ca="1">IF('Raw Data'!G138="",_xlfn.REGEXEXTRACT(CELL("address",'Raw Data'!G138),"\$([A-Z]+)\$[0-9]+"),"")</f>
        <v>$G$138</v>
      </c>
      <c r="I136" t="e" cm="1">
        <f t="array" aca="1" ref="I136" ca="1">IF('Raw Data'!#REF!="",_xlfn.REGEXEXTRACT(CELL("address",'Raw Data'!#REF!),"\$([A-Z]+)\$[0-9]+"),"")</f>
        <v>#REF!</v>
      </c>
    </row>
    <row r="137" spans="2:9" x14ac:dyDescent="0.25">
      <c r="B137" t="str" cm="1">
        <f t="array" aca="1" ref="B137" ca="1">IF('Raw Data'!B139="",_xlfn.REGEXEXTRACT(CELL("address",'Raw Data'!B139),"\$([A-Z]+)\$[0-9]+"),"")</f>
        <v>$B$139</v>
      </c>
      <c r="C137" t="str" cm="1">
        <f t="array" aca="1" ref="C137" ca="1">IF('Raw Data'!C139="",_xlfn.REGEXEXTRACT(CELL("address",'Raw Data'!C139),"\$([A-Z]+)\$[0-9]+"),"")</f>
        <v>$C$139</v>
      </c>
      <c r="D137" t="str" cm="1">
        <f t="array" aca="1" ref="D137" ca="1">IF('Raw Data'!D139="",_xlfn.REGEXEXTRACT(CELL("address",'Raw Data'!D139),"\$([A-Z]+)\$[0-9]+"),"")</f>
        <v>$D$139</v>
      </c>
      <c r="E137" t="str" cm="1">
        <f t="array" aca="1" ref="E137" ca="1">IF('Raw Data'!E139="",_xlfn.REGEXEXTRACT(CELL("address",'Raw Data'!E139),"\$([A-Z]+)\$[0-9]+"),"")</f>
        <v>$E$139</v>
      </c>
      <c r="F137" t="str" cm="1">
        <f t="array" aca="1" ref="F137" ca="1">IF('Raw Data'!F139="",_xlfn.REGEXEXTRACT(CELL("address",'Raw Data'!F139),"\$([A-Z]+)\$[0-9]+"),"")</f>
        <v>$F$139</v>
      </c>
      <c r="G137" t="e" cm="1">
        <f t="array" aca="1" ref="G137" ca="1">IF('Raw Data'!#REF!="",_xlfn.REGEXEXTRACT(CELL("address",'Raw Data'!#REF!),"\$([A-Z]+)\$[0-9]+"),"")</f>
        <v>#REF!</v>
      </c>
      <c r="H137" t="str" cm="1">
        <f t="array" aca="1" ref="H137" ca="1">IF('Raw Data'!G139="",_xlfn.REGEXEXTRACT(CELL("address",'Raw Data'!G139),"\$([A-Z]+)\$[0-9]+"),"")</f>
        <v>$G$139</v>
      </c>
      <c r="I137" t="e" cm="1">
        <f t="array" aca="1" ref="I137" ca="1">IF('Raw Data'!#REF!="",_xlfn.REGEXEXTRACT(CELL("address",'Raw Data'!#REF!),"\$([A-Z]+)\$[0-9]+"),"")</f>
        <v>#REF!</v>
      </c>
    </row>
    <row r="138" spans="2:9" x14ac:dyDescent="0.25">
      <c r="B138" t="str" cm="1">
        <f t="array" aca="1" ref="B138" ca="1">IF('Raw Data'!B140="",_xlfn.REGEXEXTRACT(CELL("address",'Raw Data'!B140),"\$([A-Z]+)\$[0-9]+"),"")</f>
        <v>$B$140</v>
      </c>
      <c r="C138" t="str" cm="1">
        <f t="array" aca="1" ref="C138" ca="1">IF('Raw Data'!C140="",_xlfn.REGEXEXTRACT(CELL("address",'Raw Data'!C140),"\$([A-Z]+)\$[0-9]+"),"")</f>
        <v>$C$140</v>
      </c>
      <c r="D138" t="str" cm="1">
        <f t="array" aca="1" ref="D138" ca="1">IF('Raw Data'!D140="",_xlfn.REGEXEXTRACT(CELL("address",'Raw Data'!D140),"\$([A-Z]+)\$[0-9]+"),"")</f>
        <v>$D$140</v>
      </c>
      <c r="E138" t="str" cm="1">
        <f t="array" aca="1" ref="E138" ca="1">IF('Raw Data'!E140="",_xlfn.REGEXEXTRACT(CELL("address",'Raw Data'!E140),"\$([A-Z]+)\$[0-9]+"),"")</f>
        <v>$E$140</v>
      </c>
      <c r="F138" t="str" cm="1">
        <f t="array" aca="1" ref="F138" ca="1">IF('Raw Data'!F140="",_xlfn.REGEXEXTRACT(CELL("address",'Raw Data'!F140),"\$([A-Z]+)\$[0-9]+"),"")</f>
        <v>$F$140</v>
      </c>
      <c r="G138" t="e" cm="1">
        <f t="array" aca="1" ref="G138" ca="1">IF('Raw Data'!#REF!="",_xlfn.REGEXEXTRACT(CELL("address",'Raw Data'!#REF!),"\$([A-Z]+)\$[0-9]+"),"")</f>
        <v>#REF!</v>
      </c>
      <c r="H138" t="str" cm="1">
        <f t="array" aca="1" ref="H138" ca="1">IF('Raw Data'!G140="",_xlfn.REGEXEXTRACT(CELL("address",'Raw Data'!G140),"\$([A-Z]+)\$[0-9]+"),"")</f>
        <v>$G$140</v>
      </c>
      <c r="I138" t="e" cm="1">
        <f t="array" aca="1" ref="I138" ca="1">IF('Raw Data'!#REF!="",_xlfn.REGEXEXTRACT(CELL("address",'Raw Data'!#REF!),"\$([A-Z]+)\$[0-9]+"),"")</f>
        <v>#REF!</v>
      </c>
    </row>
    <row r="139" spans="2:9" x14ac:dyDescent="0.25">
      <c r="B139" t="str" cm="1">
        <f t="array" aca="1" ref="B139" ca="1">IF('Raw Data'!B141="",_xlfn.REGEXEXTRACT(CELL("address",'Raw Data'!B141),"\$([A-Z]+)\$[0-9]+"),"")</f>
        <v>$B$141</v>
      </c>
      <c r="C139" t="str" cm="1">
        <f t="array" aca="1" ref="C139" ca="1">IF('Raw Data'!C141="",_xlfn.REGEXEXTRACT(CELL("address",'Raw Data'!C141),"\$([A-Z]+)\$[0-9]+"),"")</f>
        <v>$C$141</v>
      </c>
      <c r="D139" t="str" cm="1">
        <f t="array" aca="1" ref="D139" ca="1">IF('Raw Data'!D141="",_xlfn.REGEXEXTRACT(CELL("address",'Raw Data'!D141),"\$([A-Z]+)\$[0-9]+"),"")</f>
        <v>$D$141</v>
      </c>
      <c r="E139" t="str" cm="1">
        <f t="array" aca="1" ref="E139" ca="1">IF('Raw Data'!E141="",_xlfn.REGEXEXTRACT(CELL("address",'Raw Data'!E141),"\$([A-Z]+)\$[0-9]+"),"")</f>
        <v>$E$141</v>
      </c>
      <c r="F139" t="str" cm="1">
        <f t="array" aca="1" ref="F139" ca="1">IF('Raw Data'!F141="",_xlfn.REGEXEXTRACT(CELL("address",'Raw Data'!F141),"\$([A-Z]+)\$[0-9]+"),"")</f>
        <v>$F$141</v>
      </c>
      <c r="G139" t="e" cm="1">
        <f t="array" aca="1" ref="G139" ca="1">IF('Raw Data'!#REF!="",_xlfn.REGEXEXTRACT(CELL("address",'Raw Data'!#REF!),"\$([A-Z]+)\$[0-9]+"),"")</f>
        <v>#REF!</v>
      </c>
      <c r="H139" t="str" cm="1">
        <f t="array" aca="1" ref="H139" ca="1">IF('Raw Data'!G141="",_xlfn.REGEXEXTRACT(CELL("address",'Raw Data'!G141),"\$([A-Z]+)\$[0-9]+"),"")</f>
        <v>$G$141</v>
      </c>
      <c r="I139" t="e" cm="1">
        <f t="array" aca="1" ref="I139" ca="1">IF('Raw Data'!#REF!="",_xlfn.REGEXEXTRACT(CELL("address",'Raw Data'!#REF!),"\$([A-Z]+)\$[0-9]+"),"")</f>
        <v>#REF!</v>
      </c>
    </row>
    <row r="140" spans="2:9" x14ac:dyDescent="0.25">
      <c r="B140" t="str" cm="1">
        <f t="array" aca="1" ref="B140" ca="1">IF('Raw Data'!B142="",_xlfn.REGEXEXTRACT(CELL("address",'Raw Data'!B142),"\$([A-Z]+)\$[0-9]+"),"")</f>
        <v>$B$142</v>
      </c>
      <c r="C140" t="str" cm="1">
        <f t="array" aca="1" ref="C140" ca="1">IF('Raw Data'!C142="",_xlfn.REGEXEXTRACT(CELL("address",'Raw Data'!C142),"\$([A-Z]+)\$[0-9]+"),"")</f>
        <v>$C$142</v>
      </c>
      <c r="D140" t="str" cm="1">
        <f t="array" aca="1" ref="D140" ca="1">IF('Raw Data'!D142="",_xlfn.REGEXEXTRACT(CELL("address",'Raw Data'!D142),"\$([A-Z]+)\$[0-9]+"),"")</f>
        <v>$D$142</v>
      </c>
      <c r="E140" t="str" cm="1">
        <f t="array" aca="1" ref="E140" ca="1">IF('Raw Data'!E142="",_xlfn.REGEXEXTRACT(CELL("address",'Raw Data'!E142),"\$([A-Z]+)\$[0-9]+"),"")</f>
        <v>$E$142</v>
      </c>
      <c r="F140" t="str" cm="1">
        <f t="array" aca="1" ref="F140" ca="1">IF('Raw Data'!F142="",_xlfn.REGEXEXTRACT(CELL("address",'Raw Data'!F142),"\$([A-Z]+)\$[0-9]+"),"")</f>
        <v>$F$142</v>
      </c>
      <c r="G140" t="e" cm="1">
        <f t="array" aca="1" ref="G140" ca="1">IF('Raw Data'!#REF!="",_xlfn.REGEXEXTRACT(CELL("address",'Raw Data'!#REF!),"\$([A-Z]+)\$[0-9]+"),"")</f>
        <v>#REF!</v>
      </c>
      <c r="H140" t="str" cm="1">
        <f t="array" aca="1" ref="H140" ca="1">IF('Raw Data'!G142="",_xlfn.REGEXEXTRACT(CELL("address",'Raw Data'!G142),"\$([A-Z]+)\$[0-9]+"),"")</f>
        <v>$G$142</v>
      </c>
      <c r="I140" t="e" cm="1">
        <f t="array" aca="1" ref="I140" ca="1">IF('Raw Data'!#REF!="",_xlfn.REGEXEXTRACT(CELL("address",'Raw Data'!#REF!),"\$([A-Z]+)\$[0-9]+"),"")</f>
        <v>#REF!</v>
      </c>
    </row>
    <row r="141" spans="2:9" x14ac:dyDescent="0.25">
      <c r="B141" t="str" cm="1">
        <f t="array" aca="1" ref="B141" ca="1">IF('Raw Data'!B143="",_xlfn.REGEXEXTRACT(CELL("address",'Raw Data'!B143),"\$([A-Z]+)\$[0-9]+"),"")</f>
        <v>$B$143</v>
      </c>
      <c r="C141" t="str" cm="1">
        <f t="array" aca="1" ref="C141" ca="1">IF('Raw Data'!C143="",_xlfn.REGEXEXTRACT(CELL("address",'Raw Data'!C143),"\$([A-Z]+)\$[0-9]+"),"")</f>
        <v>$C$143</v>
      </c>
      <c r="D141" t="str" cm="1">
        <f t="array" aca="1" ref="D141" ca="1">IF('Raw Data'!D143="",_xlfn.REGEXEXTRACT(CELL("address",'Raw Data'!D143),"\$([A-Z]+)\$[0-9]+"),"")</f>
        <v>$D$143</v>
      </c>
      <c r="E141" t="str" cm="1">
        <f t="array" aca="1" ref="E141" ca="1">IF('Raw Data'!E143="",_xlfn.REGEXEXTRACT(CELL("address",'Raw Data'!E143),"\$([A-Z]+)\$[0-9]+"),"")</f>
        <v>$E$143</v>
      </c>
      <c r="F141" t="str" cm="1">
        <f t="array" aca="1" ref="F141" ca="1">IF('Raw Data'!F143="",_xlfn.REGEXEXTRACT(CELL("address",'Raw Data'!F143),"\$([A-Z]+)\$[0-9]+"),"")</f>
        <v>$F$143</v>
      </c>
      <c r="G141" t="e" cm="1">
        <f t="array" aca="1" ref="G141" ca="1">IF('Raw Data'!#REF!="",_xlfn.REGEXEXTRACT(CELL("address",'Raw Data'!#REF!),"\$([A-Z]+)\$[0-9]+"),"")</f>
        <v>#REF!</v>
      </c>
      <c r="H141" t="str" cm="1">
        <f t="array" aca="1" ref="H141" ca="1">IF('Raw Data'!G143="",_xlfn.REGEXEXTRACT(CELL("address",'Raw Data'!G143),"\$([A-Z]+)\$[0-9]+"),"")</f>
        <v>$G$143</v>
      </c>
      <c r="I141" t="e" cm="1">
        <f t="array" aca="1" ref="I141" ca="1">IF('Raw Data'!#REF!="",_xlfn.REGEXEXTRACT(CELL("address",'Raw Data'!#REF!),"\$([A-Z]+)\$[0-9]+"),"")</f>
        <v>#REF!</v>
      </c>
    </row>
    <row r="142" spans="2:9" x14ac:dyDescent="0.25">
      <c r="B142" t="str" cm="1">
        <f t="array" aca="1" ref="B142" ca="1">IF('Raw Data'!B144="",_xlfn.REGEXEXTRACT(CELL("address",'Raw Data'!B144),"\$([A-Z]+)\$[0-9]+"),"")</f>
        <v>$B$144</v>
      </c>
      <c r="C142" t="str" cm="1">
        <f t="array" aca="1" ref="C142" ca="1">IF('Raw Data'!C144="",_xlfn.REGEXEXTRACT(CELL("address",'Raw Data'!C144),"\$([A-Z]+)\$[0-9]+"),"")</f>
        <v>$C$144</v>
      </c>
      <c r="D142" t="str" cm="1">
        <f t="array" aca="1" ref="D142" ca="1">IF('Raw Data'!D144="",_xlfn.REGEXEXTRACT(CELL("address",'Raw Data'!D144),"\$([A-Z]+)\$[0-9]+"),"")</f>
        <v>$D$144</v>
      </c>
      <c r="E142" t="str" cm="1">
        <f t="array" aca="1" ref="E142" ca="1">IF('Raw Data'!E144="",_xlfn.REGEXEXTRACT(CELL("address",'Raw Data'!E144),"\$([A-Z]+)\$[0-9]+"),"")</f>
        <v>$E$144</v>
      </c>
      <c r="F142" t="str" cm="1">
        <f t="array" aca="1" ref="F142" ca="1">IF('Raw Data'!F144="",_xlfn.REGEXEXTRACT(CELL("address",'Raw Data'!F144),"\$([A-Z]+)\$[0-9]+"),"")</f>
        <v>$F$144</v>
      </c>
      <c r="G142" t="e" cm="1">
        <f t="array" aca="1" ref="G142" ca="1">IF('Raw Data'!#REF!="",_xlfn.REGEXEXTRACT(CELL("address",'Raw Data'!#REF!),"\$([A-Z]+)\$[0-9]+"),"")</f>
        <v>#REF!</v>
      </c>
      <c r="H142" t="str" cm="1">
        <f t="array" aca="1" ref="H142" ca="1">IF('Raw Data'!G144="",_xlfn.REGEXEXTRACT(CELL("address",'Raw Data'!G144),"\$([A-Z]+)\$[0-9]+"),"")</f>
        <v>$G$144</v>
      </c>
      <c r="I142" t="e" cm="1">
        <f t="array" aca="1" ref="I142" ca="1">IF('Raw Data'!#REF!="",_xlfn.REGEXEXTRACT(CELL("address",'Raw Data'!#REF!),"\$([A-Z]+)\$[0-9]+"),"")</f>
        <v>#REF!</v>
      </c>
    </row>
    <row r="143" spans="2:9" x14ac:dyDescent="0.25">
      <c r="B143" t="str" cm="1">
        <f t="array" aca="1" ref="B143" ca="1">IF('Raw Data'!B145="",_xlfn.REGEXEXTRACT(CELL("address",'Raw Data'!B145),"\$([A-Z]+)\$[0-9]+"),"")</f>
        <v>$B$145</v>
      </c>
      <c r="C143" t="str" cm="1">
        <f t="array" aca="1" ref="C143" ca="1">IF('Raw Data'!C145="",_xlfn.REGEXEXTRACT(CELL("address",'Raw Data'!C145),"\$([A-Z]+)\$[0-9]+"),"")</f>
        <v>$C$145</v>
      </c>
      <c r="D143" t="str" cm="1">
        <f t="array" aca="1" ref="D143" ca="1">IF('Raw Data'!D145="",_xlfn.REGEXEXTRACT(CELL("address",'Raw Data'!D145),"\$([A-Z]+)\$[0-9]+"),"")</f>
        <v>$D$145</v>
      </c>
      <c r="E143" t="str" cm="1">
        <f t="array" aca="1" ref="E143" ca="1">IF('Raw Data'!E145="",_xlfn.REGEXEXTRACT(CELL("address",'Raw Data'!E145),"\$([A-Z]+)\$[0-9]+"),"")</f>
        <v>$E$145</v>
      </c>
      <c r="F143" t="str" cm="1">
        <f t="array" aca="1" ref="F143" ca="1">IF('Raw Data'!F145="",_xlfn.REGEXEXTRACT(CELL("address",'Raw Data'!F145),"\$([A-Z]+)\$[0-9]+"),"")</f>
        <v>$F$145</v>
      </c>
      <c r="G143" t="e" cm="1">
        <f t="array" aca="1" ref="G143" ca="1">IF('Raw Data'!#REF!="",_xlfn.REGEXEXTRACT(CELL("address",'Raw Data'!#REF!),"\$([A-Z]+)\$[0-9]+"),"")</f>
        <v>#REF!</v>
      </c>
      <c r="H143" t="str" cm="1">
        <f t="array" aca="1" ref="H143" ca="1">IF('Raw Data'!G145="",_xlfn.REGEXEXTRACT(CELL("address",'Raw Data'!G145),"\$([A-Z]+)\$[0-9]+"),"")</f>
        <v>$G$145</v>
      </c>
      <c r="I143" t="e" cm="1">
        <f t="array" aca="1" ref="I143" ca="1">IF('Raw Data'!#REF!="",_xlfn.REGEXEXTRACT(CELL("address",'Raw Data'!#REF!),"\$([A-Z]+)\$[0-9]+"),"")</f>
        <v>#REF!</v>
      </c>
    </row>
    <row r="144" spans="2:9" x14ac:dyDescent="0.25">
      <c r="B144" t="str" cm="1">
        <f t="array" aca="1" ref="B144" ca="1">IF('Raw Data'!B146="",_xlfn.REGEXEXTRACT(CELL("address",'Raw Data'!B146),"\$([A-Z]+)\$[0-9]+"),"")</f>
        <v>$B$146</v>
      </c>
      <c r="C144" t="str" cm="1">
        <f t="array" aca="1" ref="C144" ca="1">IF('Raw Data'!C146="",_xlfn.REGEXEXTRACT(CELL("address",'Raw Data'!C146),"\$([A-Z]+)\$[0-9]+"),"")</f>
        <v>$C$146</v>
      </c>
      <c r="D144" t="str" cm="1">
        <f t="array" aca="1" ref="D144" ca="1">IF('Raw Data'!D146="",_xlfn.REGEXEXTRACT(CELL("address",'Raw Data'!D146),"\$([A-Z]+)\$[0-9]+"),"")</f>
        <v>$D$146</v>
      </c>
      <c r="E144" t="str" cm="1">
        <f t="array" aca="1" ref="E144" ca="1">IF('Raw Data'!E146="",_xlfn.REGEXEXTRACT(CELL("address",'Raw Data'!E146),"\$([A-Z]+)\$[0-9]+"),"")</f>
        <v>$E$146</v>
      </c>
      <c r="F144" t="str" cm="1">
        <f t="array" aca="1" ref="F144" ca="1">IF('Raw Data'!F146="",_xlfn.REGEXEXTRACT(CELL("address",'Raw Data'!F146),"\$([A-Z]+)\$[0-9]+"),"")</f>
        <v>$F$146</v>
      </c>
      <c r="G144" t="e" cm="1">
        <f t="array" aca="1" ref="G144" ca="1">IF('Raw Data'!#REF!="",_xlfn.REGEXEXTRACT(CELL("address",'Raw Data'!#REF!),"\$([A-Z]+)\$[0-9]+"),"")</f>
        <v>#REF!</v>
      </c>
      <c r="H144" t="str" cm="1">
        <f t="array" aca="1" ref="H144" ca="1">IF('Raw Data'!G146="",_xlfn.REGEXEXTRACT(CELL("address",'Raw Data'!G146),"\$([A-Z]+)\$[0-9]+"),"")</f>
        <v>$G$146</v>
      </c>
      <c r="I144" t="e" cm="1">
        <f t="array" aca="1" ref="I144" ca="1">IF('Raw Data'!#REF!="",_xlfn.REGEXEXTRACT(CELL("address",'Raw Data'!#REF!),"\$([A-Z]+)\$[0-9]+"),"")</f>
        <v>#REF!</v>
      </c>
    </row>
    <row r="145" spans="2:9" x14ac:dyDescent="0.25">
      <c r="B145" t="str" cm="1">
        <f t="array" aca="1" ref="B145" ca="1">IF('Raw Data'!B147="",_xlfn.REGEXEXTRACT(CELL("address",'Raw Data'!B147),"\$([A-Z]+)\$[0-9]+"),"")</f>
        <v>$B$147</v>
      </c>
      <c r="C145" t="str" cm="1">
        <f t="array" aca="1" ref="C145" ca="1">IF('Raw Data'!C147="",_xlfn.REGEXEXTRACT(CELL("address",'Raw Data'!C147),"\$([A-Z]+)\$[0-9]+"),"")</f>
        <v>$C$147</v>
      </c>
      <c r="D145" t="str" cm="1">
        <f t="array" aca="1" ref="D145" ca="1">IF('Raw Data'!D147="",_xlfn.REGEXEXTRACT(CELL("address",'Raw Data'!D147),"\$([A-Z]+)\$[0-9]+"),"")</f>
        <v>$D$147</v>
      </c>
      <c r="E145" t="str" cm="1">
        <f t="array" aca="1" ref="E145" ca="1">IF('Raw Data'!E147="",_xlfn.REGEXEXTRACT(CELL("address",'Raw Data'!E147),"\$([A-Z]+)\$[0-9]+"),"")</f>
        <v>$E$147</v>
      </c>
      <c r="F145" t="str" cm="1">
        <f t="array" aca="1" ref="F145" ca="1">IF('Raw Data'!F147="",_xlfn.REGEXEXTRACT(CELL("address",'Raw Data'!F147),"\$([A-Z]+)\$[0-9]+"),"")</f>
        <v>$F$147</v>
      </c>
      <c r="G145" t="e" cm="1">
        <f t="array" aca="1" ref="G145" ca="1">IF('Raw Data'!#REF!="",_xlfn.REGEXEXTRACT(CELL("address",'Raw Data'!#REF!),"\$([A-Z]+)\$[0-9]+"),"")</f>
        <v>#REF!</v>
      </c>
      <c r="H145" t="str" cm="1">
        <f t="array" aca="1" ref="H145" ca="1">IF('Raw Data'!G147="",_xlfn.REGEXEXTRACT(CELL("address",'Raw Data'!G147),"\$([A-Z]+)\$[0-9]+"),"")</f>
        <v>$G$147</v>
      </c>
      <c r="I145" t="e" cm="1">
        <f t="array" aca="1" ref="I145" ca="1">IF('Raw Data'!#REF!="",_xlfn.REGEXEXTRACT(CELL("address",'Raw Data'!#REF!),"\$([A-Z]+)\$[0-9]+"),"")</f>
        <v>#REF!</v>
      </c>
    </row>
    <row r="146" spans="2:9" x14ac:dyDescent="0.25">
      <c r="B146" t="str" cm="1">
        <f t="array" aca="1" ref="B146" ca="1">IF('Raw Data'!B148="",_xlfn.REGEXEXTRACT(CELL("address",'Raw Data'!B148),"\$([A-Z]+)\$[0-9]+"),"")</f>
        <v>$B$148</v>
      </c>
      <c r="C146" t="str" cm="1">
        <f t="array" aca="1" ref="C146" ca="1">IF('Raw Data'!C148="",_xlfn.REGEXEXTRACT(CELL("address",'Raw Data'!C148),"\$([A-Z]+)\$[0-9]+"),"")</f>
        <v>$C$148</v>
      </c>
      <c r="D146" t="str" cm="1">
        <f t="array" aca="1" ref="D146" ca="1">IF('Raw Data'!D148="",_xlfn.REGEXEXTRACT(CELL("address",'Raw Data'!D148),"\$([A-Z]+)\$[0-9]+"),"")</f>
        <v>$D$148</v>
      </c>
      <c r="E146" t="str" cm="1">
        <f t="array" aca="1" ref="E146" ca="1">IF('Raw Data'!E148="",_xlfn.REGEXEXTRACT(CELL("address",'Raw Data'!E148),"\$([A-Z]+)\$[0-9]+"),"")</f>
        <v>$E$148</v>
      </c>
      <c r="F146" t="str" cm="1">
        <f t="array" aca="1" ref="F146" ca="1">IF('Raw Data'!F148="",_xlfn.REGEXEXTRACT(CELL("address",'Raw Data'!F148),"\$([A-Z]+)\$[0-9]+"),"")</f>
        <v>$F$148</v>
      </c>
      <c r="G146" t="e" cm="1">
        <f t="array" aca="1" ref="G146" ca="1">IF('Raw Data'!#REF!="",_xlfn.REGEXEXTRACT(CELL("address",'Raw Data'!#REF!),"\$([A-Z]+)\$[0-9]+"),"")</f>
        <v>#REF!</v>
      </c>
      <c r="H146" t="str" cm="1">
        <f t="array" aca="1" ref="H146" ca="1">IF('Raw Data'!G148="",_xlfn.REGEXEXTRACT(CELL("address",'Raw Data'!G148),"\$([A-Z]+)\$[0-9]+"),"")</f>
        <v>$G$148</v>
      </c>
      <c r="I146" t="e" cm="1">
        <f t="array" aca="1" ref="I146" ca="1">IF('Raw Data'!#REF!="",_xlfn.REGEXEXTRACT(CELL("address",'Raw Data'!#REF!),"\$([A-Z]+)\$[0-9]+"),"")</f>
        <v>#REF!</v>
      </c>
    </row>
    <row r="147" spans="2:9" x14ac:dyDescent="0.25">
      <c r="B147" t="str" cm="1">
        <f t="array" aca="1" ref="B147" ca="1">IF('Raw Data'!B149="",_xlfn.REGEXEXTRACT(CELL("address",'Raw Data'!B149),"\$([A-Z]+)\$[0-9]+"),"")</f>
        <v>$B$149</v>
      </c>
      <c r="C147" t="str" cm="1">
        <f t="array" aca="1" ref="C147" ca="1">IF('Raw Data'!C149="",_xlfn.REGEXEXTRACT(CELL("address",'Raw Data'!C149),"\$([A-Z]+)\$[0-9]+"),"")</f>
        <v>$C$149</v>
      </c>
      <c r="D147" t="str" cm="1">
        <f t="array" aca="1" ref="D147" ca="1">IF('Raw Data'!D149="",_xlfn.REGEXEXTRACT(CELL("address",'Raw Data'!D149),"\$([A-Z]+)\$[0-9]+"),"")</f>
        <v>$D$149</v>
      </c>
      <c r="E147" t="str" cm="1">
        <f t="array" aca="1" ref="E147" ca="1">IF('Raw Data'!E149="",_xlfn.REGEXEXTRACT(CELL("address",'Raw Data'!E149),"\$([A-Z]+)\$[0-9]+"),"")</f>
        <v>$E$149</v>
      </c>
      <c r="F147" t="str" cm="1">
        <f t="array" aca="1" ref="F147" ca="1">IF('Raw Data'!F149="",_xlfn.REGEXEXTRACT(CELL("address",'Raw Data'!F149),"\$([A-Z]+)\$[0-9]+"),"")</f>
        <v>$F$149</v>
      </c>
      <c r="G147" t="e" cm="1">
        <f t="array" aca="1" ref="G147" ca="1">IF('Raw Data'!#REF!="",_xlfn.REGEXEXTRACT(CELL("address",'Raw Data'!#REF!),"\$([A-Z]+)\$[0-9]+"),"")</f>
        <v>#REF!</v>
      </c>
      <c r="H147" t="str" cm="1">
        <f t="array" aca="1" ref="H147" ca="1">IF('Raw Data'!G149="",_xlfn.REGEXEXTRACT(CELL("address",'Raw Data'!G149),"\$([A-Z]+)\$[0-9]+"),"")</f>
        <v>$G$149</v>
      </c>
      <c r="I147" t="e" cm="1">
        <f t="array" aca="1" ref="I147" ca="1">IF('Raw Data'!#REF!="",_xlfn.REGEXEXTRACT(CELL("address",'Raw Data'!#REF!),"\$([A-Z]+)\$[0-9]+"),"")</f>
        <v>#REF!</v>
      </c>
    </row>
    <row r="148" spans="2:9" x14ac:dyDescent="0.25">
      <c r="B148" t="str" cm="1">
        <f t="array" aca="1" ref="B148" ca="1">IF('Raw Data'!B150="",_xlfn.REGEXEXTRACT(CELL("address",'Raw Data'!B150),"\$([A-Z]+)\$[0-9]+"),"")</f>
        <v>$B$150</v>
      </c>
      <c r="C148" t="str" cm="1">
        <f t="array" aca="1" ref="C148" ca="1">IF('Raw Data'!C150="",_xlfn.REGEXEXTRACT(CELL("address",'Raw Data'!C150),"\$([A-Z]+)\$[0-9]+"),"")</f>
        <v>$C$150</v>
      </c>
      <c r="D148" t="str" cm="1">
        <f t="array" aca="1" ref="D148" ca="1">IF('Raw Data'!D150="",_xlfn.REGEXEXTRACT(CELL("address",'Raw Data'!D150),"\$([A-Z]+)\$[0-9]+"),"")</f>
        <v>$D$150</v>
      </c>
      <c r="E148" t="str" cm="1">
        <f t="array" aca="1" ref="E148" ca="1">IF('Raw Data'!E150="",_xlfn.REGEXEXTRACT(CELL("address",'Raw Data'!E150),"\$([A-Z]+)\$[0-9]+"),"")</f>
        <v>$E$150</v>
      </c>
      <c r="F148" t="str" cm="1">
        <f t="array" aca="1" ref="F148" ca="1">IF('Raw Data'!F150="",_xlfn.REGEXEXTRACT(CELL("address",'Raw Data'!F150),"\$([A-Z]+)\$[0-9]+"),"")</f>
        <v>$F$150</v>
      </c>
      <c r="G148" t="e" cm="1">
        <f t="array" aca="1" ref="G148" ca="1">IF('Raw Data'!#REF!="",_xlfn.REGEXEXTRACT(CELL("address",'Raw Data'!#REF!),"\$([A-Z]+)\$[0-9]+"),"")</f>
        <v>#REF!</v>
      </c>
      <c r="H148" t="str" cm="1">
        <f t="array" aca="1" ref="H148" ca="1">IF('Raw Data'!G150="",_xlfn.REGEXEXTRACT(CELL("address",'Raw Data'!G150),"\$([A-Z]+)\$[0-9]+"),"")</f>
        <v>$G$150</v>
      </c>
      <c r="I148" t="e" cm="1">
        <f t="array" aca="1" ref="I148" ca="1">IF('Raw Data'!#REF!="",_xlfn.REGEXEXTRACT(CELL("address",'Raw Data'!#REF!),"\$([A-Z]+)\$[0-9]+"),"")</f>
        <v>#REF!</v>
      </c>
    </row>
    <row r="149" spans="2:9" x14ac:dyDescent="0.25">
      <c r="B149" t="str" cm="1">
        <f t="array" aca="1" ref="B149" ca="1">IF('Raw Data'!B151="",_xlfn.REGEXEXTRACT(CELL("address",'Raw Data'!B151),"\$([A-Z]+)\$[0-9]+"),"")</f>
        <v>$B$151</v>
      </c>
      <c r="C149" t="str" cm="1">
        <f t="array" aca="1" ref="C149" ca="1">IF('Raw Data'!C151="",_xlfn.REGEXEXTRACT(CELL("address",'Raw Data'!C151),"\$([A-Z]+)\$[0-9]+"),"")</f>
        <v>$C$151</v>
      </c>
      <c r="D149" t="str" cm="1">
        <f t="array" aca="1" ref="D149" ca="1">IF('Raw Data'!D151="",_xlfn.REGEXEXTRACT(CELL("address",'Raw Data'!D151),"\$([A-Z]+)\$[0-9]+"),"")</f>
        <v>$D$151</v>
      </c>
      <c r="E149" t="str" cm="1">
        <f t="array" aca="1" ref="E149" ca="1">IF('Raw Data'!E151="",_xlfn.REGEXEXTRACT(CELL("address",'Raw Data'!E151),"\$([A-Z]+)\$[0-9]+"),"")</f>
        <v>$E$151</v>
      </c>
      <c r="F149" t="str" cm="1">
        <f t="array" aca="1" ref="F149" ca="1">IF('Raw Data'!F151="",_xlfn.REGEXEXTRACT(CELL("address",'Raw Data'!F151),"\$([A-Z]+)\$[0-9]+"),"")</f>
        <v>$F$151</v>
      </c>
      <c r="G149" t="e" cm="1">
        <f t="array" aca="1" ref="G149" ca="1">IF('Raw Data'!#REF!="",_xlfn.REGEXEXTRACT(CELL("address",'Raw Data'!#REF!),"\$([A-Z]+)\$[0-9]+"),"")</f>
        <v>#REF!</v>
      </c>
      <c r="H149" t="str" cm="1">
        <f t="array" aca="1" ref="H149" ca="1">IF('Raw Data'!G151="",_xlfn.REGEXEXTRACT(CELL("address",'Raw Data'!G151),"\$([A-Z]+)\$[0-9]+"),"")</f>
        <v>$G$151</v>
      </c>
      <c r="I149" t="e" cm="1">
        <f t="array" aca="1" ref="I149" ca="1">IF('Raw Data'!#REF!="",_xlfn.REGEXEXTRACT(CELL("address",'Raw Data'!#REF!),"\$([A-Z]+)\$[0-9]+"),"")</f>
        <v>#REF!</v>
      </c>
    </row>
    <row r="150" spans="2:9" x14ac:dyDescent="0.25">
      <c r="B150" t="str" cm="1">
        <f t="array" aca="1" ref="B150" ca="1">IF('Raw Data'!B152="",_xlfn.REGEXEXTRACT(CELL("address",'Raw Data'!B152),"\$([A-Z]+)\$[0-9]+"),"")</f>
        <v>$B$152</v>
      </c>
      <c r="C150" t="str" cm="1">
        <f t="array" aca="1" ref="C150" ca="1">IF('Raw Data'!C152="",_xlfn.REGEXEXTRACT(CELL("address",'Raw Data'!C152),"\$([A-Z]+)\$[0-9]+"),"")</f>
        <v>$C$152</v>
      </c>
      <c r="D150" t="str" cm="1">
        <f t="array" aca="1" ref="D150" ca="1">IF('Raw Data'!D152="",_xlfn.REGEXEXTRACT(CELL("address",'Raw Data'!D152),"\$([A-Z]+)\$[0-9]+"),"")</f>
        <v>$D$152</v>
      </c>
      <c r="E150" t="str" cm="1">
        <f t="array" aca="1" ref="E150" ca="1">IF('Raw Data'!E152="",_xlfn.REGEXEXTRACT(CELL("address",'Raw Data'!E152),"\$([A-Z]+)\$[0-9]+"),"")</f>
        <v>$E$152</v>
      </c>
      <c r="F150" t="str" cm="1">
        <f t="array" aca="1" ref="F150" ca="1">IF('Raw Data'!F152="",_xlfn.REGEXEXTRACT(CELL("address",'Raw Data'!F152),"\$([A-Z]+)\$[0-9]+"),"")</f>
        <v>$F$152</v>
      </c>
      <c r="G150" t="e" cm="1">
        <f t="array" aca="1" ref="G150" ca="1">IF('Raw Data'!#REF!="",_xlfn.REGEXEXTRACT(CELL("address",'Raw Data'!#REF!),"\$([A-Z]+)\$[0-9]+"),"")</f>
        <v>#REF!</v>
      </c>
      <c r="H150" t="str" cm="1">
        <f t="array" aca="1" ref="H150" ca="1">IF('Raw Data'!G152="",_xlfn.REGEXEXTRACT(CELL("address",'Raw Data'!G152),"\$([A-Z]+)\$[0-9]+"),"")</f>
        <v>$G$152</v>
      </c>
      <c r="I150" t="e" cm="1">
        <f t="array" aca="1" ref="I150" ca="1">IF('Raw Data'!#REF!="",_xlfn.REGEXEXTRACT(CELL("address",'Raw Data'!#REF!),"\$([A-Z]+)\$[0-9]+"),"")</f>
        <v>#REF!</v>
      </c>
    </row>
    <row r="151" spans="2:9" x14ac:dyDescent="0.25">
      <c r="B151" t="str" cm="1">
        <f t="array" aca="1" ref="B151" ca="1">IF('Raw Data'!B153="",_xlfn.REGEXEXTRACT(CELL("address",'Raw Data'!B153),"\$([A-Z]+)\$[0-9]+"),"")</f>
        <v>$B$153</v>
      </c>
      <c r="C151" t="str" cm="1">
        <f t="array" aca="1" ref="C151" ca="1">IF('Raw Data'!C153="",_xlfn.REGEXEXTRACT(CELL("address",'Raw Data'!C153),"\$([A-Z]+)\$[0-9]+"),"")</f>
        <v>$C$153</v>
      </c>
      <c r="D151" t="str" cm="1">
        <f t="array" aca="1" ref="D151" ca="1">IF('Raw Data'!D153="",_xlfn.REGEXEXTRACT(CELL("address",'Raw Data'!D153),"\$([A-Z]+)\$[0-9]+"),"")</f>
        <v>$D$153</v>
      </c>
      <c r="E151" t="str" cm="1">
        <f t="array" aca="1" ref="E151" ca="1">IF('Raw Data'!E153="",_xlfn.REGEXEXTRACT(CELL("address",'Raw Data'!E153),"\$([A-Z]+)\$[0-9]+"),"")</f>
        <v>$E$153</v>
      </c>
      <c r="F151" t="str" cm="1">
        <f t="array" aca="1" ref="F151" ca="1">IF('Raw Data'!F153="",_xlfn.REGEXEXTRACT(CELL("address",'Raw Data'!F153),"\$([A-Z]+)\$[0-9]+"),"")</f>
        <v>$F$153</v>
      </c>
      <c r="G151" t="e" cm="1">
        <f t="array" aca="1" ref="G151" ca="1">IF('Raw Data'!#REF!="",_xlfn.REGEXEXTRACT(CELL("address",'Raw Data'!#REF!),"\$([A-Z]+)\$[0-9]+"),"")</f>
        <v>#REF!</v>
      </c>
      <c r="H151" t="str" cm="1">
        <f t="array" aca="1" ref="H151" ca="1">IF('Raw Data'!G153="",_xlfn.REGEXEXTRACT(CELL("address",'Raw Data'!G153),"\$([A-Z]+)\$[0-9]+"),"")</f>
        <v>$G$153</v>
      </c>
      <c r="I151" t="e" cm="1">
        <f t="array" aca="1" ref="I151" ca="1">IF('Raw Data'!#REF!="",_xlfn.REGEXEXTRACT(CELL("address",'Raw Data'!#REF!),"\$([A-Z]+)\$[0-9]+"),"")</f>
        <v>#REF!</v>
      </c>
    </row>
    <row r="152" spans="2:9" x14ac:dyDescent="0.25">
      <c r="B152" t="str" cm="1">
        <f t="array" aca="1" ref="B152" ca="1">IF('Raw Data'!B154="",_xlfn.REGEXEXTRACT(CELL("address",'Raw Data'!B154),"\$([A-Z]+)\$[0-9]+"),"")</f>
        <v>$B$154</v>
      </c>
      <c r="C152" t="str" cm="1">
        <f t="array" aca="1" ref="C152" ca="1">IF('Raw Data'!C154="",_xlfn.REGEXEXTRACT(CELL("address",'Raw Data'!C154),"\$([A-Z]+)\$[0-9]+"),"")</f>
        <v>$C$154</v>
      </c>
      <c r="D152" t="str" cm="1">
        <f t="array" aca="1" ref="D152" ca="1">IF('Raw Data'!D154="",_xlfn.REGEXEXTRACT(CELL("address",'Raw Data'!D154),"\$([A-Z]+)\$[0-9]+"),"")</f>
        <v>$D$154</v>
      </c>
      <c r="E152" t="str" cm="1">
        <f t="array" aca="1" ref="E152" ca="1">IF('Raw Data'!E154="",_xlfn.REGEXEXTRACT(CELL("address",'Raw Data'!E154),"\$([A-Z]+)\$[0-9]+"),"")</f>
        <v>$E$154</v>
      </c>
      <c r="F152" t="str" cm="1">
        <f t="array" aca="1" ref="F152" ca="1">IF('Raw Data'!F154="",_xlfn.REGEXEXTRACT(CELL("address",'Raw Data'!F154),"\$([A-Z]+)\$[0-9]+"),"")</f>
        <v>$F$154</v>
      </c>
      <c r="G152" t="e" cm="1">
        <f t="array" aca="1" ref="G152" ca="1">IF('Raw Data'!#REF!="",_xlfn.REGEXEXTRACT(CELL("address",'Raw Data'!#REF!),"\$([A-Z]+)\$[0-9]+"),"")</f>
        <v>#REF!</v>
      </c>
      <c r="H152" t="str" cm="1">
        <f t="array" aca="1" ref="H152" ca="1">IF('Raw Data'!G154="",_xlfn.REGEXEXTRACT(CELL("address",'Raw Data'!G154),"\$([A-Z]+)\$[0-9]+"),"")</f>
        <v>$G$154</v>
      </c>
      <c r="I152" t="e" cm="1">
        <f t="array" aca="1" ref="I152" ca="1">IF('Raw Data'!#REF!="",_xlfn.REGEXEXTRACT(CELL("address",'Raw Data'!#REF!),"\$([A-Z]+)\$[0-9]+"),"")</f>
        <v>#REF!</v>
      </c>
    </row>
    <row r="153" spans="2:9" x14ac:dyDescent="0.25">
      <c r="B153" t="str" cm="1">
        <f t="array" aca="1" ref="B153" ca="1">IF('Raw Data'!B155="",_xlfn.REGEXEXTRACT(CELL("address",'Raw Data'!B155),"\$([A-Z]+)\$[0-9]+"),"")</f>
        <v>$B$155</v>
      </c>
      <c r="C153" t="str" cm="1">
        <f t="array" aca="1" ref="C153" ca="1">IF('Raw Data'!C155="",_xlfn.REGEXEXTRACT(CELL("address",'Raw Data'!C155),"\$([A-Z]+)\$[0-9]+"),"")</f>
        <v>$C$155</v>
      </c>
      <c r="D153" t="str" cm="1">
        <f t="array" aca="1" ref="D153" ca="1">IF('Raw Data'!D155="",_xlfn.REGEXEXTRACT(CELL("address",'Raw Data'!D155),"\$([A-Z]+)\$[0-9]+"),"")</f>
        <v>$D$155</v>
      </c>
      <c r="E153" t="str" cm="1">
        <f t="array" aca="1" ref="E153" ca="1">IF('Raw Data'!E155="",_xlfn.REGEXEXTRACT(CELL("address",'Raw Data'!E155),"\$([A-Z]+)\$[0-9]+"),"")</f>
        <v>$E$155</v>
      </c>
      <c r="F153" t="str" cm="1">
        <f t="array" aca="1" ref="F153" ca="1">IF('Raw Data'!F155="",_xlfn.REGEXEXTRACT(CELL("address",'Raw Data'!F155),"\$([A-Z]+)\$[0-9]+"),"")</f>
        <v>$F$155</v>
      </c>
      <c r="G153" t="e" cm="1">
        <f t="array" aca="1" ref="G153" ca="1">IF('Raw Data'!#REF!="",_xlfn.REGEXEXTRACT(CELL("address",'Raw Data'!#REF!),"\$([A-Z]+)\$[0-9]+"),"")</f>
        <v>#REF!</v>
      </c>
      <c r="H153" t="str" cm="1">
        <f t="array" aca="1" ref="H153" ca="1">IF('Raw Data'!G155="",_xlfn.REGEXEXTRACT(CELL("address",'Raw Data'!G155),"\$([A-Z]+)\$[0-9]+"),"")</f>
        <v>$G$155</v>
      </c>
      <c r="I153" t="e" cm="1">
        <f t="array" aca="1" ref="I153" ca="1">IF('Raw Data'!#REF!="",_xlfn.REGEXEXTRACT(CELL("address",'Raw Data'!#REF!),"\$([A-Z]+)\$[0-9]+"),"")</f>
        <v>#REF!</v>
      </c>
    </row>
    <row r="154" spans="2:9" x14ac:dyDescent="0.25">
      <c r="B154" t="str" cm="1">
        <f t="array" aca="1" ref="B154" ca="1">IF('Raw Data'!B156="",_xlfn.REGEXEXTRACT(CELL("address",'Raw Data'!B156),"\$([A-Z]+)\$[0-9]+"),"")</f>
        <v>$B$156</v>
      </c>
      <c r="C154" t="str" cm="1">
        <f t="array" aca="1" ref="C154" ca="1">IF('Raw Data'!C156="",_xlfn.REGEXEXTRACT(CELL("address",'Raw Data'!C156),"\$([A-Z]+)\$[0-9]+"),"")</f>
        <v>$C$156</v>
      </c>
      <c r="D154" t="str" cm="1">
        <f t="array" aca="1" ref="D154" ca="1">IF('Raw Data'!D156="",_xlfn.REGEXEXTRACT(CELL("address",'Raw Data'!D156),"\$([A-Z]+)\$[0-9]+"),"")</f>
        <v>$D$156</v>
      </c>
      <c r="E154" t="str" cm="1">
        <f t="array" aca="1" ref="E154" ca="1">IF('Raw Data'!E156="",_xlfn.REGEXEXTRACT(CELL("address",'Raw Data'!E156),"\$([A-Z]+)\$[0-9]+"),"")</f>
        <v>$E$156</v>
      </c>
      <c r="F154" t="str" cm="1">
        <f t="array" aca="1" ref="F154" ca="1">IF('Raw Data'!F156="",_xlfn.REGEXEXTRACT(CELL("address",'Raw Data'!F156),"\$([A-Z]+)\$[0-9]+"),"")</f>
        <v>$F$156</v>
      </c>
      <c r="G154" t="e" cm="1">
        <f t="array" aca="1" ref="G154" ca="1">IF('Raw Data'!#REF!="",_xlfn.REGEXEXTRACT(CELL("address",'Raw Data'!#REF!),"\$([A-Z]+)\$[0-9]+"),"")</f>
        <v>#REF!</v>
      </c>
      <c r="H154" t="str" cm="1">
        <f t="array" aca="1" ref="H154" ca="1">IF('Raw Data'!G156="",_xlfn.REGEXEXTRACT(CELL("address",'Raw Data'!G156),"\$([A-Z]+)\$[0-9]+"),"")</f>
        <v>$G$156</v>
      </c>
      <c r="I154" t="e" cm="1">
        <f t="array" aca="1" ref="I154" ca="1">IF('Raw Data'!#REF!="",_xlfn.REGEXEXTRACT(CELL("address",'Raw Data'!#REF!),"\$([A-Z]+)\$[0-9]+"),"")</f>
        <v>#REF!</v>
      </c>
    </row>
    <row r="155" spans="2:9" x14ac:dyDescent="0.25">
      <c r="B155" t="str" cm="1">
        <f t="array" aca="1" ref="B155" ca="1">IF('Raw Data'!B157="",_xlfn.REGEXEXTRACT(CELL("address",'Raw Data'!B157),"\$([A-Z]+)\$[0-9]+"),"")</f>
        <v>$B$157</v>
      </c>
      <c r="C155" t="str" cm="1">
        <f t="array" aca="1" ref="C155" ca="1">IF('Raw Data'!C157="",_xlfn.REGEXEXTRACT(CELL("address",'Raw Data'!C157),"\$([A-Z]+)\$[0-9]+"),"")</f>
        <v>$C$157</v>
      </c>
      <c r="D155" t="str" cm="1">
        <f t="array" aca="1" ref="D155" ca="1">IF('Raw Data'!D157="",_xlfn.REGEXEXTRACT(CELL("address",'Raw Data'!D157),"\$([A-Z]+)\$[0-9]+"),"")</f>
        <v>$D$157</v>
      </c>
      <c r="E155" t="str" cm="1">
        <f t="array" aca="1" ref="E155" ca="1">IF('Raw Data'!E157="",_xlfn.REGEXEXTRACT(CELL("address",'Raw Data'!E157),"\$([A-Z]+)\$[0-9]+"),"")</f>
        <v>$E$157</v>
      </c>
      <c r="F155" t="str" cm="1">
        <f t="array" aca="1" ref="F155" ca="1">IF('Raw Data'!F157="",_xlfn.REGEXEXTRACT(CELL("address",'Raw Data'!F157),"\$([A-Z]+)\$[0-9]+"),"")</f>
        <v>$F$157</v>
      </c>
      <c r="G155" t="e" cm="1">
        <f t="array" aca="1" ref="G155" ca="1">IF('Raw Data'!#REF!="",_xlfn.REGEXEXTRACT(CELL("address",'Raw Data'!#REF!),"\$([A-Z]+)\$[0-9]+"),"")</f>
        <v>#REF!</v>
      </c>
      <c r="H155" t="str" cm="1">
        <f t="array" aca="1" ref="H155" ca="1">IF('Raw Data'!G157="",_xlfn.REGEXEXTRACT(CELL("address",'Raw Data'!G157),"\$([A-Z]+)\$[0-9]+"),"")</f>
        <v>$G$157</v>
      </c>
      <c r="I155" t="e" cm="1">
        <f t="array" aca="1" ref="I155" ca="1">IF('Raw Data'!#REF!="",_xlfn.REGEXEXTRACT(CELL("address",'Raw Data'!#REF!),"\$([A-Z]+)\$[0-9]+"),"")</f>
        <v>#REF!</v>
      </c>
    </row>
    <row r="156" spans="2:9" x14ac:dyDescent="0.25">
      <c r="B156" t="str" cm="1">
        <f t="array" aca="1" ref="B156" ca="1">IF('Raw Data'!B158="",_xlfn.REGEXEXTRACT(CELL("address",'Raw Data'!B158),"\$([A-Z]+)\$[0-9]+"),"")</f>
        <v>$B$158</v>
      </c>
      <c r="C156" t="str" cm="1">
        <f t="array" aca="1" ref="C156" ca="1">IF('Raw Data'!C158="",_xlfn.REGEXEXTRACT(CELL("address",'Raw Data'!C158),"\$([A-Z]+)\$[0-9]+"),"")</f>
        <v>$C$158</v>
      </c>
      <c r="D156" t="str" cm="1">
        <f t="array" aca="1" ref="D156" ca="1">IF('Raw Data'!D158="",_xlfn.REGEXEXTRACT(CELL("address",'Raw Data'!D158),"\$([A-Z]+)\$[0-9]+"),"")</f>
        <v>$D$158</v>
      </c>
      <c r="E156" t="str" cm="1">
        <f t="array" aca="1" ref="E156" ca="1">IF('Raw Data'!E158="",_xlfn.REGEXEXTRACT(CELL("address",'Raw Data'!E158),"\$([A-Z]+)\$[0-9]+"),"")</f>
        <v>$E$158</v>
      </c>
      <c r="F156" t="str" cm="1">
        <f t="array" aca="1" ref="F156" ca="1">IF('Raw Data'!F158="",_xlfn.REGEXEXTRACT(CELL("address",'Raw Data'!F158),"\$([A-Z]+)\$[0-9]+"),"")</f>
        <v>$F$158</v>
      </c>
      <c r="G156" t="e" cm="1">
        <f t="array" aca="1" ref="G156" ca="1">IF('Raw Data'!#REF!="",_xlfn.REGEXEXTRACT(CELL("address",'Raw Data'!#REF!),"\$([A-Z]+)\$[0-9]+"),"")</f>
        <v>#REF!</v>
      </c>
      <c r="H156" t="str" cm="1">
        <f t="array" aca="1" ref="H156" ca="1">IF('Raw Data'!G158="",_xlfn.REGEXEXTRACT(CELL("address",'Raw Data'!G158),"\$([A-Z]+)\$[0-9]+"),"")</f>
        <v>$G$158</v>
      </c>
      <c r="I156" t="e" cm="1">
        <f t="array" aca="1" ref="I156" ca="1">IF('Raw Data'!#REF!="",_xlfn.REGEXEXTRACT(CELL("address",'Raw Data'!#REF!),"\$([A-Z]+)\$[0-9]+"),"")</f>
        <v>#REF!</v>
      </c>
    </row>
    <row r="157" spans="2:9" x14ac:dyDescent="0.25">
      <c r="B157" t="str" cm="1">
        <f t="array" aca="1" ref="B157" ca="1">IF('Raw Data'!B159="",_xlfn.REGEXEXTRACT(CELL("address",'Raw Data'!B159),"\$([A-Z]+)\$[0-9]+"),"")</f>
        <v>$B$159</v>
      </c>
      <c r="C157" t="str" cm="1">
        <f t="array" aca="1" ref="C157" ca="1">IF('Raw Data'!C159="",_xlfn.REGEXEXTRACT(CELL("address",'Raw Data'!C159),"\$([A-Z]+)\$[0-9]+"),"")</f>
        <v>$C$159</v>
      </c>
      <c r="D157" t="str" cm="1">
        <f t="array" aca="1" ref="D157" ca="1">IF('Raw Data'!D159="",_xlfn.REGEXEXTRACT(CELL("address",'Raw Data'!D159),"\$([A-Z]+)\$[0-9]+"),"")</f>
        <v>$D$159</v>
      </c>
      <c r="E157" t="str" cm="1">
        <f t="array" aca="1" ref="E157" ca="1">IF('Raw Data'!E159="",_xlfn.REGEXEXTRACT(CELL("address",'Raw Data'!E159),"\$([A-Z]+)\$[0-9]+"),"")</f>
        <v>$E$159</v>
      </c>
      <c r="F157" t="str" cm="1">
        <f t="array" aca="1" ref="F157" ca="1">IF('Raw Data'!F159="",_xlfn.REGEXEXTRACT(CELL("address",'Raw Data'!F159),"\$([A-Z]+)\$[0-9]+"),"")</f>
        <v>$F$159</v>
      </c>
      <c r="G157" t="e" cm="1">
        <f t="array" aca="1" ref="G157" ca="1">IF('Raw Data'!#REF!="",_xlfn.REGEXEXTRACT(CELL("address",'Raw Data'!#REF!),"\$([A-Z]+)\$[0-9]+"),"")</f>
        <v>#REF!</v>
      </c>
      <c r="H157" t="str" cm="1">
        <f t="array" aca="1" ref="H157" ca="1">IF('Raw Data'!G159="",_xlfn.REGEXEXTRACT(CELL("address",'Raw Data'!G159),"\$([A-Z]+)\$[0-9]+"),"")</f>
        <v>$G$159</v>
      </c>
      <c r="I157" t="e" cm="1">
        <f t="array" aca="1" ref="I157" ca="1">IF('Raw Data'!#REF!="",_xlfn.REGEXEXTRACT(CELL("address",'Raw Data'!#REF!),"\$([A-Z]+)\$[0-9]+"),"")</f>
        <v>#REF!</v>
      </c>
    </row>
    <row r="158" spans="2:9" x14ac:dyDescent="0.25">
      <c r="B158" t="str" cm="1">
        <f t="array" aca="1" ref="B158" ca="1">IF('Raw Data'!B160="",_xlfn.REGEXEXTRACT(CELL("address",'Raw Data'!B160),"\$([A-Z]+)\$[0-9]+"),"")</f>
        <v>$B$160</v>
      </c>
      <c r="C158" t="str" cm="1">
        <f t="array" aca="1" ref="C158" ca="1">IF('Raw Data'!C160="",_xlfn.REGEXEXTRACT(CELL("address",'Raw Data'!C160),"\$([A-Z]+)\$[0-9]+"),"")</f>
        <v>$C$160</v>
      </c>
      <c r="D158" t="str" cm="1">
        <f t="array" aca="1" ref="D158" ca="1">IF('Raw Data'!D160="",_xlfn.REGEXEXTRACT(CELL("address",'Raw Data'!D160),"\$([A-Z]+)\$[0-9]+"),"")</f>
        <v>$D$160</v>
      </c>
      <c r="E158" t="str" cm="1">
        <f t="array" aca="1" ref="E158" ca="1">IF('Raw Data'!E160="",_xlfn.REGEXEXTRACT(CELL("address",'Raw Data'!E160),"\$([A-Z]+)\$[0-9]+"),"")</f>
        <v>$E$160</v>
      </c>
      <c r="F158" t="str" cm="1">
        <f t="array" aca="1" ref="F158" ca="1">IF('Raw Data'!F160="",_xlfn.REGEXEXTRACT(CELL("address",'Raw Data'!F160),"\$([A-Z]+)\$[0-9]+"),"")</f>
        <v>$F$160</v>
      </c>
      <c r="G158" t="e" cm="1">
        <f t="array" aca="1" ref="G158" ca="1">IF('Raw Data'!#REF!="",_xlfn.REGEXEXTRACT(CELL("address",'Raw Data'!#REF!),"\$([A-Z]+)\$[0-9]+"),"")</f>
        <v>#REF!</v>
      </c>
      <c r="H158" t="str" cm="1">
        <f t="array" aca="1" ref="H158" ca="1">IF('Raw Data'!G160="",_xlfn.REGEXEXTRACT(CELL("address",'Raw Data'!G160),"\$([A-Z]+)\$[0-9]+"),"")</f>
        <v>$G$160</v>
      </c>
      <c r="I158" t="e" cm="1">
        <f t="array" aca="1" ref="I158" ca="1">IF('Raw Data'!#REF!="",_xlfn.REGEXEXTRACT(CELL("address",'Raw Data'!#REF!),"\$([A-Z]+)\$[0-9]+"),"")</f>
        <v>#REF!</v>
      </c>
    </row>
    <row r="159" spans="2:9" x14ac:dyDescent="0.25">
      <c r="B159" t="str" cm="1">
        <f t="array" aca="1" ref="B159" ca="1">IF('Raw Data'!B161="",_xlfn.REGEXEXTRACT(CELL("address",'Raw Data'!B161),"\$([A-Z]+)\$[0-9]+"),"")</f>
        <v>$B$161</v>
      </c>
      <c r="C159" t="str" cm="1">
        <f t="array" aca="1" ref="C159" ca="1">IF('Raw Data'!C161="",_xlfn.REGEXEXTRACT(CELL("address",'Raw Data'!C161),"\$([A-Z]+)\$[0-9]+"),"")</f>
        <v>$C$161</v>
      </c>
      <c r="D159" t="str" cm="1">
        <f t="array" aca="1" ref="D159" ca="1">IF('Raw Data'!D161="",_xlfn.REGEXEXTRACT(CELL("address",'Raw Data'!D161),"\$([A-Z]+)\$[0-9]+"),"")</f>
        <v>$D$161</v>
      </c>
      <c r="E159" t="str" cm="1">
        <f t="array" aca="1" ref="E159" ca="1">IF('Raw Data'!E161="",_xlfn.REGEXEXTRACT(CELL("address",'Raw Data'!E161),"\$([A-Z]+)\$[0-9]+"),"")</f>
        <v>$E$161</v>
      </c>
      <c r="F159" t="str" cm="1">
        <f t="array" aca="1" ref="F159" ca="1">IF('Raw Data'!F161="",_xlfn.REGEXEXTRACT(CELL("address",'Raw Data'!F161),"\$([A-Z]+)\$[0-9]+"),"")</f>
        <v>$F$161</v>
      </c>
      <c r="G159" t="e" cm="1">
        <f t="array" aca="1" ref="G159" ca="1">IF('Raw Data'!#REF!="",_xlfn.REGEXEXTRACT(CELL("address",'Raw Data'!#REF!),"\$([A-Z]+)\$[0-9]+"),"")</f>
        <v>#REF!</v>
      </c>
      <c r="H159" t="str" cm="1">
        <f t="array" aca="1" ref="H159" ca="1">IF('Raw Data'!G161="",_xlfn.REGEXEXTRACT(CELL("address",'Raw Data'!G161),"\$([A-Z]+)\$[0-9]+"),"")</f>
        <v>$G$161</v>
      </c>
      <c r="I159" t="e" cm="1">
        <f t="array" aca="1" ref="I159" ca="1">IF('Raw Data'!#REF!="",_xlfn.REGEXEXTRACT(CELL("address",'Raw Data'!#REF!),"\$([A-Z]+)\$[0-9]+"),"")</f>
        <v>#REF!</v>
      </c>
    </row>
    <row r="160" spans="2:9" x14ac:dyDescent="0.25">
      <c r="B160" t="str" cm="1">
        <f t="array" aca="1" ref="B160" ca="1">IF('Raw Data'!B162="",_xlfn.REGEXEXTRACT(CELL("address",'Raw Data'!B162),"\$([A-Z]+)\$[0-9]+"),"")</f>
        <v>$B$162</v>
      </c>
      <c r="C160" t="str" cm="1">
        <f t="array" aca="1" ref="C160" ca="1">IF('Raw Data'!C162="",_xlfn.REGEXEXTRACT(CELL("address",'Raw Data'!C162),"\$([A-Z]+)\$[0-9]+"),"")</f>
        <v>$C$162</v>
      </c>
      <c r="D160" t="str" cm="1">
        <f t="array" aca="1" ref="D160" ca="1">IF('Raw Data'!D162="",_xlfn.REGEXEXTRACT(CELL("address",'Raw Data'!D162),"\$([A-Z]+)\$[0-9]+"),"")</f>
        <v>$D$162</v>
      </c>
      <c r="E160" t="str" cm="1">
        <f t="array" aca="1" ref="E160" ca="1">IF('Raw Data'!E162="",_xlfn.REGEXEXTRACT(CELL("address",'Raw Data'!E162),"\$([A-Z]+)\$[0-9]+"),"")</f>
        <v>$E$162</v>
      </c>
      <c r="F160" t="str" cm="1">
        <f t="array" aca="1" ref="F160" ca="1">IF('Raw Data'!F162="",_xlfn.REGEXEXTRACT(CELL("address",'Raw Data'!F162),"\$([A-Z]+)\$[0-9]+"),"")</f>
        <v>$F$162</v>
      </c>
      <c r="G160" t="e" cm="1">
        <f t="array" aca="1" ref="G160" ca="1">IF('Raw Data'!#REF!="",_xlfn.REGEXEXTRACT(CELL("address",'Raw Data'!#REF!),"\$([A-Z]+)\$[0-9]+"),"")</f>
        <v>#REF!</v>
      </c>
      <c r="H160" t="str" cm="1">
        <f t="array" aca="1" ref="H160" ca="1">IF('Raw Data'!G162="",_xlfn.REGEXEXTRACT(CELL("address",'Raw Data'!G162),"\$([A-Z]+)\$[0-9]+"),"")</f>
        <v>$G$162</v>
      </c>
      <c r="I160" t="e" cm="1">
        <f t="array" aca="1" ref="I160" ca="1">IF('Raw Data'!#REF!="",_xlfn.REGEXEXTRACT(CELL("address",'Raw Data'!#REF!),"\$([A-Z]+)\$[0-9]+"),"")</f>
        <v>#REF!</v>
      </c>
    </row>
    <row r="161" spans="2:9" x14ac:dyDescent="0.25">
      <c r="B161" t="str" cm="1">
        <f t="array" aca="1" ref="B161" ca="1">IF('Raw Data'!B163="",_xlfn.REGEXEXTRACT(CELL("address",'Raw Data'!B163),"\$([A-Z]+)\$[0-9]+"),"")</f>
        <v>$B$163</v>
      </c>
      <c r="C161" t="str" cm="1">
        <f t="array" aca="1" ref="C161" ca="1">IF('Raw Data'!C163="",_xlfn.REGEXEXTRACT(CELL("address",'Raw Data'!C163),"\$([A-Z]+)\$[0-9]+"),"")</f>
        <v>$C$163</v>
      </c>
      <c r="D161" t="str" cm="1">
        <f t="array" aca="1" ref="D161" ca="1">IF('Raw Data'!D163="",_xlfn.REGEXEXTRACT(CELL("address",'Raw Data'!D163),"\$([A-Z]+)\$[0-9]+"),"")</f>
        <v>$D$163</v>
      </c>
      <c r="E161" t="str" cm="1">
        <f t="array" aca="1" ref="E161" ca="1">IF('Raw Data'!E163="",_xlfn.REGEXEXTRACT(CELL("address",'Raw Data'!E163),"\$([A-Z]+)\$[0-9]+"),"")</f>
        <v>$E$163</v>
      </c>
      <c r="F161" t="str" cm="1">
        <f t="array" aca="1" ref="F161" ca="1">IF('Raw Data'!F163="",_xlfn.REGEXEXTRACT(CELL("address",'Raw Data'!F163),"\$([A-Z]+)\$[0-9]+"),"")</f>
        <v>$F$163</v>
      </c>
      <c r="G161" t="e" cm="1">
        <f t="array" aca="1" ref="G161" ca="1">IF('Raw Data'!#REF!="",_xlfn.REGEXEXTRACT(CELL("address",'Raw Data'!#REF!),"\$([A-Z]+)\$[0-9]+"),"")</f>
        <v>#REF!</v>
      </c>
      <c r="H161" t="str" cm="1">
        <f t="array" aca="1" ref="H161" ca="1">IF('Raw Data'!G163="",_xlfn.REGEXEXTRACT(CELL("address",'Raw Data'!G163),"\$([A-Z]+)\$[0-9]+"),"")</f>
        <v>$G$163</v>
      </c>
      <c r="I161" t="e" cm="1">
        <f t="array" aca="1" ref="I161" ca="1">IF('Raw Data'!#REF!="",_xlfn.REGEXEXTRACT(CELL("address",'Raw Data'!#REF!),"\$([A-Z]+)\$[0-9]+"),"")</f>
        <v>#REF!</v>
      </c>
    </row>
    <row r="162" spans="2:9" x14ac:dyDescent="0.25">
      <c r="B162" t="str" cm="1">
        <f t="array" aca="1" ref="B162" ca="1">IF('Raw Data'!B164="",_xlfn.REGEXEXTRACT(CELL("address",'Raw Data'!B164),"\$([A-Z]+)\$[0-9]+"),"")</f>
        <v>$B$164</v>
      </c>
      <c r="C162" t="str" cm="1">
        <f t="array" aca="1" ref="C162" ca="1">IF('Raw Data'!C164="",_xlfn.REGEXEXTRACT(CELL("address",'Raw Data'!C164),"\$([A-Z]+)\$[0-9]+"),"")</f>
        <v>$C$164</v>
      </c>
      <c r="D162" t="str" cm="1">
        <f t="array" aca="1" ref="D162" ca="1">IF('Raw Data'!D164="",_xlfn.REGEXEXTRACT(CELL("address",'Raw Data'!D164),"\$([A-Z]+)\$[0-9]+"),"")</f>
        <v>$D$164</v>
      </c>
      <c r="E162" t="str" cm="1">
        <f t="array" aca="1" ref="E162" ca="1">IF('Raw Data'!E164="",_xlfn.REGEXEXTRACT(CELL("address",'Raw Data'!E164),"\$([A-Z]+)\$[0-9]+"),"")</f>
        <v>$E$164</v>
      </c>
      <c r="F162" t="str" cm="1">
        <f t="array" aca="1" ref="F162" ca="1">IF('Raw Data'!F164="",_xlfn.REGEXEXTRACT(CELL("address",'Raw Data'!F164),"\$([A-Z]+)\$[0-9]+"),"")</f>
        <v>$F$164</v>
      </c>
      <c r="G162" t="e" cm="1">
        <f t="array" aca="1" ref="G162" ca="1">IF('Raw Data'!#REF!="",_xlfn.REGEXEXTRACT(CELL("address",'Raw Data'!#REF!),"\$([A-Z]+)\$[0-9]+"),"")</f>
        <v>#REF!</v>
      </c>
      <c r="H162" t="str" cm="1">
        <f t="array" aca="1" ref="H162" ca="1">IF('Raw Data'!G164="",_xlfn.REGEXEXTRACT(CELL("address",'Raw Data'!G164),"\$([A-Z]+)\$[0-9]+"),"")</f>
        <v>$G$164</v>
      </c>
      <c r="I162" t="e" cm="1">
        <f t="array" aca="1" ref="I162" ca="1">IF('Raw Data'!#REF!="",_xlfn.REGEXEXTRACT(CELL("address",'Raw Data'!#REF!),"\$([A-Z]+)\$[0-9]+"),"")</f>
        <v>#REF!</v>
      </c>
    </row>
    <row r="163" spans="2:9" x14ac:dyDescent="0.25">
      <c r="B163" t="str" cm="1">
        <f t="array" aca="1" ref="B163" ca="1">IF('Raw Data'!B165="",_xlfn.REGEXEXTRACT(CELL("address",'Raw Data'!B165),"\$([A-Z]+)\$[0-9]+"),"")</f>
        <v>$B$165</v>
      </c>
      <c r="C163" t="str" cm="1">
        <f t="array" aca="1" ref="C163" ca="1">IF('Raw Data'!C165="",_xlfn.REGEXEXTRACT(CELL("address",'Raw Data'!C165),"\$([A-Z]+)\$[0-9]+"),"")</f>
        <v>$C$165</v>
      </c>
      <c r="D163" t="str" cm="1">
        <f t="array" aca="1" ref="D163" ca="1">IF('Raw Data'!D165="",_xlfn.REGEXEXTRACT(CELL("address",'Raw Data'!D165),"\$([A-Z]+)\$[0-9]+"),"")</f>
        <v>$D$165</v>
      </c>
      <c r="E163" t="str" cm="1">
        <f t="array" aca="1" ref="E163" ca="1">IF('Raw Data'!E165="",_xlfn.REGEXEXTRACT(CELL("address",'Raw Data'!E165),"\$([A-Z]+)\$[0-9]+"),"")</f>
        <v>$E$165</v>
      </c>
      <c r="F163" t="str" cm="1">
        <f t="array" aca="1" ref="F163" ca="1">IF('Raw Data'!F165="",_xlfn.REGEXEXTRACT(CELL("address",'Raw Data'!F165),"\$([A-Z]+)\$[0-9]+"),"")</f>
        <v>$F$165</v>
      </c>
      <c r="G163" t="e" cm="1">
        <f t="array" aca="1" ref="G163" ca="1">IF('Raw Data'!#REF!="",_xlfn.REGEXEXTRACT(CELL("address",'Raw Data'!#REF!),"\$([A-Z]+)\$[0-9]+"),"")</f>
        <v>#REF!</v>
      </c>
      <c r="H163" t="str" cm="1">
        <f t="array" aca="1" ref="H163" ca="1">IF('Raw Data'!G165="",_xlfn.REGEXEXTRACT(CELL("address",'Raw Data'!G165),"\$([A-Z]+)\$[0-9]+"),"")</f>
        <v>$G$165</v>
      </c>
      <c r="I163" t="e" cm="1">
        <f t="array" aca="1" ref="I163" ca="1">IF('Raw Data'!#REF!="",_xlfn.REGEXEXTRACT(CELL("address",'Raw Data'!#REF!),"\$([A-Z]+)\$[0-9]+"),"")</f>
        <v>#REF!</v>
      </c>
    </row>
    <row r="164" spans="2:9" x14ac:dyDescent="0.25">
      <c r="B164" t="str" cm="1">
        <f t="array" aca="1" ref="B164" ca="1">IF('Raw Data'!B166="",_xlfn.REGEXEXTRACT(CELL("address",'Raw Data'!B166),"\$([A-Z]+)\$[0-9]+"),"")</f>
        <v>$B$166</v>
      </c>
      <c r="C164" t="str" cm="1">
        <f t="array" aca="1" ref="C164" ca="1">IF('Raw Data'!C166="",_xlfn.REGEXEXTRACT(CELL("address",'Raw Data'!C166),"\$([A-Z]+)\$[0-9]+"),"")</f>
        <v>$C$166</v>
      </c>
      <c r="D164" t="str" cm="1">
        <f t="array" aca="1" ref="D164" ca="1">IF('Raw Data'!D166="",_xlfn.REGEXEXTRACT(CELL("address",'Raw Data'!D166),"\$([A-Z]+)\$[0-9]+"),"")</f>
        <v>$D$166</v>
      </c>
      <c r="E164" t="str" cm="1">
        <f t="array" aca="1" ref="E164" ca="1">IF('Raw Data'!E166="",_xlfn.REGEXEXTRACT(CELL("address",'Raw Data'!E166),"\$([A-Z]+)\$[0-9]+"),"")</f>
        <v>$E$166</v>
      </c>
      <c r="F164" t="str" cm="1">
        <f t="array" aca="1" ref="F164" ca="1">IF('Raw Data'!F166="",_xlfn.REGEXEXTRACT(CELL("address",'Raw Data'!F166),"\$([A-Z]+)\$[0-9]+"),"")</f>
        <v>$F$166</v>
      </c>
      <c r="G164" t="e" cm="1">
        <f t="array" aca="1" ref="G164" ca="1">IF('Raw Data'!#REF!="",_xlfn.REGEXEXTRACT(CELL("address",'Raw Data'!#REF!),"\$([A-Z]+)\$[0-9]+"),"")</f>
        <v>#REF!</v>
      </c>
      <c r="H164" t="str" cm="1">
        <f t="array" aca="1" ref="H164" ca="1">IF('Raw Data'!G166="",_xlfn.REGEXEXTRACT(CELL("address",'Raw Data'!G166),"\$([A-Z]+)\$[0-9]+"),"")</f>
        <v>$G$166</v>
      </c>
      <c r="I164" t="e" cm="1">
        <f t="array" aca="1" ref="I164" ca="1">IF('Raw Data'!#REF!="",_xlfn.REGEXEXTRACT(CELL("address",'Raw Data'!#REF!),"\$([A-Z]+)\$[0-9]+"),"")</f>
        <v>#REF!</v>
      </c>
    </row>
    <row r="165" spans="2:9" x14ac:dyDescent="0.25">
      <c r="B165" t="str" cm="1">
        <f t="array" aca="1" ref="B165" ca="1">IF('Raw Data'!B167="",_xlfn.REGEXEXTRACT(CELL("address",'Raw Data'!B167),"\$([A-Z]+)\$[0-9]+"),"")</f>
        <v>$B$167</v>
      </c>
      <c r="C165" t="str" cm="1">
        <f t="array" aca="1" ref="C165" ca="1">IF('Raw Data'!C167="",_xlfn.REGEXEXTRACT(CELL("address",'Raw Data'!C167),"\$([A-Z]+)\$[0-9]+"),"")</f>
        <v>$C$167</v>
      </c>
      <c r="D165" t="str" cm="1">
        <f t="array" aca="1" ref="D165" ca="1">IF('Raw Data'!D167="",_xlfn.REGEXEXTRACT(CELL("address",'Raw Data'!D167),"\$([A-Z]+)\$[0-9]+"),"")</f>
        <v>$D$167</v>
      </c>
      <c r="E165" t="str" cm="1">
        <f t="array" aca="1" ref="E165" ca="1">IF('Raw Data'!E167="",_xlfn.REGEXEXTRACT(CELL("address",'Raw Data'!E167),"\$([A-Z]+)\$[0-9]+"),"")</f>
        <v>$E$167</v>
      </c>
      <c r="F165" t="str" cm="1">
        <f t="array" aca="1" ref="F165" ca="1">IF('Raw Data'!F167="",_xlfn.REGEXEXTRACT(CELL("address",'Raw Data'!F167),"\$([A-Z]+)\$[0-9]+"),"")</f>
        <v>$F$167</v>
      </c>
      <c r="G165" t="e" cm="1">
        <f t="array" aca="1" ref="G165" ca="1">IF('Raw Data'!#REF!="",_xlfn.REGEXEXTRACT(CELL("address",'Raw Data'!#REF!),"\$([A-Z]+)\$[0-9]+"),"")</f>
        <v>#REF!</v>
      </c>
      <c r="H165" t="str" cm="1">
        <f t="array" aca="1" ref="H165" ca="1">IF('Raw Data'!G167="",_xlfn.REGEXEXTRACT(CELL("address",'Raw Data'!G167),"\$([A-Z]+)\$[0-9]+"),"")</f>
        <v>$G$167</v>
      </c>
      <c r="I165" t="e" cm="1">
        <f t="array" aca="1" ref="I165" ca="1">IF('Raw Data'!#REF!="",_xlfn.REGEXEXTRACT(CELL("address",'Raw Data'!#REF!),"\$([A-Z]+)\$[0-9]+"),"")</f>
        <v>#REF!</v>
      </c>
    </row>
    <row r="166" spans="2:9" x14ac:dyDescent="0.25">
      <c r="B166" t="str" cm="1">
        <f t="array" aca="1" ref="B166" ca="1">IF('Raw Data'!B168="",_xlfn.REGEXEXTRACT(CELL("address",'Raw Data'!B168),"\$([A-Z]+)\$[0-9]+"),"")</f>
        <v>$B$168</v>
      </c>
      <c r="C166" t="str" cm="1">
        <f t="array" aca="1" ref="C166" ca="1">IF('Raw Data'!C168="",_xlfn.REGEXEXTRACT(CELL("address",'Raw Data'!C168),"\$([A-Z]+)\$[0-9]+"),"")</f>
        <v>$C$168</v>
      </c>
      <c r="D166" t="str" cm="1">
        <f t="array" aca="1" ref="D166" ca="1">IF('Raw Data'!D168="",_xlfn.REGEXEXTRACT(CELL("address",'Raw Data'!D168),"\$([A-Z]+)\$[0-9]+"),"")</f>
        <v>$D$168</v>
      </c>
      <c r="E166" t="str" cm="1">
        <f t="array" aca="1" ref="E166" ca="1">IF('Raw Data'!E168="",_xlfn.REGEXEXTRACT(CELL("address",'Raw Data'!E168),"\$([A-Z]+)\$[0-9]+"),"")</f>
        <v>$E$168</v>
      </c>
      <c r="F166" t="str" cm="1">
        <f t="array" aca="1" ref="F166" ca="1">IF('Raw Data'!F168="",_xlfn.REGEXEXTRACT(CELL("address",'Raw Data'!F168),"\$([A-Z]+)\$[0-9]+"),"")</f>
        <v>$F$168</v>
      </c>
      <c r="G166" t="e" cm="1">
        <f t="array" aca="1" ref="G166" ca="1">IF('Raw Data'!#REF!="",_xlfn.REGEXEXTRACT(CELL("address",'Raw Data'!#REF!),"\$([A-Z]+)\$[0-9]+"),"")</f>
        <v>#REF!</v>
      </c>
      <c r="H166" t="str" cm="1">
        <f t="array" aca="1" ref="H166" ca="1">IF('Raw Data'!G168="",_xlfn.REGEXEXTRACT(CELL("address",'Raw Data'!G168),"\$([A-Z]+)\$[0-9]+"),"")</f>
        <v>$G$168</v>
      </c>
      <c r="I166" t="e" cm="1">
        <f t="array" aca="1" ref="I166" ca="1">IF('Raw Data'!#REF!="",_xlfn.REGEXEXTRACT(CELL("address",'Raw Data'!#REF!),"\$([A-Z]+)\$[0-9]+"),"")</f>
        <v>#REF!</v>
      </c>
    </row>
    <row r="167" spans="2:9" x14ac:dyDescent="0.25">
      <c r="B167" t="str" cm="1">
        <f t="array" aca="1" ref="B167" ca="1">IF('Raw Data'!B169="",_xlfn.REGEXEXTRACT(CELL("address",'Raw Data'!B169),"\$([A-Z]+)\$[0-9]+"),"")</f>
        <v>$B$169</v>
      </c>
      <c r="C167" t="str" cm="1">
        <f t="array" aca="1" ref="C167" ca="1">IF('Raw Data'!C169="",_xlfn.REGEXEXTRACT(CELL("address",'Raw Data'!C169),"\$([A-Z]+)\$[0-9]+"),"")</f>
        <v>$C$169</v>
      </c>
      <c r="D167" t="str" cm="1">
        <f t="array" aca="1" ref="D167" ca="1">IF('Raw Data'!D169="",_xlfn.REGEXEXTRACT(CELL("address",'Raw Data'!D169),"\$([A-Z]+)\$[0-9]+"),"")</f>
        <v>$D$169</v>
      </c>
      <c r="E167" t="str" cm="1">
        <f t="array" aca="1" ref="E167" ca="1">IF('Raw Data'!E169="",_xlfn.REGEXEXTRACT(CELL("address",'Raw Data'!E169),"\$([A-Z]+)\$[0-9]+"),"")</f>
        <v>$E$169</v>
      </c>
      <c r="F167" t="str" cm="1">
        <f t="array" aca="1" ref="F167" ca="1">IF('Raw Data'!F169="",_xlfn.REGEXEXTRACT(CELL("address",'Raw Data'!F169),"\$([A-Z]+)\$[0-9]+"),"")</f>
        <v>$F$169</v>
      </c>
      <c r="G167" t="e" cm="1">
        <f t="array" aca="1" ref="G167" ca="1">IF('Raw Data'!#REF!="",_xlfn.REGEXEXTRACT(CELL("address",'Raw Data'!#REF!),"\$([A-Z]+)\$[0-9]+"),"")</f>
        <v>#REF!</v>
      </c>
      <c r="H167" t="str" cm="1">
        <f t="array" aca="1" ref="H167" ca="1">IF('Raw Data'!G169="",_xlfn.REGEXEXTRACT(CELL("address",'Raw Data'!G169),"\$([A-Z]+)\$[0-9]+"),"")</f>
        <v>$G$169</v>
      </c>
      <c r="I167" t="e" cm="1">
        <f t="array" aca="1" ref="I167" ca="1">IF('Raw Data'!#REF!="",_xlfn.REGEXEXTRACT(CELL("address",'Raw Data'!#REF!),"\$([A-Z]+)\$[0-9]+"),"")</f>
        <v>#REF!</v>
      </c>
    </row>
    <row r="168" spans="2:9" x14ac:dyDescent="0.25">
      <c r="B168" t="str" cm="1">
        <f t="array" aca="1" ref="B168" ca="1">IF('Raw Data'!B170="",_xlfn.REGEXEXTRACT(CELL("address",'Raw Data'!B170),"\$([A-Z]+)\$[0-9]+"),"")</f>
        <v>$B$170</v>
      </c>
      <c r="C168" t="str" cm="1">
        <f t="array" aca="1" ref="C168" ca="1">IF('Raw Data'!C170="",_xlfn.REGEXEXTRACT(CELL("address",'Raw Data'!C170),"\$([A-Z]+)\$[0-9]+"),"")</f>
        <v>$C$170</v>
      </c>
      <c r="D168" t="str" cm="1">
        <f t="array" aca="1" ref="D168" ca="1">IF('Raw Data'!D170="",_xlfn.REGEXEXTRACT(CELL("address",'Raw Data'!D170),"\$([A-Z]+)\$[0-9]+"),"")</f>
        <v>$D$170</v>
      </c>
      <c r="E168" t="str" cm="1">
        <f t="array" aca="1" ref="E168" ca="1">IF('Raw Data'!E170="",_xlfn.REGEXEXTRACT(CELL("address",'Raw Data'!E170),"\$([A-Z]+)\$[0-9]+"),"")</f>
        <v>$E$170</v>
      </c>
      <c r="F168" t="str" cm="1">
        <f t="array" aca="1" ref="F168" ca="1">IF('Raw Data'!F170="",_xlfn.REGEXEXTRACT(CELL("address",'Raw Data'!F170),"\$([A-Z]+)\$[0-9]+"),"")</f>
        <v>$F$170</v>
      </c>
      <c r="G168" t="e" cm="1">
        <f t="array" aca="1" ref="G168" ca="1">IF('Raw Data'!#REF!="",_xlfn.REGEXEXTRACT(CELL("address",'Raw Data'!#REF!),"\$([A-Z]+)\$[0-9]+"),"")</f>
        <v>#REF!</v>
      </c>
      <c r="H168" t="str" cm="1">
        <f t="array" aca="1" ref="H168" ca="1">IF('Raw Data'!G170="",_xlfn.REGEXEXTRACT(CELL("address",'Raw Data'!G170),"\$([A-Z]+)\$[0-9]+"),"")</f>
        <v>$G$170</v>
      </c>
      <c r="I168" t="e" cm="1">
        <f t="array" aca="1" ref="I168" ca="1">IF('Raw Data'!#REF!="",_xlfn.REGEXEXTRACT(CELL("address",'Raw Data'!#REF!),"\$([A-Z]+)\$[0-9]+"),"")</f>
        <v>#REF!</v>
      </c>
    </row>
    <row r="169" spans="2:9" x14ac:dyDescent="0.25">
      <c r="B169" t="str" cm="1">
        <f t="array" aca="1" ref="B169" ca="1">IF('Raw Data'!B171="",_xlfn.REGEXEXTRACT(CELL("address",'Raw Data'!B171),"\$([A-Z]+)\$[0-9]+"),"")</f>
        <v>$B$171</v>
      </c>
      <c r="C169" t="str" cm="1">
        <f t="array" aca="1" ref="C169" ca="1">IF('Raw Data'!C171="",_xlfn.REGEXEXTRACT(CELL("address",'Raw Data'!C171),"\$([A-Z]+)\$[0-9]+"),"")</f>
        <v>$C$171</v>
      </c>
      <c r="D169" t="str" cm="1">
        <f t="array" aca="1" ref="D169" ca="1">IF('Raw Data'!D171="",_xlfn.REGEXEXTRACT(CELL("address",'Raw Data'!D171),"\$([A-Z]+)\$[0-9]+"),"")</f>
        <v>$D$171</v>
      </c>
      <c r="E169" t="str" cm="1">
        <f t="array" aca="1" ref="E169" ca="1">IF('Raw Data'!E171="",_xlfn.REGEXEXTRACT(CELL("address",'Raw Data'!E171),"\$([A-Z]+)\$[0-9]+"),"")</f>
        <v>$E$171</v>
      </c>
      <c r="F169" t="str" cm="1">
        <f t="array" aca="1" ref="F169" ca="1">IF('Raw Data'!F171="",_xlfn.REGEXEXTRACT(CELL("address",'Raw Data'!F171),"\$([A-Z]+)\$[0-9]+"),"")</f>
        <v>$F$171</v>
      </c>
      <c r="G169" t="e" cm="1">
        <f t="array" aca="1" ref="G169" ca="1">IF('Raw Data'!#REF!="",_xlfn.REGEXEXTRACT(CELL("address",'Raw Data'!#REF!),"\$([A-Z]+)\$[0-9]+"),"")</f>
        <v>#REF!</v>
      </c>
      <c r="H169" t="str" cm="1">
        <f t="array" aca="1" ref="H169" ca="1">IF('Raw Data'!G171="",_xlfn.REGEXEXTRACT(CELL("address",'Raw Data'!G171),"\$([A-Z]+)\$[0-9]+"),"")</f>
        <v>$G$171</v>
      </c>
      <c r="I169" t="e" cm="1">
        <f t="array" aca="1" ref="I169" ca="1">IF('Raw Data'!#REF!="",_xlfn.REGEXEXTRACT(CELL("address",'Raw Data'!#REF!),"\$([A-Z]+)\$[0-9]+"),"")</f>
        <v>#REF!</v>
      </c>
    </row>
    <row r="170" spans="2:9" x14ac:dyDescent="0.25">
      <c r="B170" t="str" cm="1">
        <f t="array" aca="1" ref="B170" ca="1">IF('Raw Data'!B172="",_xlfn.REGEXEXTRACT(CELL("address",'Raw Data'!B172),"\$([A-Z]+)\$[0-9]+"),"")</f>
        <v>$B$172</v>
      </c>
      <c r="C170" t="str" cm="1">
        <f t="array" aca="1" ref="C170" ca="1">IF('Raw Data'!C172="",_xlfn.REGEXEXTRACT(CELL("address",'Raw Data'!C172),"\$([A-Z]+)\$[0-9]+"),"")</f>
        <v>$C$172</v>
      </c>
      <c r="D170" t="str" cm="1">
        <f t="array" aca="1" ref="D170" ca="1">IF('Raw Data'!D172="",_xlfn.REGEXEXTRACT(CELL("address",'Raw Data'!D172),"\$([A-Z]+)\$[0-9]+"),"")</f>
        <v>$D$172</v>
      </c>
      <c r="E170" t="str" cm="1">
        <f t="array" aca="1" ref="E170" ca="1">IF('Raw Data'!E172="",_xlfn.REGEXEXTRACT(CELL("address",'Raw Data'!E172),"\$([A-Z]+)\$[0-9]+"),"")</f>
        <v>$E$172</v>
      </c>
      <c r="F170" t="str" cm="1">
        <f t="array" aca="1" ref="F170" ca="1">IF('Raw Data'!F172="",_xlfn.REGEXEXTRACT(CELL("address",'Raw Data'!F172),"\$([A-Z]+)\$[0-9]+"),"")</f>
        <v>$F$172</v>
      </c>
      <c r="G170" t="e" cm="1">
        <f t="array" aca="1" ref="G170" ca="1">IF('Raw Data'!#REF!="",_xlfn.REGEXEXTRACT(CELL("address",'Raw Data'!#REF!),"\$([A-Z]+)\$[0-9]+"),"")</f>
        <v>#REF!</v>
      </c>
      <c r="H170" t="str" cm="1">
        <f t="array" aca="1" ref="H170" ca="1">IF('Raw Data'!G172="",_xlfn.REGEXEXTRACT(CELL("address",'Raw Data'!G172),"\$([A-Z]+)\$[0-9]+"),"")</f>
        <v>$G$172</v>
      </c>
      <c r="I170" t="e" cm="1">
        <f t="array" aca="1" ref="I170" ca="1">IF('Raw Data'!#REF!="",_xlfn.REGEXEXTRACT(CELL("address",'Raw Data'!#REF!),"\$([A-Z]+)\$[0-9]+"),"")</f>
        <v>#REF!</v>
      </c>
    </row>
    <row r="171" spans="2:9" x14ac:dyDescent="0.25">
      <c r="B171" t="str" cm="1">
        <f t="array" aca="1" ref="B171" ca="1">IF('Raw Data'!B173="",_xlfn.REGEXEXTRACT(CELL("address",'Raw Data'!B173),"\$([A-Z]+)\$[0-9]+"),"")</f>
        <v>$B$173</v>
      </c>
      <c r="C171" t="str" cm="1">
        <f t="array" aca="1" ref="C171" ca="1">IF('Raw Data'!C173="",_xlfn.REGEXEXTRACT(CELL("address",'Raw Data'!C173),"\$([A-Z]+)\$[0-9]+"),"")</f>
        <v>$C$173</v>
      </c>
      <c r="D171" t="str" cm="1">
        <f t="array" aca="1" ref="D171" ca="1">IF('Raw Data'!D173="",_xlfn.REGEXEXTRACT(CELL("address",'Raw Data'!D173),"\$([A-Z]+)\$[0-9]+"),"")</f>
        <v>$D$173</v>
      </c>
      <c r="E171" t="str" cm="1">
        <f t="array" aca="1" ref="E171" ca="1">IF('Raw Data'!E173="",_xlfn.REGEXEXTRACT(CELL("address",'Raw Data'!E173),"\$([A-Z]+)\$[0-9]+"),"")</f>
        <v>$E$173</v>
      </c>
      <c r="F171" t="str" cm="1">
        <f t="array" aca="1" ref="F171" ca="1">IF('Raw Data'!F173="",_xlfn.REGEXEXTRACT(CELL("address",'Raw Data'!F173),"\$([A-Z]+)\$[0-9]+"),"")</f>
        <v>$F$173</v>
      </c>
      <c r="G171" t="e" cm="1">
        <f t="array" aca="1" ref="G171" ca="1">IF('Raw Data'!#REF!="",_xlfn.REGEXEXTRACT(CELL("address",'Raw Data'!#REF!),"\$([A-Z]+)\$[0-9]+"),"")</f>
        <v>#REF!</v>
      </c>
      <c r="H171" t="str" cm="1">
        <f t="array" aca="1" ref="H171" ca="1">IF('Raw Data'!G173="",_xlfn.REGEXEXTRACT(CELL("address",'Raw Data'!G173),"\$([A-Z]+)\$[0-9]+"),"")</f>
        <v>$G$173</v>
      </c>
      <c r="I171" t="e" cm="1">
        <f t="array" aca="1" ref="I171" ca="1">IF('Raw Data'!#REF!="",_xlfn.REGEXEXTRACT(CELL("address",'Raw Data'!#REF!),"\$([A-Z]+)\$[0-9]+"),"")</f>
        <v>#REF!</v>
      </c>
    </row>
    <row r="172" spans="2:9" x14ac:dyDescent="0.25">
      <c r="B172" t="str" cm="1">
        <f t="array" aca="1" ref="B172" ca="1">IF('Raw Data'!B174="",_xlfn.REGEXEXTRACT(CELL("address",'Raw Data'!B174),"\$([A-Z]+)\$[0-9]+"),"")</f>
        <v>$B$174</v>
      </c>
      <c r="C172" t="str" cm="1">
        <f t="array" aca="1" ref="C172" ca="1">IF('Raw Data'!C174="",_xlfn.REGEXEXTRACT(CELL("address",'Raw Data'!C174),"\$([A-Z]+)\$[0-9]+"),"")</f>
        <v>$C$174</v>
      </c>
      <c r="D172" t="str" cm="1">
        <f t="array" aca="1" ref="D172" ca="1">IF('Raw Data'!D174="",_xlfn.REGEXEXTRACT(CELL("address",'Raw Data'!D174),"\$([A-Z]+)\$[0-9]+"),"")</f>
        <v>$D$174</v>
      </c>
      <c r="E172" t="str" cm="1">
        <f t="array" aca="1" ref="E172" ca="1">IF('Raw Data'!E174="",_xlfn.REGEXEXTRACT(CELL("address",'Raw Data'!E174),"\$([A-Z]+)\$[0-9]+"),"")</f>
        <v>$E$174</v>
      </c>
      <c r="F172" t="str" cm="1">
        <f t="array" aca="1" ref="F172" ca="1">IF('Raw Data'!F174="",_xlfn.REGEXEXTRACT(CELL("address",'Raw Data'!F174),"\$([A-Z]+)\$[0-9]+"),"")</f>
        <v>$F$174</v>
      </c>
      <c r="G172" t="e" cm="1">
        <f t="array" aca="1" ref="G172" ca="1">IF('Raw Data'!#REF!="",_xlfn.REGEXEXTRACT(CELL("address",'Raw Data'!#REF!),"\$([A-Z]+)\$[0-9]+"),"")</f>
        <v>#REF!</v>
      </c>
      <c r="H172" t="str" cm="1">
        <f t="array" aca="1" ref="H172" ca="1">IF('Raw Data'!G174="",_xlfn.REGEXEXTRACT(CELL("address",'Raw Data'!G174),"\$([A-Z]+)\$[0-9]+"),"")</f>
        <v>$G$174</v>
      </c>
      <c r="I172" t="e" cm="1">
        <f t="array" aca="1" ref="I172" ca="1">IF('Raw Data'!#REF!="",_xlfn.REGEXEXTRACT(CELL("address",'Raw Data'!#REF!),"\$([A-Z]+)\$[0-9]+"),"")</f>
        <v>#REF!</v>
      </c>
    </row>
    <row r="173" spans="2:9" x14ac:dyDescent="0.25">
      <c r="B173" t="str" cm="1">
        <f t="array" aca="1" ref="B173" ca="1">IF('Raw Data'!B175="",_xlfn.REGEXEXTRACT(CELL("address",'Raw Data'!B175),"\$([A-Z]+)\$[0-9]+"),"")</f>
        <v>$B$175</v>
      </c>
      <c r="C173" t="str" cm="1">
        <f t="array" aca="1" ref="C173" ca="1">IF('Raw Data'!C175="",_xlfn.REGEXEXTRACT(CELL("address",'Raw Data'!C175),"\$([A-Z]+)\$[0-9]+"),"")</f>
        <v>$C$175</v>
      </c>
      <c r="D173" t="str" cm="1">
        <f t="array" aca="1" ref="D173" ca="1">IF('Raw Data'!D175="",_xlfn.REGEXEXTRACT(CELL("address",'Raw Data'!D175),"\$([A-Z]+)\$[0-9]+"),"")</f>
        <v>$D$175</v>
      </c>
      <c r="E173" t="str" cm="1">
        <f t="array" aca="1" ref="E173" ca="1">IF('Raw Data'!E175="",_xlfn.REGEXEXTRACT(CELL("address",'Raw Data'!E175),"\$([A-Z]+)\$[0-9]+"),"")</f>
        <v>$E$175</v>
      </c>
      <c r="F173" t="str" cm="1">
        <f t="array" aca="1" ref="F173" ca="1">IF('Raw Data'!F175="",_xlfn.REGEXEXTRACT(CELL("address",'Raw Data'!F175),"\$([A-Z]+)\$[0-9]+"),"")</f>
        <v>$F$175</v>
      </c>
      <c r="G173" t="e" cm="1">
        <f t="array" aca="1" ref="G173" ca="1">IF('Raw Data'!#REF!="",_xlfn.REGEXEXTRACT(CELL("address",'Raw Data'!#REF!),"\$([A-Z]+)\$[0-9]+"),"")</f>
        <v>#REF!</v>
      </c>
      <c r="H173" t="str" cm="1">
        <f t="array" aca="1" ref="H173" ca="1">IF('Raw Data'!G175="",_xlfn.REGEXEXTRACT(CELL("address",'Raw Data'!G175),"\$([A-Z]+)\$[0-9]+"),"")</f>
        <v>$G$175</v>
      </c>
      <c r="I173" t="e" cm="1">
        <f t="array" aca="1" ref="I173" ca="1">IF('Raw Data'!#REF!="",_xlfn.REGEXEXTRACT(CELL("address",'Raw Data'!#REF!),"\$([A-Z]+)\$[0-9]+"),"")</f>
        <v>#REF!</v>
      </c>
    </row>
    <row r="174" spans="2:9" x14ac:dyDescent="0.25">
      <c r="B174" t="str" cm="1">
        <f t="array" aca="1" ref="B174" ca="1">IF('Raw Data'!B176="",_xlfn.REGEXEXTRACT(CELL("address",'Raw Data'!B176),"\$([A-Z]+)\$[0-9]+"),"")</f>
        <v>$B$176</v>
      </c>
      <c r="C174" t="str" cm="1">
        <f t="array" aca="1" ref="C174" ca="1">IF('Raw Data'!C176="",_xlfn.REGEXEXTRACT(CELL("address",'Raw Data'!C176),"\$([A-Z]+)\$[0-9]+"),"")</f>
        <v>$C$176</v>
      </c>
      <c r="D174" t="str" cm="1">
        <f t="array" aca="1" ref="D174" ca="1">IF('Raw Data'!D176="",_xlfn.REGEXEXTRACT(CELL("address",'Raw Data'!D176),"\$([A-Z]+)\$[0-9]+"),"")</f>
        <v>$D$176</v>
      </c>
      <c r="E174" t="str" cm="1">
        <f t="array" aca="1" ref="E174" ca="1">IF('Raw Data'!E176="",_xlfn.REGEXEXTRACT(CELL("address",'Raw Data'!E176),"\$([A-Z]+)\$[0-9]+"),"")</f>
        <v>$E$176</v>
      </c>
      <c r="F174" t="str" cm="1">
        <f t="array" aca="1" ref="F174" ca="1">IF('Raw Data'!F176="",_xlfn.REGEXEXTRACT(CELL("address",'Raw Data'!F176),"\$([A-Z]+)\$[0-9]+"),"")</f>
        <v>$F$176</v>
      </c>
      <c r="G174" t="e" cm="1">
        <f t="array" aca="1" ref="G174" ca="1">IF('Raw Data'!#REF!="",_xlfn.REGEXEXTRACT(CELL("address",'Raw Data'!#REF!),"\$([A-Z]+)\$[0-9]+"),"")</f>
        <v>#REF!</v>
      </c>
      <c r="H174" t="str" cm="1">
        <f t="array" aca="1" ref="H174" ca="1">IF('Raw Data'!G176="",_xlfn.REGEXEXTRACT(CELL("address",'Raw Data'!G176),"\$([A-Z]+)\$[0-9]+"),"")</f>
        <v>$G$176</v>
      </c>
      <c r="I174" t="e" cm="1">
        <f t="array" aca="1" ref="I174" ca="1">IF('Raw Data'!#REF!="",_xlfn.REGEXEXTRACT(CELL("address",'Raw Data'!#REF!),"\$([A-Z]+)\$[0-9]+"),"")</f>
        <v>#REF!</v>
      </c>
    </row>
    <row r="175" spans="2:9" x14ac:dyDescent="0.25">
      <c r="B175" t="str" cm="1">
        <f t="array" aca="1" ref="B175" ca="1">IF('Raw Data'!B177="",_xlfn.REGEXEXTRACT(CELL("address",'Raw Data'!B177),"\$([A-Z]+)\$[0-9]+"),"")</f>
        <v>$B$177</v>
      </c>
      <c r="C175" t="str" cm="1">
        <f t="array" aca="1" ref="C175" ca="1">IF('Raw Data'!C177="",_xlfn.REGEXEXTRACT(CELL("address",'Raw Data'!C177),"\$([A-Z]+)\$[0-9]+"),"")</f>
        <v>$C$177</v>
      </c>
      <c r="D175" t="str" cm="1">
        <f t="array" aca="1" ref="D175" ca="1">IF('Raw Data'!D177="",_xlfn.REGEXEXTRACT(CELL("address",'Raw Data'!D177),"\$([A-Z]+)\$[0-9]+"),"")</f>
        <v>$D$177</v>
      </c>
      <c r="E175" t="str" cm="1">
        <f t="array" aca="1" ref="E175" ca="1">IF('Raw Data'!E177="",_xlfn.REGEXEXTRACT(CELL("address",'Raw Data'!E177),"\$([A-Z]+)\$[0-9]+"),"")</f>
        <v>$E$177</v>
      </c>
      <c r="F175" t="str" cm="1">
        <f t="array" aca="1" ref="F175" ca="1">IF('Raw Data'!F177="",_xlfn.REGEXEXTRACT(CELL("address",'Raw Data'!F177),"\$([A-Z]+)\$[0-9]+"),"")</f>
        <v>$F$177</v>
      </c>
      <c r="G175" t="e" cm="1">
        <f t="array" aca="1" ref="G175" ca="1">IF('Raw Data'!#REF!="",_xlfn.REGEXEXTRACT(CELL("address",'Raw Data'!#REF!),"\$([A-Z]+)\$[0-9]+"),"")</f>
        <v>#REF!</v>
      </c>
      <c r="H175" t="str" cm="1">
        <f t="array" aca="1" ref="H175" ca="1">IF('Raw Data'!G177="",_xlfn.REGEXEXTRACT(CELL("address",'Raw Data'!G177),"\$([A-Z]+)\$[0-9]+"),"")</f>
        <v>$G$177</v>
      </c>
      <c r="I175" t="e" cm="1">
        <f t="array" aca="1" ref="I175" ca="1">IF('Raw Data'!#REF!="",_xlfn.REGEXEXTRACT(CELL("address",'Raw Data'!#REF!),"\$([A-Z]+)\$[0-9]+"),"")</f>
        <v>#REF!</v>
      </c>
    </row>
    <row r="176" spans="2:9" x14ac:dyDescent="0.25">
      <c r="B176" t="str" cm="1">
        <f t="array" aca="1" ref="B176" ca="1">IF('Raw Data'!B178="",_xlfn.REGEXEXTRACT(CELL("address",'Raw Data'!B178),"\$([A-Z]+)\$[0-9]+"),"")</f>
        <v>$B$178</v>
      </c>
      <c r="C176" t="str" cm="1">
        <f t="array" aca="1" ref="C176" ca="1">IF('Raw Data'!C178="",_xlfn.REGEXEXTRACT(CELL("address",'Raw Data'!C178),"\$([A-Z]+)\$[0-9]+"),"")</f>
        <v>$C$178</v>
      </c>
      <c r="D176" t="str" cm="1">
        <f t="array" aca="1" ref="D176" ca="1">IF('Raw Data'!D178="",_xlfn.REGEXEXTRACT(CELL("address",'Raw Data'!D178),"\$([A-Z]+)\$[0-9]+"),"")</f>
        <v>$D$178</v>
      </c>
      <c r="E176" t="str" cm="1">
        <f t="array" aca="1" ref="E176" ca="1">IF('Raw Data'!E178="",_xlfn.REGEXEXTRACT(CELL("address",'Raw Data'!E178),"\$([A-Z]+)\$[0-9]+"),"")</f>
        <v>$E$178</v>
      </c>
      <c r="F176" t="str" cm="1">
        <f t="array" aca="1" ref="F176" ca="1">IF('Raw Data'!F178="",_xlfn.REGEXEXTRACT(CELL("address",'Raw Data'!F178),"\$([A-Z]+)\$[0-9]+"),"")</f>
        <v>$F$178</v>
      </c>
      <c r="G176" t="e" cm="1">
        <f t="array" aca="1" ref="G176" ca="1">IF('Raw Data'!#REF!="",_xlfn.REGEXEXTRACT(CELL("address",'Raw Data'!#REF!),"\$([A-Z]+)\$[0-9]+"),"")</f>
        <v>#REF!</v>
      </c>
      <c r="H176" t="str" cm="1">
        <f t="array" aca="1" ref="H176" ca="1">IF('Raw Data'!G178="",_xlfn.REGEXEXTRACT(CELL("address",'Raw Data'!G178),"\$([A-Z]+)\$[0-9]+"),"")</f>
        <v>$G$178</v>
      </c>
      <c r="I176" t="e" cm="1">
        <f t="array" aca="1" ref="I176" ca="1">IF('Raw Data'!#REF!="",_xlfn.REGEXEXTRACT(CELL("address",'Raw Data'!#REF!),"\$([A-Z]+)\$[0-9]+"),"")</f>
        <v>#REF!</v>
      </c>
    </row>
    <row r="177" spans="2:9" x14ac:dyDescent="0.25">
      <c r="B177" t="str" cm="1">
        <f t="array" aca="1" ref="B177" ca="1">IF('Raw Data'!B179="",_xlfn.REGEXEXTRACT(CELL("address",'Raw Data'!B179),"\$([A-Z]+)\$[0-9]+"),"")</f>
        <v>$B$179</v>
      </c>
      <c r="C177" t="str" cm="1">
        <f t="array" aca="1" ref="C177" ca="1">IF('Raw Data'!C179="",_xlfn.REGEXEXTRACT(CELL("address",'Raw Data'!C179),"\$([A-Z]+)\$[0-9]+"),"")</f>
        <v>$C$179</v>
      </c>
      <c r="D177" t="str" cm="1">
        <f t="array" aca="1" ref="D177" ca="1">IF('Raw Data'!D179="",_xlfn.REGEXEXTRACT(CELL("address",'Raw Data'!D179),"\$([A-Z]+)\$[0-9]+"),"")</f>
        <v>$D$179</v>
      </c>
      <c r="E177" t="str" cm="1">
        <f t="array" aca="1" ref="E177" ca="1">IF('Raw Data'!E179="",_xlfn.REGEXEXTRACT(CELL("address",'Raw Data'!E179),"\$([A-Z]+)\$[0-9]+"),"")</f>
        <v>$E$179</v>
      </c>
      <c r="F177" t="str" cm="1">
        <f t="array" aca="1" ref="F177" ca="1">IF('Raw Data'!F179="",_xlfn.REGEXEXTRACT(CELL("address",'Raw Data'!F179),"\$([A-Z]+)\$[0-9]+"),"")</f>
        <v>$F$179</v>
      </c>
      <c r="G177" t="e" cm="1">
        <f t="array" aca="1" ref="G177" ca="1">IF('Raw Data'!#REF!="",_xlfn.REGEXEXTRACT(CELL("address",'Raw Data'!#REF!),"\$([A-Z]+)\$[0-9]+"),"")</f>
        <v>#REF!</v>
      </c>
      <c r="H177" t="str" cm="1">
        <f t="array" aca="1" ref="H177" ca="1">IF('Raw Data'!G179="",_xlfn.REGEXEXTRACT(CELL("address",'Raw Data'!G179),"\$([A-Z]+)\$[0-9]+"),"")</f>
        <v>$G$179</v>
      </c>
      <c r="I177" t="e" cm="1">
        <f t="array" aca="1" ref="I177" ca="1">IF('Raw Data'!#REF!="",_xlfn.REGEXEXTRACT(CELL("address",'Raw Data'!#REF!),"\$([A-Z]+)\$[0-9]+"),"")</f>
        <v>#REF!</v>
      </c>
    </row>
    <row r="178" spans="2:9" x14ac:dyDescent="0.25">
      <c r="B178" t="str" cm="1">
        <f t="array" aca="1" ref="B178" ca="1">IF('Raw Data'!B180="",_xlfn.REGEXEXTRACT(CELL("address",'Raw Data'!B180),"\$([A-Z]+)\$[0-9]+"),"")</f>
        <v>$B$180</v>
      </c>
      <c r="C178" t="str" cm="1">
        <f t="array" aca="1" ref="C178" ca="1">IF('Raw Data'!C180="",_xlfn.REGEXEXTRACT(CELL("address",'Raw Data'!C180),"\$([A-Z]+)\$[0-9]+"),"")</f>
        <v>$C$180</v>
      </c>
      <c r="D178" t="str" cm="1">
        <f t="array" aca="1" ref="D178" ca="1">IF('Raw Data'!D180="",_xlfn.REGEXEXTRACT(CELL("address",'Raw Data'!D180),"\$([A-Z]+)\$[0-9]+"),"")</f>
        <v>$D$180</v>
      </c>
      <c r="E178" t="str" cm="1">
        <f t="array" aca="1" ref="E178" ca="1">IF('Raw Data'!E180="",_xlfn.REGEXEXTRACT(CELL("address",'Raw Data'!E180),"\$([A-Z]+)\$[0-9]+"),"")</f>
        <v>$E$180</v>
      </c>
      <c r="F178" t="str" cm="1">
        <f t="array" aca="1" ref="F178" ca="1">IF('Raw Data'!F180="",_xlfn.REGEXEXTRACT(CELL("address",'Raw Data'!F180),"\$([A-Z]+)\$[0-9]+"),"")</f>
        <v>$F$180</v>
      </c>
      <c r="G178" t="e" cm="1">
        <f t="array" aca="1" ref="G178" ca="1">IF('Raw Data'!#REF!="",_xlfn.REGEXEXTRACT(CELL("address",'Raw Data'!#REF!),"\$([A-Z]+)\$[0-9]+"),"")</f>
        <v>#REF!</v>
      </c>
      <c r="H178" t="str" cm="1">
        <f t="array" aca="1" ref="H178" ca="1">IF('Raw Data'!G180="",_xlfn.REGEXEXTRACT(CELL("address",'Raw Data'!G180),"\$([A-Z]+)\$[0-9]+"),"")</f>
        <v>$G$180</v>
      </c>
      <c r="I178" t="e" cm="1">
        <f t="array" aca="1" ref="I178" ca="1">IF('Raw Data'!#REF!="",_xlfn.REGEXEXTRACT(CELL("address",'Raw Data'!#REF!),"\$([A-Z]+)\$[0-9]+"),"")</f>
        <v>#REF!</v>
      </c>
    </row>
    <row r="179" spans="2:9" x14ac:dyDescent="0.25">
      <c r="B179" t="str" cm="1">
        <f t="array" aca="1" ref="B179" ca="1">IF('Raw Data'!B181="",_xlfn.REGEXEXTRACT(CELL("address",'Raw Data'!B181),"\$([A-Z]+)\$[0-9]+"),"")</f>
        <v>$B$181</v>
      </c>
      <c r="C179" t="str" cm="1">
        <f t="array" aca="1" ref="C179" ca="1">IF('Raw Data'!C181="",_xlfn.REGEXEXTRACT(CELL("address",'Raw Data'!C181),"\$([A-Z]+)\$[0-9]+"),"")</f>
        <v>$C$181</v>
      </c>
      <c r="D179" t="str" cm="1">
        <f t="array" aca="1" ref="D179" ca="1">IF('Raw Data'!D181="",_xlfn.REGEXEXTRACT(CELL("address",'Raw Data'!D181),"\$([A-Z]+)\$[0-9]+"),"")</f>
        <v>$D$181</v>
      </c>
      <c r="E179" t="str" cm="1">
        <f t="array" aca="1" ref="E179" ca="1">IF('Raw Data'!E181="",_xlfn.REGEXEXTRACT(CELL("address",'Raw Data'!E181),"\$([A-Z]+)\$[0-9]+"),"")</f>
        <v>$E$181</v>
      </c>
      <c r="F179" t="str" cm="1">
        <f t="array" aca="1" ref="F179" ca="1">IF('Raw Data'!F181="",_xlfn.REGEXEXTRACT(CELL("address",'Raw Data'!F181),"\$([A-Z]+)\$[0-9]+"),"")</f>
        <v>$F$181</v>
      </c>
      <c r="G179" t="e" cm="1">
        <f t="array" aca="1" ref="G179" ca="1">IF('Raw Data'!#REF!="",_xlfn.REGEXEXTRACT(CELL("address",'Raw Data'!#REF!),"\$([A-Z]+)\$[0-9]+"),"")</f>
        <v>#REF!</v>
      </c>
      <c r="H179" t="str" cm="1">
        <f t="array" aca="1" ref="H179" ca="1">IF('Raw Data'!G181="",_xlfn.REGEXEXTRACT(CELL("address",'Raw Data'!G181),"\$([A-Z]+)\$[0-9]+"),"")</f>
        <v>$G$181</v>
      </c>
      <c r="I179" t="e" cm="1">
        <f t="array" aca="1" ref="I179" ca="1">IF('Raw Data'!#REF!="",_xlfn.REGEXEXTRACT(CELL("address",'Raw Data'!#REF!),"\$([A-Z]+)\$[0-9]+"),"")</f>
        <v>#REF!</v>
      </c>
    </row>
    <row r="180" spans="2:9" x14ac:dyDescent="0.25">
      <c r="B180" t="str" cm="1">
        <f t="array" aca="1" ref="B180" ca="1">IF('Raw Data'!B182="",_xlfn.REGEXEXTRACT(CELL("address",'Raw Data'!B182),"\$([A-Z]+)\$[0-9]+"),"")</f>
        <v>$B$182</v>
      </c>
      <c r="C180" t="str" cm="1">
        <f t="array" aca="1" ref="C180" ca="1">IF('Raw Data'!C182="",_xlfn.REGEXEXTRACT(CELL("address",'Raw Data'!C182),"\$([A-Z]+)\$[0-9]+"),"")</f>
        <v>$C$182</v>
      </c>
      <c r="D180" t="str" cm="1">
        <f t="array" aca="1" ref="D180" ca="1">IF('Raw Data'!D182="",_xlfn.REGEXEXTRACT(CELL("address",'Raw Data'!D182),"\$([A-Z]+)\$[0-9]+"),"")</f>
        <v>$D$182</v>
      </c>
      <c r="E180" t="str" cm="1">
        <f t="array" aca="1" ref="E180" ca="1">IF('Raw Data'!E182="",_xlfn.REGEXEXTRACT(CELL("address",'Raw Data'!E182),"\$([A-Z]+)\$[0-9]+"),"")</f>
        <v>$E$182</v>
      </c>
      <c r="F180" t="str" cm="1">
        <f t="array" aca="1" ref="F180" ca="1">IF('Raw Data'!F182="",_xlfn.REGEXEXTRACT(CELL("address",'Raw Data'!F182),"\$([A-Z]+)\$[0-9]+"),"")</f>
        <v>$F$182</v>
      </c>
      <c r="G180" t="e" cm="1">
        <f t="array" aca="1" ref="G180" ca="1">IF('Raw Data'!#REF!="",_xlfn.REGEXEXTRACT(CELL("address",'Raw Data'!#REF!),"\$([A-Z]+)\$[0-9]+"),"")</f>
        <v>#REF!</v>
      </c>
      <c r="H180" t="str" cm="1">
        <f t="array" aca="1" ref="H180" ca="1">IF('Raw Data'!G182="",_xlfn.REGEXEXTRACT(CELL("address",'Raw Data'!G182),"\$([A-Z]+)\$[0-9]+"),"")</f>
        <v>$G$182</v>
      </c>
      <c r="I180" t="e" cm="1">
        <f t="array" aca="1" ref="I180" ca="1">IF('Raw Data'!#REF!="",_xlfn.REGEXEXTRACT(CELL("address",'Raw Data'!#REF!),"\$([A-Z]+)\$[0-9]+"),"")</f>
        <v>#REF!</v>
      </c>
    </row>
    <row r="181" spans="2:9" x14ac:dyDescent="0.25">
      <c r="B181" t="str" cm="1">
        <f t="array" aca="1" ref="B181" ca="1">IF('Raw Data'!B183="",_xlfn.REGEXEXTRACT(CELL("address",'Raw Data'!B183),"\$([A-Z]+)\$[0-9]+"),"")</f>
        <v>$B$183</v>
      </c>
      <c r="C181" t="str" cm="1">
        <f t="array" aca="1" ref="C181" ca="1">IF('Raw Data'!C183="",_xlfn.REGEXEXTRACT(CELL("address",'Raw Data'!C183),"\$([A-Z]+)\$[0-9]+"),"")</f>
        <v>$C$183</v>
      </c>
      <c r="D181" t="str" cm="1">
        <f t="array" aca="1" ref="D181" ca="1">IF('Raw Data'!D183="",_xlfn.REGEXEXTRACT(CELL("address",'Raw Data'!D183),"\$([A-Z]+)\$[0-9]+"),"")</f>
        <v>$D$183</v>
      </c>
      <c r="E181" t="str" cm="1">
        <f t="array" aca="1" ref="E181" ca="1">IF('Raw Data'!E183="",_xlfn.REGEXEXTRACT(CELL("address",'Raw Data'!E183),"\$([A-Z]+)\$[0-9]+"),"")</f>
        <v>$E$183</v>
      </c>
      <c r="F181" t="str" cm="1">
        <f t="array" aca="1" ref="F181" ca="1">IF('Raw Data'!F183="",_xlfn.REGEXEXTRACT(CELL("address",'Raw Data'!F183),"\$([A-Z]+)\$[0-9]+"),"")</f>
        <v>$F$183</v>
      </c>
      <c r="G181" t="e" cm="1">
        <f t="array" aca="1" ref="G181" ca="1">IF('Raw Data'!#REF!="",_xlfn.REGEXEXTRACT(CELL("address",'Raw Data'!#REF!),"\$([A-Z]+)\$[0-9]+"),"")</f>
        <v>#REF!</v>
      </c>
      <c r="H181" t="str" cm="1">
        <f t="array" aca="1" ref="H181" ca="1">IF('Raw Data'!G183="",_xlfn.REGEXEXTRACT(CELL("address",'Raw Data'!G183),"\$([A-Z]+)\$[0-9]+"),"")</f>
        <v>$G$183</v>
      </c>
      <c r="I181" t="e" cm="1">
        <f t="array" aca="1" ref="I181" ca="1">IF('Raw Data'!#REF!="",_xlfn.REGEXEXTRACT(CELL("address",'Raw Data'!#REF!),"\$([A-Z]+)\$[0-9]+"),"")</f>
        <v>#REF!</v>
      </c>
    </row>
    <row r="182" spans="2:9" x14ac:dyDescent="0.25">
      <c r="B182" t="str" cm="1">
        <f t="array" aca="1" ref="B182" ca="1">IF('Raw Data'!B184="",_xlfn.REGEXEXTRACT(CELL("address",'Raw Data'!B184),"\$([A-Z]+)\$[0-9]+"),"")</f>
        <v>$B$184</v>
      </c>
      <c r="C182" t="str" cm="1">
        <f t="array" aca="1" ref="C182" ca="1">IF('Raw Data'!C184="",_xlfn.REGEXEXTRACT(CELL("address",'Raw Data'!C184),"\$([A-Z]+)\$[0-9]+"),"")</f>
        <v>$C$184</v>
      </c>
      <c r="D182" t="str" cm="1">
        <f t="array" aca="1" ref="D182" ca="1">IF('Raw Data'!D184="",_xlfn.REGEXEXTRACT(CELL("address",'Raw Data'!D184),"\$([A-Z]+)\$[0-9]+"),"")</f>
        <v>$D$184</v>
      </c>
      <c r="E182" t="str" cm="1">
        <f t="array" aca="1" ref="E182" ca="1">IF('Raw Data'!E184="",_xlfn.REGEXEXTRACT(CELL("address",'Raw Data'!E184),"\$([A-Z]+)\$[0-9]+"),"")</f>
        <v>$E$184</v>
      </c>
      <c r="F182" t="str" cm="1">
        <f t="array" aca="1" ref="F182" ca="1">IF('Raw Data'!F184="",_xlfn.REGEXEXTRACT(CELL("address",'Raw Data'!F184),"\$([A-Z]+)\$[0-9]+"),"")</f>
        <v>$F$184</v>
      </c>
      <c r="G182" t="e" cm="1">
        <f t="array" aca="1" ref="G182" ca="1">IF('Raw Data'!#REF!="",_xlfn.REGEXEXTRACT(CELL("address",'Raw Data'!#REF!),"\$([A-Z]+)\$[0-9]+"),"")</f>
        <v>#REF!</v>
      </c>
      <c r="H182" t="str" cm="1">
        <f t="array" aca="1" ref="H182" ca="1">IF('Raw Data'!G184="",_xlfn.REGEXEXTRACT(CELL("address",'Raw Data'!G184),"\$([A-Z]+)\$[0-9]+"),"")</f>
        <v>$G$184</v>
      </c>
      <c r="I182" t="e" cm="1">
        <f t="array" aca="1" ref="I182" ca="1">IF('Raw Data'!#REF!="",_xlfn.REGEXEXTRACT(CELL("address",'Raw Data'!#REF!),"\$([A-Z]+)\$[0-9]+"),"")</f>
        <v>#REF!</v>
      </c>
    </row>
    <row r="183" spans="2:9" x14ac:dyDescent="0.25">
      <c r="B183" t="str" cm="1">
        <f t="array" aca="1" ref="B183" ca="1">IF('Raw Data'!B185="",_xlfn.REGEXEXTRACT(CELL("address",'Raw Data'!B185),"\$([A-Z]+)\$[0-9]+"),"")</f>
        <v>$B$185</v>
      </c>
      <c r="C183" t="str" cm="1">
        <f t="array" aca="1" ref="C183" ca="1">IF('Raw Data'!C185="",_xlfn.REGEXEXTRACT(CELL("address",'Raw Data'!C185),"\$([A-Z]+)\$[0-9]+"),"")</f>
        <v>$C$185</v>
      </c>
      <c r="D183" t="str" cm="1">
        <f t="array" aca="1" ref="D183" ca="1">IF('Raw Data'!D185="",_xlfn.REGEXEXTRACT(CELL("address",'Raw Data'!D185),"\$([A-Z]+)\$[0-9]+"),"")</f>
        <v>$D$185</v>
      </c>
      <c r="E183" t="str" cm="1">
        <f t="array" aca="1" ref="E183" ca="1">IF('Raw Data'!E185="",_xlfn.REGEXEXTRACT(CELL("address",'Raw Data'!E185),"\$([A-Z]+)\$[0-9]+"),"")</f>
        <v>$E$185</v>
      </c>
      <c r="F183" t="str" cm="1">
        <f t="array" aca="1" ref="F183" ca="1">IF('Raw Data'!F185="",_xlfn.REGEXEXTRACT(CELL("address",'Raw Data'!F185),"\$([A-Z]+)\$[0-9]+"),"")</f>
        <v>$F$185</v>
      </c>
      <c r="G183" t="e" cm="1">
        <f t="array" aca="1" ref="G183" ca="1">IF('Raw Data'!#REF!="",_xlfn.REGEXEXTRACT(CELL("address",'Raw Data'!#REF!),"\$([A-Z]+)\$[0-9]+"),"")</f>
        <v>#REF!</v>
      </c>
      <c r="H183" t="str" cm="1">
        <f t="array" aca="1" ref="H183" ca="1">IF('Raw Data'!G185="",_xlfn.REGEXEXTRACT(CELL("address",'Raw Data'!G185),"\$([A-Z]+)\$[0-9]+"),"")</f>
        <v>$G$185</v>
      </c>
      <c r="I183" t="e" cm="1">
        <f t="array" aca="1" ref="I183" ca="1">IF('Raw Data'!#REF!="",_xlfn.REGEXEXTRACT(CELL("address",'Raw Data'!#REF!),"\$([A-Z]+)\$[0-9]+"),"")</f>
        <v>#REF!</v>
      </c>
    </row>
    <row r="184" spans="2:9" x14ac:dyDescent="0.25">
      <c r="B184" t="str" cm="1">
        <f t="array" aca="1" ref="B184" ca="1">IF('Raw Data'!B186="",_xlfn.REGEXEXTRACT(CELL("address",'Raw Data'!B186),"\$([A-Z]+)\$[0-9]+"),"")</f>
        <v>$B$186</v>
      </c>
      <c r="C184" t="str" cm="1">
        <f t="array" aca="1" ref="C184" ca="1">IF('Raw Data'!C186="",_xlfn.REGEXEXTRACT(CELL("address",'Raw Data'!C186),"\$([A-Z]+)\$[0-9]+"),"")</f>
        <v>$C$186</v>
      </c>
      <c r="D184" t="str" cm="1">
        <f t="array" aca="1" ref="D184" ca="1">IF('Raw Data'!D186="",_xlfn.REGEXEXTRACT(CELL("address",'Raw Data'!D186),"\$([A-Z]+)\$[0-9]+"),"")</f>
        <v>$D$186</v>
      </c>
      <c r="E184" t="str" cm="1">
        <f t="array" aca="1" ref="E184" ca="1">IF('Raw Data'!E186="",_xlfn.REGEXEXTRACT(CELL("address",'Raw Data'!E186),"\$([A-Z]+)\$[0-9]+"),"")</f>
        <v>$E$186</v>
      </c>
      <c r="F184" t="str" cm="1">
        <f t="array" aca="1" ref="F184" ca="1">IF('Raw Data'!F186="",_xlfn.REGEXEXTRACT(CELL("address",'Raw Data'!F186),"\$([A-Z]+)\$[0-9]+"),"")</f>
        <v>$F$186</v>
      </c>
      <c r="G184" t="e" cm="1">
        <f t="array" aca="1" ref="G184" ca="1">IF('Raw Data'!#REF!="",_xlfn.REGEXEXTRACT(CELL("address",'Raw Data'!#REF!),"\$([A-Z]+)\$[0-9]+"),"")</f>
        <v>#REF!</v>
      </c>
      <c r="H184" t="str" cm="1">
        <f t="array" aca="1" ref="H184" ca="1">IF('Raw Data'!G186="",_xlfn.REGEXEXTRACT(CELL("address",'Raw Data'!G186),"\$([A-Z]+)\$[0-9]+"),"")</f>
        <v>$G$186</v>
      </c>
      <c r="I184" t="e" cm="1">
        <f t="array" aca="1" ref="I184" ca="1">IF('Raw Data'!#REF!="",_xlfn.REGEXEXTRACT(CELL("address",'Raw Data'!#REF!),"\$([A-Z]+)\$[0-9]+"),"")</f>
        <v>#REF!</v>
      </c>
    </row>
    <row r="185" spans="2:9" x14ac:dyDescent="0.25">
      <c r="B185" t="str" cm="1">
        <f t="array" aca="1" ref="B185" ca="1">IF('Raw Data'!B187="",_xlfn.REGEXEXTRACT(CELL("address",'Raw Data'!B187),"\$([A-Z]+)\$[0-9]+"),"")</f>
        <v>$B$187</v>
      </c>
      <c r="C185" t="str" cm="1">
        <f t="array" aca="1" ref="C185" ca="1">IF('Raw Data'!C187="",_xlfn.REGEXEXTRACT(CELL("address",'Raw Data'!C187),"\$([A-Z]+)\$[0-9]+"),"")</f>
        <v>$C$187</v>
      </c>
      <c r="D185" t="str" cm="1">
        <f t="array" aca="1" ref="D185" ca="1">IF('Raw Data'!D187="",_xlfn.REGEXEXTRACT(CELL("address",'Raw Data'!D187),"\$([A-Z]+)\$[0-9]+"),"")</f>
        <v>$D$187</v>
      </c>
      <c r="E185" t="str" cm="1">
        <f t="array" aca="1" ref="E185" ca="1">IF('Raw Data'!E187="",_xlfn.REGEXEXTRACT(CELL("address",'Raw Data'!E187),"\$([A-Z]+)\$[0-9]+"),"")</f>
        <v>$E$187</v>
      </c>
      <c r="F185" t="str" cm="1">
        <f t="array" aca="1" ref="F185" ca="1">IF('Raw Data'!F187="",_xlfn.REGEXEXTRACT(CELL("address",'Raw Data'!F187),"\$([A-Z]+)\$[0-9]+"),"")</f>
        <v>$F$187</v>
      </c>
      <c r="G185" t="e" cm="1">
        <f t="array" aca="1" ref="G185" ca="1">IF('Raw Data'!#REF!="",_xlfn.REGEXEXTRACT(CELL("address",'Raw Data'!#REF!),"\$([A-Z]+)\$[0-9]+"),"")</f>
        <v>#REF!</v>
      </c>
      <c r="H185" t="str" cm="1">
        <f t="array" aca="1" ref="H185" ca="1">IF('Raw Data'!G187="",_xlfn.REGEXEXTRACT(CELL("address",'Raw Data'!G187),"\$([A-Z]+)\$[0-9]+"),"")</f>
        <v>$G$187</v>
      </c>
      <c r="I185" t="e" cm="1">
        <f t="array" aca="1" ref="I185" ca="1">IF('Raw Data'!#REF!="",_xlfn.REGEXEXTRACT(CELL("address",'Raw Data'!#REF!),"\$([A-Z]+)\$[0-9]+"),"")</f>
        <v>#REF!</v>
      </c>
    </row>
    <row r="186" spans="2:9" x14ac:dyDescent="0.25">
      <c r="B186" t="str" cm="1">
        <f t="array" aca="1" ref="B186" ca="1">IF('Raw Data'!B188="",_xlfn.REGEXEXTRACT(CELL("address",'Raw Data'!B188),"\$([A-Z]+)\$[0-9]+"),"")</f>
        <v>$B$188</v>
      </c>
      <c r="C186" t="str" cm="1">
        <f t="array" aca="1" ref="C186" ca="1">IF('Raw Data'!C188="",_xlfn.REGEXEXTRACT(CELL("address",'Raw Data'!C188),"\$([A-Z]+)\$[0-9]+"),"")</f>
        <v>$C$188</v>
      </c>
      <c r="D186" t="str" cm="1">
        <f t="array" aca="1" ref="D186" ca="1">IF('Raw Data'!D188="",_xlfn.REGEXEXTRACT(CELL("address",'Raw Data'!D188),"\$([A-Z]+)\$[0-9]+"),"")</f>
        <v>$D$188</v>
      </c>
      <c r="E186" t="str" cm="1">
        <f t="array" aca="1" ref="E186" ca="1">IF('Raw Data'!E188="",_xlfn.REGEXEXTRACT(CELL("address",'Raw Data'!E188),"\$([A-Z]+)\$[0-9]+"),"")</f>
        <v>$E$188</v>
      </c>
      <c r="F186" t="str" cm="1">
        <f t="array" aca="1" ref="F186" ca="1">IF('Raw Data'!F188="",_xlfn.REGEXEXTRACT(CELL("address",'Raw Data'!F188),"\$([A-Z]+)\$[0-9]+"),"")</f>
        <v>$F$188</v>
      </c>
      <c r="G186" t="e" cm="1">
        <f t="array" aca="1" ref="G186" ca="1">IF('Raw Data'!#REF!="",_xlfn.REGEXEXTRACT(CELL("address",'Raw Data'!#REF!),"\$([A-Z]+)\$[0-9]+"),"")</f>
        <v>#REF!</v>
      </c>
      <c r="H186" t="str" cm="1">
        <f t="array" aca="1" ref="H186" ca="1">IF('Raw Data'!G188="",_xlfn.REGEXEXTRACT(CELL("address",'Raw Data'!G188),"\$([A-Z]+)\$[0-9]+"),"")</f>
        <v>$G$188</v>
      </c>
      <c r="I186" t="e" cm="1">
        <f t="array" aca="1" ref="I186" ca="1">IF('Raw Data'!#REF!="",_xlfn.REGEXEXTRACT(CELL("address",'Raw Data'!#REF!),"\$([A-Z]+)\$[0-9]+"),"")</f>
        <v>#REF!</v>
      </c>
    </row>
    <row r="187" spans="2:9" x14ac:dyDescent="0.25">
      <c r="B187" t="str" cm="1">
        <f t="array" aca="1" ref="B187" ca="1">IF('Raw Data'!B189="",_xlfn.REGEXEXTRACT(CELL("address",'Raw Data'!B189),"\$([A-Z]+)\$[0-9]+"),"")</f>
        <v>$B$189</v>
      </c>
      <c r="C187" t="str" cm="1">
        <f t="array" aca="1" ref="C187" ca="1">IF('Raw Data'!C189="",_xlfn.REGEXEXTRACT(CELL("address",'Raw Data'!C189),"\$([A-Z]+)\$[0-9]+"),"")</f>
        <v>$C$189</v>
      </c>
      <c r="D187" t="str" cm="1">
        <f t="array" aca="1" ref="D187" ca="1">IF('Raw Data'!D189="",_xlfn.REGEXEXTRACT(CELL("address",'Raw Data'!D189),"\$([A-Z]+)\$[0-9]+"),"")</f>
        <v>$D$189</v>
      </c>
      <c r="E187" t="str" cm="1">
        <f t="array" aca="1" ref="E187" ca="1">IF('Raw Data'!E189="",_xlfn.REGEXEXTRACT(CELL("address",'Raw Data'!E189),"\$([A-Z]+)\$[0-9]+"),"")</f>
        <v>$E$189</v>
      </c>
      <c r="F187" t="str" cm="1">
        <f t="array" aca="1" ref="F187" ca="1">IF('Raw Data'!F189="",_xlfn.REGEXEXTRACT(CELL("address",'Raw Data'!F189),"\$([A-Z]+)\$[0-9]+"),"")</f>
        <v>$F$189</v>
      </c>
      <c r="G187" t="e" cm="1">
        <f t="array" aca="1" ref="G187" ca="1">IF('Raw Data'!#REF!="",_xlfn.REGEXEXTRACT(CELL("address",'Raw Data'!#REF!),"\$([A-Z]+)\$[0-9]+"),"")</f>
        <v>#REF!</v>
      </c>
      <c r="H187" t="str" cm="1">
        <f t="array" aca="1" ref="H187" ca="1">IF('Raw Data'!G189="",_xlfn.REGEXEXTRACT(CELL("address",'Raw Data'!G189),"\$([A-Z]+)\$[0-9]+"),"")</f>
        <v>$G$189</v>
      </c>
      <c r="I187" t="e" cm="1">
        <f t="array" aca="1" ref="I187" ca="1">IF('Raw Data'!#REF!="",_xlfn.REGEXEXTRACT(CELL("address",'Raw Data'!#REF!),"\$([A-Z]+)\$[0-9]+"),"")</f>
        <v>#REF!</v>
      </c>
    </row>
    <row r="188" spans="2:9" x14ac:dyDescent="0.25">
      <c r="B188" t="str" cm="1">
        <f t="array" aca="1" ref="B188" ca="1">IF('Raw Data'!B190="",_xlfn.REGEXEXTRACT(CELL("address",'Raw Data'!B190),"\$([A-Z]+)\$[0-9]+"),"")</f>
        <v>$B$190</v>
      </c>
      <c r="C188" t="str" cm="1">
        <f t="array" aca="1" ref="C188" ca="1">IF('Raw Data'!C190="",_xlfn.REGEXEXTRACT(CELL("address",'Raw Data'!C190),"\$([A-Z]+)\$[0-9]+"),"")</f>
        <v>$C$190</v>
      </c>
      <c r="D188" t="str" cm="1">
        <f t="array" aca="1" ref="D188" ca="1">IF('Raw Data'!D190="",_xlfn.REGEXEXTRACT(CELL("address",'Raw Data'!D190),"\$([A-Z]+)\$[0-9]+"),"")</f>
        <v>$D$190</v>
      </c>
      <c r="E188" t="str" cm="1">
        <f t="array" aca="1" ref="E188" ca="1">IF('Raw Data'!E190="",_xlfn.REGEXEXTRACT(CELL("address",'Raw Data'!E190),"\$([A-Z]+)\$[0-9]+"),"")</f>
        <v>$E$190</v>
      </c>
      <c r="F188" t="str" cm="1">
        <f t="array" aca="1" ref="F188" ca="1">IF('Raw Data'!F190="",_xlfn.REGEXEXTRACT(CELL("address",'Raw Data'!F190),"\$([A-Z]+)\$[0-9]+"),"")</f>
        <v>$F$190</v>
      </c>
      <c r="G188" t="e" cm="1">
        <f t="array" aca="1" ref="G188" ca="1">IF('Raw Data'!#REF!="",_xlfn.REGEXEXTRACT(CELL("address",'Raw Data'!#REF!),"\$([A-Z]+)\$[0-9]+"),"")</f>
        <v>#REF!</v>
      </c>
      <c r="H188" t="str" cm="1">
        <f t="array" aca="1" ref="H188" ca="1">IF('Raw Data'!G190="",_xlfn.REGEXEXTRACT(CELL("address",'Raw Data'!G190),"\$([A-Z]+)\$[0-9]+"),"")</f>
        <v>$G$190</v>
      </c>
      <c r="I188" t="e" cm="1">
        <f t="array" aca="1" ref="I188" ca="1">IF('Raw Data'!#REF!="",_xlfn.REGEXEXTRACT(CELL("address",'Raw Data'!#REF!),"\$([A-Z]+)\$[0-9]+"),"")</f>
        <v>#REF!</v>
      </c>
    </row>
    <row r="189" spans="2:9" x14ac:dyDescent="0.25">
      <c r="B189" t="str" cm="1">
        <f t="array" aca="1" ref="B189" ca="1">IF('Raw Data'!B191="",_xlfn.REGEXEXTRACT(CELL("address",'Raw Data'!B191),"\$([A-Z]+)\$[0-9]+"),"")</f>
        <v>$B$191</v>
      </c>
      <c r="C189" t="str" cm="1">
        <f t="array" aca="1" ref="C189" ca="1">IF('Raw Data'!C191="",_xlfn.REGEXEXTRACT(CELL("address",'Raw Data'!C191),"\$([A-Z]+)\$[0-9]+"),"")</f>
        <v>$C$191</v>
      </c>
      <c r="D189" t="str" cm="1">
        <f t="array" aca="1" ref="D189" ca="1">IF('Raw Data'!D191="",_xlfn.REGEXEXTRACT(CELL("address",'Raw Data'!D191),"\$([A-Z]+)\$[0-9]+"),"")</f>
        <v>$D$191</v>
      </c>
      <c r="E189" t="str" cm="1">
        <f t="array" aca="1" ref="E189" ca="1">IF('Raw Data'!E191="",_xlfn.REGEXEXTRACT(CELL("address",'Raw Data'!E191),"\$([A-Z]+)\$[0-9]+"),"")</f>
        <v>$E$191</v>
      </c>
      <c r="F189" t="str" cm="1">
        <f t="array" aca="1" ref="F189" ca="1">IF('Raw Data'!F191="",_xlfn.REGEXEXTRACT(CELL("address",'Raw Data'!F191),"\$([A-Z]+)\$[0-9]+"),"")</f>
        <v>$F$191</v>
      </c>
      <c r="G189" t="e" cm="1">
        <f t="array" aca="1" ref="G189" ca="1">IF('Raw Data'!#REF!="",_xlfn.REGEXEXTRACT(CELL("address",'Raw Data'!#REF!),"\$([A-Z]+)\$[0-9]+"),"")</f>
        <v>#REF!</v>
      </c>
      <c r="H189" t="str" cm="1">
        <f t="array" aca="1" ref="H189" ca="1">IF('Raw Data'!G191="",_xlfn.REGEXEXTRACT(CELL("address",'Raw Data'!G191),"\$([A-Z]+)\$[0-9]+"),"")</f>
        <v>$G$191</v>
      </c>
      <c r="I189" t="e" cm="1">
        <f t="array" aca="1" ref="I189" ca="1">IF('Raw Data'!#REF!="",_xlfn.REGEXEXTRACT(CELL("address",'Raw Data'!#REF!),"\$([A-Z]+)\$[0-9]+"),"")</f>
        <v>#REF!</v>
      </c>
    </row>
    <row r="190" spans="2:9" x14ac:dyDescent="0.25">
      <c r="B190" t="str" cm="1">
        <f t="array" aca="1" ref="B190" ca="1">IF('Raw Data'!B192="",_xlfn.REGEXEXTRACT(CELL("address",'Raw Data'!B192),"\$([A-Z]+)\$[0-9]+"),"")</f>
        <v>$B$192</v>
      </c>
      <c r="C190" t="str" cm="1">
        <f t="array" aca="1" ref="C190" ca="1">IF('Raw Data'!C192="",_xlfn.REGEXEXTRACT(CELL("address",'Raw Data'!C192),"\$([A-Z]+)\$[0-9]+"),"")</f>
        <v>$C$192</v>
      </c>
      <c r="D190" t="str" cm="1">
        <f t="array" aca="1" ref="D190" ca="1">IF('Raw Data'!D192="",_xlfn.REGEXEXTRACT(CELL("address",'Raw Data'!D192),"\$([A-Z]+)\$[0-9]+"),"")</f>
        <v>$D$192</v>
      </c>
      <c r="E190" t="str" cm="1">
        <f t="array" aca="1" ref="E190" ca="1">IF('Raw Data'!E192="",_xlfn.REGEXEXTRACT(CELL("address",'Raw Data'!E192),"\$([A-Z]+)\$[0-9]+"),"")</f>
        <v>$E$192</v>
      </c>
      <c r="F190" t="str" cm="1">
        <f t="array" aca="1" ref="F190" ca="1">IF('Raw Data'!F192="",_xlfn.REGEXEXTRACT(CELL("address",'Raw Data'!F192),"\$([A-Z]+)\$[0-9]+"),"")</f>
        <v>$F$192</v>
      </c>
      <c r="G190" t="e" cm="1">
        <f t="array" aca="1" ref="G190" ca="1">IF('Raw Data'!#REF!="",_xlfn.REGEXEXTRACT(CELL("address",'Raw Data'!#REF!),"\$([A-Z]+)\$[0-9]+"),"")</f>
        <v>#REF!</v>
      </c>
      <c r="H190" t="str" cm="1">
        <f t="array" aca="1" ref="H190" ca="1">IF('Raw Data'!G192="",_xlfn.REGEXEXTRACT(CELL("address",'Raw Data'!G192),"\$([A-Z]+)\$[0-9]+"),"")</f>
        <v>$G$192</v>
      </c>
      <c r="I190" t="e" cm="1">
        <f t="array" aca="1" ref="I190" ca="1">IF('Raw Data'!#REF!="",_xlfn.REGEXEXTRACT(CELL("address",'Raw Data'!#REF!),"\$([A-Z]+)\$[0-9]+"),"")</f>
        <v>#REF!</v>
      </c>
    </row>
    <row r="191" spans="2:9" x14ac:dyDescent="0.25">
      <c r="B191" t="str" cm="1">
        <f t="array" aca="1" ref="B191" ca="1">IF('Raw Data'!B193="",_xlfn.REGEXEXTRACT(CELL("address",'Raw Data'!B193),"\$([A-Z]+)\$[0-9]+"),"")</f>
        <v>$B$193</v>
      </c>
      <c r="C191" t="str" cm="1">
        <f t="array" aca="1" ref="C191" ca="1">IF('Raw Data'!C193="",_xlfn.REGEXEXTRACT(CELL("address",'Raw Data'!C193),"\$([A-Z]+)\$[0-9]+"),"")</f>
        <v>$C$193</v>
      </c>
      <c r="D191" t="str" cm="1">
        <f t="array" aca="1" ref="D191" ca="1">IF('Raw Data'!D193="",_xlfn.REGEXEXTRACT(CELL("address",'Raw Data'!D193),"\$([A-Z]+)\$[0-9]+"),"")</f>
        <v>$D$193</v>
      </c>
      <c r="E191" t="str" cm="1">
        <f t="array" aca="1" ref="E191" ca="1">IF('Raw Data'!E193="",_xlfn.REGEXEXTRACT(CELL("address",'Raw Data'!E193),"\$([A-Z]+)\$[0-9]+"),"")</f>
        <v>$E$193</v>
      </c>
      <c r="F191" t="str" cm="1">
        <f t="array" aca="1" ref="F191" ca="1">IF('Raw Data'!F193="",_xlfn.REGEXEXTRACT(CELL("address",'Raw Data'!F193),"\$([A-Z]+)\$[0-9]+"),"")</f>
        <v>$F$193</v>
      </c>
      <c r="G191" t="e" cm="1">
        <f t="array" aca="1" ref="G191" ca="1">IF('Raw Data'!#REF!="",_xlfn.REGEXEXTRACT(CELL("address",'Raw Data'!#REF!),"\$([A-Z]+)\$[0-9]+"),"")</f>
        <v>#REF!</v>
      </c>
      <c r="H191" t="str" cm="1">
        <f t="array" aca="1" ref="H191" ca="1">IF('Raw Data'!G193="",_xlfn.REGEXEXTRACT(CELL("address",'Raw Data'!G193),"\$([A-Z]+)\$[0-9]+"),"")</f>
        <v>$G$193</v>
      </c>
      <c r="I191" t="e" cm="1">
        <f t="array" aca="1" ref="I191" ca="1">IF('Raw Data'!#REF!="",_xlfn.REGEXEXTRACT(CELL("address",'Raw Data'!#REF!),"\$([A-Z]+)\$[0-9]+"),"")</f>
        <v>#REF!</v>
      </c>
    </row>
    <row r="192" spans="2:9" x14ac:dyDescent="0.25">
      <c r="B192" t="str" cm="1">
        <f t="array" aca="1" ref="B192" ca="1">IF('Raw Data'!B194="",_xlfn.REGEXEXTRACT(CELL("address",'Raw Data'!B194),"\$([A-Z]+)\$[0-9]+"),"")</f>
        <v>$B$194</v>
      </c>
      <c r="C192" t="str" cm="1">
        <f t="array" aca="1" ref="C192" ca="1">IF('Raw Data'!C194="",_xlfn.REGEXEXTRACT(CELL("address",'Raw Data'!C194),"\$([A-Z]+)\$[0-9]+"),"")</f>
        <v>$C$194</v>
      </c>
      <c r="D192" t="str" cm="1">
        <f t="array" aca="1" ref="D192" ca="1">IF('Raw Data'!D194="",_xlfn.REGEXEXTRACT(CELL("address",'Raw Data'!D194),"\$([A-Z]+)\$[0-9]+"),"")</f>
        <v>$D$194</v>
      </c>
      <c r="E192" t="str" cm="1">
        <f t="array" aca="1" ref="E192" ca="1">IF('Raw Data'!E194="",_xlfn.REGEXEXTRACT(CELL("address",'Raw Data'!E194),"\$([A-Z]+)\$[0-9]+"),"")</f>
        <v>$E$194</v>
      </c>
      <c r="F192" t="str" cm="1">
        <f t="array" aca="1" ref="F192" ca="1">IF('Raw Data'!F194="",_xlfn.REGEXEXTRACT(CELL("address",'Raw Data'!F194),"\$([A-Z]+)\$[0-9]+"),"")</f>
        <v>$F$194</v>
      </c>
      <c r="G192" t="e" cm="1">
        <f t="array" aca="1" ref="G192" ca="1">IF('Raw Data'!#REF!="",_xlfn.REGEXEXTRACT(CELL("address",'Raw Data'!#REF!),"\$([A-Z]+)\$[0-9]+"),"")</f>
        <v>#REF!</v>
      </c>
      <c r="H192" t="str" cm="1">
        <f t="array" aca="1" ref="H192" ca="1">IF('Raw Data'!G194="",_xlfn.REGEXEXTRACT(CELL("address",'Raw Data'!G194),"\$([A-Z]+)\$[0-9]+"),"")</f>
        <v>$G$194</v>
      </c>
      <c r="I192" t="e" cm="1">
        <f t="array" aca="1" ref="I192" ca="1">IF('Raw Data'!#REF!="",_xlfn.REGEXEXTRACT(CELL("address",'Raw Data'!#REF!),"\$([A-Z]+)\$[0-9]+"),"")</f>
        <v>#REF!</v>
      </c>
    </row>
    <row r="193" spans="2:9" x14ac:dyDescent="0.25">
      <c r="B193" t="str" cm="1">
        <f t="array" aca="1" ref="B193" ca="1">IF('Raw Data'!B195="",_xlfn.REGEXEXTRACT(CELL("address",'Raw Data'!B195),"\$([A-Z]+)\$[0-9]+"),"")</f>
        <v>$B$195</v>
      </c>
      <c r="C193" t="str" cm="1">
        <f t="array" aca="1" ref="C193" ca="1">IF('Raw Data'!C195="",_xlfn.REGEXEXTRACT(CELL("address",'Raw Data'!C195),"\$([A-Z]+)\$[0-9]+"),"")</f>
        <v>$C$195</v>
      </c>
      <c r="D193" t="str" cm="1">
        <f t="array" aca="1" ref="D193" ca="1">IF('Raw Data'!D195="",_xlfn.REGEXEXTRACT(CELL("address",'Raw Data'!D195),"\$([A-Z]+)\$[0-9]+"),"")</f>
        <v>$D$195</v>
      </c>
      <c r="E193" t="str" cm="1">
        <f t="array" aca="1" ref="E193" ca="1">IF('Raw Data'!E195="",_xlfn.REGEXEXTRACT(CELL("address",'Raw Data'!E195),"\$([A-Z]+)\$[0-9]+"),"")</f>
        <v>$E$195</v>
      </c>
      <c r="F193" t="str" cm="1">
        <f t="array" aca="1" ref="F193" ca="1">IF('Raw Data'!F195="",_xlfn.REGEXEXTRACT(CELL("address",'Raw Data'!F195),"\$([A-Z]+)\$[0-9]+"),"")</f>
        <v>$F$195</v>
      </c>
      <c r="G193" t="e" cm="1">
        <f t="array" aca="1" ref="G193" ca="1">IF('Raw Data'!#REF!="",_xlfn.REGEXEXTRACT(CELL("address",'Raw Data'!#REF!),"\$([A-Z]+)\$[0-9]+"),"")</f>
        <v>#REF!</v>
      </c>
      <c r="H193" t="str" cm="1">
        <f t="array" aca="1" ref="H193" ca="1">IF('Raw Data'!G195="",_xlfn.REGEXEXTRACT(CELL("address",'Raw Data'!G195),"\$([A-Z]+)\$[0-9]+"),"")</f>
        <v>$G$195</v>
      </c>
      <c r="I193" t="e" cm="1">
        <f t="array" aca="1" ref="I193" ca="1">IF('Raw Data'!#REF!="",_xlfn.REGEXEXTRACT(CELL("address",'Raw Data'!#REF!),"\$([A-Z]+)\$[0-9]+"),"")</f>
        <v>#REF!</v>
      </c>
    </row>
    <row r="194" spans="2:9" x14ac:dyDescent="0.25">
      <c r="B194" t="str" cm="1">
        <f t="array" aca="1" ref="B194" ca="1">IF('Raw Data'!B196="",_xlfn.REGEXEXTRACT(CELL("address",'Raw Data'!B196),"\$([A-Z]+)\$[0-9]+"),"")</f>
        <v>$B$196</v>
      </c>
      <c r="C194" t="str" cm="1">
        <f t="array" aca="1" ref="C194" ca="1">IF('Raw Data'!C196="",_xlfn.REGEXEXTRACT(CELL("address",'Raw Data'!C196),"\$([A-Z]+)\$[0-9]+"),"")</f>
        <v>$C$196</v>
      </c>
      <c r="D194" t="str" cm="1">
        <f t="array" aca="1" ref="D194" ca="1">IF('Raw Data'!D196="",_xlfn.REGEXEXTRACT(CELL("address",'Raw Data'!D196),"\$([A-Z]+)\$[0-9]+"),"")</f>
        <v>$D$196</v>
      </c>
      <c r="E194" t="str" cm="1">
        <f t="array" aca="1" ref="E194" ca="1">IF('Raw Data'!E196="",_xlfn.REGEXEXTRACT(CELL("address",'Raw Data'!E196),"\$([A-Z]+)\$[0-9]+"),"")</f>
        <v>$E$196</v>
      </c>
      <c r="F194" t="str" cm="1">
        <f t="array" aca="1" ref="F194" ca="1">IF('Raw Data'!F196="",_xlfn.REGEXEXTRACT(CELL("address",'Raw Data'!F196),"\$([A-Z]+)\$[0-9]+"),"")</f>
        <v>$F$196</v>
      </c>
      <c r="G194" t="e" cm="1">
        <f t="array" aca="1" ref="G194" ca="1">IF('Raw Data'!#REF!="",_xlfn.REGEXEXTRACT(CELL("address",'Raw Data'!#REF!),"\$([A-Z]+)\$[0-9]+"),"")</f>
        <v>#REF!</v>
      </c>
      <c r="H194" t="str" cm="1">
        <f t="array" aca="1" ref="H194" ca="1">IF('Raw Data'!G196="",_xlfn.REGEXEXTRACT(CELL("address",'Raw Data'!G196),"\$([A-Z]+)\$[0-9]+"),"")</f>
        <v>$G$196</v>
      </c>
      <c r="I194" t="e" cm="1">
        <f t="array" aca="1" ref="I194" ca="1">IF('Raw Data'!#REF!="",_xlfn.REGEXEXTRACT(CELL("address",'Raw Data'!#REF!),"\$([A-Z]+)\$[0-9]+"),"")</f>
        <v>#REF!</v>
      </c>
    </row>
    <row r="195" spans="2:9" x14ac:dyDescent="0.25">
      <c r="B195" t="str" cm="1">
        <f t="array" aca="1" ref="B195" ca="1">IF('Raw Data'!B197="",_xlfn.REGEXEXTRACT(CELL("address",'Raw Data'!B197),"\$([A-Z]+)\$[0-9]+"),"")</f>
        <v>$B$197</v>
      </c>
      <c r="C195" t="str" cm="1">
        <f t="array" aca="1" ref="C195" ca="1">IF('Raw Data'!C197="",_xlfn.REGEXEXTRACT(CELL("address",'Raw Data'!C197),"\$([A-Z]+)\$[0-9]+"),"")</f>
        <v>$C$197</v>
      </c>
      <c r="D195" t="str" cm="1">
        <f t="array" aca="1" ref="D195" ca="1">IF('Raw Data'!D197="",_xlfn.REGEXEXTRACT(CELL("address",'Raw Data'!D197),"\$([A-Z]+)\$[0-9]+"),"")</f>
        <v>$D$197</v>
      </c>
      <c r="E195" t="str" cm="1">
        <f t="array" aca="1" ref="E195" ca="1">IF('Raw Data'!E197="",_xlfn.REGEXEXTRACT(CELL("address",'Raw Data'!E197),"\$([A-Z]+)\$[0-9]+"),"")</f>
        <v>$E$197</v>
      </c>
      <c r="F195" t="str" cm="1">
        <f t="array" aca="1" ref="F195" ca="1">IF('Raw Data'!F197="",_xlfn.REGEXEXTRACT(CELL("address",'Raw Data'!F197),"\$([A-Z]+)\$[0-9]+"),"")</f>
        <v>$F$197</v>
      </c>
      <c r="G195" t="e" cm="1">
        <f t="array" aca="1" ref="G195" ca="1">IF('Raw Data'!#REF!="",_xlfn.REGEXEXTRACT(CELL("address",'Raw Data'!#REF!),"\$([A-Z]+)\$[0-9]+"),"")</f>
        <v>#REF!</v>
      </c>
      <c r="H195" t="str" cm="1">
        <f t="array" aca="1" ref="H195" ca="1">IF('Raw Data'!G197="",_xlfn.REGEXEXTRACT(CELL("address",'Raw Data'!G197),"\$([A-Z]+)\$[0-9]+"),"")</f>
        <v>$G$197</v>
      </c>
      <c r="I195" t="e" cm="1">
        <f t="array" aca="1" ref="I195" ca="1">IF('Raw Data'!#REF!="",_xlfn.REGEXEXTRACT(CELL("address",'Raw Data'!#REF!),"\$([A-Z]+)\$[0-9]+"),"")</f>
        <v>#REF!</v>
      </c>
    </row>
    <row r="196" spans="2:9" x14ac:dyDescent="0.25">
      <c r="B196" t="str" cm="1">
        <f t="array" aca="1" ref="B196" ca="1">IF('Raw Data'!B198="",_xlfn.REGEXEXTRACT(CELL("address",'Raw Data'!B198),"\$([A-Z]+)\$[0-9]+"),"")</f>
        <v>$B$198</v>
      </c>
      <c r="C196" t="str" cm="1">
        <f t="array" aca="1" ref="C196" ca="1">IF('Raw Data'!C198="",_xlfn.REGEXEXTRACT(CELL("address",'Raw Data'!C198),"\$([A-Z]+)\$[0-9]+"),"")</f>
        <v>$C$198</v>
      </c>
      <c r="D196" t="str" cm="1">
        <f t="array" aca="1" ref="D196" ca="1">IF('Raw Data'!D198="",_xlfn.REGEXEXTRACT(CELL("address",'Raw Data'!D198),"\$([A-Z]+)\$[0-9]+"),"")</f>
        <v>$D$198</v>
      </c>
      <c r="E196" t="str" cm="1">
        <f t="array" aca="1" ref="E196" ca="1">IF('Raw Data'!E198="",_xlfn.REGEXEXTRACT(CELL("address",'Raw Data'!E198),"\$([A-Z]+)\$[0-9]+"),"")</f>
        <v>$E$198</v>
      </c>
      <c r="F196" t="str" cm="1">
        <f t="array" aca="1" ref="F196" ca="1">IF('Raw Data'!F198="",_xlfn.REGEXEXTRACT(CELL("address",'Raw Data'!F198),"\$([A-Z]+)\$[0-9]+"),"")</f>
        <v>$F$198</v>
      </c>
      <c r="G196" t="e" cm="1">
        <f t="array" aca="1" ref="G196" ca="1">IF('Raw Data'!#REF!="",_xlfn.REGEXEXTRACT(CELL("address",'Raw Data'!#REF!),"\$([A-Z]+)\$[0-9]+"),"")</f>
        <v>#REF!</v>
      </c>
      <c r="H196" t="str" cm="1">
        <f t="array" aca="1" ref="H196" ca="1">IF('Raw Data'!G198="",_xlfn.REGEXEXTRACT(CELL("address",'Raw Data'!G198),"\$([A-Z]+)\$[0-9]+"),"")</f>
        <v>$G$198</v>
      </c>
      <c r="I196" t="e" cm="1">
        <f t="array" aca="1" ref="I196" ca="1">IF('Raw Data'!#REF!="",_xlfn.REGEXEXTRACT(CELL("address",'Raw Data'!#REF!),"\$([A-Z]+)\$[0-9]+"),"")</f>
        <v>#REF!</v>
      </c>
    </row>
    <row r="197" spans="2:9" x14ac:dyDescent="0.25">
      <c r="B197" t="str" cm="1">
        <f t="array" aca="1" ref="B197" ca="1">IF('Raw Data'!B199="",_xlfn.REGEXEXTRACT(CELL("address",'Raw Data'!B199),"\$([A-Z]+)\$[0-9]+"),"")</f>
        <v>$B$199</v>
      </c>
      <c r="C197" t="str" cm="1">
        <f t="array" aca="1" ref="C197" ca="1">IF('Raw Data'!C199="",_xlfn.REGEXEXTRACT(CELL("address",'Raw Data'!C199),"\$([A-Z]+)\$[0-9]+"),"")</f>
        <v>$C$199</v>
      </c>
      <c r="D197" t="str" cm="1">
        <f t="array" aca="1" ref="D197" ca="1">IF('Raw Data'!D199="",_xlfn.REGEXEXTRACT(CELL("address",'Raw Data'!D199),"\$([A-Z]+)\$[0-9]+"),"")</f>
        <v>$D$199</v>
      </c>
      <c r="E197" t="str" cm="1">
        <f t="array" aca="1" ref="E197" ca="1">IF('Raw Data'!E199="",_xlfn.REGEXEXTRACT(CELL("address",'Raw Data'!E199),"\$([A-Z]+)\$[0-9]+"),"")</f>
        <v>$E$199</v>
      </c>
      <c r="F197" t="str" cm="1">
        <f t="array" aca="1" ref="F197" ca="1">IF('Raw Data'!F199="",_xlfn.REGEXEXTRACT(CELL("address",'Raw Data'!F199),"\$([A-Z]+)\$[0-9]+"),"")</f>
        <v>$F$199</v>
      </c>
      <c r="G197" t="e" cm="1">
        <f t="array" aca="1" ref="G197" ca="1">IF('Raw Data'!#REF!="",_xlfn.REGEXEXTRACT(CELL("address",'Raw Data'!#REF!),"\$([A-Z]+)\$[0-9]+"),"")</f>
        <v>#REF!</v>
      </c>
      <c r="H197" t="str" cm="1">
        <f t="array" aca="1" ref="H197" ca="1">IF('Raw Data'!G199="",_xlfn.REGEXEXTRACT(CELL("address",'Raw Data'!G199),"\$([A-Z]+)\$[0-9]+"),"")</f>
        <v>$G$199</v>
      </c>
      <c r="I197" t="e" cm="1">
        <f t="array" aca="1" ref="I197" ca="1">IF('Raw Data'!#REF!="",_xlfn.REGEXEXTRACT(CELL("address",'Raw Data'!#REF!),"\$([A-Z]+)\$[0-9]+"),"")</f>
        <v>#REF!</v>
      </c>
    </row>
    <row r="198" spans="2:9" x14ac:dyDescent="0.25">
      <c r="B198" t="str" cm="1">
        <f t="array" aca="1" ref="B198" ca="1">IF('Raw Data'!B200="",_xlfn.REGEXEXTRACT(CELL("address",'Raw Data'!B200),"\$([A-Z]+)\$[0-9]+"),"")</f>
        <v>$B$200</v>
      </c>
      <c r="C198" t="str" cm="1">
        <f t="array" aca="1" ref="C198" ca="1">IF('Raw Data'!C200="",_xlfn.REGEXEXTRACT(CELL("address",'Raw Data'!C200),"\$([A-Z]+)\$[0-9]+"),"")</f>
        <v>$C$200</v>
      </c>
      <c r="D198" t="str" cm="1">
        <f t="array" aca="1" ref="D198" ca="1">IF('Raw Data'!D200="",_xlfn.REGEXEXTRACT(CELL("address",'Raw Data'!D200),"\$([A-Z]+)\$[0-9]+"),"")</f>
        <v>$D$200</v>
      </c>
      <c r="E198" t="str" cm="1">
        <f t="array" aca="1" ref="E198" ca="1">IF('Raw Data'!E200="",_xlfn.REGEXEXTRACT(CELL("address",'Raw Data'!E200),"\$([A-Z]+)\$[0-9]+"),"")</f>
        <v>$E$200</v>
      </c>
      <c r="F198" t="str" cm="1">
        <f t="array" aca="1" ref="F198" ca="1">IF('Raw Data'!F200="",_xlfn.REGEXEXTRACT(CELL("address",'Raw Data'!F200),"\$([A-Z]+)\$[0-9]+"),"")</f>
        <v>$F$200</v>
      </c>
      <c r="G198" t="e" cm="1">
        <f t="array" aca="1" ref="G198" ca="1">IF('Raw Data'!#REF!="",_xlfn.REGEXEXTRACT(CELL("address",'Raw Data'!#REF!),"\$([A-Z]+)\$[0-9]+"),"")</f>
        <v>#REF!</v>
      </c>
      <c r="H198" t="str" cm="1">
        <f t="array" aca="1" ref="H198" ca="1">IF('Raw Data'!G200="",_xlfn.REGEXEXTRACT(CELL("address",'Raw Data'!G200),"\$([A-Z]+)\$[0-9]+"),"")</f>
        <v>$G$200</v>
      </c>
      <c r="I198" t="e" cm="1">
        <f t="array" aca="1" ref="I198" ca="1">IF('Raw Data'!#REF!="",_xlfn.REGEXEXTRACT(CELL("address",'Raw Data'!#REF!),"\$([A-Z]+)\$[0-9]+"),"")</f>
        <v>#REF!</v>
      </c>
    </row>
    <row r="199" spans="2:9" x14ac:dyDescent="0.25">
      <c r="B199" t="str" cm="1">
        <f t="array" aca="1" ref="B199" ca="1">IF('Raw Data'!B201="",_xlfn.REGEXEXTRACT(CELL("address",'Raw Data'!B201),"\$([A-Z]+)\$[0-9]+"),"")</f>
        <v>$B$201</v>
      </c>
      <c r="C199" t="str" cm="1">
        <f t="array" aca="1" ref="C199" ca="1">IF('Raw Data'!C201="",_xlfn.REGEXEXTRACT(CELL("address",'Raw Data'!C201),"\$([A-Z]+)\$[0-9]+"),"")</f>
        <v>$C$201</v>
      </c>
      <c r="D199" t="str" cm="1">
        <f t="array" aca="1" ref="D199" ca="1">IF('Raw Data'!D201="",_xlfn.REGEXEXTRACT(CELL("address",'Raw Data'!D201),"\$([A-Z]+)\$[0-9]+"),"")</f>
        <v>$D$201</v>
      </c>
      <c r="E199" t="str" cm="1">
        <f t="array" aca="1" ref="E199" ca="1">IF('Raw Data'!E201="",_xlfn.REGEXEXTRACT(CELL("address",'Raw Data'!E201),"\$([A-Z]+)\$[0-9]+"),"")</f>
        <v>$E$201</v>
      </c>
      <c r="F199" t="str" cm="1">
        <f t="array" aca="1" ref="F199" ca="1">IF('Raw Data'!F201="",_xlfn.REGEXEXTRACT(CELL("address",'Raw Data'!F201),"\$([A-Z]+)\$[0-9]+"),"")</f>
        <v>$F$201</v>
      </c>
      <c r="G199" t="e" cm="1">
        <f t="array" aca="1" ref="G199" ca="1">IF('Raw Data'!#REF!="",_xlfn.REGEXEXTRACT(CELL("address",'Raw Data'!#REF!),"\$([A-Z]+)\$[0-9]+"),"")</f>
        <v>#REF!</v>
      </c>
      <c r="H199" t="str" cm="1">
        <f t="array" aca="1" ref="H199" ca="1">IF('Raw Data'!G201="",_xlfn.REGEXEXTRACT(CELL("address",'Raw Data'!G201),"\$([A-Z]+)\$[0-9]+"),"")</f>
        <v>$G$201</v>
      </c>
      <c r="I199" t="e" cm="1">
        <f t="array" aca="1" ref="I199" ca="1">IF('Raw Data'!#REF!="",_xlfn.REGEXEXTRACT(CELL("address",'Raw Data'!#REF!),"\$([A-Z]+)\$[0-9]+"),"")</f>
        <v>#REF!</v>
      </c>
    </row>
    <row r="200" spans="2:9" x14ac:dyDescent="0.25">
      <c r="B200" t="str" cm="1">
        <f t="array" aca="1" ref="B200" ca="1">IF('Raw Data'!B202="",_xlfn.REGEXEXTRACT(CELL("address",'Raw Data'!B202),"\$([A-Z]+)\$[0-9]+"),"")</f>
        <v>$B$202</v>
      </c>
      <c r="C200" t="str" cm="1">
        <f t="array" aca="1" ref="C200" ca="1">IF('Raw Data'!C202="",_xlfn.REGEXEXTRACT(CELL("address",'Raw Data'!C202),"\$([A-Z]+)\$[0-9]+"),"")</f>
        <v>$C$202</v>
      </c>
      <c r="D200" t="str" cm="1">
        <f t="array" aca="1" ref="D200" ca="1">IF('Raw Data'!D202="",_xlfn.REGEXEXTRACT(CELL("address",'Raw Data'!D202),"\$([A-Z]+)\$[0-9]+"),"")</f>
        <v>$D$202</v>
      </c>
      <c r="E200" t="str" cm="1">
        <f t="array" aca="1" ref="E200" ca="1">IF('Raw Data'!E202="",_xlfn.REGEXEXTRACT(CELL("address",'Raw Data'!E202),"\$([A-Z]+)\$[0-9]+"),"")</f>
        <v>$E$202</v>
      </c>
      <c r="F200" t="str" cm="1">
        <f t="array" aca="1" ref="F200" ca="1">IF('Raw Data'!F202="",_xlfn.REGEXEXTRACT(CELL("address",'Raw Data'!F202),"\$([A-Z]+)\$[0-9]+"),"")</f>
        <v>$F$202</v>
      </c>
      <c r="G200" t="e" cm="1">
        <f t="array" aca="1" ref="G200" ca="1">IF('Raw Data'!#REF!="",_xlfn.REGEXEXTRACT(CELL("address",'Raw Data'!#REF!),"\$([A-Z]+)\$[0-9]+"),"")</f>
        <v>#REF!</v>
      </c>
      <c r="H200" t="str" cm="1">
        <f t="array" aca="1" ref="H200" ca="1">IF('Raw Data'!G202="",_xlfn.REGEXEXTRACT(CELL("address",'Raw Data'!G202),"\$([A-Z]+)\$[0-9]+"),"")</f>
        <v>$G$202</v>
      </c>
      <c r="I200" t="e" cm="1">
        <f t="array" aca="1" ref="I200" ca="1">IF('Raw Data'!#REF!="",_xlfn.REGEXEXTRACT(CELL("address",'Raw Data'!#REF!),"\$([A-Z]+)\$[0-9]+"),"")</f>
        <v>#REF!</v>
      </c>
    </row>
    <row r="201" spans="2:9" x14ac:dyDescent="0.25">
      <c r="B201" t="str" cm="1">
        <f t="array" aca="1" ref="B201" ca="1">IF('Raw Data'!B203="",_xlfn.REGEXEXTRACT(CELL("address",'Raw Data'!B203),"\$([A-Z]+)\$[0-9]+"),"")</f>
        <v>$B$203</v>
      </c>
      <c r="C201" t="str" cm="1">
        <f t="array" aca="1" ref="C201" ca="1">IF('Raw Data'!C203="",_xlfn.REGEXEXTRACT(CELL("address",'Raw Data'!C203),"\$([A-Z]+)\$[0-9]+"),"")</f>
        <v>$C$203</v>
      </c>
      <c r="D201" t="str" cm="1">
        <f t="array" aca="1" ref="D201" ca="1">IF('Raw Data'!D203="",_xlfn.REGEXEXTRACT(CELL("address",'Raw Data'!D203),"\$([A-Z]+)\$[0-9]+"),"")</f>
        <v>$D$203</v>
      </c>
      <c r="E201" t="str" cm="1">
        <f t="array" aca="1" ref="E201" ca="1">IF('Raw Data'!E203="",_xlfn.REGEXEXTRACT(CELL("address",'Raw Data'!E203),"\$([A-Z]+)\$[0-9]+"),"")</f>
        <v>$E$203</v>
      </c>
      <c r="F201" t="str" cm="1">
        <f t="array" aca="1" ref="F201" ca="1">IF('Raw Data'!F203="",_xlfn.REGEXEXTRACT(CELL("address",'Raw Data'!F203),"\$([A-Z]+)\$[0-9]+"),"")</f>
        <v>$F$203</v>
      </c>
      <c r="G201" t="e" cm="1">
        <f t="array" aca="1" ref="G201" ca="1">IF('Raw Data'!#REF!="",_xlfn.REGEXEXTRACT(CELL("address",'Raw Data'!#REF!),"\$([A-Z]+)\$[0-9]+"),"")</f>
        <v>#REF!</v>
      </c>
      <c r="H201" t="str" cm="1">
        <f t="array" aca="1" ref="H201" ca="1">IF('Raw Data'!G203="",_xlfn.REGEXEXTRACT(CELL("address",'Raw Data'!G203),"\$([A-Z]+)\$[0-9]+"),"")</f>
        <v>$G$203</v>
      </c>
      <c r="I201" t="e" cm="1">
        <f t="array" aca="1" ref="I201" ca="1">IF('Raw Data'!#REF!="",_xlfn.REGEXEXTRACT(CELL("address",'Raw Data'!#REF!),"\$([A-Z]+)\$[0-9]+"),"")</f>
        <v>#REF!</v>
      </c>
    </row>
    <row r="202" spans="2:9" x14ac:dyDescent="0.25">
      <c r="B202" t="str" cm="1">
        <f t="array" aca="1" ref="B202" ca="1">IF('Raw Data'!B204="",_xlfn.REGEXEXTRACT(CELL("address",'Raw Data'!B204),"\$([A-Z]+)\$[0-9]+"),"")</f>
        <v>$B$204</v>
      </c>
      <c r="C202" t="str" cm="1">
        <f t="array" aca="1" ref="C202" ca="1">IF('Raw Data'!C204="",_xlfn.REGEXEXTRACT(CELL("address",'Raw Data'!C204),"\$([A-Z]+)\$[0-9]+"),"")</f>
        <v>$C$204</v>
      </c>
      <c r="D202" t="str" cm="1">
        <f t="array" aca="1" ref="D202" ca="1">IF('Raw Data'!D204="",_xlfn.REGEXEXTRACT(CELL("address",'Raw Data'!D204),"\$([A-Z]+)\$[0-9]+"),"")</f>
        <v>$D$204</v>
      </c>
      <c r="E202" t="str" cm="1">
        <f t="array" aca="1" ref="E202" ca="1">IF('Raw Data'!E204="",_xlfn.REGEXEXTRACT(CELL("address",'Raw Data'!E204),"\$([A-Z]+)\$[0-9]+"),"")</f>
        <v>$E$204</v>
      </c>
      <c r="F202" t="str" cm="1">
        <f t="array" aca="1" ref="F202" ca="1">IF('Raw Data'!F204="",_xlfn.REGEXEXTRACT(CELL("address",'Raw Data'!F204),"\$([A-Z]+)\$[0-9]+"),"")</f>
        <v>$F$204</v>
      </c>
      <c r="G202" t="e" cm="1">
        <f t="array" aca="1" ref="G202" ca="1">IF('Raw Data'!#REF!="",_xlfn.REGEXEXTRACT(CELL("address",'Raw Data'!#REF!),"\$([A-Z]+)\$[0-9]+"),"")</f>
        <v>#REF!</v>
      </c>
      <c r="H202" t="str" cm="1">
        <f t="array" aca="1" ref="H202" ca="1">IF('Raw Data'!G204="",_xlfn.REGEXEXTRACT(CELL("address",'Raw Data'!G204),"\$([A-Z]+)\$[0-9]+"),"")</f>
        <v>$G$204</v>
      </c>
      <c r="I202" t="e" cm="1">
        <f t="array" aca="1" ref="I202" ca="1">IF('Raw Data'!#REF!="",_xlfn.REGEXEXTRACT(CELL("address",'Raw Data'!#REF!),"\$([A-Z]+)\$[0-9]+"),"")</f>
        <v>#REF!</v>
      </c>
    </row>
    <row r="203" spans="2:9" x14ac:dyDescent="0.25">
      <c r="B203" t="str" cm="1">
        <f t="array" aca="1" ref="B203" ca="1">IF('Raw Data'!B205="",_xlfn.REGEXEXTRACT(CELL("address",'Raw Data'!B205),"\$([A-Z]+)\$[0-9]+"),"")</f>
        <v>$B$205</v>
      </c>
      <c r="C203" t="str" cm="1">
        <f t="array" aca="1" ref="C203" ca="1">IF('Raw Data'!C205="",_xlfn.REGEXEXTRACT(CELL("address",'Raw Data'!C205),"\$([A-Z]+)\$[0-9]+"),"")</f>
        <v>$C$205</v>
      </c>
      <c r="D203" t="str" cm="1">
        <f t="array" aca="1" ref="D203" ca="1">IF('Raw Data'!D205="",_xlfn.REGEXEXTRACT(CELL("address",'Raw Data'!D205),"\$([A-Z]+)\$[0-9]+"),"")</f>
        <v>$D$205</v>
      </c>
      <c r="E203" t="str" cm="1">
        <f t="array" aca="1" ref="E203" ca="1">IF('Raw Data'!E205="",_xlfn.REGEXEXTRACT(CELL("address",'Raw Data'!E205),"\$([A-Z]+)\$[0-9]+"),"")</f>
        <v>$E$205</v>
      </c>
      <c r="F203" t="str" cm="1">
        <f t="array" aca="1" ref="F203" ca="1">IF('Raw Data'!F205="",_xlfn.REGEXEXTRACT(CELL("address",'Raw Data'!F205),"\$([A-Z]+)\$[0-9]+"),"")</f>
        <v>$F$205</v>
      </c>
      <c r="G203" t="e" cm="1">
        <f t="array" aca="1" ref="G203" ca="1">IF('Raw Data'!#REF!="",_xlfn.REGEXEXTRACT(CELL("address",'Raw Data'!#REF!),"\$([A-Z]+)\$[0-9]+"),"")</f>
        <v>#REF!</v>
      </c>
      <c r="H203" t="str" cm="1">
        <f t="array" aca="1" ref="H203" ca="1">IF('Raw Data'!G205="",_xlfn.REGEXEXTRACT(CELL("address",'Raw Data'!G205),"\$([A-Z]+)\$[0-9]+"),"")</f>
        <v>$G$205</v>
      </c>
      <c r="I203" t="e" cm="1">
        <f t="array" aca="1" ref="I203" ca="1">IF('Raw Data'!#REF!="",_xlfn.REGEXEXTRACT(CELL("address",'Raw Data'!#REF!),"\$([A-Z]+)\$[0-9]+"),"")</f>
        <v>#REF!</v>
      </c>
    </row>
    <row r="204" spans="2:9" x14ac:dyDescent="0.25">
      <c r="B204" t="str" cm="1">
        <f t="array" aca="1" ref="B204" ca="1">IF('Raw Data'!B206="",_xlfn.REGEXEXTRACT(CELL("address",'Raw Data'!B206),"\$([A-Z]+)\$[0-9]+"),"")</f>
        <v>$B$206</v>
      </c>
      <c r="C204" t="str" cm="1">
        <f t="array" aca="1" ref="C204" ca="1">IF('Raw Data'!C206="",_xlfn.REGEXEXTRACT(CELL("address",'Raw Data'!C206),"\$([A-Z]+)\$[0-9]+"),"")</f>
        <v>$C$206</v>
      </c>
      <c r="D204" t="str" cm="1">
        <f t="array" aca="1" ref="D204" ca="1">IF('Raw Data'!D206="",_xlfn.REGEXEXTRACT(CELL("address",'Raw Data'!D206),"\$([A-Z]+)\$[0-9]+"),"")</f>
        <v>$D$206</v>
      </c>
      <c r="E204" t="str" cm="1">
        <f t="array" aca="1" ref="E204" ca="1">IF('Raw Data'!E206="",_xlfn.REGEXEXTRACT(CELL("address",'Raw Data'!E206),"\$([A-Z]+)\$[0-9]+"),"")</f>
        <v>$E$206</v>
      </c>
      <c r="F204" t="str" cm="1">
        <f t="array" aca="1" ref="F204" ca="1">IF('Raw Data'!F206="",_xlfn.REGEXEXTRACT(CELL("address",'Raw Data'!F206),"\$([A-Z]+)\$[0-9]+"),"")</f>
        <v>$F$206</v>
      </c>
      <c r="G204" t="e" cm="1">
        <f t="array" aca="1" ref="G204" ca="1">IF('Raw Data'!#REF!="",_xlfn.REGEXEXTRACT(CELL("address",'Raw Data'!#REF!),"\$([A-Z]+)\$[0-9]+"),"")</f>
        <v>#REF!</v>
      </c>
      <c r="H204" t="str" cm="1">
        <f t="array" aca="1" ref="H204" ca="1">IF('Raw Data'!G206="",_xlfn.REGEXEXTRACT(CELL("address",'Raw Data'!G206),"\$([A-Z]+)\$[0-9]+"),"")</f>
        <v>$G$206</v>
      </c>
      <c r="I204" t="e" cm="1">
        <f t="array" aca="1" ref="I204" ca="1">IF('Raw Data'!#REF!="",_xlfn.REGEXEXTRACT(CELL("address",'Raw Data'!#REF!),"\$([A-Z]+)\$[0-9]+"),"")</f>
        <v>#REF!</v>
      </c>
    </row>
    <row r="205" spans="2:9" x14ac:dyDescent="0.25">
      <c r="B205" t="str" cm="1">
        <f t="array" aca="1" ref="B205" ca="1">IF('Raw Data'!B207="",_xlfn.REGEXEXTRACT(CELL("address",'Raw Data'!B207),"\$([A-Z]+)\$[0-9]+"),"")</f>
        <v>$B$207</v>
      </c>
      <c r="C205" t="str" cm="1">
        <f t="array" aca="1" ref="C205" ca="1">IF('Raw Data'!C207="",_xlfn.REGEXEXTRACT(CELL("address",'Raw Data'!C207),"\$([A-Z]+)\$[0-9]+"),"")</f>
        <v>$C$207</v>
      </c>
      <c r="D205" t="str" cm="1">
        <f t="array" aca="1" ref="D205" ca="1">IF('Raw Data'!D207="",_xlfn.REGEXEXTRACT(CELL("address",'Raw Data'!D207),"\$([A-Z]+)\$[0-9]+"),"")</f>
        <v>$D$207</v>
      </c>
      <c r="E205" t="str" cm="1">
        <f t="array" aca="1" ref="E205" ca="1">IF('Raw Data'!E207="",_xlfn.REGEXEXTRACT(CELL("address",'Raw Data'!E207),"\$([A-Z]+)\$[0-9]+"),"")</f>
        <v>$E$207</v>
      </c>
      <c r="F205" t="str" cm="1">
        <f t="array" aca="1" ref="F205" ca="1">IF('Raw Data'!F207="",_xlfn.REGEXEXTRACT(CELL("address",'Raw Data'!F207),"\$([A-Z]+)\$[0-9]+"),"")</f>
        <v>$F$207</v>
      </c>
      <c r="G205" t="e" cm="1">
        <f t="array" aca="1" ref="G205" ca="1">IF('Raw Data'!#REF!="",_xlfn.REGEXEXTRACT(CELL("address",'Raw Data'!#REF!),"\$([A-Z]+)\$[0-9]+"),"")</f>
        <v>#REF!</v>
      </c>
      <c r="H205" t="str" cm="1">
        <f t="array" aca="1" ref="H205" ca="1">IF('Raw Data'!G207="",_xlfn.REGEXEXTRACT(CELL("address",'Raw Data'!G207),"\$([A-Z]+)\$[0-9]+"),"")</f>
        <v>$G$207</v>
      </c>
      <c r="I205" t="e" cm="1">
        <f t="array" aca="1" ref="I205" ca="1">IF('Raw Data'!#REF!="",_xlfn.REGEXEXTRACT(CELL("address",'Raw Data'!#REF!),"\$([A-Z]+)\$[0-9]+"),"")</f>
        <v>#REF!</v>
      </c>
    </row>
    <row r="206" spans="2:9" x14ac:dyDescent="0.25">
      <c r="B206" t="str" cm="1">
        <f t="array" aca="1" ref="B206" ca="1">IF('Raw Data'!B208="",_xlfn.REGEXEXTRACT(CELL("address",'Raw Data'!B208),"\$([A-Z]+)\$[0-9]+"),"")</f>
        <v>$B$208</v>
      </c>
      <c r="C206" t="str" cm="1">
        <f t="array" aca="1" ref="C206" ca="1">IF('Raw Data'!C208="",_xlfn.REGEXEXTRACT(CELL("address",'Raw Data'!C208),"\$([A-Z]+)\$[0-9]+"),"")</f>
        <v>$C$208</v>
      </c>
      <c r="D206" t="str" cm="1">
        <f t="array" aca="1" ref="D206" ca="1">IF('Raw Data'!D208="",_xlfn.REGEXEXTRACT(CELL("address",'Raw Data'!D208),"\$([A-Z]+)\$[0-9]+"),"")</f>
        <v>$D$208</v>
      </c>
      <c r="E206" t="str" cm="1">
        <f t="array" aca="1" ref="E206" ca="1">IF('Raw Data'!E208="",_xlfn.REGEXEXTRACT(CELL("address",'Raw Data'!E208),"\$([A-Z]+)\$[0-9]+"),"")</f>
        <v>$E$208</v>
      </c>
      <c r="F206" t="str" cm="1">
        <f t="array" aca="1" ref="F206" ca="1">IF('Raw Data'!F208="",_xlfn.REGEXEXTRACT(CELL("address",'Raw Data'!F208),"\$([A-Z]+)\$[0-9]+"),"")</f>
        <v>$F$208</v>
      </c>
      <c r="G206" t="e" cm="1">
        <f t="array" aca="1" ref="G206" ca="1">IF('Raw Data'!#REF!="",_xlfn.REGEXEXTRACT(CELL("address",'Raw Data'!#REF!),"\$([A-Z]+)\$[0-9]+"),"")</f>
        <v>#REF!</v>
      </c>
      <c r="H206" t="str" cm="1">
        <f t="array" aca="1" ref="H206" ca="1">IF('Raw Data'!G208="",_xlfn.REGEXEXTRACT(CELL("address",'Raw Data'!G208),"\$([A-Z]+)\$[0-9]+"),"")</f>
        <v>$G$208</v>
      </c>
      <c r="I206" t="e" cm="1">
        <f t="array" aca="1" ref="I206" ca="1">IF('Raw Data'!#REF!="",_xlfn.REGEXEXTRACT(CELL("address",'Raw Data'!#REF!),"\$([A-Z]+)\$[0-9]+"),"")</f>
        <v>#REF!</v>
      </c>
    </row>
    <row r="207" spans="2:9" x14ac:dyDescent="0.25">
      <c r="B207" t="str" cm="1">
        <f t="array" aca="1" ref="B207" ca="1">IF('Raw Data'!B209="",_xlfn.REGEXEXTRACT(CELL("address",'Raw Data'!B209),"\$([A-Z]+)\$[0-9]+"),"")</f>
        <v>$B$209</v>
      </c>
      <c r="C207" t="str" cm="1">
        <f t="array" aca="1" ref="C207" ca="1">IF('Raw Data'!C209="",_xlfn.REGEXEXTRACT(CELL("address",'Raw Data'!C209),"\$([A-Z]+)\$[0-9]+"),"")</f>
        <v>$C$209</v>
      </c>
      <c r="D207" t="str" cm="1">
        <f t="array" aca="1" ref="D207" ca="1">IF('Raw Data'!D209="",_xlfn.REGEXEXTRACT(CELL("address",'Raw Data'!D209),"\$([A-Z]+)\$[0-9]+"),"")</f>
        <v>$D$209</v>
      </c>
      <c r="E207" t="str" cm="1">
        <f t="array" aca="1" ref="E207" ca="1">IF('Raw Data'!E209="",_xlfn.REGEXEXTRACT(CELL("address",'Raw Data'!E209),"\$([A-Z]+)\$[0-9]+"),"")</f>
        <v>$E$209</v>
      </c>
      <c r="F207" t="str" cm="1">
        <f t="array" aca="1" ref="F207" ca="1">IF('Raw Data'!F209="",_xlfn.REGEXEXTRACT(CELL("address",'Raw Data'!F209),"\$([A-Z]+)\$[0-9]+"),"")</f>
        <v>$F$209</v>
      </c>
      <c r="G207" t="e" cm="1">
        <f t="array" aca="1" ref="G207" ca="1">IF('Raw Data'!#REF!="",_xlfn.REGEXEXTRACT(CELL("address",'Raw Data'!#REF!),"\$([A-Z]+)\$[0-9]+"),"")</f>
        <v>#REF!</v>
      </c>
      <c r="H207" t="str" cm="1">
        <f t="array" aca="1" ref="H207" ca="1">IF('Raw Data'!G209="",_xlfn.REGEXEXTRACT(CELL("address",'Raw Data'!G209),"\$([A-Z]+)\$[0-9]+"),"")</f>
        <v>$G$209</v>
      </c>
      <c r="I207" t="e" cm="1">
        <f t="array" aca="1" ref="I207" ca="1">IF('Raw Data'!#REF!="",_xlfn.REGEXEXTRACT(CELL("address",'Raw Data'!#REF!),"\$([A-Z]+)\$[0-9]+"),"")</f>
        <v>#REF!</v>
      </c>
    </row>
    <row r="208" spans="2:9" x14ac:dyDescent="0.25">
      <c r="B208" t="str" cm="1">
        <f t="array" aca="1" ref="B208" ca="1">IF('Raw Data'!B210="",_xlfn.REGEXEXTRACT(CELL("address",'Raw Data'!B210),"\$([A-Z]+)\$[0-9]+"),"")</f>
        <v>$B$210</v>
      </c>
      <c r="C208" t="str" cm="1">
        <f t="array" aca="1" ref="C208" ca="1">IF('Raw Data'!C210="",_xlfn.REGEXEXTRACT(CELL("address",'Raw Data'!C210),"\$([A-Z]+)\$[0-9]+"),"")</f>
        <v>$C$210</v>
      </c>
      <c r="D208" t="str" cm="1">
        <f t="array" aca="1" ref="D208" ca="1">IF('Raw Data'!D210="",_xlfn.REGEXEXTRACT(CELL("address",'Raw Data'!D210),"\$([A-Z]+)\$[0-9]+"),"")</f>
        <v>$D$210</v>
      </c>
      <c r="E208" t="str" cm="1">
        <f t="array" aca="1" ref="E208" ca="1">IF('Raw Data'!E210="",_xlfn.REGEXEXTRACT(CELL("address",'Raw Data'!E210),"\$([A-Z]+)\$[0-9]+"),"")</f>
        <v>$E$210</v>
      </c>
      <c r="F208" t="str" cm="1">
        <f t="array" aca="1" ref="F208" ca="1">IF('Raw Data'!F210="",_xlfn.REGEXEXTRACT(CELL("address",'Raw Data'!F210),"\$([A-Z]+)\$[0-9]+"),"")</f>
        <v>$F$210</v>
      </c>
      <c r="G208" t="e" cm="1">
        <f t="array" aca="1" ref="G208" ca="1">IF('Raw Data'!#REF!="",_xlfn.REGEXEXTRACT(CELL("address",'Raw Data'!#REF!),"\$([A-Z]+)\$[0-9]+"),"")</f>
        <v>#REF!</v>
      </c>
      <c r="H208" t="str" cm="1">
        <f t="array" aca="1" ref="H208" ca="1">IF('Raw Data'!G210="",_xlfn.REGEXEXTRACT(CELL("address",'Raw Data'!G210),"\$([A-Z]+)\$[0-9]+"),"")</f>
        <v>$G$210</v>
      </c>
      <c r="I208" t="e" cm="1">
        <f t="array" aca="1" ref="I208" ca="1">IF('Raw Data'!#REF!="",_xlfn.REGEXEXTRACT(CELL("address",'Raw Data'!#REF!),"\$([A-Z]+)\$[0-9]+"),"")</f>
        <v>#REF!</v>
      </c>
    </row>
    <row r="209" spans="2:9" x14ac:dyDescent="0.25">
      <c r="B209" t="str" cm="1">
        <f t="array" aca="1" ref="B209" ca="1">IF('Raw Data'!B211="",_xlfn.REGEXEXTRACT(CELL("address",'Raw Data'!B211),"\$([A-Z]+)\$[0-9]+"),"")</f>
        <v>$B$211</v>
      </c>
      <c r="C209" t="str" cm="1">
        <f t="array" aca="1" ref="C209" ca="1">IF('Raw Data'!C211="",_xlfn.REGEXEXTRACT(CELL("address",'Raw Data'!C211),"\$([A-Z]+)\$[0-9]+"),"")</f>
        <v>$C$211</v>
      </c>
      <c r="D209" t="str" cm="1">
        <f t="array" aca="1" ref="D209" ca="1">IF('Raw Data'!D211="",_xlfn.REGEXEXTRACT(CELL("address",'Raw Data'!D211),"\$([A-Z]+)\$[0-9]+"),"")</f>
        <v>$D$211</v>
      </c>
      <c r="E209" t="str" cm="1">
        <f t="array" aca="1" ref="E209" ca="1">IF('Raw Data'!E211="",_xlfn.REGEXEXTRACT(CELL("address",'Raw Data'!E211),"\$([A-Z]+)\$[0-9]+"),"")</f>
        <v>$E$211</v>
      </c>
      <c r="F209" t="str" cm="1">
        <f t="array" aca="1" ref="F209" ca="1">IF('Raw Data'!F211="",_xlfn.REGEXEXTRACT(CELL("address",'Raw Data'!F211),"\$([A-Z]+)\$[0-9]+"),"")</f>
        <v>$F$211</v>
      </c>
      <c r="G209" t="e" cm="1">
        <f t="array" aca="1" ref="G209" ca="1">IF('Raw Data'!#REF!="",_xlfn.REGEXEXTRACT(CELL("address",'Raw Data'!#REF!),"\$([A-Z]+)\$[0-9]+"),"")</f>
        <v>#REF!</v>
      </c>
      <c r="H209" t="str" cm="1">
        <f t="array" aca="1" ref="H209" ca="1">IF('Raw Data'!G211="",_xlfn.REGEXEXTRACT(CELL("address",'Raw Data'!G211),"\$([A-Z]+)\$[0-9]+"),"")</f>
        <v>$G$211</v>
      </c>
      <c r="I209" t="e" cm="1">
        <f t="array" aca="1" ref="I209" ca="1">IF('Raw Data'!#REF!="",_xlfn.REGEXEXTRACT(CELL("address",'Raw Data'!#REF!),"\$([A-Z]+)\$[0-9]+"),"")</f>
        <v>#REF!</v>
      </c>
    </row>
    <row r="210" spans="2:9" x14ac:dyDescent="0.25">
      <c r="B210" t="str" cm="1">
        <f t="array" aca="1" ref="B210" ca="1">IF('Raw Data'!B212="",_xlfn.REGEXEXTRACT(CELL("address",'Raw Data'!B212),"\$([A-Z]+)\$[0-9]+"),"")</f>
        <v>$B$212</v>
      </c>
      <c r="C210" t="str" cm="1">
        <f t="array" aca="1" ref="C210" ca="1">IF('Raw Data'!C212="",_xlfn.REGEXEXTRACT(CELL("address",'Raw Data'!C212),"\$([A-Z]+)\$[0-9]+"),"")</f>
        <v>$C$212</v>
      </c>
      <c r="D210" t="str" cm="1">
        <f t="array" aca="1" ref="D210" ca="1">IF('Raw Data'!D212="",_xlfn.REGEXEXTRACT(CELL("address",'Raw Data'!D212),"\$([A-Z]+)\$[0-9]+"),"")</f>
        <v>$D$212</v>
      </c>
      <c r="E210" t="str" cm="1">
        <f t="array" aca="1" ref="E210" ca="1">IF('Raw Data'!E212="",_xlfn.REGEXEXTRACT(CELL("address",'Raw Data'!E212),"\$([A-Z]+)\$[0-9]+"),"")</f>
        <v>$E$212</v>
      </c>
      <c r="F210" t="str" cm="1">
        <f t="array" aca="1" ref="F210" ca="1">IF('Raw Data'!F212="",_xlfn.REGEXEXTRACT(CELL("address",'Raw Data'!F212),"\$([A-Z]+)\$[0-9]+"),"")</f>
        <v>$F$212</v>
      </c>
      <c r="G210" t="e" cm="1">
        <f t="array" aca="1" ref="G210" ca="1">IF('Raw Data'!#REF!="",_xlfn.REGEXEXTRACT(CELL("address",'Raw Data'!#REF!),"\$([A-Z]+)\$[0-9]+"),"")</f>
        <v>#REF!</v>
      </c>
      <c r="H210" t="str" cm="1">
        <f t="array" aca="1" ref="H210" ca="1">IF('Raw Data'!G212="",_xlfn.REGEXEXTRACT(CELL("address",'Raw Data'!G212),"\$([A-Z]+)\$[0-9]+"),"")</f>
        <v>$G$212</v>
      </c>
      <c r="I210" t="e" cm="1">
        <f t="array" aca="1" ref="I210" ca="1">IF('Raw Data'!#REF!="",_xlfn.REGEXEXTRACT(CELL("address",'Raw Data'!#REF!),"\$([A-Z]+)\$[0-9]+"),"")</f>
        <v>#REF!</v>
      </c>
    </row>
    <row r="211" spans="2:9" x14ac:dyDescent="0.25">
      <c r="B211" t="str" cm="1">
        <f t="array" aca="1" ref="B211" ca="1">IF('Raw Data'!B213="",_xlfn.REGEXEXTRACT(CELL("address",'Raw Data'!B213),"\$([A-Z]+)\$[0-9]+"),"")</f>
        <v>$B$213</v>
      </c>
      <c r="C211" t="str" cm="1">
        <f t="array" aca="1" ref="C211" ca="1">IF('Raw Data'!C213="",_xlfn.REGEXEXTRACT(CELL("address",'Raw Data'!C213),"\$([A-Z]+)\$[0-9]+"),"")</f>
        <v>$C$213</v>
      </c>
      <c r="D211" t="str" cm="1">
        <f t="array" aca="1" ref="D211" ca="1">IF('Raw Data'!D213="",_xlfn.REGEXEXTRACT(CELL("address",'Raw Data'!D213),"\$([A-Z]+)\$[0-9]+"),"")</f>
        <v>$D$213</v>
      </c>
      <c r="E211" t="str" cm="1">
        <f t="array" aca="1" ref="E211" ca="1">IF('Raw Data'!E213="",_xlfn.REGEXEXTRACT(CELL("address",'Raw Data'!E213),"\$([A-Z]+)\$[0-9]+"),"")</f>
        <v>$E$213</v>
      </c>
      <c r="F211" t="str" cm="1">
        <f t="array" aca="1" ref="F211" ca="1">IF('Raw Data'!F213="",_xlfn.REGEXEXTRACT(CELL("address",'Raw Data'!F213),"\$([A-Z]+)\$[0-9]+"),"")</f>
        <v>$F$213</v>
      </c>
      <c r="G211" t="e" cm="1">
        <f t="array" aca="1" ref="G211" ca="1">IF('Raw Data'!#REF!="",_xlfn.REGEXEXTRACT(CELL("address",'Raw Data'!#REF!),"\$([A-Z]+)\$[0-9]+"),"")</f>
        <v>#REF!</v>
      </c>
      <c r="H211" t="str" cm="1">
        <f t="array" aca="1" ref="H211" ca="1">IF('Raw Data'!G213="",_xlfn.REGEXEXTRACT(CELL("address",'Raw Data'!G213),"\$([A-Z]+)\$[0-9]+"),"")</f>
        <v>$G$213</v>
      </c>
      <c r="I211" t="e" cm="1">
        <f t="array" aca="1" ref="I211" ca="1">IF('Raw Data'!#REF!="",_xlfn.REGEXEXTRACT(CELL("address",'Raw Data'!#REF!),"\$([A-Z]+)\$[0-9]+"),"")</f>
        <v>#REF!</v>
      </c>
    </row>
    <row r="212" spans="2:9" x14ac:dyDescent="0.25">
      <c r="B212" t="str" cm="1">
        <f t="array" aca="1" ref="B212" ca="1">IF('Raw Data'!B214="",_xlfn.REGEXEXTRACT(CELL("address",'Raw Data'!B214),"\$([A-Z]+)\$[0-9]+"),"")</f>
        <v>$B$214</v>
      </c>
      <c r="C212" t="str" cm="1">
        <f t="array" aca="1" ref="C212" ca="1">IF('Raw Data'!C214="",_xlfn.REGEXEXTRACT(CELL("address",'Raw Data'!C214),"\$([A-Z]+)\$[0-9]+"),"")</f>
        <v>$C$214</v>
      </c>
      <c r="D212" t="str" cm="1">
        <f t="array" aca="1" ref="D212" ca="1">IF('Raw Data'!D214="",_xlfn.REGEXEXTRACT(CELL("address",'Raw Data'!D214),"\$([A-Z]+)\$[0-9]+"),"")</f>
        <v>$D$214</v>
      </c>
      <c r="E212" t="str" cm="1">
        <f t="array" aca="1" ref="E212" ca="1">IF('Raw Data'!E214="",_xlfn.REGEXEXTRACT(CELL("address",'Raw Data'!E214),"\$([A-Z]+)\$[0-9]+"),"")</f>
        <v>$E$214</v>
      </c>
      <c r="F212" t="str" cm="1">
        <f t="array" aca="1" ref="F212" ca="1">IF('Raw Data'!F214="",_xlfn.REGEXEXTRACT(CELL("address",'Raw Data'!F214),"\$([A-Z]+)\$[0-9]+"),"")</f>
        <v>$F$214</v>
      </c>
      <c r="G212" t="e" cm="1">
        <f t="array" aca="1" ref="G212" ca="1">IF('Raw Data'!#REF!="",_xlfn.REGEXEXTRACT(CELL("address",'Raw Data'!#REF!),"\$([A-Z]+)\$[0-9]+"),"")</f>
        <v>#REF!</v>
      </c>
      <c r="H212" t="str" cm="1">
        <f t="array" aca="1" ref="H212" ca="1">IF('Raw Data'!G214="",_xlfn.REGEXEXTRACT(CELL("address",'Raw Data'!G214),"\$([A-Z]+)\$[0-9]+"),"")</f>
        <v>$G$214</v>
      </c>
      <c r="I212" t="e" cm="1">
        <f t="array" aca="1" ref="I212" ca="1">IF('Raw Data'!#REF!="",_xlfn.REGEXEXTRACT(CELL("address",'Raw Data'!#REF!),"\$([A-Z]+)\$[0-9]+"),"")</f>
        <v>#REF!</v>
      </c>
    </row>
    <row r="213" spans="2:9" x14ac:dyDescent="0.25">
      <c r="B213" t="str" cm="1">
        <f t="array" aca="1" ref="B213" ca="1">IF('Raw Data'!B215="",_xlfn.REGEXEXTRACT(CELL("address",'Raw Data'!B215),"\$([A-Z]+)\$[0-9]+"),"")</f>
        <v>$B$215</v>
      </c>
      <c r="C213" t="str" cm="1">
        <f t="array" aca="1" ref="C213" ca="1">IF('Raw Data'!C215="",_xlfn.REGEXEXTRACT(CELL("address",'Raw Data'!C215),"\$([A-Z]+)\$[0-9]+"),"")</f>
        <v>$C$215</v>
      </c>
      <c r="D213" t="str" cm="1">
        <f t="array" aca="1" ref="D213" ca="1">IF('Raw Data'!D215="",_xlfn.REGEXEXTRACT(CELL("address",'Raw Data'!D215),"\$([A-Z]+)\$[0-9]+"),"")</f>
        <v>$D$215</v>
      </c>
      <c r="E213" t="str" cm="1">
        <f t="array" aca="1" ref="E213" ca="1">IF('Raw Data'!E215="",_xlfn.REGEXEXTRACT(CELL("address",'Raw Data'!E215),"\$([A-Z]+)\$[0-9]+"),"")</f>
        <v>$E$215</v>
      </c>
      <c r="F213" t="str" cm="1">
        <f t="array" aca="1" ref="F213" ca="1">IF('Raw Data'!F215="",_xlfn.REGEXEXTRACT(CELL("address",'Raw Data'!F215),"\$([A-Z]+)\$[0-9]+"),"")</f>
        <v>$F$215</v>
      </c>
      <c r="G213" t="e" cm="1">
        <f t="array" aca="1" ref="G213" ca="1">IF('Raw Data'!#REF!="",_xlfn.REGEXEXTRACT(CELL("address",'Raw Data'!#REF!),"\$([A-Z]+)\$[0-9]+"),"")</f>
        <v>#REF!</v>
      </c>
      <c r="H213" t="str" cm="1">
        <f t="array" aca="1" ref="H213" ca="1">IF('Raw Data'!G215="",_xlfn.REGEXEXTRACT(CELL("address",'Raw Data'!G215),"\$([A-Z]+)\$[0-9]+"),"")</f>
        <v>$G$215</v>
      </c>
      <c r="I213" t="e" cm="1">
        <f t="array" aca="1" ref="I213" ca="1">IF('Raw Data'!#REF!="",_xlfn.REGEXEXTRACT(CELL("address",'Raw Data'!#REF!),"\$([A-Z]+)\$[0-9]+"),"")</f>
        <v>#REF!</v>
      </c>
    </row>
    <row r="214" spans="2:9" x14ac:dyDescent="0.25">
      <c r="B214" t="str" cm="1">
        <f t="array" aca="1" ref="B214" ca="1">IF('Raw Data'!B216="",_xlfn.REGEXEXTRACT(CELL("address",'Raw Data'!B216),"\$([A-Z]+)\$[0-9]+"),"")</f>
        <v>$B$216</v>
      </c>
      <c r="C214" t="str" cm="1">
        <f t="array" aca="1" ref="C214" ca="1">IF('Raw Data'!C216="",_xlfn.REGEXEXTRACT(CELL("address",'Raw Data'!C216),"\$([A-Z]+)\$[0-9]+"),"")</f>
        <v>$C$216</v>
      </c>
      <c r="D214" t="str" cm="1">
        <f t="array" aca="1" ref="D214" ca="1">IF('Raw Data'!D216="",_xlfn.REGEXEXTRACT(CELL("address",'Raw Data'!D216),"\$([A-Z]+)\$[0-9]+"),"")</f>
        <v>$D$216</v>
      </c>
      <c r="E214" t="str" cm="1">
        <f t="array" aca="1" ref="E214" ca="1">IF('Raw Data'!E216="",_xlfn.REGEXEXTRACT(CELL("address",'Raw Data'!E216),"\$([A-Z]+)\$[0-9]+"),"")</f>
        <v>$E$216</v>
      </c>
      <c r="F214" t="str" cm="1">
        <f t="array" aca="1" ref="F214" ca="1">IF('Raw Data'!F216="",_xlfn.REGEXEXTRACT(CELL("address",'Raw Data'!F216),"\$([A-Z]+)\$[0-9]+"),"")</f>
        <v>$F$216</v>
      </c>
      <c r="G214" t="e" cm="1">
        <f t="array" aca="1" ref="G214" ca="1">IF('Raw Data'!#REF!="",_xlfn.REGEXEXTRACT(CELL("address",'Raw Data'!#REF!),"\$([A-Z]+)\$[0-9]+"),"")</f>
        <v>#REF!</v>
      </c>
      <c r="H214" t="str" cm="1">
        <f t="array" aca="1" ref="H214" ca="1">IF('Raw Data'!G216="",_xlfn.REGEXEXTRACT(CELL("address",'Raw Data'!G216),"\$([A-Z]+)\$[0-9]+"),"")</f>
        <v>$G$216</v>
      </c>
      <c r="I214" t="e" cm="1">
        <f t="array" aca="1" ref="I214" ca="1">IF('Raw Data'!#REF!="",_xlfn.REGEXEXTRACT(CELL("address",'Raw Data'!#REF!),"\$([A-Z]+)\$[0-9]+"),"")</f>
        <v>#REF!</v>
      </c>
    </row>
    <row r="215" spans="2:9" x14ac:dyDescent="0.25">
      <c r="B215" t="str" cm="1">
        <f t="array" aca="1" ref="B215" ca="1">IF('Raw Data'!B217="",_xlfn.REGEXEXTRACT(CELL("address",'Raw Data'!B217),"\$([A-Z]+)\$[0-9]+"),"")</f>
        <v>$B$217</v>
      </c>
      <c r="C215" t="str" cm="1">
        <f t="array" aca="1" ref="C215" ca="1">IF('Raw Data'!C217="",_xlfn.REGEXEXTRACT(CELL("address",'Raw Data'!C217),"\$([A-Z]+)\$[0-9]+"),"")</f>
        <v>$C$217</v>
      </c>
      <c r="D215" t="str" cm="1">
        <f t="array" aca="1" ref="D215" ca="1">IF('Raw Data'!D217="",_xlfn.REGEXEXTRACT(CELL("address",'Raw Data'!D217),"\$([A-Z]+)\$[0-9]+"),"")</f>
        <v>$D$217</v>
      </c>
      <c r="E215" t="str" cm="1">
        <f t="array" aca="1" ref="E215" ca="1">IF('Raw Data'!E217="",_xlfn.REGEXEXTRACT(CELL("address",'Raw Data'!E217),"\$([A-Z]+)\$[0-9]+"),"")</f>
        <v>$E$217</v>
      </c>
      <c r="F215" t="str" cm="1">
        <f t="array" aca="1" ref="F215" ca="1">IF('Raw Data'!F217="",_xlfn.REGEXEXTRACT(CELL("address",'Raw Data'!F217),"\$([A-Z]+)\$[0-9]+"),"")</f>
        <v>$F$217</v>
      </c>
      <c r="G215" t="e" cm="1">
        <f t="array" aca="1" ref="G215" ca="1">IF('Raw Data'!#REF!="",_xlfn.REGEXEXTRACT(CELL("address",'Raw Data'!#REF!),"\$([A-Z]+)\$[0-9]+"),"")</f>
        <v>#REF!</v>
      </c>
      <c r="H215" t="str" cm="1">
        <f t="array" aca="1" ref="H215" ca="1">IF('Raw Data'!G217="",_xlfn.REGEXEXTRACT(CELL("address",'Raw Data'!G217),"\$([A-Z]+)\$[0-9]+"),"")</f>
        <v>$G$217</v>
      </c>
      <c r="I215" t="e" cm="1">
        <f t="array" aca="1" ref="I215" ca="1">IF('Raw Data'!#REF!="",_xlfn.REGEXEXTRACT(CELL("address",'Raw Data'!#REF!),"\$([A-Z]+)\$[0-9]+"),"")</f>
        <v>#REF!</v>
      </c>
    </row>
    <row r="216" spans="2:9" x14ac:dyDescent="0.25">
      <c r="B216" t="str" cm="1">
        <f t="array" aca="1" ref="B216" ca="1">IF('Raw Data'!B218="",_xlfn.REGEXEXTRACT(CELL("address",'Raw Data'!B218),"\$([A-Z]+)\$[0-9]+"),"")</f>
        <v>$B$218</v>
      </c>
      <c r="C216" t="str" cm="1">
        <f t="array" aca="1" ref="C216" ca="1">IF('Raw Data'!C218="",_xlfn.REGEXEXTRACT(CELL("address",'Raw Data'!C218),"\$([A-Z]+)\$[0-9]+"),"")</f>
        <v>$C$218</v>
      </c>
      <c r="D216" t="str" cm="1">
        <f t="array" aca="1" ref="D216" ca="1">IF('Raw Data'!D218="",_xlfn.REGEXEXTRACT(CELL("address",'Raw Data'!D218),"\$([A-Z]+)\$[0-9]+"),"")</f>
        <v>$D$218</v>
      </c>
      <c r="E216" t="str" cm="1">
        <f t="array" aca="1" ref="E216" ca="1">IF('Raw Data'!E218="",_xlfn.REGEXEXTRACT(CELL("address",'Raw Data'!E218),"\$([A-Z]+)\$[0-9]+"),"")</f>
        <v>$E$218</v>
      </c>
      <c r="F216" t="str" cm="1">
        <f t="array" aca="1" ref="F216" ca="1">IF('Raw Data'!F218="",_xlfn.REGEXEXTRACT(CELL("address",'Raw Data'!F218),"\$([A-Z]+)\$[0-9]+"),"")</f>
        <v>$F$218</v>
      </c>
      <c r="G216" t="e" cm="1">
        <f t="array" aca="1" ref="G216" ca="1">IF('Raw Data'!#REF!="",_xlfn.REGEXEXTRACT(CELL("address",'Raw Data'!#REF!),"\$([A-Z]+)\$[0-9]+"),"")</f>
        <v>#REF!</v>
      </c>
      <c r="H216" t="str" cm="1">
        <f t="array" aca="1" ref="H216" ca="1">IF('Raw Data'!G218="",_xlfn.REGEXEXTRACT(CELL("address",'Raw Data'!G218),"\$([A-Z]+)\$[0-9]+"),"")</f>
        <v>$G$218</v>
      </c>
      <c r="I216" t="e" cm="1">
        <f t="array" aca="1" ref="I216" ca="1">IF('Raw Data'!#REF!="",_xlfn.REGEXEXTRACT(CELL("address",'Raw Data'!#REF!),"\$([A-Z]+)\$[0-9]+"),"")</f>
        <v>#REF!</v>
      </c>
    </row>
    <row r="217" spans="2:9" x14ac:dyDescent="0.25">
      <c r="B217" t="str" cm="1">
        <f t="array" aca="1" ref="B217" ca="1">IF('Raw Data'!B219="",_xlfn.REGEXEXTRACT(CELL("address",'Raw Data'!B219),"\$([A-Z]+)\$[0-9]+"),"")</f>
        <v>$B$219</v>
      </c>
      <c r="C217" t="str" cm="1">
        <f t="array" aca="1" ref="C217" ca="1">IF('Raw Data'!C219="",_xlfn.REGEXEXTRACT(CELL("address",'Raw Data'!C219),"\$([A-Z]+)\$[0-9]+"),"")</f>
        <v>$C$219</v>
      </c>
      <c r="D217" t="str" cm="1">
        <f t="array" aca="1" ref="D217" ca="1">IF('Raw Data'!D219="",_xlfn.REGEXEXTRACT(CELL("address",'Raw Data'!D219),"\$([A-Z]+)\$[0-9]+"),"")</f>
        <v>$D$219</v>
      </c>
      <c r="E217" t="str" cm="1">
        <f t="array" aca="1" ref="E217" ca="1">IF('Raw Data'!E219="",_xlfn.REGEXEXTRACT(CELL("address",'Raw Data'!E219),"\$([A-Z]+)\$[0-9]+"),"")</f>
        <v>$E$219</v>
      </c>
      <c r="F217" t="str" cm="1">
        <f t="array" aca="1" ref="F217" ca="1">IF('Raw Data'!F219="",_xlfn.REGEXEXTRACT(CELL("address",'Raw Data'!F219),"\$([A-Z]+)\$[0-9]+"),"")</f>
        <v>$F$219</v>
      </c>
      <c r="G217" t="e" cm="1">
        <f t="array" aca="1" ref="G217" ca="1">IF('Raw Data'!#REF!="",_xlfn.REGEXEXTRACT(CELL("address",'Raw Data'!#REF!),"\$([A-Z]+)\$[0-9]+"),"")</f>
        <v>#REF!</v>
      </c>
      <c r="H217" t="str" cm="1">
        <f t="array" aca="1" ref="H217" ca="1">IF('Raw Data'!G219="",_xlfn.REGEXEXTRACT(CELL("address",'Raw Data'!G219),"\$([A-Z]+)\$[0-9]+"),"")</f>
        <v>$G$219</v>
      </c>
      <c r="I217" t="e" cm="1">
        <f t="array" aca="1" ref="I217" ca="1">IF('Raw Data'!#REF!="",_xlfn.REGEXEXTRACT(CELL("address",'Raw Data'!#REF!),"\$([A-Z]+)\$[0-9]+"),"")</f>
        <v>#REF!</v>
      </c>
    </row>
    <row r="218" spans="2:9" x14ac:dyDescent="0.25">
      <c r="B218" t="str" cm="1">
        <f t="array" aca="1" ref="B218" ca="1">IF('Raw Data'!B220="",_xlfn.REGEXEXTRACT(CELL("address",'Raw Data'!B220),"\$([A-Z]+)\$[0-9]+"),"")</f>
        <v>$B$220</v>
      </c>
      <c r="C218" t="str" cm="1">
        <f t="array" aca="1" ref="C218" ca="1">IF('Raw Data'!C220="",_xlfn.REGEXEXTRACT(CELL("address",'Raw Data'!C220),"\$([A-Z]+)\$[0-9]+"),"")</f>
        <v>$C$220</v>
      </c>
      <c r="D218" t="str" cm="1">
        <f t="array" aca="1" ref="D218" ca="1">IF('Raw Data'!D220="",_xlfn.REGEXEXTRACT(CELL("address",'Raw Data'!D220),"\$([A-Z]+)\$[0-9]+"),"")</f>
        <v>$D$220</v>
      </c>
      <c r="E218" t="str" cm="1">
        <f t="array" aca="1" ref="E218" ca="1">IF('Raw Data'!E220="",_xlfn.REGEXEXTRACT(CELL("address",'Raw Data'!E220),"\$([A-Z]+)\$[0-9]+"),"")</f>
        <v>$E$220</v>
      </c>
      <c r="F218" t="str" cm="1">
        <f t="array" aca="1" ref="F218" ca="1">IF('Raw Data'!F220="",_xlfn.REGEXEXTRACT(CELL("address",'Raw Data'!F220),"\$([A-Z]+)\$[0-9]+"),"")</f>
        <v>$F$220</v>
      </c>
      <c r="G218" t="e" cm="1">
        <f t="array" aca="1" ref="G218" ca="1">IF('Raw Data'!#REF!="",_xlfn.REGEXEXTRACT(CELL("address",'Raw Data'!#REF!),"\$([A-Z]+)\$[0-9]+"),"")</f>
        <v>#REF!</v>
      </c>
      <c r="H218" t="str" cm="1">
        <f t="array" aca="1" ref="H218" ca="1">IF('Raw Data'!G220="",_xlfn.REGEXEXTRACT(CELL("address",'Raw Data'!G220),"\$([A-Z]+)\$[0-9]+"),"")</f>
        <v>$G$220</v>
      </c>
      <c r="I218" t="e" cm="1">
        <f t="array" aca="1" ref="I218" ca="1">IF('Raw Data'!#REF!="",_xlfn.REGEXEXTRACT(CELL("address",'Raw Data'!#REF!),"\$([A-Z]+)\$[0-9]+"),"")</f>
        <v>#REF!</v>
      </c>
    </row>
    <row r="219" spans="2:9" x14ac:dyDescent="0.25">
      <c r="B219" t="str" cm="1">
        <f t="array" aca="1" ref="B219" ca="1">IF('Raw Data'!B221="",_xlfn.REGEXEXTRACT(CELL("address",'Raw Data'!B221),"\$([A-Z]+)\$[0-9]+"),"")</f>
        <v>$B$221</v>
      </c>
      <c r="C219" t="str" cm="1">
        <f t="array" aca="1" ref="C219" ca="1">IF('Raw Data'!C221="",_xlfn.REGEXEXTRACT(CELL("address",'Raw Data'!C221),"\$([A-Z]+)\$[0-9]+"),"")</f>
        <v>$C$221</v>
      </c>
      <c r="D219" t="str" cm="1">
        <f t="array" aca="1" ref="D219" ca="1">IF('Raw Data'!D221="",_xlfn.REGEXEXTRACT(CELL("address",'Raw Data'!D221),"\$([A-Z]+)\$[0-9]+"),"")</f>
        <v>$D$221</v>
      </c>
      <c r="E219" t="str" cm="1">
        <f t="array" aca="1" ref="E219" ca="1">IF('Raw Data'!E221="",_xlfn.REGEXEXTRACT(CELL("address",'Raw Data'!E221),"\$([A-Z]+)\$[0-9]+"),"")</f>
        <v>$E$221</v>
      </c>
      <c r="F219" t="str" cm="1">
        <f t="array" aca="1" ref="F219" ca="1">IF('Raw Data'!F221="",_xlfn.REGEXEXTRACT(CELL("address",'Raw Data'!F221),"\$([A-Z]+)\$[0-9]+"),"")</f>
        <v>$F$221</v>
      </c>
      <c r="G219" t="e" cm="1">
        <f t="array" aca="1" ref="G219" ca="1">IF('Raw Data'!#REF!="",_xlfn.REGEXEXTRACT(CELL("address",'Raw Data'!#REF!),"\$([A-Z]+)\$[0-9]+"),"")</f>
        <v>#REF!</v>
      </c>
      <c r="H219" t="str" cm="1">
        <f t="array" aca="1" ref="H219" ca="1">IF('Raw Data'!G221="",_xlfn.REGEXEXTRACT(CELL("address",'Raw Data'!G221),"\$([A-Z]+)\$[0-9]+"),"")</f>
        <v>$G$221</v>
      </c>
      <c r="I219" t="e" cm="1">
        <f t="array" aca="1" ref="I219" ca="1">IF('Raw Data'!#REF!="",_xlfn.REGEXEXTRACT(CELL("address",'Raw Data'!#REF!),"\$([A-Z]+)\$[0-9]+"),"")</f>
        <v>#REF!</v>
      </c>
    </row>
    <row r="220" spans="2:9" x14ac:dyDescent="0.25">
      <c r="B220" t="str" cm="1">
        <f t="array" aca="1" ref="B220" ca="1">IF('Raw Data'!B222="",_xlfn.REGEXEXTRACT(CELL("address",'Raw Data'!B222),"\$([A-Z]+)\$[0-9]+"),"")</f>
        <v>$B$222</v>
      </c>
      <c r="C220" t="str" cm="1">
        <f t="array" aca="1" ref="C220" ca="1">IF('Raw Data'!C222="",_xlfn.REGEXEXTRACT(CELL("address",'Raw Data'!C222),"\$([A-Z]+)\$[0-9]+"),"")</f>
        <v>$C$222</v>
      </c>
      <c r="D220" t="str" cm="1">
        <f t="array" aca="1" ref="D220" ca="1">IF('Raw Data'!D222="",_xlfn.REGEXEXTRACT(CELL("address",'Raw Data'!D222),"\$([A-Z]+)\$[0-9]+"),"")</f>
        <v>$D$222</v>
      </c>
      <c r="E220" t="str" cm="1">
        <f t="array" aca="1" ref="E220" ca="1">IF('Raw Data'!E222="",_xlfn.REGEXEXTRACT(CELL("address",'Raw Data'!E222),"\$([A-Z]+)\$[0-9]+"),"")</f>
        <v>$E$222</v>
      </c>
      <c r="F220" t="str" cm="1">
        <f t="array" aca="1" ref="F220" ca="1">IF('Raw Data'!F222="",_xlfn.REGEXEXTRACT(CELL("address",'Raw Data'!F222),"\$([A-Z]+)\$[0-9]+"),"")</f>
        <v>$F$222</v>
      </c>
      <c r="G220" t="e" cm="1">
        <f t="array" aca="1" ref="G220" ca="1">IF('Raw Data'!#REF!="",_xlfn.REGEXEXTRACT(CELL("address",'Raw Data'!#REF!),"\$([A-Z]+)\$[0-9]+"),"")</f>
        <v>#REF!</v>
      </c>
      <c r="H220" t="str" cm="1">
        <f t="array" aca="1" ref="H220" ca="1">IF('Raw Data'!G222="",_xlfn.REGEXEXTRACT(CELL("address",'Raw Data'!G222),"\$([A-Z]+)\$[0-9]+"),"")</f>
        <v>$G$222</v>
      </c>
      <c r="I220" t="e" cm="1">
        <f t="array" aca="1" ref="I220" ca="1">IF('Raw Data'!#REF!="",_xlfn.REGEXEXTRACT(CELL("address",'Raw Data'!#REF!),"\$([A-Z]+)\$[0-9]+"),"")</f>
        <v>#REF!</v>
      </c>
    </row>
    <row r="221" spans="2:9" x14ac:dyDescent="0.25">
      <c r="B221" t="str" cm="1">
        <f t="array" aca="1" ref="B221" ca="1">IF('Raw Data'!B223="",_xlfn.REGEXEXTRACT(CELL("address",'Raw Data'!B223),"\$([A-Z]+)\$[0-9]+"),"")</f>
        <v>$B$223</v>
      </c>
      <c r="C221" t="str" cm="1">
        <f t="array" aca="1" ref="C221" ca="1">IF('Raw Data'!C223="",_xlfn.REGEXEXTRACT(CELL("address",'Raw Data'!C223),"\$([A-Z]+)\$[0-9]+"),"")</f>
        <v>$C$223</v>
      </c>
      <c r="D221" t="str" cm="1">
        <f t="array" aca="1" ref="D221" ca="1">IF('Raw Data'!D223="",_xlfn.REGEXEXTRACT(CELL("address",'Raw Data'!D223),"\$([A-Z]+)\$[0-9]+"),"")</f>
        <v>$D$223</v>
      </c>
      <c r="E221" t="str" cm="1">
        <f t="array" aca="1" ref="E221" ca="1">IF('Raw Data'!E223="",_xlfn.REGEXEXTRACT(CELL("address",'Raw Data'!E223),"\$([A-Z]+)\$[0-9]+"),"")</f>
        <v>$E$223</v>
      </c>
      <c r="F221" t="str" cm="1">
        <f t="array" aca="1" ref="F221" ca="1">IF('Raw Data'!F223="",_xlfn.REGEXEXTRACT(CELL("address",'Raw Data'!F223),"\$([A-Z]+)\$[0-9]+"),"")</f>
        <v>$F$223</v>
      </c>
      <c r="G221" t="e" cm="1">
        <f t="array" aca="1" ref="G221" ca="1">IF('Raw Data'!#REF!="",_xlfn.REGEXEXTRACT(CELL("address",'Raw Data'!#REF!),"\$([A-Z]+)\$[0-9]+"),"")</f>
        <v>#REF!</v>
      </c>
      <c r="H221" t="str" cm="1">
        <f t="array" aca="1" ref="H221" ca="1">IF('Raw Data'!G223="",_xlfn.REGEXEXTRACT(CELL("address",'Raw Data'!G223),"\$([A-Z]+)\$[0-9]+"),"")</f>
        <v>$G$223</v>
      </c>
      <c r="I221" t="e" cm="1">
        <f t="array" aca="1" ref="I221" ca="1">IF('Raw Data'!#REF!="",_xlfn.REGEXEXTRACT(CELL("address",'Raw Data'!#REF!),"\$([A-Z]+)\$[0-9]+"),"")</f>
        <v>#REF!</v>
      </c>
    </row>
    <row r="222" spans="2:9" x14ac:dyDescent="0.25">
      <c r="B222" t="str" cm="1">
        <f t="array" aca="1" ref="B222" ca="1">IF('Raw Data'!B224="",_xlfn.REGEXEXTRACT(CELL("address",'Raw Data'!B224),"\$([A-Z]+)\$[0-9]+"),"")</f>
        <v>$B$224</v>
      </c>
      <c r="C222" t="str" cm="1">
        <f t="array" aca="1" ref="C222" ca="1">IF('Raw Data'!C224="",_xlfn.REGEXEXTRACT(CELL("address",'Raw Data'!C224),"\$([A-Z]+)\$[0-9]+"),"")</f>
        <v>$C$224</v>
      </c>
      <c r="D222" t="str" cm="1">
        <f t="array" aca="1" ref="D222" ca="1">IF('Raw Data'!D224="",_xlfn.REGEXEXTRACT(CELL("address",'Raw Data'!D224),"\$([A-Z]+)\$[0-9]+"),"")</f>
        <v>$D$224</v>
      </c>
      <c r="E222" t="str" cm="1">
        <f t="array" aca="1" ref="E222" ca="1">IF('Raw Data'!E224="",_xlfn.REGEXEXTRACT(CELL("address",'Raw Data'!E224),"\$([A-Z]+)\$[0-9]+"),"")</f>
        <v>$E$224</v>
      </c>
      <c r="F222" t="str" cm="1">
        <f t="array" aca="1" ref="F222" ca="1">IF('Raw Data'!F224="",_xlfn.REGEXEXTRACT(CELL("address",'Raw Data'!F224),"\$([A-Z]+)\$[0-9]+"),"")</f>
        <v>$F$224</v>
      </c>
      <c r="G222" t="e" cm="1">
        <f t="array" aca="1" ref="G222" ca="1">IF('Raw Data'!#REF!="",_xlfn.REGEXEXTRACT(CELL("address",'Raw Data'!#REF!),"\$([A-Z]+)\$[0-9]+"),"")</f>
        <v>#REF!</v>
      </c>
      <c r="H222" t="str" cm="1">
        <f t="array" aca="1" ref="H222" ca="1">IF('Raw Data'!G224="",_xlfn.REGEXEXTRACT(CELL("address",'Raw Data'!G224),"\$([A-Z]+)\$[0-9]+"),"")</f>
        <v>$G$224</v>
      </c>
      <c r="I222" t="e" cm="1">
        <f t="array" aca="1" ref="I222" ca="1">IF('Raw Data'!#REF!="",_xlfn.REGEXEXTRACT(CELL("address",'Raw Data'!#REF!),"\$([A-Z]+)\$[0-9]+"),"")</f>
        <v>#REF!</v>
      </c>
    </row>
    <row r="223" spans="2:9" x14ac:dyDescent="0.25">
      <c r="B223" t="str" cm="1">
        <f t="array" aca="1" ref="B223" ca="1">IF('Raw Data'!B225="",_xlfn.REGEXEXTRACT(CELL("address",'Raw Data'!B225),"\$([A-Z]+)\$[0-9]+"),"")</f>
        <v>$B$225</v>
      </c>
      <c r="C223" t="str" cm="1">
        <f t="array" aca="1" ref="C223" ca="1">IF('Raw Data'!C225="",_xlfn.REGEXEXTRACT(CELL("address",'Raw Data'!C225),"\$([A-Z]+)\$[0-9]+"),"")</f>
        <v>$C$225</v>
      </c>
      <c r="D223" t="str" cm="1">
        <f t="array" aca="1" ref="D223" ca="1">IF('Raw Data'!D225="",_xlfn.REGEXEXTRACT(CELL("address",'Raw Data'!D225),"\$([A-Z]+)\$[0-9]+"),"")</f>
        <v>$D$225</v>
      </c>
      <c r="E223" t="str" cm="1">
        <f t="array" aca="1" ref="E223" ca="1">IF('Raw Data'!E225="",_xlfn.REGEXEXTRACT(CELL("address",'Raw Data'!E225),"\$([A-Z]+)\$[0-9]+"),"")</f>
        <v>$E$225</v>
      </c>
      <c r="F223" t="str" cm="1">
        <f t="array" aca="1" ref="F223" ca="1">IF('Raw Data'!F225="",_xlfn.REGEXEXTRACT(CELL("address",'Raw Data'!F225),"\$([A-Z]+)\$[0-9]+"),"")</f>
        <v>$F$225</v>
      </c>
      <c r="G223" t="e" cm="1">
        <f t="array" aca="1" ref="G223" ca="1">IF('Raw Data'!#REF!="",_xlfn.REGEXEXTRACT(CELL("address",'Raw Data'!#REF!),"\$([A-Z]+)\$[0-9]+"),"")</f>
        <v>#REF!</v>
      </c>
      <c r="H223" t="str" cm="1">
        <f t="array" aca="1" ref="H223" ca="1">IF('Raw Data'!G225="",_xlfn.REGEXEXTRACT(CELL("address",'Raw Data'!G225),"\$([A-Z]+)\$[0-9]+"),"")</f>
        <v>$G$225</v>
      </c>
      <c r="I223" t="e" cm="1">
        <f t="array" aca="1" ref="I223" ca="1">IF('Raw Data'!#REF!="",_xlfn.REGEXEXTRACT(CELL("address",'Raw Data'!#REF!),"\$([A-Z]+)\$[0-9]+"),"")</f>
        <v>#REF!</v>
      </c>
    </row>
    <row r="224" spans="2:9" x14ac:dyDescent="0.25">
      <c r="B224" t="str" cm="1">
        <f t="array" aca="1" ref="B224" ca="1">IF('Raw Data'!B226="",_xlfn.REGEXEXTRACT(CELL("address",'Raw Data'!B226),"\$([A-Z]+)\$[0-9]+"),"")</f>
        <v>$B$226</v>
      </c>
      <c r="C224" t="str" cm="1">
        <f t="array" aca="1" ref="C224" ca="1">IF('Raw Data'!C226="",_xlfn.REGEXEXTRACT(CELL("address",'Raw Data'!C226),"\$([A-Z]+)\$[0-9]+"),"")</f>
        <v>$C$226</v>
      </c>
      <c r="D224" t="str" cm="1">
        <f t="array" aca="1" ref="D224" ca="1">IF('Raw Data'!D226="",_xlfn.REGEXEXTRACT(CELL("address",'Raw Data'!D226),"\$([A-Z]+)\$[0-9]+"),"")</f>
        <v>$D$226</v>
      </c>
      <c r="E224" t="str" cm="1">
        <f t="array" aca="1" ref="E224" ca="1">IF('Raw Data'!E226="",_xlfn.REGEXEXTRACT(CELL("address",'Raw Data'!E226),"\$([A-Z]+)\$[0-9]+"),"")</f>
        <v>$E$226</v>
      </c>
      <c r="F224" t="str" cm="1">
        <f t="array" aca="1" ref="F224" ca="1">IF('Raw Data'!F226="",_xlfn.REGEXEXTRACT(CELL("address",'Raw Data'!F226),"\$([A-Z]+)\$[0-9]+"),"")</f>
        <v>$F$226</v>
      </c>
      <c r="G224" t="e" cm="1">
        <f t="array" aca="1" ref="G224" ca="1">IF('Raw Data'!#REF!="",_xlfn.REGEXEXTRACT(CELL("address",'Raw Data'!#REF!),"\$([A-Z]+)\$[0-9]+"),"")</f>
        <v>#REF!</v>
      </c>
      <c r="H224" t="str" cm="1">
        <f t="array" aca="1" ref="H224" ca="1">IF('Raw Data'!G226="",_xlfn.REGEXEXTRACT(CELL("address",'Raw Data'!G226),"\$([A-Z]+)\$[0-9]+"),"")</f>
        <v>$G$226</v>
      </c>
      <c r="I224" t="e" cm="1">
        <f t="array" aca="1" ref="I224" ca="1">IF('Raw Data'!#REF!="",_xlfn.REGEXEXTRACT(CELL("address",'Raw Data'!#REF!),"\$([A-Z]+)\$[0-9]+"),"")</f>
        <v>#REF!</v>
      </c>
    </row>
    <row r="225" spans="2:9" x14ac:dyDescent="0.25">
      <c r="B225" t="str" cm="1">
        <f t="array" aca="1" ref="B225" ca="1">IF('Raw Data'!B227="",_xlfn.REGEXEXTRACT(CELL("address",'Raw Data'!B227),"\$([A-Z]+)\$[0-9]+"),"")</f>
        <v>$B$227</v>
      </c>
      <c r="C225" t="str" cm="1">
        <f t="array" aca="1" ref="C225" ca="1">IF('Raw Data'!C227="",_xlfn.REGEXEXTRACT(CELL("address",'Raw Data'!C227),"\$([A-Z]+)\$[0-9]+"),"")</f>
        <v>$C$227</v>
      </c>
      <c r="D225" t="str" cm="1">
        <f t="array" aca="1" ref="D225" ca="1">IF('Raw Data'!D227="",_xlfn.REGEXEXTRACT(CELL("address",'Raw Data'!D227),"\$([A-Z]+)\$[0-9]+"),"")</f>
        <v>$D$227</v>
      </c>
      <c r="E225" t="str" cm="1">
        <f t="array" aca="1" ref="E225" ca="1">IF('Raw Data'!E227="",_xlfn.REGEXEXTRACT(CELL("address",'Raw Data'!E227),"\$([A-Z]+)\$[0-9]+"),"")</f>
        <v>$E$227</v>
      </c>
      <c r="F225" t="str" cm="1">
        <f t="array" aca="1" ref="F225" ca="1">IF('Raw Data'!F227="",_xlfn.REGEXEXTRACT(CELL("address",'Raw Data'!F227),"\$([A-Z]+)\$[0-9]+"),"")</f>
        <v>$F$227</v>
      </c>
      <c r="G225" t="e" cm="1">
        <f t="array" aca="1" ref="G225" ca="1">IF('Raw Data'!#REF!="",_xlfn.REGEXEXTRACT(CELL("address",'Raw Data'!#REF!),"\$([A-Z]+)\$[0-9]+"),"")</f>
        <v>#REF!</v>
      </c>
      <c r="H225" t="str" cm="1">
        <f t="array" aca="1" ref="H225" ca="1">IF('Raw Data'!G227="",_xlfn.REGEXEXTRACT(CELL("address",'Raw Data'!G227),"\$([A-Z]+)\$[0-9]+"),"")</f>
        <v>$G$227</v>
      </c>
      <c r="I225" t="e" cm="1">
        <f t="array" aca="1" ref="I225" ca="1">IF('Raw Data'!#REF!="",_xlfn.REGEXEXTRACT(CELL("address",'Raw Data'!#REF!),"\$([A-Z]+)\$[0-9]+"),"")</f>
        <v>#REF!</v>
      </c>
    </row>
    <row r="226" spans="2:9" x14ac:dyDescent="0.25">
      <c r="B226" t="str" cm="1">
        <f t="array" aca="1" ref="B226" ca="1">IF('Raw Data'!B228="",_xlfn.REGEXEXTRACT(CELL("address",'Raw Data'!B228),"\$([A-Z]+)\$[0-9]+"),"")</f>
        <v>$B$228</v>
      </c>
      <c r="C226" t="str" cm="1">
        <f t="array" aca="1" ref="C226" ca="1">IF('Raw Data'!C228="",_xlfn.REGEXEXTRACT(CELL("address",'Raw Data'!C228),"\$([A-Z]+)\$[0-9]+"),"")</f>
        <v>$C$228</v>
      </c>
      <c r="D226" t="str" cm="1">
        <f t="array" aca="1" ref="D226" ca="1">IF('Raw Data'!D228="",_xlfn.REGEXEXTRACT(CELL("address",'Raw Data'!D228),"\$([A-Z]+)\$[0-9]+"),"")</f>
        <v>$D$228</v>
      </c>
      <c r="E226" t="str" cm="1">
        <f t="array" aca="1" ref="E226" ca="1">IF('Raw Data'!E228="",_xlfn.REGEXEXTRACT(CELL("address",'Raw Data'!E228),"\$([A-Z]+)\$[0-9]+"),"")</f>
        <v>$E$228</v>
      </c>
      <c r="F226" t="str" cm="1">
        <f t="array" aca="1" ref="F226" ca="1">IF('Raw Data'!F228="",_xlfn.REGEXEXTRACT(CELL("address",'Raw Data'!F228),"\$([A-Z]+)\$[0-9]+"),"")</f>
        <v>$F$228</v>
      </c>
      <c r="G226" t="e" cm="1">
        <f t="array" aca="1" ref="G226" ca="1">IF('Raw Data'!#REF!="",_xlfn.REGEXEXTRACT(CELL("address",'Raw Data'!#REF!),"\$([A-Z]+)\$[0-9]+"),"")</f>
        <v>#REF!</v>
      </c>
      <c r="H226" t="str" cm="1">
        <f t="array" aca="1" ref="H226" ca="1">IF('Raw Data'!G228="",_xlfn.REGEXEXTRACT(CELL("address",'Raw Data'!G228),"\$([A-Z]+)\$[0-9]+"),"")</f>
        <v>$G$228</v>
      </c>
      <c r="I226" t="e" cm="1">
        <f t="array" aca="1" ref="I226" ca="1">IF('Raw Data'!#REF!="",_xlfn.REGEXEXTRACT(CELL("address",'Raw Data'!#REF!),"\$([A-Z]+)\$[0-9]+"),"")</f>
        <v>#REF!</v>
      </c>
    </row>
    <row r="227" spans="2:9" x14ac:dyDescent="0.25">
      <c r="B227" t="str" cm="1">
        <f t="array" aca="1" ref="B227" ca="1">IF('Raw Data'!B229="",_xlfn.REGEXEXTRACT(CELL("address",'Raw Data'!B229),"\$([A-Z]+)\$[0-9]+"),"")</f>
        <v>$B$229</v>
      </c>
      <c r="C227" t="str" cm="1">
        <f t="array" aca="1" ref="C227" ca="1">IF('Raw Data'!C229="",_xlfn.REGEXEXTRACT(CELL("address",'Raw Data'!C229),"\$([A-Z]+)\$[0-9]+"),"")</f>
        <v>$C$229</v>
      </c>
      <c r="D227" t="str" cm="1">
        <f t="array" aca="1" ref="D227" ca="1">IF('Raw Data'!D229="",_xlfn.REGEXEXTRACT(CELL("address",'Raw Data'!D229),"\$([A-Z]+)\$[0-9]+"),"")</f>
        <v>$D$229</v>
      </c>
      <c r="E227" t="str" cm="1">
        <f t="array" aca="1" ref="E227" ca="1">IF('Raw Data'!E229="",_xlfn.REGEXEXTRACT(CELL("address",'Raw Data'!E229),"\$([A-Z]+)\$[0-9]+"),"")</f>
        <v>$E$229</v>
      </c>
      <c r="F227" t="str" cm="1">
        <f t="array" aca="1" ref="F227" ca="1">IF('Raw Data'!F229="",_xlfn.REGEXEXTRACT(CELL("address",'Raw Data'!F229),"\$([A-Z]+)\$[0-9]+"),"")</f>
        <v>$F$229</v>
      </c>
      <c r="G227" t="e" cm="1">
        <f t="array" aca="1" ref="G227" ca="1">IF('Raw Data'!#REF!="",_xlfn.REGEXEXTRACT(CELL("address",'Raw Data'!#REF!),"\$([A-Z]+)\$[0-9]+"),"")</f>
        <v>#REF!</v>
      </c>
      <c r="H227" t="str" cm="1">
        <f t="array" aca="1" ref="H227" ca="1">IF('Raw Data'!G229="",_xlfn.REGEXEXTRACT(CELL("address",'Raw Data'!G229),"\$([A-Z]+)\$[0-9]+"),"")</f>
        <v>$G$229</v>
      </c>
      <c r="I227" t="e" cm="1">
        <f t="array" aca="1" ref="I227" ca="1">IF('Raw Data'!#REF!="",_xlfn.REGEXEXTRACT(CELL("address",'Raw Data'!#REF!),"\$([A-Z]+)\$[0-9]+"),"")</f>
        <v>#REF!</v>
      </c>
    </row>
    <row r="228" spans="2:9" x14ac:dyDescent="0.25">
      <c r="B228" t="str" cm="1">
        <f t="array" aca="1" ref="B228" ca="1">IF('Raw Data'!B230="",_xlfn.REGEXEXTRACT(CELL("address",'Raw Data'!B230),"\$([A-Z]+)\$[0-9]+"),"")</f>
        <v>$B$230</v>
      </c>
      <c r="C228" t="str" cm="1">
        <f t="array" aca="1" ref="C228" ca="1">IF('Raw Data'!C230="",_xlfn.REGEXEXTRACT(CELL("address",'Raw Data'!C230),"\$([A-Z]+)\$[0-9]+"),"")</f>
        <v>$C$230</v>
      </c>
      <c r="D228" t="str" cm="1">
        <f t="array" aca="1" ref="D228" ca="1">IF('Raw Data'!D230="",_xlfn.REGEXEXTRACT(CELL("address",'Raw Data'!D230),"\$([A-Z]+)\$[0-9]+"),"")</f>
        <v>$D$230</v>
      </c>
      <c r="E228" t="str" cm="1">
        <f t="array" aca="1" ref="E228" ca="1">IF('Raw Data'!E230="",_xlfn.REGEXEXTRACT(CELL("address",'Raw Data'!E230),"\$([A-Z]+)\$[0-9]+"),"")</f>
        <v>$E$230</v>
      </c>
      <c r="F228" t="str" cm="1">
        <f t="array" aca="1" ref="F228" ca="1">IF('Raw Data'!F230="",_xlfn.REGEXEXTRACT(CELL("address",'Raw Data'!F230),"\$([A-Z]+)\$[0-9]+"),"")</f>
        <v>$F$230</v>
      </c>
      <c r="G228" t="e" cm="1">
        <f t="array" aca="1" ref="G228" ca="1">IF('Raw Data'!#REF!="",_xlfn.REGEXEXTRACT(CELL("address",'Raw Data'!#REF!),"\$([A-Z]+)\$[0-9]+"),"")</f>
        <v>#REF!</v>
      </c>
      <c r="H228" t="str" cm="1">
        <f t="array" aca="1" ref="H228" ca="1">IF('Raw Data'!G230="",_xlfn.REGEXEXTRACT(CELL("address",'Raw Data'!G230),"\$([A-Z]+)\$[0-9]+"),"")</f>
        <v>$G$230</v>
      </c>
      <c r="I228" t="e" cm="1">
        <f t="array" aca="1" ref="I228" ca="1">IF('Raw Data'!#REF!="",_xlfn.REGEXEXTRACT(CELL("address",'Raw Data'!#REF!),"\$([A-Z]+)\$[0-9]+"),"")</f>
        <v>#REF!</v>
      </c>
    </row>
    <row r="229" spans="2:9" x14ac:dyDescent="0.25">
      <c r="B229" t="str" cm="1">
        <f t="array" aca="1" ref="B229" ca="1">IF('Raw Data'!B231="",_xlfn.REGEXEXTRACT(CELL("address",'Raw Data'!B231),"\$([A-Z]+)\$[0-9]+"),"")</f>
        <v>$B$231</v>
      </c>
      <c r="C229" t="str" cm="1">
        <f t="array" aca="1" ref="C229" ca="1">IF('Raw Data'!C231="",_xlfn.REGEXEXTRACT(CELL("address",'Raw Data'!C231),"\$([A-Z]+)\$[0-9]+"),"")</f>
        <v>$C$231</v>
      </c>
      <c r="D229" t="str" cm="1">
        <f t="array" aca="1" ref="D229" ca="1">IF('Raw Data'!D231="",_xlfn.REGEXEXTRACT(CELL("address",'Raw Data'!D231),"\$([A-Z]+)\$[0-9]+"),"")</f>
        <v>$D$231</v>
      </c>
      <c r="E229" t="str" cm="1">
        <f t="array" aca="1" ref="E229" ca="1">IF('Raw Data'!E231="",_xlfn.REGEXEXTRACT(CELL("address",'Raw Data'!E231),"\$([A-Z]+)\$[0-9]+"),"")</f>
        <v>$E$231</v>
      </c>
      <c r="F229" t="str" cm="1">
        <f t="array" aca="1" ref="F229" ca="1">IF('Raw Data'!F231="",_xlfn.REGEXEXTRACT(CELL("address",'Raw Data'!F231),"\$([A-Z]+)\$[0-9]+"),"")</f>
        <v>$F$231</v>
      </c>
      <c r="G229" t="e" cm="1">
        <f t="array" aca="1" ref="G229" ca="1">IF('Raw Data'!#REF!="",_xlfn.REGEXEXTRACT(CELL("address",'Raw Data'!#REF!),"\$([A-Z]+)\$[0-9]+"),"")</f>
        <v>#REF!</v>
      </c>
      <c r="H229" t="str" cm="1">
        <f t="array" aca="1" ref="H229" ca="1">IF('Raw Data'!G231="",_xlfn.REGEXEXTRACT(CELL("address",'Raw Data'!G231),"\$([A-Z]+)\$[0-9]+"),"")</f>
        <v>$G$231</v>
      </c>
      <c r="I229" t="e" cm="1">
        <f t="array" aca="1" ref="I229" ca="1">IF('Raw Data'!#REF!="",_xlfn.REGEXEXTRACT(CELL("address",'Raw Data'!#REF!),"\$([A-Z]+)\$[0-9]+"),"")</f>
        <v>#REF!</v>
      </c>
    </row>
    <row r="230" spans="2:9" x14ac:dyDescent="0.25">
      <c r="B230" t="str" cm="1">
        <f t="array" aca="1" ref="B230" ca="1">IF('Raw Data'!B232="",_xlfn.REGEXEXTRACT(CELL("address",'Raw Data'!B232),"\$([A-Z]+)\$[0-9]+"),"")</f>
        <v>$B$232</v>
      </c>
      <c r="C230" t="str" cm="1">
        <f t="array" aca="1" ref="C230" ca="1">IF('Raw Data'!C232="",_xlfn.REGEXEXTRACT(CELL("address",'Raw Data'!C232),"\$([A-Z]+)\$[0-9]+"),"")</f>
        <v>$C$232</v>
      </c>
      <c r="D230" t="str" cm="1">
        <f t="array" aca="1" ref="D230" ca="1">IF('Raw Data'!D232="",_xlfn.REGEXEXTRACT(CELL("address",'Raw Data'!D232),"\$([A-Z]+)\$[0-9]+"),"")</f>
        <v>$D$232</v>
      </c>
      <c r="E230" t="str" cm="1">
        <f t="array" aca="1" ref="E230" ca="1">IF('Raw Data'!E232="",_xlfn.REGEXEXTRACT(CELL("address",'Raw Data'!E232),"\$([A-Z]+)\$[0-9]+"),"")</f>
        <v>$E$232</v>
      </c>
      <c r="F230" t="str" cm="1">
        <f t="array" aca="1" ref="F230" ca="1">IF('Raw Data'!F232="",_xlfn.REGEXEXTRACT(CELL("address",'Raw Data'!F232),"\$([A-Z]+)\$[0-9]+"),"")</f>
        <v>$F$232</v>
      </c>
      <c r="G230" t="e" cm="1">
        <f t="array" aca="1" ref="G230" ca="1">IF('Raw Data'!#REF!="",_xlfn.REGEXEXTRACT(CELL("address",'Raw Data'!#REF!),"\$([A-Z]+)\$[0-9]+"),"")</f>
        <v>#REF!</v>
      </c>
      <c r="H230" t="str" cm="1">
        <f t="array" aca="1" ref="H230" ca="1">IF('Raw Data'!G232="",_xlfn.REGEXEXTRACT(CELL("address",'Raw Data'!G232),"\$([A-Z]+)\$[0-9]+"),"")</f>
        <v>$G$232</v>
      </c>
      <c r="I230" t="e" cm="1">
        <f t="array" aca="1" ref="I230" ca="1">IF('Raw Data'!#REF!="",_xlfn.REGEXEXTRACT(CELL("address",'Raw Data'!#REF!),"\$([A-Z]+)\$[0-9]+"),"")</f>
        <v>#REF!</v>
      </c>
    </row>
    <row r="231" spans="2:9" x14ac:dyDescent="0.25">
      <c r="B231" t="str" cm="1">
        <f t="array" aca="1" ref="B231" ca="1">IF('Raw Data'!B233="",_xlfn.REGEXEXTRACT(CELL("address",'Raw Data'!B233),"\$([A-Z]+)\$[0-9]+"),"")</f>
        <v>$B$233</v>
      </c>
      <c r="C231" t="str" cm="1">
        <f t="array" aca="1" ref="C231" ca="1">IF('Raw Data'!C233="",_xlfn.REGEXEXTRACT(CELL("address",'Raw Data'!C233),"\$([A-Z]+)\$[0-9]+"),"")</f>
        <v>$C$233</v>
      </c>
      <c r="D231" t="str" cm="1">
        <f t="array" aca="1" ref="D231" ca="1">IF('Raw Data'!D233="",_xlfn.REGEXEXTRACT(CELL("address",'Raw Data'!D233),"\$([A-Z]+)\$[0-9]+"),"")</f>
        <v>$D$233</v>
      </c>
      <c r="E231" t="str" cm="1">
        <f t="array" aca="1" ref="E231" ca="1">IF('Raw Data'!E233="",_xlfn.REGEXEXTRACT(CELL("address",'Raw Data'!E233),"\$([A-Z]+)\$[0-9]+"),"")</f>
        <v>$E$233</v>
      </c>
      <c r="F231" t="str" cm="1">
        <f t="array" aca="1" ref="F231" ca="1">IF('Raw Data'!F233="",_xlfn.REGEXEXTRACT(CELL("address",'Raw Data'!F233),"\$([A-Z]+)\$[0-9]+"),"")</f>
        <v>$F$233</v>
      </c>
      <c r="G231" t="e" cm="1">
        <f t="array" aca="1" ref="G231" ca="1">IF('Raw Data'!#REF!="",_xlfn.REGEXEXTRACT(CELL("address",'Raw Data'!#REF!),"\$([A-Z]+)\$[0-9]+"),"")</f>
        <v>#REF!</v>
      </c>
      <c r="H231" t="str" cm="1">
        <f t="array" aca="1" ref="H231" ca="1">IF('Raw Data'!G233="",_xlfn.REGEXEXTRACT(CELL("address",'Raw Data'!G233),"\$([A-Z]+)\$[0-9]+"),"")</f>
        <v>$G$233</v>
      </c>
      <c r="I231" t="e" cm="1">
        <f t="array" aca="1" ref="I231" ca="1">IF('Raw Data'!#REF!="",_xlfn.REGEXEXTRACT(CELL("address",'Raw Data'!#REF!),"\$([A-Z]+)\$[0-9]+"),"")</f>
        <v>#REF!</v>
      </c>
    </row>
    <row r="232" spans="2:9" x14ac:dyDescent="0.25">
      <c r="B232" t="str" cm="1">
        <f t="array" aca="1" ref="B232" ca="1">IF('Raw Data'!B234="",_xlfn.REGEXEXTRACT(CELL("address",'Raw Data'!B234),"\$([A-Z]+)\$[0-9]+"),"")</f>
        <v>$B$234</v>
      </c>
      <c r="C232" t="str" cm="1">
        <f t="array" aca="1" ref="C232" ca="1">IF('Raw Data'!C234="",_xlfn.REGEXEXTRACT(CELL("address",'Raw Data'!C234),"\$([A-Z]+)\$[0-9]+"),"")</f>
        <v>$C$234</v>
      </c>
      <c r="D232" t="str" cm="1">
        <f t="array" aca="1" ref="D232" ca="1">IF('Raw Data'!D234="",_xlfn.REGEXEXTRACT(CELL("address",'Raw Data'!D234),"\$([A-Z]+)\$[0-9]+"),"")</f>
        <v>$D$234</v>
      </c>
      <c r="E232" t="str" cm="1">
        <f t="array" aca="1" ref="E232" ca="1">IF('Raw Data'!E234="",_xlfn.REGEXEXTRACT(CELL("address",'Raw Data'!E234),"\$([A-Z]+)\$[0-9]+"),"")</f>
        <v>$E$234</v>
      </c>
      <c r="F232" t="str" cm="1">
        <f t="array" aca="1" ref="F232" ca="1">IF('Raw Data'!F234="",_xlfn.REGEXEXTRACT(CELL("address",'Raw Data'!F234),"\$([A-Z]+)\$[0-9]+"),"")</f>
        <v>$F$234</v>
      </c>
      <c r="G232" t="e" cm="1">
        <f t="array" aca="1" ref="G232" ca="1">IF('Raw Data'!#REF!="",_xlfn.REGEXEXTRACT(CELL("address",'Raw Data'!#REF!),"\$([A-Z]+)\$[0-9]+"),"")</f>
        <v>#REF!</v>
      </c>
      <c r="H232" t="str" cm="1">
        <f t="array" aca="1" ref="H232" ca="1">IF('Raw Data'!G234="",_xlfn.REGEXEXTRACT(CELL("address",'Raw Data'!G234),"\$([A-Z]+)\$[0-9]+"),"")</f>
        <v>$G$234</v>
      </c>
      <c r="I232" t="e" cm="1">
        <f t="array" aca="1" ref="I232" ca="1">IF('Raw Data'!#REF!="",_xlfn.REGEXEXTRACT(CELL("address",'Raw Data'!#REF!),"\$([A-Z]+)\$[0-9]+"),"")</f>
        <v>#REF!</v>
      </c>
    </row>
    <row r="233" spans="2:9" x14ac:dyDescent="0.25">
      <c r="B233" t="str" cm="1">
        <f t="array" aca="1" ref="B233" ca="1">IF('Raw Data'!B235="",_xlfn.REGEXEXTRACT(CELL("address",'Raw Data'!B235),"\$([A-Z]+)\$[0-9]+"),"")</f>
        <v>$B$235</v>
      </c>
      <c r="C233" t="str" cm="1">
        <f t="array" aca="1" ref="C233" ca="1">IF('Raw Data'!C235="",_xlfn.REGEXEXTRACT(CELL("address",'Raw Data'!C235),"\$([A-Z]+)\$[0-9]+"),"")</f>
        <v>$C$235</v>
      </c>
      <c r="D233" t="str" cm="1">
        <f t="array" aca="1" ref="D233" ca="1">IF('Raw Data'!D235="",_xlfn.REGEXEXTRACT(CELL("address",'Raw Data'!D235),"\$([A-Z]+)\$[0-9]+"),"")</f>
        <v>$D$235</v>
      </c>
      <c r="E233" t="str" cm="1">
        <f t="array" aca="1" ref="E233" ca="1">IF('Raw Data'!E235="",_xlfn.REGEXEXTRACT(CELL("address",'Raw Data'!E235),"\$([A-Z]+)\$[0-9]+"),"")</f>
        <v>$E$235</v>
      </c>
      <c r="F233" t="str" cm="1">
        <f t="array" aca="1" ref="F233" ca="1">IF('Raw Data'!F235="",_xlfn.REGEXEXTRACT(CELL("address",'Raw Data'!F235),"\$([A-Z]+)\$[0-9]+"),"")</f>
        <v>$F$235</v>
      </c>
      <c r="G233" t="e" cm="1">
        <f t="array" aca="1" ref="G233" ca="1">IF('Raw Data'!#REF!="",_xlfn.REGEXEXTRACT(CELL("address",'Raw Data'!#REF!),"\$([A-Z]+)\$[0-9]+"),"")</f>
        <v>#REF!</v>
      </c>
      <c r="H233" t="str" cm="1">
        <f t="array" aca="1" ref="H233" ca="1">IF('Raw Data'!G235="",_xlfn.REGEXEXTRACT(CELL("address",'Raw Data'!G235),"\$([A-Z]+)\$[0-9]+"),"")</f>
        <v>$G$235</v>
      </c>
      <c r="I233" t="e" cm="1">
        <f t="array" aca="1" ref="I233" ca="1">IF('Raw Data'!#REF!="",_xlfn.REGEXEXTRACT(CELL("address",'Raw Data'!#REF!),"\$([A-Z]+)\$[0-9]+"),"")</f>
        <v>#REF!</v>
      </c>
    </row>
    <row r="234" spans="2:9" x14ac:dyDescent="0.25">
      <c r="B234" t="str" cm="1">
        <f t="array" aca="1" ref="B234" ca="1">IF('Raw Data'!B236="",_xlfn.REGEXEXTRACT(CELL("address",'Raw Data'!B236),"\$([A-Z]+)\$[0-9]+"),"")</f>
        <v>$B$236</v>
      </c>
      <c r="C234" t="str" cm="1">
        <f t="array" aca="1" ref="C234" ca="1">IF('Raw Data'!C236="",_xlfn.REGEXEXTRACT(CELL("address",'Raw Data'!C236),"\$([A-Z]+)\$[0-9]+"),"")</f>
        <v>$C$236</v>
      </c>
      <c r="D234" t="str" cm="1">
        <f t="array" aca="1" ref="D234" ca="1">IF('Raw Data'!D236="",_xlfn.REGEXEXTRACT(CELL("address",'Raw Data'!D236),"\$([A-Z]+)\$[0-9]+"),"")</f>
        <v>$D$236</v>
      </c>
      <c r="E234" t="str" cm="1">
        <f t="array" aca="1" ref="E234" ca="1">IF('Raw Data'!E236="",_xlfn.REGEXEXTRACT(CELL("address",'Raw Data'!E236),"\$([A-Z]+)\$[0-9]+"),"")</f>
        <v>$E$236</v>
      </c>
      <c r="F234" t="str" cm="1">
        <f t="array" aca="1" ref="F234" ca="1">IF('Raw Data'!F236="",_xlfn.REGEXEXTRACT(CELL("address",'Raw Data'!F236),"\$([A-Z]+)\$[0-9]+"),"")</f>
        <v>$F$236</v>
      </c>
      <c r="G234" t="e" cm="1">
        <f t="array" aca="1" ref="G234" ca="1">IF('Raw Data'!#REF!="",_xlfn.REGEXEXTRACT(CELL("address",'Raw Data'!#REF!),"\$([A-Z]+)\$[0-9]+"),"")</f>
        <v>#REF!</v>
      </c>
      <c r="H234" t="str" cm="1">
        <f t="array" aca="1" ref="H234" ca="1">IF('Raw Data'!G236="",_xlfn.REGEXEXTRACT(CELL("address",'Raw Data'!G236),"\$([A-Z]+)\$[0-9]+"),"")</f>
        <v>$G$236</v>
      </c>
      <c r="I234" t="e" cm="1">
        <f t="array" aca="1" ref="I234" ca="1">IF('Raw Data'!#REF!="",_xlfn.REGEXEXTRACT(CELL("address",'Raw Data'!#REF!),"\$([A-Z]+)\$[0-9]+"),"")</f>
        <v>#REF!</v>
      </c>
    </row>
    <row r="235" spans="2:9" x14ac:dyDescent="0.25">
      <c r="B235" t="str" cm="1">
        <f t="array" aca="1" ref="B235" ca="1">IF('Raw Data'!B237="",_xlfn.REGEXEXTRACT(CELL("address",'Raw Data'!B237),"\$([A-Z]+)\$[0-9]+"),"")</f>
        <v>$B$237</v>
      </c>
      <c r="C235" t="str" cm="1">
        <f t="array" aca="1" ref="C235" ca="1">IF('Raw Data'!C237="",_xlfn.REGEXEXTRACT(CELL("address",'Raw Data'!C237),"\$([A-Z]+)\$[0-9]+"),"")</f>
        <v>$C$237</v>
      </c>
      <c r="D235" t="str" cm="1">
        <f t="array" aca="1" ref="D235" ca="1">IF('Raw Data'!D237="",_xlfn.REGEXEXTRACT(CELL("address",'Raw Data'!D237),"\$([A-Z]+)\$[0-9]+"),"")</f>
        <v>$D$237</v>
      </c>
      <c r="E235" t="str" cm="1">
        <f t="array" aca="1" ref="E235" ca="1">IF('Raw Data'!E237="",_xlfn.REGEXEXTRACT(CELL("address",'Raw Data'!E237),"\$([A-Z]+)\$[0-9]+"),"")</f>
        <v>$E$237</v>
      </c>
      <c r="F235" t="str" cm="1">
        <f t="array" aca="1" ref="F235" ca="1">IF('Raw Data'!F237="",_xlfn.REGEXEXTRACT(CELL("address",'Raw Data'!F237),"\$([A-Z]+)\$[0-9]+"),"")</f>
        <v>$F$237</v>
      </c>
      <c r="G235" t="e" cm="1">
        <f t="array" aca="1" ref="G235" ca="1">IF('Raw Data'!#REF!="",_xlfn.REGEXEXTRACT(CELL("address",'Raw Data'!#REF!),"\$([A-Z]+)\$[0-9]+"),"")</f>
        <v>#REF!</v>
      </c>
      <c r="H235" t="str" cm="1">
        <f t="array" aca="1" ref="H235" ca="1">IF('Raw Data'!G237="",_xlfn.REGEXEXTRACT(CELL("address",'Raw Data'!G237),"\$([A-Z]+)\$[0-9]+"),"")</f>
        <v>$G$237</v>
      </c>
      <c r="I235" t="e" cm="1">
        <f t="array" aca="1" ref="I235" ca="1">IF('Raw Data'!#REF!="",_xlfn.REGEXEXTRACT(CELL("address",'Raw Data'!#REF!),"\$([A-Z]+)\$[0-9]+"),"")</f>
        <v>#REF!</v>
      </c>
    </row>
    <row r="236" spans="2:9" x14ac:dyDescent="0.25">
      <c r="B236" t="str" cm="1">
        <f t="array" aca="1" ref="B236" ca="1">IF('Raw Data'!B238="",_xlfn.REGEXEXTRACT(CELL("address",'Raw Data'!B238),"\$([A-Z]+)\$[0-9]+"),"")</f>
        <v>$B$238</v>
      </c>
      <c r="C236" t="str" cm="1">
        <f t="array" aca="1" ref="C236" ca="1">IF('Raw Data'!C238="",_xlfn.REGEXEXTRACT(CELL("address",'Raw Data'!C238),"\$([A-Z]+)\$[0-9]+"),"")</f>
        <v>$C$238</v>
      </c>
      <c r="D236" t="str" cm="1">
        <f t="array" aca="1" ref="D236" ca="1">IF('Raw Data'!D238="",_xlfn.REGEXEXTRACT(CELL("address",'Raw Data'!D238),"\$([A-Z]+)\$[0-9]+"),"")</f>
        <v>$D$238</v>
      </c>
      <c r="E236" t="str" cm="1">
        <f t="array" aca="1" ref="E236" ca="1">IF('Raw Data'!E238="",_xlfn.REGEXEXTRACT(CELL("address",'Raw Data'!E238),"\$([A-Z]+)\$[0-9]+"),"")</f>
        <v>$E$238</v>
      </c>
      <c r="F236" t="str" cm="1">
        <f t="array" aca="1" ref="F236" ca="1">IF('Raw Data'!F238="",_xlfn.REGEXEXTRACT(CELL("address",'Raw Data'!F238),"\$([A-Z]+)\$[0-9]+"),"")</f>
        <v>$F$238</v>
      </c>
      <c r="G236" t="e" cm="1">
        <f t="array" aca="1" ref="G236" ca="1">IF('Raw Data'!#REF!="",_xlfn.REGEXEXTRACT(CELL("address",'Raw Data'!#REF!),"\$([A-Z]+)\$[0-9]+"),"")</f>
        <v>#REF!</v>
      </c>
      <c r="H236" t="str" cm="1">
        <f t="array" aca="1" ref="H236" ca="1">IF('Raw Data'!G238="",_xlfn.REGEXEXTRACT(CELL("address",'Raw Data'!G238),"\$([A-Z]+)\$[0-9]+"),"")</f>
        <v>$G$238</v>
      </c>
      <c r="I236" t="e" cm="1">
        <f t="array" aca="1" ref="I236" ca="1">IF('Raw Data'!#REF!="",_xlfn.REGEXEXTRACT(CELL("address",'Raw Data'!#REF!),"\$([A-Z]+)\$[0-9]+"),"")</f>
        <v>#REF!</v>
      </c>
    </row>
    <row r="237" spans="2:9" x14ac:dyDescent="0.25">
      <c r="B237" t="str" cm="1">
        <f t="array" aca="1" ref="B237" ca="1">IF('Raw Data'!B239="",_xlfn.REGEXEXTRACT(CELL("address",'Raw Data'!B239),"\$([A-Z]+)\$[0-9]+"),"")</f>
        <v>$B$239</v>
      </c>
      <c r="C237" t="str" cm="1">
        <f t="array" aca="1" ref="C237" ca="1">IF('Raw Data'!C239="",_xlfn.REGEXEXTRACT(CELL("address",'Raw Data'!C239),"\$([A-Z]+)\$[0-9]+"),"")</f>
        <v>$C$239</v>
      </c>
      <c r="D237" t="str" cm="1">
        <f t="array" aca="1" ref="D237" ca="1">IF('Raw Data'!D239="",_xlfn.REGEXEXTRACT(CELL("address",'Raw Data'!D239),"\$([A-Z]+)\$[0-9]+"),"")</f>
        <v>$D$239</v>
      </c>
      <c r="E237" t="str" cm="1">
        <f t="array" aca="1" ref="E237" ca="1">IF('Raw Data'!E239="",_xlfn.REGEXEXTRACT(CELL("address",'Raw Data'!E239),"\$([A-Z]+)\$[0-9]+"),"")</f>
        <v>$E$239</v>
      </c>
      <c r="F237" t="str" cm="1">
        <f t="array" aca="1" ref="F237" ca="1">IF('Raw Data'!F239="",_xlfn.REGEXEXTRACT(CELL("address",'Raw Data'!F239),"\$([A-Z]+)\$[0-9]+"),"")</f>
        <v>$F$239</v>
      </c>
      <c r="G237" t="e" cm="1">
        <f t="array" aca="1" ref="G237" ca="1">IF('Raw Data'!#REF!="",_xlfn.REGEXEXTRACT(CELL("address",'Raw Data'!#REF!),"\$([A-Z]+)\$[0-9]+"),"")</f>
        <v>#REF!</v>
      </c>
      <c r="H237" t="str" cm="1">
        <f t="array" aca="1" ref="H237" ca="1">IF('Raw Data'!G239="",_xlfn.REGEXEXTRACT(CELL("address",'Raw Data'!G239),"\$([A-Z]+)\$[0-9]+"),"")</f>
        <v>$G$239</v>
      </c>
      <c r="I237" t="e" cm="1">
        <f t="array" aca="1" ref="I237" ca="1">IF('Raw Data'!#REF!="",_xlfn.REGEXEXTRACT(CELL("address",'Raw Data'!#REF!),"\$([A-Z]+)\$[0-9]+"),"")</f>
        <v>#REF!</v>
      </c>
    </row>
    <row r="238" spans="2:9" x14ac:dyDescent="0.25">
      <c r="B238" t="str" cm="1">
        <f t="array" aca="1" ref="B238" ca="1">IF('Raw Data'!B240="",_xlfn.REGEXEXTRACT(CELL("address",'Raw Data'!B240),"\$([A-Z]+)\$[0-9]+"),"")</f>
        <v>$B$240</v>
      </c>
      <c r="C238" t="str" cm="1">
        <f t="array" aca="1" ref="C238" ca="1">IF('Raw Data'!C240="",_xlfn.REGEXEXTRACT(CELL("address",'Raw Data'!C240),"\$([A-Z]+)\$[0-9]+"),"")</f>
        <v>$C$240</v>
      </c>
      <c r="D238" t="str" cm="1">
        <f t="array" aca="1" ref="D238" ca="1">IF('Raw Data'!D240="",_xlfn.REGEXEXTRACT(CELL("address",'Raw Data'!D240),"\$([A-Z]+)\$[0-9]+"),"")</f>
        <v>$D$240</v>
      </c>
      <c r="E238" t="str" cm="1">
        <f t="array" aca="1" ref="E238" ca="1">IF('Raw Data'!E240="",_xlfn.REGEXEXTRACT(CELL("address",'Raw Data'!E240),"\$([A-Z]+)\$[0-9]+"),"")</f>
        <v>$E$240</v>
      </c>
      <c r="F238" t="str" cm="1">
        <f t="array" aca="1" ref="F238" ca="1">IF('Raw Data'!F240="",_xlfn.REGEXEXTRACT(CELL("address",'Raw Data'!F240),"\$([A-Z]+)\$[0-9]+"),"")</f>
        <v>$F$240</v>
      </c>
      <c r="G238" t="e" cm="1">
        <f t="array" aca="1" ref="G238" ca="1">IF('Raw Data'!#REF!="",_xlfn.REGEXEXTRACT(CELL("address",'Raw Data'!#REF!),"\$([A-Z]+)\$[0-9]+"),"")</f>
        <v>#REF!</v>
      </c>
      <c r="H238" t="str" cm="1">
        <f t="array" aca="1" ref="H238" ca="1">IF('Raw Data'!G240="",_xlfn.REGEXEXTRACT(CELL("address",'Raw Data'!G240),"\$([A-Z]+)\$[0-9]+"),"")</f>
        <v>$G$240</v>
      </c>
      <c r="I238" t="e" cm="1">
        <f t="array" aca="1" ref="I238" ca="1">IF('Raw Data'!#REF!="",_xlfn.REGEXEXTRACT(CELL("address",'Raw Data'!#REF!),"\$([A-Z]+)\$[0-9]+"),"")</f>
        <v>#REF!</v>
      </c>
    </row>
    <row r="239" spans="2:9" x14ac:dyDescent="0.25">
      <c r="B239" t="str" cm="1">
        <f t="array" aca="1" ref="B239" ca="1">IF('Raw Data'!B241="",_xlfn.REGEXEXTRACT(CELL("address",'Raw Data'!B241),"\$([A-Z]+)\$[0-9]+"),"")</f>
        <v>$B$241</v>
      </c>
      <c r="C239" t="str" cm="1">
        <f t="array" aca="1" ref="C239" ca="1">IF('Raw Data'!C241="",_xlfn.REGEXEXTRACT(CELL("address",'Raw Data'!C241),"\$([A-Z]+)\$[0-9]+"),"")</f>
        <v>$C$241</v>
      </c>
      <c r="D239" t="str" cm="1">
        <f t="array" aca="1" ref="D239" ca="1">IF('Raw Data'!D241="",_xlfn.REGEXEXTRACT(CELL("address",'Raw Data'!D241),"\$([A-Z]+)\$[0-9]+"),"")</f>
        <v>$D$241</v>
      </c>
      <c r="E239" t="str" cm="1">
        <f t="array" aca="1" ref="E239" ca="1">IF('Raw Data'!E241="",_xlfn.REGEXEXTRACT(CELL("address",'Raw Data'!E241),"\$([A-Z]+)\$[0-9]+"),"")</f>
        <v>$E$241</v>
      </c>
      <c r="F239" t="str" cm="1">
        <f t="array" aca="1" ref="F239" ca="1">IF('Raw Data'!F241="",_xlfn.REGEXEXTRACT(CELL("address",'Raw Data'!F241),"\$([A-Z]+)\$[0-9]+"),"")</f>
        <v>$F$241</v>
      </c>
      <c r="G239" t="e" cm="1">
        <f t="array" aca="1" ref="G239" ca="1">IF('Raw Data'!#REF!="",_xlfn.REGEXEXTRACT(CELL("address",'Raw Data'!#REF!),"\$([A-Z]+)\$[0-9]+"),"")</f>
        <v>#REF!</v>
      </c>
      <c r="H239" t="str" cm="1">
        <f t="array" aca="1" ref="H239" ca="1">IF('Raw Data'!G241="",_xlfn.REGEXEXTRACT(CELL("address",'Raw Data'!G241),"\$([A-Z]+)\$[0-9]+"),"")</f>
        <v>$G$241</v>
      </c>
      <c r="I239" t="e" cm="1">
        <f t="array" aca="1" ref="I239" ca="1">IF('Raw Data'!#REF!="",_xlfn.REGEXEXTRACT(CELL("address",'Raw Data'!#REF!),"\$([A-Z]+)\$[0-9]+"),"")</f>
        <v>#REF!</v>
      </c>
    </row>
    <row r="240" spans="2:9" x14ac:dyDescent="0.25">
      <c r="B240" t="str" cm="1">
        <f t="array" aca="1" ref="B240" ca="1">IF('Raw Data'!B242="",_xlfn.REGEXEXTRACT(CELL("address",'Raw Data'!B242),"\$([A-Z]+)\$[0-9]+"),"")</f>
        <v>$B$242</v>
      </c>
      <c r="C240" t="str" cm="1">
        <f t="array" aca="1" ref="C240" ca="1">IF('Raw Data'!C242="",_xlfn.REGEXEXTRACT(CELL("address",'Raw Data'!C242),"\$([A-Z]+)\$[0-9]+"),"")</f>
        <v>$C$242</v>
      </c>
      <c r="D240" t="str" cm="1">
        <f t="array" aca="1" ref="D240" ca="1">IF('Raw Data'!D242="",_xlfn.REGEXEXTRACT(CELL("address",'Raw Data'!D242),"\$([A-Z]+)\$[0-9]+"),"")</f>
        <v>$D$242</v>
      </c>
      <c r="E240" t="str" cm="1">
        <f t="array" aca="1" ref="E240" ca="1">IF('Raw Data'!E242="",_xlfn.REGEXEXTRACT(CELL("address",'Raw Data'!E242),"\$([A-Z]+)\$[0-9]+"),"")</f>
        <v>$E$242</v>
      </c>
      <c r="F240" t="str" cm="1">
        <f t="array" aca="1" ref="F240" ca="1">IF('Raw Data'!F242="",_xlfn.REGEXEXTRACT(CELL("address",'Raw Data'!F242),"\$([A-Z]+)\$[0-9]+"),"")</f>
        <v>$F$242</v>
      </c>
      <c r="G240" t="e" cm="1">
        <f t="array" aca="1" ref="G240" ca="1">IF('Raw Data'!#REF!="",_xlfn.REGEXEXTRACT(CELL("address",'Raw Data'!#REF!),"\$([A-Z]+)\$[0-9]+"),"")</f>
        <v>#REF!</v>
      </c>
      <c r="H240" t="str" cm="1">
        <f t="array" aca="1" ref="H240" ca="1">IF('Raw Data'!G242="",_xlfn.REGEXEXTRACT(CELL("address",'Raw Data'!G242),"\$([A-Z]+)\$[0-9]+"),"")</f>
        <v>$G$242</v>
      </c>
      <c r="I240" t="e" cm="1">
        <f t="array" aca="1" ref="I240" ca="1">IF('Raw Data'!#REF!="",_xlfn.REGEXEXTRACT(CELL("address",'Raw Data'!#REF!),"\$([A-Z]+)\$[0-9]+"),"")</f>
        <v>#REF!</v>
      </c>
    </row>
    <row r="241" spans="2:9" x14ac:dyDescent="0.25">
      <c r="B241" t="str" cm="1">
        <f t="array" aca="1" ref="B241" ca="1">IF('Raw Data'!B243="",_xlfn.REGEXEXTRACT(CELL("address",'Raw Data'!B243),"\$([A-Z]+)\$[0-9]+"),"")</f>
        <v>$B$243</v>
      </c>
      <c r="C241" t="str" cm="1">
        <f t="array" aca="1" ref="C241" ca="1">IF('Raw Data'!C243="",_xlfn.REGEXEXTRACT(CELL("address",'Raw Data'!C243),"\$([A-Z]+)\$[0-9]+"),"")</f>
        <v>$C$243</v>
      </c>
      <c r="D241" t="str" cm="1">
        <f t="array" aca="1" ref="D241" ca="1">IF('Raw Data'!D243="",_xlfn.REGEXEXTRACT(CELL("address",'Raw Data'!D243),"\$([A-Z]+)\$[0-9]+"),"")</f>
        <v>$D$243</v>
      </c>
      <c r="E241" t="str" cm="1">
        <f t="array" aca="1" ref="E241" ca="1">IF('Raw Data'!E243="",_xlfn.REGEXEXTRACT(CELL("address",'Raw Data'!E243),"\$([A-Z]+)\$[0-9]+"),"")</f>
        <v>$E$243</v>
      </c>
      <c r="F241" t="str" cm="1">
        <f t="array" aca="1" ref="F241" ca="1">IF('Raw Data'!F243="",_xlfn.REGEXEXTRACT(CELL("address",'Raw Data'!F243),"\$([A-Z]+)\$[0-9]+"),"")</f>
        <v>$F$243</v>
      </c>
      <c r="G241" t="e" cm="1">
        <f t="array" aca="1" ref="G241" ca="1">IF('Raw Data'!#REF!="",_xlfn.REGEXEXTRACT(CELL("address",'Raw Data'!#REF!),"\$([A-Z]+)\$[0-9]+"),"")</f>
        <v>#REF!</v>
      </c>
      <c r="H241" t="str" cm="1">
        <f t="array" aca="1" ref="H241" ca="1">IF('Raw Data'!G243="",_xlfn.REGEXEXTRACT(CELL("address",'Raw Data'!G243),"\$([A-Z]+)\$[0-9]+"),"")</f>
        <v>$G$243</v>
      </c>
      <c r="I241" t="e" cm="1">
        <f t="array" aca="1" ref="I241" ca="1">IF('Raw Data'!#REF!="",_xlfn.REGEXEXTRACT(CELL("address",'Raw Data'!#REF!),"\$([A-Z]+)\$[0-9]+"),"")</f>
        <v>#REF!</v>
      </c>
    </row>
    <row r="242" spans="2:9" x14ac:dyDescent="0.25">
      <c r="B242" t="str" cm="1">
        <f t="array" aca="1" ref="B242" ca="1">IF('Raw Data'!B244="",_xlfn.REGEXEXTRACT(CELL("address",'Raw Data'!B244),"\$([A-Z]+)\$[0-9]+"),"")</f>
        <v>$B$244</v>
      </c>
      <c r="C242" t="str" cm="1">
        <f t="array" aca="1" ref="C242" ca="1">IF('Raw Data'!C244="",_xlfn.REGEXEXTRACT(CELL("address",'Raw Data'!C244),"\$([A-Z]+)\$[0-9]+"),"")</f>
        <v>$C$244</v>
      </c>
      <c r="D242" t="str" cm="1">
        <f t="array" aca="1" ref="D242" ca="1">IF('Raw Data'!D244="",_xlfn.REGEXEXTRACT(CELL("address",'Raw Data'!D244),"\$([A-Z]+)\$[0-9]+"),"")</f>
        <v>$D$244</v>
      </c>
      <c r="E242" t="str" cm="1">
        <f t="array" aca="1" ref="E242" ca="1">IF('Raw Data'!E244="",_xlfn.REGEXEXTRACT(CELL("address",'Raw Data'!E244),"\$([A-Z]+)\$[0-9]+"),"")</f>
        <v>$E$244</v>
      </c>
      <c r="F242" t="str" cm="1">
        <f t="array" aca="1" ref="F242" ca="1">IF('Raw Data'!F244="",_xlfn.REGEXEXTRACT(CELL("address",'Raw Data'!F244),"\$([A-Z]+)\$[0-9]+"),"")</f>
        <v>$F$244</v>
      </c>
      <c r="G242" t="e" cm="1">
        <f t="array" aca="1" ref="G242" ca="1">IF('Raw Data'!#REF!="",_xlfn.REGEXEXTRACT(CELL("address",'Raw Data'!#REF!),"\$([A-Z]+)\$[0-9]+"),"")</f>
        <v>#REF!</v>
      </c>
      <c r="H242" t="str" cm="1">
        <f t="array" aca="1" ref="H242" ca="1">IF('Raw Data'!G244="",_xlfn.REGEXEXTRACT(CELL("address",'Raw Data'!G244),"\$([A-Z]+)\$[0-9]+"),"")</f>
        <v>$G$244</v>
      </c>
      <c r="I242" t="e" cm="1">
        <f t="array" aca="1" ref="I242" ca="1">IF('Raw Data'!#REF!="",_xlfn.REGEXEXTRACT(CELL("address",'Raw Data'!#REF!),"\$([A-Z]+)\$[0-9]+"),"")</f>
        <v>#REF!</v>
      </c>
    </row>
    <row r="243" spans="2:9" x14ac:dyDescent="0.25">
      <c r="B243" t="str" cm="1">
        <f t="array" aca="1" ref="B243" ca="1">IF('Raw Data'!B245="",_xlfn.REGEXEXTRACT(CELL("address",'Raw Data'!B245),"\$([A-Z]+)\$[0-9]+"),"")</f>
        <v>$B$245</v>
      </c>
      <c r="C243" t="str" cm="1">
        <f t="array" aca="1" ref="C243" ca="1">IF('Raw Data'!C245="",_xlfn.REGEXEXTRACT(CELL("address",'Raw Data'!C245),"\$([A-Z]+)\$[0-9]+"),"")</f>
        <v>$C$245</v>
      </c>
      <c r="D243" t="str" cm="1">
        <f t="array" aca="1" ref="D243" ca="1">IF('Raw Data'!D245="",_xlfn.REGEXEXTRACT(CELL("address",'Raw Data'!D245),"\$([A-Z]+)\$[0-9]+"),"")</f>
        <v>$D$245</v>
      </c>
      <c r="E243" t="str" cm="1">
        <f t="array" aca="1" ref="E243" ca="1">IF('Raw Data'!E245="",_xlfn.REGEXEXTRACT(CELL("address",'Raw Data'!E245),"\$([A-Z]+)\$[0-9]+"),"")</f>
        <v>$E$245</v>
      </c>
      <c r="F243" t="str" cm="1">
        <f t="array" aca="1" ref="F243" ca="1">IF('Raw Data'!F245="",_xlfn.REGEXEXTRACT(CELL("address",'Raw Data'!F245),"\$([A-Z]+)\$[0-9]+"),"")</f>
        <v>$F$245</v>
      </c>
      <c r="G243" t="e" cm="1">
        <f t="array" aca="1" ref="G243" ca="1">IF('Raw Data'!#REF!="",_xlfn.REGEXEXTRACT(CELL("address",'Raw Data'!#REF!),"\$([A-Z]+)\$[0-9]+"),"")</f>
        <v>#REF!</v>
      </c>
      <c r="H243" t="str" cm="1">
        <f t="array" aca="1" ref="H243" ca="1">IF('Raw Data'!G245="",_xlfn.REGEXEXTRACT(CELL("address",'Raw Data'!G245),"\$([A-Z]+)\$[0-9]+"),"")</f>
        <v>$G$245</v>
      </c>
      <c r="I243" t="e" cm="1">
        <f t="array" aca="1" ref="I243" ca="1">IF('Raw Data'!#REF!="",_xlfn.REGEXEXTRACT(CELL("address",'Raw Data'!#REF!),"\$([A-Z]+)\$[0-9]+"),"")</f>
        <v>#REF!</v>
      </c>
    </row>
    <row r="244" spans="2:9" x14ac:dyDescent="0.25">
      <c r="B244" t="str" cm="1">
        <f t="array" aca="1" ref="B244" ca="1">IF('Raw Data'!B246="",_xlfn.REGEXEXTRACT(CELL("address",'Raw Data'!B246),"\$([A-Z]+)\$[0-9]+"),"")</f>
        <v>$B$246</v>
      </c>
      <c r="C244" t="str" cm="1">
        <f t="array" aca="1" ref="C244" ca="1">IF('Raw Data'!C246="",_xlfn.REGEXEXTRACT(CELL("address",'Raw Data'!C246),"\$([A-Z]+)\$[0-9]+"),"")</f>
        <v>$C$246</v>
      </c>
      <c r="D244" t="str" cm="1">
        <f t="array" aca="1" ref="D244" ca="1">IF('Raw Data'!D246="",_xlfn.REGEXEXTRACT(CELL("address",'Raw Data'!D246),"\$([A-Z]+)\$[0-9]+"),"")</f>
        <v>$D$246</v>
      </c>
      <c r="E244" t="str" cm="1">
        <f t="array" aca="1" ref="E244" ca="1">IF('Raw Data'!E246="",_xlfn.REGEXEXTRACT(CELL("address",'Raw Data'!E246),"\$([A-Z]+)\$[0-9]+"),"")</f>
        <v>$E$246</v>
      </c>
      <c r="F244" t="str" cm="1">
        <f t="array" aca="1" ref="F244" ca="1">IF('Raw Data'!F246="",_xlfn.REGEXEXTRACT(CELL("address",'Raw Data'!F246),"\$([A-Z]+)\$[0-9]+"),"")</f>
        <v>$F$246</v>
      </c>
      <c r="G244" t="e" cm="1">
        <f t="array" aca="1" ref="G244" ca="1">IF('Raw Data'!#REF!="",_xlfn.REGEXEXTRACT(CELL("address",'Raw Data'!#REF!),"\$([A-Z]+)\$[0-9]+"),"")</f>
        <v>#REF!</v>
      </c>
      <c r="H244" t="str" cm="1">
        <f t="array" aca="1" ref="H244" ca="1">IF('Raw Data'!G246="",_xlfn.REGEXEXTRACT(CELL("address",'Raw Data'!G246),"\$([A-Z]+)\$[0-9]+"),"")</f>
        <v>$G$246</v>
      </c>
      <c r="I244" t="e" cm="1">
        <f t="array" aca="1" ref="I244" ca="1">IF('Raw Data'!#REF!="",_xlfn.REGEXEXTRACT(CELL("address",'Raw Data'!#REF!),"\$([A-Z]+)\$[0-9]+"),"")</f>
        <v>#REF!</v>
      </c>
    </row>
    <row r="245" spans="2:9" x14ac:dyDescent="0.25">
      <c r="B245" t="str" cm="1">
        <f t="array" aca="1" ref="B245" ca="1">IF('Raw Data'!B247="",_xlfn.REGEXEXTRACT(CELL("address",'Raw Data'!B247),"\$([A-Z]+)\$[0-9]+"),"")</f>
        <v>$B$247</v>
      </c>
      <c r="C245" t="str" cm="1">
        <f t="array" aca="1" ref="C245" ca="1">IF('Raw Data'!C247="",_xlfn.REGEXEXTRACT(CELL("address",'Raw Data'!C247),"\$([A-Z]+)\$[0-9]+"),"")</f>
        <v>$C$247</v>
      </c>
      <c r="D245" t="str" cm="1">
        <f t="array" aca="1" ref="D245" ca="1">IF('Raw Data'!D247="",_xlfn.REGEXEXTRACT(CELL("address",'Raw Data'!D247),"\$([A-Z]+)\$[0-9]+"),"")</f>
        <v>$D$247</v>
      </c>
      <c r="E245" t="str" cm="1">
        <f t="array" aca="1" ref="E245" ca="1">IF('Raw Data'!E247="",_xlfn.REGEXEXTRACT(CELL("address",'Raw Data'!E247),"\$([A-Z]+)\$[0-9]+"),"")</f>
        <v>$E$247</v>
      </c>
      <c r="F245" t="str" cm="1">
        <f t="array" aca="1" ref="F245" ca="1">IF('Raw Data'!F247="",_xlfn.REGEXEXTRACT(CELL("address",'Raw Data'!F247),"\$([A-Z]+)\$[0-9]+"),"")</f>
        <v>$F$247</v>
      </c>
      <c r="G245" t="e" cm="1">
        <f t="array" aca="1" ref="G245" ca="1">IF('Raw Data'!#REF!="",_xlfn.REGEXEXTRACT(CELL("address",'Raw Data'!#REF!),"\$([A-Z]+)\$[0-9]+"),"")</f>
        <v>#REF!</v>
      </c>
      <c r="H245" t="str" cm="1">
        <f t="array" aca="1" ref="H245" ca="1">IF('Raw Data'!G247="",_xlfn.REGEXEXTRACT(CELL("address",'Raw Data'!G247),"\$([A-Z]+)\$[0-9]+"),"")</f>
        <v>$G$247</v>
      </c>
      <c r="I245" t="e" cm="1">
        <f t="array" aca="1" ref="I245" ca="1">IF('Raw Data'!#REF!="",_xlfn.REGEXEXTRACT(CELL("address",'Raw Data'!#REF!),"\$([A-Z]+)\$[0-9]+"),"")</f>
        <v>#REF!</v>
      </c>
    </row>
    <row r="246" spans="2:9" x14ac:dyDescent="0.25">
      <c r="B246" t="str" cm="1">
        <f t="array" aca="1" ref="B246" ca="1">IF('Raw Data'!B248="",_xlfn.REGEXEXTRACT(CELL("address",'Raw Data'!B248),"\$([A-Z]+)\$[0-9]+"),"")</f>
        <v>$B$248</v>
      </c>
      <c r="C246" t="str" cm="1">
        <f t="array" aca="1" ref="C246" ca="1">IF('Raw Data'!C248="",_xlfn.REGEXEXTRACT(CELL("address",'Raw Data'!C248),"\$([A-Z]+)\$[0-9]+"),"")</f>
        <v>$C$248</v>
      </c>
      <c r="D246" t="str" cm="1">
        <f t="array" aca="1" ref="D246" ca="1">IF('Raw Data'!D248="",_xlfn.REGEXEXTRACT(CELL("address",'Raw Data'!D248),"\$([A-Z]+)\$[0-9]+"),"")</f>
        <v>$D$248</v>
      </c>
      <c r="E246" t="str" cm="1">
        <f t="array" aca="1" ref="E246" ca="1">IF('Raw Data'!E248="",_xlfn.REGEXEXTRACT(CELL("address",'Raw Data'!E248),"\$([A-Z]+)\$[0-9]+"),"")</f>
        <v>$E$248</v>
      </c>
      <c r="F246" t="str" cm="1">
        <f t="array" aca="1" ref="F246" ca="1">IF('Raw Data'!F248="",_xlfn.REGEXEXTRACT(CELL("address",'Raw Data'!F248),"\$([A-Z]+)\$[0-9]+"),"")</f>
        <v>$F$248</v>
      </c>
      <c r="G246" t="e" cm="1">
        <f t="array" aca="1" ref="G246" ca="1">IF('Raw Data'!#REF!="",_xlfn.REGEXEXTRACT(CELL("address",'Raw Data'!#REF!),"\$([A-Z]+)\$[0-9]+"),"")</f>
        <v>#REF!</v>
      </c>
      <c r="H246" t="str" cm="1">
        <f t="array" aca="1" ref="H246" ca="1">IF('Raw Data'!G248="",_xlfn.REGEXEXTRACT(CELL("address",'Raw Data'!G248),"\$([A-Z]+)\$[0-9]+"),"")</f>
        <v>$G$248</v>
      </c>
      <c r="I246" t="e" cm="1">
        <f t="array" aca="1" ref="I246" ca="1">IF('Raw Data'!#REF!="",_xlfn.REGEXEXTRACT(CELL("address",'Raw Data'!#REF!),"\$([A-Z]+)\$[0-9]+"),"")</f>
        <v>#REF!</v>
      </c>
    </row>
    <row r="247" spans="2:9" x14ac:dyDescent="0.25">
      <c r="B247" t="str" cm="1">
        <f t="array" aca="1" ref="B247" ca="1">IF('Raw Data'!B249="",_xlfn.REGEXEXTRACT(CELL("address",'Raw Data'!B249),"\$([A-Z]+)\$[0-9]+"),"")</f>
        <v>$B$249</v>
      </c>
      <c r="C247" t="str" cm="1">
        <f t="array" aca="1" ref="C247" ca="1">IF('Raw Data'!C249="",_xlfn.REGEXEXTRACT(CELL("address",'Raw Data'!C249),"\$([A-Z]+)\$[0-9]+"),"")</f>
        <v>$C$249</v>
      </c>
      <c r="D247" t="str" cm="1">
        <f t="array" aca="1" ref="D247" ca="1">IF('Raw Data'!D249="",_xlfn.REGEXEXTRACT(CELL("address",'Raw Data'!D249),"\$([A-Z]+)\$[0-9]+"),"")</f>
        <v>$D$249</v>
      </c>
      <c r="E247" t="str" cm="1">
        <f t="array" aca="1" ref="E247" ca="1">IF('Raw Data'!E249="",_xlfn.REGEXEXTRACT(CELL("address",'Raw Data'!E249),"\$([A-Z]+)\$[0-9]+"),"")</f>
        <v>$E$249</v>
      </c>
      <c r="F247" t="str" cm="1">
        <f t="array" aca="1" ref="F247" ca="1">IF('Raw Data'!F249="",_xlfn.REGEXEXTRACT(CELL("address",'Raw Data'!F249),"\$([A-Z]+)\$[0-9]+"),"")</f>
        <v>$F$249</v>
      </c>
      <c r="G247" t="e" cm="1">
        <f t="array" aca="1" ref="G247" ca="1">IF('Raw Data'!#REF!="",_xlfn.REGEXEXTRACT(CELL("address",'Raw Data'!#REF!),"\$([A-Z]+)\$[0-9]+"),"")</f>
        <v>#REF!</v>
      </c>
      <c r="H247" t="str" cm="1">
        <f t="array" aca="1" ref="H247" ca="1">IF('Raw Data'!G249="",_xlfn.REGEXEXTRACT(CELL("address",'Raw Data'!G249),"\$([A-Z]+)\$[0-9]+"),"")</f>
        <v>$G$249</v>
      </c>
      <c r="I247" t="e" cm="1">
        <f t="array" aca="1" ref="I247" ca="1">IF('Raw Data'!#REF!="",_xlfn.REGEXEXTRACT(CELL("address",'Raw Data'!#REF!),"\$([A-Z]+)\$[0-9]+"),"")</f>
        <v>#REF!</v>
      </c>
    </row>
    <row r="248" spans="2:9" x14ac:dyDescent="0.25">
      <c r="B248" t="str" cm="1">
        <f t="array" aca="1" ref="B248" ca="1">IF('Raw Data'!B250="",_xlfn.REGEXEXTRACT(CELL("address",'Raw Data'!B250),"\$([A-Z]+)\$[0-9]+"),"")</f>
        <v>$B$250</v>
      </c>
      <c r="C248" t="str" cm="1">
        <f t="array" aca="1" ref="C248" ca="1">IF('Raw Data'!C250="",_xlfn.REGEXEXTRACT(CELL("address",'Raw Data'!C250),"\$([A-Z]+)\$[0-9]+"),"")</f>
        <v>$C$250</v>
      </c>
      <c r="D248" t="str" cm="1">
        <f t="array" aca="1" ref="D248" ca="1">IF('Raw Data'!D250="",_xlfn.REGEXEXTRACT(CELL("address",'Raw Data'!D250),"\$([A-Z]+)\$[0-9]+"),"")</f>
        <v>$D$250</v>
      </c>
      <c r="E248" t="str" cm="1">
        <f t="array" aca="1" ref="E248" ca="1">IF('Raw Data'!E250="",_xlfn.REGEXEXTRACT(CELL("address",'Raw Data'!E250),"\$([A-Z]+)\$[0-9]+"),"")</f>
        <v>$E$250</v>
      </c>
      <c r="F248" t="str" cm="1">
        <f t="array" aca="1" ref="F248" ca="1">IF('Raw Data'!F250="",_xlfn.REGEXEXTRACT(CELL("address",'Raw Data'!F250),"\$([A-Z]+)\$[0-9]+"),"")</f>
        <v>$F$250</v>
      </c>
      <c r="G248" t="e" cm="1">
        <f t="array" aca="1" ref="G248" ca="1">IF('Raw Data'!#REF!="",_xlfn.REGEXEXTRACT(CELL("address",'Raw Data'!#REF!),"\$([A-Z]+)\$[0-9]+"),"")</f>
        <v>#REF!</v>
      </c>
      <c r="H248" t="str" cm="1">
        <f t="array" aca="1" ref="H248" ca="1">IF('Raw Data'!G250="",_xlfn.REGEXEXTRACT(CELL("address",'Raw Data'!G250),"\$([A-Z]+)\$[0-9]+"),"")</f>
        <v>$G$250</v>
      </c>
      <c r="I248" t="e" cm="1">
        <f t="array" aca="1" ref="I248" ca="1">IF('Raw Data'!#REF!="",_xlfn.REGEXEXTRACT(CELL("address",'Raw Data'!#REF!),"\$([A-Z]+)\$[0-9]+"),"")</f>
        <v>#REF!</v>
      </c>
    </row>
    <row r="249" spans="2:9" x14ac:dyDescent="0.25">
      <c r="B249" t="str" cm="1">
        <f t="array" aca="1" ref="B249" ca="1">IF('Raw Data'!B251="",_xlfn.REGEXEXTRACT(CELL("address",'Raw Data'!B251),"\$([A-Z]+)\$[0-9]+"),"")</f>
        <v>$B$251</v>
      </c>
      <c r="C249" t="str" cm="1">
        <f t="array" aca="1" ref="C249" ca="1">IF('Raw Data'!C251="",_xlfn.REGEXEXTRACT(CELL("address",'Raw Data'!C251),"\$([A-Z]+)\$[0-9]+"),"")</f>
        <v>$C$251</v>
      </c>
      <c r="D249" t="str" cm="1">
        <f t="array" aca="1" ref="D249" ca="1">IF('Raw Data'!D251="",_xlfn.REGEXEXTRACT(CELL("address",'Raw Data'!D251),"\$([A-Z]+)\$[0-9]+"),"")</f>
        <v>$D$251</v>
      </c>
      <c r="E249" t="str" cm="1">
        <f t="array" aca="1" ref="E249" ca="1">IF('Raw Data'!E251="",_xlfn.REGEXEXTRACT(CELL("address",'Raw Data'!E251),"\$([A-Z]+)\$[0-9]+"),"")</f>
        <v>$E$251</v>
      </c>
      <c r="F249" t="str" cm="1">
        <f t="array" aca="1" ref="F249" ca="1">IF('Raw Data'!F251="",_xlfn.REGEXEXTRACT(CELL("address",'Raw Data'!F251),"\$([A-Z]+)\$[0-9]+"),"")</f>
        <v>$F$251</v>
      </c>
      <c r="G249" t="e" cm="1">
        <f t="array" aca="1" ref="G249" ca="1">IF('Raw Data'!#REF!="",_xlfn.REGEXEXTRACT(CELL("address",'Raw Data'!#REF!),"\$([A-Z]+)\$[0-9]+"),"")</f>
        <v>#REF!</v>
      </c>
      <c r="H249" t="str" cm="1">
        <f t="array" aca="1" ref="H249" ca="1">IF('Raw Data'!G251="",_xlfn.REGEXEXTRACT(CELL("address",'Raw Data'!G251),"\$([A-Z]+)\$[0-9]+"),"")</f>
        <v>$G$251</v>
      </c>
      <c r="I249" t="e" cm="1">
        <f t="array" aca="1" ref="I249" ca="1">IF('Raw Data'!#REF!="",_xlfn.REGEXEXTRACT(CELL("address",'Raw Data'!#REF!),"\$([A-Z]+)\$[0-9]+"),"")</f>
        <v>#REF!</v>
      </c>
    </row>
    <row r="250" spans="2:9" x14ac:dyDescent="0.25">
      <c r="B250" t="str" cm="1">
        <f t="array" aca="1" ref="B250" ca="1">IF('Raw Data'!B252="",_xlfn.REGEXEXTRACT(CELL("address",'Raw Data'!B252),"\$([A-Z]+)\$[0-9]+"),"")</f>
        <v>$B$252</v>
      </c>
      <c r="C250" t="str" cm="1">
        <f t="array" aca="1" ref="C250" ca="1">IF('Raw Data'!C252="",_xlfn.REGEXEXTRACT(CELL("address",'Raw Data'!C252),"\$([A-Z]+)\$[0-9]+"),"")</f>
        <v>$C$252</v>
      </c>
      <c r="D250" t="str" cm="1">
        <f t="array" aca="1" ref="D250" ca="1">IF('Raw Data'!D252="",_xlfn.REGEXEXTRACT(CELL("address",'Raw Data'!D252),"\$([A-Z]+)\$[0-9]+"),"")</f>
        <v>$D$252</v>
      </c>
      <c r="E250" t="str" cm="1">
        <f t="array" aca="1" ref="E250" ca="1">IF('Raw Data'!E252="",_xlfn.REGEXEXTRACT(CELL("address",'Raw Data'!E252),"\$([A-Z]+)\$[0-9]+"),"")</f>
        <v>$E$252</v>
      </c>
      <c r="F250" t="str" cm="1">
        <f t="array" aca="1" ref="F250" ca="1">IF('Raw Data'!F252="",_xlfn.REGEXEXTRACT(CELL("address",'Raw Data'!F252),"\$([A-Z]+)\$[0-9]+"),"")</f>
        <v>$F$252</v>
      </c>
      <c r="G250" t="e" cm="1">
        <f t="array" aca="1" ref="G250" ca="1">IF('Raw Data'!#REF!="",_xlfn.REGEXEXTRACT(CELL("address",'Raw Data'!#REF!),"\$([A-Z]+)\$[0-9]+"),"")</f>
        <v>#REF!</v>
      </c>
      <c r="H250" t="str" cm="1">
        <f t="array" aca="1" ref="H250" ca="1">IF('Raw Data'!G252="",_xlfn.REGEXEXTRACT(CELL("address",'Raw Data'!G252),"\$([A-Z]+)\$[0-9]+"),"")</f>
        <v>$G$252</v>
      </c>
      <c r="I250" t="e" cm="1">
        <f t="array" aca="1" ref="I250" ca="1">IF('Raw Data'!#REF!="",_xlfn.REGEXEXTRACT(CELL("address",'Raw Data'!#REF!),"\$([A-Z]+)\$[0-9]+"),"")</f>
        <v>#REF!</v>
      </c>
    </row>
    <row r="251" spans="2:9" x14ac:dyDescent="0.25">
      <c r="B251" t="str" cm="1">
        <f t="array" aca="1" ref="B251" ca="1">IF('Raw Data'!B253="",_xlfn.REGEXEXTRACT(CELL("address",'Raw Data'!B253),"\$([A-Z]+)\$[0-9]+"),"")</f>
        <v>$B$253</v>
      </c>
      <c r="C251" t="str" cm="1">
        <f t="array" aca="1" ref="C251" ca="1">IF('Raw Data'!C253="",_xlfn.REGEXEXTRACT(CELL("address",'Raw Data'!C253),"\$([A-Z]+)\$[0-9]+"),"")</f>
        <v>$C$253</v>
      </c>
      <c r="D251" t="str" cm="1">
        <f t="array" aca="1" ref="D251" ca="1">IF('Raw Data'!D253="",_xlfn.REGEXEXTRACT(CELL("address",'Raw Data'!D253),"\$([A-Z]+)\$[0-9]+"),"")</f>
        <v>$D$253</v>
      </c>
      <c r="E251" t="str" cm="1">
        <f t="array" aca="1" ref="E251" ca="1">IF('Raw Data'!E253="",_xlfn.REGEXEXTRACT(CELL("address",'Raw Data'!E253),"\$([A-Z]+)\$[0-9]+"),"")</f>
        <v>$E$253</v>
      </c>
      <c r="F251" t="str" cm="1">
        <f t="array" aca="1" ref="F251" ca="1">IF('Raw Data'!F253="",_xlfn.REGEXEXTRACT(CELL("address",'Raw Data'!F253),"\$([A-Z]+)\$[0-9]+"),"")</f>
        <v>$F$253</v>
      </c>
      <c r="G251" t="e" cm="1">
        <f t="array" aca="1" ref="G251" ca="1">IF('Raw Data'!#REF!="",_xlfn.REGEXEXTRACT(CELL("address",'Raw Data'!#REF!),"\$([A-Z]+)\$[0-9]+"),"")</f>
        <v>#REF!</v>
      </c>
      <c r="H251" t="str" cm="1">
        <f t="array" aca="1" ref="H251" ca="1">IF('Raw Data'!G253="",_xlfn.REGEXEXTRACT(CELL("address",'Raw Data'!G253),"\$([A-Z]+)\$[0-9]+"),"")</f>
        <v>$G$253</v>
      </c>
      <c r="I251" t="e" cm="1">
        <f t="array" aca="1" ref="I251" ca="1">IF('Raw Data'!#REF!="",_xlfn.REGEXEXTRACT(CELL("address",'Raw Data'!#REF!),"\$([A-Z]+)\$[0-9]+"),"")</f>
        <v>#REF!</v>
      </c>
    </row>
    <row r="252" spans="2:9" x14ac:dyDescent="0.25">
      <c r="B252" t="str" cm="1">
        <f t="array" aca="1" ref="B252" ca="1">IF('Raw Data'!B254="",_xlfn.REGEXEXTRACT(CELL("address",'Raw Data'!B254),"\$([A-Z]+)\$[0-9]+"),"")</f>
        <v>$B$254</v>
      </c>
      <c r="C252" t="str" cm="1">
        <f t="array" aca="1" ref="C252" ca="1">IF('Raw Data'!C254="",_xlfn.REGEXEXTRACT(CELL("address",'Raw Data'!C254),"\$([A-Z]+)\$[0-9]+"),"")</f>
        <v>$C$254</v>
      </c>
      <c r="D252" t="str" cm="1">
        <f t="array" aca="1" ref="D252" ca="1">IF('Raw Data'!D254="",_xlfn.REGEXEXTRACT(CELL("address",'Raw Data'!D254),"\$([A-Z]+)\$[0-9]+"),"")</f>
        <v>$D$254</v>
      </c>
      <c r="E252" t="str" cm="1">
        <f t="array" aca="1" ref="E252" ca="1">IF('Raw Data'!E254="",_xlfn.REGEXEXTRACT(CELL("address",'Raw Data'!E254),"\$([A-Z]+)\$[0-9]+"),"")</f>
        <v>$E$254</v>
      </c>
      <c r="F252" t="str" cm="1">
        <f t="array" aca="1" ref="F252" ca="1">IF('Raw Data'!F254="",_xlfn.REGEXEXTRACT(CELL("address",'Raw Data'!F254),"\$([A-Z]+)\$[0-9]+"),"")</f>
        <v>$F$254</v>
      </c>
      <c r="G252" t="e" cm="1">
        <f t="array" aca="1" ref="G252" ca="1">IF('Raw Data'!#REF!="",_xlfn.REGEXEXTRACT(CELL("address",'Raw Data'!#REF!),"\$([A-Z]+)\$[0-9]+"),"")</f>
        <v>#REF!</v>
      </c>
      <c r="H252" t="str" cm="1">
        <f t="array" aca="1" ref="H252" ca="1">IF('Raw Data'!G254="",_xlfn.REGEXEXTRACT(CELL("address",'Raw Data'!G254),"\$([A-Z]+)\$[0-9]+"),"")</f>
        <v>$G$254</v>
      </c>
      <c r="I252" t="e" cm="1">
        <f t="array" aca="1" ref="I252" ca="1">IF('Raw Data'!#REF!="",_xlfn.REGEXEXTRACT(CELL("address",'Raw Data'!#REF!),"\$([A-Z]+)\$[0-9]+"),"")</f>
        <v>#REF!</v>
      </c>
    </row>
    <row r="253" spans="2:9" x14ac:dyDescent="0.25">
      <c r="B253" t="str" cm="1">
        <f t="array" aca="1" ref="B253" ca="1">IF('Raw Data'!B255="",_xlfn.REGEXEXTRACT(CELL("address",'Raw Data'!B255),"\$([A-Z]+)\$[0-9]+"),"")</f>
        <v>$B$255</v>
      </c>
      <c r="C253" t="str" cm="1">
        <f t="array" aca="1" ref="C253" ca="1">IF('Raw Data'!C255="",_xlfn.REGEXEXTRACT(CELL("address",'Raw Data'!C255),"\$([A-Z]+)\$[0-9]+"),"")</f>
        <v>$C$255</v>
      </c>
      <c r="D253" t="str" cm="1">
        <f t="array" aca="1" ref="D253" ca="1">IF('Raw Data'!D255="",_xlfn.REGEXEXTRACT(CELL("address",'Raw Data'!D255),"\$([A-Z]+)\$[0-9]+"),"")</f>
        <v>$D$255</v>
      </c>
      <c r="E253" t="str" cm="1">
        <f t="array" aca="1" ref="E253" ca="1">IF('Raw Data'!E255="",_xlfn.REGEXEXTRACT(CELL("address",'Raw Data'!E255),"\$([A-Z]+)\$[0-9]+"),"")</f>
        <v>$E$255</v>
      </c>
      <c r="F253" t="str" cm="1">
        <f t="array" aca="1" ref="F253" ca="1">IF('Raw Data'!F255="",_xlfn.REGEXEXTRACT(CELL("address",'Raw Data'!F255),"\$([A-Z]+)\$[0-9]+"),"")</f>
        <v>$F$255</v>
      </c>
      <c r="G253" t="e" cm="1">
        <f t="array" aca="1" ref="G253" ca="1">IF('Raw Data'!#REF!="",_xlfn.REGEXEXTRACT(CELL("address",'Raw Data'!#REF!),"\$([A-Z]+)\$[0-9]+"),"")</f>
        <v>#REF!</v>
      </c>
      <c r="H253" t="str" cm="1">
        <f t="array" aca="1" ref="H253" ca="1">IF('Raw Data'!G255="",_xlfn.REGEXEXTRACT(CELL("address",'Raw Data'!G255),"\$([A-Z]+)\$[0-9]+"),"")</f>
        <v>$G$255</v>
      </c>
      <c r="I253" t="e" cm="1">
        <f t="array" aca="1" ref="I253" ca="1">IF('Raw Data'!#REF!="",_xlfn.REGEXEXTRACT(CELL("address",'Raw Data'!#REF!),"\$([A-Z]+)\$[0-9]+"),"")</f>
        <v>#REF!</v>
      </c>
    </row>
    <row r="254" spans="2:9" x14ac:dyDescent="0.25">
      <c r="B254" t="str" cm="1">
        <f t="array" aca="1" ref="B254" ca="1">IF('Raw Data'!B256="",_xlfn.REGEXEXTRACT(CELL("address",'Raw Data'!B256),"\$([A-Z]+)\$[0-9]+"),"")</f>
        <v>$B$256</v>
      </c>
      <c r="C254" t="str" cm="1">
        <f t="array" aca="1" ref="C254" ca="1">IF('Raw Data'!C256="",_xlfn.REGEXEXTRACT(CELL("address",'Raw Data'!C256),"\$([A-Z]+)\$[0-9]+"),"")</f>
        <v>$C$256</v>
      </c>
      <c r="D254" t="str" cm="1">
        <f t="array" aca="1" ref="D254" ca="1">IF('Raw Data'!D256="",_xlfn.REGEXEXTRACT(CELL("address",'Raw Data'!D256),"\$([A-Z]+)\$[0-9]+"),"")</f>
        <v>$D$256</v>
      </c>
      <c r="E254" t="str" cm="1">
        <f t="array" aca="1" ref="E254" ca="1">IF('Raw Data'!E256="",_xlfn.REGEXEXTRACT(CELL("address",'Raw Data'!E256),"\$([A-Z]+)\$[0-9]+"),"")</f>
        <v>$E$256</v>
      </c>
      <c r="F254" t="str" cm="1">
        <f t="array" aca="1" ref="F254" ca="1">IF('Raw Data'!F256="",_xlfn.REGEXEXTRACT(CELL("address",'Raw Data'!F256),"\$([A-Z]+)\$[0-9]+"),"")</f>
        <v>$F$256</v>
      </c>
      <c r="G254" t="e" cm="1">
        <f t="array" aca="1" ref="G254" ca="1">IF('Raw Data'!#REF!="",_xlfn.REGEXEXTRACT(CELL("address",'Raw Data'!#REF!),"\$([A-Z]+)\$[0-9]+"),"")</f>
        <v>#REF!</v>
      </c>
      <c r="H254" t="str" cm="1">
        <f t="array" aca="1" ref="H254" ca="1">IF('Raw Data'!G256="",_xlfn.REGEXEXTRACT(CELL("address",'Raw Data'!G256),"\$([A-Z]+)\$[0-9]+"),"")</f>
        <v>$G$256</v>
      </c>
      <c r="I254" t="e" cm="1">
        <f t="array" aca="1" ref="I254" ca="1">IF('Raw Data'!#REF!="",_xlfn.REGEXEXTRACT(CELL("address",'Raw Data'!#REF!),"\$([A-Z]+)\$[0-9]+"),"")</f>
        <v>#REF!</v>
      </c>
    </row>
    <row r="255" spans="2:9" x14ac:dyDescent="0.25">
      <c r="B255" t="str" cm="1">
        <f t="array" aca="1" ref="B255" ca="1">IF('Raw Data'!B257="",_xlfn.REGEXEXTRACT(CELL("address",'Raw Data'!B257),"\$([A-Z]+)\$[0-9]+"),"")</f>
        <v>$B$257</v>
      </c>
      <c r="C255" t="str" cm="1">
        <f t="array" aca="1" ref="C255" ca="1">IF('Raw Data'!C257="",_xlfn.REGEXEXTRACT(CELL("address",'Raw Data'!C257),"\$([A-Z]+)\$[0-9]+"),"")</f>
        <v>$C$257</v>
      </c>
      <c r="D255" t="str" cm="1">
        <f t="array" aca="1" ref="D255" ca="1">IF('Raw Data'!D257="",_xlfn.REGEXEXTRACT(CELL("address",'Raw Data'!D257),"\$([A-Z]+)\$[0-9]+"),"")</f>
        <v>$D$257</v>
      </c>
      <c r="E255" t="str" cm="1">
        <f t="array" aca="1" ref="E255" ca="1">IF('Raw Data'!E257="",_xlfn.REGEXEXTRACT(CELL("address",'Raw Data'!E257),"\$([A-Z]+)\$[0-9]+"),"")</f>
        <v>$E$257</v>
      </c>
      <c r="F255" t="str" cm="1">
        <f t="array" aca="1" ref="F255" ca="1">IF('Raw Data'!F257="",_xlfn.REGEXEXTRACT(CELL("address",'Raw Data'!F257),"\$([A-Z]+)\$[0-9]+"),"")</f>
        <v>$F$257</v>
      </c>
      <c r="G255" t="e" cm="1">
        <f t="array" aca="1" ref="G255" ca="1">IF('Raw Data'!#REF!="",_xlfn.REGEXEXTRACT(CELL("address",'Raw Data'!#REF!),"\$([A-Z]+)\$[0-9]+"),"")</f>
        <v>#REF!</v>
      </c>
      <c r="H255" t="str" cm="1">
        <f t="array" aca="1" ref="H255" ca="1">IF('Raw Data'!G257="",_xlfn.REGEXEXTRACT(CELL("address",'Raw Data'!G257),"\$([A-Z]+)\$[0-9]+"),"")</f>
        <v>$G$257</v>
      </c>
      <c r="I255" t="e" cm="1">
        <f t="array" aca="1" ref="I255" ca="1">IF('Raw Data'!#REF!="",_xlfn.REGEXEXTRACT(CELL("address",'Raw Data'!#REF!),"\$([A-Z]+)\$[0-9]+"),"")</f>
        <v>#REF!</v>
      </c>
    </row>
    <row r="256" spans="2:9" x14ac:dyDescent="0.25">
      <c r="B256" t="str" cm="1">
        <f t="array" aca="1" ref="B256" ca="1">IF('Raw Data'!B258="",_xlfn.REGEXEXTRACT(CELL("address",'Raw Data'!B258),"\$([A-Z]+)\$[0-9]+"),"")</f>
        <v>$B$258</v>
      </c>
      <c r="C256" t="str" cm="1">
        <f t="array" aca="1" ref="C256" ca="1">IF('Raw Data'!C258="",_xlfn.REGEXEXTRACT(CELL("address",'Raw Data'!C258),"\$([A-Z]+)\$[0-9]+"),"")</f>
        <v>$C$258</v>
      </c>
      <c r="D256" t="str" cm="1">
        <f t="array" aca="1" ref="D256" ca="1">IF('Raw Data'!D258="",_xlfn.REGEXEXTRACT(CELL("address",'Raw Data'!D258),"\$([A-Z]+)\$[0-9]+"),"")</f>
        <v>$D$258</v>
      </c>
      <c r="E256" t="str" cm="1">
        <f t="array" aca="1" ref="E256" ca="1">IF('Raw Data'!E258="",_xlfn.REGEXEXTRACT(CELL("address",'Raw Data'!E258),"\$([A-Z]+)\$[0-9]+"),"")</f>
        <v>$E$258</v>
      </c>
      <c r="F256" t="str" cm="1">
        <f t="array" aca="1" ref="F256" ca="1">IF('Raw Data'!F258="",_xlfn.REGEXEXTRACT(CELL("address",'Raw Data'!F258),"\$([A-Z]+)\$[0-9]+"),"")</f>
        <v>$F$258</v>
      </c>
      <c r="G256" t="e" cm="1">
        <f t="array" aca="1" ref="G256" ca="1">IF('Raw Data'!#REF!="",_xlfn.REGEXEXTRACT(CELL("address",'Raw Data'!#REF!),"\$([A-Z]+)\$[0-9]+"),"")</f>
        <v>#REF!</v>
      </c>
      <c r="H256" t="str" cm="1">
        <f t="array" aca="1" ref="H256" ca="1">IF('Raw Data'!G258="",_xlfn.REGEXEXTRACT(CELL("address",'Raw Data'!G258),"\$([A-Z]+)\$[0-9]+"),"")</f>
        <v>$G$258</v>
      </c>
      <c r="I256" t="e" cm="1">
        <f t="array" aca="1" ref="I256" ca="1">IF('Raw Data'!#REF!="",_xlfn.REGEXEXTRACT(CELL("address",'Raw Data'!#REF!),"\$([A-Z]+)\$[0-9]+"),"")</f>
        <v>#REF!</v>
      </c>
    </row>
    <row r="257" spans="2:9" x14ac:dyDescent="0.25">
      <c r="B257" t="str" cm="1">
        <f t="array" aca="1" ref="B257" ca="1">IF('Raw Data'!B259="",_xlfn.REGEXEXTRACT(CELL("address",'Raw Data'!B259),"\$([A-Z]+)\$[0-9]+"),"")</f>
        <v>$B$259</v>
      </c>
      <c r="C257" t="str" cm="1">
        <f t="array" aca="1" ref="C257" ca="1">IF('Raw Data'!C259="",_xlfn.REGEXEXTRACT(CELL("address",'Raw Data'!C259),"\$([A-Z]+)\$[0-9]+"),"")</f>
        <v>$C$259</v>
      </c>
      <c r="D257" t="str" cm="1">
        <f t="array" aca="1" ref="D257" ca="1">IF('Raw Data'!D259="",_xlfn.REGEXEXTRACT(CELL("address",'Raw Data'!D259),"\$([A-Z]+)\$[0-9]+"),"")</f>
        <v>$D$259</v>
      </c>
      <c r="E257" t="str" cm="1">
        <f t="array" aca="1" ref="E257" ca="1">IF('Raw Data'!E259="",_xlfn.REGEXEXTRACT(CELL("address",'Raw Data'!E259),"\$([A-Z]+)\$[0-9]+"),"")</f>
        <v>$E$259</v>
      </c>
      <c r="F257" t="str" cm="1">
        <f t="array" aca="1" ref="F257" ca="1">IF('Raw Data'!F259="",_xlfn.REGEXEXTRACT(CELL("address",'Raw Data'!F259),"\$([A-Z]+)\$[0-9]+"),"")</f>
        <v>$F$259</v>
      </c>
      <c r="G257" t="e" cm="1">
        <f t="array" aca="1" ref="G257" ca="1">IF('Raw Data'!#REF!="",_xlfn.REGEXEXTRACT(CELL("address",'Raw Data'!#REF!),"\$([A-Z]+)\$[0-9]+"),"")</f>
        <v>#REF!</v>
      </c>
      <c r="H257" t="str" cm="1">
        <f t="array" aca="1" ref="H257" ca="1">IF('Raw Data'!G259="",_xlfn.REGEXEXTRACT(CELL("address",'Raw Data'!G259),"\$([A-Z]+)\$[0-9]+"),"")</f>
        <v>$G$259</v>
      </c>
      <c r="I257" t="e" cm="1">
        <f t="array" aca="1" ref="I257" ca="1">IF('Raw Data'!#REF!="",_xlfn.REGEXEXTRACT(CELL("address",'Raw Data'!#REF!),"\$([A-Z]+)\$[0-9]+"),"")</f>
        <v>#REF!</v>
      </c>
    </row>
    <row r="258" spans="2:9" x14ac:dyDescent="0.25">
      <c r="B258" t="str" cm="1">
        <f t="array" aca="1" ref="B258" ca="1">IF('Raw Data'!B260="",_xlfn.REGEXEXTRACT(CELL("address",'Raw Data'!B260),"\$([A-Z]+)\$[0-9]+"),"")</f>
        <v>$B$260</v>
      </c>
      <c r="C258" t="str" cm="1">
        <f t="array" aca="1" ref="C258" ca="1">IF('Raw Data'!C260="",_xlfn.REGEXEXTRACT(CELL("address",'Raw Data'!C260),"\$([A-Z]+)\$[0-9]+"),"")</f>
        <v>$C$260</v>
      </c>
      <c r="D258" t="str" cm="1">
        <f t="array" aca="1" ref="D258" ca="1">IF('Raw Data'!D260="",_xlfn.REGEXEXTRACT(CELL("address",'Raw Data'!D260),"\$([A-Z]+)\$[0-9]+"),"")</f>
        <v>$D$260</v>
      </c>
      <c r="E258" t="str" cm="1">
        <f t="array" aca="1" ref="E258" ca="1">IF('Raw Data'!E260="",_xlfn.REGEXEXTRACT(CELL("address",'Raw Data'!E260),"\$([A-Z]+)\$[0-9]+"),"")</f>
        <v>$E$260</v>
      </c>
      <c r="F258" t="str" cm="1">
        <f t="array" aca="1" ref="F258" ca="1">IF('Raw Data'!F260="",_xlfn.REGEXEXTRACT(CELL("address",'Raw Data'!F260),"\$([A-Z]+)\$[0-9]+"),"")</f>
        <v>$F$260</v>
      </c>
      <c r="G258" t="e" cm="1">
        <f t="array" aca="1" ref="G258" ca="1">IF('Raw Data'!#REF!="",_xlfn.REGEXEXTRACT(CELL("address",'Raw Data'!#REF!),"\$([A-Z]+)\$[0-9]+"),"")</f>
        <v>#REF!</v>
      </c>
      <c r="H258" t="str" cm="1">
        <f t="array" aca="1" ref="H258" ca="1">IF('Raw Data'!G260="",_xlfn.REGEXEXTRACT(CELL("address",'Raw Data'!G260),"\$([A-Z]+)\$[0-9]+"),"")</f>
        <v>$G$260</v>
      </c>
      <c r="I258" t="e" cm="1">
        <f t="array" aca="1" ref="I258" ca="1">IF('Raw Data'!#REF!="",_xlfn.REGEXEXTRACT(CELL("address",'Raw Data'!#REF!),"\$([A-Z]+)\$[0-9]+"),"")</f>
        <v>#REF!</v>
      </c>
    </row>
    <row r="259" spans="2:9" x14ac:dyDescent="0.25">
      <c r="B259" t="str" cm="1">
        <f t="array" aca="1" ref="B259" ca="1">IF('Raw Data'!B261="",_xlfn.REGEXEXTRACT(CELL("address",'Raw Data'!B261),"\$([A-Z]+)\$[0-9]+"),"")</f>
        <v>$B$261</v>
      </c>
      <c r="C259" t="str" cm="1">
        <f t="array" aca="1" ref="C259" ca="1">IF('Raw Data'!C261="",_xlfn.REGEXEXTRACT(CELL("address",'Raw Data'!C261),"\$([A-Z]+)\$[0-9]+"),"")</f>
        <v>$C$261</v>
      </c>
      <c r="D259" t="str" cm="1">
        <f t="array" aca="1" ref="D259" ca="1">IF('Raw Data'!D261="",_xlfn.REGEXEXTRACT(CELL("address",'Raw Data'!D261),"\$([A-Z]+)\$[0-9]+"),"")</f>
        <v>$D$261</v>
      </c>
      <c r="E259" t="str" cm="1">
        <f t="array" aca="1" ref="E259" ca="1">IF('Raw Data'!E261="",_xlfn.REGEXEXTRACT(CELL("address",'Raw Data'!E261),"\$([A-Z]+)\$[0-9]+"),"")</f>
        <v>$E$261</v>
      </c>
      <c r="F259" t="str" cm="1">
        <f t="array" aca="1" ref="F259" ca="1">IF('Raw Data'!F261="",_xlfn.REGEXEXTRACT(CELL("address",'Raw Data'!F261),"\$([A-Z]+)\$[0-9]+"),"")</f>
        <v>$F$261</v>
      </c>
      <c r="G259" t="e" cm="1">
        <f t="array" aca="1" ref="G259" ca="1">IF('Raw Data'!#REF!="",_xlfn.REGEXEXTRACT(CELL("address",'Raw Data'!#REF!),"\$([A-Z]+)\$[0-9]+"),"")</f>
        <v>#REF!</v>
      </c>
      <c r="H259" t="str" cm="1">
        <f t="array" aca="1" ref="H259" ca="1">IF('Raw Data'!G261="",_xlfn.REGEXEXTRACT(CELL("address",'Raw Data'!G261),"\$([A-Z]+)\$[0-9]+"),"")</f>
        <v>$G$261</v>
      </c>
      <c r="I259" t="e" cm="1">
        <f t="array" aca="1" ref="I259" ca="1">IF('Raw Data'!#REF!="",_xlfn.REGEXEXTRACT(CELL("address",'Raw Data'!#REF!),"\$([A-Z]+)\$[0-9]+"),"")</f>
        <v>#REF!</v>
      </c>
    </row>
    <row r="260" spans="2:9" x14ac:dyDescent="0.25">
      <c r="B260" t="str" cm="1">
        <f t="array" aca="1" ref="B260" ca="1">IF('Raw Data'!B262="",_xlfn.REGEXEXTRACT(CELL("address",'Raw Data'!B262),"\$([A-Z]+)\$[0-9]+"),"")</f>
        <v>$B$262</v>
      </c>
      <c r="C260" t="str" cm="1">
        <f t="array" aca="1" ref="C260" ca="1">IF('Raw Data'!C262="",_xlfn.REGEXEXTRACT(CELL("address",'Raw Data'!C262),"\$([A-Z]+)\$[0-9]+"),"")</f>
        <v>$C$262</v>
      </c>
      <c r="D260" t="str" cm="1">
        <f t="array" aca="1" ref="D260" ca="1">IF('Raw Data'!D262="",_xlfn.REGEXEXTRACT(CELL("address",'Raw Data'!D262),"\$([A-Z]+)\$[0-9]+"),"")</f>
        <v>$D$262</v>
      </c>
      <c r="E260" t="str" cm="1">
        <f t="array" aca="1" ref="E260" ca="1">IF('Raw Data'!E262="",_xlfn.REGEXEXTRACT(CELL("address",'Raw Data'!E262),"\$([A-Z]+)\$[0-9]+"),"")</f>
        <v>$E$262</v>
      </c>
      <c r="F260" t="str" cm="1">
        <f t="array" aca="1" ref="F260" ca="1">IF('Raw Data'!F262="",_xlfn.REGEXEXTRACT(CELL("address",'Raw Data'!F262),"\$([A-Z]+)\$[0-9]+"),"")</f>
        <v>$F$262</v>
      </c>
      <c r="G260" t="e" cm="1">
        <f t="array" aca="1" ref="G260" ca="1">IF('Raw Data'!#REF!="",_xlfn.REGEXEXTRACT(CELL("address",'Raw Data'!#REF!),"\$([A-Z]+)\$[0-9]+"),"")</f>
        <v>#REF!</v>
      </c>
      <c r="H260" t="str" cm="1">
        <f t="array" aca="1" ref="H260" ca="1">IF('Raw Data'!G262="",_xlfn.REGEXEXTRACT(CELL("address",'Raw Data'!G262),"\$([A-Z]+)\$[0-9]+"),"")</f>
        <v>$G$262</v>
      </c>
      <c r="I260" t="e" cm="1">
        <f t="array" aca="1" ref="I260" ca="1">IF('Raw Data'!#REF!="",_xlfn.REGEXEXTRACT(CELL("address",'Raw Data'!#REF!),"\$([A-Z]+)\$[0-9]+"),"")</f>
        <v>#REF!</v>
      </c>
    </row>
    <row r="261" spans="2:9" x14ac:dyDescent="0.25">
      <c r="B261" t="str" cm="1">
        <f t="array" aca="1" ref="B261" ca="1">IF('Raw Data'!B263="",_xlfn.REGEXEXTRACT(CELL("address",'Raw Data'!B263),"\$([A-Z]+)\$[0-9]+"),"")</f>
        <v>$B$263</v>
      </c>
      <c r="C261" t="str" cm="1">
        <f t="array" aca="1" ref="C261" ca="1">IF('Raw Data'!C263="",_xlfn.REGEXEXTRACT(CELL("address",'Raw Data'!C263),"\$([A-Z]+)\$[0-9]+"),"")</f>
        <v>$C$263</v>
      </c>
      <c r="D261" t="str" cm="1">
        <f t="array" aca="1" ref="D261" ca="1">IF('Raw Data'!D263="",_xlfn.REGEXEXTRACT(CELL("address",'Raw Data'!D263),"\$([A-Z]+)\$[0-9]+"),"")</f>
        <v>$D$263</v>
      </c>
      <c r="E261" t="str" cm="1">
        <f t="array" aca="1" ref="E261" ca="1">IF('Raw Data'!E263="",_xlfn.REGEXEXTRACT(CELL("address",'Raw Data'!E263),"\$([A-Z]+)\$[0-9]+"),"")</f>
        <v>$E$263</v>
      </c>
      <c r="F261" t="str" cm="1">
        <f t="array" aca="1" ref="F261" ca="1">IF('Raw Data'!F263="",_xlfn.REGEXEXTRACT(CELL("address",'Raw Data'!F263),"\$([A-Z]+)\$[0-9]+"),"")</f>
        <v>$F$263</v>
      </c>
      <c r="G261" t="e" cm="1">
        <f t="array" aca="1" ref="G261" ca="1">IF('Raw Data'!#REF!="",_xlfn.REGEXEXTRACT(CELL("address",'Raw Data'!#REF!),"\$([A-Z]+)\$[0-9]+"),"")</f>
        <v>#REF!</v>
      </c>
      <c r="H261" t="str" cm="1">
        <f t="array" aca="1" ref="H261" ca="1">IF('Raw Data'!G263="",_xlfn.REGEXEXTRACT(CELL("address",'Raw Data'!G263),"\$([A-Z]+)\$[0-9]+"),"")</f>
        <v>$G$263</v>
      </c>
      <c r="I261" t="e" cm="1">
        <f t="array" aca="1" ref="I261" ca="1">IF('Raw Data'!#REF!="",_xlfn.REGEXEXTRACT(CELL("address",'Raw Data'!#REF!),"\$([A-Z]+)\$[0-9]+"),"")</f>
        <v>#REF!</v>
      </c>
    </row>
    <row r="262" spans="2:9" x14ac:dyDescent="0.25">
      <c r="B262" t="str" cm="1">
        <f t="array" aca="1" ref="B262" ca="1">IF('Raw Data'!B264="",_xlfn.REGEXEXTRACT(CELL("address",'Raw Data'!B264),"\$([A-Z]+)\$[0-9]+"),"")</f>
        <v>$B$264</v>
      </c>
      <c r="C262" t="str" cm="1">
        <f t="array" aca="1" ref="C262" ca="1">IF('Raw Data'!C264="",_xlfn.REGEXEXTRACT(CELL("address",'Raw Data'!C264),"\$([A-Z]+)\$[0-9]+"),"")</f>
        <v>$C$264</v>
      </c>
      <c r="D262" t="str" cm="1">
        <f t="array" aca="1" ref="D262" ca="1">IF('Raw Data'!D264="",_xlfn.REGEXEXTRACT(CELL("address",'Raw Data'!D264),"\$([A-Z]+)\$[0-9]+"),"")</f>
        <v>$D$264</v>
      </c>
      <c r="E262" t="str" cm="1">
        <f t="array" aca="1" ref="E262" ca="1">IF('Raw Data'!E264="",_xlfn.REGEXEXTRACT(CELL("address",'Raw Data'!E264),"\$([A-Z]+)\$[0-9]+"),"")</f>
        <v>$E$264</v>
      </c>
      <c r="F262" t="str" cm="1">
        <f t="array" aca="1" ref="F262" ca="1">IF('Raw Data'!F264="",_xlfn.REGEXEXTRACT(CELL("address",'Raw Data'!F264),"\$([A-Z]+)\$[0-9]+"),"")</f>
        <v>$F$264</v>
      </c>
      <c r="G262" t="e" cm="1">
        <f t="array" aca="1" ref="G262" ca="1">IF('Raw Data'!#REF!="",_xlfn.REGEXEXTRACT(CELL("address",'Raw Data'!#REF!),"\$([A-Z]+)\$[0-9]+"),"")</f>
        <v>#REF!</v>
      </c>
      <c r="H262" t="str" cm="1">
        <f t="array" aca="1" ref="H262" ca="1">IF('Raw Data'!G264="",_xlfn.REGEXEXTRACT(CELL("address",'Raw Data'!G264),"\$([A-Z]+)\$[0-9]+"),"")</f>
        <v>$G$264</v>
      </c>
      <c r="I262" t="e" cm="1">
        <f t="array" aca="1" ref="I262" ca="1">IF('Raw Data'!#REF!="",_xlfn.REGEXEXTRACT(CELL("address",'Raw Data'!#REF!),"\$([A-Z]+)\$[0-9]+"),"")</f>
        <v>#REF!</v>
      </c>
    </row>
    <row r="263" spans="2:9" x14ac:dyDescent="0.25">
      <c r="B263" t="str" cm="1">
        <f t="array" aca="1" ref="B263" ca="1">IF('Raw Data'!B265="",_xlfn.REGEXEXTRACT(CELL("address",'Raw Data'!B265),"\$([A-Z]+)\$[0-9]+"),"")</f>
        <v>$B$265</v>
      </c>
      <c r="C263" t="str" cm="1">
        <f t="array" aca="1" ref="C263" ca="1">IF('Raw Data'!C265="",_xlfn.REGEXEXTRACT(CELL("address",'Raw Data'!C265),"\$([A-Z]+)\$[0-9]+"),"")</f>
        <v>$C$265</v>
      </c>
      <c r="D263" t="str" cm="1">
        <f t="array" aca="1" ref="D263" ca="1">IF('Raw Data'!D265="",_xlfn.REGEXEXTRACT(CELL("address",'Raw Data'!D265),"\$([A-Z]+)\$[0-9]+"),"")</f>
        <v>$D$265</v>
      </c>
      <c r="E263" t="str" cm="1">
        <f t="array" aca="1" ref="E263" ca="1">IF('Raw Data'!E265="",_xlfn.REGEXEXTRACT(CELL("address",'Raw Data'!E265),"\$([A-Z]+)\$[0-9]+"),"")</f>
        <v>$E$265</v>
      </c>
      <c r="F263" t="str" cm="1">
        <f t="array" aca="1" ref="F263" ca="1">IF('Raw Data'!F265="",_xlfn.REGEXEXTRACT(CELL("address",'Raw Data'!F265),"\$([A-Z]+)\$[0-9]+"),"")</f>
        <v>$F$265</v>
      </c>
      <c r="G263" t="e" cm="1">
        <f t="array" aca="1" ref="G263" ca="1">IF('Raw Data'!#REF!="",_xlfn.REGEXEXTRACT(CELL("address",'Raw Data'!#REF!),"\$([A-Z]+)\$[0-9]+"),"")</f>
        <v>#REF!</v>
      </c>
      <c r="H263" t="str" cm="1">
        <f t="array" aca="1" ref="H263" ca="1">IF('Raw Data'!G265="",_xlfn.REGEXEXTRACT(CELL("address",'Raw Data'!G265),"\$([A-Z]+)\$[0-9]+"),"")</f>
        <v>$G$265</v>
      </c>
      <c r="I263" t="e" cm="1">
        <f t="array" aca="1" ref="I263" ca="1">IF('Raw Data'!#REF!="",_xlfn.REGEXEXTRACT(CELL("address",'Raw Data'!#REF!),"\$([A-Z]+)\$[0-9]+"),"")</f>
        <v>#REF!</v>
      </c>
    </row>
    <row r="264" spans="2:9" x14ac:dyDescent="0.25">
      <c r="B264" t="str" cm="1">
        <f t="array" aca="1" ref="B264" ca="1">IF('Raw Data'!B266="",_xlfn.REGEXEXTRACT(CELL("address",'Raw Data'!B266),"\$([A-Z]+)\$[0-9]+"),"")</f>
        <v>$B$266</v>
      </c>
      <c r="C264" t="str" cm="1">
        <f t="array" aca="1" ref="C264" ca="1">IF('Raw Data'!C266="",_xlfn.REGEXEXTRACT(CELL("address",'Raw Data'!C266),"\$([A-Z]+)\$[0-9]+"),"")</f>
        <v>$C$266</v>
      </c>
      <c r="D264" t="str" cm="1">
        <f t="array" aca="1" ref="D264" ca="1">IF('Raw Data'!D266="",_xlfn.REGEXEXTRACT(CELL("address",'Raw Data'!D266),"\$([A-Z]+)\$[0-9]+"),"")</f>
        <v>$D$266</v>
      </c>
      <c r="E264" t="str" cm="1">
        <f t="array" aca="1" ref="E264" ca="1">IF('Raw Data'!E266="",_xlfn.REGEXEXTRACT(CELL("address",'Raw Data'!E266),"\$([A-Z]+)\$[0-9]+"),"")</f>
        <v>$E$266</v>
      </c>
      <c r="F264" t="str" cm="1">
        <f t="array" aca="1" ref="F264" ca="1">IF('Raw Data'!F266="",_xlfn.REGEXEXTRACT(CELL("address",'Raw Data'!F266),"\$([A-Z]+)\$[0-9]+"),"")</f>
        <v>$F$266</v>
      </c>
      <c r="G264" t="e" cm="1">
        <f t="array" aca="1" ref="G264" ca="1">IF('Raw Data'!#REF!="",_xlfn.REGEXEXTRACT(CELL("address",'Raw Data'!#REF!),"\$([A-Z]+)\$[0-9]+"),"")</f>
        <v>#REF!</v>
      </c>
      <c r="H264" t="str" cm="1">
        <f t="array" aca="1" ref="H264" ca="1">IF('Raw Data'!G266="",_xlfn.REGEXEXTRACT(CELL("address",'Raw Data'!G266),"\$([A-Z]+)\$[0-9]+"),"")</f>
        <v>$G$266</v>
      </c>
      <c r="I264" t="e" cm="1">
        <f t="array" aca="1" ref="I264" ca="1">IF('Raw Data'!#REF!="",_xlfn.REGEXEXTRACT(CELL("address",'Raw Data'!#REF!),"\$([A-Z]+)\$[0-9]+"),"")</f>
        <v>#REF!</v>
      </c>
    </row>
    <row r="265" spans="2:9" x14ac:dyDescent="0.25">
      <c r="B265" t="str" cm="1">
        <f t="array" aca="1" ref="B265" ca="1">IF('Raw Data'!B267="",_xlfn.REGEXEXTRACT(CELL("address",'Raw Data'!B267),"\$([A-Z]+)\$[0-9]+"),"")</f>
        <v>$B$267</v>
      </c>
      <c r="C265" t="str" cm="1">
        <f t="array" aca="1" ref="C265" ca="1">IF('Raw Data'!C267="",_xlfn.REGEXEXTRACT(CELL("address",'Raw Data'!C267),"\$([A-Z]+)\$[0-9]+"),"")</f>
        <v>$C$267</v>
      </c>
      <c r="D265" t="str" cm="1">
        <f t="array" aca="1" ref="D265" ca="1">IF('Raw Data'!D267="",_xlfn.REGEXEXTRACT(CELL("address",'Raw Data'!D267),"\$([A-Z]+)\$[0-9]+"),"")</f>
        <v>$D$267</v>
      </c>
      <c r="E265" t="str" cm="1">
        <f t="array" aca="1" ref="E265" ca="1">IF('Raw Data'!E267="",_xlfn.REGEXEXTRACT(CELL("address",'Raw Data'!E267),"\$([A-Z]+)\$[0-9]+"),"")</f>
        <v>$E$267</v>
      </c>
      <c r="F265" t="str" cm="1">
        <f t="array" aca="1" ref="F265" ca="1">IF('Raw Data'!F267="",_xlfn.REGEXEXTRACT(CELL("address",'Raw Data'!F267),"\$([A-Z]+)\$[0-9]+"),"")</f>
        <v>$F$267</v>
      </c>
      <c r="G265" t="e" cm="1">
        <f t="array" aca="1" ref="G265" ca="1">IF('Raw Data'!#REF!="",_xlfn.REGEXEXTRACT(CELL("address",'Raw Data'!#REF!),"\$([A-Z]+)\$[0-9]+"),"")</f>
        <v>#REF!</v>
      </c>
      <c r="H265" t="str" cm="1">
        <f t="array" aca="1" ref="H265" ca="1">IF('Raw Data'!G267="",_xlfn.REGEXEXTRACT(CELL("address",'Raw Data'!G267),"\$([A-Z]+)\$[0-9]+"),"")</f>
        <v>$G$267</v>
      </c>
      <c r="I265" t="e" cm="1">
        <f t="array" aca="1" ref="I265" ca="1">IF('Raw Data'!#REF!="",_xlfn.REGEXEXTRACT(CELL("address",'Raw Data'!#REF!),"\$([A-Z]+)\$[0-9]+"),"")</f>
        <v>#REF!</v>
      </c>
    </row>
    <row r="266" spans="2:9" x14ac:dyDescent="0.25">
      <c r="B266" t="str" cm="1">
        <f t="array" aca="1" ref="B266" ca="1">IF('Raw Data'!B268="",_xlfn.REGEXEXTRACT(CELL("address",'Raw Data'!B268),"\$([A-Z]+)\$[0-9]+"),"")</f>
        <v>$B$268</v>
      </c>
      <c r="C266" t="str" cm="1">
        <f t="array" aca="1" ref="C266" ca="1">IF('Raw Data'!C268="",_xlfn.REGEXEXTRACT(CELL("address",'Raw Data'!C268),"\$([A-Z]+)\$[0-9]+"),"")</f>
        <v>$C$268</v>
      </c>
      <c r="D266" t="str" cm="1">
        <f t="array" aca="1" ref="D266" ca="1">IF('Raw Data'!D268="",_xlfn.REGEXEXTRACT(CELL("address",'Raw Data'!D268),"\$([A-Z]+)\$[0-9]+"),"")</f>
        <v>$D$268</v>
      </c>
      <c r="E266" t="str" cm="1">
        <f t="array" aca="1" ref="E266" ca="1">IF('Raw Data'!E268="",_xlfn.REGEXEXTRACT(CELL("address",'Raw Data'!E268),"\$([A-Z]+)\$[0-9]+"),"")</f>
        <v>$E$268</v>
      </c>
      <c r="F266" t="str" cm="1">
        <f t="array" aca="1" ref="F266" ca="1">IF('Raw Data'!F268="",_xlfn.REGEXEXTRACT(CELL("address",'Raw Data'!F268),"\$([A-Z]+)\$[0-9]+"),"")</f>
        <v>$F$268</v>
      </c>
      <c r="G266" t="e" cm="1">
        <f t="array" aca="1" ref="G266" ca="1">IF('Raw Data'!#REF!="",_xlfn.REGEXEXTRACT(CELL("address",'Raw Data'!#REF!),"\$([A-Z]+)\$[0-9]+"),"")</f>
        <v>#REF!</v>
      </c>
      <c r="H266" t="str" cm="1">
        <f t="array" aca="1" ref="H266" ca="1">IF('Raw Data'!G268="",_xlfn.REGEXEXTRACT(CELL("address",'Raw Data'!G268),"\$([A-Z]+)\$[0-9]+"),"")</f>
        <v>$G$268</v>
      </c>
      <c r="I266" t="e" cm="1">
        <f t="array" aca="1" ref="I266" ca="1">IF('Raw Data'!#REF!="",_xlfn.REGEXEXTRACT(CELL("address",'Raw Data'!#REF!),"\$([A-Z]+)\$[0-9]+"),"")</f>
        <v>#REF!</v>
      </c>
    </row>
    <row r="267" spans="2:9" x14ac:dyDescent="0.25">
      <c r="B267" t="str" cm="1">
        <f t="array" aca="1" ref="B267" ca="1">IF('Raw Data'!B269="",_xlfn.REGEXEXTRACT(CELL("address",'Raw Data'!B269),"\$([A-Z]+)\$[0-9]+"),"")</f>
        <v>$B$269</v>
      </c>
      <c r="C267" t="str" cm="1">
        <f t="array" aca="1" ref="C267" ca="1">IF('Raw Data'!C269="",_xlfn.REGEXEXTRACT(CELL("address",'Raw Data'!C269),"\$([A-Z]+)\$[0-9]+"),"")</f>
        <v>$C$269</v>
      </c>
      <c r="D267" t="str" cm="1">
        <f t="array" aca="1" ref="D267" ca="1">IF('Raw Data'!D269="",_xlfn.REGEXEXTRACT(CELL("address",'Raw Data'!D269),"\$([A-Z]+)\$[0-9]+"),"")</f>
        <v>$D$269</v>
      </c>
      <c r="E267" t="str" cm="1">
        <f t="array" aca="1" ref="E267" ca="1">IF('Raw Data'!E269="",_xlfn.REGEXEXTRACT(CELL("address",'Raw Data'!E269),"\$([A-Z]+)\$[0-9]+"),"")</f>
        <v>$E$269</v>
      </c>
      <c r="F267" t="str" cm="1">
        <f t="array" aca="1" ref="F267" ca="1">IF('Raw Data'!F269="",_xlfn.REGEXEXTRACT(CELL("address",'Raw Data'!F269),"\$([A-Z]+)\$[0-9]+"),"")</f>
        <v>$F$269</v>
      </c>
      <c r="G267" t="e" cm="1">
        <f t="array" aca="1" ref="G267" ca="1">IF('Raw Data'!#REF!="",_xlfn.REGEXEXTRACT(CELL("address",'Raw Data'!#REF!),"\$([A-Z]+)\$[0-9]+"),"")</f>
        <v>#REF!</v>
      </c>
      <c r="H267" t="str" cm="1">
        <f t="array" aca="1" ref="H267" ca="1">IF('Raw Data'!G269="",_xlfn.REGEXEXTRACT(CELL("address",'Raw Data'!G269),"\$([A-Z]+)\$[0-9]+"),"")</f>
        <v>$G$269</v>
      </c>
      <c r="I267" t="e" cm="1">
        <f t="array" aca="1" ref="I267" ca="1">IF('Raw Data'!#REF!="",_xlfn.REGEXEXTRACT(CELL("address",'Raw Data'!#REF!),"\$([A-Z]+)\$[0-9]+"),"")</f>
        <v>#REF!</v>
      </c>
    </row>
    <row r="268" spans="2:9" x14ac:dyDescent="0.25">
      <c r="B268" t="str" cm="1">
        <f t="array" aca="1" ref="B268" ca="1">IF('Raw Data'!B270="",_xlfn.REGEXEXTRACT(CELL("address",'Raw Data'!B270),"\$([A-Z]+)\$[0-9]+"),"")</f>
        <v>$B$270</v>
      </c>
      <c r="C268" t="str" cm="1">
        <f t="array" aca="1" ref="C268" ca="1">IF('Raw Data'!C270="",_xlfn.REGEXEXTRACT(CELL("address",'Raw Data'!C270),"\$([A-Z]+)\$[0-9]+"),"")</f>
        <v>$C$270</v>
      </c>
      <c r="D268" t="str" cm="1">
        <f t="array" aca="1" ref="D268" ca="1">IF('Raw Data'!D270="",_xlfn.REGEXEXTRACT(CELL("address",'Raw Data'!D270),"\$([A-Z]+)\$[0-9]+"),"")</f>
        <v>$D$270</v>
      </c>
      <c r="E268" t="str" cm="1">
        <f t="array" aca="1" ref="E268" ca="1">IF('Raw Data'!E270="",_xlfn.REGEXEXTRACT(CELL("address",'Raw Data'!E270),"\$([A-Z]+)\$[0-9]+"),"")</f>
        <v>$E$270</v>
      </c>
      <c r="F268" t="str" cm="1">
        <f t="array" aca="1" ref="F268" ca="1">IF('Raw Data'!F270="",_xlfn.REGEXEXTRACT(CELL("address",'Raw Data'!F270),"\$([A-Z]+)\$[0-9]+"),"")</f>
        <v>$F$270</v>
      </c>
      <c r="G268" t="e" cm="1">
        <f t="array" aca="1" ref="G268" ca="1">IF('Raw Data'!#REF!="",_xlfn.REGEXEXTRACT(CELL("address",'Raw Data'!#REF!),"\$([A-Z]+)\$[0-9]+"),"")</f>
        <v>#REF!</v>
      </c>
      <c r="H268" t="str" cm="1">
        <f t="array" aca="1" ref="H268" ca="1">IF('Raw Data'!G270="",_xlfn.REGEXEXTRACT(CELL("address",'Raw Data'!G270),"\$([A-Z]+)\$[0-9]+"),"")</f>
        <v>$G$270</v>
      </c>
      <c r="I268" t="e" cm="1">
        <f t="array" aca="1" ref="I268" ca="1">IF('Raw Data'!#REF!="",_xlfn.REGEXEXTRACT(CELL("address",'Raw Data'!#REF!),"\$([A-Z]+)\$[0-9]+"),"")</f>
        <v>#REF!</v>
      </c>
    </row>
    <row r="269" spans="2:9" x14ac:dyDescent="0.25">
      <c r="B269" t="str" cm="1">
        <f t="array" aca="1" ref="B269" ca="1">IF('Raw Data'!B271="",_xlfn.REGEXEXTRACT(CELL("address",'Raw Data'!B271),"\$([A-Z]+)\$[0-9]+"),"")</f>
        <v>$B$271</v>
      </c>
      <c r="C269" t="str" cm="1">
        <f t="array" aca="1" ref="C269" ca="1">IF('Raw Data'!C271="",_xlfn.REGEXEXTRACT(CELL("address",'Raw Data'!C271),"\$([A-Z]+)\$[0-9]+"),"")</f>
        <v>$C$271</v>
      </c>
      <c r="D269" t="str" cm="1">
        <f t="array" aca="1" ref="D269" ca="1">IF('Raw Data'!D271="",_xlfn.REGEXEXTRACT(CELL("address",'Raw Data'!D271),"\$([A-Z]+)\$[0-9]+"),"")</f>
        <v>$D$271</v>
      </c>
      <c r="E269" t="str" cm="1">
        <f t="array" aca="1" ref="E269" ca="1">IF('Raw Data'!E271="",_xlfn.REGEXEXTRACT(CELL("address",'Raw Data'!E271),"\$([A-Z]+)\$[0-9]+"),"")</f>
        <v>$E$271</v>
      </c>
      <c r="F269" t="str" cm="1">
        <f t="array" aca="1" ref="F269" ca="1">IF('Raw Data'!F271="",_xlfn.REGEXEXTRACT(CELL("address",'Raw Data'!F271),"\$([A-Z]+)\$[0-9]+"),"")</f>
        <v>$F$271</v>
      </c>
      <c r="G269" t="e" cm="1">
        <f t="array" aca="1" ref="G269" ca="1">IF('Raw Data'!#REF!="",_xlfn.REGEXEXTRACT(CELL("address",'Raw Data'!#REF!),"\$([A-Z]+)\$[0-9]+"),"")</f>
        <v>#REF!</v>
      </c>
      <c r="H269" t="str" cm="1">
        <f t="array" aca="1" ref="H269" ca="1">IF('Raw Data'!G271="",_xlfn.REGEXEXTRACT(CELL("address",'Raw Data'!G271),"\$([A-Z]+)\$[0-9]+"),"")</f>
        <v>$G$271</v>
      </c>
      <c r="I269" t="e" cm="1">
        <f t="array" aca="1" ref="I269" ca="1">IF('Raw Data'!#REF!="",_xlfn.REGEXEXTRACT(CELL("address",'Raw Data'!#REF!),"\$([A-Z]+)\$[0-9]+"),"")</f>
        <v>#REF!</v>
      </c>
    </row>
    <row r="270" spans="2:9" x14ac:dyDescent="0.25">
      <c r="B270" t="str" cm="1">
        <f t="array" aca="1" ref="B270" ca="1">IF('Raw Data'!B272="",_xlfn.REGEXEXTRACT(CELL("address",'Raw Data'!B272),"\$([A-Z]+)\$[0-9]+"),"")</f>
        <v>$B$272</v>
      </c>
      <c r="C270" t="str" cm="1">
        <f t="array" aca="1" ref="C270" ca="1">IF('Raw Data'!C272="",_xlfn.REGEXEXTRACT(CELL("address",'Raw Data'!C272),"\$([A-Z]+)\$[0-9]+"),"")</f>
        <v>$C$272</v>
      </c>
      <c r="D270" t="str" cm="1">
        <f t="array" aca="1" ref="D270" ca="1">IF('Raw Data'!D272="",_xlfn.REGEXEXTRACT(CELL("address",'Raw Data'!D272),"\$([A-Z]+)\$[0-9]+"),"")</f>
        <v>$D$272</v>
      </c>
      <c r="E270" t="str" cm="1">
        <f t="array" aca="1" ref="E270" ca="1">IF('Raw Data'!E272="",_xlfn.REGEXEXTRACT(CELL("address",'Raw Data'!E272),"\$([A-Z]+)\$[0-9]+"),"")</f>
        <v>$E$272</v>
      </c>
      <c r="F270" t="str" cm="1">
        <f t="array" aca="1" ref="F270" ca="1">IF('Raw Data'!F272="",_xlfn.REGEXEXTRACT(CELL("address",'Raw Data'!F272),"\$([A-Z]+)\$[0-9]+"),"")</f>
        <v>$F$272</v>
      </c>
      <c r="G270" t="e" cm="1">
        <f t="array" aca="1" ref="G270" ca="1">IF('Raw Data'!#REF!="",_xlfn.REGEXEXTRACT(CELL("address",'Raw Data'!#REF!),"\$([A-Z]+)\$[0-9]+"),"")</f>
        <v>#REF!</v>
      </c>
      <c r="H270" t="str" cm="1">
        <f t="array" aca="1" ref="H270" ca="1">IF('Raw Data'!G272="",_xlfn.REGEXEXTRACT(CELL("address",'Raw Data'!G272),"\$([A-Z]+)\$[0-9]+"),"")</f>
        <v>$G$272</v>
      </c>
      <c r="I270" t="e" cm="1">
        <f t="array" aca="1" ref="I270" ca="1">IF('Raw Data'!#REF!="",_xlfn.REGEXEXTRACT(CELL("address",'Raw Data'!#REF!),"\$([A-Z]+)\$[0-9]+"),"")</f>
        <v>#REF!</v>
      </c>
    </row>
    <row r="271" spans="2:9" x14ac:dyDescent="0.25">
      <c r="B271" t="str" cm="1">
        <f t="array" aca="1" ref="B271" ca="1">IF('Raw Data'!B273="",_xlfn.REGEXEXTRACT(CELL("address",'Raw Data'!B273),"\$([A-Z]+)\$[0-9]+"),"")</f>
        <v>$B$273</v>
      </c>
      <c r="C271" t="str" cm="1">
        <f t="array" aca="1" ref="C271" ca="1">IF('Raw Data'!C273="",_xlfn.REGEXEXTRACT(CELL("address",'Raw Data'!C273),"\$([A-Z]+)\$[0-9]+"),"")</f>
        <v>$C$273</v>
      </c>
      <c r="D271" t="str" cm="1">
        <f t="array" aca="1" ref="D271" ca="1">IF('Raw Data'!D273="",_xlfn.REGEXEXTRACT(CELL("address",'Raw Data'!D273),"\$([A-Z]+)\$[0-9]+"),"")</f>
        <v>$D$273</v>
      </c>
      <c r="E271" t="str" cm="1">
        <f t="array" aca="1" ref="E271" ca="1">IF('Raw Data'!E273="",_xlfn.REGEXEXTRACT(CELL("address",'Raw Data'!E273),"\$([A-Z]+)\$[0-9]+"),"")</f>
        <v>$E$273</v>
      </c>
      <c r="F271" t="str" cm="1">
        <f t="array" aca="1" ref="F271" ca="1">IF('Raw Data'!F273="",_xlfn.REGEXEXTRACT(CELL("address",'Raw Data'!F273),"\$([A-Z]+)\$[0-9]+"),"")</f>
        <v>$F$273</v>
      </c>
      <c r="G271" t="e" cm="1">
        <f t="array" aca="1" ref="G271" ca="1">IF('Raw Data'!#REF!="",_xlfn.REGEXEXTRACT(CELL("address",'Raw Data'!#REF!),"\$([A-Z]+)\$[0-9]+"),"")</f>
        <v>#REF!</v>
      </c>
      <c r="H271" t="str" cm="1">
        <f t="array" aca="1" ref="H271" ca="1">IF('Raw Data'!G273="",_xlfn.REGEXEXTRACT(CELL("address",'Raw Data'!G273),"\$([A-Z]+)\$[0-9]+"),"")</f>
        <v>$G$273</v>
      </c>
      <c r="I271" t="e" cm="1">
        <f t="array" aca="1" ref="I271" ca="1">IF('Raw Data'!#REF!="",_xlfn.REGEXEXTRACT(CELL("address",'Raw Data'!#REF!),"\$([A-Z]+)\$[0-9]+"),"")</f>
        <v>#REF!</v>
      </c>
    </row>
    <row r="272" spans="2:9" x14ac:dyDescent="0.25">
      <c r="B272" t="str" cm="1">
        <f t="array" aca="1" ref="B272" ca="1">IF('Raw Data'!B274="",_xlfn.REGEXEXTRACT(CELL("address",'Raw Data'!B274),"\$([A-Z]+)\$[0-9]+"),"")</f>
        <v>$B$274</v>
      </c>
      <c r="C272" t="str" cm="1">
        <f t="array" aca="1" ref="C272" ca="1">IF('Raw Data'!C274="",_xlfn.REGEXEXTRACT(CELL("address",'Raw Data'!C274),"\$([A-Z]+)\$[0-9]+"),"")</f>
        <v>$C$274</v>
      </c>
      <c r="D272" t="str" cm="1">
        <f t="array" aca="1" ref="D272" ca="1">IF('Raw Data'!D274="",_xlfn.REGEXEXTRACT(CELL("address",'Raw Data'!D274),"\$([A-Z]+)\$[0-9]+"),"")</f>
        <v>$D$274</v>
      </c>
      <c r="E272" t="str" cm="1">
        <f t="array" aca="1" ref="E272" ca="1">IF('Raw Data'!E274="",_xlfn.REGEXEXTRACT(CELL("address",'Raw Data'!E274),"\$([A-Z]+)\$[0-9]+"),"")</f>
        <v>$E$274</v>
      </c>
      <c r="F272" t="str" cm="1">
        <f t="array" aca="1" ref="F272" ca="1">IF('Raw Data'!F274="",_xlfn.REGEXEXTRACT(CELL("address",'Raw Data'!F274),"\$([A-Z]+)\$[0-9]+"),"")</f>
        <v>$F$274</v>
      </c>
      <c r="G272" t="e" cm="1">
        <f t="array" aca="1" ref="G272" ca="1">IF('Raw Data'!#REF!="",_xlfn.REGEXEXTRACT(CELL("address",'Raw Data'!#REF!),"\$([A-Z]+)\$[0-9]+"),"")</f>
        <v>#REF!</v>
      </c>
      <c r="H272" t="str" cm="1">
        <f t="array" aca="1" ref="H272" ca="1">IF('Raw Data'!G274="",_xlfn.REGEXEXTRACT(CELL("address",'Raw Data'!G274),"\$([A-Z]+)\$[0-9]+"),"")</f>
        <v>$G$274</v>
      </c>
      <c r="I272" t="e" cm="1">
        <f t="array" aca="1" ref="I272" ca="1">IF('Raw Data'!#REF!="",_xlfn.REGEXEXTRACT(CELL("address",'Raw Data'!#REF!),"\$([A-Z]+)\$[0-9]+"),"")</f>
        <v>#REF!</v>
      </c>
    </row>
    <row r="273" spans="2:9" x14ac:dyDescent="0.25">
      <c r="B273" t="str" cm="1">
        <f t="array" aca="1" ref="B273" ca="1">IF('Raw Data'!B275="",_xlfn.REGEXEXTRACT(CELL("address",'Raw Data'!B275),"\$([A-Z]+)\$[0-9]+"),"")</f>
        <v>$B$275</v>
      </c>
      <c r="C273" t="str" cm="1">
        <f t="array" aca="1" ref="C273" ca="1">IF('Raw Data'!C275="",_xlfn.REGEXEXTRACT(CELL("address",'Raw Data'!C275),"\$([A-Z]+)\$[0-9]+"),"")</f>
        <v>$C$275</v>
      </c>
      <c r="D273" t="str" cm="1">
        <f t="array" aca="1" ref="D273" ca="1">IF('Raw Data'!D275="",_xlfn.REGEXEXTRACT(CELL("address",'Raw Data'!D275),"\$([A-Z]+)\$[0-9]+"),"")</f>
        <v>$D$275</v>
      </c>
      <c r="E273" t="str" cm="1">
        <f t="array" aca="1" ref="E273" ca="1">IF('Raw Data'!E275="",_xlfn.REGEXEXTRACT(CELL("address",'Raw Data'!E275),"\$([A-Z]+)\$[0-9]+"),"")</f>
        <v>$E$275</v>
      </c>
      <c r="F273" t="str" cm="1">
        <f t="array" aca="1" ref="F273" ca="1">IF('Raw Data'!F275="",_xlfn.REGEXEXTRACT(CELL("address",'Raw Data'!F275),"\$([A-Z]+)\$[0-9]+"),"")</f>
        <v>$F$275</v>
      </c>
      <c r="G273" t="e" cm="1">
        <f t="array" aca="1" ref="G273" ca="1">IF('Raw Data'!#REF!="",_xlfn.REGEXEXTRACT(CELL("address",'Raw Data'!#REF!),"\$([A-Z]+)\$[0-9]+"),"")</f>
        <v>#REF!</v>
      </c>
      <c r="H273" t="str" cm="1">
        <f t="array" aca="1" ref="H273" ca="1">IF('Raw Data'!G275="",_xlfn.REGEXEXTRACT(CELL("address",'Raw Data'!G275),"\$([A-Z]+)\$[0-9]+"),"")</f>
        <v>$G$275</v>
      </c>
      <c r="I273" t="e" cm="1">
        <f t="array" aca="1" ref="I273" ca="1">IF('Raw Data'!#REF!="",_xlfn.REGEXEXTRACT(CELL("address",'Raw Data'!#REF!),"\$([A-Z]+)\$[0-9]+"),"")</f>
        <v>#REF!</v>
      </c>
    </row>
    <row r="274" spans="2:9" x14ac:dyDescent="0.25">
      <c r="B274" t="str" cm="1">
        <f t="array" aca="1" ref="B274" ca="1">IF('Raw Data'!B276="",_xlfn.REGEXEXTRACT(CELL("address",'Raw Data'!B276),"\$([A-Z]+)\$[0-9]+"),"")</f>
        <v>$B$276</v>
      </c>
      <c r="C274" t="str" cm="1">
        <f t="array" aca="1" ref="C274" ca="1">IF('Raw Data'!C276="",_xlfn.REGEXEXTRACT(CELL("address",'Raw Data'!C276),"\$([A-Z]+)\$[0-9]+"),"")</f>
        <v>$C$276</v>
      </c>
      <c r="D274" t="str" cm="1">
        <f t="array" aca="1" ref="D274" ca="1">IF('Raw Data'!D276="",_xlfn.REGEXEXTRACT(CELL("address",'Raw Data'!D276),"\$([A-Z]+)\$[0-9]+"),"")</f>
        <v>$D$276</v>
      </c>
      <c r="E274" t="str" cm="1">
        <f t="array" aca="1" ref="E274" ca="1">IF('Raw Data'!E276="",_xlfn.REGEXEXTRACT(CELL("address",'Raw Data'!E276),"\$([A-Z]+)\$[0-9]+"),"")</f>
        <v>$E$276</v>
      </c>
      <c r="F274" t="str" cm="1">
        <f t="array" aca="1" ref="F274" ca="1">IF('Raw Data'!F276="",_xlfn.REGEXEXTRACT(CELL("address",'Raw Data'!F276),"\$([A-Z]+)\$[0-9]+"),"")</f>
        <v>$F$276</v>
      </c>
      <c r="G274" t="e" cm="1">
        <f t="array" aca="1" ref="G274" ca="1">IF('Raw Data'!#REF!="",_xlfn.REGEXEXTRACT(CELL("address",'Raw Data'!#REF!),"\$([A-Z]+)\$[0-9]+"),"")</f>
        <v>#REF!</v>
      </c>
      <c r="H274" t="str" cm="1">
        <f t="array" aca="1" ref="H274" ca="1">IF('Raw Data'!G276="",_xlfn.REGEXEXTRACT(CELL("address",'Raw Data'!G276),"\$([A-Z]+)\$[0-9]+"),"")</f>
        <v>$G$276</v>
      </c>
      <c r="I274" t="e" cm="1">
        <f t="array" aca="1" ref="I274" ca="1">IF('Raw Data'!#REF!="",_xlfn.REGEXEXTRACT(CELL("address",'Raw Data'!#REF!),"\$([A-Z]+)\$[0-9]+"),"")</f>
        <v>#REF!</v>
      </c>
    </row>
    <row r="275" spans="2:9" x14ac:dyDescent="0.25">
      <c r="B275" t="str" cm="1">
        <f t="array" aca="1" ref="B275" ca="1">IF('Raw Data'!B277="",_xlfn.REGEXEXTRACT(CELL("address",'Raw Data'!B277),"\$([A-Z]+)\$[0-9]+"),"")</f>
        <v>$B$277</v>
      </c>
      <c r="C275" t="str" cm="1">
        <f t="array" aca="1" ref="C275" ca="1">IF('Raw Data'!C277="",_xlfn.REGEXEXTRACT(CELL("address",'Raw Data'!C277),"\$([A-Z]+)\$[0-9]+"),"")</f>
        <v>$C$277</v>
      </c>
      <c r="D275" t="str" cm="1">
        <f t="array" aca="1" ref="D275" ca="1">IF('Raw Data'!D277="",_xlfn.REGEXEXTRACT(CELL("address",'Raw Data'!D277),"\$([A-Z]+)\$[0-9]+"),"")</f>
        <v>$D$277</v>
      </c>
      <c r="E275" t="str" cm="1">
        <f t="array" aca="1" ref="E275" ca="1">IF('Raw Data'!E277="",_xlfn.REGEXEXTRACT(CELL("address",'Raw Data'!E277),"\$([A-Z]+)\$[0-9]+"),"")</f>
        <v>$E$277</v>
      </c>
      <c r="F275" t="str" cm="1">
        <f t="array" aca="1" ref="F275" ca="1">IF('Raw Data'!F277="",_xlfn.REGEXEXTRACT(CELL("address",'Raw Data'!F277),"\$([A-Z]+)\$[0-9]+"),"")</f>
        <v>$F$277</v>
      </c>
      <c r="G275" t="e" cm="1">
        <f t="array" aca="1" ref="G275" ca="1">IF('Raw Data'!#REF!="",_xlfn.REGEXEXTRACT(CELL("address",'Raw Data'!#REF!),"\$([A-Z]+)\$[0-9]+"),"")</f>
        <v>#REF!</v>
      </c>
      <c r="H275" t="str" cm="1">
        <f t="array" aca="1" ref="H275" ca="1">IF('Raw Data'!G277="",_xlfn.REGEXEXTRACT(CELL("address",'Raw Data'!G277),"\$([A-Z]+)\$[0-9]+"),"")</f>
        <v>$G$277</v>
      </c>
      <c r="I275" t="e" cm="1">
        <f t="array" aca="1" ref="I275" ca="1">IF('Raw Data'!#REF!="",_xlfn.REGEXEXTRACT(CELL("address",'Raw Data'!#REF!),"\$([A-Z]+)\$[0-9]+"),"")</f>
        <v>#REF!</v>
      </c>
    </row>
    <row r="276" spans="2:9" x14ac:dyDescent="0.25">
      <c r="B276" t="str" cm="1">
        <f t="array" aca="1" ref="B276" ca="1">IF('Raw Data'!B278="",_xlfn.REGEXEXTRACT(CELL("address",'Raw Data'!B278),"\$([A-Z]+)\$[0-9]+"),"")</f>
        <v>$B$278</v>
      </c>
      <c r="C276" t="str" cm="1">
        <f t="array" aca="1" ref="C276" ca="1">IF('Raw Data'!C278="",_xlfn.REGEXEXTRACT(CELL("address",'Raw Data'!C278),"\$([A-Z]+)\$[0-9]+"),"")</f>
        <v>$C$278</v>
      </c>
      <c r="D276" t="str" cm="1">
        <f t="array" aca="1" ref="D276" ca="1">IF('Raw Data'!D278="",_xlfn.REGEXEXTRACT(CELL("address",'Raw Data'!D278),"\$([A-Z]+)\$[0-9]+"),"")</f>
        <v>$D$278</v>
      </c>
      <c r="E276" t="str" cm="1">
        <f t="array" aca="1" ref="E276" ca="1">IF('Raw Data'!E278="",_xlfn.REGEXEXTRACT(CELL("address",'Raw Data'!E278),"\$([A-Z]+)\$[0-9]+"),"")</f>
        <v>$E$278</v>
      </c>
      <c r="F276" t="str" cm="1">
        <f t="array" aca="1" ref="F276" ca="1">IF('Raw Data'!F278="",_xlfn.REGEXEXTRACT(CELL("address",'Raw Data'!F278),"\$([A-Z]+)\$[0-9]+"),"")</f>
        <v>$F$278</v>
      </c>
      <c r="G276" t="e" cm="1">
        <f t="array" aca="1" ref="G276" ca="1">IF('Raw Data'!#REF!="",_xlfn.REGEXEXTRACT(CELL("address",'Raw Data'!#REF!),"\$([A-Z]+)\$[0-9]+"),"")</f>
        <v>#REF!</v>
      </c>
      <c r="H276" t="str" cm="1">
        <f t="array" aca="1" ref="H276" ca="1">IF('Raw Data'!G278="",_xlfn.REGEXEXTRACT(CELL("address",'Raw Data'!G278),"\$([A-Z]+)\$[0-9]+"),"")</f>
        <v>$G$278</v>
      </c>
      <c r="I276" t="e" cm="1">
        <f t="array" aca="1" ref="I276" ca="1">IF('Raw Data'!#REF!="",_xlfn.REGEXEXTRACT(CELL("address",'Raw Data'!#REF!),"\$([A-Z]+)\$[0-9]+"),"")</f>
        <v>#REF!</v>
      </c>
    </row>
    <row r="277" spans="2:9" x14ac:dyDescent="0.25">
      <c r="B277" t="str" cm="1">
        <f t="array" aca="1" ref="B277" ca="1">IF('Raw Data'!B279="",_xlfn.REGEXEXTRACT(CELL("address",'Raw Data'!B279),"\$([A-Z]+)\$[0-9]+"),"")</f>
        <v>$B$279</v>
      </c>
      <c r="C277" t="str" cm="1">
        <f t="array" aca="1" ref="C277" ca="1">IF('Raw Data'!C279="",_xlfn.REGEXEXTRACT(CELL("address",'Raw Data'!C279),"\$([A-Z]+)\$[0-9]+"),"")</f>
        <v>$C$279</v>
      </c>
      <c r="D277" t="str" cm="1">
        <f t="array" aca="1" ref="D277" ca="1">IF('Raw Data'!D279="",_xlfn.REGEXEXTRACT(CELL("address",'Raw Data'!D279),"\$([A-Z]+)\$[0-9]+"),"")</f>
        <v>$D$279</v>
      </c>
      <c r="E277" t="str" cm="1">
        <f t="array" aca="1" ref="E277" ca="1">IF('Raw Data'!E279="",_xlfn.REGEXEXTRACT(CELL("address",'Raw Data'!E279),"\$([A-Z]+)\$[0-9]+"),"")</f>
        <v>$E$279</v>
      </c>
      <c r="F277" t="str" cm="1">
        <f t="array" aca="1" ref="F277" ca="1">IF('Raw Data'!F279="",_xlfn.REGEXEXTRACT(CELL("address",'Raw Data'!F279),"\$([A-Z]+)\$[0-9]+"),"")</f>
        <v>$F$279</v>
      </c>
      <c r="G277" t="e" cm="1">
        <f t="array" aca="1" ref="G277" ca="1">IF('Raw Data'!#REF!="",_xlfn.REGEXEXTRACT(CELL("address",'Raw Data'!#REF!),"\$([A-Z]+)\$[0-9]+"),"")</f>
        <v>#REF!</v>
      </c>
      <c r="H277" t="str" cm="1">
        <f t="array" aca="1" ref="H277" ca="1">IF('Raw Data'!G279="",_xlfn.REGEXEXTRACT(CELL("address",'Raw Data'!G279),"\$([A-Z]+)\$[0-9]+"),"")</f>
        <v>$G$279</v>
      </c>
      <c r="I277" t="e" cm="1">
        <f t="array" aca="1" ref="I277" ca="1">IF('Raw Data'!#REF!="",_xlfn.REGEXEXTRACT(CELL("address",'Raw Data'!#REF!),"\$([A-Z]+)\$[0-9]+"),"")</f>
        <v>#REF!</v>
      </c>
    </row>
    <row r="278" spans="2:9" x14ac:dyDescent="0.25">
      <c r="B278" t="str" cm="1">
        <f t="array" aca="1" ref="B278" ca="1">IF('Raw Data'!B280="",_xlfn.REGEXEXTRACT(CELL("address",'Raw Data'!B280),"\$([A-Z]+)\$[0-9]+"),"")</f>
        <v>$B$280</v>
      </c>
      <c r="C278" t="str" cm="1">
        <f t="array" aca="1" ref="C278" ca="1">IF('Raw Data'!C280="",_xlfn.REGEXEXTRACT(CELL("address",'Raw Data'!C280),"\$([A-Z]+)\$[0-9]+"),"")</f>
        <v>$C$280</v>
      </c>
      <c r="D278" t="str" cm="1">
        <f t="array" aca="1" ref="D278" ca="1">IF('Raw Data'!D280="",_xlfn.REGEXEXTRACT(CELL("address",'Raw Data'!D280),"\$([A-Z]+)\$[0-9]+"),"")</f>
        <v>$D$280</v>
      </c>
      <c r="E278" t="str" cm="1">
        <f t="array" aca="1" ref="E278" ca="1">IF('Raw Data'!E280="",_xlfn.REGEXEXTRACT(CELL("address",'Raw Data'!E280),"\$([A-Z]+)\$[0-9]+"),"")</f>
        <v>$E$280</v>
      </c>
      <c r="F278" t="str" cm="1">
        <f t="array" aca="1" ref="F278" ca="1">IF('Raw Data'!F280="",_xlfn.REGEXEXTRACT(CELL("address",'Raw Data'!F280),"\$([A-Z]+)\$[0-9]+"),"")</f>
        <v>$F$280</v>
      </c>
      <c r="G278" t="e" cm="1">
        <f t="array" aca="1" ref="G278" ca="1">IF('Raw Data'!#REF!="",_xlfn.REGEXEXTRACT(CELL("address",'Raw Data'!#REF!),"\$([A-Z]+)\$[0-9]+"),"")</f>
        <v>#REF!</v>
      </c>
      <c r="H278" t="str" cm="1">
        <f t="array" aca="1" ref="H278" ca="1">IF('Raw Data'!G280="",_xlfn.REGEXEXTRACT(CELL("address",'Raw Data'!G280),"\$([A-Z]+)\$[0-9]+"),"")</f>
        <v>$G$280</v>
      </c>
      <c r="I278" t="e" cm="1">
        <f t="array" aca="1" ref="I278" ca="1">IF('Raw Data'!#REF!="",_xlfn.REGEXEXTRACT(CELL("address",'Raw Data'!#REF!),"\$([A-Z]+)\$[0-9]+"),"")</f>
        <v>#REF!</v>
      </c>
    </row>
    <row r="279" spans="2:9" x14ac:dyDescent="0.25">
      <c r="B279" t="str" cm="1">
        <f t="array" aca="1" ref="B279" ca="1">IF('Raw Data'!B281="",_xlfn.REGEXEXTRACT(CELL("address",'Raw Data'!B281),"\$([A-Z]+)\$[0-9]+"),"")</f>
        <v>$B$281</v>
      </c>
      <c r="C279" t="str" cm="1">
        <f t="array" aca="1" ref="C279" ca="1">IF('Raw Data'!C281="",_xlfn.REGEXEXTRACT(CELL("address",'Raw Data'!C281),"\$([A-Z]+)\$[0-9]+"),"")</f>
        <v>$C$281</v>
      </c>
      <c r="D279" t="str" cm="1">
        <f t="array" aca="1" ref="D279" ca="1">IF('Raw Data'!D281="",_xlfn.REGEXEXTRACT(CELL("address",'Raw Data'!D281),"\$([A-Z]+)\$[0-9]+"),"")</f>
        <v>$D$281</v>
      </c>
      <c r="E279" t="str" cm="1">
        <f t="array" aca="1" ref="E279" ca="1">IF('Raw Data'!E281="",_xlfn.REGEXEXTRACT(CELL("address",'Raw Data'!E281),"\$([A-Z]+)\$[0-9]+"),"")</f>
        <v>$E$281</v>
      </c>
      <c r="F279" t="str" cm="1">
        <f t="array" aca="1" ref="F279" ca="1">IF('Raw Data'!F281="",_xlfn.REGEXEXTRACT(CELL("address",'Raw Data'!F281),"\$([A-Z]+)\$[0-9]+"),"")</f>
        <v>$F$281</v>
      </c>
      <c r="G279" t="e" cm="1">
        <f t="array" aca="1" ref="G279" ca="1">IF('Raw Data'!#REF!="",_xlfn.REGEXEXTRACT(CELL("address",'Raw Data'!#REF!),"\$([A-Z]+)\$[0-9]+"),"")</f>
        <v>#REF!</v>
      </c>
      <c r="H279" t="str" cm="1">
        <f t="array" aca="1" ref="H279" ca="1">IF('Raw Data'!G281="",_xlfn.REGEXEXTRACT(CELL("address",'Raw Data'!G281),"\$([A-Z]+)\$[0-9]+"),"")</f>
        <v>$G$281</v>
      </c>
      <c r="I279" t="e" cm="1">
        <f t="array" aca="1" ref="I279" ca="1">IF('Raw Data'!#REF!="",_xlfn.REGEXEXTRACT(CELL("address",'Raw Data'!#REF!),"\$([A-Z]+)\$[0-9]+"),"")</f>
        <v>#REF!</v>
      </c>
    </row>
    <row r="280" spans="2:9" x14ac:dyDescent="0.25">
      <c r="B280" t="str" cm="1">
        <f t="array" aca="1" ref="B280" ca="1">IF('Raw Data'!B282="",_xlfn.REGEXEXTRACT(CELL("address",'Raw Data'!B282),"\$([A-Z]+)\$[0-9]+"),"")</f>
        <v>$B$282</v>
      </c>
      <c r="C280" t="str" cm="1">
        <f t="array" aca="1" ref="C280" ca="1">IF('Raw Data'!C282="",_xlfn.REGEXEXTRACT(CELL("address",'Raw Data'!C282),"\$([A-Z]+)\$[0-9]+"),"")</f>
        <v>$C$282</v>
      </c>
      <c r="D280" t="str" cm="1">
        <f t="array" aca="1" ref="D280" ca="1">IF('Raw Data'!D282="",_xlfn.REGEXEXTRACT(CELL("address",'Raw Data'!D282),"\$([A-Z]+)\$[0-9]+"),"")</f>
        <v>$D$282</v>
      </c>
      <c r="E280" t="str" cm="1">
        <f t="array" aca="1" ref="E280" ca="1">IF('Raw Data'!E282="",_xlfn.REGEXEXTRACT(CELL("address",'Raw Data'!E282),"\$([A-Z]+)\$[0-9]+"),"")</f>
        <v>$E$282</v>
      </c>
      <c r="F280" t="str" cm="1">
        <f t="array" aca="1" ref="F280" ca="1">IF('Raw Data'!F282="",_xlfn.REGEXEXTRACT(CELL("address",'Raw Data'!F282),"\$([A-Z]+)\$[0-9]+"),"")</f>
        <v>$F$282</v>
      </c>
      <c r="G280" t="e" cm="1">
        <f t="array" aca="1" ref="G280" ca="1">IF('Raw Data'!#REF!="",_xlfn.REGEXEXTRACT(CELL("address",'Raw Data'!#REF!),"\$([A-Z]+)\$[0-9]+"),"")</f>
        <v>#REF!</v>
      </c>
      <c r="H280" t="str" cm="1">
        <f t="array" aca="1" ref="H280" ca="1">IF('Raw Data'!G282="",_xlfn.REGEXEXTRACT(CELL("address",'Raw Data'!G282),"\$([A-Z]+)\$[0-9]+"),"")</f>
        <v>$G$282</v>
      </c>
      <c r="I280" t="e" cm="1">
        <f t="array" aca="1" ref="I280" ca="1">IF('Raw Data'!#REF!="",_xlfn.REGEXEXTRACT(CELL("address",'Raw Data'!#REF!),"\$([A-Z]+)\$[0-9]+"),"")</f>
        <v>#REF!</v>
      </c>
    </row>
    <row r="281" spans="2:9" x14ac:dyDescent="0.25">
      <c r="B281" t="str" cm="1">
        <f t="array" aca="1" ref="B281" ca="1">IF('Raw Data'!B283="",_xlfn.REGEXEXTRACT(CELL("address",'Raw Data'!B283),"\$([A-Z]+)\$[0-9]+"),"")</f>
        <v>$B$283</v>
      </c>
      <c r="C281" t="str" cm="1">
        <f t="array" aca="1" ref="C281" ca="1">IF('Raw Data'!C283="",_xlfn.REGEXEXTRACT(CELL("address",'Raw Data'!C283),"\$([A-Z]+)\$[0-9]+"),"")</f>
        <v>$C$283</v>
      </c>
      <c r="D281" t="str" cm="1">
        <f t="array" aca="1" ref="D281" ca="1">IF('Raw Data'!D283="",_xlfn.REGEXEXTRACT(CELL("address",'Raw Data'!D283),"\$([A-Z]+)\$[0-9]+"),"")</f>
        <v>$D$283</v>
      </c>
      <c r="E281" t="str" cm="1">
        <f t="array" aca="1" ref="E281" ca="1">IF('Raw Data'!E283="",_xlfn.REGEXEXTRACT(CELL("address",'Raw Data'!E283),"\$([A-Z]+)\$[0-9]+"),"")</f>
        <v>$E$283</v>
      </c>
      <c r="F281" t="str" cm="1">
        <f t="array" aca="1" ref="F281" ca="1">IF('Raw Data'!F283="",_xlfn.REGEXEXTRACT(CELL("address",'Raw Data'!F283),"\$([A-Z]+)\$[0-9]+"),"")</f>
        <v>$F$283</v>
      </c>
      <c r="G281" t="e" cm="1">
        <f t="array" aca="1" ref="G281" ca="1">IF('Raw Data'!#REF!="",_xlfn.REGEXEXTRACT(CELL("address",'Raw Data'!#REF!),"\$([A-Z]+)\$[0-9]+"),"")</f>
        <v>#REF!</v>
      </c>
      <c r="H281" t="str" cm="1">
        <f t="array" aca="1" ref="H281" ca="1">IF('Raw Data'!G283="",_xlfn.REGEXEXTRACT(CELL("address",'Raw Data'!G283),"\$([A-Z]+)\$[0-9]+"),"")</f>
        <v>$G$283</v>
      </c>
      <c r="I281" t="e" cm="1">
        <f t="array" aca="1" ref="I281" ca="1">IF('Raw Data'!#REF!="",_xlfn.REGEXEXTRACT(CELL("address",'Raw Data'!#REF!),"\$([A-Z]+)\$[0-9]+"),"")</f>
        <v>#REF!</v>
      </c>
    </row>
    <row r="282" spans="2:9" x14ac:dyDescent="0.25">
      <c r="B282" t="str" cm="1">
        <f t="array" aca="1" ref="B282" ca="1">IF('Raw Data'!B284="",_xlfn.REGEXEXTRACT(CELL("address",'Raw Data'!B284),"\$([A-Z]+)\$[0-9]+"),"")</f>
        <v>$B$284</v>
      </c>
      <c r="C282" t="str" cm="1">
        <f t="array" aca="1" ref="C282" ca="1">IF('Raw Data'!C284="",_xlfn.REGEXEXTRACT(CELL("address",'Raw Data'!C284),"\$([A-Z]+)\$[0-9]+"),"")</f>
        <v>$C$284</v>
      </c>
      <c r="D282" t="str" cm="1">
        <f t="array" aca="1" ref="D282" ca="1">IF('Raw Data'!D284="",_xlfn.REGEXEXTRACT(CELL("address",'Raw Data'!D284),"\$([A-Z]+)\$[0-9]+"),"")</f>
        <v>$D$284</v>
      </c>
      <c r="E282" t="str" cm="1">
        <f t="array" aca="1" ref="E282" ca="1">IF('Raw Data'!E284="",_xlfn.REGEXEXTRACT(CELL("address",'Raw Data'!E284),"\$([A-Z]+)\$[0-9]+"),"")</f>
        <v>$E$284</v>
      </c>
      <c r="F282" t="str" cm="1">
        <f t="array" aca="1" ref="F282" ca="1">IF('Raw Data'!F284="",_xlfn.REGEXEXTRACT(CELL("address",'Raw Data'!F284),"\$([A-Z]+)\$[0-9]+"),"")</f>
        <v>$F$284</v>
      </c>
      <c r="G282" t="e" cm="1">
        <f t="array" aca="1" ref="G282" ca="1">IF('Raw Data'!#REF!="",_xlfn.REGEXEXTRACT(CELL("address",'Raw Data'!#REF!),"\$([A-Z]+)\$[0-9]+"),"")</f>
        <v>#REF!</v>
      </c>
      <c r="H282" t="str" cm="1">
        <f t="array" aca="1" ref="H282" ca="1">IF('Raw Data'!G284="",_xlfn.REGEXEXTRACT(CELL("address",'Raw Data'!G284),"\$([A-Z]+)\$[0-9]+"),"")</f>
        <v>$G$284</v>
      </c>
      <c r="I282" t="e" cm="1">
        <f t="array" aca="1" ref="I282" ca="1">IF('Raw Data'!#REF!="",_xlfn.REGEXEXTRACT(CELL("address",'Raw Data'!#REF!),"\$([A-Z]+)\$[0-9]+"),"")</f>
        <v>#REF!</v>
      </c>
    </row>
    <row r="283" spans="2:9" x14ac:dyDescent="0.25">
      <c r="B283" t="str" cm="1">
        <f t="array" aca="1" ref="B283" ca="1">IF('Raw Data'!B285="",_xlfn.REGEXEXTRACT(CELL("address",'Raw Data'!B285),"\$([A-Z]+)\$[0-9]+"),"")</f>
        <v>$B$285</v>
      </c>
      <c r="C283" t="str" cm="1">
        <f t="array" aca="1" ref="C283" ca="1">IF('Raw Data'!C285="",_xlfn.REGEXEXTRACT(CELL("address",'Raw Data'!C285),"\$([A-Z]+)\$[0-9]+"),"")</f>
        <v>$C$285</v>
      </c>
      <c r="D283" t="str" cm="1">
        <f t="array" aca="1" ref="D283" ca="1">IF('Raw Data'!D285="",_xlfn.REGEXEXTRACT(CELL("address",'Raw Data'!D285),"\$([A-Z]+)\$[0-9]+"),"")</f>
        <v>$D$285</v>
      </c>
      <c r="E283" t="str" cm="1">
        <f t="array" aca="1" ref="E283" ca="1">IF('Raw Data'!E285="",_xlfn.REGEXEXTRACT(CELL("address",'Raw Data'!E285),"\$([A-Z]+)\$[0-9]+"),"")</f>
        <v>$E$285</v>
      </c>
      <c r="F283" t="str" cm="1">
        <f t="array" aca="1" ref="F283" ca="1">IF('Raw Data'!F285="",_xlfn.REGEXEXTRACT(CELL("address",'Raw Data'!F285),"\$([A-Z]+)\$[0-9]+"),"")</f>
        <v>$F$285</v>
      </c>
      <c r="G283" t="e" cm="1">
        <f t="array" aca="1" ref="G283" ca="1">IF('Raw Data'!#REF!="",_xlfn.REGEXEXTRACT(CELL("address",'Raw Data'!#REF!),"\$([A-Z]+)\$[0-9]+"),"")</f>
        <v>#REF!</v>
      </c>
      <c r="H283" t="str" cm="1">
        <f t="array" aca="1" ref="H283" ca="1">IF('Raw Data'!G285="",_xlfn.REGEXEXTRACT(CELL("address",'Raw Data'!G285),"\$([A-Z]+)\$[0-9]+"),"")</f>
        <v>$G$285</v>
      </c>
      <c r="I283" t="e" cm="1">
        <f t="array" aca="1" ref="I283" ca="1">IF('Raw Data'!#REF!="",_xlfn.REGEXEXTRACT(CELL("address",'Raw Data'!#REF!),"\$([A-Z]+)\$[0-9]+"),"")</f>
        <v>#REF!</v>
      </c>
    </row>
    <row r="284" spans="2:9" x14ac:dyDescent="0.25">
      <c r="B284" t="str" cm="1">
        <f t="array" aca="1" ref="B284" ca="1">IF('Raw Data'!B286="",_xlfn.REGEXEXTRACT(CELL("address",'Raw Data'!B286),"\$([A-Z]+)\$[0-9]+"),"")</f>
        <v>$B$286</v>
      </c>
      <c r="C284" t="str" cm="1">
        <f t="array" aca="1" ref="C284" ca="1">IF('Raw Data'!C286="",_xlfn.REGEXEXTRACT(CELL("address",'Raw Data'!C286),"\$([A-Z]+)\$[0-9]+"),"")</f>
        <v>$C$286</v>
      </c>
      <c r="D284" t="str" cm="1">
        <f t="array" aca="1" ref="D284" ca="1">IF('Raw Data'!D286="",_xlfn.REGEXEXTRACT(CELL("address",'Raw Data'!D286),"\$([A-Z]+)\$[0-9]+"),"")</f>
        <v>$D$286</v>
      </c>
      <c r="E284" t="str" cm="1">
        <f t="array" aca="1" ref="E284" ca="1">IF('Raw Data'!E286="",_xlfn.REGEXEXTRACT(CELL("address",'Raw Data'!E286),"\$([A-Z]+)\$[0-9]+"),"")</f>
        <v>$E$286</v>
      </c>
      <c r="F284" t="str" cm="1">
        <f t="array" aca="1" ref="F284" ca="1">IF('Raw Data'!F286="",_xlfn.REGEXEXTRACT(CELL("address",'Raw Data'!F286),"\$([A-Z]+)\$[0-9]+"),"")</f>
        <v>$F$286</v>
      </c>
      <c r="G284" t="e" cm="1">
        <f t="array" aca="1" ref="G284" ca="1">IF('Raw Data'!#REF!="",_xlfn.REGEXEXTRACT(CELL("address",'Raw Data'!#REF!),"\$([A-Z]+)\$[0-9]+"),"")</f>
        <v>#REF!</v>
      </c>
      <c r="H284" t="str" cm="1">
        <f t="array" aca="1" ref="H284" ca="1">IF('Raw Data'!G286="",_xlfn.REGEXEXTRACT(CELL("address",'Raw Data'!G286),"\$([A-Z]+)\$[0-9]+"),"")</f>
        <v>$G$286</v>
      </c>
      <c r="I284" t="e" cm="1">
        <f t="array" aca="1" ref="I284" ca="1">IF('Raw Data'!#REF!="",_xlfn.REGEXEXTRACT(CELL("address",'Raw Data'!#REF!),"\$([A-Z]+)\$[0-9]+"),"")</f>
        <v>#REF!</v>
      </c>
    </row>
    <row r="285" spans="2:9" x14ac:dyDescent="0.25">
      <c r="B285" t="str" cm="1">
        <f t="array" aca="1" ref="B285" ca="1">IF('Raw Data'!B287="",_xlfn.REGEXEXTRACT(CELL("address",'Raw Data'!B287),"\$([A-Z]+)\$[0-9]+"),"")</f>
        <v>$B$287</v>
      </c>
      <c r="C285" t="str" cm="1">
        <f t="array" aca="1" ref="C285" ca="1">IF('Raw Data'!C287="",_xlfn.REGEXEXTRACT(CELL("address",'Raw Data'!C287),"\$([A-Z]+)\$[0-9]+"),"")</f>
        <v>$C$287</v>
      </c>
      <c r="D285" t="str" cm="1">
        <f t="array" aca="1" ref="D285" ca="1">IF('Raw Data'!D287="",_xlfn.REGEXEXTRACT(CELL("address",'Raw Data'!D287),"\$([A-Z]+)\$[0-9]+"),"")</f>
        <v>$D$287</v>
      </c>
      <c r="E285" t="str" cm="1">
        <f t="array" aca="1" ref="E285" ca="1">IF('Raw Data'!E287="",_xlfn.REGEXEXTRACT(CELL("address",'Raw Data'!E287),"\$([A-Z]+)\$[0-9]+"),"")</f>
        <v>$E$287</v>
      </c>
      <c r="F285" t="str" cm="1">
        <f t="array" aca="1" ref="F285" ca="1">IF('Raw Data'!F287="",_xlfn.REGEXEXTRACT(CELL("address",'Raw Data'!F287),"\$([A-Z]+)\$[0-9]+"),"")</f>
        <v>$F$287</v>
      </c>
      <c r="G285" t="e" cm="1">
        <f t="array" aca="1" ref="G285" ca="1">IF('Raw Data'!#REF!="",_xlfn.REGEXEXTRACT(CELL("address",'Raw Data'!#REF!),"\$([A-Z]+)\$[0-9]+"),"")</f>
        <v>#REF!</v>
      </c>
      <c r="H285" t="str" cm="1">
        <f t="array" aca="1" ref="H285" ca="1">IF('Raw Data'!G287="",_xlfn.REGEXEXTRACT(CELL("address",'Raw Data'!G287),"\$([A-Z]+)\$[0-9]+"),"")</f>
        <v>$G$287</v>
      </c>
      <c r="I285" t="e" cm="1">
        <f t="array" aca="1" ref="I285" ca="1">IF('Raw Data'!#REF!="",_xlfn.REGEXEXTRACT(CELL("address",'Raw Data'!#REF!),"\$([A-Z]+)\$[0-9]+"),"")</f>
        <v>#REF!</v>
      </c>
    </row>
    <row r="286" spans="2:9" x14ac:dyDescent="0.25">
      <c r="B286" t="str" cm="1">
        <f t="array" aca="1" ref="B286" ca="1">IF('Raw Data'!B288="",_xlfn.REGEXEXTRACT(CELL("address",'Raw Data'!B288),"\$([A-Z]+)\$[0-9]+"),"")</f>
        <v>$B$288</v>
      </c>
      <c r="C286" t="str" cm="1">
        <f t="array" aca="1" ref="C286" ca="1">IF('Raw Data'!C288="",_xlfn.REGEXEXTRACT(CELL("address",'Raw Data'!C288),"\$([A-Z]+)\$[0-9]+"),"")</f>
        <v>$C$288</v>
      </c>
      <c r="D286" t="str" cm="1">
        <f t="array" aca="1" ref="D286" ca="1">IF('Raw Data'!D288="",_xlfn.REGEXEXTRACT(CELL("address",'Raw Data'!D288),"\$([A-Z]+)\$[0-9]+"),"")</f>
        <v>$D$288</v>
      </c>
      <c r="E286" t="str" cm="1">
        <f t="array" aca="1" ref="E286" ca="1">IF('Raw Data'!E288="",_xlfn.REGEXEXTRACT(CELL("address",'Raw Data'!E288),"\$([A-Z]+)\$[0-9]+"),"")</f>
        <v>$E$288</v>
      </c>
      <c r="F286" t="str" cm="1">
        <f t="array" aca="1" ref="F286" ca="1">IF('Raw Data'!F288="",_xlfn.REGEXEXTRACT(CELL("address",'Raw Data'!F288),"\$([A-Z]+)\$[0-9]+"),"")</f>
        <v>$F$288</v>
      </c>
      <c r="G286" t="e" cm="1">
        <f t="array" aca="1" ref="G286" ca="1">IF('Raw Data'!#REF!="",_xlfn.REGEXEXTRACT(CELL("address",'Raw Data'!#REF!),"\$([A-Z]+)\$[0-9]+"),"")</f>
        <v>#REF!</v>
      </c>
      <c r="H286" t="str" cm="1">
        <f t="array" aca="1" ref="H286" ca="1">IF('Raw Data'!G288="",_xlfn.REGEXEXTRACT(CELL("address",'Raw Data'!G288),"\$([A-Z]+)\$[0-9]+"),"")</f>
        <v>$G$288</v>
      </c>
      <c r="I286" t="e" cm="1">
        <f t="array" aca="1" ref="I286" ca="1">IF('Raw Data'!#REF!="",_xlfn.REGEXEXTRACT(CELL("address",'Raw Data'!#REF!),"\$([A-Z]+)\$[0-9]+"),"")</f>
        <v>#REF!</v>
      </c>
    </row>
    <row r="287" spans="2:9" x14ac:dyDescent="0.25">
      <c r="B287" t="str" cm="1">
        <f t="array" aca="1" ref="B287" ca="1">IF('Raw Data'!B289="",_xlfn.REGEXEXTRACT(CELL("address",'Raw Data'!B289),"\$([A-Z]+)\$[0-9]+"),"")</f>
        <v>$B$289</v>
      </c>
      <c r="C287" t="str" cm="1">
        <f t="array" aca="1" ref="C287" ca="1">IF('Raw Data'!C289="",_xlfn.REGEXEXTRACT(CELL("address",'Raw Data'!C289),"\$([A-Z]+)\$[0-9]+"),"")</f>
        <v>$C$289</v>
      </c>
      <c r="D287" t="str" cm="1">
        <f t="array" aca="1" ref="D287" ca="1">IF('Raw Data'!D289="",_xlfn.REGEXEXTRACT(CELL("address",'Raw Data'!D289),"\$([A-Z]+)\$[0-9]+"),"")</f>
        <v>$D$289</v>
      </c>
      <c r="E287" t="str" cm="1">
        <f t="array" aca="1" ref="E287" ca="1">IF('Raw Data'!E289="",_xlfn.REGEXEXTRACT(CELL("address",'Raw Data'!E289),"\$([A-Z]+)\$[0-9]+"),"")</f>
        <v>$E$289</v>
      </c>
      <c r="F287" t="str" cm="1">
        <f t="array" aca="1" ref="F287" ca="1">IF('Raw Data'!F289="",_xlfn.REGEXEXTRACT(CELL("address",'Raw Data'!F289),"\$([A-Z]+)\$[0-9]+"),"")</f>
        <v>$F$289</v>
      </c>
      <c r="G287" t="e" cm="1">
        <f t="array" aca="1" ref="G287" ca="1">IF('Raw Data'!#REF!="",_xlfn.REGEXEXTRACT(CELL("address",'Raw Data'!#REF!),"\$([A-Z]+)\$[0-9]+"),"")</f>
        <v>#REF!</v>
      </c>
      <c r="H287" t="str" cm="1">
        <f t="array" aca="1" ref="H287" ca="1">IF('Raw Data'!G289="",_xlfn.REGEXEXTRACT(CELL("address",'Raw Data'!G289),"\$([A-Z]+)\$[0-9]+"),"")</f>
        <v>$G$289</v>
      </c>
      <c r="I287" t="e" cm="1">
        <f t="array" aca="1" ref="I287" ca="1">IF('Raw Data'!#REF!="",_xlfn.REGEXEXTRACT(CELL("address",'Raw Data'!#REF!),"\$([A-Z]+)\$[0-9]+"),"")</f>
        <v>#REF!</v>
      </c>
    </row>
    <row r="288" spans="2:9" x14ac:dyDescent="0.25">
      <c r="B288" t="str" cm="1">
        <f t="array" aca="1" ref="B288" ca="1">IF('Raw Data'!B290="",_xlfn.REGEXEXTRACT(CELL("address",'Raw Data'!B290),"\$([A-Z]+)\$[0-9]+"),"")</f>
        <v>$B$290</v>
      </c>
      <c r="C288" t="str" cm="1">
        <f t="array" aca="1" ref="C288" ca="1">IF('Raw Data'!C290="",_xlfn.REGEXEXTRACT(CELL("address",'Raw Data'!C290),"\$([A-Z]+)\$[0-9]+"),"")</f>
        <v>$C$290</v>
      </c>
      <c r="D288" t="str" cm="1">
        <f t="array" aca="1" ref="D288" ca="1">IF('Raw Data'!D290="",_xlfn.REGEXEXTRACT(CELL("address",'Raw Data'!D290),"\$([A-Z]+)\$[0-9]+"),"")</f>
        <v>$D$290</v>
      </c>
      <c r="E288" t="str" cm="1">
        <f t="array" aca="1" ref="E288" ca="1">IF('Raw Data'!E290="",_xlfn.REGEXEXTRACT(CELL("address",'Raw Data'!E290),"\$([A-Z]+)\$[0-9]+"),"")</f>
        <v>$E$290</v>
      </c>
      <c r="F288" t="str" cm="1">
        <f t="array" aca="1" ref="F288" ca="1">IF('Raw Data'!F290="",_xlfn.REGEXEXTRACT(CELL("address",'Raw Data'!F290),"\$([A-Z]+)\$[0-9]+"),"")</f>
        <v>$F$290</v>
      </c>
      <c r="G288" t="e" cm="1">
        <f t="array" aca="1" ref="G288" ca="1">IF('Raw Data'!#REF!="",_xlfn.REGEXEXTRACT(CELL("address",'Raw Data'!#REF!),"\$([A-Z]+)\$[0-9]+"),"")</f>
        <v>#REF!</v>
      </c>
      <c r="H288" t="str" cm="1">
        <f t="array" aca="1" ref="H288" ca="1">IF('Raw Data'!G290="",_xlfn.REGEXEXTRACT(CELL("address",'Raw Data'!G290),"\$([A-Z]+)\$[0-9]+"),"")</f>
        <v>$G$290</v>
      </c>
      <c r="I288" t="e" cm="1">
        <f t="array" aca="1" ref="I288" ca="1">IF('Raw Data'!#REF!="",_xlfn.REGEXEXTRACT(CELL("address",'Raw Data'!#REF!),"\$([A-Z]+)\$[0-9]+"),"")</f>
        <v>#REF!</v>
      </c>
    </row>
    <row r="289" spans="2:9" x14ac:dyDescent="0.25">
      <c r="B289" t="str" cm="1">
        <f t="array" aca="1" ref="B289" ca="1">IF('Raw Data'!B291="",_xlfn.REGEXEXTRACT(CELL("address",'Raw Data'!B291),"\$([A-Z]+)\$[0-9]+"),"")</f>
        <v>$B$291</v>
      </c>
      <c r="C289" t="str" cm="1">
        <f t="array" aca="1" ref="C289" ca="1">IF('Raw Data'!C291="",_xlfn.REGEXEXTRACT(CELL("address",'Raw Data'!C291),"\$([A-Z]+)\$[0-9]+"),"")</f>
        <v>$C$291</v>
      </c>
      <c r="D289" t="str" cm="1">
        <f t="array" aca="1" ref="D289" ca="1">IF('Raw Data'!D291="",_xlfn.REGEXEXTRACT(CELL("address",'Raw Data'!D291),"\$([A-Z]+)\$[0-9]+"),"")</f>
        <v>$D$291</v>
      </c>
      <c r="E289" t="str" cm="1">
        <f t="array" aca="1" ref="E289" ca="1">IF('Raw Data'!E291="",_xlfn.REGEXEXTRACT(CELL("address",'Raw Data'!E291),"\$([A-Z]+)\$[0-9]+"),"")</f>
        <v>$E$291</v>
      </c>
      <c r="F289" t="str" cm="1">
        <f t="array" aca="1" ref="F289" ca="1">IF('Raw Data'!F291="",_xlfn.REGEXEXTRACT(CELL("address",'Raw Data'!F291),"\$([A-Z]+)\$[0-9]+"),"")</f>
        <v>$F$291</v>
      </c>
      <c r="G289" t="e" cm="1">
        <f t="array" aca="1" ref="G289" ca="1">IF('Raw Data'!#REF!="",_xlfn.REGEXEXTRACT(CELL("address",'Raw Data'!#REF!),"\$([A-Z]+)\$[0-9]+"),"")</f>
        <v>#REF!</v>
      </c>
      <c r="H289" t="str" cm="1">
        <f t="array" aca="1" ref="H289" ca="1">IF('Raw Data'!G291="",_xlfn.REGEXEXTRACT(CELL("address",'Raw Data'!G291),"\$([A-Z]+)\$[0-9]+"),"")</f>
        <v>$G$291</v>
      </c>
      <c r="I289" t="e" cm="1">
        <f t="array" aca="1" ref="I289" ca="1">IF('Raw Data'!#REF!="",_xlfn.REGEXEXTRACT(CELL("address",'Raw Data'!#REF!),"\$([A-Z]+)\$[0-9]+"),"")</f>
        <v>#REF!</v>
      </c>
    </row>
    <row r="290" spans="2:9" x14ac:dyDescent="0.25">
      <c r="B290" t="str" cm="1">
        <f t="array" aca="1" ref="B290" ca="1">IF('Raw Data'!B292="",_xlfn.REGEXEXTRACT(CELL("address",'Raw Data'!B292),"\$([A-Z]+)\$[0-9]+"),"")</f>
        <v>$B$292</v>
      </c>
      <c r="C290" t="str" cm="1">
        <f t="array" aca="1" ref="C290" ca="1">IF('Raw Data'!C292="",_xlfn.REGEXEXTRACT(CELL("address",'Raw Data'!C292),"\$([A-Z]+)\$[0-9]+"),"")</f>
        <v>$C$292</v>
      </c>
      <c r="D290" t="str" cm="1">
        <f t="array" aca="1" ref="D290" ca="1">IF('Raw Data'!D292="",_xlfn.REGEXEXTRACT(CELL("address",'Raw Data'!D292),"\$([A-Z]+)\$[0-9]+"),"")</f>
        <v>$D$292</v>
      </c>
      <c r="E290" t="str" cm="1">
        <f t="array" aca="1" ref="E290" ca="1">IF('Raw Data'!E292="",_xlfn.REGEXEXTRACT(CELL("address",'Raw Data'!E292),"\$([A-Z]+)\$[0-9]+"),"")</f>
        <v>$E$292</v>
      </c>
      <c r="F290" t="str" cm="1">
        <f t="array" aca="1" ref="F290" ca="1">IF('Raw Data'!F292="",_xlfn.REGEXEXTRACT(CELL("address",'Raw Data'!F292),"\$([A-Z]+)\$[0-9]+"),"")</f>
        <v>$F$292</v>
      </c>
      <c r="G290" t="e" cm="1">
        <f t="array" aca="1" ref="G290" ca="1">IF('Raw Data'!#REF!="",_xlfn.REGEXEXTRACT(CELL("address",'Raw Data'!#REF!),"\$([A-Z]+)\$[0-9]+"),"")</f>
        <v>#REF!</v>
      </c>
      <c r="H290" t="str" cm="1">
        <f t="array" aca="1" ref="H290" ca="1">IF('Raw Data'!G292="",_xlfn.REGEXEXTRACT(CELL("address",'Raw Data'!G292),"\$([A-Z]+)\$[0-9]+"),"")</f>
        <v>$G$292</v>
      </c>
      <c r="I290" t="e" cm="1">
        <f t="array" aca="1" ref="I290" ca="1">IF('Raw Data'!#REF!="",_xlfn.REGEXEXTRACT(CELL("address",'Raw Data'!#REF!),"\$([A-Z]+)\$[0-9]+"),"")</f>
        <v>#REF!</v>
      </c>
    </row>
    <row r="291" spans="2:9" x14ac:dyDescent="0.25">
      <c r="B291" t="str" cm="1">
        <f t="array" aca="1" ref="B291" ca="1">IF('Raw Data'!B293="",_xlfn.REGEXEXTRACT(CELL("address",'Raw Data'!B293),"\$([A-Z]+)\$[0-9]+"),"")</f>
        <v>$B$293</v>
      </c>
      <c r="C291" t="str" cm="1">
        <f t="array" aca="1" ref="C291" ca="1">IF('Raw Data'!C293="",_xlfn.REGEXEXTRACT(CELL("address",'Raw Data'!C293),"\$([A-Z]+)\$[0-9]+"),"")</f>
        <v>$C$293</v>
      </c>
      <c r="D291" t="str" cm="1">
        <f t="array" aca="1" ref="D291" ca="1">IF('Raw Data'!D293="",_xlfn.REGEXEXTRACT(CELL("address",'Raw Data'!D293),"\$([A-Z]+)\$[0-9]+"),"")</f>
        <v>$D$293</v>
      </c>
      <c r="E291" t="str" cm="1">
        <f t="array" aca="1" ref="E291" ca="1">IF('Raw Data'!E293="",_xlfn.REGEXEXTRACT(CELL("address",'Raw Data'!E293),"\$([A-Z]+)\$[0-9]+"),"")</f>
        <v>$E$293</v>
      </c>
      <c r="F291" t="str" cm="1">
        <f t="array" aca="1" ref="F291" ca="1">IF('Raw Data'!F293="",_xlfn.REGEXEXTRACT(CELL("address",'Raw Data'!F293),"\$([A-Z]+)\$[0-9]+"),"")</f>
        <v>$F$293</v>
      </c>
      <c r="G291" t="e" cm="1">
        <f t="array" aca="1" ref="G291" ca="1">IF('Raw Data'!#REF!="",_xlfn.REGEXEXTRACT(CELL("address",'Raw Data'!#REF!),"\$([A-Z]+)\$[0-9]+"),"")</f>
        <v>#REF!</v>
      </c>
      <c r="H291" t="str" cm="1">
        <f t="array" aca="1" ref="H291" ca="1">IF('Raw Data'!G293="",_xlfn.REGEXEXTRACT(CELL("address",'Raw Data'!G293),"\$([A-Z]+)\$[0-9]+"),"")</f>
        <v>$G$293</v>
      </c>
      <c r="I291" t="e" cm="1">
        <f t="array" aca="1" ref="I291" ca="1">IF('Raw Data'!#REF!="",_xlfn.REGEXEXTRACT(CELL("address",'Raw Data'!#REF!),"\$([A-Z]+)\$[0-9]+"),"")</f>
        <v>#REF!</v>
      </c>
    </row>
    <row r="292" spans="2:9" x14ac:dyDescent="0.25">
      <c r="B292" t="str" cm="1">
        <f t="array" aca="1" ref="B292" ca="1">IF('Raw Data'!B294="",_xlfn.REGEXEXTRACT(CELL("address",'Raw Data'!B294),"\$([A-Z]+)\$[0-9]+"),"")</f>
        <v>$B$294</v>
      </c>
      <c r="C292" t="str" cm="1">
        <f t="array" aca="1" ref="C292" ca="1">IF('Raw Data'!C294="",_xlfn.REGEXEXTRACT(CELL("address",'Raw Data'!C294),"\$([A-Z]+)\$[0-9]+"),"")</f>
        <v>$C$294</v>
      </c>
      <c r="D292" t="str" cm="1">
        <f t="array" aca="1" ref="D292" ca="1">IF('Raw Data'!D294="",_xlfn.REGEXEXTRACT(CELL("address",'Raw Data'!D294),"\$([A-Z]+)\$[0-9]+"),"")</f>
        <v>$D$294</v>
      </c>
      <c r="E292" t="str" cm="1">
        <f t="array" aca="1" ref="E292" ca="1">IF('Raw Data'!E294="",_xlfn.REGEXEXTRACT(CELL("address",'Raw Data'!E294),"\$([A-Z]+)\$[0-9]+"),"")</f>
        <v>$E$294</v>
      </c>
      <c r="F292" t="str" cm="1">
        <f t="array" aca="1" ref="F292" ca="1">IF('Raw Data'!F294="",_xlfn.REGEXEXTRACT(CELL("address",'Raw Data'!F294),"\$([A-Z]+)\$[0-9]+"),"")</f>
        <v>$F$294</v>
      </c>
      <c r="G292" t="e" cm="1">
        <f t="array" aca="1" ref="G292" ca="1">IF('Raw Data'!#REF!="",_xlfn.REGEXEXTRACT(CELL("address",'Raw Data'!#REF!),"\$([A-Z]+)\$[0-9]+"),"")</f>
        <v>#REF!</v>
      </c>
      <c r="H292" t="str" cm="1">
        <f t="array" aca="1" ref="H292" ca="1">IF('Raw Data'!G294="",_xlfn.REGEXEXTRACT(CELL("address",'Raw Data'!G294),"\$([A-Z]+)\$[0-9]+"),"")</f>
        <v>$G$294</v>
      </c>
      <c r="I292" t="e" cm="1">
        <f t="array" aca="1" ref="I292" ca="1">IF('Raw Data'!#REF!="",_xlfn.REGEXEXTRACT(CELL("address",'Raw Data'!#REF!),"\$([A-Z]+)\$[0-9]+"),"")</f>
        <v>#REF!</v>
      </c>
    </row>
    <row r="293" spans="2:9" x14ac:dyDescent="0.25">
      <c r="B293" t="str" cm="1">
        <f t="array" aca="1" ref="B293" ca="1">IF('Raw Data'!B295="",_xlfn.REGEXEXTRACT(CELL("address",'Raw Data'!B295),"\$([A-Z]+)\$[0-9]+"),"")</f>
        <v>$B$295</v>
      </c>
      <c r="C293" t="str" cm="1">
        <f t="array" aca="1" ref="C293" ca="1">IF('Raw Data'!C295="",_xlfn.REGEXEXTRACT(CELL("address",'Raw Data'!C295),"\$([A-Z]+)\$[0-9]+"),"")</f>
        <v>$C$295</v>
      </c>
      <c r="D293" t="str" cm="1">
        <f t="array" aca="1" ref="D293" ca="1">IF('Raw Data'!D295="",_xlfn.REGEXEXTRACT(CELL("address",'Raw Data'!D295),"\$([A-Z]+)\$[0-9]+"),"")</f>
        <v>$D$295</v>
      </c>
      <c r="E293" t="str" cm="1">
        <f t="array" aca="1" ref="E293" ca="1">IF('Raw Data'!E295="",_xlfn.REGEXEXTRACT(CELL("address",'Raw Data'!E295),"\$([A-Z]+)\$[0-9]+"),"")</f>
        <v>$E$295</v>
      </c>
      <c r="F293" t="str" cm="1">
        <f t="array" aca="1" ref="F293" ca="1">IF('Raw Data'!F295="",_xlfn.REGEXEXTRACT(CELL("address",'Raw Data'!F295),"\$([A-Z]+)\$[0-9]+"),"")</f>
        <v>$F$295</v>
      </c>
      <c r="G293" t="e" cm="1">
        <f t="array" aca="1" ref="G293" ca="1">IF('Raw Data'!#REF!="",_xlfn.REGEXEXTRACT(CELL("address",'Raw Data'!#REF!),"\$([A-Z]+)\$[0-9]+"),"")</f>
        <v>#REF!</v>
      </c>
      <c r="H293" t="str" cm="1">
        <f t="array" aca="1" ref="H293" ca="1">IF('Raw Data'!G295="",_xlfn.REGEXEXTRACT(CELL("address",'Raw Data'!G295),"\$([A-Z]+)\$[0-9]+"),"")</f>
        <v>$G$295</v>
      </c>
      <c r="I293" t="e" cm="1">
        <f t="array" aca="1" ref="I293" ca="1">IF('Raw Data'!#REF!="",_xlfn.REGEXEXTRACT(CELL("address",'Raw Data'!#REF!),"\$([A-Z]+)\$[0-9]+"),"")</f>
        <v>#REF!</v>
      </c>
    </row>
    <row r="294" spans="2:9" x14ac:dyDescent="0.25">
      <c r="B294" t="str" cm="1">
        <f t="array" aca="1" ref="B294" ca="1">IF('Raw Data'!B296="",_xlfn.REGEXEXTRACT(CELL("address",'Raw Data'!B296),"\$([A-Z]+)\$[0-9]+"),"")</f>
        <v>$B$296</v>
      </c>
      <c r="C294" t="str" cm="1">
        <f t="array" aca="1" ref="C294" ca="1">IF('Raw Data'!C296="",_xlfn.REGEXEXTRACT(CELL("address",'Raw Data'!C296),"\$([A-Z]+)\$[0-9]+"),"")</f>
        <v>$C$296</v>
      </c>
      <c r="D294" t="str" cm="1">
        <f t="array" aca="1" ref="D294" ca="1">IF('Raw Data'!D296="",_xlfn.REGEXEXTRACT(CELL("address",'Raw Data'!D296),"\$([A-Z]+)\$[0-9]+"),"")</f>
        <v>$D$296</v>
      </c>
      <c r="E294" t="str" cm="1">
        <f t="array" aca="1" ref="E294" ca="1">IF('Raw Data'!E296="",_xlfn.REGEXEXTRACT(CELL("address",'Raw Data'!E296),"\$([A-Z]+)\$[0-9]+"),"")</f>
        <v>$E$296</v>
      </c>
      <c r="F294" t="str" cm="1">
        <f t="array" aca="1" ref="F294" ca="1">IF('Raw Data'!F296="",_xlfn.REGEXEXTRACT(CELL("address",'Raw Data'!F296),"\$([A-Z]+)\$[0-9]+"),"")</f>
        <v>$F$296</v>
      </c>
      <c r="G294" t="e" cm="1">
        <f t="array" aca="1" ref="G294" ca="1">IF('Raw Data'!#REF!="",_xlfn.REGEXEXTRACT(CELL("address",'Raw Data'!#REF!),"\$([A-Z]+)\$[0-9]+"),"")</f>
        <v>#REF!</v>
      </c>
      <c r="H294" t="str" cm="1">
        <f t="array" aca="1" ref="H294" ca="1">IF('Raw Data'!G296="",_xlfn.REGEXEXTRACT(CELL("address",'Raw Data'!G296),"\$([A-Z]+)\$[0-9]+"),"")</f>
        <v>$G$296</v>
      </c>
      <c r="I294" t="e" cm="1">
        <f t="array" aca="1" ref="I294" ca="1">IF('Raw Data'!#REF!="",_xlfn.REGEXEXTRACT(CELL("address",'Raw Data'!#REF!),"\$([A-Z]+)\$[0-9]+"),"")</f>
        <v>#REF!</v>
      </c>
    </row>
    <row r="295" spans="2:9" x14ac:dyDescent="0.25">
      <c r="B295" t="str" cm="1">
        <f t="array" aca="1" ref="B295" ca="1">IF('Raw Data'!B297="",_xlfn.REGEXEXTRACT(CELL("address",'Raw Data'!B297),"\$([A-Z]+)\$[0-9]+"),"")</f>
        <v>$B$297</v>
      </c>
      <c r="C295" t="str" cm="1">
        <f t="array" aca="1" ref="C295" ca="1">IF('Raw Data'!C297="",_xlfn.REGEXEXTRACT(CELL("address",'Raw Data'!C297),"\$([A-Z]+)\$[0-9]+"),"")</f>
        <v>$C$297</v>
      </c>
      <c r="D295" t="str" cm="1">
        <f t="array" aca="1" ref="D295" ca="1">IF('Raw Data'!D297="",_xlfn.REGEXEXTRACT(CELL("address",'Raw Data'!D297),"\$([A-Z]+)\$[0-9]+"),"")</f>
        <v>$D$297</v>
      </c>
      <c r="E295" t="str" cm="1">
        <f t="array" aca="1" ref="E295" ca="1">IF('Raw Data'!E297="",_xlfn.REGEXEXTRACT(CELL("address",'Raw Data'!E297),"\$([A-Z]+)\$[0-9]+"),"")</f>
        <v>$E$297</v>
      </c>
      <c r="F295" t="str" cm="1">
        <f t="array" aca="1" ref="F295" ca="1">IF('Raw Data'!F297="",_xlfn.REGEXEXTRACT(CELL("address",'Raw Data'!F297),"\$([A-Z]+)\$[0-9]+"),"")</f>
        <v>$F$297</v>
      </c>
      <c r="G295" t="e" cm="1">
        <f t="array" aca="1" ref="G295" ca="1">IF('Raw Data'!#REF!="",_xlfn.REGEXEXTRACT(CELL("address",'Raw Data'!#REF!),"\$([A-Z]+)\$[0-9]+"),"")</f>
        <v>#REF!</v>
      </c>
      <c r="H295" t="str" cm="1">
        <f t="array" aca="1" ref="H295" ca="1">IF('Raw Data'!G297="",_xlfn.REGEXEXTRACT(CELL("address",'Raw Data'!G297),"\$([A-Z]+)\$[0-9]+"),"")</f>
        <v>$G$297</v>
      </c>
      <c r="I295" t="e" cm="1">
        <f t="array" aca="1" ref="I295" ca="1">IF('Raw Data'!#REF!="",_xlfn.REGEXEXTRACT(CELL("address",'Raw Data'!#REF!),"\$([A-Z]+)\$[0-9]+"),"")</f>
        <v>#REF!</v>
      </c>
    </row>
    <row r="296" spans="2:9" x14ac:dyDescent="0.25">
      <c r="B296" t="str" cm="1">
        <f t="array" aca="1" ref="B296" ca="1">IF('Raw Data'!B298="",_xlfn.REGEXEXTRACT(CELL("address",'Raw Data'!B298),"\$([A-Z]+)\$[0-9]+"),"")</f>
        <v>$B$298</v>
      </c>
      <c r="C296" t="str" cm="1">
        <f t="array" aca="1" ref="C296" ca="1">IF('Raw Data'!C298="",_xlfn.REGEXEXTRACT(CELL("address",'Raw Data'!C298),"\$([A-Z]+)\$[0-9]+"),"")</f>
        <v>$C$298</v>
      </c>
      <c r="D296" t="str" cm="1">
        <f t="array" aca="1" ref="D296" ca="1">IF('Raw Data'!D298="",_xlfn.REGEXEXTRACT(CELL("address",'Raw Data'!D298),"\$([A-Z]+)\$[0-9]+"),"")</f>
        <v>$D$298</v>
      </c>
      <c r="E296" t="str" cm="1">
        <f t="array" aca="1" ref="E296" ca="1">IF('Raw Data'!E298="",_xlfn.REGEXEXTRACT(CELL("address",'Raw Data'!E298),"\$([A-Z]+)\$[0-9]+"),"")</f>
        <v>$E$298</v>
      </c>
      <c r="F296" t="str" cm="1">
        <f t="array" aca="1" ref="F296" ca="1">IF('Raw Data'!F298="",_xlfn.REGEXEXTRACT(CELL("address",'Raw Data'!F298),"\$([A-Z]+)\$[0-9]+"),"")</f>
        <v>$F$298</v>
      </c>
      <c r="G296" t="e" cm="1">
        <f t="array" aca="1" ref="G296" ca="1">IF('Raw Data'!#REF!="",_xlfn.REGEXEXTRACT(CELL("address",'Raw Data'!#REF!),"\$([A-Z]+)\$[0-9]+"),"")</f>
        <v>#REF!</v>
      </c>
      <c r="H296" t="str" cm="1">
        <f t="array" aca="1" ref="H296" ca="1">IF('Raw Data'!G298="",_xlfn.REGEXEXTRACT(CELL("address",'Raw Data'!G298),"\$([A-Z]+)\$[0-9]+"),"")</f>
        <v>$G$298</v>
      </c>
      <c r="I296" t="e" cm="1">
        <f t="array" aca="1" ref="I296" ca="1">IF('Raw Data'!#REF!="",_xlfn.REGEXEXTRACT(CELL("address",'Raw Data'!#REF!),"\$([A-Z]+)\$[0-9]+"),"")</f>
        <v>#REF!</v>
      </c>
    </row>
    <row r="297" spans="2:9" x14ac:dyDescent="0.25">
      <c r="B297" t="str" cm="1">
        <f t="array" aca="1" ref="B297" ca="1">IF('Raw Data'!B299="",_xlfn.REGEXEXTRACT(CELL("address",'Raw Data'!B299),"\$([A-Z]+)\$[0-9]+"),"")</f>
        <v>$B$299</v>
      </c>
      <c r="C297" t="str" cm="1">
        <f t="array" aca="1" ref="C297" ca="1">IF('Raw Data'!C299="",_xlfn.REGEXEXTRACT(CELL("address",'Raw Data'!C299),"\$([A-Z]+)\$[0-9]+"),"")</f>
        <v>$C$299</v>
      </c>
      <c r="D297" t="str" cm="1">
        <f t="array" aca="1" ref="D297" ca="1">IF('Raw Data'!D299="",_xlfn.REGEXEXTRACT(CELL("address",'Raw Data'!D299),"\$([A-Z]+)\$[0-9]+"),"")</f>
        <v>$D$299</v>
      </c>
      <c r="E297" t="str" cm="1">
        <f t="array" aca="1" ref="E297" ca="1">IF('Raw Data'!E299="",_xlfn.REGEXEXTRACT(CELL("address",'Raw Data'!E299),"\$([A-Z]+)\$[0-9]+"),"")</f>
        <v>$E$299</v>
      </c>
      <c r="F297" t="str" cm="1">
        <f t="array" aca="1" ref="F297" ca="1">IF('Raw Data'!F299="",_xlfn.REGEXEXTRACT(CELL("address",'Raw Data'!F299),"\$([A-Z]+)\$[0-9]+"),"")</f>
        <v>$F$299</v>
      </c>
      <c r="G297" t="e" cm="1">
        <f t="array" aca="1" ref="G297" ca="1">IF('Raw Data'!#REF!="",_xlfn.REGEXEXTRACT(CELL("address",'Raw Data'!#REF!),"\$([A-Z]+)\$[0-9]+"),"")</f>
        <v>#REF!</v>
      </c>
      <c r="H297" t="str" cm="1">
        <f t="array" aca="1" ref="H297" ca="1">IF('Raw Data'!G299="",_xlfn.REGEXEXTRACT(CELL("address",'Raw Data'!G299),"\$([A-Z]+)\$[0-9]+"),"")</f>
        <v>$G$299</v>
      </c>
      <c r="I297" t="e" cm="1">
        <f t="array" aca="1" ref="I297" ca="1">IF('Raw Data'!#REF!="",_xlfn.REGEXEXTRACT(CELL("address",'Raw Data'!#REF!),"\$([A-Z]+)\$[0-9]+"),"")</f>
        <v>#REF!</v>
      </c>
    </row>
    <row r="298" spans="2:9" x14ac:dyDescent="0.25">
      <c r="B298" t="str" cm="1">
        <f t="array" aca="1" ref="B298" ca="1">IF('Raw Data'!B300="",_xlfn.REGEXEXTRACT(CELL("address",'Raw Data'!B300),"\$([A-Z]+)\$[0-9]+"),"")</f>
        <v>$B$300</v>
      </c>
      <c r="C298" t="str" cm="1">
        <f t="array" aca="1" ref="C298" ca="1">IF('Raw Data'!C300="",_xlfn.REGEXEXTRACT(CELL("address",'Raw Data'!C300),"\$([A-Z]+)\$[0-9]+"),"")</f>
        <v>$C$300</v>
      </c>
      <c r="D298" t="str" cm="1">
        <f t="array" aca="1" ref="D298" ca="1">IF('Raw Data'!D300="",_xlfn.REGEXEXTRACT(CELL("address",'Raw Data'!D300),"\$([A-Z]+)\$[0-9]+"),"")</f>
        <v>$D$300</v>
      </c>
      <c r="E298" t="str" cm="1">
        <f t="array" aca="1" ref="E298" ca="1">IF('Raw Data'!E300="",_xlfn.REGEXEXTRACT(CELL("address",'Raw Data'!E300),"\$([A-Z]+)\$[0-9]+"),"")</f>
        <v>$E$300</v>
      </c>
      <c r="F298" t="str" cm="1">
        <f t="array" aca="1" ref="F298" ca="1">IF('Raw Data'!F300="",_xlfn.REGEXEXTRACT(CELL("address",'Raw Data'!F300),"\$([A-Z]+)\$[0-9]+"),"")</f>
        <v>$F$300</v>
      </c>
      <c r="G298" t="e" cm="1">
        <f t="array" aca="1" ref="G298" ca="1">IF('Raw Data'!#REF!="",_xlfn.REGEXEXTRACT(CELL("address",'Raw Data'!#REF!),"\$([A-Z]+)\$[0-9]+"),"")</f>
        <v>#REF!</v>
      </c>
      <c r="H298" t="str" cm="1">
        <f t="array" aca="1" ref="H298" ca="1">IF('Raw Data'!G300="",_xlfn.REGEXEXTRACT(CELL("address",'Raw Data'!G300),"\$([A-Z]+)\$[0-9]+"),"")</f>
        <v>$G$300</v>
      </c>
      <c r="I298" t="e" cm="1">
        <f t="array" aca="1" ref="I298" ca="1">IF('Raw Data'!#REF!="",_xlfn.REGEXEXTRACT(CELL("address",'Raw Data'!#REF!),"\$([A-Z]+)\$[0-9]+"),"")</f>
        <v>#REF!</v>
      </c>
    </row>
    <row r="299" spans="2:9" x14ac:dyDescent="0.25">
      <c r="B299" t="str" cm="1">
        <f t="array" aca="1" ref="B299" ca="1">IF('Raw Data'!B301="",_xlfn.REGEXEXTRACT(CELL("address",'Raw Data'!B301),"\$([A-Z]+)\$[0-9]+"),"")</f>
        <v>$B$301</v>
      </c>
      <c r="C299" t="str" cm="1">
        <f t="array" aca="1" ref="C299" ca="1">IF('Raw Data'!C301="",_xlfn.REGEXEXTRACT(CELL("address",'Raw Data'!C301),"\$([A-Z]+)\$[0-9]+"),"")</f>
        <v>$C$301</v>
      </c>
      <c r="D299" t="str" cm="1">
        <f t="array" aca="1" ref="D299" ca="1">IF('Raw Data'!D301="",_xlfn.REGEXEXTRACT(CELL("address",'Raw Data'!D301),"\$([A-Z]+)\$[0-9]+"),"")</f>
        <v>$D$301</v>
      </c>
      <c r="E299" t="str" cm="1">
        <f t="array" aca="1" ref="E299" ca="1">IF('Raw Data'!E301="",_xlfn.REGEXEXTRACT(CELL("address",'Raw Data'!E301),"\$([A-Z]+)\$[0-9]+"),"")</f>
        <v>$E$301</v>
      </c>
      <c r="F299" t="str" cm="1">
        <f t="array" aca="1" ref="F299" ca="1">IF('Raw Data'!F301="",_xlfn.REGEXEXTRACT(CELL("address",'Raw Data'!F301),"\$([A-Z]+)\$[0-9]+"),"")</f>
        <v>$F$301</v>
      </c>
      <c r="G299" t="e" cm="1">
        <f t="array" aca="1" ref="G299" ca="1">IF('Raw Data'!#REF!="",_xlfn.REGEXEXTRACT(CELL("address",'Raw Data'!#REF!),"\$([A-Z]+)\$[0-9]+"),"")</f>
        <v>#REF!</v>
      </c>
      <c r="H299" t="str" cm="1">
        <f t="array" aca="1" ref="H299" ca="1">IF('Raw Data'!G301="",_xlfn.REGEXEXTRACT(CELL("address",'Raw Data'!G301),"\$([A-Z]+)\$[0-9]+"),"")</f>
        <v>$G$301</v>
      </c>
      <c r="I299" t="e" cm="1">
        <f t="array" aca="1" ref="I299" ca="1">IF('Raw Data'!#REF!="",_xlfn.REGEXEXTRACT(CELL("address",'Raw Data'!#REF!),"\$([A-Z]+)\$[0-9]+"),"")</f>
        <v>#REF!</v>
      </c>
    </row>
    <row r="300" spans="2:9" x14ac:dyDescent="0.25">
      <c r="B300" t="str" cm="1">
        <f t="array" aca="1" ref="B300" ca="1">IF('Raw Data'!B302="",_xlfn.REGEXEXTRACT(CELL("address",'Raw Data'!B302),"\$([A-Z]+)\$[0-9]+"),"")</f>
        <v>$B$302</v>
      </c>
      <c r="C300" t="str" cm="1">
        <f t="array" aca="1" ref="C300" ca="1">IF('Raw Data'!C302="",_xlfn.REGEXEXTRACT(CELL("address",'Raw Data'!C302),"\$([A-Z]+)\$[0-9]+"),"")</f>
        <v>$C$302</v>
      </c>
      <c r="D300" t="str" cm="1">
        <f t="array" aca="1" ref="D300" ca="1">IF('Raw Data'!D302="",_xlfn.REGEXEXTRACT(CELL("address",'Raw Data'!D302),"\$([A-Z]+)\$[0-9]+"),"")</f>
        <v>$D$302</v>
      </c>
      <c r="E300" t="str" cm="1">
        <f t="array" aca="1" ref="E300" ca="1">IF('Raw Data'!E302="",_xlfn.REGEXEXTRACT(CELL("address",'Raw Data'!E302),"\$([A-Z]+)\$[0-9]+"),"")</f>
        <v>$E$302</v>
      </c>
      <c r="F300" t="str" cm="1">
        <f t="array" aca="1" ref="F300" ca="1">IF('Raw Data'!F302="",_xlfn.REGEXEXTRACT(CELL("address",'Raw Data'!F302),"\$([A-Z]+)\$[0-9]+"),"")</f>
        <v>$F$302</v>
      </c>
      <c r="G300" t="e" cm="1">
        <f t="array" aca="1" ref="G300" ca="1">IF('Raw Data'!#REF!="",_xlfn.REGEXEXTRACT(CELL("address",'Raw Data'!#REF!),"\$([A-Z]+)\$[0-9]+"),"")</f>
        <v>#REF!</v>
      </c>
      <c r="H300" t="str" cm="1">
        <f t="array" aca="1" ref="H300" ca="1">IF('Raw Data'!G302="",_xlfn.REGEXEXTRACT(CELL("address",'Raw Data'!G302),"\$([A-Z]+)\$[0-9]+"),"")</f>
        <v>$G$302</v>
      </c>
      <c r="I300" t="e" cm="1">
        <f t="array" aca="1" ref="I300" ca="1">IF('Raw Data'!#REF!="",_xlfn.REGEXEXTRACT(CELL("address",'Raw Data'!#REF!),"\$([A-Z]+)\$[0-9]+"),"")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1c2f93-a2fb-4cf1-9521-08720b4e64d5" xsi:nil="true"/>
    <lcf76f155ced4ddcb4097134ff3c332f xmlns="82bfd1a8-954c-439e-a286-ef353ebc02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66182D-89AE-463C-8565-396A954D7E2C}">
  <ds:schemaRefs>
    <ds:schemaRef ds:uri="http://schemas.microsoft.com/office/2006/metadata/properties"/>
    <ds:schemaRef ds:uri="http://purl.org/dc/elements/1.1/"/>
    <ds:schemaRef ds:uri="7c50c559-fa5a-43f4-984b-5769aabd1a15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105f6f6b-27db-4f49-a63a-89e0dc0cf9c4"/>
    <ds:schemaRef ds:uri="http://schemas.microsoft.com/office/infopath/2007/PartnerControls"/>
    <ds:schemaRef ds:uri="http://www.w3.org/XML/1998/namespace"/>
    <ds:schemaRef ds:uri="http://purl.org/dc/dcmitype/"/>
    <ds:schemaRef ds:uri="5e1c2f93-a2fb-4cf1-9521-08720b4e64d5"/>
    <ds:schemaRef ds:uri="82bfd1a8-954c-439e-a286-ef353ebc026f"/>
  </ds:schemaRefs>
</ds:datastoreItem>
</file>

<file path=customXml/itemProps2.xml><?xml version="1.0" encoding="utf-8"?>
<ds:datastoreItem xmlns:ds="http://schemas.openxmlformats.org/officeDocument/2006/customXml" ds:itemID="{D77125EE-15F4-4940-BBAC-44CFE6EF2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fd1a8-954c-439e-a286-ef353ebc026f"/>
    <ds:schemaRef ds:uri="5e1c2f93-a2fb-4cf1-9521-08720b4e6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F4656-AEDD-4D18-821A-2E7F83C46C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Validate_Empty</vt:lpstr>
      <vt:lpstr>Validate_Value</vt:lpstr>
      <vt:lpstr>Validate_Condition</vt:lpstr>
      <vt:lpstr>Condition1</vt:lpstr>
      <vt:lpstr>Condition2</vt:lpstr>
      <vt:lpstr>Configuration</vt:lpstr>
      <vt:lpstr>Validate_Type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Ui_Robot1</cp:lastModifiedBy>
  <cp:revision/>
  <dcterms:created xsi:type="dcterms:W3CDTF">2025-11-11T03:53:36Z</dcterms:created>
  <dcterms:modified xsi:type="dcterms:W3CDTF">2026-03-10T05:23:11Z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