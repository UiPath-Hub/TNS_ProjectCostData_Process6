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23BE834C-E82E-487E-AE0B-10E72F4DA8E8}" xr6:coauthVersionLast="47" xr6:coauthVersionMax="47" xr10:uidLastSave="{00000000-0000-0000-0000-000000000000}"/>
  <bookViews>
    <workbookView xWindow="-120" yWindow="-120" windowWidth="29040" windowHeight="15720" tabRatio="681" activeTab="4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0" r:id="rId4"/>
    <sheet name="Condition" sheetId="11" r:id="rId5"/>
    <sheet name="Configuration" sheetId="9" r:id="rId6"/>
    <sheet name="Validate_Type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0" i="8" l="1" a="1"/>
  <c r="AA300" i="8" s="1"/>
  <c r="E11" i="8" a="1"/>
  <c r="E11" i="8" s="1"/>
  <c r="F11" i="8" a="1"/>
  <c r="F11" i="8" s="1"/>
  <c r="G11" i="8" a="1"/>
  <c r="G11" i="8" s="1"/>
  <c r="H11" i="8" a="1"/>
  <c r="H11" i="8" s="1"/>
  <c r="I11" i="8" a="1"/>
  <c r="I11" i="8" s="1"/>
  <c r="J11" i="8" a="1"/>
  <c r="J11" i="8" s="1"/>
  <c r="K11" i="8" a="1"/>
  <c r="K11" i="8" s="1"/>
  <c r="L11" i="8" a="1"/>
  <c r="L11" i="8" s="1"/>
  <c r="M11" i="8" a="1"/>
  <c r="M11" i="8" s="1"/>
  <c r="N11" i="8" a="1"/>
  <c r="N11" i="8" s="1"/>
  <c r="O11" i="8" a="1"/>
  <c r="O11" i="8" s="1"/>
  <c r="P11" i="8" a="1"/>
  <c r="P11" i="8" s="1"/>
  <c r="Q11" i="8" a="1"/>
  <c r="Q11" i="8" s="1"/>
  <c r="R11" i="8" a="1"/>
  <c r="R11" i="8" s="1"/>
  <c r="S11" i="8" a="1"/>
  <c r="S11" i="8" s="1"/>
  <c r="T11" i="8" a="1"/>
  <c r="T11" i="8" s="1"/>
  <c r="U11" i="8" a="1"/>
  <c r="U11" i="8" s="1"/>
  <c r="V11" i="8" a="1"/>
  <c r="V11" i="8" s="1"/>
  <c r="W11" i="8" a="1"/>
  <c r="W11" i="8" s="1"/>
  <c r="X11" i="8" a="1"/>
  <c r="X11" i="8" s="1"/>
  <c r="Y11" i="8" a="1"/>
  <c r="Y11" i="8" s="1"/>
  <c r="Z11" i="8" a="1"/>
  <c r="Z11" i="8" s="1"/>
  <c r="AA11" i="8" a="1"/>
  <c r="AA11" i="8" s="1"/>
  <c r="AB11" i="8" a="1"/>
  <c r="AB11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L12" i="8" a="1"/>
  <c r="L12" i="8" s="1"/>
  <c r="M12" i="8" a="1"/>
  <c r="M12" i="8" s="1"/>
  <c r="N12" i="8" a="1"/>
  <c r="N12" i="8" s="1"/>
  <c r="O12" i="8" a="1"/>
  <c r="O12" i="8" s="1"/>
  <c r="P12" i="8" a="1"/>
  <c r="P12" i="8" s="1"/>
  <c r="Q12" i="8" a="1"/>
  <c r="Q12" i="8" s="1"/>
  <c r="R12" i="8" a="1"/>
  <c r="R12" i="8" s="1"/>
  <c r="S12" i="8" a="1"/>
  <c r="S12" i="8" s="1"/>
  <c r="T12" i="8" a="1"/>
  <c r="T12" i="8" s="1"/>
  <c r="U12" i="8" a="1"/>
  <c r="U12" i="8" s="1"/>
  <c r="V12" i="8" a="1"/>
  <c r="V12" i="8" s="1"/>
  <c r="W12" i="8" a="1"/>
  <c r="W12" i="8" s="1"/>
  <c r="X12" i="8" a="1"/>
  <c r="X12" i="8" s="1"/>
  <c r="Y12" i="8" a="1"/>
  <c r="Y12" i="8" s="1"/>
  <c r="Z12" i="8" a="1"/>
  <c r="Z12" i="8" s="1"/>
  <c r="AA12" i="8" a="1"/>
  <c r="AA12" i="8" s="1"/>
  <c r="AB12" i="8" a="1"/>
  <c r="AB12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L13" i="8" a="1"/>
  <c r="L13" i="8" s="1"/>
  <c r="M13" i="8" a="1"/>
  <c r="M13" i="8" s="1"/>
  <c r="N13" i="8" a="1"/>
  <c r="N13" i="8" s="1"/>
  <c r="O13" i="8" a="1"/>
  <c r="O13" i="8" s="1"/>
  <c r="P13" i="8" a="1"/>
  <c r="P13" i="8" s="1"/>
  <c r="Q13" i="8" a="1"/>
  <c r="Q13" i="8" s="1"/>
  <c r="R13" i="8" a="1"/>
  <c r="R13" i="8" s="1"/>
  <c r="S13" i="8" a="1"/>
  <c r="S13" i="8" s="1"/>
  <c r="T13" i="8" a="1"/>
  <c r="T13" i="8" s="1"/>
  <c r="U13" i="8" a="1"/>
  <c r="U13" i="8" s="1"/>
  <c r="V13" i="8" a="1"/>
  <c r="V13" i="8" s="1"/>
  <c r="W13" i="8" a="1"/>
  <c r="W13" i="8" s="1"/>
  <c r="X13" i="8" a="1"/>
  <c r="X13" i="8" s="1"/>
  <c r="Y13" i="8" a="1"/>
  <c r="Y13" i="8" s="1"/>
  <c r="Z13" i="8" a="1"/>
  <c r="Z13" i="8" s="1"/>
  <c r="AA13" i="8" a="1"/>
  <c r="AA13" i="8" s="1"/>
  <c r="AB13" i="8" a="1"/>
  <c r="AB13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L14" i="8" a="1"/>
  <c r="L14" i="8" s="1"/>
  <c r="M14" i="8" a="1"/>
  <c r="M14" i="8" s="1"/>
  <c r="N14" i="8" a="1"/>
  <c r="N14" i="8" s="1"/>
  <c r="O14" i="8" a="1"/>
  <c r="O14" i="8" s="1"/>
  <c r="P14" i="8" a="1"/>
  <c r="P14" i="8" s="1"/>
  <c r="Q14" i="8" a="1"/>
  <c r="Q14" i="8" s="1"/>
  <c r="R14" i="8" a="1"/>
  <c r="R14" i="8" s="1"/>
  <c r="S14" i="8" a="1"/>
  <c r="S14" i="8" s="1"/>
  <c r="T14" i="8" a="1"/>
  <c r="T14" i="8" s="1"/>
  <c r="U14" i="8" a="1"/>
  <c r="U14" i="8" s="1"/>
  <c r="V14" i="8" a="1"/>
  <c r="V14" i="8" s="1"/>
  <c r="W14" i="8" a="1"/>
  <c r="W14" i="8" s="1"/>
  <c r="X14" i="8" a="1"/>
  <c r="X14" i="8" s="1"/>
  <c r="Y14" i="8" a="1"/>
  <c r="Y14" i="8" s="1"/>
  <c r="Z14" i="8" a="1"/>
  <c r="Z14" i="8" s="1"/>
  <c r="AA14" i="8" a="1"/>
  <c r="AA14" i="8" s="1"/>
  <c r="AB14" i="8" a="1"/>
  <c r="AB14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L15" i="8" a="1"/>
  <c r="L15" i="8" s="1"/>
  <c r="M15" i="8" a="1"/>
  <c r="M15" i="8" s="1"/>
  <c r="N15" i="8" a="1"/>
  <c r="N15" i="8" s="1"/>
  <c r="O15" i="8" a="1"/>
  <c r="O15" i="8" s="1"/>
  <c r="P15" i="8" a="1"/>
  <c r="P15" i="8" s="1"/>
  <c r="Q15" i="8" a="1"/>
  <c r="Q15" i="8" s="1"/>
  <c r="R15" i="8" a="1"/>
  <c r="R15" i="8" s="1"/>
  <c r="S15" i="8" a="1"/>
  <c r="S15" i="8" s="1"/>
  <c r="T15" i="8" a="1"/>
  <c r="T15" i="8" s="1"/>
  <c r="U15" i="8" a="1"/>
  <c r="U15" i="8" s="1"/>
  <c r="V15" i="8" a="1"/>
  <c r="V15" i="8" s="1"/>
  <c r="W15" i="8" a="1"/>
  <c r="W15" i="8" s="1"/>
  <c r="X15" i="8" a="1"/>
  <c r="X15" i="8" s="1"/>
  <c r="Y15" i="8" a="1"/>
  <c r="Y15" i="8" s="1"/>
  <c r="Z15" i="8" a="1"/>
  <c r="Z15" i="8" s="1"/>
  <c r="AA15" i="8" a="1"/>
  <c r="AA15" i="8" s="1"/>
  <c r="AB15" i="8" a="1"/>
  <c r="AB15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L16" i="8" a="1"/>
  <c r="L16" i="8" s="1"/>
  <c r="M16" i="8" a="1"/>
  <c r="M16" i="8" s="1"/>
  <c r="N16" i="8" a="1"/>
  <c r="N16" i="8" s="1"/>
  <c r="O16" i="8" a="1"/>
  <c r="O16" i="8" s="1"/>
  <c r="P16" i="8" a="1"/>
  <c r="P16" i="8" s="1"/>
  <c r="Q16" i="8" a="1"/>
  <c r="Q16" i="8" s="1"/>
  <c r="R16" i="8" a="1"/>
  <c r="R16" i="8" s="1"/>
  <c r="S16" i="8" a="1"/>
  <c r="S16" i="8" s="1"/>
  <c r="T16" i="8" a="1"/>
  <c r="T16" i="8" s="1"/>
  <c r="U16" i="8" a="1"/>
  <c r="U16" i="8" s="1"/>
  <c r="V16" i="8" a="1"/>
  <c r="V16" i="8" s="1"/>
  <c r="W16" i="8" a="1"/>
  <c r="W16" i="8" s="1"/>
  <c r="X16" i="8" a="1"/>
  <c r="X16" i="8" s="1"/>
  <c r="Y16" i="8" a="1"/>
  <c r="Y16" i="8" s="1"/>
  <c r="Z16" i="8" a="1"/>
  <c r="Z16" i="8" s="1"/>
  <c r="AA16" i="8" a="1"/>
  <c r="AA16" i="8" s="1"/>
  <c r="AB16" i="8" a="1"/>
  <c r="AB16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L17" i="8" a="1"/>
  <c r="L17" i="8" s="1"/>
  <c r="M17" i="8" a="1"/>
  <c r="M17" i="8" s="1"/>
  <c r="N17" i="8" a="1"/>
  <c r="N17" i="8" s="1"/>
  <c r="O17" i="8" a="1"/>
  <c r="O17" i="8" s="1"/>
  <c r="P17" i="8" a="1"/>
  <c r="P17" i="8" s="1"/>
  <c r="Q17" i="8" a="1"/>
  <c r="Q17" i="8" s="1"/>
  <c r="R17" i="8" a="1"/>
  <c r="R17" i="8" s="1"/>
  <c r="S17" i="8" a="1"/>
  <c r="S17" i="8" s="1"/>
  <c r="T17" i="8" a="1"/>
  <c r="T17" i="8" s="1"/>
  <c r="U17" i="8" a="1"/>
  <c r="U17" i="8" s="1"/>
  <c r="V17" i="8" a="1"/>
  <c r="V17" i="8" s="1"/>
  <c r="W17" i="8" a="1"/>
  <c r="W17" i="8" s="1"/>
  <c r="X17" i="8" a="1"/>
  <c r="X17" i="8" s="1"/>
  <c r="Y17" i="8" a="1"/>
  <c r="Y17" i="8" s="1"/>
  <c r="Z17" i="8" a="1"/>
  <c r="Z17" i="8" s="1"/>
  <c r="AA17" i="8" a="1"/>
  <c r="AA17" i="8" s="1"/>
  <c r="AB17" i="8" a="1"/>
  <c r="AB17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R18" i="8" a="1"/>
  <c r="R18" i="8" s="1"/>
  <c r="S18" i="8" a="1"/>
  <c r="S18" i="8" s="1"/>
  <c r="T18" i="8" a="1"/>
  <c r="T18" i="8" s="1"/>
  <c r="U18" i="8" a="1"/>
  <c r="U18" i="8" s="1"/>
  <c r="V18" i="8" a="1"/>
  <c r="V18" i="8" s="1"/>
  <c r="W18" i="8" a="1"/>
  <c r="W18" i="8" s="1"/>
  <c r="X18" i="8" a="1"/>
  <c r="X18" i="8" s="1"/>
  <c r="Y18" i="8" a="1"/>
  <c r="Y18" i="8" s="1"/>
  <c r="Z18" i="8" a="1"/>
  <c r="Z18" i="8" s="1"/>
  <c r="AA18" i="8" a="1"/>
  <c r="AA18" i="8" s="1"/>
  <c r="AB18" i="8" a="1"/>
  <c r="AB18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M19" i="8" a="1"/>
  <c r="M19" i="8" s="1"/>
  <c r="N19" i="8" a="1"/>
  <c r="N19" i="8" s="1"/>
  <c r="O19" i="8" a="1"/>
  <c r="O19" i="8" s="1"/>
  <c r="P19" i="8" a="1"/>
  <c r="P19" i="8" s="1"/>
  <c r="Q19" i="8" a="1"/>
  <c r="Q19" i="8" s="1"/>
  <c r="R19" i="8" a="1"/>
  <c r="R19" i="8" s="1"/>
  <c r="S19" i="8" a="1"/>
  <c r="S19" i="8" s="1"/>
  <c r="T19" i="8" a="1"/>
  <c r="T19" i="8" s="1"/>
  <c r="U19" i="8" a="1"/>
  <c r="U19" i="8" s="1"/>
  <c r="V19" i="8" a="1"/>
  <c r="V19" i="8" s="1"/>
  <c r="W19" i="8" a="1"/>
  <c r="W19" i="8" s="1"/>
  <c r="X19" i="8" a="1"/>
  <c r="X19" i="8" s="1"/>
  <c r="Y19" i="8" a="1"/>
  <c r="Y19" i="8" s="1"/>
  <c r="Z19" i="8" a="1"/>
  <c r="Z19" i="8" s="1"/>
  <c r="AA19" i="8" a="1"/>
  <c r="AA19" i="8" s="1"/>
  <c r="AB19" i="8" a="1"/>
  <c r="AB19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Q20" i="8" a="1"/>
  <c r="Q20" i="8" s="1"/>
  <c r="R20" i="8" a="1"/>
  <c r="R20" i="8" s="1"/>
  <c r="S20" i="8" a="1"/>
  <c r="S20" i="8" s="1"/>
  <c r="T20" i="8" a="1"/>
  <c r="T20" i="8" s="1"/>
  <c r="U20" i="8" a="1"/>
  <c r="U20" i="8" s="1"/>
  <c r="V20" i="8" a="1"/>
  <c r="V20" i="8" s="1"/>
  <c r="W20" i="8" a="1"/>
  <c r="W20" i="8" s="1"/>
  <c r="X20" i="8" a="1"/>
  <c r="X20" i="8" s="1"/>
  <c r="Y20" i="8" a="1"/>
  <c r="Y20" i="8" s="1"/>
  <c r="Z20" i="8" a="1"/>
  <c r="Z20" i="8" s="1"/>
  <c r="AA20" i="8" a="1"/>
  <c r="AA20" i="8" s="1"/>
  <c r="AB20" i="8" a="1"/>
  <c r="AB20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Q21" i="8" a="1"/>
  <c r="Q21" i="8" s="1"/>
  <c r="R21" i="8" a="1"/>
  <c r="R21" i="8" s="1"/>
  <c r="S21" i="8" a="1"/>
  <c r="S21" i="8" s="1"/>
  <c r="T21" i="8" a="1"/>
  <c r="T21" i="8" s="1"/>
  <c r="U21" i="8" a="1"/>
  <c r="U21" i="8" s="1"/>
  <c r="V21" i="8" a="1"/>
  <c r="V21" i="8" s="1"/>
  <c r="W21" i="8" a="1"/>
  <c r="W21" i="8" s="1"/>
  <c r="X21" i="8" a="1"/>
  <c r="X21" i="8" s="1"/>
  <c r="Y21" i="8" a="1"/>
  <c r="Y21" i="8" s="1"/>
  <c r="Z21" i="8" a="1"/>
  <c r="Z21" i="8" s="1"/>
  <c r="AA21" i="8" a="1"/>
  <c r="AA21" i="8" s="1"/>
  <c r="AB21" i="8" a="1"/>
  <c r="AB21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K22" i="8" a="1"/>
  <c r="K22" i="8" s="1"/>
  <c r="L22" i="8" a="1"/>
  <c r="L22" i="8" s="1"/>
  <c r="M22" i="8" a="1"/>
  <c r="M22" i="8" s="1"/>
  <c r="N22" i="8" a="1"/>
  <c r="N22" i="8" s="1"/>
  <c r="O22" i="8" a="1"/>
  <c r="O22" i="8" s="1"/>
  <c r="P22" i="8" a="1"/>
  <c r="P22" i="8" s="1"/>
  <c r="Q22" i="8" a="1"/>
  <c r="Q22" i="8" s="1"/>
  <c r="R22" i="8" a="1"/>
  <c r="R22" i="8" s="1"/>
  <c r="S22" i="8" a="1"/>
  <c r="S22" i="8" s="1"/>
  <c r="T22" i="8" a="1"/>
  <c r="T22" i="8" s="1"/>
  <c r="U22" i="8" a="1"/>
  <c r="U22" i="8" s="1"/>
  <c r="V22" i="8" a="1"/>
  <c r="V22" i="8" s="1"/>
  <c r="W22" i="8" a="1"/>
  <c r="W22" i="8" s="1"/>
  <c r="X22" i="8" a="1"/>
  <c r="X22" i="8" s="1"/>
  <c r="Y22" i="8" a="1"/>
  <c r="Y22" i="8" s="1"/>
  <c r="Z22" i="8" a="1"/>
  <c r="Z22" i="8" s="1"/>
  <c r="AA22" i="8" a="1"/>
  <c r="AA22" i="8" s="1"/>
  <c r="AB22" i="8" a="1"/>
  <c r="AB22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L23" i="8" a="1"/>
  <c r="L23" i="8" s="1"/>
  <c r="M23" i="8" a="1"/>
  <c r="M23" i="8" s="1"/>
  <c r="N23" i="8" a="1"/>
  <c r="N23" i="8" s="1"/>
  <c r="O23" i="8" a="1"/>
  <c r="O23" i="8" s="1"/>
  <c r="P23" i="8" a="1"/>
  <c r="P23" i="8" s="1"/>
  <c r="Q23" i="8" a="1"/>
  <c r="Q23" i="8" s="1"/>
  <c r="R23" i="8" a="1"/>
  <c r="R23" i="8" s="1"/>
  <c r="S23" i="8" a="1"/>
  <c r="S23" i="8" s="1"/>
  <c r="T23" i="8" a="1"/>
  <c r="T23" i="8" s="1"/>
  <c r="U23" i="8" a="1"/>
  <c r="U23" i="8" s="1"/>
  <c r="V23" i="8" a="1"/>
  <c r="V23" i="8" s="1"/>
  <c r="W23" i="8" a="1"/>
  <c r="W23" i="8" s="1"/>
  <c r="X23" i="8" a="1"/>
  <c r="X23" i="8" s="1"/>
  <c r="Y23" i="8" a="1"/>
  <c r="Y23" i="8" s="1"/>
  <c r="Z23" i="8" a="1"/>
  <c r="Z23" i="8" s="1"/>
  <c r="AA23" i="8" a="1"/>
  <c r="AA23" i="8" s="1"/>
  <c r="AB23" i="8" a="1"/>
  <c r="AB23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K24" i="8" a="1"/>
  <c r="K24" i="8" s="1"/>
  <c r="L24" i="8" a="1"/>
  <c r="L24" i="8" s="1"/>
  <c r="M24" i="8" a="1"/>
  <c r="M24" i="8" s="1"/>
  <c r="N24" i="8" a="1"/>
  <c r="N24" i="8" s="1"/>
  <c r="O24" i="8" a="1"/>
  <c r="O24" i="8" s="1"/>
  <c r="P24" i="8" a="1"/>
  <c r="P24" i="8" s="1"/>
  <c r="Q24" i="8" a="1"/>
  <c r="Q24" i="8" s="1"/>
  <c r="R24" i="8" a="1"/>
  <c r="R24" i="8" s="1"/>
  <c r="S24" i="8" a="1"/>
  <c r="S24" i="8" s="1"/>
  <c r="T24" i="8" a="1"/>
  <c r="T24" i="8" s="1"/>
  <c r="U24" i="8" a="1"/>
  <c r="U24" i="8" s="1"/>
  <c r="V24" i="8" a="1"/>
  <c r="V24" i="8" s="1"/>
  <c r="W24" i="8" a="1"/>
  <c r="W24" i="8" s="1"/>
  <c r="X24" i="8" a="1"/>
  <c r="X24" i="8" s="1"/>
  <c r="Y24" i="8" a="1"/>
  <c r="Y24" i="8" s="1"/>
  <c r="Z24" i="8" a="1"/>
  <c r="Z24" i="8" s="1"/>
  <c r="AA24" i="8" a="1"/>
  <c r="AA24" i="8" s="1"/>
  <c r="AB24" i="8" a="1"/>
  <c r="AB24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K25" i="8" a="1"/>
  <c r="K25" i="8" s="1"/>
  <c r="L25" i="8" a="1"/>
  <c r="L25" i="8" s="1"/>
  <c r="M25" i="8" a="1"/>
  <c r="M25" i="8" s="1"/>
  <c r="N25" i="8" a="1"/>
  <c r="N25" i="8" s="1"/>
  <c r="O25" i="8" a="1"/>
  <c r="O25" i="8" s="1"/>
  <c r="P25" i="8" a="1"/>
  <c r="P25" i="8" s="1"/>
  <c r="Q25" i="8" a="1"/>
  <c r="Q25" i="8" s="1"/>
  <c r="R25" i="8" a="1"/>
  <c r="R25" i="8" s="1"/>
  <c r="S25" i="8" a="1"/>
  <c r="S25" i="8" s="1"/>
  <c r="T25" i="8" a="1"/>
  <c r="T25" i="8" s="1"/>
  <c r="U25" i="8" a="1"/>
  <c r="U25" i="8" s="1"/>
  <c r="V25" i="8" a="1"/>
  <c r="V25" i="8" s="1"/>
  <c r="W25" i="8" a="1"/>
  <c r="W25" i="8" s="1"/>
  <c r="X25" i="8" a="1"/>
  <c r="X25" i="8" s="1"/>
  <c r="Y25" i="8" a="1"/>
  <c r="Y25" i="8" s="1"/>
  <c r="Z25" i="8" a="1"/>
  <c r="Z25" i="8" s="1"/>
  <c r="AA25" i="8" a="1"/>
  <c r="AA25" i="8" s="1"/>
  <c r="AB25" i="8" a="1"/>
  <c r="AB25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L26" i="8" a="1"/>
  <c r="L26" i="8" s="1"/>
  <c r="M26" i="8" a="1"/>
  <c r="M26" i="8" s="1"/>
  <c r="N26" i="8" a="1"/>
  <c r="N26" i="8" s="1"/>
  <c r="O26" i="8" a="1"/>
  <c r="O26" i="8" s="1"/>
  <c r="P26" i="8" a="1"/>
  <c r="P26" i="8" s="1"/>
  <c r="Q26" i="8" a="1"/>
  <c r="Q26" i="8" s="1"/>
  <c r="R26" i="8" a="1"/>
  <c r="R26" i="8" s="1"/>
  <c r="S26" i="8" a="1"/>
  <c r="S26" i="8" s="1"/>
  <c r="T26" i="8" a="1"/>
  <c r="T26" i="8" s="1"/>
  <c r="U26" i="8" a="1"/>
  <c r="U26" i="8" s="1"/>
  <c r="V26" i="8" a="1"/>
  <c r="V26" i="8" s="1"/>
  <c r="W26" i="8" a="1"/>
  <c r="W26" i="8" s="1"/>
  <c r="X26" i="8" a="1"/>
  <c r="X26" i="8" s="1"/>
  <c r="Y26" i="8" a="1"/>
  <c r="Y26" i="8" s="1"/>
  <c r="Z26" i="8" a="1"/>
  <c r="Z26" i="8" s="1"/>
  <c r="AA26" i="8" a="1"/>
  <c r="AA26" i="8" s="1"/>
  <c r="AB26" i="8" a="1"/>
  <c r="AB26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L27" i="8" a="1"/>
  <c r="L27" i="8" s="1"/>
  <c r="M27" i="8" a="1"/>
  <c r="M27" i="8" s="1"/>
  <c r="N27" i="8" a="1"/>
  <c r="N27" i="8" s="1"/>
  <c r="O27" i="8" a="1"/>
  <c r="O27" i="8" s="1"/>
  <c r="P27" i="8" a="1"/>
  <c r="P27" i="8" s="1"/>
  <c r="Q27" i="8" a="1"/>
  <c r="Q27" i="8" s="1"/>
  <c r="R27" i="8" a="1"/>
  <c r="R27" i="8" s="1"/>
  <c r="S27" i="8" a="1"/>
  <c r="S27" i="8" s="1"/>
  <c r="T27" i="8" a="1"/>
  <c r="T27" i="8" s="1"/>
  <c r="U27" i="8" a="1"/>
  <c r="U27" i="8" s="1"/>
  <c r="V27" i="8" a="1"/>
  <c r="V27" i="8" s="1"/>
  <c r="W27" i="8" a="1"/>
  <c r="W27" i="8" s="1"/>
  <c r="X27" i="8" a="1"/>
  <c r="X27" i="8" s="1"/>
  <c r="Y27" i="8" a="1"/>
  <c r="Y27" i="8" s="1"/>
  <c r="Z27" i="8" a="1"/>
  <c r="Z27" i="8" s="1"/>
  <c r="AA27" i="8" a="1"/>
  <c r="AA27" i="8" s="1"/>
  <c r="AB27" i="8" a="1"/>
  <c r="AB27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L28" i="8" a="1"/>
  <c r="L28" i="8" s="1"/>
  <c r="M28" i="8" a="1"/>
  <c r="M28" i="8" s="1"/>
  <c r="N28" i="8" a="1"/>
  <c r="N28" i="8" s="1"/>
  <c r="O28" i="8" a="1"/>
  <c r="O28" i="8" s="1"/>
  <c r="P28" i="8" a="1"/>
  <c r="P28" i="8" s="1"/>
  <c r="Q28" i="8" a="1"/>
  <c r="Q28" i="8" s="1"/>
  <c r="R28" i="8" a="1"/>
  <c r="R28" i="8" s="1"/>
  <c r="S28" i="8" a="1"/>
  <c r="S28" i="8" s="1"/>
  <c r="T28" i="8" a="1"/>
  <c r="T28" i="8" s="1"/>
  <c r="U28" i="8" a="1"/>
  <c r="U28" i="8" s="1"/>
  <c r="V28" i="8" a="1"/>
  <c r="V28" i="8" s="1"/>
  <c r="W28" i="8" a="1"/>
  <c r="W28" i="8" s="1"/>
  <c r="X28" i="8" a="1"/>
  <c r="X28" i="8" s="1"/>
  <c r="Y28" i="8" a="1"/>
  <c r="Y28" i="8" s="1"/>
  <c r="Z28" i="8" a="1"/>
  <c r="Z28" i="8" s="1"/>
  <c r="AA28" i="8" a="1"/>
  <c r="AA28" i="8" s="1"/>
  <c r="AB28" i="8" a="1"/>
  <c r="AB28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L29" i="8" a="1"/>
  <c r="L29" i="8" s="1"/>
  <c r="M29" i="8" a="1"/>
  <c r="M29" i="8" s="1"/>
  <c r="N29" i="8" a="1"/>
  <c r="N29" i="8" s="1"/>
  <c r="O29" i="8" a="1"/>
  <c r="O29" i="8" s="1"/>
  <c r="P29" i="8" a="1"/>
  <c r="P29" i="8" s="1"/>
  <c r="Q29" i="8" a="1"/>
  <c r="Q29" i="8" s="1"/>
  <c r="R29" i="8" a="1"/>
  <c r="R29" i="8" s="1"/>
  <c r="S29" i="8" a="1"/>
  <c r="S29" i="8" s="1"/>
  <c r="T29" i="8" a="1"/>
  <c r="T29" i="8" s="1"/>
  <c r="U29" i="8" a="1"/>
  <c r="U29" i="8" s="1"/>
  <c r="V29" i="8" a="1"/>
  <c r="V29" i="8" s="1"/>
  <c r="W29" i="8" a="1"/>
  <c r="W29" i="8" s="1"/>
  <c r="X29" i="8" a="1"/>
  <c r="X29" i="8" s="1"/>
  <c r="Y29" i="8" a="1"/>
  <c r="Y29" i="8" s="1"/>
  <c r="Z29" i="8" a="1"/>
  <c r="Z29" i="8" s="1"/>
  <c r="AA29" i="8" a="1"/>
  <c r="AA29" i="8" s="1"/>
  <c r="AB29" i="8" a="1"/>
  <c r="AB29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K30" i="8" a="1"/>
  <c r="K30" i="8" s="1"/>
  <c r="L30" i="8" a="1"/>
  <c r="L30" i="8" s="1"/>
  <c r="M30" i="8" a="1"/>
  <c r="M30" i="8" s="1"/>
  <c r="N30" i="8" a="1"/>
  <c r="N30" i="8" s="1"/>
  <c r="O30" i="8" a="1"/>
  <c r="O30" i="8" s="1"/>
  <c r="P30" i="8" a="1"/>
  <c r="P30" i="8" s="1"/>
  <c r="Q30" i="8" a="1"/>
  <c r="Q30" i="8" s="1"/>
  <c r="R30" i="8" a="1"/>
  <c r="R30" i="8" s="1"/>
  <c r="S30" i="8" a="1"/>
  <c r="S30" i="8" s="1"/>
  <c r="T30" i="8" a="1"/>
  <c r="T30" i="8" s="1"/>
  <c r="U30" i="8" a="1"/>
  <c r="U30" i="8" s="1"/>
  <c r="V30" i="8" a="1"/>
  <c r="V30" i="8" s="1"/>
  <c r="W30" i="8" a="1"/>
  <c r="W30" i="8" s="1"/>
  <c r="X30" i="8" a="1"/>
  <c r="X30" i="8" s="1"/>
  <c r="Y30" i="8" a="1"/>
  <c r="Y30" i="8" s="1"/>
  <c r="Z30" i="8" a="1"/>
  <c r="Z30" i="8" s="1"/>
  <c r="AA30" i="8" a="1"/>
  <c r="AA30" i="8" s="1"/>
  <c r="AB30" i="8" a="1"/>
  <c r="AB30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L31" i="8" a="1"/>
  <c r="L31" i="8" s="1"/>
  <c r="M31" i="8" a="1"/>
  <c r="M31" i="8" s="1"/>
  <c r="N31" i="8" a="1"/>
  <c r="N31" i="8" s="1"/>
  <c r="O31" i="8" a="1"/>
  <c r="O31" i="8" s="1"/>
  <c r="P31" i="8" a="1"/>
  <c r="P31" i="8" s="1"/>
  <c r="Q31" i="8" a="1"/>
  <c r="Q31" i="8" s="1"/>
  <c r="R31" i="8" a="1"/>
  <c r="R31" i="8" s="1"/>
  <c r="S31" i="8" a="1"/>
  <c r="S31" i="8" s="1"/>
  <c r="T31" i="8" a="1"/>
  <c r="T31" i="8" s="1"/>
  <c r="U31" i="8" a="1"/>
  <c r="U31" i="8" s="1"/>
  <c r="V31" i="8" a="1"/>
  <c r="V31" i="8" s="1"/>
  <c r="W31" i="8" a="1"/>
  <c r="W31" i="8" s="1"/>
  <c r="X31" i="8" a="1"/>
  <c r="X31" i="8" s="1"/>
  <c r="Y31" i="8" a="1"/>
  <c r="Y31" i="8" s="1"/>
  <c r="Z31" i="8" a="1"/>
  <c r="Z31" i="8" s="1"/>
  <c r="AA31" i="8" a="1"/>
  <c r="AA31" i="8" s="1"/>
  <c r="AB31" i="8" a="1"/>
  <c r="AB31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L32" i="8" a="1"/>
  <c r="L32" i="8" s="1"/>
  <c r="M32" i="8" a="1"/>
  <c r="M32" i="8" s="1"/>
  <c r="N32" i="8" a="1"/>
  <c r="N32" i="8" s="1"/>
  <c r="O32" i="8" a="1"/>
  <c r="O32" i="8" s="1"/>
  <c r="P32" i="8" a="1"/>
  <c r="P32" i="8" s="1"/>
  <c r="Q32" i="8" a="1"/>
  <c r="Q32" i="8" s="1"/>
  <c r="R32" i="8" a="1"/>
  <c r="R32" i="8" s="1"/>
  <c r="S32" i="8" a="1"/>
  <c r="S32" i="8" s="1"/>
  <c r="T32" i="8" a="1"/>
  <c r="T32" i="8" s="1"/>
  <c r="U32" i="8" a="1"/>
  <c r="U32" i="8" s="1"/>
  <c r="V32" i="8" a="1"/>
  <c r="V32" i="8" s="1"/>
  <c r="W32" i="8" a="1"/>
  <c r="W32" i="8" s="1"/>
  <c r="X32" i="8" a="1"/>
  <c r="X32" i="8" s="1"/>
  <c r="Y32" i="8" a="1"/>
  <c r="Y32" i="8" s="1"/>
  <c r="Z32" i="8" a="1"/>
  <c r="Z32" i="8" s="1"/>
  <c r="AA32" i="8" a="1"/>
  <c r="AA32" i="8" s="1"/>
  <c r="AB32" i="8" a="1"/>
  <c r="AB32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L33" i="8" a="1"/>
  <c r="L33" i="8" s="1"/>
  <c r="M33" i="8" a="1"/>
  <c r="M33" i="8" s="1"/>
  <c r="N33" i="8" a="1"/>
  <c r="N33" i="8" s="1"/>
  <c r="O33" i="8" a="1"/>
  <c r="O33" i="8" s="1"/>
  <c r="P33" i="8" a="1"/>
  <c r="P33" i="8" s="1"/>
  <c r="Q33" i="8" a="1"/>
  <c r="Q33" i="8" s="1"/>
  <c r="R33" i="8" a="1"/>
  <c r="R33" i="8" s="1"/>
  <c r="S33" i="8" a="1"/>
  <c r="S33" i="8" s="1"/>
  <c r="T33" i="8" a="1"/>
  <c r="T33" i="8" s="1"/>
  <c r="U33" i="8" a="1"/>
  <c r="U33" i="8" s="1"/>
  <c r="V33" i="8" a="1"/>
  <c r="V33" i="8" s="1"/>
  <c r="W33" i="8" a="1"/>
  <c r="W33" i="8" s="1"/>
  <c r="X33" i="8" a="1"/>
  <c r="X33" i="8" s="1"/>
  <c r="Y33" i="8" a="1"/>
  <c r="Y33" i="8" s="1"/>
  <c r="Z33" i="8" a="1"/>
  <c r="Z33" i="8" s="1"/>
  <c r="AA33" i="8" a="1"/>
  <c r="AA33" i="8" s="1"/>
  <c r="AB33" i="8" a="1"/>
  <c r="AB33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L34" i="8" a="1"/>
  <c r="L34" i="8" s="1"/>
  <c r="M34" i="8" a="1"/>
  <c r="M34" i="8" s="1"/>
  <c r="N34" i="8" a="1"/>
  <c r="N34" i="8" s="1"/>
  <c r="O34" i="8" a="1"/>
  <c r="O34" i="8" s="1"/>
  <c r="P34" i="8" a="1"/>
  <c r="P34" i="8" s="1"/>
  <c r="Q34" i="8" a="1"/>
  <c r="Q34" i="8" s="1"/>
  <c r="R34" i="8" a="1"/>
  <c r="R34" i="8" s="1"/>
  <c r="S34" i="8" a="1"/>
  <c r="S34" i="8" s="1"/>
  <c r="T34" i="8" a="1"/>
  <c r="T34" i="8" s="1"/>
  <c r="U34" i="8" a="1"/>
  <c r="U34" i="8" s="1"/>
  <c r="V34" i="8" a="1"/>
  <c r="V34" i="8" s="1"/>
  <c r="W34" i="8" a="1"/>
  <c r="W34" i="8" s="1"/>
  <c r="X34" i="8" a="1"/>
  <c r="X34" i="8" s="1"/>
  <c r="Y34" i="8" a="1"/>
  <c r="Y34" i="8" s="1"/>
  <c r="Z34" i="8" a="1"/>
  <c r="Z34" i="8" s="1"/>
  <c r="AA34" i="8" a="1"/>
  <c r="AA34" i="8" s="1"/>
  <c r="AB34" i="8" a="1"/>
  <c r="AB34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L35" i="8" a="1"/>
  <c r="L35" i="8" s="1"/>
  <c r="M35" i="8" a="1"/>
  <c r="M35" i="8" s="1"/>
  <c r="N35" i="8" a="1"/>
  <c r="N35" i="8" s="1"/>
  <c r="O35" i="8" a="1"/>
  <c r="O35" i="8" s="1"/>
  <c r="P35" i="8" a="1"/>
  <c r="P35" i="8" s="1"/>
  <c r="Q35" i="8" a="1"/>
  <c r="Q35" i="8" s="1"/>
  <c r="R35" i="8" a="1"/>
  <c r="R35" i="8" s="1"/>
  <c r="S35" i="8" a="1"/>
  <c r="S35" i="8" s="1"/>
  <c r="T35" i="8" a="1"/>
  <c r="T35" i="8" s="1"/>
  <c r="U35" i="8" a="1"/>
  <c r="U35" i="8" s="1"/>
  <c r="V35" i="8" a="1"/>
  <c r="V35" i="8" s="1"/>
  <c r="W35" i="8" a="1"/>
  <c r="W35" i="8" s="1"/>
  <c r="X35" i="8" a="1"/>
  <c r="X35" i="8" s="1"/>
  <c r="Y35" i="8" a="1"/>
  <c r="Y35" i="8" s="1"/>
  <c r="Z35" i="8" a="1"/>
  <c r="Z35" i="8" s="1"/>
  <c r="AA35" i="8" a="1"/>
  <c r="AA35" i="8" s="1"/>
  <c r="AB35" i="8" a="1"/>
  <c r="AB35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L36" i="8" a="1"/>
  <c r="L36" i="8" s="1"/>
  <c r="M36" i="8" a="1"/>
  <c r="M36" i="8" s="1"/>
  <c r="N36" i="8" a="1"/>
  <c r="N36" i="8" s="1"/>
  <c r="O36" i="8" a="1"/>
  <c r="O36" i="8" s="1"/>
  <c r="P36" i="8" a="1"/>
  <c r="P36" i="8" s="1"/>
  <c r="Q36" i="8" a="1"/>
  <c r="Q36" i="8" s="1"/>
  <c r="R36" i="8" a="1"/>
  <c r="R36" i="8" s="1"/>
  <c r="S36" i="8" a="1"/>
  <c r="S36" i="8" s="1"/>
  <c r="T36" i="8" a="1"/>
  <c r="T36" i="8" s="1"/>
  <c r="U36" i="8" a="1"/>
  <c r="U36" i="8" s="1"/>
  <c r="V36" i="8" a="1"/>
  <c r="V36" i="8" s="1"/>
  <c r="W36" i="8" a="1"/>
  <c r="W36" i="8" s="1"/>
  <c r="X36" i="8" a="1"/>
  <c r="X36" i="8" s="1"/>
  <c r="Y36" i="8" a="1"/>
  <c r="Y36" i="8" s="1"/>
  <c r="Z36" i="8" a="1"/>
  <c r="Z36" i="8" s="1"/>
  <c r="AA36" i="8" a="1"/>
  <c r="AA36" i="8" s="1"/>
  <c r="AB36" i="8" a="1"/>
  <c r="AB36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L37" i="8" a="1"/>
  <c r="L37" i="8" s="1"/>
  <c r="M37" i="8" a="1"/>
  <c r="M37" i="8" s="1"/>
  <c r="N37" i="8" a="1"/>
  <c r="N37" i="8" s="1"/>
  <c r="O37" i="8" a="1"/>
  <c r="O37" i="8" s="1"/>
  <c r="P37" i="8" a="1"/>
  <c r="P37" i="8" s="1"/>
  <c r="Q37" i="8" a="1"/>
  <c r="Q37" i="8" s="1"/>
  <c r="R37" i="8" a="1"/>
  <c r="R37" i="8" s="1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X37" i="8" a="1"/>
  <c r="X37" i="8" s="1"/>
  <c r="Y37" i="8" a="1"/>
  <c r="Y37" i="8" s="1"/>
  <c r="Z37" i="8" a="1"/>
  <c r="Z37" i="8" s="1"/>
  <c r="AA37" i="8" a="1"/>
  <c r="AA37" i="8" s="1"/>
  <c r="AB37" i="8" a="1"/>
  <c r="AB37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L38" i="8" a="1"/>
  <c r="L38" i="8" s="1"/>
  <c r="M38" i="8" a="1"/>
  <c r="M38" i="8" s="1"/>
  <c r="N38" i="8" a="1"/>
  <c r="N38" i="8" s="1"/>
  <c r="O38" i="8" a="1"/>
  <c r="O38" i="8" s="1"/>
  <c r="P38" i="8" a="1"/>
  <c r="P38" i="8" s="1"/>
  <c r="Q38" i="8" a="1"/>
  <c r="Q38" i="8" s="1"/>
  <c r="R38" i="8" a="1"/>
  <c r="R38" i="8" s="1"/>
  <c r="S38" i="8" a="1"/>
  <c r="S38" i="8" s="1"/>
  <c r="T38" i="8" a="1"/>
  <c r="T38" i="8" s="1"/>
  <c r="U38" i="8" a="1"/>
  <c r="U38" i="8" s="1"/>
  <c r="V38" i="8" a="1"/>
  <c r="V38" i="8" s="1"/>
  <c r="W38" i="8" a="1"/>
  <c r="W38" i="8" s="1"/>
  <c r="X38" i="8" a="1"/>
  <c r="X38" i="8" s="1"/>
  <c r="Y38" i="8" a="1"/>
  <c r="Y38" i="8" s="1"/>
  <c r="Z38" i="8" a="1"/>
  <c r="Z38" i="8" s="1"/>
  <c r="AA38" i="8" a="1"/>
  <c r="AA38" i="8" s="1"/>
  <c r="AB38" i="8" a="1"/>
  <c r="AB38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L39" i="8" a="1"/>
  <c r="L39" i="8" s="1"/>
  <c r="M39" i="8" a="1"/>
  <c r="M39" i="8" s="1"/>
  <c r="N39" i="8" a="1"/>
  <c r="N39" i="8" s="1"/>
  <c r="O39" i="8" a="1"/>
  <c r="O39" i="8" s="1"/>
  <c r="P39" i="8" a="1"/>
  <c r="P39" i="8" s="1"/>
  <c r="Q39" i="8" a="1"/>
  <c r="Q39" i="8" s="1"/>
  <c r="R39" i="8" a="1"/>
  <c r="R39" i="8" s="1"/>
  <c r="S39" i="8" a="1"/>
  <c r="S39" i="8" s="1"/>
  <c r="T39" i="8" a="1"/>
  <c r="T39" i="8" s="1"/>
  <c r="U39" i="8" a="1"/>
  <c r="U39" i="8" s="1"/>
  <c r="V39" i="8" a="1"/>
  <c r="V39" i="8" s="1"/>
  <c r="W39" i="8" a="1"/>
  <c r="W39" i="8" s="1"/>
  <c r="X39" i="8" a="1"/>
  <c r="X39" i="8" s="1"/>
  <c r="Y39" i="8" a="1"/>
  <c r="Y39" i="8" s="1"/>
  <c r="Z39" i="8" a="1"/>
  <c r="Z39" i="8" s="1"/>
  <c r="AA39" i="8" a="1"/>
  <c r="AA39" i="8" s="1"/>
  <c r="AB39" i="8" a="1"/>
  <c r="AB39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L40" i="8" a="1"/>
  <c r="L40" i="8" s="1"/>
  <c r="M40" i="8" a="1"/>
  <c r="M40" i="8" s="1"/>
  <c r="N40" i="8" a="1"/>
  <c r="N40" i="8" s="1"/>
  <c r="O40" i="8" a="1"/>
  <c r="O40" i="8" s="1"/>
  <c r="P40" i="8" a="1"/>
  <c r="P40" i="8" s="1"/>
  <c r="Q40" i="8" a="1"/>
  <c r="Q40" i="8" s="1"/>
  <c r="R40" i="8" a="1"/>
  <c r="R40" i="8" s="1"/>
  <c r="S40" i="8" a="1"/>
  <c r="S40" i="8" s="1"/>
  <c r="T40" i="8" a="1"/>
  <c r="T40" i="8" s="1"/>
  <c r="U40" i="8" a="1"/>
  <c r="U40" i="8" s="1"/>
  <c r="V40" i="8" a="1"/>
  <c r="V40" i="8" s="1"/>
  <c r="W40" i="8" a="1"/>
  <c r="W40" i="8" s="1"/>
  <c r="X40" i="8" a="1"/>
  <c r="X40" i="8" s="1"/>
  <c r="Y40" i="8" a="1"/>
  <c r="Y40" i="8" s="1"/>
  <c r="Z40" i="8" a="1"/>
  <c r="Z40" i="8" s="1"/>
  <c r="AA40" i="8" a="1"/>
  <c r="AA40" i="8" s="1"/>
  <c r="AB40" i="8" a="1"/>
  <c r="AB40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L41" i="8" a="1"/>
  <c r="L41" i="8" s="1"/>
  <c r="M41" i="8" a="1"/>
  <c r="M41" i="8" s="1"/>
  <c r="N41" i="8" a="1"/>
  <c r="N41" i="8" s="1"/>
  <c r="O41" i="8" a="1"/>
  <c r="O41" i="8" s="1"/>
  <c r="P41" i="8" a="1"/>
  <c r="P41" i="8" s="1"/>
  <c r="Q41" i="8" a="1"/>
  <c r="Q41" i="8" s="1"/>
  <c r="R41" i="8" a="1"/>
  <c r="R41" i="8" s="1"/>
  <c r="S41" i="8" a="1"/>
  <c r="S41" i="8" s="1"/>
  <c r="T41" i="8" a="1"/>
  <c r="T41" i="8" s="1"/>
  <c r="U41" i="8" a="1"/>
  <c r="U41" i="8" s="1"/>
  <c r="V41" i="8" a="1"/>
  <c r="V41" i="8" s="1"/>
  <c r="W41" i="8" a="1"/>
  <c r="W41" i="8" s="1"/>
  <c r="X41" i="8" a="1"/>
  <c r="X41" i="8" s="1"/>
  <c r="Y41" i="8" a="1"/>
  <c r="Y41" i="8" s="1"/>
  <c r="Z41" i="8" a="1"/>
  <c r="Z41" i="8" s="1"/>
  <c r="AA41" i="8" a="1"/>
  <c r="AA41" i="8" s="1"/>
  <c r="AB41" i="8" a="1"/>
  <c r="AB41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 s="1"/>
  <c r="M42" i="8" a="1"/>
  <c r="M42" i="8" s="1"/>
  <c r="N42" i="8" a="1"/>
  <c r="N42" i="8" s="1"/>
  <c r="O42" i="8" a="1"/>
  <c r="O42" i="8" s="1"/>
  <c r="P42" i="8" a="1"/>
  <c r="P42" i="8" s="1"/>
  <c r="Q42" i="8" a="1"/>
  <c r="Q42" i="8" s="1"/>
  <c r="R42" i="8" a="1"/>
  <c r="R42" i="8" s="1"/>
  <c r="S42" i="8" a="1"/>
  <c r="S42" i="8" s="1"/>
  <c r="T42" i="8" a="1"/>
  <c r="T42" i="8" s="1"/>
  <c r="U42" i="8" a="1"/>
  <c r="U42" i="8" s="1"/>
  <c r="V42" i="8" a="1"/>
  <c r="V42" i="8" s="1"/>
  <c r="W42" i="8" a="1"/>
  <c r="W42" i="8" s="1"/>
  <c r="X42" i="8" a="1"/>
  <c r="X42" i="8" s="1"/>
  <c r="Y42" i="8" a="1"/>
  <c r="Y42" i="8" s="1"/>
  <c r="Z42" i="8" a="1"/>
  <c r="Z42" i="8" s="1"/>
  <c r="AA42" i="8" a="1"/>
  <c r="AA42" i="8" s="1"/>
  <c r="AB42" i="8" a="1"/>
  <c r="AB42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L43" i="8" a="1"/>
  <c r="L43" i="8" s="1"/>
  <c r="M43" i="8" a="1"/>
  <c r="M43" i="8" s="1"/>
  <c r="N43" i="8" a="1"/>
  <c r="N43" i="8" s="1"/>
  <c r="O43" i="8" a="1"/>
  <c r="O43" i="8" s="1"/>
  <c r="P43" i="8" a="1"/>
  <c r="P43" i="8" s="1"/>
  <c r="Q43" i="8" a="1"/>
  <c r="Q43" i="8" s="1"/>
  <c r="R43" i="8" a="1"/>
  <c r="R43" i="8" s="1"/>
  <c r="S43" i="8" a="1"/>
  <c r="S43" i="8" s="1"/>
  <c r="T43" i="8" a="1"/>
  <c r="T43" i="8" s="1"/>
  <c r="U43" i="8" a="1"/>
  <c r="U43" i="8" s="1"/>
  <c r="V43" i="8" a="1"/>
  <c r="V43" i="8" s="1"/>
  <c r="W43" i="8" a="1"/>
  <c r="W43" i="8" s="1"/>
  <c r="X43" i="8" a="1"/>
  <c r="X43" i="8" s="1"/>
  <c r="Y43" i="8" a="1"/>
  <c r="Y43" i="8" s="1"/>
  <c r="Z43" i="8" a="1"/>
  <c r="Z43" i="8" s="1"/>
  <c r="AA43" i="8" a="1"/>
  <c r="AA43" i="8" s="1"/>
  <c r="AB43" i="8" a="1"/>
  <c r="AB43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M44" i="8" a="1"/>
  <c r="M44" i="8" s="1"/>
  <c r="N44" i="8" a="1"/>
  <c r="N44" i="8" s="1"/>
  <c r="O44" i="8" a="1"/>
  <c r="O44" i="8" s="1"/>
  <c r="P44" i="8" a="1"/>
  <c r="P44" i="8" s="1"/>
  <c r="Q44" i="8" a="1"/>
  <c r="Q44" i="8" s="1"/>
  <c r="R44" i="8" a="1"/>
  <c r="R44" i="8" s="1"/>
  <c r="S44" i="8" a="1"/>
  <c r="S44" i="8" s="1"/>
  <c r="T44" i="8" a="1"/>
  <c r="T44" i="8" s="1"/>
  <c r="U44" i="8" a="1"/>
  <c r="U44" i="8" s="1"/>
  <c r="V44" i="8" a="1"/>
  <c r="V44" i="8" s="1"/>
  <c r="W44" i="8" a="1"/>
  <c r="W44" i="8" s="1"/>
  <c r="X44" i="8" a="1"/>
  <c r="X44" i="8" s="1"/>
  <c r="Y44" i="8" a="1"/>
  <c r="Y44" i="8" s="1"/>
  <c r="Z44" i="8" a="1"/>
  <c r="Z44" i="8" s="1"/>
  <c r="AA44" i="8" a="1"/>
  <c r="AA44" i="8" s="1"/>
  <c r="AB44" i="8" a="1"/>
  <c r="AB44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L45" i="8" a="1"/>
  <c r="L45" i="8" s="1"/>
  <c r="M45" i="8" a="1"/>
  <c r="M45" i="8" s="1"/>
  <c r="N45" i="8" a="1"/>
  <c r="N45" i="8" s="1"/>
  <c r="O45" i="8" a="1"/>
  <c r="O45" i="8" s="1"/>
  <c r="P45" i="8" a="1"/>
  <c r="P45" i="8" s="1"/>
  <c r="Q45" i="8" a="1"/>
  <c r="Q45" i="8" s="1"/>
  <c r="R45" i="8" a="1"/>
  <c r="R45" i="8" s="1"/>
  <c r="S45" i="8" a="1"/>
  <c r="S45" i="8" s="1"/>
  <c r="T45" i="8" a="1"/>
  <c r="T45" i="8" s="1"/>
  <c r="U45" i="8" a="1"/>
  <c r="U45" i="8" s="1"/>
  <c r="V45" i="8" a="1"/>
  <c r="V45" i="8" s="1"/>
  <c r="W45" i="8" a="1"/>
  <c r="W45" i="8" s="1"/>
  <c r="X45" i="8" a="1"/>
  <c r="X45" i="8" s="1"/>
  <c r="Y45" i="8" a="1"/>
  <c r="Y45" i="8" s="1"/>
  <c r="Z45" i="8" a="1"/>
  <c r="Z45" i="8" s="1"/>
  <c r="AA45" i="8" a="1"/>
  <c r="AA45" i="8" s="1"/>
  <c r="AB45" i="8" a="1"/>
  <c r="AB45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L46" i="8" a="1"/>
  <c r="L46" i="8" s="1"/>
  <c r="M46" i="8" a="1"/>
  <c r="M46" i="8" s="1"/>
  <c r="N46" i="8" a="1"/>
  <c r="N46" i="8" s="1"/>
  <c r="O46" i="8" a="1"/>
  <c r="O46" i="8" s="1"/>
  <c r="P46" i="8" a="1"/>
  <c r="P46" i="8" s="1"/>
  <c r="Q46" i="8" a="1"/>
  <c r="Q46" i="8" s="1"/>
  <c r="R46" i="8" a="1"/>
  <c r="R46" i="8" s="1"/>
  <c r="S46" i="8" a="1"/>
  <c r="S46" i="8" s="1"/>
  <c r="T46" i="8" a="1"/>
  <c r="T46" i="8" s="1"/>
  <c r="U46" i="8" a="1"/>
  <c r="U46" i="8" s="1"/>
  <c r="V46" i="8" a="1"/>
  <c r="V46" i="8" s="1"/>
  <c r="W46" i="8" a="1"/>
  <c r="W46" i="8" s="1"/>
  <c r="X46" i="8" a="1"/>
  <c r="X46" i="8" s="1"/>
  <c r="Y46" i="8" a="1"/>
  <c r="Y46" i="8" s="1"/>
  <c r="Z46" i="8" a="1"/>
  <c r="Z46" i="8" s="1"/>
  <c r="AA46" i="8" a="1"/>
  <c r="AA46" i="8" s="1"/>
  <c r="AB46" i="8" a="1"/>
  <c r="AB46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M47" i="8" a="1"/>
  <c r="M47" i="8" s="1"/>
  <c r="N47" i="8" a="1"/>
  <c r="N47" i="8" s="1"/>
  <c r="O47" i="8" a="1"/>
  <c r="O47" i="8" s="1"/>
  <c r="P47" i="8" a="1"/>
  <c r="P47" i="8" s="1"/>
  <c r="Q47" i="8" a="1"/>
  <c r="Q47" i="8" s="1"/>
  <c r="R47" i="8" a="1"/>
  <c r="R47" i="8" s="1"/>
  <c r="S47" i="8" a="1"/>
  <c r="S47" i="8" s="1"/>
  <c r="T47" i="8" a="1"/>
  <c r="T47" i="8" s="1"/>
  <c r="U47" i="8" a="1"/>
  <c r="U47" i="8" s="1"/>
  <c r="V47" i="8" a="1"/>
  <c r="V47" i="8" s="1"/>
  <c r="W47" i="8" a="1"/>
  <c r="W47" i="8" s="1"/>
  <c r="X47" i="8" a="1"/>
  <c r="X47" i="8" s="1"/>
  <c r="Y47" i="8" a="1"/>
  <c r="Y47" i="8" s="1"/>
  <c r="Z47" i="8" a="1"/>
  <c r="Z47" i="8" s="1"/>
  <c r="AA47" i="8" a="1"/>
  <c r="AA47" i="8" s="1"/>
  <c r="AB47" i="8" a="1"/>
  <c r="AB47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Q48" i="8" a="1"/>
  <c r="Q48" i="8" s="1"/>
  <c r="R48" i="8" a="1"/>
  <c r="R48" i="8" s="1"/>
  <c r="S48" i="8" a="1"/>
  <c r="S48" i="8" s="1"/>
  <c r="T48" i="8" a="1"/>
  <c r="T48" i="8" s="1"/>
  <c r="U48" i="8" a="1"/>
  <c r="U48" i="8" s="1"/>
  <c r="V48" i="8" a="1"/>
  <c r="V48" i="8" s="1"/>
  <c r="W48" i="8" a="1"/>
  <c r="W48" i="8" s="1"/>
  <c r="X48" i="8" a="1"/>
  <c r="X48" i="8" s="1"/>
  <c r="Y48" i="8" a="1"/>
  <c r="Y48" i="8" s="1"/>
  <c r="Z48" i="8" a="1"/>
  <c r="Z48" i="8" s="1"/>
  <c r="AA48" i="8" a="1"/>
  <c r="AA48" i="8" s="1"/>
  <c r="AB48" i="8" a="1"/>
  <c r="AB48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Q49" i="8" a="1"/>
  <c r="Q49" i="8" s="1"/>
  <c r="R49" i="8" a="1"/>
  <c r="R49" i="8" s="1"/>
  <c r="S49" i="8" a="1"/>
  <c r="S49" i="8" s="1"/>
  <c r="T49" i="8" a="1"/>
  <c r="T49" i="8" s="1"/>
  <c r="U49" i="8" a="1"/>
  <c r="U49" i="8" s="1"/>
  <c r="V49" i="8" a="1"/>
  <c r="V49" i="8" s="1"/>
  <c r="W49" i="8" a="1"/>
  <c r="W49" i="8" s="1"/>
  <c r="X49" i="8" a="1"/>
  <c r="X49" i="8" s="1"/>
  <c r="Y49" i="8" a="1"/>
  <c r="Y49" i="8" s="1"/>
  <c r="Z49" i="8" a="1"/>
  <c r="Z49" i="8" s="1"/>
  <c r="AA49" i="8" a="1"/>
  <c r="AA49" i="8" s="1"/>
  <c r="AB49" i="8" a="1"/>
  <c r="AB49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L50" i="8" a="1"/>
  <c r="L50" i="8" s="1"/>
  <c r="M50" i="8" a="1"/>
  <c r="M50" i="8" s="1"/>
  <c r="N50" i="8" a="1"/>
  <c r="N50" i="8" s="1"/>
  <c r="O50" i="8" a="1"/>
  <c r="O50" i="8" s="1"/>
  <c r="P50" i="8" a="1"/>
  <c r="P50" i="8" s="1"/>
  <c r="Q50" i="8" a="1"/>
  <c r="Q50" i="8" s="1"/>
  <c r="R50" i="8" a="1"/>
  <c r="R50" i="8" s="1"/>
  <c r="S50" i="8" a="1"/>
  <c r="S50" i="8" s="1"/>
  <c r="T50" i="8" a="1"/>
  <c r="T50" i="8" s="1"/>
  <c r="U50" i="8" a="1"/>
  <c r="U50" i="8" s="1"/>
  <c r="V50" i="8" a="1"/>
  <c r="V50" i="8" s="1"/>
  <c r="W50" i="8" a="1"/>
  <c r="W50" i="8" s="1"/>
  <c r="X50" i="8" a="1"/>
  <c r="X50" i="8" s="1"/>
  <c r="Y50" i="8" a="1"/>
  <c r="Y50" i="8" s="1"/>
  <c r="Z50" i="8" a="1"/>
  <c r="Z50" i="8" s="1"/>
  <c r="AA50" i="8" a="1"/>
  <c r="AA50" i="8" s="1"/>
  <c r="AB50" i="8" a="1"/>
  <c r="AB50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Q51" i="8" a="1"/>
  <c r="Q51" i="8" s="1"/>
  <c r="R51" i="8" a="1"/>
  <c r="R51" i="8" s="1"/>
  <c r="S51" i="8" a="1"/>
  <c r="S51" i="8" s="1"/>
  <c r="T51" i="8" a="1"/>
  <c r="T51" i="8" s="1"/>
  <c r="U51" i="8" a="1"/>
  <c r="U51" i="8" s="1"/>
  <c r="V51" i="8" a="1"/>
  <c r="V51" i="8" s="1"/>
  <c r="W51" i="8" a="1"/>
  <c r="W51" i="8" s="1"/>
  <c r="X51" i="8" a="1"/>
  <c r="X51" i="8" s="1"/>
  <c r="Y51" i="8" a="1"/>
  <c r="Y51" i="8" s="1"/>
  <c r="Z51" i="8" a="1"/>
  <c r="Z51" i="8" s="1"/>
  <c r="AA51" i="8" a="1"/>
  <c r="AA51" i="8" s="1"/>
  <c r="AB51" i="8" a="1"/>
  <c r="AB51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Q52" i="8" a="1"/>
  <c r="Q52" i="8" s="1"/>
  <c r="R52" i="8" a="1"/>
  <c r="R52" i="8" s="1"/>
  <c r="S52" i="8" a="1"/>
  <c r="S52" i="8" s="1"/>
  <c r="T52" i="8" a="1"/>
  <c r="T52" i="8" s="1"/>
  <c r="U52" i="8" a="1"/>
  <c r="U52" i="8" s="1"/>
  <c r="V52" i="8" a="1"/>
  <c r="V52" i="8" s="1"/>
  <c r="W52" i="8" a="1"/>
  <c r="W52" i="8" s="1"/>
  <c r="X52" i="8" a="1"/>
  <c r="X52" i="8" s="1"/>
  <c r="Y52" i="8" a="1"/>
  <c r="Y52" i="8" s="1"/>
  <c r="Z52" i="8" a="1"/>
  <c r="Z52" i="8" s="1"/>
  <c r="AA52" i="8" a="1"/>
  <c r="AA52" i="8" s="1"/>
  <c r="AB52" i="8" a="1"/>
  <c r="AB52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L53" i="8" a="1"/>
  <c r="L53" i="8" s="1"/>
  <c r="M53" i="8" a="1"/>
  <c r="M53" i="8" s="1"/>
  <c r="N53" i="8" a="1"/>
  <c r="N53" i="8" s="1"/>
  <c r="O53" i="8" a="1"/>
  <c r="O53" i="8" s="1"/>
  <c r="P53" i="8" a="1"/>
  <c r="P53" i="8" s="1"/>
  <c r="Q53" i="8" a="1"/>
  <c r="Q53" i="8" s="1"/>
  <c r="R53" i="8" a="1"/>
  <c r="R53" i="8" s="1"/>
  <c r="S53" i="8" a="1"/>
  <c r="S53" i="8" s="1"/>
  <c r="T53" i="8" a="1"/>
  <c r="T53" i="8" s="1"/>
  <c r="U53" i="8" a="1"/>
  <c r="U53" i="8" s="1"/>
  <c r="V53" i="8" a="1"/>
  <c r="V53" i="8" s="1"/>
  <c r="W53" i="8" a="1"/>
  <c r="W53" i="8" s="1"/>
  <c r="X53" i="8" a="1"/>
  <c r="X53" i="8" s="1"/>
  <c r="Y53" i="8" a="1"/>
  <c r="Y53" i="8" s="1"/>
  <c r="Z53" i="8" a="1"/>
  <c r="Z53" i="8" s="1"/>
  <c r="AA53" i="8" a="1"/>
  <c r="AA53" i="8" s="1"/>
  <c r="AB53" i="8" a="1"/>
  <c r="AB53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L54" i="8" a="1"/>
  <c r="L54" i="8" s="1"/>
  <c r="M54" i="8" a="1"/>
  <c r="M54" i="8" s="1"/>
  <c r="N54" i="8" a="1"/>
  <c r="N54" i="8" s="1"/>
  <c r="O54" i="8" a="1"/>
  <c r="O54" i="8" s="1"/>
  <c r="P54" i="8" a="1"/>
  <c r="P54" i="8" s="1"/>
  <c r="Q54" i="8" a="1"/>
  <c r="Q54" i="8" s="1"/>
  <c r="R54" i="8" a="1"/>
  <c r="R54" i="8" s="1"/>
  <c r="S54" i="8" a="1"/>
  <c r="S54" i="8" s="1"/>
  <c r="T54" i="8" a="1"/>
  <c r="T54" i="8" s="1"/>
  <c r="U54" i="8" a="1"/>
  <c r="U54" i="8" s="1"/>
  <c r="V54" i="8" a="1"/>
  <c r="V54" i="8" s="1"/>
  <c r="W54" i="8" a="1"/>
  <c r="W54" i="8" s="1"/>
  <c r="X54" i="8" a="1"/>
  <c r="X54" i="8" s="1"/>
  <c r="Y54" i="8" a="1"/>
  <c r="Y54" i="8" s="1"/>
  <c r="Z54" i="8" a="1"/>
  <c r="Z54" i="8" s="1"/>
  <c r="AA54" i="8" a="1"/>
  <c r="AA54" i="8" s="1"/>
  <c r="AB54" i="8" a="1"/>
  <c r="AB54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L55" i="8" a="1"/>
  <c r="L55" i="8" s="1"/>
  <c r="M55" i="8" a="1"/>
  <c r="M55" i="8" s="1"/>
  <c r="N55" i="8" a="1"/>
  <c r="N55" i="8" s="1"/>
  <c r="O55" i="8" a="1"/>
  <c r="O55" i="8" s="1"/>
  <c r="P55" i="8" a="1"/>
  <c r="P55" i="8" s="1"/>
  <c r="Q55" i="8" a="1"/>
  <c r="Q55" i="8" s="1"/>
  <c r="R55" i="8" a="1"/>
  <c r="R55" i="8" s="1"/>
  <c r="S55" i="8" a="1"/>
  <c r="S55" i="8" s="1"/>
  <c r="T55" i="8" a="1"/>
  <c r="T55" i="8" s="1"/>
  <c r="U55" i="8" a="1"/>
  <c r="U55" i="8" s="1"/>
  <c r="V55" i="8" a="1"/>
  <c r="V55" i="8" s="1"/>
  <c r="W55" i="8" a="1"/>
  <c r="W55" i="8" s="1"/>
  <c r="X55" i="8" a="1"/>
  <c r="X55" i="8" s="1"/>
  <c r="Y55" i="8" a="1"/>
  <c r="Y55" i="8" s="1"/>
  <c r="Z55" i="8" a="1"/>
  <c r="Z55" i="8" s="1"/>
  <c r="AA55" i="8" a="1"/>
  <c r="AA55" i="8" s="1"/>
  <c r="AB55" i="8" a="1"/>
  <c r="AB55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L56" i="8" a="1"/>
  <c r="L56" i="8" s="1"/>
  <c r="M56" i="8" a="1"/>
  <c r="M56" i="8" s="1"/>
  <c r="N56" i="8" a="1"/>
  <c r="N56" i="8" s="1"/>
  <c r="O56" i="8" a="1"/>
  <c r="O56" i="8" s="1"/>
  <c r="P56" i="8" a="1"/>
  <c r="P56" i="8" s="1"/>
  <c r="Q56" i="8" a="1"/>
  <c r="Q56" i="8" s="1"/>
  <c r="R56" i="8" a="1"/>
  <c r="R56" i="8" s="1"/>
  <c r="S56" i="8" a="1"/>
  <c r="S56" i="8" s="1"/>
  <c r="T56" i="8" a="1"/>
  <c r="T56" i="8" s="1"/>
  <c r="U56" i="8" a="1"/>
  <c r="U56" i="8" s="1"/>
  <c r="V56" i="8" a="1"/>
  <c r="V56" i="8" s="1"/>
  <c r="W56" i="8" a="1"/>
  <c r="W56" i="8" s="1"/>
  <c r="X56" i="8" a="1"/>
  <c r="X56" i="8" s="1"/>
  <c r="Y56" i="8" a="1"/>
  <c r="Y56" i="8" s="1"/>
  <c r="Z56" i="8" a="1"/>
  <c r="Z56" i="8" s="1"/>
  <c r="AA56" i="8" a="1"/>
  <c r="AA56" i="8" s="1"/>
  <c r="AB56" i="8" a="1"/>
  <c r="AB56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L57" i="8" a="1"/>
  <c r="L57" i="8" s="1"/>
  <c r="M57" i="8" a="1"/>
  <c r="M57" i="8" s="1"/>
  <c r="N57" i="8" a="1"/>
  <c r="N57" i="8" s="1"/>
  <c r="O57" i="8" a="1"/>
  <c r="O57" i="8" s="1"/>
  <c r="P57" i="8" a="1"/>
  <c r="P57" i="8" s="1"/>
  <c r="Q57" i="8" a="1"/>
  <c r="Q57" i="8" s="1"/>
  <c r="R57" i="8" a="1"/>
  <c r="R57" i="8" s="1"/>
  <c r="S57" i="8" a="1"/>
  <c r="S57" i="8" s="1"/>
  <c r="T57" i="8" a="1"/>
  <c r="T57" i="8" s="1"/>
  <c r="U57" i="8" a="1"/>
  <c r="U57" i="8" s="1"/>
  <c r="V57" i="8" a="1"/>
  <c r="V57" i="8" s="1"/>
  <c r="W57" i="8" a="1"/>
  <c r="W57" i="8" s="1"/>
  <c r="X57" i="8" a="1"/>
  <c r="X57" i="8" s="1"/>
  <c r="Y57" i="8" a="1"/>
  <c r="Y57" i="8" s="1"/>
  <c r="Z57" i="8" a="1"/>
  <c r="Z57" i="8" s="1"/>
  <c r="AA57" i="8" a="1"/>
  <c r="AA57" i="8" s="1"/>
  <c r="AB57" i="8" a="1"/>
  <c r="AB57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L58" i="8" a="1"/>
  <c r="L58" i="8" s="1"/>
  <c r="M58" i="8" a="1"/>
  <c r="M58" i="8" s="1"/>
  <c r="N58" i="8" a="1"/>
  <c r="N58" i="8" s="1"/>
  <c r="O58" i="8" a="1"/>
  <c r="O58" i="8" s="1"/>
  <c r="P58" i="8" a="1"/>
  <c r="P58" i="8" s="1"/>
  <c r="Q58" i="8" a="1"/>
  <c r="Q58" i="8" s="1"/>
  <c r="R58" i="8" a="1"/>
  <c r="R58" i="8" s="1"/>
  <c r="S58" i="8" a="1"/>
  <c r="S58" i="8" s="1"/>
  <c r="T58" i="8" a="1"/>
  <c r="T58" i="8" s="1"/>
  <c r="U58" i="8" a="1"/>
  <c r="U58" i="8" s="1"/>
  <c r="V58" i="8" a="1"/>
  <c r="V58" i="8" s="1"/>
  <c r="W58" i="8" a="1"/>
  <c r="W58" i="8" s="1"/>
  <c r="X58" i="8" a="1"/>
  <c r="X58" i="8" s="1"/>
  <c r="Y58" i="8" a="1"/>
  <c r="Y58" i="8" s="1"/>
  <c r="Z58" i="8" a="1"/>
  <c r="Z58" i="8" s="1"/>
  <c r="AA58" i="8" a="1"/>
  <c r="AA58" i="8" s="1"/>
  <c r="AB58" i="8" a="1"/>
  <c r="AB58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L59" i="8" a="1"/>
  <c r="L59" i="8" s="1"/>
  <c r="M59" i="8" a="1"/>
  <c r="M59" i="8" s="1"/>
  <c r="N59" i="8" a="1"/>
  <c r="N59" i="8" s="1"/>
  <c r="O59" i="8" a="1"/>
  <c r="O59" i="8" s="1"/>
  <c r="P59" i="8" a="1"/>
  <c r="P59" i="8" s="1"/>
  <c r="Q59" i="8" a="1"/>
  <c r="Q59" i="8" s="1"/>
  <c r="R59" i="8" a="1"/>
  <c r="R59" i="8" s="1"/>
  <c r="S59" i="8" a="1"/>
  <c r="S59" i="8" s="1"/>
  <c r="T59" i="8" a="1"/>
  <c r="T59" i="8" s="1"/>
  <c r="U59" i="8" a="1"/>
  <c r="U59" i="8" s="1"/>
  <c r="V59" i="8" a="1"/>
  <c r="V59" i="8" s="1"/>
  <c r="W59" i="8" a="1"/>
  <c r="W59" i="8" s="1"/>
  <c r="X59" i="8" a="1"/>
  <c r="X59" i="8" s="1"/>
  <c r="Y59" i="8" a="1"/>
  <c r="Y59" i="8" s="1"/>
  <c r="Z59" i="8" a="1"/>
  <c r="Z59" i="8" s="1"/>
  <c r="AA59" i="8" a="1"/>
  <c r="AA59" i="8" s="1"/>
  <c r="AB59" i="8" a="1"/>
  <c r="AB59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L60" i="8" a="1"/>
  <c r="L60" i="8" s="1"/>
  <c r="M60" i="8" a="1"/>
  <c r="M60" i="8" s="1"/>
  <c r="N60" i="8" a="1"/>
  <c r="N60" i="8" s="1"/>
  <c r="O60" i="8" a="1"/>
  <c r="O60" i="8" s="1"/>
  <c r="P60" i="8" a="1"/>
  <c r="P60" i="8" s="1"/>
  <c r="Q60" i="8" a="1"/>
  <c r="Q60" i="8" s="1"/>
  <c r="R60" i="8" a="1"/>
  <c r="R60" i="8" s="1"/>
  <c r="S60" i="8" a="1"/>
  <c r="S60" i="8" s="1"/>
  <c r="T60" i="8" a="1"/>
  <c r="T60" i="8" s="1"/>
  <c r="U60" i="8" a="1"/>
  <c r="U60" i="8" s="1"/>
  <c r="V60" i="8" a="1"/>
  <c r="V60" i="8" s="1"/>
  <c r="W60" i="8" a="1"/>
  <c r="W60" i="8" s="1"/>
  <c r="X60" i="8" a="1"/>
  <c r="X60" i="8" s="1"/>
  <c r="Y60" i="8" a="1"/>
  <c r="Y60" i="8" s="1"/>
  <c r="Z60" i="8" a="1"/>
  <c r="Z60" i="8" s="1"/>
  <c r="AA60" i="8" a="1"/>
  <c r="AA60" i="8" s="1"/>
  <c r="AB60" i="8" a="1"/>
  <c r="AB60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L61" i="8" a="1"/>
  <c r="L61" i="8" s="1"/>
  <c r="M61" i="8" a="1"/>
  <c r="M61" i="8" s="1"/>
  <c r="N61" i="8" a="1"/>
  <c r="N61" i="8" s="1"/>
  <c r="O61" i="8" a="1"/>
  <c r="O61" i="8" s="1"/>
  <c r="P61" i="8" a="1"/>
  <c r="P61" i="8" s="1"/>
  <c r="Q61" i="8" a="1"/>
  <c r="Q61" i="8" s="1"/>
  <c r="R61" i="8" a="1"/>
  <c r="R61" i="8" s="1"/>
  <c r="S61" i="8" a="1"/>
  <c r="S61" i="8" s="1"/>
  <c r="T61" i="8" a="1"/>
  <c r="T61" i="8" s="1"/>
  <c r="U61" i="8" a="1"/>
  <c r="U61" i="8" s="1"/>
  <c r="V61" i="8" a="1"/>
  <c r="V61" i="8" s="1"/>
  <c r="W61" i="8" a="1"/>
  <c r="W61" i="8" s="1"/>
  <c r="X61" i="8" a="1"/>
  <c r="X61" i="8" s="1"/>
  <c r="Y61" i="8" a="1"/>
  <c r="Y61" i="8" s="1"/>
  <c r="Z61" i="8" a="1"/>
  <c r="Z61" i="8" s="1"/>
  <c r="AA61" i="8" a="1"/>
  <c r="AA61" i="8" s="1"/>
  <c r="AB61" i="8" a="1"/>
  <c r="AB61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L62" i="8" a="1"/>
  <c r="L62" i="8" s="1"/>
  <c r="M62" i="8" a="1"/>
  <c r="M62" i="8" s="1"/>
  <c r="N62" i="8" a="1"/>
  <c r="N62" i="8" s="1"/>
  <c r="O62" i="8" a="1"/>
  <c r="O62" i="8" s="1"/>
  <c r="P62" i="8" a="1"/>
  <c r="P62" i="8" s="1"/>
  <c r="Q62" i="8" a="1"/>
  <c r="Q62" i="8" s="1"/>
  <c r="R62" i="8" a="1"/>
  <c r="R62" i="8" s="1"/>
  <c r="S62" i="8" a="1"/>
  <c r="S62" i="8" s="1"/>
  <c r="T62" i="8" a="1"/>
  <c r="T62" i="8" s="1"/>
  <c r="U62" i="8" a="1"/>
  <c r="U62" i="8" s="1"/>
  <c r="V62" i="8" a="1"/>
  <c r="V62" i="8" s="1"/>
  <c r="W62" i="8" a="1"/>
  <c r="W62" i="8" s="1"/>
  <c r="X62" i="8" a="1"/>
  <c r="X62" i="8" s="1"/>
  <c r="Y62" i="8" a="1"/>
  <c r="Y62" i="8" s="1"/>
  <c r="Z62" i="8" a="1"/>
  <c r="Z62" i="8" s="1"/>
  <c r="AA62" i="8" a="1"/>
  <c r="AA62" i="8" s="1"/>
  <c r="AB62" i="8" a="1"/>
  <c r="AB62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L63" i="8" a="1"/>
  <c r="L63" i="8" s="1"/>
  <c r="M63" i="8" a="1"/>
  <c r="M63" i="8" s="1"/>
  <c r="N63" i="8" a="1"/>
  <c r="N63" i="8" s="1"/>
  <c r="O63" i="8" a="1"/>
  <c r="O63" i="8" s="1"/>
  <c r="P63" i="8" a="1"/>
  <c r="P63" i="8" s="1"/>
  <c r="Q63" i="8" a="1"/>
  <c r="Q63" i="8" s="1"/>
  <c r="R63" i="8" a="1"/>
  <c r="R63" i="8" s="1"/>
  <c r="S63" i="8" a="1"/>
  <c r="S63" i="8" s="1"/>
  <c r="T63" i="8" a="1"/>
  <c r="T63" i="8" s="1"/>
  <c r="U63" i="8" a="1"/>
  <c r="U63" i="8" s="1"/>
  <c r="V63" i="8" a="1"/>
  <c r="V63" i="8" s="1"/>
  <c r="W63" i="8" a="1"/>
  <c r="W63" i="8" s="1"/>
  <c r="X63" i="8" a="1"/>
  <c r="X63" i="8" s="1"/>
  <c r="Y63" i="8" a="1"/>
  <c r="Y63" i="8" s="1"/>
  <c r="Z63" i="8" a="1"/>
  <c r="Z63" i="8" s="1"/>
  <c r="AA63" i="8" a="1"/>
  <c r="AA63" i="8" s="1"/>
  <c r="AB63" i="8" a="1"/>
  <c r="AB63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L64" i="8" a="1"/>
  <c r="L64" i="8" s="1"/>
  <c r="M64" i="8" a="1"/>
  <c r="M64" i="8" s="1"/>
  <c r="N64" i="8" a="1"/>
  <c r="N64" i="8" s="1"/>
  <c r="O64" i="8" a="1"/>
  <c r="O64" i="8" s="1"/>
  <c r="P64" i="8" a="1"/>
  <c r="P64" i="8" s="1"/>
  <c r="Q64" i="8" a="1"/>
  <c r="Q64" i="8" s="1"/>
  <c r="R64" i="8" a="1"/>
  <c r="R64" i="8" s="1"/>
  <c r="S64" i="8" a="1"/>
  <c r="S64" i="8" s="1"/>
  <c r="T64" i="8" a="1"/>
  <c r="T64" i="8" s="1"/>
  <c r="U64" i="8" a="1"/>
  <c r="U64" i="8" s="1"/>
  <c r="V64" i="8" a="1"/>
  <c r="V64" i="8" s="1"/>
  <c r="W64" i="8" a="1"/>
  <c r="W64" i="8" s="1"/>
  <c r="X64" i="8" a="1"/>
  <c r="X64" i="8" s="1"/>
  <c r="Y64" i="8" a="1"/>
  <c r="Y64" i="8" s="1"/>
  <c r="Z64" i="8" a="1"/>
  <c r="Z64" i="8" s="1"/>
  <c r="AA64" i="8" a="1"/>
  <c r="AA64" i="8" s="1"/>
  <c r="AB64" i="8" a="1"/>
  <c r="AB64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L65" i="8" a="1"/>
  <c r="L65" i="8" s="1"/>
  <c r="M65" i="8" a="1"/>
  <c r="M65" i="8" s="1"/>
  <c r="N65" i="8" a="1"/>
  <c r="N65" i="8" s="1"/>
  <c r="O65" i="8" a="1"/>
  <c r="O65" i="8" s="1"/>
  <c r="P65" i="8" a="1"/>
  <c r="P65" i="8" s="1"/>
  <c r="Q65" i="8" a="1"/>
  <c r="Q65" i="8" s="1"/>
  <c r="R65" i="8" a="1"/>
  <c r="R65" i="8" s="1"/>
  <c r="S65" i="8" a="1"/>
  <c r="S65" i="8" s="1"/>
  <c r="T65" i="8" a="1"/>
  <c r="T65" i="8" s="1"/>
  <c r="U65" i="8" a="1"/>
  <c r="U65" i="8" s="1"/>
  <c r="V65" i="8" a="1"/>
  <c r="V65" i="8" s="1"/>
  <c r="W65" i="8" a="1"/>
  <c r="W65" i="8" s="1"/>
  <c r="X65" i="8" a="1"/>
  <c r="X65" i="8" s="1"/>
  <c r="Y65" i="8" a="1"/>
  <c r="Y65" i="8" s="1"/>
  <c r="Z65" i="8" a="1"/>
  <c r="Z65" i="8" s="1"/>
  <c r="AA65" i="8" a="1"/>
  <c r="AA65" i="8" s="1"/>
  <c r="AB65" i="8" a="1"/>
  <c r="AB65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L66" i="8" a="1"/>
  <c r="L66" i="8" s="1"/>
  <c r="M66" i="8" a="1"/>
  <c r="M66" i="8" s="1"/>
  <c r="N66" i="8" a="1"/>
  <c r="N66" i="8" s="1"/>
  <c r="O66" i="8" a="1"/>
  <c r="O66" i="8" s="1"/>
  <c r="P66" i="8" a="1"/>
  <c r="P66" i="8" s="1"/>
  <c r="Q66" i="8" a="1"/>
  <c r="Q66" i="8" s="1"/>
  <c r="R66" i="8" a="1"/>
  <c r="R66" i="8" s="1"/>
  <c r="S66" i="8" a="1"/>
  <c r="S66" i="8" s="1"/>
  <c r="T66" i="8" a="1"/>
  <c r="T66" i="8" s="1"/>
  <c r="U66" i="8" a="1"/>
  <c r="U66" i="8" s="1"/>
  <c r="V66" i="8" a="1"/>
  <c r="V66" i="8" s="1"/>
  <c r="W66" i="8" a="1"/>
  <c r="W66" i="8" s="1"/>
  <c r="X66" i="8" a="1"/>
  <c r="X66" i="8" s="1"/>
  <c r="Y66" i="8" a="1"/>
  <c r="Y66" i="8" s="1"/>
  <c r="Z66" i="8" a="1"/>
  <c r="Z66" i="8" s="1"/>
  <c r="AA66" i="8" a="1"/>
  <c r="AA66" i="8" s="1"/>
  <c r="AB66" i="8" a="1"/>
  <c r="AB66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L67" i="8" a="1"/>
  <c r="L67" i="8" s="1"/>
  <c r="M67" i="8" a="1"/>
  <c r="M67" i="8" s="1"/>
  <c r="N67" i="8" a="1"/>
  <c r="N67" i="8" s="1"/>
  <c r="O67" i="8" a="1"/>
  <c r="O67" i="8" s="1"/>
  <c r="P67" i="8" a="1"/>
  <c r="P67" i="8" s="1"/>
  <c r="Q67" i="8" a="1"/>
  <c r="Q67" i="8" s="1"/>
  <c r="R67" i="8" a="1"/>
  <c r="R67" i="8" s="1"/>
  <c r="S67" i="8" a="1"/>
  <c r="S67" i="8" s="1"/>
  <c r="T67" i="8" a="1"/>
  <c r="T67" i="8" s="1"/>
  <c r="U67" i="8" a="1"/>
  <c r="U67" i="8" s="1"/>
  <c r="V67" i="8" a="1"/>
  <c r="V67" i="8" s="1"/>
  <c r="W67" i="8" a="1"/>
  <c r="W67" i="8" s="1"/>
  <c r="X67" i="8" a="1"/>
  <c r="X67" i="8" s="1"/>
  <c r="Y67" i="8" a="1"/>
  <c r="Y67" i="8" s="1"/>
  <c r="Z67" i="8" a="1"/>
  <c r="Z67" i="8" s="1"/>
  <c r="AA67" i="8" a="1"/>
  <c r="AA67" i="8" s="1"/>
  <c r="AB67" i="8" a="1"/>
  <c r="AB67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L68" i="8" a="1"/>
  <c r="L68" i="8" s="1"/>
  <c r="M68" i="8" a="1"/>
  <c r="M68" i="8" s="1"/>
  <c r="N68" i="8" a="1"/>
  <c r="N68" i="8" s="1"/>
  <c r="O68" i="8" a="1"/>
  <c r="O68" i="8" s="1"/>
  <c r="P68" i="8" a="1"/>
  <c r="P68" i="8" s="1"/>
  <c r="Q68" i="8" a="1"/>
  <c r="Q68" i="8" s="1"/>
  <c r="R68" i="8" a="1"/>
  <c r="R68" i="8" s="1"/>
  <c r="S68" i="8" a="1"/>
  <c r="S68" i="8" s="1"/>
  <c r="T68" i="8" a="1"/>
  <c r="T68" i="8" s="1"/>
  <c r="U68" i="8" a="1"/>
  <c r="U68" i="8" s="1"/>
  <c r="V68" i="8" a="1"/>
  <c r="V68" i="8" s="1"/>
  <c r="W68" i="8" a="1"/>
  <c r="W68" i="8" s="1"/>
  <c r="X68" i="8" a="1"/>
  <c r="X68" i="8" s="1"/>
  <c r="Y68" i="8" a="1"/>
  <c r="Y68" i="8" s="1"/>
  <c r="Z68" i="8" a="1"/>
  <c r="Z68" i="8" s="1"/>
  <c r="AA68" i="8" a="1"/>
  <c r="AA68" i="8" s="1"/>
  <c r="AB68" i="8" a="1"/>
  <c r="AB68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L69" i="8" a="1"/>
  <c r="L69" i="8" s="1"/>
  <c r="M69" i="8" a="1"/>
  <c r="M69" i="8" s="1"/>
  <c r="N69" i="8" a="1"/>
  <c r="N69" i="8" s="1"/>
  <c r="O69" i="8" a="1"/>
  <c r="O69" i="8" s="1"/>
  <c r="P69" i="8" a="1"/>
  <c r="P69" i="8" s="1"/>
  <c r="Q69" i="8" a="1"/>
  <c r="Q69" i="8" s="1"/>
  <c r="R69" i="8" a="1"/>
  <c r="R69" i="8" s="1"/>
  <c r="S69" i="8" a="1"/>
  <c r="S69" i="8" s="1"/>
  <c r="T69" i="8" a="1"/>
  <c r="T69" i="8" s="1"/>
  <c r="U69" i="8" a="1"/>
  <c r="U69" i="8" s="1"/>
  <c r="V69" i="8" a="1"/>
  <c r="V69" i="8" s="1"/>
  <c r="W69" i="8" a="1"/>
  <c r="W69" i="8" s="1"/>
  <c r="X69" i="8" a="1"/>
  <c r="X69" i="8" s="1"/>
  <c r="Y69" i="8" a="1"/>
  <c r="Y69" i="8" s="1"/>
  <c r="Z69" i="8" a="1"/>
  <c r="Z69" i="8" s="1"/>
  <c r="AA69" i="8" a="1"/>
  <c r="AA69" i="8" s="1"/>
  <c r="AB69" i="8" a="1"/>
  <c r="AB69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L70" i="8" a="1"/>
  <c r="L70" i="8" s="1"/>
  <c r="M70" i="8" a="1"/>
  <c r="M70" i="8" s="1"/>
  <c r="N70" i="8" a="1"/>
  <c r="N70" i="8" s="1"/>
  <c r="O70" i="8" a="1"/>
  <c r="O70" i="8" s="1"/>
  <c r="P70" i="8" a="1"/>
  <c r="P70" i="8" s="1"/>
  <c r="Q70" i="8" a="1"/>
  <c r="Q70" i="8" s="1"/>
  <c r="R70" i="8" a="1"/>
  <c r="R70" i="8" s="1"/>
  <c r="S70" i="8" a="1"/>
  <c r="S70" i="8" s="1"/>
  <c r="T70" i="8" a="1"/>
  <c r="T70" i="8" s="1"/>
  <c r="U70" i="8" a="1"/>
  <c r="U70" i="8" s="1"/>
  <c r="V70" i="8" a="1"/>
  <c r="V70" i="8" s="1"/>
  <c r="W70" i="8" a="1"/>
  <c r="W70" i="8" s="1"/>
  <c r="X70" i="8" a="1"/>
  <c r="X70" i="8" s="1"/>
  <c r="Y70" i="8" a="1"/>
  <c r="Y70" i="8" s="1"/>
  <c r="Z70" i="8" a="1"/>
  <c r="Z70" i="8" s="1"/>
  <c r="AA70" i="8" a="1"/>
  <c r="AA70" i="8" s="1"/>
  <c r="AB70" i="8" a="1"/>
  <c r="AB70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L71" i="8" a="1"/>
  <c r="L71" i="8" s="1"/>
  <c r="M71" i="8" a="1"/>
  <c r="M71" i="8" s="1"/>
  <c r="N71" i="8" a="1"/>
  <c r="N71" i="8" s="1"/>
  <c r="O71" i="8" a="1"/>
  <c r="O71" i="8" s="1"/>
  <c r="P71" i="8" a="1"/>
  <c r="P71" i="8" s="1"/>
  <c r="Q71" i="8" a="1"/>
  <c r="Q71" i="8" s="1"/>
  <c r="R71" i="8" a="1"/>
  <c r="R71" i="8" s="1"/>
  <c r="S71" i="8" a="1"/>
  <c r="S71" i="8" s="1"/>
  <c r="T71" i="8" a="1"/>
  <c r="T71" i="8" s="1"/>
  <c r="U71" i="8" a="1"/>
  <c r="U71" i="8" s="1"/>
  <c r="V71" i="8" a="1"/>
  <c r="V71" i="8" s="1"/>
  <c r="W71" i="8" a="1"/>
  <c r="W71" i="8" s="1"/>
  <c r="X71" i="8" a="1"/>
  <c r="X71" i="8" s="1"/>
  <c r="Y71" i="8" a="1"/>
  <c r="Y71" i="8" s="1"/>
  <c r="Z71" i="8" a="1"/>
  <c r="Z71" i="8" s="1"/>
  <c r="AA71" i="8" a="1"/>
  <c r="AA71" i="8" s="1"/>
  <c r="AB71" i="8" a="1"/>
  <c r="AB71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L72" i="8" a="1"/>
  <c r="L72" i="8" s="1"/>
  <c r="M72" i="8" a="1"/>
  <c r="M72" i="8" s="1"/>
  <c r="N72" i="8" a="1"/>
  <c r="N72" i="8" s="1"/>
  <c r="O72" i="8" a="1"/>
  <c r="O72" i="8" s="1"/>
  <c r="P72" i="8" a="1"/>
  <c r="P72" i="8" s="1"/>
  <c r="Q72" i="8" a="1"/>
  <c r="Q72" i="8" s="1"/>
  <c r="R72" i="8" a="1"/>
  <c r="R72" i="8" s="1"/>
  <c r="S72" i="8" a="1"/>
  <c r="S72" i="8" s="1"/>
  <c r="T72" i="8" a="1"/>
  <c r="T72" i="8" s="1"/>
  <c r="U72" i="8" a="1"/>
  <c r="U72" i="8" s="1"/>
  <c r="V72" i="8" a="1"/>
  <c r="V72" i="8" s="1"/>
  <c r="W72" i="8" a="1"/>
  <c r="W72" i="8" s="1"/>
  <c r="X72" i="8" a="1"/>
  <c r="X72" i="8" s="1"/>
  <c r="Y72" i="8" a="1"/>
  <c r="Y72" i="8" s="1"/>
  <c r="Z72" i="8" a="1"/>
  <c r="Z72" i="8" s="1"/>
  <c r="AA72" i="8" a="1"/>
  <c r="AA72" i="8" s="1"/>
  <c r="AB72" i="8" a="1"/>
  <c r="AB72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L73" i="8" a="1"/>
  <c r="L73" i="8" s="1"/>
  <c r="M73" i="8" a="1"/>
  <c r="M73" i="8" s="1"/>
  <c r="N73" i="8" a="1"/>
  <c r="N73" i="8" s="1"/>
  <c r="O73" i="8" a="1"/>
  <c r="O73" i="8" s="1"/>
  <c r="P73" i="8" a="1"/>
  <c r="P73" i="8" s="1"/>
  <c r="Q73" i="8" a="1"/>
  <c r="Q73" i="8" s="1"/>
  <c r="R73" i="8" a="1"/>
  <c r="R73" i="8" s="1"/>
  <c r="S73" i="8" a="1"/>
  <c r="S73" i="8" s="1"/>
  <c r="T73" i="8" a="1"/>
  <c r="T73" i="8" s="1"/>
  <c r="U73" i="8" a="1"/>
  <c r="U73" i="8" s="1"/>
  <c r="V73" i="8" a="1"/>
  <c r="V73" i="8" s="1"/>
  <c r="W73" i="8" a="1"/>
  <c r="W73" i="8" s="1"/>
  <c r="X73" i="8" a="1"/>
  <c r="X73" i="8" s="1"/>
  <c r="Y73" i="8" a="1"/>
  <c r="Y73" i="8" s="1"/>
  <c r="Z73" i="8" a="1"/>
  <c r="Z73" i="8" s="1"/>
  <c r="AA73" i="8" a="1"/>
  <c r="AA73" i="8" s="1"/>
  <c r="AB73" i="8" a="1"/>
  <c r="AB73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L74" i="8" a="1"/>
  <c r="L74" i="8" s="1"/>
  <c r="M74" i="8" a="1"/>
  <c r="M74" i="8" s="1"/>
  <c r="N74" i="8" a="1"/>
  <c r="N74" i="8" s="1"/>
  <c r="O74" i="8" a="1"/>
  <c r="O74" i="8" s="1"/>
  <c r="P74" i="8" a="1"/>
  <c r="P74" i="8" s="1"/>
  <c r="Q74" i="8" a="1"/>
  <c r="Q74" i="8" s="1"/>
  <c r="R74" i="8" a="1"/>
  <c r="R74" i="8" s="1"/>
  <c r="S74" i="8" a="1"/>
  <c r="S74" i="8" s="1"/>
  <c r="T74" i="8" a="1"/>
  <c r="T74" i="8" s="1"/>
  <c r="U74" i="8" a="1"/>
  <c r="U74" i="8" s="1"/>
  <c r="V74" i="8" a="1"/>
  <c r="V74" i="8" s="1"/>
  <c r="W74" i="8" a="1"/>
  <c r="W74" i="8" s="1"/>
  <c r="X74" i="8" a="1"/>
  <c r="X74" i="8" s="1"/>
  <c r="Y74" i="8" a="1"/>
  <c r="Y74" i="8" s="1"/>
  <c r="Z74" i="8" a="1"/>
  <c r="Z74" i="8" s="1"/>
  <c r="AA74" i="8" a="1"/>
  <c r="AA74" i="8" s="1"/>
  <c r="AB74" i="8" a="1"/>
  <c r="AB74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L75" i="8" a="1"/>
  <c r="L75" i="8" s="1"/>
  <c r="M75" i="8" a="1"/>
  <c r="M75" i="8" s="1"/>
  <c r="N75" i="8" a="1"/>
  <c r="N75" i="8" s="1"/>
  <c r="O75" i="8" a="1"/>
  <c r="O75" i="8" s="1"/>
  <c r="P75" i="8" a="1"/>
  <c r="P75" i="8" s="1"/>
  <c r="Q75" i="8" a="1"/>
  <c r="Q75" i="8" s="1"/>
  <c r="R75" i="8" a="1"/>
  <c r="R75" i="8" s="1"/>
  <c r="S75" i="8" a="1"/>
  <c r="S75" i="8" s="1"/>
  <c r="T75" i="8" a="1"/>
  <c r="T75" i="8" s="1"/>
  <c r="U75" i="8" a="1"/>
  <c r="U75" i="8" s="1"/>
  <c r="V75" i="8" a="1"/>
  <c r="V75" i="8" s="1"/>
  <c r="W75" i="8" a="1"/>
  <c r="W75" i="8" s="1"/>
  <c r="X75" i="8" a="1"/>
  <c r="X75" i="8" s="1"/>
  <c r="Y75" i="8" a="1"/>
  <c r="Y75" i="8" s="1"/>
  <c r="Z75" i="8" a="1"/>
  <c r="Z75" i="8" s="1"/>
  <c r="AA75" i="8" a="1"/>
  <c r="AA75" i="8" s="1"/>
  <c r="AB75" i="8" a="1"/>
  <c r="AB75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L76" i="8" a="1"/>
  <c r="L76" i="8" s="1"/>
  <c r="M76" i="8" a="1"/>
  <c r="M76" i="8" s="1"/>
  <c r="N76" i="8" a="1"/>
  <c r="N76" i="8" s="1"/>
  <c r="O76" i="8" a="1"/>
  <c r="O76" i="8" s="1"/>
  <c r="P76" i="8" a="1"/>
  <c r="P76" i="8" s="1"/>
  <c r="Q76" i="8" a="1"/>
  <c r="Q76" i="8" s="1"/>
  <c r="R76" i="8" a="1"/>
  <c r="R76" i="8" s="1"/>
  <c r="S76" i="8" a="1"/>
  <c r="S76" i="8" s="1"/>
  <c r="T76" i="8" a="1"/>
  <c r="T76" i="8" s="1"/>
  <c r="U76" i="8" a="1"/>
  <c r="U76" i="8" s="1"/>
  <c r="V76" i="8" a="1"/>
  <c r="V76" i="8" s="1"/>
  <c r="W76" i="8" a="1"/>
  <c r="W76" i="8" s="1"/>
  <c r="X76" i="8" a="1"/>
  <c r="X76" i="8" s="1"/>
  <c r="Y76" i="8" a="1"/>
  <c r="Y76" i="8" s="1"/>
  <c r="Z76" i="8" a="1"/>
  <c r="Z76" i="8" s="1"/>
  <c r="AA76" i="8" a="1"/>
  <c r="AA76" i="8" s="1"/>
  <c r="AB76" i="8" a="1"/>
  <c r="AB76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L77" i="8" a="1"/>
  <c r="L77" i="8" s="1"/>
  <c r="M77" i="8" a="1"/>
  <c r="M77" i="8" s="1"/>
  <c r="N77" i="8" a="1"/>
  <c r="N77" i="8" s="1"/>
  <c r="O77" i="8" a="1"/>
  <c r="O77" i="8" s="1"/>
  <c r="P77" i="8" a="1"/>
  <c r="P77" i="8" s="1"/>
  <c r="Q77" i="8" a="1"/>
  <c r="Q77" i="8" s="1"/>
  <c r="R77" i="8" a="1"/>
  <c r="R77" i="8" s="1"/>
  <c r="S77" i="8" a="1"/>
  <c r="S77" i="8" s="1"/>
  <c r="T77" i="8" a="1"/>
  <c r="T77" i="8" s="1"/>
  <c r="U77" i="8" a="1"/>
  <c r="U77" i="8" s="1"/>
  <c r="V77" i="8" a="1"/>
  <c r="V77" i="8" s="1"/>
  <c r="W77" i="8" a="1"/>
  <c r="W77" i="8" s="1"/>
  <c r="X77" i="8" a="1"/>
  <c r="X77" i="8" s="1"/>
  <c r="Y77" i="8" a="1"/>
  <c r="Y77" i="8" s="1"/>
  <c r="Z77" i="8" a="1"/>
  <c r="Z77" i="8" s="1"/>
  <c r="AA77" i="8" a="1"/>
  <c r="AA77" i="8" s="1"/>
  <c r="AB77" i="8" a="1"/>
  <c r="AB77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L78" i="8" a="1"/>
  <c r="L78" i="8" s="1"/>
  <c r="M78" i="8" a="1"/>
  <c r="M78" i="8" s="1"/>
  <c r="N78" i="8" a="1"/>
  <c r="N78" i="8" s="1"/>
  <c r="O78" i="8" a="1"/>
  <c r="O78" i="8" s="1"/>
  <c r="P78" i="8" a="1"/>
  <c r="P78" i="8" s="1"/>
  <c r="Q78" i="8" a="1"/>
  <c r="Q78" i="8" s="1"/>
  <c r="R78" i="8" a="1"/>
  <c r="R78" i="8" s="1"/>
  <c r="S78" i="8" a="1"/>
  <c r="S78" i="8" s="1"/>
  <c r="T78" i="8" a="1"/>
  <c r="T78" i="8" s="1"/>
  <c r="U78" i="8" a="1"/>
  <c r="U78" i="8" s="1"/>
  <c r="V78" i="8" a="1"/>
  <c r="V78" i="8" s="1"/>
  <c r="W78" i="8" a="1"/>
  <c r="W78" i="8" s="1"/>
  <c r="X78" i="8" a="1"/>
  <c r="X78" i="8" s="1"/>
  <c r="Y78" i="8" a="1"/>
  <c r="Y78" i="8" s="1"/>
  <c r="Z78" i="8" a="1"/>
  <c r="Z78" i="8" s="1"/>
  <c r="AA78" i="8" a="1"/>
  <c r="AA78" i="8" s="1"/>
  <c r="AB78" i="8" a="1"/>
  <c r="AB78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L79" i="8" a="1"/>
  <c r="L79" i="8" s="1"/>
  <c r="M79" i="8" a="1"/>
  <c r="M79" i="8" s="1"/>
  <c r="N79" i="8" a="1"/>
  <c r="N79" i="8" s="1"/>
  <c r="O79" i="8" a="1"/>
  <c r="O79" i="8" s="1"/>
  <c r="P79" i="8" a="1"/>
  <c r="P79" i="8" s="1"/>
  <c r="Q79" i="8" a="1"/>
  <c r="Q79" i="8" s="1"/>
  <c r="R79" i="8" a="1"/>
  <c r="R79" i="8" s="1"/>
  <c r="S79" i="8" a="1"/>
  <c r="S79" i="8" s="1"/>
  <c r="T79" i="8" a="1"/>
  <c r="T79" i="8" s="1"/>
  <c r="U79" i="8" a="1"/>
  <c r="U79" i="8" s="1"/>
  <c r="V79" i="8" a="1"/>
  <c r="V79" i="8" s="1"/>
  <c r="W79" i="8" a="1"/>
  <c r="W79" i="8" s="1"/>
  <c r="X79" i="8" a="1"/>
  <c r="X79" i="8" s="1"/>
  <c r="Y79" i="8" a="1"/>
  <c r="Y79" i="8" s="1"/>
  <c r="Z79" i="8" a="1"/>
  <c r="Z79" i="8" s="1"/>
  <c r="AA79" i="8" a="1"/>
  <c r="AA79" i="8" s="1"/>
  <c r="AB79" i="8" a="1"/>
  <c r="AB79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L80" i="8" a="1"/>
  <c r="L80" i="8" s="1"/>
  <c r="M80" i="8" a="1"/>
  <c r="M80" i="8" s="1"/>
  <c r="N80" i="8" a="1"/>
  <c r="N80" i="8" s="1"/>
  <c r="O80" i="8" a="1"/>
  <c r="O80" i="8" s="1"/>
  <c r="P80" i="8" a="1"/>
  <c r="P80" i="8" s="1"/>
  <c r="Q80" i="8" a="1"/>
  <c r="Q80" i="8" s="1"/>
  <c r="R80" i="8" a="1"/>
  <c r="R80" i="8" s="1"/>
  <c r="S80" i="8" a="1"/>
  <c r="S80" i="8" s="1"/>
  <c r="T80" i="8" a="1"/>
  <c r="T80" i="8" s="1"/>
  <c r="U80" i="8" a="1"/>
  <c r="U80" i="8" s="1"/>
  <c r="V80" i="8" a="1"/>
  <c r="V80" i="8" s="1"/>
  <c r="W80" i="8" a="1"/>
  <c r="W80" i="8" s="1"/>
  <c r="X80" i="8" a="1"/>
  <c r="X80" i="8" s="1"/>
  <c r="Y80" i="8" a="1"/>
  <c r="Y80" i="8" s="1"/>
  <c r="Z80" i="8" a="1"/>
  <c r="Z80" i="8" s="1"/>
  <c r="AA80" i="8" a="1"/>
  <c r="AA80" i="8" s="1"/>
  <c r="AB80" i="8" a="1"/>
  <c r="AB80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L81" i="8" a="1"/>
  <c r="L81" i="8" s="1"/>
  <c r="M81" i="8" a="1"/>
  <c r="M81" i="8" s="1"/>
  <c r="N81" i="8" a="1"/>
  <c r="N81" i="8" s="1"/>
  <c r="O81" i="8" a="1"/>
  <c r="O81" i="8" s="1"/>
  <c r="P81" i="8" a="1"/>
  <c r="P81" i="8" s="1"/>
  <c r="Q81" i="8" a="1"/>
  <c r="Q81" i="8" s="1"/>
  <c r="R81" i="8" a="1"/>
  <c r="R81" i="8" s="1"/>
  <c r="S81" i="8" a="1"/>
  <c r="S81" i="8" s="1"/>
  <c r="T81" i="8" a="1"/>
  <c r="T81" i="8" s="1"/>
  <c r="U81" i="8" a="1"/>
  <c r="U81" i="8" s="1"/>
  <c r="V81" i="8" a="1"/>
  <c r="V81" i="8" s="1"/>
  <c r="W81" i="8" a="1"/>
  <c r="W81" i="8" s="1"/>
  <c r="X81" i="8" a="1"/>
  <c r="X81" i="8" s="1"/>
  <c r="Y81" i="8" a="1"/>
  <c r="Y81" i="8" s="1"/>
  <c r="Z81" i="8" a="1"/>
  <c r="Z81" i="8" s="1"/>
  <c r="AA81" i="8" a="1"/>
  <c r="AA81" i="8" s="1"/>
  <c r="AB81" i="8" a="1"/>
  <c r="AB81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L82" i="8" a="1"/>
  <c r="L82" i="8" s="1"/>
  <c r="M82" i="8" a="1"/>
  <c r="M82" i="8" s="1"/>
  <c r="N82" i="8" a="1"/>
  <c r="N82" i="8" s="1"/>
  <c r="O82" i="8" a="1"/>
  <c r="O82" i="8" s="1"/>
  <c r="P82" i="8" a="1"/>
  <c r="P82" i="8" s="1"/>
  <c r="Q82" i="8" a="1"/>
  <c r="Q82" i="8" s="1"/>
  <c r="R82" i="8" a="1"/>
  <c r="R82" i="8" s="1"/>
  <c r="S82" i="8" a="1"/>
  <c r="S82" i="8" s="1"/>
  <c r="T82" i="8" a="1"/>
  <c r="T82" i="8" s="1"/>
  <c r="U82" i="8" a="1"/>
  <c r="U82" i="8" s="1"/>
  <c r="V82" i="8" a="1"/>
  <c r="V82" i="8" s="1"/>
  <c r="W82" i="8" a="1"/>
  <c r="W82" i="8" s="1"/>
  <c r="X82" i="8" a="1"/>
  <c r="X82" i="8" s="1"/>
  <c r="Y82" i="8" a="1"/>
  <c r="Y82" i="8" s="1"/>
  <c r="Z82" i="8" a="1"/>
  <c r="Z82" i="8" s="1"/>
  <c r="AA82" i="8" a="1"/>
  <c r="AA82" i="8" s="1"/>
  <c r="AB82" i="8" a="1"/>
  <c r="AB82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L83" i="8" a="1"/>
  <c r="L83" i="8" s="1"/>
  <c r="M83" i="8" a="1"/>
  <c r="M83" i="8" s="1"/>
  <c r="N83" i="8" a="1"/>
  <c r="N83" i="8" s="1"/>
  <c r="O83" i="8" a="1"/>
  <c r="O83" i="8" s="1"/>
  <c r="P83" i="8" a="1"/>
  <c r="P83" i="8" s="1"/>
  <c r="Q83" i="8" a="1"/>
  <c r="Q83" i="8" s="1"/>
  <c r="R83" i="8" a="1"/>
  <c r="R83" i="8" s="1"/>
  <c r="S83" i="8" a="1"/>
  <c r="S83" i="8" s="1"/>
  <c r="T83" i="8" a="1"/>
  <c r="T83" i="8" s="1"/>
  <c r="U83" i="8" a="1"/>
  <c r="U83" i="8" s="1"/>
  <c r="V83" i="8" a="1"/>
  <c r="V83" i="8" s="1"/>
  <c r="W83" i="8" a="1"/>
  <c r="W83" i="8" s="1"/>
  <c r="X83" i="8" a="1"/>
  <c r="X83" i="8" s="1"/>
  <c r="Y83" i="8" a="1"/>
  <c r="Y83" i="8" s="1"/>
  <c r="Z83" i="8" a="1"/>
  <c r="Z83" i="8" s="1"/>
  <c r="AA83" i="8" a="1"/>
  <c r="AA83" i="8" s="1"/>
  <c r="AB83" i="8" a="1"/>
  <c r="AB83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L84" i="8" a="1"/>
  <c r="L84" i="8" s="1"/>
  <c r="M84" i="8" a="1"/>
  <c r="M84" i="8" s="1"/>
  <c r="N84" i="8" a="1"/>
  <c r="N84" i="8" s="1"/>
  <c r="O84" i="8" a="1"/>
  <c r="O84" i="8" s="1"/>
  <c r="P84" i="8" a="1"/>
  <c r="P84" i="8" s="1"/>
  <c r="Q84" i="8" a="1"/>
  <c r="Q84" i="8" s="1"/>
  <c r="R84" i="8" a="1"/>
  <c r="R84" i="8" s="1"/>
  <c r="S84" i="8" a="1"/>
  <c r="S84" i="8" s="1"/>
  <c r="T84" i="8" a="1"/>
  <c r="T84" i="8" s="1"/>
  <c r="U84" i="8" a="1"/>
  <c r="U84" i="8" s="1"/>
  <c r="V84" i="8" a="1"/>
  <c r="V84" i="8" s="1"/>
  <c r="W84" i="8" a="1"/>
  <c r="W84" i="8" s="1"/>
  <c r="X84" i="8" a="1"/>
  <c r="X84" i="8" s="1"/>
  <c r="Y84" i="8" a="1"/>
  <c r="Y84" i="8" s="1"/>
  <c r="Z84" i="8" a="1"/>
  <c r="Z84" i="8" s="1"/>
  <c r="AA84" i="8" a="1"/>
  <c r="AA84" i="8" s="1"/>
  <c r="AB84" i="8" a="1"/>
  <c r="AB84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L85" i="8" a="1"/>
  <c r="L85" i="8" s="1"/>
  <c r="M85" i="8" a="1"/>
  <c r="M85" i="8" s="1"/>
  <c r="N85" i="8" a="1"/>
  <c r="N85" i="8" s="1"/>
  <c r="O85" i="8" a="1"/>
  <c r="O85" i="8" s="1"/>
  <c r="P85" i="8" a="1"/>
  <c r="P85" i="8" s="1"/>
  <c r="Q85" i="8" a="1"/>
  <c r="Q85" i="8" s="1"/>
  <c r="R85" i="8" a="1"/>
  <c r="R85" i="8" s="1"/>
  <c r="S85" i="8" a="1"/>
  <c r="S85" i="8" s="1"/>
  <c r="T85" i="8" a="1"/>
  <c r="T85" i="8" s="1"/>
  <c r="U85" i="8" a="1"/>
  <c r="U85" i="8" s="1"/>
  <c r="V85" i="8" a="1"/>
  <c r="V85" i="8" s="1"/>
  <c r="W85" i="8" a="1"/>
  <c r="W85" i="8" s="1"/>
  <c r="X85" i="8" a="1"/>
  <c r="X85" i="8" s="1"/>
  <c r="Y85" i="8" a="1"/>
  <c r="Y85" i="8" s="1"/>
  <c r="Z85" i="8" a="1"/>
  <c r="Z85" i="8" s="1"/>
  <c r="AA85" i="8" a="1"/>
  <c r="AA85" i="8" s="1"/>
  <c r="AB85" i="8" a="1"/>
  <c r="AB85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L86" i="8" a="1"/>
  <c r="L86" i="8" s="1"/>
  <c r="M86" i="8" a="1"/>
  <c r="M86" i="8" s="1"/>
  <c r="N86" i="8" a="1"/>
  <c r="N86" i="8" s="1"/>
  <c r="O86" i="8" a="1"/>
  <c r="O86" i="8" s="1"/>
  <c r="P86" i="8" a="1"/>
  <c r="P86" i="8" s="1"/>
  <c r="Q86" i="8" a="1"/>
  <c r="Q86" i="8" s="1"/>
  <c r="R86" i="8" a="1"/>
  <c r="R86" i="8" s="1"/>
  <c r="S86" i="8" a="1"/>
  <c r="S86" i="8" s="1"/>
  <c r="T86" i="8" a="1"/>
  <c r="T86" i="8" s="1"/>
  <c r="U86" i="8" a="1"/>
  <c r="U86" i="8" s="1"/>
  <c r="V86" i="8" a="1"/>
  <c r="V86" i="8" s="1"/>
  <c r="W86" i="8" a="1"/>
  <c r="W86" i="8" s="1"/>
  <c r="X86" i="8" a="1"/>
  <c r="X86" i="8" s="1"/>
  <c r="Y86" i="8" a="1"/>
  <c r="Y86" i="8" s="1"/>
  <c r="Z86" i="8" a="1"/>
  <c r="Z86" i="8" s="1"/>
  <c r="AA86" i="8" a="1"/>
  <c r="AA86" i="8" s="1"/>
  <c r="AB86" i="8" a="1"/>
  <c r="AB86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L87" i="8" a="1"/>
  <c r="L87" i="8" s="1"/>
  <c r="M87" i="8" a="1"/>
  <c r="M87" i="8" s="1"/>
  <c r="N87" i="8" a="1"/>
  <c r="N87" i="8" s="1"/>
  <c r="O87" i="8" a="1"/>
  <c r="O87" i="8" s="1"/>
  <c r="P87" i="8" a="1"/>
  <c r="P87" i="8" s="1"/>
  <c r="Q87" i="8" a="1"/>
  <c r="Q87" i="8" s="1"/>
  <c r="R87" i="8" a="1"/>
  <c r="R87" i="8" s="1"/>
  <c r="S87" i="8" a="1"/>
  <c r="S87" i="8" s="1"/>
  <c r="T87" i="8" a="1"/>
  <c r="T87" i="8" s="1"/>
  <c r="U87" i="8" a="1"/>
  <c r="U87" i="8" s="1"/>
  <c r="V87" i="8" a="1"/>
  <c r="V87" i="8" s="1"/>
  <c r="W87" i="8" a="1"/>
  <c r="W87" i="8" s="1"/>
  <c r="X87" i="8" a="1"/>
  <c r="X87" i="8" s="1"/>
  <c r="Y87" i="8" a="1"/>
  <c r="Y87" i="8" s="1"/>
  <c r="Z87" i="8" a="1"/>
  <c r="Z87" i="8" s="1"/>
  <c r="AA87" i="8" a="1"/>
  <c r="AA87" i="8" s="1"/>
  <c r="AB87" i="8" a="1"/>
  <c r="AB87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L88" i="8" a="1"/>
  <c r="L88" i="8" s="1"/>
  <c r="M88" i="8" a="1"/>
  <c r="M88" i="8" s="1"/>
  <c r="N88" i="8" a="1"/>
  <c r="N88" i="8" s="1"/>
  <c r="O88" i="8" a="1"/>
  <c r="O88" i="8" s="1"/>
  <c r="P88" i="8" a="1"/>
  <c r="P88" i="8" s="1"/>
  <c r="Q88" i="8" a="1"/>
  <c r="Q88" i="8" s="1"/>
  <c r="R88" i="8" a="1"/>
  <c r="R88" i="8" s="1"/>
  <c r="S88" i="8" a="1"/>
  <c r="S88" i="8" s="1"/>
  <c r="T88" i="8" a="1"/>
  <c r="T88" i="8" s="1"/>
  <c r="U88" i="8" a="1"/>
  <c r="U88" i="8" s="1"/>
  <c r="V88" i="8" a="1"/>
  <c r="V88" i="8" s="1"/>
  <c r="W88" i="8" a="1"/>
  <c r="W88" i="8" s="1"/>
  <c r="X88" i="8" a="1"/>
  <c r="X88" i="8" s="1"/>
  <c r="Y88" i="8" a="1"/>
  <c r="Y88" i="8" s="1"/>
  <c r="Z88" i="8" a="1"/>
  <c r="Z88" i="8" s="1"/>
  <c r="AA88" i="8" a="1"/>
  <c r="AA88" i="8" s="1"/>
  <c r="AB88" i="8" a="1"/>
  <c r="AB88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L89" i="8" a="1"/>
  <c r="L89" i="8" s="1"/>
  <c r="M89" i="8" a="1"/>
  <c r="M89" i="8" s="1"/>
  <c r="N89" i="8" a="1"/>
  <c r="N89" i="8" s="1"/>
  <c r="O89" i="8" a="1"/>
  <c r="O89" i="8" s="1"/>
  <c r="P89" i="8" a="1"/>
  <c r="P89" i="8" s="1"/>
  <c r="Q89" i="8" a="1"/>
  <c r="Q89" i="8" s="1"/>
  <c r="R89" i="8" a="1"/>
  <c r="R89" i="8" s="1"/>
  <c r="S89" i="8" a="1"/>
  <c r="S89" i="8" s="1"/>
  <c r="T89" i="8" a="1"/>
  <c r="T89" i="8" s="1"/>
  <c r="U89" i="8" a="1"/>
  <c r="U89" i="8" s="1"/>
  <c r="V89" i="8" a="1"/>
  <c r="V89" i="8" s="1"/>
  <c r="W89" i="8" a="1"/>
  <c r="W89" i="8" s="1"/>
  <c r="X89" i="8" a="1"/>
  <c r="X89" i="8" s="1"/>
  <c r="Y89" i="8" a="1"/>
  <c r="Y89" i="8" s="1"/>
  <c r="Z89" i="8" a="1"/>
  <c r="Z89" i="8" s="1"/>
  <c r="AA89" i="8" a="1"/>
  <c r="AA89" i="8" s="1"/>
  <c r="AB89" i="8" a="1"/>
  <c r="AB89" i="8" s="1"/>
  <c r="E90" i="8" a="1"/>
  <c r="E90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K90" i="8" a="1"/>
  <c r="K90" i="8" s="1"/>
  <c r="L90" i="8" a="1"/>
  <c r="L90" i="8" s="1"/>
  <c r="M90" i="8" a="1"/>
  <c r="M90" i="8" s="1"/>
  <c r="N90" i="8" a="1"/>
  <c r="N90" i="8" s="1"/>
  <c r="O90" i="8" a="1"/>
  <c r="O90" i="8" s="1"/>
  <c r="P90" i="8" a="1"/>
  <c r="P90" i="8" s="1"/>
  <c r="Q90" i="8" a="1"/>
  <c r="Q90" i="8" s="1"/>
  <c r="R90" i="8" a="1"/>
  <c r="R90" i="8" s="1"/>
  <c r="S90" i="8" a="1"/>
  <c r="S90" i="8" s="1"/>
  <c r="T90" i="8" a="1"/>
  <c r="T90" i="8" s="1"/>
  <c r="U90" i="8" a="1"/>
  <c r="U90" i="8" s="1"/>
  <c r="V90" i="8" a="1"/>
  <c r="V90" i="8" s="1"/>
  <c r="W90" i="8" a="1"/>
  <c r="W90" i="8" s="1"/>
  <c r="X90" i="8" a="1"/>
  <c r="X90" i="8" s="1"/>
  <c r="Y90" i="8" a="1"/>
  <c r="Y90" i="8" s="1"/>
  <c r="Z90" i="8" a="1"/>
  <c r="Z90" i="8" s="1"/>
  <c r="AA90" i="8" a="1"/>
  <c r="AA90" i="8" s="1"/>
  <c r="AB90" i="8" a="1"/>
  <c r="AB90" i="8" s="1"/>
  <c r="E91" i="8" a="1"/>
  <c r="E91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K91" i="8" a="1"/>
  <c r="K91" i="8" s="1"/>
  <c r="L91" i="8" a="1"/>
  <c r="L91" i="8" s="1"/>
  <c r="M91" i="8" a="1"/>
  <c r="M91" i="8" s="1"/>
  <c r="N91" i="8" a="1"/>
  <c r="N91" i="8" s="1"/>
  <c r="O91" i="8" a="1"/>
  <c r="O91" i="8" s="1"/>
  <c r="P91" i="8" a="1"/>
  <c r="P91" i="8" s="1"/>
  <c r="Q91" i="8" a="1"/>
  <c r="Q91" i="8" s="1"/>
  <c r="R91" i="8" a="1"/>
  <c r="R91" i="8" s="1"/>
  <c r="S91" i="8" a="1"/>
  <c r="S91" i="8" s="1"/>
  <c r="T91" i="8" a="1"/>
  <c r="T91" i="8" s="1"/>
  <c r="U91" i="8" a="1"/>
  <c r="U91" i="8" s="1"/>
  <c r="V91" i="8" a="1"/>
  <c r="V91" i="8" s="1"/>
  <c r="W91" i="8" a="1"/>
  <c r="W91" i="8" s="1"/>
  <c r="X91" i="8" a="1"/>
  <c r="X91" i="8" s="1"/>
  <c r="Y91" i="8" a="1"/>
  <c r="Y91" i="8" s="1"/>
  <c r="Z91" i="8" a="1"/>
  <c r="Z91" i="8" s="1"/>
  <c r="AA91" i="8" a="1"/>
  <c r="AA91" i="8" s="1"/>
  <c r="AB91" i="8" a="1"/>
  <c r="AB91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K92" i="8" a="1"/>
  <c r="K92" i="8" s="1"/>
  <c r="L92" i="8" a="1"/>
  <c r="L92" i="8" s="1"/>
  <c r="M92" i="8" a="1"/>
  <c r="M92" i="8" s="1"/>
  <c r="N92" i="8" a="1"/>
  <c r="N92" i="8" s="1"/>
  <c r="O92" i="8" a="1"/>
  <c r="O92" i="8" s="1"/>
  <c r="P92" i="8" a="1"/>
  <c r="P92" i="8" s="1"/>
  <c r="Q92" i="8" a="1"/>
  <c r="Q92" i="8" s="1"/>
  <c r="R92" i="8" a="1"/>
  <c r="R92" i="8" s="1"/>
  <c r="S92" i="8" a="1"/>
  <c r="S92" i="8" s="1"/>
  <c r="T92" i="8" a="1"/>
  <c r="T92" i="8" s="1"/>
  <c r="U92" i="8" a="1"/>
  <c r="U92" i="8" s="1"/>
  <c r="V92" i="8" a="1"/>
  <c r="V92" i="8" s="1"/>
  <c r="W92" i="8" a="1"/>
  <c r="W92" i="8" s="1"/>
  <c r="X92" i="8" a="1"/>
  <c r="X92" i="8" s="1"/>
  <c r="Y92" i="8" a="1"/>
  <c r="Y92" i="8" s="1"/>
  <c r="Z92" i="8" a="1"/>
  <c r="Z92" i="8" s="1"/>
  <c r="AA92" i="8" a="1"/>
  <c r="AA92" i="8" s="1"/>
  <c r="AB92" i="8" a="1"/>
  <c r="AB92" i="8" s="1"/>
  <c r="E93" i="8" a="1"/>
  <c r="E93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K93" i="8" a="1"/>
  <c r="K93" i="8" s="1"/>
  <c r="L93" i="8" a="1"/>
  <c r="L93" i="8" s="1"/>
  <c r="M93" i="8" a="1"/>
  <c r="M93" i="8" s="1"/>
  <c r="N93" i="8" a="1"/>
  <c r="N93" i="8" s="1"/>
  <c r="O93" i="8" a="1"/>
  <c r="O93" i="8" s="1"/>
  <c r="P93" i="8" a="1"/>
  <c r="P93" i="8" s="1"/>
  <c r="Q93" i="8" a="1"/>
  <c r="Q93" i="8" s="1"/>
  <c r="R93" i="8" a="1"/>
  <c r="R93" i="8" s="1"/>
  <c r="S93" i="8" a="1"/>
  <c r="S93" i="8" s="1"/>
  <c r="T93" i="8" a="1"/>
  <c r="T93" i="8" s="1"/>
  <c r="U93" i="8" a="1"/>
  <c r="U93" i="8" s="1"/>
  <c r="V93" i="8" a="1"/>
  <c r="V93" i="8" s="1"/>
  <c r="W93" i="8" a="1"/>
  <c r="W93" i="8" s="1"/>
  <c r="X93" i="8" a="1"/>
  <c r="X93" i="8" s="1"/>
  <c r="Y93" i="8" a="1"/>
  <c r="Y93" i="8" s="1"/>
  <c r="Z93" i="8" a="1"/>
  <c r="Z93" i="8" s="1"/>
  <c r="AA93" i="8" a="1"/>
  <c r="AA93" i="8" s="1"/>
  <c r="AB93" i="8" a="1"/>
  <c r="AB93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L94" i="8" a="1"/>
  <c r="L94" i="8" s="1"/>
  <c r="M94" i="8" a="1"/>
  <c r="M94" i="8" s="1"/>
  <c r="N94" i="8" a="1"/>
  <c r="N94" i="8" s="1"/>
  <c r="O94" i="8" a="1"/>
  <c r="O94" i="8" s="1"/>
  <c r="P94" i="8" a="1"/>
  <c r="P94" i="8" s="1"/>
  <c r="Q94" i="8" a="1"/>
  <c r="Q94" i="8" s="1"/>
  <c r="R94" i="8" a="1"/>
  <c r="R94" i="8" s="1"/>
  <c r="S94" i="8" a="1"/>
  <c r="S94" i="8" s="1"/>
  <c r="T94" i="8" a="1"/>
  <c r="T94" i="8" s="1"/>
  <c r="U94" i="8" a="1"/>
  <c r="U94" i="8" s="1"/>
  <c r="V94" i="8" a="1"/>
  <c r="V94" i="8" s="1"/>
  <c r="W94" i="8" a="1"/>
  <c r="W94" i="8" s="1"/>
  <c r="X94" i="8" a="1"/>
  <c r="X94" i="8" s="1"/>
  <c r="Y94" i="8" a="1"/>
  <c r="Y94" i="8" s="1"/>
  <c r="Z94" i="8" a="1"/>
  <c r="Z94" i="8" s="1"/>
  <c r="AA94" i="8" a="1"/>
  <c r="AA94" i="8" s="1"/>
  <c r="AB94" i="8" a="1"/>
  <c r="AB94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L95" i="8" a="1"/>
  <c r="L95" i="8" s="1"/>
  <c r="M95" i="8" a="1"/>
  <c r="M95" i="8" s="1"/>
  <c r="N95" i="8" a="1"/>
  <c r="N95" i="8" s="1"/>
  <c r="O95" i="8" a="1"/>
  <c r="O95" i="8" s="1"/>
  <c r="P95" i="8" a="1"/>
  <c r="P95" i="8" s="1"/>
  <c r="Q95" i="8" a="1"/>
  <c r="Q95" i="8" s="1"/>
  <c r="R95" i="8" a="1"/>
  <c r="R95" i="8" s="1"/>
  <c r="S95" i="8" a="1"/>
  <c r="S95" i="8" s="1"/>
  <c r="T95" i="8" a="1"/>
  <c r="T95" i="8" s="1"/>
  <c r="U95" i="8" a="1"/>
  <c r="U95" i="8" s="1"/>
  <c r="V95" i="8" a="1"/>
  <c r="V95" i="8" s="1"/>
  <c r="W95" i="8" a="1"/>
  <c r="W95" i="8" s="1"/>
  <c r="X95" i="8" a="1"/>
  <c r="X95" i="8" s="1"/>
  <c r="Y95" i="8" a="1"/>
  <c r="Y95" i="8" s="1"/>
  <c r="Z95" i="8" a="1"/>
  <c r="Z95" i="8" s="1"/>
  <c r="AA95" i="8" a="1"/>
  <c r="AA95" i="8" s="1"/>
  <c r="AB95" i="8" a="1"/>
  <c r="AB95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L96" i="8" a="1"/>
  <c r="L96" i="8" s="1"/>
  <c r="M96" i="8" a="1"/>
  <c r="M96" i="8" s="1"/>
  <c r="N96" i="8" a="1"/>
  <c r="N96" i="8" s="1"/>
  <c r="O96" i="8" a="1"/>
  <c r="O96" i="8" s="1"/>
  <c r="P96" i="8" a="1"/>
  <c r="P96" i="8" s="1"/>
  <c r="Q96" i="8" a="1"/>
  <c r="Q96" i="8" s="1"/>
  <c r="R96" i="8" a="1"/>
  <c r="R96" i="8" s="1"/>
  <c r="S96" i="8" a="1"/>
  <c r="S96" i="8" s="1"/>
  <c r="T96" i="8" a="1"/>
  <c r="T96" i="8" s="1"/>
  <c r="U96" i="8" a="1"/>
  <c r="U96" i="8" s="1"/>
  <c r="V96" i="8" a="1"/>
  <c r="V96" i="8" s="1"/>
  <c r="W96" i="8" a="1"/>
  <c r="W96" i="8" s="1"/>
  <c r="X96" i="8" a="1"/>
  <c r="X96" i="8" s="1"/>
  <c r="Y96" i="8" a="1"/>
  <c r="Y96" i="8" s="1"/>
  <c r="Z96" i="8" a="1"/>
  <c r="Z96" i="8" s="1"/>
  <c r="AA96" i="8" a="1"/>
  <c r="AA96" i="8" s="1"/>
  <c r="AB96" i="8" a="1"/>
  <c r="AB96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L97" i="8" a="1"/>
  <c r="L97" i="8" s="1"/>
  <c r="M97" i="8" a="1"/>
  <c r="M97" i="8" s="1"/>
  <c r="N97" i="8" a="1"/>
  <c r="N97" i="8" s="1"/>
  <c r="O97" i="8" a="1"/>
  <c r="O97" i="8" s="1"/>
  <c r="P97" i="8" a="1"/>
  <c r="P97" i="8" s="1"/>
  <c r="Q97" i="8" a="1"/>
  <c r="Q97" i="8" s="1"/>
  <c r="R97" i="8" a="1"/>
  <c r="R97" i="8" s="1"/>
  <c r="S97" i="8" a="1"/>
  <c r="S97" i="8" s="1"/>
  <c r="T97" i="8" a="1"/>
  <c r="T97" i="8" s="1"/>
  <c r="U97" i="8" a="1"/>
  <c r="U97" i="8" s="1"/>
  <c r="V97" i="8" a="1"/>
  <c r="V97" i="8" s="1"/>
  <c r="W97" i="8" a="1"/>
  <c r="W97" i="8" s="1"/>
  <c r="X97" i="8" a="1"/>
  <c r="X97" i="8" s="1"/>
  <c r="Y97" i="8" a="1"/>
  <c r="Y97" i="8" s="1"/>
  <c r="Z97" i="8" a="1"/>
  <c r="Z97" i="8" s="1"/>
  <c r="AA97" i="8" a="1"/>
  <c r="AA97" i="8" s="1"/>
  <c r="AB97" i="8" a="1"/>
  <c r="AB97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L98" i="8" a="1"/>
  <c r="L98" i="8" s="1"/>
  <c r="M98" i="8" a="1"/>
  <c r="M98" i="8" s="1"/>
  <c r="N98" i="8" a="1"/>
  <c r="N98" i="8" s="1"/>
  <c r="O98" i="8" a="1"/>
  <c r="O98" i="8" s="1"/>
  <c r="P98" i="8" a="1"/>
  <c r="P98" i="8" s="1"/>
  <c r="Q98" i="8" a="1"/>
  <c r="Q98" i="8" s="1"/>
  <c r="R98" i="8" a="1"/>
  <c r="R98" i="8" s="1"/>
  <c r="S98" i="8" a="1"/>
  <c r="S98" i="8" s="1"/>
  <c r="T98" i="8" a="1"/>
  <c r="T98" i="8" s="1"/>
  <c r="U98" i="8" a="1"/>
  <c r="U98" i="8" s="1"/>
  <c r="V98" i="8" a="1"/>
  <c r="V98" i="8" s="1"/>
  <c r="W98" i="8" a="1"/>
  <c r="W98" i="8" s="1"/>
  <c r="X98" i="8" a="1"/>
  <c r="X98" i="8" s="1"/>
  <c r="Y98" i="8" a="1"/>
  <c r="Y98" i="8" s="1"/>
  <c r="Z98" i="8" a="1"/>
  <c r="Z98" i="8" s="1"/>
  <c r="AA98" i="8" a="1"/>
  <c r="AA98" i="8" s="1"/>
  <c r="AB98" i="8" a="1"/>
  <c r="AB98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L99" i="8" a="1"/>
  <c r="L99" i="8" s="1"/>
  <c r="M99" i="8" a="1"/>
  <c r="M99" i="8" s="1"/>
  <c r="N99" i="8" a="1"/>
  <c r="N99" i="8" s="1"/>
  <c r="O99" i="8" a="1"/>
  <c r="O99" i="8" s="1"/>
  <c r="P99" i="8" a="1"/>
  <c r="P99" i="8" s="1"/>
  <c r="Q99" i="8" a="1"/>
  <c r="Q99" i="8" s="1"/>
  <c r="R99" i="8" a="1"/>
  <c r="R99" i="8" s="1"/>
  <c r="S99" i="8" a="1"/>
  <c r="S99" i="8" s="1"/>
  <c r="T99" i="8" a="1"/>
  <c r="T99" i="8" s="1"/>
  <c r="U99" i="8" a="1"/>
  <c r="U99" i="8" s="1"/>
  <c r="V99" i="8" a="1"/>
  <c r="V99" i="8" s="1"/>
  <c r="W99" i="8" a="1"/>
  <c r="W99" i="8" s="1"/>
  <c r="X99" i="8" a="1"/>
  <c r="X99" i="8" s="1"/>
  <c r="Y99" i="8" a="1"/>
  <c r="Y99" i="8" s="1"/>
  <c r="Z99" i="8" a="1"/>
  <c r="Z99" i="8" s="1"/>
  <c r="AA99" i="8" a="1"/>
  <c r="AA99" i="8" s="1"/>
  <c r="AB99" i="8" a="1"/>
  <c r="AB99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L100" i="8" a="1"/>
  <c r="L100" i="8" s="1"/>
  <c r="M100" i="8" a="1"/>
  <c r="M100" i="8" s="1"/>
  <c r="N100" i="8" a="1"/>
  <c r="N100" i="8" s="1"/>
  <c r="O100" i="8" a="1"/>
  <c r="O100" i="8" s="1"/>
  <c r="P100" i="8" a="1"/>
  <c r="P100" i="8" s="1"/>
  <c r="Q100" i="8" a="1"/>
  <c r="Q100" i="8" s="1"/>
  <c r="R100" i="8" a="1"/>
  <c r="R100" i="8" s="1"/>
  <c r="S100" i="8" a="1"/>
  <c r="S100" i="8" s="1"/>
  <c r="T100" i="8" a="1"/>
  <c r="T100" i="8" s="1"/>
  <c r="U100" i="8" a="1"/>
  <c r="U100" i="8" s="1"/>
  <c r="V100" i="8" a="1"/>
  <c r="V100" i="8" s="1"/>
  <c r="W100" i="8" a="1"/>
  <c r="W100" i="8" s="1"/>
  <c r="X100" i="8" a="1"/>
  <c r="X100" i="8" s="1"/>
  <c r="Y100" i="8" a="1"/>
  <c r="Y100" i="8" s="1"/>
  <c r="Z100" i="8" a="1"/>
  <c r="Z100" i="8" s="1"/>
  <c r="AA100" i="8" a="1"/>
  <c r="AA100" i="8" s="1"/>
  <c r="AB100" i="8" a="1"/>
  <c r="AB100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L101" i="8" a="1"/>
  <c r="L101" i="8" s="1"/>
  <c r="M101" i="8" a="1"/>
  <c r="M101" i="8" s="1"/>
  <c r="N101" i="8" a="1"/>
  <c r="N101" i="8" s="1"/>
  <c r="O101" i="8" a="1"/>
  <c r="O101" i="8" s="1"/>
  <c r="P101" i="8" a="1"/>
  <c r="P101" i="8" s="1"/>
  <c r="Q101" i="8" a="1"/>
  <c r="Q101" i="8" s="1"/>
  <c r="R101" i="8" a="1"/>
  <c r="R101" i="8" s="1"/>
  <c r="S101" i="8" a="1"/>
  <c r="S101" i="8" s="1"/>
  <c r="T101" i="8" a="1"/>
  <c r="T101" i="8" s="1"/>
  <c r="U101" i="8" a="1"/>
  <c r="U101" i="8" s="1"/>
  <c r="V101" i="8" a="1"/>
  <c r="V101" i="8" s="1"/>
  <c r="W101" i="8" a="1"/>
  <c r="W101" i="8" s="1"/>
  <c r="X101" i="8" a="1"/>
  <c r="X101" i="8" s="1"/>
  <c r="Y101" i="8" a="1"/>
  <c r="Y101" i="8" s="1"/>
  <c r="Z101" i="8" a="1"/>
  <c r="Z101" i="8" s="1"/>
  <c r="AA101" i="8" a="1"/>
  <c r="AA101" i="8" s="1"/>
  <c r="AB101" i="8" a="1"/>
  <c r="AB101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L102" i="8" a="1"/>
  <c r="L102" i="8" s="1"/>
  <c r="M102" i="8" a="1"/>
  <c r="M102" i="8" s="1"/>
  <c r="N102" i="8" a="1"/>
  <c r="N102" i="8" s="1"/>
  <c r="O102" i="8" a="1"/>
  <c r="O102" i="8" s="1"/>
  <c r="P102" i="8" a="1"/>
  <c r="P102" i="8" s="1"/>
  <c r="Q102" i="8" a="1"/>
  <c r="Q102" i="8" s="1"/>
  <c r="R102" i="8" a="1"/>
  <c r="R102" i="8" s="1"/>
  <c r="S102" i="8" a="1"/>
  <c r="S102" i="8" s="1"/>
  <c r="T102" i="8" a="1"/>
  <c r="T102" i="8" s="1"/>
  <c r="U102" i="8" a="1"/>
  <c r="U102" i="8" s="1"/>
  <c r="V102" i="8" a="1"/>
  <c r="V102" i="8" s="1"/>
  <c r="W102" i="8" a="1"/>
  <c r="W102" i="8" s="1"/>
  <c r="X102" i="8" a="1"/>
  <c r="X102" i="8" s="1"/>
  <c r="Y102" i="8" a="1"/>
  <c r="Y102" i="8" s="1"/>
  <c r="Z102" i="8" a="1"/>
  <c r="Z102" i="8" s="1"/>
  <c r="AA102" i="8" a="1"/>
  <c r="AA102" i="8" s="1"/>
  <c r="AB102" i="8" a="1"/>
  <c r="AB102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L103" i="8" a="1"/>
  <c r="L103" i="8" s="1"/>
  <c r="M103" i="8" a="1"/>
  <c r="M103" i="8" s="1"/>
  <c r="N103" i="8" a="1"/>
  <c r="N103" i="8" s="1"/>
  <c r="O103" i="8" a="1"/>
  <c r="O103" i="8" s="1"/>
  <c r="P103" i="8" a="1"/>
  <c r="P103" i="8" s="1"/>
  <c r="Q103" i="8" a="1"/>
  <c r="Q103" i="8" s="1"/>
  <c r="R103" i="8" a="1"/>
  <c r="R103" i="8" s="1"/>
  <c r="S103" i="8" a="1"/>
  <c r="S103" i="8" s="1"/>
  <c r="T103" i="8" a="1"/>
  <c r="T103" i="8" s="1"/>
  <c r="U103" i="8" a="1"/>
  <c r="U103" i="8" s="1"/>
  <c r="V103" i="8" a="1"/>
  <c r="V103" i="8" s="1"/>
  <c r="W103" i="8" a="1"/>
  <c r="W103" i="8" s="1"/>
  <c r="X103" i="8" a="1"/>
  <c r="X103" i="8" s="1"/>
  <c r="Y103" i="8" a="1"/>
  <c r="Y103" i="8" s="1"/>
  <c r="Z103" i="8" a="1"/>
  <c r="Z103" i="8" s="1"/>
  <c r="AA103" i="8" a="1"/>
  <c r="AA103" i="8" s="1"/>
  <c r="AB103" i="8" a="1"/>
  <c r="AB103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L104" i="8" a="1"/>
  <c r="L104" i="8" s="1"/>
  <c r="M104" i="8" a="1"/>
  <c r="M104" i="8" s="1"/>
  <c r="N104" i="8" a="1"/>
  <c r="N104" i="8" s="1"/>
  <c r="O104" i="8" a="1"/>
  <c r="O104" i="8" s="1"/>
  <c r="P104" i="8" a="1"/>
  <c r="P104" i="8" s="1"/>
  <c r="Q104" i="8" a="1"/>
  <c r="Q104" i="8" s="1"/>
  <c r="R104" i="8" a="1"/>
  <c r="R104" i="8" s="1"/>
  <c r="S104" i="8" a="1"/>
  <c r="S104" i="8" s="1"/>
  <c r="T104" i="8" a="1"/>
  <c r="T104" i="8" s="1"/>
  <c r="U104" i="8" a="1"/>
  <c r="U104" i="8" s="1"/>
  <c r="V104" i="8" a="1"/>
  <c r="V104" i="8" s="1"/>
  <c r="W104" i="8" a="1"/>
  <c r="W104" i="8" s="1"/>
  <c r="X104" i="8" a="1"/>
  <c r="X104" i="8" s="1"/>
  <c r="Y104" i="8" a="1"/>
  <c r="Y104" i="8" s="1"/>
  <c r="Z104" i="8" a="1"/>
  <c r="Z104" i="8" s="1"/>
  <c r="AA104" i="8" a="1"/>
  <c r="AA104" i="8" s="1"/>
  <c r="AB104" i="8" a="1"/>
  <c r="AB104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L105" i="8" a="1"/>
  <c r="L105" i="8" s="1"/>
  <c r="M105" i="8" a="1"/>
  <c r="M105" i="8" s="1"/>
  <c r="N105" i="8" a="1"/>
  <c r="N105" i="8" s="1"/>
  <c r="O105" i="8" a="1"/>
  <c r="O105" i="8" s="1"/>
  <c r="P105" i="8" a="1"/>
  <c r="P105" i="8" s="1"/>
  <c r="Q105" i="8" a="1"/>
  <c r="Q105" i="8" s="1"/>
  <c r="R105" i="8" a="1"/>
  <c r="R105" i="8" s="1"/>
  <c r="S105" i="8" a="1"/>
  <c r="S105" i="8" s="1"/>
  <c r="T105" i="8" a="1"/>
  <c r="T105" i="8" s="1"/>
  <c r="U105" i="8" a="1"/>
  <c r="U105" i="8" s="1"/>
  <c r="V105" i="8" a="1"/>
  <c r="V105" i="8" s="1"/>
  <c r="W105" i="8" a="1"/>
  <c r="W105" i="8" s="1"/>
  <c r="X105" i="8" a="1"/>
  <c r="X105" i="8" s="1"/>
  <c r="Y105" i="8" a="1"/>
  <c r="Y105" i="8" s="1"/>
  <c r="Z105" i="8" a="1"/>
  <c r="Z105" i="8" s="1"/>
  <c r="AA105" i="8" a="1"/>
  <c r="AA105" i="8" s="1"/>
  <c r="AB105" i="8" a="1"/>
  <c r="AB105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L106" i="8" a="1"/>
  <c r="L106" i="8" s="1"/>
  <c r="M106" i="8" a="1"/>
  <c r="M106" i="8" s="1"/>
  <c r="N106" i="8" a="1"/>
  <c r="N106" i="8" s="1"/>
  <c r="O106" i="8" a="1"/>
  <c r="O106" i="8" s="1"/>
  <c r="P106" i="8" a="1"/>
  <c r="P106" i="8" s="1"/>
  <c r="Q106" i="8" a="1"/>
  <c r="Q106" i="8" s="1"/>
  <c r="R106" i="8" a="1"/>
  <c r="R106" i="8" s="1"/>
  <c r="S106" i="8" a="1"/>
  <c r="S106" i="8" s="1"/>
  <c r="T106" i="8" a="1"/>
  <c r="T106" i="8" s="1"/>
  <c r="U106" i="8" a="1"/>
  <c r="U106" i="8" s="1"/>
  <c r="V106" i="8" a="1"/>
  <c r="V106" i="8" s="1"/>
  <c r="W106" i="8" a="1"/>
  <c r="W106" i="8" s="1"/>
  <c r="X106" i="8" a="1"/>
  <c r="X106" i="8" s="1"/>
  <c r="Y106" i="8" a="1"/>
  <c r="Y106" i="8" s="1"/>
  <c r="Z106" i="8" a="1"/>
  <c r="Z106" i="8" s="1"/>
  <c r="AA106" i="8" a="1"/>
  <c r="AA106" i="8" s="1"/>
  <c r="AB106" i="8" a="1"/>
  <c r="AB106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L107" i="8" a="1"/>
  <c r="L107" i="8" s="1"/>
  <c r="M107" i="8" a="1"/>
  <c r="M107" i="8" s="1"/>
  <c r="N107" i="8" a="1"/>
  <c r="N107" i="8" s="1"/>
  <c r="O107" i="8" a="1"/>
  <c r="O107" i="8" s="1"/>
  <c r="P107" i="8" a="1"/>
  <c r="P107" i="8" s="1"/>
  <c r="Q107" i="8" a="1"/>
  <c r="Q107" i="8" s="1"/>
  <c r="R107" i="8" a="1"/>
  <c r="R107" i="8" s="1"/>
  <c r="S107" i="8" a="1"/>
  <c r="S107" i="8" s="1"/>
  <c r="T107" i="8" a="1"/>
  <c r="T107" i="8" s="1"/>
  <c r="U107" i="8" a="1"/>
  <c r="U107" i="8" s="1"/>
  <c r="V107" i="8" a="1"/>
  <c r="V107" i="8" s="1"/>
  <c r="W107" i="8" a="1"/>
  <c r="W107" i="8" s="1"/>
  <c r="X107" i="8" a="1"/>
  <c r="X107" i="8" s="1"/>
  <c r="Y107" i="8" a="1"/>
  <c r="Y107" i="8" s="1"/>
  <c r="Z107" i="8" a="1"/>
  <c r="Z107" i="8" s="1"/>
  <c r="AA107" i="8" a="1"/>
  <c r="AA107" i="8" s="1"/>
  <c r="AB107" i="8" a="1"/>
  <c r="AB107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L108" i="8" a="1"/>
  <c r="L108" i="8" s="1"/>
  <c r="M108" i="8" a="1"/>
  <c r="M108" i="8" s="1"/>
  <c r="N108" i="8" a="1"/>
  <c r="N108" i="8" s="1"/>
  <c r="O108" i="8" a="1"/>
  <c r="O108" i="8" s="1"/>
  <c r="P108" i="8" a="1"/>
  <c r="P108" i="8" s="1"/>
  <c r="Q108" i="8" a="1"/>
  <c r="Q108" i="8" s="1"/>
  <c r="R108" i="8" a="1"/>
  <c r="R108" i="8" s="1"/>
  <c r="S108" i="8" a="1"/>
  <c r="S108" i="8" s="1"/>
  <c r="T108" i="8" a="1"/>
  <c r="T108" i="8" s="1"/>
  <c r="U108" i="8" a="1"/>
  <c r="U108" i="8" s="1"/>
  <c r="V108" i="8" a="1"/>
  <c r="V108" i="8" s="1"/>
  <c r="W108" i="8" a="1"/>
  <c r="W108" i="8" s="1"/>
  <c r="X108" i="8" a="1"/>
  <c r="X108" i="8" s="1"/>
  <c r="Y108" i="8" a="1"/>
  <c r="Y108" i="8" s="1"/>
  <c r="Z108" i="8" a="1"/>
  <c r="Z108" i="8" s="1"/>
  <c r="AA108" i="8" a="1"/>
  <c r="AA108" i="8" s="1"/>
  <c r="AB108" i="8" a="1"/>
  <c r="AB108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L109" i="8" a="1"/>
  <c r="L109" i="8" s="1"/>
  <c r="M109" i="8" a="1"/>
  <c r="M109" i="8" s="1"/>
  <c r="N109" i="8" a="1"/>
  <c r="N109" i="8" s="1"/>
  <c r="O109" i="8" a="1"/>
  <c r="O109" i="8" s="1"/>
  <c r="P109" i="8" a="1"/>
  <c r="P109" i="8" s="1"/>
  <c r="Q109" i="8" a="1"/>
  <c r="Q109" i="8" s="1"/>
  <c r="R109" i="8" a="1"/>
  <c r="R109" i="8" s="1"/>
  <c r="S109" i="8" a="1"/>
  <c r="S109" i="8" s="1"/>
  <c r="T109" i="8" a="1"/>
  <c r="T109" i="8" s="1"/>
  <c r="U109" i="8" a="1"/>
  <c r="U109" i="8" s="1"/>
  <c r="V109" i="8" a="1"/>
  <c r="V109" i="8" s="1"/>
  <c r="W109" i="8" a="1"/>
  <c r="W109" i="8" s="1"/>
  <c r="X109" i="8" a="1"/>
  <c r="X109" i="8" s="1"/>
  <c r="Y109" i="8" a="1"/>
  <c r="Y109" i="8" s="1"/>
  <c r="Z109" i="8" a="1"/>
  <c r="Z109" i="8" s="1"/>
  <c r="AA109" i="8" a="1"/>
  <c r="AA109" i="8" s="1"/>
  <c r="AB109" i="8" a="1"/>
  <c r="AB109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L110" i="8" a="1"/>
  <c r="L110" i="8" s="1"/>
  <c r="M110" i="8" a="1"/>
  <c r="M110" i="8" s="1"/>
  <c r="N110" i="8" a="1"/>
  <c r="N110" i="8" s="1"/>
  <c r="O110" i="8" a="1"/>
  <c r="O110" i="8" s="1"/>
  <c r="P110" i="8" a="1"/>
  <c r="P110" i="8" s="1"/>
  <c r="Q110" i="8" a="1"/>
  <c r="Q110" i="8" s="1"/>
  <c r="R110" i="8" a="1"/>
  <c r="R110" i="8" s="1"/>
  <c r="S110" i="8" a="1"/>
  <c r="S110" i="8" s="1"/>
  <c r="T110" i="8" a="1"/>
  <c r="T110" i="8" s="1"/>
  <c r="U110" i="8" a="1"/>
  <c r="U110" i="8" s="1"/>
  <c r="V110" i="8" a="1"/>
  <c r="V110" i="8" s="1"/>
  <c r="W110" i="8" a="1"/>
  <c r="W110" i="8" s="1"/>
  <c r="X110" i="8" a="1"/>
  <c r="X110" i="8" s="1"/>
  <c r="Y110" i="8" a="1"/>
  <c r="Y110" i="8" s="1"/>
  <c r="Z110" i="8" a="1"/>
  <c r="Z110" i="8" s="1"/>
  <c r="AA110" i="8" a="1"/>
  <c r="AA110" i="8" s="1"/>
  <c r="AB110" i="8" a="1"/>
  <c r="AB110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L111" i="8" a="1"/>
  <c r="L111" i="8" s="1"/>
  <c r="M111" i="8" a="1"/>
  <c r="M111" i="8" s="1"/>
  <c r="N111" i="8" a="1"/>
  <c r="N111" i="8" s="1"/>
  <c r="O111" i="8" a="1"/>
  <c r="O111" i="8" s="1"/>
  <c r="P111" i="8" a="1"/>
  <c r="P111" i="8" s="1"/>
  <c r="Q111" i="8" a="1"/>
  <c r="Q111" i="8" s="1"/>
  <c r="R111" i="8" a="1"/>
  <c r="R111" i="8" s="1"/>
  <c r="S111" i="8" a="1"/>
  <c r="S111" i="8" s="1"/>
  <c r="T111" i="8" a="1"/>
  <c r="T111" i="8" s="1"/>
  <c r="U111" i="8" a="1"/>
  <c r="U111" i="8" s="1"/>
  <c r="V111" i="8" a="1"/>
  <c r="V111" i="8" s="1"/>
  <c r="W111" i="8" a="1"/>
  <c r="W111" i="8" s="1"/>
  <c r="X111" i="8" a="1"/>
  <c r="X111" i="8" s="1"/>
  <c r="Y111" i="8" a="1"/>
  <c r="Y111" i="8" s="1"/>
  <c r="Z111" i="8" a="1"/>
  <c r="Z111" i="8" s="1"/>
  <c r="AA111" i="8" a="1"/>
  <c r="AA111" i="8" s="1"/>
  <c r="AB111" i="8" a="1"/>
  <c r="AB111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L112" i="8" a="1"/>
  <c r="L112" i="8" s="1"/>
  <c r="M112" i="8" a="1"/>
  <c r="M112" i="8" s="1"/>
  <c r="N112" i="8" a="1"/>
  <c r="N112" i="8" s="1"/>
  <c r="O112" i="8" a="1"/>
  <c r="O112" i="8" s="1"/>
  <c r="P112" i="8" a="1"/>
  <c r="P112" i="8" s="1"/>
  <c r="Q112" i="8" a="1"/>
  <c r="Q112" i="8" s="1"/>
  <c r="R112" i="8" a="1"/>
  <c r="R112" i="8" s="1"/>
  <c r="S112" i="8" a="1"/>
  <c r="S112" i="8" s="1"/>
  <c r="T112" i="8" a="1"/>
  <c r="T112" i="8" s="1"/>
  <c r="U112" i="8" a="1"/>
  <c r="U112" i="8" s="1"/>
  <c r="V112" i="8" a="1"/>
  <c r="V112" i="8" s="1"/>
  <c r="W112" i="8" a="1"/>
  <c r="W112" i="8" s="1"/>
  <c r="X112" i="8" a="1"/>
  <c r="X112" i="8" s="1"/>
  <c r="Y112" i="8" a="1"/>
  <c r="Y112" i="8" s="1"/>
  <c r="Z112" i="8" a="1"/>
  <c r="Z112" i="8" s="1"/>
  <c r="AA112" i="8" a="1"/>
  <c r="AA112" i="8" s="1"/>
  <c r="AB112" i="8" a="1"/>
  <c r="AB112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L113" i="8" a="1"/>
  <c r="L113" i="8" s="1"/>
  <c r="M113" i="8" a="1"/>
  <c r="M113" i="8" s="1"/>
  <c r="N113" i="8" a="1"/>
  <c r="N113" i="8" s="1"/>
  <c r="O113" i="8" a="1"/>
  <c r="O113" i="8" s="1"/>
  <c r="P113" i="8" a="1"/>
  <c r="P113" i="8" s="1"/>
  <c r="Q113" i="8" a="1"/>
  <c r="Q113" i="8" s="1"/>
  <c r="R113" i="8" a="1"/>
  <c r="R113" i="8" s="1"/>
  <c r="S113" i="8" a="1"/>
  <c r="S113" i="8" s="1"/>
  <c r="T113" i="8" a="1"/>
  <c r="T113" i="8" s="1"/>
  <c r="U113" i="8" a="1"/>
  <c r="U113" i="8" s="1"/>
  <c r="V113" i="8" a="1"/>
  <c r="V113" i="8" s="1"/>
  <c r="W113" i="8" a="1"/>
  <c r="W113" i="8" s="1"/>
  <c r="X113" i="8" a="1"/>
  <c r="X113" i="8" s="1"/>
  <c r="Y113" i="8" a="1"/>
  <c r="Y113" i="8" s="1"/>
  <c r="Z113" i="8" a="1"/>
  <c r="Z113" i="8" s="1"/>
  <c r="AA113" i="8" a="1"/>
  <c r="AA113" i="8" s="1"/>
  <c r="AB113" i="8" a="1"/>
  <c r="AB113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L114" i="8" a="1"/>
  <c r="L114" i="8" s="1"/>
  <c r="M114" i="8" a="1"/>
  <c r="M114" i="8" s="1"/>
  <c r="N114" i="8" a="1"/>
  <c r="N114" i="8" s="1"/>
  <c r="O114" i="8" a="1"/>
  <c r="O114" i="8" s="1"/>
  <c r="P114" i="8" a="1"/>
  <c r="P114" i="8" s="1"/>
  <c r="Q114" i="8" a="1"/>
  <c r="Q114" i="8" s="1"/>
  <c r="R114" i="8" a="1"/>
  <c r="R114" i="8" s="1"/>
  <c r="S114" i="8" a="1"/>
  <c r="S114" i="8" s="1"/>
  <c r="T114" i="8" a="1"/>
  <c r="T114" i="8" s="1"/>
  <c r="U114" i="8" a="1"/>
  <c r="U114" i="8" s="1"/>
  <c r="V114" i="8" a="1"/>
  <c r="V114" i="8" s="1"/>
  <c r="W114" i="8" a="1"/>
  <c r="W114" i="8" s="1"/>
  <c r="X114" i="8" a="1"/>
  <c r="X114" i="8" s="1"/>
  <c r="Y114" i="8" a="1"/>
  <c r="Y114" i="8" s="1"/>
  <c r="Z114" i="8" a="1"/>
  <c r="Z114" i="8" s="1"/>
  <c r="AA114" i="8" a="1"/>
  <c r="AA114" i="8" s="1"/>
  <c r="AB114" i="8" a="1"/>
  <c r="AB114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L115" i="8" a="1"/>
  <c r="L115" i="8" s="1"/>
  <c r="M115" i="8" a="1"/>
  <c r="M115" i="8" s="1"/>
  <c r="N115" i="8" a="1"/>
  <c r="N115" i="8" s="1"/>
  <c r="O115" i="8" a="1"/>
  <c r="O115" i="8" s="1"/>
  <c r="P115" i="8" a="1"/>
  <c r="P115" i="8" s="1"/>
  <c r="Q115" i="8" a="1"/>
  <c r="Q115" i="8" s="1"/>
  <c r="R115" i="8" a="1"/>
  <c r="R115" i="8" s="1"/>
  <c r="S115" i="8" a="1"/>
  <c r="S115" i="8" s="1"/>
  <c r="T115" i="8" a="1"/>
  <c r="T115" i="8" s="1"/>
  <c r="U115" i="8" a="1"/>
  <c r="U115" i="8" s="1"/>
  <c r="V115" i="8" a="1"/>
  <c r="V115" i="8" s="1"/>
  <c r="W115" i="8" a="1"/>
  <c r="W115" i="8" s="1"/>
  <c r="X115" i="8" a="1"/>
  <c r="X115" i="8" s="1"/>
  <c r="Y115" i="8" a="1"/>
  <c r="Y115" i="8" s="1"/>
  <c r="Z115" i="8" a="1"/>
  <c r="Z115" i="8" s="1"/>
  <c r="AA115" i="8" a="1"/>
  <c r="AA115" i="8" s="1"/>
  <c r="AB115" i="8" a="1"/>
  <c r="AB115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L116" i="8" a="1"/>
  <c r="L116" i="8" s="1"/>
  <c r="M116" i="8" a="1"/>
  <c r="M116" i="8" s="1"/>
  <c r="N116" i="8" a="1"/>
  <c r="N116" i="8" s="1"/>
  <c r="O116" i="8" a="1"/>
  <c r="O116" i="8" s="1"/>
  <c r="P116" i="8" a="1"/>
  <c r="P116" i="8" s="1"/>
  <c r="Q116" i="8" a="1"/>
  <c r="Q116" i="8" s="1"/>
  <c r="R116" i="8" a="1"/>
  <c r="R116" i="8" s="1"/>
  <c r="S116" i="8" a="1"/>
  <c r="S116" i="8" s="1"/>
  <c r="T116" i="8" a="1"/>
  <c r="T116" i="8" s="1"/>
  <c r="U116" i="8" a="1"/>
  <c r="U116" i="8" s="1"/>
  <c r="V116" i="8" a="1"/>
  <c r="V116" i="8" s="1"/>
  <c r="W116" i="8" a="1"/>
  <c r="W116" i="8" s="1"/>
  <c r="X116" i="8" a="1"/>
  <c r="X116" i="8" s="1"/>
  <c r="Y116" i="8" a="1"/>
  <c r="Y116" i="8" s="1"/>
  <c r="Z116" i="8" a="1"/>
  <c r="Z116" i="8" s="1"/>
  <c r="AA116" i="8" a="1"/>
  <c r="AA116" i="8" s="1"/>
  <c r="AB116" i="8" a="1"/>
  <c r="AB116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L117" i="8" a="1"/>
  <c r="L117" i="8" s="1"/>
  <c r="M117" i="8" a="1"/>
  <c r="M117" i="8" s="1"/>
  <c r="N117" i="8" a="1"/>
  <c r="N117" i="8" s="1"/>
  <c r="O117" i="8" a="1"/>
  <c r="O117" i="8" s="1"/>
  <c r="P117" i="8" a="1"/>
  <c r="P117" i="8" s="1"/>
  <c r="Q117" i="8" a="1"/>
  <c r="Q117" i="8" s="1"/>
  <c r="R117" i="8" a="1"/>
  <c r="R117" i="8" s="1"/>
  <c r="S117" i="8" a="1"/>
  <c r="S117" i="8" s="1"/>
  <c r="T117" i="8" a="1"/>
  <c r="T117" i="8" s="1"/>
  <c r="U117" i="8" a="1"/>
  <c r="U117" i="8" s="1"/>
  <c r="V117" i="8" a="1"/>
  <c r="V117" i="8" s="1"/>
  <c r="W117" i="8" a="1"/>
  <c r="W117" i="8" s="1"/>
  <c r="X117" i="8" a="1"/>
  <c r="X117" i="8" s="1"/>
  <c r="Y117" i="8" a="1"/>
  <c r="Y117" i="8" s="1"/>
  <c r="Z117" i="8" a="1"/>
  <c r="Z117" i="8" s="1"/>
  <c r="AA117" i="8" a="1"/>
  <c r="AA117" i="8" s="1"/>
  <c r="AB117" i="8" a="1"/>
  <c r="AB117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L118" i="8" a="1"/>
  <c r="L118" i="8" s="1"/>
  <c r="M118" i="8" a="1"/>
  <c r="M118" i="8" s="1"/>
  <c r="N118" i="8" a="1"/>
  <c r="N118" i="8" s="1"/>
  <c r="O118" i="8" a="1"/>
  <c r="O118" i="8" s="1"/>
  <c r="P118" i="8" a="1"/>
  <c r="P118" i="8" s="1"/>
  <c r="Q118" i="8" a="1"/>
  <c r="Q118" i="8" s="1"/>
  <c r="R118" i="8" a="1"/>
  <c r="R118" i="8" s="1"/>
  <c r="S118" i="8" a="1"/>
  <c r="S118" i="8" s="1"/>
  <c r="T118" i="8" a="1"/>
  <c r="T118" i="8" s="1"/>
  <c r="U118" i="8" a="1"/>
  <c r="U118" i="8" s="1"/>
  <c r="V118" i="8" a="1"/>
  <c r="V118" i="8" s="1"/>
  <c r="W118" i="8" a="1"/>
  <c r="W118" i="8" s="1"/>
  <c r="X118" i="8" a="1"/>
  <c r="X118" i="8" s="1"/>
  <c r="Y118" i="8" a="1"/>
  <c r="Y118" i="8" s="1"/>
  <c r="Z118" i="8" a="1"/>
  <c r="Z118" i="8" s="1"/>
  <c r="AA118" i="8" a="1"/>
  <c r="AA118" i="8" s="1"/>
  <c r="AB118" i="8" a="1"/>
  <c r="AB118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L119" i="8" a="1"/>
  <c r="L119" i="8" s="1"/>
  <c r="M119" i="8" a="1"/>
  <c r="M119" i="8" s="1"/>
  <c r="N119" i="8" a="1"/>
  <c r="N119" i="8" s="1"/>
  <c r="O119" i="8" a="1"/>
  <c r="O119" i="8" s="1"/>
  <c r="P119" i="8" a="1"/>
  <c r="P119" i="8" s="1"/>
  <c r="Q119" i="8" a="1"/>
  <c r="Q119" i="8" s="1"/>
  <c r="R119" i="8" a="1"/>
  <c r="R119" i="8" s="1"/>
  <c r="S119" i="8" a="1"/>
  <c r="S119" i="8" s="1"/>
  <c r="T119" i="8" a="1"/>
  <c r="T119" i="8" s="1"/>
  <c r="U119" i="8" a="1"/>
  <c r="U119" i="8" s="1"/>
  <c r="V119" i="8" a="1"/>
  <c r="V119" i="8" s="1"/>
  <c r="W119" i="8" a="1"/>
  <c r="W119" i="8" s="1"/>
  <c r="X119" i="8" a="1"/>
  <c r="X119" i="8" s="1"/>
  <c r="Y119" i="8" a="1"/>
  <c r="Y119" i="8" s="1"/>
  <c r="Z119" i="8" a="1"/>
  <c r="Z119" i="8" s="1"/>
  <c r="AA119" i="8" a="1"/>
  <c r="AA119" i="8" s="1"/>
  <c r="AB119" i="8" a="1"/>
  <c r="AB119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L120" i="8" a="1"/>
  <c r="L120" i="8" s="1"/>
  <c r="M120" i="8" a="1"/>
  <c r="M120" i="8" s="1"/>
  <c r="N120" i="8" a="1"/>
  <c r="N120" i="8" s="1"/>
  <c r="O120" i="8" a="1"/>
  <c r="O120" i="8" s="1"/>
  <c r="P120" i="8" a="1"/>
  <c r="P120" i="8" s="1"/>
  <c r="Q120" i="8" a="1"/>
  <c r="Q120" i="8" s="1"/>
  <c r="R120" i="8" a="1"/>
  <c r="R120" i="8" s="1"/>
  <c r="S120" i="8" a="1"/>
  <c r="S120" i="8" s="1"/>
  <c r="T120" i="8" a="1"/>
  <c r="T120" i="8" s="1"/>
  <c r="U120" i="8" a="1"/>
  <c r="U120" i="8" s="1"/>
  <c r="V120" i="8" a="1"/>
  <c r="V120" i="8" s="1"/>
  <c r="W120" i="8" a="1"/>
  <c r="W120" i="8" s="1"/>
  <c r="X120" i="8" a="1"/>
  <c r="X120" i="8" s="1"/>
  <c r="Y120" i="8" a="1"/>
  <c r="Y120" i="8" s="1"/>
  <c r="Z120" i="8" a="1"/>
  <c r="Z120" i="8" s="1"/>
  <c r="AA120" i="8" a="1"/>
  <c r="AA120" i="8" s="1"/>
  <c r="AB120" i="8" a="1"/>
  <c r="AB120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L121" i="8" a="1"/>
  <c r="L121" i="8" s="1"/>
  <c r="M121" i="8" a="1"/>
  <c r="M121" i="8" s="1"/>
  <c r="N121" i="8" a="1"/>
  <c r="N121" i="8" s="1"/>
  <c r="O121" i="8" a="1"/>
  <c r="O121" i="8" s="1"/>
  <c r="P121" i="8" a="1"/>
  <c r="P121" i="8" s="1"/>
  <c r="Q121" i="8" a="1"/>
  <c r="Q121" i="8" s="1"/>
  <c r="R121" i="8" a="1"/>
  <c r="R121" i="8" s="1"/>
  <c r="S121" i="8" a="1"/>
  <c r="S121" i="8" s="1"/>
  <c r="T121" i="8" a="1"/>
  <c r="T121" i="8" s="1"/>
  <c r="U121" i="8" a="1"/>
  <c r="U121" i="8" s="1"/>
  <c r="V121" i="8" a="1"/>
  <c r="V121" i="8" s="1"/>
  <c r="W121" i="8" a="1"/>
  <c r="W121" i="8" s="1"/>
  <c r="X121" i="8" a="1"/>
  <c r="X121" i="8" s="1"/>
  <c r="Y121" i="8" a="1"/>
  <c r="Y121" i="8" s="1"/>
  <c r="Z121" i="8" a="1"/>
  <c r="Z121" i="8" s="1"/>
  <c r="AA121" i="8" a="1"/>
  <c r="AA121" i="8" s="1"/>
  <c r="AB121" i="8" a="1"/>
  <c r="AB121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L122" i="8" a="1"/>
  <c r="L122" i="8" s="1"/>
  <c r="M122" i="8" a="1"/>
  <c r="M122" i="8" s="1"/>
  <c r="N122" i="8" a="1"/>
  <c r="N122" i="8" s="1"/>
  <c r="O122" i="8" a="1"/>
  <c r="O122" i="8" s="1"/>
  <c r="P122" i="8" a="1"/>
  <c r="P122" i="8" s="1"/>
  <c r="Q122" i="8" a="1"/>
  <c r="Q122" i="8" s="1"/>
  <c r="R122" i="8" a="1"/>
  <c r="R122" i="8" s="1"/>
  <c r="S122" i="8" a="1"/>
  <c r="S122" i="8" s="1"/>
  <c r="T122" i="8" a="1"/>
  <c r="T122" i="8" s="1"/>
  <c r="U122" i="8" a="1"/>
  <c r="U122" i="8" s="1"/>
  <c r="V122" i="8" a="1"/>
  <c r="V122" i="8" s="1"/>
  <c r="W122" i="8" a="1"/>
  <c r="W122" i="8" s="1"/>
  <c r="X122" i="8" a="1"/>
  <c r="X122" i="8" s="1"/>
  <c r="Y122" i="8" a="1"/>
  <c r="Y122" i="8" s="1"/>
  <c r="Z122" i="8" a="1"/>
  <c r="Z122" i="8" s="1"/>
  <c r="AA122" i="8" a="1"/>
  <c r="AA122" i="8" s="1"/>
  <c r="AB122" i="8" a="1"/>
  <c r="AB122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L123" i="8" a="1"/>
  <c r="L123" i="8" s="1"/>
  <c r="M123" i="8" a="1"/>
  <c r="M123" i="8" s="1"/>
  <c r="N123" i="8" a="1"/>
  <c r="N123" i="8" s="1"/>
  <c r="O123" i="8" a="1"/>
  <c r="O123" i="8" s="1"/>
  <c r="P123" i="8" a="1"/>
  <c r="P123" i="8" s="1"/>
  <c r="Q123" i="8" a="1"/>
  <c r="Q123" i="8" s="1"/>
  <c r="R123" i="8" a="1"/>
  <c r="R123" i="8" s="1"/>
  <c r="S123" i="8" a="1"/>
  <c r="S123" i="8" s="1"/>
  <c r="T123" i="8" a="1"/>
  <c r="T123" i="8" s="1"/>
  <c r="U123" i="8" a="1"/>
  <c r="U123" i="8" s="1"/>
  <c r="V123" i="8" a="1"/>
  <c r="V123" i="8" s="1"/>
  <c r="W123" i="8" a="1"/>
  <c r="W123" i="8" s="1"/>
  <c r="X123" i="8" a="1"/>
  <c r="X123" i="8" s="1"/>
  <c r="Y123" i="8" a="1"/>
  <c r="Y123" i="8" s="1"/>
  <c r="Z123" i="8" a="1"/>
  <c r="Z123" i="8" s="1"/>
  <c r="AA123" i="8" a="1"/>
  <c r="AA123" i="8" s="1"/>
  <c r="AB123" i="8" a="1"/>
  <c r="AB123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L124" i="8" a="1"/>
  <c r="L124" i="8" s="1"/>
  <c r="M124" i="8" a="1"/>
  <c r="M124" i="8" s="1"/>
  <c r="N124" i="8" a="1"/>
  <c r="N124" i="8" s="1"/>
  <c r="O124" i="8" a="1"/>
  <c r="O124" i="8" s="1"/>
  <c r="P124" i="8" a="1"/>
  <c r="P124" i="8" s="1"/>
  <c r="Q124" i="8" a="1"/>
  <c r="Q124" i="8" s="1"/>
  <c r="R124" i="8" a="1"/>
  <c r="R124" i="8" s="1"/>
  <c r="S124" i="8" a="1"/>
  <c r="S124" i="8" s="1"/>
  <c r="T124" i="8" a="1"/>
  <c r="T124" i="8" s="1"/>
  <c r="U124" i="8" a="1"/>
  <c r="U124" i="8" s="1"/>
  <c r="V124" i="8" a="1"/>
  <c r="V124" i="8" s="1"/>
  <c r="W124" i="8" a="1"/>
  <c r="W124" i="8" s="1"/>
  <c r="X124" i="8" a="1"/>
  <c r="X124" i="8" s="1"/>
  <c r="Y124" i="8" a="1"/>
  <c r="Y124" i="8" s="1"/>
  <c r="Z124" i="8" a="1"/>
  <c r="Z124" i="8" s="1"/>
  <c r="AA124" i="8" a="1"/>
  <c r="AA124" i="8" s="1"/>
  <c r="AB124" i="8" a="1"/>
  <c r="AB124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L125" i="8" a="1"/>
  <c r="L125" i="8" s="1"/>
  <c r="M125" i="8" a="1"/>
  <c r="M125" i="8" s="1"/>
  <c r="N125" i="8" a="1"/>
  <c r="N125" i="8" s="1"/>
  <c r="O125" i="8" a="1"/>
  <c r="O125" i="8" s="1"/>
  <c r="P125" i="8" a="1"/>
  <c r="P125" i="8" s="1"/>
  <c r="Q125" i="8" a="1"/>
  <c r="Q125" i="8" s="1"/>
  <c r="R125" i="8" a="1"/>
  <c r="R125" i="8" s="1"/>
  <c r="S125" i="8" a="1"/>
  <c r="S125" i="8" s="1"/>
  <c r="T125" i="8" a="1"/>
  <c r="T125" i="8" s="1"/>
  <c r="U125" i="8" a="1"/>
  <c r="U125" i="8" s="1"/>
  <c r="V125" i="8" a="1"/>
  <c r="V125" i="8" s="1"/>
  <c r="W125" i="8" a="1"/>
  <c r="W125" i="8" s="1"/>
  <c r="X125" i="8" a="1"/>
  <c r="X125" i="8" s="1"/>
  <c r="Y125" i="8" a="1"/>
  <c r="Y125" i="8" s="1"/>
  <c r="Z125" i="8" a="1"/>
  <c r="Z125" i="8" s="1"/>
  <c r="AA125" i="8" a="1"/>
  <c r="AA125" i="8" s="1"/>
  <c r="AB125" i="8" a="1"/>
  <c r="AB125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L126" i="8" a="1"/>
  <c r="L126" i="8" s="1"/>
  <c r="M126" i="8" a="1"/>
  <c r="M126" i="8" s="1"/>
  <c r="N126" i="8" a="1"/>
  <c r="N126" i="8" s="1"/>
  <c r="O126" i="8" a="1"/>
  <c r="O126" i="8" s="1"/>
  <c r="P126" i="8" a="1"/>
  <c r="P126" i="8" s="1"/>
  <c r="Q126" i="8" a="1"/>
  <c r="Q126" i="8" s="1"/>
  <c r="R126" i="8" a="1"/>
  <c r="R126" i="8" s="1"/>
  <c r="S126" i="8" a="1"/>
  <c r="S126" i="8" s="1"/>
  <c r="T126" i="8" a="1"/>
  <c r="T126" i="8" s="1"/>
  <c r="U126" i="8" a="1"/>
  <c r="U126" i="8" s="1"/>
  <c r="V126" i="8" a="1"/>
  <c r="V126" i="8" s="1"/>
  <c r="W126" i="8" a="1"/>
  <c r="W126" i="8" s="1"/>
  <c r="X126" i="8" a="1"/>
  <c r="X126" i="8" s="1"/>
  <c r="Y126" i="8" a="1"/>
  <c r="Y126" i="8" s="1"/>
  <c r="Z126" i="8" a="1"/>
  <c r="Z126" i="8" s="1"/>
  <c r="AA126" i="8" a="1"/>
  <c r="AA126" i="8" s="1"/>
  <c r="AB126" i="8" a="1"/>
  <c r="AB126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L127" i="8" a="1"/>
  <c r="L127" i="8" s="1"/>
  <c r="M127" i="8" a="1"/>
  <c r="M127" i="8" s="1"/>
  <c r="N127" i="8" a="1"/>
  <c r="N127" i="8" s="1"/>
  <c r="O127" i="8" a="1"/>
  <c r="O127" i="8" s="1"/>
  <c r="P127" i="8" a="1"/>
  <c r="P127" i="8" s="1"/>
  <c r="Q127" i="8" a="1"/>
  <c r="Q127" i="8" s="1"/>
  <c r="R127" i="8" a="1"/>
  <c r="R127" i="8" s="1"/>
  <c r="S127" i="8" a="1"/>
  <c r="S127" i="8" s="1"/>
  <c r="T127" i="8" a="1"/>
  <c r="T127" i="8" s="1"/>
  <c r="U127" i="8" a="1"/>
  <c r="U127" i="8" s="1"/>
  <c r="V127" i="8" a="1"/>
  <c r="V127" i="8" s="1"/>
  <c r="W127" i="8" a="1"/>
  <c r="W127" i="8" s="1"/>
  <c r="X127" i="8" a="1"/>
  <c r="X127" i="8" s="1"/>
  <c r="Y127" i="8" a="1"/>
  <c r="Y127" i="8" s="1"/>
  <c r="Z127" i="8" a="1"/>
  <c r="Z127" i="8" s="1"/>
  <c r="AA127" i="8" a="1"/>
  <c r="AA127" i="8" s="1"/>
  <c r="AB127" i="8" a="1"/>
  <c r="AB127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L128" i="8" a="1"/>
  <c r="L128" i="8" s="1"/>
  <c r="M128" i="8" a="1"/>
  <c r="M128" i="8" s="1"/>
  <c r="N128" i="8" a="1"/>
  <c r="N128" i="8" s="1"/>
  <c r="O128" i="8" a="1"/>
  <c r="O128" i="8" s="1"/>
  <c r="P128" i="8" a="1"/>
  <c r="P128" i="8" s="1"/>
  <c r="Q128" i="8" a="1"/>
  <c r="Q128" i="8" s="1"/>
  <c r="R128" i="8" a="1"/>
  <c r="R128" i="8" s="1"/>
  <c r="S128" i="8" a="1"/>
  <c r="S128" i="8" s="1"/>
  <c r="T128" i="8" a="1"/>
  <c r="T128" i="8" s="1"/>
  <c r="U128" i="8" a="1"/>
  <c r="U128" i="8" s="1"/>
  <c r="V128" i="8" a="1"/>
  <c r="V128" i="8" s="1"/>
  <c r="W128" i="8" a="1"/>
  <c r="W128" i="8" s="1"/>
  <c r="X128" i="8" a="1"/>
  <c r="X128" i="8" s="1"/>
  <c r="Y128" i="8" a="1"/>
  <c r="Y128" i="8" s="1"/>
  <c r="Z128" i="8" a="1"/>
  <c r="Z128" i="8" s="1"/>
  <c r="AA128" i="8" a="1"/>
  <c r="AA128" i="8" s="1"/>
  <c r="AB128" i="8" a="1"/>
  <c r="AB128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L129" i="8" a="1"/>
  <c r="L129" i="8" s="1"/>
  <c r="M129" i="8" a="1"/>
  <c r="M129" i="8" s="1"/>
  <c r="N129" i="8" a="1"/>
  <c r="N129" i="8" s="1"/>
  <c r="O129" i="8" a="1"/>
  <c r="O129" i="8" s="1"/>
  <c r="P129" i="8" a="1"/>
  <c r="P129" i="8" s="1"/>
  <c r="Q129" i="8" a="1"/>
  <c r="Q129" i="8" s="1"/>
  <c r="R129" i="8" a="1"/>
  <c r="R129" i="8" s="1"/>
  <c r="S129" i="8" a="1"/>
  <c r="S129" i="8" s="1"/>
  <c r="T129" i="8" a="1"/>
  <c r="T129" i="8" s="1"/>
  <c r="U129" i="8" a="1"/>
  <c r="U129" i="8" s="1"/>
  <c r="V129" i="8" a="1"/>
  <c r="V129" i="8" s="1"/>
  <c r="W129" i="8" a="1"/>
  <c r="W129" i="8" s="1"/>
  <c r="X129" i="8" a="1"/>
  <c r="X129" i="8" s="1"/>
  <c r="Y129" i="8" a="1"/>
  <c r="Y129" i="8" s="1"/>
  <c r="Z129" i="8" a="1"/>
  <c r="Z129" i="8" s="1"/>
  <c r="AA129" i="8" a="1"/>
  <c r="AA129" i="8" s="1"/>
  <c r="AB129" i="8" a="1"/>
  <c r="AB129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L130" i="8" a="1"/>
  <c r="L130" i="8" s="1"/>
  <c r="M130" i="8" a="1"/>
  <c r="M130" i="8" s="1"/>
  <c r="N130" i="8" a="1"/>
  <c r="N130" i="8" s="1"/>
  <c r="O130" i="8" a="1"/>
  <c r="O130" i="8" s="1"/>
  <c r="P130" i="8" a="1"/>
  <c r="P130" i="8" s="1"/>
  <c r="Q130" i="8" a="1"/>
  <c r="Q130" i="8" s="1"/>
  <c r="R130" i="8" a="1"/>
  <c r="R130" i="8" s="1"/>
  <c r="S130" i="8" a="1"/>
  <c r="S130" i="8" s="1"/>
  <c r="T130" i="8" a="1"/>
  <c r="T130" i="8" s="1"/>
  <c r="U130" i="8" a="1"/>
  <c r="U130" i="8" s="1"/>
  <c r="V130" i="8" a="1"/>
  <c r="V130" i="8" s="1"/>
  <c r="W130" i="8" a="1"/>
  <c r="W130" i="8" s="1"/>
  <c r="X130" i="8" a="1"/>
  <c r="X130" i="8" s="1"/>
  <c r="Y130" i="8" a="1"/>
  <c r="Y130" i="8" s="1"/>
  <c r="Z130" i="8" a="1"/>
  <c r="Z130" i="8" s="1"/>
  <c r="AA130" i="8" a="1"/>
  <c r="AA130" i="8" s="1"/>
  <c r="AB130" i="8" a="1"/>
  <c r="AB130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Q131" i="8" a="1"/>
  <c r="Q131" i="8" s="1"/>
  <c r="R131" i="8" a="1"/>
  <c r="R131" i="8" s="1"/>
  <c r="S131" i="8" a="1"/>
  <c r="S131" i="8" s="1"/>
  <c r="T131" i="8" a="1"/>
  <c r="T131" i="8" s="1"/>
  <c r="U131" i="8" a="1"/>
  <c r="U131" i="8" s="1"/>
  <c r="V131" i="8" a="1"/>
  <c r="V131" i="8" s="1"/>
  <c r="W131" i="8" a="1"/>
  <c r="W131" i="8" s="1"/>
  <c r="X131" i="8" a="1"/>
  <c r="X131" i="8" s="1"/>
  <c r="Y131" i="8" a="1"/>
  <c r="Y131" i="8" s="1"/>
  <c r="Z131" i="8" a="1"/>
  <c r="Z131" i="8" s="1"/>
  <c r="AA131" i="8" a="1"/>
  <c r="AA131" i="8" s="1"/>
  <c r="AB131" i="8" a="1"/>
  <c r="AB131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Q132" i="8" a="1"/>
  <c r="Q132" i="8" s="1"/>
  <c r="R132" i="8" a="1"/>
  <c r="R132" i="8" s="1"/>
  <c r="S132" i="8" a="1"/>
  <c r="S132" i="8" s="1"/>
  <c r="T132" i="8" a="1"/>
  <c r="T132" i="8" s="1"/>
  <c r="U132" i="8" a="1"/>
  <c r="U132" i="8" s="1"/>
  <c r="V132" i="8" a="1"/>
  <c r="V132" i="8" s="1"/>
  <c r="W132" i="8" a="1"/>
  <c r="W132" i="8" s="1"/>
  <c r="X132" i="8" a="1"/>
  <c r="X132" i="8" s="1"/>
  <c r="Y132" i="8" a="1"/>
  <c r="Y132" i="8" s="1"/>
  <c r="Z132" i="8" a="1"/>
  <c r="Z132" i="8" s="1"/>
  <c r="AA132" i="8" a="1"/>
  <c r="AA132" i="8" s="1"/>
  <c r="AB132" i="8" a="1"/>
  <c r="AB132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L133" i="8" a="1"/>
  <c r="L133" i="8" s="1"/>
  <c r="M133" i="8" a="1"/>
  <c r="M133" i="8" s="1"/>
  <c r="N133" i="8" a="1"/>
  <c r="N133" i="8" s="1"/>
  <c r="O133" i="8" a="1"/>
  <c r="O133" i="8" s="1"/>
  <c r="P133" i="8" a="1"/>
  <c r="P133" i="8" s="1"/>
  <c r="Q133" i="8" a="1"/>
  <c r="Q133" i="8" s="1"/>
  <c r="R133" i="8" a="1"/>
  <c r="R133" i="8" s="1"/>
  <c r="S133" i="8" a="1"/>
  <c r="S133" i="8" s="1"/>
  <c r="T133" i="8" a="1"/>
  <c r="T133" i="8" s="1"/>
  <c r="U133" i="8" a="1"/>
  <c r="U133" i="8" s="1"/>
  <c r="V133" i="8" a="1"/>
  <c r="V133" i="8" s="1"/>
  <c r="W133" i="8" a="1"/>
  <c r="W133" i="8" s="1"/>
  <c r="X133" i="8" a="1"/>
  <c r="X133" i="8" s="1"/>
  <c r="Y133" i="8" a="1"/>
  <c r="Y133" i="8" s="1"/>
  <c r="Z133" i="8" a="1"/>
  <c r="Z133" i="8" s="1"/>
  <c r="AA133" i="8" a="1"/>
  <c r="AA133" i="8" s="1"/>
  <c r="AB133" i="8" a="1"/>
  <c r="AB133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L134" i="8" a="1"/>
  <c r="L134" i="8" s="1"/>
  <c r="M134" i="8" a="1"/>
  <c r="M134" i="8" s="1"/>
  <c r="N134" i="8" a="1"/>
  <c r="N134" i="8" s="1"/>
  <c r="O134" i="8" a="1"/>
  <c r="O134" i="8" s="1"/>
  <c r="P134" i="8" a="1"/>
  <c r="P134" i="8" s="1"/>
  <c r="Q134" i="8" a="1"/>
  <c r="Q134" i="8" s="1"/>
  <c r="R134" i="8" a="1"/>
  <c r="R134" i="8" s="1"/>
  <c r="S134" i="8" a="1"/>
  <c r="S134" i="8" s="1"/>
  <c r="T134" i="8" a="1"/>
  <c r="T134" i="8" s="1"/>
  <c r="U134" i="8" a="1"/>
  <c r="U134" i="8" s="1"/>
  <c r="V134" i="8" a="1"/>
  <c r="V134" i="8" s="1"/>
  <c r="W134" i="8" a="1"/>
  <c r="W134" i="8" s="1"/>
  <c r="X134" i="8" a="1"/>
  <c r="X134" i="8" s="1"/>
  <c r="Y134" i="8" a="1"/>
  <c r="Y134" i="8" s="1"/>
  <c r="Z134" i="8" a="1"/>
  <c r="Z134" i="8" s="1"/>
  <c r="AA134" i="8" a="1"/>
  <c r="AA134" i="8" s="1"/>
  <c r="AB134" i="8" a="1"/>
  <c r="AB134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L135" i="8" a="1"/>
  <c r="L135" i="8" s="1"/>
  <c r="M135" i="8" a="1"/>
  <c r="M135" i="8" s="1"/>
  <c r="N135" i="8" a="1"/>
  <c r="N135" i="8" s="1"/>
  <c r="O135" i="8" a="1"/>
  <c r="O135" i="8" s="1"/>
  <c r="P135" i="8" a="1"/>
  <c r="P135" i="8" s="1"/>
  <c r="Q135" i="8" a="1"/>
  <c r="Q135" i="8" s="1"/>
  <c r="R135" i="8" a="1"/>
  <c r="R135" i="8" s="1"/>
  <c r="S135" i="8" a="1"/>
  <c r="S135" i="8" s="1"/>
  <c r="T135" i="8" a="1"/>
  <c r="T135" i="8" s="1"/>
  <c r="U135" i="8" a="1"/>
  <c r="U135" i="8" s="1"/>
  <c r="V135" i="8" a="1"/>
  <c r="V135" i="8" s="1"/>
  <c r="W135" i="8" a="1"/>
  <c r="W135" i="8" s="1"/>
  <c r="X135" i="8" a="1"/>
  <c r="X135" i="8" s="1"/>
  <c r="Y135" i="8" a="1"/>
  <c r="Y135" i="8" s="1"/>
  <c r="Z135" i="8" a="1"/>
  <c r="Z135" i="8" s="1"/>
  <c r="AA135" i="8" a="1"/>
  <c r="AA135" i="8" s="1"/>
  <c r="AB135" i="8" a="1"/>
  <c r="AB135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L136" i="8" a="1"/>
  <c r="L136" i="8" s="1"/>
  <c r="M136" i="8" a="1"/>
  <c r="M136" i="8" s="1"/>
  <c r="N136" i="8" a="1"/>
  <c r="N136" i="8" s="1"/>
  <c r="O136" i="8" a="1"/>
  <c r="O136" i="8" s="1"/>
  <c r="P136" i="8" a="1"/>
  <c r="P136" i="8" s="1"/>
  <c r="Q136" i="8" a="1"/>
  <c r="Q136" i="8" s="1"/>
  <c r="R136" i="8" a="1"/>
  <c r="R136" i="8" s="1"/>
  <c r="S136" i="8" a="1"/>
  <c r="S136" i="8" s="1"/>
  <c r="T136" i="8" a="1"/>
  <c r="T136" i="8" s="1"/>
  <c r="U136" i="8" a="1"/>
  <c r="U136" i="8" s="1"/>
  <c r="V136" i="8" a="1"/>
  <c r="V136" i="8" s="1"/>
  <c r="W136" i="8" a="1"/>
  <c r="W136" i="8" s="1"/>
  <c r="X136" i="8" a="1"/>
  <c r="X136" i="8" s="1"/>
  <c r="Y136" i="8" a="1"/>
  <c r="Y136" i="8" s="1"/>
  <c r="Z136" i="8" a="1"/>
  <c r="Z136" i="8" s="1"/>
  <c r="AA136" i="8" a="1"/>
  <c r="AA136" i="8" s="1"/>
  <c r="AB136" i="8" a="1"/>
  <c r="AB136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L137" i="8" a="1"/>
  <c r="L137" i="8" s="1"/>
  <c r="M137" i="8" a="1"/>
  <c r="M137" i="8" s="1"/>
  <c r="N137" i="8" a="1"/>
  <c r="N137" i="8" s="1"/>
  <c r="O137" i="8" a="1"/>
  <c r="O137" i="8" s="1"/>
  <c r="P137" i="8" a="1"/>
  <c r="P137" i="8" s="1"/>
  <c r="Q137" i="8" a="1"/>
  <c r="Q137" i="8" s="1"/>
  <c r="R137" i="8" a="1"/>
  <c r="R137" i="8" s="1"/>
  <c r="S137" i="8" a="1"/>
  <c r="S137" i="8" s="1"/>
  <c r="T137" i="8" a="1"/>
  <c r="T137" i="8" s="1"/>
  <c r="U137" i="8" a="1"/>
  <c r="U137" i="8" s="1"/>
  <c r="V137" i="8" a="1"/>
  <c r="V137" i="8" s="1"/>
  <c r="W137" i="8" a="1"/>
  <c r="W137" i="8" s="1"/>
  <c r="X137" i="8" a="1"/>
  <c r="X137" i="8" s="1"/>
  <c r="Y137" i="8" a="1"/>
  <c r="Y137" i="8" s="1"/>
  <c r="Z137" i="8" a="1"/>
  <c r="Z137" i="8" s="1"/>
  <c r="AA137" i="8" a="1"/>
  <c r="AA137" i="8" s="1"/>
  <c r="AB137" i="8" a="1"/>
  <c r="AB137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Q138" i="8" a="1"/>
  <c r="Q138" i="8" s="1"/>
  <c r="R138" i="8" a="1"/>
  <c r="R138" i="8" s="1"/>
  <c r="S138" i="8" a="1"/>
  <c r="S138" i="8" s="1"/>
  <c r="T138" i="8" a="1"/>
  <c r="T138" i="8" s="1"/>
  <c r="U138" i="8" a="1"/>
  <c r="U138" i="8" s="1"/>
  <c r="V138" i="8" a="1"/>
  <c r="V138" i="8" s="1"/>
  <c r="W138" i="8" a="1"/>
  <c r="W138" i="8" s="1"/>
  <c r="X138" i="8" a="1"/>
  <c r="X138" i="8" s="1"/>
  <c r="Y138" i="8" a="1"/>
  <c r="Y138" i="8" s="1"/>
  <c r="Z138" i="8" a="1"/>
  <c r="Z138" i="8" s="1"/>
  <c r="AA138" i="8" a="1"/>
  <c r="AA138" i="8" s="1"/>
  <c r="AB138" i="8" a="1"/>
  <c r="AB138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Q139" i="8" a="1"/>
  <c r="Q139" i="8" s="1"/>
  <c r="R139" i="8" a="1"/>
  <c r="R139" i="8" s="1"/>
  <c r="S139" i="8" a="1"/>
  <c r="S139" i="8" s="1"/>
  <c r="T139" i="8" a="1"/>
  <c r="T139" i="8" s="1"/>
  <c r="U139" i="8" a="1"/>
  <c r="U139" i="8" s="1"/>
  <c r="V139" i="8" a="1"/>
  <c r="V139" i="8" s="1"/>
  <c r="W139" i="8" a="1"/>
  <c r="W139" i="8" s="1"/>
  <c r="X139" i="8" a="1"/>
  <c r="X139" i="8" s="1"/>
  <c r="Y139" i="8" a="1"/>
  <c r="Y139" i="8" s="1"/>
  <c r="Z139" i="8" a="1"/>
  <c r="Z139" i="8" s="1"/>
  <c r="AA139" i="8" a="1"/>
  <c r="AA139" i="8" s="1"/>
  <c r="AB139" i="8" a="1"/>
  <c r="AB139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L140" i="8" a="1"/>
  <c r="L140" i="8" s="1"/>
  <c r="M140" i="8" a="1"/>
  <c r="M140" i="8" s="1"/>
  <c r="N140" i="8" a="1"/>
  <c r="N140" i="8" s="1"/>
  <c r="O140" i="8" a="1"/>
  <c r="O140" i="8" s="1"/>
  <c r="P140" i="8" a="1"/>
  <c r="P140" i="8" s="1"/>
  <c r="Q140" i="8" a="1"/>
  <c r="Q140" i="8" s="1"/>
  <c r="R140" i="8" a="1"/>
  <c r="R140" i="8" s="1"/>
  <c r="S140" i="8" a="1"/>
  <c r="S140" i="8" s="1"/>
  <c r="T140" i="8" a="1"/>
  <c r="T140" i="8" s="1"/>
  <c r="U140" i="8" a="1"/>
  <c r="U140" i="8" s="1"/>
  <c r="V140" i="8" a="1"/>
  <c r="V140" i="8" s="1"/>
  <c r="W140" i="8" a="1"/>
  <c r="W140" i="8" s="1"/>
  <c r="X140" i="8" a="1"/>
  <c r="X140" i="8" s="1"/>
  <c r="Y140" i="8" a="1"/>
  <c r="Y140" i="8" s="1"/>
  <c r="Z140" i="8" a="1"/>
  <c r="Z140" i="8" s="1"/>
  <c r="AA140" i="8" a="1"/>
  <c r="AA140" i="8" s="1"/>
  <c r="AB140" i="8" a="1"/>
  <c r="AB140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L141" i="8" a="1"/>
  <c r="L141" i="8" s="1"/>
  <c r="M141" i="8" a="1"/>
  <c r="M141" i="8" s="1"/>
  <c r="N141" i="8" a="1"/>
  <c r="N141" i="8" s="1"/>
  <c r="O141" i="8" a="1"/>
  <c r="O141" i="8" s="1"/>
  <c r="P141" i="8" a="1"/>
  <c r="P141" i="8" s="1"/>
  <c r="Q141" i="8" a="1"/>
  <c r="Q141" i="8" s="1"/>
  <c r="R141" i="8" a="1"/>
  <c r="R141" i="8" s="1"/>
  <c r="S141" i="8" a="1"/>
  <c r="S141" i="8" s="1"/>
  <c r="T141" i="8" a="1"/>
  <c r="T141" i="8" s="1"/>
  <c r="U141" i="8" a="1"/>
  <c r="U141" i="8" s="1"/>
  <c r="V141" i="8" a="1"/>
  <c r="V141" i="8" s="1"/>
  <c r="W141" i="8" a="1"/>
  <c r="W141" i="8" s="1"/>
  <c r="X141" i="8" a="1"/>
  <c r="X141" i="8" s="1"/>
  <c r="Y141" i="8" a="1"/>
  <c r="Y141" i="8" s="1"/>
  <c r="Z141" i="8" a="1"/>
  <c r="Z141" i="8" s="1"/>
  <c r="AA141" i="8" a="1"/>
  <c r="AA141" i="8" s="1"/>
  <c r="AB141" i="8" a="1"/>
  <c r="AB141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Q142" i="8" a="1"/>
  <c r="Q142" i="8" s="1"/>
  <c r="R142" i="8" a="1"/>
  <c r="R142" i="8" s="1"/>
  <c r="S142" i="8" a="1"/>
  <c r="S142" i="8" s="1"/>
  <c r="T142" i="8" a="1"/>
  <c r="T142" i="8" s="1"/>
  <c r="U142" i="8" a="1"/>
  <c r="U142" i="8" s="1"/>
  <c r="V142" i="8" a="1"/>
  <c r="V142" i="8" s="1"/>
  <c r="W142" i="8" a="1"/>
  <c r="W142" i="8" s="1"/>
  <c r="X142" i="8" a="1"/>
  <c r="X142" i="8" s="1"/>
  <c r="Y142" i="8" a="1"/>
  <c r="Y142" i="8" s="1"/>
  <c r="Z142" i="8" a="1"/>
  <c r="Z142" i="8" s="1"/>
  <c r="AA142" i="8" a="1"/>
  <c r="AA142" i="8" s="1"/>
  <c r="AB142" i="8" a="1"/>
  <c r="AB142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Q143" i="8" a="1"/>
  <c r="Q143" i="8" s="1"/>
  <c r="R143" i="8" a="1"/>
  <c r="R143" i="8" s="1"/>
  <c r="S143" i="8" a="1"/>
  <c r="S143" i="8" s="1"/>
  <c r="T143" i="8" a="1"/>
  <c r="T143" i="8" s="1"/>
  <c r="U143" i="8" a="1"/>
  <c r="U143" i="8" s="1"/>
  <c r="V143" i="8" a="1"/>
  <c r="V143" i="8" s="1"/>
  <c r="W143" i="8" a="1"/>
  <c r="W143" i="8" s="1"/>
  <c r="X143" i="8" a="1"/>
  <c r="X143" i="8" s="1"/>
  <c r="Y143" i="8" a="1"/>
  <c r="Y143" i="8" s="1"/>
  <c r="Z143" i="8" a="1"/>
  <c r="Z143" i="8" s="1"/>
  <c r="AA143" i="8" a="1"/>
  <c r="AA143" i="8" s="1"/>
  <c r="AB143" i="8" a="1"/>
  <c r="AB143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L144" i="8" a="1"/>
  <c r="L144" i="8" s="1"/>
  <c r="M144" i="8" a="1"/>
  <c r="M144" i="8" s="1"/>
  <c r="N144" i="8" a="1"/>
  <c r="N144" i="8" s="1"/>
  <c r="O144" i="8" a="1"/>
  <c r="O144" i="8" s="1"/>
  <c r="P144" i="8" a="1"/>
  <c r="P144" i="8" s="1"/>
  <c r="Q144" i="8" a="1"/>
  <c r="Q144" i="8" s="1"/>
  <c r="R144" i="8" a="1"/>
  <c r="R144" i="8" s="1"/>
  <c r="S144" i="8" a="1"/>
  <c r="S144" i="8" s="1"/>
  <c r="T144" i="8" a="1"/>
  <c r="T144" i="8" s="1"/>
  <c r="U144" i="8" a="1"/>
  <c r="U144" i="8" s="1"/>
  <c r="V144" i="8" a="1"/>
  <c r="V144" i="8" s="1"/>
  <c r="W144" i="8" a="1"/>
  <c r="W144" i="8" s="1"/>
  <c r="X144" i="8" a="1"/>
  <c r="X144" i="8" s="1"/>
  <c r="Y144" i="8" a="1"/>
  <c r="Y144" i="8" s="1"/>
  <c r="Z144" i="8" a="1"/>
  <c r="Z144" i="8" s="1"/>
  <c r="AA144" i="8" a="1"/>
  <c r="AA144" i="8" s="1"/>
  <c r="AB144" i="8" a="1"/>
  <c r="AB144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L145" i="8" a="1"/>
  <c r="L145" i="8" s="1"/>
  <c r="M145" i="8" a="1"/>
  <c r="M145" i="8" s="1"/>
  <c r="N145" i="8" a="1"/>
  <c r="N145" i="8" s="1"/>
  <c r="O145" i="8" a="1"/>
  <c r="O145" i="8" s="1"/>
  <c r="P145" i="8" a="1"/>
  <c r="P145" i="8" s="1"/>
  <c r="Q145" i="8" a="1"/>
  <c r="Q145" i="8" s="1"/>
  <c r="R145" i="8" a="1"/>
  <c r="R145" i="8" s="1"/>
  <c r="S145" i="8" a="1"/>
  <c r="S145" i="8" s="1"/>
  <c r="T145" i="8" a="1"/>
  <c r="T145" i="8" s="1"/>
  <c r="U145" i="8" a="1"/>
  <c r="U145" i="8" s="1"/>
  <c r="V145" i="8" a="1"/>
  <c r="V145" i="8" s="1"/>
  <c r="W145" i="8" a="1"/>
  <c r="W145" i="8" s="1"/>
  <c r="X145" i="8" a="1"/>
  <c r="X145" i="8" s="1"/>
  <c r="Y145" i="8" a="1"/>
  <c r="Y145" i="8" s="1"/>
  <c r="Z145" i="8" a="1"/>
  <c r="Z145" i="8" s="1"/>
  <c r="AA145" i="8" a="1"/>
  <c r="AA145" i="8" s="1"/>
  <c r="AB145" i="8" a="1"/>
  <c r="AB145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Q146" i="8" a="1"/>
  <c r="Q146" i="8" s="1"/>
  <c r="R146" i="8" a="1"/>
  <c r="R146" i="8" s="1"/>
  <c r="S146" i="8" a="1"/>
  <c r="S146" i="8" s="1"/>
  <c r="T146" i="8" a="1"/>
  <c r="T146" i="8" s="1"/>
  <c r="U146" i="8" a="1"/>
  <c r="U146" i="8" s="1"/>
  <c r="V146" i="8" a="1"/>
  <c r="V146" i="8" s="1"/>
  <c r="W146" i="8" a="1"/>
  <c r="W146" i="8" s="1"/>
  <c r="X146" i="8" a="1"/>
  <c r="X146" i="8" s="1"/>
  <c r="Y146" i="8" a="1"/>
  <c r="Y146" i="8" s="1"/>
  <c r="Z146" i="8" a="1"/>
  <c r="Z146" i="8" s="1"/>
  <c r="AA146" i="8" a="1"/>
  <c r="AA146" i="8" s="1"/>
  <c r="AB146" i="8" a="1"/>
  <c r="AB146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L147" i="8" a="1"/>
  <c r="L147" i="8" s="1"/>
  <c r="M147" i="8" a="1"/>
  <c r="M147" i="8" s="1"/>
  <c r="N147" i="8" a="1"/>
  <c r="N147" i="8" s="1"/>
  <c r="O147" i="8" a="1"/>
  <c r="O147" i="8" s="1"/>
  <c r="P147" i="8" a="1"/>
  <c r="P147" i="8" s="1"/>
  <c r="Q147" i="8" a="1"/>
  <c r="Q147" i="8" s="1"/>
  <c r="R147" i="8" a="1"/>
  <c r="R147" i="8" s="1"/>
  <c r="S147" i="8" a="1"/>
  <c r="S147" i="8" s="1"/>
  <c r="T147" i="8" a="1"/>
  <c r="T147" i="8" s="1"/>
  <c r="U147" i="8" a="1"/>
  <c r="U147" i="8" s="1"/>
  <c r="V147" i="8" a="1"/>
  <c r="V147" i="8" s="1"/>
  <c r="W147" i="8" a="1"/>
  <c r="W147" i="8" s="1"/>
  <c r="X147" i="8" a="1"/>
  <c r="X147" i="8" s="1"/>
  <c r="Y147" i="8" a="1"/>
  <c r="Y147" i="8" s="1"/>
  <c r="Z147" i="8" a="1"/>
  <c r="Z147" i="8" s="1"/>
  <c r="AA147" i="8" a="1"/>
  <c r="AA147" i="8" s="1"/>
  <c r="AB147" i="8" a="1"/>
  <c r="AB147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L148" i="8" a="1"/>
  <c r="L148" i="8" s="1"/>
  <c r="M148" i="8" a="1"/>
  <c r="M148" i="8" s="1"/>
  <c r="N148" i="8" a="1"/>
  <c r="N148" i="8" s="1"/>
  <c r="O148" i="8" a="1"/>
  <c r="O148" i="8" s="1"/>
  <c r="P148" i="8" a="1"/>
  <c r="P148" i="8" s="1"/>
  <c r="Q148" i="8" a="1"/>
  <c r="Q148" i="8" s="1"/>
  <c r="R148" i="8" a="1"/>
  <c r="R148" i="8" s="1"/>
  <c r="S148" i="8" a="1"/>
  <c r="S148" i="8" s="1"/>
  <c r="T148" i="8" a="1"/>
  <c r="T148" i="8" s="1"/>
  <c r="U148" i="8" a="1"/>
  <c r="U148" i="8" s="1"/>
  <c r="V148" i="8" a="1"/>
  <c r="V148" i="8" s="1"/>
  <c r="W148" i="8" a="1"/>
  <c r="W148" i="8" s="1"/>
  <c r="X148" i="8" a="1"/>
  <c r="X148" i="8" s="1"/>
  <c r="Y148" i="8" a="1"/>
  <c r="Y148" i="8" s="1"/>
  <c r="Z148" i="8" a="1"/>
  <c r="Z148" i="8" s="1"/>
  <c r="AA148" i="8" a="1"/>
  <c r="AA148" i="8" s="1"/>
  <c r="AB148" i="8" a="1"/>
  <c r="AB148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L149" i="8" a="1"/>
  <c r="L149" i="8" s="1"/>
  <c r="M149" i="8" a="1"/>
  <c r="M149" i="8" s="1"/>
  <c r="N149" i="8" a="1"/>
  <c r="N149" i="8" s="1"/>
  <c r="O149" i="8" a="1"/>
  <c r="O149" i="8" s="1"/>
  <c r="P149" i="8" a="1"/>
  <c r="P149" i="8" s="1"/>
  <c r="Q149" i="8" a="1"/>
  <c r="Q149" i="8" s="1"/>
  <c r="R149" i="8" a="1"/>
  <c r="R149" i="8" s="1"/>
  <c r="S149" i="8" a="1"/>
  <c r="S149" i="8" s="1"/>
  <c r="T149" i="8" a="1"/>
  <c r="T149" i="8" s="1"/>
  <c r="U149" i="8" a="1"/>
  <c r="U149" i="8" s="1"/>
  <c r="V149" i="8" a="1"/>
  <c r="V149" i="8" s="1"/>
  <c r="W149" i="8" a="1"/>
  <c r="W149" i="8" s="1"/>
  <c r="X149" i="8" a="1"/>
  <c r="X149" i="8" s="1"/>
  <c r="Y149" i="8" a="1"/>
  <c r="Y149" i="8" s="1"/>
  <c r="Z149" i="8" a="1"/>
  <c r="Z149" i="8" s="1"/>
  <c r="AA149" i="8" a="1"/>
  <c r="AA149" i="8" s="1"/>
  <c r="AB149" i="8" a="1"/>
  <c r="AB149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Q150" i="8" a="1"/>
  <c r="Q150" i="8" s="1"/>
  <c r="R150" i="8" a="1"/>
  <c r="R150" i="8" s="1"/>
  <c r="S150" i="8" a="1"/>
  <c r="S150" i="8" s="1"/>
  <c r="T150" i="8" a="1"/>
  <c r="T150" i="8" s="1"/>
  <c r="U150" i="8" a="1"/>
  <c r="U150" i="8" s="1"/>
  <c r="V150" i="8" a="1"/>
  <c r="V150" i="8" s="1"/>
  <c r="W150" i="8" a="1"/>
  <c r="W150" i="8" s="1"/>
  <c r="X150" i="8" a="1"/>
  <c r="X150" i="8" s="1"/>
  <c r="Y150" i="8" a="1"/>
  <c r="Y150" i="8" s="1"/>
  <c r="Z150" i="8" a="1"/>
  <c r="Z150" i="8" s="1"/>
  <c r="AA150" i="8" a="1"/>
  <c r="AA150" i="8" s="1"/>
  <c r="AB150" i="8" a="1"/>
  <c r="AB150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Q151" i="8" a="1"/>
  <c r="Q151" i="8" s="1"/>
  <c r="R151" i="8" a="1"/>
  <c r="R151" i="8" s="1"/>
  <c r="S151" i="8" a="1"/>
  <c r="S151" i="8" s="1"/>
  <c r="T151" i="8" a="1"/>
  <c r="T151" i="8" s="1"/>
  <c r="U151" i="8" a="1"/>
  <c r="U151" i="8" s="1"/>
  <c r="V151" i="8" a="1"/>
  <c r="V151" i="8" s="1"/>
  <c r="W151" i="8" a="1"/>
  <c r="W151" i="8" s="1"/>
  <c r="X151" i="8" a="1"/>
  <c r="X151" i="8" s="1"/>
  <c r="Y151" i="8" a="1"/>
  <c r="Y151" i="8" s="1"/>
  <c r="Z151" i="8" a="1"/>
  <c r="Z151" i="8" s="1"/>
  <c r="AA151" i="8" a="1"/>
  <c r="AA151" i="8" s="1"/>
  <c r="AB151" i="8" a="1"/>
  <c r="AB151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L152" i="8" a="1"/>
  <c r="L152" i="8" s="1"/>
  <c r="M152" i="8" a="1"/>
  <c r="M152" i="8" s="1"/>
  <c r="N152" i="8" a="1"/>
  <c r="N152" i="8" s="1"/>
  <c r="O152" i="8" a="1"/>
  <c r="O152" i="8" s="1"/>
  <c r="P152" i="8" a="1"/>
  <c r="P152" i="8" s="1"/>
  <c r="Q152" i="8" a="1"/>
  <c r="Q152" i="8" s="1"/>
  <c r="R152" i="8" a="1"/>
  <c r="R152" i="8" s="1"/>
  <c r="S152" i="8" a="1"/>
  <c r="S152" i="8" s="1"/>
  <c r="T152" i="8" a="1"/>
  <c r="T152" i="8" s="1"/>
  <c r="U152" i="8" a="1"/>
  <c r="U152" i="8" s="1"/>
  <c r="V152" i="8" a="1"/>
  <c r="V152" i="8" s="1"/>
  <c r="W152" i="8" a="1"/>
  <c r="W152" i="8" s="1"/>
  <c r="X152" i="8" a="1"/>
  <c r="X152" i="8" s="1"/>
  <c r="Y152" i="8" a="1"/>
  <c r="Y152" i="8" s="1"/>
  <c r="Z152" i="8" a="1"/>
  <c r="Z152" i="8" s="1"/>
  <c r="AA152" i="8" a="1"/>
  <c r="AA152" i="8" s="1"/>
  <c r="AB152" i="8" a="1"/>
  <c r="AB152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L153" i="8" a="1"/>
  <c r="L153" i="8" s="1"/>
  <c r="M153" i="8" a="1"/>
  <c r="M153" i="8" s="1"/>
  <c r="N153" i="8" a="1"/>
  <c r="N153" i="8" s="1"/>
  <c r="O153" i="8" a="1"/>
  <c r="O153" i="8" s="1"/>
  <c r="P153" i="8" a="1"/>
  <c r="P153" i="8" s="1"/>
  <c r="Q153" i="8" a="1"/>
  <c r="Q153" i="8" s="1"/>
  <c r="R153" i="8" a="1"/>
  <c r="R153" i="8" s="1"/>
  <c r="S153" i="8" a="1"/>
  <c r="S153" i="8" s="1"/>
  <c r="T153" i="8" a="1"/>
  <c r="T153" i="8" s="1"/>
  <c r="U153" i="8" a="1"/>
  <c r="U153" i="8" s="1"/>
  <c r="V153" i="8" a="1"/>
  <c r="V153" i="8" s="1"/>
  <c r="W153" i="8" a="1"/>
  <c r="W153" i="8" s="1"/>
  <c r="X153" i="8" a="1"/>
  <c r="X153" i="8" s="1"/>
  <c r="Y153" i="8" a="1"/>
  <c r="Y153" i="8" s="1"/>
  <c r="Z153" i="8" a="1"/>
  <c r="Z153" i="8" s="1"/>
  <c r="AA153" i="8" a="1"/>
  <c r="AA153" i="8" s="1"/>
  <c r="AB153" i="8" a="1"/>
  <c r="AB153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L154" i="8" a="1"/>
  <c r="L154" i="8" s="1"/>
  <c r="M154" i="8" a="1"/>
  <c r="M154" i="8" s="1"/>
  <c r="N154" i="8" a="1"/>
  <c r="N154" i="8" s="1"/>
  <c r="O154" i="8" a="1"/>
  <c r="O154" i="8" s="1"/>
  <c r="P154" i="8" a="1"/>
  <c r="P154" i="8" s="1"/>
  <c r="Q154" i="8" a="1"/>
  <c r="Q154" i="8" s="1"/>
  <c r="R154" i="8" a="1"/>
  <c r="R154" i="8" s="1"/>
  <c r="S154" i="8" a="1"/>
  <c r="S154" i="8" s="1"/>
  <c r="T154" i="8" a="1"/>
  <c r="T154" i="8" s="1"/>
  <c r="U154" i="8" a="1"/>
  <c r="U154" i="8" s="1"/>
  <c r="V154" i="8" a="1"/>
  <c r="V154" i="8" s="1"/>
  <c r="W154" i="8" a="1"/>
  <c r="W154" i="8" s="1"/>
  <c r="X154" i="8" a="1"/>
  <c r="X154" i="8" s="1"/>
  <c r="Y154" i="8" a="1"/>
  <c r="Y154" i="8" s="1"/>
  <c r="Z154" i="8" a="1"/>
  <c r="Z154" i="8" s="1"/>
  <c r="AA154" i="8" a="1"/>
  <c r="AA154" i="8" s="1"/>
  <c r="AB154" i="8" a="1"/>
  <c r="AB154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L155" i="8" a="1"/>
  <c r="L155" i="8" s="1"/>
  <c r="M155" i="8" a="1"/>
  <c r="M155" i="8" s="1"/>
  <c r="N155" i="8" a="1"/>
  <c r="N155" i="8" s="1"/>
  <c r="O155" i="8" a="1"/>
  <c r="O155" i="8" s="1"/>
  <c r="P155" i="8" a="1"/>
  <c r="P155" i="8" s="1"/>
  <c r="Q155" i="8" a="1"/>
  <c r="Q155" i="8" s="1"/>
  <c r="R155" i="8" a="1"/>
  <c r="R155" i="8" s="1"/>
  <c r="S155" i="8" a="1"/>
  <c r="S155" i="8" s="1"/>
  <c r="T155" i="8" a="1"/>
  <c r="T155" i="8" s="1"/>
  <c r="U155" i="8" a="1"/>
  <c r="U155" i="8" s="1"/>
  <c r="V155" i="8" a="1"/>
  <c r="V155" i="8" s="1"/>
  <c r="W155" i="8" a="1"/>
  <c r="W155" i="8" s="1"/>
  <c r="X155" i="8" a="1"/>
  <c r="X155" i="8" s="1"/>
  <c r="Y155" i="8" a="1"/>
  <c r="Y155" i="8" s="1"/>
  <c r="Z155" i="8" a="1"/>
  <c r="Z155" i="8" s="1"/>
  <c r="AA155" i="8" a="1"/>
  <c r="AA155" i="8" s="1"/>
  <c r="AB155" i="8" a="1"/>
  <c r="AB155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L156" i="8" a="1"/>
  <c r="L156" i="8" s="1"/>
  <c r="M156" i="8" a="1"/>
  <c r="M156" i="8" s="1"/>
  <c r="N156" i="8" a="1"/>
  <c r="N156" i="8" s="1"/>
  <c r="O156" i="8" a="1"/>
  <c r="O156" i="8" s="1"/>
  <c r="P156" i="8" a="1"/>
  <c r="P156" i="8" s="1"/>
  <c r="Q156" i="8" a="1"/>
  <c r="Q156" i="8" s="1"/>
  <c r="R156" i="8" a="1"/>
  <c r="R156" i="8" s="1"/>
  <c r="S156" i="8" a="1"/>
  <c r="S156" i="8" s="1"/>
  <c r="T156" i="8" a="1"/>
  <c r="T156" i="8" s="1"/>
  <c r="U156" i="8" a="1"/>
  <c r="U156" i="8" s="1"/>
  <c r="V156" i="8" a="1"/>
  <c r="V156" i="8" s="1"/>
  <c r="W156" i="8" a="1"/>
  <c r="W156" i="8" s="1"/>
  <c r="X156" i="8" a="1"/>
  <c r="X156" i="8" s="1"/>
  <c r="Y156" i="8" a="1"/>
  <c r="Y156" i="8" s="1"/>
  <c r="Z156" i="8" a="1"/>
  <c r="Z156" i="8" s="1"/>
  <c r="AA156" i="8" a="1"/>
  <c r="AA156" i="8" s="1"/>
  <c r="AB156" i="8" a="1"/>
  <c r="AB156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L157" i="8" a="1"/>
  <c r="L157" i="8" s="1"/>
  <c r="M157" i="8" a="1"/>
  <c r="M157" i="8" s="1"/>
  <c r="N157" i="8" a="1"/>
  <c r="N157" i="8" s="1"/>
  <c r="O157" i="8" a="1"/>
  <c r="O157" i="8" s="1"/>
  <c r="P157" i="8" a="1"/>
  <c r="P157" i="8" s="1"/>
  <c r="Q157" i="8" a="1"/>
  <c r="Q157" i="8" s="1"/>
  <c r="R157" i="8" a="1"/>
  <c r="R157" i="8" s="1"/>
  <c r="S157" i="8" a="1"/>
  <c r="S157" i="8" s="1"/>
  <c r="T157" i="8" a="1"/>
  <c r="T157" i="8" s="1"/>
  <c r="U157" i="8" a="1"/>
  <c r="U157" i="8" s="1"/>
  <c r="V157" i="8" a="1"/>
  <c r="V157" i="8" s="1"/>
  <c r="W157" i="8" a="1"/>
  <c r="W157" i="8" s="1"/>
  <c r="X157" i="8" a="1"/>
  <c r="X157" i="8" s="1"/>
  <c r="Y157" i="8" a="1"/>
  <c r="Y157" i="8" s="1"/>
  <c r="Z157" i="8" a="1"/>
  <c r="Z157" i="8" s="1"/>
  <c r="AA157" i="8" a="1"/>
  <c r="AA157" i="8" s="1"/>
  <c r="AB157" i="8" a="1"/>
  <c r="AB157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Q158" i="8" a="1"/>
  <c r="Q158" i="8" s="1"/>
  <c r="R158" i="8" a="1"/>
  <c r="R158" i="8" s="1"/>
  <c r="S158" i="8" a="1"/>
  <c r="S158" i="8" s="1"/>
  <c r="T158" i="8" a="1"/>
  <c r="T158" i="8" s="1"/>
  <c r="U158" i="8" a="1"/>
  <c r="U158" i="8" s="1"/>
  <c r="V158" i="8" a="1"/>
  <c r="V158" i="8" s="1"/>
  <c r="W158" i="8" a="1"/>
  <c r="W158" i="8" s="1"/>
  <c r="X158" i="8" a="1"/>
  <c r="X158" i="8" s="1"/>
  <c r="Y158" i="8" a="1"/>
  <c r="Y158" i="8" s="1"/>
  <c r="Z158" i="8" a="1"/>
  <c r="Z158" i="8" s="1"/>
  <c r="AA158" i="8" a="1"/>
  <c r="AA158" i="8" s="1"/>
  <c r="AB158" i="8" a="1"/>
  <c r="AB158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L159" i="8" a="1"/>
  <c r="L159" i="8" s="1"/>
  <c r="M159" i="8" a="1"/>
  <c r="M159" i="8" s="1"/>
  <c r="N159" i="8" a="1"/>
  <c r="N159" i="8" s="1"/>
  <c r="O159" i="8" a="1"/>
  <c r="O159" i="8" s="1"/>
  <c r="P159" i="8" a="1"/>
  <c r="P159" i="8" s="1"/>
  <c r="Q159" i="8" a="1"/>
  <c r="Q159" i="8" s="1"/>
  <c r="R159" i="8" a="1"/>
  <c r="R159" i="8" s="1"/>
  <c r="S159" i="8" a="1"/>
  <c r="S159" i="8" s="1"/>
  <c r="T159" i="8" a="1"/>
  <c r="T159" i="8" s="1"/>
  <c r="U159" i="8" a="1"/>
  <c r="U159" i="8" s="1"/>
  <c r="V159" i="8" a="1"/>
  <c r="V159" i="8" s="1"/>
  <c r="W159" i="8" a="1"/>
  <c r="W159" i="8" s="1"/>
  <c r="X159" i="8" a="1"/>
  <c r="X159" i="8" s="1"/>
  <c r="Y159" i="8" a="1"/>
  <c r="Y159" i="8" s="1"/>
  <c r="Z159" i="8" a="1"/>
  <c r="Z159" i="8" s="1"/>
  <c r="AA159" i="8" a="1"/>
  <c r="AA159" i="8" s="1"/>
  <c r="AB159" i="8" a="1"/>
  <c r="AB159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L160" i="8" a="1"/>
  <c r="L160" i="8" s="1"/>
  <c r="M160" i="8" a="1"/>
  <c r="M160" i="8" s="1"/>
  <c r="N160" i="8" a="1"/>
  <c r="N160" i="8" s="1"/>
  <c r="O160" i="8" a="1"/>
  <c r="O160" i="8" s="1"/>
  <c r="P160" i="8" a="1"/>
  <c r="P160" i="8" s="1"/>
  <c r="Q160" i="8" a="1"/>
  <c r="Q160" i="8" s="1"/>
  <c r="R160" i="8" a="1"/>
  <c r="R160" i="8" s="1"/>
  <c r="S160" i="8" a="1"/>
  <c r="S160" i="8" s="1"/>
  <c r="T160" i="8" a="1"/>
  <c r="T160" i="8" s="1"/>
  <c r="U160" i="8" a="1"/>
  <c r="U160" i="8" s="1"/>
  <c r="V160" i="8" a="1"/>
  <c r="V160" i="8" s="1"/>
  <c r="W160" i="8" a="1"/>
  <c r="W160" i="8" s="1"/>
  <c r="X160" i="8" a="1"/>
  <c r="X160" i="8" s="1"/>
  <c r="Y160" i="8" a="1"/>
  <c r="Y160" i="8" s="1"/>
  <c r="Z160" i="8" a="1"/>
  <c r="Z160" i="8" s="1"/>
  <c r="AA160" i="8" a="1"/>
  <c r="AA160" i="8" s="1"/>
  <c r="AB160" i="8" a="1"/>
  <c r="AB160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L161" i="8" a="1"/>
  <c r="L161" i="8" s="1"/>
  <c r="M161" i="8" a="1"/>
  <c r="M161" i="8" s="1"/>
  <c r="N161" i="8" a="1"/>
  <c r="N161" i="8" s="1"/>
  <c r="O161" i="8" a="1"/>
  <c r="O161" i="8" s="1"/>
  <c r="P161" i="8" a="1"/>
  <c r="P161" i="8" s="1"/>
  <c r="Q161" i="8" a="1"/>
  <c r="Q161" i="8" s="1"/>
  <c r="R161" i="8" a="1"/>
  <c r="R161" i="8" s="1"/>
  <c r="S161" i="8" a="1"/>
  <c r="S161" i="8" s="1"/>
  <c r="T161" i="8" a="1"/>
  <c r="T161" i="8" s="1"/>
  <c r="U161" i="8" a="1"/>
  <c r="U161" i="8" s="1"/>
  <c r="V161" i="8" a="1"/>
  <c r="V161" i="8" s="1"/>
  <c r="W161" i="8" a="1"/>
  <c r="W161" i="8" s="1"/>
  <c r="X161" i="8" a="1"/>
  <c r="X161" i="8" s="1"/>
  <c r="Y161" i="8" a="1"/>
  <c r="Y161" i="8" s="1"/>
  <c r="Z161" i="8" a="1"/>
  <c r="Z161" i="8" s="1"/>
  <c r="AA161" i="8" a="1"/>
  <c r="AA161" i="8" s="1"/>
  <c r="AB161" i="8" a="1"/>
  <c r="AB161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L162" i="8" a="1"/>
  <c r="L162" i="8" s="1"/>
  <c r="M162" i="8" a="1"/>
  <c r="M162" i="8" s="1"/>
  <c r="N162" i="8" a="1"/>
  <c r="N162" i="8" s="1"/>
  <c r="O162" i="8" a="1"/>
  <c r="O162" i="8" s="1"/>
  <c r="P162" i="8" a="1"/>
  <c r="P162" i="8" s="1"/>
  <c r="Q162" i="8" a="1"/>
  <c r="Q162" i="8" s="1"/>
  <c r="R162" i="8" a="1"/>
  <c r="R162" i="8" s="1"/>
  <c r="S162" i="8" a="1"/>
  <c r="S162" i="8" s="1"/>
  <c r="T162" i="8" a="1"/>
  <c r="T162" i="8" s="1"/>
  <c r="U162" i="8" a="1"/>
  <c r="U162" i="8" s="1"/>
  <c r="V162" i="8" a="1"/>
  <c r="V162" i="8" s="1"/>
  <c r="W162" i="8" a="1"/>
  <c r="W162" i="8" s="1"/>
  <c r="X162" i="8" a="1"/>
  <c r="X162" i="8" s="1"/>
  <c r="Y162" i="8" a="1"/>
  <c r="Y162" i="8" s="1"/>
  <c r="Z162" i="8" a="1"/>
  <c r="Z162" i="8" s="1"/>
  <c r="AA162" i="8" a="1"/>
  <c r="AA162" i="8" s="1"/>
  <c r="AB162" i="8" a="1"/>
  <c r="AB162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L163" i="8" a="1"/>
  <c r="L163" i="8" s="1"/>
  <c r="M163" i="8" a="1"/>
  <c r="M163" i="8" s="1"/>
  <c r="N163" i="8" a="1"/>
  <c r="N163" i="8" s="1"/>
  <c r="O163" i="8" a="1"/>
  <c r="O163" i="8" s="1"/>
  <c r="P163" i="8" a="1"/>
  <c r="P163" i="8" s="1"/>
  <c r="Q163" i="8" a="1"/>
  <c r="Q163" i="8" s="1"/>
  <c r="R163" i="8" a="1"/>
  <c r="R163" i="8" s="1"/>
  <c r="S163" i="8" a="1"/>
  <c r="S163" i="8" s="1"/>
  <c r="T163" i="8" a="1"/>
  <c r="T163" i="8" s="1"/>
  <c r="U163" i="8" a="1"/>
  <c r="U163" i="8" s="1"/>
  <c r="V163" i="8" a="1"/>
  <c r="V163" i="8" s="1"/>
  <c r="W163" i="8" a="1"/>
  <c r="W163" i="8" s="1"/>
  <c r="X163" i="8" a="1"/>
  <c r="X163" i="8" s="1"/>
  <c r="Y163" i="8" a="1"/>
  <c r="Y163" i="8" s="1"/>
  <c r="Z163" i="8" a="1"/>
  <c r="Z163" i="8" s="1"/>
  <c r="AA163" i="8" a="1"/>
  <c r="AA163" i="8" s="1"/>
  <c r="AB163" i="8" a="1"/>
  <c r="AB163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L164" i="8" a="1"/>
  <c r="L164" i="8" s="1"/>
  <c r="M164" i="8" a="1"/>
  <c r="M164" i="8" s="1"/>
  <c r="N164" i="8" a="1"/>
  <c r="N164" i="8" s="1"/>
  <c r="O164" i="8" a="1"/>
  <c r="O164" i="8" s="1"/>
  <c r="P164" i="8" a="1"/>
  <c r="P164" i="8" s="1"/>
  <c r="Q164" i="8" a="1"/>
  <c r="Q164" i="8" s="1"/>
  <c r="R164" i="8" a="1"/>
  <c r="R164" i="8" s="1"/>
  <c r="S164" i="8" a="1"/>
  <c r="S164" i="8" s="1"/>
  <c r="T164" i="8" a="1"/>
  <c r="T164" i="8" s="1"/>
  <c r="U164" i="8" a="1"/>
  <c r="U164" i="8" s="1"/>
  <c r="V164" i="8" a="1"/>
  <c r="V164" i="8" s="1"/>
  <c r="W164" i="8" a="1"/>
  <c r="W164" i="8" s="1"/>
  <c r="X164" i="8" a="1"/>
  <c r="X164" i="8" s="1"/>
  <c r="Y164" i="8" a="1"/>
  <c r="Y164" i="8" s="1"/>
  <c r="Z164" i="8" a="1"/>
  <c r="Z164" i="8" s="1"/>
  <c r="AA164" i="8" a="1"/>
  <c r="AA164" i="8" s="1"/>
  <c r="AB164" i="8" a="1"/>
  <c r="AB164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M165" i="8" a="1"/>
  <c r="M165" i="8" s="1"/>
  <c r="N165" i="8" a="1"/>
  <c r="N165" i="8" s="1"/>
  <c r="O165" i="8" a="1"/>
  <c r="O165" i="8" s="1"/>
  <c r="P165" i="8" a="1"/>
  <c r="P165" i="8" s="1"/>
  <c r="Q165" i="8" a="1"/>
  <c r="Q165" i="8" s="1"/>
  <c r="R165" i="8" a="1"/>
  <c r="R165" i="8" s="1"/>
  <c r="S165" i="8" a="1"/>
  <c r="S165" i="8" s="1"/>
  <c r="T165" i="8" a="1"/>
  <c r="T165" i="8" s="1"/>
  <c r="U165" i="8" a="1"/>
  <c r="U165" i="8" s="1"/>
  <c r="V165" i="8" a="1"/>
  <c r="V165" i="8" s="1"/>
  <c r="W165" i="8" a="1"/>
  <c r="W165" i="8" s="1"/>
  <c r="X165" i="8" a="1"/>
  <c r="X165" i="8" s="1"/>
  <c r="Y165" i="8" a="1"/>
  <c r="Y165" i="8" s="1"/>
  <c r="Z165" i="8" a="1"/>
  <c r="Z165" i="8" s="1"/>
  <c r="AA165" i="8" a="1"/>
  <c r="AA165" i="8" s="1"/>
  <c r="AB165" i="8" a="1"/>
  <c r="AB165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Q166" i="8" a="1"/>
  <c r="Q166" i="8" s="1"/>
  <c r="R166" i="8" a="1"/>
  <c r="R166" i="8" s="1"/>
  <c r="S166" i="8" a="1"/>
  <c r="S166" i="8" s="1"/>
  <c r="T166" i="8" a="1"/>
  <c r="T166" i="8" s="1"/>
  <c r="U166" i="8" a="1"/>
  <c r="U166" i="8" s="1"/>
  <c r="V166" i="8" a="1"/>
  <c r="V166" i="8" s="1"/>
  <c r="W166" i="8" a="1"/>
  <c r="W166" i="8" s="1"/>
  <c r="X166" i="8" a="1"/>
  <c r="X166" i="8" s="1"/>
  <c r="Y166" i="8" a="1"/>
  <c r="Y166" i="8" s="1"/>
  <c r="Z166" i="8" a="1"/>
  <c r="Z166" i="8" s="1"/>
  <c r="AA166" i="8" a="1"/>
  <c r="AA166" i="8" s="1"/>
  <c r="AB166" i="8" a="1"/>
  <c r="AB166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Q167" i="8" a="1"/>
  <c r="Q167" i="8" s="1"/>
  <c r="R167" i="8" a="1"/>
  <c r="R167" i="8" s="1"/>
  <c r="S167" i="8" a="1"/>
  <c r="S167" i="8" s="1"/>
  <c r="T167" i="8" a="1"/>
  <c r="T167" i="8" s="1"/>
  <c r="U167" i="8" a="1"/>
  <c r="U167" i="8" s="1"/>
  <c r="V167" i="8" a="1"/>
  <c r="V167" i="8" s="1"/>
  <c r="W167" i="8" a="1"/>
  <c r="W167" i="8" s="1"/>
  <c r="X167" i="8" a="1"/>
  <c r="X167" i="8" s="1"/>
  <c r="Y167" i="8" a="1"/>
  <c r="Y167" i="8" s="1"/>
  <c r="Z167" i="8" a="1"/>
  <c r="Z167" i="8" s="1"/>
  <c r="AA167" i="8" a="1"/>
  <c r="AA167" i="8" s="1"/>
  <c r="AB167" i="8" a="1"/>
  <c r="AB167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L168" i="8" a="1"/>
  <c r="L168" i="8" s="1"/>
  <c r="M168" i="8" a="1"/>
  <c r="M168" i="8" s="1"/>
  <c r="N168" i="8" a="1"/>
  <c r="N168" i="8" s="1"/>
  <c r="O168" i="8" a="1"/>
  <c r="O168" i="8" s="1"/>
  <c r="P168" i="8" a="1"/>
  <c r="P168" i="8" s="1"/>
  <c r="Q168" i="8" a="1"/>
  <c r="Q168" i="8" s="1"/>
  <c r="R168" i="8" a="1"/>
  <c r="R168" i="8" s="1"/>
  <c r="S168" i="8" a="1"/>
  <c r="S168" i="8" s="1"/>
  <c r="T168" i="8" a="1"/>
  <c r="T168" i="8" s="1"/>
  <c r="U168" i="8" a="1"/>
  <c r="U168" i="8" s="1"/>
  <c r="V168" i="8" a="1"/>
  <c r="V168" i="8" s="1"/>
  <c r="W168" i="8" a="1"/>
  <c r="W168" i="8" s="1"/>
  <c r="X168" i="8" a="1"/>
  <c r="X168" i="8" s="1"/>
  <c r="Y168" i="8" a="1"/>
  <c r="Y168" i="8" s="1"/>
  <c r="Z168" i="8" a="1"/>
  <c r="Z168" i="8" s="1"/>
  <c r="AA168" i="8" a="1"/>
  <c r="AA168" i="8" s="1"/>
  <c r="AB168" i="8" a="1"/>
  <c r="AB168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M169" i="8" a="1"/>
  <c r="M169" i="8" s="1"/>
  <c r="N169" i="8" a="1"/>
  <c r="N169" i="8" s="1"/>
  <c r="O169" i="8" a="1"/>
  <c r="O169" i="8" s="1"/>
  <c r="P169" i="8" a="1"/>
  <c r="P169" i="8" s="1"/>
  <c r="Q169" i="8" a="1"/>
  <c r="Q169" i="8" s="1"/>
  <c r="R169" i="8" a="1"/>
  <c r="R169" i="8" s="1"/>
  <c r="S169" i="8" a="1"/>
  <c r="S169" i="8" s="1"/>
  <c r="T169" i="8" a="1"/>
  <c r="T169" i="8" s="1"/>
  <c r="U169" i="8" a="1"/>
  <c r="U169" i="8" s="1"/>
  <c r="V169" i="8" a="1"/>
  <c r="V169" i="8" s="1"/>
  <c r="W169" i="8" a="1"/>
  <c r="W169" i="8" s="1"/>
  <c r="X169" i="8" a="1"/>
  <c r="X169" i="8" s="1"/>
  <c r="Y169" i="8" a="1"/>
  <c r="Y169" i="8" s="1"/>
  <c r="Z169" i="8" a="1"/>
  <c r="Z169" i="8" s="1"/>
  <c r="AA169" i="8" a="1"/>
  <c r="AA169" i="8" s="1"/>
  <c r="AB169" i="8" a="1"/>
  <c r="AB169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Q170" i="8" a="1"/>
  <c r="Q170" i="8" s="1"/>
  <c r="R170" i="8" a="1"/>
  <c r="R170" i="8" s="1"/>
  <c r="S170" i="8" a="1"/>
  <c r="S170" i="8" s="1"/>
  <c r="T170" i="8" a="1"/>
  <c r="T170" i="8" s="1"/>
  <c r="U170" i="8" a="1"/>
  <c r="U170" i="8" s="1"/>
  <c r="V170" i="8" a="1"/>
  <c r="V170" i="8" s="1"/>
  <c r="W170" i="8" a="1"/>
  <c r="W170" i="8" s="1"/>
  <c r="X170" i="8" a="1"/>
  <c r="X170" i="8" s="1"/>
  <c r="Y170" i="8" a="1"/>
  <c r="Y170" i="8" s="1"/>
  <c r="Z170" i="8" a="1"/>
  <c r="Z170" i="8" s="1"/>
  <c r="AA170" i="8" a="1"/>
  <c r="AA170" i="8" s="1"/>
  <c r="AB170" i="8" a="1"/>
  <c r="AB170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Q171" i="8" a="1"/>
  <c r="Q171" i="8" s="1"/>
  <c r="R171" i="8" a="1"/>
  <c r="R171" i="8" s="1"/>
  <c r="S171" i="8" a="1"/>
  <c r="S171" i="8" s="1"/>
  <c r="T171" i="8" a="1"/>
  <c r="T171" i="8" s="1"/>
  <c r="U171" i="8" a="1"/>
  <c r="U171" i="8" s="1"/>
  <c r="V171" i="8" a="1"/>
  <c r="V171" i="8" s="1"/>
  <c r="W171" i="8" a="1"/>
  <c r="W171" i="8" s="1"/>
  <c r="X171" i="8" a="1"/>
  <c r="X171" i="8" s="1"/>
  <c r="Y171" i="8" a="1"/>
  <c r="Y171" i="8" s="1"/>
  <c r="Z171" i="8" a="1"/>
  <c r="Z171" i="8" s="1"/>
  <c r="AA171" i="8" a="1"/>
  <c r="AA171" i="8" s="1"/>
  <c r="AB171" i="8" a="1"/>
  <c r="AB171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L172" i="8" a="1"/>
  <c r="L172" i="8" s="1"/>
  <c r="M172" i="8" a="1"/>
  <c r="M172" i="8" s="1"/>
  <c r="N172" i="8" a="1"/>
  <c r="N172" i="8" s="1"/>
  <c r="O172" i="8" a="1"/>
  <c r="O172" i="8" s="1"/>
  <c r="P172" i="8" a="1"/>
  <c r="P172" i="8" s="1"/>
  <c r="Q172" i="8" a="1"/>
  <c r="Q172" i="8" s="1"/>
  <c r="R172" i="8" a="1"/>
  <c r="R172" i="8" s="1"/>
  <c r="S172" i="8" a="1"/>
  <c r="S172" i="8" s="1"/>
  <c r="T172" i="8" a="1"/>
  <c r="T172" i="8" s="1"/>
  <c r="U172" i="8" a="1"/>
  <c r="U172" i="8" s="1"/>
  <c r="V172" i="8" a="1"/>
  <c r="V172" i="8" s="1"/>
  <c r="W172" i="8" a="1"/>
  <c r="W172" i="8" s="1"/>
  <c r="X172" i="8" a="1"/>
  <c r="X172" i="8" s="1"/>
  <c r="Y172" i="8" a="1"/>
  <c r="Y172" i="8" s="1"/>
  <c r="Z172" i="8" a="1"/>
  <c r="Z172" i="8" s="1"/>
  <c r="AA172" i="8" a="1"/>
  <c r="AA172" i="8" s="1"/>
  <c r="AB172" i="8" a="1"/>
  <c r="AB172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L173" i="8" a="1"/>
  <c r="L173" i="8" s="1"/>
  <c r="M173" i="8" a="1"/>
  <c r="M173" i="8" s="1"/>
  <c r="N173" i="8" a="1"/>
  <c r="N173" i="8" s="1"/>
  <c r="O173" i="8" a="1"/>
  <c r="O173" i="8" s="1"/>
  <c r="P173" i="8" a="1"/>
  <c r="P173" i="8" s="1"/>
  <c r="Q173" i="8" a="1"/>
  <c r="Q173" i="8" s="1"/>
  <c r="R173" i="8" a="1"/>
  <c r="R173" i="8" s="1"/>
  <c r="S173" i="8" a="1"/>
  <c r="S173" i="8" s="1"/>
  <c r="T173" i="8" a="1"/>
  <c r="T173" i="8" s="1"/>
  <c r="U173" i="8" a="1"/>
  <c r="U173" i="8" s="1"/>
  <c r="V173" i="8" a="1"/>
  <c r="V173" i="8" s="1"/>
  <c r="W173" i="8" a="1"/>
  <c r="W173" i="8" s="1"/>
  <c r="X173" i="8" a="1"/>
  <c r="X173" i="8" s="1"/>
  <c r="Y173" i="8" a="1"/>
  <c r="Y173" i="8" s="1"/>
  <c r="Z173" i="8" a="1"/>
  <c r="Z173" i="8" s="1"/>
  <c r="AA173" i="8" a="1"/>
  <c r="AA173" i="8" s="1"/>
  <c r="AB173" i="8" a="1"/>
  <c r="AB173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Q174" i="8" a="1"/>
  <c r="Q174" i="8" s="1"/>
  <c r="R174" i="8" a="1"/>
  <c r="R174" i="8" s="1"/>
  <c r="S174" i="8" a="1"/>
  <c r="S174" i="8" s="1"/>
  <c r="T174" i="8" a="1"/>
  <c r="T174" i="8" s="1"/>
  <c r="U174" i="8" a="1"/>
  <c r="U174" i="8" s="1"/>
  <c r="V174" i="8" a="1"/>
  <c r="V174" i="8" s="1"/>
  <c r="W174" i="8" a="1"/>
  <c r="W174" i="8" s="1"/>
  <c r="X174" i="8" a="1"/>
  <c r="X174" i="8" s="1"/>
  <c r="Y174" i="8" a="1"/>
  <c r="Y174" i="8" s="1"/>
  <c r="Z174" i="8" a="1"/>
  <c r="Z174" i="8" s="1"/>
  <c r="AA174" i="8" a="1"/>
  <c r="AA174" i="8" s="1"/>
  <c r="AB174" i="8" a="1"/>
  <c r="AB174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Q175" i="8" a="1"/>
  <c r="Q175" i="8" s="1"/>
  <c r="R175" i="8" a="1"/>
  <c r="R175" i="8" s="1"/>
  <c r="S175" i="8" a="1"/>
  <c r="S175" i="8" s="1"/>
  <c r="T175" i="8" a="1"/>
  <c r="T175" i="8" s="1"/>
  <c r="U175" i="8" a="1"/>
  <c r="U175" i="8" s="1"/>
  <c r="V175" i="8" a="1"/>
  <c r="V175" i="8" s="1"/>
  <c r="W175" i="8" a="1"/>
  <c r="W175" i="8" s="1"/>
  <c r="X175" i="8" a="1"/>
  <c r="X175" i="8" s="1"/>
  <c r="Y175" i="8" a="1"/>
  <c r="Y175" i="8" s="1"/>
  <c r="Z175" i="8" a="1"/>
  <c r="Z175" i="8" s="1"/>
  <c r="AA175" i="8" a="1"/>
  <c r="AA175" i="8" s="1"/>
  <c r="AB175" i="8" a="1"/>
  <c r="AB175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Q176" i="8" a="1"/>
  <c r="Q176" i="8" s="1"/>
  <c r="R176" i="8" a="1"/>
  <c r="R176" i="8" s="1"/>
  <c r="S176" i="8" a="1"/>
  <c r="S176" i="8" s="1"/>
  <c r="T176" i="8" a="1"/>
  <c r="T176" i="8" s="1"/>
  <c r="U176" i="8" a="1"/>
  <c r="U176" i="8" s="1"/>
  <c r="V176" i="8" a="1"/>
  <c r="V176" i="8" s="1"/>
  <c r="W176" i="8" a="1"/>
  <c r="W176" i="8" s="1"/>
  <c r="X176" i="8" a="1"/>
  <c r="X176" i="8" s="1"/>
  <c r="Y176" i="8" a="1"/>
  <c r="Y176" i="8" s="1"/>
  <c r="Z176" i="8" a="1"/>
  <c r="Z176" i="8" s="1"/>
  <c r="AA176" i="8" a="1"/>
  <c r="AA176" i="8" s="1"/>
  <c r="AB176" i="8" a="1"/>
  <c r="AB176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L177" i="8" a="1"/>
  <c r="L177" i="8" s="1"/>
  <c r="M177" i="8" a="1"/>
  <c r="M177" i="8" s="1"/>
  <c r="N177" i="8" a="1"/>
  <c r="N177" i="8" s="1"/>
  <c r="O177" i="8" a="1"/>
  <c r="O177" i="8" s="1"/>
  <c r="P177" i="8" a="1"/>
  <c r="P177" i="8" s="1"/>
  <c r="Q177" i="8" a="1"/>
  <c r="Q177" i="8" s="1"/>
  <c r="R177" i="8" a="1"/>
  <c r="R177" i="8" s="1"/>
  <c r="S177" i="8" a="1"/>
  <c r="S177" i="8" s="1"/>
  <c r="T177" i="8" a="1"/>
  <c r="T177" i="8" s="1"/>
  <c r="U177" i="8" a="1"/>
  <c r="U177" i="8" s="1"/>
  <c r="V177" i="8" a="1"/>
  <c r="V177" i="8" s="1"/>
  <c r="W177" i="8" a="1"/>
  <c r="W177" i="8" s="1"/>
  <c r="X177" i="8" a="1"/>
  <c r="X177" i="8" s="1"/>
  <c r="Y177" i="8" a="1"/>
  <c r="Y177" i="8" s="1"/>
  <c r="Z177" i="8" a="1"/>
  <c r="Z177" i="8" s="1"/>
  <c r="AA177" i="8" a="1"/>
  <c r="AA177" i="8" s="1"/>
  <c r="AB177" i="8" a="1"/>
  <c r="AB177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Q178" i="8" a="1"/>
  <c r="Q178" i="8" s="1"/>
  <c r="R178" i="8" a="1"/>
  <c r="R178" i="8" s="1"/>
  <c r="S178" i="8" a="1"/>
  <c r="S178" i="8" s="1"/>
  <c r="T178" i="8" a="1"/>
  <c r="T178" i="8" s="1"/>
  <c r="U178" i="8" a="1"/>
  <c r="U178" i="8" s="1"/>
  <c r="V178" i="8" a="1"/>
  <c r="V178" i="8" s="1"/>
  <c r="W178" i="8" a="1"/>
  <c r="W178" i="8" s="1"/>
  <c r="X178" i="8" a="1"/>
  <c r="X178" i="8" s="1"/>
  <c r="Y178" i="8" a="1"/>
  <c r="Y178" i="8" s="1"/>
  <c r="Z178" i="8" a="1"/>
  <c r="Z178" i="8" s="1"/>
  <c r="AA178" i="8" a="1"/>
  <c r="AA178" i="8" s="1"/>
  <c r="AB178" i="8" a="1"/>
  <c r="AB178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Q179" i="8" a="1"/>
  <c r="Q179" i="8" s="1"/>
  <c r="R179" i="8" a="1"/>
  <c r="R179" i="8" s="1"/>
  <c r="S179" i="8" a="1"/>
  <c r="S179" i="8" s="1"/>
  <c r="T179" i="8" a="1"/>
  <c r="T179" i="8" s="1"/>
  <c r="U179" i="8" a="1"/>
  <c r="U179" i="8" s="1"/>
  <c r="V179" i="8" a="1"/>
  <c r="V179" i="8" s="1"/>
  <c r="W179" i="8" a="1"/>
  <c r="W179" i="8" s="1"/>
  <c r="X179" i="8" a="1"/>
  <c r="X179" i="8" s="1"/>
  <c r="Y179" i="8" a="1"/>
  <c r="Y179" i="8" s="1"/>
  <c r="Z179" i="8" a="1"/>
  <c r="Z179" i="8" s="1"/>
  <c r="AA179" i="8" a="1"/>
  <c r="AA179" i="8" s="1"/>
  <c r="AB179" i="8" a="1"/>
  <c r="AB179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Q180" i="8" a="1"/>
  <c r="Q180" i="8" s="1"/>
  <c r="R180" i="8" a="1"/>
  <c r="R180" i="8" s="1"/>
  <c r="S180" i="8" a="1"/>
  <c r="S180" i="8" s="1"/>
  <c r="T180" i="8" a="1"/>
  <c r="T180" i="8" s="1"/>
  <c r="U180" i="8" a="1"/>
  <c r="U180" i="8" s="1"/>
  <c r="V180" i="8" a="1"/>
  <c r="V180" i="8" s="1"/>
  <c r="W180" i="8" a="1"/>
  <c r="W180" i="8" s="1"/>
  <c r="X180" i="8" a="1"/>
  <c r="X180" i="8" s="1"/>
  <c r="Y180" i="8" a="1"/>
  <c r="Y180" i="8" s="1"/>
  <c r="Z180" i="8" a="1"/>
  <c r="Z180" i="8" s="1"/>
  <c r="AA180" i="8" a="1"/>
  <c r="AA180" i="8" s="1"/>
  <c r="AB180" i="8" a="1"/>
  <c r="AB180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Q181" i="8" a="1"/>
  <c r="Q181" i="8" s="1"/>
  <c r="R181" i="8" a="1"/>
  <c r="R181" i="8" s="1"/>
  <c r="S181" i="8" a="1"/>
  <c r="S181" i="8" s="1"/>
  <c r="T181" i="8" a="1"/>
  <c r="T181" i="8" s="1"/>
  <c r="U181" i="8" a="1"/>
  <c r="U181" i="8" s="1"/>
  <c r="V181" i="8" a="1"/>
  <c r="V181" i="8" s="1"/>
  <c r="W181" i="8" a="1"/>
  <c r="W181" i="8" s="1"/>
  <c r="X181" i="8" a="1"/>
  <c r="X181" i="8" s="1"/>
  <c r="Y181" i="8" a="1"/>
  <c r="Y181" i="8" s="1"/>
  <c r="Z181" i="8" a="1"/>
  <c r="Z181" i="8" s="1"/>
  <c r="AA181" i="8" a="1"/>
  <c r="AA181" i="8" s="1"/>
  <c r="AB181" i="8" a="1"/>
  <c r="AB181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Q182" i="8" a="1"/>
  <c r="Q182" i="8" s="1"/>
  <c r="R182" i="8" a="1"/>
  <c r="R182" i="8" s="1"/>
  <c r="S182" i="8" a="1"/>
  <c r="S182" i="8" s="1"/>
  <c r="T182" i="8" a="1"/>
  <c r="T182" i="8" s="1"/>
  <c r="U182" i="8" a="1"/>
  <c r="U182" i="8" s="1"/>
  <c r="V182" i="8" a="1"/>
  <c r="V182" i="8" s="1"/>
  <c r="W182" i="8" a="1"/>
  <c r="W182" i="8" s="1"/>
  <c r="X182" i="8" a="1"/>
  <c r="X182" i="8" s="1"/>
  <c r="Y182" i="8" a="1"/>
  <c r="Y182" i="8" s="1"/>
  <c r="Z182" i="8" a="1"/>
  <c r="Z182" i="8" s="1"/>
  <c r="AA182" i="8" a="1"/>
  <c r="AA182" i="8" s="1"/>
  <c r="AB182" i="8" a="1"/>
  <c r="AB182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Q183" i="8" a="1"/>
  <c r="Q183" i="8" s="1"/>
  <c r="R183" i="8" a="1"/>
  <c r="R183" i="8" s="1"/>
  <c r="S183" i="8" a="1"/>
  <c r="S183" i="8" s="1"/>
  <c r="T183" i="8" a="1"/>
  <c r="T183" i="8" s="1"/>
  <c r="U183" i="8" a="1"/>
  <c r="U183" i="8" s="1"/>
  <c r="V183" i="8" a="1"/>
  <c r="V183" i="8" s="1"/>
  <c r="W183" i="8" a="1"/>
  <c r="W183" i="8" s="1"/>
  <c r="X183" i="8" a="1"/>
  <c r="X183" i="8" s="1"/>
  <c r="Y183" i="8" a="1"/>
  <c r="Y183" i="8" s="1"/>
  <c r="Z183" i="8" a="1"/>
  <c r="Z183" i="8" s="1"/>
  <c r="AA183" i="8" a="1"/>
  <c r="AA183" i="8" s="1"/>
  <c r="AB183" i="8" a="1"/>
  <c r="AB183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Q184" i="8" a="1"/>
  <c r="Q184" i="8" s="1"/>
  <c r="R184" i="8" a="1"/>
  <c r="R184" i="8" s="1"/>
  <c r="S184" i="8" a="1"/>
  <c r="S184" i="8" s="1"/>
  <c r="T184" i="8" a="1"/>
  <c r="T184" i="8" s="1"/>
  <c r="U184" i="8" a="1"/>
  <c r="U184" i="8" s="1"/>
  <c r="V184" i="8" a="1"/>
  <c r="V184" i="8" s="1"/>
  <c r="W184" i="8" a="1"/>
  <c r="W184" i="8" s="1"/>
  <c r="X184" i="8" a="1"/>
  <c r="X184" i="8" s="1"/>
  <c r="Y184" i="8" a="1"/>
  <c r="Y184" i="8" s="1"/>
  <c r="Z184" i="8" a="1"/>
  <c r="Z184" i="8" s="1"/>
  <c r="AA184" i="8" a="1"/>
  <c r="AA184" i="8" s="1"/>
  <c r="AB184" i="8" a="1"/>
  <c r="AB184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Q185" i="8" a="1"/>
  <c r="Q185" i="8" s="1"/>
  <c r="R185" i="8" a="1"/>
  <c r="R185" i="8" s="1"/>
  <c r="S185" i="8" a="1"/>
  <c r="S185" i="8" s="1"/>
  <c r="T185" i="8" a="1"/>
  <c r="T185" i="8" s="1"/>
  <c r="U185" i="8" a="1"/>
  <c r="U185" i="8" s="1"/>
  <c r="V185" i="8" a="1"/>
  <c r="V185" i="8" s="1"/>
  <c r="W185" i="8" a="1"/>
  <c r="W185" i="8" s="1"/>
  <c r="X185" i="8" a="1"/>
  <c r="X185" i="8" s="1"/>
  <c r="Y185" i="8" a="1"/>
  <c r="Y185" i="8" s="1"/>
  <c r="Z185" i="8" a="1"/>
  <c r="Z185" i="8" s="1"/>
  <c r="AA185" i="8" a="1"/>
  <c r="AA185" i="8" s="1"/>
  <c r="AB185" i="8" a="1"/>
  <c r="AB185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Q186" i="8" a="1"/>
  <c r="Q186" i="8" s="1"/>
  <c r="R186" i="8" a="1"/>
  <c r="R186" i="8" s="1"/>
  <c r="S186" i="8" a="1"/>
  <c r="S186" i="8" s="1"/>
  <c r="T186" i="8" a="1"/>
  <c r="T186" i="8" s="1"/>
  <c r="U186" i="8" a="1"/>
  <c r="U186" i="8" s="1"/>
  <c r="V186" i="8" a="1"/>
  <c r="V186" i="8" s="1"/>
  <c r="W186" i="8" a="1"/>
  <c r="W186" i="8" s="1"/>
  <c r="X186" i="8" a="1"/>
  <c r="X186" i="8" s="1"/>
  <c r="Y186" i="8" a="1"/>
  <c r="Y186" i="8" s="1"/>
  <c r="Z186" i="8" a="1"/>
  <c r="Z186" i="8" s="1"/>
  <c r="AA186" i="8" a="1"/>
  <c r="AA186" i="8" s="1"/>
  <c r="AB186" i="8" a="1"/>
  <c r="AB186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Q187" i="8" a="1"/>
  <c r="Q187" i="8" s="1"/>
  <c r="R187" i="8" a="1"/>
  <c r="R187" i="8" s="1"/>
  <c r="S187" i="8" a="1"/>
  <c r="S187" i="8" s="1"/>
  <c r="T187" i="8" a="1"/>
  <c r="T187" i="8" s="1"/>
  <c r="U187" i="8" a="1"/>
  <c r="U187" i="8" s="1"/>
  <c r="V187" i="8" a="1"/>
  <c r="V187" i="8" s="1"/>
  <c r="W187" i="8" a="1"/>
  <c r="W187" i="8" s="1"/>
  <c r="X187" i="8" a="1"/>
  <c r="X187" i="8" s="1"/>
  <c r="Y187" i="8" a="1"/>
  <c r="Y187" i="8" s="1"/>
  <c r="Z187" i="8" a="1"/>
  <c r="Z187" i="8" s="1"/>
  <c r="AA187" i="8" a="1"/>
  <c r="AA187" i="8" s="1"/>
  <c r="AB187" i="8" a="1"/>
  <c r="AB187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Q188" i="8" a="1"/>
  <c r="Q188" i="8" s="1"/>
  <c r="R188" i="8" a="1"/>
  <c r="R188" i="8" s="1"/>
  <c r="S188" i="8" a="1"/>
  <c r="S188" i="8" s="1"/>
  <c r="T188" i="8" a="1"/>
  <c r="T188" i="8" s="1"/>
  <c r="U188" i="8" a="1"/>
  <c r="U188" i="8" s="1"/>
  <c r="V188" i="8" a="1"/>
  <c r="V188" i="8" s="1"/>
  <c r="W188" i="8" a="1"/>
  <c r="W188" i="8" s="1"/>
  <c r="X188" i="8" a="1"/>
  <c r="X188" i="8" s="1"/>
  <c r="Y188" i="8" a="1"/>
  <c r="Y188" i="8" s="1"/>
  <c r="Z188" i="8" a="1"/>
  <c r="Z188" i="8" s="1"/>
  <c r="AA188" i="8" a="1"/>
  <c r="AA188" i="8" s="1"/>
  <c r="AB188" i="8" a="1"/>
  <c r="AB188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Q189" i="8" a="1"/>
  <c r="Q189" i="8" s="1"/>
  <c r="R189" i="8" a="1"/>
  <c r="R189" i="8" s="1"/>
  <c r="S189" i="8" a="1"/>
  <c r="S189" i="8" s="1"/>
  <c r="T189" i="8" a="1"/>
  <c r="T189" i="8" s="1"/>
  <c r="U189" i="8" a="1"/>
  <c r="U189" i="8" s="1"/>
  <c r="V189" i="8" a="1"/>
  <c r="V189" i="8" s="1"/>
  <c r="W189" i="8" a="1"/>
  <c r="W189" i="8" s="1"/>
  <c r="X189" i="8" a="1"/>
  <c r="X189" i="8" s="1"/>
  <c r="Y189" i="8" a="1"/>
  <c r="Y189" i="8" s="1"/>
  <c r="Z189" i="8" a="1"/>
  <c r="Z189" i="8" s="1"/>
  <c r="AA189" i="8" a="1"/>
  <c r="AA189" i="8" s="1"/>
  <c r="AB189" i="8" a="1"/>
  <c r="AB189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Q190" i="8" a="1"/>
  <c r="Q190" i="8" s="1"/>
  <c r="R190" i="8" a="1"/>
  <c r="R190" i="8" s="1"/>
  <c r="S190" i="8" a="1"/>
  <c r="S190" i="8" s="1"/>
  <c r="T190" i="8" a="1"/>
  <c r="T190" i="8" s="1"/>
  <c r="U190" i="8" a="1"/>
  <c r="U190" i="8" s="1"/>
  <c r="V190" i="8" a="1"/>
  <c r="V190" i="8" s="1"/>
  <c r="W190" i="8" a="1"/>
  <c r="W190" i="8" s="1"/>
  <c r="X190" i="8" a="1"/>
  <c r="X190" i="8" s="1"/>
  <c r="Y190" i="8" a="1"/>
  <c r="Y190" i="8" s="1"/>
  <c r="Z190" i="8" a="1"/>
  <c r="Z190" i="8" s="1"/>
  <c r="AA190" i="8" a="1"/>
  <c r="AA190" i="8" s="1"/>
  <c r="AB190" i="8" a="1"/>
  <c r="AB190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Q191" i="8" a="1"/>
  <c r="Q191" i="8" s="1"/>
  <c r="R191" i="8" a="1"/>
  <c r="R191" i="8" s="1"/>
  <c r="S191" i="8" a="1"/>
  <c r="S191" i="8" s="1"/>
  <c r="T191" i="8" a="1"/>
  <c r="T191" i="8" s="1"/>
  <c r="U191" i="8" a="1"/>
  <c r="U191" i="8" s="1"/>
  <c r="V191" i="8" a="1"/>
  <c r="V191" i="8" s="1"/>
  <c r="W191" i="8" a="1"/>
  <c r="W191" i="8" s="1"/>
  <c r="X191" i="8" a="1"/>
  <c r="X191" i="8" s="1"/>
  <c r="Y191" i="8" a="1"/>
  <c r="Y191" i="8" s="1"/>
  <c r="Z191" i="8" a="1"/>
  <c r="Z191" i="8" s="1"/>
  <c r="AA191" i="8" a="1"/>
  <c r="AA191" i="8" s="1"/>
  <c r="AB191" i="8" a="1"/>
  <c r="AB191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Q192" i="8" a="1"/>
  <c r="Q192" i="8" s="1"/>
  <c r="R192" i="8" a="1"/>
  <c r="R192" i="8" s="1"/>
  <c r="S192" i="8" a="1"/>
  <c r="S192" i="8" s="1"/>
  <c r="T192" i="8" a="1"/>
  <c r="T192" i="8" s="1"/>
  <c r="U192" i="8" a="1"/>
  <c r="U192" i="8" s="1"/>
  <c r="V192" i="8" a="1"/>
  <c r="V192" i="8" s="1"/>
  <c r="W192" i="8" a="1"/>
  <c r="W192" i="8" s="1"/>
  <c r="X192" i="8" a="1"/>
  <c r="X192" i="8" s="1"/>
  <c r="Y192" i="8" a="1"/>
  <c r="Y192" i="8" s="1"/>
  <c r="Z192" i="8" a="1"/>
  <c r="Z192" i="8" s="1"/>
  <c r="AA192" i="8" a="1"/>
  <c r="AA192" i="8" s="1"/>
  <c r="AB192" i="8" a="1"/>
  <c r="AB192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Q193" i="8" a="1"/>
  <c r="Q193" i="8" s="1"/>
  <c r="R193" i="8" a="1"/>
  <c r="R193" i="8" s="1"/>
  <c r="S193" i="8" a="1"/>
  <c r="S193" i="8" s="1"/>
  <c r="T193" i="8" a="1"/>
  <c r="T193" i="8" s="1"/>
  <c r="U193" i="8" a="1"/>
  <c r="U193" i="8" s="1"/>
  <c r="V193" i="8" a="1"/>
  <c r="V193" i="8" s="1"/>
  <c r="W193" i="8" a="1"/>
  <c r="W193" i="8" s="1"/>
  <c r="X193" i="8" a="1"/>
  <c r="X193" i="8" s="1"/>
  <c r="Y193" i="8" a="1"/>
  <c r="Y193" i="8" s="1"/>
  <c r="Z193" i="8" a="1"/>
  <c r="Z193" i="8" s="1"/>
  <c r="AA193" i="8" a="1"/>
  <c r="AA193" i="8" s="1"/>
  <c r="AB193" i="8" a="1"/>
  <c r="AB193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Q194" i="8" a="1"/>
  <c r="Q194" i="8" s="1"/>
  <c r="R194" i="8" a="1"/>
  <c r="R194" i="8" s="1"/>
  <c r="S194" i="8" a="1"/>
  <c r="S194" i="8" s="1"/>
  <c r="T194" i="8" a="1"/>
  <c r="T194" i="8" s="1"/>
  <c r="U194" i="8" a="1"/>
  <c r="U194" i="8" s="1"/>
  <c r="V194" i="8" a="1"/>
  <c r="V194" i="8" s="1"/>
  <c r="W194" i="8" a="1"/>
  <c r="W194" i="8" s="1"/>
  <c r="X194" i="8" a="1"/>
  <c r="X194" i="8" s="1"/>
  <c r="Y194" i="8" a="1"/>
  <c r="Y194" i="8" s="1"/>
  <c r="Z194" i="8" a="1"/>
  <c r="Z194" i="8" s="1"/>
  <c r="AA194" i="8" a="1"/>
  <c r="AA194" i="8" s="1"/>
  <c r="AB194" i="8" a="1"/>
  <c r="AB194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Q195" i="8" a="1"/>
  <c r="Q195" i="8" s="1"/>
  <c r="R195" i="8" a="1"/>
  <c r="R195" i="8" s="1"/>
  <c r="S195" i="8" a="1"/>
  <c r="S195" i="8" s="1"/>
  <c r="T195" i="8" a="1"/>
  <c r="T195" i="8" s="1"/>
  <c r="U195" i="8" a="1"/>
  <c r="U195" i="8" s="1"/>
  <c r="V195" i="8" a="1"/>
  <c r="V195" i="8" s="1"/>
  <c r="W195" i="8" a="1"/>
  <c r="W195" i="8" s="1"/>
  <c r="X195" i="8" a="1"/>
  <c r="X195" i="8" s="1"/>
  <c r="Y195" i="8" a="1"/>
  <c r="Y195" i="8" s="1"/>
  <c r="Z195" i="8" a="1"/>
  <c r="Z195" i="8" s="1"/>
  <c r="AA195" i="8" a="1"/>
  <c r="AA195" i="8" s="1"/>
  <c r="AB195" i="8" a="1"/>
  <c r="AB195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Q196" i="8" a="1"/>
  <c r="Q196" i="8" s="1"/>
  <c r="R196" i="8" a="1"/>
  <c r="R196" i="8" s="1"/>
  <c r="S196" i="8" a="1"/>
  <c r="S196" i="8" s="1"/>
  <c r="T196" i="8" a="1"/>
  <c r="T196" i="8" s="1"/>
  <c r="U196" i="8" a="1"/>
  <c r="U196" i="8" s="1"/>
  <c r="V196" i="8" a="1"/>
  <c r="V196" i="8" s="1"/>
  <c r="W196" i="8" a="1"/>
  <c r="W196" i="8" s="1"/>
  <c r="X196" i="8" a="1"/>
  <c r="X196" i="8" s="1"/>
  <c r="Y196" i="8" a="1"/>
  <c r="Y196" i="8" s="1"/>
  <c r="Z196" i="8" a="1"/>
  <c r="Z196" i="8" s="1"/>
  <c r="AA196" i="8" a="1"/>
  <c r="AA196" i="8" s="1"/>
  <c r="AB196" i="8" a="1"/>
  <c r="AB196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Q197" i="8" a="1"/>
  <c r="Q197" i="8" s="1"/>
  <c r="R197" i="8" a="1"/>
  <c r="R197" i="8" s="1"/>
  <c r="S197" i="8" a="1"/>
  <c r="S197" i="8" s="1"/>
  <c r="T197" i="8" a="1"/>
  <c r="T197" i="8" s="1"/>
  <c r="U197" i="8" a="1"/>
  <c r="U197" i="8" s="1"/>
  <c r="V197" i="8" a="1"/>
  <c r="V197" i="8" s="1"/>
  <c r="W197" i="8" a="1"/>
  <c r="W197" i="8" s="1"/>
  <c r="X197" i="8" a="1"/>
  <c r="X197" i="8" s="1"/>
  <c r="Y197" i="8" a="1"/>
  <c r="Y197" i="8" s="1"/>
  <c r="Z197" i="8" a="1"/>
  <c r="Z197" i="8" s="1"/>
  <c r="AA197" i="8" a="1"/>
  <c r="AA197" i="8" s="1"/>
  <c r="AB197" i="8" a="1"/>
  <c r="AB197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Q198" i="8" a="1"/>
  <c r="Q198" i="8" s="1"/>
  <c r="R198" i="8" a="1"/>
  <c r="R198" i="8" s="1"/>
  <c r="S198" i="8" a="1"/>
  <c r="S198" i="8" s="1"/>
  <c r="T198" i="8" a="1"/>
  <c r="T198" i="8" s="1"/>
  <c r="U198" i="8" a="1"/>
  <c r="U198" i="8" s="1"/>
  <c r="V198" i="8" a="1"/>
  <c r="V198" i="8" s="1"/>
  <c r="W198" i="8" a="1"/>
  <c r="W198" i="8" s="1"/>
  <c r="X198" i="8" a="1"/>
  <c r="X198" i="8" s="1"/>
  <c r="Y198" i="8" a="1"/>
  <c r="Y198" i="8" s="1"/>
  <c r="Z198" i="8" a="1"/>
  <c r="Z198" i="8" s="1"/>
  <c r="AA198" i="8" a="1"/>
  <c r="AA198" i="8" s="1"/>
  <c r="AB198" i="8" a="1"/>
  <c r="AB198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Q199" i="8" a="1"/>
  <c r="Q199" i="8" s="1"/>
  <c r="R199" i="8" a="1"/>
  <c r="R199" i="8" s="1"/>
  <c r="S199" i="8" a="1"/>
  <c r="S199" i="8" s="1"/>
  <c r="T199" i="8" a="1"/>
  <c r="T199" i="8" s="1"/>
  <c r="U199" i="8" a="1"/>
  <c r="U199" i="8" s="1"/>
  <c r="V199" i="8" a="1"/>
  <c r="V199" i="8" s="1"/>
  <c r="W199" i="8" a="1"/>
  <c r="W199" i="8" s="1"/>
  <c r="X199" i="8" a="1"/>
  <c r="X199" i="8" s="1"/>
  <c r="Y199" i="8" a="1"/>
  <c r="Y199" i="8" s="1"/>
  <c r="Z199" i="8" a="1"/>
  <c r="Z199" i="8" s="1"/>
  <c r="AA199" i="8" a="1"/>
  <c r="AA199" i="8" s="1"/>
  <c r="AB199" i="8" a="1"/>
  <c r="AB199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Q200" i="8" a="1"/>
  <c r="Q200" i="8" s="1"/>
  <c r="R200" i="8" a="1"/>
  <c r="R200" i="8" s="1"/>
  <c r="S200" i="8" a="1"/>
  <c r="S200" i="8" s="1"/>
  <c r="T200" i="8" a="1"/>
  <c r="T200" i="8" s="1"/>
  <c r="U200" i="8" a="1"/>
  <c r="U200" i="8" s="1"/>
  <c r="V200" i="8" a="1"/>
  <c r="V200" i="8" s="1"/>
  <c r="W200" i="8" a="1"/>
  <c r="W200" i="8" s="1"/>
  <c r="X200" i="8" a="1"/>
  <c r="X200" i="8" s="1"/>
  <c r="Y200" i="8" a="1"/>
  <c r="Y200" i="8" s="1"/>
  <c r="Z200" i="8" a="1"/>
  <c r="Z200" i="8" s="1"/>
  <c r="AA200" i="8" a="1"/>
  <c r="AA200" i="8" s="1"/>
  <c r="AB200" i="8" a="1"/>
  <c r="AB200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Q201" i="8" a="1"/>
  <c r="Q201" i="8" s="1"/>
  <c r="R201" i="8" a="1"/>
  <c r="R201" i="8" s="1"/>
  <c r="S201" i="8" a="1"/>
  <c r="S201" i="8" s="1"/>
  <c r="T201" i="8" a="1"/>
  <c r="T201" i="8" s="1"/>
  <c r="U201" i="8" a="1"/>
  <c r="U201" i="8" s="1"/>
  <c r="V201" i="8" a="1"/>
  <c r="V201" i="8" s="1"/>
  <c r="W201" i="8" a="1"/>
  <c r="W201" i="8" s="1"/>
  <c r="X201" i="8" a="1"/>
  <c r="X201" i="8" s="1"/>
  <c r="Y201" i="8" a="1"/>
  <c r="Y201" i="8" s="1"/>
  <c r="Z201" i="8" a="1"/>
  <c r="Z201" i="8" s="1"/>
  <c r="AA201" i="8" a="1"/>
  <c r="AA201" i="8" s="1"/>
  <c r="AB201" i="8" a="1"/>
  <c r="AB201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Q202" i="8" a="1"/>
  <c r="Q202" i="8" s="1"/>
  <c r="R202" i="8" a="1"/>
  <c r="R202" i="8" s="1"/>
  <c r="S202" i="8" a="1"/>
  <c r="S202" i="8" s="1"/>
  <c r="T202" i="8" a="1"/>
  <c r="T202" i="8" s="1"/>
  <c r="U202" i="8" a="1"/>
  <c r="U202" i="8" s="1"/>
  <c r="V202" i="8" a="1"/>
  <c r="V202" i="8" s="1"/>
  <c r="W202" i="8" a="1"/>
  <c r="W202" i="8" s="1"/>
  <c r="X202" i="8" a="1"/>
  <c r="X202" i="8" s="1"/>
  <c r="Y202" i="8" a="1"/>
  <c r="Y202" i="8" s="1"/>
  <c r="Z202" i="8" a="1"/>
  <c r="Z202" i="8" s="1"/>
  <c r="AA202" i="8" a="1"/>
  <c r="AA202" i="8" s="1"/>
  <c r="AB202" i="8" a="1"/>
  <c r="AB202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Q203" i="8" a="1"/>
  <c r="Q203" i="8" s="1"/>
  <c r="R203" i="8" a="1"/>
  <c r="R203" i="8" s="1"/>
  <c r="S203" i="8" a="1"/>
  <c r="S203" i="8" s="1"/>
  <c r="T203" i="8" a="1"/>
  <c r="T203" i="8" s="1"/>
  <c r="U203" i="8" a="1"/>
  <c r="U203" i="8" s="1"/>
  <c r="V203" i="8" a="1"/>
  <c r="V203" i="8" s="1"/>
  <c r="W203" i="8" a="1"/>
  <c r="W203" i="8" s="1"/>
  <c r="X203" i="8" a="1"/>
  <c r="X203" i="8" s="1"/>
  <c r="Y203" i="8" a="1"/>
  <c r="Y203" i="8" s="1"/>
  <c r="Z203" i="8" a="1"/>
  <c r="Z203" i="8" s="1"/>
  <c r="AA203" i="8" a="1"/>
  <c r="AA203" i="8" s="1"/>
  <c r="AB203" i="8" a="1"/>
  <c r="AB203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Q204" i="8" a="1"/>
  <c r="Q204" i="8" s="1"/>
  <c r="R204" i="8" a="1"/>
  <c r="R204" i="8" s="1"/>
  <c r="S204" i="8" a="1"/>
  <c r="S204" i="8" s="1"/>
  <c r="T204" i="8" a="1"/>
  <c r="T204" i="8" s="1"/>
  <c r="U204" i="8" a="1"/>
  <c r="U204" i="8" s="1"/>
  <c r="V204" i="8" a="1"/>
  <c r="V204" i="8" s="1"/>
  <c r="W204" i="8" a="1"/>
  <c r="W204" i="8" s="1"/>
  <c r="X204" i="8" a="1"/>
  <c r="X204" i="8" s="1"/>
  <c r="Y204" i="8" a="1"/>
  <c r="Y204" i="8" s="1"/>
  <c r="Z204" i="8" a="1"/>
  <c r="Z204" i="8" s="1"/>
  <c r="AA204" i="8" a="1"/>
  <c r="AA204" i="8" s="1"/>
  <c r="AB204" i="8" a="1"/>
  <c r="AB204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Q205" i="8" a="1"/>
  <c r="Q205" i="8" s="1"/>
  <c r="R205" i="8" a="1"/>
  <c r="R205" i="8" s="1"/>
  <c r="S205" i="8" a="1"/>
  <c r="S205" i="8" s="1"/>
  <c r="T205" i="8" a="1"/>
  <c r="T205" i="8" s="1"/>
  <c r="U205" i="8" a="1"/>
  <c r="U205" i="8" s="1"/>
  <c r="V205" i="8" a="1"/>
  <c r="V205" i="8" s="1"/>
  <c r="W205" i="8" a="1"/>
  <c r="W205" i="8" s="1"/>
  <c r="X205" i="8" a="1"/>
  <c r="X205" i="8" s="1"/>
  <c r="Y205" i="8" a="1"/>
  <c r="Y205" i="8" s="1"/>
  <c r="Z205" i="8" a="1"/>
  <c r="Z205" i="8" s="1"/>
  <c r="AA205" i="8" a="1"/>
  <c r="AA205" i="8" s="1"/>
  <c r="AB205" i="8" a="1"/>
  <c r="AB205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Q206" i="8" a="1"/>
  <c r="Q206" i="8" s="1"/>
  <c r="R206" i="8" a="1"/>
  <c r="R206" i="8" s="1"/>
  <c r="S206" i="8" a="1"/>
  <c r="S206" i="8" s="1"/>
  <c r="T206" i="8" a="1"/>
  <c r="T206" i="8" s="1"/>
  <c r="U206" i="8" a="1"/>
  <c r="U206" i="8" s="1"/>
  <c r="V206" i="8" a="1"/>
  <c r="V206" i="8" s="1"/>
  <c r="W206" i="8" a="1"/>
  <c r="W206" i="8" s="1"/>
  <c r="X206" i="8" a="1"/>
  <c r="X206" i="8" s="1"/>
  <c r="Y206" i="8" a="1"/>
  <c r="Y206" i="8" s="1"/>
  <c r="Z206" i="8" a="1"/>
  <c r="Z206" i="8" s="1"/>
  <c r="AA206" i="8" a="1"/>
  <c r="AA206" i="8" s="1"/>
  <c r="AB206" i="8" a="1"/>
  <c r="AB206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Q207" i="8" a="1"/>
  <c r="Q207" i="8" s="1"/>
  <c r="R207" i="8" a="1"/>
  <c r="R207" i="8" s="1"/>
  <c r="S207" i="8" a="1"/>
  <c r="S207" i="8" s="1"/>
  <c r="T207" i="8" a="1"/>
  <c r="T207" i="8" s="1"/>
  <c r="U207" i="8" a="1"/>
  <c r="U207" i="8" s="1"/>
  <c r="V207" i="8" a="1"/>
  <c r="V207" i="8" s="1"/>
  <c r="W207" i="8" a="1"/>
  <c r="W207" i="8" s="1"/>
  <c r="X207" i="8" a="1"/>
  <c r="X207" i="8" s="1"/>
  <c r="Y207" i="8" a="1"/>
  <c r="Y207" i="8" s="1"/>
  <c r="Z207" i="8" a="1"/>
  <c r="Z207" i="8" s="1"/>
  <c r="AA207" i="8" a="1"/>
  <c r="AA207" i="8" s="1"/>
  <c r="AB207" i="8" a="1"/>
  <c r="AB207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Q208" i="8" a="1"/>
  <c r="Q208" i="8" s="1"/>
  <c r="R208" i="8" a="1"/>
  <c r="R208" i="8" s="1"/>
  <c r="S208" i="8" a="1"/>
  <c r="S208" i="8" s="1"/>
  <c r="T208" i="8" a="1"/>
  <c r="T208" i="8" s="1"/>
  <c r="U208" i="8" a="1"/>
  <c r="U208" i="8" s="1"/>
  <c r="V208" i="8" a="1"/>
  <c r="V208" i="8" s="1"/>
  <c r="W208" i="8" a="1"/>
  <c r="W208" i="8" s="1"/>
  <c r="X208" i="8" a="1"/>
  <c r="X208" i="8" s="1"/>
  <c r="Y208" i="8" a="1"/>
  <c r="Y208" i="8" s="1"/>
  <c r="Z208" i="8" a="1"/>
  <c r="Z208" i="8" s="1"/>
  <c r="AA208" i="8" a="1"/>
  <c r="AA208" i="8" s="1"/>
  <c r="AB208" i="8" a="1"/>
  <c r="AB208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Q209" i="8" a="1"/>
  <c r="Q209" i="8" s="1"/>
  <c r="R209" i="8" a="1"/>
  <c r="R209" i="8" s="1"/>
  <c r="S209" i="8" a="1"/>
  <c r="S209" i="8" s="1"/>
  <c r="T209" i="8" a="1"/>
  <c r="T209" i="8" s="1"/>
  <c r="U209" i="8" a="1"/>
  <c r="U209" i="8" s="1"/>
  <c r="V209" i="8" a="1"/>
  <c r="V209" i="8" s="1"/>
  <c r="W209" i="8" a="1"/>
  <c r="W209" i="8" s="1"/>
  <c r="X209" i="8" a="1"/>
  <c r="X209" i="8" s="1"/>
  <c r="Y209" i="8" a="1"/>
  <c r="Y209" i="8" s="1"/>
  <c r="Z209" i="8" a="1"/>
  <c r="Z209" i="8" s="1"/>
  <c r="AA209" i="8" a="1"/>
  <c r="AA209" i="8" s="1"/>
  <c r="AB209" i="8" a="1"/>
  <c r="AB209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Q210" i="8" a="1"/>
  <c r="Q210" i="8" s="1"/>
  <c r="R210" i="8" a="1"/>
  <c r="R210" i="8" s="1"/>
  <c r="S210" i="8" a="1"/>
  <c r="S210" i="8" s="1"/>
  <c r="T210" i="8" a="1"/>
  <c r="T210" i="8" s="1"/>
  <c r="U210" i="8" a="1"/>
  <c r="U210" i="8" s="1"/>
  <c r="V210" i="8" a="1"/>
  <c r="V210" i="8" s="1"/>
  <c r="W210" i="8" a="1"/>
  <c r="W210" i="8" s="1"/>
  <c r="X210" i="8" a="1"/>
  <c r="X210" i="8" s="1"/>
  <c r="Y210" i="8" a="1"/>
  <c r="Y210" i="8" s="1"/>
  <c r="Z210" i="8" a="1"/>
  <c r="Z210" i="8" s="1"/>
  <c r="AA210" i="8" a="1"/>
  <c r="AA210" i="8" s="1"/>
  <c r="AB210" i="8" a="1"/>
  <c r="AB210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Q211" i="8" a="1"/>
  <c r="Q211" i="8" s="1"/>
  <c r="R211" i="8" a="1"/>
  <c r="R211" i="8" s="1"/>
  <c r="S211" i="8" a="1"/>
  <c r="S211" i="8" s="1"/>
  <c r="T211" i="8" a="1"/>
  <c r="T211" i="8" s="1"/>
  <c r="U211" i="8" a="1"/>
  <c r="U211" i="8" s="1"/>
  <c r="V211" i="8" a="1"/>
  <c r="V211" i="8" s="1"/>
  <c r="W211" i="8" a="1"/>
  <c r="W211" i="8" s="1"/>
  <c r="X211" i="8" a="1"/>
  <c r="X211" i="8" s="1"/>
  <c r="Y211" i="8" a="1"/>
  <c r="Y211" i="8" s="1"/>
  <c r="Z211" i="8" a="1"/>
  <c r="Z211" i="8" s="1"/>
  <c r="AA211" i="8" a="1"/>
  <c r="AA211" i="8" s="1"/>
  <c r="AB211" i="8" a="1"/>
  <c r="AB211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Q212" i="8" a="1"/>
  <c r="Q212" i="8" s="1"/>
  <c r="R212" i="8" a="1"/>
  <c r="R212" i="8" s="1"/>
  <c r="S212" i="8" a="1"/>
  <c r="S212" i="8" s="1"/>
  <c r="T212" i="8" a="1"/>
  <c r="T212" i="8" s="1"/>
  <c r="U212" i="8" a="1"/>
  <c r="U212" i="8" s="1"/>
  <c r="V212" i="8" a="1"/>
  <c r="V212" i="8" s="1"/>
  <c r="W212" i="8" a="1"/>
  <c r="W212" i="8" s="1"/>
  <c r="X212" i="8" a="1"/>
  <c r="X212" i="8" s="1"/>
  <c r="Y212" i="8" a="1"/>
  <c r="Y212" i="8" s="1"/>
  <c r="Z212" i="8" a="1"/>
  <c r="Z212" i="8" s="1"/>
  <c r="AA212" i="8" a="1"/>
  <c r="AA212" i="8" s="1"/>
  <c r="AB212" i="8" a="1"/>
  <c r="AB212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Q213" i="8" a="1"/>
  <c r="Q213" i="8" s="1"/>
  <c r="R213" i="8" a="1"/>
  <c r="R213" i="8" s="1"/>
  <c r="S213" i="8" a="1"/>
  <c r="S213" i="8" s="1"/>
  <c r="T213" i="8" a="1"/>
  <c r="T213" i="8" s="1"/>
  <c r="U213" i="8" a="1"/>
  <c r="U213" i="8" s="1"/>
  <c r="V213" i="8" a="1"/>
  <c r="V213" i="8" s="1"/>
  <c r="W213" i="8" a="1"/>
  <c r="W213" i="8" s="1"/>
  <c r="X213" i="8" a="1"/>
  <c r="X213" i="8" s="1"/>
  <c r="Y213" i="8" a="1"/>
  <c r="Y213" i="8" s="1"/>
  <c r="Z213" i="8" a="1"/>
  <c r="Z213" i="8" s="1"/>
  <c r="AA213" i="8" a="1"/>
  <c r="AA213" i="8" s="1"/>
  <c r="AB213" i="8" a="1"/>
  <c r="AB213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Q214" i="8" a="1"/>
  <c r="Q214" i="8" s="1"/>
  <c r="R214" i="8" a="1"/>
  <c r="R214" i="8" s="1"/>
  <c r="S214" i="8" a="1"/>
  <c r="S214" i="8" s="1"/>
  <c r="T214" i="8" a="1"/>
  <c r="T214" i="8" s="1"/>
  <c r="U214" i="8" a="1"/>
  <c r="U214" i="8" s="1"/>
  <c r="V214" i="8" a="1"/>
  <c r="V214" i="8" s="1"/>
  <c r="W214" i="8" a="1"/>
  <c r="W214" i="8" s="1"/>
  <c r="X214" i="8" a="1"/>
  <c r="X214" i="8" s="1"/>
  <c r="Y214" i="8" a="1"/>
  <c r="Y214" i="8" s="1"/>
  <c r="Z214" i="8" a="1"/>
  <c r="Z214" i="8" s="1"/>
  <c r="AA214" i="8" a="1"/>
  <c r="AA214" i="8" s="1"/>
  <c r="AB214" i="8" a="1"/>
  <c r="AB214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Q215" i="8" a="1"/>
  <c r="Q215" i="8" s="1"/>
  <c r="R215" i="8" a="1"/>
  <c r="R215" i="8" s="1"/>
  <c r="S215" i="8" a="1"/>
  <c r="S215" i="8" s="1"/>
  <c r="T215" i="8" a="1"/>
  <c r="T215" i="8" s="1"/>
  <c r="U215" i="8" a="1"/>
  <c r="U215" i="8" s="1"/>
  <c r="V215" i="8" a="1"/>
  <c r="V215" i="8" s="1"/>
  <c r="W215" i="8" a="1"/>
  <c r="W215" i="8" s="1"/>
  <c r="X215" i="8" a="1"/>
  <c r="X215" i="8" s="1"/>
  <c r="Y215" i="8" a="1"/>
  <c r="Y215" i="8" s="1"/>
  <c r="Z215" i="8" a="1"/>
  <c r="Z215" i="8" s="1"/>
  <c r="AA215" i="8" a="1"/>
  <c r="AA215" i="8" s="1"/>
  <c r="AB215" i="8" a="1"/>
  <c r="AB215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Q216" i="8" a="1"/>
  <c r="Q216" i="8" s="1"/>
  <c r="R216" i="8" a="1"/>
  <c r="R216" i="8" s="1"/>
  <c r="S216" i="8" a="1"/>
  <c r="S216" i="8" s="1"/>
  <c r="T216" i="8" a="1"/>
  <c r="T216" i="8" s="1"/>
  <c r="U216" i="8" a="1"/>
  <c r="U216" i="8" s="1"/>
  <c r="V216" i="8" a="1"/>
  <c r="V216" i="8" s="1"/>
  <c r="W216" i="8" a="1"/>
  <c r="W216" i="8" s="1"/>
  <c r="X216" i="8" a="1"/>
  <c r="X216" i="8" s="1"/>
  <c r="Y216" i="8" a="1"/>
  <c r="Y216" i="8" s="1"/>
  <c r="Z216" i="8" a="1"/>
  <c r="Z216" i="8" s="1"/>
  <c r="AA216" i="8" a="1"/>
  <c r="AA216" i="8" s="1"/>
  <c r="AB216" i="8" a="1"/>
  <c r="AB216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Q217" i="8" a="1"/>
  <c r="Q217" i="8" s="1"/>
  <c r="R217" i="8" a="1"/>
  <c r="R217" i="8" s="1"/>
  <c r="S217" i="8" a="1"/>
  <c r="S217" i="8" s="1"/>
  <c r="T217" i="8" a="1"/>
  <c r="T217" i="8" s="1"/>
  <c r="U217" i="8" a="1"/>
  <c r="U217" i="8" s="1"/>
  <c r="V217" i="8" a="1"/>
  <c r="V217" i="8" s="1"/>
  <c r="W217" i="8" a="1"/>
  <c r="W217" i="8" s="1"/>
  <c r="X217" i="8" a="1"/>
  <c r="X217" i="8" s="1"/>
  <c r="Y217" i="8" a="1"/>
  <c r="Y217" i="8" s="1"/>
  <c r="Z217" i="8" a="1"/>
  <c r="Z217" i="8" s="1"/>
  <c r="AA217" i="8" a="1"/>
  <c r="AA217" i="8" s="1"/>
  <c r="AB217" i="8" a="1"/>
  <c r="AB217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Q218" i="8" a="1"/>
  <c r="Q218" i="8" s="1"/>
  <c r="R218" i="8" a="1"/>
  <c r="R218" i="8" s="1"/>
  <c r="S218" i="8" a="1"/>
  <c r="S218" i="8" s="1"/>
  <c r="T218" i="8" a="1"/>
  <c r="T218" i="8" s="1"/>
  <c r="U218" i="8" a="1"/>
  <c r="U218" i="8" s="1"/>
  <c r="V218" i="8" a="1"/>
  <c r="V218" i="8" s="1"/>
  <c r="W218" i="8" a="1"/>
  <c r="W218" i="8" s="1"/>
  <c r="X218" i="8" a="1"/>
  <c r="X218" i="8" s="1"/>
  <c r="Y218" i="8" a="1"/>
  <c r="Y218" i="8" s="1"/>
  <c r="Z218" i="8" a="1"/>
  <c r="Z218" i="8" s="1"/>
  <c r="AA218" i="8" a="1"/>
  <c r="AA218" i="8" s="1"/>
  <c r="AB218" i="8" a="1"/>
  <c r="AB218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Q219" i="8" a="1"/>
  <c r="Q219" i="8" s="1"/>
  <c r="R219" i="8" a="1"/>
  <c r="R219" i="8" s="1"/>
  <c r="S219" i="8" a="1"/>
  <c r="S219" i="8" s="1"/>
  <c r="T219" i="8" a="1"/>
  <c r="T219" i="8" s="1"/>
  <c r="U219" i="8" a="1"/>
  <c r="U219" i="8" s="1"/>
  <c r="V219" i="8" a="1"/>
  <c r="V219" i="8" s="1"/>
  <c r="W219" i="8" a="1"/>
  <c r="W219" i="8" s="1"/>
  <c r="X219" i="8" a="1"/>
  <c r="X219" i="8" s="1"/>
  <c r="Y219" i="8" a="1"/>
  <c r="Y219" i="8" s="1"/>
  <c r="Z219" i="8" a="1"/>
  <c r="Z219" i="8" s="1"/>
  <c r="AA219" i="8" a="1"/>
  <c r="AA219" i="8" s="1"/>
  <c r="AB219" i="8" a="1"/>
  <c r="AB219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Q220" i="8" a="1"/>
  <c r="Q220" i="8" s="1"/>
  <c r="R220" i="8" a="1"/>
  <c r="R220" i="8" s="1"/>
  <c r="S220" i="8" a="1"/>
  <c r="S220" i="8" s="1"/>
  <c r="T220" i="8" a="1"/>
  <c r="T220" i="8" s="1"/>
  <c r="U220" i="8" a="1"/>
  <c r="U220" i="8" s="1"/>
  <c r="V220" i="8" a="1"/>
  <c r="V220" i="8" s="1"/>
  <c r="W220" i="8" a="1"/>
  <c r="W220" i="8" s="1"/>
  <c r="X220" i="8" a="1"/>
  <c r="X220" i="8" s="1"/>
  <c r="Y220" i="8" a="1"/>
  <c r="Y220" i="8" s="1"/>
  <c r="Z220" i="8" a="1"/>
  <c r="Z220" i="8" s="1"/>
  <c r="AA220" i="8" a="1"/>
  <c r="AA220" i="8" s="1"/>
  <c r="AB220" i="8" a="1"/>
  <c r="AB220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Q221" i="8" a="1"/>
  <c r="Q221" i="8" s="1"/>
  <c r="R221" i="8" a="1"/>
  <c r="R221" i="8" s="1"/>
  <c r="S221" i="8" a="1"/>
  <c r="S221" i="8" s="1"/>
  <c r="T221" i="8" a="1"/>
  <c r="T221" i="8" s="1"/>
  <c r="U221" i="8" a="1"/>
  <c r="U221" i="8" s="1"/>
  <c r="V221" i="8" a="1"/>
  <c r="V221" i="8" s="1"/>
  <c r="W221" i="8" a="1"/>
  <c r="W221" i="8" s="1"/>
  <c r="X221" i="8" a="1"/>
  <c r="X221" i="8" s="1"/>
  <c r="Y221" i="8" a="1"/>
  <c r="Y221" i="8" s="1"/>
  <c r="Z221" i="8" a="1"/>
  <c r="Z221" i="8" s="1"/>
  <c r="AA221" i="8" a="1"/>
  <c r="AA221" i="8" s="1"/>
  <c r="AB221" i="8" a="1"/>
  <c r="AB221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Q222" i="8" a="1"/>
  <c r="Q222" i="8" s="1"/>
  <c r="R222" i="8" a="1"/>
  <c r="R222" i="8" s="1"/>
  <c r="S222" i="8" a="1"/>
  <c r="S222" i="8" s="1"/>
  <c r="T222" i="8" a="1"/>
  <c r="T222" i="8" s="1"/>
  <c r="U222" i="8" a="1"/>
  <c r="U222" i="8" s="1"/>
  <c r="V222" i="8" a="1"/>
  <c r="V222" i="8" s="1"/>
  <c r="W222" i="8" a="1"/>
  <c r="W222" i="8" s="1"/>
  <c r="X222" i="8" a="1"/>
  <c r="X222" i="8" s="1"/>
  <c r="Y222" i="8" a="1"/>
  <c r="Y222" i="8" s="1"/>
  <c r="Z222" i="8" a="1"/>
  <c r="Z222" i="8" s="1"/>
  <c r="AA222" i="8" a="1"/>
  <c r="AA222" i="8" s="1"/>
  <c r="AB222" i="8" a="1"/>
  <c r="AB222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Q223" i="8" a="1"/>
  <c r="Q223" i="8" s="1"/>
  <c r="R223" i="8" a="1"/>
  <c r="R223" i="8" s="1"/>
  <c r="S223" i="8" a="1"/>
  <c r="S223" i="8" s="1"/>
  <c r="T223" i="8" a="1"/>
  <c r="T223" i="8" s="1"/>
  <c r="U223" i="8" a="1"/>
  <c r="U223" i="8" s="1"/>
  <c r="V223" i="8" a="1"/>
  <c r="V223" i="8" s="1"/>
  <c r="W223" i="8" a="1"/>
  <c r="W223" i="8" s="1"/>
  <c r="X223" i="8" a="1"/>
  <c r="X223" i="8" s="1"/>
  <c r="Y223" i="8" a="1"/>
  <c r="Y223" i="8" s="1"/>
  <c r="Z223" i="8" a="1"/>
  <c r="Z223" i="8" s="1"/>
  <c r="AA223" i="8" a="1"/>
  <c r="AA223" i="8" s="1"/>
  <c r="AB223" i="8" a="1"/>
  <c r="AB223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Q224" i="8" a="1"/>
  <c r="Q224" i="8" s="1"/>
  <c r="R224" i="8" a="1"/>
  <c r="R224" i="8" s="1"/>
  <c r="S224" i="8" a="1"/>
  <c r="S224" i="8" s="1"/>
  <c r="T224" i="8" a="1"/>
  <c r="T224" i="8" s="1"/>
  <c r="U224" i="8" a="1"/>
  <c r="U224" i="8" s="1"/>
  <c r="V224" i="8" a="1"/>
  <c r="V224" i="8" s="1"/>
  <c r="W224" i="8" a="1"/>
  <c r="W224" i="8" s="1"/>
  <c r="X224" i="8" a="1"/>
  <c r="X224" i="8" s="1"/>
  <c r="Y224" i="8" a="1"/>
  <c r="Y224" i="8" s="1"/>
  <c r="Z224" i="8" a="1"/>
  <c r="Z224" i="8" s="1"/>
  <c r="AA224" i="8" a="1"/>
  <c r="AA224" i="8" s="1"/>
  <c r="AB224" i="8" a="1"/>
  <c r="AB224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Q225" i="8" a="1"/>
  <c r="Q225" i="8" s="1"/>
  <c r="R225" i="8" a="1"/>
  <c r="R225" i="8" s="1"/>
  <c r="S225" i="8" a="1"/>
  <c r="S225" i="8" s="1"/>
  <c r="T225" i="8" a="1"/>
  <c r="T225" i="8" s="1"/>
  <c r="U225" i="8" a="1"/>
  <c r="U225" i="8" s="1"/>
  <c r="V225" i="8" a="1"/>
  <c r="V225" i="8" s="1"/>
  <c r="W225" i="8" a="1"/>
  <c r="W225" i="8" s="1"/>
  <c r="X225" i="8" a="1"/>
  <c r="X225" i="8" s="1"/>
  <c r="Y225" i="8" a="1"/>
  <c r="Y225" i="8" s="1"/>
  <c r="Z225" i="8" a="1"/>
  <c r="Z225" i="8" s="1"/>
  <c r="AA225" i="8" a="1"/>
  <c r="AA225" i="8" s="1"/>
  <c r="AB225" i="8" a="1"/>
  <c r="AB225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Q226" i="8" a="1"/>
  <c r="Q226" i="8" s="1"/>
  <c r="R226" i="8" a="1"/>
  <c r="R226" i="8" s="1"/>
  <c r="S226" i="8" a="1"/>
  <c r="S226" i="8" s="1"/>
  <c r="T226" i="8" a="1"/>
  <c r="T226" i="8" s="1"/>
  <c r="U226" i="8" a="1"/>
  <c r="U226" i="8" s="1"/>
  <c r="V226" i="8" a="1"/>
  <c r="V226" i="8" s="1"/>
  <c r="W226" i="8" a="1"/>
  <c r="W226" i="8" s="1"/>
  <c r="X226" i="8" a="1"/>
  <c r="X226" i="8" s="1"/>
  <c r="Y226" i="8" a="1"/>
  <c r="Y226" i="8" s="1"/>
  <c r="Z226" i="8" a="1"/>
  <c r="Z226" i="8" s="1"/>
  <c r="AA226" i="8" a="1"/>
  <c r="AA226" i="8" s="1"/>
  <c r="AB226" i="8" a="1"/>
  <c r="AB226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Q227" i="8" a="1"/>
  <c r="Q227" i="8" s="1"/>
  <c r="R227" i="8" a="1"/>
  <c r="R227" i="8" s="1"/>
  <c r="S227" i="8" a="1"/>
  <c r="S227" i="8" s="1"/>
  <c r="T227" i="8" a="1"/>
  <c r="T227" i="8" s="1"/>
  <c r="U227" i="8" a="1"/>
  <c r="U227" i="8" s="1"/>
  <c r="V227" i="8" a="1"/>
  <c r="V227" i="8" s="1"/>
  <c r="W227" i="8" a="1"/>
  <c r="W227" i="8" s="1"/>
  <c r="X227" i="8" a="1"/>
  <c r="X227" i="8" s="1"/>
  <c r="Y227" i="8" a="1"/>
  <c r="Y227" i="8" s="1"/>
  <c r="Z227" i="8" a="1"/>
  <c r="Z227" i="8" s="1"/>
  <c r="AA227" i="8" a="1"/>
  <c r="AA227" i="8" s="1"/>
  <c r="AB227" i="8" a="1"/>
  <c r="AB227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Q228" i="8" a="1"/>
  <c r="Q228" i="8" s="1"/>
  <c r="R228" i="8" a="1"/>
  <c r="R228" i="8" s="1"/>
  <c r="S228" i="8" a="1"/>
  <c r="S228" i="8" s="1"/>
  <c r="T228" i="8" a="1"/>
  <c r="T228" i="8" s="1"/>
  <c r="U228" i="8" a="1"/>
  <c r="U228" i="8" s="1"/>
  <c r="V228" i="8" a="1"/>
  <c r="V228" i="8" s="1"/>
  <c r="W228" i="8" a="1"/>
  <c r="W228" i="8" s="1"/>
  <c r="X228" i="8" a="1"/>
  <c r="X228" i="8" s="1"/>
  <c r="Y228" i="8" a="1"/>
  <c r="Y228" i="8" s="1"/>
  <c r="Z228" i="8" a="1"/>
  <c r="Z228" i="8" s="1"/>
  <c r="AA228" i="8" a="1"/>
  <c r="AA228" i="8" s="1"/>
  <c r="AB228" i="8" a="1"/>
  <c r="AB228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Q229" i="8" a="1"/>
  <c r="Q229" i="8" s="1"/>
  <c r="R229" i="8" a="1"/>
  <c r="R229" i="8" s="1"/>
  <c r="S229" i="8" a="1"/>
  <c r="S229" i="8" s="1"/>
  <c r="T229" i="8" a="1"/>
  <c r="T229" i="8" s="1"/>
  <c r="U229" i="8" a="1"/>
  <c r="U229" i="8" s="1"/>
  <c r="V229" i="8" a="1"/>
  <c r="V229" i="8" s="1"/>
  <c r="W229" i="8" a="1"/>
  <c r="W229" i="8" s="1"/>
  <c r="X229" i="8" a="1"/>
  <c r="X229" i="8" s="1"/>
  <c r="Y229" i="8" a="1"/>
  <c r="Y229" i="8" s="1"/>
  <c r="Z229" i="8" a="1"/>
  <c r="Z229" i="8" s="1"/>
  <c r="AA229" i="8" a="1"/>
  <c r="AA229" i="8" s="1"/>
  <c r="AB229" i="8" a="1"/>
  <c r="AB229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Q230" i="8" a="1"/>
  <c r="Q230" i="8" s="1"/>
  <c r="R230" i="8" a="1"/>
  <c r="R230" i="8" s="1"/>
  <c r="S230" i="8" a="1"/>
  <c r="S230" i="8" s="1"/>
  <c r="T230" i="8" a="1"/>
  <c r="T230" i="8" s="1"/>
  <c r="U230" i="8" a="1"/>
  <c r="U230" i="8" s="1"/>
  <c r="V230" i="8" a="1"/>
  <c r="V230" i="8" s="1"/>
  <c r="W230" i="8" a="1"/>
  <c r="W230" i="8" s="1"/>
  <c r="X230" i="8" a="1"/>
  <c r="X230" i="8" s="1"/>
  <c r="Y230" i="8" a="1"/>
  <c r="Y230" i="8" s="1"/>
  <c r="Z230" i="8" a="1"/>
  <c r="Z230" i="8" s="1"/>
  <c r="AA230" i="8" a="1"/>
  <c r="AA230" i="8" s="1"/>
  <c r="AB230" i="8" a="1"/>
  <c r="AB230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Q231" i="8" a="1"/>
  <c r="Q231" i="8" s="1"/>
  <c r="R231" i="8" a="1"/>
  <c r="R231" i="8" s="1"/>
  <c r="S231" i="8" a="1"/>
  <c r="S231" i="8" s="1"/>
  <c r="T231" i="8" a="1"/>
  <c r="T231" i="8" s="1"/>
  <c r="U231" i="8" a="1"/>
  <c r="U231" i="8" s="1"/>
  <c r="V231" i="8" a="1"/>
  <c r="V231" i="8" s="1"/>
  <c r="W231" i="8" a="1"/>
  <c r="W231" i="8" s="1"/>
  <c r="X231" i="8" a="1"/>
  <c r="X231" i="8" s="1"/>
  <c r="Y231" i="8" a="1"/>
  <c r="Y231" i="8" s="1"/>
  <c r="Z231" i="8" a="1"/>
  <c r="Z231" i="8" s="1"/>
  <c r="AA231" i="8" a="1"/>
  <c r="AA231" i="8" s="1"/>
  <c r="AB231" i="8" a="1"/>
  <c r="AB231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Q232" i="8" a="1"/>
  <c r="Q232" i="8" s="1"/>
  <c r="R232" i="8" a="1"/>
  <c r="R232" i="8" s="1"/>
  <c r="S232" i="8" a="1"/>
  <c r="S232" i="8" s="1"/>
  <c r="T232" i="8" a="1"/>
  <c r="T232" i="8" s="1"/>
  <c r="U232" i="8" a="1"/>
  <c r="U232" i="8" s="1"/>
  <c r="V232" i="8" a="1"/>
  <c r="V232" i="8" s="1"/>
  <c r="W232" i="8" a="1"/>
  <c r="W232" i="8" s="1"/>
  <c r="X232" i="8" a="1"/>
  <c r="X232" i="8" s="1"/>
  <c r="Y232" i="8" a="1"/>
  <c r="Y232" i="8" s="1"/>
  <c r="Z232" i="8" a="1"/>
  <c r="Z232" i="8" s="1"/>
  <c r="AA232" i="8" a="1"/>
  <c r="AA232" i="8" s="1"/>
  <c r="AB232" i="8" a="1"/>
  <c r="AB232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Q233" i="8" a="1"/>
  <c r="Q233" i="8" s="1"/>
  <c r="R233" i="8" a="1"/>
  <c r="R233" i="8" s="1"/>
  <c r="S233" i="8" a="1"/>
  <c r="S233" i="8" s="1"/>
  <c r="T233" i="8" a="1"/>
  <c r="T233" i="8" s="1"/>
  <c r="U233" i="8" a="1"/>
  <c r="U233" i="8" s="1"/>
  <c r="V233" i="8" a="1"/>
  <c r="V233" i="8" s="1"/>
  <c r="W233" i="8" a="1"/>
  <c r="W233" i="8" s="1"/>
  <c r="X233" i="8" a="1"/>
  <c r="X233" i="8" s="1"/>
  <c r="Y233" i="8" a="1"/>
  <c r="Y233" i="8" s="1"/>
  <c r="Z233" i="8" a="1"/>
  <c r="Z233" i="8" s="1"/>
  <c r="AA233" i="8" a="1"/>
  <c r="AA233" i="8" s="1"/>
  <c r="AB233" i="8" a="1"/>
  <c r="AB233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Q234" i="8" a="1"/>
  <c r="Q234" i="8" s="1"/>
  <c r="R234" i="8" a="1"/>
  <c r="R234" i="8" s="1"/>
  <c r="S234" i="8" a="1"/>
  <c r="S234" i="8" s="1"/>
  <c r="T234" i="8" a="1"/>
  <c r="T234" i="8" s="1"/>
  <c r="U234" i="8" a="1"/>
  <c r="U234" i="8" s="1"/>
  <c r="V234" i="8" a="1"/>
  <c r="V234" i="8" s="1"/>
  <c r="W234" i="8" a="1"/>
  <c r="W234" i="8" s="1"/>
  <c r="X234" i="8" a="1"/>
  <c r="X234" i="8" s="1"/>
  <c r="Y234" i="8" a="1"/>
  <c r="Y234" i="8" s="1"/>
  <c r="Z234" i="8" a="1"/>
  <c r="Z234" i="8" s="1"/>
  <c r="AA234" i="8" a="1"/>
  <c r="AA234" i="8" s="1"/>
  <c r="AB234" i="8" a="1"/>
  <c r="AB234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Q235" i="8" a="1"/>
  <c r="Q235" i="8" s="1"/>
  <c r="R235" i="8" a="1"/>
  <c r="R235" i="8" s="1"/>
  <c r="S235" i="8" a="1"/>
  <c r="S235" i="8" s="1"/>
  <c r="T235" i="8" a="1"/>
  <c r="T235" i="8" s="1"/>
  <c r="U235" i="8" a="1"/>
  <c r="U235" i="8" s="1"/>
  <c r="V235" i="8" a="1"/>
  <c r="V235" i="8" s="1"/>
  <c r="W235" i="8" a="1"/>
  <c r="W235" i="8" s="1"/>
  <c r="X235" i="8" a="1"/>
  <c r="X235" i="8" s="1"/>
  <c r="Y235" i="8" a="1"/>
  <c r="Y235" i="8" s="1"/>
  <c r="Z235" i="8" a="1"/>
  <c r="Z235" i="8" s="1"/>
  <c r="AA235" i="8" a="1"/>
  <c r="AA235" i="8" s="1"/>
  <c r="AB235" i="8" a="1"/>
  <c r="AB235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Q236" i="8" a="1"/>
  <c r="Q236" i="8" s="1"/>
  <c r="R236" i="8" a="1"/>
  <c r="R236" i="8" s="1"/>
  <c r="S236" i="8" a="1"/>
  <c r="S236" i="8" s="1"/>
  <c r="T236" i="8" a="1"/>
  <c r="T236" i="8" s="1"/>
  <c r="U236" i="8" a="1"/>
  <c r="U236" i="8" s="1"/>
  <c r="V236" i="8" a="1"/>
  <c r="V236" i="8" s="1"/>
  <c r="W236" i="8" a="1"/>
  <c r="W236" i="8" s="1"/>
  <c r="X236" i="8" a="1"/>
  <c r="X236" i="8" s="1"/>
  <c r="Y236" i="8" a="1"/>
  <c r="Y236" i="8" s="1"/>
  <c r="Z236" i="8" a="1"/>
  <c r="Z236" i="8" s="1"/>
  <c r="AA236" i="8" a="1"/>
  <c r="AA236" i="8" s="1"/>
  <c r="AB236" i="8" a="1"/>
  <c r="AB236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Q237" i="8" a="1"/>
  <c r="Q237" i="8" s="1"/>
  <c r="R237" i="8" a="1"/>
  <c r="R237" i="8" s="1"/>
  <c r="S237" i="8" a="1"/>
  <c r="S237" i="8" s="1"/>
  <c r="T237" i="8" a="1"/>
  <c r="T237" i="8" s="1"/>
  <c r="U237" i="8" a="1"/>
  <c r="U237" i="8" s="1"/>
  <c r="V237" i="8" a="1"/>
  <c r="V237" i="8" s="1"/>
  <c r="W237" i="8" a="1"/>
  <c r="W237" i="8" s="1"/>
  <c r="X237" i="8" a="1"/>
  <c r="X237" i="8" s="1"/>
  <c r="Y237" i="8" a="1"/>
  <c r="Y237" i="8" s="1"/>
  <c r="Z237" i="8" a="1"/>
  <c r="Z237" i="8" s="1"/>
  <c r="AA237" i="8" a="1"/>
  <c r="AA237" i="8" s="1"/>
  <c r="AB237" i="8" a="1"/>
  <c r="AB237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Q238" i="8" a="1"/>
  <c r="Q238" i="8" s="1"/>
  <c r="R238" i="8" a="1"/>
  <c r="R238" i="8" s="1"/>
  <c r="S238" i="8" a="1"/>
  <c r="S238" i="8" s="1"/>
  <c r="T238" i="8" a="1"/>
  <c r="T238" i="8" s="1"/>
  <c r="U238" i="8" a="1"/>
  <c r="U238" i="8" s="1"/>
  <c r="V238" i="8" a="1"/>
  <c r="V238" i="8" s="1"/>
  <c r="W238" i="8" a="1"/>
  <c r="W238" i="8" s="1"/>
  <c r="X238" i="8" a="1"/>
  <c r="X238" i="8" s="1"/>
  <c r="Y238" i="8" a="1"/>
  <c r="Y238" i="8" s="1"/>
  <c r="Z238" i="8" a="1"/>
  <c r="Z238" i="8" s="1"/>
  <c r="AA238" i="8" a="1"/>
  <c r="AA238" i="8" s="1"/>
  <c r="AB238" i="8" a="1"/>
  <c r="AB238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Q239" i="8" a="1"/>
  <c r="Q239" i="8" s="1"/>
  <c r="R239" i="8" a="1"/>
  <c r="R239" i="8" s="1"/>
  <c r="S239" i="8" a="1"/>
  <c r="S239" i="8" s="1"/>
  <c r="T239" i="8" a="1"/>
  <c r="T239" i="8" s="1"/>
  <c r="U239" i="8" a="1"/>
  <c r="U239" i="8" s="1"/>
  <c r="V239" i="8" a="1"/>
  <c r="V239" i="8" s="1"/>
  <c r="W239" i="8" a="1"/>
  <c r="W239" i="8" s="1"/>
  <c r="X239" i="8" a="1"/>
  <c r="X239" i="8" s="1"/>
  <c r="Y239" i="8" a="1"/>
  <c r="Y239" i="8" s="1"/>
  <c r="Z239" i="8" a="1"/>
  <c r="Z239" i="8" s="1"/>
  <c r="AA239" i="8" a="1"/>
  <c r="AA239" i="8" s="1"/>
  <c r="AB239" i="8" a="1"/>
  <c r="AB239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Q240" i="8" a="1"/>
  <c r="Q240" i="8" s="1"/>
  <c r="R240" i="8" a="1"/>
  <c r="R240" i="8" s="1"/>
  <c r="S240" i="8" a="1"/>
  <c r="S240" i="8" s="1"/>
  <c r="T240" i="8" a="1"/>
  <c r="T240" i="8" s="1"/>
  <c r="U240" i="8" a="1"/>
  <c r="U240" i="8" s="1"/>
  <c r="V240" i="8" a="1"/>
  <c r="V240" i="8" s="1"/>
  <c r="W240" i="8" a="1"/>
  <c r="W240" i="8" s="1"/>
  <c r="X240" i="8" a="1"/>
  <c r="X240" i="8" s="1"/>
  <c r="Y240" i="8" a="1"/>
  <c r="Y240" i="8" s="1"/>
  <c r="Z240" i="8" a="1"/>
  <c r="Z240" i="8" s="1"/>
  <c r="AA240" i="8" a="1"/>
  <c r="AA240" i="8" s="1"/>
  <c r="AB240" i="8" a="1"/>
  <c r="AB240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Q241" i="8" a="1"/>
  <c r="Q241" i="8" s="1"/>
  <c r="R241" i="8" a="1"/>
  <c r="R241" i="8" s="1"/>
  <c r="S241" i="8" a="1"/>
  <c r="S241" i="8" s="1"/>
  <c r="T241" i="8" a="1"/>
  <c r="T241" i="8" s="1"/>
  <c r="U241" i="8" a="1"/>
  <c r="U241" i="8" s="1"/>
  <c r="V241" i="8" a="1"/>
  <c r="V241" i="8" s="1"/>
  <c r="W241" i="8" a="1"/>
  <c r="W241" i="8" s="1"/>
  <c r="X241" i="8" a="1"/>
  <c r="X241" i="8" s="1"/>
  <c r="Y241" i="8" a="1"/>
  <c r="Y241" i="8" s="1"/>
  <c r="Z241" i="8" a="1"/>
  <c r="Z241" i="8" s="1"/>
  <c r="AA241" i="8" a="1"/>
  <c r="AA241" i="8" s="1"/>
  <c r="AB241" i="8" a="1"/>
  <c r="AB241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Q242" i="8" a="1"/>
  <c r="Q242" i="8" s="1"/>
  <c r="R242" i="8" a="1"/>
  <c r="R242" i="8" s="1"/>
  <c r="S242" i="8" a="1"/>
  <c r="S242" i="8" s="1"/>
  <c r="T242" i="8" a="1"/>
  <c r="T242" i="8" s="1"/>
  <c r="U242" i="8" a="1"/>
  <c r="U242" i="8" s="1"/>
  <c r="V242" i="8" a="1"/>
  <c r="V242" i="8" s="1"/>
  <c r="W242" i="8" a="1"/>
  <c r="W242" i="8" s="1"/>
  <c r="X242" i="8" a="1"/>
  <c r="X242" i="8" s="1"/>
  <c r="Y242" i="8" a="1"/>
  <c r="Y242" i="8" s="1"/>
  <c r="Z242" i="8" a="1"/>
  <c r="Z242" i="8" s="1"/>
  <c r="AA242" i="8" a="1"/>
  <c r="AA242" i="8" s="1"/>
  <c r="AB242" i="8" a="1"/>
  <c r="AB242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Q243" i="8" a="1"/>
  <c r="Q243" i="8" s="1"/>
  <c r="R243" i="8" a="1"/>
  <c r="R243" i="8" s="1"/>
  <c r="S243" i="8" a="1"/>
  <c r="S243" i="8" s="1"/>
  <c r="T243" i="8" a="1"/>
  <c r="T243" i="8" s="1"/>
  <c r="U243" i="8" a="1"/>
  <c r="U243" i="8" s="1"/>
  <c r="V243" i="8" a="1"/>
  <c r="V243" i="8" s="1"/>
  <c r="W243" i="8" a="1"/>
  <c r="W243" i="8" s="1"/>
  <c r="X243" i="8" a="1"/>
  <c r="X243" i="8" s="1"/>
  <c r="Y243" i="8" a="1"/>
  <c r="Y243" i="8" s="1"/>
  <c r="Z243" i="8" a="1"/>
  <c r="Z243" i="8" s="1"/>
  <c r="AA243" i="8" a="1"/>
  <c r="AA243" i="8" s="1"/>
  <c r="AB243" i="8" a="1"/>
  <c r="AB243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Q244" i="8" a="1"/>
  <c r="Q244" i="8" s="1"/>
  <c r="R244" i="8" a="1"/>
  <c r="R244" i="8" s="1"/>
  <c r="S244" i="8" a="1"/>
  <c r="S244" i="8" s="1"/>
  <c r="T244" i="8" a="1"/>
  <c r="T244" i="8" s="1"/>
  <c r="U244" i="8" a="1"/>
  <c r="U244" i="8" s="1"/>
  <c r="V244" i="8" a="1"/>
  <c r="V244" i="8" s="1"/>
  <c r="W244" i="8" a="1"/>
  <c r="W244" i="8" s="1"/>
  <c r="X244" i="8" a="1"/>
  <c r="X244" i="8" s="1"/>
  <c r="Y244" i="8" a="1"/>
  <c r="Y244" i="8" s="1"/>
  <c r="Z244" i="8" a="1"/>
  <c r="Z244" i="8" s="1"/>
  <c r="AA244" i="8" a="1"/>
  <c r="AA244" i="8" s="1"/>
  <c r="AB244" i="8" a="1"/>
  <c r="AB244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Q245" i="8" a="1"/>
  <c r="Q245" i="8" s="1"/>
  <c r="R245" i="8" a="1"/>
  <c r="R245" i="8" s="1"/>
  <c r="S245" i="8" a="1"/>
  <c r="S245" i="8" s="1"/>
  <c r="T245" i="8" a="1"/>
  <c r="T245" i="8" s="1"/>
  <c r="U245" i="8" a="1"/>
  <c r="U245" i="8" s="1"/>
  <c r="V245" i="8" a="1"/>
  <c r="V245" i="8" s="1"/>
  <c r="W245" i="8" a="1"/>
  <c r="W245" i="8" s="1"/>
  <c r="X245" i="8" a="1"/>
  <c r="X245" i="8" s="1"/>
  <c r="Y245" i="8" a="1"/>
  <c r="Y245" i="8" s="1"/>
  <c r="Z245" i="8" a="1"/>
  <c r="Z245" i="8" s="1"/>
  <c r="AA245" i="8" a="1"/>
  <c r="AA245" i="8" s="1"/>
  <c r="AB245" i="8" a="1"/>
  <c r="AB245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Q246" i="8" a="1"/>
  <c r="Q246" i="8" s="1"/>
  <c r="R246" i="8" a="1"/>
  <c r="R246" i="8" s="1"/>
  <c r="S246" i="8" a="1"/>
  <c r="S246" i="8" s="1"/>
  <c r="T246" i="8" a="1"/>
  <c r="T246" i="8" s="1"/>
  <c r="U246" i="8" a="1"/>
  <c r="U246" i="8" s="1"/>
  <c r="V246" i="8" a="1"/>
  <c r="V246" i="8" s="1"/>
  <c r="W246" i="8" a="1"/>
  <c r="W246" i="8" s="1"/>
  <c r="X246" i="8" a="1"/>
  <c r="X246" i="8" s="1"/>
  <c r="Y246" i="8" a="1"/>
  <c r="Y246" i="8" s="1"/>
  <c r="Z246" i="8" a="1"/>
  <c r="Z246" i="8" s="1"/>
  <c r="AA246" i="8" a="1"/>
  <c r="AA246" i="8" s="1"/>
  <c r="AB246" i="8" a="1"/>
  <c r="AB246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Q247" i="8" a="1"/>
  <c r="Q247" i="8" s="1"/>
  <c r="R247" i="8" a="1"/>
  <c r="R247" i="8" s="1"/>
  <c r="S247" i="8" a="1"/>
  <c r="S247" i="8" s="1"/>
  <c r="T247" i="8" a="1"/>
  <c r="T247" i="8" s="1"/>
  <c r="U247" i="8" a="1"/>
  <c r="U247" i="8" s="1"/>
  <c r="V247" i="8" a="1"/>
  <c r="V247" i="8" s="1"/>
  <c r="W247" i="8" a="1"/>
  <c r="W247" i="8" s="1"/>
  <c r="X247" i="8" a="1"/>
  <c r="X247" i="8" s="1"/>
  <c r="Y247" i="8" a="1"/>
  <c r="Y247" i="8" s="1"/>
  <c r="Z247" i="8" a="1"/>
  <c r="Z247" i="8" s="1"/>
  <c r="AA247" i="8" a="1"/>
  <c r="AA247" i="8" s="1"/>
  <c r="AB247" i="8" a="1"/>
  <c r="AB247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Q248" i="8" a="1"/>
  <c r="Q248" i="8" s="1"/>
  <c r="R248" i="8" a="1"/>
  <c r="R248" i="8" s="1"/>
  <c r="S248" i="8" a="1"/>
  <c r="S248" i="8" s="1"/>
  <c r="T248" i="8" a="1"/>
  <c r="T248" i="8" s="1"/>
  <c r="U248" i="8" a="1"/>
  <c r="U248" i="8" s="1"/>
  <c r="V248" i="8" a="1"/>
  <c r="V248" i="8" s="1"/>
  <c r="W248" i="8" a="1"/>
  <c r="W248" i="8" s="1"/>
  <c r="X248" i="8" a="1"/>
  <c r="X248" i="8" s="1"/>
  <c r="Y248" i="8" a="1"/>
  <c r="Y248" i="8" s="1"/>
  <c r="Z248" i="8" a="1"/>
  <c r="Z248" i="8" s="1"/>
  <c r="AA248" i="8" a="1"/>
  <c r="AA248" i="8" s="1"/>
  <c r="AB248" i="8" a="1"/>
  <c r="AB248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Q249" i="8" a="1"/>
  <c r="Q249" i="8" s="1"/>
  <c r="R249" i="8" a="1"/>
  <c r="R249" i="8" s="1"/>
  <c r="S249" i="8" a="1"/>
  <c r="S249" i="8" s="1"/>
  <c r="T249" i="8" a="1"/>
  <c r="T249" i="8" s="1"/>
  <c r="U249" i="8" a="1"/>
  <c r="U249" i="8" s="1"/>
  <c r="V249" i="8" a="1"/>
  <c r="V249" i="8" s="1"/>
  <c r="W249" i="8" a="1"/>
  <c r="W249" i="8" s="1"/>
  <c r="X249" i="8" a="1"/>
  <c r="X249" i="8" s="1"/>
  <c r="Y249" i="8" a="1"/>
  <c r="Y249" i="8" s="1"/>
  <c r="Z249" i="8" a="1"/>
  <c r="Z249" i="8" s="1"/>
  <c r="AA249" i="8" a="1"/>
  <c r="AA249" i="8" s="1"/>
  <c r="AB249" i="8" a="1"/>
  <c r="AB249" i="8" s="1"/>
  <c r="E250" i="8" a="1"/>
  <c r="E250" i="8" s="1"/>
  <c r="F250" i="8" a="1"/>
  <c r="F250" i="8" s="1"/>
  <c r="G250" i="8" a="1"/>
  <c r="G250" i="8" s="1"/>
  <c r="H250" i="8" a="1"/>
  <c r="H250" i="8" s="1"/>
  <c r="I250" i="8" a="1"/>
  <c r="I250" i="8" s="1"/>
  <c r="J250" i="8" a="1"/>
  <c r="J250" i="8" s="1"/>
  <c r="K250" i="8" a="1"/>
  <c r="K250" i="8" s="1"/>
  <c r="L250" i="8" a="1"/>
  <c r="L250" i="8" s="1"/>
  <c r="M250" i="8" a="1"/>
  <c r="M250" i="8" s="1"/>
  <c r="N250" i="8" a="1"/>
  <c r="N250" i="8" s="1"/>
  <c r="O250" i="8" a="1"/>
  <c r="O250" i="8" s="1"/>
  <c r="P250" i="8" a="1"/>
  <c r="P250" i="8" s="1"/>
  <c r="Q250" i="8" a="1"/>
  <c r="Q250" i="8" s="1"/>
  <c r="R250" i="8" a="1"/>
  <c r="R250" i="8" s="1"/>
  <c r="S250" i="8" a="1"/>
  <c r="S250" i="8" s="1"/>
  <c r="T250" i="8" a="1"/>
  <c r="T250" i="8" s="1"/>
  <c r="U250" i="8" a="1"/>
  <c r="U250" i="8" s="1"/>
  <c r="V250" i="8" a="1"/>
  <c r="V250" i="8" s="1"/>
  <c r="W250" i="8" a="1"/>
  <c r="W250" i="8" s="1"/>
  <c r="X250" i="8" a="1"/>
  <c r="X250" i="8" s="1"/>
  <c r="Y250" i="8" a="1"/>
  <c r="Y250" i="8" s="1"/>
  <c r="Z250" i="8" a="1"/>
  <c r="Z250" i="8" s="1"/>
  <c r="AA250" i="8" a="1"/>
  <c r="AA250" i="8" s="1"/>
  <c r="AB250" i="8" a="1"/>
  <c r="AB250" i="8" s="1"/>
  <c r="E251" i="8" a="1"/>
  <c r="E251" i="8" s="1"/>
  <c r="F251" i="8" a="1"/>
  <c r="F251" i="8" s="1"/>
  <c r="G251" i="8" a="1"/>
  <c r="G251" i="8" s="1"/>
  <c r="H251" i="8" a="1"/>
  <c r="H251" i="8" s="1"/>
  <c r="I251" i="8" a="1"/>
  <c r="I251" i="8" s="1"/>
  <c r="J251" i="8" a="1"/>
  <c r="J251" i="8" s="1"/>
  <c r="K251" i="8" a="1"/>
  <c r="K251" i="8" s="1"/>
  <c r="L251" i="8" a="1"/>
  <c r="L251" i="8" s="1"/>
  <c r="M251" i="8" a="1"/>
  <c r="M251" i="8" s="1"/>
  <c r="N251" i="8" a="1"/>
  <c r="N251" i="8" s="1"/>
  <c r="O251" i="8" a="1"/>
  <c r="O251" i="8" s="1"/>
  <c r="P251" i="8" a="1"/>
  <c r="P251" i="8" s="1"/>
  <c r="Q251" i="8" a="1"/>
  <c r="Q251" i="8" s="1"/>
  <c r="R251" i="8" a="1"/>
  <c r="R251" i="8" s="1"/>
  <c r="S251" i="8" a="1"/>
  <c r="S251" i="8" s="1"/>
  <c r="T251" i="8" a="1"/>
  <c r="T251" i="8" s="1"/>
  <c r="U251" i="8" a="1"/>
  <c r="U251" i="8" s="1"/>
  <c r="V251" i="8" a="1"/>
  <c r="V251" i="8" s="1"/>
  <c r="W251" i="8" a="1"/>
  <c r="W251" i="8" s="1"/>
  <c r="X251" i="8" a="1"/>
  <c r="X251" i="8" s="1"/>
  <c r="Y251" i="8" a="1"/>
  <c r="Y251" i="8" s="1"/>
  <c r="Z251" i="8" a="1"/>
  <c r="Z251" i="8" s="1"/>
  <c r="AA251" i="8" a="1"/>
  <c r="AA251" i="8" s="1"/>
  <c r="AB251" i="8" a="1"/>
  <c r="AB251" i="8" s="1"/>
  <c r="E252" i="8" a="1"/>
  <c r="E252" i="8" s="1"/>
  <c r="F252" i="8" a="1"/>
  <c r="F252" i="8" s="1"/>
  <c r="G252" i="8" a="1"/>
  <c r="G252" i="8" s="1"/>
  <c r="H252" i="8" a="1"/>
  <c r="H252" i="8" s="1"/>
  <c r="I252" i="8" a="1"/>
  <c r="I252" i="8" s="1"/>
  <c r="J252" i="8" a="1"/>
  <c r="J252" i="8" s="1"/>
  <c r="K252" i="8" a="1"/>
  <c r="K252" i="8" s="1"/>
  <c r="L252" i="8" a="1"/>
  <c r="L252" i="8" s="1"/>
  <c r="M252" i="8" a="1"/>
  <c r="M252" i="8" s="1"/>
  <c r="N252" i="8" a="1"/>
  <c r="N252" i="8" s="1"/>
  <c r="O252" i="8" a="1"/>
  <c r="O252" i="8" s="1"/>
  <c r="P252" i="8" a="1"/>
  <c r="P252" i="8" s="1"/>
  <c r="Q252" i="8" a="1"/>
  <c r="Q252" i="8" s="1"/>
  <c r="R252" i="8" a="1"/>
  <c r="R252" i="8" s="1"/>
  <c r="S252" i="8" a="1"/>
  <c r="S252" i="8" s="1"/>
  <c r="T252" i="8" a="1"/>
  <c r="T252" i="8" s="1"/>
  <c r="U252" i="8" a="1"/>
  <c r="U252" i="8" s="1"/>
  <c r="V252" i="8" a="1"/>
  <c r="V252" i="8" s="1"/>
  <c r="W252" i="8" a="1"/>
  <c r="W252" i="8" s="1"/>
  <c r="X252" i="8" a="1"/>
  <c r="X252" i="8" s="1"/>
  <c r="Y252" i="8" a="1"/>
  <c r="Y252" i="8" s="1"/>
  <c r="Z252" i="8" a="1"/>
  <c r="Z252" i="8" s="1"/>
  <c r="AA252" i="8" a="1"/>
  <c r="AA252" i="8" s="1"/>
  <c r="AB252" i="8" a="1"/>
  <c r="AB252" i="8" s="1"/>
  <c r="E253" i="8" a="1"/>
  <c r="E253" i="8" s="1"/>
  <c r="F253" i="8" a="1"/>
  <c r="F253" i="8" s="1"/>
  <c r="G253" i="8" a="1"/>
  <c r="G253" i="8" s="1"/>
  <c r="H253" i="8" a="1"/>
  <c r="H253" i="8" s="1"/>
  <c r="I253" i="8" a="1"/>
  <c r="I253" i="8" s="1"/>
  <c r="J253" i="8" a="1"/>
  <c r="J253" i="8" s="1"/>
  <c r="K253" i="8" a="1"/>
  <c r="K253" i="8" s="1"/>
  <c r="L253" i="8" a="1"/>
  <c r="L253" i="8" s="1"/>
  <c r="M253" i="8" a="1"/>
  <c r="M253" i="8" s="1"/>
  <c r="N253" i="8" a="1"/>
  <c r="N253" i="8" s="1"/>
  <c r="O253" i="8" a="1"/>
  <c r="O253" i="8" s="1"/>
  <c r="P253" i="8" a="1"/>
  <c r="P253" i="8" s="1"/>
  <c r="Q253" i="8" a="1"/>
  <c r="Q253" i="8" s="1"/>
  <c r="R253" i="8" a="1"/>
  <c r="R253" i="8" s="1"/>
  <c r="S253" i="8" a="1"/>
  <c r="S253" i="8" s="1"/>
  <c r="T253" i="8" a="1"/>
  <c r="T253" i="8" s="1"/>
  <c r="U253" i="8" a="1"/>
  <c r="U253" i="8" s="1"/>
  <c r="V253" i="8" a="1"/>
  <c r="V253" i="8" s="1"/>
  <c r="W253" i="8" a="1"/>
  <c r="W253" i="8" s="1"/>
  <c r="X253" i="8" a="1"/>
  <c r="X253" i="8" s="1"/>
  <c r="Y253" i="8" a="1"/>
  <c r="Y253" i="8" s="1"/>
  <c r="Z253" i="8" a="1"/>
  <c r="Z253" i="8" s="1"/>
  <c r="AA253" i="8" a="1"/>
  <c r="AA253" i="8" s="1"/>
  <c r="AB253" i="8" a="1"/>
  <c r="AB253" i="8" s="1"/>
  <c r="E254" i="8" a="1"/>
  <c r="E254" i="8" s="1"/>
  <c r="F254" i="8" a="1"/>
  <c r="F254" i="8" s="1"/>
  <c r="G254" i="8" a="1"/>
  <c r="G254" i="8" s="1"/>
  <c r="H254" i="8" a="1"/>
  <c r="H254" i="8" s="1"/>
  <c r="I254" i="8" a="1"/>
  <c r="I254" i="8" s="1"/>
  <c r="J254" i="8" a="1"/>
  <c r="J254" i="8" s="1"/>
  <c r="K254" i="8" a="1"/>
  <c r="K254" i="8" s="1"/>
  <c r="L254" i="8" a="1"/>
  <c r="L254" i="8" s="1"/>
  <c r="M254" i="8" a="1"/>
  <c r="M254" i="8" s="1"/>
  <c r="N254" i="8" a="1"/>
  <c r="N254" i="8" s="1"/>
  <c r="O254" i="8" a="1"/>
  <c r="O254" i="8" s="1"/>
  <c r="P254" i="8" a="1"/>
  <c r="P254" i="8" s="1"/>
  <c r="Q254" i="8" a="1"/>
  <c r="Q254" i="8" s="1"/>
  <c r="R254" i="8" a="1"/>
  <c r="R254" i="8" s="1"/>
  <c r="S254" i="8" a="1"/>
  <c r="S254" i="8" s="1"/>
  <c r="T254" i="8" a="1"/>
  <c r="T254" i="8" s="1"/>
  <c r="U254" i="8" a="1"/>
  <c r="U254" i="8" s="1"/>
  <c r="V254" i="8" a="1"/>
  <c r="V254" i="8" s="1"/>
  <c r="W254" i="8" a="1"/>
  <c r="W254" i="8" s="1"/>
  <c r="X254" i="8" a="1"/>
  <c r="X254" i="8" s="1"/>
  <c r="Y254" i="8" a="1"/>
  <c r="Y254" i="8" s="1"/>
  <c r="Z254" i="8" a="1"/>
  <c r="Z254" i="8" s="1"/>
  <c r="AA254" i="8" a="1"/>
  <c r="AA254" i="8" s="1"/>
  <c r="AB254" i="8" a="1"/>
  <c r="AB254" i="8" s="1"/>
  <c r="E255" i="8" a="1"/>
  <c r="E255" i="8" s="1"/>
  <c r="F255" i="8" a="1"/>
  <c r="F255" i="8" s="1"/>
  <c r="G255" i="8" a="1"/>
  <c r="G255" i="8" s="1"/>
  <c r="H255" i="8" a="1"/>
  <c r="H255" i="8" s="1"/>
  <c r="I255" i="8" a="1"/>
  <c r="I255" i="8" s="1"/>
  <c r="J255" i="8" a="1"/>
  <c r="J255" i="8" s="1"/>
  <c r="K255" i="8" a="1"/>
  <c r="K255" i="8" s="1"/>
  <c r="L255" i="8" a="1"/>
  <c r="L255" i="8" s="1"/>
  <c r="M255" i="8" a="1"/>
  <c r="M255" i="8" s="1"/>
  <c r="N255" i="8" a="1"/>
  <c r="N255" i="8" s="1"/>
  <c r="O255" i="8" a="1"/>
  <c r="O255" i="8" s="1"/>
  <c r="P255" i="8" a="1"/>
  <c r="P255" i="8" s="1"/>
  <c r="Q255" i="8" a="1"/>
  <c r="Q255" i="8" s="1"/>
  <c r="R255" i="8" a="1"/>
  <c r="R255" i="8" s="1"/>
  <c r="S255" i="8" a="1"/>
  <c r="S255" i="8" s="1"/>
  <c r="T255" i="8" a="1"/>
  <c r="T255" i="8" s="1"/>
  <c r="U255" i="8" a="1"/>
  <c r="U255" i="8" s="1"/>
  <c r="V255" i="8" a="1"/>
  <c r="V255" i="8" s="1"/>
  <c r="W255" i="8" a="1"/>
  <c r="W255" i="8" s="1"/>
  <c r="X255" i="8" a="1"/>
  <c r="X255" i="8" s="1"/>
  <c r="Y255" i="8" a="1"/>
  <c r="Y255" i="8" s="1"/>
  <c r="Z255" i="8" a="1"/>
  <c r="Z255" i="8" s="1"/>
  <c r="AA255" i="8" a="1"/>
  <c r="AA255" i="8" s="1"/>
  <c r="AB255" i="8" a="1"/>
  <c r="AB255" i="8" s="1"/>
  <c r="E256" i="8" a="1"/>
  <c r="E256" i="8" s="1"/>
  <c r="F256" i="8" a="1"/>
  <c r="F256" i="8" s="1"/>
  <c r="G256" i="8" a="1"/>
  <c r="G256" i="8" s="1"/>
  <c r="H256" i="8" a="1"/>
  <c r="H256" i="8" s="1"/>
  <c r="I256" i="8" a="1"/>
  <c r="I256" i="8" s="1"/>
  <c r="J256" i="8" a="1"/>
  <c r="J256" i="8" s="1"/>
  <c r="K256" i="8" a="1"/>
  <c r="K256" i="8" s="1"/>
  <c r="L256" i="8" a="1"/>
  <c r="L256" i="8" s="1"/>
  <c r="M256" i="8" a="1"/>
  <c r="M256" i="8" s="1"/>
  <c r="N256" i="8" a="1"/>
  <c r="N256" i="8" s="1"/>
  <c r="O256" i="8" a="1"/>
  <c r="O256" i="8" s="1"/>
  <c r="P256" i="8" a="1"/>
  <c r="P256" i="8" s="1"/>
  <c r="Q256" i="8" a="1"/>
  <c r="Q256" i="8" s="1"/>
  <c r="R256" i="8" a="1"/>
  <c r="R256" i="8" s="1"/>
  <c r="S256" i="8" a="1"/>
  <c r="S256" i="8" s="1"/>
  <c r="T256" i="8" a="1"/>
  <c r="T256" i="8" s="1"/>
  <c r="U256" i="8" a="1"/>
  <c r="U256" i="8" s="1"/>
  <c r="V256" i="8" a="1"/>
  <c r="V256" i="8" s="1"/>
  <c r="W256" i="8" a="1"/>
  <c r="W256" i="8" s="1"/>
  <c r="X256" i="8" a="1"/>
  <c r="X256" i="8" s="1"/>
  <c r="Y256" i="8" a="1"/>
  <c r="Y256" i="8" s="1"/>
  <c r="Z256" i="8" a="1"/>
  <c r="Z256" i="8" s="1"/>
  <c r="AA256" i="8" a="1"/>
  <c r="AA256" i="8" s="1"/>
  <c r="AB256" i="8" a="1"/>
  <c r="AB256" i="8" s="1"/>
  <c r="E257" i="8" a="1"/>
  <c r="E257" i="8" s="1"/>
  <c r="F257" i="8" a="1"/>
  <c r="F257" i="8" s="1"/>
  <c r="G257" i="8" a="1"/>
  <c r="G257" i="8" s="1"/>
  <c r="H257" i="8" a="1"/>
  <c r="H257" i="8" s="1"/>
  <c r="I257" i="8" a="1"/>
  <c r="I257" i="8" s="1"/>
  <c r="J257" i="8" a="1"/>
  <c r="J257" i="8" s="1"/>
  <c r="K257" i="8" a="1"/>
  <c r="K257" i="8" s="1"/>
  <c r="L257" i="8" a="1"/>
  <c r="L257" i="8" s="1"/>
  <c r="M257" i="8" a="1"/>
  <c r="M257" i="8" s="1"/>
  <c r="N257" i="8" a="1"/>
  <c r="N257" i="8" s="1"/>
  <c r="O257" i="8" a="1"/>
  <c r="O257" i="8" s="1"/>
  <c r="P257" i="8" a="1"/>
  <c r="P257" i="8" s="1"/>
  <c r="Q257" i="8" a="1"/>
  <c r="Q257" i="8" s="1"/>
  <c r="R257" i="8" a="1"/>
  <c r="R257" i="8" s="1"/>
  <c r="S257" i="8" a="1"/>
  <c r="S257" i="8" s="1"/>
  <c r="T257" i="8" a="1"/>
  <c r="T257" i="8" s="1"/>
  <c r="U257" i="8" a="1"/>
  <c r="U257" i="8" s="1"/>
  <c r="V257" i="8" a="1"/>
  <c r="V257" i="8" s="1"/>
  <c r="W257" i="8" a="1"/>
  <c r="W257" i="8" s="1"/>
  <c r="X257" i="8" a="1"/>
  <c r="X257" i="8" s="1"/>
  <c r="Y257" i="8" a="1"/>
  <c r="Y257" i="8" s="1"/>
  <c r="Z257" i="8" a="1"/>
  <c r="Z257" i="8" s="1"/>
  <c r="AA257" i="8" a="1"/>
  <c r="AA257" i="8" s="1"/>
  <c r="AB257" i="8" a="1"/>
  <c r="AB257" i="8" s="1"/>
  <c r="E258" i="8" a="1"/>
  <c r="E258" i="8" s="1"/>
  <c r="F258" i="8" a="1"/>
  <c r="F258" i="8" s="1"/>
  <c r="G258" i="8" a="1"/>
  <c r="G258" i="8" s="1"/>
  <c r="H258" i="8" a="1"/>
  <c r="H258" i="8" s="1"/>
  <c r="I258" i="8" a="1"/>
  <c r="I258" i="8" s="1"/>
  <c r="J258" i="8" a="1"/>
  <c r="J258" i="8" s="1"/>
  <c r="K258" i="8" a="1"/>
  <c r="K258" i="8" s="1"/>
  <c r="L258" i="8" a="1"/>
  <c r="L258" i="8" s="1"/>
  <c r="M258" i="8" a="1"/>
  <c r="M258" i="8" s="1"/>
  <c r="N258" i="8" a="1"/>
  <c r="N258" i="8" s="1"/>
  <c r="O258" i="8" a="1"/>
  <c r="O258" i="8" s="1"/>
  <c r="P258" i="8" a="1"/>
  <c r="P258" i="8" s="1"/>
  <c r="Q258" i="8" a="1"/>
  <c r="Q258" i="8" s="1"/>
  <c r="R258" i="8" a="1"/>
  <c r="R258" i="8" s="1"/>
  <c r="S258" i="8" a="1"/>
  <c r="S258" i="8" s="1"/>
  <c r="T258" i="8" a="1"/>
  <c r="T258" i="8" s="1"/>
  <c r="U258" i="8" a="1"/>
  <c r="U258" i="8" s="1"/>
  <c r="V258" i="8" a="1"/>
  <c r="V258" i="8" s="1"/>
  <c r="W258" i="8" a="1"/>
  <c r="W258" i="8" s="1"/>
  <c r="X258" i="8" a="1"/>
  <c r="X258" i="8" s="1"/>
  <c r="Y258" i="8" a="1"/>
  <c r="Y258" i="8" s="1"/>
  <c r="Z258" i="8" a="1"/>
  <c r="Z258" i="8" s="1"/>
  <c r="AA258" i="8" a="1"/>
  <c r="AA258" i="8" s="1"/>
  <c r="AB258" i="8" a="1"/>
  <c r="AB258" i="8" s="1"/>
  <c r="E259" i="8" a="1"/>
  <c r="E259" i="8" s="1"/>
  <c r="F259" i="8" a="1"/>
  <c r="F259" i="8" s="1"/>
  <c r="G259" i="8" a="1"/>
  <c r="G259" i="8" s="1"/>
  <c r="H259" i="8" a="1"/>
  <c r="H259" i="8" s="1"/>
  <c r="I259" i="8" a="1"/>
  <c r="I259" i="8" s="1"/>
  <c r="J259" i="8" a="1"/>
  <c r="J259" i="8" s="1"/>
  <c r="K259" i="8" a="1"/>
  <c r="K259" i="8" s="1"/>
  <c r="L259" i="8" a="1"/>
  <c r="L259" i="8" s="1"/>
  <c r="M259" i="8" a="1"/>
  <c r="M259" i="8" s="1"/>
  <c r="N259" i="8" a="1"/>
  <c r="N259" i="8" s="1"/>
  <c r="O259" i="8" a="1"/>
  <c r="O259" i="8" s="1"/>
  <c r="P259" i="8" a="1"/>
  <c r="P259" i="8" s="1"/>
  <c r="Q259" i="8" a="1"/>
  <c r="Q259" i="8" s="1"/>
  <c r="R259" i="8" a="1"/>
  <c r="R259" i="8" s="1"/>
  <c r="S259" i="8" a="1"/>
  <c r="S259" i="8" s="1"/>
  <c r="T259" i="8" a="1"/>
  <c r="T259" i="8" s="1"/>
  <c r="U259" i="8" a="1"/>
  <c r="U259" i="8" s="1"/>
  <c r="V259" i="8" a="1"/>
  <c r="V259" i="8" s="1"/>
  <c r="W259" i="8" a="1"/>
  <c r="W259" i="8" s="1"/>
  <c r="X259" i="8" a="1"/>
  <c r="X259" i="8" s="1"/>
  <c r="Y259" i="8" a="1"/>
  <c r="Y259" i="8" s="1"/>
  <c r="Z259" i="8" a="1"/>
  <c r="Z259" i="8" s="1"/>
  <c r="AA259" i="8" a="1"/>
  <c r="AA259" i="8" s="1"/>
  <c r="AB259" i="8" a="1"/>
  <c r="AB259" i="8" s="1"/>
  <c r="E260" i="8" a="1"/>
  <c r="E260" i="8" s="1"/>
  <c r="F260" i="8" a="1"/>
  <c r="F260" i="8" s="1"/>
  <c r="G260" i="8" a="1"/>
  <c r="G260" i="8" s="1"/>
  <c r="H260" i="8" a="1"/>
  <c r="H260" i="8" s="1"/>
  <c r="I260" i="8" a="1"/>
  <c r="I260" i="8" s="1"/>
  <c r="J260" i="8" a="1"/>
  <c r="J260" i="8" s="1"/>
  <c r="K260" i="8" a="1"/>
  <c r="K260" i="8" s="1"/>
  <c r="L260" i="8" a="1"/>
  <c r="L260" i="8" s="1"/>
  <c r="M260" i="8" a="1"/>
  <c r="M260" i="8" s="1"/>
  <c r="N260" i="8" a="1"/>
  <c r="N260" i="8" s="1"/>
  <c r="O260" i="8" a="1"/>
  <c r="O260" i="8" s="1"/>
  <c r="P260" i="8" a="1"/>
  <c r="P260" i="8" s="1"/>
  <c r="Q260" i="8" a="1"/>
  <c r="Q260" i="8" s="1"/>
  <c r="R260" i="8" a="1"/>
  <c r="R260" i="8" s="1"/>
  <c r="S260" i="8" a="1"/>
  <c r="S260" i="8" s="1"/>
  <c r="T260" i="8" a="1"/>
  <c r="T260" i="8" s="1"/>
  <c r="U260" i="8" a="1"/>
  <c r="U260" i="8" s="1"/>
  <c r="V260" i="8" a="1"/>
  <c r="V260" i="8" s="1"/>
  <c r="W260" i="8" a="1"/>
  <c r="W260" i="8" s="1"/>
  <c r="X260" i="8" a="1"/>
  <c r="X260" i="8" s="1"/>
  <c r="Y260" i="8" a="1"/>
  <c r="Y260" i="8" s="1"/>
  <c r="Z260" i="8" a="1"/>
  <c r="Z260" i="8" s="1"/>
  <c r="AA260" i="8" a="1"/>
  <c r="AA260" i="8" s="1"/>
  <c r="AB260" i="8" a="1"/>
  <c r="AB260" i="8" s="1"/>
  <c r="E261" i="8" a="1"/>
  <c r="E261" i="8" s="1"/>
  <c r="F261" i="8" a="1"/>
  <c r="F261" i="8" s="1"/>
  <c r="G261" i="8" a="1"/>
  <c r="G261" i="8" s="1"/>
  <c r="H261" i="8" a="1"/>
  <c r="H261" i="8" s="1"/>
  <c r="I261" i="8" a="1"/>
  <c r="I261" i="8" s="1"/>
  <c r="J261" i="8" a="1"/>
  <c r="J261" i="8" s="1"/>
  <c r="K261" i="8" a="1"/>
  <c r="K261" i="8" s="1"/>
  <c r="L261" i="8" a="1"/>
  <c r="L261" i="8" s="1"/>
  <c r="M261" i="8" a="1"/>
  <c r="M261" i="8" s="1"/>
  <c r="N261" i="8" a="1"/>
  <c r="N261" i="8" s="1"/>
  <c r="O261" i="8" a="1"/>
  <c r="O261" i="8" s="1"/>
  <c r="P261" i="8" a="1"/>
  <c r="P261" i="8" s="1"/>
  <c r="Q261" i="8" a="1"/>
  <c r="Q261" i="8" s="1"/>
  <c r="R261" i="8" a="1"/>
  <c r="R261" i="8" s="1"/>
  <c r="S261" i="8" a="1"/>
  <c r="S261" i="8" s="1"/>
  <c r="T261" i="8" a="1"/>
  <c r="T261" i="8" s="1"/>
  <c r="U261" i="8" a="1"/>
  <c r="U261" i="8" s="1"/>
  <c r="V261" i="8" a="1"/>
  <c r="V261" i="8" s="1"/>
  <c r="W261" i="8" a="1"/>
  <c r="W261" i="8" s="1"/>
  <c r="X261" i="8" a="1"/>
  <c r="X261" i="8" s="1"/>
  <c r="Y261" i="8" a="1"/>
  <c r="Y261" i="8" s="1"/>
  <c r="Z261" i="8" a="1"/>
  <c r="Z261" i="8" s="1"/>
  <c r="AA261" i="8" a="1"/>
  <c r="AA261" i="8" s="1"/>
  <c r="AB261" i="8" a="1"/>
  <c r="AB261" i="8" s="1"/>
  <c r="E262" i="8" a="1"/>
  <c r="E262" i="8" s="1"/>
  <c r="F262" i="8" a="1"/>
  <c r="F262" i="8" s="1"/>
  <c r="G262" i="8" a="1"/>
  <c r="G262" i="8" s="1"/>
  <c r="H262" i="8" a="1"/>
  <c r="H262" i="8" s="1"/>
  <c r="I262" i="8" a="1"/>
  <c r="I262" i="8" s="1"/>
  <c r="J262" i="8" a="1"/>
  <c r="J262" i="8" s="1"/>
  <c r="K262" i="8" a="1"/>
  <c r="K262" i="8" s="1"/>
  <c r="L262" i="8" a="1"/>
  <c r="L262" i="8" s="1"/>
  <c r="M262" i="8" a="1"/>
  <c r="M262" i="8" s="1"/>
  <c r="N262" i="8" a="1"/>
  <c r="N262" i="8" s="1"/>
  <c r="O262" i="8" a="1"/>
  <c r="O262" i="8" s="1"/>
  <c r="P262" i="8" a="1"/>
  <c r="P262" i="8" s="1"/>
  <c r="Q262" i="8" a="1"/>
  <c r="Q262" i="8" s="1"/>
  <c r="R262" i="8" a="1"/>
  <c r="R262" i="8" s="1"/>
  <c r="S262" i="8" a="1"/>
  <c r="S262" i="8" s="1"/>
  <c r="T262" i="8" a="1"/>
  <c r="T262" i="8" s="1"/>
  <c r="U262" i="8" a="1"/>
  <c r="U262" i="8" s="1"/>
  <c r="V262" i="8" a="1"/>
  <c r="V262" i="8" s="1"/>
  <c r="W262" i="8" a="1"/>
  <c r="W262" i="8" s="1"/>
  <c r="X262" i="8" a="1"/>
  <c r="X262" i="8" s="1"/>
  <c r="Y262" i="8" a="1"/>
  <c r="Y262" i="8" s="1"/>
  <c r="Z262" i="8" a="1"/>
  <c r="Z262" i="8" s="1"/>
  <c r="AA262" i="8" a="1"/>
  <c r="AA262" i="8" s="1"/>
  <c r="AB262" i="8" a="1"/>
  <c r="AB262" i="8" s="1"/>
  <c r="E263" i="8" a="1"/>
  <c r="E263" i="8" s="1"/>
  <c r="F263" i="8" a="1"/>
  <c r="F263" i="8" s="1"/>
  <c r="G263" i="8" a="1"/>
  <c r="G263" i="8" s="1"/>
  <c r="H263" i="8" a="1"/>
  <c r="H263" i="8" s="1"/>
  <c r="I263" i="8" a="1"/>
  <c r="I263" i="8" s="1"/>
  <c r="J263" i="8" a="1"/>
  <c r="J263" i="8" s="1"/>
  <c r="K263" i="8" a="1"/>
  <c r="K263" i="8" s="1"/>
  <c r="L263" i="8" a="1"/>
  <c r="L263" i="8" s="1"/>
  <c r="M263" i="8" a="1"/>
  <c r="M263" i="8" s="1"/>
  <c r="N263" i="8" a="1"/>
  <c r="N263" i="8" s="1"/>
  <c r="O263" i="8" a="1"/>
  <c r="O263" i="8" s="1"/>
  <c r="P263" i="8" a="1"/>
  <c r="P263" i="8" s="1"/>
  <c r="Q263" i="8" a="1"/>
  <c r="Q263" i="8" s="1"/>
  <c r="R263" i="8" a="1"/>
  <c r="R263" i="8" s="1"/>
  <c r="S263" i="8" a="1"/>
  <c r="S263" i="8" s="1"/>
  <c r="T263" i="8" a="1"/>
  <c r="T263" i="8" s="1"/>
  <c r="U263" i="8" a="1"/>
  <c r="U263" i="8" s="1"/>
  <c r="V263" i="8" a="1"/>
  <c r="V263" i="8" s="1"/>
  <c r="W263" i="8" a="1"/>
  <c r="W263" i="8" s="1"/>
  <c r="X263" i="8" a="1"/>
  <c r="X263" i="8" s="1"/>
  <c r="Y263" i="8" a="1"/>
  <c r="Y263" i="8" s="1"/>
  <c r="Z263" i="8" a="1"/>
  <c r="Z263" i="8" s="1"/>
  <c r="AA263" i="8" a="1"/>
  <c r="AA263" i="8" s="1"/>
  <c r="AB263" i="8" a="1"/>
  <c r="AB263" i="8" s="1"/>
  <c r="E264" i="8" a="1"/>
  <c r="E264" i="8" s="1"/>
  <c r="F264" i="8" a="1"/>
  <c r="F264" i="8" s="1"/>
  <c r="G264" i="8" a="1"/>
  <c r="G264" i="8" s="1"/>
  <c r="H264" i="8" a="1"/>
  <c r="H264" i="8" s="1"/>
  <c r="I264" i="8" a="1"/>
  <c r="I264" i="8" s="1"/>
  <c r="J264" i="8" a="1"/>
  <c r="J264" i="8" s="1"/>
  <c r="K264" i="8" a="1"/>
  <c r="K264" i="8" s="1"/>
  <c r="L264" i="8" a="1"/>
  <c r="L264" i="8" s="1"/>
  <c r="M264" i="8" a="1"/>
  <c r="M264" i="8" s="1"/>
  <c r="N264" i="8" a="1"/>
  <c r="N264" i="8" s="1"/>
  <c r="O264" i="8" a="1"/>
  <c r="O264" i="8" s="1"/>
  <c r="P264" i="8" a="1"/>
  <c r="P264" i="8" s="1"/>
  <c r="Q264" i="8" a="1"/>
  <c r="Q264" i="8" s="1"/>
  <c r="R264" i="8" a="1"/>
  <c r="R264" i="8" s="1"/>
  <c r="S264" i="8" a="1"/>
  <c r="S264" i="8" s="1"/>
  <c r="T264" i="8" a="1"/>
  <c r="T264" i="8" s="1"/>
  <c r="U264" i="8" a="1"/>
  <c r="U264" i="8" s="1"/>
  <c r="V264" i="8" a="1"/>
  <c r="V264" i="8" s="1"/>
  <c r="W264" i="8" a="1"/>
  <c r="W264" i="8" s="1"/>
  <c r="X264" i="8" a="1"/>
  <c r="X264" i="8" s="1"/>
  <c r="Y264" i="8" a="1"/>
  <c r="Y264" i="8" s="1"/>
  <c r="Z264" i="8" a="1"/>
  <c r="Z264" i="8" s="1"/>
  <c r="AA264" i="8" a="1"/>
  <c r="AA264" i="8" s="1"/>
  <c r="AB264" i="8" a="1"/>
  <c r="AB264" i="8" s="1"/>
  <c r="E265" i="8" a="1"/>
  <c r="E265" i="8" s="1"/>
  <c r="F265" i="8" a="1"/>
  <c r="F265" i="8" s="1"/>
  <c r="G265" i="8" a="1"/>
  <c r="G265" i="8" s="1"/>
  <c r="H265" i="8" a="1"/>
  <c r="H265" i="8" s="1"/>
  <c r="I265" i="8" a="1"/>
  <c r="I265" i="8" s="1"/>
  <c r="J265" i="8" a="1"/>
  <c r="J265" i="8" s="1"/>
  <c r="K265" i="8" a="1"/>
  <c r="K265" i="8" s="1"/>
  <c r="L265" i="8" a="1"/>
  <c r="L265" i="8" s="1"/>
  <c r="M265" i="8" a="1"/>
  <c r="M265" i="8" s="1"/>
  <c r="N265" i="8" a="1"/>
  <c r="N265" i="8" s="1"/>
  <c r="O265" i="8" a="1"/>
  <c r="O265" i="8" s="1"/>
  <c r="P265" i="8" a="1"/>
  <c r="P265" i="8" s="1"/>
  <c r="Q265" i="8" a="1"/>
  <c r="Q265" i="8" s="1"/>
  <c r="R265" i="8" a="1"/>
  <c r="R265" i="8" s="1"/>
  <c r="S265" i="8" a="1"/>
  <c r="S265" i="8" s="1"/>
  <c r="T265" i="8" a="1"/>
  <c r="T265" i="8" s="1"/>
  <c r="U265" i="8" a="1"/>
  <c r="U265" i="8" s="1"/>
  <c r="V265" i="8" a="1"/>
  <c r="V265" i="8" s="1"/>
  <c r="W265" i="8" a="1"/>
  <c r="W265" i="8" s="1"/>
  <c r="X265" i="8" a="1"/>
  <c r="X265" i="8" s="1"/>
  <c r="Y265" i="8" a="1"/>
  <c r="Y265" i="8" s="1"/>
  <c r="Z265" i="8" a="1"/>
  <c r="Z265" i="8" s="1"/>
  <c r="AA265" i="8" a="1"/>
  <c r="AA265" i="8" s="1"/>
  <c r="AB265" i="8" a="1"/>
  <c r="AB265" i="8" s="1"/>
  <c r="E266" i="8" a="1"/>
  <c r="E266" i="8" s="1"/>
  <c r="F266" i="8" a="1"/>
  <c r="F266" i="8" s="1"/>
  <c r="G266" i="8" a="1"/>
  <c r="G266" i="8" s="1"/>
  <c r="H266" i="8" a="1"/>
  <c r="H266" i="8" s="1"/>
  <c r="I266" i="8" a="1"/>
  <c r="I266" i="8" s="1"/>
  <c r="J266" i="8" a="1"/>
  <c r="J266" i="8" s="1"/>
  <c r="K266" i="8" a="1"/>
  <c r="K266" i="8" s="1"/>
  <c r="L266" i="8" a="1"/>
  <c r="L266" i="8" s="1"/>
  <c r="M266" i="8" a="1"/>
  <c r="M266" i="8" s="1"/>
  <c r="N266" i="8" a="1"/>
  <c r="N266" i="8" s="1"/>
  <c r="O266" i="8" a="1"/>
  <c r="O266" i="8" s="1"/>
  <c r="P266" i="8" a="1"/>
  <c r="P266" i="8" s="1"/>
  <c r="Q266" i="8" a="1"/>
  <c r="Q266" i="8" s="1"/>
  <c r="R266" i="8" a="1"/>
  <c r="R266" i="8" s="1"/>
  <c r="S266" i="8" a="1"/>
  <c r="S266" i="8" s="1"/>
  <c r="T266" i="8" a="1"/>
  <c r="T266" i="8" s="1"/>
  <c r="U266" i="8" a="1"/>
  <c r="U266" i="8" s="1"/>
  <c r="V266" i="8" a="1"/>
  <c r="V266" i="8" s="1"/>
  <c r="W266" i="8" a="1"/>
  <c r="W266" i="8" s="1"/>
  <c r="X266" i="8" a="1"/>
  <c r="X266" i="8" s="1"/>
  <c r="Y266" i="8" a="1"/>
  <c r="Y266" i="8" s="1"/>
  <c r="Z266" i="8" a="1"/>
  <c r="Z266" i="8" s="1"/>
  <c r="AA266" i="8" a="1"/>
  <c r="AA266" i="8" s="1"/>
  <c r="AB266" i="8" a="1"/>
  <c r="AB266" i="8" s="1"/>
  <c r="E267" i="8" a="1"/>
  <c r="E267" i="8" s="1"/>
  <c r="F267" i="8" a="1"/>
  <c r="F267" i="8" s="1"/>
  <c r="G267" i="8" a="1"/>
  <c r="G267" i="8" s="1"/>
  <c r="H267" i="8" a="1"/>
  <c r="H267" i="8" s="1"/>
  <c r="I267" i="8" a="1"/>
  <c r="I267" i="8" s="1"/>
  <c r="J267" i="8" a="1"/>
  <c r="J267" i="8" s="1"/>
  <c r="K267" i="8" a="1"/>
  <c r="K267" i="8" s="1"/>
  <c r="L267" i="8" a="1"/>
  <c r="L267" i="8" s="1"/>
  <c r="M267" i="8" a="1"/>
  <c r="M267" i="8" s="1"/>
  <c r="N267" i="8" a="1"/>
  <c r="N267" i="8" s="1"/>
  <c r="O267" i="8" a="1"/>
  <c r="O267" i="8" s="1"/>
  <c r="P267" i="8" a="1"/>
  <c r="P267" i="8" s="1"/>
  <c r="Q267" i="8" a="1"/>
  <c r="Q267" i="8" s="1"/>
  <c r="R267" i="8" a="1"/>
  <c r="R267" i="8" s="1"/>
  <c r="S267" i="8" a="1"/>
  <c r="S267" i="8" s="1"/>
  <c r="T267" i="8" a="1"/>
  <c r="T267" i="8" s="1"/>
  <c r="U267" i="8" a="1"/>
  <c r="U267" i="8" s="1"/>
  <c r="V267" i="8" a="1"/>
  <c r="V267" i="8" s="1"/>
  <c r="W267" i="8" a="1"/>
  <c r="W267" i="8" s="1"/>
  <c r="X267" i="8" a="1"/>
  <c r="X267" i="8" s="1"/>
  <c r="Y267" i="8" a="1"/>
  <c r="Y267" i="8" s="1"/>
  <c r="Z267" i="8" a="1"/>
  <c r="Z267" i="8" s="1"/>
  <c r="AA267" i="8" a="1"/>
  <c r="AA267" i="8" s="1"/>
  <c r="AB267" i="8" a="1"/>
  <c r="AB267" i="8" s="1"/>
  <c r="E268" i="8" a="1"/>
  <c r="E268" i="8" s="1"/>
  <c r="F268" i="8" a="1"/>
  <c r="F268" i="8" s="1"/>
  <c r="G268" i="8" a="1"/>
  <c r="G268" i="8" s="1"/>
  <c r="H268" i="8" a="1"/>
  <c r="H268" i="8" s="1"/>
  <c r="I268" i="8" a="1"/>
  <c r="I268" i="8" s="1"/>
  <c r="J268" i="8" a="1"/>
  <c r="J268" i="8" s="1"/>
  <c r="K268" i="8" a="1"/>
  <c r="K268" i="8" s="1"/>
  <c r="L268" i="8" a="1"/>
  <c r="L268" i="8" s="1"/>
  <c r="M268" i="8" a="1"/>
  <c r="M268" i="8" s="1"/>
  <c r="N268" i="8" a="1"/>
  <c r="N268" i="8" s="1"/>
  <c r="O268" i="8" a="1"/>
  <c r="O268" i="8" s="1"/>
  <c r="P268" i="8" a="1"/>
  <c r="P268" i="8" s="1"/>
  <c r="Q268" i="8" a="1"/>
  <c r="Q268" i="8" s="1"/>
  <c r="R268" i="8" a="1"/>
  <c r="R268" i="8" s="1"/>
  <c r="S268" i="8" a="1"/>
  <c r="S268" i="8" s="1"/>
  <c r="T268" i="8" a="1"/>
  <c r="T268" i="8" s="1"/>
  <c r="U268" i="8" a="1"/>
  <c r="U268" i="8" s="1"/>
  <c r="V268" i="8" a="1"/>
  <c r="V268" i="8" s="1"/>
  <c r="W268" i="8" a="1"/>
  <c r="W268" i="8" s="1"/>
  <c r="X268" i="8" a="1"/>
  <c r="X268" i="8" s="1"/>
  <c r="Y268" i="8" a="1"/>
  <c r="Y268" i="8" s="1"/>
  <c r="Z268" i="8" a="1"/>
  <c r="Z268" i="8" s="1"/>
  <c r="AA268" i="8" a="1"/>
  <c r="AA268" i="8" s="1"/>
  <c r="AB268" i="8" a="1"/>
  <c r="AB268" i="8" s="1"/>
  <c r="E269" i="8" a="1"/>
  <c r="E269" i="8" s="1"/>
  <c r="F269" i="8" a="1"/>
  <c r="F269" i="8" s="1"/>
  <c r="G269" i="8" a="1"/>
  <c r="G269" i="8" s="1"/>
  <c r="H269" i="8" a="1"/>
  <c r="H269" i="8" s="1"/>
  <c r="I269" i="8" a="1"/>
  <c r="I269" i="8" s="1"/>
  <c r="J269" i="8" a="1"/>
  <c r="J269" i="8" s="1"/>
  <c r="K269" i="8" a="1"/>
  <c r="K269" i="8" s="1"/>
  <c r="L269" i="8" a="1"/>
  <c r="L269" i="8" s="1"/>
  <c r="M269" i="8" a="1"/>
  <c r="M269" i="8" s="1"/>
  <c r="N269" i="8" a="1"/>
  <c r="N269" i="8" s="1"/>
  <c r="O269" i="8" a="1"/>
  <c r="O269" i="8" s="1"/>
  <c r="P269" i="8" a="1"/>
  <c r="P269" i="8" s="1"/>
  <c r="Q269" i="8" a="1"/>
  <c r="Q269" i="8" s="1"/>
  <c r="R269" i="8" a="1"/>
  <c r="R269" i="8" s="1"/>
  <c r="S269" i="8" a="1"/>
  <c r="S269" i="8" s="1"/>
  <c r="T269" i="8" a="1"/>
  <c r="T269" i="8" s="1"/>
  <c r="U269" i="8" a="1"/>
  <c r="U269" i="8" s="1"/>
  <c r="V269" i="8" a="1"/>
  <c r="V269" i="8" s="1"/>
  <c r="W269" i="8" a="1"/>
  <c r="W269" i="8" s="1"/>
  <c r="X269" i="8" a="1"/>
  <c r="X269" i="8" s="1"/>
  <c r="Y269" i="8" a="1"/>
  <c r="Y269" i="8" s="1"/>
  <c r="Z269" i="8" a="1"/>
  <c r="Z269" i="8" s="1"/>
  <c r="AA269" i="8" a="1"/>
  <c r="AA269" i="8" s="1"/>
  <c r="AB269" i="8" a="1"/>
  <c r="AB269" i="8" s="1"/>
  <c r="E270" i="8" a="1"/>
  <c r="E270" i="8" s="1"/>
  <c r="F270" i="8" a="1"/>
  <c r="F270" i="8" s="1"/>
  <c r="G270" i="8" a="1"/>
  <c r="G270" i="8" s="1"/>
  <c r="H270" i="8" a="1"/>
  <c r="H270" i="8" s="1"/>
  <c r="I270" i="8" a="1"/>
  <c r="I270" i="8" s="1"/>
  <c r="J270" i="8" a="1"/>
  <c r="J270" i="8" s="1"/>
  <c r="K270" i="8" a="1"/>
  <c r="K270" i="8" s="1"/>
  <c r="L270" i="8" a="1"/>
  <c r="L270" i="8" s="1"/>
  <c r="M270" i="8" a="1"/>
  <c r="M270" i="8" s="1"/>
  <c r="N270" i="8" a="1"/>
  <c r="N270" i="8" s="1"/>
  <c r="O270" i="8" a="1"/>
  <c r="O270" i="8" s="1"/>
  <c r="P270" i="8" a="1"/>
  <c r="P270" i="8" s="1"/>
  <c r="Q270" i="8" a="1"/>
  <c r="Q270" i="8" s="1"/>
  <c r="R270" i="8" a="1"/>
  <c r="R270" i="8" s="1"/>
  <c r="S270" i="8" a="1"/>
  <c r="S270" i="8" s="1"/>
  <c r="T270" i="8" a="1"/>
  <c r="T270" i="8" s="1"/>
  <c r="U270" i="8" a="1"/>
  <c r="U270" i="8" s="1"/>
  <c r="V270" i="8" a="1"/>
  <c r="V270" i="8" s="1"/>
  <c r="W270" i="8" a="1"/>
  <c r="W270" i="8" s="1"/>
  <c r="X270" i="8" a="1"/>
  <c r="X270" i="8" s="1"/>
  <c r="Y270" i="8" a="1"/>
  <c r="Y270" i="8" s="1"/>
  <c r="Z270" i="8" a="1"/>
  <c r="Z270" i="8" s="1"/>
  <c r="AA270" i="8" a="1"/>
  <c r="AA270" i="8" s="1"/>
  <c r="AB270" i="8" a="1"/>
  <c r="AB270" i="8" s="1"/>
  <c r="E271" i="8" a="1"/>
  <c r="E271" i="8" s="1"/>
  <c r="F271" i="8" a="1"/>
  <c r="F271" i="8" s="1"/>
  <c r="G271" i="8" a="1"/>
  <c r="G271" i="8" s="1"/>
  <c r="H271" i="8" a="1"/>
  <c r="H271" i="8" s="1"/>
  <c r="I271" i="8" a="1"/>
  <c r="I271" i="8" s="1"/>
  <c r="J271" i="8" a="1"/>
  <c r="J271" i="8" s="1"/>
  <c r="K271" i="8" a="1"/>
  <c r="K271" i="8" s="1"/>
  <c r="L271" i="8" a="1"/>
  <c r="L271" i="8" s="1"/>
  <c r="M271" i="8" a="1"/>
  <c r="M271" i="8" s="1"/>
  <c r="N271" i="8" a="1"/>
  <c r="N271" i="8" s="1"/>
  <c r="O271" i="8" a="1"/>
  <c r="O271" i="8" s="1"/>
  <c r="P271" i="8" a="1"/>
  <c r="P271" i="8" s="1"/>
  <c r="Q271" i="8" a="1"/>
  <c r="Q271" i="8" s="1"/>
  <c r="R271" i="8" a="1"/>
  <c r="R271" i="8" s="1"/>
  <c r="S271" i="8" a="1"/>
  <c r="S271" i="8" s="1"/>
  <c r="T271" i="8" a="1"/>
  <c r="T271" i="8" s="1"/>
  <c r="U271" i="8" a="1"/>
  <c r="U271" i="8" s="1"/>
  <c r="V271" i="8" a="1"/>
  <c r="V271" i="8" s="1"/>
  <c r="W271" i="8" a="1"/>
  <c r="W271" i="8" s="1"/>
  <c r="X271" i="8" a="1"/>
  <c r="X271" i="8" s="1"/>
  <c r="Y271" i="8" a="1"/>
  <c r="Y271" i="8" s="1"/>
  <c r="Z271" i="8" a="1"/>
  <c r="Z271" i="8" s="1"/>
  <c r="AA271" i="8" a="1"/>
  <c r="AA271" i="8" s="1"/>
  <c r="AB271" i="8" a="1"/>
  <c r="AB271" i="8" s="1"/>
  <c r="E272" i="8" a="1"/>
  <c r="E272" i="8" s="1"/>
  <c r="F272" i="8" a="1"/>
  <c r="F272" i="8" s="1"/>
  <c r="G272" i="8" a="1"/>
  <c r="G272" i="8" s="1"/>
  <c r="H272" i="8" a="1"/>
  <c r="H272" i="8" s="1"/>
  <c r="I272" i="8" a="1"/>
  <c r="I272" i="8" s="1"/>
  <c r="J272" i="8" a="1"/>
  <c r="J272" i="8" s="1"/>
  <c r="K272" i="8" a="1"/>
  <c r="K272" i="8" s="1"/>
  <c r="L272" i="8" a="1"/>
  <c r="L272" i="8" s="1"/>
  <c r="M272" i="8" a="1"/>
  <c r="M272" i="8" s="1"/>
  <c r="N272" i="8" a="1"/>
  <c r="N272" i="8" s="1"/>
  <c r="O272" i="8" a="1"/>
  <c r="O272" i="8" s="1"/>
  <c r="P272" i="8" a="1"/>
  <c r="P272" i="8" s="1"/>
  <c r="Q272" i="8" a="1"/>
  <c r="Q272" i="8" s="1"/>
  <c r="R272" i="8" a="1"/>
  <c r="R272" i="8" s="1"/>
  <c r="S272" i="8" a="1"/>
  <c r="S272" i="8" s="1"/>
  <c r="T272" i="8" a="1"/>
  <c r="T272" i="8" s="1"/>
  <c r="U272" i="8" a="1"/>
  <c r="U272" i="8" s="1"/>
  <c r="V272" i="8" a="1"/>
  <c r="V272" i="8" s="1"/>
  <c r="W272" i="8" a="1"/>
  <c r="W272" i="8" s="1"/>
  <c r="X272" i="8" a="1"/>
  <c r="X272" i="8" s="1"/>
  <c r="Y272" i="8" a="1"/>
  <c r="Y272" i="8" s="1"/>
  <c r="Z272" i="8" a="1"/>
  <c r="Z272" i="8" s="1"/>
  <c r="AA272" i="8" a="1"/>
  <c r="AA272" i="8" s="1"/>
  <c r="AB272" i="8" a="1"/>
  <c r="AB272" i="8" s="1"/>
  <c r="E273" i="8" a="1"/>
  <c r="E273" i="8" s="1"/>
  <c r="F273" i="8" a="1"/>
  <c r="F273" i="8" s="1"/>
  <c r="G273" i="8" a="1"/>
  <c r="G273" i="8" s="1"/>
  <c r="H273" i="8" a="1"/>
  <c r="H273" i="8" s="1"/>
  <c r="I273" i="8" a="1"/>
  <c r="I273" i="8" s="1"/>
  <c r="J273" i="8" a="1"/>
  <c r="J273" i="8" s="1"/>
  <c r="K273" i="8" a="1"/>
  <c r="K273" i="8" s="1"/>
  <c r="L273" i="8" a="1"/>
  <c r="L273" i="8" s="1"/>
  <c r="M273" i="8" a="1"/>
  <c r="M273" i="8" s="1"/>
  <c r="N273" i="8" a="1"/>
  <c r="N273" i="8" s="1"/>
  <c r="O273" i="8" a="1"/>
  <c r="O273" i="8" s="1"/>
  <c r="P273" i="8" a="1"/>
  <c r="P273" i="8" s="1"/>
  <c r="Q273" i="8" a="1"/>
  <c r="Q273" i="8" s="1"/>
  <c r="R273" i="8" a="1"/>
  <c r="R273" i="8" s="1"/>
  <c r="S273" i="8" a="1"/>
  <c r="S273" i="8" s="1"/>
  <c r="T273" i="8" a="1"/>
  <c r="T273" i="8" s="1"/>
  <c r="U273" i="8" a="1"/>
  <c r="U273" i="8" s="1"/>
  <c r="V273" i="8" a="1"/>
  <c r="V273" i="8" s="1"/>
  <c r="W273" i="8" a="1"/>
  <c r="W273" i="8" s="1"/>
  <c r="X273" i="8" a="1"/>
  <c r="X273" i="8" s="1"/>
  <c r="Y273" i="8" a="1"/>
  <c r="Y273" i="8" s="1"/>
  <c r="Z273" i="8" a="1"/>
  <c r="Z273" i="8" s="1"/>
  <c r="AA273" i="8" a="1"/>
  <c r="AA273" i="8" s="1"/>
  <c r="AB273" i="8" a="1"/>
  <c r="AB273" i="8" s="1"/>
  <c r="E274" i="8" a="1"/>
  <c r="E274" i="8" s="1"/>
  <c r="F274" i="8" a="1"/>
  <c r="F274" i="8" s="1"/>
  <c r="G274" i="8" a="1"/>
  <c r="G274" i="8" s="1"/>
  <c r="H274" i="8" a="1"/>
  <c r="H274" i="8" s="1"/>
  <c r="I274" i="8" a="1"/>
  <c r="I274" i="8" s="1"/>
  <c r="J274" i="8" a="1"/>
  <c r="J274" i="8" s="1"/>
  <c r="K274" i="8" a="1"/>
  <c r="K274" i="8" s="1"/>
  <c r="L274" i="8" a="1"/>
  <c r="L274" i="8" s="1"/>
  <c r="M274" i="8" a="1"/>
  <c r="M274" i="8" s="1"/>
  <c r="N274" i="8" a="1"/>
  <c r="N274" i="8" s="1"/>
  <c r="O274" i="8" a="1"/>
  <c r="O274" i="8" s="1"/>
  <c r="P274" i="8" a="1"/>
  <c r="P274" i="8" s="1"/>
  <c r="Q274" i="8" a="1"/>
  <c r="Q274" i="8" s="1"/>
  <c r="R274" i="8" a="1"/>
  <c r="R274" i="8" s="1"/>
  <c r="S274" i="8" a="1"/>
  <c r="S274" i="8" s="1"/>
  <c r="T274" i="8" a="1"/>
  <c r="T274" i="8" s="1"/>
  <c r="U274" i="8" a="1"/>
  <c r="U274" i="8" s="1"/>
  <c r="V274" i="8" a="1"/>
  <c r="V274" i="8" s="1"/>
  <c r="W274" i="8" a="1"/>
  <c r="W274" i="8" s="1"/>
  <c r="X274" i="8" a="1"/>
  <c r="X274" i="8" s="1"/>
  <c r="Y274" i="8" a="1"/>
  <c r="Y274" i="8" s="1"/>
  <c r="Z274" i="8" a="1"/>
  <c r="Z274" i="8" s="1"/>
  <c r="AA274" i="8" a="1"/>
  <c r="AA274" i="8" s="1"/>
  <c r="AB274" i="8" a="1"/>
  <c r="AB274" i="8" s="1"/>
  <c r="E275" i="8" a="1"/>
  <c r="E275" i="8" s="1"/>
  <c r="F275" i="8" a="1"/>
  <c r="F275" i="8" s="1"/>
  <c r="G275" i="8" a="1"/>
  <c r="G275" i="8" s="1"/>
  <c r="H275" i="8" a="1"/>
  <c r="H275" i="8" s="1"/>
  <c r="I275" i="8" a="1"/>
  <c r="I275" i="8" s="1"/>
  <c r="J275" i="8" a="1"/>
  <c r="J275" i="8" s="1"/>
  <c r="K275" i="8" a="1"/>
  <c r="K275" i="8" s="1"/>
  <c r="L275" i="8" a="1"/>
  <c r="L275" i="8" s="1"/>
  <c r="M275" i="8" a="1"/>
  <c r="M275" i="8" s="1"/>
  <c r="N275" i="8" a="1"/>
  <c r="N275" i="8" s="1"/>
  <c r="O275" i="8" a="1"/>
  <c r="O275" i="8" s="1"/>
  <c r="P275" i="8" a="1"/>
  <c r="P275" i="8" s="1"/>
  <c r="Q275" i="8" a="1"/>
  <c r="Q275" i="8" s="1"/>
  <c r="R275" i="8" a="1"/>
  <c r="R275" i="8" s="1"/>
  <c r="S275" i="8" a="1"/>
  <c r="S275" i="8" s="1"/>
  <c r="T275" i="8" a="1"/>
  <c r="T275" i="8" s="1"/>
  <c r="U275" i="8" a="1"/>
  <c r="U275" i="8" s="1"/>
  <c r="V275" i="8" a="1"/>
  <c r="V275" i="8" s="1"/>
  <c r="W275" i="8" a="1"/>
  <c r="W275" i="8" s="1"/>
  <c r="X275" i="8" a="1"/>
  <c r="X275" i="8" s="1"/>
  <c r="Y275" i="8" a="1"/>
  <c r="Y275" i="8" s="1"/>
  <c r="Z275" i="8" a="1"/>
  <c r="Z275" i="8" s="1"/>
  <c r="AA275" i="8" a="1"/>
  <c r="AA275" i="8" s="1"/>
  <c r="AB275" i="8" a="1"/>
  <c r="AB275" i="8" s="1"/>
  <c r="E276" i="8" a="1"/>
  <c r="E276" i="8" s="1"/>
  <c r="F276" i="8" a="1"/>
  <c r="F276" i="8" s="1"/>
  <c r="G276" i="8" a="1"/>
  <c r="G276" i="8" s="1"/>
  <c r="H276" i="8" a="1"/>
  <c r="H276" i="8" s="1"/>
  <c r="I276" i="8" a="1"/>
  <c r="I276" i="8" s="1"/>
  <c r="J276" i="8" a="1"/>
  <c r="J276" i="8" s="1"/>
  <c r="K276" i="8" a="1"/>
  <c r="K276" i="8" s="1"/>
  <c r="L276" i="8" a="1"/>
  <c r="L276" i="8" s="1"/>
  <c r="M276" i="8" a="1"/>
  <c r="M276" i="8" s="1"/>
  <c r="N276" i="8" a="1"/>
  <c r="N276" i="8" s="1"/>
  <c r="O276" i="8" a="1"/>
  <c r="O276" i="8" s="1"/>
  <c r="P276" i="8" a="1"/>
  <c r="P276" i="8" s="1"/>
  <c r="Q276" i="8" a="1"/>
  <c r="Q276" i="8" s="1"/>
  <c r="R276" i="8" a="1"/>
  <c r="R276" i="8" s="1"/>
  <c r="S276" i="8" a="1"/>
  <c r="S276" i="8" s="1"/>
  <c r="T276" i="8" a="1"/>
  <c r="T276" i="8" s="1"/>
  <c r="U276" i="8" a="1"/>
  <c r="U276" i="8" s="1"/>
  <c r="V276" i="8" a="1"/>
  <c r="V276" i="8" s="1"/>
  <c r="W276" i="8" a="1"/>
  <c r="W276" i="8" s="1"/>
  <c r="X276" i="8" a="1"/>
  <c r="X276" i="8" s="1"/>
  <c r="Y276" i="8" a="1"/>
  <c r="Y276" i="8" s="1"/>
  <c r="Z276" i="8" a="1"/>
  <c r="Z276" i="8" s="1"/>
  <c r="AA276" i="8" a="1"/>
  <c r="AA276" i="8" s="1"/>
  <c r="AB276" i="8" a="1"/>
  <c r="AB276" i="8" s="1"/>
  <c r="E277" i="8" a="1"/>
  <c r="E277" i="8" s="1"/>
  <c r="F277" i="8" a="1"/>
  <c r="F277" i="8" s="1"/>
  <c r="G277" i="8" a="1"/>
  <c r="G277" i="8" s="1"/>
  <c r="H277" i="8" a="1"/>
  <c r="H277" i="8" s="1"/>
  <c r="I277" i="8" a="1"/>
  <c r="I277" i="8" s="1"/>
  <c r="J277" i="8" a="1"/>
  <c r="J277" i="8" s="1"/>
  <c r="K277" i="8" a="1"/>
  <c r="K277" i="8" s="1"/>
  <c r="L277" i="8" a="1"/>
  <c r="L277" i="8" s="1"/>
  <c r="M277" i="8" a="1"/>
  <c r="M277" i="8" s="1"/>
  <c r="N277" i="8" a="1"/>
  <c r="N277" i="8" s="1"/>
  <c r="O277" i="8" a="1"/>
  <c r="O277" i="8" s="1"/>
  <c r="P277" i="8" a="1"/>
  <c r="P277" i="8" s="1"/>
  <c r="Q277" i="8" a="1"/>
  <c r="Q277" i="8" s="1"/>
  <c r="R277" i="8" a="1"/>
  <c r="R277" i="8" s="1"/>
  <c r="S277" i="8" a="1"/>
  <c r="S277" i="8" s="1"/>
  <c r="T277" i="8" a="1"/>
  <c r="T277" i="8" s="1"/>
  <c r="U277" i="8" a="1"/>
  <c r="U277" i="8" s="1"/>
  <c r="V277" i="8" a="1"/>
  <c r="V277" i="8" s="1"/>
  <c r="W277" i="8" a="1"/>
  <c r="W277" i="8" s="1"/>
  <c r="X277" i="8" a="1"/>
  <c r="X277" i="8" s="1"/>
  <c r="Y277" i="8" a="1"/>
  <c r="Y277" i="8" s="1"/>
  <c r="Z277" i="8" a="1"/>
  <c r="Z277" i="8" s="1"/>
  <c r="AA277" i="8" a="1"/>
  <c r="AA277" i="8" s="1"/>
  <c r="AB277" i="8" a="1"/>
  <c r="AB277" i="8" s="1"/>
  <c r="E278" i="8" a="1"/>
  <c r="E278" i="8" s="1"/>
  <c r="F278" i="8" a="1"/>
  <c r="F278" i="8" s="1"/>
  <c r="G278" i="8" a="1"/>
  <c r="G278" i="8" s="1"/>
  <c r="H278" i="8" a="1"/>
  <c r="H278" i="8" s="1"/>
  <c r="I278" i="8" a="1"/>
  <c r="I278" i="8" s="1"/>
  <c r="J278" i="8" a="1"/>
  <c r="J278" i="8" s="1"/>
  <c r="K278" i="8" a="1"/>
  <c r="K278" i="8" s="1"/>
  <c r="L278" i="8" a="1"/>
  <c r="L278" i="8" s="1"/>
  <c r="M278" i="8" a="1"/>
  <c r="M278" i="8" s="1"/>
  <c r="N278" i="8" a="1"/>
  <c r="N278" i="8" s="1"/>
  <c r="O278" i="8" a="1"/>
  <c r="O278" i="8" s="1"/>
  <c r="P278" i="8" a="1"/>
  <c r="P278" i="8" s="1"/>
  <c r="Q278" i="8" a="1"/>
  <c r="Q278" i="8" s="1"/>
  <c r="R278" i="8" a="1"/>
  <c r="R278" i="8" s="1"/>
  <c r="S278" i="8" a="1"/>
  <c r="S278" i="8" s="1"/>
  <c r="T278" i="8" a="1"/>
  <c r="T278" i="8" s="1"/>
  <c r="U278" i="8" a="1"/>
  <c r="U278" i="8" s="1"/>
  <c r="V278" i="8" a="1"/>
  <c r="V278" i="8" s="1"/>
  <c r="W278" i="8" a="1"/>
  <c r="W278" i="8" s="1"/>
  <c r="X278" i="8" a="1"/>
  <c r="X278" i="8" s="1"/>
  <c r="Y278" i="8" a="1"/>
  <c r="Y278" i="8" s="1"/>
  <c r="Z278" i="8" a="1"/>
  <c r="Z278" i="8" s="1"/>
  <c r="AA278" i="8" a="1"/>
  <c r="AA278" i="8" s="1"/>
  <c r="AB278" i="8" a="1"/>
  <c r="AB278" i="8" s="1"/>
  <c r="E279" i="8" a="1"/>
  <c r="E279" i="8" s="1"/>
  <c r="F279" i="8" a="1"/>
  <c r="F279" i="8" s="1"/>
  <c r="G279" i="8" a="1"/>
  <c r="G279" i="8" s="1"/>
  <c r="H279" i="8" a="1"/>
  <c r="H279" i="8" s="1"/>
  <c r="I279" i="8" a="1"/>
  <c r="I279" i="8" s="1"/>
  <c r="J279" i="8" a="1"/>
  <c r="J279" i="8" s="1"/>
  <c r="K279" i="8" a="1"/>
  <c r="K279" i="8" s="1"/>
  <c r="L279" i="8" a="1"/>
  <c r="L279" i="8" s="1"/>
  <c r="M279" i="8" a="1"/>
  <c r="M279" i="8" s="1"/>
  <c r="N279" i="8" a="1"/>
  <c r="N279" i="8" s="1"/>
  <c r="O279" i="8" a="1"/>
  <c r="O279" i="8" s="1"/>
  <c r="P279" i="8" a="1"/>
  <c r="P279" i="8" s="1"/>
  <c r="Q279" i="8" a="1"/>
  <c r="Q279" i="8" s="1"/>
  <c r="R279" i="8" a="1"/>
  <c r="R279" i="8" s="1"/>
  <c r="S279" i="8" a="1"/>
  <c r="S279" i="8" s="1"/>
  <c r="T279" i="8" a="1"/>
  <c r="T279" i="8" s="1"/>
  <c r="U279" i="8" a="1"/>
  <c r="U279" i="8" s="1"/>
  <c r="V279" i="8" a="1"/>
  <c r="V279" i="8" s="1"/>
  <c r="W279" i="8" a="1"/>
  <c r="W279" i="8" s="1"/>
  <c r="X279" i="8" a="1"/>
  <c r="X279" i="8" s="1"/>
  <c r="Y279" i="8" a="1"/>
  <c r="Y279" i="8" s="1"/>
  <c r="Z279" i="8" a="1"/>
  <c r="Z279" i="8" s="1"/>
  <c r="AA279" i="8" a="1"/>
  <c r="AA279" i="8" s="1"/>
  <c r="AB279" i="8" a="1"/>
  <c r="AB279" i="8" s="1"/>
  <c r="E280" i="8" a="1"/>
  <c r="E280" i="8" s="1"/>
  <c r="F280" i="8" a="1"/>
  <c r="F280" i="8" s="1"/>
  <c r="G280" i="8" a="1"/>
  <c r="G280" i="8" s="1"/>
  <c r="H280" i="8" a="1"/>
  <c r="H280" i="8" s="1"/>
  <c r="I280" i="8" a="1"/>
  <c r="I280" i="8" s="1"/>
  <c r="J280" i="8" a="1"/>
  <c r="J280" i="8" s="1"/>
  <c r="K280" i="8" a="1"/>
  <c r="K280" i="8" s="1"/>
  <c r="L280" i="8" a="1"/>
  <c r="L280" i="8" s="1"/>
  <c r="M280" i="8" a="1"/>
  <c r="M280" i="8" s="1"/>
  <c r="N280" i="8" a="1"/>
  <c r="N280" i="8" s="1"/>
  <c r="O280" i="8" a="1"/>
  <c r="O280" i="8" s="1"/>
  <c r="P280" i="8" a="1"/>
  <c r="P280" i="8" s="1"/>
  <c r="Q280" i="8" a="1"/>
  <c r="Q280" i="8" s="1"/>
  <c r="R280" i="8" a="1"/>
  <c r="R280" i="8" s="1"/>
  <c r="S280" i="8" a="1"/>
  <c r="S280" i="8" s="1"/>
  <c r="T280" i="8" a="1"/>
  <c r="T280" i="8" s="1"/>
  <c r="U280" i="8" a="1"/>
  <c r="U280" i="8" s="1"/>
  <c r="V280" i="8" a="1"/>
  <c r="V280" i="8" s="1"/>
  <c r="W280" i="8" a="1"/>
  <c r="W280" i="8" s="1"/>
  <c r="X280" i="8" a="1"/>
  <c r="X280" i="8" s="1"/>
  <c r="Y280" i="8" a="1"/>
  <c r="Y280" i="8" s="1"/>
  <c r="Z280" i="8" a="1"/>
  <c r="Z280" i="8" s="1"/>
  <c r="AA280" i="8" a="1"/>
  <c r="AA280" i="8" s="1"/>
  <c r="AB280" i="8" a="1"/>
  <c r="AB280" i="8" s="1"/>
  <c r="E281" i="8" a="1"/>
  <c r="E281" i="8" s="1"/>
  <c r="F281" i="8" a="1"/>
  <c r="F281" i="8" s="1"/>
  <c r="G281" i="8" a="1"/>
  <c r="G281" i="8" s="1"/>
  <c r="H281" i="8" a="1"/>
  <c r="H281" i="8" s="1"/>
  <c r="I281" i="8" a="1"/>
  <c r="I281" i="8" s="1"/>
  <c r="J281" i="8" a="1"/>
  <c r="J281" i="8" s="1"/>
  <c r="K281" i="8" a="1"/>
  <c r="K281" i="8" s="1"/>
  <c r="L281" i="8" a="1"/>
  <c r="L281" i="8" s="1"/>
  <c r="M281" i="8" a="1"/>
  <c r="M281" i="8" s="1"/>
  <c r="N281" i="8" a="1"/>
  <c r="N281" i="8" s="1"/>
  <c r="O281" i="8" a="1"/>
  <c r="O281" i="8" s="1"/>
  <c r="P281" i="8" a="1"/>
  <c r="P281" i="8" s="1"/>
  <c r="Q281" i="8" a="1"/>
  <c r="Q281" i="8" s="1"/>
  <c r="R281" i="8" a="1"/>
  <c r="R281" i="8" s="1"/>
  <c r="S281" i="8" a="1"/>
  <c r="S281" i="8" s="1"/>
  <c r="T281" i="8" a="1"/>
  <c r="T281" i="8" s="1"/>
  <c r="U281" i="8" a="1"/>
  <c r="U281" i="8" s="1"/>
  <c r="V281" i="8" a="1"/>
  <c r="V281" i="8" s="1"/>
  <c r="W281" i="8" a="1"/>
  <c r="W281" i="8" s="1"/>
  <c r="X281" i="8" a="1"/>
  <c r="X281" i="8" s="1"/>
  <c r="Y281" i="8" a="1"/>
  <c r="Y281" i="8" s="1"/>
  <c r="Z281" i="8" a="1"/>
  <c r="Z281" i="8" s="1"/>
  <c r="AA281" i="8" a="1"/>
  <c r="AA281" i="8" s="1"/>
  <c r="AB281" i="8" a="1"/>
  <c r="AB281" i="8" s="1"/>
  <c r="E282" i="8" a="1"/>
  <c r="E282" i="8" s="1"/>
  <c r="F282" i="8" a="1"/>
  <c r="F282" i="8" s="1"/>
  <c r="G282" i="8" a="1"/>
  <c r="G282" i="8" s="1"/>
  <c r="H282" i="8" a="1"/>
  <c r="H282" i="8" s="1"/>
  <c r="I282" i="8" a="1"/>
  <c r="I282" i="8" s="1"/>
  <c r="J282" i="8" a="1"/>
  <c r="J282" i="8" s="1"/>
  <c r="K282" i="8" a="1"/>
  <c r="K282" i="8" s="1"/>
  <c r="L282" i="8" a="1"/>
  <c r="L282" i="8" s="1"/>
  <c r="M282" i="8" a="1"/>
  <c r="M282" i="8" s="1"/>
  <c r="N282" i="8" a="1"/>
  <c r="N282" i="8" s="1"/>
  <c r="O282" i="8" a="1"/>
  <c r="O282" i="8" s="1"/>
  <c r="P282" i="8" a="1"/>
  <c r="P282" i="8" s="1"/>
  <c r="Q282" i="8" a="1"/>
  <c r="Q282" i="8" s="1"/>
  <c r="R282" i="8" a="1"/>
  <c r="R282" i="8" s="1"/>
  <c r="S282" i="8" a="1"/>
  <c r="S282" i="8" s="1"/>
  <c r="T282" i="8" a="1"/>
  <c r="T282" i="8" s="1"/>
  <c r="U282" i="8" a="1"/>
  <c r="U282" i="8" s="1"/>
  <c r="V282" i="8" a="1"/>
  <c r="V282" i="8" s="1"/>
  <c r="W282" i="8" a="1"/>
  <c r="W282" i="8" s="1"/>
  <c r="X282" i="8" a="1"/>
  <c r="X282" i="8" s="1"/>
  <c r="Y282" i="8" a="1"/>
  <c r="Y282" i="8" s="1"/>
  <c r="Z282" i="8" a="1"/>
  <c r="Z282" i="8" s="1"/>
  <c r="AA282" i="8" a="1"/>
  <c r="AA282" i="8" s="1"/>
  <c r="AB282" i="8" a="1"/>
  <c r="AB282" i="8" s="1"/>
  <c r="E283" i="8" a="1"/>
  <c r="E283" i="8" s="1"/>
  <c r="F283" i="8" a="1"/>
  <c r="F283" i="8" s="1"/>
  <c r="G283" i="8" a="1"/>
  <c r="G283" i="8" s="1"/>
  <c r="H283" i="8" a="1"/>
  <c r="H283" i="8" s="1"/>
  <c r="I283" i="8" a="1"/>
  <c r="I283" i="8" s="1"/>
  <c r="J283" i="8" a="1"/>
  <c r="J283" i="8" s="1"/>
  <c r="K283" i="8" a="1"/>
  <c r="K283" i="8" s="1"/>
  <c r="L283" i="8" a="1"/>
  <c r="L283" i="8" s="1"/>
  <c r="M283" i="8" a="1"/>
  <c r="M283" i="8" s="1"/>
  <c r="N283" i="8" a="1"/>
  <c r="N283" i="8" s="1"/>
  <c r="O283" i="8" a="1"/>
  <c r="O283" i="8" s="1"/>
  <c r="P283" i="8" a="1"/>
  <c r="P283" i="8" s="1"/>
  <c r="Q283" i="8" a="1"/>
  <c r="Q283" i="8" s="1"/>
  <c r="R283" i="8" a="1"/>
  <c r="R283" i="8" s="1"/>
  <c r="S283" i="8" a="1"/>
  <c r="S283" i="8" s="1"/>
  <c r="T283" i="8" a="1"/>
  <c r="T283" i="8" s="1"/>
  <c r="U283" i="8" a="1"/>
  <c r="U283" i="8" s="1"/>
  <c r="V283" i="8" a="1"/>
  <c r="V283" i="8" s="1"/>
  <c r="W283" i="8" a="1"/>
  <c r="W283" i="8" s="1"/>
  <c r="X283" i="8" a="1"/>
  <c r="X283" i="8" s="1"/>
  <c r="Y283" i="8" a="1"/>
  <c r="Y283" i="8" s="1"/>
  <c r="Z283" i="8" a="1"/>
  <c r="Z283" i="8" s="1"/>
  <c r="AA283" i="8" a="1"/>
  <c r="AA283" i="8" s="1"/>
  <c r="AB283" i="8" a="1"/>
  <c r="AB283" i="8" s="1"/>
  <c r="E284" i="8" a="1"/>
  <c r="E284" i="8" s="1"/>
  <c r="F284" i="8" a="1"/>
  <c r="F284" i="8" s="1"/>
  <c r="G284" i="8" a="1"/>
  <c r="G284" i="8" s="1"/>
  <c r="H284" i="8" a="1"/>
  <c r="H284" i="8" s="1"/>
  <c r="I284" i="8" a="1"/>
  <c r="I284" i="8" s="1"/>
  <c r="J284" i="8" a="1"/>
  <c r="J284" i="8" s="1"/>
  <c r="K284" i="8" a="1"/>
  <c r="K284" i="8" s="1"/>
  <c r="L284" i="8" a="1"/>
  <c r="L284" i="8" s="1"/>
  <c r="M284" i="8" a="1"/>
  <c r="M284" i="8" s="1"/>
  <c r="N284" i="8" a="1"/>
  <c r="N284" i="8" s="1"/>
  <c r="O284" i="8" a="1"/>
  <c r="O284" i="8" s="1"/>
  <c r="P284" i="8" a="1"/>
  <c r="P284" i="8" s="1"/>
  <c r="Q284" i="8" a="1"/>
  <c r="Q284" i="8" s="1"/>
  <c r="R284" i="8" a="1"/>
  <c r="R284" i="8" s="1"/>
  <c r="S284" i="8" a="1"/>
  <c r="S284" i="8" s="1"/>
  <c r="T284" i="8" a="1"/>
  <c r="T284" i="8" s="1"/>
  <c r="U284" i="8" a="1"/>
  <c r="U284" i="8" s="1"/>
  <c r="V284" i="8" a="1"/>
  <c r="V284" i="8" s="1"/>
  <c r="W284" i="8" a="1"/>
  <c r="W284" i="8" s="1"/>
  <c r="X284" i="8" a="1"/>
  <c r="X284" i="8" s="1"/>
  <c r="Y284" i="8" a="1"/>
  <c r="Y284" i="8" s="1"/>
  <c r="Z284" i="8" a="1"/>
  <c r="Z284" i="8" s="1"/>
  <c r="AA284" i="8" a="1"/>
  <c r="AA284" i="8" s="1"/>
  <c r="AB284" i="8" a="1"/>
  <c r="AB284" i="8" s="1"/>
  <c r="E285" i="8" a="1"/>
  <c r="E285" i="8" s="1"/>
  <c r="F285" i="8" a="1"/>
  <c r="F285" i="8" s="1"/>
  <c r="G285" i="8" a="1"/>
  <c r="G285" i="8" s="1"/>
  <c r="H285" i="8" a="1"/>
  <c r="H285" i="8" s="1"/>
  <c r="I285" i="8" a="1"/>
  <c r="I285" i="8" s="1"/>
  <c r="J285" i="8" a="1"/>
  <c r="J285" i="8" s="1"/>
  <c r="K285" i="8" a="1"/>
  <c r="K285" i="8" s="1"/>
  <c r="L285" i="8" a="1"/>
  <c r="L285" i="8" s="1"/>
  <c r="M285" i="8" a="1"/>
  <c r="M285" i="8" s="1"/>
  <c r="N285" i="8" a="1"/>
  <c r="N285" i="8" s="1"/>
  <c r="O285" i="8" a="1"/>
  <c r="O285" i="8" s="1"/>
  <c r="P285" i="8" a="1"/>
  <c r="P285" i="8" s="1"/>
  <c r="Q285" i="8" a="1"/>
  <c r="Q285" i="8" s="1"/>
  <c r="R285" i="8" a="1"/>
  <c r="R285" i="8" s="1"/>
  <c r="S285" i="8" a="1"/>
  <c r="S285" i="8" s="1"/>
  <c r="T285" i="8" a="1"/>
  <c r="T285" i="8" s="1"/>
  <c r="U285" i="8" a="1"/>
  <c r="U285" i="8" s="1"/>
  <c r="V285" i="8" a="1"/>
  <c r="V285" i="8" s="1"/>
  <c r="W285" i="8" a="1"/>
  <c r="W285" i="8" s="1"/>
  <c r="X285" i="8" a="1"/>
  <c r="X285" i="8" s="1"/>
  <c r="Y285" i="8" a="1"/>
  <c r="Y285" i="8" s="1"/>
  <c r="Z285" i="8" a="1"/>
  <c r="Z285" i="8" s="1"/>
  <c r="AA285" i="8" a="1"/>
  <c r="AA285" i="8" s="1"/>
  <c r="AB285" i="8" a="1"/>
  <c r="AB285" i="8" s="1"/>
  <c r="E286" i="8" a="1"/>
  <c r="E286" i="8" s="1"/>
  <c r="F286" i="8" a="1"/>
  <c r="F286" i="8" s="1"/>
  <c r="G286" i="8" a="1"/>
  <c r="G286" i="8" s="1"/>
  <c r="H286" i="8" a="1"/>
  <c r="H286" i="8" s="1"/>
  <c r="I286" i="8" a="1"/>
  <c r="I286" i="8" s="1"/>
  <c r="J286" i="8" a="1"/>
  <c r="J286" i="8" s="1"/>
  <c r="K286" i="8" a="1"/>
  <c r="K286" i="8" s="1"/>
  <c r="L286" i="8" a="1"/>
  <c r="L286" i="8" s="1"/>
  <c r="M286" i="8" a="1"/>
  <c r="M286" i="8" s="1"/>
  <c r="N286" i="8" a="1"/>
  <c r="N286" i="8" s="1"/>
  <c r="O286" i="8" a="1"/>
  <c r="O286" i="8" s="1"/>
  <c r="P286" i="8" a="1"/>
  <c r="P286" i="8" s="1"/>
  <c r="Q286" i="8" a="1"/>
  <c r="Q286" i="8" s="1"/>
  <c r="R286" i="8" a="1"/>
  <c r="R286" i="8" s="1"/>
  <c r="S286" i="8" a="1"/>
  <c r="S286" i="8" s="1"/>
  <c r="T286" i="8" a="1"/>
  <c r="T286" i="8" s="1"/>
  <c r="U286" i="8" a="1"/>
  <c r="U286" i="8" s="1"/>
  <c r="V286" i="8" a="1"/>
  <c r="V286" i="8" s="1"/>
  <c r="W286" i="8" a="1"/>
  <c r="W286" i="8" s="1"/>
  <c r="X286" i="8" a="1"/>
  <c r="X286" i="8" s="1"/>
  <c r="Y286" i="8" a="1"/>
  <c r="Y286" i="8" s="1"/>
  <c r="Z286" i="8" a="1"/>
  <c r="Z286" i="8" s="1"/>
  <c r="AA286" i="8" a="1"/>
  <c r="AA286" i="8" s="1"/>
  <c r="AB286" i="8" a="1"/>
  <c r="AB286" i="8" s="1"/>
  <c r="E287" i="8" a="1"/>
  <c r="E287" i="8" s="1"/>
  <c r="F287" i="8" a="1"/>
  <c r="F287" i="8" s="1"/>
  <c r="G287" i="8" a="1"/>
  <c r="G287" i="8" s="1"/>
  <c r="H287" i="8" a="1"/>
  <c r="H287" i="8" s="1"/>
  <c r="I287" i="8" a="1"/>
  <c r="I287" i="8" s="1"/>
  <c r="J287" i="8" a="1"/>
  <c r="J287" i="8" s="1"/>
  <c r="K287" i="8" a="1"/>
  <c r="K287" i="8" s="1"/>
  <c r="L287" i="8" a="1"/>
  <c r="L287" i="8" s="1"/>
  <c r="M287" i="8" a="1"/>
  <c r="M287" i="8" s="1"/>
  <c r="N287" i="8" a="1"/>
  <c r="N287" i="8" s="1"/>
  <c r="O287" i="8" a="1"/>
  <c r="O287" i="8" s="1"/>
  <c r="P287" i="8" a="1"/>
  <c r="P287" i="8" s="1"/>
  <c r="Q287" i="8" a="1"/>
  <c r="Q287" i="8" s="1"/>
  <c r="R287" i="8" a="1"/>
  <c r="R287" i="8" s="1"/>
  <c r="S287" i="8" a="1"/>
  <c r="S287" i="8" s="1"/>
  <c r="T287" i="8" a="1"/>
  <c r="T287" i="8" s="1"/>
  <c r="U287" i="8" a="1"/>
  <c r="U287" i="8" s="1"/>
  <c r="V287" i="8" a="1"/>
  <c r="V287" i="8" s="1"/>
  <c r="W287" i="8" a="1"/>
  <c r="W287" i="8" s="1"/>
  <c r="X287" i="8" a="1"/>
  <c r="X287" i="8" s="1"/>
  <c r="Y287" i="8" a="1"/>
  <c r="Y287" i="8" s="1"/>
  <c r="Z287" i="8" a="1"/>
  <c r="Z287" i="8" s="1"/>
  <c r="AA287" i="8" a="1"/>
  <c r="AA287" i="8" s="1"/>
  <c r="AB287" i="8" a="1"/>
  <c r="AB287" i="8" s="1"/>
  <c r="E288" i="8" a="1"/>
  <c r="E288" i="8" s="1"/>
  <c r="F288" i="8" a="1"/>
  <c r="F288" i="8" s="1"/>
  <c r="G288" i="8" a="1"/>
  <c r="G288" i="8" s="1"/>
  <c r="H288" i="8" a="1"/>
  <c r="H288" i="8" s="1"/>
  <c r="I288" i="8" a="1"/>
  <c r="I288" i="8" s="1"/>
  <c r="J288" i="8" a="1"/>
  <c r="J288" i="8" s="1"/>
  <c r="K288" i="8" a="1"/>
  <c r="K288" i="8" s="1"/>
  <c r="L288" i="8" a="1"/>
  <c r="L288" i="8" s="1"/>
  <c r="M288" i="8" a="1"/>
  <c r="M288" i="8" s="1"/>
  <c r="N288" i="8" a="1"/>
  <c r="N288" i="8" s="1"/>
  <c r="O288" i="8" a="1"/>
  <c r="O288" i="8" s="1"/>
  <c r="P288" i="8" a="1"/>
  <c r="P288" i="8" s="1"/>
  <c r="Q288" i="8" a="1"/>
  <c r="Q288" i="8" s="1"/>
  <c r="R288" i="8" a="1"/>
  <c r="R288" i="8" s="1"/>
  <c r="S288" i="8" a="1"/>
  <c r="S288" i="8" s="1"/>
  <c r="T288" i="8" a="1"/>
  <c r="T288" i="8" s="1"/>
  <c r="U288" i="8" a="1"/>
  <c r="U288" i="8" s="1"/>
  <c r="V288" i="8" a="1"/>
  <c r="V288" i="8" s="1"/>
  <c r="W288" i="8" a="1"/>
  <c r="W288" i="8" s="1"/>
  <c r="X288" i="8" a="1"/>
  <c r="X288" i="8" s="1"/>
  <c r="Y288" i="8" a="1"/>
  <c r="Y288" i="8" s="1"/>
  <c r="Z288" i="8" a="1"/>
  <c r="Z288" i="8" s="1"/>
  <c r="AA288" i="8" a="1"/>
  <c r="AA288" i="8" s="1"/>
  <c r="AB288" i="8" a="1"/>
  <c r="AB288" i="8" s="1"/>
  <c r="E289" i="8" a="1"/>
  <c r="E289" i="8" s="1"/>
  <c r="F289" i="8" a="1"/>
  <c r="F289" i="8" s="1"/>
  <c r="G289" i="8" a="1"/>
  <c r="G289" i="8" s="1"/>
  <c r="H289" i="8" a="1"/>
  <c r="H289" i="8" s="1"/>
  <c r="I289" i="8" a="1"/>
  <c r="I289" i="8" s="1"/>
  <c r="J289" i="8" a="1"/>
  <c r="J289" i="8" s="1"/>
  <c r="K289" i="8" a="1"/>
  <c r="K289" i="8" s="1"/>
  <c r="L289" i="8" a="1"/>
  <c r="L289" i="8" s="1"/>
  <c r="M289" i="8" a="1"/>
  <c r="M289" i="8" s="1"/>
  <c r="N289" i="8" a="1"/>
  <c r="N289" i="8" s="1"/>
  <c r="O289" i="8" a="1"/>
  <c r="O289" i="8" s="1"/>
  <c r="P289" i="8" a="1"/>
  <c r="P289" i="8" s="1"/>
  <c r="Q289" i="8" a="1"/>
  <c r="Q289" i="8" s="1"/>
  <c r="R289" i="8" a="1"/>
  <c r="R289" i="8" s="1"/>
  <c r="S289" i="8" a="1"/>
  <c r="S289" i="8" s="1"/>
  <c r="T289" i="8" a="1"/>
  <c r="T289" i="8" s="1"/>
  <c r="U289" i="8" a="1"/>
  <c r="U289" i="8" s="1"/>
  <c r="V289" i="8" a="1"/>
  <c r="V289" i="8" s="1"/>
  <c r="W289" i="8" a="1"/>
  <c r="W289" i="8" s="1"/>
  <c r="X289" i="8" a="1"/>
  <c r="X289" i="8" s="1"/>
  <c r="Y289" i="8" a="1"/>
  <c r="Y289" i="8" s="1"/>
  <c r="Z289" i="8" a="1"/>
  <c r="Z289" i="8" s="1"/>
  <c r="AA289" i="8" a="1"/>
  <c r="AA289" i="8" s="1"/>
  <c r="AB289" i="8" a="1"/>
  <c r="AB289" i="8" s="1"/>
  <c r="E290" i="8" a="1"/>
  <c r="E290" i="8" s="1"/>
  <c r="F290" i="8" a="1"/>
  <c r="F290" i="8" s="1"/>
  <c r="G290" i="8" a="1"/>
  <c r="G290" i="8" s="1"/>
  <c r="H290" i="8" a="1"/>
  <c r="H290" i="8" s="1"/>
  <c r="I290" i="8" a="1"/>
  <c r="I290" i="8" s="1"/>
  <c r="J290" i="8" a="1"/>
  <c r="J290" i="8" s="1"/>
  <c r="K290" i="8" a="1"/>
  <c r="K290" i="8" s="1"/>
  <c r="L290" i="8" a="1"/>
  <c r="L290" i="8" s="1"/>
  <c r="M290" i="8" a="1"/>
  <c r="M290" i="8" s="1"/>
  <c r="N290" i="8" a="1"/>
  <c r="N290" i="8" s="1"/>
  <c r="O290" i="8" a="1"/>
  <c r="O290" i="8" s="1"/>
  <c r="P290" i="8" a="1"/>
  <c r="P290" i="8" s="1"/>
  <c r="Q290" i="8" a="1"/>
  <c r="Q290" i="8" s="1"/>
  <c r="R290" i="8" a="1"/>
  <c r="R290" i="8" s="1"/>
  <c r="S290" i="8" a="1"/>
  <c r="S290" i="8" s="1"/>
  <c r="T290" i="8" a="1"/>
  <c r="T290" i="8" s="1"/>
  <c r="U290" i="8" a="1"/>
  <c r="U290" i="8" s="1"/>
  <c r="V290" i="8" a="1"/>
  <c r="V290" i="8" s="1"/>
  <c r="W290" i="8" a="1"/>
  <c r="W290" i="8" s="1"/>
  <c r="X290" i="8" a="1"/>
  <c r="X290" i="8" s="1"/>
  <c r="Y290" i="8" a="1"/>
  <c r="Y290" i="8" s="1"/>
  <c r="Z290" i="8" a="1"/>
  <c r="Z290" i="8" s="1"/>
  <c r="AA290" i="8" a="1"/>
  <c r="AA290" i="8" s="1"/>
  <c r="AB290" i="8" a="1"/>
  <c r="AB290" i="8" s="1"/>
  <c r="E291" i="8" a="1"/>
  <c r="E291" i="8" s="1"/>
  <c r="F291" i="8" a="1"/>
  <c r="F291" i="8" s="1"/>
  <c r="G291" i="8" a="1"/>
  <c r="G291" i="8" s="1"/>
  <c r="H291" i="8" a="1"/>
  <c r="H291" i="8" s="1"/>
  <c r="I291" i="8" a="1"/>
  <c r="I291" i="8" s="1"/>
  <c r="J291" i="8" a="1"/>
  <c r="J291" i="8" s="1"/>
  <c r="K291" i="8" a="1"/>
  <c r="K291" i="8" s="1"/>
  <c r="L291" i="8" a="1"/>
  <c r="L291" i="8" s="1"/>
  <c r="M291" i="8" a="1"/>
  <c r="M291" i="8" s="1"/>
  <c r="N291" i="8" a="1"/>
  <c r="N291" i="8" s="1"/>
  <c r="O291" i="8" a="1"/>
  <c r="O291" i="8" s="1"/>
  <c r="P291" i="8" a="1"/>
  <c r="P291" i="8" s="1"/>
  <c r="Q291" i="8" a="1"/>
  <c r="Q291" i="8" s="1"/>
  <c r="R291" i="8" a="1"/>
  <c r="R291" i="8" s="1"/>
  <c r="S291" i="8" a="1"/>
  <c r="S291" i="8" s="1"/>
  <c r="T291" i="8" a="1"/>
  <c r="T291" i="8" s="1"/>
  <c r="U291" i="8" a="1"/>
  <c r="U291" i="8" s="1"/>
  <c r="V291" i="8" a="1"/>
  <c r="V291" i="8" s="1"/>
  <c r="W291" i="8" a="1"/>
  <c r="W291" i="8" s="1"/>
  <c r="X291" i="8" a="1"/>
  <c r="X291" i="8" s="1"/>
  <c r="Y291" i="8" a="1"/>
  <c r="Y291" i="8" s="1"/>
  <c r="Z291" i="8" a="1"/>
  <c r="Z291" i="8" s="1"/>
  <c r="AA291" i="8" a="1"/>
  <c r="AA291" i="8" s="1"/>
  <c r="AB291" i="8" a="1"/>
  <c r="AB291" i="8" s="1"/>
  <c r="E292" i="8" a="1"/>
  <c r="E292" i="8" s="1"/>
  <c r="F292" i="8" a="1"/>
  <c r="F292" i="8" s="1"/>
  <c r="G292" i="8" a="1"/>
  <c r="G292" i="8" s="1"/>
  <c r="H292" i="8" a="1"/>
  <c r="H292" i="8" s="1"/>
  <c r="I292" i="8" a="1"/>
  <c r="I292" i="8" s="1"/>
  <c r="J292" i="8" a="1"/>
  <c r="J292" i="8" s="1"/>
  <c r="K292" i="8" a="1"/>
  <c r="K292" i="8" s="1"/>
  <c r="L292" i="8" a="1"/>
  <c r="L292" i="8" s="1"/>
  <c r="M292" i="8" a="1"/>
  <c r="M292" i="8" s="1"/>
  <c r="N292" i="8" a="1"/>
  <c r="N292" i="8" s="1"/>
  <c r="O292" i="8" a="1"/>
  <c r="O292" i="8" s="1"/>
  <c r="P292" i="8" a="1"/>
  <c r="P292" i="8" s="1"/>
  <c r="Q292" i="8" a="1"/>
  <c r="Q292" i="8" s="1"/>
  <c r="R292" i="8" a="1"/>
  <c r="R292" i="8" s="1"/>
  <c r="S292" i="8" a="1"/>
  <c r="S292" i="8" s="1"/>
  <c r="T292" i="8" a="1"/>
  <c r="T292" i="8" s="1"/>
  <c r="U292" i="8" a="1"/>
  <c r="U292" i="8" s="1"/>
  <c r="V292" i="8" a="1"/>
  <c r="V292" i="8" s="1"/>
  <c r="W292" i="8" a="1"/>
  <c r="W292" i="8" s="1"/>
  <c r="X292" i="8" a="1"/>
  <c r="X292" i="8" s="1"/>
  <c r="Y292" i="8" a="1"/>
  <c r="Y292" i="8" s="1"/>
  <c r="Z292" i="8" a="1"/>
  <c r="Z292" i="8" s="1"/>
  <c r="AA292" i="8" a="1"/>
  <c r="AA292" i="8" s="1"/>
  <c r="AB292" i="8" a="1"/>
  <c r="AB292" i="8" s="1"/>
  <c r="E293" i="8" a="1"/>
  <c r="E293" i="8" s="1"/>
  <c r="F293" i="8" a="1"/>
  <c r="F293" i="8" s="1"/>
  <c r="G293" i="8" a="1"/>
  <c r="G293" i="8" s="1"/>
  <c r="H293" i="8" a="1"/>
  <c r="H293" i="8" s="1"/>
  <c r="I293" i="8" a="1"/>
  <c r="I293" i="8" s="1"/>
  <c r="J293" i="8" a="1"/>
  <c r="J293" i="8" s="1"/>
  <c r="K293" i="8" a="1"/>
  <c r="K293" i="8" s="1"/>
  <c r="L293" i="8" a="1"/>
  <c r="L293" i="8" s="1"/>
  <c r="M293" i="8" a="1"/>
  <c r="M293" i="8" s="1"/>
  <c r="N293" i="8" a="1"/>
  <c r="N293" i="8" s="1"/>
  <c r="O293" i="8" a="1"/>
  <c r="O293" i="8" s="1"/>
  <c r="P293" i="8" a="1"/>
  <c r="P293" i="8" s="1"/>
  <c r="Q293" i="8" a="1"/>
  <c r="Q293" i="8" s="1"/>
  <c r="R293" i="8" a="1"/>
  <c r="R293" i="8" s="1"/>
  <c r="S293" i="8" a="1"/>
  <c r="S293" i="8" s="1"/>
  <c r="T293" i="8" a="1"/>
  <c r="T293" i="8" s="1"/>
  <c r="U293" i="8" a="1"/>
  <c r="U293" i="8" s="1"/>
  <c r="V293" i="8" a="1"/>
  <c r="V293" i="8" s="1"/>
  <c r="W293" i="8" a="1"/>
  <c r="W293" i="8" s="1"/>
  <c r="X293" i="8" a="1"/>
  <c r="X293" i="8" s="1"/>
  <c r="Y293" i="8" a="1"/>
  <c r="Y293" i="8" s="1"/>
  <c r="Z293" i="8" a="1"/>
  <c r="Z293" i="8" s="1"/>
  <c r="AA293" i="8" a="1"/>
  <c r="AA293" i="8" s="1"/>
  <c r="AB293" i="8" a="1"/>
  <c r="AB293" i="8" s="1"/>
  <c r="E294" i="8" a="1"/>
  <c r="E294" i="8" s="1"/>
  <c r="F294" i="8" a="1"/>
  <c r="F294" i="8" s="1"/>
  <c r="G294" i="8" a="1"/>
  <c r="G294" i="8" s="1"/>
  <c r="H294" i="8" a="1"/>
  <c r="H294" i="8" s="1"/>
  <c r="I294" i="8" a="1"/>
  <c r="I294" i="8" s="1"/>
  <c r="J294" i="8" a="1"/>
  <c r="J294" i="8" s="1"/>
  <c r="K294" i="8" a="1"/>
  <c r="K294" i="8" s="1"/>
  <c r="L294" i="8" a="1"/>
  <c r="L294" i="8" s="1"/>
  <c r="M294" i="8" a="1"/>
  <c r="M294" i="8" s="1"/>
  <c r="N294" i="8" a="1"/>
  <c r="N294" i="8" s="1"/>
  <c r="O294" i="8" a="1"/>
  <c r="O294" i="8" s="1"/>
  <c r="P294" i="8" a="1"/>
  <c r="P294" i="8" s="1"/>
  <c r="Q294" i="8" a="1"/>
  <c r="Q294" i="8" s="1"/>
  <c r="R294" i="8" a="1"/>
  <c r="R294" i="8" s="1"/>
  <c r="S294" i="8" a="1"/>
  <c r="S294" i="8" s="1"/>
  <c r="T294" i="8" a="1"/>
  <c r="T294" i="8" s="1"/>
  <c r="U294" i="8" a="1"/>
  <c r="U294" i="8" s="1"/>
  <c r="V294" i="8" a="1"/>
  <c r="V294" i="8" s="1"/>
  <c r="W294" i="8" a="1"/>
  <c r="W294" i="8" s="1"/>
  <c r="X294" i="8" a="1"/>
  <c r="X294" i="8" s="1"/>
  <c r="Y294" i="8" a="1"/>
  <c r="Y294" i="8" s="1"/>
  <c r="Z294" i="8" a="1"/>
  <c r="Z294" i="8" s="1"/>
  <c r="AA294" i="8" a="1"/>
  <c r="AA294" i="8" s="1"/>
  <c r="AB294" i="8" a="1"/>
  <c r="AB294" i="8" s="1"/>
  <c r="E295" i="8" a="1"/>
  <c r="E295" i="8" s="1"/>
  <c r="F295" i="8" a="1"/>
  <c r="F295" i="8" s="1"/>
  <c r="G295" i="8" a="1"/>
  <c r="G295" i="8" s="1"/>
  <c r="H295" i="8" a="1"/>
  <c r="H295" i="8" s="1"/>
  <c r="I295" i="8" a="1"/>
  <c r="I295" i="8" s="1"/>
  <c r="J295" i="8" a="1"/>
  <c r="J295" i="8" s="1"/>
  <c r="K295" i="8" a="1"/>
  <c r="K295" i="8" s="1"/>
  <c r="L295" i="8" a="1"/>
  <c r="L295" i="8" s="1"/>
  <c r="M295" i="8" a="1"/>
  <c r="M295" i="8" s="1"/>
  <c r="N295" i="8" a="1"/>
  <c r="N295" i="8" s="1"/>
  <c r="O295" i="8" a="1"/>
  <c r="O295" i="8" s="1"/>
  <c r="P295" i="8" a="1"/>
  <c r="P295" i="8" s="1"/>
  <c r="Q295" i="8" a="1"/>
  <c r="Q295" i="8" s="1"/>
  <c r="R295" i="8" a="1"/>
  <c r="R295" i="8" s="1"/>
  <c r="S295" i="8" a="1"/>
  <c r="S295" i="8" s="1"/>
  <c r="T295" i="8" a="1"/>
  <c r="T295" i="8" s="1"/>
  <c r="U295" i="8" a="1"/>
  <c r="U295" i="8" s="1"/>
  <c r="V295" i="8" a="1"/>
  <c r="V295" i="8" s="1"/>
  <c r="W295" i="8" a="1"/>
  <c r="W295" i="8" s="1"/>
  <c r="X295" i="8" a="1"/>
  <c r="X295" i="8" s="1"/>
  <c r="Y295" i="8" a="1"/>
  <c r="Y295" i="8" s="1"/>
  <c r="Z295" i="8" a="1"/>
  <c r="Z295" i="8" s="1"/>
  <c r="AA295" i="8" a="1"/>
  <c r="AA295" i="8" s="1"/>
  <c r="AB295" i="8" a="1"/>
  <c r="AB295" i="8" s="1"/>
  <c r="E296" i="8" a="1"/>
  <c r="E296" i="8" s="1"/>
  <c r="F296" i="8" a="1"/>
  <c r="F296" i="8" s="1"/>
  <c r="G296" i="8" a="1"/>
  <c r="G296" i="8" s="1"/>
  <c r="H296" i="8" a="1"/>
  <c r="H296" i="8" s="1"/>
  <c r="I296" i="8" a="1"/>
  <c r="I296" i="8" s="1"/>
  <c r="J296" i="8" a="1"/>
  <c r="J296" i="8" s="1"/>
  <c r="K296" i="8" a="1"/>
  <c r="K296" i="8" s="1"/>
  <c r="L296" i="8" a="1"/>
  <c r="L296" i="8" s="1"/>
  <c r="M296" i="8" a="1"/>
  <c r="M296" i="8" s="1"/>
  <c r="N296" i="8" a="1"/>
  <c r="N296" i="8" s="1"/>
  <c r="O296" i="8" a="1"/>
  <c r="O296" i="8" s="1"/>
  <c r="P296" i="8" a="1"/>
  <c r="P296" i="8" s="1"/>
  <c r="Q296" i="8" a="1"/>
  <c r="Q296" i="8" s="1"/>
  <c r="R296" i="8" a="1"/>
  <c r="R296" i="8" s="1"/>
  <c r="S296" i="8" a="1"/>
  <c r="S296" i="8" s="1"/>
  <c r="T296" i="8" a="1"/>
  <c r="T296" i="8" s="1"/>
  <c r="U296" i="8" a="1"/>
  <c r="U296" i="8" s="1"/>
  <c r="V296" i="8" a="1"/>
  <c r="V296" i="8" s="1"/>
  <c r="W296" i="8" a="1"/>
  <c r="W296" i="8" s="1"/>
  <c r="X296" i="8" a="1"/>
  <c r="X296" i="8" s="1"/>
  <c r="Y296" i="8" a="1"/>
  <c r="Y296" i="8" s="1"/>
  <c r="Z296" i="8" a="1"/>
  <c r="Z296" i="8" s="1"/>
  <c r="AA296" i="8" a="1"/>
  <c r="AA296" i="8" s="1"/>
  <c r="AB296" i="8" a="1"/>
  <c r="AB296" i="8" s="1"/>
  <c r="E297" i="8" a="1"/>
  <c r="E297" i="8" s="1"/>
  <c r="F297" i="8" a="1"/>
  <c r="F297" i="8" s="1"/>
  <c r="G297" i="8" a="1"/>
  <c r="G297" i="8" s="1"/>
  <c r="H297" i="8" a="1"/>
  <c r="H297" i="8" s="1"/>
  <c r="I297" i="8" a="1"/>
  <c r="I297" i="8" s="1"/>
  <c r="J297" i="8" a="1"/>
  <c r="J297" i="8" s="1"/>
  <c r="K297" i="8" a="1"/>
  <c r="K297" i="8" s="1"/>
  <c r="L297" i="8" a="1"/>
  <c r="L297" i="8" s="1"/>
  <c r="M297" i="8" a="1"/>
  <c r="M297" i="8" s="1"/>
  <c r="N297" i="8" a="1"/>
  <c r="N297" i="8" s="1"/>
  <c r="O297" i="8" a="1"/>
  <c r="O297" i="8" s="1"/>
  <c r="P297" i="8" a="1"/>
  <c r="P297" i="8" s="1"/>
  <c r="Q297" i="8" a="1"/>
  <c r="Q297" i="8" s="1"/>
  <c r="R297" i="8" a="1"/>
  <c r="R297" i="8" s="1"/>
  <c r="S297" i="8" a="1"/>
  <c r="S297" i="8" s="1"/>
  <c r="T297" i="8" a="1"/>
  <c r="T297" i="8" s="1"/>
  <c r="U297" i="8" a="1"/>
  <c r="U297" i="8" s="1"/>
  <c r="V297" i="8" a="1"/>
  <c r="V297" i="8" s="1"/>
  <c r="W297" i="8" a="1"/>
  <c r="W297" i="8" s="1"/>
  <c r="X297" i="8" a="1"/>
  <c r="X297" i="8" s="1"/>
  <c r="Y297" i="8" a="1"/>
  <c r="Y297" i="8" s="1"/>
  <c r="Z297" i="8" a="1"/>
  <c r="Z297" i="8" s="1"/>
  <c r="AA297" i="8" a="1"/>
  <c r="AA297" i="8" s="1"/>
  <c r="AB297" i="8" a="1"/>
  <c r="AB297" i="8" s="1"/>
  <c r="E298" i="8" a="1"/>
  <c r="E298" i="8" s="1"/>
  <c r="F298" i="8" a="1"/>
  <c r="F298" i="8" s="1"/>
  <c r="G298" i="8" a="1"/>
  <c r="G298" i="8" s="1"/>
  <c r="H298" i="8" a="1"/>
  <c r="H298" i="8" s="1"/>
  <c r="I298" i="8" a="1"/>
  <c r="I298" i="8" s="1"/>
  <c r="J298" i="8" a="1"/>
  <c r="J298" i="8" s="1"/>
  <c r="K298" i="8" a="1"/>
  <c r="K298" i="8" s="1"/>
  <c r="L298" i="8" a="1"/>
  <c r="L298" i="8" s="1"/>
  <c r="M298" i="8" a="1"/>
  <c r="M298" i="8" s="1"/>
  <c r="N298" i="8" a="1"/>
  <c r="N298" i="8" s="1"/>
  <c r="O298" i="8" a="1"/>
  <c r="O298" i="8" s="1"/>
  <c r="P298" i="8" a="1"/>
  <c r="P298" i="8" s="1"/>
  <c r="Q298" i="8" a="1"/>
  <c r="Q298" i="8" s="1"/>
  <c r="R298" i="8" a="1"/>
  <c r="R298" i="8" s="1"/>
  <c r="S298" i="8" a="1"/>
  <c r="S298" i="8" s="1"/>
  <c r="T298" i="8" a="1"/>
  <c r="T298" i="8" s="1"/>
  <c r="U298" i="8" a="1"/>
  <c r="U298" i="8" s="1"/>
  <c r="V298" i="8" a="1"/>
  <c r="V298" i="8" s="1"/>
  <c r="W298" i="8" a="1"/>
  <c r="W298" i="8" s="1"/>
  <c r="X298" i="8" a="1"/>
  <c r="X298" i="8" s="1"/>
  <c r="Y298" i="8" a="1"/>
  <c r="Y298" i="8" s="1"/>
  <c r="Z298" i="8" a="1"/>
  <c r="Z298" i="8" s="1"/>
  <c r="AA298" i="8" a="1"/>
  <c r="AA298" i="8" s="1"/>
  <c r="AB298" i="8" a="1"/>
  <c r="AB298" i="8" s="1"/>
  <c r="E299" i="8" a="1"/>
  <c r="E299" i="8" s="1"/>
  <c r="F299" i="8" a="1"/>
  <c r="F299" i="8" s="1"/>
  <c r="G299" i="8" a="1"/>
  <c r="G299" i="8" s="1"/>
  <c r="H299" i="8" a="1"/>
  <c r="H299" i="8" s="1"/>
  <c r="I299" i="8" a="1"/>
  <c r="I299" i="8" s="1"/>
  <c r="J299" i="8" a="1"/>
  <c r="J299" i="8" s="1"/>
  <c r="K299" i="8" a="1"/>
  <c r="K299" i="8" s="1"/>
  <c r="L299" i="8" a="1"/>
  <c r="L299" i="8" s="1"/>
  <c r="M299" i="8" a="1"/>
  <c r="M299" i="8" s="1"/>
  <c r="N299" i="8" a="1"/>
  <c r="N299" i="8" s="1"/>
  <c r="O299" i="8" a="1"/>
  <c r="O299" i="8" s="1"/>
  <c r="P299" i="8" a="1"/>
  <c r="P299" i="8" s="1"/>
  <c r="Q299" i="8" a="1"/>
  <c r="Q299" i="8" s="1"/>
  <c r="R299" i="8" a="1"/>
  <c r="R299" i="8" s="1"/>
  <c r="S299" i="8" a="1"/>
  <c r="S299" i="8" s="1"/>
  <c r="T299" i="8" a="1"/>
  <c r="T299" i="8" s="1"/>
  <c r="U299" i="8" a="1"/>
  <c r="U299" i="8" s="1"/>
  <c r="V299" i="8" a="1"/>
  <c r="V299" i="8" s="1"/>
  <c r="W299" i="8" a="1"/>
  <c r="W299" i="8" s="1"/>
  <c r="X299" i="8" a="1"/>
  <c r="X299" i="8" s="1"/>
  <c r="Y299" i="8" a="1"/>
  <c r="Y299" i="8" s="1"/>
  <c r="Z299" i="8" a="1"/>
  <c r="Z299" i="8" s="1"/>
  <c r="AA299" i="8" a="1"/>
  <c r="AA299" i="8" s="1"/>
  <c r="AB299" i="8" a="1"/>
  <c r="AB299" i="8" s="1"/>
  <c r="E300" i="8" a="1"/>
  <c r="E300" i="8" s="1"/>
  <c r="F300" i="8" a="1"/>
  <c r="F300" i="8" s="1"/>
  <c r="G300" i="8" a="1"/>
  <c r="G300" i="8" s="1"/>
  <c r="H300" i="8" a="1"/>
  <c r="H300" i="8" s="1"/>
  <c r="I300" i="8" a="1"/>
  <c r="I300" i="8" s="1"/>
  <c r="J300" i="8" a="1"/>
  <c r="J300" i="8" s="1"/>
  <c r="K300" i="8" a="1"/>
  <c r="K300" i="8" s="1"/>
  <c r="L300" i="8" a="1"/>
  <c r="L300" i="8" s="1"/>
  <c r="M300" i="8" a="1"/>
  <c r="M300" i="8" s="1"/>
  <c r="N300" i="8" a="1"/>
  <c r="N300" i="8" s="1"/>
  <c r="O300" i="8" a="1"/>
  <c r="O300" i="8" s="1"/>
  <c r="P300" i="8" a="1"/>
  <c r="P300" i="8" s="1"/>
  <c r="Q300" i="8" a="1"/>
  <c r="Q300" i="8" s="1"/>
  <c r="R300" i="8" a="1"/>
  <c r="R300" i="8" s="1"/>
  <c r="S300" i="8" a="1"/>
  <c r="S300" i="8" s="1"/>
  <c r="T300" i="8" a="1"/>
  <c r="T300" i="8" s="1"/>
  <c r="U300" i="8" a="1"/>
  <c r="U300" i="8" s="1"/>
  <c r="V300" i="8" a="1"/>
  <c r="V300" i="8" s="1"/>
  <c r="W300" i="8" a="1"/>
  <c r="W300" i="8" s="1"/>
  <c r="X300" i="8" a="1"/>
  <c r="X300" i="8" s="1"/>
  <c r="Y300" i="8" a="1"/>
  <c r="Y300" i="8" s="1"/>
  <c r="Z300" i="8" a="1"/>
  <c r="Z300" i="8" s="1"/>
  <c r="AB300" i="8" a="1"/>
  <c r="AB300" i="8" s="1"/>
  <c r="F10" i="8" a="1"/>
  <c r="F10" i="8" s="1"/>
  <c r="G10" i="8" a="1"/>
  <c r="G10" i="8" s="1"/>
  <c r="H10" i="8" a="1"/>
  <c r="H10" i="8" s="1"/>
  <c r="I10" i="8" a="1"/>
  <c r="I10" i="8" s="1"/>
  <c r="J10" i="8" a="1"/>
  <c r="J10" i="8" s="1"/>
  <c r="K10" i="8" a="1"/>
  <c r="K10" i="8" s="1"/>
  <c r="L10" i="8" a="1"/>
  <c r="L10" i="8" s="1"/>
  <c r="M10" i="8" a="1"/>
  <c r="M10" i="8" s="1"/>
  <c r="N10" i="8" a="1"/>
  <c r="N10" i="8" s="1"/>
  <c r="O10" i="8" a="1"/>
  <c r="O10" i="8" s="1"/>
  <c r="P10" i="8" a="1"/>
  <c r="P10" i="8" s="1"/>
  <c r="Q10" i="8" a="1"/>
  <c r="Q10" i="8" s="1"/>
  <c r="R10" i="8" a="1"/>
  <c r="R10" i="8" s="1"/>
  <c r="S10" i="8" a="1"/>
  <c r="S10" i="8" s="1"/>
  <c r="T10" i="8" a="1"/>
  <c r="T10" i="8" s="1"/>
  <c r="U10" i="8" a="1"/>
  <c r="U10" i="8" s="1"/>
  <c r="V10" i="8" a="1"/>
  <c r="V10" i="8" s="1"/>
  <c r="W10" i="8" a="1"/>
  <c r="W10" i="8" s="1"/>
  <c r="X10" i="8" a="1"/>
  <c r="X10" i="8" s="1"/>
  <c r="Y10" i="8" a="1"/>
  <c r="Y10" i="8" s="1"/>
  <c r="Z10" i="8" a="1"/>
  <c r="Z10" i="8" s="1"/>
  <c r="AA10" i="8" a="1"/>
  <c r="AA10" i="8" s="1"/>
  <c r="AB10" i="8" a="1"/>
  <c r="AB10" i="8" s="1"/>
  <c r="E10" i="8" a="1"/>
  <c r="E10" i="8" s="1"/>
  <c r="B11" i="8" a="1"/>
  <c r="B11" i="8" s="1"/>
  <c r="C11" i="8" a="1"/>
  <c r="C11" i="8" s="1"/>
  <c r="B12" i="8" a="1"/>
  <c r="B12" i="8" s="1"/>
  <c r="C12" i="8" a="1"/>
  <c r="C12" i="8" s="1"/>
  <c r="B13" i="8" a="1"/>
  <c r="B13" i="8" s="1"/>
  <c r="C13" i="8" a="1"/>
  <c r="C13" i="8" s="1"/>
  <c r="B14" i="8" a="1"/>
  <c r="B14" i="8" s="1"/>
  <c r="C14" i="8" a="1"/>
  <c r="C14" i="8" s="1"/>
  <c r="B15" i="8" a="1"/>
  <c r="B15" i="8" s="1"/>
  <c r="C15" i="8" a="1"/>
  <c r="C15" i="8" s="1"/>
  <c r="B16" i="8" a="1"/>
  <c r="B16" i="8" s="1"/>
  <c r="C16" i="8" a="1"/>
  <c r="C16" i="8" s="1"/>
  <c r="B17" i="8" a="1"/>
  <c r="B17" i="8" s="1"/>
  <c r="C17" i="8" a="1"/>
  <c r="C17" i="8" s="1"/>
  <c r="B18" i="8" a="1"/>
  <c r="B18" i="8" s="1"/>
  <c r="C18" i="8" a="1"/>
  <c r="C18" i="8" s="1"/>
  <c r="B19" i="8" a="1"/>
  <c r="B19" i="8" s="1"/>
  <c r="C19" i="8" a="1"/>
  <c r="C19" i="8" s="1"/>
  <c r="B20" i="8" a="1"/>
  <c r="B20" i="8" s="1"/>
  <c r="C20" i="8" a="1"/>
  <c r="C20" i="8" s="1"/>
  <c r="B21" i="8" a="1"/>
  <c r="B21" i="8" s="1"/>
  <c r="C21" i="8" a="1"/>
  <c r="C21" i="8" s="1"/>
  <c r="B22" i="8" a="1"/>
  <c r="B22" i="8" s="1"/>
  <c r="C22" i="8" a="1"/>
  <c r="C22" i="8" s="1"/>
  <c r="B23" i="8" a="1"/>
  <c r="B23" i="8" s="1"/>
  <c r="C23" i="8" a="1"/>
  <c r="C23" i="8" s="1"/>
  <c r="B24" i="8" a="1"/>
  <c r="B24" i="8" s="1"/>
  <c r="C24" i="8" a="1"/>
  <c r="C24" i="8" s="1"/>
  <c r="B25" i="8" a="1"/>
  <c r="B25" i="8" s="1"/>
  <c r="C25" i="8" a="1"/>
  <c r="C25" i="8" s="1"/>
  <c r="B26" i="8" a="1"/>
  <c r="B26" i="8" s="1"/>
  <c r="C26" i="8" a="1"/>
  <c r="C26" i="8" s="1"/>
  <c r="B27" i="8" a="1"/>
  <c r="B27" i="8" s="1"/>
  <c r="C27" i="8" a="1"/>
  <c r="C27" i="8" s="1"/>
  <c r="B28" i="8" a="1"/>
  <c r="B28" i="8" s="1"/>
  <c r="C28" i="8" a="1"/>
  <c r="C28" i="8" s="1"/>
  <c r="B29" i="8" a="1"/>
  <c r="B29" i="8" s="1"/>
  <c r="C29" i="8" a="1"/>
  <c r="C29" i="8" s="1"/>
  <c r="B30" i="8" a="1"/>
  <c r="B30" i="8" s="1"/>
  <c r="C30" i="8" a="1"/>
  <c r="C30" i="8" s="1"/>
  <c r="B31" i="8" a="1"/>
  <c r="B31" i="8" s="1"/>
  <c r="C31" i="8" a="1"/>
  <c r="C31" i="8" s="1"/>
  <c r="B32" i="8" a="1"/>
  <c r="B32" i="8" s="1"/>
  <c r="C32" i="8" a="1"/>
  <c r="C32" i="8" s="1"/>
  <c r="B33" i="8" a="1"/>
  <c r="B33" i="8" s="1"/>
  <c r="C33" i="8" a="1"/>
  <c r="C33" i="8" s="1"/>
  <c r="B34" i="8" a="1"/>
  <c r="B34" i="8" s="1"/>
  <c r="C34" i="8" a="1"/>
  <c r="C34" i="8" s="1"/>
  <c r="B35" i="8" a="1"/>
  <c r="B35" i="8" s="1"/>
  <c r="C35" i="8" a="1"/>
  <c r="C35" i="8" s="1"/>
  <c r="B36" i="8" a="1"/>
  <c r="B36" i="8" s="1"/>
  <c r="C36" i="8" a="1"/>
  <c r="C36" i="8" s="1"/>
  <c r="B37" i="8" a="1"/>
  <c r="B37" i="8" s="1"/>
  <c r="C37" i="8" a="1"/>
  <c r="C37" i="8" s="1"/>
  <c r="B38" i="8" a="1"/>
  <c r="B38" i="8" s="1"/>
  <c r="C38" i="8" a="1"/>
  <c r="C38" i="8" s="1"/>
  <c r="B39" i="8" a="1"/>
  <c r="B39" i="8" s="1"/>
  <c r="C39" i="8" a="1"/>
  <c r="C39" i="8" s="1"/>
  <c r="B40" i="8" a="1"/>
  <c r="B40" i="8" s="1"/>
  <c r="C40" i="8" a="1"/>
  <c r="C40" i="8" s="1"/>
  <c r="B41" i="8" a="1"/>
  <c r="B41" i="8" s="1"/>
  <c r="C41" i="8" a="1"/>
  <c r="C41" i="8" s="1"/>
  <c r="B42" i="8" a="1"/>
  <c r="B42" i="8" s="1"/>
  <c r="C42" i="8" a="1"/>
  <c r="C42" i="8" s="1"/>
  <c r="B43" i="8" a="1"/>
  <c r="B43" i="8" s="1"/>
  <c r="C43" i="8" a="1"/>
  <c r="C43" i="8" s="1"/>
  <c r="B44" i="8" a="1"/>
  <c r="B44" i="8" s="1"/>
  <c r="C44" i="8" a="1"/>
  <c r="C44" i="8" s="1"/>
  <c r="B45" i="8" a="1"/>
  <c r="B45" i="8" s="1"/>
  <c r="C45" i="8" a="1"/>
  <c r="C45" i="8" s="1"/>
  <c r="B46" i="8" a="1"/>
  <c r="B46" i="8" s="1"/>
  <c r="C46" i="8" a="1"/>
  <c r="C46" i="8" s="1"/>
  <c r="B47" i="8" a="1"/>
  <c r="B47" i="8" s="1"/>
  <c r="C47" i="8" a="1"/>
  <c r="C47" i="8" s="1"/>
  <c r="B48" i="8" a="1"/>
  <c r="B48" i="8" s="1"/>
  <c r="C48" i="8" a="1"/>
  <c r="C48" i="8" s="1"/>
  <c r="B49" i="8" a="1"/>
  <c r="B49" i="8" s="1"/>
  <c r="C49" i="8" a="1"/>
  <c r="C49" i="8" s="1"/>
  <c r="B50" i="8" a="1"/>
  <c r="B50" i="8" s="1"/>
  <c r="C50" i="8" a="1"/>
  <c r="C50" i="8" s="1"/>
  <c r="B51" i="8" a="1"/>
  <c r="B51" i="8" s="1"/>
  <c r="C51" i="8" a="1"/>
  <c r="C51" i="8" s="1"/>
  <c r="B52" i="8" a="1"/>
  <c r="B52" i="8" s="1"/>
  <c r="C52" i="8" a="1"/>
  <c r="C52" i="8" s="1"/>
  <c r="B53" i="8" a="1"/>
  <c r="B53" i="8" s="1"/>
  <c r="C53" i="8" a="1"/>
  <c r="C53" i="8" s="1"/>
  <c r="B54" i="8" a="1"/>
  <c r="B54" i="8" s="1"/>
  <c r="C54" i="8" a="1"/>
  <c r="C54" i="8" s="1"/>
  <c r="B55" i="8" a="1"/>
  <c r="B55" i="8" s="1"/>
  <c r="C55" i="8" a="1"/>
  <c r="C55" i="8" s="1"/>
  <c r="B56" i="8" a="1"/>
  <c r="B56" i="8" s="1"/>
  <c r="C56" i="8" a="1"/>
  <c r="C56" i="8" s="1"/>
  <c r="B57" i="8" a="1"/>
  <c r="B57" i="8" s="1"/>
  <c r="C57" i="8" a="1"/>
  <c r="C57" i="8" s="1"/>
  <c r="B58" i="8" a="1"/>
  <c r="B58" i="8" s="1"/>
  <c r="C58" i="8" a="1"/>
  <c r="C58" i="8" s="1"/>
  <c r="B59" i="8" a="1"/>
  <c r="B59" i="8" s="1"/>
  <c r="C59" i="8" a="1"/>
  <c r="C59" i="8" s="1"/>
  <c r="B60" i="8" a="1"/>
  <c r="B60" i="8" s="1"/>
  <c r="C60" i="8" a="1"/>
  <c r="C60" i="8" s="1"/>
  <c r="B61" i="8" a="1"/>
  <c r="B61" i="8" s="1"/>
  <c r="C61" i="8" a="1"/>
  <c r="C61" i="8" s="1"/>
  <c r="B62" i="8" a="1"/>
  <c r="B62" i="8" s="1"/>
  <c r="C62" i="8" a="1"/>
  <c r="C62" i="8" s="1"/>
  <c r="B63" i="8" a="1"/>
  <c r="B63" i="8" s="1"/>
  <c r="C63" i="8" a="1"/>
  <c r="C63" i="8" s="1"/>
  <c r="B64" i="8" a="1"/>
  <c r="B64" i="8" s="1"/>
  <c r="C64" i="8" a="1"/>
  <c r="C64" i="8" s="1"/>
  <c r="B65" i="8" a="1"/>
  <c r="B65" i="8" s="1"/>
  <c r="C65" i="8" a="1"/>
  <c r="C65" i="8" s="1"/>
  <c r="B66" i="8" a="1"/>
  <c r="B66" i="8" s="1"/>
  <c r="C66" i="8" a="1"/>
  <c r="C66" i="8" s="1"/>
  <c r="B67" i="8" a="1"/>
  <c r="B67" i="8" s="1"/>
  <c r="C67" i="8" a="1"/>
  <c r="C67" i="8" s="1"/>
  <c r="B68" i="8" a="1"/>
  <c r="B68" i="8" s="1"/>
  <c r="C68" i="8" a="1"/>
  <c r="C68" i="8" s="1"/>
  <c r="B69" i="8" a="1"/>
  <c r="B69" i="8" s="1"/>
  <c r="C69" i="8" a="1"/>
  <c r="C69" i="8" s="1"/>
  <c r="B70" i="8" a="1"/>
  <c r="B70" i="8" s="1"/>
  <c r="C70" i="8" a="1"/>
  <c r="C70" i="8" s="1"/>
  <c r="B71" i="8" a="1"/>
  <c r="B71" i="8" s="1"/>
  <c r="C71" i="8" a="1"/>
  <c r="C71" i="8" s="1"/>
  <c r="B72" i="8" a="1"/>
  <c r="B72" i="8" s="1"/>
  <c r="C72" i="8" a="1"/>
  <c r="C72" i="8" s="1"/>
  <c r="B73" i="8" a="1"/>
  <c r="B73" i="8" s="1"/>
  <c r="C73" i="8" a="1"/>
  <c r="C73" i="8" s="1"/>
  <c r="B74" i="8" a="1"/>
  <c r="B74" i="8" s="1"/>
  <c r="C74" i="8" a="1"/>
  <c r="C74" i="8" s="1"/>
  <c r="B75" i="8" a="1"/>
  <c r="B75" i="8" s="1"/>
  <c r="C75" i="8" a="1"/>
  <c r="C75" i="8" s="1"/>
  <c r="B76" i="8" a="1"/>
  <c r="B76" i="8" s="1"/>
  <c r="C76" i="8" a="1"/>
  <c r="C76" i="8" s="1"/>
  <c r="B77" i="8" a="1"/>
  <c r="B77" i="8" s="1"/>
  <c r="C77" i="8" a="1"/>
  <c r="C77" i="8" s="1"/>
  <c r="B78" i="8" a="1"/>
  <c r="B78" i="8" s="1"/>
  <c r="C78" i="8" a="1"/>
  <c r="C78" i="8" s="1"/>
  <c r="B79" i="8" a="1"/>
  <c r="B79" i="8" s="1"/>
  <c r="C79" i="8" a="1"/>
  <c r="C79" i="8" s="1"/>
  <c r="B80" i="8" a="1"/>
  <c r="B80" i="8" s="1"/>
  <c r="C80" i="8" a="1"/>
  <c r="C80" i="8" s="1"/>
  <c r="B81" i="8" a="1"/>
  <c r="B81" i="8" s="1"/>
  <c r="C81" i="8" a="1"/>
  <c r="C81" i="8" s="1"/>
  <c r="B82" i="8" a="1"/>
  <c r="B82" i="8" s="1"/>
  <c r="C82" i="8" a="1"/>
  <c r="C82" i="8" s="1"/>
  <c r="B83" i="8" a="1"/>
  <c r="B83" i="8" s="1"/>
  <c r="C83" i="8" a="1"/>
  <c r="C83" i="8" s="1"/>
  <c r="B84" i="8" a="1"/>
  <c r="B84" i="8" s="1"/>
  <c r="C84" i="8" a="1"/>
  <c r="C84" i="8" s="1"/>
  <c r="B85" i="8" a="1"/>
  <c r="B85" i="8" s="1"/>
  <c r="C85" i="8" a="1"/>
  <c r="C85" i="8" s="1"/>
  <c r="B86" i="8" a="1"/>
  <c r="B86" i="8" s="1"/>
  <c r="C86" i="8" a="1"/>
  <c r="C86" i="8" s="1"/>
  <c r="B87" i="8" a="1"/>
  <c r="B87" i="8" s="1"/>
  <c r="C87" i="8" a="1"/>
  <c r="C87" i="8" s="1"/>
  <c r="B88" i="8" a="1"/>
  <c r="B88" i="8" s="1"/>
  <c r="C88" i="8" a="1"/>
  <c r="C88" i="8" s="1"/>
  <c r="B89" i="8" a="1"/>
  <c r="B89" i="8" s="1"/>
  <c r="C89" i="8" a="1"/>
  <c r="C89" i="8" s="1"/>
  <c r="B90" i="8" a="1"/>
  <c r="B90" i="8" s="1"/>
  <c r="C90" i="8" a="1"/>
  <c r="C90" i="8" s="1"/>
  <c r="B91" i="8" a="1"/>
  <c r="B91" i="8" s="1"/>
  <c r="C91" i="8" a="1"/>
  <c r="C91" i="8" s="1"/>
  <c r="B92" i="8" a="1"/>
  <c r="B92" i="8" s="1"/>
  <c r="C92" i="8" a="1"/>
  <c r="C92" i="8" s="1"/>
  <c r="B93" i="8" a="1"/>
  <c r="B93" i="8" s="1"/>
  <c r="C93" i="8" a="1"/>
  <c r="C93" i="8" s="1"/>
  <c r="B94" i="8" a="1"/>
  <c r="B94" i="8" s="1"/>
  <c r="C94" i="8" a="1"/>
  <c r="C94" i="8" s="1"/>
  <c r="B95" i="8" a="1"/>
  <c r="B95" i="8" s="1"/>
  <c r="C95" i="8" a="1"/>
  <c r="C95" i="8" s="1"/>
  <c r="B96" i="8" a="1"/>
  <c r="B96" i="8" s="1"/>
  <c r="C96" i="8" a="1"/>
  <c r="C96" i="8" s="1"/>
  <c r="B97" i="8" a="1"/>
  <c r="B97" i="8" s="1"/>
  <c r="C97" i="8" a="1"/>
  <c r="C97" i="8" s="1"/>
  <c r="B98" i="8" a="1"/>
  <c r="B98" i="8" s="1"/>
  <c r="C98" i="8" a="1"/>
  <c r="C98" i="8" s="1"/>
  <c r="B99" i="8" a="1"/>
  <c r="B99" i="8" s="1"/>
  <c r="C99" i="8" a="1"/>
  <c r="C99" i="8" s="1"/>
  <c r="B100" i="8" a="1"/>
  <c r="B100" i="8" s="1"/>
  <c r="C100" i="8" a="1"/>
  <c r="C100" i="8" s="1"/>
  <c r="B101" i="8" a="1"/>
  <c r="B101" i="8" s="1"/>
  <c r="C101" i="8" a="1"/>
  <c r="C101" i="8" s="1"/>
  <c r="B102" i="8" a="1"/>
  <c r="B102" i="8" s="1"/>
  <c r="C102" i="8" a="1"/>
  <c r="C102" i="8" s="1"/>
  <c r="B103" i="8" a="1"/>
  <c r="B103" i="8" s="1"/>
  <c r="C103" i="8" a="1"/>
  <c r="C103" i="8" s="1"/>
  <c r="B104" i="8" a="1"/>
  <c r="B104" i="8" s="1"/>
  <c r="C104" i="8" a="1"/>
  <c r="C104" i="8" s="1"/>
  <c r="B105" i="8" a="1"/>
  <c r="B105" i="8" s="1"/>
  <c r="C105" i="8" a="1"/>
  <c r="C105" i="8" s="1"/>
  <c r="B106" i="8" a="1"/>
  <c r="B106" i="8" s="1"/>
  <c r="C106" i="8" a="1"/>
  <c r="C106" i="8" s="1"/>
  <c r="B107" i="8" a="1"/>
  <c r="B107" i="8" s="1"/>
  <c r="C107" i="8" a="1"/>
  <c r="C107" i="8" s="1"/>
  <c r="B108" i="8" a="1"/>
  <c r="B108" i="8" s="1"/>
  <c r="C108" i="8" a="1"/>
  <c r="C108" i="8" s="1"/>
  <c r="B109" i="8" a="1"/>
  <c r="B109" i="8" s="1"/>
  <c r="C109" i="8" a="1"/>
  <c r="C109" i="8" s="1"/>
  <c r="B110" i="8" a="1"/>
  <c r="B110" i="8" s="1"/>
  <c r="C110" i="8" a="1"/>
  <c r="C110" i="8" s="1"/>
  <c r="B111" i="8" a="1"/>
  <c r="B111" i="8" s="1"/>
  <c r="C111" i="8" a="1"/>
  <c r="C111" i="8" s="1"/>
  <c r="B112" i="8" a="1"/>
  <c r="B112" i="8" s="1"/>
  <c r="C112" i="8" a="1"/>
  <c r="C112" i="8" s="1"/>
  <c r="B113" i="8" a="1"/>
  <c r="B113" i="8" s="1"/>
  <c r="C113" i="8" a="1"/>
  <c r="C113" i="8" s="1"/>
  <c r="B114" i="8" a="1"/>
  <c r="B114" i="8" s="1"/>
  <c r="C114" i="8" a="1"/>
  <c r="C114" i="8" s="1"/>
  <c r="B115" i="8" a="1"/>
  <c r="B115" i="8" s="1"/>
  <c r="C115" i="8" a="1"/>
  <c r="C115" i="8" s="1"/>
  <c r="B116" i="8" a="1"/>
  <c r="B116" i="8" s="1"/>
  <c r="C116" i="8" a="1"/>
  <c r="C116" i="8" s="1"/>
  <c r="B117" i="8" a="1"/>
  <c r="B117" i="8" s="1"/>
  <c r="C117" i="8" a="1"/>
  <c r="C117" i="8" s="1"/>
  <c r="B118" i="8" a="1"/>
  <c r="B118" i="8" s="1"/>
  <c r="C118" i="8" a="1"/>
  <c r="C118" i="8" s="1"/>
  <c r="B119" i="8" a="1"/>
  <c r="B119" i="8" s="1"/>
  <c r="C119" i="8" a="1"/>
  <c r="C119" i="8" s="1"/>
  <c r="B120" i="8" a="1"/>
  <c r="B120" i="8" s="1"/>
  <c r="C120" i="8" a="1"/>
  <c r="C120" i="8" s="1"/>
  <c r="B121" i="8" a="1"/>
  <c r="B121" i="8" s="1"/>
  <c r="C121" i="8" a="1"/>
  <c r="C121" i="8" s="1"/>
  <c r="B122" i="8" a="1"/>
  <c r="B122" i="8" s="1"/>
  <c r="C122" i="8" a="1"/>
  <c r="C122" i="8" s="1"/>
  <c r="B123" i="8" a="1"/>
  <c r="B123" i="8" s="1"/>
  <c r="C123" i="8" a="1"/>
  <c r="C123" i="8" s="1"/>
  <c r="B124" i="8" a="1"/>
  <c r="B124" i="8" s="1"/>
  <c r="C124" i="8" a="1"/>
  <c r="C124" i="8" s="1"/>
  <c r="B125" i="8" a="1"/>
  <c r="B125" i="8" s="1"/>
  <c r="C125" i="8" a="1"/>
  <c r="C125" i="8" s="1"/>
  <c r="B126" i="8" a="1"/>
  <c r="B126" i="8" s="1"/>
  <c r="C126" i="8" a="1"/>
  <c r="C126" i="8" s="1"/>
  <c r="B127" i="8" a="1"/>
  <c r="B127" i="8" s="1"/>
  <c r="C127" i="8" a="1"/>
  <c r="C127" i="8" s="1"/>
  <c r="B128" i="8" a="1"/>
  <c r="B128" i="8" s="1"/>
  <c r="C128" i="8" a="1"/>
  <c r="C128" i="8" s="1"/>
  <c r="B129" i="8" a="1"/>
  <c r="B129" i="8" s="1"/>
  <c r="C129" i="8" a="1"/>
  <c r="C129" i="8" s="1"/>
  <c r="B130" i="8" a="1"/>
  <c r="B130" i="8" s="1"/>
  <c r="C130" i="8" a="1"/>
  <c r="C130" i="8" s="1"/>
  <c r="B131" i="8" a="1"/>
  <c r="B131" i="8" s="1"/>
  <c r="C131" i="8" a="1"/>
  <c r="C131" i="8" s="1"/>
  <c r="B132" i="8" a="1"/>
  <c r="B132" i="8" s="1"/>
  <c r="C132" i="8" a="1"/>
  <c r="C132" i="8" s="1"/>
  <c r="B133" i="8" a="1"/>
  <c r="B133" i="8" s="1"/>
  <c r="C133" i="8" a="1"/>
  <c r="C133" i="8" s="1"/>
  <c r="B134" i="8" a="1"/>
  <c r="B134" i="8" s="1"/>
  <c r="C134" i="8" a="1"/>
  <c r="C134" i="8" s="1"/>
  <c r="B135" i="8" a="1"/>
  <c r="B135" i="8" s="1"/>
  <c r="C135" i="8" a="1"/>
  <c r="C135" i="8" s="1"/>
  <c r="B136" i="8" a="1"/>
  <c r="B136" i="8" s="1"/>
  <c r="C136" i="8" a="1"/>
  <c r="C136" i="8" s="1"/>
  <c r="B137" i="8" a="1"/>
  <c r="B137" i="8" s="1"/>
  <c r="C137" i="8" a="1"/>
  <c r="C137" i="8" s="1"/>
  <c r="B138" i="8" a="1"/>
  <c r="B138" i="8" s="1"/>
  <c r="C138" i="8" a="1"/>
  <c r="C138" i="8" s="1"/>
  <c r="B139" i="8" a="1"/>
  <c r="B139" i="8" s="1"/>
  <c r="C139" i="8" a="1"/>
  <c r="C139" i="8" s="1"/>
  <c r="B140" i="8" a="1"/>
  <c r="B140" i="8" s="1"/>
  <c r="C140" i="8" a="1"/>
  <c r="C140" i="8" s="1"/>
  <c r="B141" i="8" a="1"/>
  <c r="B141" i="8" s="1"/>
  <c r="C141" i="8" a="1"/>
  <c r="C141" i="8" s="1"/>
  <c r="B142" i="8" a="1"/>
  <c r="B142" i="8" s="1"/>
  <c r="C142" i="8" a="1"/>
  <c r="C142" i="8" s="1"/>
  <c r="B143" i="8" a="1"/>
  <c r="B143" i="8" s="1"/>
  <c r="C143" i="8" a="1"/>
  <c r="C143" i="8" s="1"/>
  <c r="B144" i="8" a="1"/>
  <c r="B144" i="8" s="1"/>
  <c r="C144" i="8" a="1"/>
  <c r="C144" i="8" s="1"/>
  <c r="B145" i="8" a="1"/>
  <c r="B145" i="8" s="1"/>
  <c r="C145" i="8" a="1"/>
  <c r="C145" i="8" s="1"/>
  <c r="B146" i="8" a="1"/>
  <c r="B146" i="8" s="1"/>
  <c r="C146" i="8" a="1"/>
  <c r="C146" i="8" s="1"/>
  <c r="B147" i="8" a="1"/>
  <c r="B147" i="8" s="1"/>
  <c r="C147" i="8" a="1"/>
  <c r="C147" i="8" s="1"/>
  <c r="B148" i="8" a="1"/>
  <c r="B148" i="8" s="1"/>
  <c r="C148" i="8" a="1"/>
  <c r="C148" i="8" s="1"/>
  <c r="B149" i="8" a="1"/>
  <c r="B149" i="8" s="1"/>
  <c r="C149" i="8" a="1"/>
  <c r="C149" i="8" s="1"/>
  <c r="B150" i="8" a="1"/>
  <c r="B150" i="8" s="1"/>
  <c r="C150" i="8" a="1"/>
  <c r="C150" i="8" s="1"/>
  <c r="B151" i="8" a="1"/>
  <c r="B151" i="8" s="1"/>
  <c r="C151" i="8" a="1"/>
  <c r="C151" i="8" s="1"/>
  <c r="B152" i="8" a="1"/>
  <c r="B152" i="8" s="1"/>
  <c r="C152" i="8" a="1"/>
  <c r="C152" i="8" s="1"/>
  <c r="B153" i="8" a="1"/>
  <c r="B153" i="8" s="1"/>
  <c r="C153" i="8" a="1"/>
  <c r="C153" i="8" s="1"/>
  <c r="B154" i="8" a="1"/>
  <c r="B154" i="8" s="1"/>
  <c r="C154" i="8" a="1"/>
  <c r="C154" i="8" s="1"/>
  <c r="B155" i="8" a="1"/>
  <c r="B155" i="8" s="1"/>
  <c r="C155" i="8" a="1"/>
  <c r="C155" i="8" s="1"/>
  <c r="B156" i="8" a="1"/>
  <c r="B156" i="8" s="1"/>
  <c r="C156" i="8" a="1"/>
  <c r="C156" i="8" s="1"/>
  <c r="B157" i="8" a="1"/>
  <c r="B157" i="8" s="1"/>
  <c r="C157" i="8" a="1"/>
  <c r="C157" i="8" s="1"/>
  <c r="B158" i="8" a="1"/>
  <c r="B158" i="8" s="1"/>
  <c r="C158" i="8" a="1"/>
  <c r="C158" i="8" s="1"/>
  <c r="B159" i="8" a="1"/>
  <c r="B159" i="8" s="1"/>
  <c r="C159" i="8" a="1"/>
  <c r="C159" i="8" s="1"/>
  <c r="B160" i="8" a="1"/>
  <c r="B160" i="8" s="1"/>
  <c r="C160" i="8" a="1"/>
  <c r="C160" i="8" s="1"/>
  <c r="B161" i="8" a="1"/>
  <c r="B161" i="8" s="1"/>
  <c r="C161" i="8" a="1"/>
  <c r="C161" i="8" s="1"/>
  <c r="B162" i="8" a="1"/>
  <c r="B162" i="8" s="1"/>
  <c r="C162" i="8" a="1"/>
  <c r="C162" i="8" s="1"/>
  <c r="B163" i="8" a="1"/>
  <c r="B163" i="8" s="1"/>
  <c r="C163" i="8" a="1"/>
  <c r="C163" i="8" s="1"/>
  <c r="B164" i="8" a="1"/>
  <c r="B164" i="8" s="1"/>
  <c r="C164" i="8" a="1"/>
  <c r="C164" i="8" s="1"/>
  <c r="B165" i="8" a="1"/>
  <c r="B165" i="8" s="1"/>
  <c r="C165" i="8" a="1"/>
  <c r="C165" i="8" s="1"/>
  <c r="B166" i="8" a="1"/>
  <c r="B166" i="8" s="1"/>
  <c r="C166" i="8" a="1"/>
  <c r="C166" i="8" s="1"/>
  <c r="B167" i="8" a="1"/>
  <c r="B167" i="8" s="1"/>
  <c r="C167" i="8" a="1"/>
  <c r="C167" i="8" s="1"/>
  <c r="B168" i="8" a="1"/>
  <c r="B168" i="8" s="1"/>
  <c r="C168" i="8" a="1"/>
  <c r="C168" i="8" s="1"/>
  <c r="B169" i="8" a="1"/>
  <c r="B169" i="8" s="1"/>
  <c r="C169" i="8" a="1"/>
  <c r="C169" i="8" s="1"/>
  <c r="B170" i="8" a="1"/>
  <c r="B170" i="8" s="1"/>
  <c r="C170" i="8" a="1"/>
  <c r="C170" i="8" s="1"/>
  <c r="B171" i="8" a="1"/>
  <c r="B171" i="8" s="1"/>
  <c r="C171" i="8" a="1"/>
  <c r="C171" i="8" s="1"/>
  <c r="B172" i="8" a="1"/>
  <c r="B172" i="8" s="1"/>
  <c r="C172" i="8" a="1"/>
  <c r="C172" i="8" s="1"/>
  <c r="B173" i="8" a="1"/>
  <c r="B173" i="8" s="1"/>
  <c r="C173" i="8" a="1"/>
  <c r="C173" i="8" s="1"/>
  <c r="B174" i="8" a="1"/>
  <c r="B174" i="8" s="1"/>
  <c r="C174" i="8" a="1"/>
  <c r="C174" i="8" s="1"/>
  <c r="B175" i="8" a="1"/>
  <c r="B175" i="8" s="1"/>
  <c r="C175" i="8" a="1"/>
  <c r="C175" i="8" s="1"/>
  <c r="B176" i="8" a="1"/>
  <c r="B176" i="8" s="1"/>
  <c r="C176" i="8" a="1"/>
  <c r="C176" i="8" s="1"/>
  <c r="B177" i="8" a="1"/>
  <c r="B177" i="8" s="1"/>
  <c r="C177" i="8" a="1"/>
  <c r="C177" i="8" s="1"/>
  <c r="B178" i="8" a="1"/>
  <c r="B178" i="8" s="1"/>
  <c r="C178" i="8" a="1"/>
  <c r="C178" i="8" s="1"/>
  <c r="B179" i="8" a="1"/>
  <c r="B179" i="8" s="1"/>
  <c r="C179" i="8" a="1"/>
  <c r="C179" i="8" s="1"/>
  <c r="B180" i="8" a="1"/>
  <c r="B180" i="8" s="1"/>
  <c r="C180" i="8" a="1"/>
  <c r="C180" i="8" s="1"/>
  <c r="B181" i="8" a="1"/>
  <c r="B181" i="8" s="1"/>
  <c r="C181" i="8" a="1"/>
  <c r="C181" i="8" s="1"/>
  <c r="B182" i="8" a="1"/>
  <c r="B182" i="8" s="1"/>
  <c r="C182" i="8" a="1"/>
  <c r="C182" i="8" s="1"/>
  <c r="B183" i="8" a="1"/>
  <c r="B183" i="8" s="1"/>
  <c r="C183" i="8" a="1"/>
  <c r="C183" i="8" s="1"/>
  <c r="B184" i="8" a="1"/>
  <c r="B184" i="8" s="1"/>
  <c r="C184" i="8" a="1"/>
  <c r="C184" i="8" s="1"/>
  <c r="B185" i="8" a="1"/>
  <c r="B185" i="8" s="1"/>
  <c r="C185" i="8" a="1"/>
  <c r="C185" i="8" s="1"/>
  <c r="B186" i="8" a="1"/>
  <c r="B186" i="8" s="1"/>
  <c r="C186" i="8" a="1"/>
  <c r="C186" i="8" s="1"/>
  <c r="B187" i="8" a="1"/>
  <c r="B187" i="8" s="1"/>
  <c r="C187" i="8" a="1"/>
  <c r="C187" i="8" s="1"/>
  <c r="B188" i="8" a="1"/>
  <c r="B188" i="8" s="1"/>
  <c r="C188" i="8" a="1"/>
  <c r="C188" i="8" s="1"/>
  <c r="B189" i="8" a="1"/>
  <c r="B189" i="8" s="1"/>
  <c r="C189" i="8" a="1"/>
  <c r="C189" i="8" s="1"/>
  <c r="B190" i="8" a="1"/>
  <c r="B190" i="8" s="1"/>
  <c r="C190" i="8" a="1"/>
  <c r="C190" i="8" s="1"/>
  <c r="B191" i="8" a="1"/>
  <c r="B191" i="8" s="1"/>
  <c r="C191" i="8" a="1"/>
  <c r="C191" i="8" s="1"/>
  <c r="B192" i="8" a="1"/>
  <c r="B192" i="8" s="1"/>
  <c r="C192" i="8" a="1"/>
  <c r="C192" i="8" s="1"/>
  <c r="B193" i="8" a="1"/>
  <c r="B193" i="8" s="1"/>
  <c r="C193" i="8" a="1"/>
  <c r="C193" i="8" s="1"/>
  <c r="B194" i="8" a="1"/>
  <c r="B194" i="8" s="1"/>
  <c r="C194" i="8" a="1"/>
  <c r="C194" i="8" s="1"/>
  <c r="B195" i="8" a="1"/>
  <c r="B195" i="8" s="1"/>
  <c r="C195" i="8" a="1"/>
  <c r="C195" i="8" s="1"/>
  <c r="B196" i="8" a="1"/>
  <c r="B196" i="8" s="1"/>
  <c r="C196" i="8" a="1"/>
  <c r="C196" i="8" s="1"/>
  <c r="B197" i="8" a="1"/>
  <c r="B197" i="8" s="1"/>
  <c r="C197" i="8" a="1"/>
  <c r="C197" i="8" s="1"/>
  <c r="B198" i="8" a="1"/>
  <c r="B198" i="8" s="1"/>
  <c r="C198" i="8" a="1"/>
  <c r="C198" i="8" s="1"/>
  <c r="B199" i="8" a="1"/>
  <c r="B199" i="8" s="1"/>
  <c r="C199" i="8" a="1"/>
  <c r="C199" i="8" s="1"/>
  <c r="B200" i="8" a="1"/>
  <c r="B200" i="8" s="1"/>
  <c r="C200" i="8" a="1"/>
  <c r="C200" i="8" s="1"/>
  <c r="B201" i="8" a="1"/>
  <c r="B201" i="8" s="1"/>
  <c r="C201" i="8" a="1"/>
  <c r="C201" i="8" s="1"/>
  <c r="B202" i="8" a="1"/>
  <c r="B202" i="8" s="1"/>
  <c r="C202" i="8" a="1"/>
  <c r="C202" i="8" s="1"/>
  <c r="B203" i="8" a="1"/>
  <c r="B203" i="8" s="1"/>
  <c r="C203" i="8" a="1"/>
  <c r="C203" i="8" s="1"/>
  <c r="B204" i="8" a="1"/>
  <c r="B204" i="8" s="1"/>
  <c r="C204" i="8" a="1"/>
  <c r="C204" i="8" s="1"/>
  <c r="B205" i="8" a="1"/>
  <c r="B205" i="8" s="1"/>
  <c r="C205" i="8" a="1"/>
  <c r="C205" i="8" s="1"/>
  <c r="B206" i="8" a="1"/>
  <c r="B206" i="8" s="1"/>
  <c r="C206" i="8" a="1"/>
  <c r="C206" i="8" s="1"/>
  <c r="B207" i="8" a="1"/>
  <c r="B207" i="8" s="1"/>
  <c r="C207" i="8" a="1"/>
  <c r="C207" i="8" s="1"/>
  <c r="B208" i="8" a="1"/>
  <c r="B208" i="8" s="1"/>
  <c r="C208" i="8" a="1"/>
  <c r="C208" i="8" s="1"/>
  <c r="B209" i="8" a="1"/>
  <c r="B209" i="8" s="1"/>
  <c r="C209" i="8" a="1"/>
  <c r="C209" i="8" s="1"/>
  <c r="B210" i="8" a="1"/>
  <c r="B210" i="8" s="1"/>
  <c r="C210" i="8" a="1"/>
  <c r="C210" i="8" s="1"/>
  <c r="B211" i="8" a="1"/>
  <c r="B211" i="8" s="1"/>
  <c r="C211" i="8" a="1"/>
  <c r="C211" i="8" s="1"/>
  <c r="B212" i="8" a="1"/>
  <c r="B212" i="8" s="1"/>
  <c r="C212" i="8" a="1"/>
  <c r="C212" i="8" s="1"/>
  <c r="B213" i="8" a="1"/>
  <c r="B213" i="8" s="1"/>
  <c r="C213" i="8" a="1"/>
  <c r="C213" i="8" s="1"/>
  <c r="B214" i="8" a="1"/>
  <c r="B214" i="8" s="1"/>
  <c r="C214" i="8" a="1"/>
  <c r="C214" i="8" s="1"/>
  <c r="B215" i="8" a="1"/>
  <c r="B215" i="8" s="1"/>
  <c r="C215" i="8" a="1"/>
  <c r="C215" i="8" s="1"/>
  <c r="B216" i="8" a="1"/>
  <c r="B216" i="8" s="1"/>
  <c r="C216" i="8" a="1"/>
  <c r="C216" i="8" s="1"/>
  <c r="B217" i="8" a="1"/>
  <c r="B217" i="8" s="1"/>
  <c r="C217" i="8" a="1"/>
  <c r="C217" i="8" s="1"/>
  <c r="B218" i="8" a="1"/>
  <c r="B218" i="8" s="1"/>
  <c r="C218" i="8" a="1"/>
  <c r="C218" i="8" s="1"/>
  <c r="B219" i="8" a="1"/>
  <c r="B219" i="8" s="1"/>
  <c r="C219" i="8" a="1"/>
  <c r="C219" i="8" s="1"/>
  <c r="B220" i="8" a="1"/>
  <c r="B220" i="8" s="1"/>
  <c r="C220" i="8" a="1"/>
  <c r="C220" i="8" s="1"/>
  <c r="B221" i="8" a="1"/>
  <c r="B221" i="8" s="1"/>
  <c r="C221" i="8" a="1"/>
  <c r="C221" i="8" s="1"/>
  <c r="B222" i="8" a="1"/>
  <c r="B222" i="8" s="1"/>
  <c r="C222" i="8" a="1"/>
  <c r="C222" i="8" s="1"/>
  <c r="B223" i="8" a="1"/>
  <c r="B223" i="8" s="1"/>
  <c r="C223" i="8" a="1"/>
  <c r="C223" i="8" s="1"/>
  <c r="B224" i="8" a="1"/>
  <c r="B224" i="8" s="1"/>
  <c r="C224" i="8" a="1"/>
  <c r="C224" i="8" s="1"/>
  <c r="B225" i="8" a="1"/>
  <c r="B225" i="8" s="1"/>
  <c r="C225" i="8" a="1"/>
  <c r="C225" i="8" s="1"/>
  <c r="B226" i="8" a="1"/>
  <c r="B226" i="8" s="1"/>
  <c r="C226" i="8" a="1"/>
  <c r="C226" i="8" s="1"/>
  <c r="B227" i="8" a="1"/>
  <c r="B227" i="8" s="1"/>
  <c r="C227" i="8" a="1"/>
  <c r="C227" i="8" s="1"/>
  <c r="B228" i="8" a="1"/>
  <c r="B228" i="8" s="1"/>
  <c r="C228" i="8" a="1"/>
  <c r="C228" i="8" s="1"/>
  <c r="B229" i="8" a="1"/>
  <c r="B229" i="8" s="1"/>
  <c r="C229" i="8" a="1"/>
  <c r="C229" i="8" s="1"/>
  <c r="B230" i="8" a="1"/>
  <c r="B230" i="8" s="1"/>
  <c r="C230" i="8" a="1"/>
  <c r="C230" i="8" s="1"/>
  <c r="B231" i="8" a="1"/>
  <c r="B231" i="8" s="1"/>
  <c r="C231" i="8" a="1"/>
  <c r="C231" i="8" s="1"/>
  <c r="B232" i="8" a="1"/>
  <c r="B232" i="8" s="1"/>
  <c r="C232" i="8" a="1"/>
  <c r="C232" i="8" s="1"/>
  <c r="B233" i="8" a="1"/>
  <c r="B233" i="8" s="1"/>
  <c r="C233" i="8" a="1"/>
  <c r="C233" i="8" s="1"/>
  <c r="B234" i="8" a="1"/>
  <c r="B234" i="8" s="1"/>
  <c r="C234" i="8" a="1"/>
  <c r="C234" i="8" s="1"/>
  <c r="B235" i="8" a="1"/>
  <c r="B235" i="8" s="1"/>
  <c r="C235" i="8" a="1"/>
  <c r="C235" i="8" s="1"/>
  <c r="B236" i="8" a="1"/>
  <c r="B236" i="8" s="1"/>
  <c r="C236" i="8" a="1"/>
  <c r="C236" i="8" s="1"/>
  <c r="B237" i="8" a="1"/>
  <c r="B237" i="8" s="1"/>
  <c r="C237" i="8" a="1"/>
  <c r="C237" i="8" s="1"/>
  <c r="B238" i="8" a="1"/>
  <c r="B238" i="8" s="1"/>
  <c r="C238" i="8" a="1"/>
  <c r="C238" i="8" s="1"/>
  <c r="B239" i="8" a="1"/>
  <c r="B239" i="8" s="1"/>
  <c r="C239" i="8" a="1"/>
  <c r="C239" i="8" s="1"/>
  <c r="B240" i="8" a="1"/>
  <c r="B240" i="8" s="1"/>
  <c r="C240" i="8" a="1"/>
  <c r="C240" i="8" s="1"/>
  <c r="B241" i="8" a="1"/>
  <c r="B241" i="8" s="1"/>
  <c r="C241" i="8" a="1"/>
  <c r="C241" i="8" s="1"/>
  <c r="B242" i="8" a="1"/>
  <c r="B242" i="8" s="1"/>
  <c r="C242" i="8" a="1"/>
  <c r="C242" i="8" s="1"/>
  <c r="B243" i="8" a="1"/>
  <c r="B243" i="8" s="1"/>
  <c r="C243" i="8" a="1"/>
  <c r="C243" i="8" s="1"/>
  <c r="B244" i="8" a="1"/>
  <c r="B244" i="8" s="1"/>
  <c r="C244" i="8" a="1"/>
  <c r="C244" i="8" s="1"/>
  <c r="B245" i="8" a="1"/>
  <c r="B245" i="8" s="1"/>
  <c r="C245" i="8" a="1"/>
  <c r="C245" i="8" s="1"/>
  <c r="B246" i="8" a="1"/>
  <c r="B246" i="8" s="1"/>
  <c r="C246" i="8" a="1"/>
  <c r="C246" i="8" s="1"/>
  <c r="B247" i="8" a="1"/>
  <c r="B247" i="8" s="1"/>
  <c r="C247" i="8" a="1"/>
  <c r="C247" i="8" s="1"/>
  <c r="B248" i="8" a="1"/>
  <c r="B248" i="8" s="1"/>
  <c r="C248" i="8" a="1"/>
  <c r="C248" i="8" s="1"/>
  <c r="B249" i="8" a="1"/>
  <c r="B249" i="8" s="1"/>
  <c r="C249" i="8" a="1"/>
  <c r="C249" i="8" s="1"/>
  <c r="B250" i="8" a="1"/>
  <c r="B250" i="8" s="1"/>
  <c r="C250" i="8" a="1"/>
  <c r="C250" i="8" s="1"/>
  <c r="B251" i="8" a="1"/>
  <c r="B251" i="8" s="1"/>
  <c r="C251" i="8" a="1"/>
  <c r="C251" i="8" s="1"/>
  <c r="B252" i="8" a="1"/>
  <c r="B252" i="8" s="1"/>
  <c r="C252" i="8" a="1"/>
  <c r="C252" i="8" s="1"/>
  <c r="B253" i="8" a="1"/>
  <c r="B253" i="8" s="1"/>
  <c r="C253" i="8" a="1"/>
  <c r="C253" i="8" s="1"/>
  <c r="B254" i="8" a="1"/>
  <c r="B254" i="8" s="1"/>
  <c r="C254" i="8" a="1"/>
  <c r="C254" i="8" s="1"/>
  <c r="B255" i="8" a="1"/>
  <c r="B255" i="8" s="1"/>
  <c r="C255" i="8" a="1"/>
  <c r="C255" i="8" s="1"/>
  <c r="B256" i="8" a="1"/>
  <c r="B256" i="8" s="1"/>
  <c r="C256" i="8" a="1"/>
  <c r="C256" i="8" s="1"/>
  <c r="B257" i="8" a="1"/>
  <c r="B257" i="8" s="1"/>
  <c r="C257" i="8" a="1"/>
  <c r="C257" i="8" s="1"/>
  <c r="B258" i="8" a="1"/>
  <c r="B258" i="8" s="1"/>
  <c r="C258" i="8" a="1"/>
  <c r="C258" i="8" s="1"/>
  <c r="B259" i="8" a="1"/>
  <c r="B259" i="8" s="1"/>
  <c r="C259" i="8" a="1"/>
  <c r="C259" i="8" s="1"/>
  <c r="B260" i="8" a="1"/>
  <c r="B260" i="8" s="1"/>
  <c r="C260" i="8" a="1"/>
  <c r="C260" i="8" s="1"/>
  <c r="B261" i="8" a="1"/>
  <c r="B261" i="8" s="1"/>
  <c r="C261" i="8" a="1"/>
  <c r="C261" i="8" s="1"/>
  <c r="B262" i="8" a="1"/>
  <c r="B262" i="8" s="1"/>
  <c r="C262" i="8" a="1"/>
  <c r="C262" i="8" s="1"/>
  <c r="B263" i="8" a="1"/>
  <c r="B263" i="8" s="1"/>
  <c r="C263" i="8" a="1"/>
  <c r="C263" i="8" s="1"/>
  <c r="B264" i="8" a="1"/>
  <c r="B264" i="8" s="1"/>
  <c r="C264" i="8" a="1"/>
  <c r="C264" i="8" s="1"/>
  <c r="B265" i="8" a="1"/>
  <c r="B265" i="8" s="1"/>
  <c r="C265" i="8" a="1"/>
  <c r="C265" i="8" s="1"/>
  <c r="B266" i="8" a="1"/>
  <c r="B266" i="8" s="1"/>
  <c r="C266" i="8" a="1"/>
  <c r="C266" i="8" s="1"/>
  <c r="B267" i="8" a="1"/>
  <c r="B267" i="8" s="1"/>
  <c r="C267" i="8" a="1"/>
  <c r="C267" i="8" s="1"/>
  <c r="B268" i="8" a="1"/>
  <c r="B268" i="8" s="1"/>
  <c r="C268" i="8" a="1"/>
  <c r="C268" i="8" s="1"/>
  <c r="B269" i="8" a="1"/>
  <c r="B269" i="8" s="1"/>
  <c r="C269" i="8" a="1"/>
  <c r="C269" i="8" s="1"/>
  <c r="B270" i="8" a="1"/>
  <c r="B270" i="8" s="1"/>
  <c r="C270" i="8" a="1"/>
  <c r="C270" i="8" s="1"/>
  <c r="B271" i="8" a="1"/>
  <c r="B271" i="8" s="1"/>
  <c r="C271" i="8" a="1"/>
  <c r="C271" i="8" s="1"/>
  <c r="B272" i="8" a="1"/>
  <c r="B272" i="8" s="1"/>
  <c r="C272" i="8" a="1"/>
  <c r="C272" i="8" s="1"/>
  <c r="B273" i="8" a="1"/>
  <c r="B273" i="8" s="1"/>
  <c r="C273" i="8" a="1"/>
  <c r="C273" i="8" s="1"/>
  <c r="B274" i="8" a="1"/>
  <c r="B274" i="8" s="1"/>
  <c r="C274" i="8" a="1"/>
  <c r="C274" i="8" s="1"/>
  <c r="B275" i="8" a="1"/>
  <c r="B275" i="8" s="1"/>
  <c r="C275" i="8" a="1"/>
  <c r="C275" i="8" s="1"/>
  <c r="B276" i="8" a="1"/>
  <c r="B276" i="8" s="1"/>
  <c r="C276" i="8" a="1"/>
  <c r="C276" i="8" s="1"/>
  <c r="B277" i="8" a="1"/>
  <c r="B277" i="8" s="1"/>
  <c r="C277" i="8" a="1"/>
  <c r="C277" i="8" s="1"/>
  <c r="B278" i="8" a="1"/>
  <c r="B278" i="8" s="1"/>
  <c r="C278" i="8" a="1"/>
  <c r="C278" i="8" s="1"/>
  <c r="B279" i="8" a="1"/>
  <c r="B279" i="8" s="1"/>
  <c r="C279" i="8" a="1"/>
  <c r="C279" i="8" s="1"/>
  <c r="B280" i="8" a="1"/>
  <c r="B280" i="8" s="1"/>
  <c r="C280" i="8" a="1"/>
  <c r="C280" i="8" s="1"/>
  <c r="B281" i="8" a="1"/>
  <c r="B281" i="8" s="1"/>
  <c r="C281" i="8" a="1"/>
  <c r="C281" i="8" s="1"/>
  <c r="B282" i="8" a="1"/>
  <c r="B282" i="8" s="1"/>
  <c r="C282" i="8" a="1"/>
  <c r="C282" i="8" s="1"/>
  <c r="B283" i="8" a="1"/>
  <c r="B283" i="8" s="1"/>
  <c r="C283" i="8" a="1"/>
  <c r="C283" i="8" s="1"/>
  <c r="B284" i="8" a="1"/>
  <c r="B284" i="8" s="1"/>
  <c r="C284" i="8" a="1"/>
  <c r="C284" i="8" s="1"/>
  <c r="B285" i="8" a="1"/>
  <c r="B285" i="8" s="1"/>
  <c r="C285" i="8" a="1"/>
  <c r="C285" i="8" s="1"/>
  <c r="B286" i="8" a="1"/>
  <c r="B286" i="8" s="1"/>
  <c r="C286" i="8" a="1"/>
  <c r="C286" i="8" s="1"/>
  <c r="B287" i="8" a="1"/>
  <c r="B287" i="8" s="1"/>
  <c r="C287" i="8" a="1"/>
  <c r="C287" i="8" s="1"/>
  <c r="B288" i="8" a="1"/>
  <c r="B288" i="8" s="1"/>
  <c r="C288" i="8" a="1"/>
  <c r="C288" i="8" s="1"/>
  <c r="B289" i="8" a="1"/>
  <c r="B289" i="8" s="1"/>
  <c r="C289" i="8" a="1"/>
  <c r="C289" i="8" s="1"/>
  <c r="B290" i="8" a="1"/>
  <c r="B290" i="8" s="1"/>
  <c r="C290" i="8" a="1"/>
  <c r="C290" i="8" s="1"/>
  <c r="B291" i="8" a="1"/>
  <c r="B291" i="8" s="1"/>
  <c r="C291" i="8" a="1"/>
  <c r="C291" i="8" s="1"/>
  <c r="B292" i="8" a="1"/>
  <c r="B292" i="8" s="1"/>
  <c r="C292" i="8" a="1"/>
  <c r="C292" i="8" s="1"/>
  <c r="B293" i="8" a="1"/>
  <c r="B293" i="8" s="1"/>
  <c r="C293" i="8" a="1"/>
  <c r="C293" i="8" s="1"/>
  <c r="B294" i="8" a="1"/>
  <c r="B294" i="8" s="1"/>
  <c r="C294" i="8" a="1"/>
  <c r="C294" i="8" s="1"/>
  <c r="B295" i="8" a="1"/>
  <c r="B295" i="8" s="1"/>
  <c r="C295" i="8" a="1"/>
  <c r="C295" i="8" s="1"/>
  <c r="B296" i="8" a="1"/>
  <c r="B296" i="8" s="1"/>
  <c r="C296" i="8" a="1"/>
  <c r="C296" i="8" s="1"/>
  <c r="B297" i="8" a="1"/>
  <c r="B297" i="8" s="1"/>
  <c r="C297" i="8" a="1"/>
  <c r="C297" i="8" s="1"/>
  <c r="B298" i="8" a="1"/>
  <c r="B298" i="8" s="1"/>
  <c r="C298" i="8" a="1"/>
  <c r="C298" i="8" s="1"/>
  <c r="B299" i="8" a="1"/>
  <c r="B299" i="8" s="1"/>
  <c r="C299" i="8" a="1"/>
  <c r="C299" i="8" s="1"/>
  <c r="B300" i="8" a="1"/>
  <c r="B300" i="8" s="1"/>
  <c r="C300" i="8" a="1"/>
  <c r="C300" i="8" s="1"/>
  <c r="C10" i="8" a="1"/>
  <c r="C10" i="8" s="1"/>
  <c r="B10" i="8" a="1"/>
  <c r="B10" i="8" s="1"/>
  <c r="D250" i="8" a="1"/>
  <c r="D250" i="8" s="1"/>
  <c r="D251" i="8" a="1"/>
  <c r="D251" i="8" s="1"/>
  <c r="D252" i="8" a="1"/>
  <c r="D252" i="8" s="1"/>
  <c r="D253" i="8" a="1"/>
  <c r="D253" i="8" s="1"/>
  <c r="D254" i="8" a="1"/>
  <c r="D254" i="8" s="1"/>
  <c r="D255" i="8" a="1"/>
  <c r="D255" i="8" s="1"/>
  <c r="D256" i="8" a="1"/>
  <c r="D256" i="8" s="1"/>
  <c r="D257" i="8" a="1"/>
  <c r="D257" i="8" s="1"/>
  <c r="D258" i="8" a="1"/>
  <c r="D258" i="8" s="1"/>
  <c r="D259" i="8" a="1"/>
  <c r="D259" i="8" s="1"/>
  <c r="D260" i="8" a="1"/>
  <c r="D260" i="8" s="1"/>
  <c r="D261" i="8" a="1"/>
  <c r="D261" i="8" s="1"/>
  <c r="D262" i="8" a="1"/>
  <c r="D262" i="8" s="1"/>
  <c r="D263" i="8" a="1"/>
  <c r="D263" i="8" s="1"/>
  <c r="D264" i="8" a="1"/>
  <c r="D264" i="8" s="1"/>
  <c r="D265" i="8" a="1"/>
  <c r="D265" i="8" s="1"/>
  <c r="D266" i="8" a="1"/>
  <c r="D266" i="8" s="1"/>
  <c r="D267" i="8" a="1"/>
  <c r="D267" i="8" s="1"/>
  <c r="D268" i="8" a="1"/>
  <c r="D268" i="8" s="1"/>
  <c r="D269" i="8" a="1"/>
  <c r="D269" i="8" s="1"/>
  <c r="D270" i="8" a="1"/>
  <c r="D270" i="8" s="1"/>
  <c r="D271" i="8" a="1"/>
  <c r="D271" i="8" s="1"/>
  <c r="D272" i="8" a="1"/>
  <c r="D272" i="8" s="1"/>
  <c r="D273" i="8" a="1"/>
  <c r="D273" i="8" s="1"/>
  <c r="D274" i="8" a="1"/>
  <c r="D274" i="8" s="1"/>
  <c r="D275" i="8" a="1"/>
  <c r="D275" i="8" s="1"/>
  <c r="D276" i="8" a="1"/>
  <c r="D276" i="8" s="1"/>
  <c r="D277" i="8" a="1"/>
  <c r="D277" i="8" s="1"/>
  <c r="D278" i="8" a="1"/>
  <c r="D278" i="8" s="1"/>
  <c r="D279" i="8" a="1"/>
  <c r="D279" i="8" s="1"/>
  <c r="D280" i="8" a="1"/>
  <c r="D280" i="8" s="1"/>
  <c r="D281" i="8" a="1"/>
  <c r="D281" i="8" s="1"/>
  <c r="D282" i="8" a="1"/>
  <c r="D282" i="8" s="1"/>
  <c r="D283" i="8" a="1"/>
  <c r="D283" i="8" s="1"/>
  <c r="D284" i="8" a="1"/>
  <c r="D284" i="8" s="1"/>
  <c r="D285" i="8" a="1"/>
  <c r="D285" i="8" s="1"/>
  <c r="D286" i="8" a="1"/>
  <c r="D286" i="8" s="1"/>
  <c r="D287" i="8" a="1"/>
  <c r="D287" i="8" s="1"/>
  <c r="D288" i="8" a="1"/>
  <c r="D288" i="8" s="1"/>
  <c r="D289" i="8" a="1"/>
  <c r="D289" i="8" s="1"/>
  <c r="D290" i="8" a="1"/>
  <c r="D290" i="8" s="1"/>
  <c r="D291" i="8" a="1"/>
  <c r="D291" i="8" s="1"/>
  <c r="D292" i="8" a="1"/>
  <c r="D292" i="8" s="1"/>
  <c r="D293" i="8" a="1"/>
  <c r="D293" i="8" s="1"/>
  <c r="D294" i="8" a="1"/>
  <c r="D294" i="8" s="1"/>
  <c r="D295" i="8" a="1"/>
  <c r="D295" i="8" s="1"/>
  <c r="D296" i="8" a="1"/>
  <c r="D296" i="8" s="1"/>
  <c r="D297" i="8" a="1"/>
  <c r="D297" i="8" s="1"/>
  <c r="D298" i="8" a="1"/>
  <c r="D298" i="8" s="1"/>
  <c r="D299" i="8" a="1"/>
  <c r="D299" i="8" s="1"/>
  <c r="D300" i="8" a="1"/>
  <c r="D300" i="8" s="1"/>
  <c r="D11" i="8" a="1"/>
  <c r="D11" i="8" s="1"/>
  <c r="D12" i="8" a="1"/>
  <c r="D12" i="8" s="1"/>
  <c r="D14" i="8" a="1"/>
  <c r="D14" i="8" s="1"/>
  <c r="D15" i="8" a="1"/>
  <c r="D15" i="8" s="1"/>
  <c r="D16" i="8" a="1"/>
  <c r="D16" i="8" s="1"/>
  <c r="D17" i="8" a="1"/>
  <c r="D17" i="8" s="1"/>
  <c r="D18" i="8" a="1"/>
  <c r="D18" i="8" s="1"/>
  <c r="D19" i="8" a="1"/>
  <c r="D19" i="8" s="1"/>
  <c r="D20" i="8" a="1"/>
  <c r="D20" i="8" s="1"/>
  <c r="D22" i="8" a="1"/>
  <c r="D22" i="8" s="1"/>
  <c r="D23" i="8" a="1"/>
  <c r="D23" i="8" s="1"/>
  <c r="D24" i="8" a="1"/>
  <c r="D24" i="8" s="1"/>
  <c r="D25" i="8" a="1"/>
  <c r="D25" i="8" s="1"/>
  <c r="D26" i="8" a="1"/>
  <c r="D26" i="8" s="1"/>
  <c r="D29" i="8" a="1"/>
  <c r="D29" i="8" s="1"/>
  <c r="D30" i="8" a="1"/>
  <c r="D30" i="8" s="1"/>
  <c r="D31" i="8" a="1"/>
  <c r="D31" i="8" s="1"/>
  <c r="D32" i="8" a="1"/>
  <c r="D32" i="8" s="1"/>
  <c r="D33" i="8" a="1"/>
  <c r="D33" i="8" s="1"/>
  <c r="D34" i="8" a="1"/>
  <c r="D34" i="8" s="1"/>
  <c r="D35" i="8" a="1"/>
  <c r="D35" i="8" s="1"/>
  <c r="D36" i="8" a="1"/>
  <c r="D36" i="8" s="1"/>
  <c r="D37" i="8" a="1"/>
  <c r="D37" i="8" s="1"/>
  <c r="D38" i="8" a="1"/>
  <c r="D38" i="8" s="1"/>
  <c r="D39" i="8" a="1"/>
  <c r="D39" i="8" s="1"/>
  <c r="D40" i="8" a="1"/>
  <c r="D40" i="8" s="1"/>
  <c r="D41" i="8" a="1"/>
  <c r="D41" i="8" s="1"/>
  <c r="D42" i="8" a="1"/>
  <c r="D42" i="8" s="1"/>
  <c r="D43" i="8" a="1"/>
  <c r="D43" i="8" s="1"/>
  <c r="D44" i="8" a="1"/>
  <c r="D44" i="8" s="1"/>
  <c r="D45" i="8" a="1"/>
  <c r="D45" i="8" s="1"/>
  <c r="D46" i="8" a="1"/>
  <c r="D46" i="8" s="1"/>
  <c r="D47" i="8" a="1"/>
  <c r="D47" i="8" s="1"/>
  <c r="D48" i="8" a="1"/>
  <c r="D48" i="8" s="1"/>
  <c r="D49" i="8" a="1"/>
  <c r="D49" i="8" s="1"/>
  <c r="D50" i="8" a="1"/>
  <c r="D50" i="8" s="1"/>
  <c r="D51" i="8" a="1"/>
  <c r="D51" i="8" s="1"/>
  <c r="D52" i="8" a="1"/>
  <c r="D52" i="8" s="1"/>
  <c r="D53" i="8" a="1"/>
  <c r="D53" i="8" s="1"/>
  <c r="D54" i="8" a="1"/>
  <c r="D54" i="8" s="1"/>
  <c r="D55" i="8" a="1"/>
  <c r="D55" i="8" s="1"/>
  <c r="D56" i="8" a="1"/>
  <c r="D56" i="8" s="1"/>
  <c r="D57" i="8" a="1"/>
  <c r="D57" i="8" s="1"/>
  <c r="D58" i="8" a="1"/>
  <c r="D58" i="8" s="1"/>
  <c r="D59" i="8" a="1"/>
  <c r="D59" i="8" s="1"/>
  <c r="D60" i="8" a="1"/>
  <c r="D60" i="8" s="1"/>
  <c r="D61" i="8" a="1"/>
  <c r="D61" i="8" s="1"/>
  <c r="D62" i="8" a="1"/>
  <c r="D62" i="8" s="1"/>
  <c r="D63" i="8" a="1"/>
  <c r="D63" i="8" s="1"/>
  <c r="D64" i="8" a="1"/>
  <c r="D64" i="8" s="1"/>
  <c r="D65" i="8" a="1"/>
  <c r="D65" i="8" s="1"/>
  <c r="D66" i="8" a="1"/>
  <c r="D66" i="8" s="1"/>
  <c r="D67" i="8" a="1"/>
  <c r="D67" i="8" s="1"/>
  <c r="D68" i="8" a="1"/>
  <c r="D68" i="8" s="1"/>
  <c r="D69" i="8" a="1"/>
  <c r="D69" i="8" s="1"/>
  <c r="D70" i="8" a="1"/>
  <c r="D70" i="8" s="1"/>
  <c r="D71" i="8" a="1"/>
  <c r="D71" i="8" s="1"/>
  <c r="D72" i="8" a="1"/>
  <c r="D72" i="8" s="1"/>
  <c r="D73" i="8" a="1"/>
  <c r="D73" i="8" s="1"/>
  <c r="D74" i="8" a="1"/>
  <c r="D74" i="8" s="1"/>
  <c r="D75" i="8" a="1"/>
  <c r="D75" i="8" s="1"/>
  <c r="D76" i="8" a="1"/>
  <c r="D76" i="8" s="1"/>
  <c r="D77" i="8" a="1"/>
  <c r="D77" i="8" s="1"/>
  <c r="D78" i="8" a="1"/>
  <c r="D78" i="8" s="1"/>
  <c r="D79" i="8" a="1"/>
  <c r="D79" i="8" s="1"/>
  <c r="D80" i="8" a="1"/>
  <c r="D80" i="8" s="1"/>
  <c r="D81" i="8" a="1"/>
  <c r="D81" i="8" s="1"/>
  <c r="D82" i="8" a="1"/>
  <c r="D82" i="8" s="1"/>
  <c r="D83" i="8" a="1"/>
  <c r="D83" i="8" s="1"/>
  <c r="D84" i="8" a="1"/>
  <c r="D84" i="8" s="1"/>
  <c r="D85" i="8" a="1"/>
  <c r="D85" i="8" s="1"/>
  <c r="D86" i="8" a="1"/>
  <c r="D86" i="8" s="1"/>
  <c r="D87" i="8" a="1"/>
  <c r="D87" i="8" s="1"/>
  <c r="D88" i="8" a="1"/>
  <c r="D88" i="8" s="1"/>
  <c r="D89" i="8" a="1"/>
  <c r="D89" i="8" s="1"/>
  <c r="D90" i="8" a="1"/>
  <c r="D90" i="8" s="1"/>
  <c r="D91" i="8" a="1"/>
  <c r="D91" i="8" s="1"/>
  <c r="D92" i="8" a="1"/>
  <c r="D92" i="8" s="1"/>
  <c r="D93" i="8" a="1"/>
  <c r="D93" i="8" s="1"/>
  <c r="D94" i="8" a="1"/>
  <c r="D94" i="8" s="1"/>
  <c r="D95" i="8" a="1"/>
  <c r="D95" i="8" s="1"/>
  <c r="D96" i="8" a="1"/>
  <c r="D96" i="8" s="1"/>
  <c r="D97" i="8" a="1"/>
  <c r="D97" i="8" s="1"/>
  <c r="D98" i="8" a="1"/>
  <c r="D98" i="8" s="1"/>
  <c r="D99" i="8" a="1"/>
  <c r="D99" i="8" s="1"/>
  <c r="D100" i="8" a="1"/>
  <c r="D100" i="8" s="1"/>
  <c r="D101" i="8" a="1"/>
  <c r="D101" i="8" s="1"/>
  <c r="D102" i="8" a="1"/>
  <c r="D102" i="8" s="1"/>
  <c r="D103" i="8" a="1"/>
  <c r="D103" i="8" s="1"/>
  <c r="D104" i="8" a="1"/>
  <c r="D104" i="8" s="1"/>
  <c r="D105" i="8" a="1"/>
  <c r="D105" i="8" s="1"/>
  <c r="D106" i="8" a="1"/>
  <c r="D106" i="8" s="1"/>
  <c r="D107" i="8" a="1"/>
  <c r="D107" i="8" s="1"/>
  <c r="D108" i="8" a="1"/>
  <c r="D108" i="8" s="1"/>
  <c r="D109" i="8" a="1"/>
  <c r="D109" i="8" s="1"/>
  <c r="D110" i="8" a="1"/>
  <c r="D110" i="8" s="1"/>
  <c r="D111" i="8" a="1"/>
  <c r="D111" i="8" s="1"/>
  <c r="D112" i="8" a="1"/>
  <c r="D112" i="8" s="1"/>
  <c r="D113" i="8" a="1"/>
  <c r="D113" i="8" s="1"/>
  <c r="D114" i="8" a="1"/>
  <c r="D114" i="8" s="1"/>
  <c r="D115" i="8" a="1"/>
  <c r="D115" i="8" s="1"/>
  <c r="D116" i="8" a="1"/>
  <c r="D116" i="8" s="1"/>
  <c r="D117" i="8" a="1"/>
  <c r="D117" i="8" s="1"/>
  <c r="D118" i="8" a="1"/>
  <c r="D118" i="8" s="1"/>
  <c r="D119" i="8" a="1"/>
  <c r="D119" i="8" s="1"/>
  <c r="D120" i="8" a="1"/>
  <c r="D120" i="8" s="1"/>
  <c r="D121" i="8" a="1"/>
  <c r="D121" i="8" s="1"/>
  <c r="D122" i="8" a="1"/>
  <c r="D122" i="8" s="1"/>
  <c r="D123" i="8" a="1"/>
  <c r="D123" i="8" s="1"/>
  <c r="D124" i="8" a="1"/>
  <c r="D124" i="8" s="1"/>
  <c r="D125" i="8" a="1"/>
  <c r="D125" i="8" s="1"/>
  <c r="D126" i="8" a="1"/>
  <c r="D126" i="8" s="1"/>
  <c r="D127" i="8" a="1"/>
  <c r="D127" i="8" s="1"/>
  <c r="D128" i="8" a="1"/>
  <c r="D128" i="8" s="1"/>
  <c r="D129" i="8" a="1"/>
  <c r="D129" i="8" s="1"/>
  <c r="D130" i="8" a="1"/>
  <c r="D130" i="8" s="1"/>
  <c r="D131" i="8" a="1"/>
  <c r="D131" i="8" s="1"/>
  <c r="D132" i="8" a="1"/>
  <c r="D132" i="8" s="1"/>
  <c r="D133" i="8" a="1"/>
  <c r="D133" i="8" s="1"/>
  <c r="D134" i="8" a="1"/>
  <c r="D134" i="8" s="1"/>
  <c r="D135" i="8" a="1"/>
  <c r="D135" i="8" s="1"/>
  <c r="D136" i="8" a="1"/>
  <c r="D136" i="8" s="1"/>
  <c r="D137" i="8" a="1"/>
  <c r="D137" i="8" s="1"/>
  <c r="D138" i="8" a="1"/>
  <c r="D138" i="8" s="1"/>
  <c r="D139" i="8" a="1"/>
  <c r="D139" i="8" s="1"/>
  <c r="D140" i="8" a="1"/>
  <c r="D140" i="8" s="1"/>
  <c r="D141" i="8" a="1"/>
  <c r="D141" i="8" s="1"/>
  <c r="D142" i="8" a="1"/>
  <c r="D142" i="8" s="1"/>
  <c r="D143" i="8" a="1"/>
  <c r="D143" i="8" s="1"/>
  <c r="D144" i="8" a="1"/>
  <c r="D144" i="8" s="1"/>
  <c r="D145" i="8" a="1"/>
  <c r="D145" i="8" s="1"/>
  <c r="D146" i="8" a="1"/>
  <c r="D146" i="8" s="1"/>
  <c r="D147" i="8" a="1"/>
  <c r="D147" i="8" s="1"/>
  <c r="D148" i="8" a="1"/>
  <c r="D148" i="8" s="1"/>
  <c r="D149" i="8" a="1"/>
  <c r="D149" i="8" s="1"/>
  <c r="D150" i="8" a="1"/>
  <c r="D150" i="8" s="1"/>
  <c r="D151" i="8" a="1"/>
  <c r="D151" i="8" s="1"/>
  <c r="D152" i="8" a="1"/>
  <c r="D152" i="8" s="1"/>
  <c r="D153" i="8" a="1"/>
  <c r="D153" i="8" s="1"/>
  <c r="D154" i="8" a="1"/>
  <c r="D154" i="8" s="1"/>
  <c r="D155" i="8" a="1"/>
  <c r="D155" i="8" s="1"/>
  <c r="D156" i="8" a="1"/>
  <c r="D156" i="8" s="1"/>
  <c r="D157" i="8" a="1"/>
  <c r="D157" i="8" s="1"/>
  <c r="D158" i="8" a="1"/>
  <c r="D158" i="8" s="1"/>
  <c r="D159" i="8" a="1"/>
  <c r="D159" i="8" s="1"/>
  <c r="D160" i="8" a="1"/>
  <c r="D160" i="8" s="1"/>
  <c r="D161" i="8" a="1"/>
  <c r="D161" i="8" s="1"/>
  <c r="D162" i="8" a="1"/>
  <c r="D162" i="8" s="1"/>
  <c r="D163" i="8" a="1"/>
  <c r="D163" i="8" s="1"/>
  <c r="D164" i="8" a="1"/>
  <c r="D164" i="8" s="1"/>
  <c r="D165" i="8" a="1"/>
  <c r="D165" i="8" s="1"/>
  <c r="D166" i="8" a="1"/>
  <c r="D166" i="8" s="1"/>
  <c r="D167" i="8" a="1"/>
  <c r="D167" i="8" s="1"/>
  <c r="D168" i="8" a="1"/>
  <c r="D168" i="8" s="1"/>
  <c r="D169" i="8" a="1"/>
  <c r="D169" i="8" s="1"/>
  <c r="D170" i="8" a="1"/>
  <c r="D170" i="8" s="1"/>
  <c r="D171" i="8" a="1"/>
  <c r="D171" i="8" s="1"/>
  <c r="D172" i="8" a="1"/>
  <c r="D172" i="8" s="1"/>
  <c r="D173" i="8" a="1"/>
  <c r="D173" i="8" s="1"/>
  <c r="D174" i="8" a="1"/>
  <c r="D174" i="8" s="1"/>
  <c r="D175" i="8" a="1"/>
  <c r="D175" i="8" s="1"/>
  <c r="D176" i="8" a="1"/>
  <c r="D176" i="8" s="1"/>
  <c r="D177" i="8" a="1"/>
  <c r="D177" i="8" s="1"/>
  <c r="D178" i="8" a="1"/>
  <c r="D178" i="8" s="1"/>
  <c r="D179" i="8" a="1"/>
  <c r="D179" i="8" s="1"/>
  <c r="D180" i="8" a="1"/>
  <c r="D180" i="8" s="1"/>
  <c r="D181" i="8" a="1"/>
  <c r="D181" i="8" s="1"/>
  <c r="D182" i="8" a="1"/>
  <c r="D182" i="8" s="1"/>
  <c r="D183" i="8" a="1"/>
  <c r="D183" i="8" s="1"/>
  <c r="D184" i="8" a="1"/>
  <c r="D184" i="8" s="1"/>
  <c r="D185" i="8" a="1"/>
  <c r="D185" i="8" s="1"/>
  <c r="D186" i="8" a="1"/>
  <c r="D186" i="8" s="1"/>
  <c r="D187" i="8" a="1"/>
  <c r="D187" i="8" s="1"/>
  <c r="D188" i="8" a="1"/>
  <c r="D188" i="8" s="1"/>
  <c r="D189" i="8" a="1"/>
  <c r="D189" i="8" s="1"/>
  <c r="D190" i="8" a="1"/>
  <c r="D190" i="8" s="1"/>
  <c r="D191" i="8" a="1"/>
  <c r="D191" i="8" s="1"/>
  <c r="D192" i="8" a="1"/>
  <c r="D192" i="8" s="1"/>
  <c r="D193" i="8" a="1"/>
  <c r="D193" i="8" s="1"/>
  <c r="D194" i="8" a="1"/>
  <c r="D194" i="8" s="1"/>
  <c r="D195" i="8" a="1"/>
  <c r="D195" i="8" s="1"/>
  <c r="D196" i="8" a="1"/>
  <c r="D196" i="8" s="1"/>
  <c r="D197" i="8" a="1"/>
  <c r="D197" i="8" s="1"/>
  <c r="D198" i="8" a="1"/>
  <c r="D198" i="8" s="1"/>
  <c r="D199" i="8" a="1"/>
  <c r="D199" i="8" s="1"/>
  <c r="D200" i="8" a="1"/>
  <c r="D200" i="8" s="1"/>
  <c r="D201" i="8" a="1"/>
  <c r="D201" i="8" s="1"/>
  <c r="D202" i="8" a="1"/>
  <c r="D202" i="8" s="1"/>
  <c r="D203" i="8" a="1"/>
  <c r="D203" i="8" s="1"/>
  <c r="D204" i="8" a="1"/>
  <c r="D204" i="8" s="1"/>
  <c r="D205" i="8" a="1"/>
  <c r="D205" i="8" s="1"/>
  <c r="D206" i="8" a="1"/>
  <c r="D206" i="8" s="1"/>
  <c r="D207" i="8" a="1"/>
  <c r="D207" i="8" s="1"/>
  <c r="D208" i="8" a="1"/>
  <c r="D208" i="8" s="1"/>
  <c r="D209" i="8" a="1"/>
  <c r="D209" i="8" s="1"/>
  <c r="D210" i="8" a="1"/>
  <c r="D210" i="8" s="1"/>
  <c r="D211" i="8" a="1"/>
  <c r="D211" i="8" s="1"/>
  <c r="D212" i="8" a="1"/>
  <c r="D212" i="8" s="1"/>
  <c r="D213" i="8" a="1"/>
  <c r="D213" i="8" s="1"/>
  <c r="D214" i="8" a="1"/>
  <c r="D214" i="8" s="1"/>
  <c r="D215" i="8" a="1"/>
  <c r="D215" i="8" s="1"/>
  <c r="D216" i="8" a="1"/>
  <c r="D216" i="8" s="1"/>
  <c r="D217" i="8" a="1"/>
  <c r="D217" i="8" s="1"/>
  <c r="D218" i="8" a="1"/>
  <c r="D218" i="8" s="1"/>
  <c r="D219" i="8" a="1"/>
  <c r="D219" i="8" s="1"/>
  <c r="D220" i="8" a="1"/>
  <c r="D220" i="8" s="1"/>
  <c r="D221" i="8" a="1"/>
  <c r="D221" i="8" s="1"/>
  <c r="D222" i="8" a="1"/>
  <c r="D222" i="8" s="1"/>
  <c r="D223" i="8" a="1"/>
  <c r="D223" i="8" s="1"/>
  <c r="D224" i="8" a="1"/>
  <c r="D224" i="8" s="1"/>
  <c r="D225" i="8" a="1"/>
  <c r="D225" i="8" s="1"/>
  <c r="D226" i="8" a="1"/>
  <c r="D226" i="8" s="1"/>
  <c r="D227" i="8" a="1"/>
  <c r="D227" i="8" s="1"/>
  <c r="D228" i="8" a="1"/>
  <c r="D228" i="8" s="1"/>
  <c r="D229" i="8" a="1"/>
  <c r="D229" i="8" s="1"/>
  <c r="D230" i="8" a="1"/>
  <c r="D230" i="8" s="1"/>
  <c r="D231" i="8" a="1"/>
  <c r="D231" i="8" s="1"/>
  <c r="D232" i="8" a="1"/>
  <c r="D232" i="8" s="1"/>
  <c r="D233" i="8" a="1"/>
  <c r="D233" i="8" s="1"/>
  <c r="D234" i="8" a="1"/>
  <c r="D234" i="8" s="1"/>
  <c r="D235" i="8" a="1"/>
  <c r="D235" i="8" s="1"/>
  <c r="D236" i="8" a="1"/>
  <c r="D236" i="8" s="1"/>
  <c r="D237" i="8" a="1"/>
  <c r="D237" i="8" s="1"/>
  <c r="D238" i="8" a="1"/>
  <c r="D238" i="8" s="1"/>
  <c r="D239" i="8" a="1"/>
  <c r="D239" i="8" s="1"/>
  <c r="D240" i="8" a="1"/>
  <c r="D240" i="8" s="1"/>
  <c r="D241" i="8" a="1"/>
  <c r="D241" i="8" s="1"/>
  <c r="D242" i="8" a="1"/>
  <c r="D242" i="8" s="1"/>
  <c r="D243" i="8" a="1"/>
  <c r="D243" i="8" s="1"/>
  <c r="D244" i="8" a="1"/>
  <c r="D244" i="8" s="1"/>
  <c r="D245" i="8" a="1"/>
  <c r="D245" i="8" s="1"/>
  <c r="D246" i="8" a="1"/>
  <c r="D246" i="8" s="1"/>
  <c r="D247" i="8" a="1"/>
  <c r="D247" i="8" s="1"/>
  <c r="D248" i="8" a="1"/>
  <c r="D248" i="8" s="1"/>
  <c r="D249" i="8" a="1"/>
  <c r="D249" i="8" s="1"/>
  <c r="D10" i="8" a="1"/>
  <c r="D10" i="8" s="1"/>
  <c r="C23" i="6" a="1"/>
  <c r="B89" i="6" a="1"/>
  <c r="C24" i="6" a="1"/>
  <c r="C93" i="6" a="1"/>
  <c r="B45" i="6" a="1"/>
  <c r="C63" i="6" a="1"/>
  <c r="C119" i="6" a="1"/>
  <c r="B50" i="6" a="1"/>
  <c r="C95" i="6" a="1"/>
  <c r="B25" i="6" a="1"/>
  <c r="B15" i="6" a="1"/>
  <c r="C12" i="6" a="1"/>
  <c r="C19" i="6" a="1"/>
  <c r="C17" i="6" a="1"/>
  <c r="C34" i="6" a="1"/>
  <c r="B82" i="6" a="1"/>
  <c r="C69" i="6" a="1"/>
  <c r="C78" i="6" a="1"/>
  <c r="C123" i="6" a="1"/>
  <c r="B67" i="6" a="1"/>
  <c r="B39" i="6" a="1"/>
  <c r="C39" i="6" a="1"/>
  <c r="C35" i="6" a="1"/>
  <c r="C104" i="6" a="1"/>
  <c r="C118" i="6" a="1"/>
  <c r="C89" i="6" a="1"/>
  <c r="C84" i="6" a="1"/>
  <c r="C106" i="6" a="1"/>
  <c r="C36" i="6" a="1"/>
  <c r="B61" i="6" a="1"/>
  <c r="B31" i="6" a="1"/>
  <c r="B92" i="6" a="1"/>
  <c r="B96" i="6" a="1"/>
  <c r="C122" i="6" a="1"/>
  <c r="C107" i="6" a="1"/>
  <c r="B22" i="6" a="1"/>
  <c r="B79" i="6" a="1"/>
  <c r="B101" i="6" a="1"/>
  <c r="B38" i="6" a="1"/>
  <c r="C80" i="6" a="1"/>
  <c r="B114" i="6" a="1"/>
  <c r="B111" i="6" a="1"/>
  <c r="C81" i="6" a="1"/>
  <c r="B33" i="6" a="1"/>
  <c r="C91" i="6" a="1"/>
  <c r="C101" i="6" a="1"/>
  <c r="C14" i="6" a="1"/>
  <c r="B97" i="6" a="1"/>
  <c r="C110" i="6" a="1"/>
  <c r="C102" i="6" a="1"/>
  <c r="B55" i="6" a="1"/>
  <c r="B12" i="6" a="1"/>
  <c r="C83" i="6" a="1"/>
  <c r="B17" i="6" a="1"/>
  <c r="C90" i="6" a="1"/>
  <c r="B83" i="6" a="1"/>
  <c r="B51" i="6" a="1"/>
  <c r="B19" i="6" a="1"/>
  <c r="C108" i="6" a="1"/>
  <c r="B20" i="6" a="1"/>
  <c r="B94" i="6" a="1"/>
  <c r="B13" i="6" a="1"/>
  <c r="C25" i="6" a="1"/>
  <c r="B62" i="6" a="1"/>
  <c r="B71" i="6" a="1"/>
  <c r="C47" i="6" a="1"/>
  <c r="C26" i="6" a="1"/>
  <c r="B99" i="6" a="1"/>
  <c r="C16" i="6" a="1"/>
  <c r="B127" i="6" a="1"/>
  <c r="B58" i="6" a="1"/>
  <c r="B24" i="6" a="1"/>
  <c r="C116" i="6" a="1"/>
  <c r="B65" i="6" a="1"/>
  <c r="B43" i="6" a="1"/>
  <c r="C21" i="6" a="1"/>
  <c r="B23" i="6" a="1"/>
  <c r="B107" i="6" a="1"/>
  <c r="C114" i="6" a="1"/>
  <c r="C28" i="6" a="1"/>
  <c r="B32" i="6" a="1"/>
  <c r="B28" i="6" a="1"/>
  <c r="B48" i="6" a="1"/>
  <c r="C13" i="6" a="1"/>
  <c r="B113" i="6" a="1"/>
  <c r="C120" i="6" a="1"/>
  <c r="B72" i="6" a="1"/>
  <c r="B77" i="6" a="1"/>
  <c r="C46" i="6" a="1"/>
  <c r="C103" i="6" a="1"/>
  <c r="B37" i="6" a="1"/>
  <c r="B100" i="6" a="1"/>
  <c r="B105" i="6" a="1"/>
  <c r="B110" i="6" a="1"/>
  <c r="C87" i="6" a="1"/>
  <c r="C66" i="6" a="1"/>
  <c r="C125" i="6" a="1"/>
  <c r="B18" i="6" a="1"/>
  <c r="C32" i="6" a="1"/>
  <c r="B36" i="6" a="1"/>
  <c r="C10" i="6" a="1"/>
  <c r="C64" i="6" a="1"/>
  <c r="C100" i="6" a="1"/>
  <c r="C50" i="6" a="1"/>
  <c r="B125" i="6" a="1"/>
  <c r="B60" i="6" a="1"/>
  <c r="B116" i="6" a="1"/>
  <c r="C62" i="6" a="1"/>
  <c r="B68" i="6" a="1"/>
  <c r="B57" i="6" a="1"/>
  <c r="C42" i="6" a="1"/>
  <c r="B16" i="6" a="1"/>
  <c r="C92" i="6" a="1"/>
  <c r="C124" i="6" a="1"/>
  <c r="B108" i="6" a="1"/>
  <c r="B117" i="6" a="1"/>
  <c r="C18" i="6" a="1"/>
  <c r="B87" i="6" a="1"/>
  <c r="B59" i="6" a="1"/>
  <c r="C94" i="6" a="1"/>
  <c r="C52" i="6" a="1"/>
  <c r="B44" i="6" a="1"/>
  <c r="B112" i="6" a="1"/>
  <c r="C57" i="6" a="1"/>
  <c r="B91" i="6" a="1"/>
  <c r="B26" i="6" a="1"/>
  <c r="C31" i="6" a="1"/>
  <c r="B126" i="6" a="1"/>
  <c r="B40" i="6" a="1"/>
  <c r="B21" i="6" a="1"/>
  <c r="B75" i="6" a="1"/>
  <c r="C11" i="6" a="1"/>
  <c r="B74" i="6" a="1"/>
  <c r="B115" i="6" a="1"/>
  <c r="C72" i="6" a="1"/>
  <c r="C112" i="6" a="1"/>
  <c r="B47" i="6" a="1"/>
  <c r="B73" i="6" a="1"/>
  <c r="B78" i="6" a="1"/>
  <c r="C45" i="6" a="1"/>
  <c r="C56" i="6" a="1"/>
  <c r="B35" i="6" a="1"/>
  <c r="B14" i="6" a="1"/>
  <c r="B103" i="6" a="1"/>
  <c r="B118" i="6" a="1"/>
  <c r="B52" i="6" a="1"/>
  <c r="B104" i="6" a="1"/>
  <c r="C40" i="6" a="1"/>
  <c r="C37" i="6" a="1"/>
  <c r="C73" i="6" a="1"/>
  <c r="B98" i="6" a="1"/>
  <c r="B27" i="6" a="1"/>
  <c r="B10" i="6" a="1"/>
  <c r="C105" i="6" a="1"/>
  <c r="C117" i="6" a="1"/>
  <c r="C27" i="6" a="1"/>
  <c r="C127" i="6" a="1"/>
  <c r="B11" i="6" a="1"/>
  <c r="C44" i="6" a="1"/>
  <c r="C65" i="6" a="1"/>
  <c r="C97" i="6" a="1"/>
  <c r="B81" i="6" a="1"/>
  <c r="B90" i="6" a="1"/>
  <c r="B56" i="6" a="1"/>
  <c r="B106" i="6" a="1"/>
  <c r="C79" i="6" a="1"/>
  <c r="C53" i="6" a="1"/>
  <c r="C109" i="6" a="1"/>
  <c r="B129" i="6" a="1"/>
  <c r="C126" i="6" a="1"/>
  <c r="C76" i="6" a="1"/>
  <c r="C128" i="6" a="1"/>
  <c r="C33" i="6" a="1"/>
  <c r="C49" i="6" a="1"/>
  <c r="C15" i="6" a="1"/>
  <c r="C59" i="6" a="1"/>
  <c r="B86" i="6" a="1"/>
  <c r="B121" i="6" a="1"/>
  <c r="B95" i="6" a="1"/>
  <c r="B69" i="6" a="1"/>
  <c r="B122" i="6" a="1"/>
  <c r="C113" i="6" a="1"/>
  <c r="B64" i="6" a="1"/>
  <c r="B120" i="6" a="1"/>
  <c r="B70" i="6" a="1"/>
  <c r="C85" i="6" a="1"/>
  <c r="B124" i="6" a="1"/>
  <c r="B53" i="6" a="1"/>
  <c r="C58" i="6" a="1"/>
  <c r="B49" i="6" a="1"/>
  <c r="C111" i="6" a="1"/>
  <c r="C60" i="6" a="1"/>
  <c r="C51" i="6" a="1"/>
  <c r="B34" i="6" a="1"/>
  <c r="C41" i="6" a="1"/>
  <c r="C54" i="6" a="1"/>
  <c r="B46" i="6" a="1"/>
  <c r="C55" i="6" a="1"/>
  <c r="C29" i="6" a="1"/>
  <c r="C43" i="6" a="1"/>
  <c r="C20" i="6" a="1"/>
  <c r="C75" i="6" a="1"/>
  <c r="B109" i="6" a="1"/>
  <c r="C38" i="6" a="1"/>
  <c r="B54" i="6" a="1"/>
  <c r="B29" i="6" a="1"/>
  <c r="B102" i="6" a="1"/>
  <c r="B76" i="6" a="1"/>
  <c r="C121" i="6" a="1"/>
  <c r="C88" i="6" a="1"/>
  <c r="B88" i="6" a="1"/>
  <c r="C82" i="6" a="1"/>
  <c r="B128" i="6" a="1"/>
  <c r="C96" i="6" a="1"/>
  <c r="B63" i="6" a="1"/>
  <c r="C68" i="6" a="1"/>
  <c r="B30" i="6" a="1"/>
  <c r="C61" i="6" a="1"/>
  <c r="B85" i="6" a="1"/>
  <c r="C74" i="6" a="1"/>
  <c r="B66" i="6" a="1"/>
  <c r="C98" i="6" a="1"/>
  <c r="C115" i="6" a="1"/>
  <c r="B41" i="6" a="1"/>
  <c r="B80" i="6" a="1"/>
  <c r="B93" i="6" a="1"/>
  <c r="C30" i="6" a="1"/>
  <c r="C71" i="6" a="1"/>
  <c r="B123" i="6" a="1"/>
  <c r="B119" i="6" a="1"/>
  <c r="C77" i="6" a="1"/>
  <c r="C70" i="6" a="1"/>
  <c r="B42" i="6" a="1"/>
  <c r="C86" i="6" a="1"/>
  <c r="C22" i="6" a="1"/>
  <c r="B84" i="6" a="1"/>
  <c r="C129" i="6" a="1"/>
  <c r="C48" i="6" a="1"/>
  <c r="C67" i="6" a="1"/>
  <c r="C99" i="6" a="1"/>
  <c r="D28" i="8" l="1" a="1"/>
  <c r="D28" i="8" s="1"/>
  <c r="D13" i="8" a="1"/>
  <c r="D13" i="8" s="1"/>
  <c r="D21" i="8" a="1"/>
  <c r="D21" i="8" s="1"/>
  <c r="D27" i="8" a="1"/>
  <c r="D27" i="8" s="1"/>
  <c r="C126" i="6"/>
  <c r="C122" i="6"/>
  <c r="C118" i="6"/>
  <c r="C114" i="6"/>
  <c r="C110" i="6"/>
  <c r="C106" i="6"/>
  <c r="C102" i="6"/>
  <c r="C98" i="6"/>
  <c r="C94" i="6"/>
  <c r="C90" i="6"/>
  <c r="C86" i="6"/>
  <c r="C82" i="6"/>
  <c r="C78" i="6"/>
  <c r="C74" i="6"/>
  <c r="C70" i="6"/>
  <c r="C66" i="6"/>
  <c r="C62" i="6"/>
  <c r="C58" i="6"/>
  <c r="C54" i="6"/>
  <c r="C50" i="6"/>
  <c r="C46" i="6"/>
  <c r="C42" i="6"/>
  <c r="C38" i="6"/>
  <c r="C34" i="6"/>
  <c r="C30" i="6"/>
  <c r="C26" i="6"/>
  <c r="C22" i="6"/>
  <c r="C18" i="6"/>
  <c r="C14" i="6"/>
  <c r="C129" i="6"/>
  <c r="C125" i="6"/>
  <c r="C121" i="6"/>
  <c r="C117" i="6"/>
  <c r="C113" i="6"/>
  <c r="C109" i="6"/>
  <c r="C105" i="6"/>
  <c r="C101" i="6"/>
  <c r="C97" i="6"/>
  <c r="C93" i="6"/>
  <c r="C89" i="6"/>
  <c r="C85" i="6"/>
  <c r="C81" i="6"/>
  <c r="C77" i="6"/>
  <c r="C73" i="6"/>
  <c r="C69" i="6"/>
  <c r="C65" i="6"/>
  <c r="C61" i="6"/>
  <c r="C57" i="6"/>
  <c r="C53" i="6"/>
  <c r="C49" i="6"/>
  <c r="C45" i="6"/>
  <c r="C41" i="6"/>
  <c r="C37" i="6"/>
  <c r="C33" i="6"/>
  <c r="C29" i="6"/>
  <c r="C25" i="6"/>
  <c r="C21" i="6"/>
  <c r="C17" i="6"/>
  <c r="C13" i="6"/>
  <c r="C128" i="6"/>
  <c r="C124" i="6"/>
  <c r="C120" i="6"/>
  <c r="C116" i="6"/>
  <c r="C112" i="6"/>
  <c r="C108" i="6"/>
  <c r="C104" i="6"/>
  <c r="C100" i="6"/>
  <c r="C96" i="6"/>
  <c r="C92" i="6"/>
  <c r="C88" i="6"/>
  <c r="C84" i="6"/>
  <c r="C80" i="6"/>
  <c r="C76" i="6"/>
  <c r="C72" i="6"/>
  <c r="C68" i="6"/>
  <c r="C64" i="6"/>
  <c r="C60" i="6"/>
  <c r="C56" i="6"/>
  <c r="C52" i="6"/>
  <c r="C48" i="6"/>
  <c r="C44" i="6"/>
  <c r="C40" i="6"/>
  <c r="C36" i="6"/>
  <c r="C32" i="6"/>
  <c r="C28" i="6"/>
  <c r="C24" i="6"/>
  <c r="C20" i="6"/>
  <c r="C16" i="6"/>
  <c r="C12" i="6"/>
  <c r="C127" i="6"/>
  <c r="C123" i="6"/>
  <c r="C119" i="6"/>
  <c r="C115" i="6"/>
  <c r="C111" i="6"/>
  <c r="C107" i="6"/>
  <c r="C103" i="6"/>
  <c r="C99" i="6"/>
  <c r="C95" i="6"/>
  <c r="C91" i="6"/>
  <c r="C87" i="6"/>
  <c r="C83" i="6"/>
  <c r="C79" i="6"/>
  <c r="C75" i="6"/>
  <c r="C71" i="6"/>
  <c r="C67" i="6"/>
  <c r="C63" i="6"/>
  <c r="C59" i="6"/>
  <c r="C55" i="6"/>
  <c r="C51" i="6"/>
  <c r="C47" i="6"/>
  <c r="C43" i="6"/>
  <c r="C39" i="6"/>
  <c r="C35" i="6"/>
  <c r="C31" i="6"/>
  <c r="C27" i="6"/>
  <c r="C23" i="6"/>
  <c r="C19" i="6"/>
  <c r="C15" i="6"/>
  <c r="C11" i="6"/>
  <c r="B126" i="6"/>
  <c r="B122" i="6"/>
  <c r="B118" i="6"/>
  <c r="B114" i="6"/>
  <c r="B110" i="6"/>
  <c r="B106" i="6"/>
  <c r="B102" i="6"/>
  <c r="B98" i="6"/>
  <c r="B94" i="6"/>
  <c r="B90" i="6"/>
  <c r="B86" i="6"/>
  <c r="B82" i="6"/>
  <c r="B78" i="6"/>
  <c r="B74" i="6"/>
  <c r="B70" i="6"/>
  <c r="B66" i="6"/>
  <c r="B62" i="6"/>
  <c r="B58" i="6"/>
  <c r="B54" i="6"/>
  <c r="B50" i="6"/>
  <c r="B46" i="6"/>
  <c r="B42" i="6"/>
  <c r="B38" i="6"/>
  <c r="B34" i="6"/>
  <c r="B30" i="6"/>
  <c r="B26" i="6"/>
  <c r="B22" i="6"/>
  <c r="B18" i="6"/>
  <c r="B14" i="6"/>
  <c r="B129" i="6"/>
  <c r="B125" i="6"/>
  <c r="B121" i="6"/>
  <c r="B117" i="6"/>
  <c r="B113" i="6"/>
  <c r="B109" i="6"/>
  <c r="B105" i="6"/>
  <c r="B101" i="6"/>
  <c r="B97" i="6"/>
  <c r="B93" i="6"/>
  <c r="B89" i="6"/>
  <c r="B85" i="6"/>
  <c r="B81" i="6"/>
  <c r="B77" i="6"/>
  <c r="B73" i="6"/>
  <c r="B69" i="6"/>
  <c r="B65" i="6"/>
  <c r="B61" i="6"/>
  <c r="B57" i="6"/>
  <c r="B53" i="6"/>
  <c r="B49" i="6"/>
  <c r="B45" i="6"/>
  <c r="B41" i="6"/>
  <c r="B37" i="6"/>
  <c r="B33" i="6"/>
  <c r="B29" i="6"/>
  <c r="B25" i="6"/>
  <c r="B21" i="6"/>
  <c r="B17" i="6"/>
  <c r="B13" i="6"/>
  <c r="B128" i="6"/>
  <c r="B124" i="6"/>
  <c r="B120" i="6"/>
  <c r="B116" i="6"/>
  <c r="B112" i="6"/>
  <c r="B108" i="6"/>
  <c r="B104" i="6"/>
  <c r="B100" i="6"/>
  <c r="B96" i="6"/>
  <c r="B92" i="6"/>
  <c r="B88" i="6"/>
  <c r="B84" i="6"/>
  <c r="B80" i="6"/>
  <c r="B76" i="6"/>
  <c r="B72" i="6"/>
  <c r="B68" i="6"/>
  <c r="B64" i="6"/>
  <c r="B60" i="6"/>
  <c r="B56" i="6"/>
  <c r="B52" i="6"/>
  <c r="B48" i="6"/>
  <c r="B44" i="6"/>
  <c r="B40" i="6"/>
  <c r="B36" i="6"/>
  <c r="B32" i="6"/>
  <c r="B28" i="6"/>
  <c r="B24" i="6"/>
  <c r="B20" i="6"/>
  <c r="B16" i="6"/>
  <c r="B12" i="6"/>
  <c r="B127" i="6"/>
  <c r="B123" i="6"/>
  <c r="B119" i="6"/>
  <c r="B115" i="6"/>
  <c r="B111" i="6"/>
  <c r="B107" i="6"/>
  <c r="B103" i="6"/>
  <c r="B99" i="6"/>
  <c r="B95" i="6"/>
  <c r="B91" i="6"/>
  <c r="B87" i="6"/>
  <c r="B83" i="6"/>
  <c r="B79" i="6"/>
  <c r="B75" i="6"/>
  <c r="B71" i="6"/>
  <c r="B67" i="6"/>
  <c r="B63" i="6"/>
  <c r="B59" i="6"/>
  <c r="B55" i="6"/>
  <c r="B51" i="6"/>
  <c r="B47" i="6"/>
  <c r="B43" i="6"/>
  <c r="B39" i="6"/>
  <c r="B35" i="6"/>
  <c r="B31" i="6"/>
  <c r="B27" i="6"/>
  <c r="B23" i="6"/>
  <c r="B19" i="6"/>
  <c r="B15" i="6"/>
  <c r="B11" i="6"/>
  <c r="C10" i="6"/>
  <c r="B10" i="6"/>
  <c r="C249" i="6" a="1"/>
  <c r="B234" i="6" a="1"/>
  <c r="C210" i="6" a="1"/>
  <c r="C139" i="6" a="1"/>
  <c r="C226" i="6" a="1"/>
  <c r="B164" i="6" a="1"/>
  <c r="B215" i="6" a="1"/>
  <c r="C240" i="6" a="1"/>
  <c r="B159" i="6" a="1"/>
  <c r="C185" i="6" a="1"/>
  <c r="C178" i="6" a="1"/>
  <c r="B138" i="6" a="1"/>
  <c r="B203" i="6" a="1"/>
  <c r="C233" i="6" a="1"/>
  <c r="B162" i="6" a="1"/>
  <c r="B156" i="6" a="1"/>
  <c r="B244" i="6" a="1"/>
  <c r="C201" i="6" a="1"/>
  <c r="B224" i="6" a="1"/>
  <c r="C183" i="6" a="1"/>
  <c r="B163" i="6" a="1"/>
  <c r="C228" i="6" a="1"/>
  <c r="C203" i="6" a="1"/>
  <c r="B216" i="6" a="1"/>
  <c r="B201" i="6" a="1"/>
  <c r="B192" i="6" a="1"/>
  <c r="B205" i="6" a="1"/>
  <c r="C171" i="6" a="1"/>
  <c r="C230" i="6" a="1"/>
  <c r="B208" i="6" a="1"/>
  <c r="B141" i="6" a="1"/>
  <c r="C158" i="6" a="1"/>
  <c r="B161" i="6" a="1"/>
  <c r="B158" i="6" a="1"/>
  <c r="C208" i="6" a="1"/>
  <c r="B143" i="6" a="1"/>
  <c r="B235" i="6" a="1"/>
  <c r="C211" i="6" a="1"/>
  <c r="C191" i="6" a="1"/>
  <c r="C136" i="6" a="1"/>
  <c r="B169" i="6" a="1"/>
  <c r="C179" i="6" a="1"/>
  <c r="B189" i="6" a="1"/>
  <c r="B248" i="6" a="1"/>
  <c r="B142" i="6" a="1"/>
  <c r="B136" i="6" a="1"/>
  <c r="C150" i="6" a="1"/>
  <c r="C192" i="6" a="1"/>
  <c r="C205" i="6" a="1"/>
  <c r="B151" i="6" a="1"/>
  <c r="C143" i="6" a="1"/>
  <c r="B238" i="6" a="1"/>
  <c r="C160" i="6" a="1"/>
  <c r="C180" i="6" a="1"/>
  <c r="B179" i="6" a="1"/>
  <c r="C225" i="6" a="1"/>
  <c r="C219" i="6" a="1"/>
  <c r="B181" i="6" a="1"/>
  <c r="B167" i="6" a="1"/>
  <c r="C238" i="6" a="1"/>
  <c r="C140" i="6" a="1"/>
  <c r="C196" i="6" a="1"/>
  <c r="C182" i="6" a="1"/>
  <c r="C200" i="6" a="1"/>
  <c r="C214" i="6" a="1"/>
  <c r="B230" i="6" a="1"/>
  <c r="B155" i="6" a="1"/>
  <c r="B246" i="6" a="1"/>
  <c r="B144" i="6" a="1"/>
  <c r="B211" i="6" a="1"/>
  <c r="C215" i="6" a="1"/>
  <c r="B186" i="6" a="1"/>
  <c r="C206" i="6" a="1"/>
  <c r="C155" i="6" a="1"/>
  <c r="B218" i="6" a="1"/>
  <c r="C231" i="6" a="1"/>
  <c r="B171" i="6" a="1"/>
  <c r="B229" i="6" a="1"/>
  <c r="C138" i="6" a="1"/>
  <c r="C167" i="6" a="1"/>
  <c r="B173" i="6" a="1"/>
  <c r="C149" i="6" a="1"/>
  <c r="B153" i="6" a="1"/>
  <c r="B132" i="6" a="1"/>
  <c r="B193" i="6" a="1"/>
  <c r="B197" i="6" a="1"/>
  <c r="B145" i="6" a="1"/>
  <c r="B214" i="6" a="1"/>
  <c r="B147" i="6" a="1"/>
  <c r="C175" i="6" a="1"/>
  <c r="B204" i="6" a="1"/>
  <c r="B176" i="6" a="1"/>
  <c r="C218" i="6" a="1"/>
  <c r="B148" i="6" a="1"/>
  <c r="B174" i="6" a="1"/>
  <c r="B170" i="6" a="1"/>
  <c r="B247" i="6" a="1"/>
  <c r="B130" i="6" a="1"/>
  <c r="B232" i="6" a="1"/>
  <c r="C224" i="6" a="1"/>
  <c r="B177" i="6" a="1"/>
  <c r="C241" i="6" a="1"/>
  <c r="C213" i="6" a="1"/>
  <c r="C199" i="6" a="1"/>
  <c r="C187" i="6" a="1"/>
  <c r="B225" i="6" a="1"/>
  <c r="B237" i="6" a="1"/>
  <c r="C131" i="6" a="1"/>
  <c r="C145" i="6" a="1"/>
  <c r="B221" i="6" a="1"/>
  <c r="C239" i="6" a="1"/>
  <c r="C204" i="6" a="1"/>
  <c r="C169" i="6" a="1"/>
  <c r="C152" i="6" a="1"/>
  <c r="C244" i="6" a="1"/>
  <c r="B227" i="6" a="1"/>
  <c r="B202" i="6" a="1"/>
  <c r="C245" i="6" a="1"/>
  <c r="B245" i="6" a="1"/>
  <c r="C170" i="6" a="1"/>
  <c r="B207" i="6" a="1"/>
  <c r="B233" i="6" a="1"/>
  <c r="B236" i="6" a="1"/>
  <c r="C193" i="6" a="1"/>
  <c r="B206" i="6" a="1"/>
  <c r="C132" i="6" a="1"/>
  <c r="C246" i="6" a="1"/>
  <c r="B228" i="6" a="1"/>
  <c r="B220" i="6" a="1"/>
  <c r="B249" i="6" a="1"/>
  <c r="B231" i="6" a="1"/>
  <c r="B182" i="6" a="1"/>
  <c r="B166" i="6" a="1"/>
  <c r="B213" i="6" a="1"/>
  <c r="C223" i="6" a="1"/>
  <c r="C181" i="6" a="1"/>
  <c r="C207" i="6" a="1"/>
  <c r="C248" i="6" a="1"/>
  <c r="B191" i="6" a="1"/>
  <c r="B210" i="6" a="1"/>
  <c r="C189" i="6" a="1"/>
  <c r="C141" i="6" a="1"/>
  <c r="B188" i="6" a="1"/>
  <c r="C153" i="6" a="1"/>
  <c r="C146" i="6" a="1"/>
  <c r="B223" i="6" a="1"/>
  <c r="C168" i="6" a="1"/>
  <c r="B180" i="6" a="1"/>
  <c r="B212" i="6" a="1"/>
  <c r="B131" i="6" a="1"/>
  <c r="C154" i="6" a="1"/>
  <c r="B160" i="6" a="1"/>
  <c r="C166" i="6" a="1"/>
  <c r="B137" i="6" a="1"/>
  <c r="C190" i="6" a="1"/>
  <c r="B240" i="6" a="1"/>
  <c r="B198" i="6" a="1"/>
  <c r="B243" i="6" a="1"/>
  <c r="C237" i="6" a="1"/>
  <c r="B241" i="6" a="1"/>
  <c r="B146" i="6" a="1"/>
  <c r="C234" i="6" a="1"/>
  <c r="B196" i="6" a="1"/>
  <c r="C174" i="6" a="1"/>
  <c r="C134" i="6" a="1"/>
  <c r="C177" i="6" a="1"/>
  <c r="B149" i="6" a="1"/>
  <c r="C209" i="6" a="1"/>
  <c r="C164" i="6" a="1"/>
  <c r="B157" i="6" a="1"/>
  <c r="C176" i="6" a="1"/>
  <c r="B219" i="6" a="1"/>
  <c r="B152" i="6" a="1"/>
  <c r="B199" i="6" a="1"/>
  <c r="B178" i="6" a="1"/>
  <c r="B209" i="6" a="1"/>
  <c r="B222" i="6" a="1"/>
  <c r="B242" i="6" a="1"/>
  <c r="C159" i="6" a="1"/>
  <c r="B183" i="6" a="1"/>
  <c r="B175" i="6" a="1"/>
  <c r="B194" i="6" a="1"/>
  <c r="C157" i="6" a="1"/>
  <c r="C235" i="6" a="1"/>
  <c r="B184" i="6" a="1"/>
  <c r="C242" i="6" a="1"/>
  <c r="B133" i="6" a="1"/>
  <c r="C144" i="6" a="1"/>
  <c r="B134" i="6" a="1"/>
  <c r="C202" i="6" a="1"/>
  <c r="C130" i="6" a="1"/>
  <c r="B185" i="6" a="1"/>
  <c r="B140" i="6" a="1"/>
  <c r="C197" i="6" a="1"/>
  <c r="C147" i="6" a="1"/>
  <c r="C133" i="6" a="1"/>
  <c r="C162" i="6" a="1"/>
  <c r="C186" i="6" a="1"/>
  <c r="C220" i="6" a="1"/>
  <c r="C229" i="6" a="1"/>
  <c r="C243" i="6" a="1"/>
  <c r="C148" i="6" a="1"/>
  <c r="C195" i="6" a="1"/>
  <c r="B190" i="6" a="1"/>
  <c r="C151" i="6" a="1"/>
  <c r="C198" i="6" a="1"/>
  <c r="B168" i="6" a="1"/>
  <c r="C216" i="6" a="1"/>
  <c r="B239" i="6" a="1"/>
  <c r="C165" i="6" a="1"/>
  <c r="C135" i="6" a="1"/>
  <c r="C212" i="6" a="1"/>
  <c r="C222" i="6" a="1"/>
  <c r="C172" i="6" a="1"/>
  <c r="C173" i="6" a="1"/>
  <c r="B195" i="6" a="1"/>
  <c r="B150" i="6" a="1"/>
  <c r="C142" i="6" a="1"/>
  <c r="B172" i="6" a="1"/>
  <c r="C188" i="6" a="1"/>
  <c r="C163" i="6" a="1"/>
  <c r="C247" i="6" a="1"/>
  <c r="C236" i="6" a="1"/>
  <c r="C232" i="6" a="1"/>
  <c r="B200" i="6" a="1"/>
  <c r="B217" i="6" a="1"/>
  <c r="B165" i="6" a="1"/>
  <c r="C217" i="6" a="1"/>
  <c r="C156" i="6" a="1"/>
  <c r="C137" i="6" a="1"/>
  <c r="B139" i="6" a="1"/>
  <c r="B135" i="6" a="1"/>
  <c r="C227" i="6" a="1"/>
  <c r="B187" i="6" a="1"/>
  <c r="B226" i="6" a="1"/>
  <c r="C194" i="6" a="1"/>
  <c r="C184" i="6" a="1"/>
  <c r="C221" i="6" a="1"/>
  <c r="B154" i="6" a="1"/>
  <c r="C161" i="6" a="1"/>
  <c r="C126" i="10" a="1"/>
  <c r="B81" i="10" a="1"/>
  <c r="B128" i="10" a="1"/>
  <c r="B55" i="10" a="1"/>
  <c r="C90" i="10" a="1"/>
  <c r="B92" i="10" a="1"/>
  <c r="C25" i="10" a="1"/>
  <c r="C93" i="10" a="1"/>
  <c r="B111" i="10" a="1"/>
  <c r="C11" i="10" a="1"/>
  <c r="B68" i="10" a="1"/>
  <c r="B100" i="10" a="1"/>
  <c r="C32" i="10" a="1"/>
  <c r="B11" i="10" a="1"/>
  <c r="C113" i="10" a="1"/>
  <c r="C59" i="10" a="1"/>
  <c r="C81" i="10" a="1"/>
  <c r="B73" i="10" a="1"/>
  <c r="B42" i="10" a="1"/>
  <c r="C31" i="10" a="1"/>
  <c r="B122" i="10" a="1"/>
  <c r="B105" i="10" a="1"/>
  <c r="B102" i="10" a="1"/>
  <c r="B109" i="10" a="1"/>
  <c r="B116" i="10" a="1"/>
  <c r="B66" i="10" a="1"/>
  <c r="B40" i="10" a="1"/>
  <c r="B32" i="10" a="1"/>
  <c r="C116" i="10" a="1"/>
  <c r="B63" i="10" a="1"/>
  <c r="C83" i="10" a="1"/>
  <c r="C24" i="10" a="1"/>
  <c r="B20" i="10" a="1"/>
  <c r="C78" i="10" a="1"/>
  <c r="C97" i="10" a="1"/>
  <c r="B57" i="10" a="1"/>
  <c r="C100" i="10" a="1"/>
  <c r="C34" i="10" a="1"/>
  <c r="C46" i="10" a="1"/>
  <c r="B15" i="10" a="1"/>
  <c r="B107" i="10" a="1"/>
  <c r="C28" i="10" a="1"/>
  <c r="B123" i="10" a="1"/>
  <c r="B88" i="10" a="1"/>
  <c r="C94" i="10" a="1"/>
  <c r="C91" i="10" a="1"/>
  <c r="C50" i="10" a="1"/>
  <c r="C41" i="10" a="1"/>
  <c r="C80" i="10" a="1"/>
  <c r="C119" i="10" a="1"/>
  <c r="C55" i="10" a="1"/>
  <c r="B110" i="10" a="1"/>
  <c r="B46" i="10" a="1"/>
  <c r="B101" i="10" a="1"/>
  <c r="B76" i="10" a="1"/>
  <c r="B115" i="10" a="1"/>
  <c r="B10" i="10" a="1"/>
  <c r="B120" i="10" a="1"/>
  <c r="C15" i="10" a="1"/>
  <c r="C51" i="10" a="1"/>
  <c r="B284" i="6" a="1"/>
  <c r="B298" i="6" a="1"/>
  <c r="C269" i="6" a="1"/>
  <c r="C268" i="6" a="1"/>
  <c r="C286" i="6" a="1"/>
  <c r="C296" i="6" a="1"/>
  <c r="C255" i="6" a="1"/>
  <c r="C281" i="6" a="1"/>
  <c r="B275" i="6" a="1"/>
  <c r="B294" i="6" a="1"/>
  <c r="C297" i="6" a="1"/>
  <c r="B265" i="6" a="1"/>
  <c r="B267" i="6" a="1"/>
  <c r="C283" i="6" a="1"/>
  <c r="B277" i="6" a="1"/>
  <c r="B297" i="6" a="1"/>
  <c r="C274" i="6" a="1"/>
  <c r="B286" i="6" a="1"/>
  <c r="C288" i="6" a="1"/>
  <c r="C271" i="6" a="1"/>
  <c r="C266" i="6" a="1"/>
  <c r="C252" i="6" a="1"/>
  <c r="C285" i="6" a="1"/>
  <c r="B270" i="6" a="1"/>
  <c r="C280" i="6" a="1"/>
  <c r="B287" i="6" a="1"/>
  <c r="C63" i="10" a="1"/>
  <c r="C43" i="10" a="1"/>
  <c r="B80" i="10" a="1"/>
  <c r="C58" i="10" a="1"/>
  <c r="B127" i="10" a="1"/>
  <c r="B77" i="10" a="1"/>
  <c r="B99" i="10" a="1"/>
  <c r="B124" i="10" a="1"/>
  <c r="C10" i="10" a="1"/>
  <c r="C53" i="10" a="1"/>
  <c r="B96" i="10" a="1"/>
  <c r="B84" i="10" a="1"/>
  <c r="C72" i="10" a="1"/>
  <c r="C122" i="10" a="1"/>
  <c r="B72" i="10" a="1"/>
  <c r="B69" i="10" a="1"/>
  <c r="B54" i="10" a="1"/>
  <c r="B89" i="10" a="1"/>
  <c r="B18" i="10" a="1"/>
  <c r="B31" i="10" a="1"/>
  <c r="C75" i="10" a="1"/>
  <c r="B37" i="10" a="1"/>
  <c r="B114" i="10" a="1"/>
  <c r="C12" i="10" a="1"/>
  <c r="B95" i="10" a="1"/>
  <c r="C21" i="10" a="1"/>
  <c r="B21" i="10" a="1"/>
  <c r="C67" i="10" a="1"/>
  <c r="B45" i="10" a="1"/>
  <c r="C38" i="10" a="1"/>
  <c r="C99" i="10" a="1"/>
  <c r="B50" i="10" a="1"/>
  <c r="C52" i="10" a="1"/>
  <c r="C26" i="10" a="1"/>
  <c r="C120" i="10" a="1"/>
  <c r="C30" i="10" a="1"/>
  <c r="C121" i="10" a="1"/>
  <c r="B104" i="10" a="1"/>
  <c r="B121" i="10" a="1"/>
  <c r="B52" i="10" a="1"/>
  <c r="C68" i="10" a="1"/>
  <c r="B56" i="10" a="1"/>
  <c r="B74" i="10" a="1"/>
  <c r="B98" i="10" a="1"/>
  <c r="C17" i="10" a="1"/>
  <c r="C114" i="10" a="1"/>
  <c r="C105" i="10" a="1"/>
  <c r="C128" i="10" a="1"/>
  <c r="C64" i="10" a="1"/>
  <c r="C103" i="10" a="1"/>
  <c r="C39" i="10" a="1"/>
  <c r="B94" i="10" a="1"/>
  <c r="B30" i="10" a="1"/>
  <c r="B85" i="10" a="1"/>
  <c r="B60" i="10" a="1"/>
  <c r="B67" i="10" a="1"/>
  <c r="C33" i="10" a="1"/>
  <c r="C108" i="10" a="1"/>
  <c r="B27" i="10" a="1"/>
  <c r="B35" i="10" a="1"/>
  <c r="C267" i="6" a="1"/>
  <c r="C250" i="6" a="1"/>
  <c r="C276" i="6" a="1"/>
  <c r="C263" i="6" a="1"/>
  <c r="B255" i="6" a="1"/>
  <c r="C264" i="6" a="1"/>
  <c r="C265" i="6" a="1"/>
  <c r="C287" i="6" a="1"/>
  <c r="B271" i="6" a="1"/>
  <c r="B290" i="6" a="1"/>
  <c r="B272" i="6" a="1"/>
  <c r="C260" i="6" a="1"/>
  <c r="C289" i="6" a="1"/>
  <c r="B251" i="6" a="1"/>
  <c r="C258" i="6" a="1"/>
  <c r="C261" i="6" a="1"/>
  <c r="B293" i="6" a="1"/>
  <c r="B285" i="6" a="1"/>
  <c r="B274" i="6" a="1"/>
  <c r="B250" i="6" a="1"/>
  <c r="C254" i="6" a="1"/>
  <c r="B288" i="6" a="1"/>
  <c r="B264" i="6" a="1"/>
  <c r="C292" i="6" a="1"/>
  <c r="B280" i="6" a="1"/>
  <c r="B283" i="6" a="1"/>
  <c r="C86" i="10" a="1"/>
  <c r="C123" i="10" a="1"/>
  <c r="C85" i="10" a="1"/>
  <c r="C49" i="10" a="1"/>
  <c r="B75" i="10" a="1"/>
  <c r="C36" i="10" a="1"/>
  <c r="B106" i="10" a="1"/>
  <c r="B13" i="10" a="1"/>
  <c r="B86" i="10" a="1"/>
  <c r="C29" i="10" a="1"/>
  <c r="C45" i="10" a="1"/>
  <c r="C109" i="10" a="1"/>
  <c r="B29" i="10" a="1"/>
  <c r="B33" i="10" a="1"/>
  <c r="C129" i="10" a="1"/>
  <c r="B43" i="10" a="1"/>
  <c r="B125" i="10" a="1"/>
  <c r="B49" i="10" a="1"/>
  <c r="B41" i="10" a="1"/>
  <c r="C47" i="10" a="1"/>
  <c r="C107" i="10" a="1"/>
  <c r="B93" i="10" a="1"/>
  <c r="B87" i="10" a="1"/>
  <c r="C54" i="10" a="1"/>
  <c r="C79" i="10" a="1"/>
  <c r="B113" i="10" a="1"/>
  <c r="C110" i="10" a="1"/>
  <c r="B17" i="10" a="1"/>
  <c r="C19" i="10" a="1"/>
  <c r="C44" i="10" a="1"/>
  <c r="C115" i="10" a="1"/>
  <c r="C60" i="10" a="1"/>
  <c r="C13" i="10" a="1"/>
  <c r="C37" i="10" a="1"/>
  <c r="B97" i="10" a="1"/>
  <c r="B61" i="10" a="1"/>
  <c r="B16" i="10" a="1"/>
  <c r="C65" i="10" a="1"/>
  <c r="C95" i="10" a="1"/>
  <c r="C124" i="10" a="1"/>
  <c r="C76" i="10" a="1"/>
  <c r="C106" i="10" a="1"/>
  <c r="C62" i="10" a="1"/>
  <c r="C125" i="10" a="1"/>
  <c r="C57" i="10" a="1"/>
  <c r="C98" i="10" a="1"/>
  <c r="C89" i="10" a="1"/>
  <c r="C112" i="10" a="1"/>
  <c r="C48" i="10" a="1"/>
  <c r="C87" i="10" a="1"/>
  <c r="C23" i="10" a="1"/>
  <c r="B78" i="10" a="1"/>
  <c r="B14" i="10" a="1"/>
  <c r="B53" i="10" a="1"/>
  <c r="B28" i="10" a="1"/>
  <c r="B51" i="10" a="1"/>
  <c r="B22" i="10" a="1"/>
  <c r="B23" i="10" a="1"/>
  <c r="B90" i="10" a="1"/>
  <c r="B83" i="10" a="1"/>
  <c r="B253" i="6" a="1"/>
  <c r="C299" i="6" a="1"/>
  <c r="C294" i="6" a="1"/>
  <c r="B273" i="6" a="1"/>
  <c r="B292" i="6" a="1"/>
  <c r="C273" i="6" a="1"/>
  <c r="C277" i="6" a="1"/>
  <c r="B291" i="6" a="1"/>
  <c r="C295" i="6" a="1"/>
  <c r="C278" i="6" a="1"/>
  <c r="B289" i="6" a="1"/>
  <c r="B299" i="6" a="1"/>
  <c r="B281" i="6" a="1"/>
  <c r="B276" i="6" a="1"/>
  <c r="B268" i="6" a="1"/>
  <c r="C253" i="6" a="1"/>
  <c r="C300" i="6" a="1"/>
  <c r="B259" i="6" a="1"/>
  <c r="C275" i="6" a="1"/>
  <c r="C279" i="6" a="1"/>
  <c r="C298" i="6" a="1"/>
  <c r="B279" i="6" a="1"/>
  <c r="C291" i="6" a="1"/>
  <c r="B278" i="6" a="1"/>
  <c r="B269" i="6" a="1"/>
  <c r="B91" i="10" a="1"/>
  <c r="B47" i="10" a="1"/>
  <c r="B34" i="10" a="1"/>
  <c r="B79" i="10" a="1"/>
  <c r="C102" i="10" a="1"/>
  <c r="B65" i="10" a="1"/>
  <c r="C77" i="10" a="1"/>
  <c r="C42" i="10" a="1"/>
  <c r="C14" i="10" a="1"/>
  <c r="C84" i="10" a="1"/>
  <c r="B36" i="10" a="1"/>
  <c r="C40" i="10" a="1"/>
  <c r="B82" i="10" a="1"/>
  <c r="C70" i="10" a="1"/>
  <c r="C118" i="10" a="1"/>
  <c r="B58" i="10" a="1"/>
  <c r="C22" i="10" a="1"/>
  <c r="B39" i="10" a="1"/>
  <c r="B118" i="10" a="1"/>
  <c r="C117" i="10" a="1"/>
  <c r="C92" i="10" a="1"/>
  <c r="C35" i="10" a="1"/>
  <c r="C56" i="10" a="1"/>
  <c r="B24" i="10" a="1"/>
  <c r="B119" i="10" a="1"/>
  <c r="B71" i="10" a="1"/>
  <c r="C88" i="10" a="1"/>
  <c r="B48" i="10" a="1"/>
  <c r="C82" i="10" a="1"/>
  <c r="C27" i="10" a="1"/>
  <c r="B59" i="10" a="1"/>
  <c r="C61" i="10" a="1"/>
  <c r="C20" i="10" a="1"/>
  <c r="C111" i="10" a="1"/>
  <c r="C104" i="10" a="1"/>
  <c r="B103" i="10" a="1"/>
  <c r="B112" i="10" a="1"/>
  <c r="B70" i="10" a="1"/>
  <c r="C74" i="10" a="1"/>
  <c r="B25" i="10" a="1"/>
  <c r="B64" i="10" a="1"/>
  <c r="C69" i="10" a="1"/>
  <c r="C127" i="10" a="1"/>
  <c r="B129" i="10" a="1"/>
  <c r="C101" i="10" a="1"/>
  <c r="C66" i="10" a="1"/>
  <c r="C73" i="10" a="1"/>
  <c r="C96" i="10" a="1"/>
  <c r="C16" i="10" a="1"/>
  <c r="C71" i="10" a="1"/>
  <c r="B126" i="10" a="1"/>
  <c r="B62" i="10" a="1"/>
  <c r="B117" i="10" a="1"/>
  <c r="B108" i="10" a="1"/>
  <c r="B12" i="10" a="1"/>
  <c r="B19" i="10" a="1"/>
  <c r="B26" i="10" a="1"/>
  <c r="B38" i="10" a="1"/>
  <c r="C18" i="10" a="1"/>
  <c r="B44" i="10" a="1"/>
  <c r="C257" i="6" a="1"/>
  <c r="B296" i="6" a="1"/>
  <c r="B262" i="6" a="1"/>
  <c r="C256" i="6" a="1"/>
  <c r="B254" i="6" a="1"/>
  <c r="B252" i="6" a="1"/>
  <c r="C293" i="6" a="1"/>
  <c r="C272" i="6" a="1"/>
  <c r="C284" i="6" a="1"/>
  <c r="C290" i="6" a="1"/>
  <c r="C262" i="6" a="1"/>
  <c r="B266" i="6" a="1"/>
  <c r="B257" i="6" a="1"/>
  <c r="B300" i="6" a="1"/>
  <c r="B260" i="6" a="1"/>
  <c r="C259" i="6" a="1"/>
  <c r="B256" i="6" a="1"/>
  <c r="B261" i="6" a="1"/>
  <c r="C270" i="6" a="1"/>
  <c r="B258" i="6" a="1"/>
  <c r="B295" i="6" a="1"/>
  <c r="B263" i="6" a="1"/>
  <c r="B282" i="6" a="1"/>
  <c r="C282" i="6" a="1"/>
  <c r="C251" i="6" a="1"/>
  <c r="B51" i="10" l="1"/>
  <c r="B99" i="10"/>
  <c r="B115" i="10"/>
  <c r="B12" i="10"/>
  <c r="B28" i="10"/>
  <c r="B44" i="10"/>
  <c r="B60" i="10"/>
  <c r="B76" i="10"/>
  <c r="B92" i="10"/>
  <c r="B108" i="10"/>
  <c r="B124" i="10"/>
  <c r="B21" i="10"/>
  <c r="B37" i="10"/>
  <c r="B53" i="10"/>
  <c r="B69" i="10"/>
  <c r="B85" i="10"/>
  <c r="B101" i="10"/>
  <c r="B117" i="10"/>
  <c r="B14" i="10"/>
  <c r="B30" i="10"/>
  <c r="B46" i="10"/>
  <c r="B62" i="10"/>
  <c r="B78" i="10"/>
  <c r="B94" i="10"/>
  <c r="B110" i="10"/>
  <c r="B126" i="10"/>
  <c r="C23" i="10"/>
  <c r="C39" i="10"/>
  <c r="C55" i="10"/>
  <c r="C71" i="10"/>
  <c r="C87" i="10"/>
  <c r="C103" i="10"/>
  <c r="C119" i="10"/>
  <c r="C16" i="10"/>
  <c r="C32" i="10"/>
  <c r="C48" i="10"/>
  <c r="C64" i="10"/>
  <c r="C80" i="10"/>
  <c r="C96" i="10"/>
  <c r="C112" i="10"/>
  <c r="C128" i="10"/>
  <c r="C25" i="10"/>
  <c r="C41" i="10"/>
  <c r="C57" i="10"/>
  <c r="C73" i="10"/>
  <c r="C89" i="10"/>
  <c r="C105" i="10"/>
  <c r="C121" i="10"/>
  <c r="C18" i="10"/>
  <c r="C34" i="10"/>
  <c r="C50" i="10"/>
  <c r="C66" i="10"/>
  <c r="C82" i="10"/>
  <c r="C98" i="10"/>
  <c r="C114" i="10"/>
  <c r="B19" i="10"/>
  <c r="B83" i="10"/>
  <c r="B23" i="10"/>
  <c r="B71" i="10"/>
  <c r="B87" i="10"/>
  <c r="B103" i="10"/>
  <c r="B119" i="10"/>
  <c r="B16" i="10"/>
  <c r="B32" i="10"/>
  <c r="B48" i="10"/>
  <c r="B64" i="10"/>
  <c r="B80" i="10"/>
  <c r="B96" i="10"/>
  <c r="B112" i="10"/>
  <c r="B128" i="10"/>
  <c r="B25" i="10"/>
  <c r="B41" i="10"/>
  <c r="B57" i="10"/>
  <c r="B73" i="10"/>
  <c r="B89" i="10"/>
  <c r="B105" i="10"/>
  <c r="B121" i="10"/>
  <c r="B18" i="10"/>
  <c r="B34" i="10"/>
  <c r="B50" i="10"/>
  <c r="B66" i="10"/>
  <c r="B82" i="10"/>
  <c r="B98" i="10"/>
  <c r="B114" i="10"/>
  <c r="C11" i="10"/>
  <c r="C27" i="10"/>
  <c r="C43" i="10"/>
  <c r="C59" i="10"/>
  <c r="C75" i="10"/>
  <c r="C91" i="10"/>
  <c r="C107" i="10"/>
  <c r="C123" i="10"/>
  <c r="C20" i="10"/>
  <c r="C36" i="10"/>
  <c r="C52" i="10"/>
  <c r="C68" i="10"/>
  <c r="C84" i="10"/>
  <c r="C100" i="10"/>
  <c r="C116" i="10"/>
  <c r="C13" i="10"/>
  <c r="C29" i="10"/>
  <c r="C45" i="10"/>
  <c r="C61" i="10"/>
  <c r="C77" i="10"/>
  <c r="C93" i="10"/>
  <c r="C109" i="10"/>
  <c r="C125" i="10"/>
  <c r="C22" i="10"/>
  <c r="C38" i="10"/>
  <c r="C54" i="10"/>
  <c r="C70" i="10"/>
  <c r="C86" i="10"/>
  <c r="C102" i="10"/>
  <c r="C118" i="10"/>
  <c r="B10" i="10"/>
  <c r="B67" i="10"/>
  <c r="B39" i="10"/>
  <c r="B11" i="10"/>
  <c r="B43" i="10"/>
  <c r="B59" i="10"/>
  <c r="B75" i="10"/>
  <c r="B91" i="10"/>
  <c r="B107" i="10"/>
  <c r="B123" i="10"/>
  <c r="B20" i="10"/>
  <c r="B36" i="10"/>
  <c r="B52" i="10"/>
  <c r="B68" i="10"/>
  <c r="B84" i="10"/>
  <c r="B100" i="10"/>
  <c r="B116" i="10"/>
  <c r="B13" i="10"/>
  <c r="B29" i="10"/>
  <c r="B45" i="10"/>
  <c r="B61" i="10"/>
  <c r="B77" i="10"/>
  <c r="B93" i="10"/>
  <c r="B109" i="10"/>
  <c r="B125" i="10"/>
  <c r="B22" i="10"/>
  <c r="B38" i="10"/>
  <c r="B54" i="10"/>
  <c r="B70" i="10"/>
  <c r="B86" i="10"/>
  <c r="B102" i="10"/>
  <c r="B118" i="10"/>
  <c r="C15" i="10"/>
  <c r="C31" i="10"/>
  <c r="C47" i="10"/>
  <c r="C63" i="10"/>
  <c r="C79" i="10"/>
  <c r="C95" i="10"/>
  <c r="C111" i="10"/>
  <c r="C127" i="10"/>
  <c r="C24" i="10"/>
  <c r="C40" i="10"/>
  <c r="C56" i="10"/>
  <c r="C72" i="10"/>
  <c r="C88" i="10"/>
  <c r="C104" i="10"/>
  <c r="C120" i="10"/>
  <c r="C17" i="10"/>
  <c r="C33" i="10"/>
  <c r="C49" i="10"/>
  <c r="C65" i="10"/>
  <c r="C81" i="10"/>
  <c r="C97" i="10"/>
  <c r="C113" i="10"/>
  <c r="C129" i="10"/>
  <c r="C26" i="10"/>
  <c r="C42" i="10"/>
  <c r="C58" i="10"/>
  <c r="C74" i="10"/>
  <c r="C90" i="10"/>
  <c r="C106" i="10"/>
  <c r="C122" i="10"/>
  <c r="B35" i="10"/>
  <c r="C10" i="10"/>
  <c r="B55" i="10"/>
  <c r="B27" i="10"/>
  <c r="B15" i="10"/>
  <c r="B31" i="10"/>
  <c r="B47" i="10"/>
  <c r="B63" i="10"/>
  <c r="B79" i="10"/>
  <c r="B95" i="10"/>
  <c r="B111" i="10"/>
  <c r="B127" i="10"/>
  <c r="B24" i="10"/>
  <c r="B40" i="10"/>
  <c r="B56" i="10"/>
  <c r="B72" i="10"/>
  <c r="B88" i="10"/>
  <c r="B104" i="10"/>
  <c r="B120" i="10"/>
  <c r="B17" i="10"/>
  <c r="B33" i="10"/>
  <c r="B49" i="10"/>
  <c r="B65" i="10"/>
  <c r="B81" i="10"/>
  <c r="B97" i="10"/>
  <c r="B113" i="10"/>
  <c r="B129" i="10"/>
  <c r="B26" i="10"/>
  <c r="B42" i="10"/>
  <c r="B58" i="10"/>
  <c r="B74" i="10"/>
  <c r="B90" i="10"/>
  <c r="B106" i="10"/>
  <c r="B122" i="10"/>
  <c r="C19" i="10"/>
  <c r="C35" i="10"/>
  <c r="C51" i="10"/>
  <c r="C67" i="10"/>
  <c r="C83" i="10"/>
  <c r="C99" i="10"/>
  <c r="C115" i="10"/>
  <c r="C12" i="10"/>
  <c r="C28" i="10"/>
  <c r="C44" i="10"/>
  <c r="C60" i="10"/>
  <c r="C76" i="10"/>
  <c r="C92" i="10"/>
  <c r="C108" i="10"/>
  <c r="C124" i="10"/>
  <c r="C21" i="10"/>
  <c r="C37" i="10"/>
  <c r="C53" i="10"/>
  <c r="C69" i="10"/>
  <c r="C85" i="10"/>
  <c r="C101" i="10"/>
  <c r="C117" i="10"/>
  <c r="C14" i="10"/>
  <c r="C30" i="10"/>
  <c r="C46" i="10"/>
  <c r="C62" i="10"/>
  <c r="C78" i="10"/>
  <c r="C94" i="10"/>
  <c r="C110" i="10"/>
  <c r="C126" i="10"/>
  <c r="C192" i="6"/>
  <c r="B241" i="6"/>
  <c r="C221" i="6"/>
  <c r="B187" i="6"/>
  <c r="C151" i="6"/>
  <c r="C131" i="6"/>
  <c r="B259" i="6"/>
  <c r="B259" i="10" s="1" a="1"/>
  <c r="B259" i="10" s="1"/>
  <c r="C138" i="6"/>
  <c r="C205" i="6"/>
  <c r="B257" i="6"/>
  <c r="B257" i="10" s="1" a="1"/>
  <c r="B257" i="10" s="1"/>
  <c r="B243" i="6"/>
  <c r="B271" i="6"/>
  <c r="B271" i="10" s="1" a="1"/>
  <c r="B271" i="10" s="1"/>
  <c r="B167" i="6"/>
  <c r="B162" i="6"/>
  <c r="C136" i="6"/>
  <c r="C245" i="6"/>
  <c r="C137" i="6"/>
  <c r="C289" i="6"/>
  <c r="C289" i="10" s="1" a="1"/>
  <c r="C289" i="10" s="1"/>
  <c r="B174" i="6"/>
  <c r="B197" i="6"/>
  <c r="C149" i="6"/>
  <c r="C271" i="6"/>
  <c r="C271" i="10" s="1" a="1"/>
  <c r="C271" i="10" s="1"/>
  <c r="C220" i="6"/>
  <c r="B293" i="6"/>
  <c r="B293" i="10" s="1" a="1"/>
  <c r="B293" i="10" s="1"/>
  <c r="B230" i="6"/>
  <c r="C263" i="6"/>
  <c r="C263" i="10" s="1" a="1"/>
  <c r="C263" i="10" s="1"/>
  <c r="B198" i="6"/>
  <c r="B283" i="6"/>
  <c r="B283" i="10" s="1" a="1"/>
  <c r="B283" i="10" s="1"/>
  <c r="C179" i="6"/>
  <c r="B182" i="6"/>
  <c r="B277" i="6"/>
  <c r="B277" i="10" s="1" a="1"/>
  <c r="B277" i="10" s="1"/>
  <c r="C191" i="6"/>
  <c r="C134" i="6"/>
  <c r="C233" i="6"/>
  <c r="B237" i="6"/>
  <c r="B202" i="6"/>
  <c r="C281" i="6"/>
  <c r="C281" i="10" s="1" a="1"/>
  <c r="C281" i="10" s="1"/>
  <c r="B150" i="6"/>
  <c r="C209" i="6"/>
  <c r="C204" i="6"/>
  <c r="B229" i="6"/>
  <c r="C242" i="6"/>
  <c r="B139" i="6"/>
  <c r="B239" i="6"/>
  <c r="B292" i="6"/>
  <c r="B292" i="10" s="1" a="1"/>
  <c r="B292" i="10" s="1"/>
  <c r="B152" i="6"/>
  <c r="B240" i="6"/>
  <c r="B253" i="6"/>
  <c r="B253" i="10" s="1" a="1"/>
  <c r="B253" i="10" s="1"/>
  <c r="C150" i="6"/>
  <c r="C211" i="6"/>
  <c r="B231" i="6"/>
  <c r="C165" i="6"/>
  <c r="C283" i="6"/>
  <c r="C283" i="10" s="1" a="1"/>
  <c r="C283" i="10" s="1"/>
  <c r="C156" i="6"/>
  <c r="B255" i="6"/>
  <c r="B255" i="10" s="1" a="1"/>
  <c r="B255" i="10" s="1"/>
  <c r="B179" i="6"/>
  <c r="B186" i="6"/>
  <c r="C296" i="6"/>
  <c r="C296" i="10" s="1" a="1"/>
  <c r="C296" i="10" s="1"/>
  <c r="C290" i="6"/>
  <c r="C290" i="10" s="1" a="1"/>
  <c r="C290" i="10" s="1"/>
  <c r="C293" i="6"/>
  <c r="C293" i="10" s="1" a="1"/>
  <c r="C293" i="10" s="1"/>
  <c r="B151" i="6"/>
  <c r="C153" i="6"/>
  <c r="B279" i="6"/>
  <c r="B279" i="10" s="1" a="1"/>
  <c r="B279" i="10" s="1"/>
  <c r="B209" i="6"/>
  <c r="B192" i="6"/>
  <c r="C244" i="6"/>
  <c r="C294" i="6"/>
  <c r="C294" i="10" s="1" a="1"/>
  <c r="C294" i="10" s="1"/>
  <c r="C299" i="6"/>
  <c r="C299" i="10" s="1" a="1"/>
  <c r="C299" i="10" s="1"/>
  <c r="B280" i="6"/>
  <c r="B280" i="10" s="1" a="1"/>
  <c r="B280" i="10" s="1"/>
  <c r="C236" i="6"/>
  <c r="B203" i="6"/>
  <c r="C261" i="6"/>
  <c r="C261" i="10" s="1" a="1"/>
  <c r="C261" i="10" s="1"/>
  <c r="C186" i="6"/>
  <c r="B185" i="6"/>
  <c r="B284" i="6"/>
  <c r="B284" i="10" s="1" a="1"/>
  <c r="B284" i="10" s="1"/>
  <c r="B188" i="6"/>
  <c r="B168" i="6"/>
  <c r="B288" i="6"/>
  <c r="B288" i="10" s="1" a="1"/>
  <c r="B288" i="10" s="1"/>
  <c r="C239" i="6"/>
  <c r="B201" i="6"/>
  <c r="C190" i="6"/>
  <c r="C224" i="6"/>
  <c r="B148" i="6"/>
  <c r="C277" i="6"/>
  <c r="C277" i="10" s="1" a="1"/>
  <c r="C277" i="10" s="1"/>
  <c r="B235" i="6"/>
  <c r="C292" i="6"/>
  <c r="C292" i="10" s="1" a="1"/>
  <c r="C292" i="10" s="1"/>
  <c r="C214" i="6"/>
  <c r="B219" i="6"/>
  <c r="B297" i="6"/>
  <c r="B297" i="10" s="1" a="1"/>
  <c r="B297" i="10" s="1"/>
  <c r="B282" i="6"/>
  <c r="B282" i="10" s="1" a="1"/>
  <c r="B282" i="10" s="1"/>
  <c r="C195" i="6"/>
  <c r="B225" i="6"/>
  <c r="C269" i="6"/>
  <c r="C269" i="10" s="1" a="1"/>
  <c r="C269" i="10" s="1"/>
  <c r="B249" i="6"/>
  <c r="B226" i="6"/>
  <c r="B287" i="6"/>
  <c r="B287" i="10" s="1" a="1"/>
  <c r="B287" i="10" s="1"/>
  <c r="B138" i="6"/>
  <c r="B266" i="6"/>
  <c r="B266" i="10" s="1" a="1"/>
  <c r="B266" i="10" s="1"/>
  <c r="C215" i="6"/>
  <c r="C286" i="6"/>
  <c r="C286" i="10" s="1" a="1"/>
  <c r="C286" i="10" s="1"/>
  <c r="C180" i="6"/>
  <c r="C280" i="6"/>
  <c r="C280" i="10" s="1" a="1"/>
  <c r="C280" i="10" s="1"/>
  <c r="C141" i="6"/>
  <c r="B195" i="6"/>
  <c r="B216" i="6"/>
  <c r="B275" i="6"/>
  <c r="B275" i="10" s="1" a="1"/>
  <c r="B275" i="10" s="1"/>
  <c r="C282" i="6"/>
  <c r="C282" i="10" s="1" a="1"/>
  <c r="C282" i="10" s="1"/>
  <c r="B290" i="6"/>
  <c r="B290" i="10" s="1" a="1"/>
  <c r="B290" i="10" s="1"/>
  <c r="C274" i="6"/>
  <c r="C274" i="10" s="1" a="1"/>
  <c r="C274" i="10" s="1"/>
  <c r="B171" i="6"/>
  <c r="B294" i="6"/>
  <c r="B294" i="10" s="1" a="1"/>
  <c r="B294" i="10" s="1"/>
  <c r="C265" i="6"/>
  <c r="C265" i="10" s="1" a="1"/>
  <c r="C265" i="10" s="1"/>
  <c r="B137" i="6"/>
  <c r="B184" i="6"/>
  <c r="B242" i="6"/>
  <c r="B143" i="6"/>
  <c r="C267" i="6"/>
  <c r="C267" i="10" s="1" a="1"/>
  <c r="C267" i="10" s="1"/>
  <c r="B295" i="6"/>
  <c r="B295" i="10" s="1" a="1"/>
  <c r="B295" i="10" s="1"/>
  <c r="B296" i="6"/>
  <c r="B296" i="10" s="1" a="1"/>
  <c r="B296" i="10" s="1"/>
  <c r="B220" i="6"/>
  <c r="C255" i="6"/>
  <c r="C255" i="10" s="1" a="1"/>
  <c r="C255" i="10" s="1"/>
  <c r="C217" i="6"/>
  <c r="C247" i="6"/>
  <c r="B260" i="6"/>
  <c r="B260" i="10" s="1" a="1"/>
  <c r="B260" i="10" s="1"/>
  <c r="C174" i="6"/>
  <c r="C162" i="6"/>
  <c r="C130" i="6"/>
  <c r="C178" i="6"/>
  <c r="B262" i="6"/>
  <c r="B262" i="10" s="1" a="1"/>
  <c r="B262" i="10" s="1"/>
  <c r="C189" i="6"/>
  <c r="B181" i="6"/>
  <c r="C262" i="6"/>
  <c r="C262" i="10" s="1" a="1"/>
  <c r="C262" i="10" s="1"/>
  <c r="C218" i="6"/>
  <c r="C298" i="6"/>
  <c r="C298" i="10" s="1" a="1"/>
  <c r="C298" i="10" s="1"/>
  <c r="C235" i="6"/>
  <c r="B136" i="6"/>
  <c r="C166" i="6"/>
  <c r="C270" i="6"/>
  <c r="C270" i="10" s="1" a="1"/>
  <c r="C270" i="10" s="1"/>
  <c r="B281" i="6"/>
  <c r="B281" i="10" s="1" a="1"/>
  <c r="B281" i="10" s="1"/>
  <c r="C203" i="6"/>
  <c r="B154" i="6"/>
  <c r="B232" i="6"/>
  <c r="B228" i="6"/>
  <c r="B300" i="6"/>
  <c r="B300" i="10" s="1" a="1"/>
  <c r="B300" i="10" s="1"/>
  <c r="B291" i="6"/>
  <c r="B291" i="10" s="1" a="1"/>
  <c r="B291" i="10" s="1"/>
  <c r="C185" i="6"/>
  <c r="C208" i="6"/>
  <c r="C238" i="6"/>
  <c r="C187" i="6"/>
  <c r="C253" i="6"/>
  <c r="C253" i="10" s="1" a="1"/>
  <c r="C253" i="10" s="1"/>
  <c r="C173" i="6"/>
  <c r="B145" i="6"/>
  <c r="C231" i="6"/>
  <c r="C184" i="6"/>
  <c r="B160" i="6"/>
  <c r="C200" i="6"/>
  <c r="C227" i="6"/>
  <c r="B158" i="6"/>
  <c r="B211" i="6"/>
  <c r="C258" i="6"/>
  <c r="C258" i="10" s="1" a="1"/>
  <c r="C258" i="10" s="1"/>
  <c r="B165" i="6"/>
  <c r="B190" i="6"/>
  <c r="C133" i="6"/>
  <c r="B193" i="6"/>
  <c r="C154" i="6"/>
  <c r="C278" i="6"/>
  <c r="C278" i="10" s="1" a="1"/>
  <c r="C278" i="10" s="1"/>
  <c r="C148" i="6"/>
  <c r="B161" i="6"/>
  <c r="B210" i="6"/>
  <c r="C246" i="6"/>
  <c r="C275" i="6"/>
  <c r="C275" i="10" s="1" a="1"/>
  <c r="C275" i="10" s="1"/>
  <c r="C199" i="6"/>
  <c r="B159" i="6"/>
  <c r="B178" i="6"/>
  <c r="C147" i="6"/>
  <c r="C228" i="6"/>
  <c r="B176" i="6"/>
  <c r="C176" i="6"/>
  <c r="C163" i="6"/>
  <c r="C157" i="6"/>
  <c r="B196" i="6"/>
  <c r="C132" i="6"/>
  <c r="C161" i="6"/>
  <c r="B131" i="6"/>
  <c r="C202" i="6"/>
  <c r="C252" i="6"/>
  <c r="C252" i="10" s="1" a="1"/>
  <c r="C252" i="10" s="1"/>
  <c r="C158" i="6"/>
  <c r="C260" i="6"/>
  <c r="C260" i="10" s="1" a="1"/>
  <c r="C260" i="10" s="1"/>
  <c r="B191" i="6"/>
  <c r="C240" i="6"/>
  <c r="B217" i="6"/>
  <c r="B289" i="6"/>
  <c r="B289" i="10" s="1" a="1"/>
  <c r="B289" i="10" s="1"/>
  <c r="B272" i="6"/>
  <c r="B272" i="10" s="1" a="1"/>
  <c r="B272" i="10" s="1"/>
  <c r="C256" i="6"/>
  <c r="C256" i="10" s="1" a="1"/>
  <c r="C256" i="10" s="1"/>
  <c r="C160" i="6"/>
  <c r="B218" i="6"/>
  <c r="B163" i="6"/>
  <c r="B268" i="6"/>
  <c r="B268" i="10" s="1" a="1"/>
  <c r="B268" i="10" s="1"/>
  <c r="C268" i="6"/>
  <c r="C268" i="10" s="1" a="1"/>
  <c r="C268" i="10" s="1"/>
  <c r="C266" i="6"/>
  <c r="C266" i="10" s="1" a="1"/>
  <c r="C266" i="10" s="1"/>
  <c r="C172" i="6"/>
  <c r="C254" i="6"/>
  <c r="C254" i="10" s="1" a="1"/>
  <c r="C254" i="10" s="1"/>
  <c r="C250" i="6"/>
  <c r="C250" i="10" s="1" a="1"/>
  <c r="C250" i="10" s="1"/>
  <c r="B298" i="6"/>
  <c r="B298" i="10" s="1" a="1"/>
  <c r="B298" i="10" s="1"/>
  <c r="C288" i="6"/>
  <c r="C288" i="10" s="1" a="1"/>
  <c r="C288" i="10" s="1"/>
  <c r="B285" i="6"/>
  <c r="B285" i="10" s="1" a="1"/>
  <c r="B285" i="10" s="1"/>
  <c r="B256" i="6"/>
  <c r="B256" i="10" s="1" a="1"/>
  <c r="B256" i="10" s="1"/>
  <c r="B212" i="6"/>
  <c r="C297" i="6"/>
  <c r="C297" i="10" s="1" a="1"/>
  <c r="C297" i="10" s="1"/>
  <c r="B142" i="6"/>
  <c r="C182" i="6"/>
  <c r="C229" i="6"/>
  <c r="C219" i="6"/>
  <c r="B141" i="6"/>
  <c r="B206" i="6"/>
  <c r="B130" i="6"/>
  <c r="B215" i="6"/>
  <c r="B221" i="6"/>
  <c r="B214" i="6"/>
  <c r="B204" i="6"/>
  <c r="C177" i="6"/>
  <c r="B144" i="6"/>
  <c r="B250" i="6"/>
  <c r="B250" i="10" s="1" a="1"/>
  <c r="B250" i="10" s="1"/>
  <c r="C152" i="6"/>
  <c r="C213" i="6"/>
  <c r="B252" i="6"/>
  <c r="B252" i="10" s="1" a="1"/>
  <c r="B252" i="10" s="1"/>
  <c r="C196" i="6"/>
  <c r="C155" i="6"/>
  <c r="C257" i="6"/>
  <c r="C257" i="10" s="1" a="1"/>
  <c r="C257" i="10" s="1"/>
  <c r="C193" i="6"/>
  <c r="B153" i="6"/>
  <c r="B180" i="6"/>
  <c r="C248" i="6"/>
  <c r="C295" i="6"/>
  <c r="C295" i="10" s="1" a="1"/>
  <c r="C295" i="10" s="1"/>
  <c r="C259" i="6"/>
  <c r="C259" i="10" s="1" a="1"/>
  <c r="C259" i="10" s="1"/>
  <c r="B173" i="6"/>
  <c r="B208" i="6"/>
  <c r="C183" i="6"/>
  <c r="B164" i="6"/>
  <c r="C237" i="6"/>
  <c r="C284" i="6"/>
  <c r="C284" i="10" s="1" a="1"/>
  <c r="C284" i="10" s="1"/>
  <c r="C188" i="6"/>
  <c r="B286" i="6"/>
  <c r="B286" i="10" s="1" a="1"/>
  <c r="B286" i="10" s="1"/>
  <c r="B134" i="6"/>
  <c r="C222" i="6"/>
  <c r="C198" i="6"/>
  <c r="B299" i="6"/>
  <c r="B299" i="10" s="1" a="1"/>
  <c r="B299" i="10" s="1"/>
  <c r="C234" i="6"/>
  <c r="B200" i="6"/>
  <c r="B194" i="6"/>
  <c r="C207" i="6"/>
  <c r="B261" i="6"/>
  <c r="B261" i="10" s="1" a="1"/>
  <c r="B261" i="10" s="1"/>
  <c r="B224" i="6"/>
  <c r="B157" i="6"/>
  <c r="B236" i="6"/>
  <c r="C273" i="6"/>
  <c r="C273" i="10" s="1" a="1"/>
  <c r="C273" i="10" s="1"/>
  <c r="B247" i="6"/>
  <c r="C226" i="6"/>
  <c r="B264" i="6"/>
  <c r="B264" i="10" s="1" a="1"/>
  <c r="B264" i="10" s="1"/>
  <c r="C197" i="6"/>
  <c r="C175" i="6"/>
  <c r="B227" i="6"/>
  <c r="B270" i="6"/>
  <c r="B270" i="10" s="1" a="1"/>
  <c r="B270" i="10" s="1"/>
  <c r="B175" i="6"/>
  <c r="B238" i="6"/>
  <c r="C168" i="6"/>
  <c r="B233" i="6"/>
  <c r="B248" i="6"/>
  <c r="C230" i="6"/>
  <c r="C241" i="6"/>
  <c r="B274" i="6"/>
  <c r="B274" i="10" s="1" a="1"/>
  <c r="B274" i="10" s="1"/>
  <c r="C291" i="6"/>
  <c r="C291" i="10" s="1" a="1"/>
  <c r="C291" i="10" s="1"/>
  <c r="C206" i="6"/>
  <c r="B246" i="6"/>
  <c r="C139" i="6"/>
  <c r="C194" i="6"/>
  <c r="B223" i="6"/>
  <c r="C212" i="6"/>
  <c r="B135" i="6"/>
  <c r="C171" i="6"/>
  <c r="C140" i="6"/>
  <c r="C232" i="6"/>
  <c r="C181" i="6"/>
  <c r="C216" i="6"/>
  <c r="B251" i="6"/>
  <c r="B251" i="10" s="1" a="1"/>
  <c r="B251" i="10" s="1"/>
  <c r="B207" i="6"/>
  <c r="B132" i="6"/>
  <c r="B258" i="6"/>
  <c r="B258" i="10" s="1" a="1"/>
  <c r="B258" i="10" s="1"/>
  <c r="C201" i="6"/>
  <c r="C210" i="6"/>
  <c r="C243" i="6"/>
  <c r="B172" i="6"/>
  <c r="B222" i="6"/>
  <c r="C144" i="6"/>
  <c r="B254" i="6"/>
  <c r="B254" i="10" s="1" a="1"/>
  <c r="B254" i="10" s="1"/>
  <c r="B140" i="6"/>
  <c r="C223" i="6"/>
  <c r="C300" i="6"/>
  <c r="C300" i="10" s="1" a="1"/>
  <c r="C300" i="10" s="1"/>
  <c r="C164" i="6"/>
  <c r="B244" i="6"/>
  <c r="B147" i="6"/>
  <c r="B146" i="6"/>
  <c r="B267" i="6"/>
  <c r="B267" i="10" s="1" a="1"/>
  <c r="B267" i="10" s="1"/>
  <c r="B183" i="6"/>
  <c r="B149" i="6"/>
  <c r="C279" i="6"/>
  <c r="C279" i="10" s="1" a="1"/>
  <c r="C279" i="10" s="1"/>
  <c r="C170" i="6"/>
  <c r="B199" i="6"/>
  <c r="B170" i="6"/>
  <c r="C264" i="6"/>
  <c r="C264" i="10" s="1" a="1"/>
  <c r="C264" i="10" s="1"/>
  <c r="C143" i="6"/>
  <c r="C287" i="6"/>
  <c r="C287" i="10" s="1" a="1"/>
  <c r="C287" i="10" s="1"/>
  <c r="B273" i="6"/>
  <c r="B273" i="10" s="1" a="1"/>
  <c r="B273" i="10" s="1"/>
  <c r="B189" i="6"/>
  <c r="C146" i="6"/>
  <c r="B155" i="6"/>
  <c r="C276" i="6"/>
  <c r="C276" i="10" s="1" a="1"/>
  <c r="C276" i="10" s="1"/>
  <c r="B169" i="6"/>
  <c r="C285" i="6"/>
  <c r="C285" i="10" s="1" a="1"/>
  <c r="C285" i="10" s="1"/>
  <c r="B265" i="6"/>
  <c r="B265" i="10" s="1" a="1"/>
  <c r="B265" i="10" s="1"/>
  <c r="C272" i="6"/>
  <c r="C272" i="10" s="1" a="1"/>
  <c r="C272" i="10" s="1"/>
  <c r="B276" i="6"/>
  <c r="B276" i="10" s="1" a="1"/>
  <c r="B276" i="10" s="1"/>
  <c r="B205" i="6"/>
  <c r="B213" i="6"/>
  <c r="B156" i="6"/>
  <c r="B234" i="6"/>
  <c r="C145" i="6"/>
  <c r="C142" i="6"/>
  <c r="C135" i="6"/>
  <c r="B263" i="6"/>
  <c r="B263" i="10" s="1" a="1"/>
  <c r="B263" i="10" s="1"/>
  <c r="C159" i="6"/>
  <c r="C225" i="6"/>
  <c r="C251" i="6"/>
  <c r="C251" i="10" s="1" a="1"/>
  <c r="C251" i="10" s="1"/>
  <c r="B245" i="6"/>
  <c r="C169" i="6"/>
  <c r="B177" i="6"/>
  <c r="B133" i="6"/>
  <c r="C249" i="6"/>
  <c r="C167" i="6"/>
  <c r="B278" i="6"/>
  <c r="B278" i="10" s="1" a="1"/>
  <c r="B278" i="10" s="1"/>
  <c r="B166" i="6"/>
  <c r="B269" i="6"/>
  <c r="B269" i="10" s="1" a="1"/>
  <c r="B269" i="10" s="1"/>
  <c r="G16" i="7" a="1"/>
  <c r="G15" i="7" a="1"/>
  <c r="G14" i="7" a="1"/>
  <c r="G12" i="7" a="1"/>
  <c r="G10" i="7" a="1"/>
  <c r="G13" i="7" a="1"/>
  <c r="G11" i="7" a="1"/>
  <c r="I10" i="7" a="1"/>
  <c r="F16" i="7" a="1"/>
  <c r="F12" i="7" a="1"/>
  <c r="B12" i="7" a="1"/>
  <c r="F14" i="7" a="1"/>
  <c r="F15" i="7" a="1"/>
  <c r="C12" i="7" a="1"/>
  <c r="C15" i="7" a="1"/>
  <c r="C10" i="7" a="1"/>
  <c r="E15" i="7" a="1"/>
  <c r="D15" i="7" a="1"/>
  <c r="B11" i="7" a="1"/>
  <c r="C16" i="7" a="1"/>
  <c r="B14" i="7" a="1"/>
  <c r="F13" i="7" a="1"/>
  <c r="F11" i="7" a="1"/>
  <c r="E13" i="7" a="1"/>
  <c r="B16" i="7" a="1"/>
  <c r="E12" i="7" a="1"/>
  <c r="B13" i="7" a="1"/>
  <c r="D16" i="7" a="1"/>
  <c r="D14" i="7" a="1"/>
  <c r="D10" i="7" a="1"/>
  <c r="D11" i="7" a="1"/>
  <c r="E16" i="7" a="1"/>
  <c r="B15" i="7" a="1"/>
  <c r="C13" i="7" a="1"/>
  <c r="C14" i="7" a="1"/>
  <c r="E14" i="7" a="1"/>
  <c r="E11" i="7" a="1"/>
  <c r="F10" i="7" a="1"/>
  <c r="B10" i="7" a="1"/>
  <c r="B214" i="10" a="1"/>
  <c r="B168" i="10" a="1"/>
  <c r="B233" i="10" a="1"/>
  <c r="C202" i="10" a="1"/>
  <c r="B236" i="10" a="1"/>
  <c r="B245" i="10" a="1"/>
  <c r="C166" i="10" a="1"/>
  <c r="B137" i="10" a="1"/>
  <c r="B171" i="10" a="1"/>
  <c r="C154" i="10" a="1"/>
  <c r="B190" i="10" a="1"/>
  <c r="C134" i="10" a="1"/>
  <c r="C133" i="10" a="1"/>
  <c r="B231" i="10" a="1"/>
  <c r="B249" i="10" a="1"/>
  <c r="B152" i="10" a="1"/>
  <c r="C247" i="10" a="1"/>
  <c r="C189" i="10" a="1"/>
  <c r="C187" i="10" a="1"/>
  <c r="C201" i="10" a="1"/>
  <c r="C232" i="10" a="1"/>
  <c r="C191" i="10" a="1"/>
  <c r="C184" i="10" a="1"/>
  <c r="C244" i="10" a="1"/>
  <c r="C205" i="10" a="1"/>
  <c r="B138" i="10" a="1"/>
  <c r="C248" i="10" a="1"/>
  <c r="B164" i="10" a="1"/>
  <c r="B189" i="10" a="1"/>
  <c r="B185" i="10" a="1"/>
  <c r="C235" i="10" a="1"/>
  <c r="B133" i="10" a="1"/>
  <c r="C193" i="10" a="1"/>
  <c r="C143" i="10" a="1"/>
  <c r="B149" i="10" a="1"/>
  <c r="C181" i="10" a="1"/>
  <c r="B221" i="10" a="1"/>
  <c r="B200" i="10" a="1"/>
  <c r="C169" i="10" a="1"/>
  <c r="B144" i="10" a="1"/>
  <c r="C132" i="10" a="1"/>
  <c r="B170" i="10" a="1"/>
  <c r="C221" i="10" a="1"/>
  <c r="C139" i="10" a="1"/>
  <c r="B187" i="10" a="1"/>
  <c r="C204" i="10" a="1"/>
  <c r="B201" i="10" a="1"/>
  <c r="B220" i="10" a="1"/>
  <c r="C199" i="10" a="1"/>
  <c r="C152" i="10" a="1"/>
  <c r="C194" i="10" a="1"/>
  <c r="C142" i="10" a="1"/>
  <c r="B217" i="10" a="1"/>
  <c r="C180" i="10" a="1"/>
  <c r="B165" i="10" a="1"/>
  <c r="B162" i="10" a="1"/>
  <c r="C192" i="10" a="1"/>
  <c r="C227" i="10" a="1"/>
  <c r="C159" i="10" a="1"/>
  <c r="B203" i="10" a="1"/>
  <c r="C196" i="10" a="1"/>
  <c r="B227" i="10" a="1"/>
  <c r="B215" i="10" a="1"/>
  <c r="C140" i="10" a="1"/>
  <c r="B229" i="10" a="1"/>
  <c r="B158" i="10" a="1"/>
  <c r="B176" i="10" a="1"/>
  <c r="B247" i="10" a="1"/>
  <c r="B163" i="10" a="1"/>
  <c r="B154" i="10" a="1"/>
  <c r="B208" i="10" a="1"/>
  <c r="C164" i="10" a="1"/>
  <c r="B146" i="10" a="1"/>
  <c r="C163" i="10" a="1"/>
  <c r="B216" i="10" a="1"/>
  <c r="C236" i="10" a="1"/>
  <c r="C213" i="10" a="1"/>
  <c r="B234" i="10" a="1"/>
  <c r="C198" i="10" a="1"/>
  <c r="C242" i="10" a="1"/>
  <c r="B222" i="10" a="1"/>
  <c r="C130" i="10" a="1"/>
  <c r="C162" i="10" a="1"/>
  <c r="B178" i="10" a="1"/>
  <c r="C131" i="10" a="1"/>
  <c r="B181" i="10" a="1"/>
  <c r="B230" i="10" a="1"/>
  <c r="C195" i="10" a="1"/>
  <c r="C226" i="10" a="1"/>
  <c r="B150" i="10" a="1"/>
  <c r="C207" i="10" a="1"/>
  <c r="B141" i="10" a="1"/>
  <c r="C151" i="10" a="1"/>
  <c r="C218" i="10" a="1"/>
  <c r="C135" i="10" a="1"/>
  <c r="C186" i="10" a="1"/>
  <c r="C179" i="10" a="1"/>
  <c r="B159" i="10" a="1"/>
  <c r="C138" i="10" a="1"/>
  <c r="C165" i="10" a="1"/>
  <c r="B225" i="10" a="1"/>
  <c r="C178" i="10" a="1"/>
  <c r="C200" i="10" a="1"/>
  <c r="C228" i="10" a="1"/>
  <c r="C229" i="10" a="1"/>
  <c r="C155" i="10" a="1"/>
  <c r="B134" i="10" a="1"/>
  <c r="C216" i="10" a="1"/>
  <c r="B183" i="10" a="1"/>
  <c r="B197" i="10" a="1"/>
  <c r="B235" i="10" a="1"/>
  <c r="C214" i="10" a="1"/>
  <c r="B177" i="10" a="1"/>
  <c r="E10" i="7" a="1"/>
  <c r="C203" i="10" a="1"/>
  <c r="C157" i="10" a="1"/>
  <c r="B180" i="10" a="1"/>
  <c r="C234" i="10" a="1"/>
  <c r="B199" i="10" a="1"/>
  <c r="B192" i="10" a="1"/>
  <c r="C197" i="10" a="1"/>
  <c r="B142" i="10" a="1"/>
  <c r="C230" i="10" a="1"/>
  <c r="B151" i="10" a="1"/>
  <c r="C141" i="10" a="1"/>
  <c r="B210" i="10" a="1"/>
  <c r="B147" i="10" a="1"/>
  <c r="C177" i="10" a="1"/>
  <c r="C188" i="10" a="1"/>
  <c r="B135" i="10" a="1"/>
  <c r="C147" i="10" a="1"/>
  <c r="B243" i="10" a="1"/>
  <c r="C172" i="10" a="1"/>
  <c r="C175" i="10" a="1"/>
  <c r="C137" i="10" a="1"/>
  <c r="C185" i="10" a="1"/>
  <c r="C182" i="10" a="1"/>
  <c r="B207" i="10" a="1"/>
  <c r="C212" i="10" a="1"/>
  <c r="C209" i="10" a="1"/>
  <c r="B194" i="10" a="1"/>
  <c r="C241" i="10" a="1"/>
  <c r="C176" i="10" a="1"/>
  <c r="C148" i="10" a="1"/>
  <c r="B174" i="10" a="1"/>
  <c r="B205" i="10" a="1"/>
  <c r="B186" i="10" a="1"/>
  <c r="C211" i="10" a="1"/>
  <c r="B166" i="10" a="1"/>
  <c r="C243" i="10" a="1"/>
  <c r="C208" i="10" a="1"/>
  <c r="C156" i="10" a="1"/>
  <c r="C183" i="10" a="1"/>
  <c r="B237" i="10" a="1"/>
  <c r="C206" i="10" a="1"/>
  <c r="C161" i="10" a="1"/>
  <c r="C233" i="10" a="1"/>
  <c r="C173" i="10" a="1"/>
  <c r="B153" i="10" a="1"/>
  <c r="C167" i="10" a="1"/>
  <c r="B228" i="10" a="1"/>
  <c r="B240" i="10" a="1"/>
  <c r="B175" i="10" a="1"/>
  <c r="C217" i="10" a="1"/>
  <c r="B239" i="10" a="1"/>
  <c r="B198" i="10" a="1"/>
  <c r="C245" i="10" a="1"/>
  <c r="B179" i="10" a="1"/>
  <c r="B195" i="10" a="1"/>
  <c r="B193" i="10" a="1"/>
  <c r="B130" i="10" a="1"/>
  <c r="B172" i="10" a="1"/>
  <c r="B182" i="10" a="1"/>
  <c r="B241" i="10" a="1"/>
  <c r="C158" i="10" a="1"/>
  <c r="B224" i="10" a="1"/>
  <c r="C136" i="10" a="1"/>
  <c r="C144" i="10" a="1"/>
  <c r="C249" i="10" a="1"/>
  <c r="C190" i="10" a="1"/>
  <c r="C145" i="10" a="1"/>
  <c r="C222" i="10" a="1"/>
  <c r="B196" i="10" a="1"/>
  <c r="C215" i="10" a="1"/>
  <c r="C150" i="10" a="1"/>
  <c r="C210" i="10" a="1"/>
  <c r="C149" i="10" a="1"/>
  <c r="B160" i="10" a="1"/>
  <c r="B132" i="10" a="1"/>
  <c r="B223" i="10" a="1"/>
  <c r="C220" i="10" a="1"/>
  <c r="C146" i="10" a="1"/>
  <c r="B238" i="10" a="1"/>
  <c r="B136" i="10" a="1"/>
  <c r="C174" i="10" a="1"/>
  <c r="C231" i="10" a="1"/>
  <c r="B148" i="10" a="1"/>
  <c r="C170" i="10" a="1"/>
  <c r="C239" i="10" a="1"/>
  <c r="B232" i="10" a="1"/>
  <c r="B219" i="10" a="1"/>
  <c r="B139" i="10" a="1"/>
  <c r="C240" i="10" a="1"/>
  <c r="C168" i="10" a="1"/>
  <c r="B191" i="10" a="1"/>
  <c r="C219" i="10" a="1"/>
  <c r="C223" i="10" a="1"/>
  <c r="B167" i="10" a="1"/>
  <c r="B169" i="10" a="1"/>
  <c r="B188" i="10" a="1"/>
  <c r="B184" i="10" a="1"/>
  <c r="B156" i="10" a="1"/>
  <c r="B157" i="10" a="1"/>
  <c r="C246" i="10" a="1"/>
  <c r="B206" i="10" a="1"/>
  <c r="B213" i="10" a="1"/>
  <c r="C160" i="10" a="1"/>
  <c r="C153" i="10" a="1"/>
  <c r="B211" i="10" a="1"/>
  <c r="B202" i="10" a="1"/>
  <c r="B209" i="10" a="1"/>
  <c r="B143" i="10" a="1"/>
  <c r="C238" i="10" a="1"/>
  <c r="B161" i="10" a="1"/>
  <c r="B218" i="10" a="1"/>
  <c r="B204" i="10" a="1"/>
  <c r="B173" i="10" a="1"/>
  <c r="B248" i="10" a="1"/>
  <c r="B140" i="10" a="1"/>
  <c r="B155" i="10" a="1"/>
  <c r="B226" i="10" a="1"/>
  <c r="B242" i="10" a="1"/>
  <c r="B246" i="10" a="1"/>
  <c r="C225" i="10" a="1"/>
  <c r="B145" i="10" a="1"/>
  <c r="B212" i="10" a="1"/>
  <c r="C237" i="10" a="1"/>
  <c r="B244" i="10" a="1"/>
  <c r="C224" i="10" a="1"/>
  <c r="C171" i="10" a="1"/>
  <c r="B131" i="10" a="1"/>
  <c r="B177" i="10" l="1"/>
  <c r="B183" i="10"/>
  <c r="B244" i="10"/>
  <c r="B140" i="10"/>
  <c r="B172" i="10"/>
  <c r="B248" i="10"/>
  <c r="B175" i="10"/>
  <c r="B134" i="10"/>
  <c r="B173" i="10"/>
  <c r="B180" i="10"/>
  <c r="B204" i="10"/>
  <c r="B130" i="10"/>
  <c r="B212" i="10"/>
  <c r="B218" i="10"/>
  <c r="B131" i="10"/>
  <c r="B161" i="10"/>
  <c r="B193" i="10"/>
  <c r="B145" i="10"/>
  <c r="B136" i="10"/>
  <c r="B220" i="10"/>
  <c r="B143" i="10"/>
  <c r="B195" i="10"/>
  <c r="B225" i="10"/>
  <c r="B219" i="10"/>
  <c r="B201" i="10"/>
  <c r="B188" i="10"/>
  <c r="B209" i="10"/>
  <c r="B179" i="10"/>
  <c r="B239" i="10"/>
  <c r="B202" i="10"/>
  <c r="B197" i="10"/>
  <c r="B187" i="10"/>
  <c r="B213" i="10"/>
  <c r="B155" i="10"/>
  <c r="B199" i="10"/>
  <c r="B205" i="10"/>
  <c r="B132" i="10"/>
  <c r="B135" i="10"/>
  <c r="B233" i="10"/>
  <c r="B236" i="10"/>
  <c r="B164" i="10"/>
  <c r="B153" i="10"/>
  <c r="B214" i="10"/>
  <c r="B206" i="10"/>
  <c r="B217" i="10"/>
  <c r="B211" i="10"/>
  <c r="B160" i="10"/>
  <c r="B228" i="10"/>
  <c r="B181" i="10"/>
  <c r="B242" i="10"/>
  <c r="B226" i="10"/>
  <c r="B148" i="10"/>
  <c r="B203" i="10"/>
  <c r="B231" i="10"/>
  <c r="B240" i="10"/>
  <c r="B139" i="10"/>
  <c r="B237" i="10"/>
  <c r="B198" i="10"/>
  <c r="B174" i="10"/>
  <c r="B243" i="10"/>
  <c r="B245" i="10"/>
  <c r="B234" i="10"/>
  <c r="B169" i="10"/>
  <c r="B189" i="10"/>
  <c r="B146" i="10"/>
  <c r="B207" i="10"/>
  <c r="B246" i="10"/>
  <c r="B227" i="10"/>
  <c r="B157" i="10"/>
  <c r="B194" i="10"/>
  <c r="B144" i="10"/>
  <c r="B221" i="10"/>
  <c r="B141" i="10"/>
  <c r="B142" i="10"/>
  <c r="B178" i="10"/>
  <c r="B190" i="10"/>
  <c r="B158" i="10"/>
  <c r="B232" i="10"/>
  <c r="B184" i="10"/>
  <c r="B171" i="10"/>
  <c r="B249" i="10"/>
  <c r="B185" i="10"/>
  <c r="B152" i="10"/>
  <c r="B150" i="10"/>
  <c r="B182" i="10"/>
  <c r="B162" i="10"/>
  <c r="B241" i="10"/>
  <c r="B166" i="10"/>
  <c r="B133" i="10"/>
  <c r="B156" i="10"/>
  <c r="B170" i="10"/>
  <c r="B149" i="10"/>
  <c r="B147" i="10"/>
  <c r="B222" i="10"/>
  <c r="B223" i="10"/>
  <c r="B238" i="10"/>
  <c r="B247" i="10"/>
  <c r="B224" i="10"/>
  <c r="B200" i="10"/>
  <c r="B208" i="10"/>
  <c r="B215" i="10"/>
  <c r="B163" i="10"/>
  <c r="B191" i="10"/>
  <c r="B196" i="10"/>
  <c r="B176" i="10"/>
  <c r="B159" i="10"/>
  <c r="B210" i="10"/>
  <c r="B165" i="10"/>
  <c r="B154" i="10"/>
  <c r="B137" i="10"/>
  <c r="B216" i="10"/>
  <c r="B138" i="10"/>
  <c r="B235" i="10"/>
  <c r="B168" i="10"/>
  <c r="B192" i="10"/>
  <c r="B151" i="10"/>
  <c r="B186" i="10"/>
  <c r="B229" i="10"/>
  <c r="B230" i="10"/>
  <c r="B167" i="10"/>
  <c r="C144" i="10"/>
  <c r="C130" i="10"/>
  <c r="C141" i="10"/>
  <c r="C153" i="10"/>
  <c r="C134" i="10"/>
  <c r="C149" i="10"/>
  <c r="C142" i="10"/>
  <c r="C146" i="10"/>
  <c r="C147" i="10"/>
  <c r="C133" i="10"/>
  <c r="C137" i="10"/>
  <c r="C136" i="10"/>
  <c r="C138" i="10"/>
  <c r="C131" i="10"/>
  <c r="C143" i="10"/>
  <c r="C152" i="10"/>
  <c r="C148" i="10"/>
  <c r="C150" i="10"/>
  <c r="C151" i="10"/>
  <c r="C145" i="10"/>
  <c r="C135" i="10"/>
  <c r="C140" i="10"/>
  <c r="C139" i="10"/>
  <c r="C132" i="10"/>
  <c r="C249" i="10"/>
  <c r="C170" i="10"/>
  <c r="C210" i="10"/>
  <c r="C223" i="10"/>
  <c r="C201" i="10"/>
  <c r="C181" i="10"/>
  <c r="C207" i="10"/>
  <c r="C188" i="10"/>
  <c r="C183" i="10"/>
  <c r="C248" i="10"/>
  <c r="C202" i="10"/>
  <c r="C163" i="10"/>
  <c r="C228" i="10"/>
  <c r="C203" i="10"/>
  <c r="C189" i="10"/>
  <c r="C247" i="10"/>
  <c r="C215" i="10"/>
  <c r="C224" i="10"/>
  <c r="C236" i="10"/>
  <c r="C204" i="10"/>
  <c r="C205" i="10"/>
  <c r="C221" i="10"/>
  <c r="C232" i="10"/>
  <c r="C171" i="10"/>
  <c r="C206" i="10"/>
  <c r="C241" i="10"/>
  <c r="C230" i="10"/>
  <c r="C168" i="10"/>
  <c r="C197" i="10"/>
  <c r="C155" i="10"/>
  <c r="C213" i="10"/>
  <c r="C158" i="10"/>
  <c r="C199" i="10"/>
  <c r="C154" i="10"/>
  <c r="C231" i="10"/>
  <c r="C187" i="10"/>
  <c r="C208" i="10"/>
  <c r="C166" i="10"/>
  <c r="C162" i="10"/>
  <c r="C217" i="10"/>
  <c r="C190" i="10"/>
  <c r="C186" i="10"/>
  <c r="C156" i="10"/>
  <c r="C211" i="10"/>
  <c r="C191" i="10"/>
  <c r="C220" i="10"/>
  <c r="C167" i="10"/>
  <c r="C169" i="10"/>
  <c r="C225" i="10"/>
  <c r="C164" i="10"/>
  <c r="C243" i="10"/>
  <c r="C216" i="10"/>
  <c r="C194" i="10"/>
  <c r="C234" i="10"/>
  <c r="C198" i="10"/>
  <c r="C237" i="10"/>
  <c r="C177" i="10"/>
  <c r="C219" i="10"/>
  <c r="C229" i="10"/>
  <c r="C160" i="10"/>
  <c r="C161" i="10"/>
  <c r="C176" i="10"/>
  <c r="C227" i="10"/>
  <c r="C184" i="10"/>
  <c r="C238" i="10"/>
  <c r="C174" i="10"/>
  <c r="C180" i="10"/>
  <c r="C195" i="10"/>
  <c r="C239" i="10"/>
  <c r="C244" i="10"/>
  <c r="C165" i="10"/>
  <c r="C209" i="10"/>
  <c r="C179" i="10"/>
  <c r="C245" i="10"/>
  <c r="C159" i="10"/>
  <c r="C212" i="10"/>
  <c r="C175" i="10"/>
  <c r="C226" i="10"/>
  <c r="C222" i="10"/>
  <c r="C193" i="10"/>
  <c r="C196" i="10"/>
  <c r="C182" i="10"/>
  <c r="C172" i="10"/>
  <c r="C240" i="10"/>
  <c r="C157" i="10"/>
  <c r="C246" i="10"/>
  <c r="C200" i="10"/>
  <c r="C173" i="10"/>
  <c r="C185" i="10"/>
  <c r="C235" i="10"/>
  <c r="C218" i="10"/>
  <c r="C178" i="10"/>
  <c r="C214" i="10"/>
  <c r="C242" i="10"/>
  <c r="C233" i="10"/>
  <c r="C192" i="10"/>
  <c r="E12" i="7"/>
  <c r="B15" i="7"/>
  <c r="D10" i="7"/>
  <c r="E11" i="7"/>
  <c r="G12" i="7"/>
  <c r="B14" i="7"/>
  <c r="C15" i="7"/>
  <c r="D16" i="7"/>
  <c r="G13" i="7"/>
  <c r="E10" i="7"/>
  <c r="F11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C13" i="7"/>
  <c r="E14" i="7"/>
  <c r="F15" i="7"/>
  <c r="G16" i="7"/>
  <c r="B16" i="7"/>
  <c r="D11" i="7"/>
  <c r="B12" i="7"/>
  <c r="E13" i="7"/>
  <c r="F14" i="7"/>
  <c r="G15" i="7"/>
  <c r="B10" i="7"/>
  <c r="I10" i="7"/>
  <c r="C12" i="7"/>
  <c r="F13" i="7"/>
  <c r="G14" i="7"/>
  <c r="G9" i="7" a="1"/>
  <c r="B9" i="7" a="1"/>
  <c r="C9" i="7" a="1"/>
  <c r="D9" i="7" a="1"/>
  <c r="F9" i="7" a="1"/>
  <c r="E9" i="7" a="1"/>
  <c r="H9" i="7" a="1"/>
  <c r="I9" i="7" a="1"/>
  <c r="H16" i="7" a="1"/>
  <c r="H14" i="7" a="1"/>
  <c r="C11" i="7" a="1"/>
  <c r="H13" i="7" a="1"/>
  <c r="H10" i="7" a="1"/>
  <c r="H12" i="7" a="1"/>
  <c r="H11" i="7" a="1"/>
  <c r="D13" i="7" a="1"/>
  <c r="H15" i="7" a="1"/>
  <c r="H11" i="7" l="1"/>
  <c r="H12" i="7"/>
  <c r="H14" i="7"/>
  <c r="H10" i="7"/>
  <c r="H15" i="7"/>
  <c r="H13" i="7"/>
  <c r="H16" i="7"/>
  <c r="C11" i="7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G194" i="7" l="1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I7" i="7" l="1" a="1"/>
  <c r="D7" i="7" a="1"/>
  <c r="H7" i="7" a="1"/>
  <c r="C7" i="7" a="1"/>
  <c r="F7" i="7" a="1"/>
  <c r="B7" i="7" a="1"/>
  <c r="E7" i="7" a="1"/>
  <c r="E7" i="7" l="1"/>
  <c r="B7" i="7"/>
  <c r="F7" i="7"/>
  <c r="C7" i="7"/>
  <c r="H7" i="7"/>
  <c r="D7" i="7"/>
  <c r="I7" i="7"/>
  <c r="B104" i="7" l="1" a="1"/>
  <c r="E51" i="7" a="1"/>
  <c r="C29" i="7" a="1"/>
  <c r="D37" i="7" a="1"/>
  <c r="B71" i="7" a="1"/>
  <c r="B120" i="7" a="1"/>
  <c r="E70" i="7" a="1"/>
  <c r="I93" i="7" a="1"/>
  <c r="C73" i="7" a="1"/>
  <c r="B27" i="7" a="1"/>
  <c r="H18" i="7" a="1"/>
  <c r="I11" i="7" a="1"/>
  <c r="C86" i="7" a="1"/>
  <c r="C100" i="7" a="1"/>
  <c r="H19" i="7" a="1"/>
  <c r="C41" i="7" a="1"/>
  <c r="I16" i="7" a="1"/>
  <c r="E123" i="7" a="1"/>
  <c r="B106" i="7" a="1"/>
  <c r="D29" i="7" a="1"/>
  <c r="H17" i="7" a="1"/>
  <c r="D105" i="7" a="1"/>
  <c r="C44" i="7" a="1"/>
  <c r="E45" i="7" a="1"/>
  <c r="E69" i="7" a="1"/>
  <c r="C50" i="7" a="1"/>
  <c r="C120" i="7" a="1"/>
  <c r="D99" i="7" a="1"/>
  <c r="I70" i="7" a="1"/>
  <c r="D91" i="7" a="1"/>
  <c r="I84" i="7" a="1"/>
  <c r="E58" i="7" a="1"/>
  <c r="B25" i="7" a="1"/>
  <c r="B53" i="7" a="1"/>
  <c r="C30" i="7" a="1"/>
  <c r="D100" i="7" a="1"/>
  <c r="D26" i="7" a="1"/>
  <c r="B22" i="7" a="1"/>
  <c r="B29" i="7" a="1"/>
  <c r="B84" i="7" a="1"/>
  <c r="D109" i="7" a="1"/>
  <c r="C39" i="7" a="1"/>
  <c r="C68" i="7" a="1"/>
  <c r="C58" i="7" a="1"/>
  <c r="C114" i="7" a="1"/>
  <c r="C124" i="7" a="1"/>
  <c r="C46" i="7" a="1"/>
  <c r="B40" i="7" a="1"/>
  <c r="B59" i="7" a="1"/>
  <c r="C90" i="7" a="1"/>
  <c r="E54" i="7" a="1"/>
  <c r="E19" i="7" a="1"/>
  <c r="B65" i="7" a="1"/>
  <c r="I69" i="7" a="1"/>
  <c r="I43" i="7" a="1"/>
  <c r="E94" i="7" a="1"/>
  <c r="I96" i="7" a="1"/>
  <c r="C103" i="7" a="1"/>
  <c r="I104" i="7" a="1"/>
  <c r="E31" i="7" a="1"/>
  <c r="I51" i="7" a="1"/>
  <c r="I100" i="7" a="1"/>
  <c r="C123" i="7" a="1"/>
  <c r="F33" i="7" a="1"/>
  <c r="D25" i="7" a="1"/>
  <c r="D58" i="7" a="1"/>
  <c r="F27" i="7" a="1"/>
  <c r="F28" i="7" a="1"/>
  <c r="D49" i="7" a="1"/>
  <c r="D43" i="7" a="1"/>
  <c r="B129" i="7" a="1"/>
  <c r="I12" i="7" a="1"/>
  <c r="B128" i="7" a="1"/>
  <c r="B98" i="7" a="1"/>
  <c r="I36" i="7" a="1"/>
  <c r="D31" i="7" a="1"/>
  <c r="B48" i="7" a="1"/>
  <c r="B19" i="7" a="1"/>
  <c r="I20" i="7" a="1"/>
  <c r="D113" i="7" a="1"/>
  <c r="C78" i="7" a="1"/>
  <c r="D101" i="7" a="1"/>
  <c r="B86" i="7" a="1"/>
  <c r="B99" i="7" a="1"/>
  <c r="E32" i="7" a="1"/>
  <c r="E108" i="7" a="1"/>
  <c r="C66" i="7" a="1"/>
  <c r="E87" i="7" a="1"/>
  <c r="B41" i="7" a="1"/>
  <c r="E97" i="7" a="1"/>
  <c r="F23" i="7" a="1"/>
  <c r="D40" i="7" a="1"/>
  <c r="F31" i="7" a="1"/>
  <c r="I45" i="7" a="1"/>
  <c r="E40" i="7" a="1"/>
  <c r="C19" i="7" a="1"/>
  <c r="C108" i="7" a="1"/>
  <c r="B32" i="7" a="1"/>
  <c r="C91" i="7" a="1"/>
  <c r="E52" i="7" a="1"/>
  <c r="C102" i="7" a="1"/>
  <c r="D87" i="7" a="1"/>
  <c r="B63" i="7" a="1"/>
  <c r="I91" i="7" a="1"/>
  <c r="C128" i="7" a="1"/>
  <c r="B24" i="7" a="1"/>
  <c r="I62" i="7" a="1"/>
  <c r="E44" i="7" a="1"/>
  <c r="I88" i="7" a="1"/>
  <c r="C61" i="7" a="1"/>
  <c r="I113" i="7" a="1"/>
  <c r="I55" i="7" a="1"/>
  <c r="D94" i="7" a="1"/>
  <c r="D53" i="7" a="1"/>
  <c r="I108" i="7" a="1"/>
  <c r="C89" i="7" a="1"/>
  <c r="I44" i="7" a="1"/>
  <c r="E128" i="7" a="1"/>
  <c r="E79" i="7" a="1"/>
  <c r="B79" i="7" a="1"/>
  <c r="C98" i="7" a="1"/>
  <c r="D111" i="7" a="1"/>
  <c r="C32" i="7" a="1"/>
  <c r="E59" i="7" a="1"/>
  <c r="C25" i="7" a="1"/>
  <c r="I80" i="7" a="1"/>
  <c r="B72" i="7" a="1"/>
  <c r="E115" i="7" a="1"/>
  <c r="I99" i="7" a="1"/>
  <c r="I33" i="7" a="1"/>
  <c r="E39" i="7" a="1"/>
  <c r="C113" i="7" a="1"/>
  <c r="E56" i="7" a="1"/>
  <c r="C23" i="7" a="1"/>
  <c r="I124" i="7" a="1"/>
  <c r="B81" i="7" a="1"/>
  <c r="I103" i="7" a="1"/>
  <c r="D20" i="7" a="1"/>
  <c r="B85" i="7" a="1"/>
  <c r="I15" i="7" a="1"/>
  <c r="E36" i="7" a="1"/>
  <c r="D104" i="7" a="1"/>
  <c r="I125" i="7" a="1"/>
  <c r="H20" i="7" a="1"/>
  <c r="F26" i="7" a="1"/>
  <c r="D81" i="7" a="1"/>
  <c r="C63" i="7" a="1"/>
  <c r="D96" i="7" a="1"/>
  <c r="I98" i="7" a="1"/>
  <c r="D128" i="7" a="1"/>
  <c r="D106" i="7" a="1"/>
  <c r="C116" i="7" a="1"/>
  <c r="D110" i="7" a="1"/>
  <c r="B96" i="7" a="1"/>
  <c r="D112" i="7" a="1"/>
  <c r="C97" i="7" a="1"/>
  <c r="I107" i="7" a="1"/>
  <c r="E38" i="7" a="1"/>
  <c r="B83" i="7" a="1"/>
  <c r="E82" i="7" a="1"/>
  <c r="E118" i="7" a="1"/>
  <c r="D72" i="7" a="1"/>
  <c r="F21" i="7" a="1"/>
  <c r="I129" i="7" a="1"/>
  <c r="I14" i="7" a="1"/>
  <c r="C122" i="7" a="1"/>
  <c r="C35" i="7" a="1"/>
  <c r="B70" i="7" a="1"/>
  <c r="D84" i="7" a="1"/>
  <c r="I27" i="7" a="1"/>
  <c r="D33" i="7" a="1"/>
  <c r="E99" i="7" a="1"/>
  <c r="B107" i="7" a="1"/>
  <c r="D57" i="7" a="1"/>
  <c r="I117" i="7" a="1"/>
  <c r="D93" i="7" a="1"/>
  <c r="H25" i="7" a="1"/>
  <c r="C48" i="7" a="1"/>
  <c r="D107" i="7" a="1"/>
  <c r="C43" i="7" a="1"/>
  <c r="E116" i="7" a="1"/>
  <c r="E85" i="7" a="1"/>
  <c r="B45" i="7" a="1"/>
  <c r="D121" i="7" a="1"/>
  <c r="C79" i="7" a="1"/>
  <c r="D74" i="7" a="1"/>
  <c r="I38" i="7" a="1"/>
  <c r="I78" i="7" a="1"/>
  <c r="B113" i="7" a="1"/>
  <c r="I29" i="7" a="1"/>
  <c r="B76" i="7" a="1"/>
  <c r="B88" i="7" a="1"/>
  <c r="I114" i="7" a="1"/>
  <c r="I54" i="7" a="1"/>
  <c r="I112" i="7" a="1"/>
  <c r="I18" i="7" a="1"/>
  <c r="F17" i="7" a="1"/>
  <c r="C33" i="7" a="1"/>
  <c r="B33" i="7" a="1"/>
  <c r="I118" i="7" a="1"/>
  <c r="E74" i="7" a="1"/>
  <c r="D52" i="7" a="1"/>
  <c r="I21" i="7" a="1"/>
  <c r="E63" i="7" a="1"/>
  <c r="B123" i="7" a="1"/>
  <c r="I71" i="7" a="1"/>
  <c r="B54" i="7" a="1"/>
  <c r="B31" i="7" a="1"/>
  <c r="E103" i="7" a="1"/>
  <c r="D77" i="7" a="1"/>
  <c r="B111" i="7" a="1"/>
  <c r="C42" i="7" a="1"/>
  <c r="I77" i="7" a="1"/>
  <c r="B77" i="7" a="1"/>
  <c r="B115" i="7" a="1"/>
  <c r="B52" i="7" a="1"/>
  <c r="E60" i="7" a="1"/>
  <c r="C93" i="7" a="1"/>
  <c r="I73" i="7" a="1"/>
  <c r="E68" i="7" a="1"/>
  <c r="B39" i="7" a="1"/>
  <c r="H31" i="7" a="1"/>
  <c r="I35" i="7" a="1"/>
  <c r="E28" i="7" a="1"/>
  <c r="C71" i="7" a="1"/>
  <c r="E48" i="7" a="1"/>
  <c r="D45" i="7" a="1"/>
  <c r="E112" i="7" a="1"/>
  <c r="B118" i="7" a="1"/>
  <c r="D127" i="7" a="1"/>
  <c r="B101" i="7" a="1"/>
  <c r="E77" i="7" a="1"/>
  <c r="B44" i="7" a="1"/>
  <c r="F25" i="7" a="1"/>
  <c r="C77" i="7" a="1"/>
  <c r="E22" i="7" a="1"/>
  <c r="C37" i="7" a="1"/>
  <c r="C65" i="7" a="1"/>
  <c r="B102" i="7" a="1"/>
  <c r="B46" i="7" a="1"/>
  <c r="D46" i="7" a="1"/>
  <c r="D36" i="7" a="1"/>
  <c r="I74" i="7" a="1"/>
  <c r="C38" i="7" a="1"/>
  <c r="D66" i="7" a="1"/>
  <c r="H26" i="7" a="1"/>
  <c r="C92" i="7" a="1"/>
  <c r="C74" i="7" a="1"/>
  <c r="C72" i="7" a="1"/>
  <c r="F20" i="7" a="1"/>
  <c r="D98" i="7" a="1"/>
  <c r="I63" i="7" a="1"/>
  <c r="E122" i="7" a="1"/>
  <c r="I41" i="7" a="1"/>
  <c r="D114" i="7" a="1"/>
  <c r="D27" i="7" a="1"/>
  <c r="B94" i="7" a="1"/>
  <c r="B66" i="7" a="1"/>
  <c r="E102" i="7" a="1"/>
  <c r="B58" i="7" a="1"/>
  <c r="C129" i="7" a="1"/>
  <c r="E107" i="7" a="1"/>
  <c r="C21" i="7" a="1"/>
  <c r="C20" i="7" a="1"/>
  <c r="B116" i="7" a="1"/>
  <c r="C94" i="7" a="1"/>
  <c r="B119" i="7" a="1"/>
  <c r="E18" i="7" a="1"/>
  <c r="B26" i="7" a="1"/>
  <c r="I23" i="7" a="1"/>
  <c r="E114" i="7" a="1"/>
  <c r="C96" i="7" a="1"/>
  <c r="D103" i="7" a="1"/>
  <c r="D63" i="7" a="1"/>
  <c r="I76" i="7" a="1"/>
  <c r="D21" i="7" a="1"/>
  <c r="D102" i="7" a="1"/>
  <c r="D75" i="7" a="1"/>
  <c r="B43" i="7" a="1"/>
  <c r="E46" i="7" a="1"/>
  <c r="I101" i="7" a="1"/>
  <c r="B75" i="7" a="1"/>
  <c r="C95" i="7" a="1"/>
  <c r="I94" i="7" a="1"/>
  <c r="C17" i="7" a="1"/>
  <c r="D82" i="7" a="1"/>
  <c r="E124" i="7" a="1"/>
  <c r="I66" i="7" a="1"/>
  <c r="I53" i="7" a="1"/>
  <c r="B89" i="7" a="1"/>
  <c r="I40" i="7" a="1"/>
  <c r="B97" i="7" a="1"/>
  <c r="D44" i="7" a="1"/>
  <c r="B78" i="7" a="1"/>
  <c r="D92" i="7" a="1"/>
  <c r="D73" i="7" a="1"/>
  <c r="C60" i="7" a="1"/>
  <c r="C75" i="7" a="1"/>
  <c r="E57" i="7" a="1"/>
  <c r="F18" i="7" a="1"/>
  <c r="I67" i="7" a="1"/>
  <c r="I19" i="7" a="1"/>
  <c r="I95" i="7" a="1"/>
  <c r="B62" i="7" a="1"/>
  <c r="I58" i="7" a="1"/>
  <c r="C22" i="7" a="1"/>
  <c r="B20" i="7" a="1"/>
  <c r="B18" i="7" a="1"/>
  <c r="B60" i="7" a="1"/>
  <c r="B74" i="7" a="1"/>
  <c r="E100" i="7" a="1"/>
  <c r="E129" i="7" a="1"/>
  <c r="D89" i="7" a="1"/>
  <c r="C81" i="7" a="1"/>
  <c r="E91" i="7" a="1"/>
  <c r="C126" i="7" a="1"/>
  <c r="E30" i="7" a="1"/>
  <c r="I17" i="7" a="1"/>
  <c r="E75" i="7" a="1"/>
  <c r="F19" i="7" a="1"/>
  <c r="C119" i="7" a="1"/>
  <c r="D19" i="7" a="1"/>
  <c r="E96" i="7" a="1"/>
  <c r="C101" i="7" a="1"/>
  <c r="D79" i="7" a="1"/>
  <c r="D22" i="7" a="1"/>
  <c r="B51" i="7" a="1"/>
  <c r="B117" i="7" a="1"/>
  <c r="I85" i="7" a="1"/>
  <c r="D17" i="7" a="1"/>
  <c r="E55" i="7" a="1"/>
  <c r="I59" i="7" a="1"/>
  <c r="D65" i="7" a="1"/>
  <c r="C104" i="7" a="1"/>
  <c r="B125" i="7" a="1"/>
  <c r="I32" i="7" a="1"/>
  <c r="D12" i="7" a="1"/>
  <c r="D56" i="7" a="1"/>
  <c r="B91" i="7" a="1"/>
  <c r="I50" i="7" a="1"/>
  <c r="C107" i="7" a="1"/>
  <c r="E93" i="7" a="1"/>
  <c r="B127" i="7" a="1"/>
  <c r="D78" i="7" a="1"/>
  <c r="E105" i="7" a="1"/>
  <c r="I75" i="7" a="1"/>
  <c r="D48" i="7" a="1"/>
  <c r="E113" i="7" a="1"/>
  <c r="B34" i="7" a="1"/>
  <c r="B80" i="7" a="1"/>
  <c r="H27" i="7" a="1"/>
  <c r="F22" i="7" a="1"/>
  <c r="I72" i="7" a="1"/>
  <c r="D126" i="7" a="1"/>
  <c r="B126" i="7" a="1"/>
  <c r="B103" i="7" a="1"/>
  <c r="I86" i="7" a="1"/>
  <c r="D68" i="7" a="1"/>
  <c r="D51" i="7" a="1"/>
  <c r="D67" i="7" a="1"/>
  <c r="D38" i="7" a="1"/>
  <c r="B36" i="7" a="1"/>
  <c r="B55" i="7" a="1"/>
  <c r="F24" i="7" a="1"/>
  <c r="I30" i="7" a="1"/>
  <c r="H33" i="7" a="1"/>
  <c r="I106" i="7" a="1"/>
  <c r="C69" i="7" a="1"/>
  <c r="B68" i="7" a="1"/>
  <c r="C115" i="7" a="1"/>
  <c r="D41" i="7" a="1"/>
  <c r="I82" i="7" a="1"/>
  <c r="B82" i="7" a="1"/>
  <c r="B56" i="7" a="1"/>
  <c r="C52" i="7" a="1"/>
  <c r="D124" i="7" a="1"/>
  <c r="D125" i="7" a="1"/>
  <c r="D118" i="7" a="1"/>
  <c r="D71" i="7" a="1"/>
  <c r="B42" i="7" a="1"/>
  <c r="E84" i="7" a="1"/>
  <c r="I61" i="7" a="1"/>
  <c r="E101" i="7" a="1"/>
  <c r="E104" i="7" a="1"/>
  <c r="C84" i="7" a="1"/>
  <c r="D34" i="7" a="1"/>
  <c r="E49" i="7" a="1"/>
  <c r="I25" i="7" a="1"/>
  <c r="I64" i="7" a="1"/>
  <c r="D69" i="7" a="1"/>
  <c r="D28" i="7" a="1"/>
  <c r="D76" i="7" a="1"/>
  <c r="E67" i="7" a="1"/>
  <c r="E117" i="7" a="1"/>
  <c r="D122" i="7" a="1"/>
  <c r="D85" i="7" a="1"/>
  <c r="D123" i="7" a="1"/>
  <c r="C18" i="7" a="1"/>
  <c r="D30" i="7" a="1"/>
  <c r="B93" i="7" a="1"/>
  <c r="E88" i="7" a="1"/>
  <c r="C49" i="7" a="1"/>
  <c r="D59" i="7" a="1"/>
  <c r="I115" i="7" a="1"/>
  <c r="I87" i="7" a="1"/>
  <c r="C47" i="7" a="1"/>
  <c r="D117" i="7" a="1"/>
  <c r="C54" i="7" a="1"/>
  <c r="B110" i="7" a="1"/>
  <c r="I65" i="7" a="1"/>
  <c r="I49" i="7" a="1"/>
  <c r="D116" i="7" a="1"/>
  <c r="I105" i="7" a="1"/>
  <c r="D24" i="7" a="1"/>
  <c r="I42" i="7" a="1"/>
  <c r="D119" i="7" a="1"/>
  <c r="C40" i="7" a="1"/>
  <c r="E24" i="7" a="1"/>
  <c r="C117" i="7" a="1"/>
  <c r="E35" i="7" a="1"/>
  <c r="B100" i="7" a="1"/>
  <c r="B105" i="7" a="1"/>
  <c r="B49" i="7" a="1"/>
  <c r="I121" i="7" a="1"/>
  <c r="B121" i="7" a="1"/>
  <c r="I56" i="7" a="1"/>
  <c r="I92" i="7" a="1"/>
  <c r="E83" i="7" a="1"/>
  <c r="E125" i="7" a="1"/>
  <c r="B61" i="7" a="1"/>
  <c r="C34" i="7" a="1"/>
  <c r="C87" i="7" a="1"/>
  <c r="D97" i="7" a="1"/>
  <c r="E21" i="7" a="1"/>
  <c r="E43" i="7" a="1"/>
  <c r="I119" i="7" a="1"/>
  <c r="B47" i="7" a="1"/>
  <c r="I128" i="7" a="1"/>
  <c r="H21" i="7" a="1"/>
  <c r="I116" i="7" a="1"/>
  <c r="E111" i="7" a="1"/>
  <c r="I111" i="7" a="1"/>
  <c r="C85" i="7" a="1"/>
  <c r="I127" i="7" a="1"/>
  <c r="B87" i="7" a="1"/>
  <c r="H22" i="7" a="1"/>
  <c r="B38" i="7" a="1"/>
  <c r="I47" i="7" a="1"/>
  <c r="E37" i="7" a="1"/>
  <c r="I22" i="7" a="1"/>
  <c r="B35" i="7" a="1"/>
  <c r="I57" i="7" a="1"/>
  <c r="D115" i="7" a="1"/>
  <c r="B124" i="7" a="1"/>
  <c r="D120" i="7" a="1"/>
  <c r="D90" i="7" a="1"/>
  <c r="D47" i="7" a="1"/>
  <c r="C51" i="7" a="1"/>
  <c r="C55" i="7" a="1"/>
  <c r="E41" i="7" a="1"/>
  <c r="D50" i="7" a="1"/>
  <c r="E47" i="7" a="1"/>
  <c r="I81" i="7" a="1"/>
  <c r="D61" i="7" a="1"/>
  <c r="D64" i="7" a="1"/>
  <c r="I24" i="7" a="1"/>
  <c r="E127" i="7" a="1"/>
  <c r="E126" i="7" a="1"/>
  <c r="C28" i="7" a="1"/>
  <c r="E23" i="7" a="1"/>
  <c r="I46" i="7" a="1"/>
  <c r="D129" i="7" a="1"/>
  <c r="C53" i="7" a="1"/>
  <c r="H23" i="7" a="1"/>
  <c r="C64" i="7" a="1"/>
  <c r="H30" i="7" a="1"/>
  <c r="D32" i="7" a="1"/>
  <c r="E66" i="7" a="1"/>
  <c r="E92" i="7" a="1"/>
  <c r="I31" i="7" a="1"/>
  <c r="I39" i="7" a="1"/>
  <c r="D70" i="7" a="1"/>
  <c r="D83" i="7" a="1"/>
  <c r="B95" i="7" a="1"/>
  <c r="B69" i="7" a="1"/>
  <c r="E73" i="7" a="1"/>
  <c r="I123" i="7" a="1"/>
  <c r="H32" i="7" a="1"/>
  <c r="C56" i="7" a="1"/>
  <c r="E121" i="7" a="1"/>
  <c r="C111" i="7" a="1"/>
  <c r="D39" i="7" a="1"/>
  <c r="D108" i="7" a="1"/>
  <c r="C83" i="7" a="1"/>
  <c r="I60" i="7" a="1"/>
  <c r="C67" i="7" a="1"/>
  <c r="C76" i="7" a="1"/>
  <c r="F29" i="7" a="1"/>
  <c r="B64" i="7" a="1"/>
  <c r="B37" i="7" a="1"/>
  <c r="I97" i="7" a="1"/>
  <c r="C110" i="7" a="1"/>
  <c r="C26" i="7" a="1"/>
  <c r="C121" i="7" a="1"/>
  <c r="B50" i="7" a="1"/>
  <c r="E109" i="7" a="1"/>
  <c r="D54" i="7" a="1"/>
  <c r="C118" i="7" a="1"/>
  <c r="C62" i="7" a="1"/>
  <c r="I83" i="7" a="1"/>
  <c r="C106" i="7" a="1"/>
  <c r="E53" i="7" a="1"/>
  <c r="I90" i="7" a="1"/>
  <c r="F30" i="7" a="1"/>
  <c r="E98" i="7" a="1"/>
  <c r="F32" i="7" a="1"/>
  <c r="E33" i="7" a="1"/>
  <c r="E72" i="7" a="1"/>
  <c r="B108" i="7" a="1"/>
  <c r="B73" i="7" a="1"/>
  <c r="I37" i="7" a="1"/>
  <c r="D62" i="7" a="1"/>
  <c r="B57" i="7" a="1"/>
  <c r="I120" i="7" a="1"/>
  <c r="E80" i="7" a="1"/>
  <c r="D80" i="7" a="1"/>
  <c r="I126" i="7" a="1"/>
  <c r="D95" i="7" a="1"/>
  <c r="C27" i="7" a="1"/>
  <c r="B30" i="7" a="1"/>
  <c r="E78" i="7" a="1"/>
  <c r="B114" i="7" a="1"/>
  <c r="C24" i="7" a="1"/>
  <c r="I109" i="7" a="1"/>
  <c r="H88" i="7" a="1"/>
  <c r="H44" i="7" a="1"/>
  <c r="H45" i="7" a="1"/>
  <c r="H61" i="7" a="1"/>
  <c r="H121" i="7" a="1"/>
  <c r="H103" i="7" a="1"/>
  <c r="H97" i="7" a="1"/>
  <c r="H34" i="7" a="1"/>
  <c r="H126" i="7" a="1"/>
  <c r="H125" i="7" a="1"/>
  <c r="H43" i="7" a="1"/>
  <c r="H55" i="7" a="1"/>
  <c r="H113" i="7" a="1"/>
  <c r="H42" i="7" a="1"/>
  <c r="H112" i="7" a="1"/>
  <c r="H104" i="7" a="1"/>
  <c r="H128" i="7" a="1"/>
  <c r="H124" i="7" a="1"/>
  <c r="H35" i="7" a="1"/>
  <c r="H94" i="7" a="1"/>
  <c r="H46" i="7" a="1"/>
  <c r="H109" i="7" a="1"/>
  <c r="H116" i="7" a="1"/>
  <c r="H100" i="7" a="1"/>
  <c r="H59" i="7" a="1"/>
  <c r="H63" i="7" a="1"/>
  <c r="C57" i="7" a="1"/>
  <c r="I89" i="7" a="1"/>
  <c r="B109" i="7" a="1"/>
  <c r="E61" i="7" a="1"/>
  <c r="B92" i="7" a="1"/>
  <c r="E27" i="7" a="1"/>
  <c r="I34" i="7" a="1"/>
  <c r="C88" i="7" a="1"/>
  <c r="B17" i="7" a="1"/>
  <c r="C82" i="7" a="1"/>
  <c r="E95" i="7" a="1"/>
  <c r="C112" i="7" a="1"/>
  <c r="I48" i="7" a="1"/>
  <c r="E20" i="7" a="1"/>
  <c r="I28" i="7" a="1"/>
  <c r="E25" i="7" a="1"/>
  <c r="D42" i="7" a="1"/>
  <c r="C45" i="7" a="1"/>
  <c r="E86" i="7" a="1"/>
  <c r="B28" i="7" a="1"/>
  <c r="C31" i="7" a="1"/>
  <c r="C59" i="7" a="1"/>
  <c r="I68" i="7" a="1"/>
  <c r="E62" i="7" a="1"/>
  <c r="H52" i="7" a="1"/>
  <c r="H58" i="7" a="1"/>
  <c r="H73" i="7" a="1"/>
  <c r="H110" i="7" a="1"/>
  <c r="H127" i="7" a="1"/>
  <c r="H106" i="7" a="1"/>
  <c r="H84" i="7" a="1"/>
  <c r="H92" i="7" a="1"/>
  <c r="H65" i="7" a="1"/>
  <c r="H101" i="7" a="1"/>
  <c r="H99" i="7" a="1"/>
  <c r="H76" i="7" a="1"/>
  <c r="H87" i="7" a="1"/>
  <c r="H117" i="7" a="1"/>
  <c r="H129" i="7" a="1"/>
  <c r="H47" i="7" a="1"/>
  <c r="H79" i="7" a="1"/>
  <c r="H37" i="7" a="1"/>
  <c r="H122" i="7" a="1"/>
  <c r="H105" i="7" a="1"/>
  <c r="H50" i="7" a="1"/>
  <c r="H74" i="7" a="1"/>
  <c r="B90" i="7" a="1"/>
  <c r="E110" i="7" a="1"/>
  <c r="I102" i="7" a="1"/>
  <c r="E42" i="7" a="1"/>
  <c r="E71" i="7" a="1"/>
  <c r="B23" i="7" a="1"/>
  <c r="D18" i="7" a="1"/>
  <c r="D55" i="7" a="1"/>
  <c r="E17" i="7" a="1"/>
  <c r="E106" i="7" a="1"/>
  <c r="D88" i="7" a="1"/>
  <c r="E119" i="7" a="1"/>
  <c r="C105" i="7" a="1"/>
  <c r="C127" i="7" a="1"/>
  <c r="D23" i="7" a="1"/>
  <c r="E65" i="7" a="1"/>
  <c r="E90" i="7" a="1"/>
  <c r="E29" i="7" a="1"/>
  <c r="D60" i="7" a="1"/>
  <c r="E64" i="7" a="1"/>
  <c r="I13" i="7" a="1"/>
  <c r="C80" i="7" a="1"/>
  <c r="I110" i="7" a="1"/>
  <c r="E34" i="7" a="1"/>
  <c r="H70" i="7" a="1"/>
  <c r="H89" i="7" a="1"/>
  <c r="H83" i="7" a="1"/>
  <c r="H102" i="7" a="1"/>
  <c r="H81" i="7" a="1"/>
  <c r="H56" i="7" a="1"/>
  <c r="H51" i="7" a="1"/>
  <c r="H118" i="7" a="1"/>
  <c r="H80" i="7" a="1"/>
  <c r="H77" i="7" a="1"/>
  <c r="H64" i="7" a="1"/>
  <c r="H38" i="7" a="1"/>
  <c r="H48" i="7" a="1"/>
  <c r="H36" i="7" a="1"/>
  <c r="H85" i="7" a="1"/>
  <c r="H95" i="7" a="1"/>
  <c r="H107" i="7" a="1"/>
  <c r="H108" i="7" a="1"/>
  <c r="H68" i="7" a="1"/>
  <c r="H57" i="7" a="1"/>
  <c r="H39" i="7" a="1"/>
  <c r="H54" i="7" a="1"/>
  <c r="I26" i="7" a="1"/>
  <c r="I52" i="7" a="1"/>
  <c r="I122" i="7" a="1"/>
  <c r="C36" i="7" a="1"/>
  <c r="B112" i="7" a="1"/>
  <c r="B67" i="7" a="1"/>
  <c r="I79" i="7" a="1"/>
  <c r="D35" i="7" a="1"/>
  <c r="B21" i="7" a="1"/>
  <c r="H28" i="7" a="1"/>
  <c r="E26" i="7" a="1"/>
  <c r="B122" i="7" a="1"/>
  <c r="E120" i="7" a="1"/>
  <c r="E81" i="7" a="1"/>
  <c r="D86" i="7" a="1"/>
  <c r="C109" i="7" a="1"/>
  <c r="E89" i="7" a="1"/>
  <c r="C125" i="7" a="1"/>
  <c r="H24" i="7" a="1"/>
  <c r="H29" i="7" a="1"/>
  <c r="E50" i="7" a="1"/>
  <c r="C99" i="7" a="1"/>
  <c r="C70" i="7" a="1"/>
  <c r="E76" i="7" a="1"/>
  <c r="H123" i="7" a="1"/>
  <c r="H93" i="7" a="1"/>
  <c r="H62" i="7" a="1"/>
  <c r="H114" i="7" a="1"/>
  <c r="H86" i="7" a="1"/>
  <c r="H41" i="7" a="1"/>
  <c r="H40" i="7" a="1"/>
  <c r="H115" i="7" a="1"/>
  <c r="H72" i="7" a="1"/>
  <c r="H98" i="7" a="1"/>
  <c r="H96" i="7" a="1"/>
  <c r="H66" i="7" a="1"/>
  <c r="H71" i="7" a="1"/>
  <c r="H60" i="7" a="1"/>
  <c r="H111" i="7" a="1"/>
  <c r="H120" i="7" a="1"/>
  <c r="H67" i="7" a="1"/>
  <c r="H119" i="7" a="1"/>
  <c r="H69" i="7" a="1"/>
  <c r="H82" i="7" a="1"/>
  <c r="H91" i="7" a="1"/>
  <c r="H75" i="7" a="1"/>
  <c r="H49" i="7" a="1"/>
  <c r="H53" i="7" a="1"/>
  <c r="H78" i="7" a="1"/>
  <c r="H90" i="7" a="1"/>
  <c r="B161" i="7" a="1"/>
  <c r="C137" i="7" a="1"/>
  <c r="C149" i="7" a="1"/>
  <c r="B226" i="7" a="1"/>
  <c r="C226" i="7" a="1"/>
  <c r="B213" i="7" a="1"/>
  <c r="E168" i="7" a="1"/>
  <c r="E142" i="7" a="1"/>
  <c r="E130" i="7" a="1"/>
  <c r="B148" i="7" a="1"/>
  <c r="B169" i="7" a="1"/>
  <c r="B245" i="7" a="1"/>
  <c r="I177" i="7" a="1"/>
  <c r="C208" i="7" a="1"/>
  <c r="B204" i="7" a="1"/>
  <c r="I135" i="7" a="1"/>
  <c r="C186" i="7" a="1"/>
  <c r="I134" i="7" a="1"/>
  <c r="B193" i="7" a="1"/>
  <c r="B243" i="7" a="1"/>
  <c r="B137" i="7" a="1"/>
  <c r="B232" i="7" a="1"/>
  <c r="B236" i="7" a="1"/>
  <c r="B150" i="7" a="1"/>
  <c r="C187" i="7" a="1"/>
  <c r="B147" i="7" a="1"/>
  <c r="B158" i="7" a="1"/>
  <c r="E166" i="7" a="1"/>
  <c r="C138" i="7" a="1"/>
  <c r="I142" i="7" a="1"/>
  <c r="B174" i="7" a="1"/>
  <c r="B130" i="7" a="1"/>
  <c r="I144" i="7" a="1"/>
  <c r="C195" i="7" a="1"/>
  <c r="C248" i="7" a="1"/>
  <c r="B221" i="7" a="1"/>
  <c r="I170" i="7" a="1"/>
  <c r="C145" i="7" a="1"/>
  <c r="E160" i="7" a="1"/>
  <c r="B196" i="7" a="1"/>
  <c r="I149" i="7" a="1"/>
  <c r="B225" i="7" a="1"/>
  <c r="E154" i="7" a="1"/>
  <c r="C140" i="7" a="1"/>
  <c r="E140" i="7" a="1"/>
  <c r="C240" i="7" a="1"/>
  <c r="C179" i="7" a="1"/>
  <c r="I148" i="7" a="1"/>
  <c r="C215" i="7" a="1"/>
  <c r="I169" i="7" a="1"/>
  <c r="E143" i="7" a="1"/>
  <c r="C178" i="7" a="1"/>
  <c r="I166" i="7" a="1"/>
  <c r="E176" i="7" a="1"/>
  <c r="C228" i="7" a="1"/>
  <c r="C151" i="7" a="1"/>
  <c r="E171" i="7" a="1"/>
  <c r="C163" i="7" a="1"/>
  <c r="C216" i="7" a="1"/>
  <c r="E159" i="7" a="1"/>
  <c r="B247" i="7" a="1"/>
  <c r="E165" i="7" a="1"/>
  <c r="I158" i="7" a="1"/>
  <c r="I131" i="7" a="1"/>
  <c r="E150" i="7" a="1"/>
  <c r="C184" i="7" a="1"/>
  <c r="C135" i="7" a="1"/>
  <c r="E174" i="7" a="1"/>
  <c r="C230" i="7" a="1"/>
  <c r="B132" i="7" a="1"/>
  <c r="B218" i="7" a="1"/>
  <c r="B191" i="7" a="1"/>
  <c r="B242" i="7" a="1"/>
  <c r="C172" i="7" a="1"/>
  <c r="C130" i="7" a="1"/>
  <c r="E138" i="7" a="1"/>
  <c r="B228" i="7" a="1"/>
  <c r="C171" i="7" a="1"/>
  <c r="E156" i="7" a="1"/>
  <c r="E169" i="7" a="1"/>
  <c r="C196" i="7" a="1"/>
  <c r="E164" i="7" a="1"/>
  <c r="B190" i="7" a="1"/>
  <c r="B215" i="7" a="1"/>
  <c r="H181" i="7" a="1"/>
  <c r="H131" i="7" a="1"/>
  <c r="H176" i="7" a="1"/>
  <c r="H244" i="7" a="1"/>
  <c r="H202" i="7" a="1"/>
  <c r="H192" i="7" a="1"/>
  <c r="H138" i="7" a="1"/>
  <c r="H220" i="7" a="1"/>
  <c r="H188" i="7" a="1"/>
  <c r="H149" i="7" a="1"/>
  <c r="H146" i="7" a="1"/>
  <c r="H151" i="7" a="1"/>
  <c r="H201" i="7" a="1"/>
  <c r="H221" i="7" a="1"/>
  <c r="H143" i="7" a="1"/>
  <c r="H179" i="7" a="1"/>
  <c r="H243" i="7" a="1"/>
  <c r="H211" i="7" a="1"/>
  <c r="H219" i="7" a="1"/>
  <c r="H186" i="7" a="1"/>
  <c r="H144" i="7" a="1"/>
  <c r="H224" i="7" a="1"/>
  <c r="H147" i="7" a="1"/>
  <c r="H173" i="7" a="1"/>
  <c r="H141" i="7" a="1"/>
  <c r="H139" i="7" a="1"/>
  <c r="H196" i="7" a="1"/>
  <c r="H249" i="7" a="1"/>
  <c r="H232" i="7" a="1"/>
  <c r="H157" i="7" a="1"/>
  <c r="H235" i="7" a="1"/>
  <c r="C159" i="7" a="1"/>
  <c r="E157" i="7" a="1"/>
  <c r="I161" i="7" a="1"/>
  <c r="C175" i="7" a="1"/>
  <c r="C141" i="7" a="1"/>
  <c r="C176" i="7" a="1"/>
  <c r="B230" i="7" a="1"/>
  <c r="B239" i="7" a="1"/>
  <c r="E141" i="7" a="1"/>
  <c r="B176" i="7" a="1"/>
  <c r="E135" i="7" a="1"/>
  <c r="C244" i="7" a="1"/>
  <c r="C154" i="7" a="1"/>
  <c r="C180" i="7" a="1"/>
  <c r="B240" i="7" a="1"/>
  <c r="C238" i="7" a="1"/>
  <c r="C221" i="7" a="1"/>
  <c r="I132" i="7" a="1"/>
  <c r="C147" i="7" a="1"/>
  <c r="C241" i="7" a="1"/>
  <c r="I154" i="7" a="1"/>
  <c r="B168" i="7" a="1"/>
  <c r="B157" i="7" a="1"/>
  <c r="C198" i="7" a="1"/>
  <c r="B222" i="7" a="1"/>
  <c r="B188" i="7" a="1"/>
  <c r="B227" i="7" a="1"/>
  <c r="B205" i="7" a="1"/>
  <c r="C239" i="7" a="1"/>
  <c r="C164" i="7" a="1"/>
  <c r="B214" i="7" a="1"/>
  <c r="B192" i="7" a="1"/>
  <c r="C231" i="7" a="1"/>
  <c r="E149" i="7" a="1"/>
  <c r="I168" i="7" a="1"/>
  <c r="C197" i="7" a="1"/>
  <c r="B246" i="7" a="1"/>
  <c r="E153" i="7" a="1"/>
  <c r="C247" i="7" a="1"/>
  <c r="C177" i="7" a="1"/>
  <c r="C205" i="7" a="1"/>
  <c r="B233" i="7" a="1"/>
  <c r="C153" i="7" a="1"/>
  <c r="B135" i="7" a="1"/>
  <c r="C160" i="7" a="1"/>
  <c r="B224" i="7" a="1"/>
  <c r="C166" i="7" a="1"/>
  <c r="I152" i="7" a="1"/>
  <c r="E162" i="7" a="1"/>
  <c r="C191" i="7" a="1"/>
  <c r="C162" i="7" a="1"/>
  <c r="B171" i="7" a="1"/>
  <c r="C133" i="7" a="1"/>
  <c r="I155" i="7" a="1"/>
  <c r="B189" i="7" a="1"/>
  <c r="E158" i="7" a="1"/>
  <c r="I174" i="7" a="1"/>
  <c r="C136" i="7" a="1"/>
  <c r="C158" i="7" a="1"/>
  <c r="C222" i="7" a="1"/>
  <c r="B181" i="7" a="1"/>
  <c r="I146" i="7" a="1"/>
  <c r="I159" i="7" a="1"/>
  <c r="I165" i="7" a="1"/>
  <c r="B185" i="7" a="1"/>
  <c r="E172" i="7" a="1"/>
  <c r="B138" i="7" a="1"/>
  <c r="C173" i="7" a="1"/>
  <c r="C225" i="7" a="1"/>
  <c r="C209" i="7" a="1"/>
  <c r="B152" i="7" a="1"/>
  <c r="E148" i="7" a="1"/>
  <c r="C168" i="7" a="1"/>
  <c r="I137" i="7" a="1"/>
  <c r="C235" i="7" a="1"/>
  <c r="C183" i="7" a="1"/>
  <c r="C243" i="7" a="1"/>
  <c r="C182" i="7" a="1"/>
  <c r="B139" i="7" a="1"/>
  <c r="B198" i="7" a="1"/>
  <c r="C227" i="7" a="1"/>
  <c r="C142" i="7" a="1"/>
  <c r="I145" i="7" a="1"/>
  <c r="B220" i="7" a="1"/>
  <c r="H233" i="7" a="1"/>
  <c r="H234" i="7" a="1"/>
  <c r="H130" i="7" a="1"/>
  <c r="H160" i="7" a="1"/>
  <c r="H132" i="7" a="1"/>
  <c r="H184" i="7" a="1"/>
  <c r="H197" i="7" a="1"/>
  <c r="H164" i="7" a="1"/>
  <c r="H222" i="7" a="1"/>
  <c r="H174" i="7" a="1"/>
  <c r="H133" i="7" a="1"/>
  <c r="H180" i="7" a="1"/>
  <c r="H194" i="7" a="1"/>
  <c r="H195" i="7" a="1"/>
  <c r="H135" i="7" a="1"/>
  <c r="H155" i="7" a="1"/>
  <c r="H225" i="7" a="1"/>
  <c r="H214" i="7" a="1"/>
  <c r="H152" i="7" a="1"/>
  <c r="H145" i="7" a="1"/>
  <c r="H156" i="7" a="1"/>
  <c r="H245" i="7" a="1"/>
  <c r="H215" i="7" a="1"/>
  <c r="H169" i="7" a="1"/>
  <c r="H206" i="7" a="1"/>
  <c r="H204" i="7" a="1"/>
  <c r="H187" i="7" a="1"/>
  <c r="H166" i="7" a="1"/>
  <c r="C199" i="7" a="1"/>
  <c r="B184" i="7" a="1"/>
  <c r="B156" i="7" a="1"/>
  <c r="C245" i="7" a="1"/>
  <c r="I133" i="7" a="1"/>
  <c r="I172" i="7" a="1"/>
  <c r="B231" i="7" a="1"/>
  <c r="B153" i="7" a="1"/>
  <c r="B199" i="7" a="1"/>
  <c r="C232" i="7" a="1"/>
  <c r="E152" i="7" a="1"/>
  <c r="B163" i="7" a="1"/>
  <c r="B142" i="7" a="1"/>
  <c r="B134" i="7" a="1"/>
  <c r="B208" i="7" a="1"/>
  <c r="C157" i="7" a="1"/>
  <c r="B209" i="7" a="1"/>
  <c r="C165" i="7" a="1"/>
  <c r="B241" i="7" a="1"/>
  <c r="E139" i="7" a="1"/>
  <c r="C161" i="7" a="1"/>
  <c r="C203" i="7" a="1"/>
  <c r="B229" i="7" a="1"/>
  <c r="E177" i="7" a="1"/>
  <c r="B234" i="7" a="1"/>
  <c r="B178" i="7" a="1"/>
  <c r="B170" i="7" a="1"/>
  <c r="I143" i="7" a="1"/>
  <c r="B217" i="7" a="1"/>
  <c r="C200" i="7" a="1"/>
  <c r="B186" i="7" a="1"/>
  <c r="C155" i="7" a="1"/>
  <c r="B166" i="7" a="1"/>
  <c r="E151" i="7" a="1"/>
  <c r="B201" i="7" a="1"/>
  <c r="E163" i="7" a="1"/>
  <c r="B197" i="7" a="1"/>
  <c r="E132" i="7" a="1"/>
  <c r="C223" i="7" a="1"/>
  <c r="B203" i="7" a="1"/>
  <c r="B212" i="7" a="1"/>
  <c r="B136" i="7" a="1"/>
  <c r="C234" i="7" a="1"/>
  <c r="C217" i="7" a="1"/>
  <c r="C189" i="7" a="1"/>
  <c r="B159" i="7" a="1"/>
  <c r="B202" i="7" a="1"/>
  <c r="C249" i="7" a="1"/>
  <c r="E175" i="7" a="1"/>
  <c r="B216" i="7" a="1"/>
  <c r="B223" i="7" a="1"/>
  <c r="I130" i="7" a="1"/>
  <c r="C219" i="7" a="1"/>
  <c r="B160" i="7" a="1"/>
  <c r="B143" i="7" a="1"/>
  <c r="C207" i="7" a="1"/>
  <c r="I164" i="7" a="1"/>
  <c r="C206" i="7" a="1"/>
  <c r="B141" i="7" a="1"/>
  <c r="B237" i="7" a="1"/>
  <c r="C202" i="7" a="1"/>
  <c r="C190" i="7" a="1"/>
  <c r="C211" i="7" a="1"/>
  <c r="I157" i="7" a="1"/>
  <c r="E133" i="7" a="1"/>
  <c r="B248" i="7" a="1"/>
  <c r="B172" i="7" a="1"/>
  <c r="C167" i="7" a="1"/>
  <c r="B140" i="7" a="1"/>
  <c r="I140" i="7" a="1"/>
  <c r="B131" i="7" a="1"/>
  <c r="B146" i="7" a="1"/>
  <c r="C204" i="7" a="1"/>
  <c r="C146" i="7" a="1"/>
  <c r="E137" i="7" a="1"/>
  <c r="B165" i="7" a="1"/>
  <c r="C224" i="7" a="1"/>
  <c r="I139" i="7" a="1"/>
  <c r="C201" i="7" a="1"/>
  <c r="E173" i="7" a="1"/>
  <c r="C229" i="7" a="1"/>
  <c r="C152" i="7" a="1"/>
  <c r="I156" i="7" a="1"/>
  <c r="I163" i="7" a="1"/>
  <c r="H172" i="7" a="1"/>
  <c r="H198" i="7" a="1"/>
  <c r="H237" i="7" a="1"/>
  <c r="H231" i="7" a="1"/>
  <c r="H183" i="7" a="1"/>
  <c r="H142" i="7" a="1"/>
  <c r="H185" i="7" a="1"/>
  <c r="H137" i="7" a="1"/>
  <c r="H241" i="7" a="1"/>
  <c r="H171" i="7" a="1"/>
  <c r="H158" i="7" a="1"/>
  <c r="H193" i="7" a="1"/>
  <c r="H167" i="7" a="1"/>
  <c r="H168" i="7" a="1"/>
  <c r="H191" i="7" a="1"/>
  <c r="H226" i="7" a="1"/>
  <c r="H209" i="7" a="1"/>
  <c r="H153" i="7" a="1"/>
  <c r="H242" i="7" a="1"/>
  <c r="H213" i="7" a="1"/>
  <c r="H165" i="7" a="1"/>
  <c r="H178" i="7" a="1"/>
  <c r="H236" i="7" a="1"/>
  <c r="H240" i="7" a="1"/>
  <c r="H189" i="7" a="1"/>
  <c r="H227" i="7" a="1"/>
  <c r="H170" i="7" a="1"/>
  <c r="H163" i="7" a="1"/>
  <c r="H205" i="7" a="1"/>
  <c r="H159" i="7" a="1"/>
  <c r="B145" i="7" a="1"/>
  <c r="B238" i="7" a="1"/>
  <c r="C144" i="7" a="1"/>
  <c r="B249" i="7" a="1"/>
  <c r="B219" i="7" a="1"/>
  <c r="E134" i="7" a="1"/>
  <c r="I150" i="7" a="1"/>
  <c r="B154" i="7" a="1"/>
  <c r="B162" i="7" a="1"/>
  <c r="B179" i="7" a="1"/>
  <c r="B133" i="7" a="1"/>
  <c r="C132" i="7" a="1"/>
  <c r="E161" i="7" a="1"/>
  <c r="E147" i="7" a="1"/>
  <c r="I171" i="7" a="1"/>
  <c r="E155" i="7" a="1"/>
  <c r="I138" i="7" a="1"/>
  <c r="B210" i="7" a="1"/>
  <c r="I141" i="7" a="1"/>
  <c r="C143" i="7" a="1"/>
  <c r="I160" i="7" a="1"/>
  <c r="I151" i="7" a="1"/>
  <c r="C185" i="7" a="1"/>
  <c r="C192" i="7" a="1"/>
  <c r="B194" i="7" a="1"/>
  <c r="B244" i="7" a="1"/>
  <c r="B177" i="7" a="1"/>
  <c r="B151" i="7" a="1"/>
  <c r="C170" i="7" a="1"/>
  <c r="B207" i="7" a="1"/>
  <c r="B164" i="7" a="1"/>
  <c r="C220" i="7" a="1"/>
  <c r="E144" i="7" a="1"/>
  <c r="I176" i="7" a="1"/>
  <c r="B195" i="7" a="1"/>
  <c r="B187" i="7" a="1"/>
  <c r="E146" i="7" a="1"/>
  <c r="C210" i="7" a="1"/>
  <c r="B211" i="7" a="1"/>
  <c r="C131" i="7" a="1"/>
  <c r="B180" i="7" a="1"/>
  <c r="B206" i="7" a="1"/>
  <c r="C148" i="7" a="1"/>
  <c r="B183" i="7" a="1"/>
  <c r="C233" i="7" a="1"/>
  <c r="C156" i="7" a="1"/>
  <c r="C237" i="7" a="1"/>
  <c r="C174" i="7" a="1"/>
  <c r="B200" i="7" a="1"/>
  <c r="E131" i="7" a="1"/>
  <c r="I175" i="7" a="1"/>
  <c r="C194" i="7" a="1"/>
  <c r="E170" i="7" a="1"/>
  <c r="I153" i="7" a="1"/>
  <c r="B149" i="7" a="1"/>
  <c r="C212" i="7" a="1"/>
  <c r="B235" i="7" a="1"/>
  <c r="B155" i="7" a="1"/>
  <c r="B175" i="7" a="1"/>
  <c r="I173" i="7" a="1"/>
  <c r="B182" i="7" a="1"/>
  <c r="B167" i="7" a="1"/>
  <c r="C246" i="7" a="1"/>
  <c r="C213" i="7" a="1"/>
  <c r="C242" i="7" a="1"/>
  <c r="I162" i="7" a="1"/>
  <c r="E167" i="7" a="1"/>
  <c r="C218" i="7" a="1"/>
  <c r="C181" i="7" a="1"/>
  <c r="B144" i="7" a="1"/>
  <c r="B173" i="7" a="1"/>
  <c r="I167" i="7" a="1"/>
  <c r="C214" i="7" a="1"/>
  <c r="C193" i="7" a="1"/>
  <c r="C139" i="7" a="1"/>
  <c r="E145" i="7" a="1"/>
  <c r="C169" i="7" a="1"/>
  <c r="C236" i="7" a="1"/>
  <c r="E136" i="7" a="1"/>
  <c r="I136" i="7" a="1"/>
  <c r="C150" i="7" a="1"/>
  <c r="I147" i="7" a="1"/>
  <c r="C134" i="7" a="1"/>
  <c r="C188" i="7" a="1"/>
  <c r="H207" i="7" a="1"/>
  <c r="H161" i="7" a="1"/>
  <c r="H239" i="7" a="1"/>
  <c r="H238" i="7" a="1"/>
  <c r="H175" i="7" a="1"/>
  <c r="H162" i="7" a="1"/>
  <c r="H140" i="7" a="1"/>
  <c r="H216" i="7" a="1"/>
  <c r="H217" i="7" a="1"/>
  <c r="H208" i="7" a="1"/>
  <c r="H150" i="7" a="1"/>
  <c r="H223" i="7" a="1"/>
  <c r="H248" i="7" a="1"/>
  <c r="H134" i="7" a="1"/>
  <c r="H246" i="7" a="1"/>
  <c r="H154" i="7" a="1"/>
  <c r="H190" i="7" a="1"/>
  <c r="H182" i="7" a="1"/>
  <c r="H229" i="7" a="1"/>
  <c r="H136" i="7" a="1"/>
  <c r="H200" i="7" a="1"/>
  <c r="H210" i="7" a="1"/>
  <c r="H247" i="7" a="1"/>
  <c r="H212" i="7" a="1"/>
  <c r="H199" i="7" a="1"/>
  <c r="H148" i="7" a="1"/>
  <c r="H177" i="7" a="1"/>
  <c r="H203" i="7" a="1"/>
  <c r="H230" i="7" a="1"/>
  <c r="H228" i="7" a="1"/>
  <c r="H218" i="7" a="1"/>
  <c r="H218" i="7" l="1"/>
  <c r="H228" i="7"/>
  <c r="H230" i="7"/>
  <c r="H203" i="7"/>
  <c r="H177" i="7"/>
  <c r="H148" i="7"/>
  <c r="H199" i="7"/>
  <c r="H212" i="7"/>
  <c r="H247" i="7"/>
  <c r="H210" i="7"/>
  <c r="H200" i="7"/>
  <c r="H136" i="7"/>
  <c r="H229" i="7"/>
  <c r="H182" i="7"/>
  <c r="H190" i="7"/>
  <c r="H154" i="7"/>
  <c r="H246" i="7"/>
  <c r="H134" i="7"/>
  <c r="H248" i="7"/>
  <c r="H223" i="7"/>
  <c r="H150" i="7"/>
  <c r="H208" i="7"/>
  <c r="H217" i="7"/>
  <c r="H216" i="7"/>
  <c r="H140" i="7"/>
  <c r="H162" i="7"/>
  <c r="H175" i="7"/>
  <c r="H238" i="7"/>
  <c r="H239" i="7"/>
  <c r="H161" i="7"/>
  <c r="H207" i="7"/>
  <c r="C188" i="7"/>
  <c r="C134" i="7"/>
  <c r="I147" i="7"/>
  <c r="C150" i="7"/>
  <c r="I136" i="7"/>
  <c r="E136" i="7"/>
  <c r="C236" i="7"/>
  <c r="C169" i="7"/>
  <c r="E145" i="7"/>
  <c r="C139" i="7"/>
  <c r="C193" i="7"/>
  <c r="C214" i="7"/>
  <c r="I167" i="7"/>
  <c r="B173" i="7"/>
  <c r="B144" i="7"/>
  <c r="C181" i="7"/>
  <c r="C218" i="7"/>
  <c r="E167" i="7"/>
  <c r="I162" i="7"/>
  <c r="C242" i="7"/>
  <c r="C213" i="7"/>
  <c r="C246" i="7"/>
  <c r="B167" i="7"/>
  <c r="B182" i="7"/>
  <c r="I173" i="7"/>
  <c r="B175" i="7"/>
  <c r="B155" i="7"/>
  <c r="B235" i="7"/>
  <c r="C212" i="7"/>
  <c r="B149" i="7"/>
  <c r="I153" i="7"/>
  <c r="E170" i="7"/>
  <c r="C194" i="7"/>
  <c r="I175" i="7"/>
  <c r="E131" i="7"/>
  <c r="B200" i="7"/>
  <c r="C174" i="7"/>
  <c r="C237" i="7"/>
  <c r="C156" i="7"/>
  <c r="C233" i="7"/>
  <c r="B183" i="7"/>
  <c r="C148" i="7"/>
  <c r="B206" i="7"/>
  <c r="B180" i="7"/>
  <c r="C131" i="7"/>
  <c r="B211" i="7"/>
  <c r="C210" i="7"/>
  <c r="E146" i="7"/>
  <c r="B187" i="7"/>
  <c r="B195" i="7"/>
  <c r="I176" i="7"/>
  <c r="E144" i="7"/>
  <c r="C220" i="7"/>
  <c r="B164" i="7"/>
  <c r="B207" i="7"/>
  <c r="C170" i="7"/>
  <c r="B151" i="7"/>
  <c r="B177" i="7"/>
  <c r="B244" i="7"/>
  <c r="B194" i="7"/>
  <c r="C192" i="7"/>
  <c r="C185" i="7"/>
  <c r="I151" i="7"/>
  <c r="I160" i="7"/>
  <c r="C143" i="7"/>
  <c r="I141" i="7"/>
  <c r="B210" i="7"/>
  <c r="I138" i="7"/>
  <c r="E155" i="7"/>
  <c r="I171" i="7"/>
  <c r="E147" i="7"/>
  <c r="E161" i="7"/>
  <c r="C132" i="7"/>
  <c r="B133" i="7"/>
  <c r="B179" i="7"/>
  <c r="B162" i="7"/>
  <c r="B154" i="7"/>
  <c r="I150" i="7"/>
  <c r="E134" i="7"/>
  <c r="B219" i="7"/>
  <c r="B249" i="7"/>
  <c r="C144" i="7"/>
  <c r="B238" i="7"/>
  <c r="B145" i="7"/>
  <c r="H159" i="7"/>
  <c r="H205" i="7"/>
  <c r="H163" i="7"/>
  <c r="H170" i="7"/>
  <c r="H227" i="7"/>
  <c r="H189" i="7"/>
  <c r="H240" i="7"/>
  <c r="H236" i="7"/>
  <c r="H178" i="7"/>
  <c r="H165" i="7"/>
  <c r="H213" i="7"/>
  <c r="H242" i="7"/>
  <c r="H153" i="7"/>
  <c r="H209" i="7"/>
  <c r="H226" i="7"/>
  <c r="H191" i="7"/>
  <c r="H168" i="7"/>
  <c r="H167" i="7"/>
  <c r="H193" i="7"/>
  <c r="H158" i="7"/>
  <c r="H171" i="7"/>
  <c r="H241" i="7"/>
  <c r="H137" i="7"/>
  <c r="H185" i="7"/>
  <c r="H142" i="7"/>
  <c r="H183" i="7"/>
  <c r="H231" i="7"/>
  <c r="H237" i="7"/>
  <c r="H198" i="7"/>
  <c r="H172" i="7"/>
  <c r="I163" i="7"/>
  <c r="I156" i="7"/>
  <c r="C152" i="7"/>
  <c r="C229" i="7"/>
  <c r="E173" i="7"/>
  <c r="C201" i="7"/>
  <c r="I139" i="7"/>
  <c r="C224" i="7"/>
  <c r="B165" i="7"/>
  <c r="E137" i="7"/>
  <c r="C146" i="7"/>
  <c r="C204" i="7"/>
  <c r="B146" i="7"/>
  <c r="B131" i="7"/>
  <c r="I140" i="7"/>
  <c r="B140" i="7"/>
  <c r="C167" i="7"/>
  <c r="B172" i="7"/>
  <c r="B248" i="7"/>
  <c r="E133" i="7"/>
  <c r="I157" i="7"/>
  <c r="C211" i="7"/>
  <c r="C190" i="7"/>
  <c r="C202" i="7"/>
  <c r="B237" i="7"/>
  <c r="B141" i="7"/>
  <c r="C206" i="7"/>
  <c r="I164" i="7"/>
  <c r="C207" i="7"/>
  <c r="B143" i="7"/>
  <c r="B160" i="7"/>
  <c r="C219" i="7"/>
  <c r="I130" i="7"/>
  <c r="B223" i="7"/>
  <c r="B216" i="7"/>
  <c r="E175" i="7"/>
  <c r="C249" i="7"/>
  <c r="B202" i="7"/>
  <c r="B159" i="7"/>
  <c r="C189" i="7"/>
  <c r="C217" i="7"/>
  <c r="C234" i="7"/>
  <c r="B136" i="7"/>
  <c r="B212" i="7"/>
  <c r="B203" i="7"/>
  <c r="C223" i="7"/>
  <c r="E132" i="7"/>
  <c r="B197" i="7"/>
  <c r="E163" i="7"/>
  <c r="B201" i="7"/>
  <c r="E151" i="7"/>
  <c r="B166" i="7"/>
  <c r="C155" i="7"/>
  <c r="B186" i="7"/>
  <c r="C200" i="7"/>
  <c r="B217" i="7"/>
  <c r="I143" i="7"/>
  <c r="B170" i="7"/>
  <c r="B178" i="7"/>
  <c r="B234" i="7"/>
  <c r="E177" i="7"/>
  <c r="B229" i="7"/>
  <c r="C203" i="7"/>
  <c r="C161" i="7"/>
  <c r="E139" i="7"/>
  <c r="B241" i="7"/>
  <c r="C165" i="7"/>
  <c r="B209" i="7"/>
  <c r="C157" i="7"/>
  <c r="B208" i="7"/>
  <c r="B134" i="7"/>
  <c r="B142" i="7"/>
  <c r="B163" i="7"/>
  <c r="E152" i="7"/>
  <c r="C232" i="7"/>
  <c r="B199" i="7"/>
  <c r="B153" i="7"/>
  <c r="B231" i="7"/>
  <c r="I172" i="7"/>
  <c r="I133" i="7"/>
  <c r="C245" i="7"/>
  <c r="B156" i="7"/>
  <c r="B184" i="7"/>
  <c r="C199" i="7"/>
  <c r="H166" i="7"/>
  <c r="H187" i="7"/>
  <c r="H204" i="7"/>
  <c r="H206" i="7"/>
  <c r="H169" i="7"/>
  <c r="H215" i="7"/>
  <c r="H245" i="7"/>
  <c r="H156" i="7"/>
  <c r="H145" i="7"/>
  <c r="H152" i="7"/>
  <c r="H214" i="7"/>
  <c r="H225" i="7"/>
  <c r="H155" i="7"/>
  <c r="H135" i="7"/>
  <c r="H195" i="7"/>
  <c r="H194" i="7"/>
  <c r="H180" i="7"/>
  <c r="H133" i="7"/>
  <c r="H174" i="7"/>
  <c r="H222" i="7"/>
  <c r="H164" i="7"/>
  <c r="H197" i="7"/>
  <c r="H184" i="7"/>
  <c r="H132" i="7"/>
  <c r="H160" i="7"/>
  <c r="H130" i="7"/>
  <c r="H234" i="7"/>
  <c r="H233" i="7"/>
  <c r="B220" i="7"/>
  <c r="I145" i="7"/>
  <c r="C142" i="7"/>
  <c r="C227" i="7"/>
  <c r="B198" i="7"/>
  <c r="B139" i="7"/>
  <c r="C182" i="7"/>
  <c r="C243" i="7"/>
  <c r="C183" i="7"/>
  <c r="C235" i="7"/>
  <c r="I137" i="7"/>
  <c r="C168" i="7"/>
  <c r="E148" i="7"/>
  <c r="B152" i="7"/>
  <c r="C209" i="7"/>
  <c r="C225" i="7"/>
  <c r="C173" i="7"/>
  <c r="B138" i="7"/>
  <c r="E172" i="7"/>
  <c r="B185" i="7"/>
  <c r="I165" i="7"/>
  <c r="I159" i="7"/>
  <c r="I146" i="7"/>
  <c r="B181" i="7"/>
  <c r="C222" i="7"/>
  <c r="C158" i="7"/>
  <c r="C136" i="7"/>
  <c r="I174" i="7"/>
  <c r="E158" i="7"/>
  <c r="B189" i="7"/>
  <c r="I155" i="7"/>
  <c r="C133" i="7"/>
  <c r="B171" i="7"/>
  <c r="C162" i="7"/>
  <c r="C191" i="7"/>
  <c r="E162" i="7"/>
  <c r="I152" i="7"/>
  <c r="C166" i="7"/>
  <c r="B224" i="7"/>
  <c r="C160" i="7"/>
  <c r="B135" i="7"/>
  <c r="C153" i="7"/>
  <c r="B233" i="7"/>
  <c r="C205" i="7"/>
  <c r="C177" i="7"/>
  <c r="C247" i="7"/>
  <c r="E153" i="7"/>
  <c r="B246" i="7"/>
  <c r="C197" i="7"/>
  <c r="I168" i="7"/>
  <c r="E149" i="7"/>
  <c r="C231" i="7"/>
  <c r="B192" i="7"/>
  <c r="B214" i="7"/>
  <c r="C164" i="7"/>
  <c r="C239" i="7"/>
  <c r="B205" i="7"/>
  <c r="B227" i="7"/>
  <c r="B188" i="7"/>
  <c r="B222" i="7"/>
  <c r="C198" i="7"/>
  <c r="B157" i="7"/>
  <c r="B168" i="7"/>
  <c r="I154" i="7"/>
  <c r="C241" i="7"/>
  <c r="C147" i="7"/>
  <c r="I132" i="7"/>
  <c r="C221" i="7"/>
  <c r="C238" i="7"/>
  <c r="B240" i="7"/>
  <c r="C180" i="7"/>
  <c r="C154" i="7"/>
  <c r="C244" i="7"/>
  <c r="E135" i="7"/>
  <c r="B176" i="7"/>
  <c r="E141" i="7"/>
  <c r="B239" i="7"/>
  <c r="B230" i="7"/>
  <c r="C176" i="7"/>
  <c r="C141" i="7"/>
  <c r="C175" i="7"/>
  <c r="I161" i="7"/>
  <c r="E157" i="7"/>
  <c r="C159" i="7"/>
  <c r="H235" i="7"/>
  <c r="H157" i="7"/>
  <c r="H232" i="7"/>
  <c r="H249" i="7"/>
  <c r="H196" i="7"/>
  <c r="H139" i="7"/>
  <c r="H141" i="7"/>
  <c r="H173" i="7"/>
  <c r="H147" i="7"/>
  <c r="H224" i="7"/>
  <c r="H144" i="7"/>
  <c r="H186" i="7"/>
  <c r="H219" i="7"/>
  <c r="H211" i="7"/>
  <c r="H243" i="7"/>
  <c r="H179" i="7"/>
  <c r="H143" i="7"/>
  <c r="H221" i="7"/>
  <c r="H201" i="7"/>
  <c r="H151" i="7"/>
  <c r="H146" i="7"/>
  <c r="H149" i="7"/>
  <c r="H188" i="7"/>
  <c r="H220" i="7"/>
  <c r="H138" i="7"/>
  <c r="H192" i="7"/>
  <c r="H202" i="7"/>
  <c r="H244" i="7"/>
  <c r="H176" i="7"/>
  <c r="H131" i="7"/>
  <c r="H181" i="7"/>
  <c r="B215" i="7"/>
  <c r="B190" i="7"/>
  <c r="E164" i="7"/>
  <c r="C196" i="7"/>
  <c r="E169" i="7"/>
  <c r="E156" i="7"/>
  <c r="C171" i="7"/>
  <c r="B228" i="7"/>
  <c r="E138" i="7"/>
  <c r="C130" i="7"/>
  <c r="C172" i="7"/>
  <c r="B242" i="7"/>
  <c r="B191" i="7"/>
  <c r="B218" i="7"/>
  <c r="B132" i="7"/>
  <c r="C230" i="7"/>
  <c r="E174" i="7"/>
  <c r="C135" i="7"/>
  <c r="C184" i="7"/>
  <c r="E150" i="7"/>
  <c r="I131" i="7"/>
  <c r="I158" i="7"/>
  <c r="E165" i="7"/>
  <c r="B247" i="7"/>
  <c r="E159" i="7"/>
  <c r="C216" i="7"/>
  <c r="C163" i="7"/>
  <c r="E171" i="7"/>
  <c r="C151" i="7"/>
  <c r="C228" i="7"/>
  <c r="E176" i="7"/>
  <c r="I166" i="7"/>
  <c r="C178" i="7"/>
  <c r="E143" i="7"/>
  <c r="I169" i="7"/>
  <c r="C215" i="7"/>
  <c r="I148" i="7"/>
  <c r="C179" i="7"/>
  <c r="C240" i="7"/>
  <c r="E140" i="7"/>
  <c r="C140" i="7"/>
  <c r="E154" i="7"/>
  <c r="B225" i="7"/>
  <c r="I149" i="7"/>
  <c r="B196" i="7"/>
  <c r="E160" i="7"/>
  <c r="C145" i="7"/>
  <c r="I170" i="7"/>
  <c r="B221" i="7"/>
  <c r="C248" i="7"/>
  <c r="C195" i="7"/>
  <c r="I144" i="7"/>
  <c r="B130" i="7"/>
  <c r="B174" i="7"/>
  <c r="I142" i="7"/>
  <c r="C138" i="7"/>
  <c r="E166" i="7"/>
  <c r="B158" i="7"/>
  <c r="B147" i="7"/>
  <c r="C187" i="7"/>
  <c r="B150" i="7"/>
  <c r="B236" i="7"/>
  <c r="B232" i="7"/>
  <c r="B137" i="7"/>
  <c r="B243" i="7"/>
  <c r="B193" i="7"/>
  <c r="I134" i="7"/>
  <c r="C186" i="7"/>
  <c r="I135" i="7"/>
  <c r="B204" i="7"/>
  <c r="C208" i="7"/>
  <c r="I177" i="7"/>
  <c r="B245" i="7"/>
  <c r="B169" i="7"/>
  <c r="B148" i="7"/>
  <c r="E130" i="7"/>
  <c r="E142" i="7"/>
  <c r="E168" i="7"/>
  <c r="B213" i="7"/>
  <c r="C226" i="7"/>
  <c r="B226" i="7"/>
  <c r="C149" i="7"/>
  <c r="C137" i="7"/>
  <c r="B161" i="7"/>
  <c r="H90" i="7"/>
  <c r="H78" i="7"/>
  <c r="H53" i="7"/>
  <c r="H49" i="7"/>
  <c r="H75" i="7"/>
  <c r="H91" i="7"/>
  <c r="H82" i="7"/>
  <c r="H69" i="7"/>
  <c r="H119" i="7"/>
  <c r="H67" i="7"/>
  <c r="H120" i="7"/>
  <c r="H111" i="7"/>
  <c r="H60" i="7"/>
  <c r="H71" i="7"/>
  <c r="H66" i="7"/>
  <c r="H96" i="7"/>
  <c r="H98" i="7"/>
  <c r="H72" i="7"/>
  <c r="H115" i="7"/>
  <c r="H40" i="7"/>
  <c r="H41" i="7"/>
  <c r="H86" i="7"/>
  <c r="H114" i="7"/>
  <c r="H62" i="7"/>
  <c r="H93" i="7"/>
  <c r="H123" i="7"/>
  <c r="E76" i="7"/>
  <c r="C70" i="7"/>
  <c r="C99" i="7"/>
  <c r="E50" i="7"/>
  <c r="H29" i="7"/>
  <c r="H24" i="7"/>
  <c r="C125" i="7"/>
  <c r="E89" i="7"/>
  <c r="C109" i="7"/>
  <c r="D86" i="7"/>
  <c r="E81" i="7"/>
  <c r="E120" i="7"/>
  <c r="B122" i="7"/>
  <c r="E26" i="7"/>
  <c r="H28" i="7"/>
  <c r="B21" i="7"/>
  <c r="D35" i="7"/>
  <c r="I79" i="7"/>
  <c r="B67" i="7"/>
  <c r="B112" i="7"/>
  <c r="C36" i="7"/>
  <c r="I122" i="7"/>
  <c r="I52" i="7"/>
  <c r="I26" i="7"/>
  <c r="H54" i="7"/>
  <c r="H39" i="7"/>
  <c r="H57" i="7"/>
  <c r="H68" i="7"/>
  <c r="H108" i="7"/>
  <c r="H107" i="7"/>
  <c r="H95" i="7"/>
  <c r="H85" i="7"/>
  <c r="H36" i="7"/>
  <c r="H48" i="7"/>
  <c r="H38" i="7"/>
  <c r="H64" i="7"/>
  <c r="H77" i="7"/>
  <c r="H80" i="7"/>
  <c r="H118" i="7"/>
  <c r="H51" i="7"/>
  <c r="H56" i="7"/>
  <c r="H81" i="7"/>
  <c r="H102" i="7"/>
  <c r="H83" i="7"/>
  <c r="H89" i="7"/>
  <c r="H70" i="7"/>
  <c r="E34" i="7"/>
  <c r="I110" i="7"/>
  <c r="C80" i="7"/>
  <c r="I13" i="7"/>
  <c r="E64" i="7"/>
  <c r="D60" i="7"/>
  <c r="E29" i="7"/>
  <c r="E90" i="7"/>
  <c r="E65" i="7"/>
  <c r="D23" i="7"/>
  <c r="C127" i="7"/>
  <c r="C105" i="7"/>
  <c r="E119" i="7"/>
  <c r="D88" i="7"/>
  <c r="E106" i="7"/>
  <c r="E17" i="7"/>
  <c r="D55" i="7"/>
  <c r="D18" i="7"/>
  <c r="B23" i="7"/>
  <c r="E71" i="7"/>
  <c r="E42" i="7"/>
  <c r="I102" i="7"/>
  <c r="E110" i="7"/>
  <c r="B90" i="7"/>
  <c r="H74" i="7"/>
  <c r="H50" i="7"/>
  <c r="H105" i="7"/>
  <c r="H122" i="7"/>
  <c r="H37" i="7"/>
  <c r="H79" i="7"/>
  <c r="H47" i="7"/>
  <c r="H129" i="7"/>
  <c r="H117" i="7"/>
  <c r="H87" i="7"/>
  <c r="H76" i="7"/>
  <c r="H99" i="7"/>
  <c r="H101" i="7"/>
  <c r="H65" i="7"/>
  <c r="H92" i="7"/>
  <c r="H84" i="7"/>
  <c r="H106" i="7"/>
  <c r="H127" i="7"/>
  <c r="H110" i="7"/>
  <c r="H73" i="7"/>
  <c r="H58" i="7"/>
  <c r="H52" i="7"/>
  <c r="E62" i="7"/>
  <c r="I68" i="7"/>
  <c r="C59" i="7"/>
  <c r="C31" i="7"/>
  <c r="B28" i="7"/>
  <c r="E86" i="7"/>
  <c r="C45" i="7"/>
  <c r="D42" i="7"/>
  <c r="E25" i="7"/>
  <c r="I28" i="7"/>
  <c r="E20" i="7"/>
  <c r="I48" i="7"/>
  <c r="C112" i="7"/>
  <c r="E95" i="7"/>
  <c r="C82" i="7"/>
  <c r="B17" i="7"/>
  <c r="C88" i="7"/>
  <c r="I34" i="7"/>
  <c r="E27" i="7"/>
  <c r="B92" i="7"/>
  <c r="E61" i="7"/>
  <c r="B109" i="7"/>
  <c r="I89" i="7"/>
  <c r="C57" i="7"/>
  <c r="H63" i="7"/>
  <c r="H59" i="7"/>
  <c r="H100" i="7"/>
  <c r="H116" i="7"/>
  <c r="H109" i="7"/>
  <c r="H46" i="7"/>
  <c r="H94" i="7"/>
  <c r="H35" i="7"/>
  <c r="H124" i="7"/>
  <c r="H128" i="7"/>
  <c r="H104" i="7"/>
  <c r="H112" i="7"/>
  <c r="H42" i="7"/>
  <c r="H113" i="7"/>
  <c r="H55" i="7"/>
  <c r="H43" i="7"/>
  <c r="H125" i="7"/>
  <c r="H126" i="7"/>
  <c r="H34" i="7"/>
  <c r="H97" i="7"/>
  <c r="H103" i="7"/>
  <c r="H121" i="7"/>
  <c r="H61" i="7"/>
  <c r="H45" i="7"/>
  <c r="H44" i="7"/>
  <c r="H88" i="7"/>
  <c r="I109" i="7"/>
  <c r="C24" i="7"/>
  <c r="B114" i="7"/>
  <c r="E78" i="7"/>
  <c r="B30" i="7"/>
  <c r="C27" i="7"/>
  <c r="D95" i="7"/>
  <c r="I126" i="7"/>
  <c r="D80" i="7"/>
  <c r="E80" i="7"/>
  <c r="I120" i="7"/>
  <c r="B57" i="7"/>
  <c r="D62" i="7"/>
  <c r="I37" i="7"/>
  <c r="B73" i="7"/>
  <c r="B108" i="7"/>
  <c r="E72" i="7"/>
  <c r="E33" i="7"/>
  <c r="F32" i="7"/>
  <c r="E98" i="7"/>
  <c r="F30" i="7"/>
  <c r="I90" i="7"/>
  <c r="E53" i="7"/>
  <c r="C106" i="7"/>
  <c r="I83" i="7"/>
  <c r="C62" i="7"/>
  <c r="C118" i="7"/>
  <c r="D54" i="7"/>
  <c r="E109" i="7"/>
  <c r="B50" i="7"/>
  <c r="C121" i="7"/>
  <c r="C26" i="7"/>
  <c r="C110" i="7"/>
  <c r="I97" i="7"/>
  <c r="B37" i="7"/>
  <c r="B64" i="7"/>
  <c r="F29" i="7"/>
  <c r="C76" i="7"/>
  <c r="C67" i="7"/>
  <c r="I60" i="7"/>
  <c r="C83" i="7"/>
  <c r="D108" i="7"/>
  <c r="D39" i="7"/>
  <c r="C111" i="7"/>
  <c r="E121" i="7"/>
  <c r="C56" i="7"/>
  <c r="H32" i="7"/>
  <c r="I123" i="7"/>
  <c r="E73" i="7"/>
  <c r="B69" i="7"/>
  <c r="B95" i="7"/>
  <c r="D83" i="7"/>
  <c r="D70" i="7"/>
  <c r="I39" i="7"/>
  <c r="I31" i="7"/>
  <c r="E92" i="7"/>
  <c r="E66" i="7"/>
  <c r="D32" i="7"/>
  <c r="H30" i="7"/>
  <c r="C64" i="7"/>
  <c r="H23" i="7"/>
  <c r="C53" i="7"/>
  <c r="D129" i="7"/>
  <c r="I46" i="7"/>
  <c r="E23" i="7"/>
  <c r="C28" i="7"/>
  <c r="E126" i="7"/>
  <c r="E127" i="7"/>
  <c r="I24" i="7"/>
  <c r="D64" i="7"/>
  <c r="D61" i="7"/>
  <c r="I81" i="7"/>
  <c r="E47" i="7"/>
  <c r="D50" i="7"/>
  <c r="E41" i="7"/>
  <c r="C55" i="7"/>
  <c r="C51" i="7"/>
  <c r="D47" i="7"/>
  <c r="D90" i="7"/>
  <c r="D120" i="7"/>
  <c r="B124" i="7"/>
  <c r="D115" i="7"/>
  <c r="I57" i="7"/>
  <c r="B35" i="7"/>
  <c r="I22" i="7"/>
  <c r="E37" i="7"/>
  <c r="I47" i="7"/>
  <c r="B38" i="7"/>
  <c r="H22" i="7"/>
  <c r="B87" i="7"/>
  <c r="I127" i="7"/>
  <c r="C85" i="7"/>
  <c r="I111" i="7"/>
  <c r="E111" i="7"/>
  <c r="I116" i="7"/>
  <c r="H21" i="7"/>
  <c r="I128" i="7"/>
  <c r="B47" i="7"/>
  <c r="I119" i="7"/>
  <c r="E43" i="7"/>
  <c r="E21" i="7"/>
  <c r="D97" i="7"/>
  <c r="C87" i="7"/>
  <c r="C34" i="7"/>
  <c r="B61" i="7"/>
  <c r="E125" i="7"/>
  <c r="E83" i="7"/>
  <c r="I92" i="7"/>
  <c r="I56" i="7"/>
  <c r="B121" i="7"/>
  <c r="I121" i="7"/>
  <c r="B49" i="7"/>
  <c r="B105" i="7"/>
  <c r="B100" i="7"/>
  <c r="E35" i="7"/>
  <c r="C117" i="7"/>
  <c r="E24" i="7"/>
  <c r="C40" i="7"/>
  <c r="D119" i="7"/>
  <c r="I42" i="7"/>
  <c r="D24" i="7"/>
  <c r="I105" i="7"/>
  <c r="D116" i="7"/>
  <c r="I49" i="7"/>
  <c r="I65" i="7"/>
  <c r="B110" i="7"/>
  <c r="C54" i="7"/>
  <c r="D117" i="7"/>
  <c r="C47" i="7"/>
  <c r="I87" i="7"/>
  <c r="I115" i="7"/>
  <c r="D59" i="7"/>
  <c r="C49" i="7"/>
  <c r="E88" i="7"/>
  <c r="B93" i="7"/>
  <c r="D30" i="7"/>
  <c r="C18" i="7"/>
  <c r="D123" i="7"/>
  <c r="D85" i="7"/>
  <c r="D122" i="7"/>
  <c r="E117" i="7"/>
  <c r="E67" i="7"/>
  <c r="D76" i="7"/>
  <c r="D28" i="7"/>
  <c r="D69" i="7"/>
  <c r="I64" i="7"/>
  <c r="I25" i="7"/>
  <c r="E49" i="7"/>
  <c r="D34" i="7"/>
  <c r="C84" i="7"/>
  <c r="E104" i="7"/>
  <c r="E101" i="7"/>
  <c r="I61" i="7"/>
  <c r="E84" i="7"/>
  <c r="B42" i="7"/>
  <c r="D71" i="7"/>
  <c r="D118" i="7"/>
  <c r="D125" i="7"/>
  <c r="D124" i="7"/>
  <c r="C52" i="7"/>
  <c r="B56" i="7"/>
  <c r="B82" i="7"/>
  <c r="I82" i="7"/>
  <c r="D41" i="7"/>
  <c r="C115" i="7"/>
  <c r="B68" i="7"/>
  <c r="C69" i="7"/>
  <c r="I106" i="7"/>
  <c r="H33" i="7"/>
  <c r="I30" i="7"/>
  <c r="F24" i="7"/>
  <c r="B55" i="7"/>
  <c r="B36" i="7"/>
  <c r="D38" i="7"/>
  <c r="D67" i="7"/>
  <c r="D51" i="7"/>
  <c r="D68" i="7"/>
  <c r="I86" i="7"/>
  <c r="B103" i="7"/>
  <c r="B126" i="7"/>
  <c r="D126" i="7"/>
  <c r="I72" i="7"/>
  <c r="F22" i="7"/>
  <c r="H27" i="7"/>
  <c r="B80" i="7"/>
  <c r="B34" i="7"/>
  <c r="E113" i="7"/>
  <c r="D48" i="7"/>
  <c r="I75" i="7"/>
  <c r="E105" i="7"/>
  <c r="D78" i="7"/>
  <c r="B127" i="7"/>
  <c r="E93" i="7"/>
  <c r="C107" i="7"/>
  <c r="I50" i="7"/>
  <c r="B91" i="7"/>
  <c r="D56" i="7"/>
  <c r="D12" i="7"/>
  <c r="I32" i="7"/>
  <c r="B125" i="7"/>
  <c r="C104" i="7"/>
  <c r="D65" i="7"/>
  <c r="I59" i="7"/>
  <c r="E55" i="7"/>
  <c r="D17" i="7"/>
  <c r="I85" i="7"/>
  <c r="B117" i="7"/>
  <c r="B51" i="7"/>
  <c r="D22" i="7"/>
  <c r="D79" i="7"/>
  <c r="C101" i="7"/>
  <c r="E96" i="7"/>
  <c r="D19" i="7"/>
  <c r="C119" i="7"/>
  <c r="F19" i="7"/>
  <c r="E75" i="7"/>
  <c r="I17" i="7"/>
  <c r="E30" i="7"/>
  <c r="C126" i="7"/>
  <c r="E91" i="7"/>
  <c r="C81" i="7"/>
  <c r="D89" i="7"/>
  <c r="E129" i="7"/>
  <c r="E100" i="7"/>
  <c r="B74" i="7"/>
  <c r="B60" i="7"/>
  <c r="B18" i="7"/>
  <c r="B20" i="7"/>
  <c r="C22" i="7"/>
  <c r="I58" i="7"/>
  <c r="B62" i="7"/>
  <c r="I95" i="7"/>
  <c r="I19" i="7"/>
  <c r="I67" i="7"/>
  <c r="F18" i="7"/>
  <c r="E57" i="7"/>
  <c r="C75" i="7"/>
  <c r="C60" i="7"/>
  <c r="D73" i="7"/>
  <c r="D92" i="7"/>
  <c r="B78" i="7"/>
  <c r="D44" i="7"/>
  <c r="B97" i="7"/>
  <c r="I40" i="7"/>
  <c r="B89" i="7"/>
  <c r="I53" i="7"/>
  <c r="I66" i="7"/>
  <c r="E124" i="7"/>
  <c r="D82" i="7"/>
  <c r="C17" i="7"/>
  <c r="I94" i="7"/>
  <c r="C95" i="7"/>
  <c r="B75" i="7"/>
  <c r="I101" i="7"/>
  <c r="E46" i="7"/>
  <c r="B43" i="7"/>
  <c r="D75" i="7"/>
  <c r="D102" i="7"/>
  <c r="D21" i="7"/>
  <c r="I76" i="7"/>
  <c r="D63" i="7"/>
  <c r="D103" i="7"/>
  <c r="C96" i="7"/>
  <c r="E114" i="7"/>
  <c r="I23" i="7"/>
  <c r="B26" i="7"/>
  <c r="E18" i="7"/>
  <c r="B119" i="7"/>
  <c r="C94" i="7"/>
  <c r="B116" i="7"/>
  <c r="C20" i="7"/>
  <c r="C21" i="7"/>
  <c r="E107" i="7"/>
  <c r="C129" i="7"/>
  <c r="B58" i="7"/>
  <c r="E102" i="7"/>
  <c r="B66" i="7"/>
  <c r="B94" i="7"/>
  <c r="D27" i="7"/>
  <c r="D114" i="7"/>
  <c r="I41" i="7"/>
  <c r="E122" i="7"/>
  <c r="I63" i="7"/>
  <c r="D98" i="7"/>
  <c r="F20" i="7"/>
  <c r="C72" i="7"/>
  <c r="C74" i="7"/>
  <c r="C92" i="7"/>
  <c r="H26" i="7"/>
  <c r="D66" i="7"/>
  <c r="C38" i="7"/>
  <c r="I74" i="7"/>
  <c r="D36" i="7"/>
  <c r="D46" i="7"/>
  <c r="B46" i="7"/>
  <c r="B102" i="7"/>
  <c r="C65" i="7"/>
  <c r="C37" i="7"/>
  <c r="E22" i="7"/>
  <c r="C77" i="7"/>
  <c r="F25" i="7"/>
  <c r="B44" i="7"/>
  <c r="E77" i="7"/>
  <c r="B101" i="7"/>
  <c r="D127" i="7"/>
  <c r="B118" i="7"/>
  <c r="E112" i="7"/>
  <c r="D45" i="7"/>
  <c r="E48" i="7"/>
  <c r="C71" i="7"/>
  <c r="E28" i="7"/>
  <c r="I35" i="7"/>
  <c r="H31" i="7"/>
  <c r="B39" i="7"/>
  <c r="E68" i="7"/>
  <c r="I73" i="7"/>
  <c r="C93" i="7"/>
  <c r="E60" i="7"/>
  <c r="B52" i="7"/>
  <c r="B115" i="7"/>
  <c r="B77" i="7"/>
  <c r="I77" i="7"/>
  <c r="C42" i="7"/>
  <c r="B111" i="7"/>
  <c r="D77" i="7"/>
  <c r="E103" i="7"/>
  <c r="B31" i="7"/>
  <c r="B54" i="7"/>
  <c r="I71" i="7"/>
  <c r="B123" i="7"/>
  <c r="E63" i="7"/>
  <c r="I21" i="7"/>
  <c r="D52" i="7"/>
  <c r="E74" i="7"/>
  <c r="I118" i="7"/>
  <c r="B33" i="7"/>
  <c r="C33" i="7"/>
  <c r="F17" i="7"/>
  <c r="I18" i="7"/>
  <c r="I112" i="7"/>
  <c r="I54" i="7"/>
  <c r="I114" i="7"/>
  <c r="B88" i="7"/>
  <c r="B76" i="7"/>
  <c r="I29" i="7"/>
  <c r="B113" i="7"/>
  <c r="I78" i="7"/>
  <c r="I38" i="7"/>
  <c r="D74" i="7"/>
  <c r="C79" i="7"/>
  <c r="D121" i="7"/>
  <c r="B45" i="7"/>
  <c r="E85" i="7"/>
  <c r="E116" i="7"/>
  <c r="C43" i="7"/>
  <c r="D107" i="7"/>
  <c r="C48" i="7"/>
  <c r="H25" i="7"/>
  <c r="D93" i="7"/>
  <c r="I117" i="7"/>
  <c r="D57" i="7"/>
  <c r="B107" i="7"/>
  <c r="E99" i="7"/>
  <c r="D33" i="7"/>
  <c r="I27" i="7"/>
  <c r="D84" i="7"/>
  <c r="B70" i="7"/>
  <c r="C35" i="7"/>
  <c r="C122" i="7"/>
  <c r="I14" i="7"/>
  <c r="I129" i="7"/>
  <c r="F21" i="7"/>
  <c r="D72" i="7"/>
  <c r="E118" i="7"/>
  <c r="E82" i="7"/>
  <c r="B83" i="7"/>
  <c r="E38" i="7"/>
  <c r="I107" i="7"/>
  <c r="C97" i="7"/>
  <c r="D112" i="7"/>
  <c r="B96" i="7"/>
  <c r="D110" i="7"/>
  <c r="C116" i="7"/>
  <c r="D106" i="7"/>
  <c r="D128" i="7"/>
  <c r="I98" i="7"/>
  <c r="D96" i="7"/>
  <c r="C63" i="7"/>
  <c r="D81" i="7"/>
  <c r="F26" i="7"/>
  <c r="H20" i="7"/>
  <c r="I125" i="7"/>
  <c r="D104" i="7"/>
  <c r="E36" i="7"/>
  <c r="I15" i="7"/>
  <c r="B85" i="7"/>
  <c r="D20" i="7"/>
  <c r="I103" i="7"/>
  <c r="B81" i="7"/>
  <c r="I124" i="7"/>
  <c r="C23" i="7"/>
  <c r="E56" i="7"/>
  <c r="C113" i="7"/>
  <c r="E39" i="7"/>
  <c r="I33" i="7"/>
  <c r="I99" i="7"/>
  <c r="E115" i="7"/>
  <c r="B72" i="7"/>
  <c r="I80" i="7"/>
  <c r="C25" i="7"/>
  <c r="E59" i="7"/>
  <c r="C32" i="7"/>
  <c r="D111" i="7"/>
  <c r="C98" i="7"/>
  <c r="B79" i="7"/>
  <c r="E79" i="7"/>
  <c r="E128" i="7"/>
  <c r="I44" i="7"/>
  <c r="C89" i="7"/>
  <c r="I108" i="7"/>
  <c r="D53" i="7"/>
  <c r="D94" i="7"/>
  <c r="I55" i="7"/>
  <c r="I113" i="7"/>
  <c r="C61" i="7"/>
  <c r="I88" i="7"/>
  <c r="E44" i="7"/>
  <c r="I62" i="7"/>
  <c r="B24" i="7"/>
  <c r="C128" i="7"/>
  <c r="I91" i="7"/>
  <c r="B63" i="7"/>
  <c r="D87" i="7"/>
  <c r="C102" i="7"/>
  <c r="E52" i="7"/>
  <c r="C91" i="7"/>
  <c r="B32" i="7"/>
  <c r="C108" i="7"/>
  <c r="C19" i="7"/>
  <c r="E40" i="7"/>
  <c r="I45" i="7"/>
  <c r="F31" i="7"/>
  <c r="D40" i="7"/>
  <c r="F23" i="7"/>
  <c r="E97" i="7"/>
  <c r="B41" i="7"/>
  <c r="E87" i="7"/>
  <c r="C66" i="7"/>
  <c r="E108" i="7"/>
  <c r="E32" i="7"/>
  <c r="B99" i="7"/>
  <c r="B86" i="7"/>
  <c r="D101" i="7"/>
  <c r="C78" i="7"/>
  <c r="D113" i="7"/>
  <c r="I20" i="7"/>
  <c r="B19" i="7"/>
  <c r="B48" i="7"/>
  <c r="D31" i="7"/>
  <c r="I36" i="7"/>
  <c r="B98" i="7"/>
  <c r="B128" i="7"/>
  <c r="I12" i="7"/>
  <c r="B129" i="7"/>
  <c r="D43" i="7"/>
  <c r="D49" i="7"/>
  <c r="F28" i="7"/>
  <c r="F27" i="7"/>
  <c r="D58" i="7"/>
  <c r="D25" i="7"/>
  <c r="F33" i="7"/>
  <c r="C123" i="7"/>
  <c r="I100" i="7"/>
  <c r="I51" i="7"/>
  <c r="E31" i="7"/>
  <c r="I104" i="7"/>
  <c r="C103" i="7"/>
  <c r="I96" i="7"/>
  <c r="E94" i="7"/>
  <c r="I43" i="7"/>
  <c r="I69" i="7"/>
  <c r="B65" i="7"/>
  <c r="E19" i="7"/>
  <c r="E54" i="7"/>
  <c r="C90" i="7"/>
  <c r="B59" i="7"/>
  <c r="B40" i="7"/>
  <c r="C46" i="7"/>
  <c r="C124" i="7"/>
  <c r="C114" i="7"/>
  <c r="C58" i="7"/>
  <c r="C68" i="7"/>
  <c r="C39" i="7"/>
  <c r="D109" i="7"/>
  <c r="B84" i="7"/>
  <c r="B29" i="7"/>
  <c r="B22" i="7"/>
  <c r="D26" i="7"/>
  <c r="D100" i="7"/>
  <c r="C30" i="7"/>
  <c r="B53" i="7"/>
  <c r="B25" i="7"/>
  <c r="E58" i="7"/>
  <c r="I84" i="7"/>
  <c r="D91" i="7"/>
  <c r="I70" i="7"/>
  <c r="D99" i="7"/>
  <c r="C120" i="7"/>
  <c r="C50" i="7"/>
  <c r="E69" i="7"/>
  <c r="E45" i="7"/>
  <c r="C44" i="7"/>
  <c r="D105" i="7"/>
  <c r="H17" i="7"/>
  <c r="D29" i="7"/>
  <c r="B106" i="7"/>
  <c r="E123" i="7"/>
  <c r="I16" i="7"/>
  <c r="C41" i="7"/>
  <c r="H19" i="7"/>
  <c r="C100" i="7"/>
  <c r="C86" i="7"/>
  <c r="I11" i="7"/>
  <c r="H18" i="7"/>
  <c r="B27" i="7"/>
  <c r="C73" i="7"/>
  <c r="I93" i="7"/>
  <c r="E70" i="7"/>
  <c r="B120" i="7"/>
  <c r="B71" i="7"/>
  <c r="D37" i="7"/>
  <c r="C29" i="7"/>
  <c r="E51" i="7"/>
  <c r="B104" i="7"/>
  <c r="I215" i="7" l="1" a="1"/>
  <c r="E189" i="7" a="1"/>
  <c r="D6" i="7" a="1"/>
  <c r="E225" i="7" a="1"/>
  <c r="F42" i="7" a="1"/>
  <c r="B279" i="7" a="1"/>
  <c r="F242" i="7" a="1"/>
  <c r="F243" i="7" a="1"/>
  <c r="F213" i="7" a="1"/>
  <c r="F56" i="7" a="1"/>
  <c r="D260" i="7" a="1"/>
  <c r="F264" i="7" a="1"/>
  <c r="F218" i="7" a="1"/>
  <c r="C292" i="7" a="1"/>
  <c r="D220" i="7" a="1"/>
  <c r="F165" i="7" a="1"/>
  <c r="D226" i="7" a="1"/>
  <c r="F83" i="7" a="1"/>
  <c r="E249" i="7" a="1"/>
  <c r="I277" i="7" a="1"/>
  <c r="H296" i="7" a="1"/>
  <c r="E264" i="7" a="1"/>
  <c r="B297" i="7" a="1"/>
  <c r="I226" i="7" a="1"/>
  <c r="F152" i="7" a="1"/>
  <c r="F189" i="7" a="1"/>
  <c r="F149" i="7" a="1"/>
  <c r="C267" i="7" a="1"/>
  <c r="F270" i="7" a="1"/>
  <c r="F141" i="7" a="1"/>
  <c r="D295" i="7" a="1"/>
  <c r="D271" i="7" a="1"/>
  <c r="C273" i="7" a="1"/>
  <c r="C286" i="7" a="1"/>
  <c r="B252" i="7" a="1"/>
  <c r="F50" i="7" a="1"/>
  <c r="F195" i="7" a="1"/>
  <c r="E195" i="7" a="1"/>
  <c r="I199" i="7" a="1"/>
  <c r="B260" i="7" a="1"/>
  <c r="F256" i="7" a="1"/>
  <c r="D144" i="7" a="1"/>
  <c r="H258" i="7" a="1"/>
  <c r="F276" i="7" a="1"/>
  <c r="C277" i="7" a="1"/>
  <c r="H294" i="7" a="1"/>
  <c r="I233" i="7" a="1"/>
  <c r="F166" i="7" a="1"/>
  <c r="E214" i="7" a="1"/>
  <c r="B271" i="7" a="1"/>
  <c r="E273" i="7" a="1"/>
  <c r="I293" i="7" a="1"/>
  <c r="C270" i="7" a="1"/>
  <c r="F93" i="7" a="1"/>
  <c r="F86" i="7" a="1"/>
  <c r="C274" i="7" a="1"/>
  <c r="D5" i="7" a="1"/>
  <c r="I259" i="7" a="1"/>
  <c r="D279" i="7" a="1"/>
  <c r="C263" i="7" a="1"/>
  <c r="F285" i="7" a="1"/>
  <c r="H271" i="7" a="1"/>
  <c r="D222" i="7" a="1"/>
  <c r="E222" i="7" a="1"/>
  <c r="B251" i="7" a="1"/>
  <c r="D278" i="7" a="1"/>
  <c r="I222" i="7" a="1"/>
  <c r="D150" i="7" a="1"/>
  <c r="B287" i="7" a="1"/>
  <c r="E256" i="7" a="1"/>
  <c r="E258" i="7" a="1"/>
  <c r="F116" i="7" a="1"/>
  <c r="I249" i="7" a="1"/>
  <c r="E280" i="7" a="1"/>
  <c r="H297" i="7" a="1"/>
  <c r="F85" i="7" a="1"/>
  <c r="C278" i="7" a="1"/>
  <c r="F171" i="7" a="1"/>
  <c r="I275" i="7" a="1"/>
  <c r="H286" i="7" a="1"/>
  <c r="I235" i="7" a="1"/>
  <c r="H268" i="7" a="1"/>
  <c r="B284" i="7" a="1"/>
  <c r="F234" i="7" a="1"/>
  <c r="E224" i="7" a="1"/>
  <c r="F207" i="7" a="1"/>
  <c r="B294" i="7" a="1"/>
  <c r="D247" i="7" a="1"/>
  <c r="E248" i="7" a="1"/>
  <c r="D254" i="7" a="1"/>
  <c r="D179" i="7" a="1"/>
  <c r="C288" i="7" a="1"/>
  <c r="E182" i="7" a="1"/>
  <c r="H293" i="7" a="1"/>
  <c r="F146" i="7" a="1"/>
  <c r="D143" i="7" a="1"/>
  <c r="I243" i="7" a="1"/>
  <c r="E198" i="7" a="1"/>
  <c r="F73" i="7" a="1"/>
  <c r="I224" i="7" a="1"/>
  <c r="D246" i="7" a="1"/>
  <c r="I212" i="7" a="1"/>
  <c r="I186" i="7" a="1"/>
  <c r="F262" i="7" a="1"/>
  <c r="F169" i="7" a="1"/>
  <c r="D250" i="7" a="1"/>
  <c r="E274" i="7" a="1"/>
  <c r="F214" i="7" a="1"/>
  <c r="E199" i="7" a="1"/>
  <c r="I251" i="7" a="1"/>
  <c r="F196" i="7" a="1"/>
  <c r="F266" i="7" a="1"/>
  <c r="I190" i="7" a="1"/>
  <c r="F268" i="7" a="1"/>
  <c r="H290" i="7" a="1"/>
  <c r="D249" i="7" a="1"/>
  <c r="B290" i="7" a="1"/>
  <c r="F222" i="7" a="1"/>
  <c r="E241" i="7" a="1"/>
  <c r="C2" i="7" a="1"/>
  <c r="D206" i="7" a="1"/>
  <c r="E261" i="7" a="1"/>
  <c r="I263" i="7" a="1"/>
  <c r="C282" i="7" a="1"/>
  <c r="E231" i="7" a="1"/>
  <c r="I183" i="7" a="1"/>
  <c r="F45" i="7" a="1"/>
  <c r="I236" i="7" a="1"/>
  <c r="F143" i="7" a="1"/>
  <c r="B261" i="7" a="1"/>
  <c r="E275" i="7" a="1"/>
  <c r="I211" i="7" a="1"/>
  <c r="F184" i="7" a="1"/>
  <c r="F72" i="7" a="1"/>
  <c r="I272" i="7" a="1"/>
  <c r="F34" i="7" a="1"/>
  <c r="F163" i="7" a="1"/>
  <c r="E4" i="7" a="1"/>
  <c r="B268" i="7" a="1"/>
  <c r="I197" i="7" a="1"/>
  <c r="F259" i="7" a="1"/>
  <c r="E205" i="7" a="1"/>
  <c r="E269" i="7" a="1"/>
  <c r="I279" i="7" a="1"/>
  <c r="C257" i="7" a="1"/>
  <c r="E212" i="7" a="1"/>
  <c r="D294" i="7" a="1"/>
  <c r="H269" i="7" a="1"/>
  <c r="C264" i="7" a="1"/>
  <c r="D227" i="7" a="1"/>
  <c r="I276" i="7" a="1"/>
  <c r="C297" i="7" a="1"/>
  <c r="E207" i="7" a="1"/>
  <c r="I264" i="7" a="1"/>
  <c r="I232" i="7" a="1"/>
  <c r="D238" i="7" a="1"/>
  <c r="D210" i="7" a="1"/>
  <c r="F198" i="7" a="1"/>
  <c r="D187" i="7" a="1"/>
  <c r="F123" i="7" a="1"/>
  <c r="I267" i="7" a="1"/>
  <c r="E180" i="7" a="1"/>
  <c r="I218" i="7" a="1"/>
  <c r="F278" i="7" a="1"/>
  <c r="D221" i="7" a="1"/>
  <c r="D277" i="7" a="1"/>
  <c r="F250" i="7" a="1"/>
  <c r="D237" i="7" a="1"/>
  <c r="D245" i="7" a="1"/>
  <c r="F192" i="7" a="1"/>
  <c r="I210" i="7" a="1"/>
  <c r="H273" i="7" a="1"/>
  <c r="D165" i="7" a="1"/>
  <c r="E251" i="7" a="1"/>
  <c r="F81" i="7" a="1"/>
  <c r="I201" i="7" a="1"/>
  <c r="D215" i="7" a="1"/>
  <c r="B277" i="7" a="1"/>
  <c r="D228" i="7" a="1"/>
  <c r="D298" i="7" a="1"/>
  <c r="E217" i="7" a="1"/>
  <c r="F127" i="7" a="1"/>
  <c r="F295" i="7" a="1"/>
  <c r="I245" i="7" a="1"/>
  <c r="D193" i="7" a="1"/>
  <c r="D188" i="7" a="1"/>
  <c r="B269" i="7" a="1"/>
  <c r="F167" i="7" a="1"/>
  <c r="D142" i="7" a="1"/>
  <c r="I204" i="7" a="1"/>
  <c r="E179" i="7" a="1"/>
  <c r="D255" i="7" a="1"/>
  <c r="I5" i="7" a="1"/>
  <c r="C294" i="7" a="1"/>
  <c r="C285" i="7" a="1"/>
  <c r="I205" i="7" a="1"/>
  <c r="F254" i="7" a="1"/>
  <c r="B281" i="7" a="1"/>
  <c r="F187" i="7" a="1"/>
  <c r="I213" i="7" a="1"/>
  <c r="E186" i="7" a="1"/>
  <c r="D233" i="7" a="1"/>
  <c r="F99" i="7" a="1"/>
  <c r="D285" i="7" a="1"/>
  <c r="B285" i="7" a="1"/>
  <c r="D252" i="7" a="1"/>
  <c r="F49" i="7" a="1"/>
  <c r="F219" i="7" a="1"/>
  <c r="D154" i="7" a="1"/>
  <c r="F244" i="7" a="1"/>
  <c r="F300" i="7" a="1"/>
  <c r="F43" i="7" a="1"/>
  <c r="D173" i="7" a="1"/>
  <c r="B283" i="7" a="1"/>
  <c r="E234" i="7" a="1"/>
  <c r="D135" i="7" a="1"/>
  <c r="F177" i="7" a="1"/>
  <c r="I274" i="7" a="1"/>
  <c r="B2" i="7" a="1"/>
  <c r="F82" i="7" a="1"/>
  <c r="E202" i="7" a="1"/>
  <c r="D205" i="7" a="1"/>
  <c r="B253" i="7" a="1"/>
  <c r="D132" i="7" a="1"/>
  <c r="I300" i="7" a="1"/>
  <c r="F216" i="7" a="1"/>
  <c r="F92" i="7" a="1"/>
  <c r="F237" i="7" a="1"/>
  <c r="I287" i="7" a="1"/>
  <c r="F69" i="7" a="1"/>
  <c r="D216" i="7" a="1"/>
  <c r="F62" i="7" a="1"/>
  <c r="D164" i="7" a="1"/>
  <c r="E252" i="7" a="1"/>
  <c r="D209" i="7" a="1"/>
  <c r="F203" i="7" a="1"/>
  <c r="D267" i="7" a="1"/>
  <c r="E285" i="7" a="1"/>
  <c r="D157" i="7" a="1"/>
  <c r="E283" i="7" a="1"/>
  <c r="H5" i="7" a="1"/>
  <c r="I270" i="7" a="1"/>
  <c r="C269" i="7" a="1"/>
  <c r="D158" i="7" a="1"/>
  <c r="D229" i="7" a="1"/>
  <c r="F164" i="7" a="1"/>
  <c r="C254" i="7" a="1"/>
  <c r="F67" i="7" a="1"/>
  <c r="C251" i="7" a="1"/>
  <c r="I291" i="7" a="1"/>
  <c r="B275" i="7" a="1"/>
  <c r="F77" i="7" a="1"/>
  <c r="D296" i="7" a="1"/>
  <c r="F168" i="7" a="1"/>
  <c r="I188" i="7" a="1"/>
  <c r="F200" i="7" a="1"/>
  <c r="F181" i="7" a="1"/>
  <c r="F272" i="7" a="1"/>
  <c r="D288" i="7" a="1"/>
  <c r="I187" i="7" a="1"/>
  <c r="I216" i="7" a="1"/>
  <c r="E219" i="7" a="1"/>
  <c r="F66" i="7" a="1"/>
  <c r="I2" i="7" a="1"/>
  <c r="B4" i="7" a="1"/>
  <c r="C295" i="7" a="1"/>
  <c r="F135" i="7" a="1"/>
  <c r="I254" i="7" a="1"/>
  <c r="D281" i="7" a="1"/>
  <c r="E288" i="7" a="1"/>
  <c r="B292" i="7" a="1"/>
  <c r="E206" i="7" a="1"/>
  <c r="H254" i="7" a="1"/>
  <c r="I202" i="7" a="1"/>
  <c r="C283" i="7" a="1"/>
  <c r="H287" i="7" a="1"/>
  <c r="I239" i="7" a="1"/>
  <c r="I283" i="7" a="1"/>
  <c r="I262" i="7" a="1"/>
  <c r="E181" i="7" a="1"/>
  <c r="F231" i="7" a="1"/>
  <c r="I4" i="7" a="1"/>
  <c r="F170" i="7" a="1"/>
  <c r="D172" i="7" a="1"/>
  <c r="D286" i="7" a="1"/>
  <c r="H267" i="7" a="1"/>
  <c r="I299" i="7" a="1"/>
  <c r="F115" i="7" a="1"/>
  <c r="F37" i="7" a="1"/>
  <c r="C265" i="7" a="1"/>
  <c r="F39" i="7" a="1"/>
  <c r="E284" i="7" a="1"/>
  <c r="E259" i="7" a="1"/>
  <c r="E228" i="7" a="1"/>
  <c r="F40" i="7" a="1"/>
  <c r="C5" i="7" a="1"/>
  <c r="E298" i="7" a="1"/>
  <c r="D300" i="7" a="1"/>
  <c r="F191" i="7" a="1"/>
  <c r="E197" i="7" a="1"/>
  <c r="F121" i="7" a="1"/>
  <c r="B255" i="7" a="1"/>
  <c r="E299" i="7" a="1"/>
  <c r="B272" i="7" a="1"/>
  <c r="F74" i="7" a="1"/>
  <c r="I198" i="7" a="1"/>
  <c r="F246" i="7" a="1"/>
  <c r="D265" i="7" a="1"/>
  <c r="F253" i="7" a="1"/>
  <c r="F277" i="7" a="1"/>
  <c r="E191" i="7" a="1"/>
  <c r="F258" i="7" a="1"/>
  <c r="B288" i="7" a="1"/>
  <c r="B276" i="7" a="1"/>
  <c r="C253" i="7" a="1"/>
  <c r="F182" i="7" a="1"/>
  <c r="C258" i="7" a="1"/>
  <c r="F201" i="7" a="1"/>
  <c r="I247" i="7" a="1"/>
  <c r="D194" i="7" a="1"/>
  <c r="D162" i="7" a="1"/>
  <c r="F100" i="7" a="1"/>
  <c r="I256" i="7" a="1"/>
  <c r="H255" i="7" a="1"/>
  <c r="F282" i="7" a="1"/>
  <c r="D225" i="7" a="1"/>
  <c r="F156" i="7" a="1"/>
  <c r="I290" i="7" a="1"/>
  <c r="D168" i="7" a="1"/>
  <c r="F199" i="7" a="1"/>
  <c r="I189" i="7" a="1"/>
  <c r="D195" i="7" a="1"/>
  <c r="D175" i="7" a="1"/>
  <c r="D258" i="7" a="1"/>
  <c r="F3" i="7" a="1"/>
  <c r="D289" i="7" a="1"/>
  <c r="H284" i="7" a="1"/>
  <c r="E238" i="7" a="1"/>
  <c r="B250" i="7" a="1"/>
  <c r="F179" i="7" a="1"/>
  <c r="F51" i="7" a="1"/>
  <c r="F188" i="7" a="1"/>
  <c r="I284" i="7" a="1"/>
  <c r="F105" i="7" a="1"/>
  <c r="E279" i="7" a="1"/>
  <c r="D266" i="7" a="1"/>
  <c r="I195" i="7" a="1"/>
  <c r="D275" i="7" a="1"/>
  <c r="E277" i="7" a="1"/>
  <c r="D2" i="7" a="1"/>
  <c r="I228" i="7" a="1"/>
  <c r="F113" i="7" a="1"/>
  <c r="D213" i="7" a="1"/>
  <c r="F65" i="7" a="1"/>
  <c r="H266" i="7" a="1"/>
  <c r="C290" i="7" a="1"/>
  <c r="F236" i="7" a="1"/>
  <c r="D174" i="7" a="1"/>
  <c r="F297" i="7" a="1"/>
  <c r="H278" i="7" a="1"/>
  <c r="F89" i="7" a="1"/>
  <c r="D178" i="7" a="1"/>
  <c r="F118" i="7" a="1"/>
  <c r="H295" i="7" a="1"/>
  <c r="F38" i="7" a="1"/>
  <c r="C256" i="7" a="1"/>
  <c r="D292" i="7" a="1"/>
  <c r="E208" i="7" a="1"/>
  <c r="F101" i="7" a="1"/>
  <c r="E276" i="7" a="1"/>
  <c r="F279" i="7" a="1"/>
  <c r="C252" i="7" a="1"/>
  <c r="H298" i="7" a="1"/>
  <c r="F140" i="7" a="1"/>
  <c r="H289" i="7" a="1"/>
  <c r="D133" i="7" a="1"/>
  <c r="D282" i="7" a="1"/>
  <c r="H300" i="7" a="1"/>
  <c r="E281" i="7" a="1"/>
  <c r="I219" i="7" a="1"/>
  <c r="E242" i="7" a="1"/>
  <c r="C250" i="7" a="1"/>
  <c r="E270" i="7" a="1"/>
  <c r="D176" i="7" a="1"/>
  <c r="I253" i="7" a="1"/>
  <c r="D145" i="7" a="1"/>
  <c r="F174" i="7" a="1"/>
  <c r="D199" i="7" a="1"/>
  <c r="F84" i="7" a="1"/>
  <c r="D153" i="7" a="1"/>
  <c r="F120" i="7" a="1"/>
  <c r="F298" i="7" a="1"/>
  <c r="E2" i="7" a="1"/>
  <c r="F57" i="7" a="1"/>
  <c r="H272" i="7" a="1"/>
  <c r="B254" i="7" a="1"/>
  <c r="E291" i="7" a="1"/>
  <c r="H299" i="7" a="1"/>
  <c r="B280" i="7" a="1"/>
  <c r="D234" i="7" a="1"/>
  <c r="I297" i="7" a="1"/>
  <c r="D223" i="7" a="1"/>
  <c r="I200" i="7" a="1"/>
  <c r="E218" i="7" a="1"/>
  <c r="F267" i="7" a="1"/>
  <c r="F44" i="7" a="1"/>
  <c r="B289" i="7" a="1"/>
  <c r="F224" i="7" a="1"/>
  <c r="F292" i="7" a="1"/>
  <c r="F221" i="7" a="1"/>
  <c r="D166" i="7" a="1"/>
  <c r="I191" i="7" a="1"/>
  <c r="I206" i="7" a="1"/>
  <c r="E266" i="7" a="1"/>
  <c r="E223" i="7" a="1"/>
  <c r="D208" i="7" a="1"/>
  <c r="F193" i="7" a="1"/>
  <c r="C299" i="7" a="1"/>
  <c r="F131" i="7" a="1"/>
  <c r="F90" i="7" a="1"/>
  <c r="F108" i="7" a="1"/>
  <c r="B300" i="7" a="1"/>
  <c r="F78" i="7" a="1"/>
  <c r="E253" i="7" a="1"/>
  <c r="F128" i="7" a="1"/>
  <c r="D256" i="7" a="1"/>
  <c r="F153" i="7" a="1"/>
  <c r="F94" i="7" a="1"/>
  <c r="E271" i="7" a="1"/>
  <c r="E210" i="7" a="1"/>
  <c r="D156" i="7" a="1"/>
  <c r="F117" i="7" a="1"/>
  <c r="I193" i="7" a="1"/>
  <c r="D167" i="7" a="1"/>
  <c r="F286" i="7" a="1"/>
  <c r="F52" i="7" a="1"/>
  <c r="E254" i="7" a="1"/>
  <c r="C284" i="7" a="1"/>
  <c r="F96" i="7" a="1"/>
  <c r="C259" i="7" a="1"/>
  <c r="I230" i="7" a="1"/>
  <c r="F220" i="7" a="1"/>
  <c r="D181" i="7" a="1"/>
  <c r="H275" i="7" a="1"/>
  <c r="F172" i="7" a="1"/>
  <c r="E229" i="7" a="1"/>
  <c r="I196" i="7" a="1"/>
  <c r="E255" i="7" a="1"/>
  <c r="E290" i="7" a="1"/>
  <c r="D146" i="7" a="1"/>
  <c r="F148" i="7" a="1"/>
  <c r="E235" i="7" a="1"/>
  <c r="D274" i="7" a="1"/>
  <c r="F290" i="7" a="1"/>
  <c r="D239" i="7" a="1"/>
  <c r="E230" i="7" a="1"/>
  <c r="D219" i="7" a="1"/>
  <c r="D224" i="7" a="1"/>
  <c r="I234" i="7" a="1"/>
  <c r="F126" i="7" a="1"/>
  <c r="F80" i="7" a="1"/>
  <c r="H279" i="7" a="1"/>
  <c r="E187" i="7" a="1"/>
  <c r="F299" i="7" a="1"/>
  <c r="D290" i="7" a="1"/>
  <c r="F6" i="7" a="1"/>
  <c r="B295" i="7" a="1"/>
  <c r="C276" i="7" a="1"/>
  <c r="C3" i="7" a="1"/>
  <c r="H260" i="7" a="1"/>
  <c r="E194" i="7" a="1"/>
  <c r="E204" i="7" a="1"/>
  <c r="D136" i="7" a="1"/>
  <c r="E183" i="7" a="1"/>
  <c r="D149" i="7" a="1"/>
  <c r="D293" i="7" a="1"/>
  <c r="E294" i="7" a="1"/>
  <c r="D257" i="7" a="1"/>
  <c r="F129" i="7" a="1"/>
  <c r="E220" i="7" a="1"/>
  <c r="E297" i="7" a="1"/>
  <c r="F291" i="7" a="1"/>
  <c r="E268" i="7" a="1"/>
  <c r="D231" i="7" a="1"/>
  <c r="B282" i="7" a="1"/>
  <c r="F151" i="7" a="1"/>
  <c r="I231" i="7" a="1"/>
  <c r="D212" i="7" a="1"/>
  <c r="D242" i="7" a="1"/>
  <c r="I241" i="7" a="1"/>
  <c r="I255" i="7" a="1"/>
  <c r="F180" i="7" a="1"/>
  <c r="F122" i="7" a="1"/>
  <c r="F79" i="7" a="1"/>
  <c r="I182" i="7" a="1"/>
  <c r="D264" i="7" a="1"/>
  <c r="E185" i="7" a="1"/>
  <c r="F280" i="7" a="1"/>
  <c r="H6" i="7" a="1"/>
  <c r="F228" i="7" a="1"/>
  <c r="F245" i="7" a="1"/>
  <c r="H252" i="7" a="1"/>
  <c r="I221" i="7" a="1"/>
  <c r="E289" i="7" a="1"/>
  <c r="F238" i="7" a="1"/>
  <c r="B263" i="7" a="1"/>
  <c r="D184" i="7" a="1"/>
  <c r="D244" i="7" a="1"/>
  <c r="E237" i="7" a="1"/>
  <c r="D138" i="7" a="1"/>
  <c r="F190" i="7" a="1"/>
  <c r="I268" i="7" a="1"/>
  <c r="F119" i="7" a="1"/>
  <c r="F133" i="7" a="1"/>
  <c r="H256" i="7" a="1"/>
  <c r="I220" i="7" a="1"/>
  <c r="E286" i="7" a="1"/>
  <c r="I194" i="7" a="1"/>
  <c r="I240" i="7" a="1"/>
  <c r="E196" i="7" a="1"/>
  <c r="F232" i="7" a="1"/>
  <c r="I203" i="7" a="1"/>
  <c r="D139" i="7" a="1"/>
  <c r="C261" i="7" a="1"/>
  <c r="E246" i="7" a="1"/>
  <c r="E260" i="7" a="1"/>
  <c r="F273" i="7" a="1"/>
  <c r="D180" i="7" a="1"/>
  <c r="D280" i="7" a="1"/>
  <c r="F102" i="7" a="1"/>
  <c r="F130" i="7" a="1"/>
  <c r="E6" i="7" a="1"/>
  <c r="E236" i="7" a="1"/>
  <c r="F71" i="7" a="1"/>
  <c r="D160" i="7" a="1"/>
  <c r="D248" i="7" a="1"/>
  <c r="F35" i="7" a="1"/>
  <c r="E295" i="7" a="1"/>
  <c r="F235" i="7" a="1"/>
  <c r="F230" i="7" a="1"/>
  <c r="H285" i="7" a="1"/>
  <c r="F59" i="7" a="1"/>
  <c r="H277" i="7" a="1"/>
  <c r="C6" i="7" a="1"/>
  <c r="F233" i="7" a="1"/>
  <c r="F269" i="7" a="1"/>
  <c r="F46" i="7" a="1"/>
  <c r="E233" i="7" a="1"/>
  <c r="H291" i="7" a="1"/>
  <c r="D198" i="7" a="1"/>
  <c r="F274" i="7" a="1"/>
  <c r="I285" i="7" a="1"/>
  <c r="H281" i="7" a="1"/>
  <c r="D270" i="7" a="1"/>
  <c r="H282" i="7" a="1"/>
  <c r="F294" i="7" a="1"/>
  <c r="E240" i="7" a="1"/>
  <c r="B262" i="7" a="1"/>
  <c r="D140" i="7" a="1"/>
  <c r="D131" i="7" a="1"/>
  <c r="F212" i="7" a="1"/>
  <c r="F217" i="7" a="1"/>
  <c r="F260" i="7" a="1"/>
  <c r="C279" i="7" a="1"/>
  <c r="F54" i="7" a="1"/>
  <c r="E193" i="7" a="1"/>
  <c r="E272" i="7" a="1"/>
  <c r="E262" i="7" a="1"/>
  <c r="F64" i="7" a="1"/>
  <c r="D147" i="7" a="1"/>
  <c r="B259" i="7" a="1"/>
  <c r="B296" i="7" a="1"/>
  <c r="B258" i="7" a="1"/>
  <c r="E3" i="7" a="1"/>
  <c r="E203" i="7" a="1"/>
  <c r="E215" i="7" a="1"/>
  <c r="D235" i="7" a="1"/>
  <c r="C268" i="7" a="1"/>
  <c r="F265" i="7" a="1"/>
  <c r="E239" i="7" a="1"/>
  <c r="E296" i="7" a="1"/>
  <c r="D186" i="7" a="1"/>
  <c r="H262" i="7" a="1"/>
  <c r="B5" i="7" a="1"/>
  <c r="I298" i="7" a="1"/>
  <c r="F47" i="7" a="1"/>
  <c r="F287" i="7" a="1"/>
  <c r="D3" i="7" a="1"/>
  <c r="I178" i="7" a="1"/>
  <c r="I261" i="7" a="1"/>
  <c r="E226" i="7" a="1"/>
  <c r="D134" i="7" a="1"/>
  <c r="D263" i="7" a="1"/>
  <c r="H264" i="7" a="1"/>
  <c r="F36" i="7" a="1"/>
  <c r="E287" i="7" a="1"/>
  <c r="F289" i="7" a="1"/>
  <c r="D170" i="7" a="1"/>
  <c r="F155" i="7" a="1"/>
  <c r="D200" i="7" a="1"/>
  <c r="I3" i="7" a="1"/>
  <c r="F4" i="7" a="1"/>
  <c r="C280" i="7" a="1"/>
  <c r="D191" i="7" a="1"/>
  <c r="F158" i="7" a="1"/>
  <c r="D253" i="7" a="1"/>
  <c r="F142" i="7" a="1"/>
  <c r="F2" i="7" a="1"/>
  <c r="F53" i="7" a="1"/>
  <c r="H257" i="7" a="1"/>
  <c r="I269" i="7" a="1"/>
  <c r="B264" i="7" a="1"/>
  <c r="B286" i="7" a="1"/>
  <c r="F178" i="7" a="1"/>
  <c r="H2" i="7" a="1"/>
  <c r="C272" i="7" a="1"/>
  <c r="D272" i="7" a="1"/>
  <c r="I229" i="7" a="1"/>
  <c r="I181" i="7" a="1"/>
  <c r="C275" i="7" a="1"/>
  <c r="H280" i="7" a="1"/>
  <c r="F249" i="7" a="1"/>
  <c r="I294" i="7" a="1"/>
  <c r="H250" i="7" a="1"/>
  <c r="D268" i="7" a="1"/>
  <c r="I295" i="7" a="1"/>
  <c r="I6" i="7" a="1"/>
  <c r="C291" i="7" a="1"/>
  <c r="I185" i="7" a="1"/>
  <c r="H276" i="7" a="1"/>
  <c r="I237" i="7" a="1"/>
  <c r="F252" i="7" a="1"/>
  <c r="H265" i="7" a="1"/>
  <c r="I273" i="7" a="1"/>
  <c r="I286" i="7" a="1"/>
  <c r="I208" i="7" a="1"/>
  <c r="F95" i="7" a="1"/>
  <c r="E227" i="7" a="1"/>
  <c r="D262" i="7" a="1"/>
  <c r="D261" i="7" a="1"/>
  <c r="H253" i="7" a="1"/>
  <c r="D177" i="7" a="1"/>
  <c r="F107" i="7" a="1"/>
  <c r="B278" i="7" a="1"/>
  <c r="F150" i="7" a="1"/>
  <c r="D232" i="7" a="1"/>
  <c r="E265" i="7" a="1"/>
  <c r="D297" i="7" a="1"/>
  <c r="F241" i="7" a="1"/>
  <c r="I217" i="7" a="1"/>
  <c r="H3" i="7" a="1"/>
  <c r="B257" i="7" a="1"/>
  <c r="I265" i="7" a="1"/>
  <c r="F75" i="7" a="1"/>
  <c r="D185" i="7" a="1"/>
  <c r="F208" i="7" a="1"/>
  <c r="D299" i="7" a="1"/>
  <c r="F147" i="7" a="1"/>
  <c r="C266" i="7" a="1"/>
  <c r="E282" i="7" a="1"/>
  <c r="I184" i="7" a="1"/>
  <c r="F68" i="7" a="1"/>
  <c r="B265" i="7" a="1"/>
  <c r="C287" i="7" a="1"/>
  <c r="F209" i="7" a="1"/>
  <c r="H263" i="7" a="1"/>
  <c r="D169" i="7" a="1"/>
  <c r="B270" i="7" a="1"/>
  <c r="F248" i="7" a="1"/>
  <c r="E293" i="7" a="1"/>
  <c r="D217" i="7" a="1"/>
  <c r="E213" i="7" a="1"/>
  <c r="D130" i="7" a="1"/>
  <c r="H261" i="7" a="1"/>
  <c r="D276" i="7" a="1"/>
  <c r="D182" i="7" a="1"/>
  <c r="E292" i="7" a="1"/>
  <c r="I214" i="7" a="1"/>
  <c r="I209" i="7" a="1"/>
  <c r="F263" i="7" a="1"/>
  <c r="F239" i="7" a="1"/>
  <c r="C260" i="7" a="1"/>
  <c r="F240" i="7" a="1"/>
  <c r="F139" i="7" a="1"/>
  <c r="I258" i="7" a="1"/>
  <c r="F176" i="7" a="1"/>
  <c r="F154" i="7" a="1"/>
  <c r="I292" i="7" a="1"/>
  <c r="I289" i="7" a="1"/>
  <c r="F226" i="7" a="1"/>
  <c r="F70" i="7" a="1"/>
  <c r="E232" i="7" a="1"/>
  <c r="E300" i="7" a="1"/>
  <c r="I244" i="7" a="1"/>
  <c r="F215" i="7" a="1"/>
  <c r="F97" i="7" a="1"/>
  <c r="D148" i="7" a="1"/>
  <c r="H270" i="7" a="1"/>
  <c r="I257" i="7" a="1"/>
  <c r="D202" i="7" a="1"/>
  <c r="I192" i="7" a="1"/>
  <c r="C293" i="7" a="1"/>
  <c r="E247" i="7" a="1"/>
  <c r="D218" i="7" a="1"/>
  <c r="E267" i="7" a="1"/>
  <c r="B6" i="7" a="1"/>
  <c r="D203" i="7" a="1"/>
  <c r="D201" i="7" a="1"/>
  <c r="F41" i="7" a="1"/>
  <c r="E245" i="7" a="1"/>
  <c r="F98" i="7" a="1"/>
  <c r="D155" i="7" a="1"/>
  <c r="C296" i="7" a="1"/>
  <c r="F5" i="7" a="1"/>
  <c r="D171" i="7" a="1"/>
  <c r="D161" i="7" a="1"/>
  <c r="F186" i="7" a="1"/>
  <c r="F205" i="7" a="1"/>
  <c r="B274" i="7" a="1"/>
  <c r="F255" i="7" a="1"/>
  <c r="D291" i="7" a="1"/>
  <c r="F284" i="7" a="1"/>
  <c r="C289" i="7" a="1"/>
  <c r="E192" i="7" a="1"/>
  <c r="I271" i="7" a="1"/>
  <c r="H274" i="7" a="1"/>
  <c r="D283" i="7" a="1"/>
  <c r="D236" i="7" a="1"/>
  <c r="I246" i="7" a="1"/>
  <c r="F106" i="7" a="1"/>
  <c r="I278" i="7" a="1"/>
  <c r="F281" i="7" a="1"/>
  <c r="E221" i="7" a="1"/>
  <c r="F204" i="7" a="1"/>
  <c r="H292" i="7" a="1"/>
  <c r="E278" i="7" a="1"/>
  <c r="H251" i="7" a="1"/>
  <c r="C271" i="7" a="1"/>
  <c r="B293" i="7" a="1"/>
  <c r="D207" i="7" a="1"/>
  <c r="D214" i="7" a="1"/>
  <c r="I227" i="7" a="1"/>
  <c r="F138" i="7" a="1"/>
  <c r="F283" i="7" a="1"/>
  <c r="D151" i="7" a="1"/>
  <c r="B298" i="7" a="1"/>
  <c r="F91" i="7" a="1"/>
  <c r="D189" i="7" a="1"/>
  <c r="F58" i="7" a="1"/>
  <c r="B266" i="7" a="1"/>
  <c r="F251" i="7" a="1"/>
  <c r="E257" i="7" a="1"/>
  <c r="D273" i="7" a="1"/>
  <c r="I288" i="7" a="1"/>
  <c r="F257" i="7" a="1"/>
  <c r="F103" i="7" a="1"/>
  <c r="F55" i="7" a="1"/>
  <c r="I280" i="7" a="1"/>
  <c r="F76" i="7" a="1"/>
  <c r="F159" i="7" a="1"/>
  <c r="D287" i="7" a="1"/>
  <c r="F271" i="7" a="1"/>
  <c r="F293" i="7" a="1"/>
  <c r="C298" i="7" a="1"/>
  <c r="H4" i="7" a="1"/>
  <c r="D269" i="7" a="1"/>
  <c r="F87" i="7" a="1"/>
  <c r="F197" i="7" a="1"/>
  <c r="E244" i="7" a="1"/>
  <c r="F137" i="7" a="1"/>
  <c r="F275" i="7" a="1"/>
  <c r="I248" i="7" a="1"/>
  <c r="F296" i="7" a="1"/>
  <c r="D190" i="7" a="1"/>
  <c r="F109" i="7" a="1"/>
  <c r="E5" i="7" a="1"/>
  <c r="F161" i="7" a="1"/>
  <c r="F132" i="7" a="1"/>
  <c r="D251" i="7" a="1"/>
  <c r="D159" i="7" a="1"/>
  <c r="F124" i="7" a="1"/>
  <c r="I282" i="7" a="1"/>
  <c r="E184" i="7" a="1"/>
  <c r="I266" i="7" a="1"/>
  <c r="I250" i="7" a="1"/>
  <c r="D141" i="7" a="1"/>
  <c r="F112" i="7" a="1"/>
  <c r="B267" i="7" a="1"/>
  <c r="C255" i="7" a="1"/>
  <c r="D241" i="7" a="1"/>
  <c r="H288" i="7" a="1"/>
  <c r="F247" i="7" a="1"/>
  <c r="D152" i="7" a="1"/>
  <c r="E200" i="7" a="1"/>
  <c r="C281" i="7" a="1"/>
  <c r="D211" i="7" a="1"/>
  <c r="C4" i="7" a="1"/>
  <c r="B256" i="7" a="1"/>
  <c r="B3" i="7" a="1"/>
  <c r="F63" i="7" a="1"/>
  <c r="E243" i="7" a="1"/>
  <c r="F48" i="7" a="1"/>
  <c r="I223" i="7" a="1"/>
  <c r="B291" i="7" a="1"/>
  <c r="F160" i="7" a="1"/>
  <c r="F173" i="7" a="1"/>
  <c r="I281" i="7" a="1"/>
  <c r="D137" i="7" a="1"/>
  <c r="D183" i="7" a="1"/>
  <c r="D204" i="7" a="1"/>
  <c r="D240" i="7" a="1"/>
  <c r="F202" i="7" a="1"/>
  <c r="F157" i="7" a="1"/>
  <c r="E190" i="7" a="1"/>
  <c r="I260" i="7" a="1"/>
  <c r="F223" i="7" a="1"/>
  <c r="E188" i="7" a="1"/>
  <c r="B299" i="7" a="1"/>
  <c r="D284" i="7" a="1"/>
  <c r="I242" i="7" a="1"/>
  <c r="F206" i="7" a="1"/>
  <c r="F227" i="7" a="1"/>
  <c r="F60" i="7" a="1"/>
  <c r="D259" i="7" a="1"/>
  <c r="C262" i="7" a="1"/>
  <c r="F61" i="7" a="1"/>
  <c r="F229" i="7" a="1"/>
  <c r="D197" i="7" a="1"/>
  <c r="C300" i="7" a="1"/>
  <c r="F261" i="7" a="1"/>
  <c r="F194" i="7" a="1"/>
  <c r="D196" i="7" a="1"/>
  <c r="F211" i="7" a="1"/>
  <c r="I252" i="7" a="1"/>
  <c r="D192" i="7" a="1"/>
  <c r="D243" i="7" a="1"/>
  <c r="I238" i="7" a="1"/>
  <c r="F183" i="7" a="1"/>
  <c r="F136" i="7" a="1"/>
  <c r="I207" i="7" a="1"/>
  <c r="F162" i="7" a="1"/>
  <c r="E178" i="7" a="1"/>
  <c r="E216" i="7" a="1"/>
  <c r="E211" i="7" a="1"/>
  <c r="I296" i="7" a="1"/>
  <c r="I225" i="7" a="1"/>
  <c r="H283" i="7" a="1"/>
  <c r="F114" i="7" a="1"/>
  <c r="F175" i="7" a="1"/>
  <c r="I179" i="7" a="1"/>
  <c r="F210" i="7" a="1"/>
  <c r="F104" i="7" a="1"/>
  <c r="F125" i="7" a="1"/>
  <c r="H259" i="7" a="1"/>
  <c r="D230" i="7" a="1"/>
  <c r="F144" i="7" a="1"/>
  <c r="F185" i="7" a="1"/>
  <c r="E201" i="7" a="1"/>
  <c r="I180" i="7" a="1"/>
  <c r="F145" i="7" a="1"/>
  <c r="F134" i="7" a="1"/>
  <c r="D4" i="7" a="1"/>
  <c r="F88" i="7" a="1"/>
  <c r="E209" i="7" a="1"/>
  <c r="E263" i="7" a="1"/>
  <c r="E250" i="7" a="1"/>
  <c r="F225" i="7" a="1"/>
  <c r="F111" i="7" a="1"/>
  <c r="D163" i="7" a="1"/>
  <c r="B273" i="7" a="1"/>
  <c r="F288" i="7" a="1"/>
  <c r="F110" i="7" a="1"/>
  <c r="F110" i="7" l="1"/>
  <c r="F288" i="7"/>
  <c r="B273" i="7"/>
  <c r="D163" i="7"/>
  <c r="F111" i="7"/>
  <c r="F225" i="7"/>
  <c r="E250" i="7"/>
  <c r="E263" i="7"/>
  <c r="E209" i="7"/>
  <c r="F88" i="7"/>
  <c r="D4" i="7"/>
  <c r="F134" i="7"/>
  <c r="F145" i="7"/>
  <c r="I180" i="7"/>
  <c r="E201" i="7"/>
  <c r="F185" i="7"/>
  <c r="F144" i="7"/>
  <c r="D230" i="7"/>
  <c r="H259" i="7"/>
  <c r="F125" i="7"/>
  <c r="F104" i="7"/>
  <c r="F210" i="7"/>
  <c r="I179" i="7"/>
  <c r="F175" i="7"/>
  <c r="F114" i="7"/>
  <c r="H283" i="7"/>
  <c r="I225" i="7"/>
  <c r="I296" i="7"/>
  <c r="E211" i="7"/>
  <c r="E216" i="7"/>
  <c r="E178" i="7"/>
  <c r="F162" i="7"/>
  <c r="I207" i="7"/>
  <c r="F136" i="7"/>
  <c r="F183" i="7"/>
  <c r="I238" i="7"/>
  <c r="D243" i="7"/>
  <c r="D192" i="7"/>
  <c r="I252" i="7"/>
  <c r="F211" i="7"/>
  <c r="D196" i="7"/>
  <c r="F194" i="7"/>
  <c r="F261" i="7"/>
  <c r="C300" i="7"/>
  <c r="D197" i="7"/>
  <c r="F229" i="7"/>
  <c r="F61" i="7"/>
  <c r="C262" i="7"/>
  <c r="D259" i="7"/>
  <c r="F60" i="7"/>
  <c r="F227" i="7"/>
  <c r="F206" i="7"/>
  <c r="I242" i="7"/>
  <c r="D284" i="7"/>
  <c r="B299" i="7"/>
  <c r="E188" i="7"/>
  <c r="F223" i="7"/>
  <c r="I260" i="7"/>
  <c r="E190" i="7"/>
  <c r="F157" i="7"/>
  <c r="F202" i="7"/>
  <c r="D240" i="7"/>
  <c r="D204" i="7"/>
  <c r="D183" i="7"/>
  <c r="D137" i="7"/>
  <c r="I281" i="7"/>
  <c r="F173" i="7"/>
  <c r="F160" i="7"/>
  <c r="B291" i="7"/>
  <c r="I223" i="7"/>
  <c r="F48" i="7"/>
  <c r="E243" i="7"/>
  <c r="F63" i="7"/>
  <c r="B3" i="7"/>
  <c r="B256" i="7"/>
  <c r="C4" i="7"/>
  <c r="D211" i="7"/>
  <c r="C281" i="7"/>
  <c r="E200" i="7"/>
  <c r="D152" i="7"/>
  <c r="F247" i="7"/>
  <c r="H288" i="7"/>
  <c r="D241" i="7"/>
  <c r="C255" i="7"/>
  <c r="B267" i="7"/>
  <c r="F112" i="7"/>
  <c r="D141" i="7"/>
  <c r="I250" i="7"/>
  <c r="I266" i="7"/>
  <c r="E184" i="7"/>
  <c r="I282" i="7"/>
  <c r="F124" i="7"/>
  <c r="D159" i="7"/>
  <c r="D251" i="7"/>
  <c r="F132" i="7"/>
  <c r="F161" i="7"/>
  <c r="E5" i="7"/>
  <c r="F109" i="7"/>
  <c r="D190" i="7"/>
  <c r="F296" i="7"/>
  <c r="I248" i="7"/>
  <c r="F275" i="7"/>
  <c r="F137" i="7"/>
  <c r="E244" i="7"/>
  <c r="F197" i="7"/>
  <c r="F87" i="7"/>
  <c r="D269" i="7"/>
  <c r="H4" i="7"/>
  <c r="C298" i="7"/>
  <c r="F293" i="7"/>
  <c r="F271" i="7"/>
  <c r="D287" i="7"/>
  <c r="F159" i="7"/>
  <c r="F76" i="7"/>
  <c r="I280" i="7"/>
  <c r="F55" i="7"/>
  <c r="F103" i="7"/>
  <c r="F257" i="7"/>
  <c r="I288" i="7"/>
  <c r="D273" i="7"/>
  <c r="E257" i="7"/>
  <c r="F251" i="7"/>
  <c r="B266" i="7"/>
  <c r="F58" i="7"/>
  <c r="D189" i="7"/>
  <c r="F91" i="7"/>
  <c r="B298" i="7"/>
  <c r="D151" i="7"/>
  <c r="F283" i="7"/>
  <c r="F138" i="7"/>
  <c r="I227" i="7"/>
  <c r="D214" i="7"/>
  <c r="D207" i="7"/>
  <c r="B293" i="7"/>
  <c r="C271" i="7"/>
  <c r="H251" i="7"/>
  <c r="E278" i="7"/>
  <c r="H292" i="7"/>
  <c r="F204" i="7"/>
  <c r="E221" i="7"/>
  <c r="F281" i="7"/>
  <c r="I278" i="7"/>
  <c r="F106" i="7"/>
  <c r="I246" i="7"/>
  <c r="D236" i="7"/>
  <c r="D283" i="7"/>
  <c r="H274" i="7"/>
  <c r="I271" i="7"/>
  <c r="E192" i="7"/>
  <c r="C289" i="7"/>
  <c r="F284" i="7"/>
  <c r="D291" i="7"/>
  <c r="F255" i="7"/>
  <c r="B274" i="7"/>
  <c r="F205" i="7"/>
  <c r="F186" i="7"/>
  <c r="D161" i="7"/>
  <c r="D171" i="7"/>
  <c r="F5" i="7"/>
  <c r="C296" i="7"/>
  <c r="D155" i="7"/>
  <c r="F98" i="7"/>
  <c r="E245" i="7"/>
  <c r="F41" i="7"/>
  <c r="D201" i="7"/>
  <c r="D203" i="7"/>
  <c r="B6" i="7"/>
  <c r="E267" i="7"/>
  <c r="D218" i="7"/>
  <c r="E247" i="7"/>
  <c r="C293" i="7"/>
  <c r="I192" i="7"/>
  <c r="D202" i="7"/>
  <c r="I257" i="7"/>
  <c r="H270" i="7"/>
  <c r="D148" i="7"/>
  <c r="F97" i="7"/>
  <c r="F215" i="7"/>
  <c r="I244" i="7"/>
  <c r="E300" i="7"/>
  <c r="E232" i="7"/>
  <c r="F70" i="7"/>
  <c r="F226" i="7"/>
  <c r="I289" i="7"/>
  <c r="I292" i="7"/>
  <c r="F154" i="7"/>
  <c r="F176" i="7"/>
  <c r="I258" i="7"/>
  <c r="F139" i="7"/>
  <c r="F240" i="7"/>
  <c r="C260" i="7"/>
  <c r="F239" i="7"/>
  <c r="F263" i="7"/>
  <c r="I209" i="7"/>
  <c r="I214" i="7"/>
  <c r="E292" i="7"/>
  <c r="D182" i="7"/>
  <c r="D276" i="7"/>
  <c r="H261" i="7"/>
  <c r="D130" i="7"/>
  <c r="E213" i="7"/>
  <c r="D217" i="7"/>
  <c r="E293" i="7"/>
  <c r="F248" i="7"/>
  <c r="B270" i="7"/>
  <c r="D169" i="7"/>
  <c r="H263" i="7"/>
  <c r="F209" i="7"/>
  <c r="C287" i="7"/>
  <c r="B265" i="7"/>
  <c r="F68" i="7"/>
  <c r="I184" i="7"/>
  <c r="E282" i="7"/>
  <c r="C266" i="7"/>
  <c r="F147" i="7"/>
  <c r="D299" i="7"/>
  <c r="F208" i="7"/>
  <c r="D185" i="7"/>
  <c r="F75" i="7"/>
  <c r="I265" i="7"/>
  <c r="B257" i="7"/>
  <c r="H3" i="7"/>
  <c r="I217" i="7"/>
  <c r="F241" i="7"/>
  <c r="D297" i="7"/>
  <c r="E265" i="7"/>
  <c r="D232" i="7"/>
  <c r="F150" i="7"/>
  <c r="B278" i="7"/>
  <c r="F107" i="7"/>
  <c r="D177" i="7"/>
  <c r="H253" i="7"/>
  <c r="D261" i="7"/>
  <c r="D262" i="7"/>
  <c r="E227" i="7"/>
  <c r="F95" i="7"/>
  <c r="I208" i="7"/>
  <c r="I286" i="7"/>
  <c r="I273" i="7"/>
  <c r="H265" i="7"/>
  <c r="F252" i="7"/>
  <c r="I237" i="7"/>
  <c r="H276" i="7"/>
  <c r="I185" i="7"/>
  <c r="C291" i="7"/>
  <c r="I6" i="7"/>
  <c r="I295" i="7"/>
  <c r="D268" i="7"/>
  <c r="H250" i="7"/>
  <c r="I294" i="7"/>
  <c r="F249" i="7"/>
  <c r="H280" i="7"/>
  <c r="C275" i="7"/>
  <c r="I181" i="7"/>
  <c r="I229" i="7"/>
  <c r="D272" i="7"/>
  <c r="C272" i="7"/>
  <c r="H2" i="7"/>
  <c r="F178" i="7"/>
  <c r="B286" i="7"/>
  <c r="B264" i="7"/>
  <c r="I269" i="7"/>
  <c r="H257" i="7"/>
  <c r="F53" i="7"/>
  <c r="F2" i="7"/>
  <c r="F142" i="7"/>
  <c r="D253" i="7"/>
  <c r="F158" i="7"/>
  <c r="D191" i="7"/>
  <c r="C280" i="7"/>
  <c r="F4" i="7"/>
  <c r="I3" i="7"/>
  <c r="D200" i="7"/>
  <c r="F155" i="7"/>
  <c r="D170" i="7"/>
  <c r="F289" i="7"/>
  <c r="E287" i="7"/>
  <c r="F36" i="7"/>
  <c r="H264" i="7"/>
  <c r="D263" i="7"/>
  <c r="D134" i="7"/>
  <c r="E226" i="7"/>
  <c r="I261" i="7"/>
  <c r="I178" i="7"/>
  <c r="D3" i="7"/>
  <c r="F287" i="7"/>
  <c r="F47" i="7"/>
  <c r="I298" i="7"/>
  <c r="B5" i="7"/>
  <c r="H262" i="7"/>
  <c r="D186" i="7"/>
  <c r="E296" i="7"/>
  <c r="E239" i="7"/>
  <c r="F265" i="7"/>
  <c r="C268" i="7"/>
  <c r="D235" i="7"/>
  <c r="E215" i="7"/>
  <c r="E203" i="7"/>
  <c r="E3" i="7"/>
  <c r="B258" i="7"/>
  <c r="B296" i="7"/>
  <c r="B259" i="7"/>
  <c r="D147" i="7"/>
  <c r="F64" i="7"/>
  <c r="E262" i="7"/>
  <c r="E272" i="7"/>
  <c r="E193" i="7"/>
  <c r="F54" i="7"/>
  <c r="C279" i="7"/>
  <c r="F260" i="7"/>
  <c r="F217" i="7"/>
  <c r="F212" i="7"/>
  <c r="D131" i="7"/>
  <c r="D140" i="7"/>
  <c r="B262" i="7"/>
  <c r="E240" i="7"/>
  <c r="F294" i="7"/>
  <c r="H282" i="7"/>
  <c r="D270" i="7"/>
  <c r="H281" i="7"/>
  <c r="I285" i="7"/>
  <c r="F274" i="7"/>
  <c r="D198" i="7"/>
  <c r="H291" i="7"/>
  <c r="E233" i="7"/>
  <c r="F46" i="7"/>
  <c r="F269" i="7"/>
  <c r="F233" i="7"/>
  <c r="C6" i="7"/>
  <c r="H277" i="7"/>
  <c r="F59" i="7"/>
  <c r="H285" i="7"/>
  <c r="F230" i="7"/>
  <c r="F235" i="7"/>
  <c r="E295" i="7"/>
  <c r="F35" i="7"/>
  <c r="D248" i="7"/>
  <c r="D160" i="7"/>
  <c r="F71" i="7"/>
  <c r="E236" i="7"/>
  <c r="E6" i="7"/>
  <c r="F130" i="7"/>
  <c r="F102" i="7"/>
  <c r="D280" i="7"/>
  <c r="D180" i="7"/>
  <c r="F273" i="7"/>
  <c r="E260" i="7"/>
  <c r="E246" i="7"/>
  <c r="C261" i="7"/>
  <c r="D139" i="7"/>
  <c r="I203" i="7"/>
  <c r="F232" i="7"/>
  <c r="E196" i="7"/>
  <c r="I240" i="7"/>
  <c r="I194" i="7"/>
  <c r="E286" i="7"/>
  <c r="I220" i="7"/>
  <c r="H256" i="7"/>
  <c r="F133" i="7"/>
  <c r="F119" i="7"/>
  <c r="I268" i="7"/>
  <c r="F190" i="7"/>
  <c r="D138" i="7"/>
  <c r="E237" i="7"/>
  <c r="D244" i="7"/>
  <c r="D184" i="7"/>
  <c r="B263" i="7"/>
  <c r="F238" i="7"/>
  <c r="E289" i="7"/>
  <c r="I221" i="7"/>
  <c r="H252" i="7"/>
  <c r="F245" i="7"/>
  <c r="F228" i="7"/>
  <c r="H6" i="7"/>
  <c r="F280" i="7"/>
  <c r="E185" i="7"/>
  <c r="D264" i="7"/>
  <c r="I182" i="7"/>
  <c r="F79" i="7"/>
  <c r="F122" i="7"/>
  <c r="F180" i="7"/>
  <c r="I255" i="7"/>
  <c r="I241" i="7"/>
  <c r="D242" i="7"/>
  <c r="D212" i="7"/>
  <c r="I231" i="7"/>
  <c r="F151" i="7"/>
  <c r="B282" i="7"/>
  <c r="D231" i="7"/>
  <c r="E268" i="7"/>
  <c r="F291" i="7"/>
  <c r="E297" i="7"/>
  <c r="E220" i="7"/>
  <c r="F129" i="7"/>
  <c r="D257" i="7"/>
  <c r="E294" i="7"/>
  <c r="D293" i="7"/>
  <c r="D149" i="7"/>
  <c r="E183" i="7"/>
  <c r="D136" i="7"/>
  <c r="E204" i="7"/>
  <c r="E194" i="7"/>
  <c r="H260" i="7"/>
  <c r="C3" i="7"/>
  <c r="C276" i="7"/>
  <c r="B295" i="7"/>
  <c r="F6" i="7"/>
  <c r="D290" i="7"/>
  <c r="F299" i="7"/>
  <c r="E187" i="7"/>
  <c r="H279" i="7"/>
  <c r="F80" i="7"/>
  <c r="F126" i="7"/>
  <c r="I234" i="7"/>
  <c r="D224" i="7"/>
  <c r="D219" i="7"/>
  <c r="E230" i="7"/>
  <c r="D239" i="7"/>
  <c r="F290" i="7"/>
  <c r="D274" i="7"/>
  <c r="E235" i="7"/>
  <c r="F148" i="7"/>
  <c r="D146" i="7"/>
  <c r="E290" i="7"/>
  <c r="E255" i="7"/>
  <c r="I196" i="7"/>
  <c r="E229" i="7"/>
  <c r="F172" i="7"/>
  <c r="H275" i="7"/>
  <c r="D181" i="7"/>
  <c r="F220" i="7"/>
  <c r="I230" i="7"/>
  <c r="C259" i="7"/>
  <c r="F96" i="7"/>
  <c r="C284" i="7"/>
  <c r="E254" i="7"/>
  <c r="F52" i="7"/>
  <c r="F286" i="7"/>
  <c r="D167" i="7"/>
  <c r="I193" i="7"/>
  <c r="F117" i="7"/>
  <c r="D156" i="7"/>
  <c r="E210" i="7"/>
  <c r="E271" i="7"/>
  <c r="F94" i="7"/>
  <c r="F153" i="7"/>
  <c r="D256" i="7"/>
  <c r="F128" i="7"/>
  <c r="E253" i="7"/>
  <c r="F78" i="7"/>
  <c r="B300" i="7"/>
  <c r="F108" i="7"/>
  <c r="F90" i="7"/>
  <c r="F131" i="7"/>
  <c r="C299" i="7"/>
  <c r="F193" i="7"/>
  <c r="D208" i="7"/>
  <c r="E223" i="7"/>
  <c r="E266" i="7"/>
  <c r="I206" i="7"/>
  <c r="I191" i="7"/>
  <c r="D166" i="7"/>
  <c r="F221" i="7"/>
  <c r="F292" i="7"/>
  <c r="F224" i="7"/>
  <c r="B289" i="7"/>
  <c r="F44" i="7"/>
  <c r="F267" i="7"/>
  <c r="E218" i="7"/>
  <c r="I200" i="7"/>
  <c r="D223" i="7"/>
  <c r="I297" i="7"/>
  <c r="D234" i="7"/>
  <c r="B280" i="7"/>
  <c r="H299" i="7"/>
  <c r="E291" i="7"/>
  <c r="B254" i="7"/>
  <c r="H272" i="7"/>
  <c r="F57" i="7"/>
  <c r="E2" i="7"/>
  <c r="F298" i="7"/>
  <c r="F120" i="7"/>
  <c r="D153" i="7"/>
  <c r="F84" i="7"/>
  <c r="D199" i="7"/>
  <c r="F174" i="7"/>
  <c r="D145" i="7"/>
  <c r="I253" i="7"/>
  <c r="D176" i="7"/>
  <c r="E270" i="7"/>
  <c r="C250" i="7"/>
  <c r="E242" i="7"/>
  <c r="I219" i="7"/>
  <c r="E281" i="7"/>
  <c r="H300" i="7"/>
  <c r="D282" i="7"/>
  <c r="D133" i="7"/>
  <c r="H289" i="7"/>
  <c r="F140" i="7"/>
  <c r="H298" i="7"/>
  <c r="C252" i="7"/>
  <c r="F279" i="7"/>
  <c r="E276" i="7"/>
  <c r="F101" i="7"/>
  <c r="E208" i="7"/>
  <c r="D292" i="7"/>
  <c r="C256" i="7"/>
  <c r="F38" i="7"/>
  <c r="H295" i="7"/>
  <c r="F118" i="7"/>
  <c r="D178" i="7"/>
  <c r="F89" i="7"/>
  <c r="H278" i="7"/>
  <c r="F297" i="7"/>
  <c r="D174" i="7"/>
  <c r="F236" i="7"/>
  <c r="C290" i="7"/>
  <c r="H266" i="7"/>
  <c r="F65" i="7"/>
  <c r="D213" i="7"/>
  <c r="F113" i="7"/>
  <c r="I228" i="7"/>
  <c r="D2" i="7"/>
  <c r="E277" i="7"/>
  <c r="D275" i="7"/>
  <c r="I195" i="7"/>
  <c r="D266" i="7"/>
  <c r="E279" i="7"/>
  <c r="F105" i="7"/>
  <c r="I284" i="7"/>
  <c r="F188" i="7"/>
  <c r="F51" i="7"/>
  <c r="F179" i="7"/>
  <c r="B250" i="7"/>
  <c r="E238" i="7"/>
  <c r="H284" i="7"/>
  <c r="D289" i="7"/>
  <c r="F3" i="7"/>
  <c r="D258" i="7"/>
  <c r="D175" i="7"/>
  <c r="D195" i="7"/>
  <c r="I189" i="7"/>
  <c r="F199" i="7"/>
  <c r="D168" i="7"/>
  <c r="I290" i="7"/>
  <c r="F156" i="7"/>
  <c r="D225" i="7"/>
  <c r="F282" i="7"/>
  <c r="H255" i="7"/>
  <c r="I256" i="7"/>
  <c r="F100" i="7"/>
  <c r="D162" i="7"/>
  <c r="D194" i="7"/>
  <c r="I247" i="7"/>
  <c r="F201" i="7"/>
  <c r="C258" i="7"/>
  <c r="F182" i="7"/>
  <c r="C253" i="7"/>
  <c r="B276" i="7"/>
  <c r="B288" i="7"/>
  <c r="F258" i="7"/>
  <c r="E191" i="7"/>
  <c r="F277" i="7"/>
  <c r="F253" i="7"/>
  <c r="D265" i="7"/>
  <c r="F246" i="7"/>
  <c r="I198" i="7"/>
  <c r="F74" i="7"/>
  <c r="B272" i="7"/>
  <c r="E299" i="7"/>
  <c r="B255" i="7"/>
  <c r="F121" i="7"/>
  <c r="E197" i="7"/>
  <c r="F191" i="7"/>
  <c r="D300" i="7"/>
  <c r="E298" i="7"/>
  <c r="C5" i="7"/>
  <c r="F40" i="7"/>
  <c r="E228" i="7"/>
  <c r="E259" i="7"/>
  <c r="E284" i="7"/>
  <c r="F39" i="7"/>
  <c r="C265" i="7"/>
  <c r="F37" i="7"/>
  <c r="F115" i="7"/>
  <c r="I299" i="7"/>
  <c r="H267" i="7"/>
  <c r="D286" i="7"/>
  <c r="D172" i="7"/>
  <c r="F170" i="7"/>
  <c r="I4" i="7"/>
  <c r="F231" i="7"/>
  <c r="E181" i="7"/>
  <c r="I262" i="7"/>
  <c r="I283" i="7"/>
  <c r="I239" i="7"/>
  <c r="H287" i="7"/>
  <c r="C283" i="7"/>
  <c r="I202" i="7"/>
  <c r="H254" i="7"/>
  <c r="E206" i="7"/>
  <c r="B292" i="7"/>
  <c r="E288" i="7"/>
  <c r="D281" i="7"/>
  <c r="I254" i="7"/>
  <c r="F135" i="7"/>
  <c r="C295" i="7"/>
  <c r="B4" i="7"/>
  <c r="I2" i="7"/>
  <c r="F66" i="7"/>
  <c r="E219" i="7"/>
  <c r="I216" i="7"/>
  <c r="I187" i="7"/>
  <c r="D288" i="7"/>
  <c r="F272" i="7"/>
  <c r="F181" i="7"/>
  <c r="F200" i="7"/>
  <c r="I188" i="7"/>
  <c r="F168" i="7"/>
  <c r="D296" i="7"/>
  <c r="F77" i="7"/>
  <c r="B275" i="7"/>
  <c r="I291" i="7"/>
  <c r="C251" i="7"/>
  <c r="F67" i="7"/>
  <c r="C254" i="7"/>
  <c r="F164" i="7"/>
  <c r="D229" i="7"/>
  <c r="D158" i="7"/>
  <c r="C269" i="7"/>
  <c r="I270" i="7"/>
  <c r="H5" i="7"/>
  <c r="E283" i="7"/>
  <c r="D157" i="7"/>
  <c r="E285" i="7"/>
  <c r="D267" i="7"/>
  <c r="F203" i="7"/>
  <c r="D209" i="7"/>
  <c r="E252" i="7"/>
  <c r="D164" i="7"/>
  <c r="F62" i="7"/>
  <c r="D216" i="7"/>
  <c r="F69" i="7"/>
  <c r="I287" i="7"/>
  <c r="F237" i="7"/>
  <c r="F92" i="7"/>
  <c r="F216" i="7"/>
  <c r="I300" i="7"/>
  <c r="D132" i="7"/>
  <c r="B253" i="7"/>
  <c r="D205" i="7"/>
  <c r="E202" i="7"/>
  <c r="F82" i="7"/>
  <c r="B2" i="7"/>
  <c r="I274" i="7"/>
  <c r="F177" i="7"/>
  <c r="D135" i="7"/>
  <c r="E234" i="7"/>
  <c r="B283" i="7"/>
  <c r="D173" i="7"/>
  <c r="F43" i="7"/>
  <c r="F300" i="7"/>
  <c r="F244" i="7"/>
  <c r="D154" i="7"/>
  <c r="F219" i="7"/>
  <c r="F49" i="7"/>
  <c r="D252" i="7"/>
  <c r="B285" i="7"/>
  <c r="D285" i="7"/>
  <c r="F99" i="7"/>
  <c r="D233" i="7"/>
  <c r="E186" i="7"/>
  <c r="I213" i="7"/>
  <c r="F187" i="7"/>
  <c r="B281" i="7"/>
  <c r="F254" i="7"/>
  <c r="I205" i="7"/>
  <c r="C285" i="7"/>
  <c r="C294" i="7"/>
  <c r="I5" i="7"/>
  <c r="D255" i="7"/>
  <c r="E179" i="7"/>
  <c r="I204" i="7"/>
  <c r="D142" i="7"/>
  <c r="F167" i="7"/>
  <c r="B269" i="7"/>
  <c r="D188" i="7"/>
  <c r="D193" i="7"/>
  <c r="I245" i="7"/>
  <c r="F295" i="7"/>
  <c r="F127" i="7"/>
  <c r="E217" i="7"/>
  <c r="D298" i="7"/>
  <c r="D228" i="7"/>
  <c r="B277" i="7"/>
  <c r="D215" i="7"/>
  <c r="I201" i="7"/>
  <c r="F81" i="7"/>
  <c r="E251" i="7"/>
  <c r="D165" i="7"/>
  <c r="H273" i="7"/>
  <c r="I210" i="7"/>
  <c r="F192" i="7"/>
  <c r="D245" i="7"/>
  <c r="D237" i="7"/>
  <c r="F250" i="7"/>
  <c r="D277" i="7"/>
  <c r="D221" i="7"/>
  <c r="F278" i="7"/>
  <c r="I218" i="7"/>
  <c r="E180" i="7"/>
  <c r="I267" i="7"/>
  <c r="F123" i="7"/>
  <c r="D187" i="7"/>
  <c r="F198" i="7"/>
  <c r="D210" i="7"/>
  <c r="D238" i="7"/>
  <c r="I232" i="7"/>
  <c r="I264" i="7"/>
  <c r="E207" i="7"/>
  <c r="C297" i="7"/>
  <c r="I276" i="7"/>
  <c r="D227" i="7"/>
  <c r="C264" i="7"/>
  <c r="H269" i="7"/>
  <c r="D294" i="7"/>
  <c r="E212" i="7"/>
  <c r="C257" i="7"/>
  <c r="I279" i="7"/>
  <c r="E269" i="7"/>
  <c r="E205" i="7"/>
  <c r="F259" i="7"/>
  <c r="I197" i="7"/>
  <c r="B268" i="7"/>
  <c r="E4" i="7"/>
  <c r="F163" i="7"/>
  <c r="F34" i="7"/>
  <c r="I272" i="7"/>
  <c r="F72" i="7"/>
  <c r="F184" i="7"/>
  <c r="I211" i="7"/>
  <c r="E275" i="7"/>
  <c r="B261" i="7"/>
  <c r="F143" i="7"/>
  <c r="I236" i="7"/>
  <c r="F45" i="7"/>
  <c r="I183" i="7"/>
  <c r="E231" i="7"/>
  <c r="C282" i="7"/>
  <c r="I263" i="7"/>
  <c r="E261" i="7"/>
  <c r="D206" i="7"/>
  <c r="C2" i="7"/>
  <c r="E241" i="7"/>
  <c r="F222" i="7"/>
  <c r="B290" i="7"/>
  <c r="D249" i="7"/>
  <c r="H290" i="7"/>
  <c r="F268" i="7"/>
  <c r="I190" i="7"/>
  <c r="F266" i="7"/>
  <c r="F196" i="7"/>
  <c r="I251" i="7"/>
  <c r="E199" i="7"/>
  <c r="F214" i="7"/>
  <c r="E274" i="7"/>
  <c r="D250" i="7"/>
  <c r="F169" i="7"/>
  <c r="F262" i="7"/>
  <c r="I186" i="7"/>
  <c r="I212" i="7"/>
  <c r="D246" i="7"/>
  <c r="I224" i="7"/>
  <c r="F73" i="7"/>
  <c r="E198" i="7"/>
  <c r="I243" i="7"/>
  <c r="D143" i="7"/>
  <c r="F146" i="7"/>
  <c r="H293" i="7"/>
  <c r="E182" i="7"/>
  <c r="C288" i="7"/>
  <c r="D179" i="7"/>
  <c r="D254" i="7"/>
  <c r="E248" i="7"/>
  <c r="D247" i="7"/>
  <c r="B294" i="7"/>
  <c r="F207" i="7"/>
  <c r="E224" i="7"/>
  <c r="F234" i="7"/>
  <c r="B284" i="7"/>
  <c r="H268" i="7"/>
  <c r="I235" i="7"/>
  <c r="H286" i="7"/>
  <c r="I275" i="7"/>
  <c r="F171" i="7"/>
  <c r="C278" i="7"/>
  <c r="F85" i="7"/>
  <c r="H297" i="7"/>
  <c r="E280" i="7"/>
  <c r="I249" i="7"/>
  <c r="F116" i="7"/>
  <c r="E258" i="7"/>
  <c r="E256" i="7"/>
  <c r="B287" i="7"/>
  <c r="D150" i="7"/>
  <c r="I222" i="7"/>
  <c r="D278" i="7"/>
  <c r="B251" i="7"/>
  <c r="E222" i="7"/>
  <c r="D222" i="7"/>
  <c r="H271" i="7"/>
  <c r="F285" i="7"/>
  <c r="C263" i="7"/>
  <c r="D279" i="7"/>
  <c r="I259" i="7"/>
  <c r="D5" i="7"/>
  <c r="C274" i="7"/>
  <c r="F86" i="7"/>
  <c r="F93" i="7"/>
  <c r="C270" i="7"/>
  <c r="I293" i="7"/>
  <c r="E273" i="7"/>
  <c r="B271" i="7"/>
  <c r="E214" i="7"/>
  <c r="F166" i="7"/>
  <c r="I233" i="7"/>
  <c r="H294" i="7"/>
  <c r="C277" i="7"/>
  <c r="F276" i="7"/>
  <c r="H258" i="7"/>
  <c r="D144" i="7"/>
  <c r="F256" i="7"/>
  <c r="B260" i="7"/>
  <c r="I199" i="7"/>
  <c r="E195" i="7"/>
  <c r="F195" i="7"/>
  <c r="F50" i="7"/>
  <c r="B252" i="7"/>
  <c r="C286" i="7"/>
  <c r="C273" i="7"/>
  <c r="D271" i="7"/>
  <c r="D295" i="7"/>
  <c r="F141" i="7"/>
  <c r="F270" i="7"/>
  <c r="C267" i="7"/>
  <c r="F149" i="7"/>
  <c r="F189" i="7"/>
  <c r="F152" i="7"/>
  <c r="I226" i="7"/>
  <c r="B297" i="7"/>
  <c r="E264" i="7"/>
  <c r="H296" i="7"/>
  <c r="I277" i="7"/>
  <c r="E249" i="7"/>
  <c r="F83" i="7"/>
  <c r="D226" i="7"/>
  <c r="F165" i="7"/>
  <c r="D220" i="7"/>
  <c r="C292" i="7"/>
  <c r="F218" i="7"/>
  <c r="F264" i="7"/>
  <c r="D260" i="7"/>
  <c r="F56" i="7"/>
  <c r="F213" i="7"/>
  <c r="F243" i="7"/>
  <c r="F242" i="7"/>
  <c r="B279" i="7"/>
  <c r="F42" i="7"/>
  <c r="E225" i="7"/>
  <c r="D6" i="7"/>
  <c r="E189" i="7"/>
  <c r="I21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<sst xmlns="http://schemas.openxmlformats.org/spreadsheetml/2006/main" count="1148" uniqueCount="81">
  <si>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</si>
  <si>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</si>
  <si>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</si>
  <si>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</si>
  <si>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</si>
  <si>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</si>
  <si>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</si>
  <si>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</si>
  <si>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</si>
  <si>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</si>
  <si>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</si>
  <si>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</si>
  <si>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</si>
  <si>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</si>
  <si>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</si>
  <si>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</si>
  <si>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</si>
  <si>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</si>
  <si>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</si>
  <si>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</si>
  <si>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</si>
  <si>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</si>
  <si>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</si>
  <si>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</si>
  <si>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</si>
  <si>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</si>
  <si>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</si>
  <si>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Overall Project</t>
  </si>
  <si>
    <t>Month # 1</t>
  </si>
  <si>
    <t>Month # 2</t>
  </si>
  <si>
    <t>Month # 3</t>
  </si>
  <si>
    <t>Month # 4</t>
  </si>
  <si>
    <t>Month # 5</t>
  </si>
  <si>
    <t>Month # 6</t>
  </si>
  <si>
    <t>Month # 7</t>
  </si>
  <si>
    <t>Month # 8</t>
  </si>
  <si>
    <t>Month # 9</t>
  </si>
  <si>
    <t>Month # 10</t>
  </si>
  <si>
    <t>Month # 11</t>
  </si>
  <si>
    <t>Month # 12</t>
  </si>
  <si>
    <t>Month # 13</t>
  </si>
  <si>
    <t>Month # 14</t>
  </si>
  <si>
    <t>Month # 15</t>
  </si>
  <si>
    <t>Month # 16</t>
  </si>
  <si>
    <t>Month # 17</t>
  </si>
  <si>
    <t>Month # 18</t>
  </si>
  <si>
    <t>Month # 19</t>
  </si>
  <si>
    <t>Month # 20</t>
  </si>
  <si>
    <t>Month # 21</t>
  </si>
  <si>
    <t>Month # 22</t>
  </si>
  <si>
    <t>Month # 23</t>
  </si>
  <si>
    <t>Month # 24</t>
  </si>
  <si>
    <t>Engineering</t>
  </si>
  <si>
    <t>Procurement</t>
  </si>
  <si>
    <t>Construction</t>
  </si>
  <si>
    <t>Project Management</t>
  </si>
  <si>
    <t>HUC</t>
  </si>
  <si>
    <t>Service to NSE</t>
  </si>
  <si>
    <t>Subcontract Work to NSE</t>
  </si>
  <si>
    <t>Punch List Work</t>
  </si>
  <si>
    <t>Warranty Claim</t>
  </si>
  <si>
    <t>NVARCHAR(255)</t>
  </si>
  <si>
    <t>NVARCHAR(20)</t>
  </si>
  <si>
    <t>DATE</t>
  </si>
  <si>
    <t>DECIMAL(13,2)</t>
  </si>
  <si>
    <t>Yes</t>
  </si>
  <si>
    <t>Yse</t>
  </si>
  <si>
    <t>N/A</t>
  </si>
  <si>
    <t>range_start</t>
  </si>
  <si>
    <t>range_stop</t>
  </si>
  <si>
    <t>project_active_start</t>
  </si>
  <si>
    <t>project_inactive_end</t>
  </si>
  <si>
    <t>relate_document</t>
  </si>
  <si>
    <t>B10</t>
  </si>
  <si>
    <t>AB?</t>
  </si>
  <si>
    <t>relate_range_start_05</t>
  </si>
  <si>
    <t>C?</t>
  </si>
  <si>
    <t>5. Progress-Edited</t>
  </si>
  <si>
    <t>relate_range_stop_05</t>
  </si>
  <si>
    <t>col_number</t>
  </si>
  <si>
    <t>05.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</si>
</sst>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  <xf numFmtId="14" fontId="0" fillId="0" borderId="0" xfId="0" quotePrefix="1" applyNumberFormat="1"/>
  </cellXfs>
  <cellStyles count="4">
    <cellStyle name="Comma" xfId="1" builtinId="3"/>
    <cellStyle name="Comma 2 3" xfId="2" xr:uid="{902E92DD-3110-4647-A98A-7D202CCAEE6A}"/>
    <cellStyle name="Normal" xfId="0" builtinId="0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AJ249"/>
  <sheetViews>
    <sheetView topLeftCell="A9" zoomScale="55" zoomScaleNormal="55" workbookViewId="0">
      <pane xSplit="2" ySplit="1" topLeftCell="C115" activePane="bottomRight" state="frozen"/>
      <selection activeCell="A9" sqref="A9"/>
      <selection pane="topRight" activeCell="C9" sqref="C9"/>
      <selection pane="bottomLeft" activeCell="A10" sqref="A10"/>
      <selection pane="bottomRight" activeCell="B130" sqref="B130:B152"/>
    </sheetView>
  </sheetViews>
  <sheetFormatPr defaultRowHeight="15" x14ac:dyDescent="0.25"/>
  <cols>
    <col min="2" max="2" width="25.42578125" bestFit="1" customWidth="1"/>
    <col min="3" max="3" width="14.85546875" bestFit="1" customWidth="1"/>
    <col min="4" max="4" width="10.5703125" style="3" customWidth="1"/>
    <col min="5" max="5" width="25" bestFit="1" customWidth="1"/>
    <col min="6" max="6" width="10.85546875" customWidth="1"/>
    <col min="24" max="24" width="16.42578125" customWidth="1"/>
  </cols>
  <sheetData>
    <row r="1" spans="2:36" x14ac:dyDescent="0.25">
      <c r="G1" s="5"/>
      <c r="H1" s="5"/>
    </row>
    <row r="9" spans="2:36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</row>
    <row r="10" spans="2:36" x14ac:dyDescent="0.25">
      <c r="B10" t="s">
        <v>27</v>
      </c>
      <c r="C10" s="9" t="s">
        <v>28</v>
      </c>
      <c r="D10" s="14">
        <v>45536</v>
      </c>
      <c r="E10" s="2"/>
      <c r="F10" s="3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859171.26</v>
      </c>
      <c r="O10">
        <v>0</v>
      </c>
      <c r="P10">
        <v>859171.26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859171.26</v>
      </c>
      <c r="AA10">
        <v>0</v>
      </c>
      <c r="AB10">
        <v>859171.26</v>
      </c>
      <c r="AC10">
        <v>444.93</v>
      </c>
      <c r="AD10">
        <v>0</v>
      </c>
      <c r="AE10">
        <v>0</v>
      </c>
      <c r="AF10">
        <v>444.93</v>
      </c>
      <c r="AG10">
        <v>444.93</v>
      </c>
      <c r="AH10">
        <v>0</v>
      </c>
      <c r="AI10">
        <v>0</v>
      </c>
      <c r="AJ10">
        <v>444.93</v>
      </c>
    </row>
    <row r="11" spans="2:36" x14ac:dyDescent="0.25">
      <c r="B11" t="s">
        <v>27</v>
      </c>
      <c r="C11" s="9" t="s">
        <v>29</v>
      </c>
      <c r="D11" s="14">
        <v>45566</v>
      </c>
      <c r="E11" s="2">
        <v>372145.27999999997</v>
      </c>
      <c r="F11" s="3">
        <v>0</v>
      </c>
      <c r="G11">
        <v>372145.27999999997</v>
      </c>
      <c r="H11">
        <v>527970.91</v>
      </c>
      <c r="I11">
        <v>0</v>
      </c>
      <c r="J11">
        <v>527970.91</v>
      </c>
      <c r="K11">
        <v>402109.02</v>
      </c>
      <c r="L11">
        <v>0</v>
      </c>
      <c r="M11">
        <v>402109.02</v>
      </c>
      <c r="N11">
        <v>1400573.84</v>
      </c>
      <c r="O11">
        <v>0</v>
      </c>
      <c r="P11">
        <v>1400573.84</v>
      </c>
      <c r="Q11">
        <v>372145.27999999997</v>
      </c>
      <c r="R11">
        <v>0</v>
      </c>
      <c r="S11">
        <v>372145.27999999997</v>
      </c>
      <c r="T11">
        <v>527970.91</v>
      </c>
      <c r="U11">
        <v>0</v>
      </c>
      <c r="V11">
        <v>527970.91</v>
      </c>
      <c r="W11">
        <v>402109.02</v>
      </c>
      <c r="X11">
        <v>0</v>
      </c>
      <c r="Y11">
        <v>402109.02</v>
      </c>
      <c r="Z11">
        <v>1400573.84</v>
      </c>
      <c r="AA11">
        <v>0</v>
      </c>
      <c r="AB11">
        <v>1400573.84</v>
      </c>
      <c r="AC11">
        <v>1458.27</v>
      </c>
      <c r="AD11">
        <v>8.75</v>
      </c>
      <c r="AE11">
        <v>0</v>
      </c>
      <c r="AF11">
        <v>1467.02</v>
      </c>
      <c r="AG11">
        <v>1367.27</v>
      </c>
      <c r="AH11">
        <v>8.75</v>
      </c>
      <c r="AI11">
        <v>0</v>
      </c>
      <c r="AJ11">
        <v>1376.02</v>
      </c>
    </row>
    <row r="12" spans="2:36" x14ac:dyDescent="0.25">
      <c r="B12" t="s">
        <v>27</v>
      </c>
      <c r="C12" s="9" t="s">
        <v>30</v>
      </c>
      <c r="D12" s="14">
        <v>45597</v>
      </c>
      <c r="E12" s="2">
        <v>1893857.0899999999</v>
      </c>
      <c r="F12" s="3">
        <v>0</v>
      </c>
      <c r="G12">
        <v>1893857.0899999999</v>
      </c>
      <c r="H12">
        <v>988892.41</v>
      </c>
      <c r="I12">
        <v>0</v>
      </c>
      <c r="J12">
        <v>988892.41</v>
      </c>
      <c r="K12">
        <v>859171.26</v>
      </c>
      <c r="L12">
        <v>0</v>
      </c>
      <c r="M12">
        <v>859171.26</v>
      </c>
      <c r="N12">
        <v>1633207.7999999998</v>
      </c>
      <c r="O12">
        <v>0</v>
      </c>
      <c r="P12">
        <v>1633207.7999999998</v>
      </c>
      <c r="Q12">
        <v>2266002.3699999996</v>
      </c>
      <c r="R12">
        <v>0</v>
      </c>
      <c r="S12">
        <v>2266002.37</v>
      </c>
      <c r="T12">
        <v>1516863.32</v>
      </c>
      <c r="U12">
        <v>0</v>
      </c>
      <c r="V12">
        <v>1516863.3199999998</v>
      </c>
      <c r="W12">
        <v>1261280.28</v>
      </c>
      <c r="X12">
        <v>0</v>
      </c>
      <c r="Y12">
        <v>1261280.28</v>
      </c>
      <c r="Z12">
        <v>3033781.6399999997</v>
      </c>
      <c r="AA12">
        <v>0</v>
      </c>
      <c r="AB12">
        <v>3033781.64</v>
      </c>
      <c r="AC12">
        <v>3277.89</v>
      </c>
      <c r="AD12">
        <v>302</v>
      </c>
      <c r="AE12">
        <v>0</v>
      </c>
      <c r="AF12">
        <v>3579.8900000000003</v>
      </c>
      <c r="AG12">
        <v>1367.27</v>
      </c>
      <c r="AH12">
        <v>302</v>
      </c>
      <c r="AI12">
        <v>0</v>
      </c>
      <c r="AJ12">
        <v>1669.27</v>
      </c>
    </row>
    <row r="13" spans="2:36" x14ac:dyDescent="0.25">
      <c r="B13" t="s">
        <v>27</v>
      </c>
      <c r="C13" s="9" t="s">
        <v>31</v>
      </c>
      <c r="D13" s="14">
        <v>45627</v>
      </c>
      <c r="E13" s="2">
        <v>2101676.0699999998</v>
      </c>
      <c r="F13" s="3">
        <v>0</v>
      </c>
      <c r="G13">
        <v>2101676.0699999998</v>
      </c>
      <c r="H13">
        <v>1348828.4</v>
      </c>
      <c r="I13">
        <v>0</v>
      </c>
      <c r="J13">
        <v>1348828.4</v>
      </c>
      <c r="K13">
        <v>1400573.84</v>
      </c>
      <c r="L13">
        <v>0</v>
      </c>
      <c r="M13">
        <v>1400573.84</v>
      </c>
      <c r="N13">
        <v>1456340.7</v>
      </c>
      <c r="O13">
        <v>0</v>
      </c>
      <c r="P13">
        <v>1456340.7</v>
      </c>
      <c r="Q13">
        <v>4367678.4399999995</v>
      </c>
      <c r="R13">
        <v>0</v>
      </c>
      <c r="S13">
        <v>4367678.4399999995</v>
      </c>
      <c r="T13">
        <v>2865691.7199999997</v>
      </c>
      <c r="U13">
        <v>0</v>
      </c>
      <c r="V13">
        <v>2865691.7199999997</v>
      </c>
      <c r="W13">
        <v>2661854.12</v>
      </c>
      <c r="X13">
        <v>0</v>
      </c>
      <c r="Y13">
        <v>2661854.12</v>
      </c>
      <c r="Z13">
        <v>4490122.34</v>
      </c>
      <c r="AA13">
        <v>0</v>
      </c>
      <c r="AB13">
        <v>4490122.34</v>
      </c>
      <c r="AC13">
        <v>5442.96</v>
      </c>
      <c r="AD13">
        <v>749.5</v>
      </c>
      <c r="AE13">
        <v>0</v>
      </c>
      <c r="AF13">
        <v>6192.4600000000009</v>
      </c>
      <c r="AG13">
        <v>1367.27</v>
      </c>
      <c r="AH13">
        <v>749.5</v>
      </c>
      <c r="AI13">
        <v>0</v>
      </c>
      <c r="AJ13">
        <v>2116.77</v>
      </c>
    </row>
    <row r="14" spans="2:36" x14ac:dyDescent="0.25">
      <c r="B14" t="s">
        <v>27</v>
      </c>
      <c r="C14" s="9" t="s">
        <v>32</v>
      </c>
      <c r="D14" s="14">
        <v>45658</v>
      </c>
      <c r="E14" s="2">
        <v>2009753.71</v>
      </c>
      <c r="F14" s="3">
        <v>0</v>
      </c>
      <c r="G14">
        <v>2009753.71</v>
      </c>
      <c r="H14">
        <v>1419961.16</v>
      </c>
      <c r="I14">
        <v>0</v>
      </c>
      <c r="J14">
        <v>1419961.16</v>
      </c>
      <c r="K14">
        <v>1582457.7999999998</v>
      </c>
      <c r="L14">
        <v>0</v>
      </c>
      <c r="M14">
        <v>1582457.7999999998</v>
      </c>
      <c r="N14">
        <v>2255368.96</v>
      </c>
      <c r="O14">
        <v>0</v>
      </c>
      <c r="P14">
        <v>2255368.96</v>
      </c>
      <c r="Q14">
        <v>6377432.1499999994</v>
      </c>
      <c r="R14">
        <v>0</v>
      </c>
      <c r="S14">
        <v>6377432.1499999994</v>
      </c>
      <c r="T14">
        <v>4285652.88</v>
      </c>
      <c r="U14">
        <v>0</v>
      </c>
      <c r="V14">
        <v>4285652.88</v>
      </c>
      <c r="W14">
        <v>4244311.92</v>
      </c>
      <c r="X14">
        <v>0</v>
      </c>
      <c r="Y14">
        <v>4244311.92</v>
      </c>
      <c r="Z14">
        <v>6745491.2999999998</v>
      </c>
      <c r="AA14">
        <v>0</v>
      </c>
      <c r="AB14">
        <v>6745491.3000000007</v>
      </c>
      <c r="AC14">
        <v>7411.26</v>
      </c>
      <c r="AD14">
        <v>1423.5</v>
      </c>
      <c r="AE14">
        <v>0</v>
      </c>
      <c r="AF14">
        <v>8834.76</v>
      </c>
      <c r="AG14">
        <v>1367.27</v>
      </c>
      <c r="AH14">
        <v>1423.5</v>
      </c>
      <c r="AI14">
        <v>0</v>
      </c>
      <c r="AJ14">
        <v>2790.7699999999995</v>
      </c>
    </row>
    <row r="15" spans="2:36" x14ac:dyDescent="0.25">
      <c r="B15" t="s">
        <v>27</v>
      </c>
      <c r="C15" s="9" t="s">
        <v>33</v>
      </c>
      <c r="D15" s="14">
        <v>45689</v>
      </c>
      <c r="E15" s="2">
        <v>1943350.52</v>
      </c>
      <c r="F15" s="3">
        <v>0</v>
      </c>
      <c r="G15">
        <v>1943350.52</v>
      </c>
      <c r="H15">
        <v>1292508.8099999998</v>
      </c>
      <c r="I15">
        <v>0</v>
      </c>
      <c r="J15">
        <v>1292508.8099999998</v>
      </c>
      <c r="K15">
        <v>1453772.75</v>
      </c>
      <c r="L15">
        <v>0</v>
      </c>
      <c r="M15">
        <v>1453772.75</v>
      </c>
      <c r="N15">
        <v>1714562.44</v>
      </c>
      <c r="O15">
        <v>0</v>
      </c>
      <c r="P15">
        <v>1714562.44</v>
      </c>
      <c r="Q15">
        <v>8320782.6699999999</v>
      </c>
      <c r="R15">
        <v>0</v>
      </c>
      <c r="S15">
        <v>8320782.669999999</v>
      </c>
      <c r="T15">
        <v>5578161.6899999995</v>
      </c>
      <c r="U15">
        <v>0</v>
      </c>
      <c r="V15">
        <v>5578161.6899999995</v>
      </c>
      <c r="W15">
        <v>5698084.6699999999</v>
      </c>
      <c r="X15">
        <v>0</v>
      </c>
      <c r="Y15">
        <v>5698084.6699999999</v>
      </c>
      <c r="Z15">
        <v>8460053.7400000002</v>
      </c>
      <c r="AA15">
        <v>0</v>
      </c>
      <c r="AB15">
        <v>8460053.7400000002</v>
      </c>
      <c r="AC15">
        <v>10371.69</v>
      </c>
      <c r="AD15">
        <v>2058.25</v>
      </c>
      <c r="AE15">
        <v>0</v>
      </c>
      <c r="AF15">
        <v>12429.94</v>
      </c>
      <c r="AG15">
        <v>1367.27</v>
      </c>
      <c r="AH15">
        <v>2058.25</v>
      </c>
      <c r="AI15">
        <v>0</v>
      </c>
      <c r="AJ15">
        <v>3425.5199999999995</v>
      </c>
    </row>
    <row r="16" spans="2:36" x14ac:dyDescent="0.25">
      <c r="B16" t="s">
        <v>27</v>
      </c>
      <c r="C16" s="9" t="s">
        <v>34</v>
      </c>
      <c r="D16" s="14">
        <v>45717</v>
      </c>
      <c r="E16" s="2">
        <v>1102344.22</v>
      </c>
      <c r="F16">
        <v>0</v>
      </c>
      <c r="G16">
        <v>1102344.22</v>
      </c>
      <c r="H16">
        <v>897820.45</v>
      </c>
      <c r="I16">
        <v>0</v>
      </c>
      <c r="J16">
        <v>897820.45</v>
      </c>
      <c r="K16">
        <v>2080094.71</v>
      </c>
      <c r="L16">
        <v>0</v>
      </c>
      <c r="M16">
        <v>2080094.71</v>
      </c>
      <c r="N16">
        <v>1632293.46</v>
      </c>
      <c r="O16">
        <v>0</v>
      </c>
      <c r="P16">
        <v>1632293.46</v>
      </c>
      <c r="Q16">
        <v>9423126.8900000006</v>
      </c>
      <c r="R16">
        <v>0</v>
      </c>
      <c r="S16">
        <v>9423126.8899999987</v>
      </c>
      <c r="T16">
        <v>6475982.1399999997</v>
      </c>
      <c r="U16">
        <v>0</v>
      </c>
      <c r="V16">
        <v>6475982.1399999987</v>
      </c>
      <c r="W16">
        <v>7778179.3799999999</v>
      </c>
      <c r="X16">
        <v>0</v>
      </c>
      <c r="Y16">
        <v>7778179.3799999999</v>
      </c>
      <c r="Z16">
        <v>10092347.199999999</v>
      </c>
      <c r="AA16">
        <v>0</v>
      </c>
      <c r="AB16">
        <v>10092347.200000001</v>
      </c>
      <c r="AC16">
        <v>12655.19</v>
      </c>
      <c r="AD16">
        <v>2540.25</v>
      </c>
      <c r="AE16">
        <v>0</v>
      </c>
      <c r="AF16">
        <v>15195.440000000002</v>
      </c>
      <c r="AG16">
        <v>1367.27</v>
      </c>
      <c r="AH16">
        <v>2540.25</v>
      </c>
      <c r="AI16">
        <v>0</v>
      </c>
      <c r="AJ16">
        <v>3907.5199999999995</v>
      </c>
    </row>
    <row r="17" spans="2:36" x14ac:dyDescent="0.25">
      <c r="B17" t="s">
        <v>27</v>
      </c>
      <c r="C17" s="9" t="s">
        <v>35</v>
      </c>
      <c r="D17" s="14">
        <v>45748</v>
      </c>
      <c r="E17" s="2">
        <v>1228505.1299999999</v>
      </c>
      <c r="F17">
        <v>0</v>
      </c>
      <c r="G17">
        <v>1228505.1299999999</v>
      </c>
      <c r="H17">
        <v>967270.05999999994</v>
      </c>
      <c r="I17">
        <v>0</v>
      </c>
      <c r="J17">
        <v>967270.05999999994</v>
      </c>
      <c r="K17">
        <v>1558161.19</v>
      </c>
      <c r="L17">
        <v>0</v>
      </c>
      <c r="M17">
        <v>1558161.19</v>
      </c>
      <c r="N17">
        <v>1182346.17</v>
      </c>
      <c r="O17">
        <v>0</v>
      </c>
      <c r="P17">
        <v>1182346.17</v>
      </c>
      <c r="Q17">
        <v>10651632.02</v>
      </c>
      <c r="R17">
        <v>0</v>
      </c>
      <c r="S17">
        <v>10651632.02</v>
      </c>
      <c r="T17">
        <v>7443252.1999999993</v>
      </c>
      <c r="U17">
        <v>0</v>
      </c>
      <c r="V17">
        <v>7443252.1999999993</v>
      </c>
      <c r="W17">
        <v>9336340.5700000003</v>
      </c>
      <c r="X17">
        <v>0</v>
      </c>
      <c r="Y17">
        <v>9336340.5700000003</v>
      </c>
      <c r="Z17">
        <v>11274693.369999999</v>
      </c>
      <c r="AA17">
        <v>0</v>
      </c>
      <c r="AB17">
        <v>11274693.370000001</v>
      </c>
      <c r="AC17">
        <v>15016.54</v>
      </c>
      <c r="AD17">
        <v>3109</v>
      </c>
      <c r="AE17">
        <v>0</v>
      </c>
      <c r="AF17">
        <v>18125.54</v>
      </c>
      <c r="AG17">
        <v>1367.27</v>
      </c>
      <c r="AH17">
        <v>3109</v>
      </c>
      <c r="AI17">
        <v>0</v>
      </c>
      <c r="AJ17">
        <v>4476.2699999999995</v>
      </c>
    </row>
    <row r="18" spans="2:36" x14ac:dyDescent="0.25">
      <c r="B18" t="s">
        <v>27</v>
      </c>
      <c r="C18" s="9" t="s">
        <v>36</v>
      </c>
      <c r="D18" s="14">
        <v>45778</v>
      </c>
      <c r="E18" s="2">
        <v>1246468.28</v>
      </c>
      <c r="F18">
        <v>0</v>
      </c>
      <c r="G18">
        <v>1246468.28</v>
      </c>
      <c r="H18">
        <v>1052814.9000000001</v>
      </c>
      <c r="I18">
        <v>0</v>
      </c>
      <c r="J18">
        <v>1052814.9000000001</v>
      </c>
      <c r="K18">
        <v>1467853.71</v>
      </c>
      <c r="L18">
        <v>0</v>
      </c>
      <c r="M18">
        <v>1467853.71</v>
      </c>
      <c r="N18">
        <v>1541363.65</v>
      </c>
      <c r="O18">
        <v>0</v>
      </c>
      <c r="P18">
        <v>1541363.65</v>
      </c>
      <c r="Q18">
        <v>11898100.299999999</v>
      </c>
      <c r="R18">
        <v>0</v>
      </c>
      <c r="S18">
        <v>11898100.299999999</v>
      </c>
      <c r="T18">
        <v>8496067.0999999996</v>
      </c>
      <c r="U18">
        <v>0</v>
      </c>
      <c r="V18">
        <v>8496067.0999999996</v>
      </c>
      <c r="W18">
        <v>10804194.280000001</v>
      </c>
      <c r="X18">
        <v>0</v>
      </c>
      <c r="Y18">
        <v>10804194.280000001</v>
      </c>
      <c r="Z18">
        <v>12816057.02</v>
      </c>
      <c r="AA18">
        <v>0</v>
      </c>
      <c r="AB18">
        <v>12816057.02</v>
      </c>
      <c r="AC18">
        <v>16720.34</v>
      </c>
      <c r="AD18">
        <v>3373.5</v>
      </c>
      <c r="AE18">
        <v>0</v>
      </c>
      <c r="AF18">
        <v>20093.84</v>
      </c>
      <c r="AG18">
        <v>1367.27</v>
      </c>
      <c r="AH18">
        <v>3165.5</v>
      </c>
      <c r="AI18">
        <v>0</v>
      </c>
      <c r="AJ18">
        <v>4532.7699999999995</v>
      </c>
    </row>
    <row r="19" spans="2:36" x14ac:dyDescent="0.25">
      <c r="B19" t="s">
        <v>27</v>
      </c>
      <c r="C19" s="9" t="s">
        <v>37</v>
      </c>
      <c r="D19" s="14">
        <v>45809</v>
      </c>
      <c r="E19" s="2">
        <v>952105.3</v>
      </c>
      <c r="F19">
        <v>0</v>
      </c>
      <c r="G19">
        <v>952105.3</v>
      </c>
      <c r="H19">
        <v>625712.42999999993</v>
      </c>
      <c r="I19">
        <v>0</v>
      </c>
      <c r="J19">
        <v>625712.42999999993</v>
      </c>
      <c r="K19">
        <v>1035421.4199999999</v>
      </c>
      <c r="L19">
        <v>0</v>
      </c>
      <c r="M19">
        <v>1035421.4199999999</v>
      </c>
      <c r="N19">
        <v>846036.08</v>
      </c>
      <c r="O19">
        <v>0</v>
      </c>
      <c r="P19">
        <v>846036.08</v>
      </c>
      <c r="Q19">
        <v>12850205.6</v>
      </c>
      <c r="R19">
        <v>0</v>
      </c>
      <c r="S19">
        <v>12850205.6</v>
      </c>
      <c r="T19">
        <v>9121779.5299999993</v>
      </c>
      <c r="U19">
        <v>0</v>
      </c>
      <c r="V19">
        <v>9121779.5299999993</v>
      </c>
      <c r="W19">
        <v>11839615.700000001</v>
      </c>
      <c r="X19">
        <v>0</v>
      </c>
      <c r="Y19">
        <v>11839615.699999999</v>
      </c>
      <c r="Z19">
        <v>13662093.1</v>
      </c>
      <c r="AA19">
        <v>0</v>
      </c>
      <c r="AB19">
        <v>13662093.100000001</v>
      </c>
      <c r="AC19">
        <v>18924.54</v>
      </c>
      <c r="AD19">
        <v>3755.66</v>
      </c>
      <c r="AE19">
        <v>0</v>
      </c>
      <c r="AF19">
        <v>22680.199999999997</v>
      </c>
      <c r="AG19">
        <v>1367.27</v>
      </c>
      <c r="AH19">
        <v>3288</v>
      </c>
      <c r="AI19">
        <v>0</v>
      </c>
      <c r="AJ19">
        <v>4655.2699999999995</v>
      </c>
    </row>
    <row r="20" spans="2:36" x14ac:dyDescent="0.25">
      <c r="B20" t="s">
        <v>27</v>
      </c>
      <c r="C20" s="9" t="s">
        <v>38</v>
      </c>
      <c r="D20" s="14">
        <v>45839</v>
      </c>
      <c r="E20" s="2">
        <v>635619.86</v>
      </c>
      <c r="F20">
        <v>0</v>
      </c>
      <c r="G20">
        <v>635619.86</v>
      </c>
      <c r="H20">
        <v>502412.28</v>
      </c>
      <c r="I20">
        <v>0</v>
      </c>
      <c r="J20">
        <v>502412.28</v>
      </c>
      <c r="K20">
        <v>1358709.9</v>
      </c>
      <c r="L20">
        <v>0</v>
      </c>
      <c r="M20">
        <v>1358709.9</v>
      </c>
      <c r="N20">
        <v>839744.44</v>
      </c>
      <c r="O20">
        <v>0</v>
      </c>
      <c r="P20">
        <v>839744.44</v>
      </c>
      <c r="Q20">
        <v>13485825.459999999</v>
      </c>
      <c r="R20">
        <v>0</v>
      </c>
      <c r="S20">
        <v>13485825.459999999</v>
      </c>
      <c r="T20">
        <v>9624191.8099999987</v>
      </c>
      <c r="U20">
        <v>0</v>
      </c>
      <c r="V20">
        <v>9624191.8099999987</v>
      </c>
      <c r="W20">
        <v>13198325.600000001</v>
      </c>
      <c r="X20">
        <v>0</v>
      </c>
      <c r="Y20">
        <v>13198325.600000001</v>
      </c>
      <c r="Z20">
        <v>14501837.539999999</v>
      </c>
      <c r="AA20">
        <v>0</v>
      </c>
      <c r="AB20">
        <v>14501837.540000001</v>
      </c>
      <c r="AC20">
        <v>20141.89</v>
      </c>
      <c r="AD20">
        <v>3955.66</v>
      </c>
      <c r="AE20">
        <v>0</v>
      </c>
      <c r="AF20">
        <v>24097.550000000003</v>
      </c>
      <c r="AG20">
        <v>1367.27</v>
      </c>
      <c r="AH20">
        <v>3305.5</v>
      </c>
      <c r="AI20">
        <v>0</v>
      </c>
      <c r="AJ20">
        <v>4672.7699999999995</v>
      </c>
    </row>
    <row r="21" spans="2:36" x14ac:dyDescent="0.25">
      <c r="B21" t="s">
        <v>27</v>
      </c>
      <c r="C21" s="9" t="s">
        <v>39</v>
      </c>
      <c r="D21" s="14">
        <v>45870</v>
      </c>
      <c r="E21" s="2">
        <v>493783.38</v>
      </c>
      <c r="F21">
        <v>0</v>
      </c>
      <c r="G21">
        <v>493783.38</v>
      </c>
      <c r="H21">
        <v>505966.53</v>
      </c>
      <c r="I21">
        <v>0</v>
      </c>
      <c r="J21">
        <v>505966.53</v>
      </c>
      <c r="K21">
        <v>701573.75</v>
      </c>
      <c r="L21">
        <v>0</v>
      </c>
      <c r="M21">
        <v>701573.75</v>
      </c>
      <c r="N21">
        <v>726488.85</v>
      </c>
      <c r="O21">
        <v>0</v>
      </c>
      <c r="P21">
        <v>726488.85</v>
      </c>
      <c r="Q21">
        <v>13979608.84</v>
      </c>
      <c r="R21">
        <v>0</v>
      </c>
      <c r="S21">
        <v>13979608.84</v>
      </c>
      <c r="T21">
        <v>10130158.339999998</v>
      </c>
      <c r="U21">
        <v>0</v>
      </c>
      <c r="V21">
        <v>10130158.34</v>
      </c>
      <c r="W21">
        <v>13899899.350000001</v>
      </c>
      <c r="X21">
        <v>0</v>
      </c>
      <c r="Y21">
        <v>13899899.350000001</v>
      </c>
      <c r="Z21">
        <v>15228326.389999999</v>
      </c>
      <c r="AA21">
        <v>0</v>
      </c>
      <c r="AB21">
        <v>15228326.390000001</v>
      </c>
      <c r="AC21">
        <v>21341.51</v>
      </c>
      <c r="AD21">
        <v>4155.66</v>
      </c>
      <c r="AE21">
        <v>0</v>
      </c>
      <c r="AF21">
        <v>25497.17</v>
      </c>
      <c r="AG21">
        <v>1367.27</v>
      </c>
      <c r="AH21">
        <v>3305.5</v>
      </c>
      <c r="AI21">
        <v>0</v>
      </c>
      <c r="AJ21">
        <v>4672.7699999999995</v>
      </c>
    </row>
    <row r="22" spans="2:36" x14ac:dyDescent="0.25">
      <c r="B22" t="s">
        <v>27</v>
      </c>
      <c r="C22" s="9" t="s">
        <v>40</v>
      </c>
      <c r="D22" s="14">
        <v>45901</v>
      </c>
      <c r="E22" s="2">
        <v>449286.35</v>
      </c>
      <c r="F22">
        <v>0</v>
      </c>
      <c r="G22">
        <v>449286.35</v>
      </c>
      <c r="H22">
        <v>462040.83</v>
      </c>
      <c r="I22">
        <v>0</v>
      </c>
      <c r="J22">
        <v>462040.83</v>
      </c>
      <c r="K22">
        <v>678974.44</v>
      </c>
      <c r="L22">
        <v>0</v>
      </c>
      <c r="M22">
        <v>678974.44</v>
      </c>
      <c r="N22">
        <v>870914.83</v>
      </c>
      <c r="O22">
        <v>0</v>
      </c>
      <c r="P22">
        <v>870914.83</v>
      </c>
      <c r="Q22">
        <v>14428895.189999999</v>
      </c>
      <c r="R22">
        <v>0</v>
      </c>
      <c r="S22">
        <v>14428895.190000001</v>
      </c>
      <c r="T22">
        <v>10592199.169999998</v>
      </c>
      <c r="U22">
        <v>0</v>
      </c>
      <c r="V22">
        <v>10592199.17</v>
      </c>
      <c r="W22">
        <v>14578873.790000001</v>
      </c>
      <c r="X22">
        <v>0</v>
      </c>
      <c r="Y22">
        <v>14578873.789999999</v>
      </c>
      <c r="Z22">
        <v>16099241.219999999</v>
      </c>
      <c r="AA22">
        <v>0</v>
      </c>
      <c r="AB22">
        <v>16099241.220000001</v>
      </c>
      <c r="AC22">
        <v>22394.14</v>
      </c>
      <c r="AD22">
        <v>4355.66</v>
      </c>
      <c r="AE22">
        <v>0</v>
      </c>
      <c r="AF22">
        <v>26749.800000000003</v>
      </c>
      <c r="AG22">
        <v>1367.27</v>
      </c>
      <c r="AH22">
        <v>3305.5</v>
      </c>
      <c r="AI22">
        <v>0</v>
      </c>
      <c r="AJ22">
        <v>4672.7699999999995</v>
      </c>
    </row>
    <row r="23" spans="2:36" x14ac:dyDescent="0.25">
      <c r="B23" t="s">
        <v>27</v>
      </c>
      <c r="C23" s="9" t="s">
        <v>41</v>
      </c>
      <c r="D23" s="14">
        <v>45931</v>
      </c>
      <c r="E23" s="2">
        <v>408415.56</v>
      </c>
      <c r="F23">
        <v>0</v>
      </c>
      <c r="G23">
        <v>408415.56</v>
      </c>
      <c r="H23">
        <v>405328.18</v>
      </c>
      <c r="I23">
        <v>0</v>
      </c>
      <c r="J23">
        <v>405328.18</v>
      </c>
      <c r="K23">
        <v>583019.1</v>
      </c>
      <c r="L23">
        <v>0</v>
      </c>
      <c r="M23">
        <v>583019.1</v>
      </c>
      <c r="N23">
        <v>900653.21</v>
      </c>
      <c r="O23">
        <v>0</v>
      </c>
      <c r="P23">
        <v>900653.21</v>
      </c>
      <c r="Q23">
        <v>14837310.75</v>
      </c>
      <c r="R23">
        <v>0</v>
      </c>
      <c r="S23">
        <v>14837310.750000004</v>
      </c>
      <c r="T23">
        <v>10997527.349999998</v>
      </c>
      <c r="U23">
        <v>0</v>
      </c>
      <c r="V23">
        <v>10997527.35</v>
      </c>
      <c r="W23">
        <v>15161892.890000001</v>
      </c>
      <c r="X23">
        <v>0</v>
      </c>
      <c r="Y23">
        <v>15161892.890000001</v>
      </c>
      <c r="Z23">
        <v>16999894.43</v>
      </c>
      <c r="AA23">
        <v>0</v>
      </c>
      <c r="AB23">
        <v>16999894.43</v>
      </c>
      <c r="AC23">
        <v>23630.44</v>
      </c>
      <c r="AD23">
        <v>4520.59</v>
      </c>
      <c r="AE23">
        <v>0</v>
      </c>
      <c r="AF23">
        <v>28151.03</v>
      </c>
      <c r="AG23">
        <v>1367.27</v>
      </c>
      <c r="AH23">
        <v>3305.5</v>
      </c>
      <c r="AI23">
        <v>0</v>
      </c>
      <c r="AJ23">
        <v>4672.7699999999995</v>
      </c>
    </row>
    <row r="24" spans="2:36" x14ac:dyDescent="0.25">
      <c r="B24" t="s">
        <v>27</v>
      </c>
      <c r="C24" s="9" t="s">
        <v>42</v>
      </c>
      <c r="D24" s="14">
        <v>45962</v>
      </c>
      <c r="E24" s="2">
        <v>472626.75</v>
      </c>
      <c r="F24">
        <v>0</v>
      </c>
      <c r="G24">
        <v>472626.75</v>
      </c>
      <c r="H24">
        <v>333062.92</v>
      </c>
      <c r="I24">
        <v>0</v>
      </c>
      <c r="J24">
        <v>333062.92</v>
      </c>
      <c r="K24">
        <v>715212.58</v>
      </c>
      <c r="L24">
        <v>0</v>
      </c>
      <c r="M24">
        <v>715212.58</v>
      </c>
      <c r="N24">
        <v>332844.48</v>
      </c>
      <c r="O24">
        <v>0</v>
      </c>
      <c r="P24">
        <v>332844.48</v>
      </c>
      <c r="Q24">
        <v>15309937.5</v>
      </c>
      <c r="R24">
        <v>0</v>
      </c>
      <c r="S24">
        <v>15309937.500000002</v>
      </c>
      <c r="T24">
        <v>11330590.269999998</v>
      </c>
      <c r="U24">
        <v>0</v>
      </c>
      <c r="V24">
        <v>11330590.27</v>
      </c>
      <c r="W24">
        <v>15877105.470000001</v>
      </c>
      <c r="X24">
        <v>0</v>
      </c>
      <c r="Y24">
        <v>15877105.469999999</v>
      </c>
      <c r="Z24">
        <v>17332738.91</v>
      </c>
      <c r="AA24">
        <v>0</v>
      </c>
      <c r="AB24">
        <v>17332738.910000004</v>
      </c>
      <c r="AC24">
        <v>24901.289999999997</v>
      </c>
      <c r="AD24">
        <v>4520.59</v>
      </c>
      <c r="AE24">
        <v>0</v>
      </c>
      <c r="AF24">
        <v>29421.88</v>
      </c>
      <c r="AG24">
        <v>1367.27</v>
      </c>
      <c r="AH24">
        <v>3305.5</v>
      </c>
      <c r="AI24">
        <v>0</v>
      </c>
      <c r="AJ24">
        <v>4672.7699999999995</v>
      </c>
    </row>
    <row r="25" spans="2:36" x14ac:dyDescent="0.25">
      <c r="B25" t="s">
        <v>27</v>
      </c>
      <c r="C25" s="9" t="s">
        <v>43</v>
      </c>
      <c r="D25" s="14">
        <v>45992</v>
      </c>
      <c r="E25" s="2">
        <v>582048.52</v>
      </c>
      <c r="F25">
        <v>0</v>
      </c>
      <c r="G25">
        <v>582048.52</v>
      </c>
      <c r="H25">
        <v>436943.72</v>
      </c>
      <c r="I25">
        <v>0</v>
      </c>
      <c r="J25">
        <v>436943.72</v>
      </c>
      <c r="K25">
        <v>755491.88</v>
      </c>
      <c r="L25">
        <v>0</v>
      </c>
      <c r="M25">
        <v>755491.88</v>
      </c>
      <c r="N25">
        <v>0</v>
      </c>
      <c r="O25">
        <v>0</v>
      </c>
      <c r="P25">
        <v>0</v>
      </c>
      <c r="Q25">
        <v>15891986.02</v>
      </c>
      <c r="R25">
        <v>0</v>
      </c>
      <c r="S25">
        <v>15891986.020000003</v>
      </c>
      <c r="T25">
        <v>11767533.989999998</v>
      </c>
      <c r="U25">
        <v>0</v>
      </c>
      <c r="V25">
        <v>11767533.989999998</v>
      </c>
      <c r="W25">
        <v>16632597.350000001</v>
      </c>
      <c r="X25">
        <v>0</v>
      </c>
      <c r="Y25">
        <v>16632597.349999998</v>
      </c>
      <c r="Z25">
        <v>17332738.91</v>
      </c>
      <c r="AA25">
        <v>0</v>
      </c>
      <c r="AB25">
        <v>17332738.910000004</v>
      </c>
      <c r="AC25">
        <v>25387.85</v>
      </c>
      <c r="AD25">
        <v>4520.59</v>
      </c>
      <c r="AE25">
        <v>0</v>
      </c>
      <c r="AF25">
        <v>29908.44</v>
      </c>
      <c r="AG25">
        <v>1367.27</v>
      </c>
      <c r="AH25">
        <v>3305.5</v>
      </c>
      <c r="AI25">
        <v>0</v>
      </c>
      <c r="AJ25">
        <v>4672.7699999999995</v>
      </c>
    </row>
    <row r="26" spans="2:36" x14ac:dyDescent="0.25">
      <c r="B26" t="s">
        <v>27</v>
      </c>
      <c r="C26" s="9" t="s">
        <v>44</v>
      </c>
      <c r="D26" s="14">
        <v>46023</v>
      </c>
      <c r="E26" s="2">
        <v>206272.68</v>
      </c>
      <c r="F26">
        <v>0</v>
      </c>
      <c r="G26">
        <v>206272.68</v>
      </c>
      <c r="H26">
        <v>215449.52999999997</v>
      </c>
      <c r="I26">
        <v>0</v>
      </c>
      <c r="J26">
        <v>215449.52999999997</v>
      </c>
      <c r="K26">
        <v>218425.21000000002</v>
      </c>
      <c r="L26">
        <v>0</v>
      </c>
      <c r="M26">
        <v>218425.21000000002</v>
      </c>
      <c r="N26">
        <v>0</v>
      </c>
      <c r="O26">
        <v>0</v>
      </c>
      <c r="P26">
        <v>0</v>
      </c>
      <c r="Q26">
        <v>16098258.699999999</v>
      </c>
      <c r="R26">
        <v>0</v>
      </c>
      <c r="S26">
        <v>16098258.700000001</v>
      </c>
      <c r="T26">
        <v>11982983.519999998</v>
      </c>
      <c r="U26">
        <v>0</v>
      </c>
      <c r="V26">
        <v>11982983.52</v>
      </c>
      <c r="W26">
        <v>16851022.560000002</v>
      </c>
      <c r="X26">
        <v>0</v>
      </c>
      <c r="Y26">
        <v>16851022.559999999</v>
      </c>
      <c r="Z26">
        <v>17332738.91</v>
      </c>
      <c r="AA26">
        <v>0</v>
      </c>
      <c r="AB26">
        <v>17332738.910000004</v>
      </c>
      <c r="AC26">
        <v>25631.129999999997</v>
      </c>
      <c r="AD26">
        <v>4520.59</v>
      </c>
      <c r="AE26">
        <v>0</v>
      </c>
      <c r="AF26">
        <v>30151.719999999998</v>
      </c>
      <c r="AG26">
        <v>1367.27</v>
      </c>
      <c r="AH26">
        <v>3305.5</v>
      </c>
      <c r="AI26">
        <v>0</v>
      </c>
      <c r="AJ26">
        <v>4672.7699999999995</v>
      </c>
    </row>
    <row r="27" spans="2:36" x14ac:dyDescent="0.25">
      <c r="B27" t="s">
        <v>27</v>
      </c>
      <c r="C27" s="9" t="s">
        <v>45</v>
      </c>
      <c r="D27" s="14">
        <v>46054</v>
      </c>
      <c r="E27" s="2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75655.56</v>
      </c>
      <c r="L27">
        <v>0</v>
      </c>
      <c r="M27">
        <v>75655.56</v>
      </c>
      <c r="N27">
        <v>0</v>
      </c>
      <c r="O27">
        <v>0</v>
      </c>
      <c r="P27">
        <v>0</v>
      </c>
      <c r="Q27">
        <v>16098258.699999999</v>
      </c>
      <c r="R27">
        <v>0</v>
      </c>
      <c r="S27">
        <v>16098258.700000001</v>
      </c>
      <c r="T27">
        <v>11982983.519999998</v>
      </c>
      <c r="U27">
        <v>0</v>
      </c>
      <c r="V27">
        <v>11982983.52</v>
      </c>
      <c r="W27">
        <v>16926678.120000001</v>
      </c>
      <c r="X27">
        <v>0</v>
      </c>
      <c r="Y27">
        <v>16926678.119999997</v>
      </c>
      <c r="Z27">
        <v>17332738.91</v>
      </c>
      <c r="AA27">
        <v>0</v>
      </c>
      <c r="AB27">
        <v>17332738.910000004</v>
      </c>
      <c r="AC27">
        <v>25695.129999999997</v>
      </c>
      <c r="AD27">
        <v>4520.59</v>
      </c>
      <c r="AE27">
        <v>0</v>
      </c>
      <c r="AF27">
        <v>30215.719999999998</v>
      </c>
      <c r="AG27">
        <v>1367.27</v>
      </c>
      <c r="AH27">
        <v>3305.5</v>
      </c>
      <c r="AI27">
        <v>0</v>
      </c>
      <c r="AJ27">
        <v>4672.7699999999995</v>
      </c>
    </row>
    <row r="28" spans="2:36" x14ac:dyDescent="0.25">
      <c r="B28" t="s">
        <v>27</v>
      </c>
      <c r="C28" s="9" t="s">
        <v>46</v>
      </c>
      <c r="D28" s="14">
        <v>46082</v>
      </c>
      <c r="E28" s="2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16098258.699999999</v>
      </c>
      <c r="R28">
        <v>0</v>
      </c>
      <c r="S28">
        <v>16098258.700000001</v>
      </c>
      <c r="T28">
        <v>11982983.519999998</v>
      </c>
      <c r="U28">
        <v>0</v>
      </c>
      <c r="V28">
        <v>11982983.52</v>
      </c>
      <c r="W28">
        <v>16926678.120000001</v>
      </c>
      <c r="X28">
        <v>0</v>
      </c>
      <c r="Y28">
        <v>16926678.119999997</v>
      </c>
      <c r="Z28">
        <v>17332738.91</v>
      </c>
      <c r="AA28">
        <v>0</v>
      </c>
      <c r="AB28">
        <v>17332738.910000004</v>
      </c>
      <c r="AC28">
        <v>25695.129999999997</v>
      </c>
      <c r="AD28">
        <v>4520.59</v>
      </c>
      <c r="AE28">
        <v>0</v>
      </c>
      <c r="AF28">
        <v>30215.719999999998</v>
      </c>
      <c r="AG28">
        <v>1367.27</v>
      </c>
      <c r="AH28">
        <v>3305.5</v>
      </c>
      <c r="AI28">
        <v>0</v>
      </c>
      <c r="AJ28">
        <v>4672.7699999999995</v>
      </c>
    </row>
    <row r="29" spans="2:36" x14ac:dyDescent="0.25">
      <c r="B29" t="s">
        <v>27</v>
      </c>
      <c r="C29" s="9" t="s">
        <v>47</v>
      </c>
      <c r="D29" s="14">
        <v>46113</v>
      </c>
      <c r="E29" s="2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16098258.699999999</v>
      </c>
      <c r="R29">
        <v>0</v>
      </c>
      <c r="S29">
        <v>16098258.700000001</v>
      </c>
      <c r="T29">
        <v>11982983.519999998</v>
      </c>
      <c r="U29">
        <v>0</v>
      </c>
      <c r="V29">
        <v>11982983.52</v>
      </c>
      <c r="W29">
        <v>16926678.120000001</v>
      </c>
      <c r="X29">
        <v>0</v>
      </c>
      <c r="Y29">
        <v>16926678.119999997</v>
      </c>
      <c r="Z29">
        <v>17332738.91</v>
      </c>
      <c r="AA29">
        <v>0</v>
      </c>
      <c r="AB29">
        <v>17332738.910000004</v>
      </c>
      <c r="AC29">
        <v>25695.129999999997</v>
      </c>
      <c r="AD29">
        <v>4520.59</v>
      </c>
      <c r="AE29">
        <v>0</v>
      </c>
      <c r="AF29">
        <v>30215.719999999998</v>
      </c>
      <c r="AG29">
        <v>1367.27</v>
      </c>
      <c r="AH29">
        <v>3305.5</v>
      </c>
      <c r="AI29">
        <v>0</v>
      </c>
      <c r="AJ29">
        <v>4672.7699999999995</v>
      </c>
    </row>
    <row r="30" spans="2:36" x14ac:dyDescent="0.25">
      <c r="B30" t="s">
        <v>27</v>
      </c>
      <c r="C30" s="9" t="s">
        <v>48</v>
      </c>
      <c r="D30" s="14">
        <v>46143</v>
      </c>
      <c r="E30" s="2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16098258.699999999</v>
      </c>
      <c r="R30">
        <v>0</v>
      </c>
      <c r="S30">
        <v>16098258.700000001</v>
      </c>
      <c r="T30">
        <v>11982983.519999998</v>
      </c>
      <c r="U30">
        <v>0</v>
      </c>
      <c r="V30">
        <v>11982983.52</v>
      </c>
      <c r="W30">
        <v>16926678.120000001</v>
      </c>
      <c r="X30">
        <v>0</v>
      </c>
      <c r="Y30">
        <v>16926678.119999997</v>
      </c>
      <c r="Z30">
        <v>17332738.91</v>
      </c>
      <c r="AA30">
        <v>0</v>
      </c>
      <c r="AB30">
        <v>17332738.910000004</v>
      </c>
      <c r="AC30">
        <v>25695.129999999997</v>
      </c>
      <c r="AD30">
        <v>4520.59</v>
      </c>
      <c r="AE30">
        <v>0</v>
      </c>
      <c r="AF30">
        <v>30215.719999999998</v>
      </c>
      <c r="AG30">
        <v>1367.27</v>
      </c>
      <c r="AH30">
        <v>3305.5</v>
      </c>
      <c r="AI30">
        <v>0</v>
      </c>
      <c r="AJ30">
        <v>4672.7699999999995</v>
      </c>
    </row>
    <row r="31" spans="2:36" x14ac:dyDescent="0.25">
      <c r="B31" t="s">
        <v>27</v>
      </c>
      <c r="C31" s="9" t="s">
        <v>49</v>
      </c>
      <c r="D31" s="14">
        <v>46174</v>
      </c>
      <c r="E31" s="2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16098258.699999999</v>
      </c>
      <c r="R31">
        <v>0</v>
      </c>
      <c r="S31">
        <v>16098258.700000001</v>
      </c>
      <c r="T31">
        <v>11982983.519999998</v>
      </c>
      <c r="U31">
        <v>0</v>
      </c>
      <c r="V31">
        <v>11982983.52</v>
      </c>
      <c r="W31">
        <v>16926678.120000001</v>
      </c>
      <c r="X31">
        <v>0</v>
      </c>
      <c r="Y31">
        <v>16926678.119999997</v>
      </c>
      <c r="Z31">
        <v>17332738.91</v>
      </c>
      <c r="AA31">
        <v>0</v>
      </c>
      <c r="AB31">
        <v>17332738.910000004</v>
      </c>
      <c r="AC31">
        <v>25695.129999999997</v>
      </c>
      <c r="AD31">
        <v>4520.59</v>
      </c>
      <c r="AE31">
        <v>0</v>
      </c>
      <c r="AF31">
        <v>30215.719999999998</v>
      </c>
      <c r="AG31">
        <v>1367.27</v>
      </c>
      <c r="AH31">
        <v>3305.5</v>
      </c>
      <c r="AI31">
        <v>0</v>
      </c>
      <c r="AJ31">
        <v>4672.7699999999995</v>
      </c>
    </row>
    <row r="32" spans="2:36" x14ac:dyDescent="0.25">
      <c r="B32" t="s">
        <v>27</v>
      </c>
      <c r="C32" s="9" t="s">
        <v>50</v>
      </c>
      <c r="D32" s="14">
        <v>46204</v>
      </c>
      <c r="E32" s="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16098258.699999999</v>
      </c>
      <c r="R32">
        <v>0</v>
      </c>
      <c r="S32">
        <v>16098258.700000001</v>
      </c>
      <c r="T32">
        <v>11982983.519999998</v>
      </c>
      <c r="U32">
        <v>0</v>
      </c>
      <c r="V32">
        <v>11982983.52</v>
      </c>
      <c r="W32">
        <v>16926678.120000001</v>
      </c>
      <c r="X32">
        <v>0</v>
      </c>
      <c r="Y32">
        <v>16926678.119999997</v>
      </c>
      <c r="Z32">
        <v>17332738.91</v>
      </c>
      <c r="AA32">
        <v>0</v>
      </c>
      <c r="AB32">
        <v>17332738.910000004</v>
      </c>
      <c r="AC32">
        <v>25695.129999999997</v>
      </c>
      <c r="AD32">
        <v>4520.59</v>
      </c>
      <c r="AE32">
        <v>0</v>
      </c>
      <c r="AF32">
        <v>30215.719999999998</v>
      </c>
      <c r="AG32">
        <v>1367.27</v>
      </c>
      <c r="AH32">
        <v>3305.5</v>
      </c>
      <c r="AI32">
        <v>0</v>
      </c>
      <c r="AJ32">
        <v>4672.7699999999995</v>
      </c>
    </row>
    <row r="33" spans="2:36" x14ac:dyDescent="0.25">
      <c r="B33" t="s">
        <v>27</v>
      </c>
      <c r="C33" s="9" t="s">
        <v>51</v>
      </c>
      <c r="D33" s="14">
        <v>46235</v>
      </c>
      <c r="E33" s="2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16098258.699999999</v>
      </c>
      <c r="R33">
        <v>0</v>
      </c>
      <c r="S33">
        <v>16098258.700000001</v>
      </c>
      <c r="T33">
        <v>11982983.519999998</v>
      </c>
      <c r="U33">
        <v>0</v>
      </c>
      <c r="V33">
        <v>11982983.52</v>
      </c>
      <c r="W33">
        <v>16926678.120000001</v>
      </c>
      <c r="X33">
        <v>0</v>
      </c>
      <c r="Y33">
        <v>16926678.119999997</v>
      </c>
      <c r="Z33">
        <v>17332738.91</v>
      </c>
      <c r="AA33">
        <v>0</v>
      </c>
      <c r="AB33">
        <v>17332738.910000004</v>
      </c>
      <c r="AC33">
        <v>25695.129999999997</v>
      </c>
      <c r="AD33">
        <v>4520.59</v>
      </c>
      <c r="AE33">
        <v>0</v>
      </c>
      <c r="AF33">
        <v>30215.719999999998</v>
      </c>
      <c r="AG33">
        <v>1367.27</v>
      </c>
      <c r="AH33">
        <v>3305.5</v>
      </c>
      <c r="AI33">
        <v>0</v>
      </c>
      <c r="AJ33">
        <v>4672.7699999999995</v>
      </c>
    </row>
    <row r="34" spans="2:36" x14ac:dyDescent="0.25">
      <c r="B34" t="s">
        <v>52</v>
      </c>
      <c r="C34" s="9" t="s">
        <v>28</v>
      </c>
      <c r="D34" s="14">
        <v>45536</v>
      </c>
      <c r="E34" s="2">
        <v>0</v>
      </c>
      <c r="G34">
        <v>0</v>
      </c>
      <c r="H34">
        <v>0</v>
      </c>
      <c r="J34">
        <v>0</v>
      </c>
      <c r="K34">
        <v>0</v>
      </c>
      <c r="M34">
        <v>0</v>
      </c>
      <c r="N34">
        <v>302067.5</v>
      </c>
      <c r="P34">
        <v>302067.5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302067.5</v>
      </c>
      <c r="AA34">
        <v>0</v>
      </c>
      <c r="AB34">
        <v>302067.5</v>
      </c>
      <c r="AC34">
        <v>49</v>
      </c>
      <c r="AD34">
        <v>0</v>
      </c>
      <c r="AE34">
        <v>0</v>
      </c>
      <c r="AF34">
        <v>49</v>
      </c>
      <c r="AG34">
        <v>49</v>
      </c>
      <c r="AH34">
        <v>0</v>
      </c>
      <c r="AI34">
        <v>0</v>
      </c>
      <c r="AJ34">
        <v>49</v>
      </c>
    </row>
    <row r="35" spans="2:36" x14ac:dyDescent="0.25">
      <c r="B35" t="s">
        <v>52</v>
      </c>
      <c r="C35" s="9" t="s">
        <v>29</v>
      </c>
      <c r="D35" s="14">
        <v>45566</v>
      </c>
      <c r="E35" s="2">
        <v>44103.96</v>
      </c>
      <c r="G35">
        <v>44103.96</v>
      </c>
      <c r="H35">
        <v>37048</v>
      </c>
      <c r="J35">
        <v>37048</v>
      </c>
      <c r="K35">
        <v>41258</v>
      </c>
      <c r="M35">
        <v>41258</v>
      </c>
      <c r="N35">
        <v>519025.64</v>
      </c>
      <c r="P35">
        <v>519025.64</v>
      </c>
      <c r="Q35">
        <v>44103.96</v>
      </c>
      <c r="R35">
        <v>0</v>
      </c>
      <c r="S35">
        <v>44103.96</v>
      </c>
      <c r="T35">
        <v>37048</v>
      </c>
      <c r="U35">
        <v>0</v>
      </c>
      <c r="V35">
        <v>37048</v>
      </c>
      <c r="W35">
        <v>41258</v>
      </c>
      <c r="X35">
        <v>0</v>
      </c>
      <c r="Y35">
        <v>41258</v>
      </c>
      <c r="Z35">
        <v>519025.64</v>
      </c>
      <c r="AA35">
        <v>0</v>
      </c>
      <c r="AB35">
        <v>519025.64</v>
      </c>
      <c r="AC35">
        <v>407.75</v>
      </c>
      <c r="AD35">
        <v>8.75</v>
      </c>
      <c r="AE35">
        <v>0</v>
      </c>
      <c r="AF35">
        <v>416.5</v>
      </c>
      <c r="AG35">
        <v>377.75</v>
      </c>
      <c r="AH35">
        <v>8.75</v>
      </c>
      <c r="AI35">
        <v>0</v>
      </c>
      <c r="AJ35">
        <v>386.5</v>
      </c>
    </row>
    <row r="36" spans="2:36" x14ac:dyDescent="0.25">
      <c r="B36" t="s">
        <v>52</v>
      </c>
      <c r="C36" s="9" t="s">
        <v>30</v>
      </c>
      <c r="D36" s="14">
        <v>45597</v>
      </c>
      <c r="E36" s="2">
        <v>518335.2</v>
      </c>
      <c r="G36">
        <v>518335.2</v>
      </c>
      <c r="H36">
        <v>397424</v>
      </c>
      <c r="J36">
        <v>397424</v>
      </c>
      <c r="K36">
        <v>302067.5</v>
      </c>
      <c r="M36">
        <v>302067.5</v>
      </c>
      <c r="N36">
        <v>667571.28</v>
      </c>
      <c r="P36">
        <v>667571.28</v>
      </c>
      <c r="Q36">
        <v>562439.16</v>
      </c>
      <c r="R36">
        <v>0</v>
      </c>
      <c r="S36">
        <v>562439.16</v>
      </c>
      <c r="T36">
        <v>434472</v>
      </c>
      <c r="U36">
        <v>0</v>
      </c>
      <c r="V36">
        <v>434472</v>
      </c>
      <c r="W36">
        <v>343325.5</v>
      </c>
      <c r="X36">
        <v>0</v>
      </c>
      <c r="Y36">
        <v>343325.5</v>
      </c>
      <c r="Z36">
        <v>1186596.92</v>
      </c>
      <c r="AA36">
        <v>0</v>
      </c>
      <c r="AB36">
        <v>1186596.92</v>
      </c>
      <c r="AC36">
        <v>1024.17</v>
      </c>
      <c r="AD36">
        <v>302</v>
      </c>
      <c r="AE36">
        <v>0</v>
      </c>
      <c r="AF36">
        <v>1326.17</v>
      </c>
      <c r="AG36">
        <v>377.75</v>
      </c>
      <c r="AH36">
        <v>302</v>
      </c>
      <c r="AI36">
        <v>0</v>
      </c>
      <c r="AJ36">
        <v>679.75</v>
      </c>
    </row>
    <row r="37" spans="2:36" x14ac:dyDescent="0.25">
      <c r="B37" t="s">
        <v>52</v>
      </c>
      <c r="C37" s="9" t="s">
        <v>31</v>
      </c>
      <c r="D37" s="14">
        <v>45627</v>
      </c>
      <c r="E37" s="2">
        <v>494632.9</v>
      </c>
      <c r="G37">
        <v>494632.9</v>
      </c>
      <c r="H37">
        <v>367112</v>
      </c>
      <c r="J37">
        <v>367112</v>
      </c>
      <c r="K37">
        <v>519025.64</v>
      </c>
      <c r="M37">
        <v>519025.64</v>
      </c>
      <c r="N37">
        <v>517619.5</v>
      </c>
      <c r="P37">
        <v>517619.5</v>
      </c>
      <c r="Q37">
        <v>1057072.06</v>
      </c>
      <c r="R37">
        <v>0</v>
      </c>
      <c r="S37">
        <v>1057072.06</v>
      </c>
      <c r="T37">
        <v>801584</v>
      </c>
      <c r="U37">
        <v>0</v>
      </c>
      <c r="V37">
        <v>801584</v>
      </c>
      <c r="W37">
        <v>862351.14</v>
      </c>
      <c r="X37">
        <v>0</v>
      </c>
      <c r="Y37">
        <v>862351.14</v>
      </c>
      <c r="Z37">
        <v>1704216.42</v>
      </c>
      <c r="AA37">
        <v>0</v>
      </c>
      <c r="AB37">
        <v>1704216.42</v>
      </c>
      <c r="AC37">
        <v>1817.0100000000002</v>
      </c>
      <c r="AD37">
        <v>749.5</v>
      </c>
      <c r="AE37">
        <v>0</v>
      </c>
      <c r="AF37">
        <v>2566.5100000000002</v>
      </c>
      <c r="AG37">
        <v>377.75</v>
      </c>
      <c r="AH37">
        <v>749.5</v>
      </c>
      <c r="AI37">
        <v>0</v>
      </c>
      <c r="AJ37">
        <v>1127.25</v>
      </c>
    </row>
    <row r="38" spans="2:36" x14ac:dyDescent="0.25">
      <c r="B38" t="s">
        <v>52</v>
      </c>
      <c r="C38" s="9" t="s">
        <v>32</v>
      </c>
      <c r="D38" s="14">
        <v>45658</v>
      </c>
      <c r="E38" s="2">
        <v>415973.26</v>
      </c>
      <c r="G38">
        <v>415973.26</v>
      </c>
      <c r="H38">
        <v>254284</v>
      </c>
      <c r="J38">
        <v>254284</v>
      </c>
      <c r="K38">
        <v>667571.28</v>
      </c>
      <c r="M38">
        <v>667571.28</v>
      </c>
      <c r="N38">
        <v>760644.5</v>
      </c>
      <c r="P38">
        <v>760644.5</v>
      </c>
      <c r="Q38">
        <v>1473045.32</v>
      </c>
      <c r="R38">
        <v>0</v>
      </c>
      <c r="S38">
        <v>1473045.32</v>
      </c>
      <c r="T38">
        <v>1055868</v>
      </c>
      <c r="U38">
        <v>0</v>
      </c>
      <c r="V38">
        <v>1055868</v>
      </c>
      <c r="W38">
        <v>1529922.42</v>
      </c>
      <c r="X38">
        <v>0</v>
      </c>
      <c r="Y38">
        <v>1529922.42</v>
      </c>
      <c r="Z38">
        <v>2464860.92</v>
      </c>
      <c r="AA38">
        <v>0</v>
      </c>
      <c r="AB38">
        <v>2464860.92</v>
      </c>
      <c r="AC38">
        <v>2431.7600000000002</v>
      </c>
      <c r="AD38">
        <v>1423.5</v>
      </c>
      <c r="AE38">
        <v>0</v>
      </c>
      <c r="AF38">
        <v>3855.26</v>
      </c>
      <c r="AG38">
        <v>377.75</v>
      </c>
      <c r="AH38">
        <v>1423.5</v>
      </c>
      <c r="AI38">
        <v>0</v>
      </c>
      <c r="AJ38">
        <v>1801.25</v>
      </c>
    </row>
    <row r="39" spans="2:36" x14ac:dyDescent="0.25">
      <c r="B39" t="s">
        <v>52</v>
      </c>
      <c r="C39" s="9" t="s">
        <v>33</v>
      </c>
      <c r="D39" s="14">
        <v>45689</v>
      </c>
      <c r="E39" s="2">
        <v>277565.3</v>
      </c>
      <c r="G39">
        <v>277565.3</v>
      </c>
      <c r="H39">
        <v>141456</v>
      </c>
      <c r="J39">
        <v>141456</v>
      </c>
      <c r="K39">
        <v>528070.25</v>
      </c>
      <c r="M39">
        <v>528070.25</v>
      </c>
      <c r="N39">
        <v>467442.03</v>
      </c>
      <c r="P39">
        <v>467442.03</v>
      </c>
      <c r="Q39">
        <v>1750610.62</v>
      </c>
      <c r="R39">
        <v>0</v>
      </c>
      <c r="S39">
        <v>1750610.62</v>
      </c>
      <c r="T39">
        <v>1197324</v>
      </c>
      <c r="U39">
        <v>0</v>
      </c>
      <c r="V39">
        <v>1197324</v>
      </c>
      <c r="W39">
        <v>2057992.67</v>
      </c>
      <c r="X39">
        <v>0</v>
      </c>
      <c r="Y39">
        <v>2057992.67</v>
      </c>
      <c r="Z39">
        <v>2932302.95</v>
      </c>
      <c r="AA39">
        <v>0</v>
      </c>
      <c r="AB39">
        <v>2932302.95</v>
      </c>
      <c r="AC39">
        <v>3317.26</v>
      </c>
      <c r="AD39">
        <v>2058.25</v>
      </c>
      <c r="AE39">
        <v>0</v>
      </c>
      <c r="AF39">
        <v>5375.51</v>
      </c>
      <c r="AG39">
        <v>377.75</v>
      </c>
      <c r="AH39">
        <v>2058.25</v>
      </c>
      <c r="AI39">
        <v>0</v>
      </c>
      <c r="AJ39">
        <v>2436</v>
      </c>
    </row>
    <row r="40" spans="2:36" x14ac:dyDescent="0.25">
      <c r="B40" t="s">
        <v>52</v>
      </c>
      <c r="C40" s="9" t="s">
        <v>34</v>
      </c>
      <c r="D40" s="14">
        <v>45717</v>
      </c>
      <c r="E40" s="2">
        <v>80478.36</v>
      </c>
      <c r="G40">
        <v>80478.36</v>
      </c>
      <c r="H40">
        <v>77464</v>
      </c>
      <c r="J40">
        <v>77464</v>
      </c>
      <c r="K40">
        <v>760644.5</v>
      </c>
      <c r="M40">
        <v>760644.5</v>
      </c>
      <c r="N40">
        <v>111884.75</v>
      </c>
      <c r="P40">
        <v>111884.75</v>
      </c>
      <c r="Q40">
        <v>1831088.9800000002</v>
      </c>
      <c r="R40">
        <v>0</v>
      </c>
      <c r="S40">
        <v>1831088.9800000002</v>
      </c>
      <c r="T40">
        <v>1274788</v>
      </c>
      <c r="U40">
        <v>0</v>
      </c>
      <c r="V40">
        <v>1274788</v>
      </c>
      <c r="W40">
        <v>2818637.17</v>
      </c>
      <c r="X40">
        <v>0</v>
      </c>
      <c r="Y40">
        <v>2818637.17</v>
      </c>
      <c r="Z40">
        <v>3044187.7</v>
      </c>
      <c r="AA40">
        <v>0</v>
      </c>
      <c r="AB40">
        <v>3044187.7</v>
      </c>
      <c r="AC40">
        <v>3861.4300000000003</v>
      </c>
      <c r="AD40">
        <v>2540.25</v>
      </c>
      <c r="AE40">
        <v>0</v>
      </c>
      <c r="AF40">
        <v>6401.68</v>
      </c>
      <c r="AG40">
        <v>377.75</v>
      </c>
      <c r="AH40">
        <v>2540.25</v>
      </c>
      <c r="AI40">
        <v>0</v>
      </c>
      <c r="AJ40">
        <v>2918</v>
      </c>
    </row>
    <row r="41" spans="2:36" x14ac:dyDescent="0.25">
      <c r="B41" t="s">
        <v>52</v>
      </c>
      <c r="C41" s="9" t="s">
        <v>35</v>
      </c>
      <c r="D41" s="14">
        <v>45748</v>
      </c>
      <c r="E41" s="2">
        <v>41754.78</v>
      </c>
      <c r="G41">
        <v>41754.78</v>
      </c>
      <c r="H41">
        <v>40416</v>
      </c>
      <c r="J41">
        <v>40416</v>
      </c>
      <c r="K41">
        <v>467442.03</v>
      </c>
      <c r="M41">
        <v>467442.03</v>
      </c>
      <c r="N41">
        <v>37366.5</v>
      </c>
      <c r="P41">
        <v>37366.5</v>
      </c>
      <c r="Q41">
        <v>1872843.7600000002</v>
      </c>
      <c r="R41">
        <v>0</v>
      </c>
      <c r="S41">
        <v>1872843.7600000002</v>
      </c>
      <c r="T41">
        <v>1315204</v>
      </c>
      <c r="U41">
        <v>0</v>
      </c>
      <c r="V41">
        <v>1315204</v>
      </c>
      <c r="W41">
        <v>3286079.2</v>
      </c>
      <c r="X41">
        <v>0</v>
      </c>
      <c r="Y41">
        <v>3286079.2</v>
      </c>
      <c r="Z41">
        <v>3081554.2</v>
      </c>
      <c r="AA41">
        <v>0</v>
      </c>
      <c r="AB41">
        <v>3081554.2</v>
      </c>
      <c r="AC41">
        <v>3991.6800000000003</v>
      </c>
      <c r="AD41">
        <v>3109</v>
      </c>
      <c r="AE41">
        <v>0</v>
      </c>
      <c r="AF41">
        <v>7100.68</v>
      </c>
      <c r="AG41">
        <v>377.75</v>
      </c>
      <c r="AH41">
        <v>3109</v>
      </c>
      <c r="AI41">
        <v>0</v>
      </c>
      <c r="AJ41">
        <v>3486.75</v>
      </c>
    </row>
    <row r="42" spans="2:36" x14ac:dyDescent="0.25">
      <c r="B42" t="s">
        <v>52</v>
      </c>
      <c r="C42" s="9" t="s">
        <v>36</v>
      </c>
      <c r="D42" s="14">
        <v>45778</v>
      </c>
      <c r="E42" s="2">
        <v>36483.86</v>
      </c>
      <c r="G42">
        <v>36483.86</v>
      </c>
      <c r="H42">
        <v>33680</v>
      </c>
      <c r="J42">
        <v>33680</v>
      </c>
      <c r="K42">
        <v>111884.75</v>
      </c>
      <c r="M42">
        <v>111884.75</v>
      </c>
      <c r="N42">
        <v>91483.5</v>
      </c>
      <c r="P42">
        <v>91483.5</v>
      </c>
      <c r="Q42">
        <v>1909327.6200000003</v>
      </c>
      <c r="R42">
        <v>0</v>
      </c>
      <c r="S42">
        <v>1909327.6200000003</v>
      </c>
      <c r="T42">
        <v>1348884</v>
      </c>
      <c r="U42">
        <v>0</v>
      </c>
      <c r="V42">
        <v>1348884</v>
      </c>
      <c r="W42">
        <v>3397963.95</v>
      </c>
      <c r="X42">
        <v>0</v>
      </c>
      <c r="Y42">
        <v>3397963.95</v>
      </c>
      <c r="Z42">
        <v>3173037.7</v>
      </c>
      <c r="AA42">
        <v>0</v>
      </c>
      <c r="AB42">
        <v>3173037.7</v>
      </c>
      <c r="AC42">
        <v>4035.4300000000003</v>
      </c>
      <c r="AD42">
        <v>3373.5</v>
      </c>
      <c r="AE42">
        <v>0</v>
      </c>
      <c r="AF42">
        <v>7408.93</v>
      </c>
      <c r="AG42">
        <v>377.75</v>
      </c>
      <c r="AH42">
        <v>3165.5</v>
      </c>
      <c r="AI42">
        <v>0</v>
      </c>
      <c r="AJ42">
        <v>3543.25</v>
      </c>
    </row>
    <row r="43" spans="2:36" x14ac:dyDescent="0.25">
      <c r="B43" t="s">
        <v>52</v>
      </c>
      <c r="C43" s="9" t="s">
        <v>37</v>
      </c>
      <c r="D43" s="14">
        <v>45809</v>
      </c>
      <c r="E43" s="2">
        <v>22110.92</v>
      </c>
      <c r="G43">
        <v>22110.92</v>
      </c>
      <c r="H43">
        <v>23576</v>
      </c>
      <c r="J43">
        <v>23576</v>
      </c>
      <c r="K43">
        <v>37581.25</v>
      </c>
      <c r="M43">
        <v>37581.25</v>
      </c>
      <c r="N43">
        <v>0</v>
      </c>
      <c r="P43">
        <v>0</v>
      </c>
      <c r="Q43">
        <v>1931438.5400000003</v>
      </c>
      <c r="R43">
        <v>0</v>
      </c>
      <c r="S43">
        <v>1931438.5400000003</v>
      </c>
      <c r="T43">
        <v>1372460</v>
      </c>
      <c r="U43">
        <v>0</v>
      </c>
      <c r="V43">
        <v>1372460</v>
      </c>
      <c r="W43">
        <v>3435545.2</v>
      </c>
      <c r="X43">
        <v>0</v>
      </c>
      <c r="Y43">
        <v>3435545.2</v>
      </c>
      <c r="Z43">
        <v>3173037.7</v>
      </c>
      <c r="AA43">
        <v>0</v>
      </c>
      <c r="AB43">
        <v>3173037.7</v>
      </c>
      <c r="AC43">
        <v>4141.68</v>
      </c>
      <c r="AD43">
        <v>3755.66</v>
      </c>
      <c r="AE43">
        <v>0</v>
      </c>
      <c r="AF43">
        <v>7897.34</v>
      </c>
      <c r="AG43">
        <v>377.75</v>
      </c>
      <c r="AH43">
        <v>3288</v>
      </c>
      <c r="AI43">
        <v>0</v>
      </c>
      <c r="AJ43">
        <v>3665.75</v>
      </c>
    </row>
    <row r="44" spans="2:36" x14ac:dyDescent="0.25">
      <c r="B44" t="s">
        <v>52</v>
      </c>
      <c r="C44" s="9" t="s">
        <v>38</v>
      </c>
      <c r="D44" s="14">
        <v>45839</v>
      </c>
      <c r="E44" s="2">
        <v>25260</v>
      </c>
      <c r="G44">
        <v>25260</v>
      </c>
      <c r="H44">
        <v>25260</v>
      </c>
      <c r="J44">
        <v>25260</v>
      </c>
      <c r="K44">
        <v>91268.75</v>
      </c>
      <c r="M44">
        <v>91268.75</v>
      </c>
      <c r="N44">
        <v>3436</v>
      </c>
      <c r="P44">
        <v>3436</v>
      </c>
      <c r="Q44">
        <v>1956698.5400000003</v>
      </c>
      <c r="R44">
        <v>0</v>
      </c>
      <c r="S44">
        <v>1956698.5400000003</v>
      </c>
      <c r="T44">
        <v>1397720</v>
      </c>
      <c r="U44">
        <v>0</v>
      </c>
      <c r="V44">
        <v>1397720</v>
      </c>
      <c r="W44">
        <v>3526813.95</v>
      </c>
      <c r="X44">
        <v>0</v>
      </c>
      <c r="Y44">
        <v>3526813.95</v>
      </c>
      <c r="Z44">
        <v>3176473.7</v>
      </c>
      <c r="AA44">
        <v>0</v>
      </c>
      <c r="AB44">
        <v>3176473.7</v>
      </c>
      <c r="AC44">
        <v>4141.68</v>
      </c>
      <c r="AD44">
        <v>3955.66</v>
      </c>
      <c r="AE44">
        <v>0</v>
      </c>
      <c r="AF44">
        <v>8097.34</v>
      </c>
      <c r="AG44">
        <v>377.75</v>
      </c>
      <c r="AH44">
        <v>3305.5</v>
      </c>
      <c r="AI44">
        <v>0</v>
      </c>
      <c r="AJ44">
        <v>3683.25</v>
      </c>
    </row>
    <row r="45" spans="2:36" x14ac:dyDescent="0.25">
      <c r="B45" t="s">
        <v>52</v>
      </c>
      <c r="C45" s="9" t="s">
        <v>39</v>
      </c>
      <c r="D45" s="14">
        <v>45870</v>
      </c>
      <c r="E45" s="2">
        <v>25453.66</v>
      </c>
      <c r="G45">
        <v>25453.66</v>
      </c>
      <c r="H45">
        <v>26944</v>
      </c>
      <c r="J45">
        <v>26944</v>
      </c>
      <c r="K45">
        <v>0</v>
      </c>
      <c r="M45">
        <v>0</v>
      </c>
      <c r="N45">
        <v>30709.25</v>
      </c>
      <c r="P45">
        <v>30709.25</v>
      </c>
      <c r="Q45">
        <v>1982152.2000000002</v>
      </c>
      <c r="R45">
        <v>0</v>
      </c>
      <c r="S45">
        <v>1982152.2000000002</v>
      </c>
      <c r="T45">
        <v>1424664</v>
      </c>
      <c r="U45">
        <v>0</v>
      </c>
      <c r="V45">
        <v>1424664</v>
      </c>
      <c r="W45">
        <v>3526813.95</v>
      </c>
      <c r="X45">
        <v>0</v>
      </c>
      <c r="Y45">
        <v>3526813.95</v>
      </c>
      <c r="Z45">
        <v>3207182.95</v>
      </c>
      <c r="AA45">
        <v>0</v>
      </c>
      <c r="AB45">
        <v>3207182.95</v>
      </c>
      <c r="AC45">
        <v>4145.68</v>
      </c>
      <c r="AD45">
        <v>4155.66</v>
      </c>
      <c r="AE45">
        <v>0</v>
      </c>
      <c r="AF45">
        <v>8301.34</v>
      </c>
      <c r="AG45">
        <v>377.75</v>
      </c>
      <c r="AH45">
        <v>3305.5</v>
      </c>
      <c r="AI45">
        <v>0</v>
      </c>
      <c r="AJ45">
        <v>3683.25</v>
      </c>
    </row>
    <row r="46" spans="2:36" x14ac:dyDescent="0.25">
      <c r="B46" t="s">
        <v>52</v>
      </c>
      <c r="C46" s="9" t="s">
        <v>40</v>
      </c>
      <c r="D46" s="14">
        <v>45901</v>
      </c>
      <c r="E46" s="2">
        <v>25453.66</v>
      </c>
      <c r="G46">
        <v>25453.66</v>
      </c>
      <c r="H46">
        <v>26944</v>
      </c>
      <c r="J46">
        <v>26944</v>
      </c>
      <c r="K46">
        <v>3436</v>
      </c>
      <c r="M46">
        <v>3436</v>
      </c>
      <c r="N46">
        <v>61332.6</v>
      </c>
      <c r="P46">
        <v>61332.6</v>
      </c>
      <c r="Q46">
        <v>2007605.86</v>
      </c>
      <c r="R46">
        <v>0</v>
      </c>
      <c r="S46">
        <v>2007605.86</v>
      </c>
      <c r="T46">
        <v>1451608</v>
      </c>
      <c r="U46">
        <v>0</v>
      </c>
      <c r="V46">
        <v>1451608</v>
      </c>
      <c r="W46">
        <v>3530249.95</v>
      </c>
      <c r="X46">
        <v>0</v>
      </c>
      <c r="Y46">
        <v>3530249.95</v>
      </c>
      <c r="Z46">
        <v>3268515.5500000003</v>
      </c>
      <c r="AA46">
        <v>0</v>
      </c>
      <c r="AB46">
        <v>3268515.5500000003</v>
      </c>
      <c r="AC46">
        <v>4181.43</v>
      </c>
      <c r="AD46">
        <v>4355.66</v>
      </c>
      <c r="AE46">
        <v>0</v>
      </c>
      <c r="AF46">
        <v>8537.09</v>
      </c>
      <c r="AG46">
        <v>377.75</v>
      </c>
      <c r="AH46">
        <v>3305.5</v>
      </c>
      <c r="AI46">
        <v>0</v>
      </c>
      <c r="AJ46">
        <v>3683.25</v>
      </c>
    </row>
    <row r="47" spans="2:36" x14ac:dyDescent="0.25">
      <c r="B47" t="s">
        <v>52</v>
      </c>
      <c r="C47" s="9" t="s">
        <v>41</v>
      </c>
      <c r="D47" s="14">
        <v>45931</v>
      </c>
      <c r="E47" s="2">
        <v>33941.019999999997</v>
      </c>
      <c r="G47">
        <v>33941.019999999997</v>
      </c>
      <c r="H47">
        <v>33680</v>
      </c>
      <c r="J47">
        <v>33680</v>
      </c>
      <c r="K47">
        <v>30709.25</v>
      </c>
      <c r="M47">
        <v>30709.25</v>
      </c>
      <c r="N47">
        <v>170880.87</v>
      </c>
      <c r="P47">
        <v>170880.87</v>
      </c>
      <c r="Q47">
        <v>2041546.8800000001</v>
      </c>
      <c r="R47">
        <v>0</v>
      </c>
      <c r="S47">
        <v>2041546.8800000001</v>
      </c>
      <c r="T47">
        <v>1485288</v>
      </c>
      <c r="U47">
        <v>0</v>
      </c>
      <c r="V47">
        <v>1485288</v>
      </c>
      <c r="W47">
        <v>3560959.2</v>
      </c>
      <c r="X47">
        <v>0</v>
      </c>
      <c r="Y47">
        <v>3560959.2</v>
      </c>
      <c r="Z47">
        <v>3439396.4200000004</v>
      </c>
      <c r="AA47">
        <v>0</v>
      </c>
      <c r="AB47">
        <v>3439396.4200000004</v>
      </c>
      <c r="AC47">
        <v>4252.83</v>
      </c>
      <c r="AD47">
        <v>4520.59</v>
      </c>
      <c r="AE47">
        <v>0</v>
      </c>
      <c r="AF47">
        <v>8773.42</v>
      </c>
      <c r="AG47">
        <v>377.75</v>
      </c>
      <c r="AH47">
        <v>3305.5</v>
      </c>
      <c r="AI47">
        <v>0</v>
      </c>
      <c r="AJ47">
        <v>3683.25</v>
      </c>
    </row>
    <row r="48" spans="2:36" x14ac:dyDescent="0.25">
      <c r="B48" t="s">
        <v>52</v>
      </c>
      <c r="C48" s="9" t="s">
        <v>42</v>
      </c>
      <c r="D48" s="14">
        <v>45962</v>
      </c>
      <c r="E48" s="2">
        <v>164939.38</v>
      </c>
      <c r="G48">
        <v>164939.38</v>
      </c>
      <c r="H48">
        <v>97672</v>
      </c>
      <c r="J48">
        <v>97672</v>
      </c>
      <c r="K48">
        <v>61332.6</v>
      </c>
      <c r="M48">
        <v>61332.6</v>
      </c>
      <c r="N48">
        <v>0</v>
      </c>
      <c r="P48">
        <v>0</v>
      </c>
      <c r="Q48">
        <v>2206486.2600000002</v>
      </c>
      <c r="R48">
        <v>0</v>
      </c>
      <c r="S48">
        <v>2206486.2600000002</v>
      </c>
      <c r="T48">
        <v>1582960</v>
      </c>
      <c r="U48">
        <v>0</v>
      </c>
      <c r="V48">
        <v>1582960</v>
      </c>
      <c r="W48">
        <v>3622291.8000000003</v>
      </c>
      <c r="X48">
        <v>0</v>
      </c>
      <c r="Y48">
        <v>3622291.8000000003</v>
      </c>
      <c r="Z48">
        <v>3439396.4200000004</v>
      </c>
      <c r="AA48">
        <v>0</v>
      </c>
      <c r="AB48">
        <v>3439396.4200000004</v>
      </c>
      <c r="AC48">
        <v>4451.76</v>
      </c>
      <c r="AD48">
        <v>4520.59</v>
      </c>
      <c r="AE48">
        <v>0</v>
      </c>
      <c r="AF48">
        <v>8972.35</v>
      </c>
      <c r="AG48">
        <v>377.75</v>
      </c>
      <c r="AH48">
        <v>3305.5</v>
      </c>
      <c r="AI48">
        <v>0</v>
      </c>
      <c r="AJ48">
        <v>3683.25</v>
      </c>
    </row>
    <row r="49" spans="2:36" x14ac:dyDescent="0.25">
      <c r="B49" t="s">
        <v>52</v>
      </c>
      <c r="C49" s="9" t="s">
        <v>43</v>
      </c>
      <c r="D49" s="14">
        <v>45992</v>
      </c>
      <c r="E49" s="2">
        <v>362977.78</v>
      </c>
      <c r="G49">
        <v>362977.78</v>
      </c>
      <c r="H49">
        <v>202164.2</v>
      </c>
      <c r="J49">
        <v>202164.2</v>
      </c>
      <c r="K49">
        <v>170880.87</v>
      </c>
      <c r="M49">
        <v>170880.87</v>
      </c>
      <c r="N49">
        <v>0</v>
      </c>
      <c r="P49">
        <v>0</v>
      </c>
      <c r="Q49">
        <v>2569464.04</v>
      </c>
      <c r="R49">
        <v>0</v>
      </c>
      <c r="S49">
        <v>2569464.04</v>
      </c>
      <c r="T49">
        <v>1785124.2</v>
      </c>
      <c r="U49">
        <v>0</v>
      </c>
      <c r="V49">
        <v>1785124.2</v>
      </c>
      <c r="W49">
        <v>3793172.6700000004</v>
      </c>
      <c r="X49">
        <v>0</v>
      </c>
      <c r="Y49">
        <v>3793172.6700000004</v>
      </c>
      <c r="Z49">
        <v>3439396.4200000004</v>
      </c>
      <c r="AA49">
        <v>0</v>
      </c>
      <c r="AB49">
        <v>3439396.4200000004</v>
      </c>
      <c r="AC49">
        <v>4451.76</v>
      </c>
      <c r="AD49">
        <v>4520.59</v>
      </c>
      <c r="AE49">
        <v>0</v>
      </c>
      <c r="AF49">
        <v>8972.35</v>
      </c>
      <c r="AG49">
        <v>377.75</v>
      </c>
      <c r="AH49">
        <v>3305.5</v>
      </c>
      <c r="AI49">
        <v>0</v>
      </c>
      <c r="AJ49">
        <v>3683.25</v>
      </c>
    </row>
    <row r="50" spans="2:36" x14ac:dyDescent="0.25">
      <c r="B50" t="s">
        <v>52</v>
      </c>
      <c r="C50" s="9" t="s">
        <v>44</v>
      </c>
      <c r="D50" s="14">
        <v>46023</v>
      </c>
      <c r="E50" s="2">
        <v>30724.58</v>
      </c>
      <c r="G50">
        <v>30724.58</v>
      </c>
      <c r="H50">
        <v>33680</v>
      </c>
      <c r="J50">
        <v>33680</v>
      </c>
      <c r="K50">
        <v>0</v>
      </c>
      <c r="M50">
        <v>0</v>
      </c>
      <c r="N50">
        <v>0</v>
      </c>
      <c r="P50">
        <v>0</v>
      </c>
      <c r="Q50">
        <v>2600188.62</v>
      </c>
      <c r="R50">
        <v>0</v>
      </c>
      <c r="S50">
        <v>2600188.62</v>
      </c>
      <c r="T50">
        <v>1818804.2</v>
      </c>
      <c r="U50">
        <v>0</v>
      </c>
      <c r="V50">
        <v>1818804.2</v>
      </c>
      <c r="W50">
        <v>3793172.6700000004</v>
      </c>
      <c r="X50">
        <v>0</v>
      </c>
      <c r="Y50">
        <v>3793172.6700000004</v>
      </c>
      <c r="Z50">
        <v>3439396.4200000004</v>
      </c>
      <c r="AA50">
        <v>0</v>
      </c>
      <c r="AB50">
        <v>3439396.4200000004</v>
      </c>
      <c r="AC50">
        <v>4469.76</v>
      </c>
      <c r="AD50">
        <v>4520.59</v>
      </c>
      <c r="AE50">
        <v>0</v>
      </c>
      <c r="AF50">
        <v>8990.35</v>
      </c>
      <c r="AG50">
        <v>377.75</v>
      </c>
      <c r="AH50">
        <v>3305.5</v>
      </c>
      <c r="AI50">
        <v>0</v>
      </c>
      <c r="AJ50">
        <v>3683.25</v>
      </c>
    </row>
    <row r="51" spans="2:36" x14ac:dyDescent="0.25">
      <c r="B51" t="s">
        <v>52</v>
      </c>
      <c r="C51" s="9" t="s">
        <v>45</v>
      </c>
      <c r="D51" s="14">
        <v>46054</v>
      </c>
      <c r="E51" s="2">
        <v>0</v>
      </c>
      <c r="G51">
        <v>0</v>
      </c>
      <c r="H51">
        <v>0</v>
      </c>
      <c r="J51">
        <v>0</v>
      </c>
      <c r="K51">
        <v>15462</v>
      </c>
      <c r="M51">
        <v>15462</v>
      </c>
      <c r="N51">
        <v>0</v>
      </c>
      <c r="P51">
        <v>0</v>
      </c>
      <c r="Q51">
        <v>2600188.62</v>
      </c>
      <c r="R51">
        <v>0</v>
      </c>
      <c r="S51">
        <v>2600188.62</v>
      </c>
      <c r="T51">
        <v>1818804.2</v>
      </c>
      <c r="U51">
        <v>0</v>
      </c>
      <c r="V51">
        <v>1818804.2</v>
      </c>
      <c r="W51">
        <v>3808634.6700000004</v>
      </c>
      <c r="X51">
        <v>0</v>
      </c>
      <c r="Y51">
        <v>3808634.6700000004</v>
      </c>
      <c r="Z51">
        <v>3439396.4200000004</v>
      </c>
      <c r="AA51">
        <v>0</v>
      </c>
      <c r="AB51">
        <v>3439396.4200000004</v>
      </c>
      <c r="AC51">
        <v>4533.76</v>
      </c>
      <c r="AD51">
        <v>4520.59</v>
      </c>
      <c r="AE51">
        <v>0</v>
      </c>
      <c r="AF51">
        <v>9054.35</v>
      </c>
      <c r="AG51">
        <v>377.75</v>
      </c>
      <c r="AH51">
        <v>3305.5</v>
      </c>
      <c r="AI51">
        <v>0</v>
      </c>
      <c r="AJ51">
        <v>3683.25</v>
      </c>
    </row>
    <row r="52" spans="2:36" x14ac:dyDescent="0.25">
      <c r="B52" t="s">
        <v>52</v>
      </c>
      <c r="C52" s="9" t="s">
        <v>46</v>
      </c>
      <c r="D52" s="14">
        <v>46082</v>
      </c>
      <c r="E52" s="2">
        <v>0</v>
      </c>
      <c r="G52">
        <v>0</v>
      </c>
      <c r="H52">
        <v>0</v>
      </c>
      <c r="J52">
        <v>0</v>
      </c>
      <c r="K52">
        <v>0</v>
      </c>
      <c r="M52">
        <v>0</v>
      </c>
      <c r="N52">
        <v>0</v>
      </c>
      <c r="P52">
        <v>0</v>
      </c>
      <c r="Q52">
        <v>2600188.62</v>
      </c>
      <c r="R52">
        <v>0</v>
      </c>
      <c r="S52">
        <v>2600188.62</v>
      </c>
      <c r="T52">
        <v>1818804.2</v>
      </c>
      <c r="U52">
        <v>0</v>
      </c>
      <c r="V52">
        <v>1818804.2</v>
      </c>
      <c r="W52">
        <v>3808634.6700000004</v>
      </c>
      <c r="X52">
        <v>0</v>
      </c>
      <c r="Y52">
        <v>3808634.6700000004</v>
      </c>
      <c r="Z52">
        <v>3439396.4200000004</v>
      </c>
      <c r="AA52">
        <v>0</v>
      </c>
      <c r="AB52">
        <v>3439396.4200000004</v>
      </c>
      <c r="AC52">
        <v>4533.76</v>
      </c>
      <c r="AD52">
        <v>4520.59</v>
      </c>
      <c r="AE52">
        <v>0</v>
      </c>
      <c r="AF52">
        <v>9054.35</v>
      </c>
      <c r="AG52">
        <v>377.75</v>
      </c>
      <c r="AH52">
        <v>3305.5</v>
      </c>
      <c r="AI52">
        <v>0</v>
      </c>
      <c r="AJ52">
        <v>3683.25</v>
      </c>
    </row>
    <row r="53" spans="2:36" x14ac:dyDescent="0.25">
      <c r="B53" t="s">
        <v>52</v>
      </c>
      <c r="C53" s="9" t="s">
        <v>47</v>
      </c>
      <c r="D53" s="14">
        <v>46113</v>
      </c>
      <c r="E53" s="2">
        <v>0</v>
      </c>
      <c r="G53">
        <v>0</v>
      </c>
      <c r="H53">
        <v>0</v>
      </c>
      <c r="J53">
        <v>0</v>
      </c>
      <c r="K53">
        <v>0</v>
      </c>
      <c r="M53">
        <v>0</v>
      </c>
      <c r="N53">
        <v>0</v>
      </c>
      <c r="P53">
        <v>0</v>
      </c>
      <c r="Q53">
        <v>2600188.62</v>
      </c>
      <c r="R53">
        <v>0</v>
      </c>
      <c r="S53">
        <v>2600188.62</v>
      </c>
      <c r="T53">
        <v>1818804.2</v>
      </c>
      <c r="U53">
        <v>0</v>
      </c>
      <c r="V53">
        <v>1818804.2</v>
      </c>
      <c r="W53">
        <v>3808634.6700000004</v>
      </c>
      <c r="X53">
        <v>0</v>
      </c>
      <c r="Y53">
        <v>3808634.6700000004</v>
      </c>
      <c r="Z53">
        <v>3439396.4200000004</v>
      </c>
      <c r="AA53">
        <v>0</v>
      </c>
      <c r="AB53">
        <v>3439396.4200000004</v>
      </c>
      <c r="AC53">
        <v>4533.76</v>
      </c>
      <c r="AD53">
        <v>4520.59</v>
      </c>
      <c r="AE53">
        <v>0</v>
      </c>
      <c r="AF53">
        <v>9054.35</v>
      </c>
      <c r="AG53">
        <v>377.75</v>
      </c>
      <c r="AH53">
        <v>3305.5</v>
      </c>
      <c r="AI53">
        <v>0</v>
      </c>
      <c r="AJ53">
        <v>3683.25</v>
      </c>
    </row>
    <row r="54" spans="2:36" x14ac:dyDescent="0.25">
      <c r="B54" t="s">
        <v>52</v>
      </c>
      <c r="C54" s="9" t="s">
        <v>48</v>
      </c>
      <c r="D54" s="14">
        <v>46143</v>
      </c>
      <c r="E54" s="2">
        <v>0</v>
      </c>
      <c r="G54">
        <v>0</v>
      </c>
      <c r="H54">
        <v>0</v>
      </c>
      <c r="J54">
        <v>0</v>
      </c>
      <c r="K54">
        <v>0</v>
      </c>
      <c r="M54">
        <v>0</v>
      </c>
      <c r="N54">
        <v>0</v>
      </c>
      <c r="P54">
        <v>0</v>
      </c>
      <c r="Q54">
        <v>2600188.62</v>
      </c>
      <c r="R54">
        <v>0</v>
      </c>
      <c r="S54">
        <v>2600188.62</v>
      </c>
      <c r="T54">
        <v>1818804.2</v>
      </c>
      <c r="U54">
        <v>0</v>
      </c>
      <c r="V54">
        <v>1818804.2</v>
      </c>
      <c r="W54">
        <v>3808634.6700000004</v>
      </c>
      <c r="X54">
        <v>0</v>
      </c>
      <c r="Y54">
        <v>3808634.6700000004</v>
      </c>
      <c r="Z54">
        <v>3439396.4200000004</v>
      </c>
      <c r="AA54">
        <v>0</v>
      </c>
      <c r="AB54">
        <v>3439396.4200000004</v>
      </c>
      <c r="AC54">
        <v>4533.76</v>
      </c>
      <c r="AD54">
        <v>4520.59</v>
      </c>
      <c r="AE54">
        <v>0</v>
      </c>
      <c r="AF54">
        <v>9054.35</v>
      </c>
      <c r="AG54">
        <v>377.75</v>
      </c>
      <c r="AH54">
        <v>3305.5</v>
      </c>
      <c r="AI54">
        <v>0</v>
      </c>
      <c r="AJ54">
        <v>3683.25</v>
      </c>
    </row>
    <row r="55" spans="2:36" x14ac:dyDescent="0.25">
      <c r="B55" t="s">
        <v>52</v>
      </c>
      <c r="C55" s="9" t="s">
        <v>49</v>
      </c>
      <c r="D55" s="14">
        <v>46174</v>
      </c>
      <c r="E55" s="2">
        <v>0</v>
      </c>
      <c r="G55">
        <v>0</v>
      </c>
      <c r="H55">
        <v>0</v>
      </c>
      <c r="J55">
        <v>0</v>
      </c>
      <c r="K55">
        <v>0</v>
      </c>
      <c r="M55">
        <v>0</v>
      </c>
      <c r="N55">
        <v>0</v>
      </c>
      <c r="P55">
        <v>0</v>
      </c>
      <c r="Q55">
        <v>2600188.62</v>
      </c>
      <c r="R55">
        <v>0</v>
      </c>
      <c r="S55">
        <v>2600188.62</v>
      </c>
      <c r="T55">
        <v>1818804.2</v>
      </c>
      <c r="U55">
        <v>0</v>
      </c>
      <c r="V55">
        <v>1818804.2</v>
      </c>
      <c r="W55">
        <v>3808634.6700000004</v>
      </c>
      <c r="X55">
        <v>0</v>
      </c>
      <c r="Y55">
        <v>3808634.6700000004</v>
      </c>
      <c r="Z55">
        <v>3439396.4200000004</v>
      </c>
      <c r="AA55">
        <v>0</v>
      </c>
      <c r="AB55">
        <v>3439396.4200000004</v>
      </c>
      <c r="AC55">
        <v>4533.76</v>
      </c>
      <c r="AD55">
        <v>4520.59</v>
      </c>
      <c r="AE55">
        <v>0</v>
      </c>
      <c r="AF55">
        <v>9054.35</v>
      </c>
      <c r="AG55">
        <v>377.75</v>
      </c>
      <c r="AH55">
        <v>3305.5</v>
      </c>
      <c r="AI55">
        <v>0</v>
      </c>
      <c r="AJ55">
        <v>3683.25</v>
      </c>
    </row>
    <row r="56" spans="2:36" x14ac:dyDescent="0.25">
      <c r="B56" t="s">
        <v>52</v>
      </c>
      <c r="C56" s="9" t="s">
        <v>50</v>
      </c>
      <c r="D56" s="14">
        <v>46204</v>
      </c>
      <c r="E56" s="2">
        <v>0</v>
      </c>
      <c r="G56">
        <v>0</v>
      </c>
      <c r="H56">
        <v>0</v>
      </c>
      <c r="J56">
        <v>0</v>
      </c>
      <c r="K56">
        <v>0</v>
      </c>
      <c r="M56">
        <v>0</v>
      </c>
      <c r="N56">
        <v>0</v>
      </c>
      <c r="P56">
        <v>0</v>
      </c>
      <c r="Q56">
        <v>2600188.62</v>
      </c>
      <c r="R56">
        <v>0</v>
      </c>
      <c r="S56">
        <v>2600188.62</v>
      </c>
      <c r="T56">
        <v>1818804.2</v>
      </c>
      <c r="U56">
        <v>0</v>
      </c>
      <c r="V56">
        <v>1818804.2</v>
      </c>
      <c r="W56">
        <v>3808634.6700000004</v>
      </c>
      <c r="X56">
        <v>0</v>
      </c>
      <c r="Y56">
        <v>3808634.6700000004</v>
      </c>
      <c r="Z56">
        <v>3439396.4200000004</v>
      </c>
      <c r="AA56">
        <v>0</v>
      </c>
      <c r="AB56">
        <v>3439396.4200000004</v>
      </c>
      <c r="AC56">
        <v>4533.76</v>
      </c>
      <c r="AD56">
        <v>4520.59</v>
      </c>
      <c r="AE56">
        <v>0</v>
      </c>
      <c r="AF56">
        <v>9054.35</v>
      </c>
      <c r="AG56">
        <v>377.75</v>
      </c>
      <c r="AH56">
        <v>3305.5</v>
      </c>
      <c r="AI56">
        <v>0</v>
      </c>
      <c r="AJ56">
        <v>3683.25</v>
      </c>
    </row>
    <row r="57" spans="2:36" x14ac:dyDescent="0.25">
      <c r="B57" t="s">
        <v>52</v>
      </c>
      <c r="C57" s="9" t="s">
        <v>51</v>
      </c>
      <c r="D57" s="14">
        <v>46235</v>
      </c>
      <c r="E57" s="2">
        <v>0</v>
      </c>
      <c r="G57">
        <v>0</v>
      </c>
      <c r="H57">
        <v>0</v>
      </c>
      <c r="J57">
        <v>0</v>
      </c>
      <c r="K57">
        <v>0</v>
      </c>
      <c r="M57">
        <v>0</v>
      </c>
      <c r="N57">
        <v>0</v>
      </c>
      <c r="P57">
        <v>0</v>
      </c>
      <c r="Q57">
        <v>2600188.62</v>
      </c>
      <c r="R57">
        <v>0</v>
      </c>
      <c r="S57">
        <v>2600188.62</v>
      </c>
      <c r="T57">
        <v>1818804.2</v>
      </c>
      <c r="U57">
        <v>0</v>
      </c>
      <c r="V57">
        <v>1818804.2</v>
      </c>
      <c r="W57">
        <v>3808634.6700000004</v>
      </c>
      <c r="X57">
        <v>0</v>
      </c>
      <c r="Y57">
        <v>3808634.6700000004</v>
      </c>
      <c r="Z57">
        <v>3439396.4200000004</v>
      </c>
      <c r="AA57">
        <v>0</v>
      </c>
      <c r="AB57">
        <v>3439396.4200000004</v>
      </c>
      <c r="AC57">
        <v>4533.76</v>
      </c>
      <c r="AD57">
        <v>4520.59</v>
      </c>
      <c r="AE57">
        <v>0</v>
      </c>
      <c r="AF57">
        <v>9054.35</v>
      </c>
      <c r="AG57">
        <v>377.75</v>
      </c>
      <c r="AH57">
        <v>3305.5</v>
      </c>
      <c r="AI57">
        <v>0</v>
      </c>
      <c r="AJ57">
        <v>3683.25</v>
      </c>
    </row>
    <row r="58" spans="2:36" x14ac:dyDescent="0.25">
      <c r="B58" t="s">
        <v>53</v>
      </c>
      <c r="C58" s="9" t="s">
        <v>28</v>
      </c>
      <c r="D58" s="14">
        <v>45536</v>
      </c>
      <c r="E58" s="2">
        <v>0</v>
      </c>
      <c r="G58">
        <v>0</v>
      </c>
      <c r="H58">
        <v>0</v>
      </c>
      <c r="J58">
        <v>0</v>
      </c>
      <c r="K58">
        <v>0</v>
      </c>
      <c r="M58">
        <v>0</v>
      </c>
      <c r="N58">
        <v>225388.96</v>
      </c>
      <c r="P58">
        <v>225388.96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225388.96</v>
      </c>
      <c r="AA58">
        <v>0</v>
      </c>
      <c r="AB58">
        <v>225388.96</v>
      </c>
      <c r="AC58">
        <v>61.58</v>
      </c>
      <c r="AD58">
        <v>0</v>
      </c>
      <c r="AE58">
        <v>0</v>
      </c>
      <c r="AF58">
        <v>61.58</v>
      </c>
      <c r="AG58">
        <v>61.58</v>
      </c>
      <c r="AH58">
        <v>0</v>
      </c>
      <c r="AI58">
        <v>0</v>
      </c>
      <c r="AJ58">
        <v>61.58</v>
      </c>
    </row>
    <row r="59" spans="2:36" x14ac:dyDescent="0.25">
      <c r="B59" t="s">
        <v>53</v>
      </c>
      <c r="C59" s="9" t="s">
        <v>29</v>
      </c>
      <c r="D59" s="14">
        <v>45566</v>
      </c>
      <c r="E59" s="2">
        <v>60491.9</v>
      </c>
      <c r="G59">
        <v>60491.9</v>
      </c>
      <c r="H59">
        <v>188472.95999999999</v>
      </c>
      <c r="J59">
        <v>188472.95999999999</v>
      </c>
      <c r="K59">
        <v>51665.62</v>
      </c>
      <c r="M59">
        <v>51665.62</v>
      </c>
      <c r="N59">
        <v>297870.17</v>
      </c>
      <c r="P59">
        <v>297870.17</v>
      </c>
      <c r="Q59">
        <v>60491.9</v>
      </c>
      <c r="R59">
        <v>0</v>
      </c>
      <c r="S59">
        <v>60491.9</v>
      </c>
      <c r="T59">
        <v>188472.95999999999</v>
      </c>
      <c r="U59">
        <v>0</v>
      </c>
      <c r="V59">
        <v>188472.95999999999</v>
      </c>
      <c r="W59">
        <v>51665.62</v>
      </c>
      <c r="X59">
        <v>0</v>
      </c>
      <c r="Y59">
        <v>51665.62</v>
      </c>
      <c r="Z59">
        <v>297870.17</v>
      </c>
      <c r="AA59">
        <v>0</v>
      </c>
      <c r="AB59">
        <v>297870.17</v>
      </c>
      <c r="AC59">
        <v>330.21999999999997</v>
      </c>
      <c r="AD59">
        <v>0</v>
      </c>
      <c r="AE59">
        <v>0</v>
      </c>
      <c r="AF59">
        <v>330.21999999999997</v>
      </c>
      <c r="AG59">
        <v>311.21999999999997</v>
      </c>
      <c r="AH59">
        <v>0</v>
      </c>
      <c r="AI59">
        <v>0</v>
      </c>
      <c r="AJ59">
        <v>311.21999999999997</v>
      </c>
    </row>
    <row r="60" spans="2:36" x14ac:dyDescent="0.25">
      <c r="B60" t="s">
        <v>53</v>
      </c>
      <c r="C60" s="9" t="s">
        <v>30</v>
      </c>
      <c r="D60" s="14">
        <v>45597</v>
      </c>
      <c r="E60" s="2">
        <v>164553.07</v>
      </c>
      <c r="G60">
        <v>164553.07</v>
      </c>
      <c r="H60">
        <v>262816.75</v>
      </c>
      <c r="J60">
        <v>262816.75</v>
      </c>
      <c r="K60">
        <v>225388.96</v>
      </c>
      <c r="M60">
        <v>225388.96</v>
      </c>
      <c r="N60">
        <v>361768.41</v>
      </c>
      <c r="P60">
        <v>361768.41</v>
      </c>
      <c r="Q60">
        <v>225044.97</v>
      </c>
      <c r="R60">
        <v>0</v>
      </c>
      <c r="S60">
        <v>225044.97</v>
      </c>
      <c r="T60">
        <v>451289.70999999996</v>
      </c>
      <c r="U60">
        <v>0</v>
      </c>
      <c r="V60">
        <v>451289.70999999996</v>
      </c>
      <c r="W60">
        <v>277054.58</v>
      </c>
      <c r="X60">
        <v>0</v>
      </c>
      <c r="Y60">
        <v>277054.58</v>
      </c>
      <c r="Z60">
        <v>659638.57999999996</v>
      </c>
      <c r="AA60">
        <v>0</v>
      </c>
      <c r="AB60">
        <v>659638.57999999996</v>
      </c>
      <c r="AC60">
        <v>685.25</v>
      </c>
      <c r="AD60">
        <v>0</v>
      </c>
      <c r="AE60">
        <v>0</v>
      </c>
      <c r="AF60">
        <v>685.25</v>
      </c>
      <c r="AG60">
        <v>311.21999999999997</v>
      </c>
      <c r="AH60">
        <v>0</v>
      </c>
      <c r="AI60">
        <v>0</v>
      </c>
      <c r="AJ60">
        <v>311.21999999999997</v>
      </c>
    </row>
    <row r="61" spans="2:36" x14ac:dyDescent="0.25">
      <c r="B61" t="s">
        <v>53</v>
      </c>
      <c r="C61" s="9" t="s">
        <v>31</v>
      </c>
      <c r="D61" s="14">
        <v>45627</v>
      </c>
      <c r="E61" s="2">
        <v>280821.69</v>
      </c>
      <c r="G61">
        <v>280821.69</v>
      </c>
      <c r="H61">
        <v>220447.25</v>
      </c>
      <c r="J61">
        <v>220447.25</v>
      </c>
      <c r="K61">
        <v>297870.17</v>
      </c>
      <c r="M61">
        <v>297870.17</v>
      </c>
      <c r="N61">
        <v>234542.45</v>
      </c>
      <c r="P61">
        <v>234542.45</v>
      </c>
      <c r="Q61">
        <v>505866.66000000003</v>
      </c>
      <c r="R61">
        <v>0</v>
      </c>
      <c r="S61">
        <v>505866.66000000003</v>
      </c>
      <c r="T61">
        <v>671736.96</v>
      </c>
      <c r="U61">
        <v>0</v>
      </c>
      <c r="V61">
        <v>671736.96</v>
      </c>
      <c r="W61">
        <v>574924.75</v>
      </c>
      <c r="X61">
        <v>0</v>
      </c>
      <c r="Y61">
        <v>574924.75</v>
      </c>
      <c r="Z61">
        <v>894181.03</v>
      </c>
      <c r="AA61">
        <v>0</v>
      </c>
      <c r="AB61">
        <v>894181.03</v>
      </c>
      <c r="AC61">
        <v>1116.44</v>
      </c>
      <c r="AD61">
        <v>0</v>
      </c>
      <c r="AE61">
        <v>0</v>
      </c>
      <c r="AF61">
        <v>1116.44</v>
      </c>
      <c r="AG61">
        <v>311.21999999999997</v>
      </c>
      <c r="AH61">
        <v>0</v>
      </c>
      <c r="AI61">
        <v>0</v>
      </c>
      <c r="AJ61">
        <v>311.21999999999997</v>
      </c>
    </row>
    <row r="62" spans="2:36" x14ac:dyDescent="0.25">
      <c r="B62" t="s">
        <v>53</v>
      </c>
      <c r="C62" s="9" t="s">
        <v>32</v>
      </c>
      <c r="D62" s="14">
        <v>45658</v>
      </c>
      <c r="E62" s="2">
        <v>183204.04</v>
      </c>
      <c r="G62">
        <v>183204.04</v>
      </c>
      <c r="H62">
        <v>183271.16</v>
      </c>
      <c r="J62">
        <v>183271.16</v>
      </c>
      <c r="K62">
        <v>361768.41</v>
      </c>
      <c r="M62">
        <v>361768.41</v>
      </c>
      <c r="N62">
        <v>248234.25</v>
      </c>
      <c r="P62">
        <v>248234.25</v>
      </c>
      <c r="Q62">
        <v>689070.70000000007</v>
      </c>
      <c r="R62">
        <v>0</v>
      </c>
      <c r="S62">
        <v>689070.70000000007</v>
      </c>
      <c r="T62">
        <v>855008.12</v>
      </c>
      <c r="U62">
        <v>0</v>
      </c>
      <c r="V62">
        <v>855008.12</v>
      </c>
      <c r="W62">
        <v>936693.15999999992</v>
      </c>
      <c r="X62">
        <v>0</v>
      </c>
      <c r="Y62">
        <v>936693.15999999992</v>
      </c>
      <c r="Z62">
        <v>1142415.28</v>
      </c>
      <c r="AA62">
        <v>0</v>
      </c>
      <c r="AB62">
        <v>1142415.28</v>
      </c>
      <c r="AC62">
        <v>1395.99</v>
      </c>
      <c r="AD62">
        <v>0</v>
      </c>
      <c r="AE62">
        <v>0</v>
      </c>
      <c r="AF62">
        <v>1395.99</v>
      </c>
      <c r="AG62">
        <v>311.21999999999997</v>
      </c>
      <c r="AH62">
        <v>0</v>
      </c>
      <c r="AI62">
        <v>0</v>
      </c>
      <c r="AJ62">
        <v>311.21999999999997</v>
      </c>
    </row>
    <row r="63" spans="2:36" x14ac:dyDescent="0.25">
      <c r="B63" t="s">
        <v>53</v>
      </c>
      <c r="C63" s="9" t="s">
        <v>33</v>
      </c>
      <c r="D63" s="14">
        <v>45689</v>
      </c>
      <c r="E63" s="2">
        <v>269117.64</v>
      </c>
      <c r="G63">
        <v>269117.64</v>
      </c>
      <c r="H63">
        <v>218257.46</v>
      </c>
      <c r="J63">
        <v>218257.46</v>
      </c>
      <c r="K63">
        <v>230628.75</v>
      </c>
      <c r="M63">
        <v>230628.75</v>
      </c>
      <c r="N63">
        <v>149118.75</v>
      </c>
      <c r="P63">
        <v>149118.75</v>
      </c>
      <c r="Q63">
        <v>958188.34000000008</v>
      </c>
      <c r="R63">
        <v>0</v>
      </c>
      <c r="S63">
        <v>958188.34000000008</v>
      </c>
      <c r="T63">
        <v>1073265.58</v>
      </c>
      <c r="U63">
        <v>0</v>
      </c>
      <c r="V63">
        <v>1073265.58</v>
      </c>
      <c r="W63">
        <v>1167321.9099999999</v>
      </c>
      <c r="X63">
        <v>0</v>
      </c>
      <c r="Y63">
        <v>1167321.9099999999</v>
      </c>
      <c r="Z63">
        <v>1291534.03</v>
      </c>
      <c r="AA63">
        <v>0</v>
      </c>
      <c r="AB63">
        <v>1291534.03</v>
      </c>
      <c r="AC63">
        <v>1696.88</v>
      </c>
      <c r="AD63">
        <v>0</v>
      </c>
      <c r="AE63">
        <v>0</v>
      </c>
      <c r="AF63">
        <v>1696.88</v>
      </c>
      <c r="AG63">
        <v>311.21999999999997</v>
      </c>
      <c r="AH63">
        <v>0</v>
      </c>
      <c r="AI63">
        <v>0</v>
      </c>
      <c r="AJ63">
        <v>311.21999999999997</v>
      </c>
    </row>
    <row r="64" spans="2:36" x14ac:dyDescent="0.25">
      <c r="B64" t="s">
        <v>53</v>
      </c>
      <c r="C64" s="9" t="s">
        <v>34</v>
      </c>
      <c r="D64" s="14">
        <v>45717</v>
      </c>
      <c r="E64" s="2">
        <v>131756.56</v>
      </c>
      <c r="G64">
        <v>131756.56</v>
      </c>
      <c r="H64">
        <v>123131.64</v>
      </c>
      <c r="J64">
        <v>123131.64</v>
      </c>
      <c r="K64">
        <v>248234.25</v>
      </c>
      <c r="M64">
        <v>248234.25</v>
      </c>
      <c r="N64">
        <v>73210.5</v>
      </c>
      <c r="P64">
        <v>73210.5</v>
      </c>
      <c r="Q64">
        <v>1089944.9000000001</v>
      </c>
      <c r="R64">
        <v>0</v>
      </c>
      <c r="S64">
        <v>1089944.9000000001</v>
      </c>
      <c r="T64">
        <v>1196397.22</v>
      </c>
      <c r="U64">
        <v>0</v>
      </c>
      <c r="V64">
        <v>1196397.22</v>
      </c>
      <c r="W64">
        <v>1415556.16</v>
      </c>
      <c r="X64">
        <v>0</v>
      </c>
      <c r="Y64">
        <v>1415556.16</v>
      </c>
      <c r="Z64">
        <v>1364744.53</v>
      </c>
      <c r="AA64">
        <v>0</v>
      </c>
      <c r="AB64">
        <v>1364744.53</v>
      </c>
      <c r="AC64">
        <v>1877.63</v>
      </c>
      <c r="AD64">
        <v>0</v>
      </c>
      <c r="AE64">
        <v>0</v>
      </c>
      <c r="AF64">
        <v>1877.63</v>
      </c>
      <c r="AG64">
        <v>311.21999999999997</v>
      </c>
      <c r="AH64">
        <v>0</v>
      </c>
      <c r="AI64">
        <v>0</v>
      </c>
      <c r="AJ64">
        <v>311.21999999999997</v>
      </c>
    </row>
    <row r="65" spans="2:36" x14ac:dyDescent="0.25">
      <c r="B65" t="s">
        <v>53</v>
      </c>
      <c r="C65" s="9" t="s">
        <v>35</v>
      </c>
      <c r="D65" s="14">
        <v>45748</v>
      </c>
      <c r="E65" s="2">
        <v>149442.68</v>
      </c>
      <c r="G65">
        <v>149442.68</v>
      </c>
      <c r="H65">
        <v>43208.5</v>
      </c>
      <c r="J65">
        <v>43208.5</v>
      </c>
      <c r="K65">
        <v>149118.75</v>
      </c>
      <c r="M65">
        <v>149118.75</v>
      </c>
      <c r="N65">
        <v>63747.75</v>
      </c>
      <c r="P65">
        <v>63747.75</v>
      </c>
      <c r="Q65">
        <v>1239387.58</v>
      </c>
      <c r="R65">
        <v>0</v>
      </c>
      <c r="S65">
        <v>1239387.58</v>
      </c>
      <c r="T65">
        <v>1239605.72</v>
      </c>
      <c r="U65">
        <v>0</v>
      </c>
      <c r="V65">
        <v>1239605.72</v>
      </c>
      <c r="W65">
        <v>1564674.91</v>
      </c>
      <c r="X65">
        <v>0</v>
      </c>
      <c r="Y65">
        <v>1564674.91</v>
      </c>
      <c r="Z65">
        <v>1428492.28</v>
      </c>
      <c r="AA65">
        <v>0</v>
      </c>
      <c r="AB65">
        <v>1428492.28</v>
      </c>
      <c r="AC65">
        <v>1966.3700000000001</v>
      </c>
      <c r="AD65">
        <v>0</v>
      </c>
      <c r="AE65">
        <v>0</v>
      </c>
      <c r="AF65">
        <v>1966.3700000000001</v>
      </c>
      <c r="AG65">
        <v>311.21999999999997</v>
      </c>
      <c r="AH65">
        <v>0</v>
      </c>
      <c r="AI65">
        <v>0</v>
      </c>
      <c r="AJ65">
        <v>311.21999999999997</v>
      </c>
    </row>
    <row r="66" spans="2:36" x14ac:dyDescent="0.25">
      <c r="B66" t="s">
        <v>53</v>
      </c>
      <c r="C66" s="9" t="s">
        <v>36</v>
      </c>
      <c r="D66" s="14">
        <v>45778</v>
      </c>
      <c r="E66" s="2">
        <v>16780</v>
      </c>
      <c r="G66">
        <v>16780</v>
      </c>
      <c r="H66">
        <v>16780</v>
      </c>
      <c r="J66">
        <v>16780</v>
      </c>
      <c r="K66">
        <v>73210.5</v>
      </c>
      <c r="M66">
        <v>73210.5</v>
      </c>
      <c r="N66">
        <v>29213.25</v>
      </c>
      <c r="P66">
        <v>29213.25</v>
      </c>
      <c r="Q66">
        <v>1256167.58</v>
      </c>
      <c r="R66">
        <v>0</v>
      </c>
      <c r="S66">
        <v>1256167.58</v>
      </c>
      <c r="T66">
        <v>1256385.72</v>
      </c>
      <c r="U66">
        <v>0</v>
      </c>
      <c r="V66">
        <v>1256385.72</v>
      </c>
      <c r="W66">
        <v>1637885.41</v>
      </c>
      <c r="X66">
        <v>0</v>
      </c>
      <c r="Y66">
        <v>1637885.41</v>
      </c>
      <c r="Z66">
        <v>1457705.53</v>
      </c>
      <c r="AA66">
        <v>0</v>
      </c>
      <c r="AB66">
        <v>1457705.53</v>
      </c>
      <c r="AC66">
        <v>2043.64</v>
      </c>
      <c r="AD66">
        <v>0</v>
      </c>
      <c r="AE66">
        <v>0</v>
      </c>
      <c r="AF66">
        <v>2043.64</v>
      </c>
      <c r="AG66">
        <v>311.21999999999997</v>
      </c>
      <c r="AH66">
        <v>0</v>
      </c>
      <c r="AI66">
        <v>0</v>
      </c>
      <c r="AJ66">
        <v>311.21999999999997</v>
      </c>
    </row>
    <row r="67" spans="2:36" x14ac:dyDescent="0.25">
      <c r="B67" t="s">
        <v>53</v>
      </c>
      <c r="C67" s="9" t="s">
        <v>37</v>
      </c>
      <c r="D67" s="14">
        <v>45809</v>
      </c>
      <c r="E67" s="2">
        <v>0</v>
      </c>
      <c r="G67">
        <v>0</v>
      </c>
      <c r="H67">
        <v>0</v>
      </c>
      <c r="J67">
        <v>0</v>
      </c>
      <c r="K67">
        <v>63747.75</v>
      </c>
      <c r="M67">
        <v>63747.75</v>
      </c>
      <c r="N67">
        <v>16021.5</v>
      </c>
      <c r="P67">
        <v>16021.5</v>
      </c>
      <c r="Q67">
        <v>1256167.58</v>
      </c>
      <c r="R67">
        <v>0</v>
      </c>
      <c r="S67">
        <v>1256167.58</v>
      </c>
      <c r="T67">
        <v>1256385.72</v>
      </c>
      <c r="U67">
        <v>0</v>
      </c>
      <c r="V67">
        <v>1256385.72</v>
      </c>
      <c r="W67">
        <v>1701633.16</v>
      </c>
      <c r="X67">
        <v>0</v>
      </c>
      <c r="Y67">
        <v>1701633.16</v>
      </c>
      <c r="Z67">
        <v>1473727.03</v>
      </c>
      <c r="AA67">
        <v>0</v>
      </c>
      <c r="AB67">
        <v>1473727.03</v>
      </c>
      <c r="AC67">
        <v>2079.0500000000002</v>
      </c>
      <c r="AD67">
        <v>0</v>
      </c>
      <c r="AE67">
        <v>0</v>
      </c>
      <c r="AF67">
        <v>2079.0500000000002</v>
      </c>
      <c r="AG67">
        <v>311.21999999999997</v>
      </c>
      <c r="AH67">
        <v>0</v>
      </c>
      <c r="AI67">
        <v>0</v>
      </c>
      <c r="AJ67">
        <v>311.21999999999997</v>
      </c>
    </row>
    <row r="68" spans="2:36" x14ac:dyDescent="0.25">
      <c r="B68" t="s">
        <v>53</v>
      </c>
      <c r="C68" s="9" t="s">
        <v>38</v>
      </c>
      <c r="D68" s="14">
        <v>45839</v>
      </c>
      <c r="E68" s="2">
        <v>0</v>
      </c>
      <c r="G68">
        <v>0</v>
      </c>
      <c r="H68">
        <v>0</v>
      </c>
      <c r="J68">
        <v>0</v>
      </c>
      <c r="K68">
        <v>29213.25</v>
      </c>
      <c r="M68">
        <v>29213.25</v>
      </c>
      <c r="N68">
        <v>20691</v>
      </c>
      <c r="P68">
        <v>20691</v>
      </c>
      <c r="Q68">
        <v>1256167.58</v>
      </c>
      <c r="R68">
        <v>0</v>
      </c>
      <c r="S68">
        <v>1256167.58</v>
      </c>
      <c r="T68">
        <v>1256385.72</v>
      </c>
      <c r="U68">
        <v>0</v>
      </c>
      <c r="V68">
        <v>1256385.72</v>
      </c>
      <c r="W68">
        <v>1730846.41</v>
      </c>
      <c r="X68">
        <v>0</v>
      </c>
      <c r="Y68">
        <v>1730846.41</v>
      </c>
      <c r="Z68">
        <v>1494418.03</v>
      </c>
      <c r="AA68">
        <v>0</v>
      </c>
      <c r="AB68">
        <v>1494418.03</v>
      </c>
      <c r="AC68">
        <v>2098.4700000000003</v>
      </c>
      <c r="AD68">
        <v>0</v>
      </c>
      <c r="AE68">
        <v>0</v>
      </c>
      <c r="AF68">
        <v>2098.4700000000003</v>
      </c>
      <c r="AG68">
        <v>311.21999999999997</v>
      </c>
      <c r="AH68">
        <v>0</v>
      </c>
      <c r="AI68">
        <v>0</v>
      </c>
      <c r="AJ68">
        <v>311.21999999999997</v>
      </c>
    </row>
    <row r="69" spans="2:36" x14ac:dyDescent="0.25">
      <c r="B69" t="s">
        <v>53</v>
      </c>
      <c r="C69" s="9" t="s">
        <v>39</v>
      </c>
      <c r="D69" s="14">
        <v>45870</v>
      </c>
      <c r="E69" s="2">
        <v>0</v>
      </c>
      <c r="G69">
        <v>0</v>
      </c>
      <c r="H69">
        <v>0</v>
      </c>
      <c r="J69">
        <v>0</v>
      </c>
      <c r="K69">
        <v>16021.5</v>
      </c>
      <c r="M69">
        <v>16021.5</v>
      </c>
      <c r="N69">
        <v>12853.5</v>
      </c>
      <c r="P69">
        <v>12853.5</v>
      </c>
      <c r="Q69">
        <v>1256167.58</v>
      </c>
      <c r="R69">
        <v>0</v>
      </c>
      <c r="S69">
        <v>1256167.58</v>
      </c>
      <c r="T69">
        <v>1256385.72</v>
      </c>
      <c r="U69">
        <v>0</v>
      </c>
      <c r="V69">
        <v>1256385.72</v>
      </c>
      <c r="W69">
        <v>1746867.91</v>
      </c>
      <c r="X69">
        <v>0</v>
      </c>
      <c r="Y69">
        <v>1746867.91</v>
      </c>
      <c r="Z69">
        <v>1507271.53</v>
      </c>
      <c r="AA69">
        <v>0</v>
      </c>
      <c r="AB69">
        <v>1507271.53</v>
      </c>
      <c r="AC69">
        <v>2123.5500000000002</v>
      </c>
      <c r="AD69">
        <v>0</v>
      </c>
      <c r="AE69">
        <v>0</v>
      </c>
      <c r="AF69">
        <v>2123.5500000000002</v>
      </c>
      <c r="AG69">
        <v>311.21999999999997</v>
      </c>
      <c r="AH69">
        <v>0</v>
      </c>
      <c r="AI69">
        <v>0</v>
      </c>
      <c r="AJ69">
        <v>311.21999999999997</v>
      </c>
    </row>
    <row r="70" spans="2:36" x14ac:dyDescent="0.25">
      <c r="B70" t="s">
        <v>53</v>
      </c>
      <c r="C70" s="9" t="s">
        <v>40</v>
      </c>
      <c r="D70" s="14">
        <v>45901</v>
      </c>
      <c r="E70" s="2">
        <v>0</v>
      </c>
      <c r="G70">
        <v>0</v>
      </c>
      <c r="H70">
        <v>0</v>
      </c>
      <c r="J70">
        <v>0</v>
      </c>
      <c r="K70">
        <v>20691</v>
      </c>
      <c r="M70">
        <v>20691</v>
      </c>
      <c r="N70">
        <v>15807</v>
      </c>
      <c r="P70">
        <v>15807</v>
      </c>
      <c r="Q70">
        <v>1256167.58</v>
      </c>
      <c r="R70">
        <v>0</v>
      </c>
      <c r="S70">
        <v>1256167.58</v>
      </c>
      <c r="T70">
        <v>1256385.72</v>
      </c>
      <c r="U70">
        <v>0</v>
      </c>
      <c r="V70">
        <v>1256385.72</v>
      </c>
      <c r="W70">
        <v>1767558.91</v>
      </c>
      <c r="X70">
        <v>0</v>
      </c>
      <c r="Y70">
        <v>1767558.91</v>
      </c>
      <c r="Z70">
        <v>1523078.53</v>
      </c>
      <c r="AA70">
        <v>0</v>
      </c>
      <c r="AB70">
        <v>1523078.53</v>
      </c>
      <c r="AC70">
        <v>2139.13</v>
      </c>
      <c r="AD70">
        <v>0</v>
      </c>
      <c r="AE70">
        <v>0</v>
      </c>
      <c r="AF70">
        <v>2139.13</v>
      </c>
      <c r="AG70">
        <v>311.21999999999997</v>
      </c>
      <c r="AH70">
        <v>0</v>
      </c>
      <c r="AI70">
        <v>0</v>
      </c>
      <c r="AJ70">
        <v>311.21999999999997</v>
      </c>
    </row>
    <row r="71" spans="2:36" x14ac:dyDescent="0.25">
      <c r="B71" t="s">
        <v>53</v>
      </c>
      <c r="C71" s="9" t="s">
        <v>41</v>
      </c>
      <c r="D71" s="14">
        <v>45931</v>
      </c>
      <c r="E71" s="2">
        <v>0</v>
      </c>
      <c r="G71">
        <v>0</v>
      </c>
      <c r="H71">
        <v>0</v>
      </c>
      <c r="J71">
        <v>0</v>
      </c>
      <c r="K71">
        <v>12853.5</v>
      </c>
      <c r="M71">
        <v>12853.5</v>
      </c>
      <c r="N71">
        <v>825</v>
      </c>
      <c r="P71">
        <v>825</v>
      </c>
      <c r="Q71">
        <v>1256167.58</v>
      </c>
      <c r="R71">
        <v>0</v>
      </c>
      <c r="S71">
        <v>1256167.58</v>
      </c>
      <c r="T71">
        <v>1256385.72</v>
      </c>
      <c r="U71">
        <v>0</v>
      </c>
      <c r="V71">
        <v>1256385.72</v>
      </c>
      <c r="W71">
        <v>1780412.41</v>
      </c>
      <c r="X71">
        <v>0</v>
      </c>
      <c r="Y71">
        <v>1780412.41</v>
      </c>
      <c r="Z71">
        <v>1523903.53</v>
      </c>
      <c r="AA71">
        <v>0</v>
      </c>
      <c r="AB71">
        <v>1523903.53</v>
      </c>
      <c r="AC71">
        <v>2158.29</v>
      </c>
      <c r="AD71">
        <v>0</v>
      </c>
      <c r="AE71">
        <v>0</v>
      </c>
      <c r="AF71">
        <v>2158.29</v>
      </c>
      <c r="AG71">
        <v>311.21999999999997</v>
      </c>
      <c r="AH71">
        <v>0</v>
      </c>
      <c r="AI71">
        <v>0</v>
      </c>
      <c r="AJ71">
        <v>311.21999999999997</v>
      </c>
    </row>
    <row r="72" spans="2:36" x14ac:dyDescent="0.25">
      <c r="B72" t="s">
        <v>53</v>
      </c>
      <c r="C72" s="9" t="s">
        <v>42</v>
      </c>
      <c r="D72" s="14">
        <v>45962</v>
      </c>
      <c r="E72" s="2">
        <v>0</v>
      </c>
      <c r="G72">
        <v>0</v>
      </c>
      <c r="H72">
        <v>0</v>
      </c>
      <c r="J72">
        <v>0</v>
      </c>
      <c r="K72">
        <v>15807</v>
      </c>
      <c r="M72">
        <v>15807</v>
      </c>
      <c r="N72">
        <v>3918.75</v>
      </c>
      <c r="P72">
        <v>3918.75</v>
      </c>
      <c r="Q72">
        <v>1256167.58</v>
      </c>
      <c r="R72">
        <v>0</v>
      </c>
      <c r="S72">
        <v>1256167.58</v>
      </c>
      <c r="T72">
        <v>1256385.72</v>
      </c>
      <c r="U72">
        <v>0</v>
      </c>
      <c r="V72">
        <v>1256385.72</v>
      </c>
      <c r="W72">
        <v>1796219.41</v>
      </c>
      <c r="X72">
        <v>0</v>
      </c>
      <c r="Y72">
        <v>1796219.41</v>
      </c>
      <c r="Z72">
        <v>1527822.28</v>
      </c>
      <c r="AA72">
        <v>0</v>
      </c>
      <c r="AB72">
        <v>1527822.28</v>
      </c>
      <c r="AC72">
        <v>2159.29</v>
      </c>
      <c r="AD72">
        <v>0</v>
      </c>
      <c r="AE72">
        <v>0</v>
      </c>
      <c r="AF72">
        <v>2159.29</v>
      </c>
      <c r="AG72">
        <v>311.21999999999997</v>
      </c>
      <c r="AH72">
        <v>0</v>
      </c>
      <c r="AI72">
        <v>0</v>
      </c>
      <c r="AJ72">
        <v>311.21999999999997</v>
      </c>
    </row>
    <row r="73" spans="2:36" x14ac:dyDescent="0.25">
      <c r="B73" t="s">
        <v>53</v>
      </c>
      <c r="C73" s="9" t="s">
        <v>43</v>
      </c>
      <c r="D73" s="14">
        <v>45992</v>
      </c>
      <c r="E73" s="2">
        <v>0</v>
      </c>
      <c r="G73">
        <v>0</v>
      </c>
      <c r="H73">
        <v>0</v>
      </c>
      <c r="J73">
        <v>0</v>
      </c>
      <c r="K73">
        <v>825</v>
      </c>
      <c r="M73">
        <v>825</v>
      </c>
      <c r="N73">
        <v>0</v>
      </c>
      <c r="P73">
        <v>0</v>
      </c>
      <c r="Q73">
        <v>1256167.58</v>
      </c>
      <c r="R73">
        <v>0</v>
      </c>
      <c r="S73">
        <v>1256167.58</v>
      </c>
      <c r="T73">
        <v>1256385.72</v>
      </c>
      <c r="U73">
        <v>0</v>
      </c>
      <c r="V73">
        <v>1256385.72</v>
      </c>
      <c r="W73">
        <v>1797044.41</v>
      </c>
      <c r="X73">
        <v>0</v>
      </c>
      <c r="Y73">
        <v>1797044.41</v>
      </c>
      <c r="Z73">
        <v>1527822.28</v>
      </c>
      <c r="AA73">
        <v>0</v>
      </c>
      <c r="AB73">
        <v>1527822.28</v>
      </c>
      <c r="AC73">
        <v>2164.04</v>
      </c>
      <c r="AD73">
        <v>0</v>
      </c>
      <c r="AE73">
        <v>0</v>
      </c>
      <c r="AF73">
        <v>2164.04</v>
      </c>
      <c r="AG73">
        <v>311.21999999999997</v>
      </c>
      <c r="AH73">
        <v>0</v>
      </c>
      <c r="AI73">
        <v>0</v>
      </c>
      <c r="AJ73">
        <v>311.21999999999997</v>
      </c>
    </row>
    <row r="74" spans="2:36" x14ac:dyDescent="0.25">
      <c r="B74" t="s">
        <v>53</v>
      </c>
      <c r="C74" s="9" t="s">
        <v>44</v>
      </c>
      <c r="D74" s="14">
        <v>46023</v>
      </c>
      <c r="E74" s="2">
        <v>0</v>
      </c>
      <c r="G74">
        <v>0</v>
      </c>
      <c r="H74">
        <v>0</v>
      </c>
      <c r="J74">
        <v>0</v>
      </c>
      <c r="K74">
        <v>3918.75</v>
      </c>
      <c r="M74">
        <v>3918.75</v>
      </c>
      <c r="N74">
        <v>0</v>
      </c>
      <c r="P74">
        <v>0</v>
      </c>
      <c r="Q74">
        <v>1256167.58</v>
      </c>
      <c r="R74">
        <v>0</v>
      </c>
      <c r="S74">
        <v>1256167.58</v>
      </c>
      <c r="T74">
        <v>1256385.72</v>
      </c>
      <c r="U74">
        <v>0</v>
      </c>
      <c r="V74">
        <v>1256385.72</v>
      </c>
      <c r="W74">
        <v>1800963.16</v>
      </c>
      <c r="X74">
        <v>0</v>
      </c>
      <c r="Y74">
        <v>1800963.16</v>
      </c>
      <c r="Z74">
        <v>1527822.28</v>
      </c>
      <c r="AA74">
        <v>0</v>
      </c>
      <c r="AB74">
        <v>1527822.28</v>
      </c>
      <c r="AC74">
        <v>2164.04</v>
      </c>
      <c r="AD74">
        <v>0</v>
      </c>
      <c r="AE74">
        <v>0</v>
      </c>
      <c r="AF74">
        <v>2164.04</v>
      </c>
      <c r="AG74">
        <v>311.21999999999997</v>
      </c>
      <c r="AH74">
        <v>0</v>
      </c>
      <c r="AI74">
        <v>0</v>
      </c>
      <c r="AJ74">
        <v>311.21999999999997</v>
      </c>
    </row>
    <row r="75" spans="2:36" x14ac:dyDescent="0.25">
      <c r="B75" t="s">
        <v>53</v>
      </c>
      <c r="C75" s="9" t="s">
        <v>45</v>
      </c>
      <c r="D75" s="14">
        <v>46054</v>
      </c>
      <c r="E75" s="2">
        <v>0</v>
      </c>
      <c r="G75">
        <v>0</v>
      </c>
      <c r="H75">
        <v>0</v>
      </c>
      <c r="J75">
        <v>0</v>
      </c>
      <c r="K75">
        <v>0</v>
      </c>
      <c r="M75">
        <v>0</v>
      </c>
      <c r="N75">
        <v>0</v>
      </c>
      <c r="P75">
        <v>0</v>
      </c>
      <c r="Q75">
        <v>1256167.58</v>
      </c>
      <c r="R75">
        <v>0</v>
      </c>
      <c r="S75">
        <v>1256167.58</v>
      </c>
      <c r="T75">
        <v>1256385.72</v>
      </c>
      <c r="U75">
        <v>0</v>
      </c>
      <c r="V75">
        <v>1256385.72</v>
      </c>
      <c r="W75">
        <v>1800963.16</v>
      </c>
      <c r="X75">
        <v>0</v>
      </c>
      <c r="Y75">
        <v>1800963.16</v>
      </c>
      <c r="Z75">
        <v>1527822.28</v>
      </c>
      <c r="AA75">
        <v>0</v>
      </c>
      <c r="AB75">
        <v>1527822.28</v>
      </c>
      <c r="AC75">
        <v>2164.04</v>
      </c>
      <c r="AD75">
        <v>0</v>
      </c>
      <c r="AE75">
        <v>0</v>
      </c>
      <c r="AF75">
        <v>2164.04</v>
      </c>
      <c r="AG75">
        <v>311.21999999999997</v>
      </c>
      <c r="AH75">
        <v>0</v>
      </c>
      <c r="AI75">
        <v>0</v>
      </c>
      <c r="AJ75">
        <v>311.21999999999997</v>
      </c>
    </row>
    <row r="76" spans="2:36" x14ac:dyDescent="0.25">
      <c r="B76" t="s">
        <v>53</v>
      </c>
      <c r="C76" s="9" t="s">
        <v>46</v>
      </c>
      <c r="D76" s="14">
        <v>46082</v>
      </c>
      <c r="E76" s="2">
        <v>0</v>
      </c>
      <c r="G76">
        <v>0</v>
      </c>
      <c r="H76">
        <v>0</v>
      </c>
      <c r="J76">
        <v>0</v>
      </c>
      <c r="K76">
        <v>0</v>
      </c>
      <c r="M76">
        <v>0</v>
      </c>
      <c r="N76">
        <v>0</v>
      </c>
      <c r="P76">
        <v>0</v>
      </c>
      <c r="Q76">
        <v>1256167.58</v>
      </c>
      <c r="R76">
        <v>0</v>
      </c>
      <c r="S76">
        <v>1256167.58</v>
      </c>
      <c r="T76">
        <v>1256385.72</v>
      </c>
      <c r="U76">
        <v>0</v>
      </c>
      <c r="V76">
        <v>1256385.72</v>
      </c>
      <c r="W76">
        <v>1800963.16</v>
      </c>
      <c r="X76">
        <v>0</v>
      </c>
      <c r="Y76">
        <v>1800963.16</v>
      </c>
      <c r="Z76">
        <v>1527822.28</v>
      </c>
      <c r="AA76">
        <v>0</v>
      </c>
      <c r="AB76">
        <v>1527822.28</v>
      </c>
      <c r="AC76">
        <v>2164.04</v>
      </c>
      <c r="AD76">
        <v>0</v>
      </c>
      <c r="AE76">
        <v>0</v>
      </c>
      <c r="AF76">
        <v>2164.04</v>
      </c>
      <c r="AG76">
        <v>311.21999999999997</v>
      </c>
      <c r="AH76">
        <v>0</v>
      </c>
      <c r="AI76">
        <v>0</v>
      </c>
      <c r="AJ76">
        <v>311.21999999999997</v>
      </c>
    </row>
    <row r="77" spans="2:36" x14ac:dyDescent="0.25">
      <c r="B77" t="s">
        <v>53</v>
      </c>
      <c r="C77" s="9" t="s">
        <v>47</v>
      </c>
      <c r="D77" s="14">
        <v>46113</v>
      </c>
      <c r="E77" s="2">
        <v>0</v>
      </c>
      <c r="G77">
        <v>0</v>
      </c>
      <c r="H77">
        <v>0</v>
      </c>
      <c r="J77">
        <v>0</v>
      </c>
      <c r="K77">
        <v>0</v>
      </c>
      <c r="M77">
        <v>0</v>
      </c>
      <c r="N77">
        <v>0</v>
      </c>
      <c r="P77">
        <v>0</v>
      </c>
      <c r="Q77">
        <v>1256167.58</v>
      </c>
      <c r="R77">
        <v>0</v>
      </c>
      <c r="S77">
        <v>1256167.58</v>
      </c>
      <c r="T77">
        <v>1256385.72</v>
      </c>
      <c r="U77">
        <v>0</v>
      </c>
      <c r="V77">
        <v>1256385.72</v>
      </c>
      <c r="W77">
        <v>1800963.16</v>
      </c>
      <c r="X77">
        <v>0</v>
      </c>
      <c r="Y77">
        <v>1800963.16</v>
      </c>
      <c r="Z77">
        <v>1527822.28</v>
      </c>
      <c r="AA77">
        <v>0</v>
      </c>
      <c r="AB77">
        <v>1527822.28</v>
      </c>
      <c r="AC77">
        <v>2164.04</v>
      </c>
      <c r="AD77">
        <v>0</v>
      </c>
      <c r="AE77">
        <v>0</v>
      </c>
      <c r="AF77">
        <v>2164.04</v>
      </c>
      <c r="AG77">
        <v>311.21999999999997</v>
      </c>
      <c r="AH77">
        <v>0</v>
      </c>
      <c r="AI77">
        <v>0</v>
      </c>
      <c r="AJ77">
        <v>311.21999999999997</v>
      </c>
    </row>
    <row r="78" spans="2:36" x14ac:dyDescent="0.25">
      <c r="B78" t="s">
        <v>53</v>
      </c>
      <c r="C78" s="9" t="s">
        <v>48</v>
      </c>
      <c r="D78" s="14">
        <v>46143</v>
      </c>
      <c r="E78" s="2">
        <v>0</v>
      </c>
      <c r="G78">
        <v>0</v>
      </c>
      <c r="H78">
        <v>0</v>
      </c>
      <c r="J78">
        <v>0</v>
      </c>
      <c r="K78">
        <v>0</v>
      </c>
      <c r="M78">
        <v>0</v>
      </c>
      <c r="N78">
        <v>0</v>
      </c>
      <c r="P78">
        <v>0</v>
      </c>
      <c r="Q78">
        <v>1256167.58</v>
      </c>
      <c r="R78">
        <v>0</v>
      </c>
      <c r="S78">
        <v>1256167.58</v>
      </c>
      <c r="T78">
        <v>1256385.72</v>
      </c>
      <c r="U78">
        <v>0</v>
      </c>
      <c r="V78">
        <v>1256385.72</v>
      </c>
      <c r="W78">
        <v>1800963.16</v>
      </c>
      <c r="X78">
        <v>0</v>
      </c>
      <c r="Y78">
        <v>1800963.16</v>
      </c>
      <c r="Z78">
        <v>1527822.28</v>
      </c>
      <c r="AA78">
        <v>0</v>
      </c>
      <c r="AB78">
        <v>1527822.28</v>
      </c>
      <c r="AC78">
        <v>2164.04</v>
      </c>
      <c r="AD78">
        <v>0</v>
      </c>
      <c r="AE78">
        <v>0</v>
      </c>
      <c r="AF78">
        <v>2164.04</v>
      </c>
      <c r="AG78">
        <v>311.21999999999997</v>
      </c>
      <c r="AH78">
        <v>0</v>
      </c>
      <c r="AI78">
        <v>0</v>
      </c>
      <c r="AJ78">
        <v>311.21999999999997</v>
      </c>
    </row>
    <row r="79" spans="2:36" x14ac:dyDescent="0.25">
      <c r="B79" t="s">
        <v>53</v>
      </c>
      <c r="C79" s="9" t="s">
        <v>49</v>
      </c>
      <c r="D79" s="14">
        <v>46174</v>
      </c>
      <c r="E79" s="2">
        <v>0</v>
      </c>
      <c r="G79">
        <v>0</v>
      </c>
      <c r="H79">
        <v>0</v>
      </c>
      <c r="J79">
        <v>0</v>
      </c>
      <c r="K79">
        <v>0</v>
      </c>
      <c r="M79">
        <v>0</v>
      </c>
      <c r="N79">
        <v>0</v>
      </c>
      <c r="P79">
        <v>0</v>
      </c>
      <c r="Q79">
        <v>1256167.58</v>
      </c>
      <c r="R79">
        <v>0</v>
      </c>
      <c r="S79">
        <v>1256167.58</v>
      </c>
      <c r="T79">
        <v>1256385.72</v>
      </c>
      <c r="U79">
        <v>0</v>
      </c>
      <c r="V79">
        <v>1256385.72</v>
      </c>
      <c r="W79">
        <v>1800963.16</v>
      </c>
      <c r="X79">
        <v>0</v>
      </c>
      <c r="Y79">
        <v>1800963.16</v>
      </c>
      <c r="Z79">
        <v>1527822.28</v>
      </c>
      <c r="AA79">
        <v>0</v>
      </c>
      <c r="AB79">
        <v>1527822.28</v>
      </c>
      <c r="AC79">
        <v>2164.04</v>
      </c>
      <c r="AD79">
        <v>0</v>
      </c>
      <c r="AE79">
        <v>0</v>
      </c>
      <c r="AF79">
        <v>2164.04</v>
      </c>
      <c r="AG79">
        <v>311.21999999999997</v>
      </c>
      <c r="AH79">
        <v>0</v>
      </c>
      <c r="AI79">
        <v>0</v>
      </c>
      <c r="AJ79">
        <v>311.21999999999997</v>
      </c>
    </row>
    <row r="80" spans="2:36" x14ac:dyDescent="0.25">
      <c r="B80" t="s">
        <v>53</v>
      </c>
      <c r="C80" s="9" t="s">
        <v>50</v>
      </c>
      <c r="D80" s="14">
        <v>46204</v>
      </c>
      <c r="E80" s="2">
        <v>0</v>
      </c>
      <c r="G80">
        <v>0</v>
      </c>
      <c r="H80">
        <v>0</v>
      </c>
      <c r="J80">
        <v>0</v>
      </c>
      <c r="K80">
        <v>0</v>
      </c>
      <c r="M80">
        <v>0</v>
      </c>
      <c r="N80">
        <v>0</v>
      </c>
      <c r="P80">
        <v>0</v>
      </c>
      <c r="Q80">
        <v>1256167.58</v>
      </c>
      <c r="R80">
        <v>0</v>
      </c>
      <c r="S80">
        <v>1256167.58</v>
      </c>
      <c r="T80">
        <v>1256385.72</v>
      </c>
      <c r="U80">
        <v>0</v>
      </c>
      <c r="V80">
        <v>1256385.72</v>
      </c>
      <c r="W80">
        <v>1800963.16</v>
      </c>
      <c r="X80">
        <v>0</v>
      </c>
      <c r="Y80">
        <v>1800963.16</v>
      </c>
      <c r="Z80">
        <v>1527822.28</v>
      </c>
      <c r="AA80">
        <v>0</v>
      </c>
      <c r="AB80">
        <v>1527822.28</v>
      </c>
      <c r="AC80">
        <v>2164.04</v>
      </c>
      <c r="AD80">
        <v>0</v>
      </c>
      <c r="AE80">
        <v>0</v>
      </c>
      <c r="AF80">
        <v>2164.04</v>
      </c>
      <c r="AG80">
        <v>311.21999999999997</v>
      </c>
      <c r="AH80">
        <v>0</v>
      </c>
      <c r="AI80">
        <v>0</v>
      </c>
      <c r="AJ80">
        <v>311.21999999999997</v>
      </c>
    </row>
    <row r="81" spans="2:36" x14ac:dyDescent="0.25">
      <c r="B81" t="s">
        <v>53</v>
      </c>
      <c r="C81" s="9" t="s">
        <v>51</v>
      </c>
      <c r="D81" s="14">
        <v>46235</v>
      </c>
      <c r="E81" s="2">
        <v>0</v>
      </c>
      <c r="G81">
        <v>0</v>
      </c>
      <c r="H81">
        <v>0</v>
      </c>
      <c r="J81">
        <v>0</v>
      </c>
      <c r="K81">
        <v>0</v>
      </c>
      <c r="M81">
        <v>0</v>
      </c>
      <c r="N81">
        <v>0</v>
      </c>
      <c r="P81">
        <v>0</v>
      </c>
      <c r="Q81">
        <v>1256167.58</v>
      </c>
      <c r="R81">
        <v>0</v>
      </c>
      <c r="S81">
        <v>1256167.58</v>
      </c>
      <c r="T81">
        <v>1256385.72</v>
      </c>
      <c r="U81">
        <v>0</v>
      </c>
      <c r="V81">
        <v>1256385.72</v>
      </c>
      <c r="W81">
        <v>1800963.16</v>
      </c>
      <c r="X81">
        <v>0</v>
      </c>
      <c r="Y81">
        <v>1800963.16</v>
      </c>
      <c r="Z81">
        <v>1527822.28</v>
      </c>
      <c r="AA81">
        <v>0</v>
      </c>
      <c r="AB81">
        <v>1527822.28</v>
      </c>
      <c r="AC81">
        <v>2164.04</v>
      </c>
      <c r="AD81">
        <v>0</v>
      </c>
      <c r="AE81">
        <v>0</v>
      </c>
      <c r="AF81">
        <v>2164.04</v>
      </c>
      <c r="AG81">
        <v>311.21999999999997</v>
      </c>
      <c r="AH81">
        <v>0</v>
      </c>
      <c r="AI81">
        <v>0</v>
      </c>
      <c r="AJ81">
        <v>311.21999999999997</v>
      </c>
    </row>
    <row r="82" spans="2:36" x14ac:dyDescent="0.25">
      <c r="B82" t="s">
        <v>54</v>
      </c>
      <c r="C82" s="9" t="s">
        <v>28</v>
      </c>
      <c r="D82" s="14">
        <v>45536</v>
      </c>
      <c r="E82" s="2">
        <v>0</v>
      </c>
      <c r="G82">
        <v>0</v>
      </c>
      <c r="H82">
        <v>0</v>
      </c>
      <c r="J82">
        <v>0</v>
      </c>
      <c r="K82">
        <v>0</v>
      </c>
      <c r="M82">
        <v>0</v>
      </c>
      <c r="N82">
        <v>47125</v>
      </c>
      <c r="P82">
        <v>47125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47125</v>
      </c>
      <c r="AA82">
        <v>0</v>
      </c>
      <c r="AB82">
        <v>47125</v>
      </c>
      <c r="AC82">
        <v>8.75</v>
      </c>
      <c r="AD82">
        <v>0</v>
      </c>
      <c r="AE82">
        <v>0</v>
      </c>
      <c r="AF82">
        <v>8.75</v>
      </c>
      <c r="AG82">
        <v>8.75</v>
      </c>
      <c r="AH82">
        <v>0</v>
      </c>
      <c r="AI82">
        <v>0</v>
      </c>
      <c r="AJ82">
        <v>8.75</v>
      </c>
    </row>
    <row r="83" spans="2:36" x14ac:dyDescent="0.25">
      <c r="B83" t="s">
        <v>54</v>
      </c>
      <c r="C83" s="9" t="s">
        <v>29</v>
      </c>
      <c r="D83" s="14">
        <v>45566</v>
      </c>
      <c r="E83" s="2">
        <v>0</v>
      </c>
      <c r="G83">
        <v>0</v>
      </c>
      <c r="H83">
        <v>0</v>
      </c>
      <c r="J83">
        <v>0</v>
      </c>
      <c r="K83">
        <v>5075</v>
      </c>
      <c r="M83">
        <v>5075</v>
      </c>
      <c r="N83">
        <v>303786.25</v>
      </c>
      <c r="P83">
        <v>303786.25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5075</v>
      </c>
      <c r="X83">
        <v>0</v>
      </c>
      <c r="Y83">
        <v>5075</v>
      </c>
      <c r="Z83">
        <v>303786.25</v>
      </c>
      <c r="AA83">
        <v>0</v>
      </c>
      <c r="AB83">
        <v>303786.25</v>
      </c>
      <c r="AC83">
        <v>90</v>
      </c>
      <c r="AD83">
        <v>0</v>
      </c>
      <c r="AE83">
        <v>0</v>
      </c>
      <c r="AF83">
        <v>90</v>
      </c>
      <c r="AG83">
        <v>90</v>
      </c>
      <c r="AH83">
        <v>0</v>
      </c>
      <c r="AI83">
        <v>0</v>
      </c>
      <c r="AJ83">
        <v>90</v>
      </c>
    </row>
    <row r="84" spans="2:36" x14ac:dyDescent="0.25">
      <c r="B84" t="s">
        <v>54</v>
      </c>
      <c r="C84" s="9" t="s">
        <v>30</v>
      </c>
      <c r="D84" s="14">
        <v>45597</v>
      </c>
      <c r="E84" s="2">
        <v>943419.4</v>
      </c>
      <c r="G84">
        <v>943419.4</v>
      </c>
      <c r="H84">
        <v>81200</v>
      </c>
      <c r="J84">
        <v>81200</v>
      </c>
      <c r="K84">
        <v>47125</v>
      </c>
      <c r="M84">
        <v>47125</v>
      </c>
      <c r="N84">
        <v>357021.25</v>
      </c>
      <c r="P84">
        <v>357021.25</v>
      </c>
      <c r="Q84">
        <v>943419.4</v>
      </c>
      <c r="R84">
        <v>0</v>
      </c>
      <c r="S84">
        <v>943419.4</v>
      </c>
      <c r="T84">
        <v>81200</v>
      </c>
      <c r="U84">
        <v>0</v>
      </c>
      <c r="V84">
        <v>81200</v>
      </c>
      <c r="W84">
        <v>52200</v>
      </c>
      <c r="X84">
        <v>0</v>
      </c>
      <c r="Y84">
        <v>52200</v>
      </c>
      <c r="Z84">
        <v>660807.5</v>
      </c>
      <c r="AA84">
        <v>0</v>
      </c>
      <c r="AB84">
        <v>660807.5</v>
      </c>
      <c r="AC84">
        <v>638.5</v>
      </c>
      <c r="AD84">
        <v>0</v>
      </c>
      <c r="AE84">
        <v>0</v>
      </c>
      <c r="AF84">
        <v>638.5</v>
      </c>
      <c r="AG84">
        <v>90</v>
      </c>
      <c r="AH84">
        <v>0</v>
      </c>
      <c r="AI84">
        <v>0</v>
      </c>
      <c r="AJ84">
        <v>90</v>
      </c>
    </row>
    <row r="85" spans="2:36" x14ac:dyDescent="0.25">
      <c r="B85" t="s">
        <v>54</v>
      </c>
      <c r="C85" s="9" t="s">
        <v>31</v>
      </c>
      <c r="D85" s="14">
        <v>45627</v>
      </c>
      <c r="E85" s="2">
        <v>1065219.3999999999</v>
      </c>
      <c r="G85">
        <v>1065219.3999999999</v>
      </c>
      <c r="H85">
        <v>532150</v>
      </c>
      <c r="J85">
        <v>532150</v>
      </c>
      <c r="K85">
        <v>303786.25</v>
      </c>
      <c r="M85">
        <v>303786.25</v>
      </c>
      <c r="N85">
        <v>434781.25</v>
      </c>
      <c r="P85">
        <v>434781.25</v>
      </c>
      <c r="Q85">
        <v>2008638.7999999998</v>
      </c>
      <c r="R85">
        <v>0</v>
      </c>
      <c r="S85">
        <v>2008638.7999999998</v>
      </c>
      <c r="T85">
        <v>613350</v>
      </c>
      <c r="U85">
        <v>0</v>
      </c>
      <c r="V85">
        <v>613350</v>
      </c>
      <c r="W85">
        <v>355986.25</v>
      </c>
      <c r="X85">
        <v>0</v>
      </c>
      <c r="Y85">
        <v>355986.25</v>
      </c>
      <c r="Z85">
        <v>1095588.75</v>
      </c>
      <c r="AA85">
        <v>0</v>
      </c>
      <c r="AB85">
        <v>1095588.75</v>
      </c>
      <c r="AC85">
        <v>1315.25</v>
      </c>
      <c r="AD85">
        <v>0</v>
      </c>
      <c r="AE85">
        <v>0</v>
      </c>
      <c r="AF85">
        <v>1315.25</v>
      </c>
      <c r="AG85">
        <v>90</v>
      </c>
      <c r="AH85">
        <v>0</v>
      </c>
      <c r="AI85">
        <v>0</v>
      </c>
      <c r="AJ85">
        <v>90</v>
      </c>
    </row>
    <row r="86" spans="2:36" x14ac:dyDescent="0.25">
      <c r="B86" t="s">
        <v>54</v>
      </c>
      <c r="C86" s="9" t="s">
        <v>32</v>
      </c>
      <c r="D86" s="14">
        <v>45658</v>
      </c>
      <c r="E86" s="2">
        <v>1153497.1299999999</v>
      </c>
      <c r="G86">
        <v>1153497.1299999999</v>
      </c>
      <c r="H86">
        <v>753286.85</v>
      </c>
      <c r="J86">
        <v>753286.85</v>
      </c>
      <c r="K86">
        <v>306271.25</v>
      </c>
      <c r="M86">
        <v>306271.25</v>
      </c>
      <c r="N86">
        <v>936052.53</v>
      </c>
      <c r="P86">
        <v>936052.53</v>
      </c>
      <c r="Q86">
        <v>3162135.9299999997</v>
      </c>
      <c r="R86">
        <v>0</v>
      </c>
      <c r="S86">
        <v>3162135.9299999997</v>
      </c>
      <c r="T86">
        <v>1366636.85</v>
      </c>
      <c r="U86">
        <v>0</v>
      </c>
      <c r="V86">
        <v>1366636.85</v>
      </c>
      <c r="W86">
        <v>662257.5</v>
      </c>
      <c r="X86">
        <v>0</v>
      </c>
      <c r="Y86">
        <v>662257.5</v>
      </c>
      <c r="Z86">
        <v>2031641.28</v>
      </c>
      <c r="AA86">
        <v>0</v>
      </c>
      <c r="AB86">
        <v>2031641.28</v>
      </c>
      <c r="AC86">
        <v>2101.5</v>
      </c>
      <c r="AD86">
        <v>0</v>
      </c>
      <c r="AE86">
        <v>0</v>
      </c>
      <c r="AF86">
        <v>2101.5</v>
      </c>
      <c r="AG86">
        <v>90</v>
      </c>
      <c r="AH86">
        <v>0</v>
      </c>
      <c r="AI86">
        <v>0</v>
      </c>
      <c r="AJ86">
        <v>90</v>
      </c>
    </row>
    <row r="87" spans="2:36" x14ac:dyDescent="0.25">
      <c r="B87" t="s">
        <v>54</v>
      </c>
      <c r="C87" s="9" t="s">
        <v>33</v>
      </c>
      <c r="D87" s="14">
        <v>45689</v>
      </c>
      <c r="E87" s="2">
        <v>1109582.02</v>
      </c>
      <c r="G87">
        <v>1109582.02</v>
      </c>
      <c r="H87">
        <v>703676.2</v>
      </c>
      <c r="J87">
        <v>703676.2</v>
      </c>
      <c r="K87">
        <v>421135.75</v>
      </c>
      <c r="M87">
        <v>421135.75</v>
      </c>
      <c r="N87">
        <v>805185.5</v>
      </c>
      <c r="P87">
        <v>805185.5</v>
      </c>
      <c r="Q87">
        <v>4271717.9499999993</v>
      </c>
      <c r="R87">
        <v>0</v>
      </c>
      <c r="S87">
        <v>4271717.9499999993</v>
      </c>
      <c r="T87">
        <v>2070313.05</v>
      </c>
      <c r="U87">
        <v>0</v>
      </c>
      <c r="V87">
        <v>2070313.05</v>
      </c>
      <c r="W87">
        <v>1083393.25</v>
      </c>
      <c r="X87">
        <v>0</v>
      </c>
      <c r="Y87">
        <v>1083393.25</v>
      </c>
      <c r="Z87">
        <v>2836826.7800000003</v>
      </c>
      <c r="AA87">
        <v>0</v>
      </c>
      <c r="AB87">
        <v>2836826.7800000003</v>
      </c>
      <c r="AC87">
        <v>3549.45</v>
      </c>
      <c r="AD87">
        <v>0</v>
      </c>
      <c r="AE87">
        <v>0</v>
      </c>
      <c r="AF87">
        <v>3549.45</v>
      </c>
      <c r="AG87">
        <v>90</v>
      </c>
      <c r="AH87">
        <v>0</v>
      </c>
      <c r="AI87">
        <v>0</v>
      </c>
      <c r="AJ87">
        <v>90</v>
      </c>
    </row>
    <row r="88" spans="2:36" x14ac:dyDescent="0.25">
      <c r="B88" t="s">
        <v>54</v>
      </c>
      <c r="C88" s="9" t="s">
        <v>34</v>
      </c>
      <c r="D88" s="14">
        <v>45717</v>
      </c>
      <c r="E88" s="2">
        <v>668561.69999999995</v>
      </c>
      <c r="G88">
        <v>668561.69999999995</v>
      </c>
      <c r="H88">
        <v>495583.6</v>
      </c>
      <c r="J88">
        <v>495583.6</v>
      </c>
      <c r="K88">
        <v>760778.28</v>
      </c>
      <c r="M88">
        <v>760778.28</v>
      </c>
      <c r="N88">
        <v>1135713.33</v>
      </c>
      <c r="P88">
        <v>1135713.33</v>
      </c>
      <c r="Q88">
        <v>4940279.6499999994</v>
      </c>
      <c r="R88">
        <v>0</v>
      </c>
      <c r="S88">
        <v>4940279.6499999994</v>
      </c>
      <c r="T88">
        <v>2565896.65</v>
      </c>
      <c r="U88">
        <v>0</v>
      </c>
      <c r="V88">
        <v>2565896.65</v>
      </c>
      <c r="W88">
        <v>1844171.53</v>
      </c>
      <c r="X88">
        <v>0</v>
      </c>
      <c r="Y88">
        <v>1844171.53</v>
      </c>
      <c r="Z88">
        <v>3972540.1100000003</v>
      </c>
      <c r="AA88">
        <v>0</v>
      </c>
      <c r="AB88">
        <v>3972540.1100000003</v>
      </c>
      <c r="AC88">
        <v>4800.45</v>
      </c>
      <c r="AD88">
        <v>0</v>
      </c>
      <c r="AE88">
        <v>0</v>
      </c>
      <c r="AF88">
        <v>4800.45</v>
      </c>
      <c r="AG88">
        <v>90</v>
      </c>
      <c r="AH88">
        <v>0</v>
      </c>
      <c r="AI88">
        <v>0</v>
      </c>
      <c r="AJ88">
        <v>90</v>
      </c>
    </row>
    <row r="89" spans="2:36" x14ac:dyDescent="0.25">
      <c r="B89" t="s">
        <v>54</v>
      </c>
      <c r="C89" s="9" t="s">
        <v>35</v>
      </c>
      <c r="D89" s="14">
        <v>45748</v>
      </c>
      <c r="E89" s="2">
        <v>824203.03</v>
      </c>
      <c r="G89">
        <v>824203.03</v>
      </c>
      <c r="H89">
        <v>686593.6</v>
      </c>
      <c r="J89">
        <v>686593.6</v>
      </c>
      <c r="K89">
        <v>648784.25</v>
      </c>
      <c r="M89">
        <v>648784.25</v>
      </c>
      <c r="N89">
        <v>853799.12</v>
      </c>
      <c r="P89">
        <v>853799.12</v>
      </c>
      <c r="Q89">
        <v>5764482.6799999997</v>
      </c>
      <c r="R89">
        <v>0</v>
      </c>
      <c r="S89">
        <v>5764482.6799999997</v>
      </c>
      <c r="T89">
        <v>3252490.25</v>
      </c>
      <c r="U89">
        <v>0</v>
      </c>
      <c r="V89">
        <v>3252490.25</v>
      </c>
      <c r="W89">
        <v>2492955.7800000003</v>
      </c>
      <c r="X89">
        <v>0</v>
      </c>
      <c r="Y89">
        <v>2492955.7800000003</v>
      </c>
      <c r="Z89">
        <v>4826339.2300000004</v>
      </c>
      <c r="AA89">
        <v>0</v>
      </c>
      <c r="AB89">
        <v>4826339.2300000004</v>
      </c>
      <c r="AC89">
        <v>6615.62</v>
      </c>
      <c r="AD89">
        <v>0</v>
      </c>
      <c r="AE89">
        <v>0</v>
      </c>
      <c r="AF89">
        <v>6615.62</v>
      </c>
      <c r="AG89">
        <v>90</v>
      </c>
      <c r="AH89">
        <v>0</v>
      </c>
      <c r="AI89">
        <v>0</v>
      </c>
      <c r="AJ89">
        <v>90</v>
      </c>
    </row>
    <row r="90" spans="2:36" x14ac:dyDescent="0.25">
      <c r="B90" t="s">
        <v>54</v>
      </c>
      <c r="C90" s="9" t="s">
        <v>36</v>
      </c>
      <c r="D90" s="14">
        <v>45778</v>
      </c>
      <c r="E90" s="2">
        <v>988938.98</v>
      </c>
      <c r="G90">
        <v>988938.98</v>
      </c>
      <c r="H90">
        <v>809877.8</v>
      </c>
      <c r="J90">
        <v>809877.8</v>
      </c>
      <c r="K90">
        <v>971273.58</v>
      </c>
      <c r="M90">
        <v>971273.58</v>
      </c>
      <c r="N90">
        <v>1158409.94</v>
      </c>
      <c r="P90">
        <v>1158409.94</v>
      </c>
      <c r="Q90">
        <v>6753421.6600000001</v>
      </c>
      <c r="R90">
        <v>0</v>
      </c>
      <c r="S90">
        <v>6753421.6600000001</v>
      </c>
      <c r="T90">
        <v>4062368.05</v>
      </c>
      <c r="U90">
        <v>0</v>
      </c>
      <c r="V90">
        <v>4062368.05</v>
      </c>
      <c r="W90">
        <v>3464229.3600000003</v>
      </c>
      <c r="X90">
        <v>0</v>
      </c>
      <c r="Y90">
        <v>3464229.3600000003</v>
      </c>
      <c r="Z90">
        <v>5984749.1699999999</v>
      </c>
      <c r="AA90">
        <v>0</v>
      </c>
      <c r="AB90">
        <v>5984749.1699999999</v>
      </c>
      <c r="AC90">
        <v>7959.5</v>
      </c>
      <c r="AD90">
        <v>0</v>
      </c>
      <c r="AE90">
        <v>0</v>
      </c>
      <c r="AF90">
        <v>7959.5</v>
      </c>
      <c r="AG90">
        <v>90</v>
      </c>
      <c r="AH90">
        <v>0</v>
      </c>
      <c r="AI90">
        <v>0</v>
      </c>
      <c r="AJ90">
        <v>90</v>
      </c>
    </row>
    <row r="91" spans="2:36" x14ac:dyDescent="0.25">
      <c r="B91" t="s">
        <v>54</v>
      </c>
      <c r="C91" s="9" t="s">
        <v>37</v>
      </c>
      <c r="D91" s="14">
        <v>45809</v>
      </c>
      <c r="E91" s="2">
        <v>744108.38</v>
      </c>
      <c r="G91">
        <v>744108.38</v>
      </c>
      <c r="H91">
        <v>427987.55</v>
      </c>
      <c r="J91">
        <v>427987.55</v>
      </c>
      <c r="K91">
        <v>706659.62</v>
      </c>
      <c r="M91">
        <v>706659.62</v>
      </c>
      <c r="N91">
        <v>731796.74</v>
      </c>
      <c r="P91">
        <v>731796.74</v>
      </c>
      <c r="Q91">
        <v>7497530.04</v>
      </c>
      <c r="R91">
        <v>0</v>
      </c>
      <c r="S91">
        <v>7497530.04</v>
      </c>
      <c r="T91">
        <v>4490355.5999999996</v>
      </c>
      <c r="U91">
        <v>0</v>
      </c>
      <c r="V91">
        <v>4490355.5999999996</v>
      </c>
      <c r="W91">
        <v>4170888.9800000004</v>
      </c>
      <c r="X91">
        <v>0</v>
      </c>
      <c r="Y91">
        <v>4170888.9800000004</v>
      </c>
      <c r="Z91">
        <v>6716545.9100000001</v>
      </c>
      <c r="AA91">
        <v>0</v>
      </c>
      <c r="AB91">
        <v>6716545.9100000001</v>
      </c>
      <c r="AC91">
        <v>9746.56</v>
      </c>
      <c r="AD91">
        <v>0</v>
      </c>
      <c r="AE91">
        <v>0</v>
      </c>
      <c r="AF91">
        <v>9746.56</v>
      </c>
      <c r="AG91">
        <v>90</v>
      </c>
      <c r="AH91">
        <v>0</v>
      </c>
      <c r="AI91">
        <v>0</v>
      </c>
      <c r="AJ91">
        <v>90</v>
      </c>
    </row>
    <row r="92" spans="2:36" x14ac:dyDescent="0.25">
      <c r="B92" t="s">
        <v>54</v>
      </c>
      <c r="C92" s="9" t="s">
        <v>38</v>
      </c>
      <c r="D92" s="14">
        <v>45839</v>
      </c>
      <c r="E92" s="2">
        <v>424473.86</v>
      </c>
      <c r="G92">
        <v>424473.86</v>
      </c>
      <c r="H92">
        <v>303003.40000000002</v>
      </c>
      <c r="J92">
        <v>303003.40000000002</v>
      </c>
      <c r="K92">
        <v>975970.94</v>
      </c>
      <c r="M92">
        <v>975970.94</v>
      </c>
      <c r="N92">
        <v>713125.12</v>
      </c>
      <c r="P92">
        <v>713125.12</v>
      </c>
      <c r="Q92">
        <v>7922003.9000000004</v>
      </c>
      <c r="R92">
        <v>0</v>
      </c>
      <c r="S92">
        <v>7922003.9000000004</v>
      </c>
      <c r="T92">
        <v>4793359</v>
      </c>
      <c r="U92">
        <v>0</v>
      </c>
      <c r="V92">
        <v>4793359</v>
      </c>
      <c r="W92">
        <v>5146859.92</v>
      </c>
      <c r="X92">
        <v>0</v>
      </c>
      <c r="Y92">
        <v>5146859.92</v>
      </c>
      <c r="Z92">
        <v>7429671.0300000003</v>
      </c>
      <c r="AA92">
        <v>0</v>
      </c>
      <c r="AB92">
        <v>7429671.0300000003</v>
      </c>
      <c r="AC92">
        <v>10841.32</v>
      </c>
      <c r="AD92">
        <v>0</v>
      </c>
      <c r="AE92">
        <v>0</v>
      </c>
      <c r="AF92">
        <v>10841.32</v>
      </c>
      <c r="AG92">
        <v>90</v>
      </c>
      <c r="AH92">
        <v>0</v>
      </c>
      <c r="AI92">
        <v>0</v>
      </c>
      <c r="AJ92">
        <v>90</v>
      </c>
    </row>
    <row r="93" spans="2:36" x14ac:dyDescent="0.25">
      <c r="B93" t="s">
        <v>54</v>
      </c>
      <c r="C93" s="9" t="s">
        <v>39</v>
      </c>
      <c r="D93" s="14">
        <v>45870</v>
      </c>
      <c r="E93" s="2">
        <v>281832.5</v>
      </c>
      <c r="G93">
        <v>281832.5</v>
      </c>
      <c r="H93">
        <v>304873.65000000002</v>
      </c>
      <c r="J93">
        <v>304873.65000000002</v>
      </c>
      <c r="K93">
        <v>587334.41</v>
      </c>
      <c r="M93">
        <v>587334.41</v>
      </c>
      <c r="N93">
        <v>604100.5</v>
      </c>
      <c r="P93">
        <v>604100.5</v>
      </c>
      <c r="Q93">
        <v>8203836.4000000004</v>
      </c>
      <c r="R93">
        <v>0</v>
      </c>
      <c r="S93">
        <v>8203836.4000000004</v>
      </c>
      <c r="T93">
        <v>5098232.6500000004</v>
      </c>
      <c r="U93">
        <v>0</v>
      </c>
      <c r="V93">
        <v>5098232.6500000004</v>
      </c>
      <c r="W93">
        <v>5734194.3300000001</v>
      </c>
      <c r="X93">
        <v>0</v>
      </c>
      <c r="Y93">
        <v>5734194.3300000001</v>
      </c>
      <c r="Z93">
        <v>8033771.5300000003</v>
      </c>
      <c r="AA93">
        <v>0</v>
      </c>
      <c r="AB93">
        <v>8033771.5300000003</v>
      </c>
      <c r="AC93">
        <v>11904.2</v>
      </c>
      <c r="AD93">
        <v>0</v>
      </c>
      <c r="AE93">
        <v>0</v>
      </c>
      <c r="AF93">
        <v>11904.2</v>
      </c>
      <c r="AG93">
        <v>90</v>
      </c>
      <c r="AH93">
        <v>0</v>
      </c>
      <c r="AI93">
        <v>0</v>
      </c>
      <c r="AJ93">
        <v>90</v>
      </c>
    </row>
    <row r="94" spans="2:36" x14ac:dyDescent="0.25">
      <c r="B94" t="s">
        <v>54</v>
      </c>
      <c r="C94" s="9" t="s">
        <v>40</v>
      </c>
      <c r="D94" s="14">
        <v>45901</v>
      </c>
      <c r="E94" s="2">
        <v>247660.79999999999</v>
      </c>
      <c r="G94">
        <v>247660.79999999999</v>
      </c>
      <c r="H94">
        <v>260947.95</v>
      </c>
      <c r="J94">
        <v>260947.95</v>
      </c>
      <c r="K94">
        <v>552355.12</v>
      </c>
      <c r="M94">
        <v>552355.12</v>
      </c>
      <c r="N94">
        <v>674784.75</v>
      </c>
      <c r="P94">
        <v>674784.75</v>
      </c>
      <c r="Q94">
        <v>8451497.2000000011</v>
      </c>
      <c r="R94">
        <v>0</v>
      </c>
      <c r="S94">
        <v>8451497.2000000011</v>
      </c>
      <c r="T94">
        <v>5359180.6000000006</v>
      </c>
      <c r="U94">
        <v>0</v>
      </c>
      <c r="V94">
        <v>5359180.6000000006</v>
      </c>
      <c r="W94">
        <v>6286549.4500000002</v>
      </c>
      <c r="X94">
        <v>0</v>
      </c>
      <c r="Y94">
        <v>6286549.4500000002</v>
      </c>
      <c r="Z94">
        <v>8708556.2800000012</v>
      </c>
      <c r="AA94">
        <v>0</v>
      </c>
      <c r="AB94">
        <v>8708556.2800000012</v>
      </c>
      <c r="AC94">
        <v>12822.7</v>
      </c>
      <c r="AD94">
        <v>0</v>
      </c>
      <c r="AE94">
        <v>0</v>
      </c>
      <c r="AF94">
        <v>12822.7</v>
      </c>
      <c r="AG94">
        <v>90</v>
      </c>
      <c r="AH94">
        <v>0</v>
      </c>
      <c r="AI94">
        <v>0</v>
      </c>
      <c r="AJ94">
        <v>90</v>
      </c>
    </row>
    <row r="95" spans="2:36" x14ac:dyDescent="0.25">
      <c r="B95" t="s">
        <v>54</v>
      </c>
      <c r="C95" s="9" t="s">
        <v>41</v>
      </c>
      <c r="D95" s="14">
        <v>45931</v>
      </c>
      <c r="E95" s="2">
        <v>198302.65</v>
      </c>
      <c r="G95">
        <v>198302.65</v>
      </c>
      <c r="H95">
        <v>197499.3</v>
      </c>
      <c r="J95">
        <v>197499.3</v>
      </c>
      <c r="K95">
        <v>460630.75</v>
      </c>
      <c r="M95">
        <v>460630.75</v>
      </c>
      <c r="N95">
        <v>644295.5</v>
      </c>
      <c r="P95">
        <v>644295.5</v>
      </c>
      <c r="Q95">
        <v>8649799.8500000015</v>
      </c>
      <c r="R95">
        <v>0</v>
      </c>
      <c r="S95">
        <v>8649799.8500000015</v>
      </c>
      <c r="T95">
        <v>5556679.9000000004</v>
      </c>
      <c r="U95">
        <v>0</v>
      </c>
      <c r="V95">
        <v>5556679.9000000004</v>
      </c>
      <c r="W95">
        <v>6747180.2000000002</v>
      </c>
      <c r="X95">
        <v>0</v>
      </c>
      <c r="Y95">
        <v>6747180.2000000002</v>
      </c>
      <c r="Z95">
        <v>9352851.7800000012</v>
      </c>
      <c r="AA95">
        <v>0</v>
      </c>
      <c r="AB95">
        <v>9352851.7800000012</v>
      </c>
      <c r="AC95">
        <v>13843.45</v>
      </c>
      <c r="AD95">
        <v>0</v>
      </c>
      <c r="AE95">
        <v>0</v>
      </c>
      <c r="AF95">
        <v>13843.45</v>
      </c>
      <c r="AG95">
        <v>90</v>
      </c>
      <c r="AH95">
        <v>0</v>
      </c>
      <c r="AI95">
        <v>0</v>
      </c>
      <c r="AJ95">
        <v>90</v>
      </c>
    </row>
    <row r="96" spans="2:36" x14ac:dyDescent="0.25">
      <c r="B96" t="s">
        <v>54</v>
      </c>
      <c r="C96" s="9" t="s">
        <v>42</v>
      </c>
      <c r="D96" s="14">
        <v>45962</v>
      </c>
      <c r="E96" s="2">
        <v>146755.48000000001</v>
      </c>
      <c r="G96">
        <v>146755.48000000001</v>
      </c>
      <c r="H96">
        <v>79574.55</v>
      </c>
      <c r="J96">
        <v>79574.55</v>
      </c>
      <c r="K96">
        <v>519082.5</v>
      </c>
      <c r="M96">
        <v>519082.5</v>
      </c>
      <c r="N96">
        <v>272491.17</v>
      </c>
      <c r="P96">
        <v>272491.17</v>
      </c>
      <c r="Q96">
        <v>8796555.3300000019</v>
      </c>
      <c r="R96">
        <v>0</v>
      </c>
      <c r="S96">
        <v>8796555.3300000019</v>
      </c>
      <c r="T96">
        <v>5636254.4500000002</v>
      </c>
      <c r="U96">
        <v>0</v>
      </c>
      <c r="V96">
        <v>5636254.4500000002</v>
      </c>
      <c r="W96">
        <v>7266262.7000000002</v>
      </c>
      <c r="X96">
        <v>0</v>
      </c>
      <c r="Y96">
        <v>7266262.7000000002</v>
      </c>
      <c r="Z96">
        <v>9625342.9500000011</v>
      </c>
      <c r="AA96">
        <v>0</v>
      </c>
      <c r="AB96">
        <v>9625342.9500000011</v>
      </c>
      <c r="AC96">
        <v>14825.45</v>
      </c>
      <c r="AD96">
        <v>0</v>
      </c>
      <c r="AE96">
        <v>0</v>
      </c>
      <c r="AF96">
        <v>14825.45</v>
      </c>
      <c r="AG96">
        <v>90</v>
      </c>
      <c r="AH96">
        <v>0</v>
      </c>
      <c r="AI96">
        <v>0</v>
      </c>
      <c r="AJ96">
        <v>90</v>
      </c>
    </row>
    <row r="97" spans="2:36" x14ac:dyDescent="0.25">
      <c r="B97" t="s">
        <v>54</v>
      </c>
      <c r="C97" s="9" t="s">
        <v>43</v>
      </c>
      <c r="D97" s="14">
        <v>45992</v>
      </c>
      <c r="E97" s="2">
        <v>61428.18</v>
      </c>
      <c r="G97">
        <v>61428.18</v>
      </c>
      <c r="H97">
        <v>78963.149999999994</v>
      </c>
      <c r="J97">
        <v>78963.149999999994</v>
      </c>
      <c r="K97">
        <v>499134.17</v>
      </c>
      <c r="M97">
        <v>499134.17</v>
      </c>
      <c r="N97">
        <v>0</v>
      </c>
      <c r="P97">
        <v>0</v>
      </c>
      <c r="Q97">
        <v>8857983.5100000016</v>
      </c>
      <c r="R97">
        <v>0</v>
      </c>
      <c r="S97">
        <v>8857983.5100000016</v>
      </c>
      <c r="T97">
        <v>5715217.6000000006</v>
      </c>
      <c r="U97">
        <v>0</v>
      </c>
      <c r="V97">
        <v>5715217.6000000006</v>
      </c>
      <c r="W97">
        <v>7765396.8700000001</v>
      </c>
      <c r="X97">
        <v>0</v>
      </c>
      <c r="Y97">
        <v>7765396.8700000001</v>
      </c>
      <c r="Z97">
        <v>9625342.9500000011</v>
      </c>
      <c r="AA97">
        <v>0</v>
      </c>
      <c r="AB97">
        <v>9625342.9500000011</v>
      </c>
      <c r="AC97">
        <v>15223.28</v>
      </c>
      <c r="AD97">
        <v>0</v>
      </c>
      <c r="AE97">
        <v>0</v>
      </c>
      <c r="AF97">
        <v>15223.28</v>
      </c>
      <c r="AG97">
        <v>90</v>
      </c>
      <c r="AH97">
        <v>0</v>
      </c>
      <c r="AI97">
        <v>0</v>
      </c>
      <c r="AJ97">
        <v>90</v>
      </c>
    </row>
    <row r="98" spans="2:36" x14ac:dyDescent="0.25">
      <c r="B98" t="s">
        <v>54</v>
      </c>
      <c r="C98" s="9" t="s">
        <v>44</v>
      </c>
      <c r="D98" s="14">
        <v>46023</v>
      </c>
      <c r="E98" s="2">
        <v>34171.699999999997</v>
      </c>
      <c r="G98">
        <v>34171.699999999997</v>
      </c>
      <c r="H98">
        <v>43925.7</v>
      </c>
      <c r="J98">
        <v>43925.7</v>
      </c>
      <c r="K98">
        <v>134557.5</v>
      </c>
      <c r="M98">
        <v>134557.5</v>
      </c>
      <c r="N98">
        <v>0</v>
      </c>
      <c r="P98">
        <v>0</v>
      </c>
      <c r="Q98">
        <v>8892155.2100000009</v>
      </c>
      <c r="R98">
        <v>0</v>
      </c>
      <c r="S98">
        <v>8892155.2100000009</v>
      </c>
      <c r="T98">
        <v>5759143.3000000007</v>
      </c>
      <c r="U98">
        <v>0</v>
      </c>
      <c r="V98">
        <v>5759143.3000000007</v>
      </c>
      <c r="W98">
        <v>7899954.3700000001</v>
      </c>
      <c r="X98">
        <v>0</v>
      </c>
      <c r="Y98">
        <v>7899954.3700000001</v>
      </c>
      <c r="Z98">
        <v>9625342.9500000011</v>
      </c>
      <c r="AA98">
        <v>0</v>
      </c>
      <c r="AB98">
        <v>9625342.9500000011</v>
      </c>
      <c r="AC98">
        <v>15411.03</v>
      </c>
      <c r="AD98">
        <v>0</v>
      </c>
      <c r="AE98">
        <v>0</v>
      </c>
      <c r="AF98">
        <v>15411.03</v>
      </c>
      <c r="AG98">
        <v>90</v>
      </c>
      <c r="AH98">
        <v>0</v>
      </c>
      <c r="AI98">
        <v>0</v>
      </c>
      <c r="AJ98">
        <v>90</v>
      </c>
    </row>
    <row r="99" spans="2:36" x14ac:dyDescent="0.25">
      <c r="B99" t="s">
        <v>54</v>
      </c>
      <c r="C99" s="9" t="s">
        <v>45</v>
      </c>
      <c r="D99" s="14">
        <v>46054</v>
      </c>
      <c r="E99" s="2">
        <v>0</v>
      </c>
      <c r="G99">
        <v>0</v>
      </c>
      <c r="H99">
        <v>0</v>
      </c>
      <c r="J99">
        <v>0</v>
      </c>
      <c r="K99">
        <v>24465</v>
      </c>
      <c r="M99">
        <v>24465</v>
      </c>
      <c r="N99">
        <v>0</v>
      </c>
      <c r="P99">
        <v>0</v>
      </c>
      <c r="Q99">
        <v>8892155.2100000009</v>
      </c>
      <c r="R99">
        <v>0</v>
      </c>
      <c r="S99">
        <v>8892155.2100000009</v>
      </c>
      <c r="T99">
        <v>5759143.3000000007</v>
      </c>
      <c r="U99">
        <v>0</v>
      </c>
      <c r="V99">
        <v>5759143.3000000007</v>
      </c>
      <c r="W99">
        <v>7924419.3700000001</v>
      </c>
      <c r="X99">
        <v>0</v>
      </c>
      <c r="Y99">
        <v>7924419.3700000001</v>
      </c>
      <c r="Z99">
        <v>9625342.9500000011</v>
      </c>
      <c r="AA99">
        <v>0</v>
      </c>
      <c r="AB99">
        <v>9625342.9500000011</v>
      </c>
      <c r="AC99">
        <v>15411.03</v>
      </c>
      <c r="AD99">
        <v>0</v>
      </c>
      <c r="AE99">
        <v>0</v>
      </c>
      <c r="AF99">
        <v>15411.03</v>
      </c>
      <c r="AG99">
        <v>90</v>
      </c>
      <c r="AH99">
        <v>0</v>
      </c>
      <c r="AI99">
        <v>0</v>
      </c>
      <c r="AJ99">
        <v>90</v>
      </c>
    </row>
    <row r="100" spans="2:36" x14ac:dyDescent="0.25">
      <c r="B100" t="s">
        <v>54</v>
      </c>
      <c r="C100" s="9" t="s">
        <v>46</v>
      </c>
      <c r="D100" s="14">
        <v>46082</v>
      </c>
      <c r="E100" s="2">
        <v>0</v>
      </c>
      <c r="G100">
        <v>0</v>
      </c>
      <c r="H100">
        <v>0</v>
      </c>
      <c r="J100">
        <v>0</v>
      </c>
      <c r="K100">
        <v>0</v>
      </c>
      <c r="M100">
        <v>0</v>
      </c>
      <c r="N100">
        <v>0</v>
      </c>
      <c r="P100">
        <v>0</v>
      </c>
      <c r="Q100">
        <v>8892155.2100000009</v>
      </c>
      <c r="R100">
        <v>0</v>
      </c>
      <c r="S100">
        <v>8892155.2100000009</v>
      </c>
      <c r="T100">
        <v>5759143.3000000007</v>
      </c>
      <c r="U100">
        <v>0</v>
      </c>
      <c r="V100">
        <v>5759143.3000000007</v>
      </c>
      <c r="W100">
        <v>7924419.3700000001</v>
      </c>
      <c r="X100">
        <v>0</v>
      </c>
      <c r="Y100">
        <v>7924419.3700000001</v>
      </c>
      <c r="Z100">
        <v>9625342.9500000011</v>
      </c>
      <c r="AA100">
        <v>0</v>
      </c>
      <c r="AB100">
        <v>9625342.9500000011</v>
      </c>
      <c r="AC100">
        <v>15411.03</v>
      </c>
      <c r="AD100">
        <v>0</v>
      </c>
      <c r="AE100">
        <v>0</v>
      </c>
      <c r="AF100">
        <v>15411.03</v>
      </c>
      <c r="AG100">
        <v>90</v>
      </c>
      <c r="AH100">
        <v>0</v>
      </c>
      <c r="AI100">
        <v>0</v>
      </c>
      <c r="AJ100">
        <v>90</v>
      </c>
    </row>
    <row r="101" spans="2:36" x14ac:dyDescent="0.25">
      <c r="B101" t="s">
        <v>54</v>
      </c>
      <c r="C101" s="9" t="s">
        <v>47</v>
      </c>
      <c r="D101" s="14">
        <v>46113</v>
      </c>
      <c r="E101" s="2">
        <v>0</v>
      </c>
      <c r="G101">
        <v>0</v>
      </c>
      <c r="H101">
        <v>0</v>
      </c>
      <c r="J101">
        <v>0</v>
      </c>
      <c r="K101">
        <v>0</v>
      </c>
      <c r="M101">
        <v>0</v>
      </c>
      <c r="N101">
        <v>0</v>
      </c>
      <c r="P101">
        <v>0</v>
      </c>
      <c r="Q101">
        <v>8892155.2100000009</v>
      </c>
      <c r="R101">
        <v>0</v>
      </c>
      <c r="S101">
        <v>8892155.2100000009</v>
      </c>
      <c r="T101">
        <v>5759143.3000000007</v>
      </c>
      <c r="U101">
        <v>0</v>
      </c>
      <c r="V101">
        <v>5759143.3000000007</v>
      </c>
      <c r="W101">
        <v>7924419.3700000001</v>
      </c>
      <c r="X101">
        <v>0</v>
      </c>
      <c r="Y101">
        <v>7924419.3700000001</v>
      </c>
      <c r="Z101">
        <v>9625342.9500000011</v>
      </c>
      <c r="AA101">
        <v>0</v>
      </c>
      <c r="AB101">
        <v>9625342.9500000011</v>
      </c>
      <c r="AC101">
        <v>15411.03</v>
      </c>
      <c r="AD101">
        <v>0</v>
      </c>
      <c r="AE101">
        <v>0</v>
      </c>
      <c r="AF101">
        <v>15411.03</v>
      </c>
      <c r="AG101">
        <v>90</v>
      </c>
      <c r="AH101">
        <v>0</v>
      </c>
      <c r="AI101">
        <v>0</v>
      </c>
      <c r="AJ101">
        <v>90</v>
      </c>
    </row>
    <row r="102" spans="2:36" x14ac:dyDescent="0.25">
      <c r="B102" t="s">
        <v>54</v>
      </c>
      <c r="C102" s="9" t="s">
        <v>48</v>
      </c>
      <c r="D102" s="14">
        <v>46143</v>
      </c>
      <c r="E102" s="2">
        <v>0</v>
      </c>
      <c r="G102">
        <v>0</v>
      </c>
      <c r="H102">
        <v>0</v>
      </c>
      <c r="J102">
        <v>0</v>
      </c>
      <c r="K102">
        <v>0</v>
      </c>
      <c r="M102">
        <v>0</v>
      </c>
      <c r="N102">
        <v>0</v>
      </c>
      <c r="P102">
        <v>0</v>
      </c>
      <c r="Q102">
        <v>8892155.2100000009</v>
      </c>
      <c r="R102">
        <v>0</v>
      </c>
      <c r="S102">
        <v>8892155.2100000009</v>
      </c>
      <c r="T102">
        <v>5759143.3000000007</v>
      </c>
      <c r="U102">
        <v>0</v>
      </c>
      <c r="V102">
        <v>5759143.3000000007</v>
      </c>
      <c r="W102">
        <v>7924419.3700000001</v>
      </c>
      <c r="X102">
        <v>0</v>
      </c>
      <c r="Y102">
        <v>7924419.3700000001</v>
      </c>
      <c r="Z102">
        <v>9625342.9500000011</v>
      </c>
      <c r="AA102">
        <v>0</v>
      </c>
      <c r="AB102">
        <v>9625342.9500000011</v>
      </c>
      <c r="AC102">
        <v>15411.03</v>
      </c>
      <c r="AD102">
        <v>0</v>
      </c>
      <c r="AE102">
        <v>0</v>
      </c>
      <c r="AF102">
        <v>15411.03</v>
      </c>
      <c r="AG102">
        <v>90</v>
      </c>
      <c r="AH102">
        <v>0</v>
      </c>
      <c r="AI102">
        <v>0</v>
      </c>
      <c r="AJ102">
        <v>90</v>
      </c>
    </row>
    <row r="103" spans="2:36" x14ac:dyDescent="0.25">
      <c r="B103" t="s">
        <v>54</v>
      </c>
      <c r="C103" s="9" t="s">
        <v>49</v>
      </c>
      <c r="D103" s="14">
        <v>46174</v>
      </c>
      <c r="E103" s="2">
        <v>0</v>
      </c>
      <c r="G103">
        <v>0</v>
      </c>
      <c r="H103">
        <v>0</v>
      </c>
      <c r="J103">
        <v>0</v>
      </c>
      <c r="K103">
        <v>0</v>
      </c>
      <c r="M103">
        <v>0</v>
      </c>
      <c r="N103">
        <v>0</v>
      </c>
      <c r="P103">
        <v>0</v>
      </c>
      <c r="Q103">
        <v>8892155.2100000009</v>
      </c>
      <c r="R103">
        <v>0</v>
      </c>
      <c r="S103">
        <v>8892155.2100000009</v>
      </c>
      <c r="T103">
        <v>5759143.3000000007</v>
      </c>
      <c r="U103">
        <v>0</v>
      </c>
      <c r="V103">
        <v>5759143.3000000007</v>
      </c>
      <c r="W103">
        <v>7924419.3700000001</v>
      </c>
      <c r="X103">
        <v>0</v>
      </c>
      <c r="Y103">
        <v>7924419.3700000001</v>
      </c>
      <c r="Z103">
        <v>9625342.9500000011</v>
      </c>
      <c r="AA103">
        <v>0</v>
      </c>
      <c r="AB103">
        <v>9625342.9500000011</v>
      </c>
      <c r="AC103">
        <v>15411.03</v>
      </c>
      <c r="AD103">
        <v>0</v>
      </c>
      <c r="AE103">
        <v>0</v>
      </c>
      <c r="AF103">
        <v>15411.03</v>
      </c>
      <c r="AG103">
        <v>90</v>
      </c>
      <c r="AH103">
        <v>0</v>
      </c>
      <c r="AI103">
        <v>0</v>
      </c>
      <c r="AJ103">
        <v>90</v>
      </c>
    </row>
    <row r="104" spans="2:36" x14ac:dyDescent="0.25">
      <c r="B104" t="s">
        <v>54</v>
      </c>
      <c r="C104" s="9" t="s">
        <v>50</v>
      </c>
      <c r="D104" s="14">
        <v>46204</v>
      </c>
      <c r="E104" s="2">
        <v>0</v>
      </c>
      <c r="G104">
        <v>0</v>
      </c>
      <c r="H104">
        <v>0</v>
      </c>
      <c r="J104">
        <v>0</v>
      </c>
      <c r="K104">
        <v>0</v>
      </c>
      <c r="M104">
        <v>0</v>
      </c>
      <c r="N104">
        <v>0</v>
      </c>
      <c r="P104">
        <v>0</v>
      </c>
      <c r="Q104">
        <v>8892155.2100000009</v>
      </c>
      <c r="R104">
        <v>0</v>
      </c>
      <c r="S104">
        <v>8892155.2100000009</v>
      </c>
      <c r="T104">
        <v>5759143.3000000007</v>
      </c>
      <c r="U104">
        <v>0</v>
      </c>
      <c r="V104">
        <v>5759143.3000000007</v>
      </c>
      <c r="W104">
        <v>7924419.3700000001</v>
      </c>
      <c r="X104">
        <v>0</v>
      </c>
      <c r="Y104">
        <v>7924419.3700000001</v>
      </c>
      <c r="Z104">
        <v>9625342.9500000011</v>
      </c>
      <c r="AA104">
        <v>0</v>
      </c>
      <c r="AB104">
        <v>9625342.9500000011</v>
      </c>
      <c r="AC104">
        <v>15411.03</v>
      </c>
      <c r="AD104">
        <v>0</v>
      </c>
      <c r="AE104">
        <v>0</v>
      </c>
      <c r="AF104">
        <v>15411.03</v>
      </c>
      <c r="AG104">
        <v>90</v>
      </c>
      <c r="AH104">
        <v>0</v>
      </c>
      <c r="AI104">
        <v>0</v>
      </c>
      <c r="AJ104">
        <v>90</v>
      </c>
    </row>
    <row r="105" spans="2:36" x14ac:dyDescent="0.25">
      <c r="B105" t="s">
        <v>54</v>
      </c>
      <c r="C105" s="9" t="s">
        <v>51</v>
      </c>
      <c r="D105" s="14">
        <v>46235</v>
      </c>
      <c r="E105" s="2">
        <v>0</v>
      </c>
      <c r="G105">
        <v>0</v>
      </c>
      <c r="H105">
        <v>0</v>
      </c>
      <c r="J105">
        <v>0</v>
      </c>
      <c r="K105">
        <v>0</v>
      </c>
      <c r="M105">
        <v>0</v>
      </c>
      <c r="N105">
        <v>0</v>
      </c>
      <c r="P105">
        <v>0</v>
      </c>
      <c r="Q105">
        <v>8892155.2100000009</v>
      </c>
      <c r="R105">
        <v>0</v>
      </c>
      <c r="S105">
        <v>8892155.2100000009</v>
      </c>
      <c r="T105">
        <v>5759143.3000000007</v>
      </c>
      <c r="U105">
        <v>0</v>
      </c>
      <c r="V105">
        <v>5759143.3000000007</v>
      </c>
      <c r="W105">
        <v>7924419.3700000001</v>
      </c>
      <c r="X105">
        <v>0</v>
      </c>
      <c r="Y105">
        <v>7924419.3700000001</v>
      </c>
      <c r="Z105">
        <v>9625342.9500000011</v>
      </c>
      <c r="AA105">
        <v>0</v>
      </c>
      <c r="AB105">
        <v>9625342.9500000011</v>
      </c>
      <c r="AC105">
        <v>15411.03</v>
      </c>
      <c r="AD105">
        <v>0</v>
      </c>
      <c r="AE105">
        <v>0</v>
      </c>
      <c r="AF105">
        <v>15411.03</v>
      </c>
      <c r="AG105">
        <v>90</v>
      </c>
      <c r="AH105">
        <v>0</v>
      </c>
      <c r="AI105">
        <v>0</v>
      </c>
      <c r="AJ105">
        <v>90</v>
      </c>
    </row>
    <row r="106" spans="2:36" x14ac:dyDescent="0.25">
      <c r="B106" t="s">
        <v>55</v>
      </c>
      <c r="C106" s="9" t="s">
        <v>28</v>
      </c>
      <c r="D106" s="14">
        <v>45536</v>
      </c>
      <c r="E106" s="2">
        <v>0</v>
      </c>
      <c r="G106">
        <v>0</v>
      </c>
      <c r="H106">
        <v>0</v>
      </c>
      <c r="J106">
        <v>0</v>
      </c>
      <c r="K106">
        <v>0</v>
      </c>
      <c r="M106">
        <v>0</v>
      </c>
      <c r="N106">
        <v>284589.8</v>
      </c>
      <c r="P106">
        <v>284589.8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284589.8</v>
      </c>
      <c r="AA106">
        <v>0</v>
      </c>
      <c r="AB106">
        <v>284589.8</v>
      </c>
      <c r="AC106">
        <v>325.60000000000002</v>
      </c>
      <c r="AD106">
        <v>0</v>
      </c>
      <c r="AE106">
        <v>0</v>
      </c>
      <c r="AF106">
        <v>325.60000000000002</v>
      </c>
      <c r="AG106">
        <v>325.60000000000002</v>
      </c>
      <c r="AH106">
        <v>0</v>
      </c>
      <c r="AI106">
        <v>0</v>
      </c>
      <c r="AJ106">
        <v>325.60000000000002</v>
      </c>
    </row>
    <row r="107" spans="2:36" x14ac:dyDescent="0.25">
      <c r="B107" t="s">
        <v>55</v>
      </c>
      <c r="C107" s="9" t="s">
        <v>29</v>
      </c>
      <c r="D107" s="14">
        <v>45566</v>
      </c>
      <c r="E107" s="2">
        <v>267549.42</v>
      </c>
      <c r="G107">
        <v>267549.42</v>
      </c>
      <c r="H107">
        <v>302449.95</v>
      </c>
      <c r="J107">
        <v>302449.95</v>
      </c>
      <c r="K107">
        <v>304110.40000000002</v>
      </c>
      <c r="M107">
        <v>304110.40000000002</v>
      </c>
      <c r="N107">
        <v>279891.78000000003</v>
      </c>
      <c r="P107">
        <v>279891.78000000003</v>
      </c>
      <c r="Q107">
        <v>267549.42</v>
      </c>
      <c r="R107">
        <v>0</v>
      </c>
      <c r="S107">
        <v>267549.42</v>
      </c>
      <c r="T107">
        <v>302449.95</v>
      </c>
      <c r="U107">
        <v>0</v>
      </c>
      <c r="V107">
        <v>302449.95</v>
      </c>
      <c r="W107">
        <v>304110.40000000002</v>
      </c>
      <c r="X107">
        <v>0</v>
      </c>
      <c r="Y107">
        <v>304110.40000000002</v>
      </c>
      <c r="Z107">
        <v>279891.78000000003</v>
      </c>
      <c r="AA107">
        <v>0</v>
      </c>
      <c r="AB107">
        <v>279891.78000000003</v>
      </c>
      <c r="AC107">
        <v>630.29999999999995</v>
      </c>
      <c r="AD107">
        <v>0</v>
      </c>
      <c r="AE107">
        <v>0</v>
      </c>
      <c r="AF107">
        <v>630.29999999999995</v>
      </c>
      <c r="AG107">
        <v>588.29999999999995</v>
      </c>
      <c r="AH107">
        <v>0</v>
      </c>
      <c r="AI107">
        <v>0</v>
      </c>
      <c r="AJ107">
        <v>588.29999999999995</v>
      </c>
    </row>
    <row r="108" spans="2:36" x14ac:dyDescent="0.25">
      <c r="B108" t="s">
        <v>55</v>
      </c>
      <c r="C108" s="9" t="s">
        <v>30</v>
      </c>
      <c r="D108" s="14">
        <v>45597</v>
      </c>
      <c r="E108" s="2">
        <v>267549.42</v>
      </c>
      <c r="G108">
        <v>267549.42</v>
      </c>
      <c r="H108">
        <v>247451.66</v>
      </c>
      <c r="J108">
        <v>247451.66</v>
      </c>
      <c r="K108">
        <v>284589.8</v>
      </c>
      <c r="M108">
        <v>284589.8</v>
      </c>
      <c r="N108">
        <v>246846.86</v>
      </c>
      <c r="P108">
        <v>246846.86</v>
      </c>
      <c r="Q108">
        <v>535098.84</v>
      </c>
      <c r="R108">
        <v>0</v>
      </c>
      <c r="S108">
        <v>535098.84</v>
      </c>
      <c r="T108">
        <v>549901.61</v>
      </c>
      <c r="U108">
        <v>0</v>
      </c>
      <c r="V108">
        <v>549901.61</v>
      </c>
      <c r="W108">
        <v>588700.19999999995</v>
      </c>
      <c r="X108">
        <v>0</v>
      </c>
      <c r="Y108">
        <v>588700.19999999995</v>
      </c>
      <c r="Z108">
        <v>526738.64</v>
      </c>
      <c r="AA108">
        <v>0</v>
      </c>
      <c r="AB108">
        <v>526738.64</v>
      </c>
      <c r="AC108">
        <v>929.97</v>
      </c>
      <c r="AD108">
        <v>0</v>
      </c>
      <c r="AE108">
        <v>0</v>
      </c>
      <c r="AF108">
        <v>929.97</v>
      </c>
      <c r="AG108">
        <v>588.29999999999995</v>
      </c>
      <c r="AH108">
        <v>0</v>
      </c>
      <c r="AI108">
        <v>0</v>
      </c>
      <c r="AJ108">
        <v>588.29999999999995</v>
      </c>
    </row>
    <row r="109" spans="2:36" x14ac:dyDescent="0.25">
      <c r="B109" t="s">
        <v>55</v>
      </c>
      <c r="C109" s="9" t="s">
        <v>31</v>
      </c>
      <c r="D109" s="14">
        <v>45627</v>
      </c>
      <c r="E109" s="2">
        <v>261002.08</v>
      </c>
      <c r="G109">
        <v>261002.08</v>
      </c>
      <c r="H109">
        <v>229119.15</v>
      </c>
      <c r="J109">
        <v>229119.15</v>
      </c>
      <c r="K109">
        <v>279891.78000000003</v>
      </c>
      <c r="M109">
        <v>279891.78000000003</v>
      </c>
      <c r="N109">
        <v>269397.5</v>
      </c>
      <c r="P109">
        <v>269397.5</v>
      </c>
      <c r="Q109">
        <v>796100.91999999993</v>
      </c>
      <c r="R109">
        <v>0</v>
      </c>
      <c r="S109">
        <v>796100.91999999993</v>
      </c>
      <c r="T109">
        <v>779020.76</v>
      </c>
      <c r="U109">
        <v>0</v>
      </c>
      <c r="V109">
        <v>779020.76</v>
      </c>
      <c r="W109">
        <v>868591.98</v>
      </c>
      <c r="X109">
        <v>0</v>
      </c>
      <c r="Y109">
        <v>868591.98</v>
      </c>
      <c r="Z109">
        <v>796136.14</v>
      </c>
      <c r="AA109">
        <v>0</v>
      </c>
      <c r="AB109">
        <v>796136.14</v>
      </c>
      <c r="AC109">
        <v>1194.26</v>
      </c>
      <c r="AD109">
        <v>0</v>
      </c>
      <c r="AE109">
        <v>0</v>
      </c>
      <c r="AF109">
        <v>1194.26</v>
      </c>
      <c r="AG109">
        <v>588.29999999999995</v>
      </c>
      <c r="AH109">
        <v>0</v>
      </c>
      <c r="AI109">
        <v>0</v>
      </c>
      <c r="AJ109">
        <v>588.29999999999995</v>
      </c>
    </row>
    <row r="110" spans="2:36" x14ac:dyDescent="0.25">
      <c r="B110" t="s">
        <v>55</v>
      </c>
      <c r="C110" s="9" t="s">
        <v>32</v>
      </c>
      <c r="D110" s="14">
        <v>45658</v>
      </c>
      <c r="E110" s="2">
        <v>257079.28</v>
      </c>
      <c r="G110">
        <v>257079.28</v>
      </c>
      <c r="H110">
        <v>229119.15</v>
      </c>
      <c r="J110">
        <v>229119.15</v>
      </c>
      <c r="K110">
        <v>246846.86</v>
      </c>
      <c r="M110">
        <v>246846.86</v>
      </c>
      <c r="N110">
        <v>310437.68</v>
      </c>
      <c r="P110">
        <v>310437.68</v>
      </c>
      <c r="Q110">
        <v>1053180.2</v>
      </c>
      <c r="R110">
        <v>0</v>
      </c>
      <c r="S110">
        <v>1053180.2</v>
      </c>
      <c r="T110">
        <v>1008139.91</v>
      </c>
      <c r="U110">
        <v>0</v>
      </c>
      <c r="V110">
        <v>1008139.91</v>
      </c>
      <c r="W110">
        <v>1115438.8399999999</v>
      </c>
      <c r="X110">
        <v>0</v>
      </c>
      <c r="Y110">
        <v>1115438.8399999999</v>
      </c>
      <c r="Z110">
        <v>1106573.82</v>
      </c>
      <c r="AA110">
        <v>0</v>
      </c>
      <c r="AB110">
        <v>1106573.82</v>
      </c>
      <c r="AC110">
        <v>1482.01</v>
      </c>
      <c r="AD110">
        <v>0</v>
      </c>
      <c r="AE110">
        <v>0</v>
      </c>
      <c r="AF110">
        <v>1482.01</v>
      </c>
      <c r="AG110">
        <v>588.29999999999995</v>
      </c>
      <c r="AH110">
        <v>0</v>
      </c>
      <c r="AI110">
        <v>0</v>
      </c>
      <c r="AJ110">
        <v>588.29999999999995</v>
      </c>
    </row>
    <row r="111" spans="2:36" x14ac:dyDescent="0.25">
      <c r="B111" t="s">
        <v>55</v>
      </c>
      <c r="C111" s="9" t="s">
        <v>33</v>
      </c>
      <c r="D111" s="14">
        <v>45689</v>
      </c>
      <c r="E111" s="2">
        <v>287085.56</v>
      </c>
      <c r="G111">
        <v>287085.56</v>
      </c>
      <c r="H111">
        <v>229119.15</v>
      </c>
      <c r="J111">
        <v>229119.15</v>
      </c>
      <c r="K111">
        <v>273938</v>
      </c>
      <c r="M111">
        <v>273938</v>
      </c>
      <c r="N111">
        <v>292816.15999999997</v>
      </c>
      <c r="P111">
        <v>292816.15999999997</v>
      </c>
      <c r="Q111">
        <v>1340265.76</v>
      </c>
      <c r="R111">
        <v>0</v>
      </c>
      <c r="S111">
        <v>1340265.76</v>
      </c>
      <c r="T111">
        <v>1237259.06</v>
      </c>
      <c r="U111">
        <v>0</v>
      </c>
      <c r="V111">
        <v>1237259.06</v>
      </c>
      <c r="W111">
        <v>1389376.8399999999</v>
      </c>
      <c r="X111">
        <v>0</v>
      </c>
      <c r="Y111">
        <v>1389376.8399999999</v>
      </c>
      <c r="Z111">
        <v>1399389.98</v>
      </c>
      <c r="AA111">
        <v>0</v>
      </c>
      <c r="AB111">
        <v>1399389.98</v>
      </c>
      <c r="AC111">
        <v>1808.1</v>
      </c>
      <c r="AD111">
        <v>0</v>
      </c>
      <c r="AE111">
        <v>0</v>
      </c>
      <c r="AF111">
        <v>1808.1</v>
      </c>
      <c r="AG111">
        <v>588.29999999999995</v>
      </c>
      <c r="AH111">
        <v>0</v>
      </c>
      <c r="AI111">
        <v>0</v>
      </c>
      <c r="AJ111">
        <v>588.29999999999995</v>
      </c>
    </row>
    <row r="112" spans="2:36" x14ac:dyDescent="0.25">
      <c r="B112" t="s">
        <v>55</v>
      </c>
      <c r="C112" s="9" t="s">
        <v>34</v>
      </c>
      <c r="D112" s="14">
        <v>45717</v>
      </c>
      <c r="E112" s="2">
        <v>221547.6</v>
      </c>
      <c r="G112">
        <v>221547.6</v>
      </c>
      <c r="H112">
        <v>201641.21</v>
      </c>
      <c r="J112">
        <v>201641.21</v>
      </c>
      <c r="K112">
        <v>310437.68</v>
      </c>
      <c r="M112">
        <v>310437.68</v>
      </c>
      <c r="N112">
        <v>311484.88</v>
      </c>
      <c r="P112">
        <v>311484.88</v>
      </c>
      <c r="Q112">
        <v>1561813.36</v>
      </c>
      <c r="R112">
        <v>0</v>
      </c>
      <c r="S112">
        <v>1561813.36</v>
      </c>
      <c r="T112">
        <v>1438900.27</v>
      </c>
      <c r="U112">
        <v>0</v>
      </c>
      <c r="V112">
        <v>1438900.27</v>
      </c>
      <c r="W112">
        <v>1699814.5199999998</v>
      </c>
      <c r="X112">
        <v>0</v>
      </c>
      <c r="Y112">
        <v>1699814.5199999998</v>
      </c>
      <c r="Z112">
        <v>1710874.8599999999</v>
      </c>
      <c r="AA112">
        <v>0</v>
      </c>
      <c r="AB112">
        <v>1710874.8599999999</v>
      </c>
      <c r="AC112">
        <v>2115.6799999999998</v>
      </c>
      <c r="AD112">
        <v>0</v>
      </c>
      <c r="AE112">
        <v>0</v>
      </c>
      <c r="AF112">
        <v>2115.6799999999998</v>
      </c>
      <c r="AG112">
        <v>588.29999999999995</v>
      </c>
      <c r="AH112">
        <v>0</v>
      </c>
      <c r="AI112">
        <v>0</v>
      </c>
      <c r="AJ112">
        <v>588.29999999999995</v>
      </c>
    </row>
    <row r="113" spans="2:36" x14ac:dyDescent="0.25">
      <c r="B113" t="s">
        <v>55</v>
      </c>
      <c r="C113" s="9" t="s">
        <v>35</v>
      </c>
      <c r="D113" s="14">
        <v>45748</v>
      </c>
      <c r="E113" s="2">
        <v>213104.64000000001</v>
      </c>
      <c r="G113">
        <v>213104.64000000001</v>
      </c>
      <c r="H113">
        <v>197051.96</v>
      </c>
      <c r="J113">
        <v>197051.96</v>
      </c>
      <c r="K113">
        <v>292816.15999999997</v>
      </c>
      <c r="M113">
        <v>292816.15999999997</v>
      </c>
      <c r="N113">
        <v>227432.8</v>
      </c>
      <c r="P113">
        <v>227432.8</v>
      </c>
      <c r="Q113">
        <v>1774918</v>
      </c>
      <c r="R113">
        <v>0</v>
      </c>
      <c r="S113">
        <v>1774918</v>
      </c>
      <c r="T113">
        <v>1635952.23</v>
      </c>
      <c r="U113">
        <v>0</v>
      </c>
      <c r="V113">
        <v>1635952.23</v>
      </c>
      <c r="W113">
        <v>1992630.6799999997</v>
      </c>
      <c r="X113">
        <v>0</v>
      </c>
      <c r="Y113">
        <v>1992630.6799999997</v>
      </c>
      <c r="Z113">
        <v>1938307.66</v>
      </c>
      <c r="AA113">
        <v>0</v>
      </c>
      <c r="AB113">
        <v>1938307.66</v>
      </c>
      <c r="AC113">
        <v>2442.87</v>
      </c>
      <c r="AD113">
        <v>0</v>
      </c>
      <c r="AE113">
        <v>0</v>
      </c>
      <c r="AF113">
        <v>2442.87</v>
      </c>
      <c r="AG113">
        <v>588.29999999999995</v>
      </c>
      <c r="AH113">
        <v>0</v>
      </c>
      <c r="AI113">
        <v>0</v>
      </c>
      <c r="AJ113">
        <v>588.29999999999995</v>
      </c>
    </row>
    <row r="114" spans="2:36" x14ac:dyDescent="0.25">
      <c r="B114" t="s">
        <v>55</v>
      </c>
      <c r="C114" s="9" t="s">
        <v>36</v>
      </c>
      <c r="D114" s="14">
        <v>45778</v>
      </c>
      <c r="E114" s="2">
        <v>204265.44</v>
      </c>
      <c r="G114">
        <v>204265.44</v>
      </c>
      <c r="H114">
        <v>192477.1</v>
      </c>
      <c r="J114">
        <v>192477.1</v>
      </c>
      <c r="K114">
        <v>311484.88</v>
      </c>
      <c r="M114">
        <v>311484.88</v>
      </c>
      <c r="N114">
        <v>262256.96000000002</v>
      </c>
      <c r="P114">
        <v>262256.96000000002</v>
      </c>
      <c r="Q114">
        <v>1979183.44</v>
      </c>
      <c r="R114">
        <v>0</v>
      </c>
      <c r="S114">
        <v>1979183.44</v>
      </c>
      <c r="T114">
        <v>1828429.33</v>
      </c>
      <c r="U114">
        <v>0</v>
      </c>
      <c r="V114">
        <v>1828429.33</v>
      </c>
      <c r="W114">
        <v>2304115.5599999996</v>
      </c>
      <c r="X114">
        <v>0</v>
      </c>
      <c r="Y114">
        <v>2304115.5599999996</v>
      </c>
      <c r="Z114">
        <v>2200564.62</v>
      </c>
      <c r="AA114">
        <v>0</v>
      </c>
      <c r="AB114">
        <v>2200564.62</v>
      </c>
      <c r="AC114">
        <v>2681.77</v>
      </c>
      <c r="AD114">
        <v>0</v>
      </c>
      <c r="AE114">
        <v>0</v>
      </c>
      <c r="AF114">
        <v>2681.77</v>
      </c>
      <c r="AG114">
        <v>588.29999999999995</v>
      </c>
      <c r="AH114">
        <v>0</v>
      </c>
      <c r="AI114">
        <v>0</v>
      </c>
      <c r="AJ114">
        <v>588.29999999999995</v>
      </c>
    </row>
    <row r="115" spans="2:36" x14ac:dyDescent="0.25">
      <c r="B115" t="s">
        <v>55</v>
      </c>
      <c r="C115" s="9" t="s">
        <v>37</v>
      </c>
      <c r="D115" s="14">
        <v>45809</v>
      </c>
      <c r="E115" s="2">
        <v>185886</v>
      </c>
      <c r="G115">
        <v>185886</v>
      </c>
      <c r="H115">
        <v>174148.88</v>
      </c>
      <c r="J115">
        <v>174148.88</v>
      </c>
      <c r="K115">
        <v>227432.8</v>
      </c>
      <c r="M115">
        <v>227432.8</v>
      </c>
      <c r="N115">
        <v>98217.84</v>
      </c>
      <c r="P115">
        <v>98217.84</v>
      </c>
      <c r="Q115">
        <v>2165069.44</v>
      </c>
      <c r="R115">
        <v>0</v>
      </c>
      <c r="S115">
        <v>2165069.44</v>
      </c>
      <c r="T115">
        <v>2002578.21</v>
      </c>
      <c r="U115">
        <v>0</v>
      </c>
      <c r="V115">
        <v>2002578.21</v>
      </c>
      <c r="W115">
        <v>2531548.3599999994</v>
      </c>
      <c r="X115">
        <v>0</v>
      </c>
      <c r="Y115">
        <v>2531548.3599999994</v>
      </c>
      <c r="Z115">
        <v>2298782.46</v>
      </c>
      <c r="AA115">
        <v>0</v>
      </c>
      <c r="AB115">
        <v>2298782.46</v>
      </c>
      <c r="AC115">
        <v>2957.25</v>
      </c>
      <c r="AD115">
        <v>0</v>
      </c>
      <c r="AE115">
        <v>0</v>
      </c>
      <c r="AF115">
        <v>2957.25</v>
      </c>
      <c r="AG115">
        <v>588.29999999999995</v>
      </c>
      <c r="AH115">
        <v>0</v>
      </c>
      <c r="AI115">
        <v>0</v>
      </c>
      <c r="AJ115">
        <v>588.29999999999995</v>
      </c>
    </row>
    <row r="116" spans="2:36" x14ac:dyDescent="0.25">
      <c r="B116" t="s">
        <v>55</v>
      </c>
      <c r="C116" s="9" t="s">
        <v>38</v>
      </c>
      <c r="D116" s="14">
        <v>45839</v>
      </c>
      <c r="E116" s="2">
        <v>185886</v>
      </c>
      <c r="G116">
        <v>185886</v>
      </c>
      <c r="H116">
        <v>174148.88</v>
      </c>
      <c r="J116">
        <v>174148.88</v>
      </c>
      <c r="K116">
        <v>262256.96000000002</v>
      </c>
      <c r="M116">
        <v>262256.96000000002</v>
      </c>
      <c r="N116">
        <v>102492.32</v>
      </c>
      <c r="P116">
        <v>102492.32</v>
      </c>
      <c r="Q116">
        <v>2350955.44</v>
      </c>
      <c r="R116">
        <v>0</v>
      </c>
      <c r="S116">
        <v>2350955.44</v>
      </c>
      <c r="T116">
        <v>2176727.09</v>
      </c>
      <c r="U116">
        <v>0</v>
      </c>
      <c r="V116">
        <v>2176727.09</v>
      </c>
      <c r="W116">
        <v>2793805.3199999994</v>
      </c>
      <c r="X116">
        <v>0</v>
      </c>
      <c r="Y116">
        <v>2793805.3199999994</v>
      </c>
      <c r="Z116">
        <v>2401274.7799999998</v>
      </c>
      <c r="AA116">
        <v>0</v>
      </c>
      <c r="AB116">
        <v>2401274.7799999998</v>
      </c>
      <c r="AC116">
        <v>3060.42</v>
      </c>
      <c r="AD116">
        <v>0</v>
      </c>
      <c r="AE116">
        <v>0</v>
      </c>
      <c r="AF116">
        <v>3060.42</v>
      </c>
      <c r="AG116">
        <v>588.29999999999995</v>
      </c>
      <c r="AH116">
        <v>0</v>
      </c>
      <c r="AI116">
        <v>0</v>
      </c>
      <c r="AJ116">
        <v>588.29999999999995</v>
      </c>
    </row>
    <row r="117" spans="2:36" x14ac:dyDescent="0.25">
      <c r="B117" t="s">
        <v>55</v>
      </c>
      <c r="C117" s="9" t="s">
        <v>39</v>
      </c>
      <c r="D117" s="14">
        <v>45870</v>
      </c>
      <c r="E117" s="2">
        <v>186497.22</v>
      </c>
      <c r="G117">
        <v>186497.22</v>
      </c>
      <c r="H117">
        <v>174148.88</v>
      </c>
      <c r="J117">
        <v>174148.88</v>
      </c>
      <c r="K117">
        <v>98217.84</v>
      </c>
      <c r="M117">
        <v>98217.84</v>
      </c>
      <c r="N117">
        <v>78825.600000000006</v>
      </c>
      <c r="P117">
        <v>78825.600000000006</v>
      </c>
      <c r="Q117">
        <v>2537452.66</v>
      </c>
      <c r="R117">
        <v>0</v>
      </c>
      <c r="S117">
        <v>2537452.66</v>
      </c>
      <c r="T117">
        <v>2350875.9699999997</v>
      </c>
      <c r="U117">
        <v>0</v>
      </c>
      <c r="V117">
        <v>2350875.9699999997</v>
      </c>
      <c r="W117">
        <v>2892023.1599999992</v>
      </c>
      <c r="X117">
        <v>0</v>
      </c>
      <c r="Y117">
        <v>2892023.1599999992</v>
      </c>
      <c r="Z117">
        <v>2480100.38</v>
      </c>
      <c r="AA117">
        <v>0</v>
      </c>
      <c r="AB117">
        <v>2480100.38</v>
      </c>
      <c r="AC117">
        <v>3168.08</v>
      </c>
      <c r="AD117">
        <v>0</v>
      </c>
      <c r="AE117">
        <v>0</v>
      </c>
      <c r="AF117">
        <v>3168.08</v>
      </c>
      <c r="AG117">
        <v>588.29999999999995</v>
      </c>
      <c r="AH117">
        <v>0</v>
      </c>
      <c r="AI117">
        <v>0</v>
      </c>
      <c r="AJ117">
        <v>588.29999999999995</v>
      </c>
    </row>
    <row r="118" spans="2:36" x14ac:dyDescent="0.25">
      <c r="B118" t="s">
        <v>55</v>
      </c>
      <c r="C118" s="9" t="s">
        <v>40</v>
      </c>
      <c r="D118" s="14">
        <v>45901</v>
      </c>
      <c r="E118" s="2">
        <v>176171.89</v>
      </c>
      <c r="G118">
        <v>176171.89</v>
      </c>
      <c r="H118">
        <v>174148.88</v>
      </c>
      <c r="J118">
        <v>174148.88</v>
      </c>
      <c r="K118">
        <v>102492.32</v>
      </c>
      <c r="M118">
        <v>102492.32</v>
      </c>
      <c r="N118">
        <v>118990.48</v>
      </c>
      <c r="P118">
        <v>118990.48</v>
      </c>
      <c r="Q118">
        <v>2713624.5500000003</v>
      </c>
      <c r="R118">
        <v>0</v>
      </c>
      <c r="S118">
        <v>2713624.5500000003</v>
      </c>
      <c r="T118">
        <v>2525024.8499999996</v>
      </c>
      <c r="U118">
        <v>0</v>
      </c>
      <c r="V118">
        <v>2525024.8499999996</v>
      </c>
      <c r="W118">
        <v>2994515.4799999991</v>
      </c>
      <c r="X118">
        <v>0</v>
      </c>
      <c r="Y118">
        <v>2994515.4799999991</v>
      </c>
      <c r="Z118">
        <v>2599090.86</v>
      </c>
      <c r="AA118">
        <v>0</v>
      </c>
      <c r="AB118">
        <v>2599090.86</v>
      </c>
      <c r="AC118">
        <v>3250.88</v>
      </c>
      <c r="AD118">
        <v>0</v>
      </c>
      <c r="AE118">
        <v>0</v>
      </c>
      <c r="AF118">
        <v>3250.88</v>
      </c>
      <c r="AG118">
        <v>588.29999999999995</v>
      </c>
      <c r="AH118">
        <v>0</v>
      </c>
      <c r="AI118">
        <v>0</v>
      </c>
      <c r="AJ118">
        <v>588.29999999999995</v>
      </c>
    </row>
    <row r="119" spans="2:36" x14ac:dyDescent="0.25">
      <c r="B119" t="s">
        <v>55</v>
      </c>
      <c r="C119" s="9" t="s">
        <v>41</v>
      </c>
      <c r="D119" s="14">
        <v>45931</v>
      </c>
      <c r="E119" s="2">
        <v>176171.89</v>
      </c>
      <c r="G119">
        <v>176171.89</v>
      </c>
      <c r="H119">
        <v>174148.88</v>
      </c>
      <c r="J119">
        <v>174148.88</v>
      </c>
      <c r="K119">
        <v>78825.600000000006</v>
      </c>
      <c r="M119">
        <v>78825.600000000006</v>
      </c>
      <c r="N119">
        <v>84651.839999999997</v>
      </c>
      <c r="P119">
        <v>84651.839999999997</v>
      </c>
      <c r="Q119">
        <v>2889796.4400000004</v>
      </c>
      <c r="R119">
        <v>0</v>
      </c>
      <c r="S119">
        <v>2889796.4400000004</v>
      </c>
      <c r="T119">
        <v>2699173.7299999995</v>
      </c>
      <c r="U119">
        <v>0</v>
      </c>
      <c r="V119">
        <v>2699173.7299999995</v>
      </c>
      <c r="W119">
        <v>3073341.0799999991</v>
      </c>
      <c r="X119">
        <v>0</v>
      </c>
      <c r="Y119">
        <v>3073341.0799999991</v>
      </c>
      <c r="Z119">
        <v>2683742.6999999997</v>
      </c>
      <c r="AA119">
        <v>0</v>
      </c>
      <c r="AB119">
        <v>2683742.6999999997</v>
      </c>
      <c r="AC119">
        <v>3375.87</v>
      </c>
      <c r="AD119">
        <v>0</v>
      </c>
      <c r="AE119">
        <v>0</v>
      </c>
      <c r="AF119">
        <v>3375.87</v>
      </c>
      <c r="AG119">
        <v>588.29999999999995</v>
      </c>
      <c r="AH119">
        <v>0</v>
      </c>
      <c r="AI119">
        <v>0</v>
      </c>
      <c r="AJ119">
        <v>588.29999999999995</v>
      </c>
    </row>
    <row r="120" spans="2:36" x14ac:dyDescent="0.25">
      <c r="B120" t="s">
        <v>55</v>
      </c>
      <c r="C120" s="9" t="s">
        <v>42</v>
      </c>
      <c r="D120" s="14">
        <v>45962</v>
      </c>
      <c r="E120" s="2">
        <v>160931.89000000001</v>
      </c>
      <c r="G120">
        <v>160931.89000000001</v>
      </c>
      <c r="H120">
        <v>155816.37</v>
      </c>
      <c r="J120">
        <v>155816.37</v>
      </c>
      <c r="K120">
        <v>118990.48</v>
      </c>
      <c r="M120">
        <v>118990.48</v>
      </c>
      <c r="N120">
        <v>56434.559999999998</v>
      </c>
      <c r="P120">
        <v>56434.559999999998</v>
      </c>
      <c r="Q120">
        <v>3050728.3300000005</v>
      </c>
      <c r="R120">
        <v>0</v>
      </c>
      <c r="S120">
        <v>3050728.3300000005</v>
      </c>
      <c r="T120">
        <v>2854990.0999999996</v>
      </c>
      <c r="U120">
        <v>0</v>
      </c>
      <c r="V120">
        <v>2854990.0999999996</v>
      </c>
      <c r="W120">
        <v>3192331.5599999991</v>
      </c>
      <c r="X120">
        <v>0</v>
      </c>
      <c r="Y120">
        <v>3192331.5599999991</v>
      </c>
      <c r="Z120">
        <v>2740177.26</v>
      </c>
      <c r="AA120">
        <v>0</v>
      </c>
      <c r="AB120">
        <v>2740177.26</v>
      </c>
      <c r="AC120">
        <v>3464.79</v>
      </c>
      <c r="AD120">
        <v>0</v>
      </c>
      <c r="AE120">
        <v>0</v>
      </c>
      <c r="AF120">
        <v>3464.79</v>
      </c>
      <c r="AG120">
        <v>588.29999999999995</v>
      </c>
      <c r="AH120">
        <v>0</v>
      </c>
      <c r="AI120">
        <v>0</v>
      </c>
      <c r="AJ120">
        <v>588.29999999999995</v>
      </c>
    </row>
    <row r="121" spans="2:36" x14ac:dyDescent="0.25">
      <c r="B121" t="s">
        <v>55</v>
      </c>
      <c r="C121" s="9" t="s">
        <v>43</v>
      </c>
      <c r="D121" s="14">
        <v>45992</v>
      </c>
      <c r="E121" s="2">
        <v>157642.56</v>
      </c>
      <c r="G121">
        <v>157642.56</v>
      </c>
      <c r="H121">
        <v>155816.37</v>
      </c>
      <c r="J121">
        <v>155816.37</v>
      </c>
      <c r="K121">
        <v>84651.839999999997</v>
      </c>
      <c r="M121">
        <v>84651.839999999997</v>
      </c>
      <c r="N121">
        <v>0</v>
      </c>
      <c r="P121">
        <v>0</v>
      </c>
      <c r="Q121">
        <v>3208370.8900000006</v>
      </c>
      <c r="R121">
        <v>0</v>
      </c>
      <c r="S121">
        <v>3208370.8900000006</v>
      </c>
      <c r="T121">
        <v>3010806.4699999997</v>
      </c>
      <c r="U121">
        <v>0</v>
      </c>
      <c r="V121">
        <v>3010806.4699999997</v>
      </c>
      <c r="W121">
        <v>3276983.399999999</v>
      </c>
      <c r="X121">
        <v>0</v>
      </c>
      <c r="Y121">
        <v>3276983.399999999</v>
      </c>
      <c r="Z121">
        <v>2740177.26</v>
      </c>
      <c r="AA121">
        <v>0</v>
      </c>
      <c r="AB121">
        <v>2740177.26</v>
      </c>
      <c r="AC121">
        <v>3548.77</v>
      </c>
      <c r="AD121">
        <v>0</v>
      </c>
      <c r="AE121">
        <v>0</v>
      </c>
      <c r="AF121">
        <v>3548.77</v>
      </c>
      <c r="AG121">
        <v>588.29999999999995</v>
      </c>
      <c r="AH121">
        <v>0</v>
      </c>
      <c r="AI121">
        <v>0</v>
      </c>
      <c r="AJ121">
        <v>588.29999999999995</v>
      </c>
    </row>
    <row r="122" spans="2:36" x14ac:dyDescent="0.25">
      <c r="B122" t="s">
        <v>55</v>
      </c>
      <c r="C122" s="9" t="s">
        <v>44</v>
      </c>
      <c r="D122" s="14">
        <v>46023</v>
      </c>
      <c r="E122" s="2">
        <v>141376.4</v>
      </c>
      <c r="G122">
        <v>141376.4</v>
      </c>
      <c r="H122">
        <v>137843.82999999999</v>
      </c>
      <c r="J122">
        <v>137843.82999999999</v>
      </c>
      <c r="K122">
        <v>79948.960000000006</v>
      </c>
      <c r="M122">
        <v>79948.960000000006</v>
      </c>
      <c r="N122">
        <v>0</v>
      </c>
      <c r="P122">
        <v>0</v>
      </c>
      <c r="Q122">
        <v>3349747.2900000005</v>
      </c>
      <c r="R122">
        <v>0</v>
      </c>
      <c r="S122">
        <v>3349747.2900000005</v>
      </c>
      <c r="T122">
        <v>3148650.3</v>
      </c>
      <c r="U122">
        <v>0</v>
      </c>
      <c r="V122">
        <v>3148650.3</v>
      </c>
      <c r="W122">
        <v>3356932.3599999989</v>
      </c>
      <c r="X122">
        <v>0</v>
      </c>
      <c r="Y122">
        <v>3356932.3599999989</v>
      </c>
      <c r="Z122">
        <v>2740177.26</v>
      </c>
      <c r="AA122">
        <v>0</v>
      </c>
      <c r="AB122">
        <v>2740177.26</v>
      </c>
      <c r="AC122">
        <v>3586.3</v>
      </c>
      <c r="AD122">
        <v>0</v>
      </c>
      <c r="AE122">
        <v>0</v>
      </c>
      <c r="AF122">
        <v>3586.3</v>
      </c>
      <c r="AG122">
        <v>588.29999999999995</v>
      </c>
      <c r="AH122">
        <v>0</v>
      </c>
      <c r="AI122">
        <v>0</v>
      </c>
      <c r="AJ122">
        <v>588.29999999999995</v>
      </c>
    </row>
    <row r="123" spans="2:36" x14ac:dyDescent="0.25">
      <c r="B123" t="s">
        <v>55</v>
      </c>
      <c r="C123" s="9" t="s">
        <v>45</v>
      </c>
      <c r="D123" s="14">
        <v>46054</v>
      </c>
      <c r="E123" s="2">
        <v>0</v>
      </c>
      <c r="G123">
        <v>0</v>
      </c>
      <c r="H123">
        <v>0</v>
      </c>
      <c r="J123">
        <v>0</v>
      </c>
      <c r="K123">
        <v>35728.559999999998</v>
      </c>
      <c r="M123">
        <v>35728.559999999998</v>
      </c>
      <c r="N123">
        <v>0</v>
      </c>
      <c r="P123">
        <v>0</v>
      </c>
      <c r="Q123">
        <v>3349747.2900000005</v>
      </c>
      <c r="R123">
        <v>0</v>
      </c>
      <c r="S123">
        <v>3349747.2900000005</v>
      </c>
      <c r="T123">
        <v>3148650.3</v>
      </c>
      <c r="U123">
        <v>0</v>
      </c>
      <c r="V123">
        <v>3148650.3</v>
      </c>
      <c r="W123">
        <v>3392660.919999999</v>
      </c>
      <c r="X123">
        <v>0</v>
      </c>
      <c r="Y123">
        <v>3392660.919999999</v>
      </c>
      <c r="Z123">
        <v>2740177.26</v>
      </c>
      <c r="AA123">
        <v>0</v>
      </c>
      <c r="AB123">
        <v>2740177.26</v>
      </c>
      <c r="AC123">
        <v>3586.3</v>
      </c>
      <c r="AD123">
        <v>0</v>
      </c>
      <c r="AE123">
        <v>0</v>
      </c>
      <c r="AF123">
        <v>3586.3</v>
      </c>
      <c r="AG123">
        <v>588.29999999999995</v>
      </c>
      <c r="AH123">
        <v>0</v>
      </c>
      <c r="AI123">
        <v>0</v>
      </c>
      <c r="AJ123">
        <v>588.29999999999995</v>
      </c>
    </row>
    <row r="124" spans="2:36" x14ac:dyDescent="0.25">
      <c r="B124" t="s">
        <v>55</v>
      </c>
      <c r="C124" s="9" t="s">
        <v>46</v>
      </c>
      <c r="D124" s="14">
        <v>46082</v>
      </c>
      <c r="E124" s="2">
        <v>0</v>
      </c>
      <c r="G124">
        <v>0</v>
      </c>
      <c r="H124">
        <v>0</v>
      </c>
      <c r="J124">
        <v>0</v>
      </c>
      <c r="K124">
        <v>0</v>
      </c>
      <c r="M124">
        <v>0</v>
      </c>
      <c r="N124">
        <v>0</v>
      </c>
      <c r="P124">
        <v>0</v>
      </c>
      <c r="Q124">
        <v>3349747.2900000005</v>
      </c>
      <c r="R124">
        <v>0</v>
      </c>
      <c r="S124">
        <v>3349747.2900000005</v>
      </c>
      <c r="T124">
        <v>3148650.3</v>
      </c>
      <c r="U124">
        <v>0</v>
      </c>
      <c r="V124">
        <v>3148650.3</v>
      </c>
      <c r="W124">
        <v>3392660.919999999</v>
      </c>
      <c r="X124">
        <v>0</v>
      </c>
      <c r="Y124">
        <v>3392660.919999999</v>
      </c>
      <c r="Z124">
        <v>2740177.26</v>
      </c>
      <c r="AA124">
        <v>0</v>
      </c>
      <c r="AB124">
        <v>2740177.26</v>
      </c>
      <c r="AC124">
        <v>3586.3</v>
      </c>
      <c r="AD124">
        <v>0</v>
      </c>
      <c r="AE124">
        <v>0</v>
      </c>
      <c r="AF124">
        <v>3586.3</v>
      </c>
      <c r="AG124">
        <v>588.29999999999995</v>
      </c>
      <c r="AH124">
        <v>0</v>
      </c>
      <c r="AI124">
        <v>0</v>
      </c>
      <c r="AJ124">
        <v>588.29999999999995</v>
      </c>
    </row>
    <row r="125" spans="2:36" x14ac:dyDescent="0.25">
      <c r="B125" t="s">
        <v>55</v>
      </c>
      <c r="C125" s="9" t="s">
        <v>47</v>
      </c>
      <c r="D125" s="14">
        <v>46113</v>
      </c>
      <c r="E125" s="2">
        <v>0</v>
      </c>
      <c r="G125">
        <v>0</v>
      </c>
      <c r="H125">
        <v>0</v>
      </c>
      <c r="J125">
        <v>0</v>
      </c>
      <c r="K125">
        <v>0</v>
      </c>
      <c r="M125">
        <v>0</v>
      </c>
      <c r="N125">
        <v>0</v>
      </c>
      <c r="P125">
        <v>0</v>
      </c>
      <c r="Q125">
        <v>3349747.2900000005</v>
      </c>
      <c r="R125">
        <v>0</v>
      </c>
      <c r="S125">
        <v>3349747.2900000005</v>
      </c>
      <c r="T125">
        <v>3148650.3</v>
      </c>
      <c r="U125">
        <v>0</v>
      </c>
      <c r="V125">
        <v>3148650.3</v>
      </c>
      <c r="W125">
        <v>3392660.919999999</v>
      </c>
      <c r="X125">
        <v>0</v>
      </c>
      <c r="Y125">
        <v>3392660.919999999</v>
      </c>
      <c r="Z125">
        <v>2740177.26</v>
      </c>
      <c r="AA125">
        <v>0</v>
      </c>
      <c r="AB125">
        <v>2740177.26</v>
      </c>
      <c r="AC125">
        <v>3586.3</v>
      </c>
      <c r="AD125">
        <v>0</v>
      </c>
      <c r="AE125">
        <v>0</v>
      </c>
      <c r="AF125">
        <v>3586.3</v>
      </c>
      <c r="AG125">
        <v>588.29999999999995</v>
      </c>
      <c r="AH125">
        <v>0</v>
      </c>
      <c r="AI125">
        <v>0</v>
      </c>
      <c r="AJ125">
        <v>588.29999999999995</v>
      </c>
    </row>
    <row r="126" spans="2:36" x14ac:dyDescent="0.25">
      <c r="B126" t="s">
        <v>55</v>
      </c>
      <c r="C126" s="9" t="s">
        <v>48</v>
      </c>
      <c r="D126" s="14">
        <v>46143</v>
      </c>
      <c r="E126" s="2">
        <v>0</v>
      </c>
      <c r="G126">
        <v>0</v>
      </c>
      <c r="H126">
        <v>0</v>
      </c>
      <c r="J126">
        <v>0</v>
      </c>
      <c r="K126">
        <v>0</v>
      </c>
      <c r="M126">
        <v>0</v>
      </c>
      <c r="N126">
        <v>0</v>
      </c>
      <c r="P126">
        <v>0</v>
      </c>
      <c r="Q126">
        <v>3349747.2900000005</v>
      </c>
      <c r="R126">
        <v>0</v>
      </c>
      <c r="S126">
        <v>3349747.2900000005</v>
      </c>
      <c r="T126">
        <v>3148650.3</v>
      </c>
      <c r="U126">
        <v>0</v>
      </c>
      <c r="V126">
        <v>3148650.3</v>
      </c>
      <c r="W126">
        <v>3392660.919999999</v>
      </c>
      <c r="X126">
        <v>0</v>
      </c>
      <c r="Y126">
        <v>3392660.919999999</v>
      </c>
      <c r="Z126">
        <v>2740177.26</v>
      </c>
      <c r="AA126">
        <v>0</v>
      </c>
      <c r="AB126">
        <v>2740177.26</v>
      </c>
      <c r="AC126">
        <v>3586.3</v>
      </c>
      <c r="AD126">
        <v>0</v>
      </c>
      <c r="AE126">
        <v>0</v>
      </c>
      <c r="AF126">
        <v>3586.3</v>
      </c>
      <c r="AG126">
        <v>588.29999999999995</v>
      </c>
      <c r="AH126">
        <v>0</v>
      </c>
      <c r="AI126">
        <v>0</v>
      </c>
      <c r="AJ126">
        <v>588.29999999999995</v>
      </c>
    </row>
    <row r="127" spans="2:36" x14ac:dyDescent="0.25">
      <c r="B127" t="s">
        <v>55</v>
      </c>
      <c r="C127" s="9" t="s">
        <v>49</v>
      </c>
      <c r="D127" s="14">
        <v>46174</v>
      </c>
      <c r="E127" s="2">
        <v>0</v>
      </c>
      <c r="G127">
        <v>0</v>
      </c>
      <c r="H127">
        <v>0</v>
      </c>
      <c r="J127">
        <v>0</v>
      </c>
      <c r="K127">
        <v>0</v>
      </c>
      <c r="M127">
        <v>0</v>
      </c>
      <c r="N127">
        <v>0</v>
      </c>
      <c r="P127">
        <v>0</v>
      </c>
      <c r="Q127">
        <v>3349747.2900000005</v>
      </c>
      <c r="R127">
        <v>0</v>
      </c>
      <c r="S127">
        <v>3349747.2900000005</v>
      </c>
      <c r="T127">
        <v>3148650.3</v>
      </c>
      <c r="U127">
        <v>0</v>
      </c>
      <c r="V127">
        <v>3148650.3</v>
      </c>
      <c r="W127">
        <v>3392660.919999999</v>
      </c>
      <c r="X127">
        <v>0</v>
      </c>
      <c r="Y127">
        <v>3392660.919999999</v>
      </c>
      <c r="Z127">
        <v>2740177.26</v>
      </c>
      <c r="AA127">
        <v>0</v>
      </c>
      <c r="AB127">
        <v>2740177.26</v>
      </c>
      <c r="AC127">
        <v>3586.3</v>
      </c>
      <c r="AD127">
        <v>0</v>
      </c>
      <c r="AE127">
        <v>0</v>
      </c>
      <c r="AF127">
        <v>3586.3</v>
      </c>
      <c r="AG127">
        <v>588.29999999999995</v>
      </c>
      <c r="AH127">
        <v>0</v>
      </c>
      <c r="AI127">
        <v>0</v>
      </c>
      <c r="AJ127">
        <v>588.29999999999995</v>
      </c>
    </row>
    <row r="128" spans="2:36" x14ac:dyDescent="0.25">
      <c r="B128" t="s">
        <v>55</v>
      </c>
      <c r="C128" s="9" t="s">
        <v>50</v>
      </c>
      <c r="D128" s="14">
        <v>46204</v>
      </c>
      <c r="E128" s="2">
        <v>0</v>
      </c>
      <c r="G128">
        <v>0</v>
      </c>
      <c r="H128">
        <v>0</v>
      </c>
      <c r="J128">
        <v>0</v>
      </c>
      <c r="K128">
        <v>0</v>
      </c>
      <c r="M128">
        <v>0</v>
      </c>
      <c r="N128">
        <v>0</v>
      </c>
      <c r="P128">
        <v>0</v>
      </c>
      <c r="Q128">
        <v>3349747.2900000005</v>
      </c>
      <c r="R128">
        <v>0</v>
      </c>
      <c r="S128">
        <v>3349747.2900000005</v>
      </c>
      <c r="T128">
        <v>3148650.3</v>
      </c>
      <c r="U128">
        <v>0</v>
      </c>
      <c r="V128">
        <v>3148650.3</v>
      </c>
      <c r="W128">
        <v>3392660.919999999</v>
      </c>
      <c r="X128">
        <v>0</v>
      </c>
      <c r="Y128">
        <v>3392660.919999999</v>
      </c>
      <c r="Z128">
        <v>2740177.26</v>
      </c>
      <c r="AA128">
        <v>0</v>
      </c>
      <c r="AB128">
        <v>2740177.26</v>
      </c>
      <c r="AC128">
        <v>3586.3</v>
      </c>
      <c r="AD128">
        <v>0</v>
      </c>
      <c r="AE128">
        <v>0</v>
      </c>
      <c r="AF128">
        <v>3586.3</v>
      </c>
      <c r="AG128">
        <v>588.29999999999995</v>
      </c>
      <c r="AH128">
        <v>0</v>
      </c>
      <c r="AI128">
        <v>0</v>
      </c>
      <c r="AJ128">
        <v>588.29999999999995</v>
      </c>
    </row>
    <row r="129" spans="2:36" x14ac:dyDescent="0.25">
      <c r="B129" t="s">
        <v>55</v>
      </c>
      <c r="C129" s="9" t="s">
        <v>51</v>
      </c>
      <c r="D129" s="14">
        <v>46235</v>
      </c>
      <c r="E129" s="2">
        <v>0</v>
      </c>
      <c r="G129">
        <v>0</v>
      </c>
      <c r="H129">
        <v>0</v>
      </c>
      <c r="J129">
        <v>0</v>
      </c>
      <c r="K129">
        <v>0</v>
      </c>
      <c r="M129">
        <v>0</v>
      </c>
      <c r="N129">
        <v>0</v>
      </c>
      <c r="P129">
        <v>0</v>
      </c>
      <c r="Q129">
        <v>3349747.2900000005</v>
      </c>
      <c r="R129">
        <v>0</v>
      </c>
      <c r="S129">
        <v>3349747.2900000005</v>
      </c>
      <c r="T129">
        <v>3148650.3</v>
      </c>
      <c r="U129">
        <v>0</v>
      </c>
      <c r="V129">
        <v>3148650.3</v>
      </c>
      <c r="W129">
        <v>3392660.919999999</v>
      </c>
      <c r="X129">
        <v>0</v>
      </c>
      <c r="Y129">
        <v>3392660.919999999</v>
      </c>
      <c r="Z129">
        <v>2740177.26</v>
      </c>
      <c r="AA129">
        <v>0</v>
      </c>
      <c r="AB129">
        <v>2740177.26</v>
      </c>
      <c r="AC129">
        <v>3586.3</v>
      </c>
      <c r="AD129">
        <v>0</v>
      </c>
      <c r="AE129">
        <v>0</v>
      </c>
      <c r="AF129">
        <v>3586.3</v>
      </c>
      <c r="AG129">
        <v>588.29999999999995</v>
      </c>
      <c r="AH129">
        <v>0</v>
      </c>
      <c r="AI129">
        <v>0</v>
      </c>
      <c r="AJ129">
        <v>588.29999999999995</v>
      </c>
    </row>
    <row r="130" spans="2:36" x14ac:dyDescent="0.25">
      <c r="B130" t="s">
        <v>56</v>
      </c>
      <c r="C130" s="9" t="s">
        <v>67</v>
      </c>
      <c r="D130" s="10"/>
      <c r="E130" s="2">
        <v>0</v>
      </c>
      <c r="G130">
        <v>0</v>
      </c>
      <c r="H130">
        <v>0</v>
      </c>
      <c r="J130">
        <v>0</v>
      </c>
      <c r="K130">
        <v>0</v>
      </c>
      <c r="M130">
        <v>0</v>
      </c>
      <c r="N130">
        <v>0</v>
      </c>
      <c r="P130">
        <v>0</v>
      </c>
      <c r="Q130">
        <v>0</v>
      </c>
      <c r="R130">
        <v>0</v>
      </c>
      <c r="S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2:36" x14ac:dyDescent="0.25">
      <c r="B131" t="s">
        <v>56</v>
      </c>
      <c r="C131" s="9" t="s">
        <v>67</v>
      </c>
      <c r="D131" s="10"/>
      <c r="E131" s="2">
        <v>0</v>
      </c>
      <c r="G131">
        <v>0</v>
      </c>
      <c r="H131">
        <v>0</v>
      </c>
      <c r="J131">
        <v>0</v>
      </c>
      <c r="K131">
        <v>0</v>
      </c>
      <c r="M131">
        <v>0</v>
      </c>
      <c r="N131">
        <v>0</v>
      </c>
      <c r="P131">
        <v>0</v>
      </c>
      <c r="Q131">
        <v>0</v>
      </c>
      <c r="R131">
        <v>0</v>
      </c>
      <c r="S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2:36" x14ac:dyDescent="0.25">
      <c r="B132" t="s">
        <v>56</v>
      </c>
      <c r="C132" s="9" t="s">
        <v>67</v>
      </c>
      <c r="D132" s="10"/>
      <c r="E132" s="2">
        <v>0</v>
      </c>
      <c r="G132">
        <v>0</v>
      </c>
      <c r="H132">
        <v>0</v>
      </c>
      <c r="J132">
        <v>0</v>
      </c>
      <c r="K132">
        <v>0</v>
      </c>
      <c r="M132">
        <v>0</v>
      </c>
      <c r="N132">
        <v>0</v>
      </c>
      <c r="P132">
        <v>0</v>
      </c>
      <c r="Q132">
        <v>0</v>
      </c>
      <c r="R132">
        <v>0</v>
      </c>
      <c r="S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2:36" x14ac:dyDescent="0.25">
      <c r="B133" t="s">
        <v>56</v>
      </c>
      <c r="C133" s="9" t="s">
        <v>67</v>
      </c>
      <c r="D133" s="10"/>
      <c r="E133" s="2">
        <v>0</v>
      </c>
      <c r="G133">
        <v>0</v>
      </c>
      <c r="H133">
        <v>0</v>
      </c>
      <c r="J133">
        <v>0</v>
      </c>
      <c r="K133">
        <v>0</v>
      </c>
      <c r="M133">
        <v>0</v>
      </c>
      <c r="N133">
        <v>0</v>
      </c>
      <c r="P133">
        <v>0</v>
      </c>
      <c r="Q133">
        <v>0</v>
      </c>
      <c r="R133">
        <v>0</v>
      </c>
      <c r="S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2:36" x14ac:dyDescent="0.25">
      <c r="B134" t="s">
        <v>56</v>
      </c>
      <c r="C134" s="9" t="s">
        <v>67</v>
      </c>
      <c r="D134" s="10"/>
      <c r="E134" s="2">
        <v>0</v>
      </c>
      <c r="G134">
        <v>0</v>
      </c>
      <c r="H134">
        <v>0</v>
      </c>
      <c r="J134">
        <v>0</v>
      </c>
      <c r="K134">
        <v>0</v>
      </c>
      <c r="M134">
        <v>0</v>
      </c>
      <c r="N134">
        <v>0</v>
      </c>
      <c r="P134">
        <v>0</v>
      </c>
      <c r="Q134">
        <v>0</v>
      </c>
      <c r="R134">
        <v>0</v>
      </c>
      <c r="S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2:36" x14ac:dyDescent="0.25">
      <c r="B135" t="s">
        <v>56</v>
      </c>
      <c r="C135" s="9" t="s">
        <v>67</v>
      </c>
      <c r="D135" s="10"/>
      <c r="E135" s="2">
        <v>0</v>
      </c>
      <c r="G135">
        <v>0</v>
      </c>
      <c r="H135">
        <v>0</v>
      </c>
      <c r="J135">
        <v>0</v>
      </c>
      <c r="K135">
        <v>0</v>
      </c>
      <c r="M135">
        <v>0</v>
      </c>
      <c r="N135">
        <v>0</v>
      </c>
      <c r="P135">
        <v>0</v>
      </c>
      <c r="Q135">
        <v>0</v>
      </c>
      <c r="R135">
        <v>0</v>
      </c>
      <c r="S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2:36" x14ac:dyDescent="0.25">
      <c r="B136" t="s">
        <v>56</v>
      </c>
      <c r="C136" s="9" t="s">
        <v>67</v>
      </c>
      <c r="D136" s="10"/>
      <c r="E136" s="2">
        <v>0</v>
      </c>
      <c r="G136">
        <v>0</v>
      </c>
      <c r="H136">
        <v>0</v>
      </c>
      <c r="J136">
        <v>0</v>
      </c>
      <c r="K136">
        <v>0</v>
      </c>
      <c r="M136">
        <v>0</v>
      </c>
      <c r="N136">
        <v>0</v>
      </c>
      <c r="P136">
        <v>0</v>
      </c>
      <c r="Q136">
        <v>0</v>
      </c>
      <c r="R136">
        <v>0</v>
      </c>
      <c r="S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2:36" x14ac:dyDescent="0.25">
      <c r="B137" t="s">
        <v>56</v>
      </c>
      <c r="C137" s="9" t="s">
        <v>67</v>
      </c>
      <c r="D137" s="10"/>
      <c r="E137" s="2">
        <v>0</v>
      </c>
      <c r="G137">
        <v>0</v>
      </c>
      <c r="H137">
        <v>0</v>
      </c>
      <c r="J137">
        <v>0</v>
      </c>
      <c r="K137">
        <v>0</v>
      </c>
      <c r="M137">
        <v>0</v>
      </c>
      <c r="N137">
        <v>0</v>
      </c>
      <c r="P137">
        <v>0</v>
      </c>
      <c r="Q137">
        <v>0</v>
      </c>
      <c r="R137">
        <v>0</v>
      </c>
      <c r="S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2:36" x14ac:dyDescent="0.25">
      <c r="B138" t="s">
        <v>56</v>
      </c>
      <c r="C138" t="s">
        <v>67</v>
      </c>
      <c r="E138">
        <v>0</v>
      </c>
      <c r="G138">
        <v>0</v>
      </c>
      <c r="H138">
        <v>0</v>
      </c>
      <c r="J138">
        <v>0</v>
      </c>
      <c r="K138">
        <v>0</v>
      </c>
      <c r="M138">
        <v>0</v>
      </c>
      <c r="N138">
        <v>0</v>
      </c>
      <c r="P138">
        <v>0</v>
      </c>
      <c r="Q138">
        <v>0</v>
      </c>
      <c r="R138">
        <v>0</v>
      </c>
      <c r="S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2:36" x14ac:dyDescent="0.25">
      <c r="B139" t="s">
        <v>56</v>
      </c>
      <c r="C139" t="s">
        <v>67</v>
      </c>
      <c r="E139">
        <v>0</v>
      </c>
      <c r="G139">
        <v>0</v>
      </c>
      <c r="H139">
        <v>0</v>
      </c>
      <c r="J139">
        <v>0</v>
      </c>
      <c r="K139">
        <v>0</v>
      </c>
      <c r="M139">
        <v>0</v>
      </c>
      <c r="N139">
        <v>0</v>
      </c>
      <c r="P139">
        <v>0</v>
      </c>
      <c r="Q139">
        <v>0</v>
      </c>
      <c r="R139">
        <v>0</v>
      </c>
      <c r="S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2:36" x14ac:dyDescent="0.25">
      <c r="B140" t="s">
        <v>56</v>
      </c>
      <c r="C140" t="s">
        <v>67</v>
      </c>
      <c r="E140">
        <v>0</v>
      </c>
      <c r="G140">
        <v>0</v>
      </c>
      <c r="H140">
        <v>0</v>
      </c>
      <c r="J140">
        <v>0</v>
      </c>
      <c r="K140">
        <v>0</v>
      </c>
      <c r="M140">
        <v>0</v>
      </c>
      <c r="N140">
        <v>0</v>
      </c>
      <c r="P140">
        <v>0</v>
      </c>
      <c r="Q140">
        <v>0</v>
      </c>
      <c r="R140">
        <v>0</v>
      </c>
      <c r="S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2:36" x14ac:dyDescent="0.25">
      <c r="B141" t="s">
        <v>56</v>
      </c>
      <c r="C141" t="s">
        <v>67</v>
      </c>
      <c r="E141">
        <v>0</v>
      </c>
      <c r="G141">
        <v>0</v>
      </c>
      <c r="H141">
        <v>0</v>
      </c>
      <c r="J141">
        <v>0</v>
      </c>
      <c r="K141">
        <v>0</v>
      </c>
      <c r="M141">
        <v>0</v>
      </c>
      <c r="N141">
        <v>0</v>
      </c>
      <c r="P141">
        <v>0</v>
      </c>
      <c r="Q141">
        <v>0</v>
      </c>
      <c r="R141">
        <v>0</v>
      </c>
      <c r="S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2:36" x14ac:dyDescent="0.25">
      <c r="B142" t="s">
        <v>56</v>
      </c>
      <c r="C142" t="s">
        <v>67</v>
      </c>
      <c r="E142">
        <v>0</v>
      </c>
      <c r="G142">
        <v>0</v>
      </c>
      <c r="H142">
        <v>0</v>
      </c>
      <c r="J142">
        <v>0</v>
      </c>
      <c r="K142">
        <v>0</v>
      </c>
      <c r="M142">
        <v>0</v>
      </c>
      <c r="N142">
        <v>0</v>
      </c>
      <c r="P142">
        <v>0</v>
      </c>
      <c r="Q142">
        <v>0</v>
      </c>
      <c r="R142">
        <v>0</v>
      </c>
      <c r="S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2:36" x14ac:dyDescent="0.25">
      <c r="B143" t="s">
        <v>56</v>
      </c>
      <c r="C143" t="s">
        <v>67</v>
      </c>
      <c r="E143">
        <v>0</v>
      </c>
      <c r="G143">
        <v>0</v>
      </c>
      <c r="H143">
        <v>0</v>
      </c>
      <c r="J143">
        <v>0</v>
      </c>
      <c r="K143">
        <v>0</v>
      </c>
      <c r="M143">
        <v>0</v>
      </c>
      <c r="N143">
        <v>0</v>
      </c>
      <c r="P143">
        <v>0</v>
      </c>
      <c r="Q143">
        <v>0</v>
      </c>
      <c r="R143">
        <v>0</v>
      </c>
      <c r="S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2:36" x14ac:dyDescent="0.25">
      <c r="B144" t="s">
        <v>56</v>
      </c>
      <c r="C144" t="s">
        <v>67</v>
      </c>
      <c r="E144">
        <v>0</v>
      </c>
      <c r="G144">
        <v>0</v>
      </c>
      <c r="H144">
        <v>0</v>
      </c>
      <c r="J144">
        <v>0</v>
      </c>
      <c r="K144">
        <v>0</v>
      </c>
      <c r="M144">
        <v>0</v>
      </c>
      <c r="N144">
        <v>0</v>
      </c>
      <c r="P144">
        <v>0</v>
      </c>
      <c r="Q144">
        <v>0</v>
      </c>
      <c r="R144">
        <v>0</v>
      </c>
      <c r="S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2:36" x14ac:dyDescent="0.25">
      <c r="B145" t="s">
        <v>56</v>
      </c>
      <c r="C145" t="s">
        <v>67</v>
      </c>
      <c r="E145">
        <v>0</v>
      </c>
      <c r="G145">
        <v>0</v>
      </c>
      <c r="H145">
        <v>0</v>
      </c>
      <c r="J145">
        <v>0</v>
      </c>
      <c r="K145">
        <v>0</v>
      </c>
      <c r="M145">
        <v>0</v>
      </c>
      <c r="N145">
        <v>0</v>
      </c>
      <c r="P145">
        <v>0</v>
      </c>
      <c r="Q145">
        <v>0</v>
      </c>
      <c r="R145">
        <v>0</v>
      </c>
      <c r="S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2:36" x14ac:dyDescent="0.25">
      <c r="B146" t="s">
        <v>56</v>
      </c>
      <c r="C146" t="s">
        <v>67</v>
      </c>
      <c r="E146">
        <v>0</v>
      </c>
      <c r="G146">
        <v>0</v>
      </c>
      <c r="H146">
        <v>0</v>
      </c>
      <c r="J146">
        <v>0</v>
      </c>
      <c r="K146">
        <v>0</v>
      </c>
      <c r="M146">
        <v>0</v>
      </c>
      <c r="N146">
        <v>0</v>
      </c>
      <c r="P146">
        <v>0</v>
      </c>
      <c r="Q146">
        <v>0</v>
      </c>
      <c r="R146">
        <v>0</v>
      </c>
      <c r="S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2:36" x14ac:dyDescent="0.25">
      <c r="B147" t="s">
        <v>56</v>
      </c>
      <c r="C147" t="s">
        <v>67</v>
      </c>
      <c r="E147">
        <v>0</v>
      </c>
      <c r="G147">
        <v>0</v>
      </c>
      <c r="H147">
        <v>0</v>
      </c>
      <c r="J147">
        <v>0</v>
      </c>
      <c r="K147">
        <v>0</v>
      </c>
      <c r="M147">
        <v>0</v>
      </c>
      <c r="N147">
        <v>0</v>
      </c>
      <c r="P147">
        <v>0</v>
      </c>
      <c r="Q147">
        <v>0</v>
      </c>
      <c r="R147">
        <v>0</v>
      </c>
      <c r="S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2:36" x14ac:dyDescent="0.25">
      <c r="B148" t="s">
        <v>56</v>
      </c>
      <c r="C148" t="s">
        <v>67</v>
      </c>
      <c r="E148">
        <v>0</v>
      </c>
      <c r="G148">
        <v>0</v>
      </c>
      <c r="H148">
        <v>0</v>
      </c>
      <c r="J148">
        <v>0</v>
      </c>
      <c r="K148">
        <v>0</v>
      </c>
      <c r="M148">
        <v>0</v>
      </c>
      <c r="N148">
        <v>0</v>
      </c>
      <c r="P148">
        <v>0</v>
      </c>
      <c r="Q148">
        <v>0</v>
      </c>
      <c r="R148">
        <v>0</v>
      </c>
      <c r="S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2:36" x14ac:dyDescent="0.25">
      <c r="B149" t="s">
        <v>56</v>
      </c>
      <c r="C149" t="s">
        <v>67</v>
      </c>
      <c r="E149">
        <v>0</v>
      </c>
      <c r="G149">
        <v>0</v>
      </c>
      <c r="H149">
        <v>0</v>
      </c>
      <c r="J149">
        <v>0</v>
      </c>
      <c r="K149">
        <v>0</v>
      </c>
      <c r="M149">
        <v>0</v>
      </c>
      <c r="N149">
        <v>0</v>
      </c>
      <c r="P149">
        <v>0</v>
      </c>
      <c r="Q149">
        <v>0</v>
      </c>
      <c r="R149">
        <v>0</v>
      </c>
      <c r="S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2:36" x14ac:dyDescent="0.25">
      <c r="B150" t="s">
        <v>56</v>
      </c>
      <c r="C150" t="s">
        <v>67</v>
      </c>
      <c r="E150">
        <v>0</v>
      </c>
      <c r="G150">
        <v>0</v>
      </c>
      <c r="H150">
        <v>0</v>
      </c>
      <c r="J150">
        <v>0</v>
      </c>
      <c r="K150">
        <v>0</v>
      </c>
      <c r="M150">
        <v>0</v>
      </c>
      <c r="N150">
        <v>0</v>
      </c>
      <c r="P150">
        <v>0</v>
      </c>
      <c r="Q150">
        <v>0</v>
      </c>
      <c r="R150">
        <v>0</v>
      </c>
      <c r="S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2:36" x14ac:dyDescent="0.25">
      <c r="B151" t="s">
        <v>56</v>
      </c>
      <c r="C151" t="s">
        <v>67</v>
      </c>
      <c r="E151">
        <v>0</v>
      </c>
      <c r="G151">
        <v>0</v>
      </c>
      <c r="H151">
        <v>0</v>
      </c>
      <c r="J151">
        <v>0</v>
      </c>
      <c r="K151">
        <v>0</v>
      </c>
      <c r="M151">
        <v>0</v>
      </c>
      <c r="N151">
        <v>0</v>
      </c>
      <c r="P151">
        <v>0</v>
      </c>
      <c r="Q151">
        <v>0</v>
      </c>
      <c r="R151">
        <v>0</v>
      </c>
      <c r="S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2:36" x14ac:dyDescent="0.25">
      <c r="B152" t="s">
        <v>56</v>
      </c>
      <c r="C152" t="s">
        <v>67</v>
      </c>
      <c r="E152">
        <v>0</v>
      </c>
      <c r="G152">
        <v>0</v>
      </c>
      <c r="H152">
        <v>0</v>
      </c>
      <c r="J152">
        <v>0</v>
      </c>
      <c r="K152">
        <v>0</v>
      </c>
      <c r="M152">
        <v>0</v>
      </c>
      <c r="N152">
        <v>0</v>
      </c>
      <c r="P152">
        <v>0</v>
      </c>
      <c r="Q152">
        <v>0</v>
      </c>
      <c r="R152">
        <v>0</v>
      </c>
      <c r="S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2:36" x14ac:dyDescent="0.25">
      <c r="B153" t="s">
        <v>56</v>
      </c>
      <c r="C153" t="s">
        <v>67</v>
      </c>
      <c r="E153">
        <v>0</v>
      </c>
      <c r="G153">
        <v>0</v>
      </c>
      <c r="H153">
        <v>0</v>
      </c>
      <c r="J153">
        <v>0</v>
      </c>
      <c r="K153">
        <v>0</v>
      </c>
      <c r="M153">
        <v>0</v>
      </c>
      <c r="N153">
        <v>0</v>
      </c>
      <c r="P153">
        <v>0</v>
      </c>
      <c r="Q153">
        <v>0</v>
      </c>
      <c r="R153">
        <v>0</v>
      </c>
      <c r="S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2:36" x14ac:dyDescent="0.25">
      <c r="B154" t="s">
        <v>57</v>
      </c>
      <c r="C154" t="s">
        <v>67</v>
      </c>
      <c r="E154">
        <v>0</v>
      </c>
      <c r="G154">
        <v>0</v>
      </c>
      <c r="H154">
        <v>0</v>
      </c>
      <c r="J154">
        <v>0</v>
      </c>
      <c r="K154">
        <v>0</v>
      </c>
      <c r="M154">
        <v>0</v>
      </c>
      <c r="N154">
        <v>0</v>
      </c>
      <c r="P154">
        <v>0</v>
      </c>
      <c r="Q154">
        <v>0</v>
      </c>
      <c r="R154">
        <v>0</v>
      </c>
      <c r="S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2:36" x14ac:dyDescent="0.25">
      <c r="B155" t="s">
        <v>57</v>
      </c>
      <c r="C155" t="s">
        <v>67</v>
      </c>
      <c r="E155">
        <v>0</v>
      </c>
      <c r="G155">
        <v>0</v>
      </c>
      <c r="H155">
        <v>0</v>
      </c>
      <c r="J155">
        <v>0</v>
      </c>
      <c r="K155">
        <v>0</v>
      </c>
      <c r="M155">
        <v>0</v>
      </c>
      <c r="N155">
        <v>0</v>
      </c>
      <c r="P155">
        <v>0</v>
      </c>
      <c r="Q155">
        <v>0</v>
      </c>
      <c r="R155">
        <v>0</v>
      </c>
      <c r="S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2:36" x14ac:dyDescent="0.25">
      <c r="B156" t="s">
        <v>57</v>
      </c>
      <c r="C156" t="s">
        <v>67</v>
      </c>
      <c r="E156">
        <v>0</v>
      </c>
      <c r="G156">
        <v>0</v>
      </c>
      <c r="H156">
        <v>0</v>
      </c>
      <c r="J156">
        <v>0</v>
      </c>
      <c r="K156">
        <v>0</v>
      </c>
      <c r="M156">
        <v>0</v>
      </c>
      <c r="N156">
        <v>0</v>
      </c>
      <c r="P156">
        <v>0</v>
      </c>
      <c r="Q156">
        <v>0</v>
      </c>
      <c r="R156">
        <v>0</v>
      </c>
      <c r="S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2:36" x14ac:dyDescent="0.25">
      <c r="B157" t="s">
        <v>57</v>
      </c>
      <c r="C157" t="s">
        <v>67</v>
      </c>
      <c r="E157">
        <v>0</v>
      </c>
      <c r="G157">
        <v>0</v>
      </c>
      <c r="H157">
        <v>0</v>
      </c>
      <c r="J157">
        <v>0</v>
      </c>
      <c r="K157">
        <v>0</v>
      </c>
      <c r="M157">
        <v>0</v>
      </c>
      <c r="N157">
        <v>0</v>
      </c>
      <c r="P157">
        <v>0</v>
      </c>
      <c r="Q157">
        <v>0</v>
      </c>
      <c r="R157">
        <v>0</v>
      </c>
      <c r="S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2:36" x14ac:dyDescent="0.25">
      <c r="B158" t="s">
        <v>57</v>
      </c>
      <c r="C158" t="s">
        <v>67</v>
      </c>
      <c r="E158">
        <v>0</v>
      </c>
      <c r="G158">
        <v>0</v>
      </c>
      <c r="H158">
        <v>0</v>
      </c>
      <c r="J158">
        <v>0</v>
      </c>
      <c r="K158">
        <v>0</v>
      </c>
      <c r="M158">
        <v>0</v>
      </c>
      <c r="N158">
        <v>0</v>
      </c>
      <c r="P158">
        <v>0</v>
      </c>
      <c r="Q158">
        <v>0</v>
      </c>
      <c r="R158">
        <v>0</v>
      </c>
      <c r="S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2:36" x14ac:dyDescent="0.25">
      <c r="B159" t="s">
        <v>57</v>
      </c>
      <c r="C159" t="s">
        <v>67</v>
      </c>
      <c r="E159">
        <v>0</v>
      </c>
      <c r="G159">
        <v>0</v>
      </c>
      <c r="H159">
        <v>0</v>
      </c>
      <c r="J159">
        <v>0</v>
      </c>
      <c r="K159">
        <v>0</v>
      </c>
      <c r="M159">
        <v>0</v>
      </c>
      <c r="N159">
        <v>0</v>
      </c>
      <c r="P159">
        <v>0</v>
      </c>
      <c r="Q159">
        <v>0</v>
      </c>
      <c r="R159">
        <v>0</v>
      </c>
      <c r="S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2:36" x14ac:dyDescent="0.25">
      <c r="B160" t="s">
        <v>57</v>
      </c>
      <c r="C160" t="s">
        <v>67</v>
      </c>
      <c r="E160">
        <v>0</v>
      </c>
      <c r="G160">
        <v>0</v>
      </c>
      <c r="H160">
        <v>0</v>
      </c>
      <c r="J160">
        <v>0</v>
      </c>
      <c r="K160">
        <v>0</v>
      </c>
      <c r="M160">
        <v>0</v>
      </c>
      <c r="N160">
        <v>0</v>
      </c>
      <c r="P160">
        <v>0</v>
      </c>
      <c r="Q160">
        <v>0</v>
      </c>
      <c r="R160">
        <v>0</v>
      </c>
      <c r="S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2:36" x14ac:dyDescent="0.25">
      <c r="B161" t="s">
        <v>57</v>
      </c>
      <c r="C161" t="s">
        <v>67</v>
      </c>
      <c r="E161">
        <v>0</v>
      </c>
      <c r="G161">
        <v>0</v>
      </c>
      <c r="H161">
        <v>0</v>
      </c>
      <c r="J161">
        <v>0</v>
      </c>
      <c r="K161">
        <v>0</v>
      </c>
      <c r="M161">
        <v>0</v>
      </c>
      <c r="N161">
        <v>0</v>
      </c>
      <c r="P161">
        <v>0</v>
      </c>
      <c r="Q161">
        <v>0</v>
      </c>
      <c r="R161">
        <v>0</v>
      </c>
      <c r="S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2:36" x14ac:dyDescent="0.25">
      <c r="B162" t="s">
        <v>57</v>
      </c>
      <c r="C162" t="s">
        <v>67</v>
      </c>
      <c r="E162">
        <v>0</v>
      </c>
      <c r="G162">
        <v>0</v>
      </c>
      <c r="H162">
        <v>0</v>
      </c>
      <c r="J162">
        <v>0</v>
      </c>
      <c r="K162">
        <v>0</v>
      </c>
      <c r="M162">
        <v>0</v>
      </c>
      <c r="N162">
        <v>0</v>
      </c>
      <c r="P162">
        <v>0</v>
      </c>
      <c r="Q162">
        <v>0</v>
      </c>
      <c r="R162">
        <v>0</v>
      </c>
      <c r="S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2:36" x14ac:dyDescent="0.25">
      <c r="B163" t="s">
        <v>57</v>
      </c>
      <c r="C163" t="s">
        <v>67</v>
      </c>
      <c r="E163">
        <v>0</v>
      </c>
      <c r="G163">
        <v>0</v>
      </c>
      <c r="H163">
        <v>0</v>
      </c>
      <c r="J163">
        <v>0</v>
      </c>
      <c r="K163">
        <v>0</v>
      </c>
      <c r="M163">
        <v>0</v>
      </c>
      <c r="N163">
        <v>0</v>
      </c>
      <c r="P163">
        <v>0</v>
      </c>
      <c r="Q163">
        <v>0</v>
      </c>
      <c r="R163">
        <v>0</v>
      </c>
      <c r="S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2:36" x14ac:dyDescent="0.25">
      <c r="B164" t="s">
        <v>57</v>
      </c>
      <c r="C164" t="s">
        <v>67</v>
      </c>
      <c r="E164">
        <v>0</v>
      </c>
      <c r="G164">
        <v>0</v>
      </c>
      <c r="H164">
        <v>0</v>
      </c>
      <c r="J164">
        <v>0</v>
      </c>
      <c r="K164">
        <v>0</v>
      </c>
      <c r="M164">
        <v>0</v>
      </c>
      <c r="N164">
        <v>0</v>
      </c>
      <c r="P164">
        <v>0</v>
      </c>
      <c r="Q164">
        <v>0</v>
      </c>
      <c r="R164">
        <v>0</v>
      </c>
      <c r="S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2:36" x14ac:dyDescent="0.25">
      <c r="B165" t="s">
        <v>57</v>
      </c>
      <c r="C165" t="s">
        <v>67</v>
      </c>
      <c r="E165">
        <v>0</v>
      </c>
      <c r="G165">
        <v>0</v>
      </c>
      <c r="H165">
        <v>0</v>
      </c>
      <c r="J165">
        <v>0</v>
      </c>
      <c r="K165">
        <v>0</v>
      </c>
      <c r="M165">
        <v>0</v>
      </c>
      <c r="N165">
        <v>0</v>
      </c>
      <c r="P165">
        <v>0</v>
      </c>
      <c r="Q165">
        <v>0</v>
      </c>
      <c r="R165">
        <v>0</v>
      </c>
      <c r="S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2:36" x14ac:dyDescent="0.25">
      <c r="B166" t="s">
        <v>57</v>
      </c>
      <c r="C166" t="s">
        <v>67</v>
      </c>
      <c r="E166">
        <v>0</v>
      </c>
      <c r="G166">
        <v>0</v>
      </c>
      <c r="H166">
        <v>0</v>
      </c>
      <c r="J166">
        <v>0</v>
      </c>
      <c r="K166">
        <v>0</v>
      </c>
      <c r="M166">
        <v>0</v>
      </c>
      <c r="N166">
        <v>0</v>
      </c>
      <c r="P166">
        <v>0</v>
      </c>
      <c r="Q166">
        <v>0</v>
      </c>
      <c r="R166">
        <v>0</v>
      </c>
      <c r="S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2:36" x14ac:dyDescent="0.25">
      <c r="B167" t="s">
        <v>57</v>
      </c>
      <c r="C167" t="s">
        <v>67</v>
      </c>
      <c r="E167">
        <v>0</v>
      </c>
      <c r="G167">
        <v>0</v>
      </c>
      <c r="H167">
        <v>0</v>
      </c>
      <c r="J167">
        <v>0</v>
      </c>
      <c r="K167">
        <v>0</v>
      </c>
      <c r="M167">
        <v>0</v>
      </c>
      <c r="N167">
        <v>0</v>
      </c>
      <c r="P167">
        <v>0</v>
      </c>
      <c r="Q167">
        <v>0</v>
      </c>
      <c r="R167">
        <v>0</v>
      </c>
      <c r="S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2:36" x14ac:dyDescent="0.25">
      <c r="B168" t="s">
        <v>57</v>
      </c>
      <c r="C168" t="s">
        <v>67</v>
      </c>
      <c r="E168">
        <v>0</v>
      </c>
      <c r="G168">
        <v>0</v>
      </c>
      <c r="H168">
        <v>0</v>
      </c>
      <c r="J168">
        <v>0</v>
      </c>
      <c r="K168">
        <v>0</v>
      </c>
      <c r="M168">
        <v>0</v>
      </c>
      <c r="N168">
        <v>0</v>
      </c>
      <c r="P168">
        <v>0</v>
      </c>
      <c r="Q168">
        <v>0</v>
      </c>
      <c r="R168">
        <v>0</v>
      </c>
      <c r="S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2:36" x14ac:dyDescent="0.25">
      <c r="B169" t="s">
        <v>57</v>
      </c>
      <c r="C169" t="s">
        <v>67</v>
      </c>
      <c r="E169">
        <v>0</v>
      </c>
      <c r="G169">
        <v>0</v>
      </c>
      <c r="H169">
        <v>0</v>
      </c>
      <c r="J169">
        <v>0</v>
      </c>
      <c r="K169">
        <v>0</v>
      </c>
      <c r="M169">
        <v>0</v>
      </c>
      <c r="N169">
        <v>0</v>
      </c>
      <c r="P169">
        <v>0</v>
      </c>
      <c r="Q169">
        <v>0</v>
      </c>
      <c r="R169">
        <v>0</v>
      </c>
      <c r="S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2:36" x14ac:dyDescent="0.25">
      <c r="B170" t="s">
        <v>57</v>
      </c>
      <c r="C170" t="s">
        <v>67</v>
      </c>
      <c r="E170">
        <v>0</v>
      </c>
      <c r="G170">
        <v>0</v>
      </c>
      <c r="H170">
        <v>0</v>
      </c>
      <c r="J170">
        <v>0</v>
      </c>
      <c r="K170">
        <v>0</v>
      </c>
      <c r="M170">
        <v>0</v>
      </c>
      <c r="N170">
        <v>0</v>
      </c>
      <c r="P170">
        <v>0</v>
      </c>
      <c r="Q170">
        <v>0</v>
      </c>
      <c r="R170">
        <v>0</v>
      </c>
      <c r="S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2:36" x14ac:dyDescent="0.25">
      <c r="B171" t="s">
        <v>57</v>
      </c>
      <c r="C171" t="s">
        <v>67</v>
      </c>
      <c r="E171">
        <v>0</v>
      </c>
      <c r="G171">
        <v>0</v>
      </c>
      <c r="H171">
        <v>0</v>
      </c>
      <c r="J171">
        <v>0</v>
      </c>
      <c r="K171">
        <v>0</v>
      </c>
      <c r="M171">
        <v>0</v>
      </c>
      <c r="N171">
        <v>0</v>
      </c>
      <c r="P171">
        <v>0</v>
      </c>
      <c r="Q171">
        <v>0</v>
      </c>
      <c r="R171">
        <v>0</v>
      </c>
      <c r="S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2:36" x14ac:dyDescent="0.25">
      <c r="B172" t="s">
        <v>57</v>
      </c>
      <c r="C172" t="s">
        <v>67</v>
      </c>
      <c r="E172">
        <v>0</v>
      </c>
      <c r="G172">
        <v>0</v>
      </c>
      <c r="H172">
        <v>0</v>
      </c>
      <c r="J172">
        <v>0</v>
      </c>
      <c r="K172">
        <v>0</v>
      </c>
      <c r="M172">
        <v>0</v>
      </c>
      <c r="N172">
        <v>0</v>
      </c>
      <c r="P172">
        <v>0</v>
      </c>
      <c r="Q172">
        <v>0</v>
      </c>
      <c r="R172">
        <v>0</v>
      </c>
      <c r="S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2:36" x14ac:dyDescent="0.25">
      <c r="B173" t="s">
        <v>57</v>
      </c>
      <c r="C173" t="s">
        <v>67</v>
      </c>
      <c r="E173">
        <v>0</v>
      </c>
      <c r="G173">
        <v>0</v>
      </c>
      <c r="H173">
        <v>0</v>
      </c>
      <c r="J173">
        <v>0</v>
      </c>
      <c r="K173">
        <v>0</v>
      </c>
      <c r="M173">
        <v>0</v>
      </c>
      <c r="N173">
        <v>0</v>
      </c>
      <c r="P173">
        <v>0</v>
      </c>
      <c r="Q173">
        <v>0</v>
      </c>
      <c r="R173">
        <v>0</v>
      </c>
      <c r="S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2:36" x14ac:dyDescent="0.25">
      <c r="B174" t="s">
        <v>57</v>
      </c>
      <c r="C174" t="s">
        <v>67</v>
      </c>
      <c r="E174">
        <v>0</v>
      </c>
      <c r="G174">
        <v>0</v>
      </c>
      <c r="H174">
        <v>0</v>
      </c>
      <c r="J174">
        <v>0</v>
      </c>
      <c r="K174">
        <v>0</v>
      </c>
      <c r="M174">
        <v>0</v>
      </c>
      <c r="N174">
        <v>0</v>
      </c>
      <c r="P174">
        <v>0</v>
      </c>
      <c r="Q174">
        <v>0</v>
      </c>
      <c r="R174">
        <v>0</v>
      </c>
      <c r="S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2:36" x14ac:dyDescent="0.25">
      <c r="B175" t="s">
        <v>57</v>
      </c>
      <c r="C175" t="s">
        <v>67</v>
      </c>
      <c r="E175">
        <v>0</v>
      </c>
      <c r="G175">
        <v>0</v>
      </c>
      <c r="H175">
        <v>0</v>
      </c>
      <c r="J175">
        <v>0</v>
      </c>
      <c r="K175">
        <v>0</v>
      </c>
      <c r="M175">
        <v>0</v>
      </c>
      <c r="N175">
        <v>0</v>
      </c>
      <c r="P175">
        <v>0</v>
      </c>
      <c r="Q175">
        <v>0</v>
      </c>
      <c r="R175">
        <v>0</v>
      </c>
      <c r="S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2:36" x14ac:dyDescent="0.25">
      <c r="B176" t="s">
        <v>57</v>
      </c>
      <c r="C176" t="s">
        <v>67</v>
      </c>
      <c r="E176">
        <v>0</v>
      </c>
      <c r="G176">
        <v>0</v>
      </c>
      <c r="H176">
        <v>0</v>
      </c>
      <c r="J176">
        <v>0</v>
      </c>
      <c r="K176">
        <v>0</v>
      </c>
      <c r="M176">
        <v>0</v>
      </c>
      <c r="N176">
        <v>0</v>
      </c>
      <c r="P176">
        <v>0</v>
      </c>
      <c r="Q176">
        <v>0</v>
      </c>
      <c r="R176">
        <v>0</v>
      </c>
      <c r="S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2:36" x14ac:dyDescent="0.25">
      <c r="B177" t="s">
        <v>57</v>
      </c>
      <c r="C177" t="s">
        <v>67</v>
      </c>
      <c r="E177">
        <v>0</v>
      </c>
      <c r="G177">
        <v>0</v>
      </c>
      <c r="H177">
        <v>0</v>
      </c>
      <c r="J177">
        <v>0</v>
      </c>
      <c r="K177">
        <v>0</v>
      </c>
      <c r="M177">
        <v>0</v>
      </c>
      <c r="N177">
        <v>0</v>
      </c>
      <c r="P177">
        <v>0</v>
      </c>
      <c r="Q177">
        <v>0</v>
      </c>
      <c r="R177">
        <v>0</v>
      </c>
      <c r="S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2:36" x14ac:dyDescent="0.25">
      <c r="B178" t="s">
        <v>58</v>
      </c>
      <c r="C178" t="s">
        <v>67</v>
      </c>
      <c r="G178">
        <v>0</v>
      </c>
      <c r="J178">
        <v>0</v>
      </c>
      <c r="M178">
        <v>0</v>
      </c>
      <c r="P178">
        <v>0</v>
      </c>
      <c r="Q178">
        <v>0</v>
      </c>
      <c r="R178">
        <v>0</v>
      </c>
      <c r="S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2:36" x14ac:dyDescent="0.25">
      <c r="B179" t="s">
        <v>58</v>
      </c>
      <c r="C179" t="s">
        <v>67</v>
      </c>
      <c r="G179">
        <v>0</v>
      </c>
      <c r="J179">
        <v>0</v>
      </c>
      <c r="M179">
        <v>0</v>
      </c>
      <c r="P179">
        <v>0</v>
      </c>
      <c r="Q179">
        <v>0</v>
      </c>
      <c r="R179">
        <v>0</v>
      </c>
      <c r="S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2:36" x14ac:dyDescent="0.25">
      <c r="B180" t="s">
        <v>58</v>
      </c>
      <c r="C180" t="s">
        <v>67</v>
      </c>
      <c r="G180">
        <v>0</v>
      </c>
      <c r="J180">
        <v>0</v>
      </c>
      <c r="M180">
        <v>0</v>
      </c>
      <c r="P180">
        <v>0</v>
      </c>
      <c r="Q180">
        <v>0</v>
      </c>
      <c r="R180">
        <v>0</v>
      </c>
      <c r="S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2:36" x14ac:dyDescent="0.25">
      <c r="B181" t="s">
        <v>58</v>
      </c>
      <c r="C181" t="s">
        <v>67</v>
      </c>
      <c r="G181">
        <v>0</v>
      </c>
      <c r="J181">
        <v>0</v>
      </c>
      <c r="M181">
        <v>0</v>
      </c>
      <c r="P181">
        <v>0</v>
      </c>
      <c r="Q181">
        <v>0</v>
      </c>
      <c r="R181">
        <v>0</v>
      </c>
      <c r="S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2:36" x14ac:dyDescent="0.25">
      <c r="B182" t="s">
        <v>58</v>
      </c>
      <c r="C182" t="s">
        <v>67</v>
      </c>
      <c r="G182">
        <v>0</v>
      </c>
      <c r="J182">
        <v>0</v>
      </c>
      <c r="M182">
        <v>0</v>
      </c>
      <c r="P182">
        <v>0</v>
      </c>
      <c r="Q182">
        <v>0</v>
      </c>
      <c r="R182">
        <v>0</v>
      </c>
      <c r="S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2:36" x14ac:dyDescent="0.25">
      <c r="B183" t="s">
        <v>58</v>
      </c>
      <c r="C183" t="s">
        <v>67</v>
      </c>
      <c r="G183">
        <v>0</v>
      </c>
      <c r="J183">
        <v>0</v>
      </c>
      <c r="M183">
        <v>0</v>
      </c>
      <c r="P183">
        <v>0</v>
      </c>
      <c r="Q183">
        <v>0</v>
      </c>
      <c r="R183">
        <v>0</v>
      </c>
      <c r="S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2:36" x14ac:dyDescent="0.25">
      <c r="B184" t="s">
        <v>58</v>
      </c>
      <c r="C184" t="s">
        <v>67</v>
      </c>
      <c r="G184">
        <v>0</v>
      </c>
      <c r="J184">
        <v>0</v>
      </c>
      <c r="M184">
        <v>0</v>
      </c>
      <c r="P184">
        <v>0</v>
      </c>
      <c r="Q184">
        <v>0</v>
      </c>
      <c r="R184">
        <v>0</v>
      </c>
      <c r="S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2:36" x14ac:dyDescent="0.25">
      <c r="B185" t="s">
        <v>58</v>
      </c>
      <c r="C185" t="s">
        <v>67</v>
      </c>
      <c r="G185">
        <v>0</v>
      </c>
      <c r="J185">
        <v>0</v>
      </c>
      <c r="M185">
        <v>0</v>
      </c>
      <c r="P185">
        <v>0</v>
      </c>
      <c r="Q185">
        <v>0</v>
      </c>
      <c r="R185">
        <v>0</v>
      </c>
      <c r="S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2:36" x14ac:dyDescent="0.25">
      <c r="B186" t="s">
        <v>58</v>
      </c>
      <c r="C186" t="s">
        <v>67</v>
      </c>
      <c r="G186">
        <v>0</v>
      </c>
      <c r="J186">
        <v>0</v>
      </c>
      <c r="M186">
        <v>0</v>
      </c>
      <c r="P186">
        <v>0</v>
      </c>
      <c r="Q186">
        <v>0</v>
      </c>
      <c r="R186">
        <v>0</v>
      </c>
      <c r="S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2:36" x14ac:dyDescent="0.25">
      <c r="B187" t="s">
        <v>58</v>
      </c>
      <c r="C187" t="s">
        <v>67</v>
      </c>
      <c r="G187">
        <v>0</v>
      </c>
      <c r="J187">
        <v>0</v>
      </c>
      <c r="M187">
        <v>0</v>
      </c>
      <c r="P187">
        <v>0</v>
      </c>
      <c r="Q187">
        <v>0</v>
      </c>
      <c r="R187">
        <v>0</v>
      </c>
      <c r="S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2:36" x14ac:dyDescent="0.25">
      <c r="B188" t="s">
        <v>58</v>
      </c>
      <c r="C188" t="s">
        <v>67</v>
      </c>
      <c r="G188">
        <v>0</v>
      </c>
      <c r="J188">
        <v>0</v>
      </c>
      <c r="M188">
        <v>0</v>
      </c>
      <c r="P188">
        <v>0</v>
      </c>
      <c r="Q188">
        <v>0</v>
      </c>
      <c r="R188">
        <v>0</v>
      </c>
      <c r="S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2:36" x14ac:dyDescent="0.25">
      <c r="B189" t="s">
        <v>58</v>
      </c>
      <c r="C189" t="s">
        <v>67</v>
      </c>
      <c r="G189">
        <v>0</v>
      </c>
      <c r="J189">
        <v>0</v>
      </c>
      <c r="M189">
        <v>0</v>
      </c>
      <c r="P189">
        <v>0</v>
      </c>
      <c r="Q189">
        <v>0</v>
      </c>
      <c r="R189">
        <v>0</v>
      </c>
      <c r="S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2:36" x14ac:dyDescent="0.25">
      <c r="B190" t="s">
        <v>58</v>
      </c>
      <c r="C190" t="s">
        <v>67</v>
      </c>
      <c r="G190">
        <v>0</v>
      </c>
      <c r="J190">
        <v>0</v>
      </c>
      <c r="M190">
        <v>0</v>
      </c>
      <c r="P190">
        <v>0</v>
      </c>
      <c r="Q190">
        <v>0</v>
      </c>
      <c r="R190">
        <v>0</v>
      </c>
      <c r="S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2:36" x14ac:dyDescent="0.25">
      <c r="B191" t="s">
        <v>58</v>
      </c>
      <c r="C191" t="s">
        <v>67</v>
      </c>
      <c r="G191">
        <v>0</v>
      </c>
      <c r="J191">
        <v>0</v>
      </c>
      <c r="M191">
        <v>0</v>
      </c>
      <c r="P191">
        <v>0</v>
      </c>
      <c r="Q191">
        <v>0</v>
      </c>
      <c r="R191">
        <v>0</v>
      </c>
      <c r="S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2:36" x14ac:dyDescent="0.25">
      <c r="B192" t="s">
        <v>58</v>
      </c>
      <c r="C192" t="s">
        <v>67</v>
      </c>
      <c r="G192">
        <v>0</v>
      </c>
      <c r="J192">
        <v>0</v>
      </c>
      <c r="M192">
        <v>0</v>
      </c>
      <c r="P192">
        <v>0</v>
      </c>
      <c r="Q192">
        <v>0</v>
      </c>
      <c r="R192">
        <v>0</v>
      </c>
      <c r="S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2:36" x14ac:dyDescent="0.25">
      <c r="B193" t="s">
        <v>58</v>
      </c>
      <c r="C193" t="s">
        <v>67</v>
      </c>
      <c r="G193">
        <v>0</v>
      </c>
      <c r="J193">
        <v>0</v>
      </c>
      <c r="M193">
        <v>0</v>
      </c>
      <c r="P193">
        <v>0</v>
      </c>
      <c r="Q193">
        <v>0</v>
      </c>
      <c r="R193">
        <v>0</v>
      </c>
      <c r="S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2:36" x14ac:dyDescent="0.25">
      <c r="B194" t="s">
        <v>58</v>
      </c>
      <c r="C194" t="s">
        <v>67</v>
      </c>
      <c r="G194">
        <v>0</v>
      </c>
      <c r="J194">
        <v>0</v>
      </c>
      <c r="M194">
        <v>0</v>
      </c>
      <c r="P194">
        <v>0</v>
      </c>
      <c r="Q194">
        <v>0</v>
      </c>
      <c r="R194">
        <v>0</v>
      </c>
      <c r="S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2:36" x14ac:dyDescent="0.25">
      <c r="B195" t="s">
        <v>58</v>
      </c>
      <c r="C195" t="s">
        <v>67</v>
      </c>
      <c r="G195">
        <v>0</v>
      </c>
      <c r="J195">
        <v>0</v>
      </c>
      <c r="M195">
        <v>0</v>
      </c>
      <c r="P195">
        <v>0</v>
      </c>
      <c r="Q195">
        <v>0</v>
      </c>
      <c r="R195">
        <v>0</v>
      </c>
      <c r="S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2:36" x14ac:dyDescent="0.25">
      <c r="B196" t="s">
        <v>58</v>
      </c>
      <c r="C196" t="s">
        <v>67</v>
      </c>
      <c r="G196">
        <v>0</v>
      </c>
      <c r="J196">
        <v>0</v>
      </c>
      <c r="M196">
        <v>0</v>
      </c>
      <c r="P196">
        <v>0</v>
      </c>
      <c r="Q196">
        <v>0</v>
      </c>
      <c r="R196">
        <v>0</v>
      </c>
      <c r="S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2:36" x14ac:dyDescent="0.25">
      <c r="B197" t="s">
        <v>58</v>
      </c>
      <c r="C197" t="s">
        <v>67</v>
      </c>
      <c r="G197">
        <v>0</v>
      </c>
      <c r="J197">
        <v>0</v>
      </c>
      <c r="M197">
        <v>0</v>
      </c>
      <c r="P197">
        <v>0</v>
      </c>
      <c r="Q197">
        <v>0</v>
      </c>
      <c r="R197">
        <v>0</v>
      </c>
      <c r="S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2:36" x14ac:dyDescent="0.25">
      <c r="B198" t="s">
        <v>58</v>
      </c>
      <c r="C198" t="s">
        <v>67</v>
      </c>
      <c r="G198">
        <v>0</v>
      </c>
      <c r="J198">
        <v>0</v>
      </c>
      <c r="M198">
        <v>0</v>
      </c>
      <c r="P198">
        <v>0</v>
      </c>
      <c r="Q198">
        <v>0</v>
      </c>
      <c r="R198">
        <v>0</v>
      </c>
      <c r="S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2:36" x14ac:dyDescent="0.25">
      <c r="B199" t="s">
        <v>58</v>
      </c>
      <c r="C199" t="s">
        <v>67</v>
      </c>
      <c r="G199">
        <v>0</v>
      </c>
      <c r="J199">
        <v>0</v>
      </c>
      <c r="M199">
        <v>0</v>
      </c>
      <c r="P199">
        <v>0</v>
      </c>
      <c r="Q199">
        <v>0</v>
      </c>
      <c r="R199">
        <v>0</v>
      </c>
      <c r="S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2:36" x14ac:dyDescent="0.25">
      <c r="B200" t="s">
        <v>58</v>
      </c>
      <c r="C200" t="s">
        <v>67</v>
      </c>
      <c r="G200">
        <v>0</v>
      </c>
      <c r="J200">
        <v>0</v>
      </c>
      <c r="M200">
        <v>0</v>
      </c>
      <c r="P200">
        <v>0</v>
      </c>
      <c r="Q200">
        <v>0</v>
      </c>
      <c r="R200">
        <v>0</v>
      </c>
      <c r="S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2:36" x14ac:dyDescent="0.25">
      <c r="B201" t="s">
        <v>58</v>
      </c>
      <c r="C201" t="s">
        <v>67</v>
      </c>
      <c r="G201">
        <v>0</v>
      </c>
      <c r="J201">
        <v>0</v>
      </c>
      <c r="M201">
        <v>0</v>
      </c>
      <c r="P201">
        <v>0</v>
      </c>
      <c r="Q201">
        <v>0</v>
      </c>
      <c r="R201">
        <v>0</v>
      </c>
      <c r="S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2:36" x14ac:dyDescent="0.25">
      <c r="B202" t="s">
        <v>59</v>
      </c>
      <c r="C202" t="s">
        <v>67</v>
      </c>
      <c r="G202">
        <v>0</v>
      </c>
      <c r="J202">
        <v>0</v>
      </c>
      <c r="M202">
        <v>0</v>
      </c>
      <c r="P202">
        <v>0</v>
      </c>
      <c r="Q202">
        <v>0</v>
      </c>
      <c r="R202">
        <v>0</v>
      </c>
      <c r="S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2:36" x14ac:dyDescent="0.25">
      <c r="B203" t="s">
        <v>59</v>
      </c>
      <c r="C203" t="s">
        <v>67</v>
      </c>
      <c r="G203">
        <v>0</v>
      </c>
      <c r="J203">
        <v>0</v>
      </c>
      <c r="M203">
        <v>0</v>
      </c>
      <c r="P203">
        <v>0</v>
      </c>
      <c r="Q203">
        <v>0</v>
      </c>
      <c r="R203">
        <v>0</v>
      </c>
      <c r="S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2:36" x14ac:dyDescent="0.25">
      <c r="B204" t="s">
        <v>59</v>
      </c>
      <c r="C204" t="s">
        <v>67</v>
      </c>
      <c r="G204">
        <v>0</v>
      </c>
      <c r="J204">
        <v>0</v>
      </c>
      <c r="M204">
        <v>0</v>
      </c>
      <c r="P204">
        <v>0</v>
      </c>
      <c r="Q204">
        <v>0</v>
      </c>
      <c r="R204">
        <v>0</v>
      </c>
      <c r="S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2:36" x14ac:dyDescent="0.25">
      <c r="B205" t="s">
        <v>59</v>
      </c>
      <c r="C205" t="s">
        <v>67</v>
      </c>
      <c r="G205">
        <v>0</v>
      </c>
      <c r="J205">
        <v>0</v>
      </c>
      <c r="M205">
        <v>0</v>
      </c>
      <c r="P205">
        <v>0</v>
      </c>
      <c r="Q205">
        <v>0</v>
      </c>
      <c r="R205">
        <v>0</v>
      </c>
      <c r="S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2:36" x14ac:dyDescent="0.25">
      <c r="B206" t="s">
        <v>59</v>
      </c>
      <c r="C206" t="s">
        <v>67</v>
      </c>
      <c r="G206">
        <v>0</v>
      </c>
      <c r="J206">
        <v>0</v>
      </c>
      <c r="M206">
        <v>0</v>
      </c>
      <c r="P206">
        <v>0</v>
      </c>
      <c r="Q206">
        <v>0</v>
      </c>
      <c r="R206">
        <v>0</v>
      </c>
      <c r="S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2:36" x14ac:dyDescent="0.25">
      <c r="B207" t="s">
        <v>59</v>
      </c>
      <c r="C207" t="s">
        <v>67</v>
      </c>
      <c r="G207">
        <v>0</v>
      </c>
      <c r="J207">
        <v>0</v>
      </c>
      <c r="M207">
        <v>0</v>
      </c>
      <c r="P207">
        <v>0</v>
      </c>
      <c r="Q207">
        <v>0</v>
      </c>
      <c r="R207">
        <v>0</v>
      </c>
      <c r="S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2:36" x14ac:dyDescent="0.25">
      <c r="B208" t="s">
        <v>59</v>
      </c>
      <c r="C208" t="s">
        <v>67</v>
      </c>
      <c r="G208">
        <v>0</v>
      </c>
      <c r="J208">
        <v>0</v>
      </c>
      <c r="M208">
        <v>0</v>
      </c>
      <c r="P208">
        <v>0</v>
      </c>
      <c r="Q208">
        <v>0</v>
      </c>
      <c r="R208">
        <v>0</v>
      </c>
      <c r="S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2:36" x14ac:dyDescent="0.25">
      <c r="B209" t="s">
        <v>59</v>
      </c>
      <c r="C209" t="s">
        <v>67</v>
      </c>
      <c r="G209">
        <v>0</v>
      </c>
      <c r="J209">
        <v>0</v>
      </c>
      <c r="M209">
        <v>0</v>
      </c>
      <c r="P209">
        <v>0</v>
      </c>
      <c r="Q209">
        <v>0</v>
      </c>
      <c r="R209">
        <v>0</v>
      </c>
      <c r="S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2:36" x14ac:dyDescent="0.25">
      <c r="B210" t="s">
        <v>59</v>
      </c>
      <c r="C210" t="s">
        <v>67</v>
      </c>
      <c r="G210">
        <v>0</v>
      </c>
      <c r="J210">
        <v>0</v>
      </c>
      <c r="M210">
        <v>0</v>
      </c>
      <c r="P210">
        <v>0</v>
      </c>
      <c r="Q210">
        <v>0</v>
      </c>
      <c r="R210">
        <v>0</v>
      </c>
      <c r="S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2:36" x14ac:dyDescent="0.25">
      <c r="B211" t="s">
        <v>59</v>
      </c>
      <c r="C211" t="s">
        <v>67</v>
      </c>
      <c r="G211">
        <v>0</v>
      </c>
      <c r="J211">
        <v>0</v>
      </c>
      <c r="M211">
        <v>0</v>
      </c>
      <c r="P211">
        <v>0</v>
      </c>
      <c r="Q211">
        <v>0</v>
      </c>
      <c r="R211">
        <v>0</v>
      </c>
      <c r="S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2:36" x14ac:dyDescent="0.25">
      <c r="B212" t="s">
        <v>59</v>
      </c>
      <c r="C212" t="s">
        <v>67</v>
      </c>
      <c r="G212">
        <v>0</v>
      </c>
      <c r="J212">
        <v>0</v>
      </c>
      <c r="M212">
        <v>0</v>
      </c>
      <c r="P212">
        <v>0</v>
      </c>
      <c r="Q212">
        <v>0</v>
      </c>
      <c r="R212">
        <v>0</v>
      </c>
      <c r="S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2:36" x14ac:dyDescent="0.25">
      <c r="B213" t="s">
        <v>59</v>
      </c>
      <c r="C213" t="s">
        <v>67</v>
      </c>
      <c r="G213">
        <v>0</v>
      </c>
      <c r="J213">
        <v>0</v>
      </c>
      <c r="M213">
        <v>0</v>
      </c>
      <c r="P213">
        <v>0</v>
      </c>
      <c r="Q213">
        <v>0</v>
      </c>
      <c r="R213">
        <v>0</v>
      </c>
      <c r="S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2:36" x14ac:dyDescent="0.25">
      <c r="B214" t="s">
        <v>59</v>
      </c>
      <c r="C214" t="s">
        <v>67</v>
      </c>
      <c r="G214">
        <v>0</v>
      </c>
      <c r="J214">
        <v>0</v>
      </c>
      <c r="M214">
        <v>0</v>
      </c>
      <c r="P214">
        <v>0</v>
      </c>
      <c r="Q214">
        <v>0</v>
      </c>
      <c r="R214">
        <v>0</v>
      </c>
      <c r="S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2:36" x14ac:dyDescent="0.25">
      <c r="B215" t="s">
        <v>59</v>
      </c>
      <c r="C215" t="s">
        <v>67</v>
      </c>
      <c r="G215">
        <v>0</v>
      </c>
      <c r="J215">
        <v>0</v>
      </c>
      <c r="M215">
        <v>0</v>
      </c>
      <c r="P215">
        <v>0</v>
      </c>
      <c r="Q215">
        <v>0</v>
      </c>
      <c r="R215">
        <v>0</v>
      </c>
      <c r="S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2:36" x14ac:dyDescent="0.25">
      <c r="B216" t="s">
        <v>59</v>
      </c>
      <c r="C216" t="s">
        <v>67</v>
      </c>
      <c r="G216">
        <v>0</v>
      </c>
      <c r="J216">
        <v>0</v>
      </c>
      <c r="M216">
        <v>0</v>
      </c>
      <c r="P216">
        <v>0</v>
      </c>
      <c r="Q216">
        <v>0</v>
      </c>
      <c r="R216">
        <v>0</v>
      </c>
      <c r="S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2:36" x14ac:dyDescent="0.25">
      <c r="B217" t="s">
        <v>59</v>
      </c>
      <c r="C217" t="s">
        <v>67</v>
      </c>
      <c r="G217">
        <v>0</v>
      </c>
      <c r="J217">
        <v>0</v>
      </c>
      <c r="M217">
        <v>0</v>
      </c>
      <c r="P217">
        <v>0</v>
      </c>
      <c r="Q217">
        <v>0</v>
      </c>
      <c r="R217">
        <v>0</v>
      </c>
      <c r="S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2:36" x14ac:dyDescent="0.25">
      <c r="B218" t="s">
        <v>59</v>
      </c>
      <c r="C218" t="s">
        <v>67</v>
      </c>
      <c r="G218">
        <v>0</v>
      </c>
      <c r="J218">
        <v>0</v>
      </c>
      <c r="M218">
        <v>0</v>
      </c>
      <c r="P218">
        <v>0</v>
      </c>
      <c r="Q218">
        <v>0</v>
      </c>
      <c r="R218">
        <v>0</v>
      </c>
      <c r="S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2:36" x14ac:dyDescent="0.25">
      <c r="B219" t="s">
        <v>59</v>
      </c>
      <c r="C219" t="s">
        <v>67</v>
      </c>
      <c r="G219">
        <v>0</v>
      </c>
      <c r="J219">
        <v>0</v>
      </c>
      <c r="M219">
        <v>0</v>
      </c>
      <c r="P219">
        <v>0</v>
      </c>
      <c r="Q219">
        <v>0</v>
      </c>
      <c r="R219">
        <v>0</v>
      </c>
      <c r="S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2:36" x14ac:dyDescent="0.25">
      <c r="B220" t="s">
        <v>59</v>
      </c>
      <c r="C220" t="s">
        <v>67</v>
      </c>
      <c r="G220">
        <v>0</v>
      </c>
      <c r="J220">
        <v>0</v>
      </c>
      <c r="M220">
        <v>0</v>
      </c>
      <c r="P220">
        <v>0</v>
      </c>
      <c r="Q220">
        <v>0</v>
      </c>
      <c r="R220">
        <v>0</v>
      </c>
      <c r="S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2:36" x14ac:dyDescent="0.25">
      <c r="B221" t="s">
        <v>59</v>
      </c>
      <c r="C221" t="s">
        <v>67</v>
      </c>
      <c r="G221">
        <v>0</v>
      </c>
      <c r="J221">
        <v>0</v>
      </c>
      <c r="M221">
        <v>0</v>
      </c>
      <c r="P221">
        <v>0</v>
      </c>
      <c r="Q221">
        <v>0</v>
      </c>
      <c r="R221">
        <v>0</v>
      </c>
      <c r="S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2:36" x14ac:dyDescent="0.25">
      <c r="B222" t="s">
        <v>59</v>
      </c>
      <c r="C222" t="s">
        <v>67</v>
      </c>
      <c r="G222">
        <v>0</v>
      </c>
      <c r="J222">
        <v>0</v>
      </c>
      <c r="M222">
        <v>0</v>
      </c>
      <c r="P222">
        <v>0</v>
      </c>
      <c r="Q222">
        <v>0</v>
      </c>
      <c r="R222">
        <v>0</v>
      </c>
      <c r="S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2:36" x14ac:dyDescent="0.25">
      <c r="B223" t="s">
        <v>59</v>
      </c>
      <c r="C223" t="s">
        <v>67</v>
      </c>
      <c r="G223">
        <v>0</v>
      </c>
      <c r="J223">
        <v>0</v>
      </c>
      <c r="M223">
        <v>0</v>
      </c>
      <c r="P223">
        <v>0</v>
      </c>
      <c r="Q223">
        <v>0</v>
      </c>
      <c r="R223">
        <v>0</v>
      </c>
      <c r="S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2:36" x14ac:dyDescent="0.25">
      <c r="B224" t="s">
        <v>59</v>
      </c>
      <c r="C224" t="s">
        <v>67</v>
      </c>
      <c r="G224">
        <v>0</v>
      </c>
      <c r="J224">
        <v>0</v>
      </c>
      <c r="M224">
        <v>0</v>
      </c>
      <c r="P224">
        <v>0</v>
      </c>
      <c r="Q224">
        <v>0</v>
      </c>
      <c r="R224">
        <v>0</v>
      </c>
      <c r="S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2:36" x14ac:dyDescent="0.25">
      <c r="B225" t="s">
        <v>59</v>
      </c>
      <c r="C225" t="s">
        <v>67</v>
      </c>
      <c r="G225">
        <v>0</v>
      </c>
      <c r="J225">
        <v>0</v>
      </c>
      <c r="M225">
        <v>0</v>
      </c>
      <c r="P225">
        <v>0</v>
      </c>
      <c r="Q225">
        <v>0</v>
      </c>
      <c r="R225">
        <v>0</v>
      </c>
      <c r="S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2:36" x14ac:dyDescent="0.25">
      <c r="B226" t="s">
        <v>60</v>
      </c>
      <c r="C226" t="s">
        <v>67</v>
      </c>
      <c r="G226">
        <v>0</v>
      </c>
      <c r="J226">
        <v>0</v>
      </c>
      <c r="M226">
        <v>0</v>
      </c>
      <c r="P226">
        <v>0</v>
      </c>
      <c r="Q226">
        <v>0</v>
      </c>
      <c r="R226">
        <v>0</v>
      </c>
      <c r="S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2:36" x14ac:dyDescent="0.25">
      <c r="B227" t="s">
        <v>60</v>
      </c>
      <c r="C227" t="s">
        <v>67</v>
      </c>
      <c r="G227">
        <v>0</v>
      </c>
      <c r="J227">
        <v>0</v>
      </c>
      <c r="M227">
        <v>0</v>
      </c>
      <c r="P227">
        <v>0</v>
      </c>
      <c r="Q227">
        <v>0</v>
      </c>
      <c r="R227">
        <v>0</v>
      </c>
      <c r="S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2:36" x14ac:dyDescent="0.25">
      <c r="B228" t="s">
        <v>60</v>
      </c>
      <c r="C228" t="s">
        <v>67</v>
      </c>
      <c r="G228">
        <v>0</v>
      </c>
      <c r="J228">
        <v>0</v>
      </c>
      <c r="M228">
        <v>0</v>
      </c>
      <c r="P228">
        <v>0</v>
      </c>
      <c r="Q228">
        <v>0</v>
      </c>
      <c r="R228">
        <v>0</v>
      </c>
      <c r="S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2:36" x14ac:dyDescent="0.25">
      <c r="B229" t="s">
        <v>60</v>
      </c>
      <c r="C229" t="s">
        <v>67</v>
      </c>
      <c r="G229">
        <v>0</v>
      </c>
      <c r="J229">
        <v>0</v>
      </c>
      <c r="M229">
        <v>0</v>
      </c>
      <c r="P229">
        <v>0</v>
      </c>
      <c r="Q229">
        <v>0</v>
      </c>
      <c r="R229">
        <v>0</v>
      </c>
      <c r="S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2:36" x14ac:dyDescent="0.25">
      <c r="B230" t="s">
        <v>60</v>
      </c>
      <c r="C230" t="s">
        <v>67</v>
      </c>
      <c r="G230">
        <v>0</v>
      </c>
      <c r="J230">
        <v>0</v>
      </c>
      <c r="M230">
        <v>0</v>
      </c>
      <c r="P230">
        <v>0</v>
      </c>
      <c r="Q230">
        <v>0</v>
      </c>
      <c r="R230">
        <v>0</v>
      </c>
      <c r="S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2:36" x14ac:dyDescent="0.25">
      <c r="B231" t="s">
        <v>60</v>
      </c>
      <c r="C231" t="s">
        <v>67</v>
      </c>
      <c r="G231">
        <v>0</v>
      </c>
      <c r="J231">
        <v>0</v>
      </c>
      <c r="M231">
        <v>0</v>
      </c>
      <c r="P231">
        <v>0</v>
      </c>
      <c r="Q231">
        <v>0</v>
      </c>
      <c r="R231">
        <v>0</v>
      </c>
      <c r="S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2:36" x14ac:dyDescent="0.25">
      <c r="B232" t="s">
        <v>60</v>
      </c>
      <c r="C232" t="s">
        <v>67</v>
      </c>
      <c r="G232">
        <v>0</v>
      </c>
      <c r="J232">
        <v>0</v>
      </c>
      <c r="M232">
        <v>0</v>
      </c>
      <c r="P232">
        <v>0</v>
      </c>
      <c r="Q232">
        <v>0</v>
      </c>
      <c r="R232">
        <v>0</v>
      </c>
      <c r="S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2:36" x14ac:dyDescent="0.25">
      <c r="B233" t="s">
        <v>60</v>
      </c>
      <c r="C233" t="s">
        <v>67</v>
      </c>
      <c r="G233">
        <v>0</v>
      </c>
      <c r="J233">
        <v>0</v>
      </c>
      <c r="M233">
        <v>0</v>
      </c>
      <c r="P233">
        <v>0</v>
      </c>
      <c r="Q233">
        <v>0</v>
      </c>
      <c r="R233">
        <v>0</v>
      </c>
      <c r="S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2:36" x14ac:dyDescent="0.25">
      <c r="B234" t="s">
        <v>60</v>
      </c>
      <c r="C234" t="s">
        <v>67</v>
      </c>
      <c r="G234">
        <v>0</v>
      </c>
      <c r="J234">
        <v>0</v>
      </c>
      <c r="M234">
        <v>0</v>
      </c>
      <c r="P234">
        <v>0</v>
      </c>
      <c r="Q234">
        <v>0</v>
      </c>
      <c r="R234">
        <v>0</v>
      </c>
      <c r="S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2:36" x14ac:dyDescent="0.25">
      <c r="B235" t="s">
        <v>60</v>
      </c>
      <c r="C235" t="s">
        <v>67</v>
      </c>
      <c r="G235">
        <v>0</v>
      </c>
      <c r="J235">
        <v>0</v>
      </c>
      <c r="M235">
        <v>0</v>
      </c>
      <c r="P235">
        <v>0</v>
      </c>
      <c r="Q235">
        <v>0</v>
      </c>
      <c r="R235">
        <v>0</v>
      </c>
      <c r="S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2:36" x14ac:dyDescent="0.25">
      <c r="B236" t="s">
        <v>60</v>
      </c>
      <c r="C236" t="s">
        <v>67</v>
      </c>
      <c r="G236">
        <v>0</v>
      </c>
      <c r="J236">
        <v>0</v>
      </c>
      <c r="M236">
        <v>0</v>
      </c>
      <c r="P236">
        <v>0</v>
      </c>
      <c r="Q236">
        <v>0</v>
      </c>
      <c r="R236">
        <v>0</v>
      </c>
      <c r="S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2:36" x14ac:dyDescent="0.25">
      <c r="B237" t="s">
        <v>60</v>
      </c>
      <c r="C237" t="s">
        <v>67</v>
      </c>
      <c r="G237">
        <v>0</v>
      </c>
      <c r="J237">
        <v>0</v>
      </c>
      <c r="M237">
        <v>0</v>
      </c>
      <c r="P237">
        <v>0</v>
      </c>
      <c r="Q237">
        <v>0</v>
      </c>
      <c r="R237">
        <v>0</v>
      </c>
      <c r="S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2:36" x14ac:dyDescent="0.25">
      <c r="B238" t="s">
        <v>60</v>
      </c>
      <c r="C238" t="s">
        <v>67</v>
      </c>
      <c r="G238">
        <v>0</v>
      </c>
      <c r="J238">
        <v>0</v>
      </c>
      <c r="M238">
        <v>0</v>
      </c>
      <c r="P238">
        <v>0</v>
      </c>
      <c r="Q238">
        <v>0</v>
      </c>
      <c r="R238">
        <v>0</v>
      </c>
      <c r="S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2:36" x14ac:dyDescent="0.25">
      <c r="B239" t="s">
        <v>60</v>
      </c>
      <c r="C239" t="s">
        <v>67</v>
      </c>
      <c r="G239">
        <v>0</v>
      </c>
      <c r="J239">
        <v>0</v>
      </c>
      <c r="M239">
        <v>0</v>
      </c>
      <c r="P239">
        <v>0</v>
      </c>
      <c r="Q239">
        <v>0</v>
      </c>
      <c r="R239">
        <v>0</v>
      </c>
      <c r="S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2:36" x14ac:dyDescent="0.25">
      <c r="B240" t="s">
        <v>60</v>
      </c>
      <c r="C240" t="s">
        <v>67</v>
      </c>
      <c r="G240">
        <v>0</v>
      </c>
      <c r="J240">
        <v>0</v>
      </c>
      <c r="M240">
        <v>0</v>
      </c>
      <c r="P240">
        <v>0</v>
      </c>
      <c r="Q240">
        <v>0</v>
      </c>
      <c r="R240">
        <v>0</v>
      </c>
      <c r="S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2:36" x14ac:dyDescent="0.25">
      <c r="B241" t="s">
        <v>60</v>
      </c>
      <c r="C241" t="s">
        <v>67</v>
      </c>
      <c r="G241">
        <v>0</v>
      </c>
      <c r="J241">
        <v>0</v>
      </c>
      <c r="M241">
        <v>0</v>
      </c>
      <c r="P241">
        <v>0</v>
      </c>
      <c r="Q241">
        <v>0</v>
      </c>
      <c r="R241">
        <v>0</v>
      </c>
      <c r="S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2:36" x14ac:dyDescent="0.25">
      <c r="B242" t="s">
        <v>60</v>
      </c>
      <c r="C242" t="s">
        <v>67</v>
      </c>
      <c r="G242">
        <v>0</v>
      </c>
      <c r="J242">
        <v>0</v>
      </c>
      <c r="M242">
        <v>0</v>
      </c>
      <c r="P242">
        <v>0</v>
      </c>
      <c r="Q242">
        <v>0</v>
      </c>
      <c r="R242">
        <v>0</v>
      </c>
      <c r="S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2:36" x14ac:dyDescent="0.25">
      <c r="B243" t="s">
        <v>60</v>
      </c>
      <c r="C243" t="s">
        <v>67</v>
      </c>
      <c r="G243">
        <v>0</v>
      </c>
      <c r="J243">
        <v>0</v>
      </c>
      <c r="M243">
        <v>0</v>
      </c>
      <c r="P243">
        <v>0</v>
      </c>
      <c r="Q243">
        <v>0</v>
      </c>
      <c r="R243">
        <v>0</v>
      </c>
      <c r="S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2:36" x14ac:dyDescent="0.25">
      <c r="B244" t="s">
        <v>60</v>
      </c>
      <c r="C244" t="s">
        <v>67</v>
      </c>
      <c r="G244">
        <v>0</v>
      </c>
      <c r="J244">
        <v>0</v>
      </c>
      <c r="M244">
        <v>0</v>
      </c>
      <c r="P244">
        <v>0</v>
      </c>
      <c r="Q244">
        <v>0</v>
      </c>
      <c r="R244">
        <v>0</v>
      </c>
      <c r="S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2:36" x14ac:dyDescent="0.25">
      <c r="B245" t="s">
        <v>60</v>
      </c>
      <c r="C245" t="s">
        <v>67</v>
      </c>
      <c r="G245">
        <v>0</v>
      </c>
      <c r="J245">
        <v>0</v>
      </c>
      <c r="M245">
        <v>0</v>
      </c>
      <c r="P245">
        <v>0</v>
      </c>
      <c r="Q245">
        <v>0</v>
      </c>
      <c r="R245">
        <v>0</v>
      </c>
      <c r="S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2:36" x14ac:dyDescent="0.25">
      <c r="B246" t="s">
        <v>60</v>
      </c>
      <c r="C246" t="s">
        <v>67</v>
      </c>
      <c r="G246">
        <v>0</v>
      </c>
      <c r="J246">
        <v>0</v>
      </c>
      <c r="M246">
        <v>0</v>
      </c>
      <c r="P246">
        <v>0</v>
      </c>
      <c r="Q246">
        <v>0</v>
      </c>
      <c r="R246">
        <v>0</v>
      </c>
      <c r="S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2:36" x14ac:dyDescent="0.25">
      <c r="B247" t="s">
        <v>60</v>
      </c>
      <c r="C247" t="s">
        <v>67</v>
      </c>
      <c r="G247">
        <v>0</v>
      </c>
      <c r="J247">
        <v>0</v>
      </c>
      <c r="M247">
        <v>0</v>
      </c>
      <c r="P247">
        <v>0</v>
      </c>
      <c r="Q247">
        <v>0</v>
      </c>
      <c r="R247">
        <v>0</v>
      </c>
      <c r="S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2:36" x14ac:dyDescent="0.25">
      <c r="B248" t="s">
        <v>60</v>
      </c>
      <c r="C248" t="s">
        <v>67</v>
      </c>
      <c r="G248">
        <v>0</v>
      </c>
      <c r="J248">
        <v>0</v>
      </c>
      <c r="M248">
        <v>0</v>
      </c>
      <c r="P248">
        <v>0</v>
      </c>
      <c r="Q248">
        <v>0</v>
      </c>
      <c r="R248">
        <v>0</v>
      </c>
      <c r="S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2:36" x14ac:dyDescent="0.25">
      <c r="B249" t="s">
        <v>60</v>
      </c>
      <c r="C249" t="s">
        <v>67</v>
      </c>
      <c r="G249">
        <v>0</v>
      </c>
      <c r="J249">
        <v>0</v>
      </c>
      <c r="M249">
        <v>0</v>
      </c>
      <c r="P249">
        <v>0</v>
      </c>
      <c r="Q249">
        <v>0</v>
      </c>
      <c r="R249">
        <v>0</v>
      </c>
      <c r="S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AB300"/>
  <sheetViews>
    <sheetView topLeftCell="A7" zoomScale="55" zoomScaleNormal="55" workbookViewId="0">
      <pane xSplit="1" ySplit="3" topLeftCell="B181" activePane="bottomRight" state="frozen"/>
      <selection activeCell="A7" sqref="A7"/>
      <selection pane="topRight" activeCell="B7" sqref="B7"/>
      <selection pane="bottomLeft" activeCell="A10" sqref="A10"/>
      <selection pane="bottomRight" activeCell="D10" sqref="D10"/>
    </sheetView>
  </sheetViews>
  <sheetFormatPr defaultRowHeight="15" x14ac:dyDescent="0.25"/>
  <sheetData>
    <row r="8" spans="2:28" x14ac:dyDescent="0.25">
      <c r="B8" s="12" t="b">
        <v>1</v>
      </c>
      <c r="C8" s="12" t="b">
        <v>1</v>
      </c>
      <c r="D8" s="12" t="b">
        <v>0</v>
      </c>
      <c r="E8" s="12" t="b">
        <v>0</v>
      </c>
      <c r="F8" s="12" t="b">
        <v>0</v>
      </c>
      <c r="G8" s="12" t="b">
        <v>0</v>
      </c>
      <c r="H8" s="12" t="b">
        <v>0</v>
      </c>
      <c r="I8" s="12" t="b">
        <v>0</v>
      </c>
      <c r="J8" s="12" t="b">
        <v>0</v>
      </c>
      <c r="K8" s="12" t="b">
        <v>0</v>
      </c>
      <c r="L8" s="12" t="b">
        <v>0</v>
      </c>
      <c r="M8" s="12" t="b">
        <v>0</v>
      </c>
      <c r="N8" s="12" t="b">
        <v>0</v>
      </c>
      <c r="O8" s="12" t="b">
        <v>0</v>
      </c>
      <c r="P8" s="12" t="b">
        <v>0</v>
      </c>
      <c r="Q8" s="12" t="b">
        <v>0</v>
      </c>
      <c r="R8" s="12" t="b">
        <v>0</v>
      </c>
      <c r="S8" s="12" t="b">
        <v>0</v>
      </c>
      <c r="T8" s="12" t="b">
        <v>0</v>
      </c>
      <c r="U8" s="12" t="b">
        <v>0</v>
      </c>
      <c r="V8" s="12" t="b">
        <v>0</v>
      </c>
      <c r="W8" s="12" t="b">
        <v>0</v>
      </c>
      <c r="X8" s="12" t="b">
        <v>0</v>
      </c>
      <c r="Y8" s="12" t="b">
        <v>0</v>
      </c>
      <c r="Z8" s="12" t="b">
        <v>0</v>
      </c>
      <c r="AA8" s="12" t="b">
        <v>0</v>
      </c>
      <c r="AB8" s="12" t="b">
        <v>0</v>
      </c>
    </row>
    <row r="9" spans="2:28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</row>
    <row r="10" spans="2:28" x14ac:dyDescent="0.25">
      <c r="B10" s="6" t="str" cm="1">
        <f t="array" aca="1" ref="B10" ca="1">IFERROR(IF(OR('Raw Data'!B10="",LEN(TRIM('Raw Data'!B10))=0),_xlfn.REGEXEXTRACT(CELL("address",'Raw Data'!B10),"\$([A-Z]+)\$[0-9]+"),""),"")</f>
        <v/>
      </c>
      <c r="C10" s="6" t="str" cm="1">
        <f t="array" aca="1" ref="C10" ca="1">IFERROR(IF(OR('Raw Data'!C10="",LEN(TRIM('Raw Data'!C10))=0),_xlfn.REGEXEXTRACT(CELL("address",'Raw Data'!C10),"\$([A-Z]+)\$[0-9]+"),""),"")</f>
        <v/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x14ac:dyDescent="0.25">
      <c r="B11" s="6" t="str" cm="1">
        <f t="array" aca="1" ref="B11" ca="1">IFERROR(IF(OR('Raw Data'!B11="",LEN(TRIM('Raw Data'!B11))=0),_xlfn.REGEXEXTRACT(CELL("address",'Raw Data'!B11),"\$([A-Z]+)\$[0-9]+"),""),"")</f>
        <v/>
      </c>
      <c r="C11" s="6" t="str" cm="1">
        <f t="array" aca="1" ref="C11" ca="1">IFERROR(IF(OR('Raw Data'!C11="",LEN(TRIM('Raw Data'!C11))=0),_xlfn.REGEXEXTRACT(CELL("address",'Raw Data'!C11),"\$([A-Z]+)\$[0-9]+"),""),"")</f>
        <v/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x14ac:dyDescent="0.25">
      <c r="B12" s="6" t="str" cm="1">
        <f t="array" aca="1" ref="B12" ca="1">IFERROR(IF(OR('Raw Data'!B12="",LEN(TRIM('Raw Data'!B12))=0),_xlfn.REGEXEXTRACT(CELL("address",'Raw Data'!B12),"\$([A-Z]+)\$[0-9]+"),""),"")</f>
        <v/>
      </c>
      <c r="C12" s="6" t="str" cm="1">
        <f t="array" aca="1" ref="C12" ca="1">IFERROR(IF(OR('Raw Data'!C12="",LEN(TRIM('Raw Data'!C12))=0),_xlfn.REGEXEXTRACT(CELL("address",'Raw Data'!C12),"\$([A-Z]+)\$[0-9]+"),""),"")</f>
        <v/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x14ac:dyDescent="0.25">
      <c r="B13" s="6" t="str" cm="1">
        <f t="array" aca="1" ref="B13" ca="1">IFERROR(IF(OR('Raw Data'!B13="",LEN(TRIM('Raw Data'!B13))=0),_xlfn.REGEXEXTRACT(CELL("address",'Raw Data'!B13),"\$([A-Z]+)\$[0-9]+"),""),"")</f>
        <v/>
      </c>
      <c r="C13" s="6" t="str" cm="1">
        <f t="array" aca="1" ref="C13" ca="1">IFERROR(IF(OR('Raw Data'!C13="",LEN(TRIM('Raw Data'!C13))=0),_xlfn.REGEXEXTRACT(CELL("address",'Raw Data'!C13),"\$([A-Z]+)\$[0-9]+"),""),"")</f>
        <v/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2:28" x14ac:dyDescent="0.25">
      <c r="B14" s="6" t="str" cm="1">
        <f t="array" aca="1" ref="B14" ca="1">IFERROR(IF(OR('Raw Data'!B14="",LEN(TRIM('Raw Data'!B14))=0),_xlfn.REGEXEXTRACT(CELL("address",'Raw Data'!B14),"\$([A-Z]+)\$[0-9]+"),""),"")</f>
        <v/>
      </c>
      <c r="C14" s="6" t="str" cm="1">
        <f t="array" aca="1" ref="C14" ca="1">IFERROR(IF(OR('Raw Data'!C14="",LEN(TRIM('Raw Data'!C14))=0),_xlfn.REGEXEXTRACT(CELL("address",'Raw Data'!C14),"\$([A-Z]+)\$[0-9]+"),""),"")</f>
        <v/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2:28" x14ac:dyDescent="0.25">
      <c r="B15" s="6" t="str" cm="1">
        <f t="array" aca="1" ref="B15" ca="1">IFERROR(IF(OR('Raw Data'!B15="",LEN(TRIM('Raw Data'!B15))=0),_xlfn.REGEXEXTRACT(CELL("address",'Raw Data'!B15),"\$([A-Z]+)\$[0-9]+"),""),"")</f>
        <v/>
      </c>
      <c r="C15" s="6" t="str" cm="1">
        <f t="array" aca="1" ref="C15" ca="1">IFERROR(IF(OR('Raw Data'!C15="",LEN(TRIM('Raw Data'!C15))=0),_xlfn.REGEXEXTRACT(CELL("address",'Raw Data'!C15),"\$([A-Z]+)\$[0-9]+"),""),"")</f>
        <v/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2:28" x14ac:dyDescent="0.25">
      <c r="B16" s="6" t="str" cm="1">
        <f t="array" aca="1" ref="B16" ca="1">IFERROR(IF(OR('Raw Data'!B16="",LEN(TRIM('Raw Data'!B16))=0),_xlfn.REGEXEXTRACT(CELL("address",'Raw Data'!B16),"\$([A-Z]+)\$[0-9]+"),""),"")</f>
        <v/>
      </c>
      <c r="C16" s="6" t="str" cm="1">
        <f t="array" aca="1" ref="C16" ca="1">IFERROR(IF(OR('Raw Data'!C16="",LEN(TRIM('Raw Data'!C16))=0),_xlfn.REGEXEXTRACT(CELL("address",'Raw Data'!C16),"\$([A-Z]+)\$[0-9]+"),""),"")</f>
        <v/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2:28" x14ac:dyDescent="0.25">
      <c r="B17" s="6" t="str" cm="1">
        <f t="array" aca="1" ref="B17" ca="1">IFERROR(IF(OR('Raw Data'!B17="",LEN(TRIM('Raw Data'!B17))=0),_xlfn.REGEXEXTRACT(CELL("address",'Raw Data'!B17),"\$([A-Z]+)\$[0-9]+"),""),"")</f>
        <v/>
      </c>
      <c r="C17" s="6" t="str" cm="1">
        <f t="array" aca="1" ref="C17" ca="1">IFERROR(IF(OR('Raw Data'!C17="",LEN(TRIM('Raw Data'!C17))=0),_xlfn.REGEXEXTRACT(CELL("address",'Raw Data'!C17),"\$([A-Z]+)\$[0-9]+"),""),"")</f>
        <v/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2:28" x14ac:dyDescent="0.25">
      <c r="B18" s="6" t="str" cm="1">
        <f t="array" aca="1" ref="B18" ca="1">IFERROR(IF(OR('Raw Data'!B18="",LEN(TRIM('Raw Data'!B18))=0),_xlfn.REGEXEXTRACT(CELL("address",'Raw Data'!B18),"\$([A-Z]+)\$[0-9]+"),""),"")</f>
        <v/>
      </c>
      <c r="C18" s="6" t="str" cm="1">
        <f t="array" aca="1" ref="C18" ca="1">IFERROR(IF(OR('Raw Data'!C18="",LEN(TRIM('Raw Data'!C18))=0),_xlfn.REGEXEXTRACT(CELL("address",'Raw Data'!C18),"\$([A-Z]+)\$[0-9]+"),""),"")</f>
        <v/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2:28" x14ac:dyDescent="0.25">
      <c r="B19" s="6" t="str" cm="1">
        <f t="array" aca="1" ref="B19" ca="1">IFERROR(IF(OR('Raw Data'!B19="",LEN(TRIM('Raw Data'!B19))=0),_xlfn.REGEXEXTRACT(CELL("address",'Raw Data'!B19),"\$([A-Z]+)\$[0-9]+"),""),"")</f>
        <v/>
      </c>
      <c r="C19" s="6" t="str" cm="1">
        <f t="array" aca="1" ref="C19" ca="1">IFERROR(IF(OR('Raw Data'!C19="",LEN(TRIM('Raw Data'!C19))=0),_xlfn.REGEXEXTRACT(CELL("address",'Raw Data'!C19),"\$([A-Z]+)\$[0-9]+"),""),"")</f>
        <v/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2:28" x14ac:dyDescent="0.25">
      <c r="B20" s="6" t="str" cm="1">
        <f t="array" aca="1" ref="B20" ca="1">IFERROR(IF(OR('Raw Data'!B20="",LEN(TRIM('Raw Data'!B20))=0),_xlfn.REGEXEXTRACT(CELL("address",'Raw Data'!B20),"\$([A-Z]+)\$[0-9]+"),""),"")</f>
        <v/>
      </c>
      <c r="C20" s="6" t="str" cm="1">
        <f t="array" aca="1" ref="C20" ca="1">IFERROR(IF(OR('Raw Data'!C20="",LEN(TRIM('Raw Data'!C20))=0),_xlfn.REGEXEXTRACT(CELL("address",'Raw Data'!C20),"\$([A-Z]+)\$[0-9]+"),""),"")</f>
        <v/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x14ac:dyDescent="0.25">
      <c r="B21" s="6" t="str" cm="1">
        <f t="array" aca="1" ref="B21" ca="1">IFERROR(IF(OR('Raw Data'!B21="",LEN(TRIM('Raw Data'!B21))=0),_xlfn.REGEXEXTRACT(CELL("address",'Raw Data'!B21),"\$([A-Z]+)\$[0-9]+"),""),"")</f>
        <v/>
      </c>
      <c r="C21" s="6" t="str" cm="1">
        <f t="array" aca="1" ref="C21" ca="1">IFERROR(IF(OR('Raw Data'!C21="",LEN(TRIM('Raw Data'!C21))=0),_xlfn.REGEXEXTRACT(CELL("address",'Raw Data'!C21),"\$([A-Z]+)\$[0-9]+"),""),"")</f>
        <v/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2:28" x14ac:dyDescent="0.25">
      <c r="B22" s="6" t="str" cm="1">
        <f t="array" aca="1" ref="B22" ca="1">IFERROR(IF(OR('Raw Data'!B22="",LEN(TRIM('Raw Data'!B22))=0),_xlfn.REGEXEXTRACT(CELL("address",'Raw Data'!B22),"\$([A-Z]+)\$[0-9]+"),""),"")</f>
        <v/>
      </c>
      <c r="C22" s="6" t="str" cm="1">
        <f t="array" aca="1" ref="C22" ca="1">IFERROR(IF(OR('Raw Data'!C22="",LEN(TRIM('Raw Data'!C22))=0),_xlfn.REGEXEXTRACT(CELL("address",'Raw Data'!C22),"\$([A-Z]+)\$[0-9]+"),""),"")</f>
        <v/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2:28" x14ac:dyDescent="0.25">
      <c r="B23" s="6" t="str" cm="1">
        <f t="array" aca="1" ref="B23" ca="1">IFERROR(IF(OR('Raw Data'!B23="",LEN(TRIM('Raw Data'!B23))=0),_xlfn.REGEXEXTRACT(CELL("address",'Raw Data'!B23),"\$([A-Z]+)\$[0-9]+"),""),"")</f>
        <v/>
      </c>
      <c r="C23" s="6" t="str" cm="1">
        <f t="array" aca="1" ref="C23" ca="1">IFERROR(IF(OR('Raw Data'!C23="",LEN(TRIM('Raw Data'!C23))=0),_xlfn.REGEXEXTRACT(CELL("address",'Raw Data'!C23),"\$([A-Z]+)\$[0-9]+"),""),"")</f>
        <v/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x14ac:dyDescent="0.25">
      <c r="B24" s="6" t="str" cm="1">
        <f t="array" aca="1" ref="B24" ca="1">IFERROR(IF(OR('Raw Data'!B24="",LEN(TRIM('Raw Data'!B24))=0),_xlfn.REGEXEXTRACT(CELL("address",'Raw Data'!B24),"\$([A-Z]+)\$[0-9]+"),""),"")</f>
        <v/>
      </c>
      <c r="C24" s="6" t="str" cm="1">
        <f t="array" aca="1" ref="C24" ca="1">IFERROR(IF(OR('Raw Data'!C24="",LEN(TRIM('Raw Data'!C24))=0),_xlfn.REGEXEXTRACT(CELL("address",'Raw Data'!C24),"\$([A-Z]+)\$[0-9]+"),""),"")</f>
        <v/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2:28" x14ac:dyDescent="0.25">
      <c r="B25" s="6" t="str" cm="1">
        <f t="array" aca="1" ref="B25" ca="1">IFERROR(IF(OR('Raw Data'!B25="",LEN(TRIM('Raw Data'!B25))=0),_xlfn.REGEXEXTRACT(CELL("address",'Raw Data'!B25),"\$([A-Z]+)\$[0-9]+"),""),"")</f>
        <v/>
      </c>
      <c r="C25" s="6" t="str" cm="1">
        <f t="array" aca="1" ref="C25" ca="1">IFERROR(IF(OR('Raw Data'!C25="",LEN(TRIM('Raw Data'!C25))=0),_xlfn.REGEXEXTRACT(CELL("address",'Raw Data'!C25),"\$([A-Z]+)\$[0-9]+"),""),"")</f>
        <v/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2:28" x14ac:dyDescent="0.25">
      <c r="B26" s="6" t="str" cm="1">
        <f t="array" aca="1" ref="B26" ca="1">IFERROR(IF(OR('Raw Data'!B26="",LEN(TRIM('Raw Data'!B26))=0),_xlfn.REGEXEXTRACT(CELL("address",'Raw Data'!B26),"\$([A-Z]+)\$[0-9]+"),""),"")</f>
        <v/>
      </c>
      <c r="C26" s="6" t="str" cm="1">
        <f t="array" aca="1" ref="C26" ca="1">IFERROR(IF(OR('Raw Data'!C26="",LEN(TRIM('Raw Data'!C26))=0),_xlfn.REGEXEXTRACT(CELL("address",'Raw Data'!C26),"\$([A-Z]+)\$[0-9]+"),""),"")</f>
        <v/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2:28" x14ac:dyDescent="0.25">
      <c r="B27" s="6" t="str" cm="1">
        <f t="array" aca="1" ref="B27" ca="1">IFERROR(IF(OR('Raw Data'!B27="",LEN(TRIM('Raw Data'!B27))=0),_xlfn.REGEXEXTRACT(CELL("address",'Raw Data'!B27),"\$([A-Z]+)\$[0-9]+"),""),"")</f>
        <v/>
      </c>
      <c r="C27" s="6" t="str" cm="1">
        <f t="array" aca="1" ref="C27" ca="1">IFERROR(IF(OR('Raw Data'!C27="",LEN(TRIM('Raw Data'!C27))=0),_xlfn.REGEXEXTRACT(CELL("address",'Raw Data'!C27),"\$([A-Z]+)\$[0-9]+"),""),"")</f>
        <v/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2:28" x14ac:dyDescent="0.25">
      <c r="B28" s="6" t="str" cm="1">
        <f t="array" aca="1" ref="B28" ca="1">IFERROR(IF(OR('Raw Data'!B28="",LEN(TRIM('Raw Data'!B28))=0),_xlfn.REGEXEXTRACT(CELL("address",'Raw Data'!B28),"\$([A-Z]+)\$[0-9]+"),""),"")</f>
        <v/>
      </c>
      <c r="C28" s="6" t="str" cm="1">
        <f t="array" aca="1" ref="C28" ca="1">IFERROR(IF(OR('Raw Data'!C28="",LEN(TRIM('Raw Data'!C28))=0),_xlfn.REGEXEXTRACT(CELL("address",'Raw Data'!C28),"\$([A-Z]+)\$[0-9]+"),""),"")</f>
        <v/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2:28" x14ac:dyDescent="0.25">
      <c r="B29" s="6" t="str" cm="1">
        <f t="array" aca="1" ref="B29" ca="1">IFERROR(IF(OR('Raw Data'!B29="",LEN(TRIM('Raw Data'!B29))=0),_xlfn.REGEXEXTRACT(CELL("address",'Raw Data'!B29),"\$([A-Z]+)\$[0-9]+"),""),"")</f>
        <v/>
      </c>
      <c r="C29" s="6" t="str" cm="1">
        <f t="array" aca="1" ref="C29" ca="1">IFERROR(IF(OR('Raw Data'!C29="",LEN(TRIM('Raw Data'!C29))=0),_xlfn.REGEXEXTRACT(CELL("address",'Raw Data'!C29),"\$([A-Z]+)\$[0-9]+"),""),"")</f>
        <v/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2:28" x14ac:dyDescent="0.25">
      <c r="B30" s="6" t="str" cm="1">
        <f t="array" aca="1" ref="B30" ca="1">IFERROR(IF(OR('Raw Data'!B30="",LEN(TRIM('Raw Data'!B30))=0),_xlfn.REGEXEXTRACT(CELL("address",'Raw Data'!B30),"\$([A-Z]+)\$[0-9]+"),""),"")</f>
        <v/>
      </c>
      <c r="C30" s="6" t="str" cm="1">
        <f t="array" aca="1" ref="C30" ca="1">IFERROR(IF(OR('Raw Data'!C30="",LEN(TRIM('Raw Data'!C30))=0),_xlfn.REGEXEXTRACT(CELL("address",'Raw Data'!C30),"\$([A-Z]+)\$[0-9]+"),""),"")</f>
        <v/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2:28" x14ac:dyDescent="0.25">
      <c r="B31" s="6" t="str" cm="1">
        <f t="array" aca="1" ref="B31" ca="1">IFERROR(IF(OR('Raw Data'!B31="",LEN(TRIM('Raw Data'!B31))=0),_xlfn.REGEXEXTRACT(CELL("address",'Raw Data'!B31),"\$([A-Z]+)\$[0-9]+"),""),"")</f>
        <v/>
      </c>
      <c r="C31" s="6" t="str" cm="1">
        <f t="array" aca="1" ref="C31" ca="1">IFERROR(IF(OR('Raw Data'!C31="",LEN(TRIM('Raw Data'!C31))=0),_xlfn.REGEXEXTRACT(CELL("address",'Raw Data'!C31),"\$([A-Z]+)\$[0-9]+"),""),"")</f>
        <v/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2:28" x14ac:dyDescent="0.25">
      <c r="B32" s="6" t="str" cm="1">
        <f t="array" aca="1" ref="B32" ca="1">IFERROR(IF(OR('Raw Data'!B32="",LEN(TRIM('Raw Data'!B32))=0),_xlfn.REGEXEXTRACT(CELL("address",'Raw Data'!B32),"\$([A-Z]+)\$[0-9]+"),""),"")</f>
        <v/>
      </c>
      <c r="C32" s="6" t="str" cm="1">
        <f t="array" aca="1" ref="C32" ca="1">IFERROR(IF(OR('Raw Data'!C32="",LEN(TRIM('Raw Data'!C32))=0),_xlfn.REGEXEXTRACT(CELL("address",'Raw Data'!C32),"\$([A-Z]+)\$[0-9]+"),""),"")</f>
        <v/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2:28" x14ac:dyDescent="0.25">
      <c r="B33" s="6" t="str" cm="1">
        <f t="array" aca="1" ref="B33" ca="1">IFERROR(IF(OR('Raw Data'!B33="",LEN(TRIM('Raw Data'!B33))=0),_xlfn.REGEXEXTRACT(CELL("address",'Raw Data'!B33),"\$([A-Z]+)\$[0-9]+"),""),"")</f>
        <v/>
      </c>
      <c r="C33" s="6" t="str" cm="1">
        <f t="array" aca="1" ref="C33" ca="1">IFERROR(IF(OR('Raw Data'!C33="",LEN(TRIM('Raw Data'!C33))=0),_xlfn.REGEXEXTRACT(CELL("address",'Raw Data'!C33),"\$([A-Z]+)\$[0-9]+"),""),"")</f>
        <v/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2:28" x14ac:dyDescent="0.25">
      <c r="B34" s="6" t="str" cm="1">
        <f t="array" aca="1" ref="B34" ca="1">IFERROR(IF(OR('Raw Data'!B34="",LEN(TRIM('Raw Data'!B34))=0),_xlfn.REGEXEXTRACT(CELL("address",'Raw Data'!B34),"\$([A-Z]+)\$[0-9]+"),""),"")</f>
        <v/>
      </c>
      <c r="C34" s="6" t="str" cm="1">
        <f t="array" aca="1" ref="C34" ca="1">IFERROR(IF(OR('Raw Data'!C34="",LEN(TRIM('Raw Data'!C34))=0),_xlfn.REGEXEXTRACT(CELL("address",'Raw Data'!C34),"\$([A-Z]+)\$[0-9]+"),""),"")</f>
        <v/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2:28" x14ac:dyDescent="0.25">
      <c r="B35" s="6" t="str" cm="1">
        <f t="array" aca="1" ref="B35" ca="1">IFERROR(IF(OR('Raw Data'!B35="",LEN(TRIM('Raw Data'!B35))=0),_xlfn.REGEXEXTRACT(CELL("address",'Raw Data'!B35),"\$([A-Z]+)\$[0-9]+"),""),"")</f>
        <v/>
      </c>
      <c r="C35" s="6" t="str" cm="1">
        <f t="array" aca="1" ref="C35" ca="1">IFERROR(IF(OR('Raw Data'!C35="",LEN(TRIM('Raw Data'!C35))=0),_xlfn.REGEXEXTRACT(CELL("address",'Raw Data'!C35),"\$([A-Z]+)\$[0-9]+"),""),"")</f>
        <v/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2:28" x14ac:dyDescent="0.25">
      <c r="B36" s="6" t="str" cm="1">
        <f t="array" aca="1" ref="B36" ca="1">IFERROR(IF(OR('Raw Data'!B36="",LEN(TRIM('Raw Data'!B36))=0),_xlfn.REGEXEXTRACT(CELL("address",'Raw Data'!B36),"\$([A-Z]+)\$[0-9]+"),""),"")</f>
        <v/>
      </c>
      <c r="C36" s="6" t="str" cm="1">
        <f t="array" aca="1" ref="C36" ca="1">IFERROR(IF(OR('Raw Data'!C36="",LEN(TRIM('Raw Data'!C36))=0),_xlfn.REGEXEXTRACT(CELL("address",'Raw Data'!C36),"\$([A-Z]+)\$[0-9]+"),""),"")</f>
        <v/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2:28" x14ac:dyDescent="0.25">
      <c r="B37" s="6" t="str" cm="1">
        <f t="array" aca="1" ref="B37" ca="1">IFERROR(IF(OR('Raw Data'!B37="",LEN(TRIM('Raw Data'!B37))=0),_xlfn.REGEXEXTRACT(CELL("address",'Raw Data'!B37),"\$([A-Z]+)\$[0-9]+"),""),"")</f>
        <v/>
      </c>
      <c r="C37" s="6" t="str" cm="1">
        <f t="array" aca="1" ref="C37" ca="1">IFERROR(IF(OR('Raw Data'!C37="",LEN(TRIM('Raw Data'!C37))=0),_xlfn.REGEXEXTRACT(CELL("address",'Raw Data'!C37),"\$([A-Z]+)\$[0-9]+"),""),"")</f>
        <v/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2:28" x14ac:dyDescent="0.25">
      <c r="B38" s="6" t="str" cm="1">
        <f t="array" aca="1" ref="B38" ca="1">IFERROR(IF(OR('Raw Data'!B38="",LEN(TRIM('Raw Data'!B38))=0),_xlfn.REGEXEXTRACT(CELL("address",'Raw Data'!B38),"\$([A-Z]+)\$[0-9]+"),""),"")</f>
        <v/>
      </c>
      <c r="C38" s="6" t="str" cm="1">
        <f t="array" aca="1" ref="C38" ca="1">IFERROR(IF(OR('Raw Data'!C38="",LEN(TRIM('Raw Data'!C38))=0),_xlfn.REGEXEXTRACT(CELL("address",'Raw Data'!C38),"\$([A-Z]+)\$[0-9]+"),""),"")</f>
        <v/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2:28" x14ac:dyDescent="0.25">
      <c r="B39" s="6" t="str" cm="1">
        <f t="array" aca="1" ref="B39" ca="1">IFERROR(IF(OR('Raw Data'!B39="",LEN(TRIM('Raw Data'!B39))=0),_xlfn.REGEXEXTRACT(CELL("address",'Raw Data'!B39),"\$([A-Z]+)\$[0-9]+"),""),"")</f>
        <v/>
      </c>
      <c r="C39" s="6" t="str" cm="1">
        <f t="array" aca="1" ref="C39" ca="1">IFERROR(IF(OR('Raw Data'!C39="",LEN(TRIM('Raw Data'!C39))=0),_xlfn.REGEXEXTRACT(CELL("address",'Raw Data'!C39),"\$([A-Z]+)\$[0-9]+"),""),"")</f>
        <v/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2:28" x14ac:dyDescent="0.25">
      <c r="B40" s="6" t="str" cm="1">
        <f t="array" aca="1" ref="B40" ca="1">IFERROR(IF(OR('Raw Data'!B40="",LEN(TRIM('Raw Data'!B40))=0),_xlfn.REGEXEXTRACT(CELL("address",'Raw Data'!B40),"\$([A-Z]+)\$[0-9]+"),""),"")</f>
        <v/>
      </c>
      <c r="C40" s="6" t="str" cm="1">
        <f t="array" aca="1" ref="C40" ca="1">IFERROR(IF(OR('Raw Data'!C40="",LEN(TRIM('Raw Data'!C40))=0),_xlfn.REGEXEXTRACT(CELL("address",'Raw Data'!C40),"\$([A-Z]+)\$[0-9]+"),""),"")</f>
        <v/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2:28" x14ac:dyDescent="0.25">
      <c r="B41" s="6" t="str" cm="1">
        <f t="array" aca="1" ref="B41" ca="1">IFERROR(IF(OR('Raw Data'!B41="",LEN(TRIM('Raw Data'!B41))=0),_xlfn.REGEXEXTRACT(CELL("address",'Raw Data'!B41),"\$([A-Z]+)\$[0-9]+"),""),"")</f>
        <v/>
      </c>
      <c r="C41" s="6" t="str" cm="1">
        <f t="array" aca="1" ref="C41" ca="1">IFERROR(IF(OR('Raw Data'!C41="",LEN(TRIM('Raw Data'!C41))=0),_xlfn.REGEXEXTRACT(CELL("address",'Raw Data'!C41),"\$([A-Z]+)\$[0-9]+"),""),"")</f>
        <v/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2:28" x14ac:dyDescent="0.25">
      <c r="B42" s="6" t="str" cm="1">
        <f t="array" aca="1" ref="B42" ca="1">IFERROR(IF(OR('Raw Data'!B42="",LEN(TRIM('Raw Data'!B42))=0),_xlfn.REGEXEXTRACT(CELL("address",'Raw Data'!B42),"\$([A-Z]+)\$[0-9]+"),""),"")</f>
        <v/>
      </c>
      <c r="C42" s="6" t="str" cm="1">
        <f t="array" aca="1" ref="C42" ca="1">IFERROR(IF(OR('Raw Data'!C42="",LEN(TRIM('Raw Data'!C42))=0),_xlfn.REGEXEXTRACT(CELL("address",'Raw Data'!C42),"\$([A-Z]+)\$[0-9]+"),""),"")</f>
        <v/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2:28" x14ac:dyDescent="0.25">
      <c r="B43" s="6" t="str" cm="1">
        <f t="array" aca="1" ref="B43" ca="1">IFERROR(IF(OR('Raw Data'!B43="",LEN(TRIM('Raw Data'!B43))=0),_xlfn.REGEXEXTRACT(CELL("address",'Raw Data'!B43),"\$([A-Z]+)\$[0-9]+"),""),"")</f>
        <v/>
      </c>
      <c r="C43" s="6" t="str" cm="1">
        <f t="array" aca="1" ref="C43" ca="1">IFERROR(IF(OR('Raw Data'!C43="",LEN(TRIM('Raw Data'!C43))=0),_xlfn.REGEXEXTRACT(CELL("address",'Raw Data'!C43),"\$([A-Z]+)\$[0-9]+"),""),"")</f>
        <v/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2:28" x14ac:dyDescent="0.25">
      <c r="B44" s="6" t="str" cm="1">
        <f t="array" aca="1" ref="B44" ca="1">IFERROR(IF(OR('Raw Data'!B44="",LEN(TRIM('Raw Data'!B44))=0),_xlfn.REGEXEXTRACT(CELL("address",'Raw Data'!B44),"\$([A-Z]+)\$[0-9]+"),""),"")</f>
        <v/>
      </c>
      <c r="C44" s="6" t="str" cm="1">
        <f t="array" aca="1" ref="C44" ca="1">IFERROR(IF(OR('Raw Data'!C44="",LEN(TRIM('Raw Data'!C44))=0),_xlfn.REGEXEXTRACT(CELL("address",'Raw Data'!C44),"\$([A-Z]+)\$[0-9]+"),""),"")</f>
        <v/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2:28" x14ac:dyDescent="0.25">
      <c r="B45" s="6" t="str" cm="1">
        <f t="array" aca="1" ref="B45" ca="1">IFERROR(IF(OR('Raw Data'!B45="",LEN(TRIM('Raw Data'!B45))=0),_xlfn.REGEXEXTRACT(CELL("address",'Raw Data'!B45),"\$([A-Z]+)\$[0-9]+"),""),"")</f>
        <v/>
      </c>
      <c r="C45" s="6" t="str" cm="1">
        <f t="array" aca="1" ref="C45" ca="1">IFERROR(IF(OR('Raw Data'!C45="",LEN(TRIM('Raw Data'!C45))=0),_xlfn.REGEXEXTRACT(CELL("address",'Raw Data'!C45),"\$([A-Z]+)\$[0-9]+"),""),"")</f>
        <v/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2:28" x14ac:dyDescent="0.25">
      <c r="B46" s="6" t="str" cm="1">
        <f t="array" aca="1" ref="B46" ca="1">IFERROR(IF(OR('Raw Data'!B46="",LEN(TRIM('Raw Data'!B46))=0),_xlfn.REGEXEXTRACT(CELL("address",'Raw Data'!B46),"\$([A-Z]+)\$[0-9]+"),""),"")</f>
        <v/>
      </c>
      <c r="C46" s="6" t="str" cm="1">
        <f t="array" aca="1" ref="C46" ca="1">IFERROR(IF(OR('Raw Data'!C46="",LEN(TRIM('Raw Data'!C46))=0),_xlfn.REGEXEXTRACT(CELL("address",'Raw Data'!C46),"\$([A-Z]+)\$[0-9]+"),""),"")</f>
        <v/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2:28" x14ac:dyDescent="0.25">
      <c r="B47" s="6" t="str" cm="1">
        <f t="array" aca="1" ref="B47" ca="1">IFERROR(IF(OR('Raw Data'!B47="",LEN(TRIM('Raw Data'!B47))=0),_xlfn.REGEXEXTRACT(CELL("address",'Raw Data'!B47),"\$([A-Z]+)\$[0-9]+"),""),"")</f>
        <v/>
      </c>
      <c r="C47" s="6" t="str" cm="1">
        <f t="array" aca="1" ref="C47" ca="1">IFERROR(IF(OR('Raw Data'!C47="",LEN(TRIM('Raw Data'!C47))=0),_xlfn.REGEXEXTRACT(CELL("address",'Raw Data'!C47),"\$([A-Z]+)\$[0-9]+"),""),"")</f>
        <v/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2:28" x14ac:dyDescent="0.25">
      <c r="B48" s="6" t="str" cm="1">
        <f t="array" aca="1" ref="B48" ca="1">IFERROR(IF(OR('Raw Data'!B48="",LEN(TRIM('Raw Data'!B48))=0),_xlfn.REGEXEXTRACT(CELL("address",'Raw Data'!B48),"\$([A-Z]+)\$[0-9]+"),""),"")</f>
        <v/>
      </c>
      <c r="C48" s="6" t="str" cm="1">
        <f t="array" aca="1" ref="C48" ca="1">IFERROR(IF(OR('Raw Data'!C48="",LEN(TRIM('Raw Data'!C48))=0),_xlfn.REGEXEXTRACT(CELL("address",'Raw Data'!C48),"\$([A-Z]+)\$[0-9]+"),""),"")</f>
        <v/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2:28" x14ac:dyDescent="0.25">
      <c r="B49" s="6" t="str" cm="1">
        <f t="array" aca="1" ref="B49" ca="1">IFERROR(IF(OR('Raw Data'!B49="",LEN(TRIM('Raw Data'!B49))=0),_xlfn.REGEXEXTRACT(CELL("address",'Raw Data'!B49),"\$([A-Z]+)\$[0-9]+"),""),"")</f>
        <v/>
      </c>
      <c r="C49" s="6" t="str" cm="1">
        <f t="array" aca="1" ref="C49" ca="1">IFERROR(IF(OR('Raw Data'!C49="",LEN(TRIM('Raw Data'!C49))=0),_xlfn.REGEXEXTRACT(CELL("address",'Raw Data'!C49),"\$([A-Z]+)\$[0-9]+"),""),"")</f>
        <v/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2:28" x14ac:dyDescent="0.25">
      <c r="B50" s="6" t="str" cm="1">
        <f t="array" aca="1" ref="B50" ca="1">IFERROR(IF(OR('Raw Data'!B50="",LEN(TRIM('Raw Data'!B50))=0),_xlfn.REGEXEXTRACT(CELL("address",'Raw Data'!B50),"\$([A-Z]+)\$[0-9]+"),""),"")</f>
        <v/>
      </c>
      <c r="C50" s="6" t="str" cm="1">
        <f t="array" aca="1" ref="C50" ca="1">IFERROR(IF(OR('Raw Data'!C50="",LEN(TRIM('Raw Data'!C50))=0),_xlfn.REGEXEXTRACT(CELL("address",'Raw Data'!C50),"\$([A-Z]+)\$[0-9]+"),""),"")</f>
        <v/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2:28" x14ac:dyDescent="0.25">
      <c r="B51" s="6" t="str" cm="1">
        <f t="array" aca="1" ref="B51" ca="1">IFERROR(IF(OR('Raw Data'!B51="",LEN(TRIM('Raw Data'!B51))=0),_xlfn.REGEXEXTRACT(CELL("address",'Raw Data'!B51),"\$([A-Z]+)\$[0-9]+"),""),"")</f>
        <v/>
      </c>
      <c r="C51" s="6" t="str" cm="1">
        <f t="array" aca="1" ref="C51" ca="1">IFERROR(IF(OR('Raw Data'!C51="",LEN(TRIM('Raw Data'!C51))=0),_xlfn.REGEXEXTRACT(CELL("address",'Raw Data'!C51),"\$([A-Z]+)\$[0-9]+"),""),"")</f>
        <v/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2:28" x14ac:dyDescent="0.25">
      <c r="B52" s="6" t="str" cm="1">
        <f t="array" aca="1" ref="B52" ca="1">IFERROR(IF(OR('Raw Data'!B52="",LEN(TRIM('Raw Data'!B52))=0),_xlfn.REGEXEXTRACT(CELL("address",'Raw Data'!B52),"\$([A-Z]+)\$[0-9]+"),""),"")</f>
        <v/>
      </c>
      <c r="C52" s="6" t="str" cm="1">
        <f t="array" aca="1" ref="C52" ca="1">IFERROR(IF(OR('Raw Data'!C52="",LEN(TRIM('Raw Data'!C52))=0),_xlfn.REGEXEXTRACT(CELL("address",'Raw Data'!C52),"\$([A-Z]+)\$[0-9]+"),""),"")</f>
        <v/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2:28" x14ac:dyDescent="0.25">
      <c r="B53" s="6" t="str" cm="1">
        <f t="array" aca="1" ref="B53" ca="1">IFERROR(IF(OR('Raw Data'!B53="",LEN(TRIM('Raw Data'!B53))=0),_xlfn.REGEXEXTRACT(CELL("address",'Raw Data'!B53),"\$([A-Z]+)\$[0-9]+"),""),"")</f>
        <v/>
      </c>
      <c r="C53" s="6" t="str" cm="1">
        <f t="array" aca="1" ref="C53" ca="1">IFERROR(IF(OR('Raw Data'!C53="",LEN(TRIM('Raw Data'!C53))=0),_xlfn.REGEXEXTRACT(CELL("address",'Raw Data'!C53),"\$([A-Z]+)\$[0-9]+"),""),"")</f>
        <v/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2:28" x14ac:dyDescent="0.25">
      <c r="B54" s="6" t="str" cm="1">
        <f t="array" aca="1" ref="B54" ca="1">IFERROR(IF(OR('Raw Data'!B54="",LEN(TRIM('Raw Data'!B54))=0),_xlfn.REGEXEXTRACT(CELL("address",'Raw Data'!B54),"\$([A-Z]+)\$[0-9]+"),""),"")</f>
        <v/>
      </c>
      <c r="C54" s="6" t="str" cm="1">
        <f t="array" aca="1" ref="C54" ca="1">IFERROR(IF(OR('Raw Data'!C54="",LEN(TRIM('Raw Data'!C54))=0),_xlfn.REGEXEXTRACT(CELL("address",'Raw Data'!C54),"\$([A-Z]+)\$[0-9]+"),""),"")</f>
        <v/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2:28" x14ac:dyDescent="0.25">
      <c r="B55" s="6" t="str" cm="1">
        <f t="array" aca="1" ref="B55" ca="1">IFERROR(IF(OR('Raw Data'!B55="",LEN(TRIM('Raw Data'!B55))=0),_xlfn.REGEXEXTRACT(CELL("address",'Raw Data'!B55),"\$([A-Z]+)\$[0-9]+"),""),"")</f>
        <v/>
      </c>
      <c r="C55" s="6" t="str" cm="1">
        <f t="array" aca="1" ref="C55" ca="1">IFERROR(IF(OR('Raw Data'!C55="",LEN(TRIM('Raw Data'!C55))=0),_xlfn.REGEXEXTRACT(CELL("address",'Raw Data'!C55),"\$([A-Z]+)\$[0-9]+"),""),"")</f>
        <v/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2:28" x14ac:dyDescent="0.25">
      <c r="B56" s="6" t="str" cm="1">
        <f t="array" aca="1" ref="B56" ca="1">IFERROR(IF(OR('Raw Data'!B56="",LEN(TRIM('Raw Data'!B56))=0),_xlfn.REGEXEXTRACT(CELL("address",'Raw Data'!B56),"\$([A-Z]+)\$[0-9]+"),""),"")</f>
        <v/>
      </c>
      <c r="C56" s="6" t="str" cm="1">
        <f t="array" aca="1" ref="C56" ca="1">IFERROR(IF(OR('Raw Data'!C56="",LEN(TRIM('Raw Data'!C56))=0),_xlfn.REGEXEXTRACT(CELL("address",'Raw Data'!C56),"\$([A-Z]+)\$[0-9]+"),""),"")</f>
        <v/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2:28" x14ac:dyDescent="0.25">
      <c r="B57" s="6" t="str" cm="1">
        <f t="array" aca="1" ref="B57" ca="1">IFERROR(IF(OR('Raw Data'!B57="",LEN(TRIM('Raw Data'!B57))=0),_xlfn.REGEXEXTRACT(CELL("address",'Raw Data'!B57),"\$([A-Z]+)\$[0-9]+"),""),"")</f>
        <v/>
      </c>
      <c r="C57" s="6" t="str" cm="1">
        <f t="array" aca="1" ref="C57" ca="1">IFERROR(IF(OR('Raw Data'!C57="",LEN(TRIM('Raw Data'!C57))=0),_xlfn.REGEXEXTRACT(CELL("address",'Raw Data'!C57),"\$([A-Z]+)\$[0-9]+"),""),"")</f>
        <v/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2:28" x14ac:dyDescent="0.25">
      <c r="B58" s="6" t="str" cm="1">
        <f t="array" aca="1" ref="B58" ca="1">IFERROR(IF(OR('Raw Data'!B58="",LEN(TRIM('Raw Data'!B58))=0),_xlfn.REGEXEXTRACT(CELL("address",'Raw Data'!B58),"\$([A-Z]+)\$[0-9]+"),""),"")</f>
        <v/>
      </c>
      <c r="C58" s="6" t="str" cm="1">
        <f t="array" aca="1" ref="C58" ca="1">IFERROR(IF(OR('Raw Data'!C58="",LEN(TRIM('Raw Data'!C58))=0),_xlfn.REGEXEXTRACT(CELL("address",'Raw Data'!C58),"\$([A-Z]+)\$[0-9]+"),""),"")</f>
        <v/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2:28" x14ac:dyDescent="0.25">
      <c r="B59" s="6" t="str" cm="1">
        <f t="array" aca="1" ref="B59" ca="1">IFERROR(IF(OR('Raw Data'!B59="",LEN(TRIM('Raw Data'!B59))=0),_xlfn.REGEXEXTRACT(CELL("address",'Raw Data'!B59),"\$([A-Z]+)\$[0-9]+"),""),"")</f>
        <v/>
      </c>
      <c r="C59" s="6" t="str" cm="1">
        <f t="array" aca="1" ref="C59" ca="1">IFERROR(IF(OR('Raw Data'!C59="",LEN(TRIM('Raw Data'!C59))=0),_xlfn.REGEXEXTRACT(CELL("address",'Raw Data'!C59),"\$([A-Z]+)\$[0-9]+"),""),"")</f>
        <v/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2:28" x14ac:dyDescent="0.25">
      <c r="B60" s="6" t="str" cm="1">
        <f t="array" aca="1" ref="B60" ca="1">IFERROR(IF(OR('Raw Data'!B60="",LEN(TRIM('Raw Data'!B60))=0),_xlfn.REGEXEXTRACT(CELL("address",'Raw Data'!B60),"\$([A-Z]+)\$[0-9]+"),""),"")</f>
        <v/>
      </c>
      <c r="C60" s="6" t="str" cm="1">
        <f t="array" aca="1" ref="C60" ca="1">IFERROR(IF(OR('Raw Data'!C60="",LEN(TRIM('Raw Data'!C60))=0),_xlfn.REGEXEXTRACT(CELL("address",'Raw Data'!C60),"\$([A-Z]+)\$[0-9]+"),""),"")</f>
        <v/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2:28" x14ac:dyDescent="0.25">
      <c r="B61" s="6" t="str" cm="1">
        <f t="array" aca="1" ref="B61" ca="1">IFERROR(IF(OR('Raw Data'!B61="",LEN(TRIM('Raw Data'!B61))=0),_xlfn.REGEXEXTRACT(CELL("address",'Raw Data'!B61),"\$([A-Z]+)\$[0-9]+"),""),"")</f>
        <v/>
      </c>
      <c r="C61" s="6" t="str" cm="1">
        <f t="array" aca="1" ref="C61" ca="1">IFERROR(IF(OR('Raw Data'!C61="",LEN(TRIM('Raw Data'!C61))=0),_xlfn.REGEXEXTRACT(CELL("address",'Raw Data'!C61),"\$([A-Z]+)\$[0-9]+"),""),"")</f>
        <v/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2:28" x14ac:dyDescent="0.25">
      <c r="B62" s="6" t="str" cm="1">
        <f t="array" aca="1" ref="B62" ca="1">IFERROR(IF(OR('Raw Data'!B62="",LEN(TRIM('Raw Data'!B62))=0),_xlfn.REGEXEXTRACT(CELL("address",'Raw Data'!B62),"\$([A-Z]+)\$[0-9]+"),""),"")</f>
        <v/>
      </c>
      <c r="C62" s="6" t="str" cm="1">
        <f t="array" aca="1" ref="C62" ca="1">IFERROR(IF(OR('Raw Data'!C62="",LEN(TRIM('Raw Data'!C62))=0),_xlfn.REGEXEXTRACT(CELL("address",'Raw Data'!C62),"\$([A-Z]+)\$[0-9]+"),""),"")</f>
        <v/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2:28" x14ac:dyDescent="0.25">
      <c r="B63" s="6" t="str" cm="1">
        <f t="array" aca="1" ref="B63" ca="1">IFERROR(IF(OR('Raw Data'!B63="",LEN(TRIM('Raw Data'!B63))=0),_xlfn.REGEXEXTRACT(CELL("address",'Raw Data'!B63),"\$([A-Z]+)\$[0-9]+"),""),"")</f>
        <v/>
      </c>
      <c r="C63" s="6" t="str" cm="1">
        <f t="array" aca="1" ref="C63" ca="1">IFERROR(IF(OR('Raw Data'!C63="",LEN(TRIM('Raw Data'!C63))=0),_xlfn.REGEXEXTRACT(CELL("address",'Raw Data'!C63),"\$([A-Z]+)\$[0-9]+"),""),"")</f>
        <v/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2:28" x14ac:dyDescent="0.25">
      <c r="B64" s="6" t="str" cm="1">
        <f t="array" aca="1" ref="B64" ca="1">IFERROR(IF(OR('Raw Data'!B64="",LEN(TRIM('Raw Data'!B64))=0),_xlfn.REGEXEXTRACT(CELL("address",'Raw Data'!B64),"\$([A-Z]+)\$[0-9]+"),""),"")</f>
        <v/>
      </c>
      <c r="C64" s="6" t="str" cm="1">
        <f t="array" aca="1" ref="C64" ca="1">IFERROR(IF(OR('Raw Data'!C64="",LEN(TRIM('Raw Data'!C64))=0),_xlfn.REGEXEXTRACT(CELL("address",'Raw Data'!C64),"\$([A-Z]+)\$[0-9]+"),""),"")</f>
        <v/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2:28" x14ac:dyDescent="0.25">
      <c r="B65" s="6" t="str" cm="1">
        <f t="array" aca="1" ref="B65" ca="1">IFERROR(IF(OR('Raw Data'!B65="",LEN(TRIM('Raw Data'!B65))=0),_xlfn.REGEXEXTRACT(CELL("address",'Raw Data'!B65),"\$([A-Z]+)\$[0-9]+"),""),"")</f>
        <v/>
      </c>
      <c r="C65" s="6" t="str" cm="1">
        <f t="array" aca="1" ref="C65" ca="1">IFERROR(IF(OR('Raw Data'!C65="",LEN(TRIM('Raw Data'!C65))=0),_xlfn.REGEXEXTRACT(CELL("address",'Raw Data'!C65),"\$([A-Z]+)\$[0-9]+"),""),"")</f>
        <v/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2:28" x14ac:dyDescent="0.25">
      <c r="B66" s="6" t="str" cm="1">
        <f t="array" aca="1" ref="B66" ca="1">IFERROR(IF(OR('Raw Data'!B66="",LEN(TRIM('Raw Data'!B66))=0),_xlfn.REGEXEXTRACT(CELL("address",'Raw Data'!B66),"\$([A-Z]+)\$[0-9]+"),""),"")</f>
        <v/>
      </c>
      <c r="C66" s="6" t="str" cm="1">
        <f t="array" aca="1" ref="C66" ca="1">IFERROR(IF(OR('Raw Data'!C66="",LEN(TRIM('Raw Data'!C66))=0),_xlfn.REGEXEXTRACT(CELL("address",'Raw Data'!C66),"\$([A-Z]+)\$[0-9]+"),""),"")</f>
        <v/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2:28" x14ac:dyDescent="0.25">
      <c r="B67" s="6" t="str" cm="1">
        <f t="array" aca="1" ref="B67" ca="1">IFERROR(IF(OR('Raw Data'!B67="",LEN(TRIM('Raw Data'!B67))=0),_xlfn.REGEXEXTRACT(CELL("address",'Raw Data'!B67),"\$([A-Z]+)\$[0-9]+"),""),"")</f>
        <v/>
      </c>
      <c r="C67" s="6" t="str" cm="1">
        <f t="array" aca="1" ref="C67" ca="1">IFERROR(IF(OR('Raw Data'!C67="",LEN(TRIM('Raw Data'!C67))=0),_xlfn.REGEXEXTRACT(CELL("address",'Raw Data'!C67),"\$([A-Z]+)\$[0-9]+"),""),"")</f>
        <v/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2:28" x14ac:dyDescent="0.25">
      <c r="B68" s="6" t="str" cm="1">
        <f t="array" aca="1" ref="B68" ca="1">IFERROR(IF(OR('Raw Data'!B68="",LEN(TRIM('Raw Data'!B68))=0),_xlfn.REGEXEXTRACT(CELL("address",'Raw Data'!B68),"\$([A-Z]+)\$[0-9]+"),""),"")</f>
        <v/>
      </c>
      <c r="C68" s="6" t="str" cm="1">
        <f t="array" aca="1" ref="C68" ca="1">IFERROR(IF(OR('Raw Data'!C68="",LEN(TRIM('Raw Data'!C68))=0),_xlfn.REGEXEXTRACT(CELL("address",'Raw Data'!C68),"\$([A-Z]+)\$[0-9]+"),""),"")</f>
        <v/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2:28" x14ac:dyDescent="0.25">
      <c r="B69" s="6" t="str" cm="1">
        <f t="array" aca="1" ref="B69" ca="1">IFERROR(IF(OR('Raw Data'!B69="",LEN(TRIM('Raw Data'!B69))=0),_xlfn.REGEXEXTRACT(CELL("address",'Raw Data'!B69),"\$([A-Z]+)\$[0-9]+"),""),"")</f>
        <v/>
      </c>
      <c r="C69" s="6" t="str" cm="1">
        <f t="array" aca="1" ref="C69" ca="1">IFERROR(IF(OR('Raw Data'!C69="",LEN(TRIM('Raw Data'!C69))=0),_xlfn.REGEXEXTRACT(CELL("address",'Raw Data'!C69),"\$([A-Z]+)\$[0-9]+"),""),"")</f>
        <v/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2:28" x14ac:dyDescent="0.25">
      <c r="B70" s="6" t="str" cm="1">
        <f t="array" aca="1" ref="B70" ca="1">IFERROR(IF(OR('Raw Data'!B70="",LEN(TRIM('Raw Data'!B70))=0),_xlfn.REGEXEXTRACT(CELL("address",'Raw Data'!B70),"\$([A-Z]+)\$[0-9]+"),""),"")</f>
        <v/>
      </c>
      <c r="C70" s="6" t="str" cm="1">
        <f t="array" aca="1" ref="C70" ca="1">IFERROR(IF(OR('Raw Data'!C70="",LEN(TRIM('Raw Data'!C70))=0),_xlfn.REGEXEXTRACT(CELL("address",'Raw Data'!C70),"\$([A-Z]+)\$[0-9]+"),""),"")</f>
        <v/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2:28" x14ac:dyDescent="0.25">
      <c r="B71" s="6" t="str" cm="1">
        <f t="array" aca="1" ref="B71" ca="1">IFERROR(IF(OR('Raw Data'!B71="",LEN(TRIM('Raw Data'!B71))=0),_xlfn.REGEXEXTRACT(CELL("address",'Raw Data'!B71),"\$([A-Z]+)\$[0-9]+"),""),"")</f>
        <v/>
      </c>
      <c r="C71" s="6" t="str" cm="1">
        <f t="array" aca="1" ref="C71" ca="1">IFERROR(IF(OR('Raw Data'!C71="",LEN(TRIM('Raw Data'!C71))=0),_xlfn.REGEXEXTRACT(CELL("address",'Raw Data'!C71),"\$([A-Z]+)\$[0-9]+"),""),"")</f>
        <v/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2:28" x14ac:dyDescent="0.25">
      <c r="B72" s="6" t="str" cm="1">
        <f t="array" aca="1" ref="B72" ca="1">IFERROR(IF(OR('Raw Data'!B72="",LEN(TRIM('Raw Data'!B72))=0),_xlfn.REGEXEXTRACT(CELL("address",'Raw Data'!B72),"\$([A-Z]+)\$[0-9]+"),""),"")</f>
        <v/>
      </c>
      <c r="C72" s="6" t="str" cm="1">
        <f t="array" aca="1" ref="C72" ca="1">IFERROR(IF(OR('Raw Data'!C72="",LEN(TRIM('Raw Data'!C72))=0),_xlfn.REGEXEXTRACT(CELL("address",'Raw Data'!C72),"\$([A-Z]+)\$[0-9]+"),""),"")</f>
        <v/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2:28" x14ac:dyDescent="0.25">
      <c r="B73" s="6" t="str" cm="1">
        <f t="array" aca="1" ref="B73" ca="1">IFERROR(IF(OR('Raw Data'!B73="",LEN(TRIM('Raw Data'!B73))=0),_xlfn.REGEXEXTRACT(CELL("address",'Raw Data'!B73),"\$([A-Z]+)\$[0-9]+"),""),"")</f>
        <v/>
      </c>
      <c r="C73" s="6" t="str" cm="1">
        <f t="array" aca="1" ref="C73" ca="1">IFERROR(IF(OR('Raw Data'!C73="",LEN(TRIM('Raw Data'!C73))=0),_xlfn.REGEXEXTRACT(CELL("address",'Raw Data'!C73),"\$([A-Z]+)\$[0-9]+"),""),"")</f>
        <v/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2:28" x14ac:dyDescent="0.25">
      <c r="B74" s="6" t="str" cm="1">
        <f t="array" aca="1" ref="B74" ca="1">IFERROR(IF(OR('Raw Data'!B74="",LEN(TRIM('Raw Data'!B74))=0),_xlfn.REGEXEXTRACT(CELL("address",'Raw Data'!B74),"\$([A-Z]+)\$[0-9]+"),""),"")</f>
        <v/>
      </c>
      <c r="C74" s="6" t="str" cm="1">
        <f t="array" aca="1" ref="C74" ca="1">IFERROR(IF(OR('Raw Data'!C74="",LEN(TRIM('Raw Data'!C74))=0),_xlfn.REGEXEXTRACT(CELL("address",'Raw Data'!C74),"\$([A-Z]+)\$[0-9]+"),""),"")</f>
        <v/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2:28" x14ac:dyDescent="0.25">
      <c r="B75" s="6" t="str" cm="1">
        <f t="array" aca="1" ref="B75" ca="1">IFERROR(IF(OR('Raw Data'!B75="",LEN(TRIM('Raw Data'!B75))=0),_xlfn.REGEXEXTRACT(CELL("address",'Raw Data'!B75),"\$([A-Z]+)\$[0-9]+"),""),"")</f>
        <v/>
      </c>
      <c r="C75" s="6" t="str" cm="1">
        <f t="array" aca="1" ref="C75" ca="1">IFERROR(IF(OR('Raw Data'!C75="",LEN(TRIM('Raw Data'!C75))=0),_xlfn.REGEXEXTRACT(CELL("address",'Raw Data'!C75),"\$([A-Z]+)\$[0-9]+"),""),"")</f>
        <v/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2:28" x14ac:dyDescent="0.25">
      <c r="B76" s="6" t="str" cm="1">
        <f t="array" aca="1" ref="B76" ca="1">IFERROR(IF(OR('Raw Data'!B76="",LEN(TRIM('Raw Data'!B76))=0),_xlfn.REGEXEXTRACT(CELL("address",'Raw Data'!B76),"\$([A-Z]+)\$[0-9]+"),""),"")</f>
        <v/>
      </c>
      <c r="C76" s="6" t="str" cm="1">
        <f t="array" aca="1" ref="C76" ca="1">IFERROR(IF(OR('Raw Data'!C76="",LEN(TRIM('Raw Data'!C76))=0),_xlfn.REGEXEXTRACT(CELL("address",'Raw Data'!C76),"\$([A-Z]+)\$[0-9]+"),""),"")</f>
        <v/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2:28" x14ac:dyDescent="0.25">
      <c r="B77" s="6" t="str" cm="1">
        <f t="array" aca="1" ref="B77" ca="1">IFERROR(IF(OR('Raw Data'!B77="",LEN(TRIM('Raw Data'!B77))=0),_xlfn.REGEXEXTRACT(CELL("address",'Raw Data'!B77),"\$([A-Z]+)\$[0-9]+"),""),"")</f>
        <v/>
      </c>
      <c r="C77" s="6" t="str" cm="1">
        <f t="array" aca="1" ref="C77" ca="1">IFERROR(IF(OR('Raw Data'!C77="",LEN(TRIM('Raw Data'!C77))=0),_xlfn.REGEXEXTRACT(CELL("address",'Raw Data'!C77),"\$([A-Z]+)\$[0-9]+"),""),"")</f>
        <v/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2:28" x14ac:dyDescent="0.25">
      <c r="B78" s="6" t="str" cm="1">
        <f t="array" aca="1" ref="B78" ca="1">IFERROR(IF(OR('Raw Data'!B78="",LEN(TRIM('Raw Data'!B78))=0),_xlfn.REGEXEXTRACT(CELL("address",'Raw Data'!B78),"\$([A-Z]+)\$[0-9]+"),""),"")</f>
        <v/>
      </c>
      <c r="C78" s="6" t="str" cm="1">
        <f t="array" aca="1" ref="C78" ca="1">IFERROR(IF(OR('Raw Data'!C78="",LEN(TRIM('Raw Data'!C78))=0),_xlfn.REGEXEXTRACT(CELL("address",'Raw Data'!C78),"\$([A-Z]+)\$[0-9]+"),""),"")</f>
        <v/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2:28" x14ac:dyDescent="0.25">
      <c r="B79" s="6" t="str" cm="1">
        <f t="array" aca="1" ref="B79" ca="1">IFERROR(IF(OR('Raw Data'!B79="",LEN(TRIM('Raw Data'!B79))=0),_xlfn.REGEXEXTRACT(CELL("address",'Raw Data'!B79),"\$([A-Z]+)\$[0-9]+"),""),"")</f>
        <v/>
      </c>
      <c r="C79" s="6" t="str" cm="1">
        <f t="array" aca="1" ref="C79" ca="1">IFERROR(IF(OR('Raw Data'!C79="",LEN(TRIM('Raw Data'!C79))=0),_xlfn.REGEXEXTRACT(CELL("address",'Raw Data'!C79),"\$([A-Z]+)\$[0-9]+"),""),"")</f>
        <v/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2:28" x14ac:dyDescent="0.25">
      <c r="B80" s="6" t="str" cm="1">
        <f t="array" aca="1" ref="B80" ca="1">IFERROR(IF(OR('Raw Data'!B80="",LEN(TRIM('Raw Data'!B80))=0),_xlfn.REGEXEXTRACT(CELL("address",'Raw Data'!B80),"\$([A-Z]+)\$[0-9]+"),""),"")</f>
        <v/>
      </c>
      <c r="C80" s="6" t="str" cm="1">
        <f t="array" aca="1" ref="C80" ca="1">IFERROR(IF(OR('Raw Data'!C80="",LEN(TRIM('Raw Data'!C80))=0),_xlfn.REGEXEXTRACT(CELL("address",'Raw Data'!C80),"\$([A-Z]+)\$[0-9]+"),""),"")</f>
        <v/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2:28" x14ac:dyDescent="0.25">
      <c r="B81" s="6" t="str" cm="1">
        <f t="array" aca="1" ref="B81" ca="1">IFERROR(IF(OR('Raw Data'!B81="",LEN(TRIM('Raw Data'!B81))=0),_xlfn.REGEXEXTRACT(CELL("address",'Raw Data'!B81),"\$([A-Z]+)\$[0-9]+"),""),"")</f>
        <v/>
      </c>
      <c r="C81" s="6" t="str" cm="1">
        <f t="array" aca="1" ref="C81" ca="1">IFERROR(IF(OR('Raw Data'!C81="",LEN(TRIM('Raw Data'!C81))=0),_xlfn.REGEXEXTRACT(CELL("address",'Raw Data'!C81),"\$([A-Z]+)\$[0-9]+"),""),"")</f>
        <v/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2:28" x14ac:dyDescent="0.25">
      <c r="B82" s="6" t="str" cm="1">
        <f t="array" aca="1" ref="B82" ca="1">IFERROR(IF(OR('Raw Data'!B82="",LEN(TRIM('Raw Data'!B82))=0),_xlfn.REGEXEXTRACT(CELL("address",'Raw Data'!B82),"\$([A-Z]+)\$[0-9]+"),""),"")</f>
        <v/>
      </c>
      <c r="C82" s="6" t="str" cm="1">
        <f t="array" aca="1" ref="C82" ca="1">IFERROR(IF(OR('Raw Data'!C82="",LEN(TRIM('Raw Data'!C82))=0),_xlfn.REGEXEXTRACT(CELL("address",'Raw Data'!C82),"\$([A-Z]+)\$[0-9]+"),""),"")</f>
        <v/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2:28" x14ac:dyDescent="0.25">
      <c r="B83" s="6" t="str" cm="1">
        <f t="array" aca="1" ref="B83" ca="1">IFERROR(IF(OR('Raw Data'!B83="",LEN(TRIM('Raw Data'!B83))=0),_xlfn.REGEXEXTRACT(CELL("address",'Raw Data'!B83),"\$([A-Z]+)\$[0-9]+"),""),"")</f>
        <v/>
      </c>
      <c r="C83" s="6" t="str" cm="1">
        <f t="array" aca="1" ref="C83" ca="1">IFERROR(IF(OR('Raw Data'!C83="",LEN(TRIM('Raw Data'!C83))=0),_xlfn.REGEXEXTRACT(CELL("address",'Raw Data'!C83),"\$([A-Z]+)\$[0-9]+"),""),"")</f>
        <v/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2:28" x14ac:dyDescent="0.25">
      <c r="B84" s="6" t="str" cm="1">
        <f t="array" aca="1" ref="B84" ca="1">IFERROR(IF(OR('Raw Data'!B84="",LEN(TRIM('Raw Data'!B84))=0),_xlfn.REGEXEXTRACT(CELL("address",'Raw Data'!B84),"\$([A-Z]+)\$[0-9]+"),""),"")</f>
        <v/>
      </c>
      <c r="C84" s="6" t="str" cm="1">
        <f t="array" aca="1" ref="C84" ca="1">IFERROR(IF(OR('Raw Data'!C84="",LEN(TRIM('Raw Data'!C84))=0),_xlfn.REGEXEXTRACT(CELL("address",'Raw Data'!C84),"\$([A-Z]+)\$[0-9]+"),""),"")</f>
        <v/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2:28" x14ac:dyDescent="0.25">
      <c r="B85" s="6" t="str" cm="1">
        <f t="array" aca="1" ref="B85" ca="1">IFERROR(IF(OR('Raw Data'!B85="",LEN(TRIM('Raw Data'!B85))=0),_xlfn.REGEXEXTRACT(CELL("address",'Raw Data'!B85),"\$([A-Z]+)\$[0-9]+"),""),"")</f>
        <v/>
      </c>
      <c r="C85" s="6" t="str" cm="1">
        <f t="array" aca="1" ref="C85" ca="1">IFERROR(IF(OR('Raw Data'!C85="",LEN(TRIM('Raw Data'!C85))=0),_xlfn.REGEXEXTRACT(CELL("address",'Raw Data'!C85),"\$([A-Z]+)\$[0-9]+"),""),"")</f>
        <v/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2:28" x14ac:dyDescent="0.25">
      <c r="B86" s="6" t="str" cm="1">
        <f t="array" aca="1" ref="B86" ca="1">IFERROR(IF(OR('Raw Data'!B86="",LEN(TRIM('Raw Data'!B86))=0),_xlfn.REGEXEXTRACT(CELL("address",'Raw Data'!B86),"\$([A-Z]+)\$[0-9]+"),""),"")</f>
        <v/>
      </c>
      <c r="C86" s="6" t="str" cm="1">
        <f t="array" aca="1" ref="C86" ca="1">IFERROR(IF(OR('Raw Data'!C86="",LEN(TRIM('Raw Data'!C86))=0),_xlfn.REGEXEXTRACT(CELL("address",'Raw Data'!C86),"\$([A-Z]+)\$[0-9]+"),""),"")</f>
        <v/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2:28" x14ac:dyDescent="0.25">
      <c r="B87" s="6" t="str" cm="1">
        <f t="array" aca="1" ref="B87" ca="1">IFERROR(IF(OR('Raw Data'!B87="",LEN(TRIM('Raw Data'!B87))=0),_xlfn.REGEXEXTRACT(CELL("address",'Raw Data'!B87),"\$([A-Z]+)\$[0-9]+"),""),"")</f>
        <v/>
      </c>
      <c r="C87" s="6" t="str" cm="1">
        <f t="array" aca="1" ref="C87" ca="1">IFERROR(IF(OR('Raw Data'!C87="",LEN(TRIM('Raw Data'!C87))=0),_xlfn.REGEXEXTRACT(CELL("address",'Raw Data'!C87),"\$([A-Z]+)\$[0-9]+"),""),"")</f>
        <v/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2:28" x14ac:dyDescent="0.25">
      <c r="B88" s="6" t="str" cm="1">
        <f t="array" aca="1" ref="B88" ca="1">IFERROR(IF(OR('Raw Data'!B88="",LEN(TRIM('Raw Data'!B88))=0),_xlfn.REGEXEXTRACT(CELL("address",'Raw Data'!B88),"\$([A-Z]+)\$[0-9]+"),""),"")</f>
        <v/>
      </c>
      <c r="C88" s="6" t="str" cm="1">
        <f t="array" aca="1" ref="C88" ca="1">IFERROR(IF(OR('Raw Data'!C88="",LEN(TRIM('Raw Data'!C88))=0),_xlfn.REGEXEXTRACT(CELL("address",'Raw Data'!C88),"\$([A-Z]+)\$[0-9]+"),""),"")</f>
        <v/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2:28" x14ac:dyDescent="0.25">
      <c r="B89" s="6" t="str" cm="1">
        <f t="array" aca="1" ref="B89" ca="1">IFERROR(IF(OR('Raw Data'!B89="",LEN(TRIM('Raw Data'!B89))=0),_xlfn.REGEXEXTRACT(CELL("address",'Raw Data'!B89),"\$([A-Z]+)\$[0-9]+"),""),"")</f>
        <v/>
      </c>
      <c r="C89" s="6" t="str" cm="1">
        <f t="array" aca="1" ref="C89" ca="1">IFERROR(IF(OR('Raw Data'!C89="",LEN(TRIM('Raw Data'!C89))=0),_xlfn.REGEXEXTRACT(CELL("address",'Raw Data'!C89),"\$([A-Z]+)\$[0-9]+"),""),"")</f>
        <v/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2:28" x14ac:dyDescent="0.25">
      <c r="B90" s="6" t="str" cm="1">
        <f t="array" aca="1" ref="B90" ca="1">IFERROR(IF(OR('Raw Data'!B90="",LEN(TRIM('Raw Data'!B90))=0),_xlfn.REGEXEXTRACT(CELL("address",'Raw Data'!B90),"\$([A-Z]+)\$[0-9]+"),""),"")</f>
        <v/>
      </c>
      <c r="C90" s="6" t="str" cm="1">
        <f t="array" aca="1" ref="C90" ca="1">IFERROR(IF(OR('Raw Data'!C90="",LEN(TRIM('Raw Data'!C90))=0),_xlfn.REGEXEXTRACT(CELL("address",'Raw Data'!C90),"\$([A-Z]+)\$[0-9]+"),""),"")</f>
        <v/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2:28" x14ac:dyDescent="0.25">
      <c r="B91" s="6" t="str" cm="1">
        <f t="array" aca="1" ref="B91" ca="1">IFERROR(IF(OR('Raw Data'!B91="",LEN(TRIM('Raw Data'!B91))=0),_xlfn.REGEXEXTRACT(CELL("address",'Raw Data'!B91),"\$([A-Z]+)\$[0-9]+"),""),"")</f>
        <v/>
      </c>
      <c r="C91" s="6" t="str" cm="1">
        <f t="array" aca="1" ref="C91" ca="1">IFERROR(IF(OR('Raw Data'!C91="",LEN(TRIM('Raw Data'!C91))=0),_xlfn.REGEXEXTRACT(CELL("address",'Raw Data'!C91),"\$([A-Z]+)\$[0-9]+"),""),"")</f>
        <v/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2:28" x14ac:dyDescent="0.25">
      <c r="B92" s="6" t="str" cm="1">
        <f t="array" aca="1" ref="B92" ca="1">IFERROR(IF(OR('Raw Data'!B92="",LEN(TRIM('Raw Data'!B92))=0),_xlfn.REGEXEXTRACT(CELL("address",'Raw Data'!B92),"\$([A-Z]+)\$[0-9]+"),""),"")</f>
        <v/>
      </c>
      <c r="C92" s="6" t="str" cm="1">
        <f t="array" aca="1" ref="C92" ca="1">IFERROR(IF(OR('Raw Data'!C92="",LEN(TRIM('Raw Data'!C92))=0),_xlfn.REGEXEXTRACT(CELL("address",'Raw Data'!C92),"\$([A-Z]+)\$[0-9]+"),""),"")</f>
        <v/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2:28" x14ac:dyDescent="0.25">
      <c r="B93" s="6" t="str" cm="1">
        <f t="array" aca="1" ref="B93" ca="1">IFERROR(IF(OR('Raw Data'!B93="",LEN(TRIM('Raw Data'!B93))=0),_xlfn.REGEXEXTRACT(CELL("address",'Raw Data'!B93),"\$([A-Z]+)\$[0-9]+"),""),"")</f>
        <v/>
      </c>
      <c r="C93" s="6" t="str" cm="1">
        <f t="array" aca="1" ref="C93" ca="1">IFERROR(IF(OR('Raw Data'!C93="",LEN(TRIM('Raw Data'!C93))=0),_xlfn.REGEXEXTRACT(CELL("address",'Raw Data'!C93),"\$([A-Z]+)\$[0-9]+"),""),"")</f>
        <v/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2:28" x14ac:dyDescent="0.25">
      <c r="B94" s="6" t="str" cm="1">
        <f t="array" aca="1" ref="B94" ca="1">IFERROR(IF(OR('Raw Data'!B94="",LEN(TRIM('Raw Data'!B94))=0),_xlfn.REGEXEXTRACT(CELL("address",'Raw Data'!B94),"\$([A-Z]+)\$[0-9]+"),""),"")</f>
        <v/>
      </c>
      <c r="C94" s="6" t="str" cm="1">
        <f t="array" aca="1" ref="C94" ca="1">IFERROR(IF(OR('Raw Data'!C94="",LEN(TRIM('Raw Data'!C94))=0),_xlfn.REGEXEXTRACT(CELL("address",'Raw Data'!C94),"\$([A-Z]+)\$[0-9]+"),""),"")</f>
        <v/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2:28" x14ac:dyDescent="0.25">
      <c r="B95" s="6" t="str" cm="1">
        <f t="array" aca="1" ref="B95" ca="1">IFERROR(IF(OR('Raw Data'!B95="",LEN(TRIM('Raw Data'!B95))=0),_xlfn.REGEXEXTRACT(CELL("address",'Raw Data'!B95),"\$([A-Z]+)\$[0-9]+"),""),"")</f>
        <v/>
      </c>
      <c r="C95" s="6" t="str" cm="1">
        <f t="array" aca="1" ref="C95" ca="1">IFERROR(IF(OR('Raw Data'!C95="",LEN(TRIM('Raw Data'!C95))=0),_xlfn.REGEXEXTRACT(CELL("address",'Raw Data'!C95),"\$([A-Z]+)\$[0-9]+"),""),"")</f>
        <v/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2:28" x14ac:dyDescent="0.25">
      <c r="B96" s="6" t="str" cm="1">
        <f t="array" aca="1" ref="B96" ca="1">IFERROR(IF(OR('Raw Data'!B96="",LEN(TRIM('Raw Data'!B96))=0),_xlfn.REGEXEXTRACT(CELL("address",'Raw Data'!B96),"\$([A-Z]+)\$[0-9]+"),""),"")</f>
        <v/>
      </c>
      <c r="C96" s="6" t="str" cm="1">
        <f t="array" aca="1" ref="C96" ca="1">IFERROR(IF(OR('Raw Data'!C96="",LEN(TRIM('Raw Data'!C96))=0),_xlfn.REGEXEXTRACT(CELL("address",'Raw Data'!C96),"\$([A-Z]+)\$[0-9]+"),""),"")</f>
        <v/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2:28" x14ac:dyDescent="0.25">
      <c r="B97" s="6" t="str" cm="1">
        <f t="array" aca="1" ref="B97" ca="1">IFERROR(IF(OR('Raw Data'!B97="",LEN(TRIM('Raw Data'!B97))=0),_xlfn.REGEXEXTRACT(CELL("address",'Raw Data'!B97),"\$([A-Z]+)\$[0-9]+"),""),"")</f>
        <v/>
      </c>
      <c r="C97" s="6" t="str" cm="1">
        <f t="array" aca="1" ref="C97" ca="1">IFERROR(IF(OR('Raw Data'!C97="",LEN(TRIM('Raw Data'!C97))=0),_xlfn.REGEXEXTRACT(CELL("address",'Raw Data'!C97),"\$([A-Z]+)\$[0-9]+"),""),"")</f>
        <v/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2:28" x14ac:dyDescent="0.25">
      <c r="B98" s="6" t="str" cm="1">
        <f t="array" aca="1" ref="B98" ca="1">IFERROR(IF(OR('Raw Data'!B98="",LEN(TRIM('Raw Data'!B98))=0),_xlfn.REGEXEXTRACT(CELL("address",'Raw Data'!B98),"\$([A-Z]+)\$[0-9]+"),""),"")</f>
        <v/>
      </c>
      <c r="C98" s="6" t="str" cm="1">
        <f t="array" aca="1" ref="C98" ca="1">IFERROR(IF(OR('Raw Data'!C98="",LEN(TRIM('Raw Data'!C98))=0),_xlfn.REGEXEXTRACT(CELL("address",'Raw Data'!C98),"\$([A-Z]+)\$[0-9]+"),""),"")</f>
        <v/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2:28" x14ac:dyDescent="0.25">
      <c r="B99" s="6" t="str" cm="1">
        <f t="array" aca="1" ref="B99" ca="1">IFERROR(IF(OR('Raw Data'!B99="",LEN(TRIM('Raw Data'!B99))=0),_xlfn.REGEXEXTRACT(CELL("address",'Raw Data'!B99),"\$([A-Z]+)\$[0-9]+"),""),"")</f>
        <v/>
      </c>
      <c r="C99" s="6" t="str" cm="1">
        <f t="array" aca="1" ref="C99" ca="1">IFERROR(IF(OR('Raw Data'!C99="",LEN(TRIM('Raw Data'!C99))=0),_xlfn.REGEXEXTRACT(CELL("address",'Raw Data'!C99),"\$([A-Z]+)\$[0-9]+"),""),"")</f>
        <v/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2:28" x14ac:dyDescent="0.25">
      <c r="B100" s="6" t="str" cm="1">
        <f t="array" aca="1" ref="B100" ca="1">IFERROR(IF(OR('Raw Data'!B100="",LEN(TRIM('Raw Data'!B100))=0),_xlfn.REGEXEXTRACT(CELL("address",'Raw Data'!B100),"\$([A-Z]+)\$[0-9]+"),""),"")</f>
        <v/>
      </c>
      <c r="C100" s="6" t="str" cm="1">
        <f t="array" aca="1" ref="C100" ca="1">IFERROR(IF(OR('Raw Data'!C100="",LEN(TRIM('Raw Data'!C100))=0),_xlfn.REGEXEXTRACT(CELL("address",'Raw Data'!C100),"\$([A-Z]+)\$[0-9]+"),""),"")</f>
        <v/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2:28" x14ac:dyDescent="0.25">
      <c r="B101" s="6" t="str" cm="1">
        <f t="array" aca="1" ref="B101" ca="1">IFERROR(IF(OR('Raw Data'!B101="",LEN(TRIM('Raw Data'!B101))=0),_xlfn.REGEXEXTRACT(CELL("address",'Raw Data'!B101),"\$([A-Z]+)\$[0-9]+"),""),"")</f>
        <v/>
      </c>
      <c r="C101" s="6" t="str" cm="1">
        <f t="array" aca="1" ref="C101" ca="1">IFERROR(IF(OR('Raw Data'!C101="",LEN(TRIM('Raw Data'!C101))=0),_xlfn.REGEXEXTRACT(CELL("address",'Raw Data'!C101),"\$([A-Z]+)\$[0-9]+"),""),"")</f>
        <v/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2:28" x14ac:dyDescent="0.25">
      <c r="B102" s="6" t="str" cm="1">
        <f t="array" aca="1" ref="B102" ca="1">IFERROR(IF(OR('Raw Data'!B102="",LEN(TRIM('Raw Data'!B102))=0),_xlfn.REGEXEXTRACT(CELL("address",'Raw Data'!B102),"\$([A-Z]+)\$[0-9]+"),""),"")</f>
        <v/>
      </c>
      <c r="C102" s="6" t="str" cm="1">
        <f t="array" aca="1" ref="C102" ca="1">IFERROR(IF(OR('Raw Data'!C102="",LEN(TRIM('Raw Data'!C102))=0),_xlfn.REGEXEXTRACT(CELL("address",'Raw Data'!C102),"\$([A-Z]+)\$[0-9]+"),""),"")</f>
        <v/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2:28" x14ac:dyDescent="0.25">
      <c r="B103" s="6" t="str" cm="1">
        <f t="array" aca="1" ref="B103" ca="1">IFERROR(IF(OR('Raw Data'!B103="",LEN(TRIM('Raw Data'!B103))=0),_xlfn.REGEXEXTRACT(CELL("address",'Raw Data'!B103),"\$([A-Z]+)\$[0-9]+"),""),"")</f>
        <v/>
      </c>
      <c r="C103" s="6" t="str" cm="1">
        <f t="array" aca="1" ref="C103" ca="1">IFERROR(IF(OR('Raw Data'!C103="",LEN(TRIM('Raw Data'!C103))=0),_xlfn.REGEXEXTRACT(CELL("address",'Raw Data'!C103),"\$([A-Z]+)\$[0-9]+"),""),"")</f>
        <v/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2:28" x14ac:dyDescent="0.25">
      <c r="B104" s="6" t="str" cm="1">
        <f t="array" aca="1" ref="B104" ca="1">IFERROR(IF(OR('Raw Data'!B104="",LEN(TRIM('Raw Data'!B104))=0),_xlfn.REGEXEXTRACT(CELL("address",'Raw Data'!B104),"\$([A-Z]+)\$[0-9]+"),""),"")</f>
        <v/>
      </c>
      <c r="C104" s="6" t="str" cm="1">
        <f t="array" aca="1" ref="C104" ca="1">IFERROR(IF(OR('Raw Data'!C104="",LEN(TRIM('Raw Data'!C104))=0),_xlfn.REGEXEXTRACT(CELL("address",'Raw Data'!C104),"\$([A-Z]+)\$[0-9]+"),""),"")</f>
        <v/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2:28" x14ac:dyDescent="0.25">
      <c r="B105" s="6" t="str" cm="1">
        <f t="array" aca="1" ref="B105" ca="1">IFERROR(IF(OR('Raw Data'!B105="",LEN(TRIM('Raw Data'!B105))=0),_xlfn.REGEXEXTRACT(CELL("address",'Raw Data'!B105),"\$([A-Z]+)\$[0-9]+"),""),"")</f>
        <v/>
      </c>
      <c r="C105" s="6" t="str" cm="1">
        <f t="array" aca="1" ref="C105" ca="1">IFERROR(IF(OR('Raw Data'!C105="",LEN(TRIM('Raw Data'!C105))=0),_xlfn.REGEXEXTRACT(CELL("address",'Raw Data'!C105),"\$([A-Z]+)\$[0-9]+"),""),"")</f>
        <v/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2:28" x14ac:dyDescent="0.25">
      <c r="B106" s="6" t="str" cm="1">
        <f t="array" aca="1" ref="B106" ca="1">IFERROR(IF(OR('Raw Data'!B106="",LEN(TRIM('Raw Data'!B106))=0),_xlfn.REGEXEXTRACT(CELL("address",'Raw Data'!B106),"\$([A-Z]+)\$[0-9]+"),""),"")</f>
        <v/>
      </c>
      <c r="C106" s="6" t="str" cm="1">
        <f t="array" aca="1" ref="C106" ca="1">IFERROR(IF(OR('Raw Data'!C106="",LEN(TRIM('Raw Data'!C106))=0),_xlfn.REGEXEXTRACT(CELL("address",'Raw Data'!C106),"\$([A-Z]+)\$[0-9]+"),""),"")</f>
        <v/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2:28" x14ac:dyDescent="0.25">
      <c r="B107" s="6" t="str" cm="1">
        <f t="array" aca="1" ref="B107" ca="1">IFERROR(IF(OR('Raw Data'!B107="",LEN(TRIM('Raw Data'!B107))=0),_xlfn.REGEXEXTRACT(CELL("address",'Raw Data'!B107),"\$([A-Z]+)\$[0-9]+"),""),"")</f>
        <v/>
      </c>
      <c r="C107" s="6" t="str" cm="1">
        <f t="array" aca="1" ref="C107" ca="1">IFERROR(IF(OR('Raw Data'!C107="",LEN(TRIM('Raw Data'!C107))=0),_xlfn.REGEXEXTRACT(CELL("address",'Raw Data'!C107),"\$([A-Z]+)\$[0-9]+"),""),"")</f>
        <v/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2:28" x14ac:dyDescent="0.25">
      <c r="B108" s="6" t="str" cm="1">
        <f t="array" aca="1" ref="B108" ca="1">IFERROR(IF(OR('Raw Data'!B108="",LEN(TRIM('Raw Data'!B108))=0),_xlfn.REGEXEXTRACT(CELL("address",'Raw Data'!B108),"\$([A-Z]+)\$[0-9]+"),""),"")</f>
        <v/>
      </c>
      <c r="C108" s="6" t="str" cm="1">
        <f t="array" aca="1" ref="C108" ca="1">IFERROR(IF(OR('Raw Data'!C108="",LEN(TRIM('Raw Data'!C108))=0),_xlfn.REGEXEXTRACT(CELL("address",'Raw Data'!C108),"\$([A-Z]+)\$[0-9]+"),""),"")</f>
        <v/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2:28" x14ac:dyDescent="0.25">
      <c r="B109" s="6" t="str" cm="1">
        <f t="array" aca="1" ref="B109" ca="1">IFERROR(IF(OR('Raw Data'!B109="",LEN(TRIM('Raw Data'!B109))=0),_xlfn.REGEXEXTRACT(CELL("address",'Raw Data'!B109),"\$([A-Z]+)\$[0-9]+"),""),"")</f>
        <v/>
      </c>
      <c r="C109" s="6" t="str" cm="1">
        <f t="array" aca="1" ref="C109" ca="1">IFERROR(IF(OR('Raw Data'!C109="",LEN(TRIM('Raw Data'!C109))=0),_xlfn.REGEXEXTRACT(CELL("address",'Raw Data'!C109),"\$([A-Z]+)\$[0-9]+"),""),"")</f>
        <v/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2:28" x14ac:dyDescent="0.25">
      <c r="B110" s="6" t="str" cm="1">
        <f t="array" aca="1" ref="B110" ca="1">IFERROR(IF(OR('Raw Data'!B110="",LEN(TRIM('Raw Data'!B110))=0),_xlfn.REGEXEXTRACT(CELL("address",'Raw Data'!B110),"\$([A-Z]+)\$[0-9]+"),""),"")</f>
        <v/>
      </c>
      <c r="C110" s="6" t="str" cm="1">
        <f t="array" aca="1" ref="C110" ca="1">IFERROR(IF(OR('Raw Data'!C110="",LEN(TRIM('Raw Data'!C110))=0),_xlfn.REGEXEXTRACT(CELL("address",'Raw Data'!C110),"\$([A-Z]+)\$[0-9]+"),""),"")</f>
        <v/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2:28" x14ac:dyDescent="0.25">
      <c r="B111" s="6" t="str" cm="1">
        <f t="array" aca="1" ref="B111" ca="1">IFERROR(IF(OR('Raw Data'!B111="",LEN(TRIM('Raw Data'!B111))=0),_xlfn.REGEXEXTRACT(CELL("address",'Raw Data'!B111),"\$([A-Z]+)\$[0-9]+"),""),"")</f>
        <v/>
      </c>
      <c r="C111" s="6" t="str" cm="1">
        <f t="array" aca="1" ref="C111" ca="1">IFERROR(IF(OR('Raw Data'!C111="",LEN(TRIM('Raw Data'!C111))=0),_xlfn.REGEXEXTRACT(CELL("address",'Raw Data'!C111),"\$([A-Z]+)\$[0-9]+"),""),"")</f>
        <v/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2:28" x14ac:dyDescent="0.25">
      <c r="B112" s="6" t="str" cm="1">
        <f t="array" aca="1" ref="B112" ca="1">IFERROR(IF(OR('Raw Data'!B112="",LEN(TRIM('Raw Data'!B112))=0),_xlfn.REGEXEXTRACT(CELL("address",'Raw Data'!B112),"\$([A-Z]+)\$[0-9]+"),""),"")</f>
        <v/>
      </c>
      <c r="C112" s="6" t="str" cm="1">
        <f t="array" aca="1" ref="C112" ca="1">IFERROR(IF(OR('Raw Data'!C112="",LEN(TRIM('Raw Data'!C112))=0),_xlfn.REGEXEXTRACT(CELL("address",'Raw Data'!C112),"\$([A-Z]+)\$[0-9]+"),""),"")</f>
        <v/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2:28" x14ac:dyDescent="0.25">
      <c r="B113" s="6" t="str" cm="1">
        <f t="array" aca="1" ref="B113" ca="1">IFERROR(IF(OR('Raw Data'!B113="",LEN(TRIM('Raw Data'!B113))=0),_xlfn.REGEXEXTRACT(CELL("address",'Raw Data'!B113),"\$([A-Z]+)\$[0-9]+"),""),"")</f>
        <v/>
      </c>
      <c r="C113" s="6" t="str" cm="1">
        <f t="array" aca="1" ref="C113" ca="1">IFERROR(IF(OR('Raw Data'!C113="",LEN(TRIM('Raw Data'!C113))=0),_xlfn.REGEXEXTRACT(CELL("address",'Raw Data'!C113),"\$([A-Z]+)\$[0-9]+"),""),"")</f>
        <v/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2:28" x14ac:dyDescent="0.25">
      <c r="B114" s="6" t="str" cm="1">
        <f t="array" aca="1" ref="B114" ca="1">IFERROR(IF(OR('Raw Data'!B114="",LEN(TRIM('Raw Data'!B114))=0),_xlfn.REGEXEXTRACT(CELL("address",'Raw Data'!B114),"\$([A-Z]+)\$[0-9]+"),""),"")</f>
        <v/>
      </c>
      <c r="C114" s="6" t="str" cm="1">
        <f t="array" aca="1" ref="C114" ca="1">IFERROR(IF(OR('Raw Data'!C114="",LEN(TRIM('Raw Data'!C114))=0),_xlfn.REGEXEXTRACT(CELL("address",'Raw Data'!C114),"\$([A-Z]+)\$[0-9]+"),""),"")</f>
        <v/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2:28" x14ac:dyDescent="0.25">
      <c r="B115" s="6" t="str" cm="1">
        <f t="array" aca="1" ref="B115" ca="1">IFERROR(IF(OR('Raw Data'!B115="",LEN(TRIM('Raw Data'!B115))=0),_xlfn.REGEXEXTRACT(CELL("address",'Raw Data'!B115),"\$([A-Z]+)\$[0-9]+"),""),"")</f>
        <v/>
      </c>
      <c r="C115" s="6" t="str" cm="1">
        <f t="array" aca="1" ref="C115" ca="1">IFERROR(IF(OR('Raw Data'!C115="",LEN(TRIM('Raw Data'!C115))=0),_xlfn.REGEXEXTRACT(CELL("address",'Raw Data'!C115),"\$([A-Z]+)\$[0-9]+"),""),"")</f>
        <v/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2:28" x14ac:dyDescent="0.25">
      <c r="B116" s="6" t="str" cm="1">
        <f t="array" aca="1" ref="B116" ca="1">IFERROR(IF(OR('Raw Data'!B116="",LEN(TRIM('Raw Data'!B116))=0),_xlfn.REGEXEXTRACT(CELL("address",'Raw Data'!B116),"\$([A-Z]+)\$[0-9]+"),""),"")</f>
        <v/>
      </c>
      <c r="C116" s="6" t="str" cm="1">
        <f t="array" aca="1" ref="C116" ca="1">IFERROR(IF(OR('Raw Data'!C116="",LEN(TRIM('Raw Data'!C116))=0),_xlfn.REGEXEXTRACT(CELL("address",'Raw Data'!C116),"\$([A-Z]+)\$[0-9]+"),""),"")</f>
        <v/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2:28" x14ac:dyDescent="0.25">
      <c r="B117" s="6" t="str" cm="1">
        <f t="array" aca="1" ref="B117" ca="1">IFERROR(IF(OR('Raw Data'!B117="",LEN(TRIM('Raw Data'!B117))=0),_xlfn.REGEXEXTRACT(CELL("address",'Raw Data'!B117),"\$([A-Z]+)\$[0-9]+"),""),"")</f>
        <v/>
      </c>
      <c r="C117" s="6" t="str" cm="1">
        <f t="array" aca="1" ref="C117" ca="1">IFERROR(IF(OR('Raw Data'!C117="",LEN(TRIM('Raw Data'!C117))=0),_xlfn.REGEXEXTRACT(CELL("address",'Raw Data'!C117),"\$([A-Z]+)\$[0-9]+"),""),"")</f>
        <v/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2:28" x14ac:dyDescent="0.25">
      <c r="B118" s="6" t="str" cm="1">
        <f t="array" aca="1" ref="B118" ca="1">IFERROR(IF(OR('Raw Data'!B118="",LEN(TRIM('Raw Data'!B118))=0),_xlfn.REGEXEXTRACT(CELL("address",'Raw Data'!B118),"\$([A-Z]+)\$[0-9]+"),""),"")</f>
        <v/>
      </c>
      <c r="C118" s="6" t="str" cm="1">
        <f t="array" aca="1" ref="C118" ca="1">IFERROR(IF(OR('Raw Data'!C118="",LEN(TRIM('Raw Data'!C118))=0),_xlfn.REGEXEXTRACT(CELL("address",'Raw Data'!C118),"\$([A-Z]+)\$[0-9]+"),""),"")</f>
        <v/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2:28" x14ac:dyDescent="0.25">
      <c r="B119" s="6" t="str" cm="1">
        <f t="array" aca="1" ref="B119" ca="1">IFERROR(IF(OR('Raw Data'!B119="",LEN(TRIM('Raw Data'!B119))=0),_xlfn.REGEXEXTRACT(CELL("address",'Raw Data'!B119),"\$([A-Z]+)\$[0-9]+"),""),"")</f>
        <v/>
      </c>
      <c r="C119" s="6" t="str" cm="1">
        <f t="array" aca="1" ref="C119" ca="1">IFERROR(IF(OR('Raw Data'!C119="",LEN(TRIM('Raw Data'!C119))=0),_xlfn.REGEXEXTRACT(CELL("address",'Raw Data'!C119),"\$([A-Z]+)\$[0-9]+"),""),"")</f>
        <v/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2:28" x14ac:dyDescent="0.25">
      <c r="B120" s="6" t="str" cm="1">
        <f t="array" aca="1" ref="B120" ca="1">IFERROR(IF(OR('Raw Data'!B120="",LEN(TRIM('Raw Data'!B120))=0),_xlfn.REGEXEXTRACT(CELL("address",'Raw Data'!B120),"\$([A-Z]+)\$[0-9]+"),""),"")</f>
        <v/>
      </c>
      <c r="C120" s="6" t="str" cm="1">
        <f t="array" aca="1" ref="C120" ca="1">IFERROR(IF(OR('Raw Data'!C120="",LEN(TRIM('Raw Data'!C120))=0),_xlfn.REGEXEXTRACT(CELL("address",'Raw Data'!C120),"\$([A-Z]+)\$[0-9]+"),""),"")</f>
        <v/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2:28" x14ac:dyDescent="0.25">
      <c r="B121" s="6" t="str" cm="1">
        <f t="array" aca="1" ref="B121" ca="1">IFERROR(IF(OR('Raw Data'!B121="",LEN(TRIM('Raw Data'!B121))=0),_xlfn.REGEXEXTRACT(CELL("address",'Raw Data'!B121),"\$([A-Z]+)\$[0-9]+"),""),"")</f>
        <v/>
      </c>
      <c r="C121" s="6" t="str" cm="1">
        <f t="array" aca="1" ref="C121" ca="1">IFERROR(IF(OR('Raw Data'!C121="",LEN(TRIM('Raw Data'!C121))=0),_xlfn.REGEXEXTRACT(CELL("address",'Raw Data'!C121),"\$([A-Z]+)\$[0-9]+"),""),"")</f>
        <v/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2:28" x14ac:dyDescent="0.25">
      <c r="B122" s="6" t="str" cm="1">
        <f t="array" aca="1" ref="B122" ca="1">IFERROR(IF(OR('Raw Data'!B122="",LEN(TRIM('Raw Data'!B122))=0),_xlfn.REGEXEXTRACT(CELL("address",'Raw Data'!B122),"\$([A-Z]+)\$[0-9]+"),""),"")</f>
        <v/>
      </c>
      <c r="C122" s="6" t="str" cm="1">
        <f t="array" aca="1" ref="C122" ca="1">IFERROR(IF(OR('Raw Data'!C122="",LEN(TRIM('Raw Data'!C122))=0),_xlfn.REGEXEXTRACT(CELL("address",'Raw Data'!C122),"\$([A-Z]+)\$[0-9]+"),""),"")</f>
        <v/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2:28" x14ac:dyDescent="0.25">
      <c r="B123" s="6" t="str" cm="1">
        <f t="array" aca="1" ref="B123" ca="1">IFERROR(IF(OR('Raw Data'!B123="",LEN(TRIM('Raw Data'!B123))=0),_xlfn.REGEXEXTRACT(CELL("address",'Raw Data'!B123),"\$([A-Z]+)\$[0-9]+"),""),"")</f>
        <v/>
      </c>
      <c r="C123" s="6" t="str" cm="1">
        <f t="array" aca="1" ref="C123" ca="1">IFERROR(IF(OR('Raw Data'!C123="",LEN(TRIM('Raw Data'!C123))=0),_xlfn.REGEXEXTRACT(CELL("address",'Raw Data'!C123),"\$([A-Z]+)\$[0-9]+"),""),"")</f>
        <v/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2:28" x14ac:dyDescent="0.25">
      <c r="B124" s="6" t="str" cm="1">
        <f t="array" aca="1" ref="B124" ca="1">IFERROR(IF(OR('Raw Data'!B124="",LEN(TRIM('Raw Data'!B124))=0),_xlfn.REGEXEXTRACT(CELL("address",'Raw Data'!B124),"\$([A-Z]+)\$[0-9]+"),""),"")</f>
        <v/>
      </c>
      <c r="C124" s="6" t="str" cm="1">
        <f t="array" aca="1" ref="C124" ca="1">IFERROR(IF(OR('Raw Data'!C124="",LEN(TRIM('Raw Data'!C124))=0),_xlfn.REGEXEXTRACT(CELL("address",'Raw Data'!C124),"\$([A-Z]+)\$[0-9]+"),""),"")</f>
        <v/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2:28" x14ac:dyDescent="0.25">
      <c r="B125" s="6" t="str" cm="1">
        <f t="array" aca="1" ref="B125" ca="1">IFERROR(IF(OR('Raw Data'!B125="",LEN(TRIM('Raw Data'!B125))=0),_xlfn.REGEXEXTRACT(CELL("address",'Raw Data'!B125),"\$([A-Z]+)\$[0-9]+"),""),"")</f>
        <v/>
      </c>
      <c r="C125" s="6" t="str" cm="1">
        <f t="array" aca="1" ref="C125" ca="1">IFERROR(IF(OR('Raw Data'!C125="",LEN(TRIM('Raw Data'!C125))=0),_xlfn.REGEXEXTRACT(CELL("address",'Raw Data'!C125),"\$([A-Z]+)\$[0-9]+"),""),"")</f>
        <v/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2:28" x14ac:dyDescent="0.25">
      <c r="B126" s="6" t="str" cm="1">
        <f t="array" aca="1" ref="B126" ca="1">IFERROR(IF(OR('Raw Data'!B126="",LEN(TRIM('Raw Data'!B126))=0),_xlfn.REGEXEXTRACT(CELL("address",'Raw Data'!B126),"\$([A-Z]+)\$[0-9]+"),""),"")</f>
        <v/>
      </c>
      <c r="C126" s="6" t="str" cm="1">
        <f t="array" aca="1" ref="C126" ca="1">IFERROR(IF(OR('Raw Data'!C126="",LEN(TRIM('Raw Data'!C126))=0),_xlfn.REGEXEXTRACT(CELL("address",'Raw Data'!C126),"\$([A-Z]+)\$[0-9]+"),""),"")</f>
        <v/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2:28" x14ac:dyDescent="0.25">
      <c r="B127" s="6" t="str" cm="1">
        <f t="array" aca="1" ref="B127" ca="1">IFERROR(IF(OR('Raw Data'!B127="",LEN(TRIM('Raw Data'!B127))=0),_xlfn.REGEXEXTRACT(CELL("address",'Raw Data'!B127),"\$([A-Z]+)\$[0-9]+"),""),"")</f>
        <v/>
      </c>
      <c r="C127" s="6" t="str" cm="1">
        <f t="array" aca="1" ref="C127" ca="1">IFERROR(IF(OR('Raw Data'!C127="",LEN(TRIM('Raw Data'!C127))=0),_xlfn.REGEXEXTRACT(CELL("address",'Raw Data'!C127),"\$([A-Z]+)\$[0-9]+"),""),"")</f>
        <v/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2:28" x14ac:dyDescent="0.25">
      <c r="B128" s="6" t="str" cm="1">
        <f t="array" aca="1" ref="B128" ca="1">IFERROR(IF(OR('Raw Data'!B128="",LEN(TRIM('Raw Data'!B128))=0),_xlfn.REGEXEXTRACT(CELL("address",'Raw Data'!B128),"\$([A-Z]+)\$[0-9]+"),""),"")</f>
        <v/>
      </c>
      <c r="C128" s="6" t="str" cm="1">
        <f t="array" aca="1" ref="C128" ca="1">IFERROR(IF(OR('Raw Data'!C128="",LEN(TRIM('Raw Data'!C128))=0),_xlfn.REGEXEXTRACT(CELL("address",'Raw Data'!C128),"\$([A-Z]+)\$[0-9]+"),""),"")</f>
        <v/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2:28" x14ac:dyDescent="0.25">
      <c r="B129" s="6" t="str" cm="1">
        <f t="array" aca="1" ref="B129" ca="1">IFERROR(IF(OR('Raw Data'!B129="",LEN(TRIM('Raw Data'!B129))=0),_xlfn.REGEXEXTRACT(CELL("address",'Raw Data'!B129),"\$([A-Z]+)\$[0-9]+"),""),"")</f>
        <v/>
      </c>
      <c r="C129" s="6" t="str" cm="1">
        <f t="array" aca="1" ref="C129" ca="1">IFERROR(IF(OR('Raw Data'!C129="",LEN(TRIM('Raw Data'!C129))=0),_xlfn.REGEXEXTRACT(CELL("address",'Raw Data'!C129),"\$([A-Z]+)\$[0-9]+"),""),"")</f>
        <v/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2:28" x14ac:dyDescent="0.25">
      <c r="B130" s="6" t="str" cm="1">
        <f t="array" aca="1" ref="B130" ca="1">IFERROR(IF(OR('Raw Data'!B130="",LEN(TRIM('Raw Data'!B130))=0),_xlfn.REGEXEXTRACT(CELL("address",'Raw Data'!B130),"\$([A-Z]+)\$[0-9]+"),""),"")</f>
        <v/>
      </c>
      <c r="C130" s="6" t="str" cm="1">
        <f t="array" aca="1" ref="C130" ca="1">IFERROR(IF(OR('Raw Data'!C130="",LEN(TRIM('Raw Data'!C130))=0),_xlfn.REGEXEXTRACT(CELL("address",'Raw Data'!C130),"\$([A-Z]+)\$[0-9]+"),""),"")</f>
        <v/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2:28" x14ac:dyDescent="0.25">
      <c r="B131" s="6" t="str" cm="1">
        <f t="array" aca="1" ref="B131" ca="1">IFERROR(IF(OR('Raw Data'!B131="",LEN(TRIM('Raw Data'!B131))=0),_xlfn.REGEXEXTRACT(CELL("address",'Raw Data'!B131),"\$([A-Z]+)\$[0-9]+"),""),"")</f>
        <v/>
      </c>
      <c r="C131" s="6" t="str" cm="1">
        <f t="array" aca="1" ref="C131" ca="1">IFERROR(IF(OR('Raw Data'!C131="",LEN(TRIM('Raw Data'!C131))=0),_xlfn.REGEXEXTRACT(CELL("address",'Raw Data'!C131),"\$([A-Z]+)\$[0-9]+"),""),"")</f>
        <v/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2:28" x14ac:dyDescent="0.25">
      <c r="B132" s="6" t="str" cm="1">
        <f t="array" aca="1" ref="B132" ca="1">IFERROR(IF(OR('Raw Data'!B132="",LEN(TRIM('Raw Data'!B132))=0),_xlfn.REGEXEXTRACT(CELL("address",'Raw Data'!B132),"\$([A-Z]+)\$[0-9]+"),""),"")</f>
        <v/>
      </c>
      <c r="C132" s="6" t="str" cm="1">
        <f t="array" aca="1" ref="C132" ca="1">IFERROR(IF(OR('Raw Data'!C132="",LEN(TRIM('Raw Data'!C132))=0),_xlfn.REGEXEXTRACT(CELL("address",'Raw Data'!C132),"\$([A-Z]+)\$[0-9]+"),""),"")</f>
        <v/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2:28" x14ac:dyDescent="0.25">
      <c r="B133" s="6" t="str" cm="1">
        <f t="array" aca="1" ref="B133" ca="1">IFERROR(IF(OR('Raw Data'!B133="",LEN(TRIM('Raw Data'!B133))=0),_xlfn.REGEXEXTRACT(CELL("address",'Raw Data'!B133),"\$([A-Z]+)\$[0-9]+"),""),"")</f>
        <v/>
      </c>
      <c r="C133" s="6" t="str" cm="1">
        <f t="array" aca="1" ref="C133" ca="1">IFERROR(IF(OR('Raw Data'!C133="",LEN(TRIM('Raw Data'!C133))=0),_xlfn.REGEXEXTRACT(CELL("address",'Raw Data'!C133),"\$([A-Z]+)\$[0-9]+"),""),"")</f>
        <v/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2:28" x14ac:dyDescent="0.25">
      <c r="B134" s="6" t="str" cm="1">
        <f t="array" aca="1" ref="B134" ca="1">IFERROR(IF(OR('Raw Data'!B134="",LEN(TRIM('Raw Data'!B134))=0),_xlfn.REGEXEXTRACT(CELL("address",'Raw Data'!B134),"\$([A-Z]+)\$[0-9]+"),""),"")</f>
        <v/>
      </c>
      <c r="C134" s="6" t="str" cm="1">
        <f t="array" aca="1" ref="C134" ca="1">IFERROR(IF(OR('Raw Data'!C134="",LEN(TRIM('Raw Data'!C134))=0),_xlfn.REGEXEXTRACT(CELL("address",'Raw Data'!C134),"\$([A-Z]+)\$[0-9]+"),""),"")</f>
        <v/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2:28" x14ac:dyDescent="0.25">
      <c r="B135" s="6" t="str" cm="1">
        <f t="array" aca="1" ref="B135" ca="1">IFERROR(IF(OR('Raw Data'!B135="",LEN(TRIM('Raw Data'!B135))=0),_xlfn.REGEXEXTRACT(CELL("address",'Raw Data'!B135),"\$([A-Z]+)\$[0-9]+"),""),"")</f>
        <v/>
      </c>
      <c r="C135" s="6" t="str" cm="1">
        <f t="array" aca="1" ref="C135" ca="1">IFERROR(IF(OR('Raw Data'!C135="",LEN(TRIM('Raw Data'!C135))=0),_xlfn.REGEXEXTRACT(CELL("address",'Raw Data'!C135),"\$([A-Z]+)\$[0-9]+"),""),"")</f>
        <v/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2:28" x14ac:dyDescent="0.25">
      <c r="B136" s="6" t="str" cm="1">
        <f t="array" aca="1" ref="B136" ca="1">IFERROR(IF(OR('Raw Data'!B136="",LEN(TRIM('Raw Data'!B136))=0),_xlfn.REGEXEXTRACT(CELL("address",'Raw Data'!B136),"\$([A-Z]+)\$[0-9]+"),""),"")</f>
        <v/>
      </c>
      <c r="C136" s="6" t="str" cm="1">
        <f t="array" aca="1" ref="C136" ca="1">IFERROR(IF(OR('Raw Data'!C136="",LEN(TRIM('Raw Data'!C136))=0),_xlfn.REGEXEXTRACT(CELL("address",'Raw Data'!C136),"\$([A-Z]+)\$[0-9]+"),""),"")</f>
        <v/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2:28" x14ac:dyDescent="0.25">
      <c r="B137" s="6" t="str" cm="1">
        <f t="array" aca="1" ref="B137" ca="1">IFERROR(IF(OR('Raw Data'!B137="",LEN(TRIM('Raw Data'!B137))=0),_xlfn.REGEXEXTRACT(CELL("address",'Raw Data'!B137),"\$([A-Z]+)\$[0-9]+"),""),"")</f>
        <v/>
      </c>
      <c r="C137" s="6" t="str" cm="1">
        <f t="array" aca="1" ref="C137" ca="1">IFERROR(IF(OR('Raw Data'!C137="",LEN(TRIM('Raw Data'!C137))=0),_xlfn.REGEXEXTRACT(CELL("address",'Raw Data'!C137),"\$([A-Z]+)\$[0-9]+"),""),"")</f>
        <v/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2:28" x14ac:dyDescent="0.25">
      <c r="B138" s="6" t="str" cm="1">
        <f t="array" aca="1" ref="B138" ca="1">IFERROR(IF(OR('Raw Data'!B138="",LEN(TRIM('Raw Data'!B138))=0),_xlfn.REGEXEXTRACT(CELL("address",'Raw Data'!B138),"\$([A-Z]+)\$[0-9]+"),""),"")</f>
        <v/>
      </c>
      <c r="C138" s="6" t="str" cm="1">
        <f t="array" aca="1" ref="C138" ca="1">IFERROR(IF(OR('Raw Data'!C138="",LEN(TRIM('Raw Data'!C138))=0),_xlfn.REGEXEXTRACT(CELL("address",'Raw Data'!C138),"\$([A-Z]+)\$[0-9]+"),""),"")</f>
        <v/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2:28" x14ac:dyDescent="0.25">
      <c r="B139" s="6" t="str" cm="1">
        <f t="array" aca="1" ref="B139" ca="1">IFERROR(IF(OR('Raw Data'!B139="",LEN(TRIM('Raw Data'!B139))=0),_xlfn.REGEXEXTRACT(CELL("address",'Raw Data'!B139),"\$([A-Z]+)\$[0-9]+"),""),"")</f>
        <v/>
      </c>
      <c r="C139" s="6" t="str" cm="1">
        <f t="array" aca="1" ref="C139" ca="1">IFERROR(IF(OR('Raw Data'!C139="",LEN(TRIM('Raw Data'!C139))=0),_xlfn.REGEXEXTRACT(CELL("address",'Raw Data'!C139),"\$([A-Z]+)\$[0-9]+"),""),"")</f>
        <v/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2:28" x14ac:dyDescent="0.25">
      <c r="B140" s="6" t="str" cm="1">
        <f t="array" aca="1" ref="B140" ca="1">IFERROR(IF(OR('Raw Data'!B140="",LEN(TRIM('Raw Data'!B140))=0),_xlfn.REGEXEXTRACT(CELL("address",'Raw Data'!B140),"\$([A-Z]+)\$[0-9]+"),""),"")</f>
        <v/>
      </c>
      <c r="C140" s="6" t="str" cm="1">
        <f t="array" aca="1" ref="C140" ca="1">IFERROR(IF(OR('Raw Data'!C140="",LEN(TRIM('Raw Data'!C140))=0),_xlfn.REGEXEXTRACT(CELL("address",'Raw Data'!C140),"\$([A-Z]+)\$[0-9]+"),""),"")</f>
        <v/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2:28" x14ac:dyDescent="0.25">
      <c r="B141" s="6" t="str" cm="1">
        <f t="array" aca="1" ref="B141" ca="1">IFERROR(IF(OR('Raw Data'!B141="",LEN(TRIM('Raw Data'!B141))=0),_xlfn.REGEXEXTRACT(CELL("address",'Raw Data'!B141),"\$([A-Z]+)\$[0-9]+"),""),"")</f>
        <v/>
      </c>
      <c r="C141" s="6" t="str" cm="1">
        <f t="array" aca="1" ref="C141" ca="1">IFERROR(IF(OR('Raw Data'!C141="",LEN(TRIM('Raw Data'!C141))=0),_xlfn.REGEXEXTRACT(CELL("address",'Raw Data'!C141),"\$([A-Z]+)\$[0-9]+"),""),"")</f>
        <v/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2:28" x14ac:dyDescent="0.25">
      <c r="B142" s="6" t="str" cm="1">
        <f t="array" aca="1" ref="B142" ca="1">IFERROR(IF(OR('Raw Data'!B142="",LEN(TRIM('Raw Data'!B142))=0),_xlfn.REGEXEXTRACT(CELL("address",'Raw Data'!B142),"\$([A-Z]+)\$[0-9]+"),""),"")</f>
        <v/>
      </c>
      <c r="C142" s="6" t="str" cm="1">
        <f t="array" aca="1" ref="C142" ca="1">IFERROR(IF(OR('Raw Data'!C142="",LEN(TRIM('Raw Data'!C142))=0),_xlfn.REGEXEXTRACT(CELL("address",'Raw Data'!C142),"\$([A-Z]+)\$[0-9]+"),""),"")</f>
        <v/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2:28" x14ac:dyDescent="0.25">
      <c r="B143" s="6" t="str" cm="1">
        <f t="array" aca="1" ref="B143" ca="1">IFERROR(IF(OR('Raw Data'!B143="",LEN(TRIM('Raw Data'!B143))=0),_xlfn.REGEXEXTRACT(CELL("address",'Raw Data'!B143),"\$([A-Z]+)\$[0-9]+"),""),"")</f>
        <v/>
      </c>
      <c r="C143" s="6" t="str" cm="1">
        <f t="array" aca="1" ref="C143" ca="1">IFERROR(IF(OR('Raw Data'!C143="",LEN(TRIM('Raw Data'!C143))=0),_xlfn.REGEXEXTRACT(CELL("address",'Raw Data'!C143),"\$([A-Z]+)\$[0-9]+"),""),"")</f>
        <v/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2:28" x14ac:dyDescent="0.25">
      <c r="B144" s="6" t="str" cm="1">
        <f t="array" aca="1" ref="B144" ca="1">IFERROR(IF(OR('Raw Data'!B144="",LEN(TRIM('Raw Data'!B144))=0),_xlfn.REGEXEXTRACT(CELL("address",'Raw Data'!B144),"\$([A-Z]+)\$[0-9]+"),""),"")</f>
        <v/>
      </c>
      <c r="C144" s="6" t="str" cm="1">
        <f t="array" aca="1" ref="C144" ca="1">IFERROR(IF(OR('Raw Data'!C144="",LEN(TRIM('Raw Data'!C144))=0),_xlfn.REGEXEXTRACT(CELL("address",'Raw Data'!C144),"\$([A-Z]+)\$[0-9]+"),""),"")</f>
        <v/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2:28" x14ac:dyDescent="0.25">
      <c r="B145" s="6" t="str" cm="1">
        <f t="array" aca="1" ref="B145" ca="1">IFERROR(IF(OR('Raw Data'!B145="",LEN(TRIM('Raw Data'!B145))=0),_xlfn.REGEXEXTRACT(CELL("address",'Raw Data'!B145),"\$([A-Z]+)\$[0-9]+"),""),"")</f>
        <v/>
      </c>
      <c r="C145" s="6" t="str" cm="1">
        <f t="array" aca="1" ref="C145" ca="1">IFERROR(IF(OR('Raw Data'!C145="",LEN(TRIM('Raw Data'!C145))=0),_xlfn.REGEXEXTRACT(CELL("address",'Raw Data'!C145),"\$([A-Z]+)\$[0-9]+"),""),"")</f>
        <v/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2:28" x14ac:dyDescent="0.25">
      <c r="B146" s="6" t="str" cm="1">
        <f t="array" aca="1" ref="B146" ca="1">IFERROR(IF(OR('Raw Data'!B146="",LEN(TRIM('Raw Data'!B146))=0),_xlfn.REGEXEXTRACT(CELL("address",'Raw Data'!B146),"\$([A-Z]+)\$[0-9]+"),""),"")</f>
        <v/>
      </c>
      <c r="C146" s="6" t="str" cm="1">
        <f t="array" aca="1" ref="C146" ca="1">IFERROR(IF(OR('Raw Data'!C146="",LEN(TRIM('Raw Data'!C146))=0),_xlfn.REGEXEXTRACT(CELL("address",'Raw Data'!C146),"\$([A-Z]+)\$[0-9]+"),""),"")</f>
        <v/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2:28" x14ac:dyDescent="0.25">
      <c r="B147" s="6" t="str" cm="1">
        <f t="array" aca="1" ref="B147" ca="1">IFERROR(IF(OR('Raw Data'!B147="",LEN(TRIM('Raw Data'!B147))=0),_xlfn.REGEXEXTRACT(CELL("address",'Raw Data'!B147),"\$([A-Z]+)\$[0-9]+"),""),"")</f>
        <v/>
      </c>
      <c r="C147" s="6" t="str" cm="1">
        <f t="array" aca="1" ref="C147" ca="1">IFERROR(IF(OR('Raw Data'!C147="",LEN(TRIM('Raw Data'!C147))=0),_xlfn.REGEXEXTRACT(CELL("address",'Raw Data'!C147),"\$([A-Z]+)\$[0-9]+"),""),"")</f>
        <v/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2:28" x14ac:dyDescent="0.25">
      <c r="B148" s="6" t="str" cm="1">
        <f t="array" aca="1" ref="B148" ca="1">IFERROR(IF(OR('Raw Data'!B148="",LEN(TRIM('Raw Data'!B148))=0),_xlfn.REGEXEXTRACT(CELL("address",'Raw Data'!B148),"\$([A-Z]+)\$[0-9]+"),""),"")</f>
        <v/>
      </c>
      <c r="C148" s="6" t="str" cm="1">
        <f t="array" aca="1" ref="C148" ca="1">IFERROR(IF(OR('Raw Data'!C148="",LEN(TRIM('Raw Data'!C148))=0),_xlfn.REGEXEXTRACT(CELL("address",'Raw Data'!C148),"\$([A-Z]+)\$[0-9]+"),""),"")</f>
        <v/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2:28" x14ac:dyDescent="0.25">
      <c r="B149" s="6" t="str" cm="1">
        <f t="array" aca="1" ref="B149" ca="1">IFERROR(IF(OR('Raw Data'!B149="",LEN(TRIM('Raw Data'!B149))=0),_xlfn.REGEXEXTRACT(CELL("address",'Raw Data'!B149),"\$([A-Z]+)\$[0-9]+"),""),"")</f>
        <v/>
      </c>
      <c r="C149" s="6" t="str" cm="1">
        <f t="array" aca="1" ref="C149" ca="1">IFERROR(IF(OR('Raw Data'!C149="",LEN(TRIM('Raw Data'!C149))=0),_xlfn.REGEXEXTRACT(CELL("address",'Raw Data'!C149),"\$([A-Z]+)\$[0-9]+"),""),"")</f>
        <v/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2:28" x14ac:dyDescent="0.25">
      <c r="B150" s="6" t="str" cm="1">
        <f t="array" aca="1" ref="B150" ca="1">IFERROR(IF(OR('Raw Data'!B150="",LEN(TRIM('Raw Data'!B150))=0),_xlfn.REGEXEXTRACT(CELL("address",'Raw Data'!B150),"\$([A-Z]+)\$[0-9]+"),""),"")</f>
        <v/>
      </c>
      <c r="C150" s="6" t="str" cm="1">
        <f t="array" aca="1" ref="C150" ca="1">IFERROR(IF(OR('Raw Data'!C150="",LEN(TRIM('Raw Data'!C150))=0),_xlfn.REGEXEXTRACT(CELL("address",'Raw Data'!C150),"\$([A-Z]+)\$[0-9]+"),""),"")</f>
        <v/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2:28" x14ac:dyDescent="0.25">
      <c r="B151" s="6" t="str" cm="1">
        <f t="array" aca="1" ref="B151" ca="1">IFERROR(IF(OR('Raw Data'!B151="",LEN(TRIM('Raw Data'!B151))=0),_xlfn.REGEXEXTRACT(CELL("address",'Raw Data'!B151),"\$([A-Z]+)\$[0-9]+"),""),"")</f>
        <v/>
      </c>
      <c r="C151" s="6" t="str" cm="1">
        <f t="array" aca="1" ref="C151" ca="1">IFERROR(IF(OR('Raw Data'!C151="",LEN(TRIM('Raw Data'!C151))=0),_xlfn.REGEXEXTRACT(CELL("address",'Raw Data'!C151),"\$([A-Z]+)\$[0-9]+"),""),"")</f>
        <v/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2:28" x14ac:dyDescent="0.25">
      <c r="B152" s="6" t="str" cm="1">
        <f t="array" aca="1" ref="B152" ca="1">IFERROR(IF(OR('Raw Data'!B152="",LEN(TRIM('Raw Data'!B152))=0),_xlfn.REGEXEXTRACT(CELL("address",'Raw Data'!B152),"\$([A-Z]+)\$[0-9]+"),""),"")</f>
        <v/>
      </c>
      <c r="C152" s="6" t="str" cm="1">
        <f t="array" aca="1" ref="C152" ca="1">IFERROR(IF(OR('Raw Data'!C152="",LEN(TRIM('Raw Data'!C152))=0),_xlfn.REGEXEXTRACT(CELL("address",'Raw Data'!C152),"\$([A-Z]+)\$[0-9]+"),""),"")</f>
        <v/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2:28" x14ac:dyDescent="0.25">
      <c r="B153" s="6" t="str" cm="1">
        <f t="array" aca="1" ref="B153" ca="1">IFERROR(IF(OR('Raw Data'!B153="",LEN(TRIM('Raw Data'!B153))=0),_xlfn.REGEXEXTRACT(CELL("address",'Raw Data'!B153),"\$([A-Z]+)\$[0-9]+"),""),"")</f>
        <v/>
      </c>
      <c r="C153" s="6" t="str" cm="1">
        <f t="array" aca="1" ref="C153" ca="1">IFERROR(IF(OR('Raw Data'!C153="",LEN(TRIM('Raw Data'!C153))=0),_xlfn.REGEXEXTRACT(CELL("address",'Raw Data'!C153),"\$([A-Z]+)\$[0-9]+"),""),"")</f>
        <v/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2:28" x14ac:dyDescent="0.25">
      <c r="B154" s="6" t="str" cm="1">
        <f t="array" aca="1" ref="B154" ca="1">IFERROR(IF(OR('Raw Data'!B154="",LEN(TRIM('Raw Data'!B154))=0),_xlfn.REGEXEXTRACT(CELL("address",'Raw Data'!B154),"\$([A-Z]+)\$[0-9]+"),""),"")</f>
        <v/>
      </c>
      <c r="C154" s="6" t="str" cm="1">
        <f t="array" aca="1" ref="C154" ca="1">IFERROR(IF(OR('Raw Data'!C154="",LEN(TRIM('Raw Data'!C154))=0),_xlfn.REGEXEXTRACT(CELL("address",'Raw Data'!C154),"\$([A-Z]+)\$[0-9]+"),""),"")</f>
        <v/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2:28" x14ac:dyDescent="0.25">
      <c r="B155" s="6" t="str" cm="1">
        <f t="array" aca="1" ref="B155" ca="1">IFERROR(IF(OR('Raw Data'!B155="",LEN(TRIM('Raw Data'!B155))=0),_xlfn.REGEXEXTRACT(CELL("address",'Raw Data'!B155),"\$([A-Z]+)\$[0-9]+"),""),"")</f>
        <v/>
      </c>
      <c r="C155" s="6" t="str" cm="1">
        <f t="array" aca="1" ref="C155" ca="1">IFERROR(IF(OR('Raw Data'!C155="",LEN(TRIM('Raw Data'!C155))=0),_xlfn.REGEXEXTRACT(CELL("address",'Raw Data'!C155),"\$([A-Z]+)\$[0-9]+"),""),"")</f>
        <v/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2:28" x14ac:dyDescent="0.25">
      <c r="B156" s="6" t="str" cm="1">
        <f t="array" aca="1" ref="B156" ca="1">IFERROR(IF(OR('Raw Data'!B156="",LEN(TRIM('Raw Data'!B156))=0),_xlfn.REGEXEXTRACT(CELL("address",'Raw Data'!B156),"\$([A-Z]+)\$[0-9]+"),""),"")</f>
        <v/>
      </c>
      <c r="C156" s="6" t="str" cm="1">
        <f t="array" aca="1" ref="C156" ca="1">IFERROR(IF(OR('Raw Data'!C156="",LEN(TRIM('Raw Data'!C156))=0),_xlfn.REGEXEXTRACT(CELL("address",'Raw Data'!C156),"\$([A-Z]+)\$[0-9]+"),""),"")</f>
        <v/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2:28" x14ac:dyDescent="0.25">
      <c r="B157" s="6" t="str" cm="1">
        <f t="array" aca="1" ref="B157" ca="1">IFERROR(IF(OR('Raw Data'!B157="",LEN(TRIM('Raw Data'!B157))=0),_xlfn.REGEXEXTRACT(CELL("address",'Raw Data'!B157),"\$([A-Z]+)\$[0-9]+"),""),"")</f>
        <v/>
      </c>
      <c r="C157" s="6" t="str" cm="1">
        <f t="array" aca="1" ref="C157" ca="1">IFERROR(IF(OR('Raw Data'!C157="",LEN(TRIM('Raw Data'!C157))=0),_xlfn.REGEXEXTRACT(CELL("address",'Raw Data'!C157),"\$([A-Z]+)\$[0-9]+"),""),"")</f>
        <v/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2:28" x14ac:dyDescent="0.25">
      <c r="B158" s="6" t="str" cm="1">
        <f t="array" aca="1" ref="B158" ca="1">IFERROR(IF(OR('Raw Data'!B158="",LEN(TRIM('Raw Data'!B158))=0),_xlfn.REGEXEXTRACT(CELL("address",'Raw Data'!B158),"\$([A-Z]+)\$[0-9]+"),""),"")</f>
        <v/>
      </c>
      <c r="C158" s="6" t="str" cm="1">
        <f t="array" aca="1" ref="C158" ca="1">IFERROR(IF(OR('Raw Data'!C158="",LEN(TRIM('Raw Data'!C158))=0),_xlfn.REGEXEXTRACT(CELL("address",'Raw Data'!C158),"\$([A-Z]+)\$[0-9]+"),""),"")</f>
        <v/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2:28" x14ac:dyDescent="0.25">
      <c r="B159" s="6" t="str" cm="1">
        <f t="array" aca="1" ref="B159" ca="1">IFERROR(IF(OR('Raw Data'!B159="",LEN(TRIM('Raw Data'!B159))=0),_xlfn.REGEXEXTRACT(CELL("address",'Raw Data'!B159),"\$([A-Z]+)\$[0-9]+"),""),"")</f>
        <v/>
      </c>
      <c r="C159" s="6" t="str" cm="1">
        <f t="array" aca="1" ref="C159" ca="1">IFERROR(IF(OR('Raw Data'!C159="",LEN(TRIM('Raw Data'!C159))=0),_xlfn.REGEXEXTRACT(CELL("address",'Raw Data'!C159),"\$([A-Z]+)\$[0-9]+"),""),"")</f>
        <v/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2:28" x14ac:dyDescent="0.25">
      <c r="B160" s="6" t="str" cm="1">
        <f t="array" aca="1" ref="B160" ca="1">IFERROR(IF(OR('Raw Data'!B160="",LEN(TRIM('Raw Data'!B160))=0),_xlfn.REGEXEXTRACT(CELL("address",'Raw Data'!B160),"\$([A-Z]+)\$[0-9]+"),""),"")</f>
        <v/>
      </c>
      <c r="C160" s="6" t="str" cm="1">
        <f t="array" aca="1" ref="C160" ca="1">IFERROR(IF(OR('Raw Data'!C160="",LEN(TRIM('Raw Data'!C160))=0),_xlfn.REGEXEXTRACT(CELL("address",'Raw Data'!C160),"\$([A-Z]+)\$[0-9]+"),""),"")</f>
        <v/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2:28" x14ac:dyDescent="0.25">
      <c r="B161" s="6" t="str" cm="1">
        <f t="array" aca="1" ref="B161" ca="1">IFERROR(IF(OR('Raw Data'!B161="",LEN(TRIM('Raw Data'!B161))=0),_xlfn.REGEXEXTRACT(CELL("address",'Raw Data'!B161),"\$([A-Z]+)\$[0-9]+"),""),"")</f>
        <v/>
      </c>
      <c r="C161" s="6" t="str" cm="1">
        <f t="array" aca="1" ref="C161" ca="1">IFERROR(IF(OR('Raw Data'!C161="",LEN(TRIM('Raw Data'!C161))=0),_xlfn.REGEXEXTRACT(CELL("address",'Raw Data'!C161),"\$([A-Z]+)\$[0-9]+"),""),"")</f>
        <v/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2:28" x14ac:dyDescent="0.25">
      <c r="B162" s="6" t="str" cm="1">
        <f t="array" aca="1" ref="B162" ca="1">IFERROR(IF(OR('Raw Data'!B162="",LEN(TRIM('Raw Data'!B162))=0),_xlfn.REGEXEXTRACT(CELL("address",'Raw Data'!B162),"\$([A-Z]+)\$[0-9]+"),""),"")</f>
        <v/>
      </c>
      <c r="C162" s="6" t="str" cm="1">
        <f t="array" aca="1" ref="C162" ca="1">IFERROR(IF(OR('Raw Data'!C162="",LEN(TRIM('Raw Data'!C162))=0),_xlfn.REGEXEXTRACT(CELL("address",'Raw Data'!C162),"\$([A-Z]+)\$[0-9]+"),""),"")</f>
        <v/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2:28" x14ac:dyDescent="0.25">
      <c r="B163" s="6" t="str" cm="1">
        <f t="array" aca="1" ref="B163" ca="1">IFERROR(IF(OR('Raw Data'!B163="",LEN(TRIM('Raw Data'!B163))=0),_xlfn.REGEXEXTRACT(CELL("address",'Raw Data'!B163),"\$([A-Z]+)\$[0-9]+"),""),"")</f>
        <v/>
      </c>
      <c r="C163" s="6" t="str" cm="1">
        <f t="array" aca="1" ref="C163" ca="1">IFERROR(IF(OR('Raw Data'!C163="",LEN(TRIM('Raw Data'!C163))=0),_xlfn.REGEXEXTRACT(CELL("address",'Raw Data'!C163),"\$([A-Z]+)\$[0-9]+"),""),"")</f>
        <v/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2:28" x14ac:dyDescent="0.25">
      <c r="B164" s="6" t="str" cm="1">
        <f t="array" aca="1" ref="B164" ca="1">IFERROR(IF(OR('Raw Data'!B164="",LEN(TRIM('Raw Data'!B164))=0),_xlfn.REGEXEXTRACT(CELL("address",'Raw Data'!B164),"\$([A-Z]+)\$[0-9]+"),""),"")</f>
        <v/>
      </c>
      <c r="C164" s="6" t="str" cm="1">
        <f t="array" aca="1" ref="C164" ca="1">IFERROR(IF(OR('Raw Data'!C164="",LEN(TRIM('Raw Data'!C164))=0),_xlfn.REGEXEXTRACT(CELL("address",'Raw Data'!C164),"\$([A-Z]+)\$[0-9]+"),""),"")</f>
        <v/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2:28" x14ac:dyDescent="0.25">
      <c r="B165" s="6" t="str" cm="1">
        <f t="array" aca="1" ref="B165" ca="1">IFERROR(IF(OR('Raw Data'!B165="",LEN(TRIM('Raw Data'!B165))=0),_xlfn.REGEXEXTRACT(CELL("address",'Raw Data'!B165),"\$([A-Z]+)\$[0-9]+"),""),"")</f>
        <v/>
      </c>
      <c r="C165" s="6" t="str" cm="1">
        <f t="array" aca="1" ref="C165" ca="1">IFERROR(IF(OR('Raw Data'!C165="",LEN(TRIM('Raw Data'!C165))=0),_xlfn.REGEXEXTRACT(CELL("address",'Raw Data'!C165),"\$([A-Z]+)\$[0-9]+"),""),"")</f>
        <v/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2:28" x14ac:dyDescent="0.25">
      <c r="B166" s="6" t="str" cm="1">
        <f t="array" aca="1" ref="B166" ca="1">IFERROR(IF(OR('Raw Data'!B166="",LEN(TRIM('Raw Data'!B166))=0),_xlfn.REGEXEXTRACT(CELL("address",'Raw Data'!B166),"\$([A-Z]+)\$[0-9]+"),""),"")</f>
        <v/>
      </c>
      <c r="C166" s="6" t="str" cm="1">
        <f t="array" aca="1" ref="C166" ca="1">IFERROR(IF(OR('Raw Data'!C166="",LEN(TRIM('Raw Data'!C166))=0),_xlfn.REGEXEXTRACT(CELL("address",'Raw Data'!C166),"\$([A-Z]+)\$[0-9]+"),""),"")</f>
        <v/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2:28" x14ac:dyDescent="0.25">
      <c r="B167" s="6" t="str" cm="1">
        <f t="array" aca="1" ref="B167" ca="1">IFERROR(IF(OR('Raw Data'!B167="",LEN(TRIM('Raw Data'!B167))=0),_xlfn.REGEXEXTRACT(CELL("address",'Raw Data'!B167),"\$([A-Z]+)\$[0-9]+"),""),"")</f>
        <v/>
      </c>
      <c r="C167" s="6" t="str" cm="1">
        <f t="array" aca="1" ref="C167" ca="1">IFERROR(IF(OR('Raw Data'!C167="",LEN(TRIM('Raw Data'!C167))=0),_xlfn.REGEXEXTRACT(CELL("address",'Raw Data'!C167),"\$([A-Z]+)\$[0-9]+"),""),"")</f>
        <v/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2:28" x14ac:dyDescent="0.25">
      <c r="B168" s="6" t="str" cm="1">
        <f t="array" aca="1" ref="B168" ca="1">IFERROR(IF(OR('Raw Data'!B168="",LEN(TRIM('Raw Data'!B168))=0),_xlfn.REGEXEXTRACT(CELL("address",'Raw Data'!B168),"\$([A-Z]+)\$[0-9]+"),""),"")</f>
        <v/>
      </c>
      <c r="C168" s="6" t="str" cm="1">
        <f t="array" aca="1" ref="C168" ca="1">IFERROR(IF(OR('Raw Data'!C168="",LEN(TRIM('Raw Data'!C168))=0),_xlfn.REGEXEXTRACT(CELL("address",'Raw Data'!C168),"\$([A-Z]+)\$[0-9]+"),""),"")</f>
        <v/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2:28" x14ac:dyDescent="0.25">
      <c r="B169" s="6" t="str" cm="1">
        <f t="array" aca="1" ref="B169" ca="1">IFERROR(IF(OR('Raw Data'!B169="",LEN(TRIM('Raw Data'!B169))=0),_xlfn.REGEXEXTRACT(CELL("address",'Raw Data'!B169),"\$([A-Z]+)\$[0-9]+"),""),"")</f>
        <v/>
      </c>
      <c r="C169" s="6" t="str" cm="1">
        <f t="array" aca="1" ref="C169" ca="1">IFERROR(IF(OR('Raw Data'!C169="",LEN(TRIM('Raw Data'!C169))=0),_xlfn.REGEXEXTRACT(CELL("address",'Raw Data'!C169),"\$([A-Z]+)\$[0-9]+"),""),"")</f>
        <v/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2:28" x14ac:dyDescent="0.25">
      <c r="B170" s="6" t="str" cm="1">
        <f t="array" aca="1" ref="B170" ca="1">IFERROR(IF(OR('Raw Data'!B170="",LEN(TRIM('Raw Data'!B170))=0),_xlfn.REGEXEXTRACT(CELL("address",'Raw Data'!B170),"\$([A-Z]+)\$[0-9]+"),""),"")</f>
        <v/>
      </c>
      <c r="C170" s="6" t="str" cm="1">
        <f t="array" aca="1" ref="C170" ca="1">IFERROR(IF(OR('Raw Data'!C170="",LEN(TRIM('Raw Data'!C170))=0),_xlfn.REGEXEXTRACT(CELL("address",'Raw Data'!C170),"\$([A-Z]+)\$[0-9]+"),""),"")</f>
        <v/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2:28" x14ac:dyDescent="0.25">
      <c r="B171" s="6" t="str" cm="1">
        <f t="array" aca="1" ref="B171" ca="1">IFERROR(IF(OR('Raw Data'!B171="",LEN(TRIM('Raw Data'!B171))=0),_xlfn.REGEXEXTRACT(CELL("address",'Raw Data'!B171),"\$([A-Z]+)\$[0-9]+"),""),"")</f>
        <v/>
      </c>
      <c r="C171" s="6" t="str" cm="1">
        <f t="array" aca="1" ref="C171" ca="1">IFERROR(IF(OR('Raw Data'!C171="",LEN(TRIM('Raw Data'!C171))=0),_xlfn.REGEXEXTRACT(CELL("address",'Raw Data'!C171),"\$([A-Z]+)\$[0-9]+"),""),"")</f>
        <v/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2:28" x14ac:dyDescent="0.25">
      <c r="B172" s="6" t="str" cm="1">
        <f t="array" aca="1" ref="B172" ca="1">IFERROR(IF(OR('Raw Data'!B172="",LEN(TRIM('Raw Data'!B172))=0),_xlfn.REGEXEXTRACT(CELL("address",'Raw Data'!B172),"\$([A-Z]+)\$[0-9]+"),""),"")</f>
        <v/>
      </c>
      <c r="C172" s="6" t="str" cm="1">
        <f t="array" aca="1" ref="C172" ca="1">IFERROR(IF(OR('Raw Data'!C172="",LEN(TRIM('Raw Data'!C172))=0),_xlfn.REGEXEXTRACT(CELL("address",'Raw Data'!C172),"\$([A-Z]+)\$[0-9]+"),""),"")</f>
        <v/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2:28" x14ac:dyDescent="0.25">
      <c r="B173" s="6" t="str" cm="1">
        <f t="array" aca="1" ref="B173" ca="1">IFERROR(IF(OR('Raw Data'!B173="",LEN(TRIM('Raw Data'!B173))=0),_xlfn.REGEXEXTRACT(CELL("address",'Raw Data'!B173),"\$([A-Z]+)\$[0-9]+"),""),"")</f>
        <v/>
      </c>
      <c r="C173" s="6" t="str" cm="1">
        <f t="array" aca="1" ref="C173" ca="1">IFERROR(IF(OR('Raw Data'!C173="",LEN(TRIM('Raw Data'!C173))=0),_xlfn.REGEXEXTRACT(CELL("address",'Raw Data'!C173),"\$([A-Z]+)\$[0-9]+"),""),"")</f>
        <v/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2:28" x14ac:dyDescent="0.25">
      <c r="B174" s="6" t="str" cm="1">
        <f t="array" aca="1" ref="B174" ca="1">IFERROR(IF(OR('Raw Data'!B174="",LEN(TRIM('Raw Data'!B174))=0),_xlfn.REGEXEXTRACT(CELL("address",'Raw Data'!B174),"\$([A-Z]+)\$[0-9]+"),""),"")</f>
        <v/>
      </c>
      <c r="C174" s="6" t="str" cm="1">
        <f t="array" aca="1" ref="C174" ca="1">IFERROR(IF(OR('Raw Data'!C174="",LEN(TRIM('Raw Data'!C174))=0),_xlfn.REGEXEXTRACT(CELL("address",'Raw Data'!C174),"\$([A-Z]+)\$[0-9]+"),""),"")</f>
        <v/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2:28" x14ac:dyDescent="0.25">
      <c r="B175" s="6" t="str" cm="1">
        <f t="array" aca="1" ref="B175" ca="1">IFERROR(IF(OR('Raw Data'!B175="",LEN(TRIM('Raw Data'!B175))=0),_xlfn.REGEXEXTRACT(CELL("address",'Raw Data'!B175),"\$([A-Z]+)\$[0-9]+"),""),"")</f>
        <v/>
      </c>
      <c r="C175" s="6" t="str" cm="1">
        <f t="array" aca="1" ref="C175" ca="1">IFERROR(IF(OR('Raw Data'!C175="",LEN(TRIM('Raw Data'!C175))=0),_xlfn.REGEXEXTRACT(CELL("address",'Raw Data'!C175),"\$([A-Z]+)\$[0-9]+"),""),"")</f>
        <v/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2:28" x14ac:dyDescent="0.25">
      <c r="B176" s="6" t="str" cm="1">
        <f t="array" aca="1" ref="B176" ca="1">IFERROR(IF(OR('Raw Data'!B176="",LEN(TRIM('Raw Data'!B176))=0),_xlfn.REGEXEXTRACT(CELL("address",'Raw Data'!B176),"\$([A-Z]+)\$[0-9]+"),""),"")</f>
        <v/>
      </c>
      <c r="C176" s="6" t="str" cm="1">
        <f t="array" aca="1" ref="C176" ca="1">IFERROR(IF(OR('Raw Data'!C176="",LEN(TRIM('Raw Data'!C176))=0),_xlfn.REGEXEXTRACT(CELL("address",'Raw Data'!C176),"\$([A-Z]+)\$[0-9]+"),""),"")</f>
        <v/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2:28" x14ac:dyDescent="0.25">
      <c r="B177" s="6" t="str" cm="1">
        <f t="array" aca="1" ref="B177" ca="1">IFERROR(IF(OR('Raw Data'!B177="",LEN(TRIM('Raw Data'!B177))=0),_xlfn.REGEXEXTRACT(CELL("address",'Raw Data'!B177),"\$([A-Z]+)\$[0-9]+"),""),"")</f>
        <v/>
      </c>
      <c r="C177" s="6" t="str" cm="1">
        <f t="array" aca="1" ref="C177" ca="1">IFERROR(IF(OR('Raw Data'!C177="",LEN(TRIM('Raw Data'!C177))=0),_xlfn.REGEXEXTRACT(CELL("address",'Raw Data'!C177),"\$([A-Z]+)\$[0-9]+"),""),"")</f>
        <v/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2:28" x14ac:dyDescent="0.25">
      <c r="B178" s="6" t="str" cm="1">
        <f t="array" aca="1" ref="B178" ca="1">IFERROR(IF(OR('Raw Data'!B178="",LEN(TRIM('Raw Data'!B178))=0),_xlfn.REGEXEXTRACT(CELL("address",'Raw Data'!B178),"\$([A-Z]+)\$[0-9]+"),""),"")</f>
        <v/>
      </c>
      <c r="C178" s="6" t="str" cm="1">
        <f t="array" aca="1" ref="C178" ca="1">IFERROR(IF(OR('Raw Data'!C178="",LEN(TRIM('Raw Data'!C178))=0),_xlfn.REGEXEXTRACT(CELL("address",'Raw Data'!C178),"\$([A-Z]+)\$[0-9]+"),""),"")</f>
        <v/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2:28" x14ac:dyDescent="0.25">
      <c r="B179" s="6" t="str" cm="1">
        <f t="array" aca="1" ref="B179" ca="1">IFERROR(IF(OR('Raw Data'!B179="",LEN(TRIM('Raw Data'!B179))=0),_xlfn.REGEXEXTRACT(CELL("address",'Raw Data'!B179),"\$([A-Z]+)\$[0-9]+"),""),"")</f>
        <v/>
      </c>
      <c r="C179" s="6" t="str" cm="1">
        <f t="array" aca="1" ref="C179" ca="1">IFERROR(IF(OR('Raw Data'!C179="",LEN(TRIM('Raw Data'!C179))=0),_xlfn.REGEXEXTRACT(CELL("address",'Raw Data'!C179),"\$([A-Z]+)\$[0-9]+"),""),"")</f>
        <v/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2:28" x14ac:dyDescent="0.25">
      <c r="B180" s="6" t="str" cm="1">
        <f t="array" aca="1" ref="B180" ca="1">IFERROR(IF(OR('Raw Data'!B180="",LEN(TRIM('Raw Data'!B180))=0),_xlfn.REGEXEXTRACT(CELL("address",'Raw Data'!B180),"\$([A-Z]+)\$[0-9]+"),""),"")</f>
        <v/>
      </c>
      <c r="C180" s="6" t="str" cm="1">
        <f t="array" aca="1" ref="C180" ca="1">IFERROR(IF(OR('Raw Data'!C180="",LEN(TRIM('Raw Data'!C180))=0),_xlfn.REGEXEXTRACT(CELL("address",'Raw Data'!C180),"\$([A-Z]+)\$[0-9]+"),""),"")</f>
        <v/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2:28" x14ac:dyDescent="0.25">
      <c r="B181" s="6" t="str" cm="1">
        <f t="array" aca="1" ref="B181" ca="1">IFERROR(IF(OR('Raw Data'!B181="",LEN(TRIM('Raw Data'!B181))=0),_xlfn.REGEXEXTRACT(CELL("address",'Raw Data'!B181),"\$([A-Z]+)\$[0-9]+"),""),"")</f>
        <v/>
      </c>
      <c r="C181" s="6" t="str" cm="1">
        <f t="array" aca="1" ref="C181" ca="1">IFERROR(IF(OR('Raw Data'!C181="",LEN(TRIM('Raw Data'!C181))=0),_xlfn.REGEXEXTRACT(CELL("address",'Raw Data'!C181),"\$([A-Z]+)\$[0-9]+"),""),"")</f>
        <v/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2:28" x14ac:dyDescent="0.25">
      <c r="B182" s="6" t="str" cm="1">
        <f t="array" aca="1" ref="B182" ca="1">IFERROR(IF(OR('Raw Data'!B182="",LEN(TRIM('Raw Data'!B182))=0),_xlfn.REGEXEXTRACT(CELL("address",'Raw Data'!B182),"\$([A-Z]+)\$[0-9]+"),""),"")</f>
        <v/>
      </c>
      <c r="C182" s="6" t="str" cm="1">
        <f t="array" aca="1" ref="C182" ca="1">IFERROR(IF(OR('Raw Data'!C182="",LEN(TRIM('Raw Data'!C182))=0),_xlfn.REGEXEXTRACT(CELL("address",'Raw Data'!C182),"\$([A-Z]+)\$[0-9]+"),""),"")</f>
        <v/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2:28" x14ac:dyDescent="0.25">
      <c r="B183" s="6" t="str" cm="1">
        <f t="array" aca="1" ref="B183" ca="1">IFERROR(IF(OR('Raw Data'!B183="",LEN(TRIM('Raw Data'!B183))=0),_xlfn.REGEXEXTRACT(CELL("address",'Raw Data'!B183),"\$([A-Z]+)\$[0-9]+"),""),"")</f>
        <v/>
      </c>
      <c r="C183" s="6" t="str" cm="1">
        <f t="array" aca="1" ref="C183" ca="1">IFERROR(IF(OR('Raw Data'!C183="",LEN(TRIM('Raw Data'!C183))=0),_xlfn.REGEXEXTRACT(CELL("address",'Raw Data'!C183),"\$([A-Z]+)\$[0-9]+"),""),"")</f>
        <v/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2:28" x14ac:dyDescent="0.25">
      <c r="B184" s="6" t="str" cm="1">
        <f t="array" aca="1" ref="B184" ca="1">IFERROR(IF(OR('Raw Data'!B184="",LEN(TRIM('Raw Data'!B184))=0),_xlfn.REGEXEXTRACT(CELL("address",'Raw Data'!B184),"\$([A-Z]+)\$[0-9]+"),""),"")</f>
        <v/>
      </c>
      <c r="C184" s="6" t="str" cm="1">
        <f t="array" aca="1" ref="C184" ca="1">IFERROR(IF(OR('Raw Data'!C184="",LEN(TRIM('Raw Data'!C184))=0),_xlfn.REGEXEXTRACT(CELL("address",'Raw Data'!C184),"\$([A-Z]+)\$[0-9]+"),""),"")</f>
        <v/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2:28" x14ac:dyDescent="0.25">
      <c r="B185" s="6" t="str" cm="1">
        <f t="array" aca="1" ref="B185" ca="1">IFERROR(IF(OR('Raw Data'!B185="",LEN(TRIM('Raw Data'!B185))=0),_xlfn.REGEXEXTRACT(CELL("address",'Raw Data'!B185),"\$([A-Z]+)\$[0-9]+"),""),"")</f>
        <v/>
      </c>
      <c r="C185" s="6" t="str" cm="1">
        <f t="array" aca="1" ref="C185" ca="1">IFERROR(IF(OR('Raw Data'!C185="",LEN(TRIM('Raw Data'!C185))=0),_xlfn.REGEXEXTRACT(CELL("address",'Raw Data'!C185),"\$([A-Z]+)\$[0-9]+"),""),"")</f>
        <v/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2:28" x14ac:dyDescent="0.25">
      <c r="B186" s="6" t="str" cm="1">
        <f t="array" aca="1" ref="B186" ca="1">IFERROR(IF(OR('Raw Data'!B186="",LEN(TRIM('Raw Data'!B186))=0),_xlfn.REGEXEXTRACT(CELL("address",'Raw Data'!B186),"\$([A-Z]+)\$[0-9]+"),""),"")</f>
        <v/>
      </c>
      <c r="C186" s="6" t="str" cm="1">
        <f t="array" aca="1" ref="C186" ca="1">IFERROR(IF(OR('Raw Data'!C186="",LEN(TRIM('Raw Data'!C186))=0),_xlfn.REGEXEXTRACT(CELL("address",'Raw Data'!C186),"\$([A-Z]+)\$[0-9]+"),""),"")</f>
        <v/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2:28" x14ac:dyDescent="0.25">
      <c r="B187" s="6" t="str" cm="1">
        <f t="array" aca="1" ref="B187" ca="1">IFERROR(IF(OR('Raw Data'!B187="",LEN(TRIM('Raw Data'!B187))=0),_xlfn.REGEXEXTRACT(CELL("address",'Raw Data'!B187),"\$([A-Z]+)\$[0-9]+"),""),"")</f>
        <v/>
      </c>
      <c r="C187" s="6" t="str" cm="1">
        <f t="array" aca="1" ref="C187" ca="1">IFERROR(IF(OR('Raw Data'!C187="",LEN(TRIM('Raw Data'!C187))=0),_xlfn.REGEXEXTRACT(CELL("address",'Raw Data'!C187),"\$([A-Z]+)\$[0-9]+"),""),"")</f>
        <v/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2:28" x14ac:dyDescent="0.25">
      <c r="B188" s="6" t="str" cm="1">
        <f t="array" aca="1" ref="B188" ca="1">IFERROR(IF(OR('Raw Data'!B188="",LEN(TRIM('Raw Data'!B188))=0),_xlfn.REGEXEXTRACT(CELL("address",'Raw Data'!B188),"\$([A-Z]+)\$[0-9]+"),""),"")</f>
        <v/>
      </c>
      <c r="C188" s="6" t="str" cm="1">
        <f t="array" aca="1" ref="C188" ca="1">IFERROR(IF(OR('Raw Data'!C188="",LEN(TRIM('Raw Data'!C188))=0),_xlfn.REGEXEXTRACT(CELL("address",'Raw Data'!C188),"\$([A-Z]+)\$[0-9]+"),""),"")</f>
        <v/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2:28" x14ac:dyDescent="0.25">
      <c r="B189" s="6" t="str" cm="1">
        <f t="array" aca="1" ref="B189" ca="1">IFERROR(IF(OR('Raw Data'!B189="",LEN(TRIM('Raw Data'!B189))=0),_xlfn.REGEXEXTRACT(CELL("address",'Raw Data'!B189),"\$([A-Z]+)\$[0-9]+"),""),"")</f>
        <v/>
      </c>
      <c r="C189" s="6" t="str" cm="1">
        <f t="array" aca="1" ref="C189" ca="1">IFERROR(IF(OR('Raw Data'!C189="",LEN(TRIM('Raw Data'!C189))=0),_xlfn.REGEXEXTRACT(CELL("address",'Raw Data'!C189),"\$([A-Z]+)\$[0-9]+"),""),"")</f>
        <v/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2:28" x14ac:dyDescent="0.25">
      <c r="B190" s="6" t="str" cm="1">
        <f t="array" aca="1" ref="B190" ca="1">IFERROR(IF(OR('Raw Data'!B190="",LEN(TRIM('Raw Data'!B190))=0),_xlfn.REGEXEXTRACT(CELL("address",'Raw Data'!B190),"\$([A-Z]+)\$[0-9]+"),""),"")</f>
        <v/>
      </c>
      <c r="C190" s="6" t="str" cm="1">
        <f t="array" aca="1" ref="C190" ca="1">IFERROR(IF(OR('Raw Data'!C190="",LEN(TRIM('Raw Data'!C190))=0),_xlfn.REGEXEXTRACT(CELL("address",'Raw Data'!C190),"\$([A-Z]+)\$[0-9]+"),""),"")</f>
        <v/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2:28" x14ac:dyDescent="0.25">
      <c r="B191" s="6" t="str" cm="1">
        <f t="array" aca="1" ref="B191" ca="1">IFERROR(IF(OR('Raw Data'!B191="",LEN(TRIM('Raw Data'!B191))=0),_xlfn.REGEXEXTRACT(CELL("address",'Raw Data'!B191),"\$([A-Z]+)\$[0-9]+"),""),"")</f>
        <v/>
      </c>
      <c r="C191" s="6" t="str" cm="1">
        <f t="array" aca="1" ref="C191" ca="1">IFERROR(IF(OR('Raw Data'!C191="",LEN(TRIM('Raw Data'!C191))=0),_xlfn.REGEXEXTRACT(CELL("address",'Raw Data'!C191),"\$([A-Z]+)\$[0-9]+"),""),"")</f>
        <v/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2:28" x14ac:dyDescent="0.25">
      <c r="B192" s="6" t="str" cm="1">
        <f t="array" aca="1" ref="B192" ca="1">IFERROR(IF(OR('Raw Data'!B192="",LEN(TRIM('Raw Data'!B192))=0),_xlfn.REGEXEXTRACT(CELL("address",'Raw Data'!B192),"\$([A-Z]+)\$[0-9]+"),""),"")</f>
        <v/>
      </c>
      <c r="C192" s="6" t="str" cm="1">
        <f t="array" aca="1" ref="C192" ca="1">IFERROR(IF(OR('Raw Data'!C192="",LEN(TRIM('Raw Data'!C192))=0),_xlfn.REGEXEXTRACT(CELL("address",'Raw Data'!C192),"\$([A-Z]+)\$[0-9]+"),""),"")</f>
        <v/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2:28" x14ac:dyDescent="0.25">
      <c r="B193" s="6" t="str" cm="1">
        <f t="array" aca="1" ref="B193" ca="1">IFERROR(IF(OR('Raw Data'!B193="",LEN(TRIM('Raw Data'!B193))=0),_xlfn.REGEXEXTRACT(CELL("address",'Raw Data'!B193),"\$([A-Z]+)\$[0-9]+"),""),"")</f>
        <v/>
      </c>
      <c r="C193" s="6" t="str" cm="1">
        <f t="array" aca="1" ref="C193" ca="1">IFERROR(IF(OR('Raw Data'!C193="",LEN(TRIM('Raw Data'!C193))=0),_xlfn.REGEXEXTRACT(CELL("address",'Raw Data'!C193),"\$([A-Z]+)\$[0-9]+"),""),"")</f>
        <v/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2:28" x14ac:dyDescent="0.25">
      <c r="B194" s="6" t="str" cm="1">
        <f t="array" aca="1" ref="B194" ca="1">IFERROR(IF(OR('Raw Data'!B194="",LEN(TRIM('Raw Data'!B194))=0),_xlfn.REGEXEXTRACT(CELL("address",'Raw Data'!B194),"\$([A-Z]+)\$[0-9]+"),""),"")</f>
        <v/>
      </c>
      <c r="C194" s="6" t="str" cm="1">
        <f t="array" aca="1" ref="C194" ca="1">IFERROR(IF(OR('Raw Data'!C194="",LEN(TRIM('Raw Data'!C194))=0),_xlfn.REGEXEXTRACT(CELL("address",'Raw Data'!C194),"\$([A-Z]+)\$[0-9]+"),""),"")</f>
        <v/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2:28" x14ac:dyDescent="0.25">
      <c r="B195" s="6" t="str" cm="1">
        <f t="array" aca="1" ref="B195" ca="1">IFERROR(IF(OR('Raw Data'!B195="",LEN(TRIM('Raw Data'!B195))=0),_xlfn.REGEXEXTRACT(CELL("address",'Raw Data'!B195),"\$([A-Z]+)\$[0-9]+"),""),"")</f>
        <v/>
      </c>
      <c r="C195" s="6" t="str" cm="1">
        <f t="array" aca="1" ref="C195" ca="1">IFERROR(IF(OR('Raw Data'!C195="",LEN(TRIM('Raw Data'!C195))=0),_xlfn.REGEXEXTRACT(CELL("address",'Raw Data'!C195),"\$([A-Z]+)\$[0-9]+"),""),"")</f>
        <v/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2:28" x14ac:dyDescent="0.25">
      <c r="B196" s="6" t="str" cm="1">
        <f t="array" aca="1" ref="B196" ca="1">IFERROR(IF(OR('Raw Data'!B196="",LEN(TRIM('Raw Data'!B196))=0),_xlfn.REGEXEXTRACT(CELL("address",'Raw Data'!B196),"\$([A-Z]+)\$[0-9]+"),""),"")</f>
        <v/>
      </c>
      <c r="C196" s="6" t="str" cm="1">
        <f t="array" aca="1" ref="C196" ca="1">IFERROR(IF(OR('Raw Data'!C196="",LEN(TRIM('Raw Data'!C196))=0),_xlfn.REGEXEXTRACT(CELL("address",'Raw Data'!C196),"\$([A-Z]+)\$[0-9]+"),""),"")</f>
        <v/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2:28" x14ac:dyDescent="0.25">
      <c r="B197" s="6" t="str" cm="1">
        <f t="array" aca="1" ref="B197" ca="1">IFERROR(IF(OR('Raw Data'!B197="",LEN(TRIM('Raw Data'!B197))=0),_xlfn.REGEXEXTRACT(CELL("address",'Raw Data'!B197),"\$([A-Z]+)\$[0-9]+"),""),"")</f>
        <v/>
      </c>
      <c r="C197" s="6" t="str" cm="1">
        <f t="array" aca="1" ref="C197" ca="1">IFERROR(IF(OR('Raw Data'!C197="",LEN(TRIM('Raw Data'!C197))=0),_xlfn.REGEXEXTRACT(CELL("address",'Raw Data'!C197),"\$([A-Z]+)\$[0-9]+"),""),"")</f>
        <v/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2:28" x14ac:dyDescent="0.25">
      <c r="B198" s="6" t="str" cm="1">
        <f t="array" aca="1" ref="B198" ca="1">IFERROR(IF(OR('Raw Data'!B198="",LEN(TRIM('Raw Data'!B198))=0),_xlfn.REGEXEXTRACT(CELL("address",'Raw Data'!B198),"\$([A-Z]+)\$[0-9]+"),""),"")</f>
        <v/>
      </c>
      <c r="C198" s="6" t="str" cm="1">
        <f t="array" aca="1" ref="C198" ca="1">IFERROR(IF(OR('Raw Data'!C198="",LEN(TRIM('Raw Data'!C198))=0),_xlfn.REGEXEXTRACT(CELL("address",'Raw Data'!C198),"\$([A-Z]+)\$[0-9]+"),""),"")</f>
        <v/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2:28" x14ac:dyDescent="0.25">
      <c r="B199" s="6" t="str" cm="1">
        <f t="array" aca="1" ref="B199" ca="1">IFERROR(IF(OR('Raw Data'!B199="",LEN(TRIM('Raw Data'!B199))=0),_xlfn.REGEXEXTRACT(CELL("address",'Raw Data'!B199),"\$([A-Z]+)\$[0-9]+"),""),"")</f>
        <v/>
      </c>
      <c r="C199" s="6" t="str" cm="1">
        <f t="array" aca="1" ref="C199" ca="1">IFERROR(IF(OR('Raw Data'!C199="",LEN(TRIM('Raw Data'!C199))=0),_xlfn.REGEXEXTRACT(CELL("address",'Raw Data'!C199),"\$([A-Z]+)\$[0-9]+"),""),"")</f>
        <v/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2:28" x14ac:dyDescent="0.25">
      <c r="B200" s="6" t="str" cm="1">
        <f t="array" aca="1" ref="B200" ca="1">IFERROR(IF(OR('Raw Data'!B200="",LEN(TRIM('Raw Data'!B200))=0),_xlfn.REGEXEXTRACT(CELL("address",'Raw Data'!B200),"\$([A-Z]+)\$[0-9]+"),""),"")</f>
        <v/>
      </c>
      <c r="C200" s="6" t="str" cm="1">
        <f t="array" aca="1" ref="C200" ca="1">IFERROR(IF(OR('Raw Data'!C200="",LEN(TRIM('Raw Data'!C200))=0),_xlfn.REGEXEXTRACT(CELL("address",'Raw Data'!C200),"\$([A-Z]+)\$[0-9]+"),""),"")</f>
        <v/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2:28" x14ac:dyDescent="0.25">
      <c r="B201" s="6" t="str" cm="1">
        <f t="array" aca="1" ref="B201" ca="1">IFERROR(IF(OR('Raw Data'!B201="",LEN(TRIM('Raw Data'!B201))=0),_xlfn.REGEXEXTRACT(CELL("address",'Raw Data'!B201),"\$([A-Z]+)\$[0-9]+"),""),"")</f>
        <v/>
      </c>
      <c r="C201" s="6" t="str" cm="1">
        <f t="array" aca="1" ref="C201" ca="1">IFERROR(IF(OR('Raw Data'!C201="",LEN(TRIM('Raw Data'!C201))=0),_xlfn.REGEXEXTRACT(CELL("address",'Raw Data'!C201),"\$([A-Z]+)\$[0-9]+"),""),"")</f>
        <v/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2:28" x14ac:dyDescent="0.25">
      <c r="B202" s="6" t="str" cm="1">
        <f t="array" aca="1" ref="B202" ca="1">IFERROR(IF(OR('Raw Data'!B202="",LEN(TRIM('Raw Data'!B202))=0),_xlfn.REGEXEXTRACT(CELL("address",'Raw Data'!B202),"\$([A-Z]+)\$[0-9]+"),""),"")</f>
        <v/>
      </c>
      <c r="C202" s="6" t="str" cm="1">
        <f t="array" aca="1" ref="C202" ca="1">IFERROR(IF(OR('Raw Data'!C202="",LEN(TRIM('Raw Data'!C202))=0),_xlfn.REGEXEXTRACT(CELL("address",'Raw Data'!C202),"\$([A-Z]+)\$[0-9]+"),""),"")</f>
        <v/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2:28" x14ac:dyDescent="0.25">
      <c r="B203" s="6" t="str" cm="1">
        <f t="array" aca="1" ref="B203" ca="1">IFERROR(IF(OR('Raw Data'!B203="",LEN(TRIM('Raw Data'!B203))=0),_xlfn.REGEXEXTRACT(CELL("address",'Raw Data'!B203),"\$([A-Z]+)\$[0-9]+"),""),"")</f>
        <v/>
      </c>
      <c r="C203" s="6" t="str" cm="1">
        <f t="array" aca="1" ref="C203" ca="1">IFERROR(IF(OR('Raw Data'!C203="",LEN(TRIM('Raw Data'!C203))=0),_xlfn.REGEXEXTRACT(CELL("address",'Raw Data'!C203),"\$([A-Z]+)\$[0-9]+"),""),"")</f>
        <v/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2:28" x14ac:dyDescent="0.25">
      <c r="B204" s="6" t="str" cm="1">
        <f t="array" aca="1" ref="B204" ca="1">IFERROR(IF(OR('Raw Data'!B204="",LEN(TRIM('Raw Data'!B204))=0),_xlfn.REGEXEXTRACT(CELL("address",'Raw Data'!B204),"\$([A-Z]+)\$[0-9]+"),""),"")</f>
        <v/>
      </c>
      <c r="C204" s="6" t="str" cm="1">
        <f t="array" aca="1" ref="C204" ca="1">IFERROR(IF(OR('Raw Data'!C204="",LEN(TRIM('Raw Data'!C204))=0),_xlfn.REGEXEXTRACT(CELL("address",'Raw Data'!C204),"\$([A-Z]+)\$[0-9]+"),""),"")</f>
        <v/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2:28" x14ac:dyDescent="0.25">
      <c r="B205" s="6" t="str" cm="1">
        <f t="array" aca="1" ref="B205" ca="1">IFERROR(IF(OR('Raw Data'!B205="",LEN(TRIM('Raw Data'!B205))=0),_xlfn.REGEXEXTRACT(CELL("address",'Raw Data'!B205),"\$([A-Z]+)\$[0-9]+"),""),"")</f>
        <v/>
      </c>
      <c r="C205" s="6" t="str" cm="1">
        <f t="array" aca="1" ref="C205" ca="1">IFERROR(IF(OR('Raw Data'!C205="",LEN(TRIM('Raw Data'!C205))=0),_xlfn.REGEXEXTRACT(CELL("address",'Raw Data'!C205),"\$([A-Z]+)\$[0-9]+"),""),"")</f>
        <v/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2:28" x14ac:dyDescent="0.25">
      <c r="B206" s="6" t="str" cm="1">
        <f t="array" aca="1" ref="B206" ca="1">IFERROR(IF(OR('Raw Data'!B206="",LEN(TRIM('Raw Data'!B206))=0),_xlfn.REGEXEXTRACT(CELL("address",'Raw Data'!B206),"\$([A-Z]+)\$[0-9]+"),""),"")</f>
        <v/>
      </c>
      <c r="C206" s="6" t="str" cm="1">
        <f t="array" aca="1" ref="C206" ca="1">IFERROR(IF(OR('Raw Data'!C206="",LEN(TRIM('Raw Data'!C206))=0),_xlfn.REGEXEXTRACT(CELL("address",'Raw Data'!C206),"\$([A-Z]+)\$[0-9]+"),""),"")</f>
        <v/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2:28" x14ac:dyDescent="0.25">
      <c r="B207" s="6" t="str" cm="1">
        <f t="array" aca="1" ref="B207" ca="1">IFERROR(IF(OR('Raw Data'!B207="",LEN(TRIM('Raw Data'!B207))=0),_xlfn.REGEXEXTRACT(CELL("address",'Raw Data'!B207),"\$([A-Z]+)\$[0-9]+"),""),"")</f>
        <v/>
      </c>
      <c r="C207" s="6" t="str" cm="1">
        <f t="array" aca="1" ref="C207" ca="1">IFERROR(IF(OR('Raw Data'!C207="",LEN(TRIM('Raw Data'!C207))=0),_xlfn.REGEXEXTRACT(CELL("address",'Raw Data'!C207),"\$([A-Z]+)\$[0-9]+"),""),"")</f>
        <v/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2:28" x14ac:dyDescent="0.25">
      <c r="B208" s="6" t="str" cm="1">
        <f t="array" aca="1" ref="B208" ca="1">IFERROR(IF(OR('Raw Data'!B208="",LEN(TRIM('Raw Data'!B208))=0),_xlfn.REGEXEXTRACT(CELL("address",'Raw Data'!B208),"\$([A-Z]+)\$[0-9]+"),""),"")</f>
        <v/>
      </c>
      <c r="C208" s="6" t="str" cm="1">
        <f t="array" aca="1" ref="C208" ca="1">IFERROR(IF(OR('Raw Data'!C208="",LEN(TRIM('Raw Data'!C208))=0),_xlfn.REGEXEXTRACT(CELL("address",'Raw Data'!C208),"\$([A-Z]+)\$[0-9]+"),""),"")</f>
        <v/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2:28" x14ac:dyDescent="0.25">
      <c r="B209" s="6" t="str" cm="1">
        <f t="array" aca="1" ref="B209" ca="1">IFERROR(IF(OR('Raw Data'!B209="",LEN(TRIM('Raw Data'!B209))=0),_xlfn.REGEXEXTRACT(CELL("address",'Raw Data'!B209),"\$([A-Z]+)\$[0-9]+"),""),"")</f>
        <v/>
      </c>
      <c r="C209" s="6" t="str" cm="1">
        <f t="array" aca="1" ref="C209" ca="1">IFERROR(IF(OR('Raw Data'!C209="",LEN(TRIM('Raw Data'!C209))=0),_xlfn.REGEXEXTRACT(CELL("address",'Raw Data'!C209),"\$([A-Z]+)\$[0-9]+"),""),"")</f>
        <v/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2:28" x14ac:dyDescent="0.25">
      <c r="B210" s="6" t="str" cm="1">
        <f t="array" aca="1" ref="B210" ca="1">IFERROR(IF(OR('Raw Data'!B210="",LEN(TRIM('Raw Data'!B210))=0),_xlfn.REGEXEXTRACT(CELL("address",'Raw Data'!B210),"\$([A-Z]+)\$[0-9]+"),""),"")</f>
        <v/>
      </c>
      <c r="C210" s="6" t="str" cm="1">
        <f t="array" aca="1" ref="C210" ca="1">IFERROR(IF(OR('Raw Data'!C210="",LEN(TRIM('Raw Data'!C210))=0),_xlfn.REGEXEXTRACT(CELL("address",'Raw Data'!C210),"\$([A-Z]+)\$[0-9]+"),""),"")</f>
        <v/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2:28" x14ac:dyDescent="0.25">
      <c r="B211" s="6" t="str" cm="1">
        <f t="array" aca="1" ref="B211" ca="1">IFERROR(IF(OR('Raw Data'!B211="",LEN(TRIM('Raw Data'!B211))=0),_xlfn.REGEXEXTRACT(CELL("address",'Raw Data'!B211),"\$([A-Z]+)\$[0-9]+"),""),"")</f>
        <v/>
      </c>
      <c r="C211" s="6" t="str" cm="1">
        <f t="array" aca="1" ref="C211" ca="1">IFERROR(IF(OR('Raw Data'!C211="",LEN(TRIM('Raw Data'!C211))=0),_xlfn.REGEXEXTRACT(CELL("address",'Raw Data'!C211),"\$([A-Z]+)\$[0-9]+"),""),"")</f>
        <v/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2:28" x14ac:dyDescent="0.25">
      <c r="B212" s="6" t="str" cm="1">
        <f t="array" aca="1" ref="B212" ca="1">IFERROR(IF(OR('Raw Data'!B212="",LEN(TRIM('Raw Data'!B212))=0),_xlfn.REGEXEXTRACT(CELL("address",'Raw Data'!B212),"\$([A-Z]+)\$[0-9]+"),""),"")</f>
        <v/>
      </c>
      <c r="C212" s="6" t="str" cm="1">
        <f t="array" aca="1" ref="C212" ca="1">IFERROR(IF(OR('Raw Data'!C212="",LEN(TRIM('Raw Data'!C212))=0),_xlfn.REGEXEXTRACT(CELL("address",'Raw Data'!C212),"\$([A-Z]+)\$[0-9]+"),""),"")</f>
        <v/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2:28" x14ac:dyDescent="0.25">
      <c r="B213" s="6" t="str" cm="1">
        <f t="array" aca="1" ref="B213" ca="1">IFERROR(IF(OR('Raw Data'!B213="",LEN(TRIM('Raw Data'!B213))=0),_xlfn.REGEXEXTRACT(CELL("address",'Raw Data'!B213),"\$([A-Z]+)\$[0-9]+"),""),"")</f>
        <v/>
      </c>
      <c r="C213" s="6" t="str" cm="1">
        <f t="array" aca="1" ref="C213" ca="1">IFERROR(IF(OR('Raw Data'!C213="",LEN(TRIM('Raw Data'!C213))=0),_xlfn.REGEXEXTRACT(CELL("address",'Raw Data'!C213),"\$([A-Z]+)\$[0-9]+"),""),"")</f>
        <v/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2:28" x14ac:dyDescent="0.25">
      <c r="B214" s="6" t="str" cm="1">
        <f t="array" aca="1" ref="B214" ca="1">IFERROR(IF(OR('Raw Data'!B214="",LEN(TRIM('Raw Data'!B214))=0),_xlfn.REGEXEXTRACT(CELL("address",'Raw Data'!B214),"\$([A-Z]+)\$[0-9]+"),""),"")</f>
        <v/>
      </c>
      <c r="C214" s="6" t="str" cm="1">
        <f t="array" aca="1" ref="C214" ca="1">IFERROR(IF(OR('Raw Data'!C214="",LEN(TRIM('Raw Data'!C214))=0),_xlfn.REGEXEXTRACT(CELL("address",'Raw Data'!C214),"\$([A-Z]+)\$[0-9]+"),""),"")</f>
        <v/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2:28" x14ac:dyDescent="0.25">
      <c r="B215" s="6" t="str" cm="1">
        <f t="array" aca="1" ref="B215" ca="1">IFERROR(IF(OR('Raw Data'!B215="",LEN(TRIM('Raw Data'!B215))=0),_xlfn.REGEXEXTRACT(CELL("address",'Raw Data'!B215),"\$([A-Z]+)\$[0-9]+"),""),"")</f>
        <v/>
      </c>
      <c r="C215" s="6" t="str" cm="1">
        <f t="array" aca="1" ref="C215" ca="1">IFERROR(IF(OR('Raw Data'!C215="",LEN(TRIM('Raw Data'!C215))=0),_xlfn.REGEXEXTRACT(CELL("address",'Raw Data'!C215),"\$([A-Z]+)\$[0-9]+"),""),"")</f>
        <v/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2:28" x14ac:dyDescent="0.25">
      <c r="B216" s="6" t="str" cm="1">
        <f t="array" aca="1" ref="B216" ca="1">IFERROR(IF(OR('Raw Data'!B216="",LEN(TRIM('Raw Data'!B216))=0),_xlfn.REGEXEXTRACT(CELL("address",'Raw Data'!B216),"\$([A-Z]+)\$[0-9]+"),""),"")</f>
        <v/>
      </c>
      <c r="C216" s="6" t="str" cm="1">
        <f t="array" aca="1" ref="C216" ca="1">IFERROR(IF(OR('Raw Data'!C216="",LEN(TRIM('Raw Data'!C216))=0),_xlfn.REGEXEXTRACT(CELL("address",'Raw Data'!C216),"\$([A-Z]+)\$[0-9]+"),""),"")</f>
        <v/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2:28" x14ac:dyDescent="0.25">
      <c r="B217" s="6" t="str" cm="1">
        <f t="array" aca="1" ref="B217" ca="1">IFERROR(IF(OR('Raw Data'!B217="",LEN(TRIM('Raw Data'!B217))=0),_xlfn.REGEXEXTRACT(CELL("address",'Raw Data'!B217),"\$([A-Z]+)\$[0-9]+"),""),"")</f>
        <v/>
      </c>
      <c r="C217" s="6" t="str" cm="1">
        <f t="array" aca="1" ref="C217" ca="1">IFERROR(IF(OR('Raw Data'!C217="",LEN(TRIM('Raw Data'!C217))=0),_xlfn.REGEXEXTRACT(CELL("address",'Raw Data'!C217),"\$([A-Z]+)\$[0-9]+"),""),"")</f>
        <v/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2:28" x14ac:dyDescent="0.25">
      <c r="B218" s="6" t="str" cm="1">
        <f t="array" aca="1" ref="B218" ca="1">IFERROR(IF(OR('Raw Data'!B218="",LEN(TRIM('Raw Data'!B218))=0),_xlfn.REGEXEXTRACT(CELL("address",'Raw Data'!B218),"\$([A-Z]+)\$[0-9]+"),""),"")</f>
        <v/>
      </c>
      <c r="C218" s="6" t="str" cm="1">
        <f t="array" aca="1" ref="C218" ca="1">IFERROR(IF(OR('Raw Data'!C218="",LEN(TRIM('Raw Data'!C218))=0),_xlfn.REGEXEXTRACT(CELL("address",'Raw Data'!C218),"\$([A-Z]+)\$[0-9]+"),""),"")</f>
        <v/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2:28" x14ac:dyDescent="0.25">
      <c r="B219" s="6" t="str" cm="1">
        <f t="array" aca="1" ref="B219" ca="1">IFERROR(IF(OR('Raw Data'!B219="",LEN(TRIM('Raw Data'!B219))=0),_xlfn.REGEXEXTRACT(CELL("address",'Raw Data'!B219),"\$([A-Z]+)\$[0-9]+"),""),"")</f>
        <v/>
      </c>
      <c r="C219" s="6" t="str" cm="1">
        <f t="array" aca="1" ref="C219" ca="1">IFERROR(IF(OR('Raw Data'!C219="",LEN(TRIM('Raw Data'!C219))=0),_xlfn.REGEXEXTRACT(CELL("address",'Raw Data'!C219),"\$([A-Z]+)\$[0-9]+"),""),"")</f>
        <v/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2:28" x14ac:dyDescent="0.25">
      <c r="B220" s="6" t="str" cm="1">
        <f t="array" aca="1" ref="B220" ca="1">IFERROR(IF(OR('Raw Data'!B220="",LEN(TRIM('Raw Data'!B220))=0),_xlfn.REGEXEXTRACT(CELL("address",'Raw Data'!B220),"\$([A-Z]+)\$[0-9]+"),""),"")</f>
        <v/>
      </c>
      <c r="C220" s="6" t="str" cm="1">
        <f t="array" aca="1" ref="C220" ca="1">IFERROR(IF(OR('Raw Data'!C220="",LEN(TRIM('Raw Data'!C220))=0),_xlfn.REGEXEXTRACT(CELL("address",'Raw Data'!C220),"\$([A-Z]+)\$[0-9]+"),""),"")</f>
        <v/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2:28" x14ac:dyDescent="0.25">
      <c r="B221" s="6" t="str" cm="1">
        <f t="array" aca="1" ref="B221" ca="1">IFERROR(IF(OR('Raw Data'!B221="",LEN(TRIM('Raw Data'!B221))=0),_xlfn.REGEXEXTRACT(CELL("address",'Raw Data'!B221),"\$([A-Z]+)\$[0-9]+"),""),"")</f>
        <v/>
      </c>
      <c r="C221" s="6" t="str" cm="1">
        <f t="array" aca="1" ref="C221" ca="1">IFERROR(IF(OR('Raw Data'!C221="",LEN(TRIM('Raw Data'!C221))=0),_xlfn.REGEXEXTRACT(CELL("address",'Raw Data'!C221),"\$([A-Z]+)\$[0-9]+"),""),"")</f>
        <v/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2:28" x14ac:dyDescent="0.25">
      <c r="B222" s="6" t="str" cm="1">
        <f t="array" aca="1" ref="B222" ca="1">IFERROR(IF(OR('Raw Data'!B222="",LEN(TRIM('Raw Data'!B222))=0),_xlfn.REGEXEXTRACT(CELL("address",'Raw Data'!B222),"\$([A-Z]+)\$[0-9]+"),""),"")</f>
        <v/>
      </c>
      <c r="C222" s="6" t="str" cm="1">
        <f t="array" aca="1" ref="C222" ca="1">IFERROR(IF(OR('Raw Data'!C222="",LEN(TRIM('Raw Data'!C222))=0),_xlfn.REGEXEXTRACT(CELL("address",'Raw Data'!C222),"\$([A-Z]+)\$[0-9]+"),""),"")</f>
        <v/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2:28" x14ac:dyDescent="0.25">
      <c r="B223" s="6" t="str" cm="1">
        <f t="array" aca="1" ref="B223" ca="1">IFERROR(IF(OR('Raw Data'!B223="",LEN(TRIM('Raw Data'!B223))=0),_xlfn.REGEXEXTRACT(CELL("address",'Raw Data'!B223),"\$([A-Z]+)\$[0-9]+"),""),"")</f>
        <v/>
      </c>
      <c r="C223" s="6" t="str" cm="1">
        <f t="array" aca="1" ref="C223" ca="1">IFERROR(IF(OR('Raw Data'!C223="",LEN(TRIM('Raw Data'!C223))=0),_xlfn.REGEXEXTRACT(CELL("address",'Raw Data'!C223),"\$([A-Z]+)\$[0-9]+"),""),"")</f>
        <v/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2:28" x14ac:dyDescent="0.25">
      <c r="B224" s="6" t="str" cm="1">
        <f t="array" aca="1" ref="B224" ca="1">IFERROR(IF(OR('Raw Data'!B224="",LEN(TRIM('Raw Data'!B224))=0),_xlfn.REGEXEXTRACT(CELL("address",'Raw Data'!B224),"\$([A-Z]+)\$[0-9]+"),""),"")</f>
        <v/>
      </c>
      <c r="C224" s="6" t="str" cm="1">
        <f t="array" aca="1" ref="C224" ca="1">IFERROR(IF(OR('Raw Data'!C224="",LEN(TRIM('Raw Data'!C224))=0),_xlfn.REGEXEXTRACT(CELL("address",'Raw Data'!C224),"\$([A-Z]+)\$[0-9]+"),""),"")</f>
        <v/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2:28" x14ac:dyDescent="0.25">
      <c r="B225" s="6" t="str" cm="1">
        <f t="array" aca="1" ref="B225" ca="1">IFERROR(IF(OR('Raw Data'!B225="",LEN(TRIM('Raw Data'!B225))=0),_xlfn.REGEXEXTRACT(CELL("address",'Raw Data'!B225),"\$([A-Z]+)\$[0-9]+"),""),"")</f>
        <v/>
      </c>
      <c r="C225" s="6" t="str" cm="1">
        <f t="array" aca="1" ref="C225" ca="1">IFERROR(IF(OR('Raw Data'!C225="",LEN(TRIM('Raw Data'!C225))=0),_xlfn.REGEXEXTRACT(CELL("address",'Raw Data'!C225),"\$([A-Z]+)\$[0-9]+"),""),"")</f>
        <v/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2:28" x14ac:dyDescent="0.25">
      <c r="B226" s="6" t="str" cm="1">
        <f t="array" aca="1" ref="B226" ca="1">IFERROR(IF(OR('Raw Data'!B226="",LEN(TRIM('Raw Data'!B226))=0),_xlfn.REGEXEXTRACT(CELL("address",'Raw Data'!B226),"\$([A-Z]+)\$[0-9]+"),""),"")</f>
        <v/>
      </c>
      <c r="C226" s="6" t="str" cm="1">
        <f t="array" aca="1" ref="C226" ca="1">IFERROR(IF(OR('Raw Data'!C226="",LEN(TRIM('Raw Data'!C226))=0),_xlfn.REGEXEXTRACT(CELL("address",'Raw Data'!C226),"\$([A-Z]+)\$[0-9]+"),""),"")</f>
        <v/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2:28" x14ac:dyDescent="0.25">
      <c r="B227" s="6" t="str" cm="1">
        <f t="array" aca="1" ref="B227" ca="1">IFERROR(IF(OR('Raw Data'!B227="",LEN(TRIM('Raw Data'!B227))=0),_xlfn.REGEXEXTRACT(CELL("address",'Raw Data'!B227),"\$([A-Z]+)\$[0-9]+"),""),"")</f>
        <v/>
      </c>
      <c r="C227" s="6" t="str" cm="1">
        <f t="array" aca="1" ref="C227" ca="1">IFERROR(IF(OR('Raw Data'!C227="",LEN(TRIM('Raw Data'!C227))=0),_xlfn.REGEXEXTRACT(CELL("address",'Raw Data'!C227),"\$([A-Z]+)\$[0-9]+"),""),"")</f>
        <v/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2:28" x14ac:dyDescent="0.25">
      <c r="B228" s="6" t="str" cm="1">
        <f t="array" aca="1" ref="B228" ca="1">IFERROR(IF(OR('Raw Data'!B228="",LEN(TRIM('Raw Data'!B228))=0),_xlfn.REGEXEXTRACT(CELL("address",'Raw Data'!B228),"\$([A-Z]+)\$[0-9]+"),""),"")</f>
        <v/>
      </c>
      <c r="C228" s="6" t="str" cm="1">
        <f t="array" aca="1" ref="C228" ca="1">IFERROR(IF(OR('Raw Data'!C228="",LEN(TRIM('Raw Data'!C228))=0),_xlfn.REGEXEXTRACT(CELL("address",'Raw Data'!C228),"\$([A-Z]+)\$[0-9]+"),""),"")</f>
        <v/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2:28" x14ac:dyDescent="0.25">
      <c r="B229" s="6" t="str" cm="1">
        <f t="array" aca="1" ref="B229" ca="1">IFERROR(IF(OR('Raw Data'!B229="",LEN(TRIM('Raw Data'!B229))=0),_xlfn.REGEXEXTRACT(CELL("address",'Raw Data'!B229),"\$([A-Z]+)\$[0-9]+"),""),"")</f>
        <v/>
      </c>
      <c r="C229" s="6" t="str" cm="1">
        <f t="array" aca="1" ref="C229" ca="1">IFERROR(IF(OR('Raw Data'!C229="",LEN(TRIM('Raw Data'!C229))=0),_xlfn.REGEXEXTRACT(CELL("address",'Raw Data'!C229),"\$([A-Z]+)\$[0-9]+"),""),"")</f>
        <v/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2:28" x14ac:dyDescent="0.25">
      <c r="B230" s="6" t="str" cm="1">
        <f t="array" aca="1" ref="B230" ca="1">IFERROR(IF(OR('Raw Data'!B230="",LEN(TRIM('Raw Data'!B230))=0),_xlfn.REGEXEXTRACT(CELL("address",'Raw Data'!B230),"\$([A-Z]+)\$[0-9]+"),""),"")</f>
        <v/>
      </c>
      <c r="C230" s="6" t="str" cm="1">
        <f t="array" aca="1" ref="C230" ca="1">IFERROR(IF(OR('Raw Data'!C230="",LEN(TRIM('Raw Data'!C230))=0),_xlfn.REGEXEXTRACT(CELL("address",'Raw Data'!C230),"\$([A-Z]+)\$[0-9]+"),""),"")</f>
        <v/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2:28" x14ac:dyDescent="0.25">
      <c r="B231" s="6" t="str" cm="1">
        <f t="array" aca="1" ref="B231" ca="1">IFERROR(IF(OR('Raw Data'!B231="",LEN(TRIM('Raw Data'!B231))=0),_xlfn.REGEXEXTRACT(CELL("address",'Raw Data'!B231),"\$([A-Z]+)\$[0-9]+"),""),"")</f>
        <v/>
      </c>
      <c r="C231" s="6" t="str" cm="1">
        <f t="array" aca="1" ref="C231" ca="1">IFERROR(IF(OR('Raw Data'!C231="",LEN(TRIM('Raw Data'!C231))=0),_xlfn.REGEXEXTRACT(CELL("address",'Raw Data'!C231),"\$([A-Z]+)\$[0-9]+"),""),"")</f>
        <v/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2:28" x14ac:dyDescent="0.25">
      <c r="B232" s="6" t="str" cm="1">
        <f t="array" aca="1" ref="B232" ca="1">IFERROR(IF(OR('Raw Data'!B232="",LEN(TRIM('Raw Data'!B232))=0),_xlfn.REGEXEXTRACT(CELL("address",'Raw Data'!B232),"\$([A-Z]+)\$[0-9]+"),""),"")</f>
        <v/>
      </c>
      <c r="C232" s="6" t="str" cm="1">
        <f t="array" aca="1" ref="C232" ca="1">IFERROR(IF(OR('Raw Data'!C232="",LEN(TRIM('Raw Data'!C232))=0),_xlfn.REGEXEXTRACT(CELL("address",'Raw Data'!C232),"\$([A-Z]+)\$[0-9]+"),""),"")</f>
        <v/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2:28" x14ac:dyDescent="0.25">
      <c r="B233" s="6" t="str" cm="1">
        <f t="array" aca="1" ref="B233" ca="1">IFERROR(IF(OR('Raw Data'!B233="",LEN(TRIM('Raw Data'!B233))=0),_xlfn.REGEXEXTRACT(CELL("address",'Raw Data'!B233),"\$([A-Z]+)\$[0-9]+"),""),"")</f>
        <v/>
      </c>
      <c r="C233" s="6" t="str" cm="1">
        <f t="array" aca="1" ref="C233" ca="1">IFERROR(IF(OR('Raw Data'!C233="",LEN(TRIM('Raw Data'!C233))=0),_xlfn.REGEXEXTRACT(CELL("address",'Raw Data'!C233),"\$([A-Z]+)\$[0-9]+"),""),"")</f>
        <v/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2:28" x14ac:dyDescent="0.25">
      <c r="B234" s="6" t="str" cm="1">
        <f t="array" aca="1" ref="B234" ca="1">IFERROR(IF(OR('Raw Data'!B234="",LEN(TRIM('Raw Data'!B234))=0),_xlfn.REGEXEXTRACT(CELL("address",'Raw Data'!B234),"\$([A-Z]+)\$[0-9]+"),""),"")</f>
        <v/>
      </c>
      <c r="C234" s="6" t="str" cm="1">
        <f t="array" aca="1" ref="C234" ca="1">IFERROR(IF(OR('Raw Data'!C234="",LEN(TRIM('Raw Data'!C234))=0),_xlfn.REGEXEXTRACT(CELL("address",'Raw Data'!C234),"\$([A-Z]+)\$[0-9]+"),""),"")</f>
        <v/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2:28" x14ac:dyDescent="0.25">
      <c r="B235" s="6" t="str" cm="1">
        <f t="array" aca="1" ref="B235" ca="1">IFERROR(IF(OR('Raw Data'!B235="",LEN(TRIM('Raw Data'!B235))=0),_xlfn.REGEXEXTRACT(CELL("address",'Raw Data'!B235),"\$([A-Z]+)\$[0-9]+"),""),"")</f>
        <v/>
      </c>
      <c r="C235" s="6" t="str" cm="1">
        <f t="array" aca="1" ref="C235" ca="1">IFERROR(IF(OR('Raw Data'!C235="",LEN(TRIM('Raw Data'!C235))=0),_xlfn.REGEXEXTRACT(CELL("address",'Raw Data'!C235),"\$([A-Z]+)\$[0-9]+"),""),"")</f>
        <v/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2:28" x14ac:dyDescent="0.25">
      <c r="B236" s="6" t="str" cm="1">
        <f t="array" aca="1" ref="B236" ca="1">IFERROR(IF(OR('Raw Data'!B236="",LEN(TRIM('Raw Data'!B236))=0),_xlfn.REGEXEXTRACT(CELL("address",'Raw Data'!B236),"\$([A-Z]+)\$[0-9]+"),""),"")</f>
        <v/>
      </c>
      <c r="C236" s="6" t="str" cm="1">
        <f t="array" aca="1" ref="C236" ca="1">IFERROR(IF(OR('Raw Data'!C236="",LEN(TRIM('Raw Data'!C236))=0),_xlfn.REGEXEXTRACT(CELL("address",'Raw Data'!C236),"\$([A-Z]+)\$[0-9]+"),""),"")</f>
        <v/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2:28" x14ac:dyDescent="0.25">
      <c r="B237" s="6" t="str" cm="1">
        <f t="array" aca="1" ref="B237" ca="1">IFERROR(IF(OR('Raw Data'!B237="",LEN(TRIM('Raw Data'!B237))=0),_xlfn.REGEXEXTRACT(CELL("address",'Raw Data'!B237),"\$([A-Z]+)\$[0-9]+"),""),"")</f>
        <v/>
      </c>
      <c r="C237" s="6" t="str" cm="1">
        <f t="array" aca="1" ref="C237" ca="1">IFERROR(IF(OR('Raw Data'!C237="",LEN(TRIM('Raw Data'!C237))=0),_xlfn.REGEXEXTRACT(CELL("address",'Raw Data'!C237),"\$([A-Z]+)\$[0-9]+"),""),"")</f>
        <v/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2:28" x14ac:dyDescent="0.25">
      <c r="B238" s="6" t="str" cm="1">
        <f t="array" aca="1" ref="B238" ca="1">IFERROR(IF(OR('Raw Data'!B238="",LEN(TRIM('Raw Data'!B238))=0),_xlfn.REGEXEXTRACT(CELL("address",'Raw Data'!B238),"\$([A-Z]+)\$[0-9]+"),""),"")</f>
        <v/>
      </c>
      <c r="C238" s="6" t="str" cm="1">
        <f t="array" aca="1" ref="C238" ca="1">IFERROR(IF(OR('Raw Data'!C238="",LEN(TRIM('Raw Data'!C238))=0),_xlfn.REGEXEXTRACT(CELL("address",'Raw Data'!C238),"\$([A-Z]+)\$[0-9]+"),""),"")</f>
        <v/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2:28" x14ac:dyDescent="0.25">
      <c r="B239" s="6" t="str" cm="1">
        <f t="array" aca="1" ref="B239" ca="1">IFERROR(IF(OR('Raw Data'!B239="",LEN(TRIM('Raw Data'!B239))=0),_xlfn.REGEXEXTRACT(CELL("address",'Raw Data'!B239),"\$([A-Z]+)\$[0-9]+"),""),"")</f>
        <v/>
      </c>
      <c r="C239" s="6" t="str" cm="1">
        <f t="array" aca="1" ref="C239" ca="1">IFERROR(IF(OR('Raw Data'!C239="",LEN(TRIM('Raw Data'!C239))=0),_xlfn.REGEXEXTRACT(CELL("address",'Raw Data'!C239),"\$([A-Z]+)\$[0-9]+"),""),"")</f>
        <v/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2:28" x14ac:dyDescent="0.25">
      <c r="B240" s="6" t="str" cm="1">
        <f t="array" aca="1" ref="B240" ca="1">IFERROR(IF(OR('Raw Data'!B240="",LEN(TRIM('Raw Data'!B240))=0),_xlfn.REGEXEXTRACT(CELL("address",'Raw Data'!B240),"\$([A-Z]+)\$[0-9]+"),""),"")</f>
        <v/>
      </c>
      <c r="C240" s="6" t="str" cm="1">
        <f t="array" aca="1" ref="C240" ca="1">IFERROR(IF(OR('Raw Data'!C240="",LEN(TRIM('Raw Data'!C240))=0),_xlfn.REGEXEXTRACT(CELL("address",'Raw Data'!C240),"\$([A-Z]+)\$[0-9]+"),""),"")</f>
        <v/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2:28" x14ac:dyDescent="0.25">
      <c r="B241" s="6" t="str" cm="1">
        <f t="array" aca="1" ref="B241" ca="1">IFERROR(IF(OR('Raw Data'!B241="",LEN(TRIM('Raw Data'!B241))=0),_xlfn.REGEXEXTRACT(CELL("address",'Raw Data'!B241),"\$([A-Z]+)\$[0-9]+"),""),"")</f>
        <v/>
      </c>
      <c r="C241" s="6" t="str" cm="1">
        <f t="array" aca="1" ref="C241" ca="1">IFERROR(IF(OR('Raw Data'!C241="",LEN(TRIM('Raw Data'!C241))=0),_xlfn.REGEXEXTRACT(CELL("address",'Raw Data'!C241),"\$([A-Z]+)\$[0-9]+"),""),"")</f>
        <v/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2:28" x14ac:dyDescent="0.25">
      <c r="B242" s="6" t="str" cm="1">
        <f t="array" aca="1" ref="B242" ca="1">IFERROR(IF(OR('Raw Data'!B242="",LEN(TRIM('Raw Data'!B242))=0),_xlfn.REGEXEXTRACT(CELL("address",'Raw Data'!B242),"\$([A-Z]+)\$[0-9]+"),""),"")</f>
        <v/>
      </c>
      <c r="C242" s="6" t="str" cm="1">
        <f t="array" aca="1" ref="C242" ca="1">IFERROR(IF(OR('Raw Data'!C242="",LEN(TRIM('Raw Data'!C242))=0),_xlfn.REGEXEXTRACT(CELL("address",'Raw Data'!C242),"\$([A-Z]+)\$[0-9]+"),""),"")</f>
        <v/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2:28" x14ac:dyDescent="0.25">
      <c r="B243" s="6" t="str" cm="1">
        <f t="array" aca="1" ref="B243" ca="1">IFERROR(IF(OR('Raw Data'!B243="",LEN(TRIM('Raw Data'!B243))=0),_xlfn.REGEXEXTRACT(CELL("address",'Raw Data'!B243),"\$([A-Z]+)\$[0-9]+"),""),"")</f>
        <v/>
      </c>
      <c r="C243" s="6" t="str" cm="1">
        <f t="array" aca="1" ref="C243" ca="1">IFERROR(IF(OR('Raw Data'!C243="",LEN(TRIM('Raw Data'!C243))=0),_xlfn.REGEXEXTRACT(CELL("address",'Raw Data'!C243),"\$([A-Z]+)\$[0-9]+"),""),"")</f>
        <v/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2:28" x14ac:dyDescent="0.25">
      <c r="B244" s="6" t="str" cm="1">
        <f t="array" aca="1" ref="B244" ca="1">IFERROR(IF(OR('Raw Data'!B244="",LEN(TRIM('Raw Data'!B244))=0),_xlfn.REGEXEXTRACT(CELL("address",'Raw Data'!B244),"\$([A-Z]+)\$[0-9]+"),""),"")</f>
        <v/>
      </c>
      <c r="C244" s="6" t="str" cm="1">
        <f t="array" aca="1" ref="C244" ca="1">IFERROR(IF(OR('Raw Data'!C244="",LEN(TRIM('Raw Data'!C244))=0),_xlfn.REGEXEXTRACT(CELL("address",'Raw Data'!C244),"\$([A-Z]+)\$[0-9]+"),""),"")</f>
        <v/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2:28" x14ac:dyDescent="0.25">
      <c r="B245" s="6" t="str" cm="1">
        <f t="array" aca="1" ref="B245" ca="1">IFERROR(IF(OR('Raw Data'!B245="",LEN(TRIM('Raw Data'!B245))=0),_xlfn.REGEXEXTRACT(CELL("address",'Raw Data'!B245),"\$([A-Z]+)\$[0-9]+"),""),"")</f>
        <v/>
      </c>
      <c r="C245" s="6" t="str" cm="1">
        <f t="array" aca="1" ref="C245" ca="1">IFERROR(IF(OR('Raw Data'!C245="",LEN(TRIM('Raw Data'!C245))=0),_xlfn.REGEXEXTRACT(CELL("address",'Raw Data'!C245),"\$([A-Z]+)\$[0-9]+"),""),"")</f>
        <v/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2:28" x14ac:dyDescent="0.25">
      <c r="B246" s="6" t="str" cm="1">
        <f t="array" aca="1" ref="B246" ca="1">IFERROR(IF(OR('Raw Data'!B246="",LEN(TRIM('Raw Data'!B246))=0),_xlfn.REGEXEXTRACT(CELL("address",'Raw Data'!B246),"\$([A-Z]+)\$[0-9]+"),""),"")</f>
        <v/>
      </c>
      <c r="C246" s="6" t="str" cm="1">
        <f t="array" aca="1" ref="C246" ca="1">IFERROR(IF(OR('Raw Data'!C246="",LEN(TRIM('Raw Data'!C246))=0),_xlfn.REGEXEXTRACT(CELL("address",'Raw Data'!C246),"\$([A-Z]+)\$[0-9]+"),""),"")</f>
        <v/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2:28" x14ac:dyDescent="0.25">
      <c r="B247" s="6" t="str" cm="1">
        <f t="array" aca="1" ref="B247" ca="1">IFERROR(IF(OR('Raw Data'!B247="",LEN(TRIM('Raw Data'!B247))=0),_xlfn.REGEXEXTRACT(CELL("address",'Raw Data'!B247),"\$([A-Z]+)\$[0-9]+"),""),"")</f>
        <v/>
      </c>
      <c r="C247" s="6" t="str" cm="1">
        <f t="array" aca="1" ref="C247" ca="1">IFERROR(IF(OR('Raw Data'!C247="",LEN(TRIM('Raw Data'!C247))=0),_xlfn.REGEXEXTRACT(CELL("address",'Raw Data'!C247),"\$([A-Z]+)\$[0-9]+"),""),"")</f>
        <v/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2:28" x14ac:dyDescent="0.25">
      <c r="B248" s="6" t="str" cm="1">
        <f t="array" aca="1" ref="B248" ca="1">IFERROR(IF(OR('Raw Data'!B248="",LEN(TRIM('Raw Data'!B248))=0),_xlfn.REGEXEXTRACT(CELL("address",'Raw Data'!B248),"\$([A-Z]+)\$[0-9]+"),""),"")</f>
        <v/>
      </c>
      <c r="C248" s="6" t="str" cm="1">
        <f t="array" aca="1" ref="C248" ca="1">IFERROR(IF(OR('Raw Data'!C248="",LEN(TRIM('Raw Data'!C248))=0),_xlfn.REGEXEXTRACT(CELL("address",'Raw Data'!C248),"\$([A-Z]+)\$[0-9]+"),""),"")</f>
        <v/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2:28" x14ac:dyDescent="0.25">
      <c r="B249" s="6" t="str" cm="1">
        <f t="array" aca="1" ref="B249" ca="1">IFERROR(IF(OR('Raw Data'!B249="",LEN(TRIM('Raw Data'!B249))=0),_xlfn.REGEXEXTRACT(CELL("address",'Raw Data'!B249),"\$([A-Z]+)\$[0-9]+"),""),"")</f>
        <v/>
      </c>
      <c r="C249" s="6" t="str" cm="1">
        <f t="array" aca="1" ref="C249" ca="1">IFERROR(IF(OR('Raw Data'!C249="",LEN(TRIM('Raw Data'!C249))=0),_xlfn.REGEXEXTRACT(CELL("address",'Raw Data'!C249),"\$([A-Z]+)\$[0-9]+"),""),"")</f>
        <v/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2:28" x14ac:dyDescent="0.25">
      <c r="B250" s="6" t="str" cm="1">
        <f t="array" aca="1" ref="B250" ca="1">IFERROR(IF(OR('Raw Data'!B250="",LEN(TRIM('Raw Data'!B250))=0),_xlfn.REGEXEXTRACT(CELL("address",'Raw Data'!B250),"\$([A-Z]+)\$[0-9]+"),""),"")</f>
        <v>$B$250</v>
      </c>
      <c r="C250" s="6" t="str" cm="1">
        <f t="array" aca="1" ref="C250" ca="1">IFERROR(IF(OR('Raw Data'!C250="",LEN(TRIM('Raw Data'!C250))=0),_xlfn.REGEXEXTRACT(CELL("address",'Raw Data'!C250),"\$([A-Z]+)\$[0-9]+"),""),"")</f>
        <v>$C$250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2:28" x14ac:dyDescent="0.25">
      <c r="B251" s="6" t="str" cm="1">
        <f t="array" aca="1" ref="B251" ca="1">IFERROR(IF(OR('Raw Data'!B251="",LEN(TRIM('Raw Data'!B251))=0),_xlfn.REGEXEXTRACT(CELL("address",'Raw Data'!B251),"\$([A-Z]+)\$[0-9]+"),""),"")</f>
        <v>$B$251</v>
      </c>
      <c r="C251" s="6" t="str" cm="1">
        <f t="array" aca="1" ref="C251" ca="1">IFERROR(IF(OR('Raw Data'!C251="",LEN(TRIM('Raw Data'!C251))=0),_xlfn.REGEXEXTRACT(CELL("address",'Raw Data'!C251),"\$([A-Z]+)\$[0-9]+"),""),"")</f>
        <v>$C$251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2:28" x14ac:dyDescent="0.25">
      <c r="B252" s="6" t="str" cm="1">
        <f t="array" aca="1" ref="B252" ca="1">IFERROR(IF(OR('Raw Data'!B252="",LEN(TRIM('Raw Data'!B252))=0),_xlfn.REGEXEXTRACT(CELL("address",'Raw Data'!B252),"\$([A-Z]+)\$[0-9]+"),""),"")</f>
        <v>$B$252</v>
      </c>
      <c r="C252" s="6" t="str" cm="1">
        <f t="array" aca="1" ref="C252" ca="1">IFERROR(IF(OR('Raw Data'!C252="",LEN(TRIM('Raw Data'!C252))=0),_xlfn.REGEXEXTRACT(CELL("address",'Raw Data'!C252),"\$([A-Z]+)\$[0-9]+"),""),"")</f>
        <v>$C$252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2:28" x14ac:dyDescent="0.25">
      <c r="B253" s="6" t="str" cm="1">
        <f t="array" aca="1" ref="B253" ca="1">IFERROR(IF(OR('Raw Data'!B253="",LEN(TRIM('Raw Data'!B253))=0),_xlfn.REGEXEXTRACT(CELL("address",'Raw Data'!B253),"\$([A-Z]+)\$[0-9]+"),""),"")</f>
        <v>$B$253</v>
      </c>
      <c r="C253" s="6" t="str" cm="1">
        <f t="array" aca="1" ref="C253" ca="1">IFERROR(IF(OR('Raw Data'!C253="",LEN(TRIM('Raw Data'!C253))=0),_xlfn.REGEXEXTRACT(CELL("address",'Raw Data'!C253),"\$([A-Z]+)\$[0-9]+"),""),"")</f>
        <v>$C$253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2:28" x14ac:dyDescent="0.25">
      <c r="B254" s="6" t="str" cm="1">
        <f t="array" aca="1" ref="B254" ca="1">IFERROR(IF(OR('Raw Data'!B254="",LEN(TRIM('Raw Data'!B254))=0),_xlfn.REGEXEXTRACT(CELL("address",'Raw Data'!B254),"\$([A-Z]+)\$[0-9]+"),""),"")</f>
        <v>$B$254</v>
      </c>
      <c r="C254" s="6" t="str" cm="1">
        <f t="array" aca="1" ref="C254" ca="1">IFERROR(IF(OR('Raw Data'!C254="",LEN(TRIM('Raw Data'!C254))=0),_xlfn.REGEXEXTRACT(CELL("address",'Raw Data'!C254),"\$([A-Z]+)\$[0-9]+"),""),"")</f>
        <v>$C$254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2:28" x14ac:dyDescent="0.25">
      <c r="B255" s="6" t="str" cm="1">
        <f t="array" aca="1" ref="B255" ca="1">IFERROR(IF(OR('Raw Data'!B255="",LEN(TRIM('Raw Data'!B255))=0),_xlfn.REGEXEXTRACT(CELL("address",'Raw Data'!B255),"\$([A-Z]+)\$[0-9]+"),""),"")</f>
        <v>$B$255</v>
      </c>
      <c r="C255" s="6" t="str" cm="1">
        <f t="array" aca="1" ref="C255" ca="1">IFERROR(IF(OR('Raw Data'!C255="",LEN(TRIM('Raw Data'!C255))=0),_xlfn.REGEXEXTRACT(CELL("address",'Raw Data'!C255),"\$([A-Z]+)\$[0-9]+"),""),"")</f>
        <v>$C$255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2:28" x14ac:dyDescent="0.25">
      <c r="B256" s="6" t="str" cm="1">
        <f t="array" aca="1" ref="B256" ca="1">IFERROR(IF(OR('Raw Data'!B256="",LEN(TRIM('Raw Data'!B256))=0),_xlfn.REGEXEXTRACT(CELL("address",'Raw Data'!B256),"\$([A-Z]+)\$[0-9]+"),""),"")</f>
        <v>$B$256</v>
      </c>
      <c r="C256" s="6" t="str" cm="1">
        <f t="array" aca="1" ref="C256" ca="1">IFERROR(IF(OR('Raw Data'!C256="",LEN(TRIM('Raw Data'!C256))=0),_xlfn.REGEXEXTRACT(CELL("address",'Raw Data'!C256),"\$([A-Z]+)\$[0-9]+"),""),"")</f>
        <v>$C$256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2:28" x14ac:dyDescent="0.25">
      <c r="B257" s="6" t="str" cm="1">
        <f t="array" aca="1" ref="B257" ca="1">IFERROR(IF(OR('Raw Data'!B257="",LEN(TRIM('Raw Data'!B257))=0),_xlfn.REGEXEXTRACT(CELL("address",'Raw Data'!B257),"\$([A-Z]+)\$[0-9]+"),""),"")</f>
        <v>$B$257</v>
      </c>
      <c r="C257" s="6" t="str" cm="1">
        <f t="array" aca="1" ref="C257" ca="1">IFERROR(IF(OR('Raw Data'!C257="",LEN(TRIM('Raw Data'!C257))=0),_xlfn.REGEXEXTRACT(CELL("address",'Raw Data'!C257),"\$([A-Z]+)\$[0-9]+"),""),"")</f>
        <v>$C$257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2:28" x14ac:dyDescent="0.25">
      <c r="B258" s="6" t="str" cm="1">
        <f t="array" aca="1" ref="B258" ca="1">IFERROR(IF(OR('Raw Data'!B258="",LEN(TRIM('Raw Data'!B258))=0),_xlfn.REGEXEXTRACT(CELL("address",'Raw Data'!B258),"\$([A-Z]+)\$[0-9]+"),""),"")</f>
        <v>$B$258</v>
      </c>
      <c r="C258" s="6" t="str" cm="1">
        <f t="array" aca="1" ref="C258" ca="1">IFERROR(IF(OR('Raw Data'!C258="",LEN(TRIM('Raw Data'!C258))=0),_xlfn.REGEXEXTRACT(CELL("address",'Raw Data'!C258),"\$([A-Z]+)\$[0-9]+"),""),"")</f>
        <v>$C$258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2:28" x14ac:dyDescent="0.25">
      <c r="B259" s="6" t="str" cm="1">
        <f t="array" aca="1" ref="B259" ca="1">IFERROR(IF(OR('Raw Data'!B259="",LEN(TRIM('Raw Data'!B259))=0),_xlfn.REGEXEXTRACT(CELL("address",'Raw Data'!B259),"\$([A-Z]+)\$[0-9]+"),""),"")</f>
        <v>$B$259</v>
      </c>
      <c r="C259" s="6" t="str" cm="1">
        <f t="array" aca="1" ref="C259" ca="1">IFERROR(IF(OR('Raw Data'!C259="",LEN(TRIM('Raw Data'!C259))=0),_xlfn.REGEXEXTRACT(CELL("address",'Raw Data'!C259),"\$([A-Z]+)\$[0-9]+"),""),"")</f>
        <v>$C$259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2:28" x14ac:dyDescent="0.25">
      <c r="B260" s="6" t="str" cm="1">
        <f t="array" aca="1" ref="B260" ca="1">IFERROR(IF(OR('Raw Data'!B260="",LEN(TRIM('Raw Data'!B260))=0),_xlfn.REGEXEXTRACT(CELL("address",'Raw Data'!B260),"\$([A-Z]+)\$[0-9]+"),""),"")</f>
        <v>$B$260</v>
      </c>
      <c r="C260" s="6" t="str" cm="1">
        <f t="array" aca="1" ref="C260" ca="1">IFERROR(IF(OR('Raw Data'!C260="",LEN(TRIM('Raw Data'!C260))=0),_xlfn.REGEXEXTRACT(CELL("address",'Raw Data'!C260),"\$([A-Z]+)\$[0-9]+"),""),"")</f>
        <v>$C$260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2:28" x14ac:dyDescent="0.25">
      <c r="B261" s="6" t="str" cm="1">
        <f t="array" aca="1" ref="B261" ca="1">IFERROR(IF(OR('Raw Data'!B261="",LEN(TRIM('Raw Data'!B261))=0),_xlfn.REGEXEXTRACT(CELL("address",'Raw Data'!B261),"\$([A-Z]+)\$[0-9]+"),""),"")</f>
        <v>$B$261</v>
      </c>
      <c r="C261" s="6" t="str" cm="1">
        <f t="array" aca="1" ref="C261" ca="1">IFERROR(IF(OR('Raw Data'!C261="",LEN(TRIM('Raw Data'!C261))=0),_xlfn.REGEXEXTRACT(CELL("address",'Raw Data'!C261),"\$([A-Z]+)\$[0-9]+"),""),"")</f>
        <v>$C$261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2:28" x14ac:dyDescent="0.25">
      <c r="B262" s="6" t="str" cm="1">
        <f t="array" aca="1" ref="B262" ca="1">IFERROR(IF(OR('Raw Data'!B262="",LEN(TRIM('Raw Data'!B262))=0),_xlfn.REGEXEXTRACT(CELL("address",'Raw Data'!B262),"\$([A-Z]+)\$[0-9]+"),""),"")</f>
        <v>$B$262</v>
      </c>
      <c r="C262" s="6" t="str" cm="1">
        <f t="array" aca="1" ref="C262" ca="1">IFERROR(IF(OR('Raw Data'!C262="",LEN(TRIM('Raw Data'!C262))=0),_xlfn.REGEXEXTRACT(CELL("address",'Raw Data'!C262),"\$([A-Z]+)\$[0-9]+"),""),"")</f>
        <v>$C$262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2:28" x14ac:dyDescent="0.25">
      <c r="B263" s="6" t="str" cm="1">
        <f t="array" aca="1" ref="B263" ca="1">IFERROR(IF(OR('Raw Data'!B263="",LEN(TRIM('Raw Data'!B263))=0),_xlfn.REGEXEXTRACT(CELL("address",'Raw Data'!B263),"\$([A-Z]+)\$[0-9]+"),""),"")</f>
        <v>$B$263</v>
      </c>
      <c r="C263" s="6" t="str" cm="1">
        <f t="array" aca="1" ref="C263" ca="1">IFERROR(IF(OR('Raw Data'!C263="",LEN(TRIM('Raw Data'!C263))=0),_xlfn.REGEXEXTRACT(CELL("address",'Raw Data'!C263),"\$([A-Z]+)\$[0-9]+"),""),"")</f>
        <v>$C$263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2:28" x14ac:dyDescent="0.25">
      <c r="B264" s="6" t="str" cm="1">
        <f t="array" aca="1" ref="B264" ca="1">IFERROR(IF(OR('Raw Data'!B264="",LEN(TRIM('Raw Data'!B264))=0),_xlfn.REGEXEXTRACT(CELL("address",'Raw Data'!B264),"\$([A-Z]+)\$[0-9]+"),""),"")</f>
        <v>$B$264</v>
      </c>
      <c r="C264" s="6" t="str" cm="1">
        <f t="array" aca="1" ref="C264" ca="1">IFERROR(IF(OR('Raw Data'!C264="",LEN(TRIM('Raw Data'!C264))=0),_xlfn.REGEXEXTRACT(CELL("address",'Raw Data'!C264),"\$([A-Z]+)\$[0-9]+"),""),"")</f>
        <v>$C$264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2:28" x14ac:dyDescent="0.25">
      <c r="B265" s="6" t="str" cm="1">
        <f t="array" aca="1" ref="B265" ca="1">IFERROR(IF(OR('Raw Data'!B265="",LEN(TRIM('Raw Data'!B265))=0),_xlfn.REGEXEXTRACT(CELL("address",'Raw Data'!B265),"\$([A-Z]+)\$[0-9]+"),""),"")</f>
        <v>$B$265</v>
      </c>
      <c r="C265" s="6" t="str" cm="1">
        <f t="array" aca="1" ref="C265" ca="1">IFERROR(IF(OR('Raw Data'!C265="",LEN(TRIM('Raw Data'!C265))=0),_xlfn.REGEXEXTRACT(CELL("address",'Raw Data'!C265),"\$([A-Z]+)\$[0-9]+"),""),"")</f>
        <v>$C$265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2:28" x14ac:dyDescent="0.25">
      <c r="B266" s="6" t="str" cm="1">
        <f t="array" aca="1" ref="B266" ca="1">IFERROR(IF(OR('Raw Data'!B266="",LEN(TRIM('Raw Data'!B266))=0),_xlfn.REGEXEXTRACT(CELL("address",'Raw Data'!B266),"\$([A-Z]+)\$[0-9]+"),""),"")</f>
        <v>$B$266</v>
      </c>
      <c r="C266" s="6" t="str" cm="1">
        <f t="array" aca="1" ref="C266" ca="1">IFERROR(IF(OR('Raw Data'!C266="",LEN(TRIM('Raw Data'!C266))=0),_xlfn.REGEXEXTRACT(CELL("address",'Raw Data'!C266),"\$([A-Z]+)\$[0-9]+"),""),"")</f>
        <v>$C$266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2:28" x14ac:dyDescent="0.25">
      <c r="B267" s="6" t="str" cm="1">
        <f t="array" aca="1" ref="B267" ca="1">IFERROR(IF(OR('Raw Data'!B267="",LEN(TRIM('Raw Data'!B267))=0),_xlfn.REGEXEXTRACT(CELL("address",'Raw Data'!B267),"\$([A-Z]+)\$[0-9]+"),""),"")</f>
        <v>$B$267</v>
      </c>
      <c r="C267" s="6" t="str" cm="1">
        <f t="array" aca="1" ref="C267" ca="1">IFERROR(IF(OR('Raw Data'!C267="",LEN(TRIM('Raw Data'!C267))=0),_xlfn.REGEXEXTRACT(CELL("address",'Raw Data'!C267),"\$([A-Z]+)\$[0-9]+"),""),"")</f>
        <v>$C$267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2:28" x14ac:dyDescent="0.25">
      <c r="B268" s="6" t="str" cm="1">
        <f t="array" aca="1" ref="B268" ca="1">IFERROR(IF(OR('Raw Data'!B268="",LEN(TRIM('Raw Data'!B268))=0),_xlfn.REGEXEXTRACT(CELL("address",'Raw Data'!B268),"\$([A-Z]+)\$[0-9]+"),""),"")</f>
        <v>$B$268</v>
      </c>
      <c r="C268" s="6" t="str" cm="1">
        <f t="array" aca="1" ref="C268" ca="1">IFERROR(IF(OR('Raw Data'!C268="",LEN(TRIM('Raw Data'!C268))=0),_xlfn.REGEXEXTRACT(CELL("address",'Raw Data'!C268),"\$([A-Z]+)\$[0-9]+"),""),"")</f>
        <v>$C$268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2:28" x14ac:dyDescent="0.25">
      <c r="B269" s="6" t="str" cm="1">
        <f t="array" aca="1" ref="B269" ca="1">IFERROR(IF(OR('Raw Data'!B269="",LEN(TRIM('Raw Data'!B269))=0),_xlfn.REGEXEXTRACT(CELL("address",'Raw Data'!B269),"\$([A-Z]+)\$[0-9]+"),""),"")</f>
        <v>$B$269</v>
      </c>
      <c r="C269" s="6" t="str" cm="1">
        <f t="array" aca="1" ref="C269" ca="1">IFERROR(IF(OR('Raw Data'!C269="",LEN(TRIM('Raw Data'!C269))=0),_xlfn.REGEXEXTRACT(CELL("address",'Raw Data'!C269),"\$([A-Z]+)\$[0-9]+"),""),"")</f>
        <v>$C$269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2:28" x14ac:dyDescent="0.25">
      <c r="B270" s="6" t="str" cm="1">
        <f t="array" aca="1" ref="B270" ca="1">IFERROR(IF(OR('Raw Data'!B270="",LEN(TRIM('Raw Data'!B270))=0),_xlfn.REGEXEXTRACT(CELL("address",'Raw Data'!B270),"\$([A-Z]+)\$[0-9]+"),""),"")</f>
        <v>$B$270</v>
      </c>
      <c r="C270" s="6" t="str" cm="1">
        <f t="array" aca="1" ref="C270" ca="1">IFERROR(IF(OR('Raw Data'!C270="",LEN(TRIM('Raw Data'!C270))=0),_xlfn.REGEXEXTRACT(CELL("address",'Raw Data'!C270),"\$([A-Z]+)\$[0-9]+"),""),"")</f>
        <v>$C$270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2:28" x14ac:dyDescent="0.25">
      <c r="B271" s="6" t="str" cm="1">
        <f t="array" aca="1" ref="B271" ca="1">IFERROR(IF(OR('Raw Data'!B271="",LEN(TRIM('Raw Data'!B271))=0),_xlfn.REGEXEXTRACT(CELL("address",'Raw Data'!B271),"\$([A-Z]+)\$[0-9]+"),""),"")</f>
        <v>$B$271</v>
      </c>
      <c r="C271" s="6" t="str" cm="1">
        <f t="array" aca="1" ref="C271" ca="1">IFERROR(IF(OR('Raw Data'!C271="",LEN(TRIM('Raw Data'!C271))=0),_xlfn.REGEXEXTRACT(CELL("address",'Raw Data'!C271),"\$([A-Z]+)\$[0-9]+"),""),"")</f>
        <v>$C$271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2:28" x14ac:dyDescent="0.25">
      <c r="B272" s="6" t="str" cm="1">
        <f t="array" aca="1" ref="B272" ca="1">IFERROR(IF(OR('Raw Data'!B272="",LEN(TRIM('Raw Data'!B272))=0),_xlfn.REGEXEXTRACT(CELL("address",'Raw Data'!B272),"\$([A-Z]+)\$[0-9]+"),""),"")</f>
        <v>$B$272</v>
      </c>
      <c r="C272" s="6" t="str" cm="1">
        <f t="array" aca="1" ref="C272" ca="1">IFERROR(IF(OR('Raw Data'!C272="",LEN(TRIM('Raw Data'!C272))=0),_xlfn.REGEXEXTRACT(CELL("address",'Raw Data'!C272),"\$([A-Z]+)\$[0-9]+"),""),"")</f>
        <v>$C$272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2:28" x14ac:dyDescent="0.25">
      <c r="B273" s="6" t="str" cm="1">
        <f t="array" aca="1" ref="B273" ca="1">IFERROR(IF(OR('Raw Data'!B273="",LEN(TRIM('Raw Data'!B273))=0),_xlfn.REGEXEXTRACT(CELL("address",'Raw Data'!B273),"\$([A-Z]+)\$[0-9]+"),""),"")</f>
        <v>$B$273</v>
      </c>
      <c r="C273" s="6" t="str" cm="1">
        <f t="array" aca="1" ref="C273" ca="1">IFERROR(IF(OR('Raw Data'!C273="",LEN(TRIM('Raw Data'!C273))=0),_xlfn.REGEXEXTRACT(CELL("address",'Raw Data'!C273),"\$([A-Z]+)\$[0-9]+"),""),"")</f>
        <v>$C$273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2:28" x14ac:dyDescent="0.25">
      <c r="B274" s="6" t="str" cm="1">
        <f t="array" aca="1" ref="B274" ca="1">IFERROR(IF(OR('Raw Data'!B274="",LEN(TRIM('Raw Data'!B274))=0),_xlfn.REGEXEXTRACT(CELL("address",'Raw Data'!B274),"\$([A-Z]+)\$[0-9]+"),""),"")</f>
        <v>$B$274</v>
      </c>
      <c r="C274" s="6" t="str" cm="1">
        <f t="array" aca="1" ref="C274" ca="1">IFERROR(IF(OR('Raw Data'!C274="",LEN(TRIM('Raw Data'!C274))=0),_xlfn.REGEXEXTRACT(CELL("address",'Raw Data'!C274),"\$([A-Z]+)\$[0-9]+"),""),"")</f>
        <v>$C$274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2:28" x14ac:dyDescent="0.25">
      <c r="B275" s="6" t="str" cm="1">
        <f t="array" aca="1" ref="B275" ca="1">IFERROR(IF(OR('Raw Data'!B275="",LEN(TRIM('Raw Data'!B275))=0),_xlfn.REGEXEXTRACT(CELL("address",'Raw Data'!B275),"\$([A-Z]+)\$[0-9]+"),""),"")</f>
        <v>$B$275</v>
      </c>
      <c r="C275" s="6" t="str" cm="1">
        <f t="array" aca="1" ref="C275" ca="1">IFERROR(IF(OR('Raw Data'!C275="",LEN(TRIM('Raw Data'!C275))=0),_xlfn.REGEXEXTRACT(CELL("address",'Raw Data'!C275),"\$([A-Z]+)\$[0-9]+"),""),"")</f>
        <v>$C$275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2:28" x14ac:dyDescent="0.25">
      <c r="B276" s="6" t="str" cm="1">
        <f t="array" aca="1" ref="B276" ca="1">IFERROR(IF(OR('Raw Data'!B276="",LEN(TRIM('Raw Data'!B276))=0),_xlfn.REGEXEXTRACT(CELL("address",'Raw Data'!B276),"\$([A-Z]+)\$[0-9]+"),""),"")</f>
        <v>$B$276</v>
      </c>
      <c r="C276" s="6" t="str" cm="1">
        <f t="array" aca="1" ref="C276" ca="1">IFERROR(IF(OR('Raw Data'!C276="",LEN(TRIM('Raw Data'!C276))=0),_xlfn.REGEXEXTRACT(CELL("address",'Raw Data'!C276),"\$([A-Z]+)\$[0-9]+"),""),"")</f>
        <v>$C$276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2:28" x14ac:dyDescent="0.25">
      <c r="B277" s="6" t="str" cm="1">
        <f t="array" aca="1" ref="B277" ca="1">IFERROR(IF(OR('Raw Data'!B277="",LEN(TRIM('Raw Data'!B277))=0),_xlfn.REGEXEXTRACT(CELL("address",'Raw Data'!B277),"\$([A-Z]+)\$[0-9]+"),""),"")</f>
        <v>$B$277</v>
      </c>
      <c r="C277" s="6" t="str" cm="1">
        <f t="array" aca="1" ref="C277" ca="1">IFERROR(IF(OR('Raw Data'!C277="",LEN(TRIM('Raw Data'!C277))=0),_xlfn.REGEXEXTRACT(CELL("address",'Raw Data'!C277),"\$([A-Z]+)\$[0-9]+"),""),"")</f>
        <v>$C$277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2:28" x14ac:dyDescent="0.25">
      <c r="B278" s="6" t="str" cm="1">
        <f t="array" aca="1" ref="B278" ca="1">IFERROR(IF(OR('Raw Data'!B278="",LEN(TRIM('Raw Data'!B278))=0),_xlfn.REGEXEXTRACT(CELL("address",'Raw Data'!B278),"\$([A-Z]+)\$[0-9]+"),""),"")</f>
        <v>$B$278</v>
      </c>
      <c r="C278" s="6" t="str" cm="1">
        <f t="array" aca="1" ref="C278" ca="1">IFERROR(IF(OR('Raw Data'!C278="",LEN(TRIM('Raw Data'!C278))=0),_xlfn.REGEXEXTRACT(CELL("address",'Raw Data'!C278),"\$([A-Z]+)\$[0-9]+"),""),"")</f>
        <v>$C$278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2:28" x14ac:dyDescent="0.25">
      <c r="B279" s="6" t="str" cm="1">
        <f t="array" aca="1" ref="B279" ca="1">IFERROR(IF(OR('Raw Data'!B279="",LEN(TRIM('Raw Data'!B279))=0),_xlfn.REGEXEXTRACT(CELL("address",'Raw Data'!B279),"\$([A-Z]+)\$[0-9]+"),""),"")</f>
        <v>$B$279</v>
      </c>
      <c r="C279" s="6" t="str" cm="1">
        <f t="array" aca="1" ref="C279" ca="1">IFERROR(IF(OR('Raw Data'!C279="",LEN(TRIM('Raw Data'!C279))=0),_xlfn.REGEXEXTRACT(CELL("address",'Raw Data'!C279),"\$([A-Z]+)\$[0-9]+"),""),"")</f>
        <v>$C$279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2:28" x14ac:dyDescent="0.25">
      <c r="B280" s="6" t="str" cm="1">
        <f t="array" aca="1" ref="B280" ca="1">IFERROR(IF(OR('Raw Data'!B280="",LEN(TRIM('Raw Data'!B280))=0),_xlfn.REGEXEXTRACT(CELL("address",'Raw Data'!B280),"\$([A-Z]+)\$[0-9]+"),""),"")</f>
        <v>$B$280</v>
      </c>
      <c r="C280" s="6" t="str" cm="1">
        <f t="array" aca="1" ref="C280" ca="1">IFERROR(IF(OR('Raw Data'!C280="",LEN(TRIM('Raw Data'!C280))=0),_xlfn.REGEXEXTRACT(CELL("address",'Raw Data'!C280),"\$([A-Z]+)\$[0-9]+"),""),"")</f>
        <v>$C$280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2:28" x14ac:dyDescent="0.25">
      <c r="B281" s="6" t="str" cm="1">
        <f t="array" aca="1" ref="B281" ca="1">IFERROR(IF(OR('Raw Data'!B281="",LEN(TRIM('Raw Data'!B281))=0),_xlfn.REGEXEXTRACT(CELL("address",'Raw Data'!B281),"\$([A-Z]+)\$[0-9]+"),""),"")</f>
        <v>$B$281</v>
      </c>
      <c r="C281" s="6" t="str" cm="1">
        <f t="array" aca="1" ref="C281" ca="1">IFERROR(IF(OR('Raw Data'!C281="",LEN(TRIM('Raw Data'!C281))=0),_xlfn.REGEXEXTRACT(CELL("address",'Raw Data'!C281),"\$([A-Z]+)\$[0-9]+"),""),"")</f>
        <v>$C$281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2:28" x14ac:dyDescent="0.25">
      <c r="B282" s="6" t="str" cm="1">
        <f t="array" aca="1" ref="B282" ca="1">IFERROR(IF(OR('Raw Data'!B282="",LEN(TRIM('Raw Data'!B282))=0),_xlfn.REGEXEXTRACT(CELL("address",'Raw Data'!B282),"\$([A-Z]+)\$[0-9]+"),""),"")</f>
        <v>$B$282</v>
      </c>
      <c r="C282" s="6" t="str" cm="1">
        <f t="array" aca="1" ref="C282" ca="1">IFERROR(IF(OR('Raw Data'!C282="",LEN(TRIM('Raw Data'!C282))=0),_xlfn.REGEXEXTRACT(CELL("address",'Raw Data'!C282),"\$([A-Z]+)\$[0-9]+"),""),"")</f>
        <v>$C$282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2:28" x14ac:dyDescent="0.25">
      <c r="B283" s="6" t="str" cm="1">
        <f t="array" aca="1" ref="B283" ca="1">IFERROR(IF(OR('Raw Data'!B283="",LEN(TRIM('Raw Data'!B283))=0),_xlfn.REGEXEXTRACT(CELL("address",'Raw Data'!B283),"\$([A-Z]+)\$[0-9]+"),""),"")</f>
        <v>$B$283</v>
      </c>
      <c r="C283" s="6" t="str" cm="1">
        <f t="array" aca="1" ref="C283" ca="1">IFERROR(IF(OR('Raw Data'!C283="",LEN(TRIM('Raw Data'!C283))=0),_xlfn.REGEXEXTRACT(CELL("address",'Raw Data'!C283),"\$([A-Z]+)\$[0-9]+"),""),"")</f>
        <v>$C$283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2:28" x14ac:dyDescent="0.25">
      <c r="B284" s="6" t="str" cm="1">
        <f t="array" aca="1" ref="B284" ca="1">IFERROR(IF(OR('Raw Data'!B284="",LEN(TRIM('Raw Data'!B284))=0),_xlfn.REGEXEXTRACT(CELL("address",'Raw Data'!B284),"\$([A-Z]+)\$[0-9]+"),""),"")</f>
        <v>$B$284</v>
      </c>
      <c r="C284" s="6" t="str" cm="1">
        <f t="array" aca="1" ref="C284" ca="1">IFERROR(IF(OR('Raw Data'!C284="",LEN(TRIM('Raw Data'!C284))=0),_xlfn.REGEXEXTRACT(CELL("address",'Raw Data'!C284),"\$([A-Z]+)\$[0-9]+"),""),"")</f>
        <v>$C$284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2:28" x14ac:dyDescent="0.25">
      <c r="B285" s="6" t="str" cm="1">
        <f t="array" aca="1" ref="B285" ca="1">IFERROR(IF(OR('Raw Data'!B285="",LEN(TRIM('Raw Data'!B285))=0),_xlfn.REGEXEXTRACT(CELL("address",'Raw Data'!B285),"\$([A-Z]+)\$[0-9]+"),""),"")</f>
        <v>$B$285</v>
      </c>
      <c r="C285" s="6" t="str" cm="1">
        <f t="array" aca="1" ref="C285" ca="1">IFERROR(IF(OR('Raw Data'!C285="",LEN(TRIM('Raw Data'!C285))=0),_xlfn.REGEXEXTRACT(CELL("address",'Raw Data'!C285),"\$([A-Z]+)\$[0-9]+"),""),"")</f>
        <v>$C$285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2:28" x14ac:dyDescent="0.25">
      <c r="B286" s="6" t="str" cm="1">
        <f t="array" aca="1" ref="B286" ca="1">IFERROR(IF(OR('Raw Data'!B286="",LEN(TRIM('Raw Data'!B286))=0),_xlfn.REGEXEXTRACT(CELL("address",'Raw Data'!B286),"\$([A-Z]+)\$[0-9]+"),""),"")</f>
        <v>$B$286</v>
      </c>
      <c r="C286" s="6" t="str" cm="1">
        <f t="array" aca="1" ref="C286" ca="1">IFERROR(IF(OR('Raw Data'!C286="",LEN(TRIM('Raw Data'!C286))=0),_xlfn.REGEXEXTRACT(CELL("address",'Raw Data'!C286),"\$([A-Z]+)\$[0-9]+"),""),"")</f>
        <v>$C$286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2:28" x14ac:dyDescent="0.25">
      <c r="B287" s="6" t="str" cm="1">
        <f t="array" aca="1" ref="B287" ca="1">IFERROR(IF(OR('Raw Data'!B287="",LEN(TRIM('Raw Data'!B287))=0),_xlfn.REGEXEXTRACT(CELL("address",'Raw Data'!B287),"\$([A-Z]+)\$[0-9]+"),""),"")</f>
        <v>$B$287</v>
      </c>
      <c r="C287" s="6" t="str" cm="1">
        <f t="array" aca="1" ref="C287" ca="1">IFERROR(IF(OR('Raw Data'!C287="",LEN(TRIM('Raw Data'!C287))=0),_xlfn.REGEXEXTRACT(CELL("address",'Raw Data'!C287),"\$([A-Z]+)\$[0-9]+"),""),"")</f>
        <v>$C$287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2:28" x14ac:dyDescent="0.25">
      <c r="B288" s="6" t="str" cm="1">
        <f t="array" aca="1" ref="B288" ca="1">IFERROR(IF(OR('Raw Data'!B288="",LEN(TRIM('Raw Data'!B288))=0),_xlfn.REGEXEXTRACT(CELL("address",'Raw Data'!B288),"\$([A-Z]+)\$[0-9]+"),""),"")</f>
        <v>$B$288</v>
      </c>
      <c r="C288" s="6" t="str" cm="1">
        <f t="array" aca="1" ref="C288" ca="1">IFERROR(IF(OR('Raw Data'!C288="",LEN(TRIM('Raw Data'!C288))=0),_xlfn.REGEXEXTRACT(CELL("address",'Raw Data'!C288),"\$([A-Z]+)\$[0-9]+"),""),"")</f>
        <v>$C$288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2:28" x14ac:dyDescent="0.25">
      <c r="B289" s="6" t="str" cm="1">
        <f t="array" aca="1" ref="B289" ca="1">IFERROR(IF(OR('Raw Data'!B289="",LEN(TRIM('Raw Data'!B289))=0),_xlfn.REGEXEXTRACT(CELL("address",'Raw Data'!B289),"\$([A-Z]+)\$[0-9]+"),""),"")</f>
        <v>$B$289</v>
      </c>
      <c r="C289" s="6" t="str" cm="1">
        <f t="array" aca="1" ref="C289" ca="1">IFERROR(IF(OR('Raw Data'!C289="",LEN(TRIM('Raw Data'!C289))=0),_xlfn.REGEXEXTRACT(CELL("address",'Raw Data'!C289),"\$([A-Z]+)\$[0-9]+"),""),"")</f>
        <v>$C$289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2:28" x14ac:dyDescent="0.25">
      <c r="B290" s="6" t="str" cm="1">
        <f t="array" aca="1" ref="B290" ca="1">IFERROR(IF(OR('Raw Data'!B290="",LEN(TRIM('Raw Data'!B290))=0),_xlfn.REGEXEXTRACT(CELL("address",'Raw Data'!B290),"\$([A-Z]+)\$[0-9]+"),""),"")</f>
        <v>$B$290</v>
      </c>
      <c r="C290" s="6" t="str" cm="1">
        <f t="array" aca="1" ref="C290" ca="1">IFERROR(IF(OR('Raw Data'!C290="",LEN(TRIM('Raw Data'!C290))=0),_xlfn.REGEXEXTRACT(CELL("address",'Raw Data'!C290),"\$([A-Z]+)\$[0-9]+"),""),"")</f>
        <v>$C$290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2:28" x14ac:dyDescent="0.25">
      <c r="B291" s="6" t="str" cm="1">
        <f t="array" aca="1" ref="B291" ca="1">IFERROR(IF(OR('Raw Data'!B291="",LEN(TRIM('Raw Data'!B291))=0),_xlfn.REGEXEXTRACT(CELL("address",'Raw Data'!B291),"\$([A-Z]+)\$[0-9]+"),""),"")</f>
        <v>$B$291</v>
      </c>
      <c r="C291" s="6" t="str" cm="1">
        <f t="array" aca="1" ref="C291" ca="1">IFERROR(IF(OR('Raw Data'!C291="",LEN(TRIM('Raw Data'!C291))=0),_xlfn.REGEXEXTRACT(CELL("address",'Raw Data'!C291),"\$([A-Z]+)\$[0-9]+"),""),"")</f>
        <v>$C$291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2:28" x14ac:dyDescent="0.25">
      <c r="B292" s="6" t="str" cm="1">
        <f t="array" aca="1" ref="B292" ca="1">IFERROR(IF(OR('Raw Data'!B292="",LEN(TRIM('Raw Data'!B292))=0),_xlfn.REGEXEXTRACT(CELL("address",'Raw Data'!B292),"\$([A-Z]+)\$[0-9]+"),""),"")</f>
        <v>$B$292</v>
      </c>
      <c r="C292" s="6" t="str" cm="1">
        <f t="array" aca="1" ref="C292" ca="1">IFERROR(IF(OR('Raw Data'!C292="",LEN(TRIM('Raw Data'!C292))=0),_xlfn.REGEXEXTRACT(CELL("address",'Raw Data'!C292),"\$([A-Z]+)\$[0-9]+"),""),"")</f>
        <v>$C$292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2:28" x14ac:dyDescent="0.25">
      <c r="B293" s="6" t="str" cm="1">
        <f t="array" aca="1" ref="B293" ca="1">IFERROR(IF(OR('Raw Data'!B293="",LEN(TRIM('Raw Data'!B293))=0),_xlfn.REGEXEXTRACT(CELL("address",'Raw Data'!B293),"\$([A-Z]+)\$[0-9]+"),""),"")</f>
        <v>$B$293</v>
      </c>
      <c r="C293" s="6" t="str" cm="1">
        <f t="array" aca="1" ref="C293" ca="1">IFERROR(IF(OR('Raw Data'!C293="",LEN(TRIM('Raw Data'!C293))=0),_xlfn.REGEXEXTRACT(CELL("address",'Raw Data'!C293),"\$([A-Z]+)\$[0-9]+"),""),"")</f>
        <v>$C$293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2:28" x14ac:dyDescent="0.25">
      <c r="B294" s="6" t="str" cm="1">
        <f t="array" aca="1" ref="B294" ca="1">IFERROR(IF(OR('Raw Data'!B294="",LEN(TRIM('Raw Data'!B294))=0),_xlfn.REGEXEXTRACT(CELL("address",'Raw Data'!B294),"\$([A-Z]+)\$[0-9]+"),""),"")</f>
        <v>$B$294</v>
      </c>
      <c r="C294" s="6" t="str" cm="1">
        <f t="array" aca="1" ref="C294" ca="1">IFERROR(IF(OR('Raw Data'!C294="",LEN(TRIM('Raw Data'!C294))=0),_xlfn.REGEXEXTRACT(CELL("address",'Raw Data'!C294),"\$([A-Z]+)\$[0-9]+"),""),"")</f>
        <v>$C$294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2:28" x14ac:dyDescent="0.25">
      <c r="B295" s="6" t="str" cm="1">
        <f t="array" aca="1" ref="B295" ca="1">IFERROR(IF(OR('Raw Data'!B295="",LEN(TRIM('Raw Data'!B295))=0),_xlfn.REGEXEXTRACT(CELL("address",'Raw Data'!B295),"\$([A-Z]+)\$[0-9]+"),""),"")</f>
        <v>$B$295</v>
      </c>
      <c r="C295" s="6" t="str" cm="1">
        <f t="array" aca="1" ref="C295" ca="1">IFERROR(IF(OR('Raw Data'!C295="",LEN(TRIM('Raw Data'!C295))=0),_xlfn.REGEXEXTRACT(CELL("address",'Raw Data'!C295),"\$([A-Z]+)\$[0-9]+"),""),"")</f>
        <v>$C$295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2:28" x14ac:dyDescent="0.25">
      <c r="B296" s="6" t="str" cm="1">
        <f t="array" aca="1" ref="B296" ca="1">IFERROR(IF(OR('Raw Data'!B296="",LEN(TRIM('Raw Data'!B296))=0),_xlfn.REGEXEXTRACT(CELL("address",'Raw Data'!B296),"\$([A-Z]+)\$[0-9]+"),""),"")</f>
        <v>$B$296</v>
      </c>
      <c r="C296" s="6" t="str" cm="1">
        <f t="array" aca="1" ref="C296" ca="1">IFERROR(IF(OR('Raw Data'!C296="",LEN(TRIM('Raw Data'!C296))=0),_xlfn.REGEXEXTRACT(CELL("address",'Raw Data'!C296),"\$([A-Z]+)\$[0-9]+"),""),"")</f>
        <v>$C$296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2:28" x14ac:dyDescent="0.25">
      <c r="B297" s="6" t="str" cm="1">
        <f t="array" aca="1" ref="B297" ca="1">IFERROR(IF(OR('Raw Data'!B297="",LEN(TRIM('Raw Data'!B297))=0),_xlfn.REGEXEXTRACT(CELL("address",'Raw Data'!B297),"\$([A-Z]+)\$[0-9]+"),""),"")</f>
        <v>$B$297</v>
      </c>
      <c r="C297" s="6" t="str" cm="1">
        <f t="array" aca="1" ref="C297" ca="1">IFERROR(IF(OR('Raw Data'!C297="",LEN(TRIM('Raw Data'!C297))=0),_xlfn.REGEXEXTRACT(CELL("address",'Raw Data'!C297),"\$([A-Z]+)\$[0-9]+"),""),"")</f>
        <v>$C$297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2:28" x14ac:dyDescent="0.25">
      <c r="B298" s="6" t="str" cm="1">
        <f t="array" aca="1" ref="B298" ca="1">IFERROR(IF(OR('Raw Data'!B298="",LEN(TRIM('Raw Data'!B298))=0),_xlfn.REGEXEXTRACT(CELL("address",'Raw Data'!B298),"\$([A-Z]+)\$[0-9]+"),""),"")</f>
        <v>$B$298</v>
      </c>
      <c r="C298" s="6" t="str" cm="1">
        <f t="array" aca="1" ref="C298" ca="1">IFERROR(IF(OR('Raw Data'!C298="",LEN(TRIM('Raw Data'!C298))=0),_xlfn.REGEXEXTRACT(CELL("address",'Raw Data'!C298),"\$([A-Z]+)\$[0-9]+"),""),"")</f>
        <v>$C$298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2:28" x14ac:dyDescent="0.25">
      <c r="B299" s="6" t="str" cm="1">
        <f t="array" aca="1" ref="B299" ca="1">IFERROR(IF(OR('Raw Data'!B299="",LEN(TRIM('Raw Data'!B299))=0),_xlfn.REGEXEXTRACT(CELL("address",'Raw Data'!B299),"\$([A-Z]+)\$[0-9]+"),""),"")</f>
        <v>$B$299</v>
      </c>
      <c r="C299" s="6" t="str" cm="1">
        <f t="array" aca="1" ref="C299" ca="1">IFERROR(IF(OR('Raw Data'!C299="",LEN(TRIM('Raw Data'!C299))=0),_xlfn.REGEXEXTRACT(CELL("address",'Raw Data'!C299),"\$([A-Z]+)\$[0-9]+"),""),"")</f>
        <v>$C$299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2:28" x14ac:dyDescent="0.25">
      <c r="B300" s="6" t="str" cm="1">
        <f t="array" aca="1" ref="B300" ca="1">IFERROR(IF(OR('Raw Data'!B300="",LEN(TRIM('Raw Data'!B300))=0),_xlfn.REGEXEXTRACT(CELL("address",'Raw Data'!B300),"\$([A-Z]+)\$[0-9]+"),""),"")</f>
        <v>$B$300</v>
      </c>
      <c r="C300" s="6" t="str" cm="1">
        <f t="array" aca="1" ref="C300" ca="1">IFERROR(IF(OR('Raw Data'!C300="",LEN(TRIM('Raw Data'!C300))=0),_xlfn.REGEXEXTRACT(CELL("address",'Raw Data'!C300),"\$([A-Z]+)\$[0-9]+"),""),"")</f>
        <v>$C$300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AB300"/>
  <sheetViews>
    <sheetView topLeftCell="A7" zoomScale="40" zoomScaleNormal="4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K51" sqref="K51"/>
    </sheetView>
  </sheetViews>
  <sheetFormatPr defaultRowHeight="15" x14ac:dyDescent="0.25"/>
  <cols>
    <col min="2" max="28" width="17.42578125" style="8" customWidth="1"/>
  </cols>
  <sheetData>
    <row r="8" spans="2:28" x14ac:dyDescent="0.25">
      <c r="B8" s="7" t="s">
        <v>61</v>
      </c>
      <c r="C8" s="7" t="s">
        <v>62</v>
      </c>
      <c r="D8" s="7" t="s">
        <v>63</v>
      </c>
      <c r="E8" s="7" t="s">
        <v>64</v>
      </c>
      <c r="F8" s="7" t="s">
        <v>64</v>
      </c>
      <c r="G8" s="7" t="s">
        <v>64</v>
      </c>
      <c r="H8" s="7" t="s">
        <v>64</v>
      </c>
      <c r="I8" s="7" t="s">
        <v>64</v>
      </c>
      <c r="J8" s="7" t="s">
        <v>64</v>
      </c>
      <c r="K8" s="7" t="s">
        <v>64</v>
      </c>
      <c r="L8" s="7" t="s">
        <v>64</v>
      </c>
      <c r="M8" s="7" t="s">
        <v>64</v>
      </c>
      <c r="N8" s="7" t="s">
        <v>64</v>
      </c>
      <c r="O8" s="7" t="s">
        <v>64</v>
      </c>
      <c r="P8" s="7" t="s">
        <v>64</v>
      </c>
      <c r="Q8" s="7" t="s">
        <v>64</v>
      </c>
      <c r="R8" s="7" t="s">
        <v>64</v>
      </c>
      <c r="S8" s="7" t="s">
        <v>64</v>
      </c>
      <c r="T8" s="7" t="s">
        <v>64</v>
      </c>
      <c r="U8" s="7" t="s">
        <v>64</v>
      </c>
      <c r="V8" s="7" t="s">
        <v>64</v>
      </c>
      <c r="W8" s="7" t="s">
        <v>64</v>
      </c>
      <c r="X8" s="7" t="s">
        <v>64</v>
      </c>
      <c r="Y8" s="7" t="s">
        <v>64</v>
      </c>
      <c r="Z8" s="7" t="s">
        <v>64</v>
      </c>
      <c r="AA8" s="7" t="s">
        <v>64</v>
      </c>
      <c r="AB8" s="7" t="s">
        <v>64</v>
      </c>
    </row>
    <row r="9" spans="2:28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</row>
    <row r="10" spans="2:28" x14ac:dyDescent="0.25">
      <c r="B10" s="7" t="str" cm="1">
        <f t="array" aca="1" ref="B10" ca="1">IFERROR(IF(OR('Raw Data'!B10="",LEN(TRIM('Raw Data'!B10))=0),"",IF(AND(LEN('Raw Data'!B10) &lt;= 255,LEN('Raw Data'!B10)&gt; 0),"",_xlfn.REGEXEXTRACT(CELL("address",'Raw Data'!B10),"\$([A-Z]+)\$[0-9]+"))),_xlfn.REGEXEXTRACT(CELL("address",'Raw Data'!B10),"\$([A-Z]+)\$[0-9]+"))</f>
        <v/>
      </c>
      <c r="C10" s="7" t="str" cm="1">
        <f t="array" aca="1" ref="C10" ca="1">IFERROR(IF(OR('Raw Data'!C10="",LEN(TRIM('Raw Data'!C10))=0),"",IF(AND(LEN('Raw Data'!C10) &lt;= 20,LEN('Raw Data'!C10)&gt; 0),"",_xlfn.REGEXEXTRACT(CELL("address",'Raw Data'!C10),"\$([A-Z]+)\$[0-9]+"))),_xlfn.REGEXEXTRACT(CELL("address",'Raw Data'!C10),"\$([A-Z]+)\$[0-9]+"))</f>
        <v/>
      </c>
      <c r="D10" s="7" t="str" cm="1">
        <f t="array" aca="1" ref="D10" ca="1">IFERROR(IF(OR('Raw Data'!D10="",LEN(TRIM('Raw Data'!D10))=0),"",IF(AND(ISNUMBER('Raw Data'!D10),'Raw Data'!D10&gt;=Configuration!$D$2),"",_xlfn.REGEXEXTRACT(CELL("address",'Raw Data'!D10),"\$([A-Z]+)\$[0-9]+"))),_xlfn.REGEXEXTRACT(CELL("address",D10), "\$([A-Z]+)\$[0-9]+"))</f>
        <v/>
      </c>
      <c r="E10" s="7" t="str" cm="1">
        <f t="array" aca="1" ref="E10" ca="1">IFERROR(IF(OR('Raw Data'!E10="",LEN(TRIM('Raw Data'!E10))=0),"",IF(AND(ISNUMBER('Raw Data'!E10), IFERROR('Raw Data'!E10 = ROUND('Raw Data'!E10, 2),FALSE)),"",_xlfn.REGEXEXTRACT(CELL("address",E10), "\$([A-Z]+)\$[0-9]+"))),_xlfn.REGEXEXTRACT(CELL("address",E10), "\$([A-Z]+)\$[0-9]+"))</f>
        <v/>
      </c>
      <c r="F10" s="7" t="str" cm="1">
        <f t="array" aca="1" ref="F10" ca="1">IFERROR(IF(OR('Raw Data'!F10="",LEN(TRIM('Raw Data'!F10))=0),"",IF(AND(ISNUMBER('Raw Data'!F10), IFERROR('Raw Data'!F10 = ROUND('Raw Data'!F10, 2),FALSE)),"",_xlfn.REGEXEXTRACT(CELL("address",F10), "\$([A-Z]+)\$[0-9]+"))),_xlfn.REGEXEXTRACT(CELL("address",F10), "\$([A-Z]+)\$[0-9]+"))</f>
        <v/>
      </c>
      <c r="G10" s="7" t="str" cm="1">
        <f t="array" aca="1" ref="G10" ca="1">IFERROR(IF(OR('Raw Data'!G10="",LEN(TRIM('Raw Data'!G10))=0),"",IF(AND(ISNUMBER('Raw Data'!G10), IFERROR('Raw Data'!G10 = ROUND('Raw Data'!G10, 2),FALSE)),"",_xlfn.REGEXEXTRACT(CELL("address",G10), "\$([A-Z]+)\$[0-9]+"))),_xlfn.REGEXEXTRACT(CELL("address",G10), "\$([A-Z]+)\$[0-9]+"))</f>
        <v/>
      </c>
      <c r="H10" s="7" t="str" cm="1">
        <f t="array" aca="1" ref="H10" ca="1">IFERROR(IF(OR('Raw Data'!H10="",LEN(TRIM('Raw Data'!H10))=0),"",IF(AND(ISNUMBER('Raw Data'!H10), IFERROR('Raw Data'!H10 = ROUND('Raw Data'!H10, 2),FALSE)),"",_xlfn.REGEXEXTRACT(CELL("address",H10), "\$([A-Z]+)\$[0-9]+"))),_xlfn.REGEXEXTRACT(CELL("address",H10), "\$([A-Z]+)\$[0-9]+"))</f>
        <v/>
      </c>
      <c r="I10" s="7" t="str" cm="1">
        <f t="array" aca="1" ref="I10" ca="1">IFERROR(IF(OR('Raw Data'!I10="",LEN(TRIM('Raw Data'!I10))=0),"",IF(AND(ISNUMBER('Raw Data'!I10), IFERROR('Raw Data'!I10 = ROUND('Raw Data'!I10, 2),FALSE)),"",_xlfn.REGEXEXTRACT(CELL("address",I10), "\$([A-Z]+)\$[0-9]+"))),_xlfn.REGEXEXTRACT(CELL("address",I10), "\$([A-Z]+)\$[0-9]+"))</f>
        <v/>
      </c>
      <c r="J10" s="7" t="str" cm="1">
        <f t="array" aca="1" ref="J10" ca="1">IFERROR(IF(OR('Raw Data'!J10="",LEN(TRIM('Raw Data'!J10))=0),"",IF(AND(ISNUMBER('Raw Data'!J10), IFERROR('Raw Data'!J10 = ROUND('Raw Data'!J10, 2),FALSE)),"",_xlfn.REGEXEXTRACT(CELL("address",J10), "\$([A-Z]+)\$[0-9]+"))),_xlfn.REGEXEXTRACT(CELL("address",J10), "\$([A-Z]+)\$[0-9]+"))</f>
        <v/>
      </c>
      <c r="K10" s="7" t="str" cm="1">
        <f t="array" aca="1" ref="K10" ca="1">IFERROR(IF(OR('Raw Data'!K10="",LEN(TRIM('Raw Data'!K10))=0),"",IF(AND(ISNUMBER('Raw Data'!K10), IFERROR('Raw Data'!K10 = ROUND('Raw Data'!K10, 2),FALSE)),"",_xlfn.REGEXEXTRACT(CELL("address",K10), "\$([A-Z]+)\$[0-9]+"))),_xlfn.REGEXEXTRACT(CELL("address",K10), "\$([A-Z]+)\$[0-9]+"))</f>
        <v/>
      </c>
      <c r="L10" s="7" t="str" cm="1">
        <f t="array" aca="1" ref="L10" ca="1">IFERROR(IF(OR('Raw Data'!L10="",LEN(TRIM('Raw Data'!L10))=0),"",IF(AND(ISNUMBER('Raw Data'!L10), IFERROR('Raw Data'!L10 = ROUND('Raw Data'!L10, 2),FALSE)),"",_xlfn.REGEXEXTRACT(CELL("address",L10), "\$([A-Z]+)\$[0-9]+"))),_xlfn.REGEXEXTRACT(CELL("address",L10), "\$([A-Z]+)\$[0-9]+"))</f>
        <v/>
      </c>
      <c r="M10" s="7" t="str" cm="1">
        <f t="array" aca="1" ref="M10" ca="1">IFERROR(IF(OR('Raw Data'!M10="",LEN(TRIM('Raw Data'!M10))=0),"",IF(AND(ISNUMBER('Raw Data'!M10), IFERROR('Raw Data'!M10 = ROUND('Raw Data'!M10, 2),FALSE)),"",_xlfn.REGEXEXTRACT(CELL("address",M10), "\$([A-Z]+)\$[0-9]+"))),_xlfn.REGEXEXTRACT(CELL("address",M10), "\$([A-Z]+)\$[0-9]+"))</f>
        <v/>
      </c>
      <c r="N10" s="7" t="str" cm="1">
        <f t="array" aca="1" ref="N10" ca="1">IFERROR(IF(OR('Raw Data'!N10="",LEN(TRIM('Raw Data'!N10))=0),"",IF(AND(ISNUMBER('Raw Data'!N10), IFERROR('Raw Data'!N10 = ROUND('Raw Data'!N10, 2),FALSE)),"",_xlfn.REGEXEXTRACT(CELL("address",N10), "\$([A-Z]+)\$[0-9]+"))),_xlfn.REGEXEXTRACT(CELL("address",N10), "\$([A-Z]+)\$[0-9]+"))</f>
        <v/>
      </c>
      <c r="O10" s="7" t="str" cm="1">
        <f t="array" aca="1" ref="O10" ca="1">IFERROR(IF(OR('Raw Data'!O10="",LEN(TRIM('Raw Data'!O10))=0),"",IF(AND(ISNUMBER('Raw Data'!O10), IFERROR('Raw Data'!O10 = ROUND('Raw Data'!O10, 2),FALSE)),"",_xlfn.REGEXEXTRACT(CELL("address",O10), "\$([A-Z]+)\$[0-9]+"))),_xlfn.REGEXEXTRACT(CELL("address",O10), "\$([A-Z]+)\$[0-9]+"))</f>
        <v/>
      </c>
      <c r="P10" s="7" t="str" cm="1">
        <f t="array" aca="1" ref="P10" ca="1">IFERROR(IF(OR('Raw Data'!P10="",LEN(TRIM('Raw Data'!P10))=0),"",IF(AND(ISNUMBER('Raw Data'!P10), IFERROR('Raw Data'!P10 = ROUND('Raw Data'!P10, 2),FALSE)),"",_xlfn.REGEXEXTRACT(CELL("address",P10), "\$([A-Z]+)\$[0-9]+"))),_xlfn.REGEXEXTRACT(CELL("address",P10), "\$([A-Z]+)\$[0-9]+"))</f>
        <v/>
      </c>
      <c r="Q10" s="7" t="str" cm="1">
        <f t="array" aca="1" ref="Q10" ca="1">IFERROR(IF(OR('Raw Data'!Q10="",LEN(TRIM('Raw Data'!Q10))=0),"",IF(AND(ISNUMBER('Raw Data'!Q10), IFERROR('Raw Data'!Q10 = ROUND('Raw Data'!Q10, 2),FALSE)),"",_xlfn.REGEXEXTRACT(CELL("address",Q10), "\$([A-Z]+)\$[0-9]+"))),_xlfn.REGEXEXTRACT(CELL("address",Q10), "\$([A-Z]+)\$[0-9]+"))</f>
        <v/>
      </c>
      <c r="R10" s="7" t="str" cm="1">
        <f t="array" aca="1" ref="R10" ca="1">IFERROR(IF(OR('Raw Data'!R10="",LEN(TRIM('Raw Data'!R10))=0),"",IF(AND(ISNUMBER('Raw Data'!R10), IFERROR('Raw Data'!R10 = ROUND('Raw Data'!R10, 2),FALSE)),"",_xlfn.REGEXEXTRACT(CELL("address",R10), "\$([A-Z]+)\$[0-9]+"))),_xlfn.REGEXEXTRACT(CELL("address",R10), "\$([A-Z]+)\$[0-9]+"))</f>
        <v/>
      </c>
      <c r="S10" s="7" t="str" cm="1">
        <f t="array" aca="1" ref="S10" ca="1">IFERROR(IF(OR('Raw Data'!S10="",LEN(TRIM('Raw Data'!S10))=0),"",IF(AND(ISNUMBER('Raw Data'!S10), IFERROR('Raw Data'!S10 = ROUND('Raw Data'!S10, 2),FALSE)),"",_xlfn.REGEXEXTRACT(CELL("address",S10), "\$([A-Z]+)\$[0-9]+"))),_xlfn.REGEXEXTRACT(CELL("address",S10), "\$([A-Z]+)\$[0-9]+"))</f>
        <v/>
      </c>
      <c r="T10" s="7" t="str" cm="1">
        <f t="array" aca="1" ref="T10" ca="1">IFERROR(IF(OR('Raw Data'!T10="",LEN(TRIM('Raw Data'!T10))=0),"",IF(AND(ISNUMBER('Raw Data'!T10), IFERROR('Raw Data'!T10 = ROUND('Raw Data'!T10, 2),FALSE)),"",_xlfn.REGEXEXTRACT(CELL("address",T10), "\$([A-Z]+)\$[0-9]+"))),_xlfn.REGEXEXTRACT(CELL("address",T10), "\$([A-Z]+)\$[0-9]+"))</f>
        <v/>
      </c>
      <c r="U10" s="7" t="str" cm="1">
        <f t="array" aca="1" ref="U10" ca="1">IFERROR(IF(OR('Raw Data'!U10="",LEN(TRIM('Raw Data'!U10))=0),"",IF(AND(ISNUMBER('Raw Data'!U10), IFERROR('Raw Data'!U10 = ROUND('Raw Data'!U10, 2),FALSE)),"",_xlfn.REGEXEXTRACT(CELL("address",U10), "\$([A-Z]+)\$[0-9]+"))),_xlfn.REGEXEXTRACT(CELL("address",U10), "\$([A-Z]+)\$[0-9]+"))</f>
        <v/>
      </c>
      <c r="V10" s="7" t="str" cm="1">
        <f t="array" aca="1" ref="V10" ca="1">IFERROR(IF(OR('Raw Data'!V10="",LEN(TRIM('Raw Data'!V10))=0),"",IF(AND(ISNUMBER('Raw Data'!V10), IFERROR('Raw Data'!V10 = ROUND('Raw Data'!V10, 2),FALSE)),"",_xlfn.REGEXEXTRACT(CELL("address",V10), "\$([A-Z]+)\$[0-9]+"))),_xlfn.REGEXEXTRACT(CELL("address",V10), "\$([A-Z]+)\$[0-9]+"))</f>
        <v/>
      </c>
      <c r="W10" s="7" t="str" cm="1">
        <f t="array" aca="1" ref="W10" ca="1">IFERROR(IF(OR('Raw Data'!W10="",LEN(TRIM('Raw Data'!W10))=0),"",IF(AND(ISNUMBER('Raw Data'!W10), IFERROR('Raw Data'!W10 = ROUND('Raw Data'!W10, 2),FALSE)),"",_xlfn.REGEXEXTRACT(CELL("address",W10), "\$([A-Z]+)\$[0-9]+"))),_xlfn.REGEXEXTRACT(CELL("address",W10), "\$([A-Z]+)\$[0-9]+"))</f>
        <v/>
      </c>
      <c r="X10" s="7" t="str" cm="1">
        <f t="array" aca="1" ref="X10" ca="1">IFERROR(IF(OR('Raw Data'!X10="",LEN(TRIM('Raw Data'!X10))=0),"",IF(AND(ISNUMBER('Raw Data'!X10), IFERROR('Raw Data'!X10 = ROUND('Raw Data'!X10, 2),FALSE)),"",_xlfn.REGEXEXTRACT(CELL("address",X10), "\$([A-Z]+)\$[0-9]+"))),_xlfn.REGEXEXTRACT(CELL("address",X10), "\$([A-Z]+)\$[0-9]+"))</f>
        <v/>
      </c>
      <c r="Y10" s="7" t="str" cm="1">
        <f t="array" aca="1" ref="Y10" ca="1">IFERROR(IF(OR('Raw Data'!Y10="",LEN(TRIM('Raw Data'!Y10))=0),"",IF(AND(ISNUMBER('Raw Data'!Y10), IFERROR('Raw Data'!Y10 = ROUND('Raw Data'!Y10, 2),FALSE)),"",_xlfn.REGEXEXTRACT(CELL("address",Y10), "\$([A-Z]+)\$[0-9]+"))),_xlfn.REGEXEXTRACT(CELL("address",Y10), "\$([A-Z]+)\$[0-9]+"))</f>
        <v/>
      </c>
      <c r="Z10" s="7" t="str" cm="1">
        <f t="array" aca="1" ref="Z10" ca="1">IFERROR(IF(OR('Raw Data'!Z10="",LEN(TRIM('Raw Data'!Z10))=0),"",IF(AND(ISNUMBER('Raw Data'!Z10), IFERROR('Raw Data'!Z10 = ROUND('Raw Data'!Z10, 2),FALSE)),"",_xlfn.REGEXEXTRACT(CELL("address",Z10), "\$([A-Z]+)\$[0-9]+"))),_xlfn.REGEXEXTRACT(CELL("address",Z10), "\$([A-Z]+)\$[0-9]+"))</f>
        <v/>
      </c>
      <c r="AA10" s="7" t="str" cm="1">
        <f t="array" aca="1" ref="AA10" ca="1">IFERROR(IF(OR('Raw Data'!AA10="",LEN(TRIM('Raw Data'!AA10))=0),"",IF(AND(ISNUMBER('Raw Data'!AA10), IFERROR('Raw Data'!AA10 = ROUND('Raw Data'!AA10, 2),FALSE)),"",_xlfn.REGEXEXTRACT(CELL("address",AA10), "\$([A-Z]+)\$[0-9]+"))),_xlfn.REGEXEXTRACT(CELL("address",AA10), "\$([A-Z]+)\$[0-9]+"))</f>
        <v/>
      </c>
      <c r="AB10" s="7" t="str" cm="1">
        <f t="array" aca="1" ref="AB10" ca="1">IFERROR(IF(OR('Raw Data'!AB10="",LEN(TRIM('Raw Data'!AB10))=0),"",IF(AND(ISNUMBER('Raw Data'!AB10), IFERROR('Raw Data'!AB10 = ROUND('Raw Data'!AB10, 2),FALSE)),"",_xlfn.REGEXEXTRACT(CELL("address",AB10), "\$([A-Z]+)\$[0-9]+"))),_xlfn.REGEXEXTRACT(CELL("address",AB10), "\$([A-Z]+)\$[0-9]+"))</f>
        <v/>
      </c>
    </row>
    <row r="11" spans="2:28" x14ac:dyDescent="0.25">
      <c r="B11" s="7" t="str" cm="1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7" t="str" cm="1">
        <f t="array" aca="1" ref="C11" ca="1">IFERROR(IF(OR('Raw Data'!C11="",LEN(TRIM('Raw Data'!C11))=0),"",IF(AND(LEN('Raw Data'!C11) &lt;= 20,LEN('Raw Data'!C11)&gt; 0),"",_xlfn.REGEXEXTRACT(CELL("address",'Raw Data'!C11),"\$([A-Z]+)\$[0-9]+"))),_xlfn.REGEXEXTRACT(CELL("address",'Raw Data'!C11),"\$([A-Z]+)\$[0-9]+"))</f>
        <v/>
      </c>
      <c r="D11" s="7" t="str" cm="1">
        <f t="array" aca="1" ref="D11" ca="1">IFERROR(IF(OR('Raw Data'!D11="",LEN(TRIM('Raw Data'!D11))=0),"",IF(AND(ISNUMBER('Raw Data'!D11),'Raw Data'!D11&gt;=Configuration!$D$2),"",_xlfn.REGEXEXTRACT(CELL("address",'Raw Data'!D11),"\$([A-Z]+)\$[0-9]+"))),_xlfn.REGEXEXTRACT(CELL("address",D11), "\$([A-Z]+)\$[0-9]+"))</f>
        <v/>
      </c>
      <c r="E11" s="7" t="str" cm="1">
        <f t="array" aca="1" ref="E11" ca="1">IFERROR(IF(OR('Raw Data'!E11="",LEN(TRIM('Raw Data'!E11))=0),"",IF(AND(ISNUMBER('Raw Data'!E11), IFERROR('Raw Data'!E11 = ROUND('Raw Data'!E11, 2),FALSE)),"",_xlfn.REGEXEXTRACT(CELL("address",E11), "\$([A-Z]+)\$[0-9]+"))),_xlfn.REGEXEXTRACT(CELL("address",E11), "\$([A-Z]+)\$[0-9]+"))</f>
        <v/>
      </c>
      <c r="F11" s="7" t="str" cm="1">
        <f t="array" aca="1" ref="F11" ca="1">IFERROR(IF(OR('Raw Data'!F11="",LEN(TRIM('Raw Data'!F11))=0),"",IF(AND(ISNUMBER('Raw Data'!F11), IFERROR('Raw Data'!F11 = ROUND('Raw Data'!F11, 2),FALSE)),"",_xlfn.REGEXEXTRACT(CELL("address",F11), "\$([A-Z]+)\$[0-9]+"))),_xlfn.REGEXEXTRACT(CELL("address",F11), "\$([A-Z]+)\$[0-9]+"))</f>
        <v/>
      </c>
      <c r="G11" s="7" t="str" cm="1">
        <f t="array" aca="1" ref="G11" ca="1">IFERROR(IF(OR('Raw Data'!G11="",LEN(TRIM('Raw Data'!G11))=0),"",IF(AND(ISNUMBER('Raw Data'!G11), IFERROR('Raw Data'!G11 = ROUND('Raw Data'!G11, 2),FALSE)),"",_xlfn.REGEXEXTRACT(CELL("address",G11), "\$([A-Z]+)\$[0-9]+"))),_xlfn.REGEXEXTRACT(CELL("address",G11), "\$([A-Z]+)\$[0-9]+"))</f>
        <v/>
      </c>
      <c r="H11" s="7" t="str" cm="1">
        <f t="array" aca="1" ref="H11" ca="1">IFERROR(IF(OR('Raw Data'!H11="",LEN(TRIM('Raw Data'!H11))=0),"",IF(AND(ISNUMBER('Raw Data'!H11), IFERROR('Raw Data'!H11 = ROUND('Raw Data'!H11, 2),FALSE)),"",_xlfn.REGEXEXTRACT(CELL("address",H11), "\$([A-Z]+)\$[0-9]+"))),_xlfn.REGEXEXTRACT(CELL("address",H11), "\$([A-Z]+)\$[0-9]+"))</f>
        <v/>
      </c>
      <c r="I11" s="7" t="str" cm="1">
        <f t="array" aca="1" ref="I11" ca="1">IFERROR(IF(OR('Raw Data'!I11="",LEN(TRIM('Raw Data'!I11))=0),"",IF(AND(ISNUMBER('Raw Data'!I11), IFERROR('Raw Data'!I11 = ROUND('Raw Data'!I11, 2),FALSE)),"",_xlfn.REGEXEXTRACT(CELL("address",I11), "\$([A-Z]+)\$[0-9]+"))),_xlfn.REGEXEXTRACT(CELL("address",I11), "\$([A-Z]+)\$[0-9]+"))</f>
        <v/>
      </c>
      <c r="J11" s="7" t="str" cm="1">
        <f t="array" aca="1" ref="J11" ca="1">IFERROR(IF(OR('Raw Data'!J11="",LEN(TRIM('Raw Data'!J11))=0),"",IF(AND(ISNUMBER('Raw Data'!J11), IFERROR('Raw Data'!J11 = ROUND('Raw Data'!J11, 2),FALSE)),"",_xlfn.REGEXEXTRACT(CELL("address",J11), "\$([A-Z]+)\$[0-9]+"))),_xlfn.REGEXEXTRACT(CELL("address",J11), "\$([A-Z]+)\$[0-9]+"))</f>
        <v/>
      </c>
      <c r="K11" s="7" t="str" cm="1">
        <f t="array" aca="1" ref="K11" ca="1">IFERROR(IF(OR('Raw Data'!K11="",LEN(TRIM('Raw Data'!K11))=0),"",IF(AND(ISNUMBER('Raw Data'!K11), IFERROR('Raw Data'!K11 = ROUND('Raw Data'!K11, 2),FALSE)),"",_xlfn.REGEXEXTRACT(CELL("address",K11), "\$([A-Z]+)\$[0-9]+"))),_xlfn.REGEXEXTRACT(CELL("address",K11), "\$([A-Z]+)\$[0-9]+"))</f>
        <v/>
      </c>
      <c r="L11" s="7" t="str" cm="1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7" t="str" cm="1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7" t="str" cm="1">
        <f t="array" aca="1" ref="N11" ca="1">IFERROR(IF(OR('Raw Data'!N11="",LEN(TRIM('Raw Data'!N11))=0),"",IF(AND(ISNUMBER('Raw Data'!N11), IFERROR('Raw Data'!N11 = ROUND('Raw Data'!N11, 2),FALSE)),"",_xlfn.REGEXEXTRACT(CELL("address",N11), "\$([A-Z]+)\$[0-9]+"))),_xlfn.REGEXEXTRACT(CELL("address",N11), "\$([A-Z]+)\$[0-9]+"))</f>
        <v/>
      </c>
      <c r="O11" s="7" t="str" cm="1">
        <f t="array" aca="1" ref="O11" ca="1">IFERROR(IF(OR('Raw Data'!O11="",LEN(TRIM('Raw Data'!O11))=0),"",IF(AND(ISNUMBER('Raw Data'!O11), IFERROR('Raw Data'!O11 = ROUND('Raw Data'!O11, 2),FALSE)),"",_xlfn.REGEXEXTRACT(CELL("address",O11), "\$([A-Z]+)\$[0-9]+"))),_xlfn.REGEXEXTRACT(CELL("address",O11), "\$([A-Z]+)\$[0-9]+"))</f>
        <v/>
      </c>
      <c r="P11" s="7" t="str" cm="1">
        <f t="array" aca="1" ref="P11" ca="1">IFERROR(IF(OR('Raw Data'!P11="",LEN(TRIM('Raw Data'!P11))=0),"",IF(AND(ISNUMBER('Raw Data'!P11), IFERROR('Raw Data'!P11 = ROUND('Raw Data'!P11, 2),FALSE)),"",_xlfn.REGEXEXTRACT(CELL("address",P11), "\$([A-Z]+)\$[0-9]+"))),_xlfn.REGEXEXTRACT(CELL("address",P11), "\$([A-Z]+)\$[0-9]+"))</f>
        <v/>
      </c>
      <c r="Q11" s="7" t="str" cm="1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7" t="str" cm="1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7" t="str" cm="1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7" t="str" cm="1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7" t="str" cm="1">
        <f t="array" aca="1" ref="U11" ca="1">IFERROR(IF(OR('Raw Data'!U11="",LEN(TRIM('Raw Data'!U11))=0),"",IF(AND(ISNUMBER('Raw Data'!U11), IFERROR('Raw Data'!U11 = ROUND('Raw Data'!U11, 2),FALSE)),"",_xlfn.REGEXEXTRACT(CELL("address",U11), "\$([A-Z]+)\$[0-9]+"))),_xlfn.REGEXEXTRACT(CELL("address",U11), "\$([A-Z]+)\$[0-9]+"))</f>
        <v/>
      </c>
      <c r="V11" s="7" t="str" cm="1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  <c r="W11" s="7" t="str" cm="1">
        <f t="array" aca="1" ref="W11" ca="1">IFERROR(IF(OR('Raw Data'!W11="",LEN(TRIM('Raw Data'!W11))=0),"",IF(AND(ISNUMBER('Raw Data'!W11), IFERROR('Raw Data'!W11 = ROUND('Raw Data'!W11, 2),FALSE)),"",_xlfn.REGEXEXTRACT(CELL("address",W11), "\$([A-Z]+)\$[0-9]+"))),_xlfn.REGEXEXTRACT(CELL("address",W11), "\$([A-Z]+)\$[0-9]+"))</f>
        <v/>
      </c>
      <c r="X11" s="7" t="str" cm="1">
        <f t="array" aca="1" ref="X11" ca="1">IFERROR(IF(OR('Raw Data'!X11="",LEN(TRIM('Raw Data'!X11))=0),"",IF(AND(ISNUMBER('Raw Data'!X11), IFERROR('Raw Data'!X11 = ROUND('Raw Data'!X11, 2),FALSE)),"",_xlfn.REGEXEXTRACT(CELL("address",X11), "\$([A-Z]+)\$[0-9]+"))),_xlfn.REGEXEXTRACT(CELL("address",X11), "\$([A-Z]+)\$[0-9]+"))</f>
        <v/>
      </c>
      <c r="Y11" s="7" t="str" cm="1">
        <f t="array" aca="1" ref="Y11" ca="1">IFERROR(IF(OR('Raw Data'!Y11="",LEN(TRIM('Raw Data'!Y11))=0),"",IF(AND(ISNUMBER('Raw Data'!Y11), IFERROR('Raw Data'!Y11 = ROUND('Raw Data'!Y11, 2),FALSE)),"",_xlfn.REGEXEXTRACT(CELL("address",Y11), "\$([A-Z]+)\$[0-9]+"))),_xlfn.REGEXEXTRACT(CELL("address",Y11), "\$([A-Z]+)\$[0-9]+"))</f>
        <v/>
      </c>
      <c r="Z11" s="7" t="str" cm="1">
        <f t="array" aca="1" ref="Z11" ca="1">IFERROR(IF(OR('Raw Data'!Z11="",LEN(TRIM('Raw Data'!Z11))=0),"",IF(AND(ISNUMBER('Raw Data'!Z11), IFERROR('Raw Data'!Z11 = ROUND('Raw Data'!Z11, 2),FALSE)),"",_xlfn.REGEXEXTRACT(CELL("address",Z11), "\$([A-Z]+)\$[0-9]+"))),_xlfn.REGEXEXTRACT(CELL("address",Z11), "\$([A-Z]+)\$[0-9]+"))</f>
        <v/>
      </c>
      <c r="AA11" s="7" t="str" cm="1">
        <f t="array" aca="1" ref="AA11" ca="1">IFERROR(IF(OR('Raw Data'!AA11="",LEN(TRIM('Raw Data'!AA11))=0),"",IF(AND(ISNUMBER('Raw Data'!AA11), IFERROR('Raw Data'!AA11 = ROUND('Raw Data'!AA11, 2),FALSE)),"",_xlfn.REGEXEXTRACT(CELL("address",AA11), "\$([A-Z]+)\$[0-9]+"))),_xlfn.REGEXEXTRACT(CELL("address",AA11), "\$([A-Z]+)\$[0-9]+"))</f>
        <v/>
      </c>
      <c r="AB11" s="7" t="str" cm="1">
        <f t="array" aca="1" ref="AB11" ca="1">IFERROR(IF(OR('Raw Data'!AB11="",LEN(TRIM('Raw Data'!AB11))=0),"",IF(AND(ISNUMBER('Raw Data'!AB11), IFERROR('Raw Data'!AB11 = ROUND('Raw Data'!AB11, 2),FALSE)),"",_xlfn.REGEXEXTRACT(CELL("address",AB11), "\$([A-Z]+)\$[0-9]+"))),_xlfn.REGEXEXTRACT(CELL("address",AB11), "\$([A-Z]+)\$[0-9]+"))</f>
        <v/>
      </c>
    </row>
    <row r="12" spans="2:28" x14ac:dyDescent="0.25">
      <c r="B12" s="7" t="str" cm="1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20,LEN('Raw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Data'!D12))=0),"",IF(AND(ISNUMBER('Raw Data'!D12),'Raw Data'!D12&gt;=Configuration!$D$2),"",_xlfn.REGEXEXTRACT(CELL("address",'Raw Data'!D12),"\$([A-Z]+)\$[0-9]+"))),_xlfn.REGEXEXTRACT(CELL("address",D12), "\$([A-Z]+)\$[0-9]+"))</f>
        <v/>
      </c>
      <c r="E12" s="7" t="str" cm="1">
        <f t="array" aca="1" ref="E12" ca="1">IFERROR(IF(OR('Raw Data'!E12="",LEN(TRIM('Raw Data'!E12))=0),"",IF(AND(ISNUMBER('Raw Data'!E12), IFERROR('Raw Data'!E12 = ROUND('Raw Data'!E12, 2),FALSE)),"",_xlfn.REGEXEXTRACT(CELL("address",E12), "\$([A-Z]+)\$[0-9]+"))),_xlfn.REGEXEXTRACT(CELL("address",E12), "\$([A-Z]+)\$[0-9]+"))</f>
        <v/>
      </c>
      <c r="F12" s="7" t="str" cm="1">
        <f t="array" aca="1" ref="F12" ca="1">IFERROR(IF(OR('Raw Data'!F12="",LEN(TRIM('Raw Data'!F12))=0),"",IF(AND(ISNUMBER('Raw Data'!F12), IFERROR('Raw Data'!F12 = ROUND('Raw Data'!F12, 2),FALSE)),"",_xlfn.REGEXEXTRACT(CELL("address",F12), "\$([A-Z]+)\$[0-9]+"))),_xlfn.REGEXEXTRACT(CELL("address",F12), "\$([A-Z]+)\$[0-9]+"))</f>
        <v/>
      </c>
      <c r="G12" s="7" t="str" cm="1">
        <f t="array" aca="1" ref="G12" ca="1">IFERROR(IF(OR('Raw Data'!G12="",LEN(TRIM('Raw Data'!G12))=0),"",IF(AND(ISNUMBER('Raw Data'!G12), IFERROR('Raw Data'!G12 = ROUND('Raw Data'!G12, 2),FALSE)),"",_xlfn.REGEXEXTRACT(CELL("address",G12), "\$([A-Z]+)\$[0-9]+"))),_xlfn.REGEXEXTRACT(CELL("address",G12), "\$([A-Z]+)\$[0-9]+"))</f>
        <v/>
      </c>
      <c r="H12" s="7" t="str" cm="1">
        <f t="array" aca="1" ref="H12" ca="1">IFERROR(IF(OR('Raw Data'!H12="",LEN(TRIM('Raw Data'!H12))=0),"",IF(AND(ISNUMBER('Raw Data'!H12), IFERROR('Raw Data'!H12 = ROUND('Raw Data'!H12, 2),FALSE)),"",_xlfn.REGEXEXTRACT(CELL("address",H12), "\$([A-Z]+)\$[0-9]+"))),_xlfn.REGEXEXTRACT(CELL("address",H12), "\$([A-Z]+)\$[0-9]+"))</f>
        <v/>
      </c>
      <c r="I12" s="7" t="str" cm="1">
        <f t="array" aca="1" ref="I12" ca="1">IFERROR(IF(OR('Raw Data'!I12="",LEN(TRIM('Raw Data'!I12))=0),"",IF(AND(ISNUMBER('Raw Data'!I12), IFERROR('Raw Data'!I12 = ROUND('Raw Data'!I12, 2),FALSE)),"",_xlfn.REGEXEXTRACT(CELL("address",I12), "\$([A-Z]+)\$[0-9]+"))),_xlfn.REGEXEXTRACT(CELL("address",I12), "\$([A-Z]+)\$[0-9]+"))</f>
        <v/>
      </c>
      <c r="J12" s="7" t="str" cm="1">
        <f t="array" aca="1" ref="J12" ca="1">IFERROR(IF(OR('Raw Data'!J12="",LEN(TRIM('Raw Data'!J12))=0),"",IF(AND(ISNUMBER('Raw Data'!J12), IFERROR('Raw Data'!J12 = ROUND('Raw Data'!J12, 2),FALSE)),"",_xlfn.REGEXEXTRACT(CELL("address",J12), "\$([A-Z]+)\$[0-9]+"))),_xlfn.REGEXEXTRACT(CELL("address",J12), "\$([A-Z]+)\$[0-9]+"))</f>
        <v/>
      </c>
      <c r="K12" s="7" t="str" cm="1">
        <f t="array" aca="1" ref="K12" ca="1">IFERROR(IF(OR('Raw Data'!K12="",LEN(TRIM('Raw Data'!K12))=0),"",IF(AND(ISNUMBER('Raw Data'!K12), IFERROR('Raw Data'!K12 = ROUND('Raw Data'!K12, 2),FALSE)),"",_xlfn.REGEXEXTRACT(CELL("address",K12), "\$([A-Z]+)\$[0-9]+"))),_xlfn.REGEXEXTRACT(CELL("address",K12), "\$([A-Z]+)\$[0-9]+"))</f>
        <v/>
      </c>
      <c r="L12" s="7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7" t="str" cm="1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7" t="str" cm="1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  <c r="O12" s="7" t="str" cm="1">
        <f t="array" aca="1" ref="O12" ca="1">IFERROR(IF(OR('Raw Data'!O12="",LEN(TRIM('Raw Data'!O12))=0),"",IF(AND(ISNUMBER('Raw Data'!O12), IFERROR('Raw Data'!O12 = ROUND('Raw Data'!O12, 2),FALSE)),"",_xlfn.REGEXEXTRACT(CELL("address",O12), "\$([A-Z]+)\$[0-9]+"))),_xlfn.REGEXEXTRACT(CELL("address",O12), "\$([A-Z]+)\$[0-9]+"))</f>
        <v/>
      </c>
      <c r="P12" s="7" t="str" cm="1">
        <f t="array" aca="1" ref="P12" ca="1">IFERROR(IF(OR('Raw Data'!P12="",LEN(TRIM('Raw Data'!P12))=0),"",IF(AND(ISNUMBER('Raw Data'!P12), IFERROR('Raw Data'!P12 = ROUND('Raw Data'!P12, 2),FALSE)),"",_xlfn.REGEXEXTRACT(CELL("address",P12), "\$([A-Z]+)\$[0-9]+"))),_xlfn.REGEXEXTRACT(CELL("address",P12), "\$([A-Z]+)\$[0-9]+"))</f>
        <v/>
      </c>
      <c r="Q12" s="7" t="str" cm="1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7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7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7" t="str" cm="1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7" t="str" cm="1">
        <f t="array" aca="1" ref="U12" ca="1">IFERROR(IF(OR('Raw Data'!U12="",LEN(TRIM('Raw Data'!U12))=0),"",IF(AND(ISNUMBER('Raw Data'!U12), IFERROR('Raw Data'!U12 = ROUND('Raw Data'!U12, 2),FALSE)),"",_xlfn.REGEXEXTRACT(CELL("address",U12), "\$([A-Z]+)\$[0-9]+"))),_xlfn.REGEXEXTRACT(CELL("address",U12), "\$([A-Z]+)\$[0-9]+"))</f>
        <v/>
      </c>
      <c r="V12" s="7" t="str" cm="1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7" t="str" cm="1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7" t="str" cm="1">
        <f t="array" aca="1" ref="X12" ca="1">IFERROR(IF(OR('Raw Data'!X12="",LEN(TRIM('Raw Data'!X12))=0),"",IF(AND(ISNUMBER('Raw Data'!X12), IFERROR('Raw Data'!X12 = ROUND('Raw Data'!X12, 2),FALSE)),"",_xlfn.REGEXEXTRACT(CELL("address",X12), "\$([A-Z]+)\$[0-9]+"))),_xlfn.REGEXEXTRACT(CELL("address",X12), "\$([A-Z]+)\$[0-9]+"))</f>
        <v/>
      </c>
      <c r="Y12" s="7" t="str" cm="1">
        <f t="array" aca="1" ref="Y12" ca="1">IFERROR(IF(OR('Raw Data'!Y12="",LEN(TRIM('Raw Data'!Y12))=0),"",IF(AND(ISNUMBER('Raw Data'!Y12), IFERROR('Raw Data'!Y12 = ROUND('Raw Data'!Y12, 2),FALSE)),"",_xlfn.REGEXEXTRACT(CELL("address",Y12), "\$([A-Z]+)\$[0-9]+"))),_xlfn.REGEXEXTRACT(CELL("address",Y12), "\$([A-Z]+)\$[0-9]+"))</f>
        <v/>
      </c>
      <c r="Z12" s="7" t="str" cm="1">
        <f t="array" aca="1" ref="Z12" ca="1">IFERROR(IF(OR('Raw Data'!Z12="",LEN(TRIM('Raw Data'!Z12))=0),"",IF(AND(ISNUMBER('Raw Data'!Z12), IFERROR('Raw Data'!Z12 = ROUND('Raw Data'!Z12, 2),FALSE)),"",_xlfn.REGEXEXTRACT(CELL("address",Z12), "\$([A-Z]+)\$[0-9]+"))),_xlfn.REGEXEXTRACT(CELL("address",Z12), "\$([A-Z]+)\$[0-9]+"))</f>
        <v/>
      </c>
      <c r="AA12" s="7" t="str" cm="1">
        <f t="array" aca="1" ref="AA12" ca="1">IFERROR(IF(OR('Raw Data'!AA12="",LEN(TRIM('Raw Data'!AA12))=0),"",IF(AND(ISNUMBER('Raw Data'!AA12), IFERROR('Raw Data'!AA12 = ROUND('Raw Data'!AA12, 2),FALSE)),"",_xlfn.REGEXEXTRACT(CELL("address",AA12), "\$([A-Z]+)\$[0-9]+"))),_xlfn.REGEXEXTRACT(CELL("address",AA12), "\$([A-Z]+)\$[0-9]+"))</f>
        <v/>
      </c>
      <c r="AB12" s="7" t="str" cm="1">
        <f t="array" aca="1" ref="AB12" ca="1">IFERROR(IF(OR('Raw Data'!AB12="",LEN(TRIM('Raw Data'!AB12))=0),"",IF(AND(ISNUMBER('Raw Data'!AB12), IFERROR('Raw Data'!AB12 = ROUND('Raw Data'!AB12, 2),FALSE)),"",_xlfn.REGEXEXTRACT(CELL("address",AB12), "\$([A-Z]+)\$[0-9]+"))),_xlfn.REGEXEXTRACT(CELL("address",AB12), "\$([A-Z]+)\$[0-9]+"))</f>
        <v/>
      </c>
    </row>
    <row r="13" spans="2:28" x14ac:dyDescent="0.25">
      <c r="B13" s="7" t="str" cm="1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20,LEN('Raw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Data'!D13))=0),"",IF(AND(ISNUMBER('Raw Data'!D13),'Raw Data'!D13&gt;=Configuration!$D$2),"",_xlfn.REGEXEXTRACT(CELL("address",'Raw Data'!D13),"\$([A-Z]+)\$[0-9]+"))),_xlfn.REGEXEXTRACT(CELL("address",D13), "\$([A-Z]+)\$[0-9]+"))</f>
        <v/>
      </c>
      <c r="E13" s="7" t="str" cm="1">
        <f t="array" aca="1" ref="E13" ca="1">IFERROR(IF(OR('Raw Data'!E13="",LEN(TRIM('Raw Data'!E13))=0),"",IF(AND(ISNUMBER('Raw Data'!E13), IFERROR('Raw Data'!E13 = ROUND('Raw Data'!E13, 2),FALSE)),"",_xlfn.REGEXEXTRACT(CELL("address",E13), "\$([A-Z]+)\$[0-9]+"))),_xlfn.REGEXEXTRACT(CELL("address",E13), "\$([A-Z]+)\$[0-9]+"))</f>
        <v/>
      </c>
      <c r="F13" s="7" t="str" cm="1">
        <f t="array" aca="1" ref="F13" ca="1">IFERROR(IF(OR('Raw Data'!F13="",LEN(TRIM('Raw Data'!F13))=0),"",IF(AND(ISNUMBER('Raw Data'!F13), IFERROR('Raw Data'!F13 = ROUND('Raw Data'!F13, 2),FALSE)),"",_xlfn.REGEXEXTRACT(CELL("address",F13), "\$([A-Z]+)\$[0-9]+"))),_xlfn.REGEXEXTRACT(CELL("address",F13), "\$([A-Z]+)\$[0-9]+"))</f>
        <v/>
      </c>
      <c r="G13" s="7" t="str" cm="1">
        <f t="array" aca="1" ref="G13" ca="1">IFERROR(IF(OR('Raw Data'!G13="",LEN(TRIM('Raw Data'!G13))=0),"",IF(AND(ISNUMBER('Raw Data'!G13), IFERROR('Raw Data'!G13 = ROUND('Raw Data'!G13, 2),FALSE)),"",_xlfn.REGEXEXTRACT(CELL("address",G13), "\$([A-Z]+)\$[0-9]+"))),_xlfn.REGEXEXTRACT(CELL("address",G13), "\$([A-Z]+)\$[0-9]+"))</f>
        <v/>
      </c>
      <c r="H13" s="7" t="str" cm="1">
        <f t="array" aca="1" ref="H13" ca="1">IFERROR(IF(OR('Raw Data'!H13="",LEN(TRIM('Raw Data'!H13))=0),"",IF(AND(ISNUMBER('Raw Data'!H13), IFERROR('Raw Data'!H13 = ROUND('Raw Data'!H13, 2),FALSE)),"",_xlfn.REGEXEXTRACT(CELL("address",H13), "\$([A-Z]+)\$[0-9]+"))),_xlfn.REGEXEXTRACT(CELL("address",H13), "\$([A-Z]+)\$[0-9]+"))</f>
        <v/>
      </c>
      <c r="I13" s="7" t="str" cm="1">
        <f t="array" aca="1" ref="I13" ca="1">IFERROR(IF(OR('Raw Data'!I13="",LEN(TRIM('Raw Data'!I13))=0),"",IF(AND(ISNUMBER('Raw Data'!I13), IFERROR('Raw Data'!I13 = ROUND('Raw Data'!I13, 2),FALSE)),"",_xlfn.REGEXEXTRACT(CELL("address",I13), "\$([A-Z]+)\$[0-9]+"))),_xlfn.REGEXEXTRACT(CELL("address",I13), "\$([A-Z]+)\$[0-9]+"))</f>
        <v/>
      </c>
      <c r="J13" s="7" t="str" cm="1">
        <f t="array" aca="1" ref="J13" ca="1">IFERROR(IF(OR('Raw Data'!J13="",LEN(TRIM('Raw Data'!J13))=0),"",IF(AND(ISNUMBER('Raw Data'!J13), IFERROR('Raw Data'!J13 = ROUND('Raw Data'!J13, 2),FALSE)),"",_xlfn.REGEXEXTRACT(CELL("address",J13), "\$([A-Z]+)\$[0-9]+"))),_xlfn.REGEXEXTRACT(CELL("address",J13), "\$([A-Z]+)\$[0-9]+"))</f>
        <v/>
      </c>
      <c r="K13" s="7" t="str" cm="1">
        <f t="array" aca="1" ref="K13" ca="1">IFERROR(IF(OR('Raw Data'!K13="",LEN(TRIM('Raw Data'!K13))=0),"",IF(AND(ISNUMBER('Raw Data'!K13), IFERROR('Raw Data'!K13 = ROUND('Raw Data'!K13, 2),FALSE)),"",_xlfn.REGEXEXTRACT(CELL("address",K13), "\$([A-Z]+)\$[0-9]+"))),_xlfn.REGEXEXTRACT(CELL("address",K13), "\$([A-Z]+)\$[0-9]+"))</f>
        <v/>
      </c>
      <c r="L13" s="7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7" t="str" cm="1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7" t="str" cm="1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  <c r="O13" s="7" t="str" cm="1">
        <f t="array" aca="1" ref="O13" ca="1">IFERROR(IF(OR('Raw Data'!O13="",LEN(TRIM('Raw Data'!O13))=0),"",IF(AND(ISNUMBER('Raw Data'!O13), IFERROR('Raw Data'!O13 = ROUND('Raw Data'!O13, 2),FALSE)),"",_xlfn.REGEXEXTRACT(CELL("address",O13), "\$([A-Z]+)\$[0-9]+"))),_xlfn.REGEXEXTRACT(CELL("address",O13), "\$([A-Z]+)\$[0-9]+"))</f>
        <v/>
      </c>
      <c r="P13" s="7" t="str" cm="1">
        <f t="array" aca="1" ref="P13" ca="1">IFERROR(IF(OR('Raw Data'!P13="",LEN(TRIM('Raw Data'!P13))=0),"",IF(AND(ISNUMBER('Raw Data'!P13), IFERROR('Raw Data'!P13 = ROUND('Raw Data'!P13, 2),FALSE)),"",_xlfn.REGEXEXTRACT(CELL("address",P13), "\$([A-Z]+)\$[0-9]+"))),_xlfn.REGEXEXTRACT(CELL("address",P13), "\$([A-Z]+)\$[0-9]+"))</f>
        <v/>
      </c>
      <c r="Q13" s="7" t="str" cm="1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7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7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7" t="str" cm="1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7" t="str" cm="1">
        <f t="array" aca="1" ref="U13" ca="1">IFERROR(IF(OR('Raw Data'!U13="",LEN(TRIM('Raw Data'!U13))=0),"",IF(AND(ISNUMBER('Raw Data'!U13), IFERROR('Raw Data'!U13 = ROUND('Raw Data'!U13, 2),FALSE)),"",_xlfn.REGEXEXTRACT(CELL("address",U13), "\$([A-Z]+)\$[0-9]+"))),_xlfn.REGEXEXTRACT(CELL("address",U13), "\$([A-Z]+)\$[0-9]+"))</f>
        <v/>
      </c>
      <c r="V13" s="7" t="str" cm="1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7" t="str" cm="1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7" t="str" cm="1">
        <f t="array" aca="1" ref="X13" ca="1">IFERROR(IF(OR('Raw Data'!X13="",LEN(TRIM('Raw Data'!X13))=0),"",IF(AND(ISNUMBER('Raw Data'!X13), IFERROR('Raw Data'!X13 = ROUND('Raw Data'!X13, 2),FALSE)),"",_xlfn.REGEXEXTRACT(CELL("address",X13), "\$([A-Z]+)\$[0-9]+"))),_xlfn.REGEXEXTRACT(CELL("address",X13), "\$([A-Z]+)\$[0-9]+"))</f>
        <v/>
      </c>
      <c r="Y13" s="7" t="str" cm="1">
        <f t="array" aca="1" ref="Y13" ca="1">IFERROR(IF(OR('Raw Data'!Y13="",LEN(TRIM('Raw Data'!Y13))=0),"",IF(AND(ISNUMBER('Raw Data'!Y13), IFERROR('Raw Data'!Y13 = ROUND('Raw Data'!Y13, 2),FALSE)),"",_xlfn.REGEXEXTRACT(CELL("address",Y13), "\$([A-Z]+)\$[0-9]+"))),_xlfn.REGEXEXTRACT(CELL("address",Y13), "\$([A-Z]+)\$[0-9]+"))</f>
        <v/>
      </c>
      <c r="Z13" s="7" t="str" cm="1">
        <f t="array" aca="1" ref="Z13" ca="1">IFERROR(IF(OR('Raw Data'!Z13="",LEN(TRIM('Raw Data'!Z13))=0),"",IF(AND(ISNUMBER('Raw Data'!Z13), IFERROR('Raw Data'!Z13 = ROUND('Raw Data'!Z13, 2),FALSE)),"",_xlfn.REGEXEXTRACT(CELL("address",Z13), "\$([A-Z]+)\$[0-9]+"))),_xlfn.REGEXEXTRACT(CELL("address",Z13), "\$([A-Z]+)\$[0-9]+"))</f>
        <v/>
      </c>
      <c r="AA13" s="7" t="str" cm="1">
        <f t="array" aca="1" ref="AA13" ca="1">IFERROR(IF(OR('Raw Data'!AA13="",LEN(TRIM('Raw Data'!AA13))=0),"",IF(AND(ISNUMBER('Raw Data'!AA13), IFERROR('Raw Data'!AA13 = ROUND('Raw Data'!AA13, 2),FALSE)),"",_xlfn.REGEXEXTRACT(CELL("address",AA13), "\$([A-Z]+)\$[0-9]+"))),_xlfn.REGEXEXTRACT(CELL("address",AA13), "\$([A-Z]+)\$[0-9]+"))</f>
        <v/>
      </c>
      <c r="AB13" s="7" t="str" cm="1">
        <f t="array" aca="1" ref="AB13" ca="1">IFERROR(IF(OR('Raw Data'!AB13="",LEN(TRIM('Raw Data'!AB13))=0),"",IF(AND(ISNUMBER('Raw Data'!AB13), IFERROR('Raw Data'!AB13 = ROUND('Raw Data'!AB13, 2),FALSE)),"",_xlfn.REGEXEXTRACT(CELL("address",AB13), "\$([A-Z]+)\$[0-9]+"))),_xlfn.REGEXEXTRACT(CELL("address",AB13), "\$([A-Z]+)\$[0-9]+"))</f>
        <v/>
      </c>
    </row>
    <row r="14" spans="2:28" x14ac:dyDescent="0.25">
      <c r="B14" s="7" t="str" cm="1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20,LEN('Raw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Data'!D14))=0),"",IF(AND(ISNUMBER('Raw Data'!D14),'Raw Data'!D14&gt;=Configuration!$D$2),"",_xlfn.REGEXEXTRACT(CELL("address",'Raw Data'!D14),"\$([A-Z]+)\$[0-9]+"))),_xlfn.REGEXEXTRACT(CELL("address",D14), "\$([A-Z]+)\$[0-9]+"))</f>
        <v/>
      </c>
      <c r="E14" s="7" t="str" cm="1">
        <f t="array" aca="1" ref="E14" ca="1">IFERROR(IF(OR('Raw Data'!E14="",LEN(TRIM('Raw Data'!E14))=0),"",IF(AND(ISNUMBER('Raw Data'!E14), IFERROR('Raw Data'!E14 = ROUND('Raw Data'!E14, 2),FALSE)),"",_xlfn.REGEXEXTRACT(CELL("address",E14), "\$([A-Z]+)\$[0-9]+"))),_xlfn.REGEXEXTRACT(CELL("address",E14), "\$([A-Z]+)\$[0-9]+"))</f>
        <v/>
      </c>
      <c r="F14" s="7" t="str" cm="1">
        <f t="array" aca="1" ref="F14" ca="1">IFERROR(IF(OR('Raw Data'!F14="",LEN(TRIM('Raw Data'!F14))=0),"",IF(AND(ISNUMBER('Raw Data'!F14), IFERROR('Raw Data'!F14 = ROUND('Raw Data'!F14, 2),FALSE)),"",_xlfn.REGEXEXTRACT(CELL("address",F14), "\$([A-Z]+)\$[0-9]+"))),_xlfn.REGEXEXTRACT(CELL("address",F14), "\$([A-Z]+)\$[0-9]+"))</f>
        <v/>
      </c>
      <c r="G14" s="7" t="str" cm="1">
        <f t="array" aca="1" ref="G14" ca="1">IFERROR(IF(OR('Raw Data'!G14="",LEN(TRIM('Raw Data'!G14))=0),"",IF(AND(ISNUMBER('Raw Data'!G14), IFERROR('Raw Data'!G14 = ROUND('Raw Data'!G14, 2),FALSE)),"",_xlfn.REGEXEXTRACT(CELL("address",G14), "\$([A-Z]+)\$[0-9]+"))),_xlfn.REGEXEXTRACT(CELL("address",G14), "\$([A-Z]+)\$[0-9]+"))</f>
        <v/>
      </c>
      <c r="H14" s="7" t="str" cm="1">
        <f t="array" aca="1" ref="H14" ca="1">IFERROR(IF(OR('Raw Data'!H14="",LEN(TRIM('Raw Data'!H14))=0),"",IF(AND(ISNUMBER('Raw Data'!H14), IFERROR('Raw Data'!H14 = ROUND('Raw Data'!H14, 2),FALSE)),"",_xlfn.REGEXEXTRACT(CELL("address",H14), "\$([A-Z]+)\$[0-9]+"))),_xlfn.REGEXEXTRACT(CELL("address",H14), "\$([A-Z]+)\$[0-9]+"))</f>
        <v/>
      </c>
      <c r="I14" s="7" t="str" cm="1">
        <f t="array" aca="1" ref="I14" ca="1">IFERROR(IF(OR('Raw Data'!I14="",LEN(TRIM('Raw Data'!I14))=0),"",IF(AND(ISNUMBER('Raw Data'!I14), IFERROR('Raw Data'!I14 = ROUND('Raw Data'!I14, 2),FALSE)),"",_xlfn.REGEXEXTRACT(CELL("address",I14), "\$([A-Z]+)\$[0-9]+"))),_xlfn.REGEXEXTRACT(CELL("address",I14), "\$([A-Z]+)\$[0-9]+"))</f>
        <v/>
      </c>
      <c r="J14" s="7" t="str" cm="1">
        <f t="array" aca="1" ref="J14" ca="1">IFERROR(IF(OR('Raw Data'!J14="",LEN(TRIM('Raw Data'!J14))=0),"",IF(AND(ISNUMBER('Raw Data'!J14), IFERROR('Raw Data'!J14 = ROUND('Raw Data'!J14, 2),FALSE)),"",_xlfn.REGEXEXTRACT(CELL("address",J14), "\$([A-Z]+)\$[0-9]+"))),_xlfn.REGEXEXTRACT(CELL("address",J14), "\$([A-Z]+)\$[0-9]+"))</f>
        <v/>
      </c>
      <c r="K14" s="7" t="str" cm="1">
        <f t="array" aca="1" ref="K14" ca="1">IFERROR(IF(OR('Raw Data'!K14="",LEN(TRIM('Raw Data'!K14))=0),"",IF(AND(ISNUMBER('Raw Data'!K14), IFERROR('Raw Data'!K14 = ROUND('Raw Data'!K14, 2),FALSE)),"",_xlfn.REGEXEXTRACT(CELL("address",K14), "\$([A-Z]+)\$[0-9]+"))),_xlfn.REGEXEXTRACT(CELL("address",K14), "\$([A-Z]+)\$[0-9]+"))</f>
        <v/>
      </c>
      <c r="L14" s="7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7" t="str" cm="1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7" t="str" cm="1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  <c r="O14" s="7" t="str" cm="1">
        <f t="array" aca="1" ref="O14" ca="1">IFERROR(IF(OR('Raw Data'!O14="",LEN(TRIM('Raw Data'!O14))=0),"",IF(AND(ISNUMBER('Raw Data'!O14), IFERROR('Raw Data'!O14 = ROUND('Raw Data'!O14, 2),FALSE)),"",_xlfn.REGEXEXTRACT(CELL("address",O14), "\$([A-Z]+)\$[0-9]+"))),_xlfn.REGEXEXTRACT(CELL("address",O14), "\$([A-Z]+)\$[0-9]+"))</f>
        <v/>
      </c>
      <c r="P14" s="7" t="str" cm="1">
        <f t="array" aca="1" ref="P14" ca="1">IFERROR(IF(OR('Raw Data'!P14="",LEN(TRIM('Raw Data'!P14))=0),"",IF(AND(ISNUMBER('Raw Data'!P14), IFERROR('Raw Data'!P14 = ROUND('Raw Data'!P14, 2),FALSE)),"",_xlfn.REGEXEXTRACT(CELL("address",P14), "\$([A-Z]+)\$[0-9]+"))),_xlfn.REGEXEXTRACT(CELL("address",P14), "\$([A-Z]+)\$[0-9]+"))</f>
        <v/>
      </c>
      <c r="Q14" s="7" t="str" cm="1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7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7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7" t="str" cm="1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7" t="str" cm="1">
        <f t="array" aca="1" ref="U14" ca="1">IFERROR(IF(OR('Raw Data'!U14="",LEN(TRIM('Raw Data'!U14))=0),"",IF(AND(ISNUMBER('Raw Data'!U14), IFERROR('Raw Data'!U14 = ROUND('Raw Data'!U14, 2),FALSE)),"",_xlfn.REGEXEXTRACT(CELL("address",U14), "\$([A-Z]+)\$[0-9]+"))),_xlfn.REGEXEXTRACT(CELL("address",U14), "\$([A-Z]+)\$[0-9]+"))</f>
        <v/>
      </c>
      <c r="V14" s="7" t="str" cm="1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7" t="str" cm="1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7" t="str" cm="1">
        <f t="array" aca="1" ref="X14" ca="1">IFERROR(IF(OR('Raw Data'!X14="",LEN(TRIM('Raw Data'!X14))=0),"",IF(AND(ISNUMBER('Raw Data'!X14), IFERROR('Raw Data'!X14 = ROUND('Raw Data'!X14, 2),FALSE)),"",_xlfn.REGEXEXTRACT(CELL("address",X14), "\$([A-Z]+)\$[0-9]+"))),_xlfn.REGEXEXTRACT(CELL("address",X14), "\$([A-Z]+)\$[0-9]+"))</f>
        <v/>
      </c>
      <c r="Y14" s="7" t="str" cm="1">
        <f t="array" aca="1" ref="Y14" ca="1">IFERROR(IF(OR('Raw Data'!Y14="",LEN(TRIM('Raw Data'!Y14))=0),"",IF(AND(ISNUMBER('Raw Data'!Y14), IFERROR('Raw Data'!Y14 = ROUND('Raw Data'!Y14, 2),FALSE)),"",_xlfn.REGEXEXTRACT(CELL("address",Y14), "\$([A-Z]+)\$[0-9]+"))),_xlfn.REGEXEXTRACT(CELL("address",Y14), "\$([A-Z]+)\$[0-9]+"))</f>
        <v/>
      </c>
      <c r="Z14" s="7" t="str" cm="1">
        <f t="array" aca="1" ref="Z14" ca="1">IFERROR(IF(OR('Raw Data'!Z14="",LEN(TRIM('Raw Data'!Z14))=0),"",IF(AND(ISNUMBER('Raw Data'!Z14), IFERROR('Raw Data'!Z14 = ROUND('Raw Data'!Z14, 2),FALSE)),"",_xlfn.REGEXEXTRACT(CELL("address",Z14), "\$([A-Z]+)\$[0-9]+"))),_xlfn.REGEXEXTRACT(CELL("address",Z14), "\$([A-Z]+)\$[0-9]+"))</f>
        <v/>
      </c>
      <c r="AA14" s="7" t="str" cm="1">
        <f t="array" aca="1" ref="AA14" ca="1">IFERROR(IF(OR('Raw Data'!AA14="",LEN(TRIM('Raw Data'!AA14))=0),"",IF(AND(ISNUMBER('Raw Data'!AA14), IFERROR('Raw Data'!AA14 = ROUND('Raw Data'!AA14, 2),FALSE)),"",_xlfn.REGEXEXTRACT(CELL("address",AA14), "\$([A-Z]+)\$[0-9]+"))),_xlfn.REGEXEXTRACT(CELL("address",AA14), "\$([A-Z]+)\$[0-9]+"))</f>
        <v/>
      </c>
      <c r="AB14" s="7" t="str" cm="1">
        <f t="array" aca="1" ref="AB14" ca="1">IFERROR(IF(OR('Raw Data'!AB14="",LEN(TRIM('Raw Data'!AB14))=0),"",IF(AND(ISNUMBER('Raw Data'!AB14), IFERROR('Raw Data'!AB14 = ROUND('Raw Data'!AB14, 2),FALSE)),"",_xlfn.REGEXEXTRACT(CELL("address",AB14), "\$([A-Z]+)\$[0-9]+"))),_xlfn.REGEXEXTRACT(CELL("address",AB14), "\$([A-Z]+)\$[0-9]+"))</f>
        <v/>
      </c>
    </row>
    <row r="15" spans="2:28" x14ac:dyDescent="0.25">
      <c r="B15" s="7" t="str" cm="1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20,LEN('Raw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Data'!D15))=0),"",IF(AND(ISNUMBER('Raw Data'!D15),'Raw Data'!D15&gt;=Configuration!$D$2),"",_xlfn.REGEXEXTRACT(CELL("address",'Raw Data'!D15),"\$([A-Z]+)\$[0-9]+"))),_xlfn.REGEXEXTRACT(CELL("address",D15), "\$([A-Z]+)\$[0-9]+"))</f>
        <v/>
      </c>
      <c r="E15" s="7" t="str" cm="1">
        <f t="array" aca="1" ref="E15" ca="1">IFERROR(IF(OR('Raw Data'!E15="",LEN(TRIM('Raw Data'!E15))=0),"",IF(AND(ISNUMBER('Raw Data'!E15), IFERROR('Raw Data'!E15 = ROUND('Raw Data'!E15, 2),FALSE)),"",_xlfn.REGEXEXTRACT(CELL("address",E15), "\$([A-Z]+)\$[0-9]+"))),_xlfn.REGEXEXTRACT(CELL("address",E15), "\$([A-Z]+)\$[0-9]+"))</f>
        <v/>
      </c>
      <c r="F15" s="7" t="str" cm="1">
        <f t="array" aca="1" ref="F15" ca="1">IFERROR(IF(OR('Raw Data'!F15="",LEN(TRIM('Raw Data'!F15))=0),"",IF(AND(ISNUMBER('Raw Data'!F15), IFERROR('Raw Data'!F15 = ROUND('Raw Data'!F15, 2),FALSE)),"",_xlfn.REGEXEXTRACT(CELL("address",F15), "\$([A-Z]+)\$[0-9]+"))),_xlfn.REGEXEXTRACT(CELL("address",F15), "\$([A-Z]+)\$[0-9]+"))</f>
        <v/>
      </c>
      <c r="G15" s="7" t="str" cm="1">
        <f t="array" aca="1" ref="G15" ca="1">IFERROR(IF(OR('Raw Data'!G15="",LEN(TRIM('Raw Data'!G15))=0),"",IF(AND(ISNUMBER('Raw Data'!G15), IFERROR('Raw Data'!G15 = ROUND('Raw Data'!G15, 2),FALSE)),"",_xlfn.REGEXEXTRACT(CELL("address",G15), "\$([A-Z]+)\$[0-9]+"))),_xlfn.REGEXEXTRACT(CELL("address",G15), "\$([A-Z]+)\$[0-9]+"))</f>
        <v/>
      </c>
      <c r="H15" s="7" t="str" cm="1">
        <f t="array" aca="1" ref="H15" ca="1">IFERROR(IF(OR('Raw Data'!H15="",LEN(TRIM('Raw Data'!H15))=0),"",IF(AND(ISNUMBER('Raw Data'!H15), IFERROR('Raw Data'!H15 = ROUND('Raw Data'!H15, 2),FALSE)),"",_xlfn.REGEXEXTRACT(CELL("address",H15), "\$([A-Z]+)\$[0-9]+"))),_xlfn.REGEXEXTRACT(CELL("address",H15), "\$([A-Z]+)\$[0-9]+"))</f>
        <v/>
      </c>
      <c r="I15" s="7" t="str" cm="1">
        <f t="array" aca="1" ref="I15" ca="1">IFERROR(IF(OR('Raw Data'!I15="",LEN(TRIM('Raw Data'!I15))=0),"",IF(AND(ISNUMBER('Raw Data'!I15), IFERROR('Raw Data'!I15 = ROUND('Raw Data'!I15, 2),FALSE)),"",_xlfn.REGEXEXTRACT(CELL("address",I15), "\$([A-Z]+)\$[0-9]+"))),_xlfn.REGEXEXTRACT(CELL("address",I15), "\$([A-Z]+)\$[0-9]+"))</f>
        <v/>
      </c>
      <c r="J15" s="7" t="str" cm="1">
        <f t="array" aca="1" ref="J15" ca="1">IFERROR(IF(OR('Raw Data'!J15="",LEN(TRIM('Raw Data'!J15))=0),"",IF(AND(ISNUMBER('Raw Data'!J15), IFERROR('Raw Data'!J15 = ROUND('Raw Data'!J15, 2),FALSE)),"",_xlfn.REGEXEXTRACT(CELL("address",J15), "\$([A-Z]+)\$[0-9]+"))),_xlfn.REGEXEXTRACT(CELL("address",J15), "\$([A-Z]+)\$[0-9]+"))</f>
        <v/>
      </c>
      <c r="K15" s="7" t="str" cm="1">
        <f t="array" aca="1" ref="K15" ca="1">IFERROR(IF(OR('Raw Data'!K15="",LEN(TRIM('Raw Data'!K15))=0),"",IF(AND(ISNUMBER('Raw Data'!K15), IFERROR('Raw Data'!K15 = ROUND('Raw Data'!K15, 2),FALSE)),"",_xlfn.REGEXEXTRACT(CELL("address",K15), "\$([A-Z]+)\$[0-9]+"))),_xlfn.REGEXEXTRACT(CELL("address",K15), "\$([A-Z]+)\$[0-9]+"))</f>
        <v/>
      </c>
      <c r="L15" s="7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7" t="str" cm="1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7" t="str" cm="1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  <c r="O15" s="7" t="str" cm="1">
        <f t="array" aca="1" ref="O15" ca="1">IFERROR(IF(OR('Raw Data'!O15="",LEN(TRIM('Raw Data'!O15))=0),"",IF(AND(ISNUMBER('Raw Data'!O15), IFERROR('Raw Data'!O15 = ROUND('Raw Data'!O15, 2),FALSE)),"",_xlfn.REGEXEXTRACT(CELL("address",O15), "\$([A-Z]+)\$[0-9]+"))),_xlfn.REGEXEXTRACT(CELL("address",O15), "\$([A-Z]+)\$[0-9]+"))</f>
        <v/>
      </c>
      <c r="P15" s="7" t="str" cm="1">
        <f t="array" aca="1" ref="P15" ca="1">IFERROR(IF(OR('Raw Data'!P15="",LEN(TRIM('Raw Data'!P15))=0),"",IF(AND(ISNUMBER('Raw Data'!P15), IFERROR('Raw Data'!P15 = ROUND('Raw Data'!P15, 2),FALSE)),"",_xlfn.REGEXEXTRACT(CELL("address",P15), "\$([A-Z]+)\$[0-9]+"))),_xlfn.REGEXEXTRACT(CELL("address",P15), "\$([A-Z]+)\$[0-9]+"))</f>
        <v/>
      </c>
      <c r="Q15" s="7" t="str" cm="1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7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7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7" t="str" cm="1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7" t="str" cm="1">
        <f t="array" aca="1" ref="U15" ca="1">IFERROR(IF(OR('Raw Data'!U15="",LEN(TRIM('Raw Data'!U15))=0),"",IF(AND(ISNUMBER('Raw Data'!U15), IFERROR('Raw Data'!U15 = ROUND('Raw Data'!U15, 2),FALSE)),"",_xlfn.REGEXEXTRACT(CELL("address",U15), "\$([A-Z]+)\$[0-9]+"))),_xlfn.REGEXEXTRACT(CELL("address",U15), "\$([A-Z]+)\$[0-9]+"))</f>
        <v/>
      </c>
      <c r="V15" s="7" t="str" cm="1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7" t="str" cm="1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7" t="str" cm="1">
        <f t="array" aca="1" ref="X15" ca="1">IFERROR(IF(OR('Raw Data'!X15="",LEN(TRIM('Raw Data'!X15))=0),"",IF(AND(ISNUMBER('Raw Data'!X15), IFERROR('Raw Data'!X15 = ROUND('Raw Data'!X15, 2),FALSE)),"",_xlfn.REGEXEXTRACT(CELL("address",X15), "\$([A-Z]+)\$[0-9]+"))),_xlfn.REGEXEXTRACT(CELL("address",X15), "\$([A-Z]+)\$[0-9]+"))</f>
        <v/>
      </c>
      <c r="Y15" s="7" t="str" cm="1">
        <f t="array" aca="1" ref="Y15" ca="1">IFERROR(IF(OR('Raw Data'!Y15="",LEN(TRIM('Raw Data'!Y15))=0),"",IF(AND(ISNUMBER('Raw Data'!Y15), IFERROR('Raw Data'!Y15 = ROUND('Raw Data'!Y15, 2),FALSE)),"",_xlfn.REGEXEXTRACT(CELL("address",Y15), "\$([A-Z]+)\$[0-9]+"))),_xlfn.REGEXEXTRACT(CELL("address",Y15), "\$([A-Z]+)\$[0-9]+"))</f>
        <v/>
      </c>
      <c r="Z15" s="7" t="str" cm="1">
        <f t="array" aca="1" ref="Z15" ca="1">IFERROR(IF(OR('Raw Data'!Z15="",LEN(TRIM('Raw Data'!Z15))=0),"",IF(AND(ISNUMBER('Raw Data'!Z15), IFERROR('Raw Data'!Z15 = ROUND('Raw Data'!Z15, 2),FALSE)),"",_xlfn.REGEXEXTRACT(CELL("address",Z15), "\$([A-Z]+)\$[0-9]+"))),_xlfn.REGEXEXTRACT(CELL("address",Z15), "\$([A-Z]+)\$[0-9]+"))</f>
        <v/>
      </c>
      <c r="AA15" s="7" t="str" cm="1">
        <f t="array" aca="1" ref="AA15" ca="1">IFERROR(IF(OR('Raw Data'!AA15="",LEN(TRIM('Raw Data'!AA15))=0),"",IF(AND(ISNUMBER('Raw Data'!AA15), IFERROR('Raw Data'!AA15 = ROUND('Raw Data'!AA15, 2),FALSE)),"",_xlfn.REGEXEXTRACT(CELL("address",AA15), "\$([A-Z]+)\$[0-9]+"))),_xlfn.REGEXEXTRACT(CELL("address",AA15), "\$([A-Z]+)\$[0-9]+"))</f>
        <v/>
      </c>
      <c r="AB15" s="7" t="str" cm="1">
        <f t="array" aca="1" ref="AB15" ca="1">IFERROR(IF(OR('Raw Data'!AB15="",LEN(TRIM('Raw Data'!AB15))=0),"",IF(AND(ISNUMBER('Raw Data'!AB15), IFERROR('Raw Data'!AB15 = ROUND('Raw Data'!AB15, 2),FALSE)),"",_xlfn.REGEXEXTRACT(CELL("address",AB15), "\$([A-Z]+)\$[0-9]+"))),_xlfn.REGEXEXTRACT(CELL("address",AB15), "\$([A-Z]+)\$[0-9]+"))</f>
        <v/>
      </c>
    </row>
    <row r="16" spans="2:28" x14ac:dyDescent="0.25">
      <c r="B16" s="7" t="str" cm="1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20,LEN('Raw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Data'!D16))=0),"",IF(AND(ISNUMBER('Raw Data'!D16),'Raw Data'!D16&gt;=Configuration!$D$2),"",_xlfn.REGEXEXTRACT(CELL("address",'Raw Data'!D16),"\$([A-Z]+)\$[0-9]+"))),_xlfn.REGEXEXTRACT(CELL("address",D16), "\$([A-Z]+)\$[0-9]+"))</f>
        <v/>
      </c>
      <c r="E16" s="7" t="str" cm="1">
        <f t="array" aca="1" ref="E16" ca="1">IFERROR(IF(OR('Raw Data'!E16="",LEN(TRIM('Raw Data'!E16))=0),"",IF(AND(ISNUMBER('Raw Data'!E16), IFERROR('Raw Data'!E16 = ROUND('Raw Data'!E16, 2),FALSE)),"",_xlfn.REGEXEXTRACT(CELL("address",E16), "\$([A-Z]+)\$[0-9]+"))),_xlfn.REGEXEXTRACT(CELL("address",E16), "\$([A-Z]+)\$[0-9]+"))</f>
        <v/>
      </c>
      <c r="F16" s="7" t="str" cm="1">
        <f t="array" aca="1" ref="F16" ca="1">IFERROR(IF(OR('Raw Data'!F16="",LEN(TRIM('Raw Data'!F16))=0),"",IF(AND(ISNUMBER('Raw Data'!F16), IFERROR('Raw Data'!F16 = ROUND('Raw Data'!F16, 2),FALSE)),"",_xlfn.REGEXEXTRACT(CELL("address",F16), "\$([A-Z]+)\$[0-9]+"))),_xlfn.REGEXEXTRACT(CELL("address",F16), "\$([A-Z]+)\$[0-9]+"))</f>
        <v/>
      </c>
      <c r="G16" s="7" t="str" cm="1">
        <f t="array" aca="1" ref="G16" ca="1">IFERROR(IF(OR('Raw Data'!G16="",LEN(TRIM('Raw Data'!G16))=0),"",IF(AND(ISNUMBER('Raw Data'!G16), IFERROR('Raw Data'!G16 = ROUND('Raw Data'!G16, 2),FALSE)),"",_xlfn.REGEXEXTRACT(CELL("address",G16), "\$([A-Z]+)\$[0-9]+"))),_xlfn.REGEXEXTRACT(CELL("address",G16), "\$([A-Z]+)\$[0-9]+"))</f>
        <v/>
      </c>
      <c r="H16" s="7" t="str" cm="1">
        <f t="array" aca="1" ref="H16" ca="1">IFERROR(IF(OR('Raw Data'!H16="",LEN(TRIM('Raw Data'!H16))=0),"",IF(AND(ISNUMBER('Raw Data'!H16), IFERROR('Raw Data'!H16 = ROUND('Raw Data'!H16, 2),FALSE)),"",_xlfn.REGEXEXTRACT(CELL("address",H16), "\$([A-Z]+)\$[0-9]+"))),_xlfn.REGEXEXTRACT(CELL("address",H16), "\$([A-Z]+)\$[0-9]+"))</f>
        <v/>
      </c>
      <c r="I16" s="7" t="str" cm="1">
        <f t="array" aca="1" ref="I16" ca="1">IFERROR(IF(OR('Raw Data'!I16="",LEN(TRIM('Raw Data'!I16))=0),"",IF(AND(ISNUMBER('Raw Data'!I16), IFERROR('Raw Data'!I16 = ROUND('Raw Data'!I16, 2),FALSE)),"",_xlfn.REGEXEXTRACT(CELL("address",I16), "\$([A-Z]+)\$[0-9]+"))),_xlfn.REGEXEXTRACT(CELL("address",I16), "\$([A-Z]+)\$[0-9]+"))</f>
        <v/>
      </c>
      <c r="J16" s="7" t="str" cm="1">
        <f t="array" aca="1" ref="J16" ca="1">IFERROR(IF(OR('Raw Data'!J16="",LEN(TRIM('Raw Data'!J16))=0),"",IF(AND(ISNUMBER('Raw Data'!J16), IFERROR('Raw Data'!J16 = ROUND('Raw Data'!J16, 2),FALSE)),"",_xlfn.REGEXEXTRACT(CELL("address",J16), "\$([A-Z]+)\$[0-9]+"))),_xlfn.REGEXEXTRACT(CELL("address",J16), "\$([A-Z]+)\$[0-9]+"))</f>
        <v/>
      </c>
      <c r="K16" s="7" t="str" cm="1">
        <f t="array" aca="1" ref="K16" ca="1">IFERROR(IF(OR('Raw Data'!K16="",LEN(TRIM('Raw Data'!K16))=0),"",IF(AND(ISNUMBER('Raw Data'!K16), IFERROR('Raw Data'!K16 = ROUND('Raw Data'!K16, 2),FALSE)),"",_xlfn.REGEXEXTRACT(CELL("address",K16), "\$([A-Z]+)\$[0-9]+"))),_xlfn.REGEXEXTRACT(CELL("address",K16), "\$([A-Z]+)\$[0-9]+"))</f>
        <v/>
      </c>
      <c r="L16" s="7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7" t="str" cm="1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7" t="str" cm="1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  <c r="O16" s="7" t="str" cm="1">
        <f t="array" aca="1" ref="O16" ca="1">IFERROR(IF(OR('Raw Data'!O16="",LEN(TRIM('Raw Data'!O16))=0),"",IF(AND(ISNUMBER('Raw Data'!O16), IFERROR('Raw Data'!O16 = ROUND('Raw Data'!O16, 2),FALSE)),"",_xlfn.REGEXEXTRACT(CELL("address",O16), "\$([A-Z]+)\$[0-9]+"))),_xlfn.REGEXEXTRACT(CELL("address",O16), "\$([A-Z]+)\$[0-9]+"))</f>
        <v/>
      </c>
      <c r="P16" s="7" t="str" cm="1">
        <f t="array" aca="1" ref="P16" ca="1">IFERROR(IF(OR('Raw Data'!P16="",LEN(TRIM('Raw Data'!P16))=0),"",IF(AND(ISNUMBER('Raw Data'!P16), IFERROR('Raw Data'!P16 = ROUND('Raw Data'!P16, 2),FALSE)),"",_xlfn.REGEXEXTRACT(CELL("address",P16), "\$([A-Z]+)\$[0-9]+"))),_xlfn.REGEXEXTRACT(CELL("address",P16), "\$([A-Z]+)\$[0-9]+"))</f>
        <v/>
      </c>
      <c r="Q16" s="7" t="str" cm="1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7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7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7" t="str" cm="1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7" t="str" cm="1">
        <f t="array" aca="1" ref="U16" ca="1">IFERROR(IF(OR('Raw Data'!U16="",LEN(TRIM('Raw Data'!U16))=0),"",IF(AND(ISNUMBER('Raw Data'!U16), IFERROR('Raw Data'!U16 = ROUND('Raw Data'!U16, 2),FALSE)),"",_xlfn.REGEXEXTRACT(CELL("address",U16), "\$([A-Z]+)\$[0-9]+"))),_xlfn.REGEXEXTRACT(CELL("address",U16), "\$([A-Z]+)\$[0-9]+"))</f>
        <v/>
      </c>
      <c r="V16" s="7" t="str" cm="1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7" t="str" cm="1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7" t="str" cm="1">
        <f t="array" aca="1" ref="X16" ca="1">IFERROR(IF(OR('Raw Data'!X16="",LEN(TRIM('Raw Data'!X16))=0),"",IF(AND(ISNUMBER('Raw Data'!X16), IFERROR('Raw Data'!X16 = ROUND('Raw Data'!X16, 2),FALSE)),"",_xlfn.REGEXEXTRACT(CELL("address",X16), "\$([A-Z]+)\$[0-9]+"))),_xlfn.REGEXEXTRACT(CELL("address",X16), "\$([A-Z]+)\$[0-9]+"))</f>
        <v/>
      </c>
      <c r="Y16" s="7" t="str" cm="1">
        <f t="array" aca="1" ref="Y16" ca="1">IFERROR(IF(OR('Raw Data'!Y16="",LEN(TRIM('Raw Data'!Y16))=0),"",IF(AND(ISNUMBER('Raw Data'!Y16), IFERROR('Raw Data'!Y16 = ROUND('Raw Data'!Y16, 2),FALSE)),"",_xlfn.REGEXEXTRACT(CELL("address",Y16), "\$([A-Z]+)\$[0-9]+"))),_xlfn.REGEXEXTRACT(CELL("address",Y16), "\$([A-Z]+)\$[0-9]+"))</f>
        <v/>
      </c>
      <c r="Z16" s="7" t="str" cm="1">
        <f t="array" aca="1" ref="Z16" ca="1">IFERROR(IF(OR('Raw Data'!Z16="",LEN(TRIM('Raw Data'!Z16))=0),"",IF(AND(ISNUMBER('Raw Data'!Z16), IFERROR('Raw Data'!Z16 = ROUND('Raw Data'!Z16, 2),FALSE)),"",_xlfn.REGEXEXTRACT(CELL("address",Z16), "\$([A-Z]+)\$[0-9]+"))),_xlfn.REGEXEXTRACT(CELL("address",Z16), "\$([A-Z]+)\$[0-9]+"))</f>
        <v/>
      </c>
      <c r="AA16" s="7" t="str" cm="1">
        <f t="array" aca="1" ref="AA16" ca="1">IFERROR(IF(OR('Raw Data'!AA16="",LEN(TRIM('Raw Data'!AA16))=0),"",IF(AND(ISNUMBER('Raw Data'!AA16), IFERROR('Raw Data'!AA16 = ROUND('Raw Data'!AA16, 2),FALSE)),"",_xlfn.REGEXEXTRACT(CELL("address",AA16), "\$([A-Z]+)\$[0-9]+"))),_xlfn.REGEXEXTRACT(CELL("address",AA16), "\$([A-Z]+)\$[0-9]+"))</f>
        <v/>
      </c>
      <c r="AB16" s="7" t="str" cm="1">
        <f t="array" aca="1" ref="AB16" ca="1">IFERROR(IF(OR('Raw Data'!AB16="",LEN(TRIM('Raw Data'!AB16))=0),"",IF(AND(ISNUMBER('Raw Data'!AB16), IFERROR('Raw Data'!AB16 = ROUND('Raw Data'!AB16, 2),FALSE)),"",_xlfn.REGEXEXTRACT(CELL("address",AB16), "\$([A-Z]+)\$[0-9]+"))),_xlfn.REGEXEXTRACT(CELL("address",AB16), "\$([A-Z]+)\$[0-9]+"))</f>
        <v/>
      </c>
    </row>
    <row r="17" spans="2:28" x14ac:dyDescent="0.25">
      <c r="B17" s="7" t="str" cm="1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20,LEN('Raw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Data'!D17))=0),"",IF(AND(ISNUMBER('Raw Data'!D17),'Raw Data'!D17&gt;=Configuration!$D$2),"",_xlfn.REGEXEXTRACT(CELL("address",'Raw Data'!D17),"\$([A-Z]+)\$[0-9]+"))),_xlfn.REGEXEXTRACT(CELL("address",D17), "\$([A-Z]+)\$[0-9]+"))</f>
        <v/>
      </c>
      <c r="E17" s="7" t="str" cm="1">
        <f t="array" aca="1" ref="E17" ca="1">IFERROR(IF(OR('Raw Data'!E17="",LEN(TRIM('Raw Data'!E17))=0),"",IF(AND(ISNUMBER('Raw Data'!E17), IFERROR('Raw Data'!E17 = ROUND('Raw Data'!E17, 2),FALSE)),"",_xlfn.REGEXEXTRACT(CELL("address",E17), "\$([A-Z]+)\$[0-9]+"))),_xlfn.REGEXEXTRACT(CELL("address",E17), "\$([A-Z]+)\$[0-9]+"))</f>
        <v/>
      </c>
      <c r="F17" s="7" t="str" cm="1">
        <f t="array" aca="1" ref="F17" ca="1">IFERROR(IF(OR('Raw Data'!F17="",LEN(TRIM('Raw Data'!F17))=0),"",IF(AND(ISNUMBER('Raw Data'!F17), IFERROR('Raw Data'!F17 = ROUND('Raw Data'!F17, 2),FALSE)),"",_xlfn.REGEXEXTRACT(CELL("address",F17), "\$([A-Z]+)\$[0-9]+"))),_xlfn.REGEXEXTRACT(CELL("address",F17), "\$([A-Z]+)\$[0-9]+"))</f>
        <v/>
      </c>
      <c r="G17" s="7" t="str" cm="1">
        <f t="array" aca="1" ref="G17" ca="1">IFERROR(IF(OR('Raw Data'!G17="",LEN(TRIM('Raw Data'!G17))=0),"",IF(AND(ISNUMBER('Raw Data'!G17), IFERROR('Raw Data'!G17 = ROUND('Raw Data'!G17, 2),FALSE)),"",_xlfn.REGEXEXTRACT(CELL("address",G17), "\$([A-Z]+)\$[0-9]+"))),_xlfn.REGEXEXTRACT(CELL("address",G17), "\$([A-Z]+)\$[0-9]+"))</f>
        <v/>
      </c>
      <c r="H17" s="7" t="str" cm="1">
        <f t="array" aca="1" ref="H17" ca="1">IFERROR(IF(OR('Raw Data'!H17="",LEN(TRIM('Raw Data'!H17))=0),"",IF(AND(ISNUMBER('Raw Data'!H17), IFERROR('Raw Data'!H17 = ROUND('Raw Data'!H17, 2),FALSE)),"",_xlfn.REGEXEXTRACT(CELL("address",H17), "\$([A-Z]+)\$[0-9]+"))),_xlfn.REGEXEXTRACT(CELL("address",H17), "\$([A-Z]+)\$[0-9]+"))</f>
        <v/>
      </c>
      <c r="I17" s="7" t="str" cm="1">
        <f t="array" aca="1" ref="I17" ca="1">IFERROR(IF(OR('Raw Data'!I17="",LEN(TRIM('Raw Data'!I17))=0),"",IF(AND(ISNUMBER('Raw Data'!I17), IFERROR('Raw Data'!I17 = ROUND('Raw Data'!I17, 2),FALSE)),"",_xlfn.REGEXEXTRACT(CELL("address",I17), "\$([A-Z]+)\$[0-9]+"))),_xlfn.REGEXEXTRACT(CELL("address",I17), "\$([A-Z]+)\$[0-9]+"))</f>
        <v/>
      </c>
      <c r="J17" s="7" t="str" cm="1">
        <f t="array" aca="1" ref="J17" ca="1">IFERROR(IF(OR('Raw Data'!J17="",LEN(TRIM('Raw Data'!J17))=0),"",IF(AND(ISNUMBER('Raw Data'!J17), IFERROR('Raw Data'!J17 = ROUND('Raw Data'!J17, 2),FALSE)),"",_xlfn.REGEXEXTRACT(CELL("address",J17), "\$([A-Z]+)\$[0-9]+"))),_xlfn.REGEXEXTRACT(CELL("address",J17), "\$([A-Z]+)\$[0-9]+"))</f>
        <v/>
      </c>
      <c r="K17" s="7" t="str" cm="1">
        <f t="array" aca="1" ref="K17" ca="1">IFERROR(IF(OR('Raw Data'!K17="",LEN(TRIM('Raw Data'!K17))=0),"",IF(AND(ISNUMBER('Raw Data'!K17), IFERROR('Raw Data'!K17 = ROUND('Raw Data'!K17, 2),FALSE)),"",_xlfn.REGEXEXTRACT(CELL("address",K17), "\$([A-Z]+)\$[0-9]+"))),_xlfn.REGEXEXTRACT(CELL("address",K17), "\$([A-Z]+)\$[0-9]+"))</f>
        <v/>
      </c>
      <c r="L17" s="7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7" t="str" cm="1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7" t="str" cm="1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  <c r="O17" s="7" t="str" cm="1">
        <f t="array" aca="1" ref="O17" ca="1">IFERROR(IF(OR('Raw Data'!O17="",LEN(TRIM('Raw Data'!O17))=0),"",IF(AND(ISNUMBER('Raw Data'!O17), IFERROR('Raw Data'!O17 = ROUND('Raw Data'!O17, 2),FALSE)),"",_xlfn.REGEXEXTRACT(CELL("address",O17), "\$([A-Z]+)\$[0-9]+"))),_xlfn.REGEXEXTRACT(CELL("address",O17), "\$([A-Z]+)\$[0-9]+"))</f>
        <v/>
      </c>
      <c r="P17" s="7" t="str" cm="1">
        <f t="array" aca="1" ref="P17" ca="1">IFERROR(IF(OR('Raw Data'!P17="",LEN(TRIM('Raw Data'!P17))=0),"",IF(AND(ISNUMBER('Raw Data'!P17), IFERROR('Raw Data'!P17 = ROUND('Raw Data'!P17, 2),FALSE)),"",_xlfn.REGEXEXTRACT(CELL("address",P17), "\$([A-Z]+)\$[0-9]+"))),_xlfn.REGEXEXTRACT(CELL("address",P17), "\$([A-Z]+)\$[0-9]+"))</f>
        <v/>
      </c>
      <c r="Q17" s="7" t="str" cm="1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7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7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7" t="str" cm="1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7" t="str" cm="1">
        <f t="array" aca="1" ref="U17" ca="1">IFERROR(IF(OR('Raw Data'!U17="",LEN(TRIM('Raw Data'!U17))=0),"",IF(AND(ISNUMBER('Raw Data'!U17), IFERROR('Raw Data'!U17 = ROUND('Raw Data'!U17, 2),FALSE)),"",_xlfn.REGEXEXTRACT(CELL("address",U17), "\$([A-Z]+)\$[0-9]+"))),_xlfn.REGEXEXTRACT(CELL("address",U17), "\$([A-Z]+)\$[0-9]+"))</f>
        <v/>
      </c>
      <c r="V17" s="7" t="str" cm="1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7" t="str" cm="1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7" t="str" cm="1">
        <f t="array" aca="1" ref="X17" ca="1">IFERROR(IF(OR('Raw Data'!X17="",LEN(TRIM('Raw Data'!X17))=0),"",IF(AND(ISNUMBER('Raw Data'!X17), IFERROR('Raw Data'!X17 = ROUND('Raw Data'!X17, 2),FALSE)),"",_xlfn.REGEXEXTRACT(CELL("address",X17), "\$([A-Z]+)\$[0-9]+"))),_xlfn.REGEXEXTRACT(CELL("address",X17), "\$([A-Z]+)\$[0-9]+"))</f>
        <v/>
      </c>
      <c r="Y17" s="7" t="str" cm="1">
        <f t="array" aca="1" ref="Y17" ca="1">IFERROR(IF(OR('Raw Data'!Y17="",LEN(TRIM('Raw Data'!Y17))=0),"",IF(AND(ISNUMBER('Raw Data'!Y17), IFERROR('Raw Data'!Y17 = ROUND('Raw Data'!Y17, 2),FALSE)),"",_xlfn.REGEXEXTRACT(CELL("address",Y17), "\$([A-Z]+)\$[0-9]+"))),_xlfn.REGEXEXTRACT(CELL("address",Y17), "\$([A-Z]+)\$[0-9]+"))</f>
        <v/>
      </c>
      <c r="Z17" s="7" t="str" cm="1">
        <f t="array" aca="1" ref="Z17" ca="1">IFERROR(IF(OR('Raw Data'!Z17="",LEN(TRIM('Raw Data'!Z17))=0),"",IF(AND(ISNUMBER('Raw Data'!Z17), IFERROR('Raw Data'!Z17 = ROUND('Raw Data'!Z17, 2),FALSE)),"",_xlfn.REGEXEXTRACT(CELL("address",Z17), "\$([A-Z]+)\$[0-9]+"))),_xlfn.REGEXEXTRACT(CELL("address",Z17), "\$([A-Z]+)\$[0-9]+"))</f>
        <v/>
      </c>
      <c r="AA17" s="7" t="str" cm="1">
        <f t="array" aca="1" ref="AA17" ca="1">IFERROR(IF(OR('Raw Data'!AA17="",LEN(TRIM('Raw Data'!AA17))=0),"",IF(AND(ISNUMBER('Raw Data'!AA17), IFERROR('Raw Data'!AA17 = ROUND('Raw Data'!AA17, 2),FALSE)),"",_xlfn.REGEXEXTRACT(CELL("address",AA17), "\$([A-Z]+)\$[0-9]+"))),_xlfn.REGEXEXTRACT(CELL("address",AA17), "\$([A-Z]+)\$[0-9]+"))</f>
        <v/>
      </c>
      <c r="AB17" s="7" t="str" cm="1">
        <f t="array" aca="1" ref="AB17" ca="1">IFERROR(IF(OR('Raw Data'!AB17="",LEN(TRIM('Raw Data'!AB17))=0),"",IF(AND(ISNUMBER('Raw Data'!AB17), IFERROR('Raw Data'!AB17 = ROUND('Raw Data'!AB17, 2),FALSE)),"",_xlfn.REGEXEXTRACT(CELL("address",AB17), "\$([A-Z]+)\$[0-9]+"))),_xlfn.REGEXEXTRACT(CELL("address",AB17), "\$([A-Z]+)\$[0-9]+"))</f>
        <v/>
      </c>
    </row>
    <row r="18" spans="2:28" x14ac:dyDescent="0.25">
      <c r="B18" s="7" t="str" cm="1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20,LEN('Raw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Data'!D18))=0),"",IF(AND(ISNUMBER('Raw Data'!D18),'Raw Data'!D18&gt;=Configuration!$D$2),"",_xlfn.REGEXEXTRACT(CELL("address",'Raw Data'!D18),"\$([A-Z]+)\$[0-9]+"))),_xlfn.REGEXEXTRACT(CELL("address",D18), "\$([A-Z]+)\$[0-9]+"))</f>
        <v/>
      </c>
      <c r="E18" s="7" t="str" cm="1">
        <f t="array" aca="1" ref="E18" ca="1">IFERROR(IF(OR('Raw Data'!E18="",LEN(TRIM('Raw Data'!E18))=0),"",IF(AND(ISNUMBER('Raw Data'!E18), IFERROR('Raw Data'!E18 = ROUND('Raw Data'!E18, 2),FALSE)),"",_xlfn.REGEXEXTRACT(CELL("address",E18), "\$([A-Z]+)\$[0-9]+"))),_xlfn.REGEXEXTRACT(CELL("address",E18), "\$([A-Z]+)\$[0-9]+"))</f>
        <v/>
      </c>
      <c r="F18" s="7" t="str" cm="1">
        <f t="array" aca="1" ref="F18" ca="1">IFERROR(IF(OR('Raw Data'!F18="",LEN(TRIM('Raw Data'!F18))=0),"",IF(AND(ISNUMBER('Raw Data'!F18), IFERROR('Raw Data'!F18 = ROUND('Raw Data'!F18, 2),FALSE)),"",_xlfn.REGEXEXTRACT(CELL("address",F18), "\$([A-Z]+)\$[0-9]+"))),_xlfn.REGEXEXTRACT(CELL("address",F18), "\$([A-Z]+)\$[0-9]+"))</f>
        <v/>
      </c>
      <c r="G18" s="7" t="str" cm="1">
        <f t="array" aca="1" ref="G18" ca="1">IFERROR(IF(OR('Raw Data'!G18="",LEN(TRIM('Raw Data'!G18))=0),"",IF(AND(ISNUMBER('Raw Data'!G18), IFERROR('Raw Data'!G18 = ROUND('Raw Data'!G18, 2),FALSE)),"",_xlfn.REGEXEXTRACT(CELL("address",G18), "\$([A-Z]+)\$[0-9]+"))),_xlfn.REGEXEXTRACT(CELL("address",G18), "\$([A-Z]+)\$[0-9]+"))</f>
        <v/>
      </c>
      <c r="H18" s="7" t="str" cm="1">
        <f t="array" aca="1" ref="H18" ca="1">IFERROR(IF(OR('Raw Data'!H18="",LEN(TRIM('Raw Data'!H18))=0),"",IF(AND(ISNUMBER('Raw Data'!H18), IFERROR('Raw Data'!H18 = ROUND('Raw Data'!H18, 2),FALSE)),"",_xlfn.REGEXEXTRACT(CELL("address",H18), "\$([A-Z]+)\$[0-9]+"))),_xlfn.REGEXEXTRACT(CELL("address",H18), "\$([A-Z]+)\$[0-9]+"))</f>
        <v/>
      </c>
      <c r="I18" s="7" t="str" cm="1">
        <f t="array" aca="1" ref="I18" ca="1">IFERROR(IF(OR('Raw Data'!I18="",LEN(TRIM('Raw Data'!I18))=0),"",IF(AND(ISNUMBER('Raw Data'!I18), IFERROR('Raw Data'!I18 = ROUND('Raw Data'!I18, 2),FALSE)),"",_xlfn.REGEXEXTRACT(CELL("address",I18), "\$([A-Z]+)\$[0-9]+"))),_xlfn.REGEXEXTRACT(CELL("address",I18), "\$([A-Z]+)\$[0-9]+"))</f>
        <v/>
      </c>
      <c r="J18" s="7" t="str" cm="1">
        <f t="array" aca="1" ref="J18" ca="1">IFERROR(IF(OR('Raw Data'!J18="",LEN(TRIM('Raw Data'!J18))=0),"",IF(AND(ISNUMBER('Raw Data'!J18), IFERROR('Raw Data'!J18 = ROUND('Raw Data'!J18, 2),FALSE)),"",_xlfn.REGEXEXTRACT(CELL("address",J18), "\$([A-Z]+)\$[0-9]+"))),_xlfn.REGEXEXTRACT(CELL("address",J18), "\$([A-Z]+)\$[0-9]+"))</f>
        <v/>
      </c>
      <c r="K18" s="7" t="str" cm="1">
        <f t="array" aca="1" ref="K18" ca="1">IFERROR(IF(OR('Raw Data'!K18="",LEN(TRIM('Raw Data'!K18))=0),"",IF(AND(ISNUMBER('Raw Data'!K18), IFERROR('Raw Data'!K18 = ROUND('Raw Data'!K18, 2),FALSE)),"",_xlfn.REGEXEXTRACT(CELL("address",K18), "\$([A-Z]+)\$[0-9]+"))),_xlfn.REGEXEXTRACT(CELL("address",K18), "\$([A-Z]+)\$[0-9]+"))</f>
        <v/>
      </c>
      <c r="L18" s="7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7" t="str" cm="1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7" t="str" cm="1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  <c r="O18" s="7" t="str" cm="1">
        <f t="array" aca="1" ref="O18" ca="1">IFERROR(IF(OR('Raw Data'!O18="",LEN(TRIM('Raw Data'!O18))=0),"",IF(AND(ISNUMBER('Raw Data'!O18), IFERROR('Raw Data'!O18 = ROUND('Raw Data'!O18, 2),FALSE)),"",_xlfn.REGEXEXTRACT(CELL("address",O18), "\$([A-Z]+)\$[0-9]+"))),_xlfn.REGEXEXTRACT(CELL("address",O18), "\$([A-Z]+)\$[0-9]+"))</f>
        <v/>
      </c>
      <c r="P18" s="7" t="str" cm="1">
        <f t="array" aca="1" ref="P18" ca="1">IFERROR(IF(OR('Raw Data'!P18="",LEN(TRIM('Raw Data'!P18))=0),"",IF(AND(ISNUMBER('Raw Data'!P18), IFERROR('Raw Data'!P18 = ROUND('Raw Data'!P18, 2),FALSE)),"",_xlfn.REGEXEXTRACT(CELL("address",P18), "\$([A-Z]+)\$[0-9]+"))),_xlfn.REGEXEXTRACT(CELL("address",P18), "\$([A-Z]+)\$[0-9]+"))</f>
        <v/>
      </c>
      <c r="Q18" s="7" t="str" cm="1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7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7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7" t="str" cm="1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7" t="str" cm="1">
        <f t="array" aca="1" ref="U18" ca="1">IFERROR(IF(OR('Raw Data'!U18="",LEN(TRIM('Raw Data'!U18))=0),"",IF(AND(ISNUMBER('Raw Data'!U18), IFERROR('Raw Data'!U18 = ROUND('Raw Data'!U18, 2),FALSE)),"",_xlfn.REGEXEXTRACT(CELL("address",U18), "\$([A-Z]+)\$[0-9]+"))),_xlfn.REGEXEXTRACT(CELL("address",U18), "\$([A-Z]+)\$[0-9]+"))</f>
        <v/>
      </c>
      <c r="V18" s="7" t="str" cm="1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7" t="str" cm="1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7" t="str" cm="1">
        <f t="array" aca="1" ref="X18" ca="1">IFERROR(IF(OR('Raw Data'!X18="",LEN(TRIM('Raw Data'!X18))=0),"",IF(AND(ISNUMBER('Raw Data'!X18), IFERROR('Raw Data'!X18 = ROUND('Raw Data'!X18, 2),FALSE)),"",_xlfn.REGEXEXTRACT(CELL("address",X18), "\$([A-Z]+)\$[0-9]+"))),_xlfn.REGEXEXTRACT(CELL("address",X18), "\$([A-Z]+)\$[0-9]+"))</f>
        <v/>
      </c>
      <c r="Y18" s="7" t="str" cm="1">
        <f t="array" aca="1" ref="Y18" ca="1">IFERROR(IF(OR('Raw Data'!Y18="",LEN(TRIM('Raw Data'!Y18))=0),"",IF(AND(ISNUMBER('Raw Data'!Y18), IFERROR('Raw Data'!Y18 = ROUND('Raw Data'!Y18, 2),FALSE)),"",_xlfn.REGEXEXTRACT(CELL("address",Y18), "\$([A-Z]+)\$[0-9]+"))),_xlfn.REGEXEXTRACT(CELL("address",Y18), "\$([A-Z]+)\$[0-9]+"))</f>
        <v/>
      </c>
      <c r="Z18" s="7" t="str" cm="1">
        <f t="array" aca="1" ref="Z18" ca="1">IFERROR(IF(OR('Raw Data'!Z18="",LEN(TRIM('Raw Data'!Z18))=0),"",IF(AND(ISNUMBER('Raw Data'!Z18), IFERROR('Raw Data'!Z18 = ROUND('Raw Data'!Z18, 2),FALSE)),"",_xlfn.REGEXEXTRACT(CELL("address",Z18), "\$([A-Z]+)\$[0-9]+"))),_xlfn.REGEXEXTRACT(CELL("address",Z18), "\$([A-Z]+)\$[0-9]+"))</f>
        <v/>
      </c>
      <c r="AA18" s="7" t="str" cm="1">
        <f t="array" aca="1" ref="AA18" ca="1">IFERROR(IF(OR('Raw Data'!AA18="",LEN(TRIM('Raw Data'!AA18))=0),"",IF(AND(ISNUMBER('Raw Data'!AA18), IFERROR('Raw Data'!AA18 = ROUND('Raw Data'!AA18, 2),FALSE)),"",_xlfn.REGEXEXTRACT(CELL("address",AA18), "\$([A-Z]+)\$[0-9]+"))),_xlfn.REGEXEXTRACT(CELL("address",AA18), "\$([A-Z]+)\$[0-9]+"))</f>
        <v/>
      </c>
      <c r="AB18" s="7" t="str" cm="1">
        <f t="array" aca="1" ref="AB18" ca="1">IFERROR(IF(OR('Raw Data'!AB18="",LEN(TRIM('Raw Data'!AB18))=0),"",IF(AND(ISNUMBER('Raw Data'!AB18), IFERROR('Raw Data'!AB18 = ROUND('Raw Data'!AB18, 2),FALSE)),"",_xlfn.REGEXEXTRACT(CELL("address",AB18), "\$([A-Z]+)\$[0-9]+"))),_xlfn.REGEXEXTRACT(CELL("address",AB18), "\$([A-Z]+)\$[0-9]+"))</f>
        <v/>
      </c>
    </row>
    <row r="19" spans="2:28" x14ac:dyDescent="0.25">
      <c r="B19" s="7" t="str" cm="1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20,LEN('Raw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Data'!D19))=0),"",IF(AND(ISNUMBER('Raw Data'!D19),'Raw Data'!D19&gt;=Configuration!$D$2),"",_xlfn.REGEXEXTRACT(CELL("address",'Raw Data'!D19),"\$([A-Z]+)\$[0-9]+"))),_xlfn.REGEXEXTRACT(CELL("address",D19), "\$([A-Z]+)\$[0-9]+"))</f>
        <v/>
      </c>
      <c r="E19" s="7" t="str" cm="1">
        <f t="array" aca="1" ref="E19" ca="1">IFERROR(IF(OR('Raw Data'!E19="",LEN(TRIM('Raw Data'!E19))=0),"",IF(AND(ISNUMBER('Raw Data'!E19), IFERROR('Raw Data'!E19 = ROUND('Raw Data'!E19, 2),FALSE)),"",_xlfn.REGEXEXTRACT(CELL("address",E19), "\$([A-Z]+)\$[0-9]+"))),_xlfn.REGEXEXTRACT(CELL("address",E19), "\$([A-Z]+)\$[0-9]+"))</f>
        <v/>
      </c>
      <c r="F19" s="7" t="str" cm="1">
        <f t="array" aca="1" ref="F19" ca="1">IFERROR(IF(OR('Raw Data'!F19="",LEN(TRIM('Raw Data'!F19))=0),"",IF(AND(ISNUMBER('Raw Data'!F19), IFERROR('Raw Data'!F19 = ROUND('Raw Data'!F19, 2),FALSE)),"",_xlfn.REGEXEXTRACT(CELL("address",F19), "\$([A-Z]+)\$[0-9]+"))),_xlfn.REGEXEXTRACT(CELL("address",F19), "\$([A-Z]+)\$[0-9]+"))</f>
        <v/>
      </c>
      <c r="G19" s="7" t="str" cm="1">
        <f t="array" aca="1" ref="G19" ca="1">IFERROR(IF(OR('Raw Data'!G19="",LEN(TRIM('Raw Data'!G19))=0),"",IF(AND(ISNUMBER('Raw Data'!G19), IFERROR('Raw Data'!G19 = ROUND('Raw Data'!G19, 2),FALSE)),"",_xlfn.REGEXEXTRACT(CELL("address",G19), "\$([A-Z]+)\$[0-9]+"))),_xlfn.REGEXEXTRACT(CELL("address",G19), "\$([A-Z]+)\$[0-9]+"))</f>
        <v/>
      </c>
      <c r="H19" s="7" t="str" cm="1">
        <f t="array" aca="1" ref="H19" ca="1">IFERROR(IF(OR('Raw Data'!H19="",LEN(TRIM('Raw Data'!H19))=0),"",IF(AND(ISNUMBER('Raw Data'!H19), IFERROR('Raw Data'!H19 = ROUND('Raw Data'!H19, 2),FALSE)),"",_xlfn.REGEXEXTRACT(CELL("address",H19), "\$([A-Z]+)\$[0-9]+"))),_xlfn.REGEXEXTRACT(CELL("address",H19), "\$([A-Z]+)\$[0-9]+"))</f>
        <v/>
      </c>
      <c r="I19" s="7" t="str" cm="1">
        <f t="array" aca="1" ref="I19" ca="1">IFERROR(IF(OR('Raw Data'!I19="",LEN(TRIM('Raw Data'!I19))=0),"",IF(AND(ISNUMBER('Raw Data'!I19), IFERROR('Raw Data'!I19 = ROUND('Raw Data'!I19, 2),FALSE)),"",_xlfn.REGEXEXTRACT(CELL("address",I19), "\$([A-Z]+)\$[0-9]+"))),_xlfn.REGEXEXTRACT(CELL("address",I19), "\$([A-Z]+)\$[0-9]+"))</f>
        <v/>
      </c>
      <c r="J19" s="7" t="str" cm="1">
        <f t="array" aca="1" ref="J19" ca="1">IFERROR(IF(OR('Raw Data'!J19="",LEN(TRIM('Raw Data'!J19))=0),"",IF(AND(ISNUMBER('Raw Data'!J19), IFERROR('Raw Data'!J19 = ROUND('Raw Data'!J19, 2),FALSE)),"",_xlfn.REGEXEXTRACT(CELL("address",J19), "\$([A-Z]+)\$[0-9]+"))),_xlfn.REGEXEXTRACT(CELL("address",J19), "\$([A-Z]+)\$[0-9]+"))</f>
        <v/>
      </c>
      <c r="K19" s="7" t="str" cm="1">
        <f t="array" aca="1" ref="K19" ca="1">IFERROR(IF(OR('Raw Data'!K19="",LEN(TRIM('Raw Data'!K19))=0),"",IF(AND(ISNUMBER('Raw Data'!K19), IFERROR('Raw Data'!K19 = ROUND('Raw Data'!K19, 2),FALSE)),"",_xlfn.REGEXEXTRACT(CELL("address",K19), "\$([A-Z]+)\$[0-9]+"))),_xlfn.REGEXEXTRACT(CELL("address",K19), "\$([A-Z]+)\$[0-9]+"))</f>
        <v/>
      </c>
      <c r="L19" s="7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7" t="str" cm="1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7" t="str" cm="1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  <c r="O19" s="7" t="str" cm="1">
        <f t="array" aca="1" ref="O19" ca="1">IFERROR(IF(OR('Raw Data'!O19="",LEN(TRIM('Raw Data'!O19))=0),"",IF(AND(ISNUMBER('Raw Data'!O19), IFERROR('Raw Data'!O19 = ROUND('Raw Data'!O19, 2),FALSE)),"",_xlfn.REGEXEXTRACT(CELL("address",O19), "\$([A-Z]+)\$[0-9]+"))),_xlfn.REGEXEXTRACT(CELL("address",O19), "\$([A-Z]+)\$[0-9]+"))</f>
        <v/>
      </c>
      <c r="P19" s="7" t="str" cm="1">
        <f t="array" aca="1" ref="P19" ca="1">IFERROR(IF(OR('Raw Data'!P19="",LEN(TRIM('Raw Data'!P19))=0),"",IF(AND(ISNUMBER('Raw Data'!P19), IFERROR('Raw Data'!P19 = ROUND('Raw Data'!P19, 2),FALSE)),"",_xlfn.REGEXEXTRACT(CELL("address",P19), "\$([A-Z]+)\$[0-9]+"))),_xlfn.REGEXEXTRACT(CELL("address",P19), "\$([A-Z]+)\$[0-9]+"))</f>
        <v/>
      </c>
      <c r="Q19" s="7" t="str" cm="1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7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7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7" t="str" cm="1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7" t="str" cm="1">
        <f t="array" aca="1" ref="U19" ca="1">IFERROR(IF(OR('Raw Data'!U19="",LEN(TRIM('Raw Data'!U19))=0),"",IF(AND(ISNUMBER('Raw Data'!U19), IFERROR('Raw Data'!U19 = ROUND('Raw Data'!U19, 2),FALSE)),"",_xlfn.REGEXEXTRACT(CELL("address",U19), "\$([A-Z]+)\$[0-9]+"))),_xlfn.REGEXEXTRACT(CELL("address",U19), "\$([A-Z]+)\$[0-9]+"))</f>
        <v/>
      </c>
      <c r="V19" s="7" t="str" cm="1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7" t="str" cm="1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7" t="str" cm="1">
        <f t="array" aca="1" ref="X19" ca="1">IFERROR(IF(OR('Raw Data'!X19="",LEN(TRIM('Raw Data'!X19))=0),"",IF(AND(ISNUMBER('Raw Data'!X19), IFERROR('Raw Data'!X19 = ROUND('Raw Data'!X19, 2),FALSE)),"",_xlfn.REGEXEXTRACT(CELL("address",X19), "\$([A-Z]+)\$[0-9]+"))),_xlfn.REGEXEXTRACT(CELL("address",X19), "\$([A-Z]+)\$[0-9]+"))</f>
        <v/>
      </c>
      <c r="Y19" s="7" t="str" cm="1">
        <f t="array" aca="1" ref="Y19" ca="1">IFERROR(IF(OR('Raw Data'!Y19="",LEN(TRIM('Raw Data'!Y19))=0),"",IF(AND(ISNUMBER('Raw Data'!Y19), IFERROR('Raw Data'!Y19 = ROUND('Raw Data'!Y19, 2),FALSE)),"",_xlfn.REGEXEXTRACT(CELL("address",Y19), "\$([A-Z]+)\$[0-9]+"))),_xlfn.REGEXEXTRACT(CELL("address",Y19), "\$([A-Z]+)\$[0-9]+"))</f>
        <v/>
      </c>
      <c r="Z19" s="7" t="str" cm="1">
        <f t="array" aca="1" ref="Z19" ca="1">IFERROR(IF(OR('Raw Data'!Z19="",LEN(TRIM('Raw Data'!Z19))=0),"",IF(AND(ISNUMBER('Raw Data'!Z19), IFERROR('Raw Data'!Z19 = ROUND('Raw Data'!Z19, 2),FALSE)),"",_xlfn.REGEXEXTRACT(CELL("address",Z19), "\$([A-Z]+)\$[0-9]+"))),_xlfn.REGEXEXTRACT(CELL("address",Z19), "\$([A-Z]+)\$[0-9]+"))</f>
        <v/>
      </c>
      <c r="AA19" s="7" t="str" cm="1">
        <f t="array" aca="1" ref="AA19" ca="1">IFERROR(IF(OR('Raw Data'!AA19="",LEN(TRIM('Raw Data'!AA19))=0),"",IF(AND(ISNUMBER('Raw Data'!AA19), IFERROR('Raw Data'!AA19 = ROUND('Raw Data'!AA19, 2),FALSE)),"",_xlfn.REGEXEXTRACT(CELL("address",AA19), "\$([A-Z]+)\$[0-9]+"))),_xlfn.REGEXEXTRACT(CELL("address",AA19), "\$([A-Z]+)\$[0-9]+"))</f>
        <v/>
      </c>
      <c r="AB19" s="7" t="str" cm="1">
        <f t="array" aca="1" ref="AB19" ca="1">IFERROR(IF(OR('Raw Data'!AB19="",LEN(TRIM('Raw Data'!AB19))=0),"",IF(AND(ISNUMBER('Raw Data'!AB19), IFERROR('Raw Data'!AB19 = ROUND('Raw Data'!AB19, 2),FALSE)),"",_xlfn.REGEXEXTRACT(CELL("address",AB19), "\$([A-Z]+)\$[0-9]+"))),_xlfn.REGEXEXTRACT(CELL("address",AB19), "\$([A-Z]+)\$[0-9]+"))</f>
        <v/>
      </c>
    </row>
    <row r="20" spans="2:28" x14ac:dyDescent="0.25">
      <c r="B20" s="7" t="str" cm="1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20,LEN('Raw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Data'!D20))=0),"",IF(AND(ISNUMBER('Raw Data'!D20),'Raw Data'!D20&gt;=Configuration!$D$2),"",_xlfn.REGEXEXTRACT(CELL("address",'Raw Data'!D20),"\$([A-Z]+)\$[0-9]+"))),_xlfn.REGEXEXTRACT(CELL("address",D20), "\$([A-Z]+)\$[0-9]+"))</f>
        <v/>
      </c>
      <c r="E20" s="7" t="str" cm="1">
        <f t="array" aca="1" ref="E20" ca="1">IFERROR(IF(OR('Raw Data'!E20="",LEN(TRIM('Raw Data'!E20))=0),"",IF(AND(ISNUMBER('Raw Data'!E20), IFERROR('Raw Data'!E20 = ROUND('Raw Data'!E20, 2),FALSE)),"",_xlfn.REGEXEXTRACT(CELL("address",E20), "\$([A-Z]+)\$[0-9]+"))),_xlfn.REGEXEXTRACT(CELL("address",E20), "\$([A-Z]+)\$[0-9]+"))</f>
        <v/>
      </c>
      <c r="F20" s="7" t="str" cm="1">
        <f t="array" aca="1" ref="F20" ca="1">IFERROR(IF(OR('Raw Data'!F20="",LEN(TRIM('Raw Data'!F20))=0),"",IF(AND(ISNUMBER('Raw Data'!F20), IFERROR('Raw Data'!F20 = ROUND('Raw Data'!F20, 2),FALSE)),"",_xlfn.REGEXEXTRACT(CELL("address",F20), "\$([A-Z]+)\$[0-9]+"))),_xlfn.REGEXEXTRACT(CELL("address",F20), "\$([A-Z]+)\$[0-9]+"))</f>
        <v/>
      </c>
      <c r="G20" s="7" t="str" cm="1">
        <f t="array" aca="1" ref="G20" ca="1">IFERROR(IF(OR('Raw Data'!G20="",LEN(TRIM('Raw Data'!G20))=0),"",IF(AND(ISNUMBER('Raw Data'!G20), IFERROR('Raw Data'!G20 = ROUND('Raw Data'!G20, 2),FALSE)),"",_xlfn.REGEXEXTRACT(CELL("address",G20), "\$([A-Z]+)\$[0-9]+"))),_xlfn.REGEXEXTRACT(CELL("address",G20), "\$([A-Z]+)\$[0-9]+"))</f>
        <v/>
      </c>
      <c r="H20" s="7" t="str" cm="1">
        <f t="array" aca="1" ref="H20" ca="1">IFERROR(IF(OR('Raw Data'!H20="",LEN(TRIM('Raw Data'!H20))=0),"",IF(AND(ISNUMBER('Raw Data'!H20), IFERROR('Raw Data'!H20 = ROUND('Raw Data'!H20, 2),FALSE)),"",_xlfn.REGEXEXTRACT(CELL("address",H20), "\$([A-Z]+)\$[0-9]+"))),_xlfn.REGEXEXTRACT(CELL("address",H20), "\$([A-Z]+)\$[0-9]+"))</f>
        <v/>
      </c>
      <c r="I20" s="7" t="str" cm="1">
        <f t="array" aca="1" ref="I20" ca="1">IFERROR(IF(OR('Raw Data'!I20="",LEN(TRIM('Raw Data'!I20))=0),"",IF(AND(ISNUMBER('Raw Data'!I20), IFERROR('Raw Data'!I20 = ROUND('Raw Data'!I20, 2),FALSE)),"",_xlfn.REGEXEXTRACT(CELL("address",I20), "\$([A-Z]+)\$[0-9]+"))),_xlfn.REGEXEXTRACT(CELL("address",I20), "\$([A-Z]+)\$[0-9]+"))</f>
        <v/>
      </c>
      <c r="J20" s="7" t="str" cm="1">
        <f t="array" aca="1" ref="J20" ca="1">IFERROR(IF(OR('Raw Data'!J20="",LEN(TRIM('Raw Data'!J20))=0),"",IF(AND(ISNUMBER('Raw Data'!J20), IFERROR('Raw Data'!J20 = ROUND('Raw Data'!J20, 2),FALSE)),"",_xlfn.REGEXEXTRACT(CELL("address",J20), "\$([A-Z]+)\$[0-9]+"))),_xlfn.REGEXEXTRACT(CELL("address",J20), "\$([A-Z]+)\$[0-9]+"))</f>
        <v/>
      </c>
      <c r="K20" s="7" t="str" cm="1">
        <f t="array" aca="1" ref="K20" ca="1">IFERROR(IF(OR('Raw Data'!K20="",LEN(TRIM('Raw Data'!K20))=0),"",IF(AND(ISNUMBER('Raw Data'!K20), IFERROR('Raw Data'!K20 = ROUND('Raw Data'!K20, 2),FALSE)),"",_xlfn.REGEXEXTRACT(CELL("address",K20), "\$([A-Z]+)\$[0-9]+"))),_xlfn.REGEXEXTRACT(CELL("address",K20), "\$([A-Z]+)\$[0-9]+"))</f>
        <v/>
      </c>
      <c r="L20" s="7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7" t="str" cm="1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7" t="str" cm="1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  <c r="O20" s="7" t="str" cm="1">
        <f t="array" aca="1" ref="O20" ca="1">IFERROR(IF(OR('Raw Data'!O20="",LEN(TRIM('Raw Data'!O20))=0),"",IF(AND(ISNUMBER('Raw Data'!O20), IFERROR('Raw Data'!O20 = ROUND('Raw Data'!O20, 2),FALSE)),"",_xlfn.REGEXEXTRACT(CELL("address",O20), "\$([A-Z]+)\$[0-9]+"))),_xlfn.REGEXEXTRACT(CELL("address",O20), "\$([A-Z]+)\$[0-9]+"))</f>
        <v/>
      </c>
      <c r="P20" s="7" t="str" cm="1">
        <f t="array" aca="1" ref="P20" ca="1">IFERROR(IF(OR('Raw Data'!P20="",LEN(TRIM('Raw Data'!P20))=0),"",IF(AND(ISNUMBER('Raw Data'!P20), IFERROR('Raw Data'!P20 = ROUND('Raw Data'!P20, 2),FALSE)),"",_xlfn.REGEXEXTRACT(CELL("address",P20), "\$([A-Z]+)\$[0-9]+"))),_xlfn.REGEXEXTRACT(CELL("address",P20), "\$([A-Z]+)\$[0-9]+"))</f>
        <v/>
      </c>
      <c r="Q20" s="7" t="str" cm="1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7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7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7" t="str" cm="1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7" t="str" cm="1">
        <f t="array" aca="1" ref="U20" ca="1">IFERROR(IF(OR('Raw Data'!U20="",LEN(TRIM('Raw Data'!U20))=0),"",IF(AND(ISNUMBER('Raw Data'!U20), IFERROR('Raw Data'!U20 = ROUND('Raw Data'!U20, 2),FALSE)),"",_xlfn.REGEXEXTRACT(CELL("address",U20), "\$([A-Z]+)\$[0-9]+"))),_xlfn.REGEXEXTRACT(CELL("address",U20), "\$([A-Z]+)\$[0-9]+"))</f>
        <v/>
      </c>
      <c r="V20" s="7" t="str" cm="1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7" t="str" cm="1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7" t="str" cm="1">
        <f t="array" aca="1" ref="X20" ca="1">IFERROR(IF(OR('Raw Data'!X20="",LEN(TRIM('Raw Data'!X20))=0),"",IF(AND(ISNUMBER('Raw Data'!X20), IFERROR('Raw Data'!X20 = ROUND('Raw Data'!X20, 2),FALSE)),"",_xlfn.REGEXEXTRACT(CELL("address",X20), "\$([A-Z]+)\$[0-9]+"))),_xlfn.REGEXEXTRACT(CELL("address",X20), "\$([A-Z]+)\$[0-9]+"))</f>
        <v/>
      </c>
      <c r="Y20" s="7" t="str" cm="1">
        <f t="array" aca="1" ref="Y20" ca="1">IFERROR(IF(OR('Raw Data'!Y20="",LEN(TRIM('Raw Data'!Y20))=0),"",IF(AND(ISNUMBER('Raw Data'!Y20), IFERROR('Raw Data'!Y20 = ROUND('Raw Data'!Y20, 2),FALSE)),"",_xlfn.REGEXEXTRACT(CELL("address",Y20), "\$([A-Z]+)\$[0-9]+"))),_xlfn.REGEXEXTRACT(CELL("address",Y20), "\$([A-Z]+)\$[0-9]+"))</f>
        <v/>
      </c>
      <c r="Z20" s="7" t="str" cm="1">
        <f t="array" aca="1" ref="Z20" ca="1">IFERROR(IF(OR('Raw Data'!Z20="",LEN(TRIM('Raw Data'!Z20))=0),"",IF(AND(ISNUMBER('Raw Data'!Z20), IFERROR('Raw Data'!Z20 = ROUND('Raw Data'!Z20, 2),FALSE)),"",_xlfn.REGEXEXTRACT(CELL("address",Z20), "\$([A-Z]+)\$[0-9]+"))),_xlfn.REGEXEXTRACT(CELL("address",Z20), "\$([A-Z]+)\$[0-9]+"))</f>
        <v/>
      </c>
      <c r="AA20" s="7" t="str" cm="1">
        <f t="array" aca="1" ref="AA20" ca="1">IFERROR(IF(OR('Raw Data'!AA20="",LEN(TRIM('Raw Data'!AA20))=0),"",IF(AND(ISNUMBER('Raw Data'!AA20), IFERROR('Raw Data'!AA20 = ROUND('Raw Data'!AA20, 2),FALSE)),"",_xlfn.REGEXEXTRACT(CELL("address",AA20), "\$([A-Z]+)\$[0-9]+"))),_xlfn.REGEXEXTRACT(CELL("address",AA20), "\$([A-Z]+)\$[0-9]+"))</f>
        <v/>
      </c>
      <c r="AB20" s="7" t="str" cm="1">
        <f t="array" aca="1" ref="AB20" ca="1">IFERROR(IF(OR('Raw Data'!AB20="",LEN(TRIM('Raw Data'!AB20))=0),"",IF(AND(ISNUMBER('Raw Data'!AB20), IFERROR('Raw Data'!AB20 = ROUND('Raw Data'!AB20, 2),FALSE)),"",_xlfn.REGEXEXTRACT(CELL("address",AB20), "\$([A-Z]+)\$[0-9]+"))),_xlfn.REGEXEXTRACT(CELL("address",AB20), "\$([A-Z]+)\$[0-9]+"))</f>
        <v/>
      </c>
    </row>
    <row r="21" spans="2:28" x14ac:dyDescent="0.25">
      <c r="B21" s="7" t="str" cm="1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20,LEN('Raw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Data'!D21))=0),"",IF(AND(ISNUMBER('Raw Data'!D21),'Raw Data'!D21&gt;=Configuration!$D$2),"",_xlfn.REGEXEXTRACT(CELL("address",'Raw Data'!D21),"\$([A-Z]+)\$[0-9]+"))),_xlfn.REGEXEXTRACT(CELL("address",D21), "\$([A-Z]+)\$[0-9]+"))</f>
        <v/>
      </c>
      <c r="E21" s="7" t="str" cm="1">
        <f t="array" aca="1" ref="E21" ca="1">IFERROR(IF(OR('Raw Data'!E21="",LEN(TRIM('Raw Data'!E21))=0),"",IF(AND(ISNUMBER('Raw Data'!E21), IFERROR('Raw Data'!E21 = ROUND('Raw Data'!E21, 2),FALSE)),"",_xlfn.REGEXEXTRACT(CELL("address",E21), "\$([A-Z]+)\$[0-9]+"))),_xlfn.REGEXEXTRACT(CELL("address",E21), "\$([A-Z]+)\$[0-9]+"))</f>
        <v/>
      </c>
      <c r="F21" s="7" t="str" cm="1">
        <f t="array" aca="1" ref="F21" ca="1">IFERROR(IF(OR('Raw Data'!F21="",LEN(TRIM('Raw Data'!F21))=0),"",IF(AND(ISNUMBER('Raw Data'!F21), IFERROR('Raw Data'!F21 = ROUND('Raw Data'!F21, 2),FALSE)),"",_xlfn.REGEXEXTRACT(CELL("address",F21), "\$([A-Z]+)\$[0-9]+"))),_xlfn.REGEXEXTRACT(CELL("address",F21), "\$([A-Z]+)\$[0-9]+"))</f>
        <v/>
      </c>
      <c r="G21" s="7" t="str" cm="1">
        <f t="array" aca="1" ref="G21" ca="1">IFERROR(IF(OR('Raw Data'!G21="",LEN(TRIM('Raw Data'!G21))=0),"",IF(AND(ISNUMBER('Raw Data'!G21), IFERROR('Raw Data'!G21 = ROUND('Raw Data'!G21, 2),FALSE)),"",_xlfn.REGEXEXTRACT(CELL("address",G21), "\$([A-Z]+)\$[0-9]+"))),_xlfn.REGEXEXTRACT(CELL("address",G21), "\$([A-Z]+)\$[0-9]+"))</f>
        <v/>
      </c>
      <c r="H21" s="7" t="str" cm="1">
        <f t="array" aca="1" ref="H21" ca="1">IFERROR(IF(OR('Raw Data'!H21="",LEN(TRIM('Raw Data'!H21))=0),"",IF(AND(ISNUMBER('Raw Data'!H21), IFERROR('Raw Data'!H21 = ROUND('Raw Data'!H21, 2),FALSE)),"",_xlfn.REGEXEXTRACT(CELL("address",H21), "\$([A-Z]+)\$[0-9]+"))),_xlfn.REGEXEXTRACT(CELL("address",H21), "\$([A-Z]+)\$[0-9]+"))</f>
        <v/>
      </c>
      <c r="I21" s="7" t="str" cm="1">
        <f t="array" aca="1" ref="I21" ca="1">IFERROR(IF(OR('Raw Data'!I21="",LEN(TRIM('Raw Data'!I21))=0),"",IF(AND(ISNUMBER('Raw Data'!I21), IFERROR('Raw Data'!I21 = ROUND('Raw Data'!I21, 2),FALSE)),"",_xlfn.REGEXEXTRACT(CELL("address",I21), "\$([A-Z]+)\$[0-9]+"))),_xlfn.REGEXEXTRACT(CELL("address",I21), "\$([A-Z]+)\$[0-9]+"))</f>
        <v/>
      </c>
      <c r="J21" s="7" t="str" cm="1">
        <f t="array" aca="1" ref="J21" ca="1">IFERROR(IF(OR('Raw Data'!J21="",LEN(TRIM('Raw Data'!J21))=0),"",IF(AND(ISNUMBER('Raw Data'!J21), IFERROR('Raw Data'!J21 = ROUND('Raw Data'!J21, 2),FALSE)),"",_xlfn.REGEXEXTRACT(CELL("address",J21), "\$([A-Z]+)\$[0-9]+"))),_xlfn.REGEXEXTRACT(CELL("address",J21), "\$([A-Z]+)\$[0-9]+"))</f>
        <v/>
      </c>
      <c r="K21" s="7" t="str" cm="1">
        <f t="array" aca="1" ref="K21" ca="1">IFERROR(IF(OR('Raw Data'!K21="",LEN(TRIM('Raw Data'!K21))=0),"",IF(AND(ISNUMBER('Raw Data'!K21), IFERROR('Raw Data'!K21 = ROUND('Raw Data'!K21, 2),FALSE)),"",_xlfn.REGEXEXTRACT(CELL("address",K21), "\$([A-Z]+)\$[0-9]+"))),_xlfn.REGEXEXTRACT(CELL("address",K21), "\$([A-Z]+)\$[0-9]+"))</f>
        <v/>
      </c>
      <c r="L21" s="7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7" t="str" cm="1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7" t="str" cm="1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  <c r="O21" s="7" t="str" cm="1">
        <f t="array" aca="1" ref="O21" ca="1">IFERROR(IF(OR('Raw Data'!O21="",LEN(TRIM('Raw Data'!O21))=0),"",IF(AND(ISNUMBER('Raw Data'!O21), IFERROR('Raw Data'!O21 = ROUND('Raw Data'!O21, 2),FALSE)),"",_xlfn.REGEXEXTRACT(CELL("address",O21), "\$([A-Z]+)\$[0-9]+"))),_xlfn.REGEXEXTRACT(CELL("address",O21), "\$([A-Z]+)\$[0-9]+"))</f>
        <v/>
      </c>
      <c r="P21" s="7" t="str" cm="1">
        <f t="array" aca="1" ref="P21" ca="1">IFERROR(IF(OR('Raw Data'!P21="",LEN(TRIM('Raw Data'!P21))=0),"",IF(AND(ISNUMBER('Raw Data'!P21), IFERROR('Raw Data'!P21 = ROUND('Raw Data'!P21, 2),FALSE)),"",_xlfn.REGEXEXTRACT(CELL("address",P21), "\$([A-Z]+)\$[0-9]+"))),_xlfn.REGEXEXTRACT(CELL("address",P21), "\$([A-Z]+)\$[0-9]+"))</f>
        <v/>
      </c>
      <c r="Q21" s="7" t="str" cm="1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7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7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7" t="str" cm="1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7" t="str" cm="1">
        <f t="array" aca="1" ref="U21" ca="1">IFERROR(IF(OR('Raw Data'!U21="",LEN(TRIM('Raw Data'!U21))=0),"",IF(AND(ISNUMBER('Raw Data'!U21), IFERROR('Raw Data'!U21 = ROUND('Raw Data'!U21, 2),FALSE)),"",_xlfn.REGEXEXTRACT(CELL("address",U21), "\$([A-Z]+)\$[0-9]+"))),_xlfn.REGEXEXTRACT(CELL("address",U21), "\$([A-Z]+)\$[0-9]+"))</f>
        <v/>
      </c>
      <c r="V21" s="7" t="str" cm="1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7" t="str" cm="1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7" t="str" cm="1">
        <f t="array" aca="1" ref="X21" ca="1">IFERROR(IF(OR('Raw Data'!X21="",LEN(TRIM('Raw Data'!X21))=0),"",IF(AND(ISNUMBER('Raw Data'!X21), IFERROR('Raw Data'!X21 = ROUND('Raw Data'!X21, 2),FALSE)),"",_xlfn.REGEXEXTRACT(CELL("address",X21), "\$([A-Z]+)\$[0-9]+"))),_xlfn.REGEXEXTRACT(CELL("address",X21), "\$([A-Z]+)\$[0-9]+"))</f>
        <v/>
      </c>
      <c r="Y21" s="7" t="str" cm="1">
        <f t="array" aca="1" ref="Y21" ca="1">IFERROR(IF(OR('Raw Data'!Y21="",LEN(TRIM('Raw Data'!Y21))=0),"",IF(AND(ISNUMBER('Raw Data'!Y21), IFERROR('Raw Data'!Y21 = ROUND('Raw Data'!Y21, 2),FALSE)),"",_xlfn.REGEXEXTRACT(CELL("address",Y21), "\$([A-Z]+)\$[0-9]+"))),_xlfn.REGEXEXTRACT(CELL("address",Y21), "\$([A-Z]+)\$[0-9]+"))</f>
        <v/>
      </c>
      <c r="Z21" s="7" t="str" cm="1">
        <f t="array" aca="1" ref="Z21" ca="1">IFERROR(IF(OR('Raw Data'!Z21="",LEN(TRIM('Raw Data'!Z21))=0),"",IF(AND(ISNUMBER('Raw Data'!Z21), IFERROR('Raw Data'!Z21 = ROUND('Raw Data'!Z21, 2),FALSE)),"",_xlfn.REGEXEXTRACT(CELL("address",Z21), "\$([A-Z]+)\$[0-9]+"))),_xlfn.REGEXEXTRACT(CELL("address",Z21), "\$([A-Z]+)\$[0-9]+"))</f>
        <v/>
      </c>
      <c r="AA21" s="7" t="str" cm="1">
        <f t="array" aca="1" ref="AA21" ca="1">IFERROR(IF(OR('Raw Data'!AA21="",LEN(TRIM('Raw Data'!AA21))=0),"",IF(AND(ISNUMBER('Raw Data'!AA21), IFERROR('Raw Data'!AA21 = ROUND('Raw Data'!AA21, 2),FALSE)),"",_xlfn.REGEXEXTRACT(CELL("address",AA21), "\$([A-Z]+)\$[0-9]+"))),_xlfn.REGEXEXTRACT(CELL("address",AA21), "\$([A-Z]+)\$[0-9]+"))</f>
        <v/>
      </c>
      <c r="AB21" s="7" t="str" cm="1">
        <f t="array" aca="1" ref="AB21" ca="1">IFERROR(IF(OR('Raw Data'!AB21="",LEN(TRIM('Raw Data'!AB21))=0),"",IF(AND(ISNUMBER('Raw Data'!AB21), IFERROR('Raw Data'!AB21 = ROUND('Raw Data'!AB21, 2),FALSE)),"",_xlfn.REGEXEXTRACT(CELL("address",AB21), "\$([A-Z]+)\$[0-9]+"))),_xlfn.REGEXEXTRACT(CELL("address",AB21), "\$([A-Z]+)\$[0-9]+"))</f>
        <v/>
      </c>
    </row>
    <row r="22" spans="2:28" x14ac:dyDescent="0.25">
      <c r="B22" s="7" t="str" cm="1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20,LEN('Raw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Data'!D22))=0),"",IF(AND(ISNUMBER('Raw Data'!D22),'Raw Data'!D22&gt;=Configuration!$D$2),"",_xlfn.REGEXEXTRACT(CELL("address",'Raw Data'!D22),"\$([A-Z]+)\$[0-9]+"))),_xlfn.REGEXEXTRACT(CELL("address",D22), "\$([A-Z]+)\$[0-9]+"))</f>
        <v/>
      </c>
      <c r="E22" s="7" t="str" cm="1">
        <f t="array" aca="1" ref="E22" ca="1">IFERROR(IF(OR('Raw Data'!E22="",LEN(TRIM('Raw Data'!E22))=0),"",IF(AND(ISNUMBER('Raw Data'!E22), IFERROR('Raw Data'!E22 = ROUND('Raw Data'!E22, 2),FALSE)),"",_xlfn.REGEXEXTRACT(CELL("address",E22), "\$([A-Z]+)\$[0-9]+"))),_xlfn.REGEXEXTRACT(CELL("address",E22), "\$([A-Z]+)\$[0-9]+"))</f>
        <v/>
      </c>
      <c r="F22" s="7" t="str" cm="1">
        <f t="array" aca="1" ref="F22" ca="1">IFERROR(IF(OR('Raw Data'!F22="",LEN(TRIM('Raw Data'!F22))=0),"",IF(AND(ISNUMBER('Raw Data'!F22), IFERROR('Raw Data'!F22 = ROUND('Raw Data'!F22, 2),FALSE)),"",_xlfn.REGEXEXTRACT(CELL("address",F22), "\$([A-Z]+)\$[0-9]+"))),_xlfn.REGEXEXTRACT(CELL("address",F22), "\$([A-Z]+)\$[0-9]+"))</f>
        <v/>
      </c>
      <c r="G22" s="7" t="str" cm="1">
        <f t="array" aca="1" ref="G22" ca="1">IFERROR(IF(OR('Raw Data'!G22="",LEN(TRIM('Raw Data'!G22))=0),"",IF(AND(ISNUMBER('Raw Data'!G22), IFERROR('Raw Data'!G22 = ROUND('Raw Data'!G22, 2),FALSE)),"",_xlfn.REGEXEXTRACT(CELL("address",G22), "\$([A-Z]+)\$[0-9]+"))),_xlfn.REGEXEXTRACT(CELL("address",G22), "\$([A-Z]+)\$[0-9]+"))</f>
        <v/>
      </c>
      <c r="H22" s="7" t="str" cm="1">
        <f t="array" aca="1" ref="H22" ca="1">IFERROR(IF(OR('Raw Data'!H22="",LEN(TRIM('Raw Data'!H22))=0),"",IF(AND(ISNUMBER('Raw Data'!H22), IFERROR('Raw Data'!H22 = ROUND('Raw Data'!H22, 2),FALSE)),"",_xlfn.REGEXEXTRACT(CELL("address",H22), "\$([A-Z]+)\$[0-9]+"))),_xlfn.REGEXEXTRACT(CELL("address",H22), "\$([A-Z]+)\$[0-9]+"))</f>
        <v/>
      </c>
      <c r="I22" s="7" t="str" cm="1">
        <f t="array" aca="1" ref="I22" ca="1">IFERROR(IF(OR('Raw Data'!I22="",LEN(TRIM('Raw Data'!I22))=0),"",IF(AND(ISNUMBER('Raw Data'!I22), IFERROR('Raw Data'!I22 = ROUND('Raw Data'!I22, 2),FALSE)),"",_xlfn.REGEXEXTRACT(CELL("address",I22), "\$([A-Z]+)\$[0-9]+"))),_xlfn.REGEXEXTRACT(CELL("address",I22), "\$([A-Z]+)\$[0-9]+"))</f>
        <v/>
      </c>
      <c r="J22" s="7" t="str" cm="1">
        <f t="array" aca="1" ref="J22" ca="1">IFERROR(IF(OR('Raw Data'!J22="",LEN(TRIM('Raw Data'!J22))=0),"",IF(AND(ISNUMBER('Raw Data'!J22), IFERROR('Raw Data'!J22 = ROUND('Raw Data'!J22, 2),FALSE)),"",_xlfn.REGEXEXTRACT(CELL("address",J22), "\$([A-Z]+)\$[0-9]+"))),_xlfn.REGEXEXTRACT(CELL("address",J22), "\$([A-Z]+)\$[0-9]+"))</f>
        <v/>
      </c>
      <c r="K22" s="7" t="str" cm="1">
        <f t="array" aca="1" ref="K22" ca="1">IFERROR(IF(OR('Raw Data'!K22="",LEN(TRIM('Raw Data'!K22))=0),"",IF(AND(ISNUMBER('Raw Data'!K22), IFERROR('Raw Data'!K22 = ROUND('Raw Data'!K22, 2),FALSE)),"",_xlfn.REGEXEXTRACT(CELL("address",K22), "\$([A-Z]+)\$[0-9]+"))),_xlfn.REGEXEXTRACT(CELL("address",K22), "\$([A-Z]+)\$[0-9]+"))</f>
        <v/>
      </c>
      <c r="L22" s="7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7" t="str" cm="1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7" t="str" cm="1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  <c r="O22" s="7" t="str" cm="1">
        <f t="array" aca="1" ref="O22" ca="1">IFERROR(IF(OR('Raw Data'!O22="",LEN(TRIM('Raw Data'!O22))=0),"",IF(AND(ISNUMBER('Raw Data'!O22), IFERROR('Raw Data'!O22 = ROUND('Raw Data'!O22, 2),FALSE)),"",_xlfn.REGEXEXTRACT(CELL("address",O22), "\$([A-Z]+)\$[0-9]+"))),_xlfn.REGEXEXTRACT(CELL("address",O22), "\$([A-Z]+)\$[0-9]+"))</f>
        <v/>
      </c>
      <c r="P22" s="7" t="str" cm="1">
        <f t="array" aca="1" ref="P22" ca="1">IFERROR(IF(OR('Raw Data'!P22="",LEN(TRIM('Raw Data'!P22))=0),"",IF(AND(ISNUMBER('Raw Data'!P22), IFERROR('Raw Data'!P22 = ROUND('Raw Data'!P22, 2),FALSE)),"",_xlfn.REGEXEXTRACT(CELL("address",P22), "\$([A-Z]+)\$[0-9]+"))),_xlfn.REGEXEXTRACT(CELL("address",P22), "\$([A-Z]+)\$[0-9]+"))</f>
        <v/>
      </c>
      <c r="Q22" s="7" t="str" cm="1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7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7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7" t="str" cm="1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7" t="str" cm="1">
        <f t="array" aca="1" ref="U22" ca="1">IFERROR(IF(OR('Raw Data'!U22="",LEN(TRIM('Raw Data'!U22))=0),"",IF(AND(ISNUMBER('Raw Data'!U22), IFERROR('Raw Data'!U22 = ROUND('Raw Data'!U22, 2),FALSE)),"",_xlfn.REGEXEXTRACT(CELL("address",U22), "\$([A-Z]+)\$[0-9]+"))),_xlfn.REGEXEXTRACT(CELL("address",U22), "\$([A-Z]+)\$[0-9]+"))</f>
        <v/>
      </c>
      <c r="V22" s="7" t="str" cm="1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7" t="str" cm="1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7" t="str" cm="1">
        <f t="array" aca="1" ref="X22" ca="1">IFERROR(IF(OR('Raw Data'!X22="",LEN(TRIM('Raw Data'!X22))=0),"",IF(AND(ISNUMBER('Raw Data'!X22), IFERROR('Raw Data'!X22 = ROUND('Raw Data'!X22, 2),FALSE)),"",_xlfn.REGEXEXTRACT(CELL("address",X22), "\$([A-Z]+)\$[0-9]+"))),_xlfn.REGEXEXTRACT(CELL("address",X22), "\$([A-Z]+)\$[0-9]+"))</f>
        <v/>
      </c>
      <c r="Y22" s="7" t="str" cm="1">
        <f t="array" aca="1" ref="Y22" ca="1">IFERROR(IF(OR('Raw Data'!Y22="",LEN(TRIM('Raw Data'!Y22))=0),"",IF(AND(ISNUMBER('Raw Data'!Y22), IFERROR('Raw Data'!Y22 = ROUND('Raw Data'!Y22, 2),FALSE)),"",_xlfn.REGEXEXTRACT(CELL("address",Y22), "\$([A-Z]+)\$[0-9]+"))),_xlfn.REGEXEXTRACT(CELL("address",Y22), "\$([A-Z]+)\$[0-9]+"))</f>
        <v/>
      </c>
      <c r="Z22" s="7" t="str" cm="1">
        <f t="array" aca="1" ref="Z22" ca="1">IFERROR(IF(OR('Raw Data'!Z22="",LEN(TRIM('Raw Data'!Z22))=0),"",IF(AND(ISNUMBER('Raw Data'!Z22), IFERROR('Raw Data'!Z22 = ROUND('Raw Data'!Z22, 2),FALSE)),"",_xlfn.REGEXEXTRACT(CELL("address",Z22), "\$([A-Z]+)\$[0-9]+"))),_xlfn.REGEXEXTRACT(CELL("address",Z22), "\$([A-Z]+)\$[0-9]+"))</f>
        <v/>
      </c>
      <c r="AA22" s="7" t="str" cm="1">
        <f t="array" aca="1" ref="AA22" ca="1">IFERROR(IF(OR('Raw Data'!AA22="",LEN(TRIM('Raw Data'!AA22))=0),"",IF(AND(ISNUMBER('Raw Data'!AA22), IFERROR('Raw Data'!AA22 = ROUND('Raw Data'!AA22, 2),FALSE)),"",_xlfn.REGEXEXTRACT(CELL("address",AA22), "\$([A-Z]+)\$[0-9]+"))),_xlfn.REGEXEXTRACT(CELL("address",AA22), "\$([A-Z]+)\$[0-9]+"))</f>
        <v/>
      </c>
      <c r="AB22" s="7" t="str" cm="1">
        <f t="array" aca="1" ref="AB22" ca="1">IFERROR(IF(OR('Raw Data'!AB22="",LEN(TRIM('Raw Data'!AB22))=0),"",IF(AND(ISNUMBER('Raw Data'!AB22), IFERROR('Raw Data'!AB22 = ROUND('Raw Data'!AB22, 2),FALSE)),"",_xlfn.REGEXEXTRACT(CELL("address",AB22), "\$([A-Z]+)\$[0-9]+"))),_xlfn.REGEXEXTRACT(CELL("address",AB22), "\$([A-Z]+)\$[0-9]+"))</f>
        <v/>
      </c>
    </row>
    <row r="23" spans="2:28" x14ac:dyDescent="0.25">
      <c r="B23" s="7" t="str" cm="1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20,LEN('Raw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Data'!D23))=0),"",IF(AND(ISNUMBER('Raw Data'!D23),'Raw Data'!D23&gt;=Configuration!$D$2),"",_xlfn.REGEXEXTRACT(CELL("address",'Raw Data'!D23),"\$([A-Z]+)\$[0-9]+"))),_xlfn.REGEXEXTRACT(CELL("address",D23), "\$([A-Z]+)\$[0-9]+"))</f>
        <v/>
      </c>
      <c r="E23" s="7" t="str" cm="1">
        <f t="array" aca="1" ref="E23" ca="1">IFERROR(IF(OR('Raw Data'!E23="",LEN(TRIM('Raw Data'!E23))=0),"",IF(AND(ISNUMBER('Raw Data'!E23), IFERROR('Raw Data'!E23 = ROUND('Raw Data'!E23, 2),FALSE)),"",_xlfn.REGEXEXTRACT(CELL("address",E23), "\$([A-Z]+)\$[0-9]+"))),_xlfn.REGEXEXTRACT(CELL("address",E23), "\$([A-Z]+)\$[0-9]+"))</f>
        <v/>
      </c>
      <c r="F23" s="7" t="str" cm="1">
        <f t="array" aca="1" ref="F23" ca="1">IFERROR(IF(OR('Raw Data'!F23="",LEN(TRIM('Raw Data'!F23))=0),"",IF(AND(ISNUMBER('Raw Data'!F23), IFERROR('Raw Data'!F23 = ROUND('Raw Data'!F23, 2),FALSE)),"",_xlfn.REGEXEXTRACT(CELL("address",F23), "\$([A-Z]+)\$[0-9]+"))),_xlfn.REGEXEXTRACT(CELL("address",F23), "\$([A-Z]+)\$[0-9]+"))</f>
        <v/>
      </c>
      <c r="G23" s="7" t="str" cm="1">
        <f t="array" aca="1" ref="G23" ca="1">IFERROR(IF(OR('Raw Data'!G23="",LEN(TRIM('Raw Data'!G23))=0),"",IF(AND(ISNUMBER('Raw Data'!G23), IFERROR('Raw Data'!G23 = ROUND('Raw Data'!G23, 2),FALSE)),"",_xlfn.REGEXEXTRACT(CELL("address",G23), "\$([A-Z]+)\$[0-9]+"))),_xlfn.REGEXEXTRACT(CELL("address",G23), "\$([A-Z]+)\$[0-9]+"))</f>
        <v/>
      </c>
      <c r="H23" s="7" t="str" cm="1">
        <f t="array" aca="1" ref="H23" ca="1">IFERROR(IF(OR('Raw Data'!H23="",LEN(TRIM('Raw Data'!H23))=0),"",IF(AND(ISNUMBER('Raw Data'!H23), IFERROR('Raw Data'!H23 = ROUND('Raw Data'!H23, 2),FALSE)),"",_xlfn.REGEXEXTRACT(CELL("address",H23), "\$([A-Z]+)\$[0-9]+"))),_xlfn.REGEXEXTRACT(CELL("address",H23), "\$([A-Z]+)\$[0-9]+"))</f>
        <v/>
      </c>
      <c r="I23" s="7" t="str" cm="1">
        <f t="array" aca="1" ref="I23" ca="1">IFERROR(IF(OR('Raw Data'!I23="",LEN(TRIM('Raw Data'!I23))=0),"",IF(AND(ISNUMBER('Raw Data'!I23), IFERROR('Raw Data'!I23 = ROUND('Raw Data'!I23, 2),FALSE)),"",_xlfn.REGEXEXTRACT(CELL("address",I23), "\$([A-Z]+)\$[0-9]+"))),_xlfn.REGEXEXTRACT(CELL("address",I23), "\$([A-Z]+)\$[0-9]+"))</f>
        <v/>
      </c>
      <c r="J23" s="7" t="str" cm="1">
        <f t="array" aca="1" ref="J23" ca="1">IFERROR(IF(OR('Raw Data'!J23="",LEN(TRIM('Raw Data'!J23))=0),"",IF(AND(ISNUMBER('Raw Data'!J23), IFERROR('Raw Data'!J23 = ROUND('Raw Data'!J23, 2),FALSE)),"",_xlfn.REGEXEXTRACT(CELL("address",J23), "\$([A-Z]+)\$[0-9]+"))),_xlfn.REGEXEXTRACT(CELL("address",J23), "\$([A-Z]+)\$[0-9]+"))</f>
        <v/>
      </c>
      <c r="K23" s="7" t="str" cm="1">
        <f t="array" aca="1" ref="K23" ca="1">IFERROR(IF(OR('Raw Data'!K23="",LEN(TRIM('Raw Data'!K23))=0),"",IF(AND(ISNUMBER('Raw Data'!K23), IFERROR('Raw Data'!K23 = ROUND('Raw Data'!K23, 2),FALSE)),"",_xlfn.REGEXEXTRACT(CELL("address",K23), "\$([A-Z]+)\$[0-9]+"))),_xlfn.REGEXEXTRACT(CELL("address",K23), "\$([A-Z]+)\$[0-9]+"))</f>
        <v/>
      </c>
      <c r="L23" s="7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7" t="str" cm="1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7" t="str" cm="1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  <c r="O23" s="7" t="str" cm="1">
        <f t="array" aca="1" ref="O23" ca="1">IFERROR(IF(OR('Raw Data'!O23="",LEN(TRIM('Raw Data'!O23))=0),"",IF(AND(ISNUMBER('Raw Data'!O23), IFERROR('Raw Data'!O23 = ROUND('Raw Data'!O23, 2),FALSE)),"",_xlfn.REGEXEXTRACT(CELL("address",O23), "\$([A-Z]+)\$[0-9]+"))),_xlfn.REGEXEXTRACT(CELL("address",O23), "\$([A-Z]+)\$[0-9]+"))</f>
        <v/>
      </c>
      <c r="P23" s="7" t="str" cm="1">
        <f t="array" aca="1" ref="P23" ca="1">IFERROR(IF(OR('Raw Data'!P23="",LEN(TRIM('Raw Data'!P23))=0),"",IF(AND(ISNUMBER('Raw Data'!P23), IFERROR('Raw Data'!P23 = ROUND('Raw Data'!P23, 2),FALSE)),"",_xlfn.REGEXEXTRACT(CELL("address",P23), "\$([A-Z]+)\$[0-9]+"))),_xlfn.REGEXEXTRACT(CELL("address",P23), "\$([A-Z]+)\$[0-9]+"))</f>
        <v/>
      </c>
      <c r="Q23" s="7" t="str" cm="1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7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7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7" t="str" cm="1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7" t="str" cm="1">
        <f t="array" aca="1" ref="U23" ca="1">IFERROR(IF(OR('Raw Data'!U23="",LEN(TRIM('Raw Data'!U23))=0),"",IF(AND(ISNUMBER('Raw Data'!U23), IFERROR('Raw Data'!U23 = ROUND('Raw Data'!U23, 2),FALSE)),"",_xlfn.REGEXEXTRACT(CELL("address",U23), "\$([A-Z]+)\$[0-9]+"))),_xlfn.REGEXEXTRACT(CELL("address",U23), "\$([A-Z]+)\$[0-9]+"))</f>
        <v/>
      </c>
      <c r="V23" s="7" t="str" cm="1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7" t="str" cm="1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7" t="str" cm="1">
        <f t="array" aca="1" ref="X23" ca="1">IFERROR(IF(OR('Raw Data'!X23="",LEN(TRIM('Raw Data'!X23))=0),"",IF(AND(ISNUMBER('Raw Data'!X23), IFERROR('Raw Data'!X23 = ROUND('Raw Data'!X23, 2),FALSE)),"",_xlfn.REGEXEXTRACT(CELL("address",X23), "\$([A-Z]+)\$[0-9]+"))),_xlfn.REGEXEXTRACT(CELL("address",X23), "\$([A-Z]+)\$[0-9]+"))</f>
        <v/>
      </c>
      <c r="Y23" s="7" t="str" cm="1">
        <f t="array" aca="1" ref="Y23" ca="1">IFERROR(IF(OR('Raw Data'!Y23="",LEN(TRIM('Raw Data'!Y23))=0),"",IF(AND(ISNUMBER('Raw Data'!Y23), IFERROR('Raw Data'!Y23 = ROUND('Raw Data'!Y23, 2),FALSE)),"",_xlfn.REGEXEXTRACT(CELL("address",Y23), "\$([A-Z]+)\$[0-9]+"))),_xlfn.REGEXEXTRACT(CELL("address",Y23), "\$([A-Z]+)\$[0-9]+"))</f>
        <v/>
      </c>
      <c r="Z23" s="7" t="str" cm="1">
        <f t="array" aca="1" ref="Z23" ca="1">IFERROR(IF(OR('Raw Data'!Z23="",LEN(TRIM('Raw Data'!Z23))=0),"",IF(AND(ISNUMBER('Raw Data'!Z23), IFERROR('Raw Data'!Z23 = ROUND('Raw Data'!Z23, 2),FALSE)),"",_xlfn.REGEXEXTRACT(CELL("address",Z23), "\$([A-Z]+)\$[0-9]+"))),_xlfn.REGEXEXTRACT(CELL("address",Z23), "\$([A-Z]+)\$[0-9]+"))</f>
        <v/>
      </c>
      <c r="AA23" s="7" t="str" cm="1">
        <f t="array" aca="1" ref="AA23" ca="1">IFERROR(IF(OR('Raw Data'!AA23="",LEN(TRIM('Raw Data'!AA23))=0),"",IF(AND(ISNUMBER('Raw Data'!AA23), IFERROR('Raw Data'!AA23 = ROUND('Raw Data'!AA23, 2),FALSE)),"",_xlfn.REGEXEXTRACT(CELL("address",AA23), "\$([A-Z]+)\$[0-9]+"))),_xlfn.REGEXEXTRACT(CELL("address",AA23), "\$([A-Z]+)\$[0-9]+"))</f>
        <v/>
      </c>
      <c r="AB23" s="7" t="str" cm="1">
        <f t="array" aca="1" ref="AB23" ca="1">IFERROR(IF(OR('Raw Data'!AB23="",LEN(TRIM('Raw Data'!AB23))=0),"",IF(AND(ISNUMBER('Raw Data'!AB23), IFERROR('Raw Data'!AB23 = ROUND('Raw Data'!AB23, 2),FALSE)),"",_xlfn.REGEXEXTRACT(CELL("address",AB23), "\$([A-Z]+)\$[0-9]+"))),_xlfn.REGEXEXTRACT(CELL("address",AB23), "\$([A-Z]+)\$[0-9]+"))</f>
        <v/>
      </c>
    </row>
    <row r="24" spans="2:28" x14ac:dyDescent="0.25">
      <c r="B24" s="7" t="str" cm="1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20,LEN('Raw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Data'!D24))=0),"",IF(AND(ISNUMBER('Raw Data'!D24),'Raw Data'!D24&gt;=Configuration!$D$2),"",_xlfn.REGEXEXTRACT(CELL("address",'Raw Data'!D24),"\$([A-Z]+)\$[0-9]+"))),_xlfn.REGEXEXTRACT(CELL("address",D24), "\$([A-Z]+)\$[0-9]+"))</f>
        <v/>
      </c>
      <c r="E24" s="7" t="str" cm="1">
        <f t="array" aca="1" ref="E24" ca="1">IFERROR(IF(OR('Raw Data'!E24="",LEN(TRIM('Raw Data'!E24))=0),"",IF(AND(ISNUMBER('Raw Data'!E24), IFERROR('Raw Data'!E24 = ROUND('Raw Data'!E24, 2),FALSE)),"",_xlfn.REGEXEXTRACT(CELL("address",E24), "\$([A-Z]+)\$[0-9]+"))),_xlfn.REGEXEXTRACT(CELL("address",E24), "\$([A-Z]+)\$[0-9]+"))</f>
        <v/>
      </c>
      <c r="F24" s="7" t="str" cm="1">
        <f t="array" aca="1" ref="F24" ca="1">IFERROR(IF(OR('Raw Data'!F24="",LEN(TRIM('Raw Data'!F24))=0),"",IF(AND(ISNUMBER('Raw Data'!F24), IFERROR('Raw Data'!F24 = ROUND('Raw Data'!F24, 2),FALSE)),"",_xlfn.REGEXEXTRACT(CELL("address",F24), "\$([A-Z]+)\$[0-9]+"))),_xlfn.REGEXEXTRACT(CELL("address",F24), "\$([A-Z]+)\$[0-9]+"))</f>
        <v/>
      </c>
      <c r="G24" s="7" t="str" cm="1">
        <f t="array" aca="1" ref="G24" ca="1">IFERROR(IF(OR('Raw Data'!G24="",LEN(TRIM('Raw Data'!G24))=0),"",IF(AND(ISNUMBER('Raw Data'!G24), IFERROR('Raw Data'!G24 = ROUND('Raw Data'!G24, 2),FALSE)),"",_xlfn.REGEXEXTRACT(CELL("address",G24), "\$([A-Z]+)\$[0-9]+"))),_xlfn.REGEXEXTRACT(CELL("address",G24), "\$([A-Z]+)\$[0-9]+"))</f>
        <v/>
      </c>
      <c r="H24" s="7" t="str" cm="1">
        <f t="array" aca="1" ref="H24" ca="1">IFERROR(IF(OR('Raw Data'!H24="",LEN(TRIM('Raw Data'!H24))=0),"",IF(AND(ISNUMBER('Raw Data'!H24), IFERROR('Raw Data'!H24 = ROUND('Raw Data'!H24, 2),FALSE)),"",_xlfn.REGEXEXTRACT(CELL("address",H24), "\$([A-Z]+)\$[0-9]+"))),_xlfn.REGEXEXTRACT(CELL("address",H24), "\$([A-Z]+)\$[0-9]+"))</f>
        <v/>
      </c>
      <c r="I24" s="7" t="str" cm="1">
        <f t="array" aca="1" ref="I24" ca="1">IFERROR(IF(OR('Raw Data'!I24="",LEN(TRIM('Raw Data'!I24))=0),"",IF(AND(ISNUMBER('Raw Data'!I24), IFERROR('Raw Data'!I24 = ROUND('Raw Data'!I24, 2),FALSE)),"",_xlfn.REGEXEXTRACT(CELL("address",I24), "\$([A-Z]+)\$[0-9]+"))),_xlfn.REGEXEXTRACT(CELL("address",I24), "\$([A-Z]+)\$[0-9]+"))</f>
        <v/>
      </c>
      <c r="J24" s="7" t="str" cm="1">
        <f t="array" aca="1" ref="J24" ca="1">IFERROR(IF(OR('Raw Data'!J24="",LEN(TRIM('Raw Data'!J24))=0),"",IF(AND(ISNUMBER('Raw Data'!J24), IFERROR('Raw Data'!J24 = ROUND('Raw Data'!J24, 2),FALSE)),"",_xlfn.REGEXEXTRACT(CELL("address",J24), "\$([A-Z]+)\$[0-9]+"))),_xlfn.REGEXEXTRACT(CELL("address",J24), "\$([A-Z]+)\$[0-9]+"))</f>
        <v/>
      </c>
      <c r="K24" s="7" t="str" cm="1">
        <f t="array" aca="1" ref="K24" ca="1">IFERROR(IF(OR('Raw Data'!K24="",LEN(TRIM('Raw Data'!K24))=0),"",IF(AND(ISNUMBER('Raw Data'!K24), IFERROR('Raw Data'!K24 = ROUND('Raw Data'!K24, 2),FALSE)),"",_xlfn.REGEXEXTRACT(CELL("address",K24), "\$([A-Z]+)\$[0-9]+"))),_xlfn.REGEXEXTRACT(CELL("address",K24), "\$([A-Z]+)\$[0-9]+"))</f>
        <v/>
      </c>
      <c r="L24" s="7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7" t="str" cm="1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7" t="str" cm="1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  <c r="O24" s="7" t="str" cm="1">
        <f t="array" aca="1" ref="O24" ca="1">IFERROR(IF(OR('Raw Data'!O24="",LEN(TRIM('Raw Data'!O24))=0),"",IF(AND(ISNUMBER('Raw Data'!O24), IFERROR('Raw Data'!O24 = ROUND('Raw Data'!O24, 2),FALSE)),"",_xlfn.REGEXEXTRACT(CELL("address",O24), "\$([A-Z]+)\$[0-9]+"))),_xlfn.REGEXEXTRACT(CELL("address",O24), "\$([A-Z]+)\$[0-9]+"))</f>
        <v/>
      </c>
      <c r="P24" s="7" t="str" cm="1">
        <f t="array" aca="1" ref="P24" ca="1">IFERROR(IF(OR('Raw Data'!P24="",LEN(TRIM('Raw Data'!P24))=0),"",IF(AND(ISNUMBER('Raw Data'!P24), IFERROR('Raw Data'!P24 = ROUND('Raw Data'!P24, 2),FALSE)),"",_xlfn.REGEXEXTRACT(CELL("address",P24), "\$([A-Z]+)\$[0-9]+"))),_xlfn.REGEXEXTRACT(CELL("address",P24), "\$([A-Z]+)\$[0-9]+"))</f>
        <v/>
      </c>
      <c r="Q24" s="7" t="str" cm="1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7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7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7" t="str" cm="1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7" t="str" cm="1">
        <f t="array" aca="1" ref="U24" ca="1">IFERROR(IF(OR('Raw Data'!U24="",LEN(TRIM('Raw Data'!U24))=0),"",IF(AND(ISNUMBER('Raw Data'!U24), IFERROR('Raw Data'!U24 = ROUND('Raw Data'!U24, 2),FALSE)),"",_xlfn.REGEXEXTRACT(CELL("address",U24), "\$([A-Z]+)\$[0-9]+"))),_xlfn.REGEXEXTRACT(CELL("address",U24), "\$([A-Z]+)\$[0-9]+"))</f>
        <v/>
      </c>
      <c r="V24" s="7" t="str" cm="1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7" t="str" cm="1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7" t="str" cm="1">
        <f t="array" aca="1" ref="X24" ca="1">IFERROR(IF(OR('Raw Data'!X24="",LEN(TRIM('Raw Data'!X24))=0),"",IF(AND(ISNUMBER('Raw Data'!X24), IFERROR('Raw Data'!X24 = ROUND('Raw Data'!X24, 2),FALSE)),"",_xlfn.REGEXEXTRACT(CELL("address",X24), "\$([A-Z]+)\$[0-9]+"))),_xlfn.REGEXEXTRACT(CELL("address",X24), "\$([A-Z]+)\$[0-9]+"))</f>
        <v/>
      </c>
      <c r="Y24" s="7" t="str" cm="1">
        <f t="array" aca="1" ref="Y24" ca="1">IFERROR(IF(OR('Raw Data'!Y24="",LEN(TRIM('Raw Data'!Y24))=0),"",IF(AND(ISNUMBER('Raw Data'!Y24), IFERROR('Raw Data'!Y24 = ROUND('Raw Data'!Y24, 2),FALSE)),"",_xlfn.REGEXEXTRACT(CELL("address",Y24), "\$([A-Z]+)\$[0-9]+"))),_xlfn.REGEXEXTRACT(CELL("address",Y24), "\$([A-Z]+)\$[0-9]+"))</f>
        <v/>
      </c>
      <c r="Z24" s="7" t="str" cm="1">
        <f t="array" aca="1" ref="Z24" ca="1">IFERROR(IF(OR('Raw Data'!Z24="",LEN(TRIM('Raw Data'!Z24))=0),"",IF(AND(ISNUMBER('Raw Data'!Z24), IFERROR('Raw Data'!Z24 = ROUND('Raw Data'!Z24, 2),FALSE)),"",_xlfn.REGEXEXTRACT(CELL("address",Z24), "\$([A-Z]+)\$[0-9]+"))),_xlfn.REGEXEXTRACT(CELL("address",Z24), "\$([A-Z]+)\$[0-9]+"))</f>
        <v/>
      </c>
      <c r="AA24" s="7" t="str" cm="1">
        <f t="array" aca="1" ref="AA24" ca="1">IFERROR(IF(OR('Raw Data'!AA24="",LEN(TRIM('Raw Data'!AA24))=0),"",IF(AND(ISNUMBER('Raw Data'!AA24), IFERROR('Raw Data'!AA24 = ROUND('Raw Data'!AA24, 2),FALSE)),"",_xlfn.REGEXEXTRACT(CELL("address",AA24), "\$([A-Z]+)\$[0-9]+"))),_xlfn.REGEXEXTRACT(CELL("address",AA24), "\$([A-Z]+)\$[0-9]+"))</f>
        <v/>
      </c>
      <c r="AB24" s="7" t="str" cm="1">
        <f t="array" aca="1" ref="AB24" ca="1">IFERROR(IF(OR('Raw Data'!AB24="",LEN(TRIM('Raw Data'!AB24))=0),"",IF(AND(ISNUMBER('Raw Data'!AB24), IFERROR('Raw Data'!AB24 = ROUND('Raw Data'!AB24, 2),FALSE)),"",_xlfn.REGEXEXTRACT(CELL("address",AB24), "\$([A-Z]+)\$[0-9]+"))),_xlfn.REGEXEXTRACT(CELL("address",AB24), "\$([A-Z]+)\$[0-9]+"))</f>
        <v/>
      </c>
    </row>
    <row r="25" spans="2:28" x14ac:dyDescent="0.25">
      <c r="B25" s="7" t="str" cm="1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20,LEN('Raw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Data'!D25))=0),"",IF(AND(ISNUMBER('Raw Data'!D25),'Raw Data'!D25&gt;=Configuration!$D$2),"",_xlfn.REGEXEXTRACT(CELL("address",'Raw Data'!D25),"\$([A-Z]+)\$[0-9]+"))),_xlfn.REGEXEXTRACT(CELL("address",D25), "\$([A-Z]+)\$[0-9]+"))</f>
        <v/>
      </c>
      <c r="E25" s="7" t="str" cm="1">
        <f t="array" aca="1" ref="E25" ca="1">IFERROR(IF(OR('Raw Data'!E25="",LEN(TRIM('Raw Data'!E25))=0),"",IF(AND(ISNUMBER('Raw Data'!E25), IFERROR('Raw Data'!E25 = ROUND('Raw Data'!E25, 2),FALSE)),"",_xlfn.REGEXEXTRACT(CELL("address",E25), "\$([A-Z]+)\$[0-9]+"))),_xlfn.REGEXEXTRACT(CELL("address",E25), "\$([A-Z]+)\$[0-9]+"))</f>
        <v/>
      </c>
      <c r="F25" s="7" t="str" cm="1">
        <f t="array" aca="1" ref="F25" ca="1">IFERROR(IF(OR('Raw Data'!F25="",LEN(TRIM('Raw Data'!F25))=0),"",IF(AND(ISNUMBER('Raw Data'!F25), IFERROR('Raw Data'!F25 = ROUND('Raw Data'!F25, 2),FALSE)),"",_xlfn.REGEXEXTRACT(CELL("address",F25), "\$([A-Z]+)\$[0-9]+"))),_xlfn.REGEXEXTRACT(CELL("address",F25), "\$([A-Z]+)\$[0-9]+"))</f>
        <v/>
      </c>
      <c r="G25" s="7" t="str" cm="1">
        <f t="array" aca="1" ref="G25" ca="1">IFERROR(IF(OR('Raw Data'!G25="",LEN(TRIM('Raw Data'!G25))=0),"",IF(AND(ISNUMBER('Raw Data'!G25), IFERROR('Raw Data'!G25 = ROUND('Raw Data'!G25, 2),FALSE)),"",_xlfn.REGEXEXTRACT(CELL("address",G25), "\$([A-Z]+)\$[0-9]+"))),_xlfn.REGEXEXTRACT(CELL("address",G25), "\$([A-Z]+)\$[0-9]+"))</f>
        <v/>
      </c>
      <c r="H25" s="7" t="str" cm="1">
        <f t="array" aca="1" ref="H25" ca="1">IFERROR(IF(OR('Raw Data'!H25="",LEN(TRIM('Raw Data'!H25))=0),"",IF(AND(ISNUMBER('Raw Data'!H25), IFERROR('Raw Data'!H25 = ROUND('Raw Data'!H25, 2),FALSE)),"",_xlfn.REGEXEXTRACT(CELL("address",H25), "\$([A-Z]+)\$[0-9]+"))),_xlfn.REGEXEXTRACT(CELL("address",H25), "\$([A-Z]+)\$[0-9]+"))</f>
        <v/>
      </c>
      <c r="I25" s="7" t="str" cm="1">
        <f t="array" aca="1" ref="I25" ca="1">IFERROR(IF(OR('Raw Data'!I25="",LEN(TRIM('Raw Data'!I25))=0),"",IF(AND(ISNUMBER('Raw Data'!I25), IFERROR('Raw Data'!I25 = ROUND('Raw Data'!I25, 2),FALSE)),"",_xlfn.REGEXEXTRACT(CELL("address",I25), "\$([A-Z]+)\$[0-9]+"))),_xlfn.REGEXEXTRACT(CELL("address",I25), "\$([A-Z]+)\$[0-9]+"))</f>
        <v/>
      </c>
      <c r="J25" s="7" t="str" cm="1">
        <f t="array" aca="1" ref="J25" ca="1">IFERROR(IF(OR('Raw Data'!J25="",LEN(TRIM('Raw Data'!J25))=0),"",IF(AND(ISNUMBER('Raw Data'!J25), IFERROR('Raw Data'!J25 = ROUND('Raw Data'!J25, 2),FALSE)),"",_xlfn.REGEXEXTRACT(CELL("address",J25), "\$([A-Z]+)\$[0-9]+"))),_xlfn.REGEXEXTRACT(CELL("address",J25), "\$([A-Z]+)\$[0-9]+"))</f>
        <v/>
      </c>
      <c r="K25" s="7" t="str" cm="1">
        <f t="array" aca="1" ref="K25" ca="1">IFERROR(IF(OR('Raw Data'!K25="",LEN(TRIM('Raw Data'!K25))=0),"",IF(AND(ISNUMBER('Raw Data'!K25), IFERROR('Raw Data'!K25 = ROUND('Raw Data'!K25, 2),FALSE)),"",_xlfn.REGEXEXTRACT(CELL("address",K25), "\$([A-Z]+)\$[0-9]+"))),_xlfn.REGEXEXTRACT(CELL("address",K25), "\$([A-Z]+)\$[0-9]+"))</f>
        <v/>
      </c>
      <c r="L25" s="7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7" t="str" cm="1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7" t="str" cm="1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  <c r="O25" s="7" t="str" cm="1">
        <f t="array" aca="1" ref="O25" ca="1">IFERROR(IF(OR('Raw Data'!O25="",LEN(TRIM('Raw Data'!O25))=0),"",IF(AND(ISNUMBER('Raw Data'!O25), IFERROR('Raw Data'!O25 = ROUND('Raw Data'!O25, 2),FALSE)),"",_xlfn.REGEXEXTRACT(CELL("address",O25), "\$([A-Z]+)\$[0-9]+"))),_xlfn.REGEXEXTRACT(CELL("address",O25), "\$([A-Z]+)\$[0-9]+"))</f>
        <v/>
      </c>
      <c r="P25" s="7" t="str" cm="1">
        <f t="array" aca="1" ref="P25" ca="1">IFERROR(IF(OR('Raw Data'!P25="",LEN(TRIM('Raw Data'!P25))=0),"",IF(AND(ISNUMBER('Raw Data'!P25), IFERROR('Raw Data'!P25 = ROUND('Raw Data'!P25, 2),FALSE)),"",_xlfn.REGEXEXTRACT(CELL("address",P25), "\$([A-Z]+)\$[0-9]+"))),_xlfn.REGEXEXTRACT(CELL("address",P25), "\$([A-Z]+)\$[0-9]+"))</f>
        <v/>
      </c>
      <c r="Q25" s="7" t="str" cm="1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7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7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7" t="str" cm="1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7" t="str" cm="1">
        <f t="array" aca="1" ref="U25" ca="1">IFERROR(IF(OR('Raw Data'!U25="",LEN(TRIM('Raw Data'!U25))=0),"",IF(AND(ISNUMBER('Raw Data'!U25), IFERROR('Raw Data'!U25 = ROUND('Raw Data'!U25, 2),FALSE)),"",_xlfn.REGEXEXTRACT(CELL("address",U25), "\$([A-Z]+)\$[0-9]+"))),_xlfn.REGEXEXTRACT(CELL("address",U25), "\$([A-Z]+)\$[0-9]+"))</f>
        <v/>
      </c>
      <c r="V25" s="7" t="str" cm="1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7" t="str" cm="1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7" t="str" cm="1">
        <f t="array" aca="1" ref="X25" ca="1">IFERROR(IF(OR('Raw Data'!X25="",LEN(TRIM('Raw Data'!X25))=0),"",IF(AND(ISNUMBER('Raw Data'!X25), IFERROR('Raw Data'!X25 = ROUND('Raw Data'!X25, 2),FALSE)),"",_xlfn.REGEXEXTRACT(CELL("address",X25), "\$([A-Z]+)\$[0-9]+"))),_xlfn.REGEXEXTRACT(CELL("address",X25), "\$([A-Z]+)\$[0-9]+"))</f>
        <v/>
      </c>
      <c r="Y25" s="7" t="str" cm="1">
        <f t="array" aca="1" ref="Y25" ca="1">IFERROR(IF(OR('Raw Data'!Y25="",LEN(TRIM('Raw Data'!Y25))=0),"",IF(AND(ISNUMBER('Raw Data'!Y25), IFERROR('Raw Data'!Y25 = ROUND('Raw Data'!Y25, 2),FALSE)),"",_xlfn.REGEXEXTRACT(CELL("address",Y25), "\$([A-Z]+)\$[0-9]+"))),_xlfn.REGEXEXTRACT(CELL("address",Y25), "\$([A-Z]+)\$[0-9]+"))</f>
        <v/>
      </c>
      <c r="Z25" s="7" t="str" cm="1">
        <f t="array" aca="1" ref="Z25" ca="1">IFERROR(IF(OR('Raw Data'!Z25="",LEN(TRIM('Raw Data'!Z25))=0),"",IF(AND(ISNUMBER('Raw Data'!Z25), IFERROR('Raw Data'!Z25 = ROUND('Raw Data'!Z25, 2),FALSE)),"",_xlfn.REGEXEXTRACT(CELL("address",Z25), "\$([A-Z]+)\$[0-9]+"))),_xlfn.REGEXEXTRACT(CELL("address",Z25), "\$([A-Z]+)\$[0-9]+"))</f>
        <v/>
      </c>
      <c r="AA25" s="7" t="str" cm="1">
        <f t="array" aca="1" ref="AA25" ca="1">IFERROR(IF(OR('Raw Data'!AA25="",LEN(TRIM('Raw Data'!AA25))=0),"",IF(AND(ISNUMBER('Raw Data'!AA25), IFERROR('Raw Data'!AA25 = ROUND('Raw Data'!AA25, 2),FALSE)),"",_xlfn.REGEXEXTRACT(CELL("address",AA25), "\$([A-Z]+)\$[0-9]+"))),_xlfn.REGEXEXTRACT(CELL("address",AA25), "\$([A-Z]+)\$[0-9]+"))</f>
        <v/>
      </c>
      <c r="AB25" s="7" t="str" cm="1">
        <f t="array" aca="1" ref="AB25" ca="1">IFERROR(IF(OR('Raw Data'!AB25="",LEN(TRIM('Raw Data'!AB25))=0),"",IF(AND(ISNUMBER('Raw Data'!AB25), IFERROR('Raw Data'!AB25 = ROUND('Raw Data'!AB25, 2),FALSE)),"",_xlfn.REGEXEXTRACT(CELL("address",AB25), "\$([A-Z]+)\$[0-9]+"))),_xlfn.REGEXEXTRACT(CELL("address",AB25), "\$([A-Z]+)\$[0-9]+"))</f>
        <v/>
      </c>
    </row>
    <row r="26" spans="2:28" x14ac:dyDescent="0.25">
      <c r="B26" s="7" t="str" cm="1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20,LEN('Raw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Data'!D26))=0),"",IF(AND(ISNUMBER('Raw Data'!D26),'Raw Data'!D26&gt;=Configuration!$D$2),"",_xlfn.REGEXEXTRACT(CELL("address",'Raw Data'!D26),"\$([A-Z]+)\$[0-9]+"))),_xlfn.REGEXEXTRACT(CELL("address",D26), "\$([A-Z]+)\$[0-9]+"))</f>
        <v/>
      </c>
      <c r="E26" s="7" t="str" cm="1">
        <f t="array" aca="1" ref="E26" ca="1">IFERROR(IF(OR('Raw Data'!E26="",LEN(TRIM('Raw Data'!E26))=0),"",IF(AND(ISNUMBER('Raw Data'!E26), IFERROR('Raw Data'!E26 = ROUND('Raw Data'!E26, 2),FALSE)),"",_xlfn.REGEXEXTRACT(CELL("address",E26), "\$([A-Z]+)\$[0-9]+"))),_xlfn.REGEXEXTRACT(CELL("address",E26), "\$([A-Z]+)\$[0-9]+"))</f>
        <v/>
      </c>
      <c r="F26" s="7" t="str" cm="1">
        <f t="array" aca="1" ref="F26" ca="1">IFERROR(IF(OR('Raw Data'!F26="",LEN(TRIM('Raw Data'!F26))=0),"",IF(AND(ISNUMBER('Raw Data'!F26), IFERROR('Raw Data'!F26 = ROUND('Raw Data'!F26, 2),FALSE)),"",_xlfn.REGEXEXTRACT(CELL("address",F26), "\$([A-Z]+)\$[0-9]+"))),_xlfn.REGEXEXTRACT(CELL("address",F26), "\$([A-Z]+)\$[0-9]+"))</f>
        <v/>
      </c>
      <c r="G26" s="7" t="str" cm="1">
        <f t="array" aca="1" ref="G26" ca="1">IFERROR(IF(OR('Raw Data'!G26="",LEN(TRIM('Raw Data'!G26))=0),"",IF(AND(ISNUMBER('Raw Data'!G26), IFERROR('Raw Data'!G26 = ROUND('Raw Data'!G26, 2),FALSE)),"",_xlfn.REGEXEXTRACT(CELL("address",G26), "\$([A-Z]+)\$[0-9]+"))),_xlfn.REGEXEXTRACT(CELL("address",G26), "\$([A-Z]+)\$[0-9]+"))</f>
        <v/>
      </c>
      <c r="H26" s="7" t="str" cm="1">
        <f t="array" aca="1" ref="H26" ca="1">IFERROR(IF(OR('Raw Data'!H26="",LEN(TRIM('Raw Data'!H26))=0),"",IF(AND(ISNUMBER('Raw Data'!H26), IFERROR('Raw Data'!H26 = ROUND('Raw Data'!H26, 2),FALSE)),"",_xlfn.REGEXEXTRACT(CELL("address",H26), "\$([A-Z]+)\$[0-9]+"))),_xlfn.REGEXEXTRACT(CELL("address",H26), "\$([A-Z]+)\$[0-9]+"))</f>
        <v/>
      </c>
      <c r="I26" s="7" t="str" cm="1">
        <f t="array" aca="1" ref="I26" ca="1">IFERROR(IF(OR('Raw Data'!I26="",LEN(TRIM('Raw Data'!I26))=0),"",IF(AND(ISNUMBER('Raw Data'!I26), IFERROR('Raw Data'!I26 = ROUND('Raw Data'!I26, 2),FALSE)),"",_xlfn.REGEXEXTRACT(CELL("address",I26), "\$([A-Z]+)\$[0-9]+"))),_xlfn.REGEXEXTRACT(CELL("address",I26), "\$([A-Z]+)\$[0-9]+"))</f>
        <v/>
      </c>
      <c r="J26" s="7" t="str" cm="1">
        <f t="array" aca="1" ref="J26" ca="1">IFERROR(IF(OR('Raw Data'!J26="",LEN(TRIM('Raw Data'!J26))=0),"",IF(AND(ISNUMBER('Raw Data'!J26), IFERROR('Raw Data'!J26 = ROUND('Raw Data'!J26, 2),FALSE)),"",_xlfn.REGEXEXTRACT(CELL("address",J26), "\$([A-Z]+)\$[0-9]+"))),_xlfn.REGEXEXTRACT(CELL("address",J26), "\$([A-Z]+)\$[0-9]+"))</f>
        <v/>
      </c>
      <c r="K26" s="7" t="str" cm="1">
        <f t="array" aca="1" ref="K26" ca="1">IFERROR(IF(OR('Raw Data'!K26="",LEN(TRIM('Raw Data'!K26))=0),"",IF(AND(ISNUMBER('Raw Data'!K26), IFERROR('Raw Data'!K26 = ROUND('Raw Data'!K26, 2),FALSE)),"",_xlfn.REGEXEXTRACT(CELL("address",K26), "\$([A-Z]+)\$[0-9]+"))),_xlfn.REGEXEXTRACT(CELL("address",K26), "\$([A-Z]+)\$[0-9]+"))</f>
        <v/>
      </c>
      <c r="L26" s="7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7" t="str" cm="1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7" t="str" cm="1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  <c r="O26" s="7" t="str" cm="1">
        <f t="array" aca="1" ref="O26" ca="1">IFERROR(IF(OR('Raw Data'!O26="",LEN(TRIM('Raw Data'!O26))=0),"",IF(AND(ISNUMBER('Raw Data'!O26), IFERROR('Raw Data'!O26 = ROUND('Raw Data'!O26, 2),FALSE)),"",_xlfn.REGEXEXTRACT(CELL("address",O26), "\$([A-Z]+)\$[0-9]+"))),_xlfn.REGEXEXTRACT(CELL("address",O26), "\$([A-Z]+)\$[0-9]+"))</f>
        <v/>
      </c>
      <c r="P26" s="7" t="str" cm="1">
        <f t="array" aca="1" ref="P26" ca="1">IFERROR(IF(OR('Raw Data'!P26="",LEN(TRIM('Raw Data'!P26))=0),"",IF(AND(ISNUMBER('Raw Data'!P26), IFERROR('Raw Data'!P26 = ROUND('Raw Data'!P26, 2),FALSE)),"",_xlfn.REGEXEXTRACT(CELL("address",P26), "\$([A-Z]+)\$[0-9]+"))),_xlfn.REGEXEXTRACT(CELL("address",P26), "\$([A-Z]+)\$[0-9]+"))</f>
        <v/>
      </c>
      <c r="Q26" s="7" t="str" cm="1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7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7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7" t="str" cm="1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7" t="str" cm="1">
        <f t="array" aca="1" ref="U26" ca="1">IFERROR(IF(OR('Raw Data'!U26="",LEN(TRIM('Raw Data'!U26))=0),"",IF(AND(ISNUMBER('Raw Data'!U26), IFERROR('Raw Data'!U26 = ROUND('Raw Data'!U26, 2),FALSE)),"",_xlfn.REGEXEXTRACT(CELL("address",U26), "\$([A-Z]+)\$[0-9]+"))),_xlfn.REGEXEXTRACT(CELL("address",U26), "\$([A-Z]+)\$[0-9]+"))</f>
        <v/>
      </c>
      <c r="V26" s="7" t="str" cm="1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7" t="str" cm="1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7" t="str" cm="1">
        <f t="array" aca="1" ref="X26" ca="1">IFERROR(IF(OR('Raw Data'!X26="",LEN(TRIM('Raw Data'!X26))=0),"",IF(AND(ISNUMBER('Raw Data'!X26), IFERROR('Raw Data'!X26 = ROUND('Raw Data'!X26, 2),FALSE)),"",_xlfn.REGEXEXTRACT(CELL("address",X26), "\$([A-Z]+)\$[0-9]+"))),_xlfn.REGEXEXTRACT(CELL("address",X26), "\$([A-Z]+)\$[0-9]+"))</f>
        <v/>
      </c>
      <c r="Y26" s="7" t="str" cm="1">
        <f t="array" aca="1" ref="Y26" ca="1">IFERROR(IF(OR('Raw Data'!Y26="",LEN(TRIM('Raw Data'!Y26))=0),"",IF(AND(ISNUMBER('Raw Data'!Y26), IFERROR('Raw Data'!Y26 = ROUND('Raw Data'!Y26, 2),FALSE)),"",_xlfn.REGEXEXTRACT(CELL("address",Y26), "\$([A-Z]+)\$[0-9]+"))),_xlfn.REGEXEXTRACT(CELL("address",Y26), "\$([A-Z]+)\$[0-9]+"))</f>
        <v/>
      </c>
      <c r="Z26" s="7" t="str" cm="1">
        <f t="array" aca="1" ref="Z26" ca="1">IFERROR(IF(OR('Raw Data'!Z26="",LEN(TRIM('Raw Data'!Z26))=0),"",IF(AND(ISNUMBER('Raw Data'!Z26), IFERROR('Raw Data'!Z26 = ROUND('Raw Data'!Z26, 2),FALSE)),"",_xlfn.REGEXEXTRACT(CELL("address",Z26), "\$([A-Z]+)\$[0-9]+"))),_xlfn.REGEXEXTRACT(CELL("address",Z26), "\$([A-Z]+)\$[0-9]+"))</f>
        <v/>
      </c>
      <c r="AA26" s="7" t="str" cm="1">
        <f t="array" aca="1" ref="AA26" ca="1">IFERROR(IF(OR('Raw Data'!AA26="",LEN(TRIM('Raw Data'!AA26))=0),"",IF(AND(ISNUMBER('Raw Data'!AA26), IFERROR('Raw Data'!AA26 = ROUND('Raw Data'!AA26, 2),FALSE)),"",_xlfn.REGEXEXTRACT(CELL("address",AA26), "\$([A-Z]+)\$[0-9]+"))),_xlfn.REGEXEXTRACT(CELL("address",AA26), "\$([A-Z]+)\$[0-9]+"))</f>
        <v/>
      </c>
      <c r="AB26" s="7" t="str" cm="1">
        <f t="array" aca="1" ref="AB26" ca="1">IFERROR(IF(OR('Raw Data'!AB26="",LEN(TRIM('Raw Data'!AB26))=0),"",IF(AND(ISNUMBER('Raw Data'!AB26), IFERROR('Raw Data'!AB26 = ROUND('Raw Data'!AB26, 2),FALSE)),"",_xlfn.REGEXEXTRACT(CELL("address",AB26), "\$([A-Z]+)\$[0-9]+"))),_xlfn.REGEXEXTRACT(CELL("address",AB26), "\$([A-Z]+)\$[0-9]+"))</f>
        <v/>
      </c>
    </row>
    <row r="27" spans="2:28" x14ac:dyDescent="0.25">
      <c r="B27" s="7" t="str" cm="1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20,LEN('Raw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Data'!D27))=0),"",IF(AND(ISNUMBER('Raw Data'!D27),'Raw Data'!D27&gt;=Configuration!$D$2),"",_xlfn.REGEXEXTRACT(CELL("address",'Raw Data'!D27),"\$([A-Z]+)\$[0-9]+"))),_xlfn.REGEXEXTRACT(CELL("address",D27), "\$([A-Z]+)\$[0-9]+"))</f>
        <v/>
      </c>
      <c r="E27" s="7" t="str" cm="1">
        <f t="array" aca="1" ref="E27" ca="1">IFERROR(IF(OR('Raw Data'!E27="",LEN(TRIM('Raw Data'!E27))=0),"",IF(AND(ISNUMBER('Raw Data'!E27), IFERROR('Raw Data'!E27 = ROUND('Raw Data'!E27, 2),FALSE)),"",_xlfn.REGEXEXTRACT(CELL("address",E27), "\$([A-Z]+)\$[0-9]+"))),_xlfn.REGEXEXTRACT(CELL("address",E27), "\$([A-Z]+)\$[0-9]+"))</f>
        <v/>
      </c>
      <c r="F27" s="7" t="str" cm="1">
        <f t="array" aca="1" ref="F27" ca="1">IFERROR(IF(OR('Raw Data'!F27="",LEN(TRIM('Raw Data'!F27))=0),"",IF(AND(ISNUMBER('Raw Data'!F27), IFERROR('Raw Data'!F27 = ROUND('Raw Data'!F27, 2),FALSE)),"",_xlfn.REGEXEXTRACT(CELL("address",F27), "\$([A-Z]+)\$[0-9]+"))),_xlfn.REGEXEXTRACT(CELL("address",F27), "\$([A-Z]+)\$[0-9]+"))</f>
        <v/>
      </c>
      <c r="G27" s="7" t="str" cm="1">
        <f t="array" aca="1" ref="G27" ca="1">IFERROR(IF(OR('Raw Data'!G27="",LEN(TRIM('Raw Data'!G27))=0),"",IF(AND(ISNUMBER('Raw Data'!G27), IFERROR('Raw Data'!G27 = ROUND('Raw Data'!G27, 2),FALSE)),"",_xlfn.REGEXEXTRACT(CELL("address",G27), "\$([A-Z]+)\$[0-9]+"))),_xlfn.REGEXEXTRACT(CELL("address",G27), "\$([A-Z]+)\$[0-9]+"))</f>
        <v/>
      </c>
      <c r="H27" s="7" t="str" cm="1">
        <f t="array" aca="1" ref="H27" ca="1">IFERROR(IF(OR('Raw Data'!H27="",LEN(TRIM('Raw Data'!H27))=0),"",IF(AND(ISNUMBER('Raw Data'!H27), IFERROR('Raw Data'!H27 = ROUND('Raw Data'!H27, 2),FALSE)),"",_xlfn.REGEXEXTRACT(CELL("address",H27), "\$([A-Z]+)\$[0-9]+"))),_xlfn.REGEXEXTRACT(CELL("address",H27), "\$([A-Z]+)\$[0-9]+"))</f>
        <v/>
      </c>
      <c r="I27" s="7" t="str" cm="1">
        <f t="array" aca="1" ref="I27" ca="1">IFERROR(IF(OR('Raw Data'!I27="",LEN(TRIM('Raw Data'!I27))=0),"",IF(AND(ISNUMBER('Raw Data'!I27), IFERROR('Raw Data'!I27 = ROUND('Raw Data'!I27, 2),FALSE)),"",_xlfn.REGEXEXTRACT(CELL("address",I27), "\$([A-Z]+)\$[0-9]+"))),_xlfn.REGEXEXTRACT(CELL("address",I27), "\$([A-Z]+)\$[0-9]+"))</f>
        <v/>
      </c>
      <c r="J27" s="7" t="str" cm="1">
        <f t="array" aca="1" ref="J27" ca="1">IFERROR(IF(OR('Raw Data'!J27="",LEN(TRIM('Raw Data'!J27))=0),"",IF(AND(ISNUMBER('Raw Data'!J27), IFERROR('Raw Data'!J27 = ROUND('Raw Data'!J27, 2),FALSE)),"",_xlfn.REGEXEXTRACT(CELL("address",J27), "\$([A-Z]+)\$[0-9]+"))),_xlfn.REGEXEXTRACT(CELL("address",J27), "\$([A-Z]+)\$[0-9]+"))</f>
        <v/>
      </c>
      <c r="K27" s="7" t="str" cm="1">
        <f t="array" aca="1" ref="K27" ca="1">IFERROR(IF(OR('Raw Data'!K27="",LEN(TRIM('Raw Data'!K27))=0),"",IF(AND(ISNUMBER('Raw Data'!K27), IFERROR('Raw Data'!K27 = ROUND('Raw Data'!K27, 2),FALSE)),"",_xlfn.REGEXEXTRACT(CELL("address",K27), "\$([A-Z]+)\$[0-9]+"))),_xlfn.REGEXEXTRACT(CELL("address",K27), "\$([A-Z]+)\$[0-9]+"))</f>
        <v/>
      </c>
      <c r="L27" s="7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7" t="str" cm="1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7" t="str" cm="1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  <c r="O27" s="7" t="str" cm="1">
        <f t="array" aca="1" ref="O27" ca="1">IFERROR(IF(OR('Raw Data'!O27="",LEN(TRIM('Raw Data'!O27))=0),"",IF(AND(ISNUMBER('Raw Data'!O27), IFERROR('Raw Data'!O27 = ROUND('Raw Data'!O27, 2),FALSE)),"",_xlfn.REGEXEXTRACT(CELL("address",O27), "\$([A-Z]+)\$[0-9]+"))),_xlfn.REGEXEXTRACT(CELL("address",O27), "\$([A-Z]+)\$[0-9]+"))</f>
        <v/>
      </c>
      <c r="P27" s="7" t="str" cm="1">
        <f t="array" aca="1" ref="P27" ca="1">IFERROR(IF(OR('Raw Data'!P27="",LEN(TRIM('Raw Data'!P27))=0),"",IF(AND(ISNUMBER('Raw Data'!P27), IFERROR('Raw Data'!P27 = ROUND('Raw Data'!P27, 2),FALSE)),"",_xlfn.REGEXEXTRACT(CELL("address",P27), "\$([A-Z]+)\$[0-9]+"))),_xlfn.REGEXEXTRACT(CELL("address",P27), "\$([A-Z]+)\$[0-9]+"))</f>
        <v/>
      </c>
      <c r="Q27" s="7" t="str" cm="1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7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7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7" t="str" cm="1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7" t="str" cm="1">
        <f t="array" aca="1" ref="U27" ca="1">IFERROR(IF(OR('Raw Data'!U27="",LEN(TRIM('Raw Data'!U27))=0),"",IF(AND(ISNUMBER('Raw Data'!U27), IFERROR('Raw Data'!U27 = ROUND('Raw Data'!U27, 2),FALSE)),"",_xlfn.REGEXEXTRACT(CELL("address",U27), "\$([A-Z]+)\$[0-9]+"))),_xlfn.REGEXEXTRACT(CELL("address",U27), "\$([A-Z]+)\$[0-9]+"))</f>
        <v/>
      </c>
      <c r="V27" s="7" t="str" cm="1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7" t="str" cm="1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7" t="str" cm="1">
        <f t="array" aca="1" ref="X27" ca="1">IFERROR(IF(OR('Raw Data'!X27="",LEN(TRIM('Raw Data'!X27))=0),"",IF(AND(ISNUMBER('Raw Data'!X27), IFERROR('Raw Data'!X27 = ROUND('Raw Data'!X27, 2),FALSE)),"",_xlfn.REGEXEXTRACT(CELL("address",X27), "\$([A-Z]+)\$[0-9]+"))),_xlfn.REGEXEXTRACT(CELL("address",X27), "\$([A-Z]+)\$[0-9]+"))</f>
        <v/>
      </c>
      <c r="Y27" s="7" t="str" cm="1">
        <f t="array" aca="1" ref="Y27" ca="1">IFERROR(IF(OR('Raw Data'!Y27="",LEN(TRIM('Raw Data'!Y27))=0),"",IF(AND(ISNUMBER('Raw Data'!Y27), IFERROR('Raw Data'!Y27 = ROUND('Raw Data'!Y27, 2),FALSE)),"",_xlfn.REGEXEXTRACT(CELL("address",Y27), "\$([A-Z]+)\$[0-9]+"))),_xlfn.REGEXEXTRACT(CELL("address",Y27), "\$([A-Z]+)\$[0-9]+"))</f>
        <v/>
      </c>
      <c r="Z27" s="7" t="str" cm="1">
        <f t="array" aca="1" ref="Z27" ca="1">IFERROR(IF(OR('Raw Data'!Z27="",LEN(TRIM('Raw Data'!Z27))=0),"",IF(AND(ISNUMBER('Raw Data'!Z27), IFERROR('Raw Data'!Z27 = ROUND('Raw Data'!Z27, 2),FALSE)),"",_xlfn.REGEXEXTRACT(CELL("address",Z27), "\$([A-Z]+)\$[0-9]+"))),_xlfn.REGEXEXTRACT(CELL("address",Z27), "\$([A-Z]+)\$[0-9]+"))</f>
        <v/>
      </c>
      <c r="AA27" s="7" t="str" cm="1">
        <f t="array" aca="1" ref="AA27" ca="1">IFERROR(IF(OR('Raw Data'!AA27="",LEN(TRIM('Raw Data'!AA27))=0),"",IF(AND(ISNUMBER('Raw Data'!AA27), IFERROR('Raw Data'!AA27 = ROUND('Raw Data'!AA27, 2),FALSE)),"",_xlfn.REGEXEXTRACT(CELL("address",AA27), "\$([A-Z]+)\$[0-9]+"))),_xlfn.REGEXEXTRACT(CELL("address",AA27), "\$([A-Z]+)\$[0-9]+"))</f>
        <v/>
      </c>
      <c r="AB27" s="7" t="str" cm="1">
        <f t="array" aca="1" ref="AB27" ca="1">IFERROR(IF(OR('Raw Data'!AB27="",LEN(TRIM('Raw Data'!AB27))=0),"",IF(AND(ISNUMBER('Raw Data'!AB27), IFERROR('Raw Data'!AB27 = ROUND('Raw Data'!AB27, 2),FALSE)),"",_xlfn.REGEXEXTRACT(CELL("address",AB27), "\$([A-Z]+)\$[0-9]+"))),_xlfn.REGEXEXTRACT(CELL("address",AB27), "\$([A-Z]+)\$[0-9]+"))</f>
        <v/>
      </c>
    </row>
    <row r="28" spans="2:28" x14ac:dyDescent="0.25">
      <c r="B28" s="7" t="str" cm="1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20,LEN('Raw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Data'!D28))=0),"",IF(AND(ISNUMBER('Raw Data'!D28),'Raw Data'!D28&gt;=Configuration!$D$2),"",_xlfn.REGEXEXTRACT(CELL("address",'Raw Data'!D28),"\$([A-Z]+)\$[0-9]+"))),_xlfn.REGEXEXTRACT(CELL("address",D28), "\$([A-Z]+)\$[0-9]+"))</f>
        <v/>
      </c>
      <c r="E28" s="7" t="str" cm="1">
        <f t="array" aca="1" ref="E28" ca="1">IFERROR(IF(OR('Raw Data'!E28="",LEN(TRIM('Raw Data'!E28))=0),"",IF(AND(ISNUMBER('Raw Data'!E28), IFERROR('Raw Data'!E28 = ROUND('Raw Data'!E28, 2),FALSE)),"",_xlfn.REGEXEXTRACT(CELL("address",E28), "\$([A-Z]+)\$[0-9]+"))),_xlfn.REGEXEXTRACT(CELL("address",E28), "\$([A-Z]+)\$[0-9]+"))</f>
        <v/>
      </c>
      <c r="F28" s="7" t="str" cm="1">
        <f t="array" aca="1" ref="F28" ca="1">IFERROR(IF(OR('Raw Data'!F28="",LEN(TRIM('Raw Data'!F28))=0),"",IF(AND(ISNUMBER('Raw Data'!F28), IFERROR('Raw Data'!F28 = ROUND('Raw Data'!F28, 2),FALSE)),"",_xlfn.REGEXEXTRACT(CELL("address",F28), "\$([A-Z]+)\$[0-9]+"))),_xlfn.REGEXEXTRACT(CELL("address",F28), "\$([A-Z]+)\$[0-9]+"))</f>
        <v/>
      </c>
      <c r="G28" s="7" t="str" cm="1">
        <f t="array" aca="1" ref="G28" ca="1">IFERROR(IF(OR('Raw Data'!G28="",LEN(TRIM('Raw Data'!G28))=0),"",IF(AND(ISNUMBER('Raw Data'!G28), IFERROR('Raw Data'!G28 = ROUND('Raw Data'!G28, 2),FALSE)),"",_xlfn.REGEXEXTRACT(CELL("address",G28), "\$([A-Z]+)\$[0-9]+"))),_xlfn.REGEXEXTRACT(CELL("address",G28), "\$([A-Z]+)\$[0-9]+"))</f>
        <v/>
      </c>
      <c r="H28" s="7" t="str" cm="1">
        <f t="array" aca="1" ref="H28" ca="1">IFERROR(IF(OR('Raw Data'!H28="",LEN(TRIM('Raw Data'!H28))=0),"",IF(AND(ISNUMBER('Raw Data'!H28), IFERROR('Raw Data'!H28 = ROUND('Raw Data'!H28, 2),FALSE)),"",_xlfn.REGEXEXTRACT(CELL("address",H28), "\$([A-Z]+)\$[0-9]+"))),_xlfn.REGEXEXTRACT(CELL("address",H28), "\$([A-Z]+)\$[0-9]+"))</f>
        <v/>
      </c>
      <c r="I28" s="7" t="str" cm="1">
        <f t="array" aca="1" ref="I28" ca="1">IFERROR(IF(OR('Raw Data'!I28="",LEN(TRIM('Raw Data'!I28))=0),"",IF(AND(ISNUMBER('Raw Data'!I28), IFERROR('Raw Data'!I28 = ROUND('Raw Data'!I28, 2),FALSE)),"",_xlfn.REGEXEXTRACT(CELL("address",I28), "\$([A-Z]+)\$[0-9]+"))),_xlfn.REGEXEXTRACT(CELL("address",I28), "\$([A-Z]+)\$[0-9]+"))</f>
        <v/>
      </c>
      <c r="J28" s="7" t="str" cm="1">
        <f t="array" aca="1" ref="J28" ca="1">IFERROR(IF(OR('Raw Data'!J28="",LEN(TRIM('Raw Data'!J28))=0),"",IF(AND(ISNUMBER('Raw Data'!J28), IFERROR('Raw Data'!J28 = ROUND('Raw Data'!J28, 2),FALSE)),"",_xlfn.REGEXEXTRACT(CELL("address",J28), "\$([A-Z]+)\$[0-9]+"))),_xlfn.REGEXEXTRACT(CELL("address",J28), "\$([A-Z]+)\$[0-9]+"))</f>
        <v/>
      </c>
      <c r="K28" s="7" t="str" cm="1">
        <f t="array" aca="1" ref="K28" ca="1">IFERROR(IF(OR('Raw Data'!K28="",LEN(TRIM('Raw Data'!K28))=0),"",IF(AND(ISNUMBER('Raw Data'!K28), IFERROR('Raw Data'!K28 = ROUND('Raw Data'!K28, 2),FALSE)),"",_xlfn.REGEXEXTRACT(CELL("address",K28), "\$([A-Z]+)\$[0-9]+"))),_xlfn.REGEXEXTRACT(CELL("address",K28), "\$([A-Z]+)\$[0-9]+"))</f>
        <v/>
      </c>
      <c r="L28" s="7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7" t="str" cm="1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7" t="str" cm="1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  <c r="O28" s="7" t="str" cm="1">
        <f t="array" aca="1" ref="O28" ca="1">IFERROR(IF(OR('Raw Data'!O28="",LEN(TRIM('Raw Data'!O28))=0),"",IF(AND(ISNUMBER('Raw Data'!O28), IFERROR('Raw Data'!O28 = ROUND('Raw Data'!O28, 2),FALSE)),"",_xlfn.REGEXEXTRACT(CELL("address",O28), "\$([A-Z]+)\$[0-9]+"))),_xlfn.REGEXEXTRACT(CELL("address",O28), "\$([A-Z]+)\$[0-9]+"))</f>
        <v/>
      </c>
      <c r="P28" s="7" t="str" cm="1">
        <f t="array" aca="1" ref="P28" ca="1">IFERROR(IF(OR('Raw Data'!P28="",LEN(TRIM('Raw Data'!P28))=0),"",IF(AND(ISNUMBER('Raw Data'!P28), IFERROR('Raw Data'!P28 = ROUND('Raw Data'!P28, 2),FALSE)),"",_xlfn.REGEXEXTRACT(CELL("address",P28), "\$([A-Z]+)\$[0-9]+"))),_xlfn.REGEXEXTRACT(CELL("address",P28), "\$([A-Z]+)\$[0-9]+"))</f>
        <v/>
      </c>
      <c r="Q28" s="7" t="str" cm="1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7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7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7" t="str" cm="1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7" t="str" cm="1">
        <f t="array" aca="1" ref="U28" ca="1">IFERROR(IF(OR('Raw Data'!U28="",LEN(TRIM('Raw Data'!U28))=0),"",IF(AND(ISNUMBER('Raw Data'!U28), IFERROR('Raw Data'!U28 = ROUND('Raw Data'!U28, 2),FALSE)),"",_xlfn.REGEXEXTRACT(CELL("address",U28), "\$([A-Z]+)\$[0-9]+"))),_xlfn.REGEXEXTRACT(CELL("address",U28), "\$([A-Z]+)\$[0-9]+"))</f>
        <v/>
      </c>
      <c r="V28" s="7" t="str" cm="1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7" t="str" cm="1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7" t="str" cm="1">
        <f t="array" aca="1" ref="X28" ca="1">IFERROR(IF(OR('Raw Data'!X28="",LEN(TRIM('Raw Data'!X28))=0),"",IF(AND(ISNUMBER('Raw Data'!X28), IFERROR('Raw Data'!X28 = ROUND('Raw Data'!X28, 2),FALSE)),"",_xlfn.REGEXEXTRACT(CELL("address",X28), "\$([A-Z]+)\$[0-9]+"))),_xlfn.REGEXEXTRACT(CELL("address",X28), "\$([A-Z]+)\$[0-9]+"))</f>
        <v/>
      </c>
      <c r="Y28" s="7" t="str" cm="1">
        <f t="array" aca="1" ref="Y28" ca="1">IFERROR(IF(OR('Raw Data'!Y28="",LEN(TRIM('Raw Data'!Y28))=0),"",IF(AND(ISNUMBER('Raw Data'!Y28), IFERROR('Raw Data'!Y28 = ROUND('Raw Data'!Y28, 2),FALSE)),"",_xlfn.REGEXEXTRACT(CELL("address",Y28), "\$([A-Z]+)\$[0-9]+"))),_xlfn.REGEXEXTRACT(CELL("address",Y28), "\$([A-Z]+)\$[0-9]+"))</f>
        <v/>
      </c>
      <c r="Z28" s="7" t="str" cm="1">
        <f t="array" aca="1" ref="Z28" ca="1">IFERROR(IF(OR('Raw Data'!Z28="",LEN(TRIM('Raw Data'!Z28))=0),"",IF(AND(ISNUMBER('Raw Data'!Z28), IFERROR('Raw Data'!Z28 = ROUND('Raw Data'!Z28, 2),FALSE)),"",_xlfn.REGEXEXTRACT(CELL("address",Z28), "\$([A-Z]+)\$[0-9]+"))),_xlfn.REGEXEXTRACT(CELL("address",Z28), "\$([A-Z]+)\$[0-9]+"))</f>
        <v/>
      </c>
      <c r="AA28" s="7" t="str" cm="1">
        <f t="array" aca="1" ref="AA28" ca="1">IFERROR(IF(OR('Raw Data'!AA28="",LEN(TRIM('Raw Data'!AA28))=0),"",IF(AND(ISNUMBER('Raw Data'!AA28), IFERROR('Raw Data'!AA28 = ROUND('Raw Data'!AA28, 2),FALSE)),"",_xlfn.REGEXEXTRACT(CELL("address",AA28), "\$([A-Z]+)\$[0-9]+"))),_xlfn.REGEXEXTRACT(CELL("address",AA28), "\$([A-Z]+)\$[0-9]+"))</f>
        <v/>
      </c>
      <c r="AB28" s="7" t="str" cm="1">
        <f t="array" aca="1" ref="AB28" ca="1">IFERROR(IF(OR('Raw Data'!AB28="",LEN(TRIM('Raw Data'!AB28))=0),"",IF(AND(ISNUMBER('Raw Data'!AB28), IFERROR('Raw Data'!AB28 = ROUND('Raw Data'!AB28, 2),FALSE)),"",_xlfn.REGEXEXTRACT(CELL("address",AB28), "\$([A-Z]+)\$[0-9]+"))),_xlfn.REGEXEXTRACT(CELL("address",AB28), "\$([A-Z]+)\$[0-9]+"))</f>
        <v/>
      </c>
    </row>
    <row r="29" spans="2:28" x14ac:dyDescent="0.25">
      <c r="B29" s="7" t="str" cm="1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20,LEN('Raw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Data'!D29))=0),"",IF(AND(ISNUMBER('Raw Data'!D29),'Raw Data'!D29&gt;=Configuration!$D$2),"",_xlfn.REGEXEXTRACT(CELL("address",'Raw Data'!D29),"\$([A-Z]+)\$[0-9]+"))),_xlfn.REGEXEXTRACT(CELL("address",D29), "\$([A-Z]+)\$[0-9]+"))</f>
        <v/>
      </c>
      <c r="E29" s="7" t="str" cm="1">
        <f t="array" aca="1" ref="E29" ca="1">IFERROR(IF(OR('Raw Data'!E29="",LEN(TRIM('Raw Data'!E29))=0),"",IF(AND(ISNUMBER('Raw Data'!E29), IFERROR('Raw Data'!E29 = ROUND('Raw Data'!E29, 2),FALSE)),"",_xlfn.REGEXEXTRACT(CELL("address",E29), "\$([A-Z]+)\$[0-9]+"))),_xlfn.REGEXEXTRACT(CELL("address",E29), "\$([A-Z]+)\$[0-9]+"))</f>
        <v/>
      </c>
      <c r="F29" s="7" t="str" cm="1">
        <f t="array" aca="1" ref="F29" ca="1">IFERROR(IF(OR('Raw Data'!F29="",LEN(TRIM('Raw Data'!F29))=0),"",IF(AND(ISNUMBER('Raw Data'!F29), IFERROR('Raw Data'!F29 = ROUND('Raw Data'!F29, 2),FALSE)),"",_xlfn.REGEXEXTRACT(CELL("address",F29), "\$([A-Z]+)\$[0-9]+"))),_xlfn.REGEXEXTRACT(CELL("address",F29), "\$([A-Z]+)\$[0-9]+"))</f>
        <v/>
      </c>
      <c r="G29" s="7" t="str" cm="1">
        <f t="array" aca="1" ref="G29" ca="1">IFERROR(IF(OR('Raw Data'!G29="",LEN(TRIM('Raw Data'!G29))=0),"",IF(AND(ISNUMBER('Raw Data'!G29), IFERROR('Raw Data'!G29 = ROUND('Raw Data'!G29, 2),FALSE)),"",_xlfn.REGEXEXTRACT(CELL("address",G29), "\$([A-Z]+)\$[0-9]+"))),_xlfn.REGEXEXTRACT(CELL("address",G29), "\$([A-Z]+)\$[0-9]+"))</f>
        <v/>
      </c>
      <c r="H29" s="7" t="str" cm="1">
        <f t="array" aca="1" ref="H29" ca="1">IFERROR(IF(OR('Raw Data'!H29="",LEN(TRIM('Raw Data'!H29))=0),"",IF(AND(ISNUMBER('Raw Data'!H29), IFERROR('Raw Data'!H29 = ROUND('Raw Data'!H29, 2),FALSE)),"",_xlfn.REGEXEXTRACT(CELL("address",H29), "\$([A-Z]+)\$[0-9]+"))),_xlfn.REGEXEXTRACT(CELL("address",H29), "\$([A-Z]+)\$[0-9]+"))</f>
        <v/>
      </c>
      <c r="I29" s="7" t="str" cm="1">
        <f t="array" aca="1" ref="I29" ca="1">IFERROR(IF(OR('Raw Data'!I29="",LEN(TRIM('Raw Data'!I29))=0),"",IF(AND(ISNUMBER('Raw Data'!I29), IFERROR('Raw Data'!I29 = ROUND('Raw Data'!I29, 2),FALSE)),"",_xlfn.REGEXEXTRACT(CELL("address",I29), "\$([A-Z]+)\$[0-9]+"))),_xlfn.REGEXEXTRACT(CELL("address",I29), "\$([A-Z]+)\$[0-9]+"))</f>
        <v/>
      </c>
      <c r="J29" s="7" t="str" cm="1">
        <f t="array" aca="1" ref="J29" ca="1">IFERROR(IF(OR('Raw Data'!J29="",LEN(TRIM('Raw Data'!J29))=0),"",IF(AND(ISNUMBER('Raw Data'!J29), IFERROR('Raw Data'!J29 = ROUND('Raw Data'!J29, 2),FALSE)),"",_xlfn.REGEXEXTRACT(CELL("address",J29), "\$([A-Z]+)\$[0-9]+"))),_xlfn.REGEXEXTRACT(CELL("address",J29), "\$([A-Z]+)\$[0-9]+"))</f>
        <v/>
      </c>
      <c r="K29" s="7" t="str" cm="1">
        <f t="array" aca="1" ref="K29" ca="1">IFERROR(IF(OR('Raw Data'!K29="",LEN(TRIM('Raw Data'!K29))=0),"",IF(AND(ISNUMBER('Raw Data'!K29), IFERROR('Raw Data'!K29 = ROUND('Raw Data'!K29, 2),FALSE)),"",_xlfn.REGEXEXTRACT(CELL("address",K29), "\$([A-Z]+)\$[0-9]+"))),_xlfn.REGEXEXTRACT(CELL("address",K29), "\$([A-Z]+)\$[0-9]+"))</f>
        <v/>
      </c>
      <c r="L29" s="7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7" t="str" cm="1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7" t="str" cm="1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  <c r="O29" s="7" t="str" cm="1">
        <f t="array" aca="1" ref="O29" ca="1">IFERROR(IF(OR('Raw Data'!O29="",LEN(TRIM('Raw Data'!O29))=0),"",IF(AND(ISNUMBER('Raw Data'!O29), IFERROR('Raw Data'!O29 = ROUND('Raw Data'!O29, 2),FALSE)),"",_xlfn.REGEXEXTRACT(CELL("address",O29), "\$([A-Z]+)\$[0-9]+"))),_xlfn.REGEXEXTRACT(CELL("address",O29), "\$([A-Z]+)\$[0-9]+"))</f>
        <v/>
      </c>
      <c r="P29" s="7" t="str" cm="1">
        <f t="array" aca="1" ref="P29" ca="1">IFERROR(IF(OR('Raw Data'!P29="",LEN(TRIM('Raw Data'!P29))=0),"",IF(AND(ISNUMBER('Raw Data'!P29), IFERROR('Raw Data'!P29 = ROUND('Raw Data'!P29, 2),FALSE)),"",_xlfn.REGEXEXTRACT(CELL("address",P29), "\$([A-Z]+)\$[0-9]+"))),_xlfn.REGEXEXTRACT(CELL("address",P29), "\$([A-Z]+)\$[0-9]+"))</f>
        <v/>
      </c>
      <c r="Q29" s="7" t="str" cm="1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7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7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7" t="str" cm="1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7" t="str" cm="1">
        <f t="array" aca="1" ref="U29" ca="1">IFERROR(IF(OR('Raw Data'!U29="",LEN(TRIM('Raw Data'!U29))=0),"",IF(AND(ISNUMBER('Raw Data'!U29), IFERROR('Raw Data'!U29 = ROUND('Raw Data'!U29, 2),FALSE)),"",_xlfn.REGEXEXTRACT(CELL("address",U29), "\$([A-Z]+)\$[0-9]+"))),_xlfn.REGEXEXTRACT(CELL("address",U29), "\$([A-Z]+)\$[0-9]+"))</f>
        <v/>
      </c>
      <c r="V29" s="7" t="str" cm="1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7" t="str" cm="1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7" t="str" cm="1">
        <f t="array" aca="1" ref="X29" ca="1">IFERROR(IF(OR('Raw Data'!X29="",LEN(TRIM('Raw Data'!X29))=0),"",IF(AND(ISNUMBER('Raw Data'!X29), IFERROR('Raw Data'!X29 = ROUND('Raw Data'!X29, 2),FALSE)),"",_xlfn.REGEXEXTRACT(CELL("address",X29), "\$([A-Z]+)\$[0-9]+"))),_xlfn.REGEXEXTRACT(CELL("address",X29), "\$([A-Z]+)\$[0-9]+"))</f>
        <v/>
      </c>
      <c r="Y29" s="7" t="str" cm="1">
        <f t="array" aca="1" ref="Y29" ca="1">IFERROR(IF(OR('Raw Data'!Y29="",LEN(TRIM('Raw Data'!Y29))=0),"",IF(AND(ISNUMBER('Raw Data'!Y29), IFERROR('Raw Data'!Y29 = ROUND('Raw Data'!Y29, 2),FALSE)),"",_xlfn.REGEXEXTRACT(CELL("address",Y29), "\$([A-Z]+)\$[0-9]+"))),_xlfn.REGEXEXTRACT(CELL("address",Y29), "\$([A-Z]+)\$[0-9]+"))</f>
        <v/>
      </c>
      <c r="Z29" s="7" t="str" cm="1">
        <f t="array" aca="1" ref="Z29" ca="1">IFERROR(IF(OR('Raw Data'!Z29="",LEN(TRIM('Raw Data'!Z29))=0),"",IF(AND(ISNUMBER('Raw Data'!Z29), IFERROR('Raw Data'!Z29 = ROUND('Raw Data'!Z29, 2),FALSE)),"",_xlfn.REGEXEXTRACT(CELL("address",Z29), "\$([A-Z]+)\$[0-9]+"))),_xlfn.REGEXEXTRACT(CELL("address",Z29), "\$([A-Z]+)\$[0-9]+"))</f>
        <v/>
      </c>
      <c r="AA29" s="7" t="str" cm="1">
        <f t="array" aca="1" ref="AA29" ca="1">IFERROR(IF(OR('Raw Data'!AA29="",LEN(TRIM('Raw Data'!AA29))=0),"",IF(AND(ISNUMBER('Raw Data'!AA29), IFERROR('Raw Data'!AA29 = ROUND('Raw Data'!AA29, 2),FALSE)),"",_xlfn.REGEXEXTRACT(CELL("address",AA29), "\$([A-Z]+)\$[0-9]+"))),_xlfn.REGEXEXTRACT(CELL("address",AA29), "\$([A-Z]+)\$[0-9]+"))</f>
        <v/>
      </c>
      <c r="AB29" s="7" t="str" cm="1">
        <f t="array" aca="1" ref="AB29" ca="1">IFERROR(IF(OR('Raw Data'!AB29="",LEN(TRIM('Raw Data'!AB29))=0),"",IF(AND(ISNUMBER('Raw Data'!AB29), IFERROR('Raw Data'!AB29 = ROUND('Raw Data'!AB29, 2),FALSE)),"",_xlfn.REGEXEXTRACT(CELL("address",AB29), "\$([A-Z]+)\$[0-9]+"))),_xlfn.REGEXEXTRACT(CELL("address",AB29), "\$([A-Z]+)\$[0-9]+"))</f>
        <v/>
      </c>
    </row>
    <row r="30" spans="2:28" x14ac:dyDescent="0.25">
      <c r="B30" s="7" t="str" cm="1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20,LEN('Raw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Data'!D30))=0),"",IF(AND(ISNUMBER('Raw Data'!D30),'Raw Data'!D30&gt;=Configuration!$D$2),"",_xlfn.REGEXEXTRACT(CELL("address",'Raw Data'!D30),"\$([A-Z]+)\$[0-9]+"))),_xlfn.REGEXEXTRACT(CELL("address",D30), "\$([A-Z]+)\$[0-9]+"))</f>
        <v/>
      </c>
      <c r="E30" s="7" t="str" cm="1">
        <f t="array" aca="1" ref="E30" ca="1">IFERROR(IF(OR('Raw Data'!E30="",LEN(TRIM('Raw Data'!E30))=0),"",IF(AND(ISNUMBER('Raw Data'!E30), IFERROR('Raw Data'!E30 = ROUND('Raw Data'!E30, 2),FALSE)),"",_xlfn.REGEXEXTRACT(CELL("address",E30), "\$([A-Z]+)\$[0-9]+"))),_xlfn.REGEXEXTRACT(CELL("address",E30), "\$([A-Z]+)\$[0-9]+"))</f>
        <v/>
      </c>
      <c r="F30" s="7" t="str" cm="1">
        <f t="array" aca="1" ref="F30" ca="1">IFERROR(IF(OR('Raw Data'!F30="",LEN(TRIM('Raw Data'!F30))=0),"",IF(AND(ISNUMBER('Raw Data'!F30), IFERROR('Raw Data'!F30 = ROUND('Raw Data'!F30, 2),FALSE)),"",_xlfn.REGEXEXTRACT(CELL("address",F30), "\$([A-Z]+)\$[0-9]+"))),_xlfn.REGEXEXTRACT(CELL("address",F30), "\$([A-Z]+)\$[0-9]+"))</f>
        <v/>
      </c>
      <c r="G30" s="7" t="str" cm="1">
        <f t="array" aca="1" ref="G30" ca="1">IFERROR(IF(OR('Raw Data'!G30="",LEN(TRIM('Raw Data'!G30))=0),"",IF(AND(ISNUMBER('Raw Data'!G30), IFERROR('Raw Data'!G30 = ROUND('Raw Data'!G30, 2),FALSE)),"",_xlfn.REGEXEXTRACT(CELL("address",G30), "\$([A-Z]+)\$[0-9]+"))),_xlfn.REGEXEXTRACT(CELL("address",G30), "\$([A-Z]+)\$[0-9]+"))</f>
        <v/>
      </c>
      <c r="H30" s="7" t="str" cm="1">
        <f t="array" aca="1" ref="H30" ca="1">IFERROR(IF(OR('Raw Data'!H30="",LEN(TRIM('Raw Data'!H30))=0),"",IF(AND(ISNUMBER('Raw Data'!H30), IFERROR('Raw Data'!H30 = ROUND('Raw Data'!H30, 2),FALSE)),"",_xlfn.REGEXEXTRACT(CELL("address",H30), "\$([A-Z]+)\$[0-9]+"))),_xlfn.REGEXEXTRACT(CELL("address",H30), "\$([A-Z]+)\$[0-9]+"))</f>
        <v/>
      </c>
      <c r="I30" s="7" t="str" cm="1">
        <f t="array" aca="1" ref="I30" ca="1">IFERROR(IF(OR('Raw Data'!I30="",LEN(TRIM('Raw Data'!I30))=0),"",IF(AND(ISNUMBER('Raw Data'!I30), IFERROR('Raw Data'!I30 = ROUND('Raw Data'!I30, 2),FALSE)),"",_xlfn.REGEXEXTRACT(CELL("address",I30), "\$([A-Z]+)\$[0-9]+"))),_xlfn.REGEXEXTRACT(CELL("address",I30), "\$([A-Z]+)\$[0-9]+"))</f>
        <v/>
      </c>
      <c r="J30" s="7" t="str" cm="1">
        <f t="array" aca="1" ref="J30" ca="1">IFERROR(IF(OR('Raw Data'!J30="",LEN(TRIM('Raw Data'!J30))=0),"",IF(AND(ISNUMBER('Raw Data'!J30), IFERROR('Raw Data'!J30 = ROUND('Raw Data'!J30, 2),FALSE)),"",_xlfn.REGEXEXTRACT(CELL("address",J30), "\$([A-Z]+)\$[0-9]+"))),_xlfn.REGEXEXTRACT(CELL("address",J30), "\$([A-Z]+)\$[0-9]+"))</f>
        <v/>
      </c>
      <c r="K30" s="7" t="str" cm="1">
        <f t="array" aca="1" ref="K30" ca="1">IFERROR(IF(OR('Raw Data'!K30="",LEN(TRIM('Raw Data'!K30))=0),"",IF(AND(ISNUMBER('Raw Data'!K30), IFERROR('Raw Data'!K30 = ROUND('Raw Data'!K30, 2),FALSE)),"",_xlfn.REGEXEXTRACT(CELL("address",K30), "\$([A-Z]+)\$[0-9]+"))),_xlfn.REGEXEXTRACT(CELL("address",K30), "\$([A-Z]+)\$[0-9]+"))</f>
        <v/>
      </c>
      <c r="L30" s="7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7" t="str" cm="1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7" t="str" cm="1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  <c r="O30" s="7" t="str" cm="1">
        <f t="array" aca="1" ref="O30" ca="1">IFERROR(IF(OR('Raw Data'!O30="",LEN(TRIM('Raw Data'!O30))=0),"",IF(AND(ISNUMBER('Raw Data'!O30), IFERROR('Raw Data'!O30 = ROUND('Raw Data'!O30, 2),FALSE)),"",_xlfn.REGEXEXTRACT(CELL("address",O30), "\$([A-Z]+)\$[0-9]+"))),_xlfn.REGEXEXTRACT(CELL("address",O30), "\$([A-Z]+)\$[0-9]+"))</f>
        <v/>
      </c>
      <c r="P30" s="7" t="str" cm="1">
        <f t="array" aca="1" ref="P30" ca="1">IFERROR(IF(OR('Raw Data'!P30="",LEN(TRIM('Raw Data'!P30))=0),"",IF(AND(ISNUMBER('Raw Data'!P30), IFERROR('Raw Data'!P30 = ROUND('Raw Data'!P30, 2),FALSE)),"",_xlfn.REGEXEXTRACT(CELL("address",P30), "\$([A-Z]+)\$[0-9]+"))),_xlfn.REGEXEXTRACT(CELL("address",P30), "\$([A-Z]+)\$[0-9]+"))</f>
        <v/>
      </c>
      <c r="Q30" s="7" t="str" cm="1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7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7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7" t="str" cm="1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7" t="str" cm="1">
        <f t="array" aca="1" ref="U30" ca="1">IFERROR(IF(OR('Raw Data'!U30="",LEN(TRIM('Raw Data'!U30))=0),"",IF(AND(ISNUMBER('Raw Data'!U30), IFERROR('Raw Data'!U30 = ROUND('Raw Data'!U30, 2),FALSE)),"",_xlfn.REGEXEXTRACT(CELL("address",U30), "\$([A-Z]+)\$[0-9]+"))),_xlfn.REGEXEXTRACT(CELL("address",U30), "\$([A-Z]+)\$[0-9]+"))</f>
        <v/>
      </c>
      <c r="V30" s="7" t="str" cm="1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7" t="str" cm="1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7" t="str" cm="1">
        <f t="array" aca="1" ref="X30" ca="1">IFERROR(IF(OR('Raw Data'!X30="",LEN(TRIM('Raw Data'!X30))=0),"",IF(AND(ISNUMBER('Raw Data'!X30), IFERROR('Raw Data'!X30 = ROUND('Raw Data'!X30, 2),FALSE)),"",_xlfn.REGEXEXTRACT(CELL("address",X30), "\$([A-Z]+)\$[0-9]+"))),_xlfn.REGEXEXTRACT(CELL("address",X30), "\$([A-Z]+)\$[0-9]+"))</f>
        <v/>
      </c>
      <c r="Y30" s="7" t="str" cm="1">
        <f t="array" aca="1" ref="Y30" ca="1">IFERROR(IF(OR('Raw Data'!Y30="",LEN(TRIM('Raw Data'!Y30))=0),"",IF(AND(ISNUMBER('Raw Data'!Y30), IFERROR('Raw Data'!Y30 = ROUND('Raw Data'!Y30, 2),FALSE)),"",_xlfn.REGEXEXTRACT(CELL("address",Y30), "\$([A-Z]+)\$[0-9]+"))),_xlfn.REGEXEXTRACT(CELL("address",Y30), "\$([A-Z]+)\$[0-9]+"))</f>
        <v/>
      </c>
      <c r="Z30" s="7" t="str" cm="1">
        <f t="array" aca="1" ref="Z30" ca="1">IFERROR(IF(OR('Raw Data'!Z30="",LEN(TRIM('Raw Data'!Z30))=0),"",IF(AND(ISNUMBER('Raw Data'!Z30), IFERROR('Raw Data'!Z30 = ROUND('Raw Data'!Z30, 2),FALSE)),"",_xlfn.REGEXEXTRACT(CELL("address",Z30), "\$([A-Z]+)\$[0-9]+"))),_xlfn.REGEXEXTRACT(CELL("address",Z30), "\$([A-Z]+)\$[0-9]+"))</f>
        <v/>
      </c>
      <c r="AA30" s="7" t="str" cm="1">
        <f t="array" aca="1" ref="AA30" ca="1">IFERROR(IF(OR('Raw Data'!AA30="",LEN(TRIM('Raw Data'!AA30))=0),"",IF(AND(ISNUMBER('Raw Data'!AA30), IFERROR('Raw Data'!AA30 = ROUND('Raw Data'!AA30, 2),FALSE)),"",_xlfn.REGEXEXTRACT(CELL("address",AA30), "\$([A-Z]+)\$[0-9]+"))),_xlfn.REGEXEXTRACT(CELL("address",AA30), "\$([A-Z]+)\$[0-9]+"))</f>
        <v/>
      </c>
      <c r="AB30" s="7" t="str" cm="1">
        <f t="array" aca="1" ref="AB30" ca="1">IFERROR(IF(OR('Raw Data'!AB30="",LEN(TRIM('Raw Data'!AB30))=0),"",IF(AND(ISNUMBER('Raw Data'!AB30), IFERROR('Raw Data'!AB30 = ROUND('Raw Data'!AB30, 2),FALSE)),"",_xlfn.REGEXEXTRACT(CELL("address",AB30), "\$([A-Z]+)\$[0-9]+"))),_xlfn.REGEXEXTRACT(CELL("address",AB30), "\$([A-Z]+)\$[0-9]+"))</f>
        <v/>
      </c>
    </row>
    <row r="31" spans="2:28" x14ac:dyDescent="0.25">
      <c r="B31" s="7" t="str" cm="1">
        <f t="array" aca="1" ref="B31" ca="1">IFERROR(IF(OR('Raw Data'!B31="",LEN(TRIM('Raw Data'!B31))=0),"",IF(AND(LEN('Raw Data'!B31) &lt;= 255,LEN('Raw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20,LEN('Raw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Data'!D31))=0),"",IF(AND(ISNUMBER('Raw Data'!D31),'Raw Data'!D31&gt;=Configuration!$D$2),"",_xlfn.REGEXEXTRACT(CELL("address",'Raw Data'!D31),"\$([A-Z]+)\$[0-9]+"))),_xlfn.REGEXEXTRACT(CELL("address",D31), "\$([A-Z]+)\$[0-9]+"))</f>
        <v/>
      </c>
      <c r="E31" s="7" t="str" cm="1">
        <f t="array" aca="1" ref="E31" ca="1">IFERROR(IF(OR('Raw Data'!E31="",LEN(TRIM('Raw Data'!E31))=0),"",IF(AND(ISNUMBER('Raw Data'!E31), IFERROR('Raw Data'!E31 = ROUND('Raw Data'!E31, 2),FALSE)),"",_xlfn.REGEXEXTRACT(CELL("address",E31), "\$([A-Z]+)\$[0-9]+"))),_xlfn.REGEXEXTRACT(CELL("address",E31), "\$([A-Z]+)\$[0-9]+"))</f>
        <v/>
      </c>
      <c r="F31" s="7" t="str" cm="1">
        <f t="array" aca="1" ref="F31" ca="1">IFERROR(IF(OR('Raw Data'!F31="",LEN(TRIM('Raw Data'!F31))=0),"",IF(AND(ISNUMBER('Raw Data'!F31), IFERROR('Raw Data'!F31 = ROUND('Raw Data'!F31, 2),FALSE)),"",_xlfn.REGEXEXTRACT(CELL("address",F31), "\$([A-Z]+)\$[0-9]+"))),_xlfn.REGEXEXTRACT(CELL("address",F31), "\$([A-Z]+)\$[0-9]+"))</f>
        <v/>
      </c>
      <c r="G31" s="7" t="str" cm="1">
        <f t="array" aca="1" ref="G31" ca="1">IFERROR(IF(OR('Raw Data'!G31="",LEN(TRIM('Raw Data'!G31))=0),"",IF(AND(ISNUMBER('Raw Data'!G31), IFERROR('Raw Data'!G31 = ROUND('Raw Data'!G31, 2),FALSE)),"",_xlfn.REGEXEXTRACT(CELL("address",G31), "\$([A-Z]+)\$[0-9]+"))),_xlfn.REGEXEXTRACT(CELL("address",G31), "\$([A-Z]+)\$[0-9]+"))</f>
        <v/>
      </c>
      <c r="H31" s="7" t="str" cm="1">
        <f t="array" aca="1" ref="H31" ca="1">IFERROR(IF(OR('Raw Data'!H31="",LEN(TRIM('Raw Data'!H31))=0),"",IF(AND(ISNUMBER('Raw Data'!H31), IFERROR('Raw Data'!H31 = ROUND('Raw Data'!H31, 2),FALSE)),"",_xlfn.REGEXEXTRACT(CELL("address",H31), "\$([A-Z]+)\$[0-9]+"))),_xlfn.REGEXEXTRACT(CELL("address",H31), "\$([A-Z]+)\$[0-9]+"))</f>
        <v/>
      </c>
      <c r="I31" s="7" t="str" cm="1">
        <f t="array" aca="1" ref="I31" ca="1">IFERROR(IF(OR('Raw Data'!I31="",LEN(TRIM('Raw Data'!I31))=0),"",IF(AND(ISNUMBER('Raw Data'!I31), IFERROR('Raw Data'!I31 = ROUND('Raw Data'!I31, 2),FALSE)),"",_xlfn.REGEXEXTRACT(CELL("address",I31), "\$([A-Z]+)\$[0-9]+"))),_xlfn.REGEXEXTRACT(CELL("address",I31), "\$([A-Z]+)\$[0-9]+"))</f>
        <v/>
      </c>
      <c r="J31" s="7" t="str" cm="1">
        <f t="array" aca="1" ref="J31" ca="1">IFERROR(IF(OR('Raw Data'!J31="",LEN(TRIM('Raw Data'!J31))=0),"",IF(AND(ISNUMBER('Raw Data'!J31), IFERROR('Raw Data'!J31 = ROUND('Raw Data'!J31, 2),FALSE)),"",_xlfn.REGEXEXTRACT(CELL("address",J31), "\$([A-Z]+)\$[0-9]+"))),_xlfn.REGEXEXTRACT(CELL("address",J31), "\$([A-Z]+)\$[0-9]+"))</f>
        <v/>
      </c>
      <c r="K31" s="7" t="str" cm="1">
        <f t="array" aca="1" ref="K31" ca="1">IFERROR(IF(OR('Raw Data'!K31="",LEN(TRIM('Raw Data'!K31))=0),"",IF(AND(ISNUMBER('Raw Data'!K31), IFERROR('Raw Data'!K31 = ROUND('Raw Data'!K31, 2),FALSE)),"",_xlfn.REGEXEXTRACT(CELL("address",K31), "\$([A-Z]+)\$[0-9]+"))),_xlfn.REGEXEXTRACT(CELL("address",K31), "\$([A-Z]+)\$[0-9]+"))</f>
        <v/>
      </c>
      <c r="L31" s="7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7" t="str" cm="1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7" t="str" cm="1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  <c r="O31" s="7" t="str" cm="1">
        <f t="array" aca="1" ref="O31" ca="1">IFERROR(IF(OR('Raw Data'!O31="",LEN(TRIM('Raw Data'!O31))=0),"",IF(AND(ISNUMBER('Raw Data'!O31), IFERROR('Raw Data'!O31 = ROUND('Raw Data'!O31, 2),FALSE)),"",_xlfn.REGEXEXTRACT(CELL("address",O31), "\$([A-Z]+)\$[0-9]+"))),_xlfn.REGEXEXTRACT(CELL("address",O31), "\$([A-Z]+)\$[0-9]+"))</f>
        <v/>
      </c>
      <c r="P31" s="7" t="str" cm="1">
        <f t="array" aca="1" ref="P31" ca="1">IFERROR(IF(OR('Raw Data'!P31="",LEN(TRIM('Raw Data'!P31))=0),"",IF(AND(ISNUMBER('Raw Data'!P31), IFERROR('Raw Data'!P31 = ROUND('Raw Data'!P31, 2),FALSE)),"",_xlfn.REGEXEXTRACT(CELL("address",P31), "\$([A-Z]+)\$[0-9]+"))),_xlfn.REGEXEXTRACT(CELL("address",P31), "\$([A-Z]+)\$[0-9]+"))</f>
        <v/>
      </c>
      <c r="Q31" s="7" t="str" cm="1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7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7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7" t="str" cm="1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7" t="str" cm="1">
        <f t="array" aca="1" ref="U31" ca="1">IFERROR(IF(OR('Raw Data'!U31="",LEN(TRIM('Raw Data'!U31))=0),"",IF(AND(ISNUMBER('Raw Data'!U31), IFERROR('Raw Data'!U31 = ROUND('Raw Data'!U31, 2),FALSE)),"",_xlfn.REGEXEXTRACT(CELL("address",U31), "\$([A-Z]+)\$[0-9]+"))),_xlfn.REGEXEXTRACT(CELL("address",U31), "\$([A-Z]+)\$[0-9]+"))</f>
        <v/>
      </c>
      <c r="V31" s="7" t="str" cm="1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7" t="str" cm="1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7" t="str" cm="1">
        <f t="array" aca="1" ref="X31" ca="1">IFERROR(IF(OR('Raw Data'!X31="",LEN(TRIM('Raw Data'!X31))=0),"",IF(AND(ISNUMBER('Raw Data'!X31), IFERROR('Raw Data'!X31 = ROUND('Raw Data'!X31, 2),FALSE)),"",_xlfn.REGEXEXTRACT(CELL("address",X31), "\$([A-Z]+)\$[0-9]+"))),_xlfn.REGEXEXTRACT(CELL("address",X31), "\$([A-Z]+)\$[0-9]+"))</f>
        <v/>
      </c>
      <c r="Y31" s="7" t="str" cm="1">
        <f t="array" aca="1" ref="Y31" ca="1">IFERROR(IF(OR('Raw Data'!Y31="",LEN(TRIM('Raw Data'!Y31))=0),"",IF(AND(ISNUMBER('Raw Data'!Y31), IFERROR('Raw Data'!Y31 = ROUND('Raw Data'!Y31, 2),FALSE)),"",_xlfn.REGEXEXTRACT(CELL("address",Y31), "\$([A-Z]+)\$[0-9]+"))),_xlfn.REGEXEXTRACT(CELL("address",Y31), "\$([A-Z]+)\$[0-9]+"))</f>
        <v/>
      </c>
      <c r="Z31" s="7" t="str" cm="1">
        <f t="array" aca="1" ref="Z31" ca="1">IFERROR(IF(OR('Raw Data'!Z31="",LEN(TRIM('Raw Data'!Z31))=0),"",IF(AND(ISNUMBER('Raw Data'!Z31), IFERROR('Raw Data'!Z31 = ROUND('Raw Data'!Z31, 2),FALSE)),"",_xlfn.REGEXEXTRACT(CELL("address",Z31), "\$([A-Z]+)\$[0-9]+"))),_xlfn.REGEXEXTRACT(CELL("address",Z31), "\$([A-Z]+)\$[0-9]+"))</f>
        <v/>
      </c>
      <c r="AA31" s="7" t="str" cm="1">
        <f t="array" aca="1" ref="AA31" ca="1">IFERROR(IF(OR('Raw Data'!AA31="",LEN(TRIM('Raw Data'!AA31))=0),"",IF(AND(ISNUMBER('Raw Data'!AA31), IFERROR('Raw Data'!AA31 = ROUND('Raw Data'!AA31, 2),FALSE)),"",_xlfn.REGEXEXTRACT(CELL("address",AA31), "\$([A-Z]+)\$[0-9]+"))),_xlfn.REGEXEXTRACT(CELL("address",AA31), "\$([A-Z]+)\$[0-9]+"))</f>
        <v/>
      </c>
      <c r="AB31" s="7" t="str" cm="1">
        <f t="array" aca="1" ref="AB31" ca="1">IFERROR(IF(OR('Raw Data'!AB31="",LEN(TRIM('Raw Data'!AB31))=0),"",IF(AND(ISNUMBER('Raw Data'!AB31), IFERROR('Raw Data'!AB31 = ROUND('Raw Data'!AB31, 2),FALSE)),"",_xlfn.REGEXEXTRACT(CELL("address",AB31), "\$([A-Z]+)\$[0-9]+"))),_xlfn.REGEXEXTRACT(CELL("address",AB31), "\$([A-Z]+)\$[0-9]+"))</f>
        <v/>
      </c>
    </row>
    <row r="32" spans="2:28" x14ac:dyDescent="0.25">
      <c r="B32" s="7" t="str" cm="1">
        <f t="array" aca="1" ref="B32" ca="1">IFERROR(IF(OR('Raw Data'!B32="",LEN(TRIM('Raw Data'!B32))=0),"",IF(AND(LEN('Raw Data'!B32) &lt;= 255,LEN('Raw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20,LEN('Raw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Data'!D32))=0),"",IF(AND(ISNUMBER('Raw Data'!D32),'Raw Data'!D32&gt;=Configuration!$D$2),"",_xlfn.REGEXEXTRACT(CELL("address",'Raw Data'!D32),"\$([A-Z]+)\$[0-9]+"))),_xlfn.REGEXEXTRACT(CELL("address",D32), "\$([A-Z]+)\$[0-9]+"))</f>
        <v/>
      </c>
      <c r="E32" s="7" t="str" cm="1">
        <f t="array" aca="1" ref="E32" ca="1">IFERROR(IF(OR('Raw Data'!E32="",LEN(TRIM('Raw Data'!E32))=0),"",IF(AND(ISNUMBER('Raw Data'!E32), IFERROR('Raw Data'!E32 = ROUND('Raw Data'!E32, 2),FALSE)),"",_xlfn.REGEXEXTRACT(CELL("address",E32), "\$([A-Z]+)\$[0-9]+"))),_xlfn.REGEXEXTRACT(CELL("address",E32), "\$([A-Z]+)\$[0-9]+"))</f>
        <v/>
      </c>
      <c r="F32" s="7" t="str" cm="1">
        <f t="array" aca="1" ref="F32" ca="1">IFERROR(IF(OR('Raw Data'!F32="",LEN(TRIM('Raw Data'!F32))=0),"",IF(AND(ISNUMBER('Raw Data'!F32), IFERROR('Raw Data'!F32 = ROUND('Raw Data'!F32, 2),FALSE)),"",_xlfn.REGEXEXTRACT(CELL("address",F32), "\$([A-Z]+)\$[0-9]+"))),_xlfn.REGEXEXTRACT(CELL("address",F32), "\$([A-Z]+)\$[0-9]+"))</f>
        <v/>
      </c>
      <c r="G32" s="7" t="str" cm="1">
        <f t="array" aca="1" ref="G32" ca="1">IFERROR(IF(OR('Raw Data'!G32="",LEN(TRIM('Raw Data'!G32))=0),"",IF(AND(ISNUMBER('Raw Data'!G32), IFERROR('Raw Data'!G32 = ROUND('Raw Data'!G32, 2),FALSE)),"",_xlfn.REGEXEXTRACT(CELL("address",G32), "\$([A-Z]+)\$[0-9]+"))),_xlfn.REGEXEXTRACT(CELL("address",G32), "\$([A-Z]+)\$[0-9]+"))</f>
        <v/>
      </c>
      <c r="H32" s="7" t="str" cm="1">
        <f t="array" aca="1" ref="H32" ca="1">IFERROR(IF(OR('Raw Data'!H32="",LEN(TRIM('Raw Data'!H32))=0),"",IF(AND(ISNUMBER('Raw Data'!H32), IFERROR('Raw Data'!H32 = ROUND('Raw Data'!H32, 2),FALSE)),"",_xlfn.REGEXEXTRACT(CELL("address",H32), "\$([A-Z]+)\$[0-9]+"))),_xlfn.REGEXEXTRACT(CELL("address",H32), "\$([A-Z]+)\$[0-9]+"))</f>
        <v/>
      </c>
      <c r="I32" s="7" t="str" cm="1">
        <f t="array" aca="1" ref="I32" ca="1">IFERROR(IF(OR('Raw Data'!I32="",LEN(TRIM('Raw Data'!I32))=0),"",IF(AND(ISNUMBER('Raw Data'!I32), IFERROR('Raw Data'!I32 = ROUND('Raw Data'!I32, 2),FALSE)),"",_xlfn.REGEXEXTRACT(CELL("address",I32), "\$([A-Z]+)\$[0-9]+"))),_xlfn.REGEXEXTRACT(CELL("address",I32), "\$([A-Z]+)\$[0-9]+"))</f>
        <v/>
      </c>
      <c r="J32" s="7" t="str" cm="1">
        <f t="array" aca="1" ref="J32" ca="1">IFERROR(IF(OR('Raw Data'!J32="",LEN(TRIM('Raw Data'!J32))=0),"",IF(AND(ISNUMBER('Raw Data'!J32), IFERROR('Raw Data'!J32 = ROUND('Raw Data'!J32, 2),FALSE)),"",_xlfn.REGEXEXTRACT(CELL("address",J32), "\$([A-Z]+)\$[0-9]+"))),_xlfn.REGEXEXTRACT(CELL("address",J32), "\$([A-Z]+)\$[0-9]+"))</f>
        <v/>
      </c>
      <c r="K32" s="7" t="str" cm="1">
        <f t="array" aca="1" ref="K32" ca="1">IFERROR(IF(OR('Raw Data'!K32="",LEN(TRIM('Raw Data'!K32))=0),"",IF(AND(ISNUMBER('Raw Data'!K32), IFERROR('Raw Data'!K32 = ROUND('Raw Data'!K32, 2),FALSE)),"",_xlfn.REGEXEXTRACT(CELL("address",K32), "\$([A-Z]+)\$[0-9]+"))),_xlfn.REGEXEXTRACT(CELL("address",K32), "\$([A-Z]+)\$[0-9]+"))</f>
        <v/>
      </c>
      <c r="L32" s="7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7" t="str" cm="1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7" t="str" cm="1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  <c r="O32" s="7" t="str" cm="1">
        <f t="array" aca="1" ref="O32" ca="1">IFERROR(IF(OR('Raw Data'!O32="",LEN(TRIM('Raw Data'!O32))=0),"",IF(AND(ISNUMBER('Raw Data'!O32), IFERROR('Raw Data'!O32 = ROUND('Raw Data'!O32, 2),FALSE)),"",_xlfn.REGEXEXTRACT(CELL("address",O32), "\$([A-Z]+)\$[0-9]+"))),_xlfn.REGEXEXTRACT(CELL("address",O32), "\$([A-Z]+)\$[0-9]+"))</f>
        <v/>
      </c>
      <c r="P32" s="7" t="str" cm="1">
        <f t="array" aca="1" ref="P32" ca="1">IFERROR(IF(OR('Raw Data'!P32="",LEN(TRIM('Raw Data'!P32))=0),"",IF(AND(ISNUMBER('Raw Data'!P32), IFERROR('Raw Data'!P32 = ROUND('Raw Data'!P32, 2),FALSE)),"",_xlfn.REGEXEXTRACT(CELL("address",P32), "\$([A-Z]+)\$[0-9]+"))),_xlfn.REGEXEXTRACT(CELL("address",P32), "\$([A-Z]+)\$[0-9]+"))</f>
        <v/>
      </c>
      <c r="Q32" s="7" t="str" cm="1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7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7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7" t="str" cm="1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7" t="str" cm="1">
        <f t="array" aca="1" ref="U32" ca="1">IFERROR(IF(OR('Raw Data'!U32="",LEN(TRIM('Raw Data'!U32))=0),"",IF(AND(ISNUMBER('Raw Data'!U32), IFERROR('Raw Data'!U32 = ROUND('Raw Data'!U32, 2),FALSE)),"",_xlfn.REGEXEXTRACT(CELL("address",U32), "\$([A-Z]+)\$[0-9]+"))),_xlfn.REGEXEXTRACT(CELL("address",U32), "\$([A-Z]+)\$[0-9]+"))</f>
        <v/>
      </c>
      <c r="V32" s="7" t="str" cm="1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7" t="str" cm="1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7" t="str" cm="1">
        <f t="array" aca="1" ref="X32" ca="1">IFERROR(IF(OR('Raw Data'!X32="",LEN(TRIM('Raw Data'!X32))=0),"",IF(AND(ISNUMBER('Raw Data'!X32), IFERROR('Raw Data'!X32 = ROUND('Raw Data'!X32, 2),FALSE)),"",_xlfn.REGEXEXTRACT(CELL("address",X32), "\$([A-Z]+)\$[0-9]+"))),_xlfn.REGEXEXTRACT(CELL("address",X32), "\$([A-Z]+)\$[0-9]+"))</f>
        <v/>
      </c>
      <c r="Y32" s="7" t="str" cm="1">
        <f t="array" aca="1" ref="Y32" ca="1">IFERROR(IF(OR('Raw Data'!Y32="",LEN(TRIM('Raw Data'!Y32))=0),"",IF(AND(ISNUMBER('Raw Data'!Y32), IFERROR('Raw Data'!Y32 = ROUND('Raw Data'!Y32, 2),FALSE)),"",_xlfn.REGEXEXTRACT(CELL("address",Y32), "\$([A-Z]+)\$[0-9]+"))),_xlfn.REGEXEXTRACT(CELL("address",Y32), "\$([A-Z]+)\$[0-9]+"))</f>
        <v/>
      </c>
      <c r="Z32" s="7" t="str" cm="1">
        <f t="array" aca="1" ref="Z32" ca="1">IFERROR(IF(OR('Raw Data'!Z32="",LEN(TRIM('Raw Data'!Z32))=0),"",IF(AND(ISNUMBER('Raw Data'!Z32), IFERROR('Raw Data'!Z32 = ROUND('Raw Data'!Z32, 2),FALSE)),"",_xlfn.REGEXEXTRACT(CELL("address",Z32), "\$([A-Z]+)\$[0-9]+"))),_xlfn.REGEXEXTRACT(CELL("address",Z32), "\$([A-Z]+)\$[0-9]+"))</f>
        <v/>
      </c>
      <c r="AA32" s="7" t="str" cm="1">
        <f t="array" aca="1" ref="AA32" ca="1">IFERROR(IF(OR('Raw Data'!AA32="",LEN(TRIM('Raw Data'!AA32))=0),"",IF(AND(ISNUMBER('Raw Data'!AA32), IFERROR('Raw Data'!AA32 = ROUND('Raw Data'!AA32, 2),FALSE)),"",_xlfn.REGEXEXTRACT(CELL("address",AA32), "\$([A-Z]+)\$[0-9]+"))),_xlfn.REGEXEXTRACT(CELL("address",AA32), "\$([A-Z]+)\$[0-9]+"))</f>
        <v/>
      </c>
      <c r="AB32" s="7" t="str" cm="1">
        <f t="array" aca="1" ref="AB32" ca="1">IFERROR(IF(OR('Raw Data'!AB32="",LEN(TRIM('Raw Data'!AB32))=0),"",IF(AND(ISNUMBER('Raw Data'!AB32), IFERROR('Raw Data'!AB32 = ROUND('Raw Data'!AB32, 2),FALSE)),"",_xlfn.REGEXEXTRACT(CELL("address",AB32), "\$([A-Z]+)\$[0-9]+"))),_xlfn.REGEXEXTRACT(CELL("address",AB32), "\$([A-Z]+)\$[0-9]+"))</f>
        <v/>
      </c>
    </row>
    <row r="33" spans="2:28" x14ac:dyDescent="0.25">
      <c r="B33" s="7" t="str" cm="1">
        <f t="array" aca="1" ref="B33" ca="1">IFERROR(IF(OR('Raw Data'!B33="",LEN(TRIM('Raw Data'!B33))=0),"",IF(AND(LEN('Raw Data'!B33) &lt;= 255,LEN('Raw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20,LEN('Raw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Data'!D33))=0),"",IF(AND(ISNUMBER('Raw Data'!D33),'Raw Data'!D33&gt;=Configuration!$D$2),"",_xlfn.REGEXEXTRACT(CELL("address",'Raw Data'!D33),"\$([A-Z]+)\$[0-9]+"))),_xlfn.REGEXEXTRACT(CELL("address",D33), "\$([A-Z]+)\$[0-9]+"))</f>
        <v/>
      </c>
      <c r="E33" s="7" t="str" cm="1">
        <f t="array" aca="1" ref="E33" ca="1">IFERROR(IF(OR('Raw Data'!E33="",LEN(TRIM('Raw Data'!E33))=0),"",IF(AND(ISNUMBER('Raw Data'!E33), IFERROR('Raw Data'!E33 = ROUND('Raw Data'!E33, 2),FALSE)),"",_xlfn.REGEXEXTRACT(CELL("address",E33), "\$([A-Z]+)\$[0-9]+"))),_xlfn.REGEXEXTRACT(CELL("address",E33), "\$([A-Z]+)\$[0-9]+"))</f>
        <v/>
      </c>
      <c r="F33" s="7" t="str" cm="1">
        <f t="array" aca="1" ref="F33" ca="1">IFERROR(IF(OR('Raw Data'!F33="",LEN(TRIM('Raw Data'!F33))=0),"",IF(AND(ISNUMBER('Raw Data'!F33), IFERROR('Raw Data'!F33 = ROUND('Raw Data'!F33, 2),FALSE)),"",_xlfn.REGEXEXTRACT(CELL("address",F33), "\$([A-Z]+)\$[0-9]+"))),_xlfn.REGEXEXTRACT(CELL("address",F33), "\$([A-Z]+)\$[0-9]+"))</f>
        <v/>
      </c>
      <c r="G33" s="7" t="str" cm="1">
        <f t="array" aca="1" ref="G33" ca="1">IFERROR(IF(OR('Raw Data'!G33="",LEN(TRIM('Raw Data'!G33))=0),"",IF(AND(ISNUMBER('Raw Data'!G33), IFERROR('Raw Data'!G33 = ROUND('Raw Data'!G33, 2),FALSE)),"",_xlfn.REGEXEXTRACT(CELL("address",G33), "\$([A-Z]+)\$[0-9]+"))),_xlfn.REGEXEXTRACT(CELL("address",G33), "\$([A-Z]+)\$[0-9]+"))</f>
        <v/>
      </c>
      <c r="H33" s="7" t="str" cm="1">
        <f t="array" aca="1" ref="H33" ca="1">IFERROR(IF(OR('Raw Data'!H33="",LEN(TRIM('Raw Data'!H33))=0),"",IF(AND(ISNUMBER('Raw Data'!H33), IFERROR('Raw Data'!H33 = ROUND('Raw Data'!H33, 2),FALSE)),"",_xlfn.REGEXEXTRACT(CELL("address",H33), "\$([A-Z]+)\$[0-9]+"))),_xlfn.REGEXEXTRACT(CELL("address",H33), "\$([A-Z]+)\$[0-9]+"))</f>
        <v/>
      </c>
      <c r="I33" s="7" t="str" cm="1">
        <f t="array" aca="1" ref="I33" ca="1">IFERROR(IF(OR('Raw Data'!I33="",LEN(TRIM('Raw Data'!I33))=0),"",IF(AND(ISNUMBER('Raw Data'!I33), IFERROR('Raw Data'!I33 = ROUND('Raw Data'!I33, 2),FALSE)),"",_xlfn.REGEXEXTRACT(CELL("address",I33), "\$([A-Z]+)\$[0-9]+"))),_xlfn.REGEXEXTRACT(CELL("address",I33), "\$([A-Z]+)\$[0-9]+"))</f>
        <v/>
      </c>
      <c r="J33" s="7" t="str" cm="1">
        <f t="array" aca="1" ref="J33" ca="1">IFERROR(IF(OR('Raw Data'!J33="",LEN(TRIM('Raw Data'!J33))=0),"",IF(AND(ISNUMBER('Raw Data'!J33), IFERROR('Raw Data'!J33 = ROUND('Raw Data'!J33, 2),FALSE)),"",_xlfn.REGEXEXTRACT(CELL("address",J33), "\$([A-Z]+)\$[0-9]+"))),_xlfn.REGEXEXTRACT(CELL("address",J33), "\$([A-Z]+)\$[0-9]+"))</f>
        <v/>
      </c>
      <c r="K33" s="7" t="str" cm="1">
        <f t="array" aca="1" ref="K33" ca="1">IFERROR(IF(OR('Raw Data'!K33="",LEN(TRIM('Raw Data'!K33))=0),"",IF(AND(ISNUMBER('Raw Data'!K33), IFERROR('Raw Data'!K33 = ROUND('Raw Data'!K33, 2),FALSE)),"",_xlfn.REGEXEXTRACT(CELL("address",K33), "\$([A-Z]+)\$[0-9]+"))),_xlfn.REGEXEXTRACT(CELL("address",K33), "\$([A-Z]+)\$[0-9]+"))</f>
        <v/>
      </c>
      <c r="L33" s="7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7" t="str" cm="1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7" t="str" cm="1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  <c r="O33" s="7" t="str" cm="1">
        <f t="array" aca="1" ref="O33" ca="1">IFERROR(IF(OR('Raw Data'!O33="",LEN(TRIM('Raw Data'!O33))=0),"",IF(AND(ISNUMBER('Raw Data'!O33), IFERROR('Raw Data'!O33 = ROUND('Raw Data'!O33, 2),FALSE)),"",_xlfn.REGEXEXTRACT(CELL("address",O33), "\$([A-Z]+)\$[0-9]+"))),_xlfn.REGEXEXTRACT(CELL("address",O33), "\$([A-Z]+)\$[0-9]+"))</f>
        <v/>
      </c>
      <c r="P33" s="7" t="str" cm="1">
        <f t="array" aca="1" ref="P33" ca="1">IFERROR(IF(OR('Raw Data'!P33="",LEN(TRIM('Raw Data'!P33))=0),"",IF(AND(ISNUMBER('Raw Data'!P33), IFERROR('Raw Data'!P33 = ROUND('Raw Data'!P33, 2),FALSE)),"",_xlfn.REGEXEXTRACT(CELL("address",P33), "\$([A-Z]+)\$[0-9]+"))),_xlfn.REGEXEXTRACT(CELL("address",P33), "\$([A-Z]+)\$[0-9]+"))</f>
        <v/>
      </c>
      <c r="Q33" s="7" t="str" cm="1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7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7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7" t="str" cm="1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7" t="str" cm="1">
        <f t="array" aca="1" ref="U33" ca="1">IFERROR(IF(OR('Raw Data'!U33="",LEN(TRIM('Raw Data'!U33))=0),"",IF(AND(ISNUMBER('Raw Data'!U33), IFERROR('Raw Data'!U33 = ROUND('Raw Data'!U33, 2),FALSE)),"",_xlfn.REGEXEXTRACT(CELL("address",U33), "\$([A-Z]+)\$[0-9]+"))),_xlfn.REGEXEXTRACT(CELL("address",U33), "\$([A-Z]+)\$[0-9]+"))</f>
        <v/>
      </c>
      <c r="V33" s="7" t="str" cm="1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7" t="str" cm="1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7" t="str" cm="1">
        <f t="array" aca="1" ref="X33" ca="1">IFERROR(IF(OR('Raw Data'!X33="",LEN(TRIM('Raw Data'!X33))=0),"",IF(AND(ISNUMBER('Raw Data'!X33), IFERROR('Raw Data'!X33 = ROUND('Raw Data'!X33, 2),FALSE)),"",_xlfn.REGEXEXTRACT(CELL("address",X33), "\$([A-Z]+)\$[0-9]+"))),_xlfn.REGEXEXTRACT(CELL("address",X33), "\$([A-Z]+)\$[0-9]+"))</f>
        <v/>
      </c>
      <c r="Y33" s="7" t="str" cm="1">
        <f t="array" aca="1" ref="Y33" ca="1">IFERROR(IF(OR('Raw Data'!Y33="",LEN(TRIM('Raw Data'!Y33))=0),"",IF(AND(ISNUMBER('Raw Data'!Y33), IFERROR('Raw Data'!Y33 = ROUND('Raw Data'!Y33, 2),FALSE)),"",_xlfn.REGEXEXTRACT(CELL("address",Y33), "\$([A-Z]+)\$[0-9]+"))),_xlfn.REGEXEXTRACT(CELL("address",Y33), "\$([A-Z]+)\$[0-9]+"))</f>
        <v/>
      </c>
      <c r="Z33" s="7" t="str" cm="1">
        <f t="array" aca="1" ref="Z33" ca="1">IFERROR(IF(OR('Raw Data'!Z33="",LEN(TRIM('Raw Data'!Z33))=0),"",IF(AND(ISNUMBER('Raw Data'!Z33), IFERROR('Raw Data'!Z33 = ROUND('Raw Data'!Z33, 2),FALSE)),"",_xlfn.REGEXEXTRACT(CELL("address",Z33), "\$([A-Z]+)\$[0-9]+"))),_xlfn.REGEXEXTRACT(CELL("address",Z33), "\$([A-Z]+)\$[0-9]+"))</f>
        <v/>
      </c>
      <c r="AA33" s="7" t="str" cm="1">
        <f t="array" aca="1" ref="AA33" ca="1">IFERROR(IF(OR('Raw Data'!AA33="",LEN(TRIM('Raw Data'!AA33))=0),"",IF(AND(ISNUMBER('Raw Data'!AA33), IFERROR('Raw Data'!AA33 = ROUND('Raw Data'!AA33, 2),FALSE)),"",_xlfn.REGEXEXTRACT(CELL("address",AA33), "\$([A-Z]+)\$[0-9]+"))),_xlfn.REGEXEXTRACT(CELL("address",AA33), "\$([A-Z]+)\$[0-9]+"))</f>
        <v/>
      </c>
      <c r="AB33" s="7" t="str" cm="1">
        <f t="array" aca="1" ref="AB33" ca="1">IFERROR(IF(OR('Raw Data'!AB33="",LEN(TRIM('Raw Data'!AB33))=0),"",IF(AND(ISNUMBER('Raw Data'!AB33), IFERROR('Raw Data'!AB33 = ROUND('Raw Data'!AB33, 2),FALSE)),"",_xlfn.REGEXEXTRACT(CELL("address",AB33), "\$([A-Z]+)\$[0-9]+"))),_xlfn.REGEXEXTRACT(CELL("address",AB33), "\$([A-Z]+)\$[0-9]+"))</f>
        <v/>
      </c>
    </row>
    <row r="34" spans="2:28" x14ac:dyDescent="0.25">
      <c r="B34" s="7" t="str" cm="1">
        <f t="array" aca="1" ref="B34" ca="1">IFERROR(IF(OR('Raw Data'!B34="",LEN(TRIM('Raw Data'!B34))=0),"",IF(AND(LEN('Raw Data'!B34) &lt;= 255,LEN('Raw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20,LEN('Raw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Data'!D34))=0),"",IF(AND(ISNUMBER('Raw Data'!D34),'Raw Data'!D34&gt;=Configuration!$D$2),"",_xlfn.REGEXEXTRACT(CELL("address",'Raw Data'!D34),"\$([A-Z]+)\$[0-9]+"))),_xlfn.REGEXEXTRACT(CELL("address",D34), "\$([A-Z]+)\$[0-9]+"))</f>
        <v/>
      </c>
      <c r="E34" s="7" t="str" cm="1">
        <f t="array" aca="1" ref="E34" ca="1">IFERROR(IF(OR('Raw Data'!E34="",LEN(TRIM('Raw Data'!E34))=0),"",IF(AND(ISNUMBER('Raw Data'!E34), IFERROR('Raw Data'!E34 = ROUND('Raw Data'!E34, 2),FALSE)),"",_xlfn.REGEXEXTRACT(CELL("address",E34), "\$([A-Z]+)\$[0-9]+"))),_xlfn.REGEXEXTRACT(CELL("address",E34), "\$([A-Z]+)\$[0-9]+"))</f>
        <v/>
      </c>
      <c r="F34" s="7" t="str" cm="1">
        <f t="array" aca="1" ref="F34" ca="1">IFERROR(IF(OR('Raw Data'!F34="",LEN(TRIM('Raw Data'!F34))=0),"",IF(AND(ISNUMBER('Raw Data'!F34), IFERROR('Raw Data'!F34 = ROUND('Raw Data'!F34, 2),FALSE)),"",_xlfn.REGEXEXTRACT(CELL("address",F34), "\$([A-Z]+)\$[0-9]+"))),_xlfn.REGEXEXTRACT(CELL("address",F34), "\$([A-Z]+)\$[0-9]+"))</f>
        <v/>
      </c>
      <c r="G34" s="7" t="str" cm="1">
        <f t="array" aca="1" ref="G34" ca="1">IFERROR(IF(OR('Raw Data'!G34="",LEN(TRIM('Raw Data'!G34))=0),"",IF(AND(ISNUMBER('Raw Data'!G34), IFERROR('Raw Data'!G34 = ROUND('Raw Data'!G34, 2),FALSE)),"",_xlfn.REGEXEXTRACT(CELL("address",G34), "\$([A-Z]+)\$[0-9]+"))),_xlfn.REGEXEXTRACT(CELL("address",G34), "\$([A-Z]+)\$[0-9]+"))</f>
        <v/>
      </c>
      <c r="H34" s="7" t="str" cm="1">
        <f t="array" aca="1" ref="H34" ca="1">IFERROR(IF(OR('Raw Data'!H34="",LEN(TRIM('Raw Data'!H34))=0),"",IF(AND(ISNUMBER('Raw Data'!H34), IFERROR('Raw Data'!H34 = ROUND('Raw Data'!H34, 2),FALSE)),"",_xlfn.REGEXEXTRACT(CELL("address",H34), "\$([A-Z]+)\$[0-9]+"))),_xlfn.REGEXEXTRACT(CELL("address",H34), "\$([A-Z]+)\$[0-9]+"))</f>
        <v/>
      </c>
      <c r="I34" s="7" t="str" cm="1">
        <f t="array" aca="1" ref="I34" ca="1">IFERROR(IF(OR('Raw Data'!I34="",LEN(TRIM('Raw Data'!I34))=0),"",IF(AND(ISNUMBER('Raw Data'!I34), IFERROR('Raw Data'!I34 = ROUND('Raw Data'!I34, 2),FALSE)),"",_xlfn.REGEXEXTRACT(CELL("address",I34), "\$([A-Z]+)\$[0-9]+"))),_xlfn.REGEXEXTRACT(CELL("address",I34), "\$([A-Z]+)\$[0-9]+"))</f>
        <v/>
      </c>
      <c r="J34" s="7" t="str" cm="1">
        <f t="array" aca="1" ref="J34" ca="1">IFERROR(IF(OR('Raw Data'!J34="",LEN(TRIM('Raw Data'!J34))=0),"",IF(AND(ISNUMBER('Raw Data'!J34), IFERROR('Raw Data'!J34 = ROUND('Raw Data'!J34, 2),FALSE)),"",_xlfn.REGEXEXTRACT(CELL("address",J34), "\$([A-Z]+)\$[0-9]+"))),_xlfn.REGEXEXTRACT(CELL("address",J34), "\$([A-Z]+)\$[0-9]+"))</f>
        <v/>
      </c>
      <c r="K34" s="7" t="str" cm="1">
        <f t="array" aca="1" ref="K34" ca="1">IFERROR(IF(OR('Raw Data'!K34="",LEN(TRIM('Raw Data'!K34))=0),"",IF(AND(ISNUMBER('Raw Data'!K34), IFERROR('Raw Data'!K34 = ROUND('Raw Data'!K34, 2),FALSE)),"",_xlfn.REGEXEXTRACT(CELL("address",K34), "\$([A-Z]+)\$[0-9]+"))),_xlfn.REGEXEXTRACT(CELL("address",K34), "\$([A-Z]+)\$[0-9]+"))</f>
        <v/>
      </c>
      <c r="L34" s="7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7" t="str" cm="1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7" t="str" cm="1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  <c r="O34" s="7" t="str" cm="1">
        <f t="array" aca="1" ref="O34" ca="1">IFERROR(IF(OR('Raw Data'!O34="",LEN(TRIM('Raw Data'!O34))=0),"",IF(AND(ISNUMBER('Raw Data'!O34), IFERROR('Raw Data'!O34 = ROUND('Raw Data'!O34, 2),FALSE)),"",_xlfn.REGEXEXTRACT(CELL("address",O34), "\$([A-Z]+)\$[0-9]+"))),_xlfn.REGEXEXTRACT(CELL("address",O34), "\$([A-Z]+)\$[0-9]+"))</f>
        <v/>
      </c>
      <c r="P34" s="7" t="str" cm="1">
        <f t="array" aca="1" ref="P34" ca="1">IFERROR(IF(OR('Raw Data'!P34="",LEN(TRIM('Raw Data'!P34))=0),"",IF(AND(ISNUMBER('Raw Data'!P34), IFERROR('Raw Data'!P34 = ROUND('Raw Data'!P34, 2),FALSE)),"",_xlfn.REGEXEXTRACT(CELL("address",P34), "\$([A-Z]+)\$[0-9]+"))),_xlfn.REGEXEXTRACT(CELL("address",P34), "\$([A-Z]+)\$[0-9]+"))</f>
        <v/>
      </c>
      <c r="Q34" s="7" t="str" cm="1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7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7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7" t="str" cm="1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7" t="str" cm="1">
        <f t="array" aca="1" ref="U34" ca="1">IFERROR(IF(OR('Raw Data'!U34="",LEN(TRIM('Raw Data'!U34))=0),"",IF(AND(ISNUMBER('Raw Data'!U34), IFERROR('Raw Data'!U34 = ROUND('Raw Data'!U34, 2),FALSE)),"",_xlfn.REGEXEXTRACT(CELL("address",U34), "\$([A-Z]+)\$[0-9]+"))),_xlfn.REGEXEXTRACT(CELL("address",U34), "\$([A-Z]+)\$[0-9]+"))</f>
        <v/>
      </c>
      <c r="V34" s="7" t="str" cm="1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7" t="str" cm="1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7" t="str" cm="1">
        <f t="array" aca="1" ref="X34" ca="1">IFERROR(IF(OR('Raw Data'!X34="",LEN(TRIM('Raw Data'!X34))=0),"",IF(AND(ISNUMBER('Raw Data'!X34), IFERROR('Raw Data'!X34 = ROUND('Raw Data'!X34, 2),FALSE)),"",_xlfn.REGEXEXTRACT(CELL("address",X34), "\$([A-Z]+)\$[0-9]+"))),_xlfn.REGEXEXTRACT(CELL("address",X34), "\$([A-Z]+)\$[0-9]+"))</f>
        <v/>
      </c>
      <c r="Y34" s="7" t="str" cm="1">
        <f t="array" aca="1" ref="Y34" ca="1">IFERROR(IF(OR('Raw Data'!Y34="",LEN(TRIM('Raw Data'!Y34))=0),"",IF(AND(ISNUMBER('Raw Data'!Y34), IFERROR('Raw Data'!Y34 = ROUND('Raw Data'!Y34, 2),FALSE)),"",_xlfn.REGEXEXTRACT(CELL("address",Y34), "\$([A-Z]+)\$[0-9]+"))),_xlfn.REGEXEXTRACT(CELL("address",Y34), "\$([A-Z]+)\$[0-9]+"))</f>
        <v/>
      </c>
      <c r="Z34" s="7" t="str" cm="1">
        <f t="array" aca="1" ref="Z34" ca="1">IFERROR(IF(OR('Raw Data'!Z34="",LEN(TRIM('Raw Data'!Z34))=0),"",IF(AND(ISNUMBER('Raw Data'!Z34), IFERROR('Raw Data'!Z34 = ROUND('Raw Data'!Z34, 2),FALSE)),"",_xlfn.REGEXEXTRACT(CELL("address",Z34), "\$([A-Z]+)\$[0-9]+"))),_xlfn.REGEXEXTRACT(CELL("address",Z34), "\$([A-Z]+)\$[0-9]+"))</f>
        <v/>
      </c>
      <c r="AA34" s="7" t="str" cm="1">
        <f t="array" aca="1" ref="AA34" ca="1">IFERROR(IF(OR('Raw Data'!AA34="",LEN(TRIM('Raw Data'!AA34))=0),"",IF(AND(ISNUMBER('Raw Data'!AA34), IFERROR('Raw Data'!AA34 = ROUND('Raw Data'!AA34, 2),FALSE)),"",_xlfn.REGEXEXTRACT(CELL("address",AA34), "\$([A-Z]+)\$[0-9]+"))),_xlfn.REGEXEXTRACT(CELL("address",AA34), "\$([A-Z]+)\$[0-9]+"))</f>
        <v/>
      </c>
      <c r="AB34" s="7" t="str" cm="1">
        <f t="array" aca="1" ref="AB34" ca="1">IFERROR(IF(OR('Raw Data'!AB34="",LEN(TRIM('Raw Data'!AB34))=0),"",IF(AND(ISNUMBER('Raw Data'!AB34), IFERROR('Raw Data'!AB34 = ROUND('Raw Data'!AB34, 2),FALSE)),"",_xlfn.REGEXEXTRACT(CELL("address",AB34), "\$([A-Z]+)\$[0-9]+"))),_xlfn.REGEXEXTRACT(CELL("address",AB34), "\$([A-Z]+)\$[0-9]+"))</f>
        <v/>
      </c>
    </row>
    <row r="35" spans="2:28" x14ac:dyDescent="0.25">
      <c r="B35" s="7" t="str" cm="1">
        <f t="array" aca="1" ref="B35" ca="1">IFERROR(IF(OR('Raw Data'!B35="",LEN(TRIM('Raw Data'!B35))=0),"",IF(AND(LEN('Raw Data'!B35) &lt;= 255,LEN('Raw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20,LEN('Raw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Data'!D35))=0),"",IF(AND(ISNUMBER('Raw Data'!D35),'Raw Data'!D35&gt;=Configuration!$D$2),"",_xlfn.REGEXEXTRACT(CELL("address",'Raw Data'!D35),"\$([A-Z]+)\$[0-9]+"))),_xlfn.REGEXEXTRACT(CELL("address",D35), "\$([A-Z]+)\$[0-9]+"))</f>
        <v/>
      </c>
      <c r="E35" s="7" t="str" cm="1">
        <f t="array" aca="1" ref="E35" ca="1">IFERROR(IF(OR('Raw Data'!E35="",LEN(TRIM('Raw Data'!E35))=0),"",IF(AND(ISNUMBER('Raw Data'!E35), IFERROR('Raw Data'!E35 = ROUND('Raw Data'!E35, 2),FALSE)),"",_xlfn.REGEXEXTRACT(CELL("address",E35), "\$([A-Z]+)\$[0-9]+"))),_xlfn.REGEXEXTRACT(CELL("address",E35), "\$([A-Z]+)\$[0-9]+"))</f>
        <v/>
      </c>
      <c r="F35" s="7" t="str" cm="1">
        <f t="array" aca="1" ref="F35" ca="1">IFERROR(IF(OR('Raw Data'!F35="",LEN(TRIM('Raw Data'!F35))=0),"",IF(AND(ISNUMBER('Raw Data'!F35), IFERROR('Raw Data'!F35 = ROUND('Raw Data'!F35, 2),FALSE)),"",_xlfn.REGEXEXTRACT(CELL("address",F35), "\$([A-Z]+)\$[0-9]+"))),_xlfn.REGEXEXTRACT(CELL("address",F35), "\$([A-Z]+)\$[0-9]+"))</f>
        <v/>
      </c>
      <c r="G35" s="7" t="str" cm="1">
        <f t="array" aca="1" ref="G35" ca="1">IFERROR(IF(OR('Raw Data'!G35="",LEN(TRIM('Raw Data'!G35))=0),"",IF(AND(ISNUMBER('Raw Data'!G35), IFERROR('Raw Data'!G35 = ROUND('Raw Data'!G35, 2),FALSE)),"",_xlfn.REGEXEXTRACT(CELL("address",G35), "\$([A-Z]+)\$[0-9]+"))),_xlfn.REGEXEXTRACT(CELL("address",G35), "\$([A-Z]+)\$[0-9]+"))</f>
        <v/>
      </c>
      <c r="H35" s="7" t="str" cm="1">
        <f t="array" aca="1" ref="H35" ca="1">IFERROR(IF(OR('Raw Data'!H35="",LEN(TRIM('Raw Data'!H35))=0),"",IF(AND(ISNUMBER('Raw Data'!H35), IFERROR('Raw Data'!H35 = ROUND('Raw Data'!H35, 2),FALSE)),"",_xlfn.REGEXEXTRACT(CELL("address",H35), "\$([A-Z]+)\$[0-9]+"))),_xlfn.REGEXEXTRACT(CELL("address",H35), "\$([A-Z]+)\$[0-9]+"))</f>
        <v/>
      </c>
      <c r="I35" s="7" t="str" cm="1">
        <f t="array" aca="1" ref="I35" ca="1">IFERROR(IF(OR('Raw Data'!I35="",LEN(TRIM('Raw Data'!I35))=0),"",IF(AND(ISNUMBER('Raw Data'!I35), IFERROR('Raw Data'!I35 = ROUND('Raw Data'!I35, 2),FALSE)),"",_xlfn.REGEXEXTRACT(CELL("address",I35), "\$([A-Z]+)\$[0-9]+"))),_xlfn.REGEXEXTRACT(CELL("address",I35), "\$([A-Z]+)\$[0-9]+"))</f>
        <v/>
      </c>
      <c r="J35" s="7" t="str" cm="1">
        <f t="array" aca="1" ref="J35" ca="1">IFERROR(IF(OR('Raw Data'!J35="",LEN(TRIM('Raw Data'!J35))=0),"",IF(AND(ISNUMBER('Raw Data'!J35), IFERROR('Raw Data'!J35 = ROUND('Raw Data'!J35, 2),FALSE)),"",_xlfn.REGEXEXTRACT(CELL("address",J35), "\$([A-Z]+)\$[0-9]+"))),_xlfn.REGEXEXTRACT(CELL("address",J35), "\$([A-Z]+)\$[0-9]+"))</f>
        <v/>
      </c>
      <c r="K35" s="7" t="str" cm="1">
        <f t="array" aca="1" ref="K35" ca="1">IFERROR(IF(OR('Raw Data'!K35="",LEN(TRIM('Raw Data'!K35))=0),"",IF(AND(ISNUMBER('Raw Data'!K35), IFERROR('Raw Data'!K35 = ROUND('Raw Data'!K35, 2),FALSE)),"",_xlfn.REGEXEXTRACT(CELL("address",K35), "\$([A-Z]+)\$[0-9]+"))),_xlfn.REGEXEXTRACT(CELL("address",K35), "\$([A-Z]+)\$[0-9]+"))</f>
        <v/>
      </c>
      <c r="L35" s="7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7" t="str" cm="1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7" t="str" cm="1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  <c r="O35" s="7" t="str" cm="1">
        <f t="array" aca="1" ref="O35" ca="1">IFERROR(IF(OR('Raw Data'!O35="",LEN(TRIM('Raw Data'!O35))=0),"",IF(AND(ISNUMBER('Raw Data'!O35), IFERROR('Raw Data'!O35 = ROUND('Raw Data'!O35, 2),FALSE)),"",_xlfn.REGEXEXTRACT(CELL("address",O35), "\$([A-Z]+)\$[0-9]+"))),_xlfn.REGEXEXTRACT(CELL("address",O35), "\$([A-Z]+)\$[0-9]+"))</f>
        <v/>
      </c>
      <c r="P35" s="7" t="str" cm="1">
        <f t="array" aca="1" ref="P35" ca="1">IFERROR(IF(OR('Raw Data'!P35="",LEN(TRIM('Raw Data'!P35))=0),"",IF(AND(ISNUMBER('Raw Data'!P35), IFERROR('Raw Data'!P35 = ROUND('Raw Data'!P35, 2),FALSE)),"",_xlfn.REGEXEXTRACT(CELL("address",P35), "\$([A-Z]+)\$[0-9]+"))),_xlfn.REGEXEXTRACT(CELL("address",P35), "\$([A-Z]+)\$[0-9]+"))</f>
        <v/>
      </c>
      <c r="Q35" s="7" t="str" cm="1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7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7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7" t="str" cm="1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7" t="str" cm="1">
        <f t="array" aca="1" ref="U35" ca="1">IFERROR(IF(OR('Raw Data'!U35="",LEN(TRIM('Raw Data'!U35))=0),"",IF(AND(ISNUMBER('Raw Data'!U35), IFERROR('Raw Data'!U35 = ROUND('Raw Data'!U35, 2),FALSE)),"",_xlfn.REGEXEXTRACT(CELL("address",U35), "\$([A-Z]+)\$[0-9]+"))),_xlfn.REGEXEXTRACT(CELL("address",U35), "\$([A-Z]+)\$[0-9]+"))</f>
        <v/>
      </c>
      <c r="V35" s="7" t="str" cm="1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7" t="str" cm="1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7" t="str" cm="1">
        <f t="array" aca="1" ref="X35" ca="1">IFERROR(IF(OR('Raw Data'!X35="",LEN(TRIM('Raw Data'!X35))=0),"",IF(AND(ISNUMBER('Raw Data'!X35), IFERROR('Raw Data'!X35 = ROUND('Raw Data'!X35, 2),FALSE)),"",_xlfn.REGEXEXTRACT(CELL("address",X35), "\$([A-Z]+)\$[0-9]+"))),_xlfn.REGEXEXTRACT(CELL("address",X35), "\$([A-Z]+)\$[0-9]+"))</f>
        <v/>
      </c>
      <c r="Y35" s="7" t="str" cm="1">
        <f t="array" aca="1" ref="Y35" ca="1">IFERROR(IF(OR('Raw Data'!Y35="",LEN(TRIM('Raw Data'!Y35))=0),"",IF(AND(ISNUMBER('Raw Data'!Y35), IFERROR('Raw Data'!Y35 = ROUND('Raw Data'!Y35, 2),FALSE)),"",_xlfn.REGEXEXTRACT(CELL("address",Y35), "\$([A-Z]+)\$[0-9]+"))),_xlfn.REGEXEXTRACT(CELL("address",Y35), "\$([A-Z]+)\$[0-9]+"))</f>
        <v/>
      </c>
      <c r="Z35" s="7" t="str" cm="1">
        <f t="array" aca="1" ref="Z35" ca="1">IFERROR(IF(OR('Raw Data'!Z35="",LEN(TRIM('Raw Data'!Z35))=0),"",IF(AND(ISNUMBER('Raw Data'!Z35), IFERROR('Raw Data'!Z35 = ROUND('Raw Data'!Z35, 2),FALSE)),"",_xlfn.REGEXEXTRACT(CELL("address",Z35), "\$([A-Z]+)\$[0-9]+"))),_xlfn.REGEXEXTRACT(CELL("address",Z35), "\$([A-Z]+)\$[0-9]+"))</f>
        <v/>
      </c>
      <c r="AA35" s="7" t="str" cm="1">
        <f t="array" aca="1" ref="AA35" ca="1">IFERROR(IF(OR('Raw Data'!AA35="",LEN(TRIM('Raw Data'!AA35))=0),"",IF(AND(ISNUMBER('Raw Data'!AA35), IFERROR('Raw Data'!AA35 = ROUND('Raw Data'!AA35, 2),FALSE)),"",_xlfn.REGEXEXTRACT(CELL("address",AA35), "\$([A-Z]+)\$[0-9]+"))),_xlfn.REGEXEXTRACT(CELL("address",AA35), "\$([A-Z]+)\$[0-9]+"))</f>
        <v/>
      </c>
      <c r="AB35" s="7" t="str" cm="1">
        <f t="array" aca="1" ref="AB35" ca="1">IFERROR(IF(OR('Raw Data'!AB35="",LEN(TRIM('Raw Data'!AB35))=0),"",IF(AND(ISNUMBER('Raw Data'!AB35), IFERROR('Raw Data'!AB35 = ROUND('Raw Data'!AB35, 2),FALSE)),"",_xlfn.REGEXEXTRACT(CELL("address",AB35), "\$([A-Z]+)\$[0-9]+"))),_xlfn.REGEXEXTRACT(CELL("address",AB35), "\$([A-Z]+)\$[0-9]+"))</f>
        <v/>
      </c>
    </row>
    <row r="36" spans="2:28" x14ac:dyDescent="0.25">
      <c r="B36" s="7" t="str" cm="1">
        <f t="array" aca="1" ref="B36" ca="1">IFERROR(IF(OR('Raw Data'!B36="",LEN(TRIM('Raw Data'!B36))=0),"",IF(AND(LEN('Raw Data'!B36) &lt;= 255,LEN('Raw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20,LEN('Raw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Data'!D36))=0),"",IF(AND(ISNUMBER('Raw Data'!D36),'Raw Data'!D36&gt;=Configuration!$D$2),"",_xlfn.REGEXEXTRACT(CELL("address",'Raw Data'!D36),"\$([A-Z]+)\$[0-9]+"))),_xlfn.REGEXEXTRACT(CELL("address",D36), "\$([A-Z]+)\$[0-9]+"))</f>
        <v/>
      </c>
      <c r="E36" s="7" t="str" cm="1">
        <f t="array" aca="1" ref="E36" ca="1">IFERROR(IF(OR('Raw Data'!E36="",LEN(TRIM('Raw Data'!E36))=0),"",IF(AND(ISNUMBER('Raw Data'!E36), IFERROR('Raw Data'!E36 = ROUND('Raw Data'!E36, 2),FALSE)),"",_xlfn.REGEXEXTRACT(CELL("address",E36), "\$([A-Z]+)\$[0-9]+"))),_xlfn.REGEXEXTRACT(CELL("address",E36), "\$([A-Z]+)\$[0-9]+"))</f>
        <v/>
      </c>
      <c r="F36" s="7" t="str" cm="1">
        <f t="array" aca="1" ref="F36" ca="1">IFERROR(IF(OR('Raw Data'!F36="",LEN(TRIM('Raw Data'!F36))=0),"",IF(AND(ISNUMBER('Raw Data'!F36), IFERROR('Raw Data'!F36 = ROUND('Raw Data'!F36, 2),FALSE)),"",_xlfn.REGEXEXTRACT(CELL("address",F36), "\$([A-Z]+)\$[0-9]+"))),_xlfn.REGEXEXTRACT(CELL("address",F36), "\$([A-Z]+)\$[0-9]+"))</f>
        <v/>
      </c>
      <c r="G36" s="7" t="str" cm="1">
        <f t="array" aca="1" ref="G36" ca="1">IFERROR(IF(OR('Raw Data'!G36="",LEN(TRIM('Raw Data'!G36))=0),"",IF(AND(ISNUMBER('Raw Data'!G36), IFERROR('Raw Data'!G36 = ROUND('Raw Data'!G36, 2),FALSE)),"",_xlfn.REGEXEXTRACT(CELL("address",G36), "\$([A-Z]+)\$[0-9]+"))),_xlfn.REGEXEXTRACT(CELL("address",G36), "\$([A-Z]+)\$[0-9]+"))</f>
        <v/>
      </c>
      <c r="H36" s="7" t="str" cm="1">
        <f t="array" aca="1" ref="H36" ca="1">IFERROR(IF(OR('Raw Data'!H36="",LEN(TRIM('Raw Data'!H36))=0),"",IF(AND(ISNUMBER('Raw Data'!H36), IFERROR('Raw Data'!H36 = ROUND('Raw Data'!H36, 2),FALSE)),"",_xlfn.REGEXEXTRACT(CELL("address",H36), "\$([A-Z]+)\$[0-9]+"))),_xlfn.REGEXEXTRACT(CELL("address",H36), "\$([A-Z]+)\$[0-9]+"))</f>
        <v/>
      </c>
      <c r="I36" s="7" t="str" cm="1">
        <f t="array" aca="1" ref="I36" ca="1">IFERROR(IF(OR('Raw Data'!I36="",LEN(TRIM('Raw Data'!I36))=0),"",IF(AND(ISNUMBER('Raw Data'!I36), IFERROR('Raw Data'!I36 = ROUND('Raw Data'!I36, 2),FALSE)),"",_xlfn.REGEXEXTRACT(CELL("address",I36), "\$([A-Z]+)\$[0-9]+"))),_xlfn.REGEXEXTRACT(CELL("address",I36), "\$([A-Z]+)\$[0-9]+"))</f>
        <v/>
      </c>
      <c r="J36" s="7" t="str" cm="1">
        <f t="array" aca="1" ref="J36" ca="1">IFERROR(IF(OR('Raw Data'!J36="",LEN(TRIM('Raw Data'!J36))=0),"",IF(AND(ISNUMBER('Raw Data'!J36), IFERROR('Raw Data'!J36 = ROUND('Raw Data'!J36, 2),FALSE)),"",_xlfn.REGEXEXTRACT(CELL("address",J36), "\$([A-Z]+)\$[0-9]+"))),_xlfn.REGEXEXTRACT(CELL("address",J36), "\$([A-Z]+)\$[0-9]+"))</f>
        <v/>
      </c>
      <c r="K36" s="7" t="str" cm="1">
        <f t="array" aca="1" ref="K36" ca="1">IFERROR(IF(OR('Raw Data'!K36="",LEN(TRIM('Raw Data'!K36))=0),"",IF(AND(ISNUMBER('Raw Data'!K36), IFERROR('Raw Data'!K36 = ROUND('Raw Data'!K36, 2),FALSE)),"",_xlfn.REGEXEXTRACT(CELL("address",K36), "\$([A-Z]+)\$[0-9]+"))),_xlfn.REGEXEXTRACT(CELL("address",K36), "\$([A-Z]+)\$[0-9]+"))</f>
        <v/>
      </c>
      <c r="L36" s="7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7" t="str" cm="1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7" t="str" cm="1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  <c r="O36" s="7" t="str" cm="1">
        <f t="array" aca="1" ref="O36" ca="1">IFERROR(IF(OR('Raw Data'!O36="",LEN(TRIM('Raw Data'!O36))=0),"",IF(AND(ISNUMBER('Raw Data'!O36), IFERROR('Raw Data'!O36 = ROUND('Raw Data'!O36, 2),FALSE)),"",_xlfn.REGEXEXTRACT(CELL("address",O36), "\$([A-Z]+)\$[0-9]+"))),_xlfn.REGEXEXTRACT(CELL("address",O36), "\$([A-Z]+)\$[0-9]+"))</f>
        <v/>
      </c>
      <c r="P36" s="7" t="str" cm="1">
        <f t="array" aca="1" ref="P36" ca="1">IFERROR(IF(OR('Raw Data'!P36="",LEN(TRIM('Raw Data'!P36))=0),"",IF(AND(ISNUMBER('Raw Data'!P36), IFERROR('Raw Data'!P36 = ROUND('Raw Data'!P36, 2),FALSE)),"",_xlfn.REGEXEXTRACT(CELL("address",P36), "\$([A-Z]+)\$[0-9]+"))),_xlfn.REGEXEXTRACT(CELL("address",P36), "\$([A-Z]+)\$[0-9]+"))</f>
        <v/>
      </c>
      <c r="Q36" s="7" t="str" cm="1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7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7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7" t="str" cm="1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7" t="str" cm="1">
        <f t="array" aca="1" ref="U36" ca="1">IFERROR(IF(OR('Raw Data'!U36="",LEN(TRIM('Raw Data'!U36))=0),"",IF(AND(ISNUMBER('Raw Data'!U36), IFERROR('Raw Data'!U36 = ROUND('Raw Data'!U36, 2),FALSE)),"",_xlfn.REGEXEXTRACT(CELL("address",U36), "\$([A-Z]+)\$[0-9]+"))),_xlfn.REGEXEXTRACT(CELL("address",U36), "\$([A-Z]+)\$[0-9]+"))</f>
        <v/>
      </c>
      <c r="V36" s="7" t="str" cm="1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7" t="str" cm="1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7" t="str" cm="1">
        <f t="array" aca="1" ref="X36" ca="1">IFERROR(IF(OR('Raw Data'!X36="",LEN(TRIM('Raw Data'!X36))=0),"",IF(AND(ISNUMBER('Raw Data'!X36), IFERROR('Raw Data'!X36 = ROUND('Raw Data'!X36, 2),FALSE)),"",_xlfn.REGEXEXTRACT(CELL("address",X36), "\$([A-Z]+)\$[0-9]+"))),_xlfn.REGEXEXTRACT(CELL("address",X36), "\$([A-Z]+)\$[0-9]+"))</f>
        <v/>
      </c>
      <c r="Y36" s="7" t="str" cm="1">
        <f t="array" aca="1" ref="Y36" ca="1">IFERROR(IF(OR('Raw Data'!Y36="",LEN(TRIM('Raw Data'!Y36))=0),"",IF(AND(ISNUMBER('Raw Data'!Y36), IFERROR('Raw Data'!Y36 = ROUND('Raw Data'!Y36, 2),FALSE)),"",_xlfn.REGEXEXTRACT(CELL("address",Y36), "\$([A-Z]+)\$[0-9]+"))),_xlfn.REGEXEXTRACT(CELL("address",Y36), "\$([A-Z]+)\$[0-9]+"))</f>
        <v/>
      </c>
      <c r="Z36" s="7" t="str" cm="1">
        <f t="array" aca="1" ref="Z36" ca="1">IFERROR(IF(OR('Raw Data'!Z36="",LEN(TRIM('Raw Data'!Z36))=0),"",IF(AND(ISNUMBER('Raw Data'!Z36), IFERROR('Raw Data'!Z36 = ROUND('Raw Data'!Z36, 2),FALSE)),"",_xlfn.REGEXEXTRACT(CELL("address",Z36), "\$([A-Z]+)\$[0-9]+"))),_xlfn.REGEXEXTRACT(CELL("address",Z36), "\$([A-Z]+)\$[0-9]+"))</f>
        <v/>
      </c>
      <c r="AA36" s="7" t="str" cm="1">
        <f t="array" aca="1" ref="AA36" ca="1">IFERROR(IF(OR('Raw Data'!AA36="",LEN(TRIM('Raw Data'!AA36))=0),"",IF(AND(ISNUMBER('Raw Data'!AA36), IFERROR('Raw Data'!AA36 = ROUND('Raw Data'!AA36, 2),FALSE)),"",_xlfn.REGEXEXTRACT(CELL("address",AA36), "\$([A-Z]+)\$[0-9]+"))),_xlfn.REGEXEXTRACT(CELL("address",AA36), "\$([A-Z]+)\$[0-9]+"))</f>
        <v/>
      </c>
      <c r="AB36" s="7" t="str" cm="1">
        <f t="array" aca="1" ref="AB36" ca="1">IFERROR(IF(OR('Raw Data'!AB36="",LEN(TRIM('Raw Data'!AB36))=0),"",IF(AND(ISNUMBER('Raw Data'!AB36), IFERROR('Raw Data'!AB36 = ROUND('Raw Data'!AB36, 2),FALSE)),"",_xlfn.REGEXEXTRACT(CELL("address",AB36), "\$([A-Z]+)\$[0-9]+"))),_xlfn.REGEXEXTRACT(CELL("address",AB36), "\$([A-Z]+)\$[0-9]+"))</f>
        <v/>
      </c>
    </row>
    <row r="37" spans="2:28" x14ac:dyDescent="0.25">
      <c r="B37" s="7" t="str" cm="1">
        <f t="array" aca="1" ref="B37" ca="1">IFERROR(IF(OR('Raw Data'!B37="",LEN(TRIM('Raw Data'!B37))=0),"",IF(AND(LEN('Raw Data'!B37) &lt;= 255,LEN('Raw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20,LEN('Raw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Data'!D37))=0),"",IF(AND(ISNUMBER('Raw Data'!D37),'Raw Data'!D37&gt;=Configuration!$D$2),"",_xlfn.REGEXEXTRACT(CELL("address",'Raw Data'!D37),"\$([A-Z]+)\$[0-9]+"))),_xlfn.REGEXEXTRACT(CELL("address",D37), "\$([A-Z]+)\$[0-9]+"))</f>
        <v/>
      </c>
      <c r="E37" s="7" t="str" cm="1">
        <f t="array" aca="1" ref="E37" ca="1">IFERROR(IF(OR('Raw Data'!E37="",LEN(TRIM('Raw Data'!E37))=0),"",IF(AND(ISNUMBER('Raw Data'!E37), IFERROR('Raw Data'!E37 = ROUND('Raw Data'!E37, 2),FALSE)),"",_xlfn.REGEXEXTRACT(CELL("address",E37), "\$([A-Z]+)\$[0-9]+"))),_xlfn.REGEXEXTRACT(CELL("address",E37), "\$([A-Z]+)\$[0-9]+"))</f>
        <v/>
      </c>
      <c r="F37" s="7" t="str" cm="1">
        <f t="array" aca="1" ref="F37" ca="1">IFERROR(IF(OR('Raw Data'!F37="",LEN(TRIM('Raw Data'!F37))=0),"",IF(AND(ISNUMBER('Raw Data'!F37), IFERROR('Raw Data'!F37 = ROUND('Raw Data'!F37, 2),FALSE)),"",_xlfn.REGEXEXTRACT(CELL("address",F37), "\$([A-Z]+)\$[0-9]+"))),_xlfn.REGEXEXTRACT(CELL("address",F37), "\$([A-Z]+)\$[0-9]+"))</f>
        <v/>
      </c>
      <c r="G37" s="7" t="str" cm="1">
        <f t="array" aca="1" ref="G37" ca="1">IFERROR(IF(OR('Raw Data'!G37="",LEN(TRIM('Raw Data'!G37))=0),"",IF(AND(ISNUMBER('Raw Data'!G37), IFERROR('Raw Data'!G37 = ROUND('Raw Data'!G37, 2),FALSE)),"",_xlfn.REGEXEXTRACT(CELL("address",G37), "\$([A-Z]+)\$[0-9]+"))),_xlfn.REGEXEXTRACT(CELL("address",G37), "\$([A-Z]+)\$[0-9]+"))</f>
        <v/>
      </c>
      <c r="H37" s="7" t="str" cm="1">
        <f t="array" aca="1" ref="H37" ca="1">IFERROR(IF(OR('Raw Data'!H37="",LEN(TRIM('Raw Data'!H37))=0),"",IF(AND(ISNUMBER('Raw Data'!H37), IFERROR('Raw Data'!H37 = ROUND('Raw Data'!H37, 2),FALSE)),"",_xlfn.REGEXEXTRACT(CELL("address",H37), "\$([A-Z]+)\$[0-9]+"))),_xlfn.REGEXEXTRACT(CELL("address",H37), "\$([A-Z]+)\$[0-9]+"))</f>
        <v/>
      </c>
      <c r="I37" s="7" t="str" cm="1">
        <f t="array" aca="1" ref="I37" ca="1">IFERROR(IF(OR('Raw Data'!I37="",LEN(TRIM('Raw Data'!I37))=0),"",IF(AND(ISNUMBER('Raw Data'!I37), IFERROR('Raw Data'!I37 = ROUND('Raw Data'!I37, 2),FALSE)),"",_xlfn.REGEXEXTRACT(CELL("address",I37), "\$([A-Z]+)\$[0-9]+"))),_xlfn.REGEXEXTRACT(CELL("address",I37), "\$([A-Z]+)\$[0-9]+"))</f>
        <v/>
      </c>
      <c r="J37" s="7" t="str" cm="1">
        <f t="array" aca="1" ref="J37" ca="1">IFERROR(IF(OR('Raw Data'!J37="",LEN(TRIM('Raw Data'!J37))=0),"",IF(AND(ISNUMBER('Raw Data'!J37), IFERROR('Raw Data'!J37 = ROUND('Raw Data'!J37, 2),FALSE)),"",_xlfn.REGEXEXTRACT(CELL("address",J37), "\$([A-Z]+)\$[0-9]+"))),_xlfn.REGEXEXTRACT(CELL("address",J37), "\$([A-Z]+)\$[0-9]+"))</f>
        <v/>
      </c>
      <c r="K37" s="7" t="str" cm="1">
        <f t="array" aca="1" ref="K37" ca="1">IFERROR(IF(OR('Raw Data'!K37="",LEN(TRIM('Raw Data'!K37))=0),"",IF(AND(ISNUMBER('Raw Data'!K37), IFERROR('Raw Data'!K37 = ROUND('Raw Data'!K37, 2),FALSE)),"",_xlfn.REGEXEXTRACT(CELL("address",K37), "\$([A-Z]+)\$[0-9]+"))),_xlfn.REGEXEXTRACT(CELL("address",K37), "\$([A-Z]+)\$[0-9]+"))</f>
        <v/>
      </c>
      <c r="L37" s="7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7" t="str" cm="1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7" t="str" cm="1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  <c r="O37" s="7" t="str" cm="1">
        <f t="array" aca="1" ref="O37" ca="1">IFERROR(IF(OR('Raw Data'!O37="",LEN(TRIM('Raw Data'!O37))=0),"",IF(AND(ISNUMBER('Raw Data'!O37), IFERROR('Raw Data'!O37 = ROUND('Raw Data'!O37, 2),FALSE)),"",_xlfn.REGEXEXTRACT(CELL("address",O37), "\$([A-Z]+)\$[0-9]+"))),_xlfn.REGEXEXTRACT(CELL("address",O37), "\$([A-Z]+)\$[0-9]+"))</f>
        <v/>
      </c>
      <c r="P37" s="7" t="str" cm="1">
        <f t="array" aca="1" ref="P37" ca="1">IFERROR(IF(OR('Raw Data'!P37="",LEN(TRIM('Raw Data'!P37))=0),"",IF(AND(ISNUMBER('Raw Data'!P37), IFERROR('Raw Data'!P37 = ROUND('Raw Data'!P37, 2),FALSE)),"",_xlfn.REGEXEXTRACT(CELL("address",P37), "\$([A-Z]+)\$[0-9]+"))),_xlfn.REGEXEXTRACT(CELL("address",P37), "\$([A-Z]+)\$[0-9]+"))</f>
        <v/>
      </c>
      <c r="Q37" s="7" t="str" cm="1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7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7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7" t="str" cm="1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7" t="str" cm="1">
        <f t="array" aca="1" ref="U37" ca="1">IFERROR(IF(OR('Raw Data'!U37="",LEN(TRIM('Raw Data'!U37))=0),"",IF(AND(ISNUMBER('Raw Data'!U37), IFERROR('Raw Data'!U37 = ROUND('Raw Data'!U37, 2),FALSE)),"",_xlfn.REGEXEXTRACT(CELL("address",U37), "\$([A-Z]+)\$[0-9]+"))),_xlfn.REGEXEXTRACT(CELL("address",U37), "\$([A-Z]+)\$[0-9]+"))</f>
        <v/>
      </c>
      <c r="V37" s="7" t="str" cm="1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7" t="str" cm="1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7" t="str" cm="1">
        <f t="array" aca="1" ref="X37" ca="1">IFERROR(IF(OR('Raw Data'!X37="",LEN(TRIM('Raw Data'!X37))=0),"",IF(AND(ISNUMBER('Raw Data'!X37), IFERROR('Raw Data'!X37 = ROUND('Raw Data'!X37, 2),FALSE)),"",_xlfn.REGEXEXTRACT(CELL("address",X37), "\$([A-Z]+)\$[0-9]+"))),_xlfn.REGEXEXTRACT(CELL("address",X37), "\$([A-Z]+)\$[0-9]+"))</f>
        <v/>
      </c>
      <c r="Y37" s="7" t="str" cm="1">
        <f t="array" aca="1" ref="Y37" ca="1">IFERROR(IF(OR('Raw Data'!Y37="",LEN(TRIM('Raw Data'!Y37))=0),"",IF(AND(ISNUMBER('Raw Data'!Y37), IFERROR('Raw Data'!Y37 = ROUND('Raw Data'!Y37, 2),FALSE)),"",_xlfn.REGEXEXTRACT(CELL("address",Y37), "\$([A-Z]+)\$[0-9]+"))),_xlfn.REGEXEXTRACT(CELL("address",Y37), "\$([A-Z]+)\$[0-9]+"))</f>
        <v/>
      </c>
      <c r="Z37" s="7" t="str" cm="1">
        <f t="array" aca="1" ref="Z37" ca="1">IFERROR(IF(OR('Raw Data'!Z37="",LEN(TRIM('Raw Data'!Z37))=0),"",IF(AND(ISNUMBER('Raw Data'!Z37), IFERROR('Raw Data'!Z37 = ROUND('Raw Data'!Z37, 2),FALSE)),"",_xlfn.REGEXEXTRACT(CELL("address",Z37), "\$([A-Z]+)\$[0-9]+"))),_xlfn.REGEXEXTRACT(CELL("address",Z37), "\$([A-Z]+)\$[0-9]+"))</f>
        <v/>
      </c>
      <c r="AA37" s="7" t="str" cm="1">
        <f t="array" aca="1" ref="AA37" ca="1">IFERROR(IF(OR('Raw Data'!AA37="",LEN(TRIM('Raw Data'!AA37))=0),"",IF(AND(ISNUMBER('Raw Data'!AA37), IFERROR('Raw Data'!AA37 = ROUND('Raw Data'!AA37, 2),FALSE)),"",_xlfn.REGEXEXTRACT(CELL("address",AA37), "\$([A-Z]+)\$[0-9]+"))),_xlfn.REGEXEXTRACT(CELL("address",AA37), "\$([A-Z]+)\$[0-9]+"))</f>
        <v/>
      </c>
      <c r="AB37" s="7" t="str" cm="1">
        <f t="array" aca="1" ref="AB37" ca="1">IFERROR(IF(OR('Raw Data'!AB37="",LEN(TRIM('Raw Data'!AB37))=0),"",IF(AND(ISNUMBER('Raw Data'!AB37), IFERROR('Raw Data'!AB37 = ROUND('Raw Data'!AB37, 2),FALSE)),"",_xlfn.REGEXEXTRACT(CELL("address",AB37), "\$([A-Z]+)\$[0-9]+"))),_xlfn.REGEXEXTRACT(CELL("address",AB37), "\$([A-Z]+)\$[0-9]+"))</f>
        <v/>
      </c>
    </row>
    <row r="38" spans="2:28" x14ac:dyDescent="0.25">
      <c r="B38" s="7" t="str" cm="1">
        <f t="array" aca="1" ref="B38" ca="1">IFERROR(IF(OR('Raw Data'!B38="",LEN(TRIM('Raw Data'!B38))=0),"",IF(AND(LEN('Raw Data'!B38) &lt;= 255,LEN('Raw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20,LEN('Raw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Data'!D38))=0),"",IF(AND(ISNUMBER('Raw Data'!D38),'Raw Data'!D38&gt;=Configuration!$D$2),"",_xlfn.REGEXEXTRACT(CELL("address",'Raw Data'!D38),"\$([A-Z]+)\$[0-9]+"))),_xlfn.REGEXEXTRACT(CELL("address",D38), "\$([A-Z]+)\$[0-9]+"))</f>
        <v/>
      </c>
      <c r="E38" s="7" t="str" cm="1">
        <f t="array" aca="1" ref="E38" ca="1">IFERROR(IF(OR('Raw Data'!E38="",LEN(TRIM('Raw Data'!E38))=0),"",IF(AND(ISNUMBER('Raw Data'!E38), IFERROR('Raw Data'!E38 = ROUND('Raw Data'!E38, 2),FALSE)),"",_xlfn.REGEXEXTRACT(CELL("address",E38), "\$([A-Z]+)\$[0-9]+"))),_xlfn.REGEXEXTRACT(CELL("address",E38), "\$([A-Z]+)\$[0-9]+"))</f>
        <v/>
      </c>
      <c r="F38" s="7" t="str" cm="1">
        <f t="array" aca="1" ref="F38" ca="1">IFERROR(IF(OR('Raw Data'!F38="",LEN(TRIM('Raw Data'!F38))=0),"",IF(AND(ISNUMBER('Raw Data'!F38), IFERROR('Raw Data'!F38 = ROUND('Raw Data'!F38, 2),FALSE)),"",_xlfn.REGEXEXTRACT(CELL("address",F38), "\$([A-Z]+)\$[0-9]+"))),_xlfn.REGEXEXTRACT(CELL("address",F38), "\$([A-Z]+)\$[0-9]+"))</f>
        <v/>
      </c>
      <c r="G38" s="7" t="str" cm="1">
        <f t="array" aca="1" ref="G38" ca="1">IFERROR(IF(OR('Raw Data'!G38="",LEN(TRIM('Raw Data'!G38))=0),"",IF(AND(ISNUMBER('Raw Data'!G38), IFERROR('Raw Data'!G38 = ROUND('Raw Data'!G38, 2),FALSE)),"",_xlfn.REGEXEXTRACT(CELL("address",G38), "\$([A-Z]+)\$[0-9]+"))),_xlfn.REGEXEXTRACT(CELL("address",G38), "\$([A-Z]+)\$[0-9]+"))</f>
        <v/>
      </c>
      <c r="H38" s="7" t="str" cm="1">
        <f t="array" aca="1" ref="H38" ca="1">IFERROR(IF(OR('Raw Data'!H38="",LEN(TRIM('Raw Data'!H38))=0),"",IF(AND(ISNUMBER('Raw Data'!H38), IFERROR('Raw Data'!H38 = ROUND('Raw Data'!H38, 2),FALSE)),"",_xlfn.REGEXEXTRACT(CELL("address",H38), "\$([A-Z]+)\$[0-9]+"))),_xlfn.REGEXEXTRACT(CELL("address",H38), "\$([A-Z]+)\$[0-9]+"))</f>
        <v/>
      </c>
      <c r="I38" s="7" t="str" cm="1">
        <f t="array" aca="1" ref="I38" ca="1">IFERROR(IF(OR('Raw Data'!I38="",LEN(TRIM('Raw Data'!I38))=0),"",IF(AND(ISNUMBER('Raw Data'!I38), IFERROR('Raw Data'!I38 = ROUND('Raw Data'!I38, 2),FALSE)),"",_xlfn.REGEXEXTRACT(CELL("address",I38), "\$([A-Z]+)\$[0-9]+"))),_xlfn.REGEXEXTRACT(CELL("address",I38), "\$([A-Z]+)\$[0-9]+"))</f>
        <v/>
      </c>
      <c r="J38" s="7" t="str" cm="1">
        <f t="array" aca="1" ref="J38" ca="1">IFERROR(IF(OR('Raw Data'!J38="",LEN(TRIM('Raw Data'!J38))=0),"",IF(AND(ISNUMBER('Raw Data'!J38), IFERROR('Raw Data'!J38 = ROUND('Raw Data'!J38, 2),FALSE)),"",_xlfn.REGEXEXTRACT(CELL("address",J38), "\$([A-Z]+)\$[0-9]+"))),_xlfn.REGEXEXTRACT(CELL("address",J38), "\$([A-Z]+)\$[0-9]+"))</f>
        <v/>
      </c>
      <c r="K38" s="7" t="str" cm="1">
        <f t="array" aca="1" ref="K38" ca="1">IFERROR(IF(OR('Raw Data'!K38="",LEN(TRIM('Raw Data'!K38))=0),"",IF(AND(ISNUMBER('Raw Data'!K38), IFERROR('Raw Data'!K38 = ROUND('Raw Data'!K38, 2),FALSE)),"",_xlfn.REGEXEXTRACT(CELL("address",K38), "\$([A-Z]+)\$[0-9]+"))),_xlfn.REGEXEXTRACT(CELL("address",K38), "\$([A-Z]+)\$[0-9]+"))</f>
        <v/>
      </c>
      <c r="L38" s="7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7" t="str" cm="1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7" t="str" cm="1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  <c r="O38" s="7" t="str" cm="1">
        <f t="array" aca="1" ref="O38" ca="1">IFERROR(IF(OR('Raw Data'!O38="",LEN(TRIM('Raw Data'!O38))=0),"",IF(AND(ISNUMBER('Raw Data'!O38), IFERROR('Raw Data'!O38 = ROUND('Raw Data'!O38, 2),FALSE)),"",_xlfn.REGEXEXTRACT(CELL("address",O38), "\$([A-Z]+)\$[0-9]+"))),_xlfn.REGEXEXTRACT(CELL("address",O38), "\$([A-Z]+)\$[0-9]+"))</f>
        <v/>
      </c>
      <c r="P38" s="7" t="str" cm="1">
        <f t="array" aca="1" ref="P38" ca="1">IFERROR(IF(OR('Raw Data'!P38="",LEN(TRIM('Raw Data'!P38))=0),"",IF(AND(ISNUMBER('Raw Data'!P38), IFERROR('Raw Data'!P38 = ROUND('Raw Data'!P38, 2),FALSE)),"",_xlfn.REGEXEXTRACT(CELL("address",P38), "\$([A-Z]+)\$[0-9]+"))),_xlfn.REGEXEXTRACT(CELL("address",P38), "\$([A-Z]+)\$[0-9]+"))</f>
        <v/>
      </c>
      <c r="Q38" s="7" t="str" cm="1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7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7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7" t="str" cm="1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7" t="str" cm="1">
        <f t="array" aca="1" ref="U38" ca="1">IFERROR(IF(OR('Raw Data'!U38="",LEN(TRIM('Raw Data'!U38))=0),"",IF(AND(ISNUMBER('Raw Data'!U38), IFERROR('Raw Data'!U38 = ROUND('Raw Data'!U38, 2),FALSE)),"",_xlfn.REGEXEXTRACT(CELL("address",U38), "\$([A-Z]+)\$[0-9]+"))),_xlfn.REGEXEXTRACT(CELL("address",U38), "\$([A-Z]+)\$[0-9]+"))</f>
        <v/>
      </c>
      <c r="V38" s="7" t="str" cm="1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7" t="str" cm="1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7" t="str" cm="1">
        <f t="array" aca="1" ref="X38" ca="1">IFERROR(IF(OR('Raw Data'!X38="",LEN(TRIM('Raw Data'!X38))=0),"",IF(AND(ISNUMBER('Raw Data'!X38), IFERROR('Raw Data'!X38 = ROUND('Raw Data'!X38, 2),FALSE)),"",_xlfn.REGEXEXTRACT(CELL("address",X38), "\$([A-Z]+)\$[0-9]+"))),_xlfn.REGEXEXTRACT(CELL("address",X38), "\$([A-Z]+)\$[0-9]+"))</f>
        <v/>
      </c>
      <c r="Y38" s="7" t="str" cm="1">
        <f t="array" aca="1" ref="Y38" ca="1">IFERROR(IF(OR('Raw Data'!Y38="",LEN(TRIM('Raw Data'!Y38))=0),"",IF(AND(ISNUMBER('Raw Data'!Y38), IFERROR('Raw Data'!Y38 = ROUND('Raw Data'!Y38, 2),FALSE)),"",_xlfn.REGEXEXTRACT(CELL("address",Y38), "\$([A-Z]+)\$[0-9]+"))),_xlfn.REGEXEXTRACT(CELL("address",Y38), "\$([A-Z]+)\$[0-9]+"))</f>
        <v/>
      </c>
      <c r="Z38" s="7" t="str" cm="1">
        <f t="array" aca="1" ref="Z38" ca="1">IFERROR(IF(OR('Raw Data'!Z38="",LEN(TRIM('Raw Data'!Z38))=0),"",IF(AND(ISNUMBER('Raw Data'!Z38), IFERROR('Raw Data'!Z38 = ROUND('Raw Data'!Z38, 2),FALSE)),"",_xlfn.REGEXEXTRACT(CELL("address",Z38), "\$([A-Z]+)\$[0-9]+"))),_xlfn.REGEXEXTRACT(CELL("address",Z38), "\$([A-Z]+)\$[0-9]+"))</f>
        <v/>
      </c>
      <c r="AA38" s="7" t="str" cm="1">
        <f t="array" aca="1" ref="AA38" ca="1">IFERROR(IF(OR('Raw Data'!AA38="",LEN(TRIM('Raw Data'!AA38))=0),"",IF(AND(ISNUMBER('Raw Data'!AA38), IFERROR('Raw Data'!AA38 = ROUND('Raw Data'!AA38, 2),FALSE)),"",_xlfn.REGEXEXTRACT(CELL("address",AA38), "\$([A-Z]+)\$[0-9]+"))),_xlfn.REGEXEXTRACT(CELL("address",AA38), "\$([A-Z]+)\$[0-9]+"))</f>
        <v/>
      </c>
      <c r="AB38" s="7" t="str" cm="1">
        <f t="array" aca="1" ref="AB38" ca="1">IFERROR(IF(OR('Raw Data'!AB38="",LEN(TRIM('Raw Data'!AB38))=0),"",IF(AND(ISNUMBER('Raw Data'!AB38), IFERROR('Raw Data'!AB38 = ROUND('Raw Data'!AB38, 2),FALSE)),"",_xlfn.REGEXEXTRACT(CELL("address",AB38), "\$([A-Z]+)\$[0-9]+"))),_xlfn.REGEXEXTRACT(CELL("address",AB38), "\$([A-Z]+)\$[0-9]+"))</f>
        <v/>
      </c>
    </row>
    <row r="39" spans="2:28" x14ac:dyDescent="0.25">
      <c r="B39" s="7" t="str" cm="1">
        <f t="array" aca="1" ref="B39" ca="1">IFERROR(IF(OR('Raw Data'!B39="",LEN(TRIM('Raw Data'!B39))=0),"",IF(AND(LEN('Raw Data'!B39) &lt;= 255,LEN('Raw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20,LEN('Raw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Data'!D39))=0),"",IF(AND(ISNUMBER('Raw Data'!D39),'Raw Data'!D39&gt;=Configuration!$D$2),"",_xlfn.REGEXEXTRACT(CELL("address",'Raw Data'!D39),"\$([A-Z]+)\$[0-9]+"))),_xlfn.REGEXEXTRACT(CELL("address",D39), "\$([A-Z]+)\$[0-9]+"))</f>
        <v/>
      </c>
      <c r="E39" s="7" t="str" cm="1">
        <f t="array" aca="1" ref="E39" ca="1">IFERROR(IF(OR('Raw Data'!E39="",LEN(TRIM('Raw Data'!E39))=0),"",IF(AND(ISNUMBER('Raw Data'!E39), IFERROR('Raw Data'!E39 = ROUND('Raw Data'!E39, 2),FALSE)),"",_xlfn.REGEXEXTRACT(CELL("address",E39), "\$([A-Z]+)\$[0-9]+"))),_xlfn.REGEXEXTRACT(CELL("address",E39), "\$([A-Z]+)\$[0-9]+"))</f>
        <v/>
      </c>
      <c r="F39" s="7" t="str" cm="1">
        <f t="array" aca="1" ref="F39" ca="1">IFERROR(IF(OR('Raw Data'!F39="",LEN(TRIM('Raw Data'!F39))=0),"",IF(AND(ISNUMBER('Raw Data'!F39), IFERROR('Raw Data'!F39 = ROUND('Raw Data'!F39, 2),FALSE)),"",_xlfn.REGEXEXTRACT(CELL("address",F39), "\$([A-Z]+)\$[0-9]+"))),_xlfn.REGEXEXTRACT(CELL("address",F39), "\$([A-Z]+)\$[0-9]+"))</f>
        <v/>
      </c>
      <c r="G39" s="7" t="str" cm="1">
        <f t="array" aca="1" ref="G39" ca="1">IFERROR(IF(OR('Raw Data'!G39="",LEN(TRIM('Raw Data'!G39))=0),"",IF(AND(ISNUMBER('Raw Data'!G39), IFERROR('Raw Data'!G39 = ROUND('Raw Data'!G39, 2),FALSE)),"",_xlfn.REGEXEXTRACT(CELL("address",G39), "\$([A-Z]+)\$[0-9]+"))),_xlfn.REGEXEXTRACT(CELL("address",G39), "\$([A-Z]+)\$[0-9]+"))</f>
        <v/>
      </c>
      <c r="H39" s="7" t="str" cm="1">
        <f t="array" aca="1" ref="H39" ca="1">IFERROR(IF(OR('Raw Data'!H39="",LEN(TRIM('Raw Data'!H39))=0),"",IF(AND(ISNUMBER('Raw Data'!H39), IFERROR('Raw Data'!H39 = ROUND('Raw Data'!H39, 2),FALSE)),"",_xlfn.REGEXEXTRACT(CELL("address",H39), "\$([A-Z]+)\$[0-9]+"))),_xlfn.REGEXEXTRACT(CELL("address",H39), "\$([A-Z]+)\$[0-9]+"))</f>
        <v/>
      </c>
      <c r="I39" s="7" t="str" cm="1">
        <f t="array" aca="1" ref="I39" ca="1">IFERROR(IF(OR('Raw Data'!I39="",LEN(TRIM('Raw Data'!I39))=0),"",IF(AND(ISNUMBER('Raw Data'!I39), IFERROR('Raw Data'!I39 = ROUND('Raw Data'!I39, 2),FALSE)),"",_xlfn.REGEXEXTRACT(CELL("address",I39), "\$([A-Z]+)\$[0-9]+"))),_xlfn.REGEXEXTRACT(CELL("address",I39), "\$([A-Z]+)\$[0-9]+"))</f>
        <v/>
      </c>
      <c r="J39" s="7" t="str" cm="1">
        <f t="array" aca="1" ref="J39" ca="1">IFERROR(IF(OR('Raw Data'!J39="",LEN(TRIM('Raw Data'!J39))=0),"",IF(AND(ISNUMBER('Raw Data'!J39), IFERROR('Raw Data'!J39 = ROUND('Raw Data'!J39, 2),FALSE)),"",_xlfn.REGEXEXTRACT(CELL("address",J39), "\$([A-Z]+)\$[0-9]+"))),_xlfn.REGEXEXTRACT(CELL("address",J39), "\$([A-Z]+)\$[0-9]+"))</f>
        <v/>
      </c>
      <c r="K39" s="7" t="str" cm="1">
        <f t="array" aca="1" ref="K39" ca="1">IFERROR(IF(OR('Raw Data'!K39="",LEN(TRIM('Raw Data'!K39))=0),"",IF(AND(ISNUMBER('Raw Data'!K39), IFERROR('Raw Data'!K39 = ROUND('Raw Data'!K39, 2),FALSE)),"",_xlfn.REGEXEXTRACT(CELL("address",K39), "\$([A-Z]+)\$[0-9]+"))),_xlfn.REGEXEXTRACT(CELL("address",K39), "\$([A-Z]+)\$[0-9]+"))</f>
        <v/>
      </c>
      <c r="L39" s="7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7" t="str" cm="1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7" t="str" cm="1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  <c r="O39" s="7" t="str" cm="1">
        <f t="array" aca="1" ref="O39" ca="1">IFERROR(IF(OR('Raw Data'!O39="",LEN(TRIM('Raw Data'!O39))=0),"",IF(AND(ISNUMBER('Raw Data'!O39), IFERROR('Raw Data'!O39 = ROUND('Raw Data'!O39, 2),FALSE)),"",_xlfn.REGEXEXTRACT(CELL("address",O39), "\$([A-Z]+)\$[0-9]+"))),_xlfn.REGEXEXTRACT(CELL("address",O39), "\$([A-Z]+)\$[0-9]+"))</f>
        <v/>
      </c>
      <c r="P39" s="7" t="str" cm="1">
        <f t="array" aca="1" ref="P39" ca="1">IFERROR(IF(OR('Raw Data'!P39="",LEN(TRIM('Raw Data'!P39))=0),"",IF(AND(ISNUMBER('Raw Data'!P39), IFERROR('Raw Data'!P39 = ROUND('Raw Data'!P39, 2),FALSE)),"",_xlfn.REGEXEXTRACT(CELL("address",P39), "\$([A-Z]+)\$[0-9]+"))),_xlfn.REGEXEXTRACT(CELL("address",P39), "\$([A-Z]+)\$[0-9]+"))</f>
        <v/>
      </c>
      <c r="Q39" s="7" t="str" cm="1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7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7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7" t="str" cm="1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7" t="str" cm="1">
        <f t="array" aca="1" ref="U39" ca="1">IFERROR(IF(OR('Raw Data'!U39="",LEN(TRIM('Raw Data'!U39))=0),"",IF(AND(ISNUMBER('Raw Data'!U39), IFERROR('Raw Data'!U39 = ROUND('Raw Data'!U39, 2),FALSE)),"",_xlfn.REGEXEXTRACT(CELL("address",U39), "\$([A-Z]+)\$[0-9]+"))),_xlfn.REGEXEXTRACT(CELL("address",U39), "\$([A-Z]+)\$[0-9]+"))</f>
        <v/>
      </c>
      <c r="V39" s="7" t="str" cm="1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7" t="str" cm="1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7" t="str" cm="1">
        <f t="array" aca="1" ref="X39" ca="1">IFERROR(IF(OR('Raw Data'!X39="",LEN(TRIM('Raw Data'!X39))=0),"",IF(AND(ISNUMBER('Raw Data'!X39), IFERROR('Raw Data'!X39 = ROUND('Raw Data'!X39, 2),FALSE)),"",_xlfn.REGEXEXTRACT(CELL("address",X39), "\$([A-Z]+)\$[0-9]+"))),_xlfn.REGEXEXTRACT(CELL("address",X39), "\$([A-Z]+)\$[0-9]+"))</f>
        <v/>
      </c>
      <c r="Y39" s="7" t="str" cm="1">
        <f t="array" aca="1" ref="Y39" ca="1">IFERROR(IF(OR('Raw Data'!Y39="",LEN(TRIM('Raw Data'!Y39))=0),"",IF(AND(ISNUMBER('Raw Data'!Y39), IFERROR('Raw Data'!Y39 = ROUND('Raw Data'!Y39, 2),FALSE)),"",_xlfn.REGEXEXTRACT(CELL("address",Y39), "\$([A-Z]+)\$[0-9]+"))),_xlfn.REGEXEXTRACT(CELL("address",Y39), "\$([A-Z]+)\$[0-9]+"))</f>
        <v/>
      </c>
      <c r="Z39" s="7" t="str" cm="1">
        <f t="array" aca="1" ref="Z39" ca="1">IFERROR(IF(OR('Raw Data'!Z39="",LEN(TRIM('Raw Data'!Z39))=0),"",IF(AND(ISNUMBER('Raw Data'!Z39), IFERROR('Raw Data'!Z39 = ROUND('Raw Data'!Z39, 2),FALSE)),"",_xlfn.REGEXEXTRACT(CELL("address",Z39), "\$([A-Z]+)\$[0-9]+"))),_xlfn.REGEXEXTRACT(CELL("address",Z39), "\$([A-Z]+)\$[0-9]+"))</f>
        <v/>
      </c>
      <c r="AA39" s="7" t="str" cm="1">
        <f t="array" aca="1" ref="AA39" ca="1">IFERROR(IF(OR('Raw Data'!AA39="",LEN(TRIM('Raw Data'!AA39))=0),"",IF(AND(ISNUMBER('Raw Data'!AA39), IFERROR('Raw Data'!AA39 = ROUND('Raw Data'!AA39, 2),FALSE)),"",_xlfn.REGEXEXTRACT(CELL("address",AA39), "\$([A-Z]+)\$[0-9]+"))),_xlfn.REGEXEXTRACT(CELL("address",AA39), "\$([A-Z]+)\$[0-9]+"))</f>
        <v/>
      </c>
      <c r="AB39" s="7" t="str" cm="1">
        <f t="array" aca="1" ref="AB39" ca="1">IFERROR(IF(OR('Raw Data'!AB39="",LEN(TRIM('Raw Data'!AB39))=0),"",IF(AND(ISNUMBER('Raw Data'!AB39), IFERROR('Raw Data'!AB39 = ROUND('Raw Data'!AB39, 2),FALSE)),"",_xlfn.REGEXEXTRACT(CELL("address",AB39), "\$([A-Z]+)\$[0-9]+"))),_xlfn.REGEXEXTRACT(CELL("address",AB39), "\$([A-Z]+)\$[0-9]+"))</f>
        <v/>
      </c>
    </row>
    <row r="40" spans="2:28" x14ac:dyDescent="0.25">
      <c r="B40" s="7" t="str" cm="1">
        <f t="array" aca="1" ref="B40" ca="1">IFERROR(IF(OR('Raw Data'!B40="",LEN(TRIM('Raw Data'!B40))=0),"",IF(AND(LEN('Raw Data'!B40) &lt;= 255,LEN('Raw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20,LEN('Raw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Data'!D40))=0),"",IF(AND(ISNUMBER('Raw Data'!D40),'Raw Data'!D40&gt;=Configuration!$D$2),"",_xlfn.REGEXEXTRACT(CELL("address",'Raw Data'!D40),"\$([A-Z]+)\$[0-9]+"))),_xlfn.REGEXEXTRACT(CELL("address",D40), "\$([A-Z]+)\$[0-9]+"))</f>
        <v/>
      </c>
      <c r="E40" s="7" t="str" cm="1">
        <f t="array" aca="1" ref="E40" ca="1">IFERROR(IF(OR('Raw Data'!E40="",LEN(TRIM('Raw Data'!E40))=0),"",IF(AND(ISNUMBER('Raw Data'!E40), IFERROR('Raw Data'!E40 = ROUND('Raw Data'!E40, 2),FALSE)),"",_xlfn.REGEXEXTRACT(CELL("address",E40), "\$([A-Z]+)\$[0-9]+"))),_xlfn.REGEXEXTRACT(CELL("address",E40), "\$([A-Z]+)\$[0-9]+"))</f>
        <v/>
      </c>
      <c r="F40" s="7" t="str" cm="1">
        <f t="array" aca="1" ref="F40" ca="1">IFERROR(IF(OR('Raw Data'!F40="",LEN(TRIM('Raw Data'!F40))=0),"",IF(AND(ISNUMBER('Raw Data'!F40), IFERROR('Raw Data'!F40 = ROUND('Raw Data'!F40, 2),FALSE)),"",_xlfn.REGEXEXTRACT(CELL("address",F40), "\$([A-Z]+)\$[0-9]+"))),_xlfn.REGEXEXTRACT(CELL("address",F40), "\$([A-Z]+)\$[0-9]+"))</f>
        <v/>
      </c>
      <c r="G40" s="7" t="str" cm="1">
        <f t="array" aca="1" ref="G40" ca="1">IFERROR(IF(OR('Raw Data'!G40="",LEN(TRIM('Raw Data'!G40))=0),"",IF(AND(ISNUMBER('Raw Data'!G40), IFERROR('Raw Data'!G40 = ROUND('Raw Data'!G40, 2),FALSE)),"",_xlfn.REGEXEXTRACT(CELL("address",G40), "\$([A-Z]+)\$[0-9]+"))),_xlfn.REGEXEXTRACT(CELL("address",G40), "\$([A-Z]+)\$[0-9]+"))</f>
        <v/>
      </c>
      <c r="H40" s="7" t="str" cm="1">
        <f t="array" aca="1" ref="H40" ca="1">IFERROR(IF(OR('Raw Data'!H40="",LEN(TRIM('Raw Data'!H40))=0),"",IF(AND(ISNUMBER('Raw Data'!H40), IFERROR('Raw Data'!H40 = ROUND('Raw Data'!H40, 2),FALSE)),"",_xlfn.REGEXEXTRACT(CELL("address",H40), "\$([A-Z]+)\$[0-9]+"))),_xlfn.REGEXEXTRACT(CELL("address",H40), "\$([A-Z]+)\$[0-9]+"))</f>
        <v/>
      </c>
      <c r="I40" s="7" t="str" cm="1">
        <f t="array" aca="1" ref="I40" ca="1">IFERROR(IF(OR('Raw Data'!I40="",LEN(TRIM('Raw Data'!I40))=0),"",IF(AND(ISNUMBER('Raw Data'!I40), IFERROR('Raw Data'!I40 = ROUND('Raw Data'!I40, 2),FALSE)),"",_xlfn.REGEXEXTRACT(CELL("address",I40), "\$([A-Z]+)\$[0-9]+"))),_xlfn.REGEXEXTRACT(CELL("address",I40), "\$([A-Z]+)\$[0-9]+"))</f>
        <v/>
      </c>
      <c r="J40" s="7" t="str" cm="1">
        <f t="array" aca="1" ref="J40" ca="1">IFERROR(IF(OR('Raw Data'!J40="",LEN(TRIM('Raw Data'!J40))=0),"",IF(AND(ISNUMBER('Raw Data'!J40), IFERROR('Raw Data'!J40 = ROUND('Raw Data'!J40, 2),FALSE)),"",_xlfn.REGEXEXTRACT(CELL("address",J40), "\$([A-Z]+)\$[0-9]+"))),_xlfn.REGEXEXTRACT(CELL("address",J40), "\$([A-Z]+)\$[0-9]+"))</f>
        <v/>
      </c>
      <c r="K40" s="7" t="str" cm="1">
        <f t="array" aca="1" ref="K40" ca="1">IFERROR(IF(OR('Raw Data'!K40="",LEN(TRIM('Raw Data'!K40))=0),"",IF(AND(ISNUMBER('Raw Data'!K40), IFERROR('Raw Data'!K40 = ROUND('Raw Data'!K40, 2),FALSE)),"",_xlfn.REGEXEXTRACT(CELL("address",K40), "\$([A-Z]+)\$[0-9]+"))),_xlfn.REGEXEXTRACT(CELL("address",K40), "\$([A-Z]+)\$[0-9]+"))</f>
        <v/>
      </c>
      <c r="L40" s="7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7" t="str" cm="1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7" t="str" cm="1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  <c r="O40" s="7" t="str" cm="1">
        <f t="array" aca="1" ref="O40" ca="1">IFERROR(IF(OR('Raw Data'!O40="",LEN(TRIM('Raw Data'!O40))=0),"",IF(AND(ISNUMBER('Raw Data'!O40), IFERROR('Raw Data'!O40 = ROUND('Raw Data'!O40, 2),FALSE)),"",_xlfn.REGEXEXTRACT(CELL("address",O40), "\$([A-Z]+)\$[0-9]+"))),_xlfn.REGEXEXTRACT(CELL("address",O40), "\$([A-Z]+)\$[0-9]+"))</f>
        <v/>
      </c>
      <c r="P40" s="7" t="str" cm="1">
        <f t="array" aca="1" ref="P40" ca="1">IFERROR(IF(OR('Raw Data'!P40="",LEN(TRIM('Raw Data'!P40))=0),"",IF(AND(ISNUMBER('Raw Data'!P40), IFERROR('Raw Data'!P40 = ROUND('Raw Data'!P40, 2),FALSE)),"",_xlfn.REGEXEXTRACT(CELL("address",P40), "\$([A-Z]+)\$[0-9]+"))),_xlfn.REGEXEXTRACT(CELL("address",P40), "\$([A-Z]+)\$[0-9]+"))</f>
        <v/>
      </c>
      <c r="Q40" s="7" t="str" cm="1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7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7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7" t="str" cm="1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7" t="str" cm="1">
        <f t="array" aca="1" ref="U40" ca="1">IFERROR(IF(OR('Raw Data'!U40="",LEN(TRIM('Raw Data'!U40))=0),"",IF(AND(ISNUMBER('Raw Data'!U40), IFERROR('Raw Data'!U40 = ROUND('Raw Data'!U40, 2),FALSE)),"",_xlfn.REGEXEXTRACT(CELL("address",U40), "\$([A-Z]+)\$[0-9]+"))),_xlfn.REGEXEXTRACT(CELL("address",U40), "\$([A-Z]+)\$[0-9]+"))</f>
        <v/>
      </c>
      <c r="V40" s="7" t="str" cm="1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7" t="str" cm="1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7" t="str" cm="1">
        <f t="array" aca="1" ref="X40" ca="1">IFERROR(IF(OR('Raw Data'!X40="",LEN(TRIM('Raw Data'!X40))=0),"",IF(AND(ISNUMBER('Raw Data'!X40), IFERROR('Raw Data'!X40 = ROUND('Raw Data'!X40, 2),FALSE)),"",_xlfn.REGEXEXTRACT(CELL("address",X40), "\$([A-Z]+)\$[0-9]+"))),_xlfn.REGEXEXTRACT(CELL("address",X40), "\$([A-Z]+)\$[0-9]+"))</f>
        <v/>
      </c>
      <c r="Y40" s="7" t="str" cm="1">
        <f t="array" aca="1" ref="Y40" ca="1">IFERROR(IF(OR('Raw Data'!Y40="",LEN(TRIM('Raw Data'!Y40))=0),"",IF(AND(ISNUMBER('Raw Data'!Y40), IFERROR('Raw Data'!Y40 = ROUND('Raw Data'!Y40, 2),FALSE)),"",_xlfn.REGEXEXTRACT(CELL("address",Y40), "\$([A-Z]+)\$[0-9]+"))),_xlfn.REGEXEXTRACT(CELL("address",Y40), "\$([A-Z]+)\$[0-9]+"))</f>
        <v/>
      </c>
      <c r="Z40" s="7" t="str" cm="1">
        <f t="array" aca="1" ref="Z40" ca="1">IFERROR(IF(OR('Raw Data'!Z40="",LEN(TRIM('Raw Data'!Z40))=0),"",IF(AND(ISNUMBER('Raw Data'!Z40), IFERROR('Raw Data'!Z40 = ROUND('Raw Data'!Z40, 2),FALSE)),"",_xlfn.REGEXEXTRACT(CELL("address",Z40), "\$([A-Z]+)\$[0-9]+"))),_xlfn.REGEXEXTRACT(CELL("address",Z40), "\$([A-Z]+)\$[0-9]+"))</f>
        <v/>
      </c>
      <c r="AA40" s="7" t="str" cm="1">
        <f t="array" aca="1" ref="AA40" ca="1">IFERROR(IF(OR('Raw Data'!AA40="",LEN(TRIM('Raw Data'!AA40))=0),"",IF(AND(ISNUMBER('Raw Data'!AA40), IFERROR('Raw Data'!AA40 = ROUND('Raw Data'!AA40, 2),FALSE)),"",_xlfn.REGEXEXTRACT(CELL("address",AA40), "\$([A-Z]+)\$[0-9]+"))),_xlfn.REGEXEXTRACT(CELL("address",AA40), "\$([A-Z]+)\$[0-9]+"))</f>
        <v/>
      </c>
      <c r="AB40" s="7" t="str" cm="1">
        <f t="array" aca="1" ref="AB40" ca="1">IFERROR(IF(OR('Raw Data'!AB40="",LEN(TRIM('Raw Data'!AB40))=0),"",IF(AND(ISNUMBER('Raw Data'!AB40), IFERROR('Raw Data'!AB40 = ROUND('Raw Data'!AB40, 2),FALSE)),"",_xlfn.REGEXEXTRACT(CELL("address",AB40), "\$([A-Z]+)\$[0-9]+"))),_xlfn.REGEXEXTRACT(CELL("address",AB40), "\$([A-Z]+)\$[0-9]+"))</f>
        <v/>
      </c>
    </row>
    <row r="41" spans="2:28" x14ac:dyDescent="0.25">
      <c r="B41" s="7" t="str" cm="1">
        <f t="array" aca="1" ref="B41" ca="1">IFERROR(IF(OR('Raw Data'!B41="",LEN(TRIM('Raw Data'!B41))=0),"",IF(AND(LEN('Raw Data'!B41) &lt;= 255,LEN('Raw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20,LEN('Raw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Data'!D41))=0),"",IF(AND(ISNUMBER('Raw Data'!D41),'Raw Data'!D41&gt;=Configuration!$D$2),"",_xlfn.REGEXEXTRACT(CELL("address",'Raw Data'!D41),"\$([A-Z]+)\$[0-9]+"))),_xlfn.REGEXEXTRACT(CELL("address",D41), "\$([A-Z]+)\$[0-9]+"))</f>
        <v/>
      </c>
      <c r="E41" s="7" t="str" cm="1">
        <f t="array" aca="1" ref="E41" ca="1">IFERROR(IF(OR('Raw Data'!E41="",LEN(TRIM('Raw Data'!E41))=0),"",IF(AND(ISNUMBER('Raw Data'!E41), IFERROR('Raw Data'!E41 = ROUND('Raw Data'!E41, 2),FALSE)),"",_xlfn.REGEXEXTRACT(CELL("address",E41), "\$([A-Z]+)\$[0-9]+"))),_xlfn.REGEXEXTRACT(CELL("address",E41), "\$([A-Z]+)\$[0-9]+"))</f>
        <v/>
      </c>
      <c r="F41" s="7" t="str" cm="1">
        <f t="array" aca="1" ref="F41" ca="1">IFERROR(IF(OR('Raw Data'!F41="",LEN(TRIM('Raw Data'!F41))=0),"",IF(AND(ISNUMBER('Raw Data'!F41), IFERROR('Raw Data'!F41 = ROUND('Raw Data'!F41, 2),FALSE)),"",_xlfn.REGEXEXTRACT(CELL("address",F41), "\$([A-Z]+)\$[0-9]+"))),_xlfn.REGEXEXTRACT(CELL("address",F41), "\$([A-Z]+)\$[0-9]+"))</f>
        <v/>
      </c>
      <c r="G41" s="7" t="str" cm="1">
        <f t="array" aca="1" ref="G41" ca="1">IFERROR(IF(OR('Raw Data'!G41="",LEN(TRIM('Raw Data'!G41))=0),"",IF(AND(ISNUMBER('Raw Data'!G41), IFERROR('Raw Data'!G41 = ROUND('Raw Data'!G41, 2),FALSE)),"",_xlfn.REGEXEXTRACT(CELL("address",G41), "\$([A-Z]+)\$[0-9]+"))),_xlfn.REGEXEXTRACT(CELL("address",G41), "\$([A-Z]+)\$[0-9]+"))</f>
        <v/>
      </c>
      <c r="H41" s="7" t="str" cm="1">
        <f t="array" aca="1" ref="H41" ca="1">IFERROR(IF(OR('Raw Data'!H41="",LEN(TRIM('Raw Data'!H41))=0),"",IF(AND(ISNUMBER('Raw Data'!H41), IFERROR('Raw Data'!H41 = ROUND('Raw Data'!H41, 2),FALSE)),"",_xlfn.REGEXEXTRACT(CELL("address",H41), "\$([A-Z]+)\$[0-9]+"))),_xlfn.REGEXEXTRACT(CELL("address",H41), "\$([A-Z]+)\$[0-9]+"))</f>
        <v/>
      </c>
      <c r="I41" s="7" t="str" cm="1">
        <f t="array" aca="1" ref="I41" ca="1">IFERROR(IF(OR('Raw Data'!I41="",LEN(TRIM('Raw Data'!I41))=0),"",IF(AND(ISNUMBER('Raw Data'!I41), IFERROR('Raw Data'!I41 = ROUND('Raw Data'!I41, 2),FALSE)),"",_xlfn.REGEXEXTRACT(CELL("address",I41), "\$([A-Z]+)\$[0-9]+"))),_xlfn.REGEXEXTRACT(CELL("address",I41), "\$([A-Z]+)\$[0-9]+"))</f>
        <v/>
      </c>
      <c r="J41" s="7" t="str" cm="1">
        <f t="array" aca="1" ref="J41" ca="1">IFERROR(IF(OR('Raw Data'!J41="",LEN(TRIM('Raw Data'!J41))=0),"",IF(AND(ISNUMBER('Raw Data'!J41), IFERROR('Raw Data'!J41 = ROUND('Raw Data'!J41, 2),FALSE)),"",_xlfn.REGEXEXTRACT(CELL("address",J41), "\$([A-Z]+)\$[0-9]+"))),_xlfn.REGEXEXTRACT(CELL("address",J41), "\$([A-Z]+)\$[0-9]+"))</f>
        <v/>
      </c>
      <c r="K41" s="7" t="str" cm="1">
        <f t="array" aca="1" ref="K41" ca="1">IFERROR(IF(OR('Raw Data'!K41="",LEN(TRIM('Raw Data'!K41))=0),"",IF(AND(ISNUMBER('Raw Data'!K41), IFERROR('Raw Data'!K41 = ROUND('Raw Data'!K41, 2),FALSE)),"",_xlfn.REGEXEXTRACT(CELL("address",K41), "\$([A-Z]+)\$[0-9]+"))),_xlfn.REGEXEXTRACT(CELL("address",K41), "\$([A-Z]+)\$[0-9]+"))</f>
        <v/>
      </c>
      <c r="L41" s="7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7" t="str" cm="1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7" t="str" cm="1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  <c r="O41" s="7" t="str" cm="1">
        <f t="array" aca="1" ref="O41" ca="1">IFERROR(IF(OR('Raw Data'!O41="",LEN(TRIM('Raw Data'!O41))=0),"",IF(AND(ISNUMBER('Raw Data'!O41), IFERROR('Raw Data'!O41 = ROUND('Raw Data'!O41, 2),FALSE)),"",_xlfn.REGEXEXTRACT(CELL("address",O41), "\$([A-Z]+)\$[0-9]+"))),_xlfn.REGEXEXTRACT(CELL("address",O41), "\$([A-Z]+)\$[0-9]+"))</f>
        <v/>
      </c>
      <c r="P41" s="7" t="str" cm="1">
        <f t="array" aca="1" ref="P41" ca="1">IFERROR(IF(OR('Raw Data'!P41="",LEN(TRIM('Raw Data'!P41))=0),"",IF(AND(ISNUMBER('Raw Data'!P41), IFERROR('Raw Data'!P41 = ROUND('Raw Data'!P41, 2),FALSE)),"",_xlfn.REGEXEXTRACT(CELL("address",P41), "\$([A-Z]+)\$[0-9]+"))),_xlfn.REGEXEXTRACT(CELL("address",P41), "\$([A-Z]+)\$[0-9]+"))</f>
        <v/>
      </c>
      <c r="Q41" s="7" t="str" cm="1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7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7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7" t="str" cm="1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7" t="str" cm="1">
        <f t="array" aca="1" ref="U41" ca="1">IFERROR(IF(OR('Raw Data'!U41="",LEN(TRIM('Raw Data'!U41))=0),"",IF(AND(ISNUMBER('Raw Data'!U41), IFERROR('Raw Data'!U41 = ROUND('Raw Data'!U41, 2),FALSE)),"",_xlfn.REGEXEXTRACT(CELL("address",U41), "\$([A-Z]+)\$[0-9]+"))),_xlfn.REGEXEXTRACT(CELL("address",U41), "\$([A-Z]+)\$[0-9]+"))</f>
        <v/>
      </c>
      <c r="V41" s="7" t="str" cm="1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7" t="str" cm="1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7" t="str" cm="1">
        <f t="array" aca="1" ref="X41" ca="1">IFERROR(IF(OR('Raw Data'!X41="",LEN(TRIM('Raw Data'!X41))=0),"",IF(AND(ISNUMBER('Raw Data'!X41), IFERROR('Raw Data'!X41 = ROUND('Raw Data'!X41, 2),FALSE)),"",_xlfn.REGEXEXTRACT(CELL("address",X41), "\$([A-Z]+)\$[0-9]+"))),_xlfn.REGEXEXTRACT(CELL("address",X41), "\$([A-Z]+)\$[0-9]+"))</f>
        <v/>
      </c>
      <c r="Y41" s="7" t="str" cm="1">
        <f t="array" aca="1" ref="Y41" ca="1">IFERROR(IF(OR('Raw Data'!Y41="",LEN(TRIM('Raw Data'!Y41))=0),"",IF(AND(ISNUMBER('Raw Data'!Y41), IFERROR('Raw Data'!Y41 = ROUND('Raw Data'!Y41, 2),FALSE)),"",_xlfn.REGEXEXTRACT(CELL("address",Y41), "\$([A-Z]+)\$[0-9]+"))),_xlfn.REGEXEXTRACT(CELL("address",Y41), "\$([A-Z]+)\$[0-9]+"))</f>
        <v/>
      </c>
      <c r="Z41" s="7" t="str" cm="1">
        <f t="array" aca="1" ref="Z41" ca="1">IFERROR(IF(OR('Raw Data'!Z41="",LEN(TRIM('Raw Data'!Z41))=0),"",IF(AND(ISNUMBER('Raw Data'!Z41), IFERROR('Raw Data'!Z41 = ROUND('Raw Data'!Z41, 2),FALSE)),"",_xlfn.REGEXEXTRACT(CELL("address",Z41), "\$([A-Z]+)\$[0-9]+"))),_xlfn.REGEXEXTRACT(CELL("address",Z41), "\$([A-Z]+)\$[0-9]+"))</f>
        <v/>
      </c>
      <c r="AA41" s="7" t="str" cm="1">
        <f t="array" aca="1" ref="AA41" ca="1">IFERROR(IF(OR('Raw Data'!AA41="",LEN(TRIM('Raw Data'!AA41))=0),"",IF(AND(ISNUMBER('Raw Data'!AA41), IFERROR('Raw Data'!AA41 = ROUND('Raw Data'!AA41, 2),FALSE)),"",_xlfn.REGEXEXTRACT(CELL("address",AA41), "\$([A-Z]+)\$[0-9]+"))),_xlfn.REGEXEXTRACT(CELL("address",AA41), "\$([A-Z]+)\$[0-9]+"))</f>
        <v/>
      </c>
      <c r="AB41" s="7" t="str" cm="1">
        <f t="array" aca="1" ref="AB41" ca="1">IFERROR(IF(OR('Raw Data'!AB41="",LEN(TRIM('Raw Data'!AB41))=0),"",IF(AND(ISNUMBER('Raw Data'!AB41), IFERROR('Raw Data'!AB41 = ROUND('Raw Data'!AB41, 2),FALSE)),"",_xlfn.REGEXEXTRACT(CELL("address",AB41), "\$([A-Z]+)\$[0-9]+"))),_xlfn.REGEXEXTRACT(CELL("address",AB41), "\$([A-Z]+)\$[0-9]+"))</f>
        <v/>
      </c>
    </row>
    <row r="42" spans="2:28" x14ac:dyDescent="0.25">
      <c r="B42" s="7" t="str" cm="1">
        <f t="array" aca="1" ref="B42" ca="1">IFERROR(IF(OR('Raw Data'!B42="",LEN(TRIM('Raw Data'!B42))=0),"",IF(AND(LEN('Raw Data'!B42) &lt;= 255,LEN('Raw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20,LEN('Raw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Data'!D42))=0),"",IF(AND(ISNUMBER('Raw Data'!D42),'Raw Data'!D42&gt;=Configuration!$D$2),"",_xlfn.REGEXEXTRACT(CELL("address",'Raw Data'!D42),"\$([A-Z]+)\$[0-9]+"))),_xlfn.REGEXEXTRACT(CELL("address",D42), "\$([A-Z]+)\$[0-9]+"))</f>
        <v/>
      </c>
      <c r="E42" s="7" t="str" cm="1">
        <f t="array" aca="1" ref="E42" ca="1">IFERROR(IF(OR('Raw Data'!E42="",LEN(TRIM('Raw Data'!E42))=0),"",IF(AND(ISNUMBER('Raw Data'!E42), IFERROR('Raw Data'!E42 = ROUND('Raw Data'!E42, 2),FALSE)),"",_xlfn.REGEXEXTRACT(CELL("address",E42), "\$([A-Z]+)\$[0-9]+"))),_xlfn.REGEXEXTRACT(CELL("address",E42), "\$([A-Z]+)\$[0-9]+"))</f>
        <v/>
      </c>
      <c r="F42" s="7" t="str" cm="1">
        <f t="array" aca="1" ref="F42" ca="1">IFERROR(IF(OR('Raw Data'!F42="",LEN(TRIM('Raw Data'!F42))=0),"",IF(AND(ISNUMBER('Raw Data'!F42), IFERROR('Raw Data'!F42 = ROUND('Raw Data'!F42, 2),FALSE)),"",_xlfn.REGEXEXTRACT(CELL("address",F42), "\$([A-Z]+)\$[0-9]+"))),_xlfn.REGEXEXTRACT(CELL("address",F42), "\$([A-Z]+)\$[0-9]+"))</f>
        <v/>
      </c>
      <c r="G42" s="7" t="str" cm="1">
        <f t="array" aca="1" ref="G42" ca="1">IFERROR(IF(OR('Raw Data'!G42="",LEN(TRIM('Raw Data'!G42))=0),"",IF(AND(ISNUMBER('Raw Data'!G42), IFERROR('Raw Data'!G42 = ROUND('Raw Data'!G42, 2),FALSE)),"",_xlfn.REGEXEXTRACT(CELL("address",G42), "\$([A-Z]+)\$[0-9]+"))),_xlfn.REGEXEXTRACT(CELL("address",G42), "\$([A-Z]+)\$[0-9]+"))</f>
        <v/>
      </c>
      <c r="H42" s="7" t="str" cm="1">
        <f t="array" aca="1" ref="H42" ca="1">IFERROR(IF(OR('Raw Data'!H42="",LEN(TRIM('Raw Data'!H42))=0),"",IF(AND(ISNUMBER('Raw Data'!H42), IFERROR('Raw Data'!H42 = ROUND('Raw Data'!H42, 2),FALSE)),"",_xlfn.REGEXEXTRACT(CELL("address",H42), "\$([A-Z]+)\$[0-9]+"))),_xlfn.REGEXEXTRACT(CELL("address",H42), "\$([A-Z]+)\$[0-9]+"))</f>
        <v/>
      </c>
      <c r="I42" s="7" t="str" cm="1">
        <f t="array" aca="1" ref="I42" ca="1">IFERROR(IF(OR('Raw Data'!I42="",LEN(TRIM('Raw Data'!I42))=0),"",IF(AND(ISNUMBER('Raw Data'!I42), IFERROR('Raw Data'!I42 = ROUND('Raw Data'!I42, 2),FALSE)),"",_xlfn.REGEXEXTRACT(CELL("address",I42), "\$([A-Z]+)\$[0-9]+"))),_xlfn.REGEXEXTRACT(CELL("address",I42), "\$([A-Z]+)\$[0-9]+"))</f>
        <v/>
      </c>
      <c r="J42" s="7" t="str" cm="1">
        <f t="array" aca="1" ref="J42" ca="1">IFERROR(IF(OR('Raw Data'!J42="",LEN(TRIM('Raw Data'!J42))=0),"",IF(AND(ISNUMBER('Raw Data'!J42), IFERROR('Raw Data'!J42 = ROUND('Raw Data'!J42, 2),FALSE)),"",_xlfn.REGEXEXTRACT(CELL("address",J42), "\$([A-Z]+)\$[0-9]+"))),_xlfn.REGEXEXTRACT(CELL("address",J42), "\$([A-Z]+)\$[0-9]+"))</f>
        <v/>
      </c>
      <c r="K42" s="7" t="str" cm="1">
        <f t="array" aca="1" ref="K42" ca="1">IFERROR(IF(OR('Raw Data'!K42="",LEN(TRIM('Raw Data'!K42))=0),"",IF(AND(ISNUMBER('Raw Data'!K42), IFERROR('Raw Data'!K42 = ROUND('Raw Data'!K42, 2),FALSE)),"",_xlfn.REGEXEXTRACT(CELL("address",K42), "\$([A-Z]+)\$[0-9]+"))),_xlfn.REGEXEXTRACT(CELL("address",K42), "\$([A-Z]+)\$[0-9]+"))</f>
        <v/>
      </c>
      <c r="L42" s="7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7" t="str" cm="1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7" t="str" cm="1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  <c r="O42" s="7" t="str" cm="1">
        <f t="array" aca="1" ref="O42" ca="1">IFERROR(IF(OR('Raw Data'!O42="",LEN(TRIM('Raw Data'!O42))=0),"",IF(AND(ISNUMBER('Raw Data'!O42), IFERROR('Raw Data'!O42 = ROUND('Raw Data'!O42, 2),FALSE)),"",_xlfn.REGEXEXTRACT(CELL("address",O42), "\$([A-Z]+)\$[0-9]+"))),_xlfn.REGEXEXTRACT(CELL("address",O42), "\$([A-Z]+)\$[0-9]+"))</f>
        <v/>
      </c>
      <c r="P42" s="7" t="str" cm="1">
        <f t="array" aca="1" ref="P42" ca="1">IFERROR(IF(OR('Raw Data'!P42="",LEN(TRIM('Raw Data'!P42))=0),"",IF(AND(ISNUMBER('Raw Data'!P42), IFERROR('Raw Data'!P42 = ROUND('Raw Data'!P42, 2),FALSE)),"",_xlfn.REGEXEXTRACT(CELL("address",P42), "\$([A-Z]+)\$[0-9]+"))),_xlfn.REGEXEXTRACT(CELL("address",P42), "\$([A-Z]+)\$[0-9]+"))</f>
        <v/>
      </c>
      <c r="Q42" s="7" t="str" cm="1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7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7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7" t="str" cm="1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7" t="str" cm="1">
        <f t="array" aca="1" ref="U42" ca="1">IFERROR(IF(OR('Raw Data'!U42="",LEN(TRIM('Raw Data'!U42))=0),"",IF(AND(ISNUMBER('Raw Data'!U42), IFERROR('Raw Data'!U42 = ROUND('Raw Data'!U42, 2),FALSE)),"",_xlfn.REGEXEXTRACT(CELL("address",U42), "\$([A-Z]+)\$[0-9]+"))),_xlfn.REGEXEXTRACT(CELL("address",U42), "\$([A-Z]+)\$[0-9]+"))</f>
        <v/>
      </c>
      <c r="V42" s="7" t="str" cm="1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7" t="str" cm="1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7" t="str" cm="1">
        <f t="array" aca="1" ref="X42" ca="1">IFERROR(IF(OR('Raw Data'!X42="",LEN(TRIM('Raw Data'!X42))=0),"",IF(AND(ISNUMBER('Raw Data'!X42), IFERROR('Raw Data'!X42 = ROUND('Raw Data'!X42, 2),FALSE)),"",_xlfn.REGEXEXTRACT(CELL("address",X42), "\$([A-Z]+)\$[0-9]+"))),_xlfn.REGEXEXTRACT(CELL("address",X42), "\$([A-Z]+)\$[0-9]+"))</f>
        <v/>
      </c>
      <c r="Y42" s="7" t="str" cm="1">
        <f t="array" aca="1" ref="Y42" ca="1">IFERROR(IF(OR('Raw Data'!Y42="",LEN(TRIM('Raw Data'!Y42))=0),"",IF(AND(ISNUMBER('Raw Data'!Y42), IFERROR('Raw Data'!Y42 = ROUND('Raw Data'!Y42, 2),FALSE)),"",_xlfn.REGEXEXTRACT(CELL("address",Y42), "\$([A-Z]+)\$[0-9]+"))),_xlfn.REGEXEXTRACT(CELL("address",Y42), "\$([A-Z]+)\$[0-9]+"))</f>
        <v/>
      </c>
      <c r="Z42" s="7" t="str" cm="1">
        <f t="array" aca="1" ref="Z42" ca="1">IFERROR(IF(OR('Raw Data'!Z42="",LEN(TRIM('Raw Data'!Z42))=0),"",IF(AND(ISNUMBER('Raw Data'!Z42), IFERROR('Raw Data'!Z42 = ROUND('Raw Data'!Z42, 2),FALSE)),"",_xlfn.REGEXEXTRACT(CELL("address",Z42), "\$([A-Z]+)\$[0-9]+"))),_xlfn.REGEXEXTRACT(CELL("address",Z42), "\$([A-Z]+)\$[0-9]+"))</f>
        <v/>
      </c>
      <c r="AA42" s="7" t="str" cm="1">
        <f t="array" aca="1" ref="AA42" ca="1">IFERROR(IF(OR('Raw Data'!AA42="",LEN(TRIM('Raw Data'!AA42))=0),"",IF(AND(ISNUMBER('Raw Data'!AA42), IFERROR('Raw Data'!AA42 = ROUND('Raw Data'!AA42, 2),FALSE)),"",_xlfn.REGEXEXTRACT(CELL("address",AA42), "\$([A-Z]+)\$[0-9]+"))),_xlfn.REGEXEXTRACT(CELL("address",AA42), "\$([A-Z]+)\$[0-9]+"))</f>
        <v/>
      </c>
      <c r="AB42" s="7" t="str" cm="1">
        <f t="array" aca="1" ref="AB42" ca="1">IFERROR(IF(OR('Raw Data'!AB42="",LEN(TRIM('Raw Data'!AB42))=0),"",IF(AND(ISNUMBER('Raw Data'!AB42), IFERROR('Raw Data'!AB42 = ROUND('Raw Data'!AB42, 2),FALSE)),"",_xlfn.REGEXEXTRACT(CELL("address",AB42), "\$([A-Z]+)\$[0-9]+"))),_xlfn.REGEXEXTRACT(CELL("address",AB42), "\$([A-Z]+)\$[0-9]+"))</f>
        <v/>
      </c>
    </row>
    <row r="43" spans="2:28" x14ac:dyDescent="0.25">
      <c r="B43" s="7" t="str" cm="1">
        <f t="array" aca="1" ref="B43" ca="1">IFERROR(IF(OR('Raw Data'!B43="",LEN(TRIM('Raw Data'!B43))=0),"",IF(AND(LEN('Raw Data'!B43) &lt;= 255,LEN('Raw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20,LEN('Raw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Data'!D43))=0),"",IF(AND(ISNUMBER('Raw Data'!D43),'Raw Data'!D43&gt;=Configuration!$D$2),"",_xlfn.REGEXEXTRACT(CELL("address",'Raw Data'!D43),"\$([A-Z]+)\$[0-9]+"))),_xlfn.REGEXEXTRACT(CELL("address",D43), "\$([A-Z]+)\$[0-9]+"))</f>
        <v/>
      </c>
      <c r="E43" s="7" t="str" cm="1">
        <f t="array" aca="1" ref="E43" ca="1">IFERROR(IF(OR('Raw Data'!E43="",LEN(TRIM('Raw Data'!E43))=0),"",IF(AND(ISNUMBER('Raw Data'!E43), IFERROR('Raw Data'!E43 = ROUND('Raw Data'!E43, 2),FALSE)),"",_xlfn.REGEXEXTRACT(CELL("address",E43), "\$([A-Z]+)\$[0-9]+"))),_xlfn.REGEXEXTRACT(CELL("address",E43), "\$([A-Z]+)\$[0-9]+"))</f>
        <v/>
      </c>
      <c r="F43" s="7" t="str" cm="1">
        <f t="array" aca="1" ref="F43" ca="1">IFERROR(IF(OR('Raw Data'!F43="",LEN(TRIM('Raw Data'!F43))=0),"",IF(AND(ISNUMBER('Raw Data'!F43), IFERROR('Raw Data'!F43 = ROUND('Raw Data'!F43, 2),FALSE)),"",_xlfn.REGEXEXTRACT(CELL("address",F43), "\$([A-Z]+)\$[0-9]+"))),_xlfn.REGEXEXTRACT(CELL("address",F43), "\$([A-Z]+)\$[0-9]+"))</f>
        <v/>
      </c>
      <c r="G43" s="7" t="str" cm="1">
        <f t="array" aca="1" ref="G43" ca="1">IFERROR(IF(OR('Raw Data'!G43="",LEN(TRIM('Raw Data'!G43))=0),"",IF(AND(ISNUMBER('Raw Data'!G43), IFERROR('Raw Data'!G43 = ROUND('Raw Data'!G43, 2),FALSE)),"",_xlfn.REGEXEXTRACT(CELL("address",G43), "\$([A-Z]+)\$[0-9]+"))),_xlfn.REGEXEXTRACT(CELL("address",G43), "\$([A-Z]+)\$[0-9]+"))</f>
        <v/>
      </c>
      <c r="H43" s="7" t="str" cm="1">
        <f t="array" aca="1" ref="H43" ca="1">IFERROR(IF(OR('Raw Data'!H43="",LEN(TRIM('Raw Data'!H43))=0),"",IF(AND(ISNUMBER('Raw Data'!H43), IFERROR('Raw Data'!H43 = ROUND('Raw Data'!H43, 2),FALSE)),"",_xlfn.REGEXEXTRACT(CELL("address",H43), "\$([A-Z]+)\$[0-9]+"))),_xlfn.REGEXEXTRACT(CELL("address",H43), "\$([A-Z]+)\$[0-9]+"))</f>
        <v/>
      </c>
      <c r="I43" s="7" t="str" cm="1">
        <f t="array" aca="1" ref="I43" ca="1">IFERROR(IF(OR('Raw Data'!I43="",LEN(TRIM('Raw Data'!I43))=0),"",IF(AND(ISNUMBER('Raw Data'!I43), IFERROR('Raw Data'!I43 = ROUND('Raw Data'!I43, 2),FALSE)),"",_xlfn.REGEXEXTRACT(CELL("address",I43), "\$([A-Z]+)\$[0-9]+"))),_xlfn.REGEXEXTRACT(CELL("address",I43), "\$([A-Z]+)\$[0-9]+"))</f>
        <v/>
      </c>
      <c r="J43" s="7" t="str" cm="1">
        <f t="array" aca="1" ref="J43" ca="1">IFERROR(IF(OR('Raw Data'!J43="",LEN(TRIM('Raw Data'!J43))=0),"",IF(AND(ISNUMBER('Raw Data'!J43), IFERROR('Raw Data'!J43 = ROUND('Raw Data'!J43, 2),FALSE)),"",_xlfn.REGEXEXTRACT(CELL("address",J43), "\$([A-Z]+)\$[0-9]+"))),_xlfn.REGEXEXTRACT(CELL("address",J43), "\$([A-Z]+)\$[0-9]+"))</f>
        <v/>
      </c>
      <c r="K43" s="7" t="str" cm="1">
        <f t="array" aca="1" ref="K43" ca="1">IFERROR(IF(OR('Raw Data'!K43="",LEN(TRIM('Raw Data'!K43))=0),"",IF(AND(ISNUMBER('Raw Data'!K43), IFERROR('Raw Data'!K43 = ROUND('Raw Data'!K43, 2),FALSE)),"",_xlfn.REGEXEXTRACT(CELL("address",K43), "\$([A-Z]+)\$[0-9]+"))),_xlfn.REGEXEXTRACT(CELL("address",K43), "\$([A-Z]+)\$[0-9]+"))</f>
        <v/>
      </c>
      <c r="L43" s="7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7" t="str" cm="1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7" t="str" cm="1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  <c r="O43" s="7" t="str" cm="1">
        <f t="array" aca="1" ref="O43" ca="1">IFERROR(IF(OR('Raw Data'!O43="",LEN(TRIM('Raw Data'!O43))=0),"",IF(AND(ISNUMBER('Raw Data'!O43), IFERROR('Raw Data'!O43 = ROUND('Raw Data'!O43, 2),FALSE)),"",_xlfn.REGEXEXTRACT(CELL("address",O43), "\$([A-Z]+)\$[0-9]+"))),_xlfn.REGEXEXTRACT(CELL("address",O43), "\$([A-Z]+)\$[0-9]+"))</f>
        <v/>
      </c>
      <c r="P43" s="7" t="str" cm="1">
        <f t="array" aca="1" ref="P43" ca="1">IFERROR(IF(OR('Raw Data'!P43="",LEN(TRIM('Raw Data'!P43))=0),"",IF(AND(ISNUMBER('Raw Data'!P43), IFERROR('Raw Data'!P43 = ROUND('Raw Data'!P43, 2),FALSE)),"",_xlfn.REGEXEXTRACT(CELL("address",P43), "\$([A-Z]+)\$[0-9]+"))),_xlfn.REGEXEXTRACT(CELL("address",P43), "\$([A-Z]+)\$[0-9]+"))</f>
        <v/>
      </c>
      <c r="Q43" s="7" t="str" cm="1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7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7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7" t="str" cm="1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7" t="str" cm="1">
        <f t="array" aca="1" ref="U43" ca="1">IFERROR(IF(OR('Raw Data'!U43="",LEN(TRIM('Raw Data'!U43))=0),"",IF(AND(ISNUMBER('Raw Data'!U43), IFERROR('Raw Data'!U43 = ROUND('Raw Data'!U43, 2),FALSE)),"",_xlfn.REGEXEXTRACT(CELL("address",U43), "\$([A-Z]+)\$[0-9]+"))),_xlfn.REGEXEXTRACT(CELL("address",U43), "\$([A-Z]+)\$[0-9]+"))</f>
        <v/>
      </c>
      <c r="V43" s="7" t="str" cm="1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7" t="str" cm="1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7" t="str" cm="1">
        <f t="array" aca="1" ref="X43" ca="1">IFERROR(IF(OR('Raw Data'!X43="",LEN(TRIM('Raw Data'!X43))=0),"",IF(AND(ISNUMBER('Raw Data'!X43), IFERROR('Raw Data'!X43 = ROUND('Raw Data'!X43, 2),FALSE)),"",_xlfn.REGEXEXTRACT(CELL("address",X43), "\$([A-Z]+)\$[0-9]+"))),_xlfn.REGEXEXTRACT(CELL("address",X43), "\$([A-Z]+)\$[0-9]+"))</f>
        <v/>
      </c>
      <c r="Y43" s="7" t="str" cm="1">
        <f t="array" aca="1" ref="Y43" ca="1">IFERROR(IF(OR('Raw Data'!Y43="",LEN(TRIM('Raw Data'!Y43))=0),"",IF(AND(ISNUMBER('Raw Data'!Y43), IFERROR('Raw Data'!Y43 = ROUND('Raw Data'!Y43, 2),FALSE)),"",_xlfn.REGEXEXTRACT(CELL("address",Y43), "\$([A-Z]+)\$[0-9]+"))),_xlfn.REGEXEXTRACT(CELL("address",Y43), "\$([A-Z]+)\$[0-9]+"))</f>
        <v/>
      </c>
      <c r="Z43" s="7" t="str" cm="1">
        <f t="array" aca="1" ref="Z43" ca="1">IFERROR(IF(OR('Raw Data'!Z43="",LEN(TRIM('Raw Data'!Z43))=0),"",IF(AND(ISNUMBER('Raw Data'!Z43), IFERROR('Raw Data'!Z43 = ROUND('Raw Data'!Z43, 2),FALSE)),"",_xlfn.REGEXEXTRACT(CELL("address",Z43), "\$([A-Z]+)\$[0-9]+"))),_xlfn.REGEXEXTRACT(CELL("address",Z43), "\$([A-Z]+)\$[0-9]+"))</f>
        <v/>
      </c>
      <c r="AA43" s="7" t="str" cm="1">
        <f t="array" aca="1" ref="AA43" ca="1">IFERROR(IF(OR('Raw Data'!AA43="",LEN(TRIM('Raw Data'!AA43))=0),"",IF(AND(ISNUMBER('Raw Data'!AA43), IFERROR('Raw Data'!AA43 = ROUND('Raw Data'!AA43, 2),FALSE)),"",_xlfn.REGEXEXTRACT(CELL("address",AA43), "\$([A-Z]+)\$[0-9]+"))),_xlfn.REGEXEXTRACT(CELL("address",AA43), "\$([A-Z]+)\$[0-9]+"))</f>
        <v/>
      </c>
      <c r="AB43" s="7" t="str" cm="1">
        <f t="array" aca="1" ref="AB43" ca="1">IFERROR(IF(OR('Raw Data'!AB43="",LEN(TRIM('Raw Data'!AB43))=0),"",IF(AND(ISNUMBER('Raw Data'!AB43), IFERROR('Raw Data'!AB43 = ROUND('Raw Data'!AB43, 2),FALSE)),"",_xlfn.REGEXEXTRACT(CELL("address",AB43), "\$([A-Z]+)\$[0-9]+"))),_xlfn.REGEXEXTRACT(CELL("address",AB43), "\$([A-Z]+)\$[0-9]+"))</f>
        <v/>
      </c>
    </row>
    <row r="44" spans="2:28" x14ac:dyDescent="0.25">
      <c r="B44" s="7" t="str" cm="1">
        <f t="array" aca="1" ref="B44" ca="1">IFERROR(IF(OR('Raw Data'!B44="",LEN(TRIM('Raw Data'!B44))=0),"",IF(AND(LEN('Raw Data'!B44) &lt;= 255,LEN('Raw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20,LEN('Raw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Data'!D44))=0),"",IF(AND(ISNUMBER('Raw Data'!D44),'Raw Data'!D44&gt;=Configuration!$D$2),"",_xlfn.REGEXEXTRACT(CELL("address",'Raw Data'!D44),"\$([A-Z]+)\$[0-9]+"))),_xlfn.REGEXEXTRACT(CELL("address",D44), "\$([A-Z]+)\$[0-9]+"))</f>
        <v/>
      </c>
      <c r="E44" s="7" t="str" cm="1">
        <f t="array" aca="1" ref="E44" ca="1">IFERROR(IF(OR('Raw Data'!E44="",LEN(TRIM('Raw Data'!E44))=0),"",IF(AND(ISNUMBER('Raw Data'!E44), IFERROR('Raw Data'!E44 = ROUND('Raw Data'!E44, 2),FALSE)),"",_xlfn.REGEXEXTRACT(CELL("address",E44), "\$([A-Z]+)\$[0-9]+"))),_xlfn.REGEXEXTRACT(CELL("address",E44), "\$([A-Z]+)\$[0-9]+"))</f>
        <v/>
      </c>
      <c r="F44" s="7" t="str" cm="1">
        <f t="array" aca="1" ref="F44" ca="1">IFERROR(IF(OR('Raw Data'!F44="",LEN(TRIM('Raw Data'!F44))=0),"",IF(AND(ISNUMBER('Raw Data'!F44), IFERROR('Raw Data'!F44 = ROUND('Raw Data'!F44, 2),FALSE)),"",_xlfn.REGEXEXTRACT(CELL("address",F44), "\$([A-Z]+)\$[0-9]+"))),_xlfn.REGEXEXTRACT(CELL("address",F44), "\$([A-Z]+)\$[0-9]+"))</f>
        <v/>
      </c>
      <c r="G44" s="7" t="str" cm="1">
        <f t="array" aca="1" ref="G44" ca="1">IFERROR(IF(OR('Raw Data'!G44="",LEN(TRIM('Raw Data'!G44))=0),"",IF(AND(ISNUMBER('Raw Data'!G44), IFERROR('Raw Data'!G44 = ROUND('Raw Data'!G44, 2),FALSE)),"",_xlfn.REGEXEXTRACT(CELL("address",G44), "\$([A-Z]+)\$[0-9]+"))),_xlfn.REGEXEXTRACT(CELL("address",G44), "\$([A-Z]+)\$[0-9]+"))</f>
        <v/>
      </c>
      <c r="H44" s="7" t="str" cm="1">
        <f t="array" aca="1" ref="H44" ca="1">IFERROR(IF(OR('Raw Data'!H44="",LEN(TRIM('Raw Data'!H44))=0),"",IF(AND(ISNUMBER('Raw Data'!H44), IFERROR('Raw Data'!H44 = ROUND('Raw Data'!H44, 2),FALSE)),"",_xlfn.REGEXEXTRACT(CELL("address",H44), "\$([A-Z]+)\$[0-9]+"))),_xlfn.REGEXEXTRACT(CELL("address",H44), "\$([A-Z]+)\$[0-9]+"))</f>
        <v/>
      </c>
      <c r="I44" s="7" t="str" cm="1">
        <f t="array" aca="1" ref="I44" ca="1">IFERROR(IF(OR('Raw Data'!I44="",LEN(TRIM('Raw Data'!I44))=0),"",IF(AND(ISNUMBER('Raw Data'!I44), IFERROR('Raw Data'!I44 = ROUND('Raw Data'!I44, 2),FALSE)),"",_xlfn.REGEXEXTRACT(CELL("address",I44), "\$([A-Z]+)\$[0-9]+"))),_xlfn.REGEXEXTRACT(CELL("address",I44), "\$([A-Z]+)\$[0-9]+"))</f>
        <v/>
      </c>
      <c r="J44" s="7" t="str" cm="1">
        <f t="array" aca="1" ref="J44" ca="1">IFERROR(IF(OR('Raw Data'!J44="",LEN(TRIM('Raw Data'!J44))=0),"",IF(AND(ISNUMBER('Raw Data'!J44), IFERROR('Raw Data'!J44 = ROUND('Raw Data'!J44, 2),FALSE)),"",_xlfn.REGEXEXTRACT(CELL("address",J44), "\$([A-Z]+)\$[0-9]+"))),_xlfn.REGEXEXTRACT(CELL("address",J44), "\$([A-Z]+)\$[0-9]+"))</f>
        <v/>
      </c>
      <c r="K44" s="7" t="str" cm="1">
        <f t="array" aca="1" ref="K44" ca="1">IFERROR(IF(OR('Raw Data'!K44="",LEN(TRIM('Raw Data'!K44))=0),"",IF(AND(ISNUMBER('Raw Data'!K44), IFERROR('Raw Data'!K44 = ROUND('Raw Data'!K44, 2),FALSE)),"",_xlfn.REGEXEXTRACT(CELL("address",K44), "\$([A-Z]+)\$[0-9]+"))),_xlfn.REGEXEXTRACT(CELL("address",K44), "\$([A-Z]+)\$[0-9]+"))</f>
        <v/>
      </c>
      <c r="L44" s="7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7" t="str" cm="1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7" t="str" cm="1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  <c r="O44" s="7" t="str" cm="1">
        <f t="array" aca="1" ref="O44" ca="1">IFERROR(IF(OR('Raw Data'!O44="",LEN(TRIM('Raw Data'!O44))=0),"",IF(AND(ISNUMBER('Raw Data'!O44), IFERROR('Raw Data'!O44 = ROUND('Raw Data'!O44, 2),FALSE)),"",_xlfn.REGEXEXTRACT(CELL("address",O44), "\$([A-Z]+)\$[0-9]+"))),_xlfn.REGEXEXTRACT(CELL("address",O44), "\$([A-Z]+)\$[0-9]+"))</f>
        <v/>
      </c>
      <c r="P44" s="7" t="str" cm="1">
        <f t="array" aca="1" ref="P44" ca="1">IFERROR(IF(OR('Raw Data'!P44="",LEN(TRIM('Raw Data'!P44))=0),"",IF(AND(ISNUMBER('Raw Data'!P44), IFERROR('Raw Data'!P44 = ROUND('Raw Data'!P44, 2),FALSE)),"",_xlfn.REGEXEXTRACT(CELL("address",P44), "\$([A-Z]+)\$[0-9]+"))),_xlfn.REGEXEXTRACT(CELL("address",P44), "\$([A-Z]+)\$[0-9]+"))</f>
        <v/>
      </c>
      <c r="Q44" s="7" t="str" cm="1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7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7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7" t="str" cm="1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7" t="str" cm="1">
        <f t="array" aca="1" ref="U44" ca="1">IFERROR(IF(OR('Raw Data'!U44="",LEN(TRIM('Raw Data'!U44))=0),"",IF(AND(ISNUMBER('Raw Data'!U44), IFERROR('Raw Data'!U44 = ROUND('Raw Data'!U44, 2),FALSE)),"",_xlfn.REGEXEXTRACT(CELL("address",U44), "\$([A-Z]+)\$[0-9]+"))),_xlfn.REGEXEXTRACT(CELL("address",U44), "\$([A-Z]+)\$[0-9]+"))</f>
        <v/>
      </c>
      <c r="V44" s="7" t="str" cm="1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7" t="str" cm="1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7" t="str" cm="1">
        <f t="array" aca="1" ref="X44" ca="1">IFERROR(IF(OR('Raw Data'!X44="",LEN(TRIM('Raw Data'!X44))=0),"",IF(AND(ISNUMBER('Raw Data'!X44), IFERROR('Raw Data'!X44 = ROUND('Raw Data'!X44, 2),FALSE)),"",_xlfn.REGEXEXTRACT(CELL("address",X44), "\$([A-Z]+)\$[0-9]+"))),_xlfn.REGEXEXTRACT(CELL("address",X44), "\$([A-Z]+)\$[0-9]+"))</f>
        <v/>
      </c>
      <c r="Y44" s="7" t="str" cm="1">
        <f t="array" aca="1" ref="Y44" ca="1">IFERROR(IF(OR('Raw Data'!Y44="",LEN(TRIM('Raw Data'!Y44))=0),"",IF(AND(ISNUMBER('Raw Data'!Y44), IFERROR('Raw Data'!Y44 = ROUND('Raw Data'!Y44, 2),FALSE)),"",_xlfn.REGEXEXTRACT(CELL("address",Y44), "\$([A-Z]+)\$[0-9]+"))),_xlfn.REGEXEXTRACT(CELL("address",Y44), "\$([A-Z]+)\$[0-9]+"))</f>
        <v/>
      </c>
      <c r="Z44" s="7" t="str" cm="1">
        <f t="array" aca="1" ref="Z44" ca="1">IFERROR(IF(OR('Raw Data'!Z44="",LEN(TRIM('Raw Data'!Z44))=0),"",IF(AND(ISNUMBER('Raw Data'!Z44), IFERROR('Raw Data'!Z44 = ROUND('Raw Data'!Z44, 2),FALSE)),"",_xlfn.REGEXEXTRACT(CELL("address",Z44), "\$([A-Z]+)\$[0-9]+"))),_xlfn.REGEXEXTRACT(CELL("address",Z44), "\$([A-Z]+)\$[0-9]+"))</f>
        <v/>
      </c>
      <c r="AA44" s="7" t="str" cm="1">
        <f t="array" aca="1" ref="AA44" ca="1">IFERROR(IF(OR('Raw Data'!AA44="",LEN(TRIM('Raw Data'!AA44))=0),"",IF(AND(ISNUMBER('Raw Data'!AA44), IFERROR('Raw Data'!AA44 = ROUND('Raw Data'!AA44, 2),FALSE)),"",_xlfn.REGEXEXTRACT(CELL("address",AA44), "\$([A-Z]+)\$[0-9]+"))),_xlfn.REGEXEXTRACT(CELL("address",AA44), "\$([A-Z]+)\$[0-9]+"))</f>
        <v/>
      </c>
      <c r="AB44" s="7" t="str" cm="1">
        <f t="array" aca="1" ref="AB44" ca="1">IFERROR(IF(OR('Raw Data'!AB44="",LEN(TRIM('Raw Data'!AB44))=0),"",IF(AND(ISNUMBER('Raw Data'!AB44), IFERROR('Raw Data'!AB44 = ROUND('Raw Data'!AB44, 2),FALSE)),"",_xlfn.REGEXEXTRACT(CELL("address",AB44), "\$([A-Z]+)\$[0-9]+"))),_xlfn.REGEXEXTRACT(CELL("address",AB44), "\$([A-Z]+)\$[0-9]+"))</f>
        <v/>
      </c>
    </row>
    <row r="45" spans="2:28" x14ac:dyDescent="0.25">
      <c r="B45" s="7" t="str" cm="1">
        <f t="array" aca="1" ref="B45" ca="1">IFERROR(IF(OR('Raw Data'!B45="",LEN(TRIM('Raw Data'!B45))=0),"",IF(AND(LEN('Raw Data'!B45) &lt;= 255,LEN('Raw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20,LEN('Raw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Data'!D45))=0),"",IF(AND(ISNUMBER('Raw Data'!D45),'Raw Data'!D45&gt;=Configuration!$D$2),"",_xlfn.REGEXEXTRACT(CELL("address",'Raw Data'!D45),"\$([A-Z]+)\$[0-9]+"))),_xlfn.REGEXEXTRACT(CELL("address",D45), "\$([A-Z]+)\$[0-9]+"))</f>
        <v/>
      </c>
      <c r="E45" s="7" t="str" cm="1">
        <f t="array" aca="1" ref="E45" ca="1">IFERROR(IF(OR('Raw Data'!E45="",LEN(TRIM('Raw Data'!E45))=0),"",IF(AND(ISNUMBER('Raw Data'!E45), IFERROR('Raw Data'!E45 = ROUND('Raw Data'!E45, 2),FALSE)),"",_xlfn.REGEXEXTRACT(CELL("address",E45), "\$([A-Z]+)\$[0-9]+"))),_xlfn.REGEXEXTRACT(CELL("address",E45), "\$([A-Z]+)\$[0-9]+"))</f>
        <v/>
      </c>
      <c r="F45" s="7" t="str" cm="1">
        <f t="array" aca="1" ref="F45" ca="1">IFERROR(IF(OR('Raw Data'!F45="",LEN(TRIM('Raw Data'!F45))=0),"",IF(AND(ISNUMBER('Raw Data'!F45), IFERROR('Raw Data'!F45 = ROUND('Raw Data'!F45, 2),FALSE)),"",_xlfn.REGEXEXTRACT(CELL("address",F45), "\$([A-Z]+)\$[0-9]+"))),_xlfn.REGEXEXTRACT(CELL("address",F45), "\$([A-Z]+)\$[0-9]+"))</f>
        <v/>
      </c>
      <c r="G45" s="7" t="str" cm="1">
        <f t="array" aca="1" ref="G45" ca="1">IFERROR(IF(OR('Raw Data'!G45="",LEN(TRIM('Raw Data'!G45))=0),"",IF(AND(ISNUMBER('Raw Data'!G45), IFERROR('Raw Data'!G45 = ROUND('Raw Data'!G45, 2),FALSE)),"",_xlfn.REGEXEXTRACT(CELL("address",G45), "\$([A-Z]+)\$[0-9]+"))),_xlfn.REGEXEXTRACT(CELL("address",G45), "\$([A-Z]+)\$[0-9]+"))</f>
        <v/>
      </c>
      <c r="H45" s="7" t="str" cm="1">
        <f t="array" aca="1" ref="H45" ca="1">IFERROR(IF(OR('Raw Data'!H45="",LEN(TRIM('Raw Data'!H45))=0),"",IF(AND(ISNUMBER('Raw Data'!H45), IFERROR('Raw Data'!H45 = ROUND('Raw Data'!H45, 2),FALSE)),"",_xlfn.REGEXEXTRACT(CELL("address",H45), "\$([A-Z]+)\$[0-9]+"))),_xlfn.REGEXEXTRACT(CELL("address",H45), "\$([A-Z]+)\$[0-9]+"))</f>
        <v/>
      </c>
      <c r="I45" s="7" t="str" cm="1">
        <f t="array" aca="1" ref="I45" ca="1">IFERROR(IF(OR('Raw Data'!I45="",LEN(TRIM('Raw Data'!I45))=0),"",IF(AND(ISNUMBER('Raw Data'!I45), IFERROR('Raw Data'!I45 = ROUND('Raw Data'!I45, 2),FALSE)),"",_xlfn.REGEXEXTRACT(CELL("address",I45), "\$([A-Z]+)\$[0-9]+"))),_xlfn.REGEXEXTRACT(CELL("address",I45), "\$([A-Z]+)\$[0-9]+"))</f>
        <v/>
      </c>
      <c r="J45" s="7" t="str" cm="1">
        <f t="array" aca="1" ref="J45" ca="1">IFERROR(IF(OR('Raw Data'!J45="",LEN(TRIM('Raw Data'!J45))=0),"",IF(AND(ISNUMBER('Raw Data'!J45), IFERROR('Raw Data'!J45 = ROUND('Raw Data'!J45, 2),FALSE)),"",_xlfn.REGEXEXTRACT(CELL("address",J45), "\$([A-Z]+)\$[0-9]+"))),_xlfn.REGEXEXTRACT(CELL("address",J45), "\$([A-Z]+)\$[0-9]+"))</f>
        <v/>
      </c>
      <c r="K45" s="7" t="str" cm="1">
        <f t="array" aca="1" ref="K45" ca="1">IFERROR(IF(OR('Raw Data'!K45="",LEN(TRIM('Raw Data'!K45))=0),"",IF(AND(ISNUMBER('Raw Data'!K45), IFERROR('Raw Data'!K45 = ROUND('Raw Data'!K45, 2),FALSE)),"",_xlfn.REGEXEXTRACT(CELL("address",K45), "\$([A-Z]+)\$[0-9]+"))),_xlfn.REGEXEXTRACT(CELL("address",K45), "\$([A-Z]+)\$[0-9]+"))</f>
        <v/>
      </c>
      <c r="L45" s="7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7" t="str" cm="1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7" t="str" cm="1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  <c r="O45" s="7" t="str" cm="1">
        <f t="array" aca="1" ref="O45" ca="1">IFERROR(IF(OR('Raw Data'!O45="",LEN(TRIM('Raw Data'!O45))=0),"",IF(AND(ISNUMBER('Raw Data'!O45), IFERROR('Raw Data'!O45 = ROUND('Raw Data'!O45, 2),FALSE)),"",_xlfn.REGEXEXTRACT(CELL("address",O45), "\$([A-Z]+)\$[0-9]+"))),_xlfn.REGEXEXTRACT(CELL("address",O45), "\$([A-Z]+)\$[0-9]+"))</f>
        <v/>
      </c>
      <c r="P45" s="7" t="str" cm="1">
        <f t="array" aca="1" ref="P45" ca="1">IFERROR(IF(OR('Raw Data'!P45="",LEN(TRIM('Raw Data'!P45))=0),"",IF(AND(ISNUMBER('Raw Data'!P45), IFERROR('Raw Data'!P45 = ROUND('Raw Data'!P45, 2),FALSE)),"",_xlfn.REGEXEXTRACT(CELL("address",P45), "\$([A-Z]+)\$[0-9]+"))),_xlfn.REGEXEXTRACT(CELL("address",P45), "\$([A-Z]+)\$[0-9]+"))</f>
        <v/>
      </c>
      <c r="Q45" s="7" t="str" cm="1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7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7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7" t="str" cm="1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7" t="str" cm="1">
        <f t="array" aca="1" ref="U45" ca="1">IFERROR(IF(OR('Raw Data'!U45="",LEN(TRIM('Raw Data'!U45))=0),"",IF(AND(ISNUMBER('Raw Data'!U45), IFERROR('Raw Data'!U45 = ROUND('Raw Data'!U45, 2),FALSE)),"",_xlfn.REGEXEXTRACT(CELL("address",U45), "\$([A-Z]+)\$[0-9]+"))),_xlfn.REGEXEXTRACT(CELL("address",U45), "\$([A-Z]+)\$[0-9]+"))</f>
        <v/>
      </c>
      <c r="V45" s="7" t="str" cm="1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7" t="str" cm="1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7" t="str" cm="1">
        <f t="array" aca="1" ref="X45" ca="1">IFERROR(IF(OR('Raw Data'!X45="",LEN(TRIM('Raw Data'!X45))=0),"",IF(AND(ISNUMBER('Raw Data'!X45), IFERROR('Raw Data'!X45 = ROUND('Raw Data'!X45, 2),FALSE)),"",_xlfn.REGEXEXTRACT(CELL("address",X45), "\$([A-Z]+)\$[0-9]+"))),_xlfn.REGEXEXTRACT(CELL("address",X45), "\$([A-Z]+)\$[0-9]+"))</f>
        <v/>
      </c>
      <c r="Y45" s="7" t="str" cm="1">
        <f t="array" aca="1" ref="Y45" ca="1">IFERROR(IF(OR('Raw Data'!Y45="",LEN(TRIM('Raw Data'!Y45))=0),"",IF(AND(ISNUMBER('Raw Data'!Y45), IFERROR('Raw Data'!Y45 = ROUND('Raw Data'!Y45, 2),FALSE)),"",_xlfn.REGEXEXTRACT(CELL("address",Y45), "\$([A-Z]+)\$[0-9]+"))),_xlfn.REGEXEXTRACT(CELL("address",Y45), "\$([A-Z]+)\$[0-9]+"))</f>
        <v/>
      </c>
      <c r="Z45" s="7" t="str" cm="1">
        <f t="array" aca="1" ref="Z45" ca="1">IFERROR(IF(OR('Raw Data'!Z45="",LEN(TRIM('Raw Data'!Z45))=0),"",IF(AND(ISNUMBER('Raw Data'!Z45), IFERROR('Raw Data'!Z45 = ROUND('Raw Data'!Z45, 2),FALSE)),"",_xlfn.REGEXEXTRACT(CELL("address",Z45), "\$([A-Z]+)\$[0-9]+"))),_xlfn.REGEXEXTRACT(CELL("address",Z45), "\$([A-Z]+)\$[0-9]+"))</f>
        <v/>
      </c>
      <c r="AA45" s="7" t="str" cm="1">
        <f t="array" aca="1" ref="AA45" ca="1">IFERROR(IF(OR('Raw Data'!AA45="",LEN(TRIM('Raw Data'!AA45))=0),"",IF(AND(ISNUMBER('Raw Data'!AA45), IFERROR('Raw Data'!AA45 = ROUND('Raw Data'!AA45, 2),FALSE)),"",_xlfn.REGEXEXTRACT(CELL("address",AA45), "\$([A-Z]+)\$[0-9]+"))),_xlfn.REGEXEXTRACT(CELL("address",AA45), "\$([A-Z]+)\$[0-9]+"))</f>
        <v/>
      </c>
      <c r="AB45" s="7" t="str" cm="1">
        <f t="array" aca="1" ref="AB45" ca="1">IFERROR(IF(OR('Raw Data'!AB45="",LEN(TRIM('Raw Data'!AB45))=0),"",IF(AND(ISNUMBER('Raw Data'!AB45), IFERROR('Raw Data'!AB45 = ROUND('Raw Data'!AB45, 2),FALSE)),"",_xlfn.REGEXEXTRACT(CELL("address",AB45), "\$([A-Z]+)\$[0-9]+"))),_xlfn.REGEXEXTRACT(CELL("address",AB45), "\$([A-Z]+)\$[0-9]+"))</f>
        <v/>
      </c>
    </row>
    <row r="46" spans="2:28" x14ac:dyDescent="0.25">
      <c r="B46" s="7" t="str" cm="1">
        <f t="array" aca="1" ref="B46" ca="1">IFERROR(IF(OR('Raw Data'!B46="",LEN(TRIM('Raw Data'!B46))=0),"",IF(AND(LEN('Raw Data'!B46) &lt;= 255,LEN('Raw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20,LEN('Raw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Data'!D46))=0),"",IF(AND(ISNUMBER('Raw Data'!D46),'Raw Data'!D46&gt;=Configuration!$D$2),"",_xlfn.REGEXEXTRACT(CELL("address",'Raw Data'!D46),"\$([A-Z]+)\$[0-9]+"))),_xlfn.REGEXEXTRACT(CELL("address",D46), "\$([A-Z]+)\$[0-9]+"))</f>
        <v/>
      </c>
      <c r="E46" s="7" t="str" cm="1">
        <f t="array" aca="1" ref="E46" ca="1">IFERROR(IF(OR('Raw Data'!E46="",LEN(TRIM('Raw Data'!E46))=0),"",IF(AND(ISNUMBER('Raw Data'!E46), IFERROR('Raw Data'!E46 = ROUND('Raw Data'!E46, 2),FALSE)),"",_xlfn.REGEXEXTRACT(CELL("address",E46), "\$([A-Z]+)\$[0-9]+"))),_xlfn.REGEXEXTRACT(CELL("address",E46), "\$([A-Z]+)\$[0-9]+"))</f>
        <v/>
      </c>
      <c r="F46" s="7" t="str" cm="1">
        <f t="array" aca="1" ref="F46" ca="1">IFERROR(IF(OR('Raw Data'!F46="",LEN(TRIM('Raw Data'!F46))=0),"",IF(AND(ISNUMBER('Raw Data'!F46), IFERROR('Raw Data'!F46 = ROUND('Raw Data'!F46, 2),FALSE)),"",_xlfn.REGEXEXTRACT(CELL("address",F46), "\$([A-Z]+)\$[0-9]+"))),_xlfn.REGEXEXTRACT(CELL("address",F46), "\$([A-Z]+)\$[0-9]+"))</f>
        <v/>
      </c>
      <c r="G46" s="7" t="str" cm="1">
        <f t="array" aca="1" ref="G46" ca="1">IFERROR(IF(OR('Raw Data'!G46="",LEN(TRIM('Raw Data'!G46))=0),"",IF(AND(ISNUMBER('Raw Data'!G46), IFERROR('Raw Data'!G46 = ROUND('Raw Data'!G46, 2),FALSE)),"",_xlfn.REGEXEXTRACT(CELL("address",G46), "\$([A-Z]+)\$[0-9]+"))),_xlfn.REGEXEXTRACT(CELL("address",G46), "\$([A-Z]+)\$[0-9]+"))</f>
        <v/>
      </c>
      <c r="H46" s="7" t="str" cm="1">
        <f t="array" aca="1" ref="H46" ca="1">IFERROR(IF(OR('Raw Data'!H46="",LEN(TRIM('Raw Data'!H46))=0),"",IF(AND(ISNUMBER('Raw Data'!H46), IFERROR('Raw Data'!H46 = ROUND('Raw Data'!H46, 2),FALSE)),"",_xlfn.REGEXEXTRACT(CELL("address",H46), "\$([A-Z]+)\$[0-9]+"))),_xlfn.REGEXEXTRACT(CELL("address",H46), "\$([A-Z]+)\$[0-9]+"))</f>
        <v/>
      </c>
      <c r="I46" s="7" t="str" cm="1">
        <f t="array" aca="1" ref="I46" ca="1">IFERROR(IF(OR('Raw Data'!I46="",LEN(TRIM('Raw Data'!I46))=0),"",IF(AND(ISNUMBER('Raw Data'!I46), IFERROR('Raw Data'!I46 = ROUND('Raw Data'!I46, 2),FALSE)),"",_xlfn.REGEXEXTRACT(CELL("address",I46), "\$([A-Z]+)\$[0-9]+"))),_xlfn.REGEXEXTRACT(CELL("address",I46), "\$([A-Z]+)\$[0-9]+"))</f>
        <v/>
      </c>
      <c r="J46" s="7" t="str" cm="1">
        <f t="array" aca="1" ref="J46" ca="1">IFERROR(IF(OR('Raw Data'!J46="",LEN(TRIM('Raw Data'!J46))=0),"",IF(AND(ISNUMBER('Raw Data'!J46), IFERROR('Raw Data'!J46 = ROUND('Raw Data'!J46, 2),FALSE)),"",_xlfn.REGEXEXTRACT(CELL("address",J46), "\$([A-Z]+)\$[0-9]+"))),_xlfn.REGEXEXTRACT(CELL("address",J46), "\$([A-Z]+)\$[0-9]+"))</f>
        <v/>
      </c>
      <c r="K46" s="7" t="str" cm="1">
        <f t="array" aca="1" ref="K46" ca="1">IFERROR(IF(OR('Raw Data'!K46="",LEN(TRIM('Raw Data'!K46))=0),"",IF(AND(ISNUMBER('Raw Data'!K46), IFERROR('Raw Data'!K46 = ROUND('Raw Data'!K46, 2),FALSE)),"",_xlfn.REGEXEXTRACT(CELL("address",K46), "\$([A-Z]+)\$[0-9]+"))),_xlfn.REGEXEXTRACT(CELL("address",K46), "\$([A-Z]+)\$[0-9]+"))</f>
        <v/>
      </c>
      <c r="L46" s="7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7" t="str" cm="1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7" t="str" cm="1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  <c r="O46" s="7" t="str" cm="1">
        <f t="array" aca="1" ref="O46" ca="1">IFERROR(IF(OR('Raw Data'!O46="",LEN(TRIM('Raw Data'!O46))=0),"",IF(AND(ISNUMBER('Raw Data'!O46), IFERROR('Raw Data'!O46 = ROUND('Raw Data'!O46, 2),FALSE)),"",_xlfn.REGEXEXTRACT(CELL("address",O46), "\$([A-Z]+)\$[0-9]+"))),_xlfn.REGEXEXTRACT(CELL("address",O46), "\$([A-Z]+)\$[0-9]+"))</f>
        <v/>
      </c>
      <c r="P46" s="7" t="str" cm="1">
        <f t="array" aca="1" ref="P46" ca="1">IFERROR(IF(OR('Raw Data'!P46="",LEN(TRIM('Raw Data'!P46))=0),"",IF(AND(ISNUMBER('Raw Data'!P46), IFERROR('Raw Data'!P46 = ROUND('Raw Data'!P46, 2),FALSE)),"",_xlfn.REGEXEXTRACT(CELL("address",P46), "\$([A-Z]+)\$[0-9]+"))),_xlfn.REGEXEXTRACT(CELL("address",P46), "\$([A-Z]+)\$[0-9]+"))</f>
        <v/>
      </c>
      <c r="Q46" s="7" t="str" cm="1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7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7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7" t="str" cm="1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7" t="str" cm="1">
        <f t="array" aca="1" ref="U46" ca="1">IFERROR(IF(OR('Raw Data'!U46="",LEN(TRIM('Raw Data'!U46))=0),"",IF(AND(ISNUMBER('Raw Data'!U46), IFERROR('Raw Data'!U46 = ROUND('Raw Data'!U46, 2),FALSE)),"",_xlfn.REGEXEXTRACT(CELL("address",U46), "\$([A-Z]+)\$[0-9]+"))),_xlfn.REGEXEXTRACT(CELL("address",U46), "\$([A-Z]+)\$[0-9]+"))</f>
        <v/>
      </c>
      <c r="V46" s="7" t="str" cm="1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7" t="str" cm="1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7" t="str" cm="1">
        <f t="array" aca="1" ref="X46" ca="1">IFERROR(IF(OR('Raw Data'!X46="",LEN(TRIM('Raw Data'!X46))=0),"",IF(AND(ISNUMBER('Raw Data'!X46), IFERROR('Raw Data'!X46 = ROUND('Raw Data'!X46, 2),FALSE)),"",_xlfn.REGEXEXTRACT(CELL("address",X46), "\$([A-Z]+)\$[0-9]+"))),_xlfn.REGEXEXTRACT(CELL("address",X46), "\$([A-Z]+)\$[0-9]+"))</f>
        <v/>
      </c>
      <c r="Y46" s="7" t="str" cm="1">
        <f t="array" aca="1" ref="Y46" ca="1">IFERROR(IF(OR('Raw Data'!Y46="",LEN(TRIM('Raw Data'!Y46))=0),"",IF(AND(ISNUMBER('Raw Data'!Y46), IFERROR('Raw Data'!Y46 = ROUND('Raw Data'!Y46, 2),FALSE)),"",_xlfn.REGEXEXTRACT(CELL("address",Y46), "\$([A-Z]+)\$[0-9]+"))),_xlfn.REGEXEXTRACT(CELL("address",Y46), "\$([A-Z]+)\$[0-9]+"))</f>
        <v/>
      </c>
      <c r="Z46" s="7" t="str" cm="1">
        <f t="array" aca="1" ref="Z46" ca="1">IFERROR(IF(OR('Raw Data'!Z46="",LEN(TRIM('Raw Data'!Z46))=0),"",IF(AND(ISNUMBER('Raw Data'!Z46), IFERROR('Raw Data'!Z46 = ROUND('Raw Data'!Z46, 2),FALSE)),"",_xlfn.REGEXEXTRACT(CELL("address",Z46), "\$([A-Z]+)\$[0-9]+"))),_xlfn.REGEXEXTRACT(CELL("address",Z46), "\$([A-Z]+)\$[0-9]+"))</f>
        <v/>
      </c>
      <c r="AA46" s="7" t="str" cm="1">
        <f t="array" aca="1" ref="AA46" ca="1">IFERROR(IF(OR('Raw Data'!AA46="",LEN(TRIM('Raw Data'!AA46))=0),"",IF(AND(ISNUMBER('Raw Data'!AA46), IFERROR('Raw Data'!AA46 = ROUND('Raw Data'!AA46, 2),FALSE)),"",_xlfn.REGEXEXTRACT(CELL("address",AA46), "\$([A-Z]+)\$[0-9]+"))),_xlfn.REGEXEXTRACT(CELL("address",AA46), "\$([A-Z]+)\$[0-9]+"))</f>
        <v/>
      </c>
      <c r="AB46" s="7" t="str" cm="1">
        <f t="array" aca="1" ref="AB46" ca="1">IFERROR(IF(OR('Raw Data'!AB46="",LEN(TRIM('Raw Data'!AB46))=0),"",IF(AND(ISNUMBER('Raw Data'!AB46), IFERROR('Raw Data'!AB46 = ROUND('Raw Data'!AB46, 2),FALSE)),"",_xlfn.REGEXEXTRACT(CELL("address",AB46), "\$([A-Z]+)\$[0-9]+"))),_xlfn.REGEXEXTRACT(CELL("address",AB46), "\$([A-Z]+)\$[0-9]+"))</f>
        <v/>
      </c>
    </row>
    <row r="47" spans="2:28" x14ac:dyDescent="0.25">
      <c r="B47" s="7" t="str" cm="1">
        <f t="array" aca="1" ref="B47" ca="1">IFERROR(IF(OR('Raw Data'!B47="",LEN(TRIM('Raw Data'!B47))=0),"",IF(AND(LEN('Raw Data'!B47) &lt;= 255,LEN('Raw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20,LEN('Raw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Data'!D47))=0),"",IF(AND(ISNUMBER('Raw Data'!D47),'Raw Data'!D47&gt;=Configuration!$D$2),"",_xlfn.REGEXEXTRACT(CELL("address",'Raw Data'!D47),"\$([A-Z]+)\$[0-9]+"))),_xlfn.REGEXEXTRACT(CELL("address",D47), "\$([A-Z]+)\$[0-9]+"))</f>
        <v/>
      </c>
      <c r="E47" s="7" t="str" cm="1">
        <f t="array" aca="1" ref="E47" ca="1">IFERROR(IF(OR('Raw Data'!E47="",LEN(TRIM('Raw Data'!E47))=0),"",IF(AND(ISNUMBER('Raw Data'!E47), IFERROR('Raw Data'!E47 = ROUND('Raw Data'!E47, 2),FALSE)),"",_xlfn.REGEXEXTRACT(CELL("address",E47), "\$([A-Z]+)\$[0-9]+"))),_xlfn.REGEXEXTRACT(CELL("address",E47), "\$([A-Z]+)\$[0-9]+"))</f>
        <v/>
      </c>
      <c r="F47" s="7" t="str" cm="1">
        <f t="array" aca="1" ref="F47" ca="1">IFERROR(IF(OR('Raw Data'!F47="",LEN(TRIM('Raw Data'!F47))=0),"",IF(AND(ISNUMBER('Raw Data'!F47), IFERROR('Raw Data'!F47 = ROUND('Raw Data'!F47, 2),FALSE)),"",_xlfn.REGEXEXTRACT(CELL("address",F47), "\$([A-Z]+)\$[0-9]+"))),_xlfn.REGEXEXTRACT(CELL("address",F47), "\$([A-Z]+)\$[0-9]+"))</f>
        <v/>
      </c>
      <c r="G47" s="7" t="str" cm="1">
        <f t="array" aca="1" ref="G47" ca="1">IFERROR(IF(OR('Raw Data'!G47="",LEN(TRIM('Raw Data'!G47))=0),"",IF(AND(ISNUMBER('Raw Data'!G47), IFERROR('Raw Data'!G47 = ROUND('Raw Data'!G47, 2),FALSE)),"",_xlfn.REGEXEXTRACT(CELL("address",G47), "\$([A-Z]+)\$[0-9]+"))),_xlfn.REGEXEXTRACT(CELL("address",G47), "\$([A-Z]+)\$[0-9]+"))</f>
        <v/>
      </c>
      <c r="H47" s="7" t="str" cm="1">
        <f t="array" aca="1" ref="H47" ca="1">IFERROR(IF(OR('Raw Data'!H47="",LEN(TRIM('Raw Data'!H47))=0),"",IF(AND(ISNUMBER('Raw Data'!H47), IFERROR('Raw Data'!H47 = ROUND('Raw Data'!H47, 2),FALSE)),"",_xlfn.REGEXEXTRACT(CELL("address",H47), "\$([A-Z]+)\$[0-9]+"))),_xlfn.REGEXEXTRACT(CELL("address",H47), "\$([A-Z]+)\$[0-9]+"))</f>
        <v/>
      </c>
      <c r="I47" s="7" t="str" cm="1">
        <f t="array" aca="1" ref="I47" ca="1">IFERROR(IF(OR('Raw Data'!I47="",LEN(TRIM('Raw Data'!I47))=0),"",IF(AND(ISNUMBER('Raw Data'!I47), IFERROR('Raw Data'!I47 = ROUND('Raw Data'!I47, 2),FALSE)),"",_xlfn.REGEXEXTRACT(CELL("address",I47), "\$([A-Z]+)\$[0-9]+"))),_xlfn.REGEXEXTRACT(CELL("address",I47), "\$([A-Z]+)\$[0-9]+"))</f>
        <v/>
      </c>
      <c r="J47" s="7" t="str" cm="1">
        <f t="array" aca="1" ref="J47" ca="1">IFERROR(IF(OR('Raw Data'!J47="",LEN(TRIM('Raw Data'!J47))=0),"",IF(AND(ISNUMBER('Raw Data'!J47), IFERROR('Raw Data'!J47 = ROUND('Raw Data'!J47, 2),FALSE)),"",_xlfn.REGEXEXTRACT(CELL("address",J47), "\$([A-Z]+)\$[0-9]+"))),_xlfn.REGEXEXTRACT(CELL("address",J47), "\$([A-Z]+)\$[0-9]+"))</f>
        <v/>
      </c>
      <c r="K47" s="7" t="str" cm="1">
        <f t="array" aca="1" ref="K47" ca="1">IFERROR(IF(OR('Raw Data'!K47="",LEN(TRIM('Raw Data'!K47))=0),"",IF(AND(ISNUMBER('Raw Data'!K47), IFERROR('Raw Data'!K47 = ROUND('Raw Data'!K47, 2),FALSE)),"",_xlfn.REGEXEXTRACT(CELL("address",K47), "\$([A-Z]+)\$[0-9]+"))),_xlfn.REGEXEXTRACT(CELL("address",K47), "\$([A-Z]+)\$[0-9]+"))</f>
        <v/>
      </c>
      <c r="L47" s="7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7" t="str" cm="1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7" t="str" cm="1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  <c r="O47" s="7" t="str" cm="1">
        <f t="array" aca="1" ref="O47" ca="1">IFERROR(IF(OR('Raw Data'!O47="",LEN(TRIM('Raw Data'!O47))=0),"",IF(AND(ISNUMBER('Raw Data'!O47), IFERROR('Raw Data'!O47 = ROUND('Raw Data'!O47, 2),FALSE)),"",_xlfn.REGEXEXTRACT(CELL("address",O47), "\$([A-Z]+)\$[0-9]+"))),_xlfn.REGEXEXTRACT(CELL("address",O47), "\$([A-Z]+)\$[0-9]+"))</f>
        <v/>
      </c>
      <c r="P47" s="7" t="str" cm="1">
        <f t="array" aca="1" ref="P47" ca="1">IFERROR(IF(OR('Raw Data'!P47="",LEN(TRIM('Raw Data'!P47))=0),"",IF(AND(ISNUMBER('Raw Data'!P47), IFERROR('Raw Data'!P47 = ROUND('Raw Data'!P47, 2),FALSE)),"",_xlfn.REGEXEXTRACT(CELL("address",P47), "\$([A-Z]+)\$[0-9]+"))),_xlfn.REGEXEXTRACT(CELL("address",P47), "\$([A-Z]+)\$[0-9]+"))</f>
        <v/>
      </c>
      <c r="Q47" s="7" t="str" cm="1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7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7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7" t="str" cm="1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7" t="str" cm="1">
        <f t="array" aca="1" ref="U47" ca="1">IFERROR(IF(OR('Raw Data'!U47="",LEN(TRIM('Raw Data'!U47))=0),"",IF(AND(ISNUMBER('Raw Data'!U47), IFERROR('Raw Data'!U47 = ROUND('Raw Data'!U47, 2),FALSE)),"",_xlfn.REGEXEXTRACT(CELL("address",U47), "\$([A-Z]+)\$[0-9]+"))),_xlfn.REGEXEXTRACT(CELL("address",U47), "\$([A-Z]+)\$[0-9]+"))</f>
        <v/>
      </c>
      <c r="V47" s="7" t="str" cm="1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7" t="str" cm="1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7" t="str" cm="1">
        <f t="array" aca="1" ref="X47" ca="1">IFERROR(IF(OR('Raw Data'!X47="",LEN(TRIM('Raw Data'!X47))=0),"",IF(AND(ISNUMBER('Raw Data'!X47), IFERROR('Raw Data'!X47 = ROUND('Raw Data'!X47, 2),FALSE)),"",_xlfn.REGEXEXTRACT(CELL("address",X47), "\$([A-Z]+)\$[0-9]+"))),_xlfn.REGEXEXTRACT(CELL("address",X47), "\$([A-Z]+)\$[0-9]+"))</f>
        <v/>
      </c>
      <c r="Y47" s="7" t="str" cm="1">
        <f t="array" aca="1" ref="Y47" ca="1">IFERROR(IF(OR('Raw Data'!Y47="",LEN(TRIM('Raw Data'!Y47))=0),"",IF(AND(ISNUMBER('Raw Data'!Y47), IFERROR('Raw Data'!Y47 = ROUND('Raw Data'!Y47, 2),FALSE)),"",_xlfn.REGEXEXTRACT(CELL("address",Y47), "\$([A-Z]+)\$[0-9]+"))),_xlfn.REGEXEXTRACT(CELL("address",Y47), "\$([A-Z]+)\$[0-9]+"))</f>
        <v/>
      </c>
      <c r="Z47" s="7" t="str" cm="1">
        <f t="array" aca="1" ref="Z47" ca="1">IFERROR(IF(OR('Raw Data'!Z47="",LEN(TRIM('Raw Data'!Z47))=0),"",IF(AND(ISNUMBER('Raw Data'!Z47), IFERROR('Raw Data'!Z47 = ROUND('Raw Data'!Z47, 2),FALSE)),"",_xlfn.REGEXEXTRACT(CELL("address",Z47), "\$([A-Z]+)\$[0-9]+"))),_xlfn.REGEXEXTRACT(CELL("address",Z47), "\$([A-Z]+)\$[0-9]+"))</f>
        <v/>
      </c>
      <c r="AA47" s="7" t="str" cm="1">
        <f t="array" aca="1" ref="AA47" ca="1">IFERROR(IF(OR('Raw Data'!AA47="",LEN(TRIM('Raw Data'!AA47))=0),"",IF(AND(ISNUMBER('Raw Data'!AA47), IFERROR('Raw Data'!AA47 = ROUND('Raw Data'!AA47, 2),FALSE)),"",_xlfn.REGEXEXTRACT(CELL("address",AA47), "\$([A-Z]+)\$[0-9]+"))),_xlfn.REGEXEXTRACT(CELL("address",AA47), "\$([A-Z]+)\$[0-9]+"))</f>
        <v/>
      </c>
      <c r="AB47" s="7" t="str" cm="1">
        <f t="array" aca="1" ref="AB47" ca="1">IFERROR(IF(OR('Raw Data'!AB47="",LEN(TRIM('Raw Data'!AB47))=0),"",IF(AND(ISNUMBER('Raw Data'!AB47), IFERROR('Raw Data'!AB47 = ROUND('Raw Data'!AB47, 2),FALSE)),"",_xlfn.REGEXEXTRACT(CELL("address",AB47), "\$([A-Z]+)\$[0-9]+"))),_xlfn.REGEXEXTRACT(CELL("address",AB47), "\$([A-Z]+)\$[0-9]+"))</f>
        <v/>
      </c>
    </row>
    <row r="48" spans="2:28" x14ac:dyDescent="0.25">
      <c r="B48" s="7" t="str" cm="1">
        <f t="array" aca="1" ref="B48" ca="1">IFERROR(IF(OR('Raw Data'!B48="",LEN(TRIM('Raw Data'!B48))=0),"",IF(AND(LEN('Raw Data'!B48) &lt;= 255,LEN('Raw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20,LEN('Raw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Data'!D48))=0),"",IF(AND(ISNUMBER('Raw Data'!D48),'Raw Data'!D48&gt;=Configuration!$D$2),"",_xlfn.REGEXEXTRACT(CELL("address",'Raw Data'!D48),"\$([A-Z]+)\$[0-9]+"))),_xlfn.REGEXEXTRACT(CELL("address",D48), "\$([A-Z]+)\$[0-9]+"))</f>
        <v/>
      </c>
      <c r="E48" s="7" t="str" cm="1">
        <f t="array" aca="1" ref="E48" ca="1">IFERROR(IF(OR('Raw Data'!E48="",LEN(TRIM('Raw Data'!E48))=0),"",IF(AND(ISNUMBER('Raw Data'!E48), IFERROR('Raw Data'!E48 = ROUND('Raw Data'!E48, 2),FALSE)),"",_xlfn.REGEXEXTRACT(CELL("address",E48), "\$([A-Z]+)\$[0-9]+"))),_xlfn.REGEXEXTRACT(CELL("address",E48), "\$([A-Z]+)\$[0-9]+"))</f>
        <v/>
      </c>
      <c r="F48" s="7" t="str" cm="1">
        <f t="array" aca="1" ref="F48" ca="1">IFERROR(IF(OR('Raw Data'!F48="",LEN(TRIM('Raw Data'!F48))=0),"",IF(AND(ISNUMBER('Raw Data'!F48), IFERROR('Raw Data'!F48 = ROUND('Raw Data'!F48, 2),FALSE)),"",_xlfn.REGEXEXTRACT(CELL("address",F48), "\$([A-Z]+)\$[0-9]+"))),_xlfn.REGEXEXTRACT(CELL("address",F48), "\$([A-Z]+)\$[0-9]+"))</f>
        <v/>
      </c>
      <c r="G48" s="7" t="str" cm="1">
        <f t="array" aca="1" ref="G48" ca="1">IFERROR(IF(OR('Raw Data'!G48="",LEN(TRIM('Raw Data'!G48))=0),"",IF(AND(ISNUMBER('Raw Data'!G48), IFERROR('Raw Data'!G48 = ROUND('Raw Data'!G48, 2),FALSE)),"",_xlfn.REGEXEXTRACT(CELL("address",G48), "\$([A-Z]+)\$[0-9]+"))),_xlfn.REGEXEXTRACT(CELL("address",G48), "\$([A-Z]+)\$[0-9]+"))</f>
        <v/>
      </c>
      <c r="H48" s="7" t="str" cm="1">
        <f t="array" aca="1" ref="H48" ca="1">IFERROR(IF(OR('Raw Data'!H48="",LEN(TRIM('Raw Data'!H48))=0),"",IF(AND(ISNUMBER('Raw Data'!H48), IFERROR('Raw Data'!H48 = ROUND('Raw Data'!H48, 2),FALSE)),"",_xlfn.REGEXEXTRACT(CELL("address",H48), "\$([A-Z]+)\$[0-9]+"))),_xlfn.REGEXEXTRACT(CELL("address",H48), "\$([A-Z]+)\$[0-9]+"))</f>
        <v/>
      </c>
      <c r="I48" s="7" t="str" cm="1">
        <f t="array" aca="1" ref="I48" ca="1">IFERROR(IF(OR('Raw Data'!I48="",LEN(TRIM('Raw Data'!I48))=0),"",IF(AND(ISNUMBER('Raw Data'!I48), IFERROR('Raw Data'!I48 = ROUND('Raw Data'!I48, 2),FALSE)),"",_xlfn.REGEXEXTRACT(CELL("address",I48), "\$([A-Z]+)\$[0-9]+"))),_xlfn.REGEXEXTRACT(CELL("address",I48), "\$([A-Z]+)\$[0-9]+"))</f>
        <v/>
      </c>
      <c r="J48" s="7" t="str" cm="1">
        <f t="array" aca="1" ref="J48" ca="1">IFERROR(IF(OR('Raw Data'!J48="",LEN(TRIM('Raw Data'!J48))=0),"",IF(AND(ISNUMBER('Raw Data'!J48), IFERROR('Raw Data'!J48 = ROUND('Raw Data'!J48, 2),FALSE)),"",_xlfn.REGEXEXTRACT(CELL("address",J48), "\$([A-Z]+)\$[0-9]+"))),_xlfn.REGEXEXTRACT(CELL("address",J48), "\$([A-Z]+)\$[0-9]+"))</f>
        <v/>
      </c>
      <c r="K48" s="7" t="str" cm="1">
        <f t="array" aca="1" ref="K48" ca="1">IFERROR(IF(OR('Raw Data'!K48="",LEN(TRIM('Raw Data'!K48))=0),"",IF(AND(ISNUMBER('Raw Data'!K48), IFERROR('Raw Data'!K48 = ROUND('Raw Data'!K48, 2),FALSE)),"",_xlfn.REGEXEXTRACT(CELL("address",K48), "\$([A-Z]+)\$[0-9]+"))),_xlfn.REGEXEXTRACT(CELL("address",K48), "\$([A-Z]+)\$[0-9]+"))</f>
        <v/>
      </c>
      <c r="L48" s="7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7" t="str" cm="1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7" t="str" cm="1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  <c r="O48" s="7" t="str" cm="1">
        <f t="array" aca="1" ref="O48" ca="1">IFERROR(IF(OR('Raw Data'!O48="",LEN(TRIM('Raw Data'!O48))=0),"",IF(AND(ISNUMBER('Raw Data'!O48), IFERROR('Raw Data'!O48 = ROUND('Raw Data'!O48, 2),FALSE)),"",_xlfn.REGEXEXTRACT(CELL("address",O48), "\$([A-Z]+)\$[0-9]+"))),_xlfn.REGEXEXTRACT(CELL("address",O48), "\$([A-Z]+)\$[0-9]+"))</f>
        <v/>
      </c>
      <c r="P48" s="7" t="str" cm="1">
        <f t="array" aca="1" ref="P48" ca="1">IFERROR(IF(OR('Raw Data'!P48="",LEN(TRIM('Raw Data'!P48))=0),"",IF(AND(ISNUMBER('Raw Data'!P48), IFERROR('Raw Data'!P48 = ROUND('Raw Data'!P48, 2),FALSE)),"",_xlfn.REGEXEXTRACT(CELL("address",P48), "\$([A-Z]+)\$[0-9]+"))),_xlfn.REGEXEXTRACT(CELL("address",P48), "\$([A-Z]+)\$[0-9]+"))</f>
        <v/>
      </c>
      <c r="Q48" s="7" t="str" cm="1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7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7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7" t="str" cm="1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7" t="str" cm="1">
        <f t="array" aca="1" ref="U48" ca="1">IFERROR(IF(OR('Raw Data'!U48="",LEN(TRIM('Raw Data'!U48))=0),"",IF(AND(ISNUMBER('Raw Data'!U48), IFERROR('Raw Data'!U48 = ROUND('Raw Data'!U48, 2),FALSE)),"",_xlfn.REGEXEXTRACT(CELL("address",U48), "\$([A-Z]+)\$[0-9]+"))),_xlfn.REGEXEXTRACT(CELL("address",U48), "\$([A-Z]+)\$[0-9]+"))</f>
        <v/>
      </c>
      <c r="V48" s="7" t="str" cm="1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7" t="str" cm="1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7" t="str" cm="1">
        <f t="array" aca="1" ref="X48" ca="1">IFERROR(IF(OR('Raw Data'!X48="",LEN(TRIM('Raw Data'!X48))=0),"",IF(AND(ISNUMBER('Raw Data'!X48), IFERROR('Raw Data'!X48 = ROUND('Raw Data'!X48, 2),FALSE)),"",_xlfn.REGEXEXTRACT(CELL("address",X48), "\$([A-Z]+)\$[0-9]+"))),_xlfn.REGEXEXTRACT(CELL("address",X48), "\$([A-Z]+)\$[0-9]+"))</f>
        <v/>
      </c>
      <c r="Y48" s="7" t="str" cm="1">
        <f t="array" aca="1" ref="Y48" ca="1">IFERROR(IF(OR('Raw Data'!Y48="",LEN(TRIM('Raw Data'!Y48))=0),"",IF(AND(ISNUMBER('Raw Data'!Y48), IFERROR('Raw Data'!Y48 = ROUND('Raw Data'!Y48, 2),FALSE)),"",_xlfn.REGEXEXTRACT(CELL("address",Y48), "\$([A-Z]+)\$[0-9]+"))),_xlfn.REGEXEXTRACT(CELL("address",Y48), "\$([A-Z]+)\$[0-9]+"))</f>
        <v/>
      </c>
      <c r="Z48" s="7" t="str" cm="1">
        <f t="array" aca="1" ref="Z48" ca="1">IFERROR(IF(OR('Raw Data'!Z48="",LEN(TRIM('Raw Data'!Z48))=0),"",IF(AND(ISNUMBER('Raw Data'!Z48), IFERROR('Raw Data'!Z48 = ROUND('Raw Data'!Z48, 2),FALSE)),"",_xlfn.REGEXEXTRACT(CELL("address",Z48), "\$([A-Z]+)\$[0-9]+"))),_xlfn.REGEXEXTRACT(CELL("address",Z48), "\$([A-Z]+)\$[0-9]+"))</f>
        <v/>
      </c>
      <c r="AA48" s="7" t="str" cm="1">
        <f t="array" aca="1" ref="AA48" ca="1">IFERROR(IF(OR('Raw Data'!AA48="",LEN(TRIM('Raw Data'!AA48))=0),"",IF(AND(ISNUMBER('Raw Data'!AA48), IFERROR('Raw Data'!AA48 = ROUND('Raw Data'!AA48, 2),FALSE)),"",_xlfn.REGEXEXTRACT(CELL("address",AA48), "\$([A-Z]+)\$[0-9]+"))),_xlfn.REGEXEXTRACT(CELL("address",AA48), "\$([A-Z]+)\$[0-9]+"))</f>
        <v/>
      </c>
      <c r="AB48" s="7" t="str" cm="1">
        <f t="array" aca="1" ref="AB48" ca="1">IFERROR(IF(OR('Raw Data'!AB48="",LEN(TRIM('Raw Data'!AB48))=0),"",IF(AND(ISNUMBER('Raw Data'!AB48), IFERROR('Raw Data'!AB48 = ROUND('Raw Data'!AB48, 2),FALSE)),"",_xlfn.REGEXEXTRACT(CELL("address",AB48), "\$([A-Z]+)\$[0-9]+"))),_xlfn.REGEXEXTRACT(CELL("address",AB48), "\$([A-Z]+)\$[0-9]+"))</f>
        <v/>
      </c>
    </row>
    <row r="49" spans="2:28" x14ac:dyDescent="0.25">
      <c r="B49" s="7" t="str" cm="1">
        <f t="array" aca="1" ref="B49" ca="1">IFERROR(IF(OR('Raw Data'!B49="",LEN(TRIM('Raw Data'!B49))=0),"",IF(AND(LEN('Raw Data'!B49) &lt;= 255,LEN('Raw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20,LEN('Raw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Data'!D49))=0),"",IF(AND(ISNUMBER('Raw Data'!D49),'Raw Data'!D49&gt;=Configuration!$D$2),"",_xlfn.REGEXEXTRACT(CELL("address",'Raw Data'!D49),"\$([A-Z]+)\$[0-9]+"))),_xlfn.REGEXEXTRACT(CELL("address",D49), "\$([A-Z]+)\$[0-9]+"))</f>
        <v/>
      </c>
      <c r="E49" s="7" t="str" cm="1">
        <f t="array" aca="1" ref="E49" ca="1">IFERROR(IF(OR('Raw Data'!E49="",LEN(TRIM('Raw Data'!E49))=0),"",IF(AND(ISNUMBER('Raw Data'!E49), IFERROR('Raw Data'!E49 = ROUND('Raw Data'!E49, 2),FALSE)),"",_xlfn.REGEXEXTRACT(CELL("address",E49), "\$([A-Z]+)\$[0-9]+"))),_xlfn.REGEXEXTRACT(CELL("address",E49), "\$([A-Z]+)\$[0-9]+"))</f>
        <v/>
      </c>
      <c r="F49" s="7" t="str" cm="1">
        <f t="array" aca="1" ref="F49" ca="1">IFERROR(IF(OR('Raw Data'!F49="",LEN(TRIM('Raw Data'!F49))=0),"",IF(AND(ISNUMBER('Raw Data'!F49), IFERROR('Raw Data'!F49 = ROUND('Raw Data'!F49, 2),FALSE)),"",_xlfn.REGEXEXTRACT(CELL("address",F49), "\$([A-Z]+)\$[0-9]+"))),_xlfn.REGEXEXTRACT(CELL("address",F49), "\$([A-Z]+)\$[0-9]+"))</f>
        <v/>
      </c>
      <c r="G49" s="7" t="str" cm="1">
        <f t="array" aca="1" ref="G49" ca="1">IFERROR(IF(OR('Raw Data'!G49="",LEN(TRIM('Raw Data'!G49))=0),"",IF(AND(ISNUMBER('Raw Data'!G49), IFERROR('Raw Data'!G49 = ROUND('Raw Data'!G49, 2),FALSE)),"",_xlfn.REGEXEXTRACT(CELL("address",G49), "\$([A-Z]+)\$[0-9]+"))),_xlfn.REGEXEXTRACT(CELL("address",G49), "\$([A-Z]+)\$[0-9]+"))</f>
        <v/>
      </c>
      <c r="H49" s="7" t="str" cm="1">
        <f t="array" aca="1" ref="H49" ca="1">IFERROR(IF(OR('Raw Data'!H49="",LEN(TRIM('Raw Data'!H49))=0),"",IF(AND(ISNUMBER('Raw Data'!H49), IFERROR('Raw Data'!H49 = ROUND('Raw Data'!H49, 2),FALSE)),"",_xlfn.REGEXEXTRACT(CELL("address",H49), "\$([A-Z]+)\$[0-9]+"))),_xlfn.REGEXEXTRACT(CELL("address",H49), "\$([A-Z]+)\$[0-9]+"))</f>
        <v/>
      </c>
      <c r="I49" s="7" t="str" cm="1">
        <f t="array" aca="1" ref="I49" ca="1">IFERROR(IF(OR('Raw Data'!I49="",LEN(TRIM('Raw Data'!I49))=0),"",IF(AND(ISNUMBER('Raw Data'!I49), IFERROR('Raw Data'!I49 = ROUND('Raw Data'!I49, 2),FALSE)),"",_xlfn.REGEXEXTRACT(CELL("address",I49), "\$([A-Z]+)\$[0-9]+"))),_xlfn.REGEXEXTRACT(CELL("address",I49), "\$([A-Z]+)\$[0-9]+"))</f>
        <v/>
      </c>
      <c r="J49" s="7" t="str" cm="1">
        <f t="array" aca="1" ref="J49" ca="1">IFERROR(IF(OR('Raw Data'!J49="",LEN(TRIM('Raw Data'!J49))=0),"",IF(AND(ISNUMBER('Raw Data'!J49), IFERROR('Raw Data'!J49 = ROUND('Raw Data'!J49, 2),FALSE)),"",_xlfn.REGEXEXTRACT(CELL("address",J49), "\$([A-Z]+)\$[0-9]+"))),_xlfn.REGEXEXTRACT(CELL("address",J49), "\$([A-Z]+)\$[0-9]+"))</f>
        <v/>
      </c>
      <c r="K49" s="7" t="str" cm="1">
        <f t="array" aca="1" ref="K49" ca="1">IFERROR(IF(OR('Raw Data'!K49="",LEN(TRIM('Raw Data'!K49))=0),"",IF(AND(ISNUMBER('Raw Data'!K49), IFERROR('Raw Data'!K49 = ROUND('Raw Data'!K49, 2),FALSE)),"",_xlfn.REGEXEXTRACT(CELL("address",K49), "\$([A-Z]+)\$[0-9]+"))),_xlfn.REGEXEXTRACT(CELL("address",K49), "\$([A-Z]+)\$[0-9]+"))</f>
        <v/>
      </c>
      <c r="L49" s="7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7" t="str" cm="1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7" t="str" cm="1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  <c r="O49" s="7" t="str" cm="1">
        <f t="array" aca="1" ref="O49" ca="1">IFERROR(IF(OR('Raw Data'!O49="",LEN(TRIM('Raw Data'!O49))=0),"",IF(AND(ISNUMBER('Raw Data'!O49), IFERROR('Raw Data'!O49 = ROUND('Raw Data'!O49, 2),FALSE)),"",_xlfn.REGEXEXTRACT(CELL("address",O49), "\$([A-Z]+)\$[0-9]+"))),_xlfn.REGEXEXTRACT(CELL("address",O49), "\$([A-Z]+)\$[0-9]+"))</f>
        <v/>
      </c>
      <c r="P49" s="7" t="str" cm="1">
        <f t="array" aca="1" ref="P49" ca="1">IFERROR(IF(OR('Raw Data'!P49="",LEN(TRIM('Raw Data'!P49))=0),"",IF(AND(ISNUMBER('Raw Data'!P49), IFERROR('Raw Data'!P49 = ROUND('Raw Data'!P49, 2),FALSE)),"",_xlfn.REGEXEXTRACT(CELL("address",P49), "\$([A-Z]+)\$[0-9]+"))),_xlfn.REGEXEXTRACT(CELL("address",P49), "\$([A-Z]+)\$[0-9]+"))</f>
        <v/>
      </c>
      <c r="Q49" s="7" t="str" cm="1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7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7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7" t="str" cm="1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7" t="str" cm="1">
        <f t="array" aca="1" ref="U49" ca="1">IFERROR(IF(OR('Raw Data'!U49="",LEN(TRIM('Raw Data'!U49))=0),"",IF(AND(ISNUMBER('Raw Data'!U49), IFERROR('Raw Data'!U49 = ROUND('Raw Data'!U49, 2),FALSE)),"",_xlfn.REGEXEXTRACT(CELL("address",U49), "\$([A-Z]+)\$[0-9]+"))),_xlfn.REGEXEXTRACT(CELL("address",U49), "\$([A-Z]+)\$[0-9]+"))</f>
        <v/>
      </c>
      <c r="V49" s="7" t="str" cm="1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7" t="str" cm="1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7" t="str" cm="1">
        <f t="array" aca="1" ref="X49" ca="1">IFERROR(IF(OR('Raw Data'!X49="",LEN(TRIM('Raw Data'!X49))=0),"",IF(AND(ISNUMBER('Raw Data'!X49), IFERROR('Raw Data'!X49 = ROUND('Raw Data'!X49, 2),FALSE)),"",_xlfn.REGEXEXTRACT(CELL("address",X49), "\$([A-Z]+)\$[0-9]+"))),_xlfn.REGEXEXTRACT(CELL("address",X49), "\$([A-Z]+)\$[0-9]+"))</f>
        <v/>
      </c>
      <c r="Y49" s="7" t="str" cm="1">
        <f t="array" aca="1" ref="Y49" ca="1">IFERROR(IF(OR('Raw Data'!Y49="",LEN(TRIM('Raw Data'!Y49))=0),"",IF(AND(ISNUMBER('Raw Data'!Y49), IFERROR('Raw Data'!Y49 = ROUND('Raw Data'!Y49, 2),FALSE)),"",_xlfn.REGEXEXTRACT(CELL("address",Y49), "\$([A-Z]+)\$[0-9]+"))),_xlfn.REGEXEXTRACT(CELL("address",Y49), "\$([A-Z]+)\$[0-9]+"))</f>
        <v/>
      </c>
      <c r="Z49" s="7" t="str" cm="1">
        <f t="array" aca="1" ref="Z49" ca="1">IFERROR(IF(OR('Raw Data'!Z49="",LEN(TRIM('Raw Data'!Z49))=0),"",IF(AND(ISNUMBER('Raw Data'!Z49), IFERROR('Raw Data'!Z49 = ROUND('Raw Data'!Z49, 2),FALSE)),"",_xlfn.REGEXEXTRACT(CELL("address",Z49), "\$([A-Z]+)\$[0-9]+"))),_xlfn.REGEXEXTRACT(CELL("address",Z49), "\$([A-Z]+)\$[0-9]+"))</f>
        <v/>
      </c>
      <c r="AA49" s="7" t="str" cm="1">
        <f t="array" aca="1" ref="AA49" ca="1">IFERROR(IF(OR('Raw Data'!AA49="",LEN(TRIM('Raw Data'!AA49))=0),"",IF(AND(ISNUMBER('Raw Data'!AA49), IFERROR('Raw Data'!AA49 = ROUND('Raw Data'!AA49, 2),FALSE)),"",_xlfn.REGEXEXTRACT(CELL("address",AA49), "\$([A-Z]+)\$[0-9]+"))),_xlfn.REGEXEXTRACT(CELL("address",AA49), "\$([A-Z]+)\$[0-9]+"))</f>
        <v/>
      </c>
      <c r="AB49" s="7" t="str" cm="1">
        <f t="array" aca="1" ref="AB49" ca="1">IFERROR(IF(OR('Raw Data'!AB49="",LEN(TRIM('Raw Data'!AB49))=0),"",IF(AND(ISNUMBER('Raw Data'!AB49), IFERROR('Raw Data'!AB49 = ROUND('Raw Data'!AB49, 2),FALSE)),"",_xlfn.REGEXEXTRACT(CELL("address",AB49), "\$([A-Z]+)\$[0-9]+"))),_xlfn.REGEXEXTRACT(CELL("address",AB49), "\$([A-Z]+)\$[0-9]+"))</f>
        <v/>
      </c>
    </row>
    <row r="50" spans="2:28" x14ac:dyDescent="0.25">
      <c r="B50" s="7" t="str" cm="1">
        <f t="array" aca="1" ref="B50" ca="1">IFERROR(IF(OR('Raw Data'!B50="",LEN(TRIM('Raw Data'!B50))=0),"",IF(AND(LEN('Raw Data'!B50) &lt;= 255,LEN('Raw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20,LEN('Raw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Data'!D50))=0),"",IF(AND(ISNUMBER('Raw Data'!D50),'Raw Data'!D50&gt;=Configuration!$D$2),"",_xlfn.REGEXEXTRACT(CELL("address",'Raw Data'!D50),"\$([A-Z]+)\$[0-9]+"))),_xlfn.REGEXEXTRACT(CELL("address",D50), "\$([A-Z]+)\$[0-9]+"))</f>
        <v/>
      </c>
      <c r="E50" s="7" t="str" cm="1">
        <f t="array" aca="1" ref="E50" ca="1">IFERROR(IF(OR('Raw Data'!E50="",LEN(TRIM('Raw Data'!E50))=0),"",IF(AND(ISNUMBER('Raw Data'!E50), IFERROR('Raw Data'!E50 = ROUND('Raw Data'!E50, 2),FALSE)),"",_xlfn.REGEXEXTRACT(CELL("address",E50), "\$([A-Z]+)\$[0-9]+"))),_xlfn.REGEXEXTRACT(CELL("address",E50), "\$([A-Z]+)\$[0-9]+"))</f>
        <v/>
      </c>
      <c r="F50" s="7" t="str" cm="1">
        <f t="array" aca="1" ref="F50" ca="1">IFERROR(IF(OR('Raw Data'!F50="",LEN(TRIM('Raw Data'!F50))=0),"",IF(AND(ISNUMBER('Raw Data'!F50), IFERROR('Raw Data'!F50 = ROUND('Raw Data'!F50, 2),FALSE)),"",_xlfn.REGEXEXTRACT(CELL("address",F50), "\$([A-Z]+)\$[0-9]+"))),_xlfn.REGEXEXTRACT(CELL("address",F50), "\$([A-Z]+)\$[0-9]+"))</f>
        <v/>
      </c>
      <c r="G50" s="7" t="str" cm="1">
        <f t="array" aca="1" ref="G50" ca="1">IFERROR(IF(OR('Raw Data'!G50="",LEN(TRIM('Raw Data'!G50))=0),"",IF(AND(ISNUMBER('Raw Data'!G50), IFERROR('Raw Data'!G50 = ROUND('Raw Data'!G50, 2),FALSE)),"",_xlfn.REGEXEXTRACT(CELL("address",G50), "\$([A-Z]+)\$[0-9]+"))),_xlfn.REGEXEXTRACT(CELL("address",G50), "\$([A-Z]+)\$[0-9]+"))</f>
        <v/>
      </c>
      <c r="H50" s="7" t="str" cm="1">
        <f t="array" aca="1" ref="H50" ca="1">IFERROR(IF(OR('Raw Data'!H50="",LEN(TRIM('Raw Data'!H50))=0),"",IF(AND(ISNUMBER('Raw Data'!H50), IFERROR('Raw Data'!H50 = ROUND('Raw Data'!H50, 2),FALSE)),"",_xlfn.REGEXEXTRACT(CELL("address",H50), "\$([A-Z]+)\$[0-9]+"))),_xlfn.REGEXEXTRACT(CELL("address",H50), "\$([A-Z]+)\$[0-9]+"))</f>
        <v/>
      </c>
      <c r="I50" s="7" t="str" cm="1">
        <f t="array" aca="1" ref="I50" ca="1">IFERROR(IF(OR('Raw Data'!I50="",LEN(TRIM('Raw Data'!I50))=0),"",IF(AND(ISNUMBER('Raw Data'!I50), IFERROR('Raw Data'!I50 = ROUND('Raw Data'!I50, 2),FALSE)),"",_xlfn.REGEXEXTRACT(CELL("address",I50), "\$([A-Z]+)\$[0-9]+"))),_xlfn.REGEXEXTRACT(CELL("address",I50), "\$([A-Z]+)\$[0-9]+"))</f>
        <v/>
      </c>
      <c r="J50" s="7" t="str" cm="1">
        <f t="array" aca="1" ref="J50" ca="1">IFERROR(IF(OR('Raw Data'!J50="",LEN(TRIM('Raw Data'!J50))=0),"",IF(AND(ISNUMBER('Raw Data'!J50), IFERROR('Raw Data'!J50 = ROUND('Raw Data'!J50, 2),FALSE)),"",_xlfn.REGEXEXTRACT(CELL("address",J50), "\$([A-Z]+)\$[0-9]+"))),_xlfn.REGEXEXTRACT(CELL("address",J50), "\$([A-Z]+)\$[0-9]+"))</f>
        <v/>
      </c>
      <c r="K50" s="7" t="str" cm="1">
        <f t="array" aca="1" ref="K50" ca="1">IFERROR(IF(OR('Raw Data'!K50="",LEN(TRIM('Raw Data'!K50))=0),"",IF(AND(ISNUMBER('Raw Data'!K50), IFERROR('Raw Data'!K50 = ROUND('Raw Data'!K50, 2),FALSE)),"",_xlfn.REGEXEXTRACT(CELL("address",K50), "\$([A-Z]+)\$[0-9]+"))),_xlfn.REGEXEXTRACT(CELL("address",K50), "\$([A-Z]+)\$[0-9]+"))</f>
        <v/>
      </c>
      <c r="L50" s="7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7" t="str" cm="1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7" t="str" cm="1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  <c r="O50" s="7" t="str" cm="1">
        <f t="array" aca="1" ref="O50" ca="1">IFERROR(IF(OR('Raw Data'!O50="",LEN(TRIM('Raw Data'!O50))=0),"",IF(AND(ISNUMBER('Raw Data'!O50), IFERROR('Raw Data'!O50 = ROUND('Raw Data'!O50, 2),FALSE)),"",_xlfn.REGEXEXTRACT(CELL("address",O50), "\$([A-Z]+)\$[0-9]+"))),_xlfn.REGEXEXTRACT(CELL("address",O50), "\$([A-Z]+)\$[0-9]+"))</f>
        <v/>
      </c>
      <c r="P50" s="7" t="str" cm="1">
        <f t="array" aca="1" ref="P50" ca="1">IFERROR(IF(OR('Raw Data'!P50="",LEN(TRIM('Raw Data'!P50))=0),"",IF(AND(ISNUMBER('Raw Data'!P50), IFERROR('Raw Data'!P50 = ROUND('Raw Data'!P50, 2),FALSE)),"",_xlfn.REGEXEXTRACT(CELL("address",P50), "\$([A-Z]+)\$[0-9]+"))),_xlfn.REGEXEXTRACT(CELL("address",P50), "\$([A-Z]+)\$[0-9]+"))</f>
        <v/>
      </c>
      <c r="Q50" s="7" t="str" cm="1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7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7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7" t="str" cm="1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7" t="str" cm="1">
        <f t="array" aca="1" ref="U50" ca="1">IFERROR(IF(OR('Raw Data'!U50="",LEN(TRIM('Raw Data'!U50))=0),"",IF(AND(ISNUMBER('Raw Data'!U50), IFERROR('Raw Data'!U50 = ROUND('Raw Data'!U50, 2),FALSE)),"",_xlfn.REGEXEXTRACT(CELL("address",U50), "\$([A-Z]+)\$[0-9]+"))),_xlfn.REGEXEXTRACT(CELL("address",U50), "\$([A-Z]+)\$[0-9]+"))</f>
        <v/>
      </c>
      <c r="V50" s="7" t="str" cm="1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7" t="str" cm="1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7" t="str" cm="1">
        <f t="array" aca="1" ref="X50" ca="1">IFERROR(IF(OR('Raw Data'!X50="",LEN(TRIM('Raw Data'!X50))=0),"",IF(AND(ISNUMBER('Raw Data'!X50), IFERROR('Raw Data'!X50 = ROUND('Raw Data'!X50, 2),FALSE)),"",_xlfn.REGEXEXTRACT(CELL("address",X50), "\$([A-Z]+)\$[0-9]+"))),_xlfn.REGEXEXTRACT(CELL("address",X50), "\$([A-Z]+)\$[0-9]+"))</f>
        <v/>
      </c>
      <c r="Y50" s="7" t="str" cm="1">
        <f t="array" aca="1" ref="Y50" ca="1">IFERROR(IF(OR('Raw Data'!Y50="",LEN(TRIM('Raw Data'!Y50))=0),"",IF(AND(ISNUMBER('Raw Data'!Y50), IFERROR('Raw Data'!Y50 = ROUND('Raw Data'!Y50, 2),FALSE)),"",_xlfn.REGEXEXTRACT(CELL("address",Y50), "\$([A-Z]+)\$[0-9]+"))),_xlfn.REGEXEXTRACT(CELL("address",Y50), "\$([A-Z]+)\$[0-9]+"))</f>
        <v/>
      </c>
      <c r="Z50" s="7" t="str" cm="1">
        <f t="array" aca="1" ref="Z50" ca="1">IFERROR(IF(OR('Raw Data'!Z50="",LEN(TRIM('Raw Data'!Z50))=0),"",IF(AND(ISNUMBER('Raw Data'!Z50), IFERROR('Raw Data'!Z50 = ROUND('Raw Data'!Z50, 2),FALSE)),"",_xlfn.REGEXEXTRACT(CELL("address",Z50), "\$([A-Z]+)\$[0-9]+"))),_xlfn.REGEXEXTRACT(CELL("address",Z50), "\$([A-Z]+)\$[0-9]+"))</f>
        <v/>
      </c>
      <c r="AA50" s="7" t="str" cm="1">
        <f t="array" aca="1" ref="AA50" ca="1">IFERROR(IF(OR('Raw Data'!AA50="",LEN(TRIM('Raw Data'!AA50))=0),"",IF(AND(ISNUMBER('Raw Data'!AA50), IFERROR('Raw Data'!AA50 = ROUND('Raw Data'!AA50, 2),FALSE)),"",_xlfn.REGEXEXTRACT(CELL("address",AA50), "\$([A-Z]+)\$[0-9]+"))),_xlfn.REGEXEXTRACT(CELL("address",AA50), "\$([A-Z]+)\$[0-9]+"))</f>
        <v/>
      </c>
      <c r="AB50" s="7" t="str" cm="1">
        <f t="array" aca="1" ref="AB50" ca="1">IFERROR(IF(OR('Raw Data'!AB50="",LEN(TRIM('Raw Data'!AB50))=0),"",IF(AND(ISNUMBER('Raw Data'!AB50), IFERROR('Raw Data'!AB50 = ROUND('Raw Data'!AB50, 2),FALSE)),"",_xlfn.REGEXEXTRACT(CELL("address",AB50), "\$([A-Z]+)\$[0-9]+"))),_xlfn.REGEXEXTRACT(CELL("address",AB50), "\$([A-Z]+)\$[0-9]+"))</f>
        <v/>
      </c>
    </row>
    <row r="51" spans="2:28" x14ac:dyDescent="0.25">
      <c r="B51" s="7" t="str" cm="1">
        <f t="array" aca="1" ref="B51" ca="1">IFERROR(IF(OR('Raw Data'!B51="",LEN(TRIM('Raw Data'!B51))=0),"",IF(AND(LEN('Raw Data'!B51) &lt;= 255,LEN('Raw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20,LEN('Raw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Data'!D51))=0),"",IF(AND(ISNUMBER('Raw Data'!D51),'Raw Data'!D51&gt;=Configuration!$D$2),"",_xlfn.REGEXEXTRACT(CELL("address",'Raw Data'!D51),"\$([A-Z]+)\$[0-9]+"))),_xlfn.REGEXEXTRACT(CELL("address",D51), "\$([A-Z]+)\$[0-9]+"))</f>
        <v/>
      </c>
      <c r="E51" s="7" t="str" cm="1">
        <f t="array" aca="1" ref="E51" ca="1">IFERROR(IF(OR('Raw Data'!E51="",LEN(TRIM('Raw Data'!E51))=0),"",IF(AND(ISNUMBER('Raw Data'!E51), IFERROR('Raw Data'!E51 = ROUND('Raw Data'!E51, 2),FALSE)),"",_xlfn.REGEXEXTRACT(CELL("address",E51), "\$([A-Z]+)\$[0-9]+"))),_xlfn.REGEXEXTRACT(CELL("address",E51), "\$([A-Z]+)\$[0-9]+"))</f>
        <v/>
      </c>
      <c r="F51" s="7" t="str" cm="1">
        <f t="array" aca="1" ref="F51" ca="1">IFERROR(IF(OR('Raw Data'!F51="",LEN(TRIM('Raw Data'!F51))=0),"",IF(AND(ISNUMBER('Raw Data'!F51), IFERROR('Raw Data'!F51 = ROUND('Raw Data'!F51, 2),FALSE)),"",_xlfn.REGEXEXTRACT(CELL("address",F51), "\$([A-Z]+)\$[0-9]+"))),_xlfn.REGEXEXTRACT(CELL("address",F51), "\$([A-Z]+)\$[0-9]+"))</f>
        <v/>
      </c>
      <c r="G51" s="7" t="str" cm="1">
        <f t="array" aca="1" ref="G51" ca="1">IFERROR(IF(OR('Raw Data'!G51="",LEN(TRIM('Raw Data'!G51))=0),"",IF(AND(ISNUMBER('Raw Data'!G51), IFERROR('Raw Data'!G51 = ROUND('Raw Data'!G51, 2),FALSE)),"",_xlfn.REGEXEXTRACT(CELL("address",G51), "\$([A-Z]+)\$[0-9]+"))),_xlfn.REGEXEXTRACT(CELL("address",G51), "\$([A-Z]+)\$[0-9]+"))</f>
        <v/>
      </c>
      <c r="H51" s="7" t="str" cm="1">
        <f t="array" aca="1" ref="H51" ca="1">IFERROR(IF(OR('Raw Data'!H51="",LEN(TRIM('Raw Data'!H51))=0),"",IF(AND(ISNUMBER('Raw Data'!H51), IFERROR('Raw Data'!H51 = ROUND('Raw Data'!H51, 2),FALSE)),"",_xlfn.REGEXEXTRACT(CELL("address",H51), "\$([A-Z]+)\$[0-9]+"))),_xlfn.REGEXEXTRACT(CELL("address",H51), "\$([A-Z]+)\$[0-9]+"))</f>
        <v/>
      </c>
      <c r="I51" s="7" t="str" cm="1">
        <f t="array" aca="1" ref="I51" ca="1">IFERROR(IF(OR('Raw Data'!I51="",LEN(TRIM('Raw Data'!I51))=0),"",IF(AND(ISNUMBER('Raw Data'!I51), IFERROR('Raw Data'!I51 = ROUND('Raw Data'!I51, 2),FALSE)),"",_xlfn.REGEXEXTRACT(CELL("address",I51), "\$([A-Z]+)\$[0-9]+"))),_xlfn.REGEXEXTRACT(CELL("address",I51), "\$([A-Z]+)\$[0-9]+"))</f>
        <v/>
      </c>
      <c r="J51" s="7" t="str" cm="1">
        <f t="array" aca="1" ref="J51" ca="1">IFERROR(IF(OR('Raw Data'!J51="",LEN(TRIM('Raw Data'!J51))=0),"",IF(AND(ISNUMBER('Raw Data'!J51), IFERROR('Raw Data'!J51 = ROUND('Raw Data'!J51, 2),FALSE)),"",_xlfn.REGEXEXTRACT(CELL("address",J51), "\$([A-Z]+)\$[0-9]+"))),_xlfn.REGEXEXTRACT(CELL("address",J51), "\$([A-Z]+)\$[0-9]+"))</f>
        <v/>
      </c>
      <c r="K51" s="7" t="str" cm="1">
        <f t="array" aca="1" ref="K51" ca="1">IFERROR(IF(OR('Raw Data'!K51="",LEN(TRIM('Raw Data'!K51))=0),"",IF(AND(ISNUMBER('Raw Data'!K51), IFERROR('Raw Data'!K51 = ROUND('Raw Data'!K51, 2),FALSE)),"",_xlfn.REGEXEXTRACT(CELL("address",K51), "\$([A-Z]+)\$[0-9]+"))),_xlfn.REGEXEXTRACT(CELL("address",K51), "\$([A-Z]+)\$[0-9]+"))</f>
        <v/>
      </c>
      <c r="L51" s="7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7" t="str" cm="1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7" t="str" cm="1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  <c r="O51" s="7" t="str" cm="1">
        <f t="array" aca="1" ref="O51" ca="1">IFERROR(IF(OR('Raw Data'!O51="",LEN(TRIM('Raw Data'!O51))=0),"",IF(AND(ISNUMBER('Raw Data'!O51), IFERROR('Raw Data'!O51 = ROUND('Raw Data'!O51, 2),FALSE)),"",_xlfn.REGEXEXTRACT(CELL("address",O51), "\$([A-Z]+)\$[0-9]+"))),_xlfn.REGEXEXTRACT(CELL("address",O51), "\$([A-Z]+)\$[0-9]+"))</f>
        <v/>
      </c>
      <c r="P51" s="7" t="str" cm="1">
        <f t="array" aca="1" ref="P51" ca="1">IFERROR(IF(OR('Raw Data'!P51="",LEN(TRIM('Raw Data'!P51))=0),"",IF(AND(ISNUMBER('Raw Data'!P51), IFERROR('Raw Data'!P51 = ROUND('Raw Data'!P51, 2),FALSE)),"",_xlfn.REGEXEXTRACT(CELL("address",P51), "\$([A-Z]+)\$[0-9]+"))),_xlfn.REGEXEXTRACT(CELL("address",P51), "\$([A-Z]+)\$[0-9]+"))</f>
        <v/>
      </c>
      <c r="Q51" s="7" t="str" cm="1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7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7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7" t="str" cm="1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7" t="str" cm="1">
        <f t="array" aca="1" ref="U51" ca="1">IFERROR(IF(OR('Raw Data'!U51="",LEN(TRIM('Raw Data'!U51))=0),"",IF(AND(ISNUMBER('Raw Data'!U51), IFERROR('Raw Data'!U51 = ROUND('Raw Data'!U51, 2),FALSE)),"",_xlfn.REGEXEXTRACT(CELL("address",U51), "\$([A-Z]+)\$[0-9]+"))),_xlfn.REGEXEXTRACT(CELL("address",U51), "\$([A-Z]+)\$[0-9]+"))</f>
        <v/>
      </c>
      <c r="V51" s="7" t="str" cm="1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7" t="str" cm="1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7" t="str" cm="1">
        <f t="array" aca="1" ref="X51" ca="1">IFERROR(IF(OR('Raw Data'!X51="",LEN(TRIM('Raw Data'!X51))=0),"",IF(AND(ISNUMBER('Raw Data'!X51), IFERROR('Raw Data'!X51 = ROUND('Raw Data'!X51, 2),FALSE)),"",_xlfn.REGEXEXTRACT(CELL("address",X51), "\$([A-Z]+)\$[0-9]+"))),_xlfn.REGEXEXTRACT(CELL("address",X51), "\$([A-Z]+)\$[0-9]+"))</f>
        <v/>
      </c>
      <c r="Y51" s="7" t="str" cm="1">
        <f t="array" aca="1" ref="Y51" ca="1">IFERROR(IF(OR('Raw Data'!Y51="",LEN(TRIM('Raw Data'!Y51))=0),"",IF(AND(ISNUMBER('Raw Data'!Y51), IFERROR('Raw Data'!Y51 = ROUND('Raw Data'!Y51, 2),FALSE)),"",_xlfn.REGEXEXTRACT(CELL("address",Y51), "\$([A-Z]+)\$[0-9]+"))),_xlfn.REGEXEXTRACT(CELL("address",Y51), "\$([A-Z]+)\$[0-9]+"))</f>
        <v/>
      </c>
      <c r="Z51" s="7" t="str" cm="1">
        <f t="array" aca="1" ref="Z51" ca="1">IFERROR(IF(OR('Raw Data'!Z51="",LEN(TRIM('Raw Data'!Z51))=0),"",IF(AND(ISNUMBER('Raw Data'!Z51), IFERROR('Raw Data'!Z51 = ROUND('Raw Data'!Z51, 2),FALSE)),"",_xlfn.REGEXEXTRACT(CELL("address",Z51), "\$([A-Z]+)\$[0-9]+"))),_xlfn.REGEXEXTRACT(CELL("address",Z51), "\$([A-Z]+)\$[0-9]+"))</f>
        <v/>
      </c>
      <c r="AA51" s="7" t="str" cm="1">
        <f t="array" aca="1" ref="AA51" ca="1">IFERROR(IF(OR('Raw Data'!AA51="",LEN(TRIM('Raw Data'!AA51))=0),"",IF(AND(ISNUMBER('Raw Data'!AA51), IFERROR('Raw Data'!AA51 = ROUND('Raw Data'!AA51, 2),FALSE)),"",_xlfn.REGEXEXTRACT(CELL("address",AA51), "\$([A-Z]+)\$[0-9]+"))),_xlfn.REGEXEXTRACT(CELL("address",AA51), "\$([A-Z]+)\$[0-9]+"))</f>
        <v/>
      </c>
      <c r="AB51" s="7" t="str" cm="1">
        <f t="array" aca="1" ref="AB51" ca="1">IFERROR(IF(OR('Raw Data'!AB51="",LEN(TRIM('Raw Data'!AB51))=0),"",IF(AND(ISNUMBER('Raw Data'!AB51), IFERROR('Raw Data'!AB51 = ROUND('Raw Data'!AB51, 2),FALSE)),"",_xlfn.REGEXEXTRACT(CELL("address",AB51), "\$([A-Z]+)\$[0-9]+"))),_xlfn.REGEXEXTRACT(CELL("address",AB51), "\$([A-Z]+)\$[0-9]+"))</f>
        <v/>
      </c>
    </row>
    <row r="52" spans="2:28" x14ac:dyDescent="0.25">
      <c r="B52" s="7" t="str" cm="1">
        <f t="array" aca="1" ref="B52" ca="1">IFERROR(IF(OR('Raw Data'!B52="",LEN(TRIM('Raw Data'!B52))=0),"",IF(AND(LEN('Raw Data'!B52) &lt;= 255,LEN('Raw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20,LEN('Raw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Data'!D52))=0),"",IF(AND(ISNUMBER('Raw Data'!D52),'Raw Data'!D52&gt;=Configuration!$D$2),"",_xlfn.REGEXEXTRACT(CELL("address",'Raw Data'!D52),"\$([A-Z]+)\$[0-9]+"))),_xlfn.REGEXEXTRACT(CELL("address",D52), "\$([A-Z]+)\$[0-9]+"))</f>
        <v/>
      </c>
      <c r="E52" s="7" t="str" cm="1">
        <f t="array" aca="1" ref="E52" ca="1">IFERROR(IF(OR('Raw Data'!E52="",LEN(TRIM('Raw Data'!E52))=0),"",IF(AND(ISNUMBER('Raw Data'!E52), IFERROR('Raw Data'!E52 = ROUND('Raw Data'!E52, 2),FALSE)),"",_xlfn.REGEXEXTRACT(CELL("address",E52), "\$([A-Z]+)\$[0-9]+"))),_xlfn.REGEXEXTRACT(CELL("address",E52), "\$([A-Z]+)\$[0-9]+"))</f>
        <v/>
      </c>
      <c r="F52" s="7" t="str" cm="1">
        <f t="array" aca="1" ref="F52" ca="1">IFERROR(IF(OR('Raw Data'!F52="",LEN(TRIM('Raw Data'!F52))=0),"",IF(AND(ISNUMBER('Raw Data'!F52), IFERROR('Raw Data'!F52 = ROUND('Raw Data'!F52, 2),FALSE)),"",_xlfn.REGEXEXTRACT(CELL("address",F52), "\$([A-Z]+)\$[0-9]+"))),_xlfn.REGEXEXTRACT(CELL("address",F52), "\$([A-Z]+)\$[0-9]+"))</f>
        <v/>
      </c>
      <c r="G52" s="7" t="str" cm="1">
        <f t="array" aca="1" ref="G52" ca="1">IFERROR(IF(OR('Raw Data'!G52="",LEN(TRIM('Raw Data'!G52))=0),"",IF(AND(ISNUMBER('Raw Data'!G52), IFERROR('Raw Data'!G52 = ROUND('Raw Data'!G52, 2),FALSE)),"",_xlfn.REGEXEXTRACT(CELL("address",G52), "\$([A-Z]+)\$[0-9]+"))),_xlfn.REGEXEXTRACT(CELL("address",G52), "\$([A-Z]+)\$[0-9]+"))</f>
        <v/>
      </c>
      <c r="H52" s="7" t="str" cm="1">
        <f t="array" aca="1" ref="H52" ca="1">IFERROR(IF(OR('Raw Data'!H52="",LEN(TRIM('Raw Data'!H52))=0),"",IF(AND(ISNUMBER('Raw Data'!H52), IFERROR('Raw Data'!H52 = ROUND('Raw Data'!H52, 2),FALSE)),"",_xlfn.REGEXEXTRACT(CELL("address",H52), "\$([A-Z]+)\$[0-9]+"))),_xlfn.REGEXEXTRACT(CELL("address",H52), "\$([A-Z]+)\$[0-9]+"))</f>
        <v/>
      </c>
      <c r="I52" s="7" t="str" cm="1">
        <f t="array" aca="1" ref="I52" ca="1">IFERROR(IF(OR('Raw Data'!I52="",LEN(TRIM('Raw Data'!I52))=0),"",IF(AND(ISNUMBER('Raw Data'!I52), IFERROR('Raw Data'!I52 = ROUND('Raw Data'!I52, 2),FALSE)),"",_xlfn.REGEXEXTRACT(CELL("address",I52), "\$([A-Z]+)\$[0-9]+"))),_xlfn.REGEXEXTRACT(CELL("address",I52), "\$([A-Z]+)\$[0-9]+"))</f>
        <v/>
      </c>
      <c r="J52" s="7" t="str" cm="1">
        <f t="array" aca="1" ref="J52" ca="1">IFERROR(IF(OR('Raw Data'!J52="",LEN(TRIM('Raw Data'!J52))=0),"",IF(AND(ISNUMBER('Raw Data'!J52), IFERROR('Raw Data'!J52 = ROUND('Raw Data'!J52, 2),FALSE)),"",_xlfn.REGEXEXTRACT(CELL("address",J52), "\$([A-Z]+)\$[0-9]+"))),_xlfn.REGEXEXTRACT(CELL("address",J52), "\$([A-Z]+)\$[0-9]+"))</f>
        <v/>
      </c>
      <c r="K52" s="7" t="str" cm="1">
        <f t="array" aca="1" ref="K52" ca="1">IFERROR(IF(OR('Raw Data'!K52="",LEN(TRIM('Raw Data'!K52))=0),"",IF(AND(ISNUMBER('Raw Data'!K52), IFERROR('Raw Data'!K52 = ROUND('Raw Data'!K52, 2),FALSE)),"",_xlfn.REGEXEXTRACT(CELL("address",K52), "\$([A-Z]+)\$[0-9]+"))),_xlfn.REGEXEXTRACT(CELL("address",K52), "\$([A-Z]+)\$[0-9]+"))</f>
        <v/>
      </c>
      <c r="L52" s="7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7" t="str" cm="1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7" t="str" cm="1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  <c r="O52" s="7" t="str" cm="1">
        <f t="array" aca="1" ref="O52" ca="1">IFERROR(IF(OR('Raw Data'!O52="",LEN(TRIM('Raw Data'!O52))=0),"",IF(AND(ISNUMBER('Raw Data'!O52), IFERROR('Raw Data'!O52 = ROUND('Raw Data'!O52, 2),FALSE)),"",_xlfn.REGEXEXTRACT(CELL("address",O52), "\$([A-Z]+)\$[0-9]+"))),_xlfn.REGEXEXTRACT(CELL("address",O52), "\$([A-Z]+)\$[0-9]+"))</f>
        <v/>
      </c>
      <c r="P52" s="7" t="str" cm="1">
        <f t="array" aca="1" ref="P52" ca="1">IFERROR(IF(OR('Raw Data'!P52="",LEN(TRIM('Raw Data'!P52))=0),"",IF(AND(ISNUMBER('Raw Data'!P52), IFERROR('Raw Data'!P52 = ROUND('Raw Data'!P52, 2),FALSE)),"",_xlfn.REGEXEXTRACT(CELL("address",P52), "\$([A-Z]+)\$[0-9]+"))),_xlfn.REGEXEXTRACT(CELL("address",P52), "\$([A-Z]+)\$[0-9]+"))</f>
        <v/>
      </c>
      <c r="Q52" s="7" t="str" cm="1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7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7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7" t="str" cm="1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7" t="str" cm="1">
        <f t="array" aca="1" ref="U52" ca="1">IFERROR(IF(OR('Raw Data'!U52="",LEN(TRIM('Raw Data'!U52))=0),"",IF(AND(ISNUMBER('Raw Data'!U52), IFERROR('Raw Data'!U52 = ROUND('Raw Data'!U52, 2),FALSE)),"",_xlfn.REGEXEXTRACT(CELL("address",U52), "\$([A-Z]+)\$[0-9]+"))),_xlfn.REGEXEXTRACT(CELL("address",U52), "\$([A-Z]+)\$[0-9]+"))</f>
        <v/>
      </c>
      <c r="V52" s="7" t="str" cm="1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7" t="str" cm="1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7" t="str" cm="1">
        <f t="array" aca="1" ref="X52" ca="1">IFERROR(IF(OR('Raw Data'!X52="",LEN(TRIM('Raw Data'!X52))=0),"",IF(AND(ISNUMBER('Raw Data'!X52), IFERROR('Raw Data'!X52 = ROUND('Raw Data'!X52, 2),FALSE)),"",_xlfn.REGEXEXTRACT(CELL("address",X52), "\$([A-Z]+)\$[0-9]+"))),_xlfn.REGEXEXTRACT(CELL("address",X52), "\$([A-Z]+)\$[0-9]+"))</f>
        <v/>
      </c>
      <c r="Y52" s="7" t="str" cm="1">
        <f t="array" aca="1" ref="Y52" ca="1">IFERROR(IF(OR('Raw Data'!Y52="",LEN(TRIM('Raw Data'!Y52))=0),"",IF(AND(ISNUMBER('Raw Data'!Y52), IFERROR('Raw Data'!Y52 = ROUND('Raw Data'!Y52, 2),FALSE)),"",_xlfn.REGEXEXTRACT(CELL("address",Y52), "\$([A-Z]+)\$[0-9]+"))),_xlfn.REGEXEXTRACT(CELL("address",Y52), "\$([A-Z]+)\$[0-9]+"))</f>
        <v/>
      </c>
      <c r="Z52" s="7" t="str" cm="1">
        <f t="array" aca="1" ref="Z52" ca="1">IFERROR(IF(OR('Raw Data'!Z52="",LEN(TRIM('Raw Data'!Z52))=0),"",IF(AND(ISNUMBER('Raw Data'!Z52), IFERROR('Raw Data'!Z52 = ROUND('Raw Data'!Z52, 2),FALSE)),"",_xlfn.REGEXEXTRACT(CELL("address",Z52), "\$([A-Z]+)\$[0-9]+"))),_xlfn.REGEXEXTRACT(CELL("address",Z52), "\$([A-Z]+)\$[0-9]+"))</f>
        <v/>
      </c>
      <c r="AA52" s="7" t="str" cm="1">
        <f t="array" aca="1" ref="AA52" ca="1">IFERROR(IF(OR('Raw Data'!AA52="",LEN(TRIM('Raw Data'!AA52))=0),"",IF(AND(ISNUMBER('Raw Data'!AA52), IFERROR('Raw Data'!AA52 = ROUND('Raw Data'!AA52, 2),FALSE)),"",_xlfn.REGEXEXTRACT(CELL("address",AA52), "\$([A-Z]+)\$[0-9]+"))),_xlfn.REGEXEXTRACT(CELL("address",AA52), "\$([A-Z]+)\$[0-9]+"))</f>
        <v/>
      </c>
      <c r="AB52" s="7" t="str" cm="1">
        <f t="array" aca="1" ref="AB52" ca="1">IFERROR(IF(OR('Raw Data'!AB52="",LEN(TRIM('Raw Data'!AB52))=0),"",IF(AND(ISNUMBER('Raw Data'!AB52), IFERROR('Raw Data'!AB52 = ROUND('Raw Data'!AB52, 2),FALSE)),"",_xlfn.REGEXEXTRACT(CELL("address",AB52), "\$([A-Z]+)\$[0-9]+"))),_xlfn.REGEXEXTRACT(CELL("address",AB52), "\$([A-Z]+)\$[0-9]+"))</f>
        <v/>
      </c>
    </row>
    <row r="53" spans="2:28" x14ac:dyDescent="0.25">
      <c r="B53" s="7" t="str" cm="1">
        <f t="array" aca="1" ref="B53" ca="1">IFERROR(IF(OR('Raw Data'!B53="",LEN(TRIM('Raw Data'!B53))=0),"",IF(AND(LEN('Raw Data'!B53) &lt;= 255,LEN('Raw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20,LEN('Raw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Data'!D53))=0),"",IF(AND(ISNUMBER('Raw Data'!D53),'Raw Data'!D53&gt;=Configuration!$D$2),"",_xlfn.REGEXEXTRACT(CELL("address",'Raw Data'!D53),"\$([A-Z]+)\$[0-9]+"))),_xlfn.REGEXEXTRACT(CELL("address",D53), "\$([A-Z]+)\$[0-9]+"))</f>
        <v/>
      </c>
      <c r="E53" s="7" t="str" cm="1">
        <f t="array" aca="1" ref="E53" ca="1">IFERROR(IF(OR('Raw Data'!E53="",LEN(TRIM('Raw Data'!E53))=0),"",IF(AND(ISNUMBER('Raw Data'!E53), IFERROR('Raw Data'!E53 = ROUND('Raw Data'!E53, 2),FALSE)),"",_xlfn.REGEXEXTRACT(CELL("address",E53), "\$([A-Z]+)\$[0-9]+"))),_xlfn.REGEXEXTRACT(CELL("address",E53), "\$([A-Z]+)\$[0-9]+"))</f>
        <v/>
      </c>
      <c r="F53" s="7" t="str" cm="1">
        <f t="array" aca="1" ref="F53" ca="1">IFERROR(IF(OR('Raw Data'!F53="",LEN(TRIM('Raw Data'!F53))=0),"",IF(AND(ISNUMBER('Raw Data'!F53), IFERROR('Raw Data'!F53 = ROUND('Raw Data'!F53, 2),FALSE)),"",_xlfn.REGEXEXTRACT(CELL("address",F53), "\$([A-Z]+)\$[0-9]+"))),_xlfn.REGEXEXTRACT(CELL("address",F53), "\$([A-Z]+)\$[0-9]+"))</f>
        <v/>
      </c>
      <c r="G53" s="7" t="str" cm="1">
        <f t="array" aca="1" ref="G53" ca="1">IFERROR(IF(OR('Raw Data'!G53="",LEN(TRIM('Raw Data'!G53))=0),"",IF(AND(ISNUMBER('Raw Data'!G53), IFERROR('Raw Data'!G53 = ROUND('Raw Data'!G53, 2),FALSE)),"",_xlfn.REGEXEXTRACT(CELL("address",G53), "\$([A-Z]+)\$[0-9]+"))),_xlfn.REGEXEXTRACT(CELL("address",G53), "\$([A-Z]+)\$[0-9]+"))</f>
        <v/>
      </c>
      <c r="H53" s="7" t="str" cm="1">
        <f t="array" aca="1" ref="H53" ca="1">IFERROR(IF(OR('Raw Data'!H53="",LEN(TRIM('Raw Data'!H53))=0),"",IF(AND(ISNUMBER('Raw Data'!H53), IFERROR('Raw Data'!H53 = ROUND('Raw Data'!H53, 2),FALSE)),"",_xlfn.REGEXEXTRACT(CELL("address",H53), "\$([A-Z]+)\$[0-9]+"))),_xlfn.REGEXEXTRACT(CELL("address",H53), "\$([A-Z]+)\$[0-9]+"))</f>
        <v/>
      </c>
      <c r="I53" s="7" t="str" cm="1">
        <f t="array" aca="1" ref="I53" ca="1">IFERROR(IF(OR('Raw Data'!I53="",LEN(TRIM('Raw Data'!I53))=0),"",IF(AND(ISNUMBER('Raw Data'!I53), IFERROR('Raw Data'!I53 = ROUND('Raw Data'!I53, 2),FALSE)),"",_xlfn.REGEXEXTRACT(CELL("address",I53), "\$([A-Z]+)\$[0-9]+"))),_xlfn.REGEXEXTRACT(CELL("address",I53), "\$([A-Z]+)\$[0-9]+"))</f>
        <v/>
      </c>
      <c r="J53" s="7" t="str" cm="1">
        <f t="array" aca="1" ref="J53" ca="1">IFERROR(IF(OR('Raw Data'!J53="",LEN(TRIM('Raw Data'!J53))=0),"",IF(AND(ISNUMBER('Raw Data'!J53), IFERROR('Raw Data'!J53 = ROUND('Raw Data'!J53, 2),FALSE)),"",_xlfn.REGEXEXTRACT(CELL("address",J53), "\$([A-Z]+)\$[0-9]+"))),_xlfn.REGEXEXTRACT(CELL("address",J53), "\$([A-Z]+)\$[0-9]+"))</f>
        <v/>
      </c>
      <c r="K53" s="7" t="str" cm="1">
        <f t="array" aca="1" ref="K53" ca="1">IFERROR(IF(OR('Raw Data'!K53="",LEN(TRIM('Raw Data'!K53))=0),"",IF(AND(ISNUMBER('Raw Data'!K53), IFERROR('Raw Data'!K53 = ROUND('Raw Data'!K53, 2),FALSE)),"",_xlfn.REGEXEXTRACT(CELL("address",K53), "\$([A-Z]+)\$[0-9]+"))),_xlfn.REGEXEXTRACT(CELL("address",K53), "\$([A-Z]+)\$[0-9]+"))</f>
        <v/>
      </c>
      <c r="L53" s="7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7" t="str" cm="1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7" t="str" cm="1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  <c r="O53" s="7" t="str" cm="1">
        <f t="array" aca="1" ref="O53" ca="1">IFERROR(IF(OR('Raw Data'!O53="",LEN(TRIM('Raw Data'!O53))=0),"",IF(AND(ISNUMBER('Raw Data'!O53), IFERROR('Raw Data'!O53 = ROUND('Raw Data'!O53, 2),FALSE)),"",_xlfn.REGEXEXTRACT(CELL("address",O53), "\$([A-Z]+)\$[0-9]+"))),_xlfn.REGEXEXTRACT(CELL("address",O53), "\$([A-Z]+)\$[0-9]+"))</f>
        <v/>
      </c>
      <c r="P53" s="7" t="str" cm="1">
        <f t="array" aca="1" ref="P53" ca="1">IFERROR(IF(OR('Raw Data'!P53="",LEN(TRIM('Raw Data'!P53))=0),"",IF(AND(ISNUMBER('Raw Data'!P53), IFERROR('Raw Data'!P53 = ROUND('Raw Data'!P53, 2),FALSE)),"",_xlfn.REGEXEXTRACT(CELL("address",P53), "\$([A-Z]+)\$[0-9]+"))),_xlfn.REGEXEXTRACT(CELL("address",P53), "\$([A-Z]+)\$[0-9]+"))</f>
        <v/>
      </c>
      <c r="Q53" s="7" t="str" cm="1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7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7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7" t="str" cm="1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7" t="str" cm="1">
        <f t="array" aca="1" ref="U53" ca="1">IFERROR(IF(OR('Raw Data'!U53="",LEN(TRIM('Raw Data'!U53))=0),"",IF(AND(ISNUMBER('Raw Data'!U53), IFERROR('Raw Data'!U53 = ROUND('Raw Data'!U53, 2),FALSE)),"",_xlfn.REGEXEXTRACT(CELL("address",U53), "\$([A-Z]+)\$[0-9]+"))),_xlfn.REGEXEXTRACT(CELL("address",U53), "\$([A-Z]+)\$[0-9]+"))</f>
        <v/>
      </c>
      <c r="V53" s="7" t="str" cm="1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7" t="str" cm="1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7" t="str" cm="1">
        <f t="array" aca="1" ref="X53" ca="1">IFERROR(IF(OR('Raw Data'!X53="",LEN(TRIM('Raw Data'!X53))=0),"",IF(AND(ISNUMBER('Raw Data'!X53), IFERROR('Raw Data'!X53 = ROUND('Raw Data'!X53, 2),FALSE)),"",_xlfn.REGEXEXTRACT(CELL("address",X53), "\$([A-Z]+)\$[0-9]+"))),_xlfn.REGEXEXTRACT(CELL("address",X53), "\$([A-Z]+)\$[0-9]+"))</f>
        <v/>
      </c>
      <c r="Y53" s="7" t="str" cm="1">
        <f t="array" aca="1" ref="Y53" ca="1">IFERROR(IF(OR('Raw Data'!Y53="",LEN(TRIM('Raw Data'!Y53))=0),"",IF(AND(ISNUMBER('Raw Data'!Y53), IFERROR('Raw Data'!Y53 = ROUND('Raw Data'!Y53, 2),FALSE)),"",_xlfn.REGEXEXTRACT(CELL("address",Y53), "\$([A-Z]+)\$[0-9]+"))),_xlfn.REGEXEXTRACT(CELL("address",Y53), "\$([A-Z]+)\$[0-9]+"))</f>
        <v/>
      </c>
      <c r="Z53" s="7" t="str" cm="1">
        <f t="array" aca="1" ref="Z53" ca="1">IFERROR(IF(OR('Raw Data'!Z53="",LEN(TRIM('Raw Data'!Z53))=0),"",IF(AND(ISNUMBER('Raw Data'!Z53), IFERROR('Raw Data'!Z53 = ROUND('Raw Data'!Z53, 2),FALSE)),"",_xlfn.REGEXEXTRACT(CELL("address",Z53), "\$([A-Z]+)\$[0-9]+"))),_xlfn.REGEXEXTRACT(CELL("address",Z53), "\$([A-Z]+)\$[0-9]+"))</f>
        <v/>
      </c>
      <c r="AA53" s="7" t="str" cm="1">
        <f t="array" aca="1" ref="AA53" ca="1">IFERROR(IF(OR('Raw Data'!AA53="",LEN(TRIM('Raw Data'!AA53))=0),"",IF(AND(ISNUMBER('Raw Data'!AA53), IFERROR('Raw Data'!AA53 = ROUND('Raw Data'!AA53, 2),FALSE)),"",_xlfn.REGEXEXTRACT(CELL("address",AA53), "\$([A-Z]+)\$[0-9]+"))),_xlfn.REGEXEXTRACT(CELL("address",AA53), "\$([A-Z]+)\$[0-9]+"))</f>
        <v/>
      </c>
      <c r="AB53" s="7" t="str" cm="1">
        <f t="array" aca="1" ref="AB53" ca="1">IFERROR(IF(OR('Raw Data'!AB53="",LEN(TRIM('Raw Data'!AB53))=0),"",IF(AND(ISNUMBER('Raw Data'!AB53), IFERROR('Raw Data'!AB53 = ROUND('Raw Data'!AB53, 2),FALSE)),"",_xlfn.REGEXEXTRACT(CELL("address",AB53), "\$([A-Z]+)\$[0-9]+"))),_xlfn.REGEXEXTRACT(CELL("address",AB53), "\$([A-Z]+)\$[0-9]+"))</f>
        <v/>
      </c>
    </row>
    <row r="54" spans="2:28" x14ac:dyDescent="0.25">
      <c r="B54" s="7" t="str" cm="1">
        <f t="array" aca="1" ref="B54" ca="1">IFERROR(IF(OR('Raw Data'!B54="",LEN(TRIM('Raw Data'!B54))=0),"",IF(AND(LEN('Raw Data'!B54) &lt;= 255,LEN('Raw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20,LEN('Raw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Data'!D54))=0),"",IF(AND(ISNUMBER('Raw Data'!D54),'Raw Data'!D54&gt;=Configuration!$D$2),"",_xlfn.REGEXEXTRACT(CELL("address",'Raw Data'!D54),"\$([A-Z]+)\$[0-9]+"))),_xlfn.REGEXEXTRACT(CELL("address",D54), "\$([A-Z]+)\$[0-9]+"))</f>
        <v/>
      </c>
      <c r="E54" s="7" t="str" cm="1">
        <f t="array" aca="1" ref="E54" ca="1">IFERROR(IF(OR('Raw Data'!E54="",LEN(TRIM('Raw Data'!E54))=0),"",IF(AND(ISNUMBER('Raw Data'!E54), IFERROR('Raw Data'!E54 = ROUND('Raw Data'!E54, 2),FALSE)),"",_xlfn.REGEXEXTRACT(CELL("address",E54), "\$([A-Z]+)\$[0-9]+"))),_xlfn.REGEXEXTRACT(CELL("address",E54), "\$([A-Z]+)\$[0-9]+"))</f>
        <v/>
      </c>
      <c r="F54" s="7" t="str" cm="1">
        <f t="array" aca="1" ref="F54" ca="1">IFERROR(IF(OR('Raw Data'!F54="",LEN(TRIM('Raw Data'!F54))=0),"",IF(AND(ISNUMBER('Raw Data'!F54), IFERROR('Raw Data'!F54 = ROUND('Raw Data'!F54, 2),FALSE)),"",_xlfn.REGEXEXTRACT(CELL("address",F54), "\$([A-Z]+)\$[0-9]+"))),_xlfn.REGEXEXTRACT(CELL("address",F54), "\$([A-Z]+)\$[0-9]+"))</f>
        <v/>
      </c>
      <c r="G54" s="7" t="str" cm="1">
        <f t="array" aca="1" ref="G54" ca="1">IFERROR(IF(OR('Raw Data'!G54="",LEN(TRIM('Raw Data'!G54))=0),"",IF(AND(ISNUMBER('Raw Data'!G54), IFERROR('Raw Data'!G54 = ROUND('Raw Data'!G54, 2),FALSE)),"",_xlfn.REGEXEXTRACT(CELL("address",G54), "\$([A-Z]+)\$[0-9]+"))),_xlfn.REGEXEXTRACT(CELL("address",G54), "\$([A-Z]+)\$[0-9]+"))</f>
        <v/>
      </c>
      <c r="H54" s="7" t="str" cm="1">
        <f t="array" aca="1" ref="H54" ca="1">IFERROR(IF(OR('Raw Data'!H54="",LEN(TRIM('Raw Data'!H54))=0),"",IF(AND(ISNUMBER('Raw Data'!H54), IFERROR('Raw Data'!H54 = ROUND('Raw Data'!H54, 2),FALSE)),"",_xlfn.REGEXEXTRACT(CELL("address",H54), "\$([A-Z]+)\$[0-9]+"))),_xlfn.REGEXEXTRACT(CELL("address",H54), "\$([A-Z]+)\$[0-9]+"))</f>
        <v/>
      </c>
      <c r="I54" s="7" t="str" cm="1">
        <f t="array" aca="1" ref="I54" ca="1">IFERROR(IF(OR('Raw Data'!I54="",LEN(TRIM('Raw Data'!I54))=0),"",IF(AND(ISNUMBER('Raw Data'!I54), IFERROR('Raw Data'!I54 = ROUND('Raw Data'!I54, 2),FALSE)),"",_xlfn.REGEXEXTRACT(CELL("address",I54), "\$([A-Z]+)\$[0-9]+"))),_xlfn.REGEXEXTRACT(CELL("address",I54), "\$([A-Z]+)\$[0-9]+"))</f>
        <v/>
      </c>
      <c r="J54" s="7" t="str" cm="1">
        <f t="array" aca="1" ref="J54" ca="1">IFERROR(IF(OR('Raw Data'!J54="",LEN(TRIM('Raw Data'!J54))=0),"",IF(AND(ISNUMBER('Raw Data'!J54), IFERROR('Raw Data'!J54 = ROUND('Raw Data'!J54, 2),FALSE)),"",_xlfn.REGEXEXTRACT(CELL("address",J54), "\$([A-Z]+)\$[0-9]+"))),_xlfn.REGEXEXTRACT(CELL("address",J54), "\$([A-Z]+)\$[0-9]+"))</f>
        <v/>
      </c>
      <c r="K54" s="7" t="str" cm="1">
        <f t="array" aca="1" ref="K54" ca="1">IFERROR(IF(OR('Raw Data'!K54="",LEN(TRIM('Raw Data'!K54))=0),"",IF(AND(ISNUMBER('Raw Data'!K54), IFERROR('Raw Data'!K54 = ROUND('Raw Data'!K54, 2),FALSE)),"",_xlfn.REGEXEXTRACT(CELL("address",K54), "\$([A-Z]+)\$[0-9]+"))),_xlfn.REGEXEXTRACT(CELL("address",K54), "\$([A-Z]+)\$[0-9]+"))</f>
        <v/>
      </c>
      <c r="L54" s="7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7" t="str" cm="1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7" t="str" cm="1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  <c r="O54" s="7" t="str" cm="1">
        <f t="array" aca="1" ref="O54" ca="1">IFERROR(IF(OR('Raw Data'!O54="",LEN(TRIM('Raw Data'!O54))=0),"",IF(AND(ISNUMBER('Raw Data'!O54), IFERROR('Raw Data'!O54 = ROUND('Raw Data'!O54, 2),FALSE)),"",_xlfn.REGEXEXTRACT(CELL("address",O54), "\$([A-Z]+)\$[0-9]+"))),_xlfn.REGEXEXTRACT(CELL("address",O54), "\$([A-Z]+)\$[0-9]+"))</f>
        <v/>
      </c>
      <c r="P54" s="7" t="str" cm="1">
        <f t="array" aca="1" ref="P54" ca="1">IFERROR(IF(OR('Raw Data'!P54="",LEN(TRIM('Raw Data'!P54))=0),"",IF(AND(ISNUMBER('Raw Data'!P54), IFERROR('Raw Data'!P54 = ROUND('Raw Data'!P54, 2),FALSE)),"",_xlfn.REGEXEXTRACT(CELL("address",P54), "\$([A-Z]+)\$[0-9]+"))),_xlfn.REGEXEXTRACT(CELL("address",P54), "\$([A-Z]+)\$[0-9]+"))</f>
        <v/>
      </c>
      <c r="Q54" s="7" t="str" cm="1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7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7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7" t="str" cm="1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7" t="str" cm="1">
        <f t="array" aca="1" ref="U54" ca="1">IFERROR(IF(OR('Raw Data'!U54="",LEN(TRIM('Raw Data'!U54))=0),"",IF(AND(ISNUMBER('Raw Data'!U54), IFERROR('Raw Data'!U54 = ROUND('Raw Data'!U54, 2),FALSE)),"",_xlfn.REGEXEXTRACT(CELL("address",U54), "\$([A-Z]+)\$[0-9]+"))),_xlfn.REGEXEXTRACT(CELL("address",U54), "\$([A-Z]+)\$[0-9]+"))</f>
        <v/>
      </c>
      <c r="V54" s="7" t="str" cm="1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7" t="str" cm="1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7" t="str" cm="1">
        <f t="array" aca="1" ref="X54" ca="1">IFERROR(IF(OR('Raw Data'!X54="",LEN(TRIM('Raw Data'!X54))=0),"",IF(AND(ISNUMBER('Raw Data'!X54), IFERROR('Raw Data'!X54 = ROUND('Raw Data'!X54, 2),FALSE)),"",_xlfn.REGEXEXTRACT(CELL("address",X54), "\$([A-Z]+)\$[0-9]+"))),_xlfn.REGEXEXTRACT(CELL("address",X54), "\$([A-Z]+)\$[0-9]+"))</f>
        <v/>
      </c>
      <c r="Y54" s="7" t="str" cm="1">
        <f t="array" aca="1" ref="Y54" ca="1">IFERROR(IF(OR('Raw Data'!Y54="",LEN(TRIM('Raw Data'!Y54))=0),"",IF(AND(ISNUMBER('Raw Data'!Y54), IFERROR('Raw Data'!Y54 = ROUND('Raw Data'!Y54, 2),FALSE)),"",_xlfn.REGEXEXTRACT(CELL("address",Y54), "\$([A-Z]+)\$[0-9]+"))),_xlfn.REGEXEXTRACT(CELL("address",Y54), "\$([A-Z]+)\$[0-9]+"))</f>
        <v/>
      </c>
      <c r="Z54" s="7" t="str" cm="1">
        <f t="array" aca="1" ref="Z54" ca="1">IFERROR(IF(OR('Raw Data'!Z54="",LEN(TRIM('Raw Data'!Z54))=0),"",IF(AND(ISNUMBER('Raw Data'!Z54), IFERROR('Raw Data'!Z54 = ROUND('Raw Data'!Z54, 2),FALSE)),"",_xlfn.REGEXEXTRACT(CELL("address",Z54), "\$([A-Z]+)\$[0-9]+"))),_xlfn.REGEXEXTRACT(CELL("address",Z54), "\$([A-Z]+)\$[0-9]+"))</f>
        <v/>
      </c>
      <c r="AA54" s="7" t="str" cm="1">
        <f t="array" aca="1" ref="AA54" ca="1">IFERROR(IF(OR('Raw Data'!AA54="",LEN(TRIM('Raw Data'!AA54))=0),"",IF(AND(ISNUMBER('Raw Data'!AA54), IFERROR('Raw Data'!AA54 = ROUND('Raw Data'!AA54, 2),FALSE)),"",_xlfn.REGEXEXTRACT(CELL("address",AA54), "\$([A-Z]+)\$[0-9]+"))),_xlfn.REGEXEXTRACT(CELL("address",AA54), "\$([A-Z]+)\$[0-9]+"))</f>
        <v/>
      </c>
      <c r="AB54" s="7" t="str" cm="1">
        <f t="array" aca="1" ref="AB54" ca="1">IFERROR(IF(OR('Raw Data'!AB54="",LEN(TRIM('Raw Data'!AB54))=0),"",IF(AND(ISNUMBER('Raw Data'!AB54), IFERROR('Raw Data'!AB54 = ROUND('Raw Data'!AB54, 2),FALSE)),"",_xlfn.REGEXEXTRACT(CELL("address",AB54), "\$([A-Z]+)\$[0-9]+"))),_xlfn.REGEXEXTRACT(CELL("address",AB54), "\$([A-Z]+)\$[0-9]+"))</f>
        <v/>
      </c>
    </row>
    <row r="55" spans="2:28" x14ac:dyDescent="0.25">
      <c r="B55" s="7" t="str" cm="1">
        <f t="array" aca="1" ref="B55" ca="1">IFERROR(IF(OR('Raw Data'!B55="",LEN(TRIM('Raw Data'!B55))=0),"",IF(AND(LEN('Raw Data'!B55) &lt;= 255,LEN('Raw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20,LEN('Raw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Data'!D55))=0),"",IF(AND(ISNUMBER('Raw Data'!D55),'Raw Data'!D55&gt;=Configuration!$D$2),"",_xlfn.REGEXEXTRACT(CELL("address",'Raw Data'!D55),"\$([A-Z]+)\$[0-9]+"))),_xlfn.REGEXEXTRACT(CELL("address",D55), "\$([A-Z]+)\$[0-9]+"))</f>
        <v/>
      </c>
      <c r="E55" s="7" t="str" cm="1">
        <f t="array" aca="1" ref="E55" ca="1">IFERROR(IF(OR('Raw Data'!E55="",LEN(TRIM('Raw Data'!E55))=0),"",IF(AND(ISNUMBER('Raw Data'!E55), IFERROR('Raw Data'!E55 = ROUND('Raw Data'!E55, 2),FALSE)),"",_xlfn.REGEXEXTRACT(CELL("address",E55), "\$([A-Z]+)\$[0-9]+"))),_xlfn.REGEXEXTRACT(CELL("address",E55), "\$([A-Z]+)\$[0-9]+"))</f>
        <v/>
      </c>
      <c r="F55" s="7" t="str" cm="1">
        <f t="array" aca="1" ref="F55" ca="1">IFERROR(IF(OR('Raw Data'!F55="",LEN(TRIM('Raw Data'!F55))=0),"",IF(AND(ISNUMBER('Raw Data'!F55), IFERROR('Raw Data'!F55 = ROUND('Raw Data'!F55, 2),FALSE)),"",_xlfn.REGEXEXTRACT(CELL("address",F55), "\$([A-Z]+)\$[0-9]+"))),_xlfn.REGEXEXTRACT(CELL("address",F55), "\$([A-Z]+)\$[0-9]+"))</f>
        <v/>
      </c>
      <c r="G55" s="7" t="str" cm="1">
        <f t="array" aca="1" ref="G55" ca="1">IFERROR(IF(OR('Raw Data'!G55="",LEN(TRIM('Raw Data'!G55))=0),"",IF(AND(ISNUMBER('Raw Data'!G55), IFERROR('Raw Data'!G55 = ROUND('Raw Data'!G55, 2),FALSE)),"",_xlfn.REGEXEXTRACT(CELL("address",G55), "\$([A-Z]+)\$[0-9]+"))),_xlfn.REGEXEXTRACT(CELL("address",G55), "\$([A-Z]+)\$[0-9]+"))</f>
        <v/>
      </c>
      <c r="H55" s="7" t="str" cm="1">
        <f t="array" aca="1" ref="H55" ca="1">IFERROR(IF(OR('Raw Data'!H55="",LEN(TRIM('Raw Data'!H55))=0),"",IF(AND(ISNUMBER('Raw Data'!H55), IFERROR('Raw Data'!H55 = ROUND('Raw Data'!H55, 2),FALSE)),"",_xlfn.REGEXEXTRACT(CELL("address",H55), "\$([A-Z]+)\$[0-9]+"))),_xlfn.REGEXEXTRACT(CELL("address",H55), "\$([A-Z]+)\$[0-9]+"))</f>
        <v/>
      </c>
      <c r="I55" s="7" t="str" cm="1">
        <f t="array" aca="1" ref="I55" ca="1">IFERROR(IF(OR('Raw Data'!I55="",LEN(TRIM('Raw Data'!I55))=0),"",IF(AND(ISNUMBER('Raw Data'!I55), IFERROR('Raw Data'!I55 = ROUND('Raw Data'!I55, 2),FALSE)),"",_xlfn.REGEXEXTRACT(CELL("address",I55), "\$([A-Z]+)\$[0-9]+"))),_xlfn.REGEXEXTRACT(CELL("address",I55), "\$([A-Z]+)\$[0-9]+"))</f>
        <v/>
      </c>
      <c r="J55" s="7" t="str" cm="1">
        <f t="array" aca="1" ref="J55" ca="1">IFERROR(IF(OR('Raw Data'!J55="",LEN(TRIM('Raw Data'!J55))=0),"",IF(AND(ISNUMBER('Raw Data'!J55), IFERROR('Raw Data'!J55 = ROUND('Raw Data'!J55, 2),FALSE)),"",_xlfn.REGEXEXTRACT(CELL("address",J55), "\$([A-Z]+)\$[0-9]+"))),_xlfn.REGEXEXTRACT(CELL("address",J55), "\$([A-Z]+)\$[0-9]+"))</f>
        <v/>
      </c>
      <c r="K55" s="7" t="str" cm="1">
        <f t="array" aca="1" ref="K55" ca="1">IFERROR(IF(OR('Raw Data'!K55="",LEN(TRIM('Raw Data'!K55))=0),"",IF(AND(ISNUMBER('Raw Data'!K55), IFERROR('Raw Data'!K55 = ROUND('Raw Data'!K55, 2),FALSE)),"",_xlfn.REGEXEXTRACT(CELL("address",K55), "\$([A-Z]+)\$[0-9]+"))),_xlfn.REGEXEXTRACT(CELL("address",K55), "\$([A-Z]+)\$[0-9]+"))</f>
        <v/>
      </c>
      <c r="L55" s="7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7" t="str" cm="1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7" t="str" cm="1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  <c r="O55" s="7" t="str" cm="1">
        <f t="array" aca="1" ref="O55" ca="1">IFERROR(IF(OR('Raw Data'!O55="",LEN(TRIM('Raw Data'!O55))=0),"",IF(AND(ISNUMBER('Raw Data'!O55), IFERROR('Raw Data'!O55 = ROUND('Raw Data'!O55, 2),FALSE)),"",_xlfn.REGEXEXTRACT(CELL("address",O55), "\$([A-Z]+)\$[0-9]+"))),_xlfn.REGEXEXTRACT(CELL("address",O55), "\$([A-Z]+)\$[0-9]+"))</f>
        <v/>
      </c>
      <c r="P55" s="7" t="str" cm="1">
        <f t="array" aca="1" ref="P55" ca="1">IFERROR(IF(OR('Raw Data'!P55="",LEN(TRIM('Raw Data'!P55))=0),"",IF(AND(ISNUMBER('Raw Data'!P55), IFERROR('Raw Data'!P55 = ROUND('Raw Data'!P55, 2),FALSE)),"",_xlfn.REGEXEXTRACT(CELL("address",P55), "\$([A-Z]+)\$[0-9]+"))),_xlfn.REGEXEXTRACT(CELL("address",P55), "\$([A-Z]+)\$[0-9]+"))</f>
        <v/>
      </c>
      <c r="Q55" s="7" t="str" cm="1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7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7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7" t="str" cm="1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7" t="str" cm="1">
        <f t="array" aca="1" ref="U55" ca="1">IFERROR(IF(OR('Raw Data'!U55="",LEN(TRIM('Raw Data'!U55))=0),"",IF(AND(ISNUMBER('Raw Data'!U55), IFERROR('Raw Data'!U55 = ROUND('Raw Data'!U55, 2),FALSE)),"",_xlfn.REGEXEXTRACT(CELL("address",U55), "\$([A-Z]+)\$[0-9]+"))),_xlfn.REGEXEXTRACT(CELL("address",U55), "\$([A-Z]+)\$[0-9]+"))</f>
        <v/>
      </c>
      <c r="V55" s="7" t="str" cm="1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7" t="str" cm="1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7" t="str" cm="1">
        <f t="array" aca="1" ref="X55" ca="1">IFERROR(IF(OR('Raw Data'!X55="",LEN(TRIM('Raw Data'!X55))=0),"",IF(AND(ISNUMBER('Raw Data'!X55), IFERROR('Raw Data'!X55 = ROUND('Raw Data'!X55, 2),FALSE)),"",_xlfn.REGEXEXTRACT(CELL("address",X55), "\$([A-Z]+)\$[0-9]+"))),_xlfn.REGEXEXTRACT(CELL("address",X55), "\$([A-Z]+)\$[0-9]+"))</f>
        <v/>
      </c>
      <c r="Y55" s="7" t="str" cm="1">
        <f t="array" aca="1" ref="Y55" ca="1">IFERROR(IF(OR('Raw Data'!Y55="",LEN(TRIM('Raw Data'!Y55))=0),"",IF(AND(ISNUMBER('Raw Data'!Y55), IFERROR('Raw Data'!Y55 = ROUND('Raw Data'!Y55, 2),FALSE)),"",_xlfn.REGEXEXTRACT(CELL("address",Y55), "\$([A-Z]+)\$[0-9]+"))),_xlfn.REGEXEXTRACT(CELL("address",Y55), "\$([A-Z]+)\$[0-9]+"))</f>
        <v/>
      </c>
      <c r="Z55" s="7" t="str" cm="1">
        <f t="array" aca="1" ref="Z55" ca="1">IFERROR(IF(OR('Raw Data'!Z55="",LEN(TRIM('Raw Data'!Z55))=0),"",IF(AND(ISNUMBER('Raw Data'!Z55), IFERROR('Raw Data'!Z55 = ROUND('Raw Data'!Z55, 2),FALSE)),"",_xlfn.REGEXEXTRACT(CELL("address",Z55), "\$([A-Z]+)\$[0-9]+"))),_xlfn.REGEXEXTRACT(CELL("address",Z55), "\$([A-Z]+)\$[0-9]+"))</f>
        <v/>
      </c>
      <c r="AA55" s="7" t="str" cm="1">
        <f t="array" aca="1" ref="AA55" ca="1">IFERROR(IF(OR('Raw Data'!AA55="",LEN(TRIM('Raw Data'!AA55))=0),"",IF(AND(ISNUMBER('Raw Data'!AA55), IFERROR('Raw Data'!AA55 = ROUND('Raw Data'!AA55, 2),FALSE)),"",_xlfn.REGEXEXTRACT(CELL("address",AA55), "\$([A-Z]+)\$[0-9]+"))),_xlfn.REGEXEXTRACT(CELL("address",AA55), "\$([A-Z]+)\$[0-9]+"))</f>
        <v/>
      </c>
      <c r="AB55" s="7" t="str" cm="1">
        <f t="array" aca="1" ref="AB55" ca="1">IFERROR(IF(OR('Raw Data'!AB55="",LEN(TRIM('Raw Data'!AB55))=0),"",IF(AND(ISNUMBER('Raw Data'!AB55), IFERROR('Raw Data'!AB55 = ROUND('Raw Data'!AB55, 2),FALSE)),"",_xlfn.REGEXEXTRACT(CELL("address",AB55), "\$([A-Z]+)\$[0-9]+"))),_xlfn.REGEXEXTRACT(CELL("address",AB55), "\$([A-Z]+)\$[0-9]+"))</f>
        <v/>
      </c>
    </row>
    <row r="56" spans="2:28" x14ac:dyDescent="0.25">
      <c r="B56" s="7" t="str" cm="1">
        <f t="array" aca="1" ref="B56" ca="1">IFERROR(IF(OR('Raw Data'!B56="",LEN(TRIM('Raw Data'!B56))=0),"",IF(AND(LEN('Raw Data'!B56) &lt;= 255,LEN('Raw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20,LEN('Raw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Data'!D56))=0),"",IF(AND(ISNUMBER('Raw Data'!D56),'Raw Data'!D56&gt;=Configuration!$D$2),"",_xlfn.REGEXEXTRACT(CELL("address",'Raw Data'!D56),"\$([A-Z]+)\$[0-9]+"))),_xlfn.REGEXEXTRACT(CELL("address",D56), "\$([A-Z]+)\$[0-9]+"))</f>
        <v/>
      </c>
      <c r="E56" s="7" t="str" cm="1">
        <f t="array" aca="1" ref="E56" ca="1">IFERROR(IF(OR('Raw Data'!E56="",LEN(TRIM('Raw Data'!E56))=0),"",IF(AND(ISNUMBER('Raw Data'!E56), IFERROR('Raw Data'!E56 = ROUND('Raw Data'!E56, 2),FALSE)),"",_xlfn.REGEXEXTRACT(CELL("address",E56), "\$([A-Z]+)\$[0-9]+"))),_xlfn.REGEXEXTRACT(CELL("address",E56), "\$([A-Z]+)\$[0-9]+"))</f>
        <v/>
      </c>
      <c r="F56" s="7" t="str" cm="1">
        <f t="array" aca="1" ref="F56" ca="1">IFERROR(IF(OR('Raw Data'!F56="",LEN(TRIM('Raw Data'!F56))=0),"",IF(AND(ISNUMBER('Raw Data'!F56), IFERROR('Raw Data'!F56 = ROUND('Raw Data'!F56, 2),FALSE)),"",_xlfn.REGEXEXTRACT(CELL("address",F56), "\$([A-Z]+)\$[0-9]+"))),_xlfn.REGEXEXTRACT(CELL("address",F56), "\$([A-Z]+)\$[0-9]+"))</f>
        <v/>
      </c>
      <c r="G56" s="7" t="str" cm="1">
        <f t="array" aca="1" ref="G56" ca="1">IFERROR(IF(OR('Raw Data'!G56="",LEN(TRIM('Raw Data'!G56))=0),"",IF(AND(ISNUMBER('Raw Data'!G56), IFERROR('Raw Data'!G56 = ROUND('Raw Data'!G56, 2),FALSE)),"",_xlfn.REGEXEXTRACT(CELL("address",G56), "\$([A-Z]+)\$[0-9]+"))),_xlfn.REGEXEXTRACT(CELL("address",G56), "\$([A-Z]+)\$[0-9]+"))</f>
        <v/>
      </c>
      <c r="H56" s="7" t="str" cm="1">
        <f t="array" aca="1" ref="H56" ca="1">IFERROR(IF(OR('Raw Data'!H56="",LEN(TRIM('Raw Data'!H56))=0),"",IF(AND(ISNUMBER('Raw Data'!H56), IFERROR('Raw Data'!H56 = ROUND('Raw Data'!H56, 2),FALSE)),"",_xlfn.REGEXEXTRACT(CELL("address",H56), "\$([A-Z]+)\$[0-9]+"))),_xlfn.REGEXEXTRACT(CELL("address",H56), "\$([A-Z]+)\$[0-9]+"))</f>
        <v/>
      </c>
      <c r="I56" s="7" t="str" cm="1">
        <f t="array" aca="1" ref="I56" ca="1">IFERROR(IF(OR('Raw Data'!I56="",LEN(TRIM('Raw Data'!I56))=0),"",IF(AND(ISNUMBER('Raw Data'!I56), IFERROR('Raw Data'!I56 = ROUND('Raw Data'!I56, 2),FALSE)),"",_xlfn.REGEXEXTRACT(CELL("address",I56), "\$([A-Z]+)\$[0-9]+"))),_xlfn.REGEXEXTRACT(CELL("address",I56), "\$([A-Z]+)\$[0-9]+"))</f>
        <v/>
      </c>
      <c r="J56" s="7" t="str" cm="1">
        <f t="array" aca="1" ref="J56" ca="1">IFERROR(IF(OR('Raw Data'!J56="",LEN(TRIM('Raw Data'!J56))=0),"",IF(AND(ISNUMBER('Raw Data'!J56), IFERROR('Raw Data'!J56 = ROUND('Raw Data'!J56, 2),FALSE)),"",_xlfn.REGEXEXTRACT(CELL("address",J56), "\$([A-Z]+)\$[0-9]+"))),_xlfn.REGEXEXTRACT(CELL("address",J56), "\$([A-Z]+)\$[0-9]+"))</f>
        <v/>
      </c>
      <c r="K56" s="7" t="str" cm="1">
        <f t="array" aca="1" ref="K56" ca="1">IFERROR(IF(OR('Raw Data'!K56="",LEN(TRIM('Raw Data'!K56))=0),"",IF(AND(ISNUMBER('Raw Data'!K56), IFERROR('Raw Data'!K56 = ROUND('Raw Data'!K56, 2),FALSE)),"",_xlfn.REGEXEXTRACT(CELL("address",K56), "\$([A-Z]+)\$[0-9]+"))),_xlfn.REGEXEXTRACT(CELL("address",K56), "\$([A-Z]+)\$[0-9]+"))</f>
        <v/>
      </c>
      <c r="L56" s="7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7" t="str" cm="1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7" t="str" cm="1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  <c r="O56" s="7" t="str" cm="1">
        <f t="array" aca="1" ref="O56" ca="1">IFERROR(IF(OR('Raw Data'!O56="",LEN(TRIM('Raw Data'!O56))=0),"",IF(AND(ISNUMBER('Raw Data'!O56), IFERROR('Raw Data'!O56 = ROUND('Raw Data'!O56, 2),FALSE)),"",_xlfn.REGEXEXTRACT(CELL("address",O56), "\$([A-Z]+)\$[0-9]+"))),_xlfn.REGEXEXTRACT(CELL("address",O56), "\$([A-Z]+)\$[0-9]+"))</f>
        <v/>
      </c>
      <c r="P56" s="7" t="str" cm="1">
        <f t="array" aca="1" ref="P56" ca="1">IFERROR(IF(OR('Raw Data'!P56="",LEN(TRIM('Raw Data'!P56))=0),"",IF(AND(ISNUMBER('Raw Data'!P56), IFERROR('Raw Data'!P56 = ROUND('Raw Data'!P56, 2),FALSE)),"",_xlfn.REGEXEXTRACT(CELL("address",P56), "\$([A-Z]+)\$[0-9]+"))),_xlfn.REGEXEXTRACT(CELL("address",P56), "\$([A-Z]+)\$[0-9]+"))</f>
        <v/>
      </c>
      <c r="Q56" s="7" t="str" cm="1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7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7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7" t="str" cm="1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7" t="str" cm="1">
        <f t="array" aca="1" ref="U56" ca="1">IFERROR(IF(OR('Raw Data'!U56="",LEN(TRIM('Raw Data'!U56))=0),"",IF(AND(ISNUMBER('Raw Data'!U56), IFERROR('Raw Data'!U56 = ROUND('Raw Data'!U56, 2),FALSE)),"",_xlfn.REGEXEXTRACT(CELL("address",U56), "\$([A-Z]+)\$[0-9]+"))),_xlfn.REGEXEXTRACT(CELL("address",U56), "\$([A-Z]+)\$[0-9]+"))</f>
        <v/>
      </c>
      <c r="V56" s="7" t="str" cm="1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7" t="str" cm="1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7" t="str" cm="1">
        <f t="array" aca="1" ref="X56" ca="1">IFERROR(IF(OR('Raw Data'!X56="",LEN(TRIM('Raw Data'!X56))=0),"",IF(AND(ISNUMBER('Raw Data'!X56), IFERROR('Raw Data'!X56 = ROUND('Raw Data'!X56, 2),FALSE)),"",_xlfn.REGEXEXTRACT(CELL("address",X56), "\$([A-Z]+)\$[0-9]+"))),_xlfn.REGEXEXTRACT(CELL("address",X56), "\$([A-Z]+)\$[0-9]+"))</f>
        <v/>
      </c>
      <c r="Y56" s="7" t="str" cm="1">
        <f t="array" aca="1" ref="Y56" ca="1">IFERROR(IF(OR('Raw Data'!Y56="",LEN(TRIM('Raw Data'!Y56))=0),"",IF(AND(ISNUMBER('Raw Data'!Y56), IFERROR('Raw Data'!Y56 = ROUND('Raw Data'!Y56, 2),FALSE)),"",_xlfn.REGEXEXTRACT(CELL("address",Y56), "\$([A-Z]+)\$[0-9]+"))),_xlfn.REGEXEXTRACT(CELL("address",Y56), "\$([A-Z]+)\$[0-9]+"))</f>
        <v/>
      </c>
      <c r="Z56" s="7" t="str" cm="1">
        <f t="array" aca="1" ref="Z56" ca="1">IFERROR(IF(OR('Raw Data'!Z56="",LEN(TRIM('Raw Data'!Z56))=0),"",IF(AND(ISNUMBER('Raw Data'!Z56), IFERROR('Raw Data'!Z56 = ROUND('Raw Data'!Z56, 2),FALSE)),"",_xlfn.REGEXEXTRACT(CELL("address",Z56), "\$([A-Z]+)\$[0-9]+"))),_xlfn.REGEXEXTRACT(CELL("address",Z56), "\$([A-Z]+)\$[0-9]+"))</f>
        <v/>
      </c>
      <c r="AA56" s="7" t="str" cm="1">
        <f t="array" aca="1" ref="AA56" ca="1">IFERROR(IF(OR('Raw Data'!AA56="",LEN(TRIM('Raw Data'!AA56))=0),"",IF(AND(ISNUMBER('Raw Data'!AA56), IFERROR('Raw Data'!AA56 = ROUND('Raw Data'!AA56, 2),FALSE)),"",_xlfn.REGEXEXTRACT(CELL("address",AA56), "\$([A-Z]+)\$[0-9]+"))),_xlfn.REGEXEXTRACT(CELL("address",AA56), "\$([A-Z]+)\$[0-9]+"))</f>
        <v/>
      </c>
      <c r="AB56" s="7" t="str" cm="1">
        <f t="array" aca="1" ref="AB56" ca="1">IFERROR(IF(OR('Raw Data'!AB56="",LEN(TRIM('Raw Data'!AB56))=0),"",IF(AND(ISNUMBER('Raw Data'!AB56), IFERROR('Raw Data'!AB56 = ROUND('Raw Data'!AB56, 2),FALSE)),"",_xlfn.REGEXEXTRACT(CELL("address",AB56), "\$([A-Z]+)\$[0-9]+"))),_xlfn.REGEXEXTRACT(CELL("address",AB56), "\$([A-Z]+)\$[0-9]+"))</f>
        <v/>
      </c>
    </row>
    <row r="57" spans="2:28" x14ac:dyDescent="0.25">
      <c r="B57" s="7" t="str" cm="1">
        <f t="array" aca="1" ref="B57" ca="1">IFERROR(IF(OR('Raw Data'!B57="",LEN(TRIM('Raw Data'!B57))=0),"",IF(AND(LEN('Raw Data'!B57) &lt;= 255,LEN('Raw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20,LEN('Raw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Data'!D57))=0),"",IF(AND(ISNUMBER('Raw Data'!D57),'Raw Data'!D57&gt;=Configuration!$D$2),"",_xlfn.REGEXEXTRACT(CELL("address",'Raw Data'!D57),"\$([A-Z]+)\$[0-9]+"))),_xlfn.REGEXEXTRACT(CELL("address",D57), "\$([A-Z]+)\$[0-9]+"))</f>
        <v/>
      </c>
      <c r="E57" s="7" t="str" cm="1">
        <f t="array" aca="1" ref="E57" ca="1">IFERROR(IF(OR('Raw Data'!E57="",LEN(TRIM('Raw Data'!E57))=0),"",IF(AND(ISNUMBER('Raw Data'!E57), IFERROR('Raw Data'!E57 = ROUND('Raw Data'!E57, 2),FALSE)),"",_xlfn.REGEXEXTRACT(CELL("address",E57), "\$([A-Z]+)\$[0-9]+"))),_xlfn.REGEXEXTRACT(CELL("address",E57), "\$([A-Z]+)\$[0-9]+"))</f>
        <v/>
      </c>
      <c r="F57" s="7" t="str" cm="1">
        <f t="array" aca="1" ref="F57" ca="1">IFERROR(IF(OR('Raw Data'!F57="",LEN(TRIM('Raw Data'!F57))=0),"",IF(AND(ISNUMBER('Raw Data'!F57), IFERROR('Raw Data'!F57 = ROUND('Raw Data'!F57, 2),FALSE)),"",_xlfn.REGEXEXTRACT(CELL("address",F57), "\$([A-Z]+)\$[0-9]+"))),_xlfn.REGEXEXTRACT(CELL("address",F57), "\$([A-Z]+)\$[0-9]+"))</f>
        <v/>
      </c>
      <c r="G57" s="7" t="str" cm="1">
        <f t="array" aca="1" ref="G57" ca="1">IFERROR(IF(OR('Raw Data'!G57="",LEN(TRIM('Raw Data'!G57))=0),"",IF(AND(ISNUMBER('Raw Data'!G57), IFERROR('Raw Data'!G57 = ROUND('Raw Data'!G57, 2),FALSE)),"",_xlfn.REGEXEXTRACT(CELL("address",G57), "\$([A-Z]+)\$[0-9]+"))),_xlfn.REGEXEXTRACT(CELL("address",G57), "\$([A-Z]+)\$[0-9]+"))</f>
        <v/>
      </c>
      <c r="H57" s="7" t="str" cm="1">
        <f t="array" aca="1" ref="H57" ca="1">IFERROR(IF(OR('Raw Data'!H57="",LEN(TRIM('Raw Data'!H57))=0),"",IF(AND(ISNUMBER('Raw Data'!H57), IFERROR('Raw Data'!H57 = ROUND('Raw Data'!H57, 2),FALSE)),"",_xlfn.REGEXEXTRACT(CELL("address",H57), "\$([A-Z]+)\$[0-9]+"))),_xlfn.REGEXEXTRACT(CELL("address",H57), "\$([A-Z]+)\$[0-9]+"))</f>
        <v/>
      </c>
      <c r="I57" s="7" t="str" cm="1">
        <f t="array" aca="1" ref="I57" ca="1">IFERROR(IF(OR('Raw Data'!I57="",LEN(TRIM('Raw Data'!I57))=0),"",IF(AND(ISNUMBER('Raw Data'!I57), IFERROR('Raw Data'!I57 = ROUND('Raw Data'!I57, 2),FALSE)),"",_xlfn.REGEXEXTRACT(CELL("address",I57), "\$([A-Z]+)\$[0-9]+"))),_xlfn.REGEXEXTRACT(CELL("address",I57), "\$([A-Z]+)\$[0-9]+"))</f>
        <v/>
      </c>
      <c r="J57" s="7" t="str" cm="1">
        <f t="array" aca="1" ref="J57" ca="1">IFERROR(IF(OR('Raw Data'!J57="",LEN(TRIM('Raw Data'!J57))=0),"",IF(AND(ISNUMBER('Raw Data'!J57), IFERROR('Raw Data'!J57 = ROUND('Raw Data'!J57, 2),FALSE)),"",_xlfn.REGEXEXTRACT(CELL("address",J57), "\$([A-Z]+)\$[0-9]+"))),_xlfn.REGEXEXTRACT(CELL("address",J57), "\$([A-Z]+)\$[0-9]+"))</f>
        <v/>
      </c>
      <c r="K57" s="7" t="str" cm="1">
        <f t="array" aca="1" ref="K57" ca="1">IFERROR(IF(OR('Raw Data'!K57="",LEN(TRIM('Raw Data'!K57))=0),"",IF(AND(ISNUMBER('Raw Data'!K57), IFERROR('Raw Data'!K57 = ROUND('Raw Data'!K57, 2),FALSE)),"",_xlfn.REGEXEXTRACT(CELL("address",K57), "\$([A-Z]+)\$[0-9]+"))),_xlfn.REGEXEXTRACT(CELL("address",K57), "\$([A-Z]+)\$[0-9]+"))</f>
        <v/>
      </c>
      <c r="L57" s="7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7" t="str" cm="1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7" t="str" cm="1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  <c r="O57" s="7" t="str" cm="1">
        <f t="array" aca="1" ref="O57" ca="1">IFERROR(IF(OR('Raw Data'!O57="",LEN(TRIM('Raw Data'!O57))=0),"",IF(AND(ISNUMBER('Raw Data'!O57), IFERROR('Raw Data'!O57 = ROUND('Raw Data'!O57, 2),FALSE)),"",_xlfn.REGEXEXTRACT(CELL("address",O57), "\$([A-Z]+)\$[0-9]+"))),_xlfn.REGEXEXTRACT(CELL("address",O57), "\$([A-Z]+)\$[0-9]+"))</f>
        <v/>
      </c>
      <c r="P57" s="7" t="str" cm="1">
        <f t="array" aca="1" ref="P57" ca="1">IFERROR(IF(OR('Raw Data'!P57="",LEN(TRIM('Raw Data'!P57))=0),"",IF(AND(ISNUMBER('Raw Data'!P57), IFERROR('Raw Data'!P57 = ROUND('Raw Data'!P57, 2),FALSE)),"",_xlfn.REGEXEXTRACT(CELL("address",P57), "\$([A-Z]+)\$[0-9]+"))),_xlfn.REGEXEXTRACT(CELL("address",P57), "\$([A-Z]+)\$[0-9]+"))</f>
        <v/>
      </c>
      <c r="Q57" s="7" t="str" cm="1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7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7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7" t="str" cm="1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7" t="str" cm="1">
        <f t="array" aca="1" ref="U57" ca="1">IFERROR(IF(OR('Raw Data'!U57="",LEN(TRIM('Raw Data'!U57))=0),"",IF(AND(ISNUMBER('Raw Data'!U57), IFERROR('Raw Data'!U57 = ROUND('Raw Data'!U57, 2),FALSE)),"",_xlfn.REGEXEXTRACT(CELL("address",U57), "\$([A-Z]+)\$[0-9]+"))),_xlfn.REGEXEXTRACT(CELL("address",U57), "\$([A-Z]+)\$[0-9]+"))</f>
        <v/>
      </c>
      <c r="V57" s="7" t="str" cm="1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7" t="str" cm="1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7" t="str" cm="1">
        <f t="array" aca="1" ref="X57" ca="1">IFERROR(IF(OR('Raw Data'!X57="",LEN(TRIM('Raw Data'!X57))=0),"",IF(AND(ISNUMBER('Raw Data'!X57), IFERROR('Raw Data'!X57 = ROUND('Raw Data'!X57, 2),FALSE)),"",_xlfn.REGEXEXTRACT(CELL("address",X57), "\$([A-Z]+)\$[0-9]+"))),_xlfn.REGEXEXTRACT(CELL("address",X57), "\$([A-Z]+)\$[0-9]+"))</f>
        <v/>
      </c>
      <c r="Y57" s="7" t="str" cm="1">
        <f t="array" aca="1" ref="Y57" ca="1">IFERROR(IF(OR('Raw Data'!Y57="",LEN(TRIM('Raw Data'!Y57))=0),"",IF(AND(ISNUMBER('Raw Data'!Y57), IFERROR('Raw Data'!Y57 = ROUND('Raw Data'!Y57, 2),FALSE)),"",_xlfn.REGEXEXTRACT(CELL("address",Y57), "\$([A-Z]+)\$[0-9]+"))),_xlfn.REGEXEXTRACT(CELL("address",Y57), "\$([A-Z]+)\$[0-9]+"))</f>
        <v/>
      </c>
      <c r="Z57" s="7" t="str" cm="1">
        <f t="array" aca="1" ref="Z57" ca="1">IFERROR(IF(OR('Raw Data'!Z57="",LEN(TRIM('Raw Data'!Z57))=0),"",IF(AND(ISNUMBER('Raw Data'!Z57), IFERROR('Raw Data'!Z57 = ROUND('Raw Data'!Z57, 2),FALSE)),"",_xlfn.REGEXEXTRACT(CELL("address",Z57), "\$([A-Z]+)\$[0-9]+"))),_xlfn.REGEXEXTRACT(CELL("address",Z57), "\$([A-Z]+)\$[0-9]+"))</f>
        <v/>
      </c>
      <c r="AA57" s="7" t="str" cm="1">
        <f t="array" aca="1" ref="AA57" ca="1">IFERROR(IF(OR('Raw Data'!AA57="",LEN(TRIM('Raw Data'!AA57))=0),"",IF(AND(ISNUMBER('Raw Data'!AA57), IFERROR('Raw Data'!AA57 = ROUND('Raw Data'!AA57, 2),FALSE)),"",_xlfn.REGEXEXTRACT(CELL("address",AA57), "\$([A-Z]+)\$[0-9]+"))),_xlfn.REGEXEXTRACT(CELL("address",AA57), "\$([A-Z]+)\$[0-9]+"))</f>
        <v/>
      </c>
      <c r="AB57" s="7" t="str" cm="1">
        <f t="array" aca="1" ref="AB57" ca="1">IFERROR(IF(OR('Raw Data'!AB57="",LEN(TRIM('Raw Data'!AB57))=0),"",IF(AND(ISNUMBER('Raw Data'!AB57), IFERROR('Raw Data'!AB57 = ROUND('Raw Data'!AB57, 2),FALSE)),"",_xlfn.REGEXEXTRACT(CELL("address",AB57), "\$([A-Z]+)\$[0-9]+"))),_xlfn.REGEXEXTRACT(CELL("address",AB57), "\$([A-Z]+)\$[0-9]+"))</f>
        <v/>
      </c>
    </row>
    <row r="58" spans="2:28" x14ac:dyDescent="0.25">
      <c r="B58" s="7" t="str" cm="1">
        <f t="array" aca="1" ref="B58" ca="1">IFERROR(IF(OR('Raw Data'!B58="",LEN(TRIM('Raw Data'!B58))=0),"",IF(AND(LEN('Raw Data'!B58) &lt;= 255,LEN('Raw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20,LEN('Raw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Data'!D58))=0),"",IF(AND(ISNUMBER('Raw Data'!D58),'Raw Data'!D58&gt;=Configuration!$D$2),"",_xlfn.REGEXEXTRACT(CELL("address",'Raw Data'!D58),"\$([A-Z]+)\$[0-9]+"))),_xlfn.REGEXEXTRACT(CELL("address",D58), "\$([A-Z]+)\$[0-9]+"))</f>
        <v/>
      </c>
      <c r="E58" s="7" t="str" cm="1">
        <f t="array" aca="1" ref="E58" ca="1">IFERROR(IF(OR('Raw Data'!E58="",LEN(TRIM('Raw Data'!E58))=0),"",IF(AND(ISNUMBER('Raw Data'!E58), IFERROR('Raw Data'!E58 = ROUND('Raw Data'!E58, 2),FALSE)),"",_xlfn.REGEXEXTRACT(CELL("address",E58), "\$([A-Z]+)\$[0-9]+"))),_xlfn.REGEXEXTRACT(CELL("address",E58), "\$([A-Z]+)\$[0-9]+"))</f>
        <v/>
      </c>
      <c r="F58" s="7" t="str" cm="1">
        <f t="array" aca="1" ref="F58" ca="1">IFERROR(IF(OR('Raw Data'!F58="",LEN(TRIM('Raw Data'!F58))=0),"",IF(AND(ISNUMBER('Raw Data'!F58), IFERROR('Raw Data'!F58 = ROUND('Raw Data'!F58, 2),FALSE)),"",_xlfn.REGEXEXTRACT(CELL("address",F58), "\$([A-Z]+)\$[0-9]+"))),_xlfn.REGEXEXTRACT(CELL("address",F58), "\$([A-Z]+)\$[0-9]+"))</f>
        <v/>
      </c>
      <c r="G58" s="7" t="str" cm="1">
        <f t="array" aca="1" ref="G58" ca="1">IFERROR(IF(OR('Raw Data'!G58="",LEN(TRIM('Raw Data'!G58))=0),"",IF(AND(ISNUMBER('Raw Data'!G58), IFERROR('Raw Data'!G58 = ROUND('Raw Data'!G58, 2),FALSE)),"",_xlfn.REGEXEXTRACT(CELL("address",G58), "\$([A-Z]+)\$[0-9]+"))),_xlfn.REGEXEXTRACT(CELL("address",G58), "\$([A-Z]+)\$[0-9]+"))</f>
        <v/>
      </c>
      <c r="H58" s="7" t="str" cm="1">
        <f t="array" aca="1" ref="H58" ca="1">IFERROR(IF(OR('Raw Data'!H58="",LEN(TRIM('Raw Data'!H58))=0),"",IF(AND(ISNUMBER('Raw Data'!H58), IFERROR('Raw Data'!H58 = ROUND('Raw Data'!H58, 2),FALSE)),"",_xlfn.REGEXEXTRACT(CELL("address",H58), "\$([A-Z]+)\$[0-9]+"))),_xlfn.REGEXEXTRACT(CELL("address",H58), "\$([A-Z]+)\$[0-9]+"))</f>
        <v/>
      </c>
      <c r="I58" s="7" t="str" cm="1">
        <f t="array" aca="1" ref="I58" ca="1">IFERROR(IF(OR('Raw Data'!I58="",LEN(TRIM('Raw Data'!I58))=0),"",IF(AND(ISNUMBER('Raw Data'!I58), IFERROR('Raw Data'!I58 = ROUND('Raw Data'!I58, 2),FALSE)),"",_xlfn.REGEXEXTRACT(CELL("address",I58), "\$([A-Z]+)\$[0-9]+"))),_xlfn.REGEXEXTRACT(CELL("address",I58), "\$([A-Z]+)\$[0-9]+"))</f>
        <v/>
      </c>
      <c r="J58" s="7" t="str" cm="1">
        <f t="array" aca="1" ref="J58" ca="1">IFERROR(IF(OR('Raw Data'!J58="",LEN(TRIM('Raw Data'!J58))=0),"",IF(AND(ISNUMBER('Raw Data'!J58), IFERROR('Raw Data'!J58 = ROUND('Raw Data'!J58, 2),FALSE)),"",_xlfn.REGEXEXTRACT(CELL("address",J58), "\$([A-Z]+)\$[0-9]+"))),_xlfn.REGEXEXTRACT(CELL("address",J58), "\$([A-Z]+)\$[0-9]+"))</f>
        <v/>
      </c>
      <c r="K58" s="7" t="str" cm="1">
        <f t="array" aca="1" ref="K58" ca="1">IFERROR(IF(OR('Raw Data'!K58="",LEN(TRIM('Raw Data'!K58))=0),"",IF(AND(ISNUMBER('Raw Data'!K58), IFERROR('Raw Data'!K58 = ROUND('Raw Data'!K58, 2),FALSE)),"",_xlfn.REGEXEXTRACT(CELL("address",K58), "\$([A-Z]+)\$[0-9]+"))),_xlfn.REGEXEXTRACT(CELL("address",K58), "\$([A-Z]+)\$[0-9]+"))</f>
        <v/>
      </c>
      <c r="L58" s="7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7" t="str" cm="1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7" t="str" cm="1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  <c r="O58" s="7" t="str" cm="1">
        <f t="array" aca="1" ref="O58" ca="1">IFERROR(IF(OR('Raw Data'!O58="",LEN(TRIM('Raw Data'!O58))=0),"",IF(AND(ISNUMBER('Raw Data'!O58), IFERROR('Raw Data'!O58 = ROUND('Raw Data'!O58, 2),FALSE)),"",_xlfn.REGEXEXTRACT(CELL("address",O58), "\$([A-Z]+)\$[0-9]+"))),_xlfn.REGEXEXTRACT(CELL("address",O58), "\$([A-Z]+)\$[0-9]+"))</f>
        <v/>
      </c>
      <c r="P58" s="7" t="str" cm="1">
        <f t="array" aca="1" ref="P58" ca="1">IFERROR(IF(OR('Raw Data'!P58="",LEN(TRIM('Raw Data'!P58))=0),"",IF(AND(ISNUMBER('Raw Data'!P58), IFERROR('Raw Data'!P58 = ROUND('Raw Data'!P58, 2),FALSE)),"",_xlfn.REGEXEXTRACT(CELL("address",P58), "\$([A-Z]+)\$[0-9]+"))),_xlfn.REGEXEXTRACT(CELL("address",P58), "\$([A-Z]+)\$[0-9]+"))</f>
        <v/>
      </c>
      <c r="Q58" s="7" t="str" cm="1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7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7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7" t="str" cm="1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7" t="str" cm="1">
        <f t="array" aca="1" ref="U58" ca="1">IFERROR(IF(OR('Raw Data'!U58="",LEN(TRIM('Raw Data'!U58))=0),"",IF(AND(ISNUMBER('Raw Data'!U58), IFERROR('Raw Data'!U58 = ROUND('Raw Data'!U58, 2),FALSE)),"",_xlfn.REGEXEXTRACT(CELL("address",U58), "\$([A-Z]+)\$[0-9]+"))),_xlfn.REGEXEXTRACT(CELL("address",U58), "\$([A-Z]+)\$[0-9]+"))</f>
        <v/>
      </c>
      <c r="V58" s="7" t="str" cm="1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7" t="str" cm="1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7" t="str" cm="1">
        <f t="array" aca="1" ref="X58" ca="1">IFERROR(IF(OR('Raw Data'!X58="",LEN(TRIM('Raw Data'!X58))=0),"",IF(AND(ISNUMBER('Raw Data'!X58), IFERROR('Raw Data'!X58 = ROUND('Raw Data'!X58, 2),FALSE)),"",_xlfn.REGEXEXTRACT(CELL("address",X58), "\$([A-Z]+)\$[0-9]+"))),_xlfn.REGEXEXTRACT(CELL("address",X58), "\$([A-Z]+)\$[0-9]+"))</f>
        <v/>
      </c>
      <c r="Y58" s="7" t="str" cm="1">
        <f t="array" aca="1" ref="Y58" ca="1">IFERROR(IF(OR('Raw Data'!Y58="",LEN(TRIM('Raw Data'!Y58))=0),"",IF(AND(ISNUMBER('Raw Data'!Y58), IFERROR('Raw Data'!Y58 = ROUND('Raw Data'!Y58, 2),FALSE)),"",_xlfn.REGEXEXTRACT(CELL("address",Y58), "\$([A-Z]+)\$[0-9]+"))),_xlfn.REGEXEXTRACT(CELL("address",Y58), "\$([A-Z]+)\$[0-9]+"))</f>
        <v/>
      </c>
      <c r="Z58" s="7" t="str" cm="1">
        <f t="array" aca="1" ref="Z58" ca="1">IFERROR(IF(OR('Raw Data'!Z58="",LEN(TRIM('Raw Data'!Z58))=0),"",IF(AND(ISNUMBER('Raw Data'!Z58), IFERROR('Raw Data'!Z58 = ROUND('Raw Data'!Z58, 2),FALSE)),"",_xlfn.REGEXEXTRACT(CELL("address",Z58), "\$([A-Z]+)\$[0-9]+"))),_xlfn.REGEXEXTRACT(CELL("address",Z58), "\$([A-Z]+)\$[0-9]+"))</f>
        <v/>
      </c>
      <c r="AA58" s="7" t="str" cm="1">
        <f t="array" aca="1" ref="AA58" ca="1">IFERROR(IF(OR('Raw Data'!AA58="",LEN(TRIM('Raw Data'!AA58))=0),"",IF(AND(ISNUMBER('Raw Data'!AA58), IFERROR('Raw Data'!AA58 = ROUND('Raw Data'!AA58, 2),FALSE)),"",_xlfn.REGEXEXTRACT(CELL("address",AA58), "\$([A-Z]+)\$[0-9]+"))),_xlfn.REGEXEXTRACT(CELL("address",AA58), "\$([A-Z]+)\$[0-9]+"))</f>
        <v/>
      </c>
      <c r="AB58" s="7" t="str" cm="1">
        <f t="array" aca="1" ref="AB58" ca="1">IFERROR(IF(OR('Raw Data'!AB58="",LEN(TRIM('Raw Data'!AB58))=0),"",IF(AND(ISNUMBER('Raw Data'!AB58), IFERROR('Raw Data'!AB58 = ROUND('Raw Data'!AB58, 2),FALSE)),"",_xlfn.REGEXEXTRACT(CELL("address",AB58), "\$([A-Z]+)\$[0-9]+"))),_xlfn.REGEXEXTRACT(CELL("address",AB58), "\$([A-Z]+)\$[0-9]+"))</f>
        <v/>
      </c>
    </row>
    <row r="59" spans="2:28" x14ac:dyDescent="0.25">
      <c r="B59" s="7" t="str" cm="1">
        <f t="array" aca="1" ref="B59" ca="1">IFERROR(IF(OR('Raw Data'!B59="",LEN(TRIM('Raw Data'!B59))=0),"",IF(AND(LEN('Raw Data'!B59) &lt;= 255,LEN('Raw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20,LEN('Raw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Data'!D59))=0),"",IF(AND(ISNUMBER('Raw Data'!D59),'Raw Data'!D59&gt;=Configuration!$D$2),"",_xlfn.REGEXEXTRACT(CELL("address",'Raw Data'!D59),"\$([A-Z]+)\$[0-9]+"))),_xlfn.REGEXEXTRACT(CELL("address",D59), "\$([A-Z]+)\$[0-9]+"))</f>
        <v/>
      </c>
      <c r="E59" s="7" t="str" cm="1">
        <f t="array" aca="1" ref="E59" ca="1">IFERROR(IF(OR('Raw Data'!E59="",LEN(TRIM('Raw Data'!E59))=0),"",IF(AND(ISNUMBER('Raw Data'!E59), IFERROR('Raw Data'!E59 = ROUND('Raw Data'!E59, 2),FALSE)),"",_xlfn.REGEXEXTRACT(CELL("address",E59), "\$([A-Z]+)\$[0-9]+"))),_xlfn.REGEXEXTRACT(CELL("address",E59), "\$([A-Z]+)\$[0-9]+"))</f>
        <v/>
      </c>
      <c r="F59" s="7" t="str" cm="1">
        <f t="array" aca="1" ref="F59" ca="1">IFERROR(IF(OR('Raw Data'!F59="",LEN(TRIM('Raw Data'!F59))=0),"",IF(AND(ISNUMBER('Raw Data'!F59), IFERROR('Raw Data'!F59 = ROUND('Raw Data'!F59, 2),FALSE)),"",_xlfn.REGEXEXTRACT(CELL("address",F59), "\$([A-Z]+)\$[0-9]+"))),_xlfn.REGEXEXTRACT(CELL("address",F59), "\$([A-Z]+)\$[0-9]+"))</f>
        <v/>
      </c>
      <c r="G59" s="7" t="str" cm="1">
        <f t="array" aca="1" ref="G59" ca="1">IFERROR(IF(OR('Raw Data'!G59="",LEN(TRIM('Raw Data'!G59))=0),"",IF(AND(ISNUMBER('Raw Data'!G59), IFERROR('Raw Data'!G59 = ROUND('Raw Data'!G59, 2),FALSE)),"",_xlfn.REGEXEXTRACT(CELL("address",G59), "\$([A-Z]+)\$[0-9]+"))),_xlfn.REGEXEXTRACT(CELL("address",G59), "\$([A-Z]+)\$[0-9]+"))</f>
        <v/>
      </c>
      <c r="H59" s="7" t="str" cm="1">
        <f t="array" aca="1" ref="H59" ca="1">IFERROR(IF(OR('Raw Data'!H59="",LEN(TRIM('Raw Data'!H59))=0),"",IF(AND(ISNUMBER('Raw Data'!H59), IFERROR('Raw Data'!H59 = ROUND('Raw Data'!H59, 2),FALSE)),"",_xlfn.REGEXEXTRACT(CELL("address",H59), "\$([A-Z]+)\$[0-9]+"))),_xlfn.REGEXEXTRACT(CELL("address",H59), "\$([A-Z]+)\$[0-9]+"))</f>
        <v/>
      </c>
      <c r="I59" s="7" t="str" cm="1">
        <f t="array" aca="1" ref="I59" ca="1">IFERROR(IF(OR('Raw Data'!I59="",LEN(TRIM('Raw Data'!I59))=0),"",IF(AND(ISNUMBER('Raw Data'!I59), IFERROR('Raw Data'!I59 = ROUND('Raw Data'!I59, 2),FALSE)),"",_xlfn.REGEXEXTRACT(CELL("address",I59), "\$([A-Z]+)\$[0-9]+"))),_xlfn.REGEXEXTRACT(CELL("address",I59), "\$([A-Z]+)\$[0-9]+"))</f>
        <v/>
      </c>
      <c r="J59" s="7" t="str" cm="1">
        <f t="array" aca="1" ref="J59" ca="1">IFERROR(IF(OR('Raw Data'!J59="",LEN(TRIM('Raw Data'!J59))=0),"",IF(AND(ISNUMBER('Raw Data'!J59), IFERROR('Raw Data'!J59 = ROUND('Raw Data'!J59, 2),FALSE)),"",_xlfn.REGEXEXTRACT(CELL("address",J59), "\$([A-Z]+)\$[0-9]+"))),_xlfn.REGEXEXTRACT(CELL("address",J59), "\$([A-Z]+)\$[0-9]+"))</f>
        <v/>
      </c>
      <c r="K59" s="7" t="str" cm="1">
        <f t="array" aca="1" ref="K59" ca="1">IFERROR(IF(OR('Raw Data'!K59="",LEN(TRIM('Raw Data'!K59))=0),"",IF(AND(ISNUMBER('Raw Data'!K59), IFERROR('Raw Data'!K59 = ROUND('Raw Data'!K59, 2),FALSE)),"",_xlfn.REGEXEXTRACT(CELL("address",K59), "\$([A-Z]+)\$[0-9]+"))),_xlfn.REGEXEXTRACT(CELL("address",K59), "\$([A-Z]+)\$[0-9]+"))</f>
        <v/>
      </c>
      <c r="L59" s="7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7" t="str" cm="1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7" t="str" cm="1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  <c r="O59" s="7" t="str" cm="1">
        <f t="array" aca="1" ref="O59" ca="1">IFERROR(IF(OR('Raw Data'!O59="",LEN(TRIM('Raw Data'!O59))=0),"",IF(AND(ISNUMBER('Raw Data'!O59), IFERROR('Raw Data'!O59 = ROUND('Raw Data'!O59, 2),FALSE)),"",_xlfn.REGEXEXTRACT(CELL("address",O59), "\$([A-Z]+)\$[0-9]+"))),_xlfn.REGEXEXTRACT(CELL("address",O59), "\$([A-Z]+)\$[0-9]+"))</f>
        <v/>
      </c>
      <c r="P59" s="7" t="str" cm="1">
        <f t="array" aca="1" ref="P59" ca="1">IFERROR(IF(OR('Raw Data'!P59="",LEN(TRIM('Raw Data'!P59))=0),"",IF(AND(ISNUMBER('Raw Data'!P59), IFERROR('Raw Data'!P59 = ROUND('Raw Data'!P59, 2),FALSE)),"",_xlfn.REGEXEXTRACT(CELL("address",P59), "\$([A-Z]+)\$[0-9]+"))),_xlfn.REGEXEXTRACT(CELL("address",P59), "\$([A-Z]+)\$[0-9]+"))</f>
        <v/>
      </c>
      <c r="Q59" s="7" t="str" cm="1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7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7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7" t="str" cm="1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7" t="str" cm="1">
        <f t="array" aca="1" ref="U59" ca="1">IFERROR(IF(OR('Raw Data'!U59="",LEN(TRIM('Raw Data'!U59))=0),"",IF(AND(ISNUMBER('Raw Data'!U59), IFERROR('Raw Data'!U59 = ROUND('Raw Data'!U59, 2),FALSE)),"",_xlfn.REGEXEXTRACT(CELL("address",U59), "\$([A-Z]+)\$[0-9]+"))),_xlfn.REGEXEXTRACT(CELL("address",U59), "\$([A-Z]+)\$[0-9]+"))</f>
        <v/>
      </c>
      <c r="V59" s="7" t="str" cm="1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7" t="str" cm="1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7" t="str" cm="1">
        <f t="array" aca="1" ref="X59" ca="1">IFERROR(IF(OR('Raw Data'!X59="",LEN(TRIM('Raw Data'!X59))=0),"",IF(AND(ISNUMBER('Raw Data'!X59), IFERROR('Raw Data'!X59 = ROUND('Raw Data'!X59, 2),FALSE)),"",_xlfn.REGEXEXTRACT(CELL("address",X59), "\$([A-Z]+)\$[0-9]+"))),_xlfn.REGEXEXTRACT(CELL("address",X59), "\$([A-Z]+)\$[0-9]+"))</f>
        <v/>
      </c>
      <c r="Y59" s="7" t="str" cm="1">
        <f t="array" aca="1" ref="Y59" ca="1">IFERROR(IF(OR('Raw Data'!Y59="",LEN(TRIM('Raw Data'!Y59))=0),"",IF(AND(ISNUMBER('Raw Data'!Y59), IFERROR('Raw Data'!Y59 = ROUND('Raw Data'!Y59, 2),FALSE)),"",_xlfn.REGEXEXTRACT(CELL("address",Y59), "\$([A-Z]+)\$[0-9]+"))),_xlfn.REGEXEXTRACT(CELL("address",Y59), "\$([A-Z]+)\$[0-9]+"))</f>
        <v/>
      </c>
      <c r="Z59" s="7" t="str" cm="1">
        <f t="array" aca="1" ref="Z59" ca="1">IFERROR(IF(OR('Raw Data'!Z59="",LEN(TRIM('Raw Data'!Z59))=0),"",IF(AND(ISNUMBER('Raw Data'!Z59), IFERROR('Raw Data'!Z59 = ROUND('Raw Data'!Z59, 2),FALSE)),"",_xlfn.REGEXEXTRACT(CELL("address",Z59), "\$([A-Z]+)\$[0-9]+"))),_xlfn.REGEXEXTRACT(CELL("address",Z59), "\$([A-Z]+)\$[0-9]+"))</f>
        <v/>
      </c>
      <c r="AA59" s="7" t="str" cm="1">
        <f t="array" aca="1" ref="AA59" ca="1">IFERROR(IF(OR('Raw Data'!AA59="",LEN(TRIM('Raw Data'!AA59))=0),"",IF(AND(ISNUMBER('Raw Data'!AA59), IFERROR('Raw Data'!AA59 = ROUND('Raw Data'!AA59, 2),FALSE)),"",_xlfn.REGEXEXTRACT(CELL("address",AA59), "\$([A-Z]+)\$[0-9]+"))),_xlfn.REGEXEXTRACT(CELL("address",AA59), "\$([A-Z]+)\$[0-9]+"))</f>
        <v/>
      </c>
      <c r="AB59" s="7" t="str" cm="1">
        <f t="array" aca="1" ref="AB59" ca="1">IFERROR(IF(OR('Raw Data'!AB59="",LEN(TRIM('Raw Data'!AB59))=0),"",IF(AND(ISNUMBER('Raw Data'!AB59), IFERROR('Raw Data'!AB59 = ROUND('Raw Data'!AB59, 2),FALSE)),"",_xlfn.REGEXEXTRACT(CELL("address",AB59), "\$([A-Z]+)\$[0-9]+"))),_xlfn.REGEXEXTRACT(CELL("address",AB59), "\$([A-Z]+)\$[0-9]+"))</f>
        <v/>
      </c>
    </row>
    <row r="60" spans="2:28" x14ac:dyDescent="0.25">
      <c r="B60" s="7" t="str" cm="1">
        <f t="array" aca="1" ref="B60" ca="1">IFERROR(IF(OR('Raw Data'!B60="",LEN(TRIM('Raw Data'!B60))=0),"",IF(AND(LEN('Raw Data'!B60) &lt;= 255,LEN('Raw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20,LEN('Raw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Data'!D60))=0),"",IF(AND(ISNUMBER('Raw Data'!D60),'Raw Data'!D60&gt;=Configuration!$D$2),"",_xlfn.REGEXEXTRACT(CELL("address",'Raw Data'!D60),"\$([A-Z]+)\$[0-9]+"))),_xlfn.REGEXEXTRACT(CELL("address",D60), "\$([A-Z]+)\$[0-9]+"))</f>
        <v/>
      </c>
      <c r="E60" s="7" t="str" cm="1">
        <f t="array" aca="1" ref="E60" ca="1">IFERROR(IF(OR('Raw Data'!E60="",LEN(TRIM('Raw Data'!E60))=0),"",IF(AND(ISNUMBER('Raw Data'!E60), IFERROR('Raw Data'!E60 = ROUND('Raw Data'!E60, 2),FALSE)),"",_xlfn.REGEXEXTRACT(CELL("address",E60), "\$([A-Z]+)\$[0-9]+"))),_xlfn.REGEXEXTRACT(CELL("address",E60), "\$([A-Z]+)\$[0-9]+"))</f>
        <v/>
      </c>
      <c r="F60" s="7" t="str" cm="1">
        <f t="array" aca="1" ref="F60" ca="1">IFERROR(IF(OR('Raw Data'!F60="",LEN(TRIM('Raw Data'!F60))=0),"",IF(AND(ISNUMBER('Raw Data'!F60), IFERROR('Raw Data'!F60 = ROUND('Raw Data'!F60, 2),FALSE)),"",_xlfn.REGEXEXTRACT(CELL("address",F60), "\$([A-Z]+)\$[0-9]+"))),_xlfn.REGEXEXTRACT(CELL("address",F60), "\$([A-Z]+)\$[0-9]+"))</f>
        <v/>
      </c>
      <c r="G60" s="7" t="str" cm="1">
        <f t="array" aca="1" ref="G60" ca="1">IFERROR(IF(OR('Raw Data'!G60="",LEN(TRIM('Raw Data'!G60))=0),"",IF(AND(ISNUMBER('Raw Data'!G60), IFERROR('Raw Data'!G60 = ROUND('Raw Data'!G60, 2),FALSE)),"",_xlfn.REGEXEXTRACT(CELL("address",G60), "\$([A-Z]+)\$[0-9]+"))),_xlfn.REGEXEXTRACT(CELL("address",G60), "\$([A-Z]+)\$[0-9]+"))</f>
        <v/>
      </c>
      <c r="H60" s="7" t="str" cm="1">
        <f t="array" aca="1" ref="H60" ca="1">IFERROR(IF(OR('Raw Data'!H60="",LEN(TRIM('Raw Data'!H60))=0),"",IF(AND(ISNUMBER('Raw Data'!H60), IFERROR('Raw Data'!H60 = ROUND('Raw Data'!H60, 2),FALSE)),"",_xlfn.REGEXEXTRACT(CELL("address",H60), "\$([A-Z]+)\$[0-9]+"))),_xlfn.REGEXEXTRACT(CELL("address",H60), "\$([A-Z]+)\$[0-9]+"))</f>
        <v/>
      </c>
      <c r="I60" s="7" t="str" cm="1">
        <f t="array" aca="1" ref="I60" ca="1">IFERROR(IF(OR('Raw Data'!I60="",LEN(TRIM('Raw Data'!I60))=0),"",IF(AND(ISNUMBER('Raw Data'!I60), IFERROR('Raw Data'!I60 = ROUND('Raw Data'!I60, 2),FALSE)),"",_xlfn.REGEXEXTRACT(CELL("address",I60), "\$([A-Z]+)\$[0-9]+"))),_xlfn.REGEXEXTRACT(CELL("address",I60), "\$([A-Z]+)\$[0-9]+"))</f>
        <v/>
      </c>
      <c r="J60" s="7" t="str" cm="1">
        <f t="array" aca="1" ref="J60" ca="1">IFERROR(IF(OR('Raw Data'!J60="",LEN(TRIM('Raw Data'!J60))=0),"",IF(AND(ISNUMBER('Raw Data'!J60), IFERROR('Raw Data'!J60 = ROUND('Raw Data'!J60, 2),FALSE)),"",_xlfn.REGEXEXTRACT(CELL("address",J60), "\$([A-Z]+)\$[0-9]+"))),_xlfn.REGEXEXTRACT(CELL("address",J60), "\$([A-Z]+)\$[0-9]+"))</f>
        <v/>
      </c>
      <c r="K60" s="7" t="str" cm="1">
        <f t="array" aca="1" ref="K60" ca="1">IFERROR(IF(OR('Raw Data'!K60="",LEN(TRIM('Raw Data'!K60))=0),"",IF(AND(ISNUMBER('Raw Data'!K60), IFERROR('Raw Data'!K60 = ROUND('Raw Data'!K60, 2),FALSE)),"",_xlfn.REGEXEXTRACT(CELL("address",K60), "\$([A-Z]+)\$[0-9]+"))),_xlfn.REGEXEXTRACT(CELL("address",K60), "\$([A-Z]+)\$[0-9]+"))</f>
        <v/>
      </c>
      <c r="L60" s="7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7" t="str" cm="1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7" t="str" cm="1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  <c r="O60" s="7" t="str" cm="1">
        <f t="array" aca="1" ref="O60" ca="1">IFERROR(IF(OR('Raw Data'!O60="",LEN(TRIM('Raw Data'!O60))=0),"",IF(AND(ISNUMBER('Raw Data'!O60), IFERROR('Raw Data'!O60 = ROUND('Raw Data'!O60, 2),FALSE)),"",_xlfn.REGEXEXTRACT(CELL("address",O60), "\$([A-Z]+)\$[0-9]+"))),_xlfn.REGEXEXTRACT(CELL("address",O60), "\$([A-Z]+)\$[0-9]+"))</f>
        <v/>
      </c>
      <c r="P60" s="7" t="str" cm="1">
        <f t="array" aca="1" ref="P60" ca="1">IFERROR(IF(OR('Raw Data'!P60="",LEN(TRIM('Raw Data'!P60))=0),"",IF(AND(ISNUMBER('Raw Data'!P60), IFERROR('Raw Data'!P60 = ROUND('Raw Data'!P60, 2),FALSE)),"",_xlfn.REGEXEXTRACT(CELL("address",P60), "\$([A-Z]+)\$[0-9]+"))),_xlfn.REGEXEXTRACT(CELL("address",P60), "\$([A-Z]+)\$[0-9]+"))</f>
        <v/>
      </c>
      <c r="Q60" s="7" t="str" cm="1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7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7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7" t="str" cm="1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7" t="str" cm="1">
        <f t="array" aca="1" ref="U60" ca="1">IFERROR(IF(OR('Raw Data'!U60="",LEN(TRIM('Raw Data'!U60))=0),"",IF(AND(ISNUMBER('Raw Data'!U60), IFERROR('Raw Data'!U60 = ROUND('Raw Data'!U60, 2),FALSE)),"",_xlfn.REGEXEXTRACT(CELL("address",U60), "\$([A-Z]+)\$[0-9]+"))),_xlfn.REGEXEXTRACT(CELL("address",U60), "\$([A-Z]+)\$[0-9]+"))</f>
        <v/>
      </c>
      <c r="V60" s="7" t="str" cm="1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7" t="str" cm="1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7" t="str" cm="1">
        <f t="array" aca="1" ref="X60" ca="1">IFERROR(IF(OR('Raw Data'!X60="",LEN(TRIM('Raw Data'!X60))=0),"",IF(AND(ISNUMBER('Raw Data'!X60), IFERROR('Raw Data'!X60 = ROUND('Raw Data'!X60, 2),FALSE)),"",_xlfn.REGEXEXTRACT(CELL("address",X60), "\$([A-Z]+)\$[0-9]+"))),_xlfn.REGEXEXTRACT(CELL("address",X60), "\$([A-Z]+)\$[0-9]+"))</f>
        <v/>
      </c>
      <c r="Y60" s="7" t="str" cm="1">
        <f t="array" aca="1" ref="Y60" ca="1">IFERROR(IF(OR('Raw Data'!Y60="",LEN(TRIM('Raw Data'!Y60))=0),"",IF(AND(ISNUMBER('Raw Data'!Y60), IFERROR('Raw Data'!Y60 = ROUND('Raw Data'!Y60, 2),FALSE)),"",_xlfn.REGEXEXTRACT(CELL("address",Y60), "\$([A-Z]+)\$[0-9]+"))),_xlfn.REGEXEXTRACT(CELL("address",Y60), "\$([A-Z]+)\$[0-9]+"))</f>
        <v/>
      </c>
      <c r="Z60" s="7" t="str" cm="1">
        <f t="array" aca="1" ref="Z60" ca="1">IFERROR(IF(OR('Raw Data'!Z60="",LEN(TRIM('Raw Data'!Z60))=0),"",IF(AND(ISNUMBER('Raw Data'!Z60), IFERROR('Raw Data'!Z60 = ROUND('Raw Data'!Z60, 2),FALSE)),"",_xlfn.REGEXEXTRACT(CELL("address",Z60), "\$([A-Z]+)\$[0-9]+"))),_xlfn.REGEXEXTRACT(CELL("address",Z60), "\$([A-Z]+)\$[0-9]+"))</f>
        <v/>
      </c>
      <c r="AA60" s="7" t="str" cm="1">
        <f t="array" aca="1" ref="AA60" ca="1">IFERROR(IF(OR('Raw Data'!AA60="",LEN(TRIM('Raw Data'!AA60))=0),"",IF(AND(ISNUMBER('Raw Data'!AA60), IFERROR('Raw Data'!AA60 = ROUND('Raw Data'!AA60, 2),FALSE)),"",_xlfn.REGEXEXTRACT(CELL("address",AA60), "\$([A-Z]+)\$[0-9]+"))),_xlfn.REGEXEXTRACT(CELL("address",AA60), "\$([A-Z]+)\$[0-9]+"))</f>
        <v/>
      </c>
      <c r="AB60" s="7" t="str" cm="1">
        <f t="array" aca="1" ref="AB60" ca="1">IFERROR(IF(OR('Raw Data'!AB60="",LEN(TRIM('Raw Data'!AB60))=0),"",IF(AND(ISNUMBER('Raw Data'!AB60), IFERROR('Raw Data'!AB60 = ROUND('Raw Data'!AB60, 2),FALSE)),"",_xlfn.REGEXEXTRACT(CELL("address",AB60), "\$([A-Z]+)\$[0-9]+"))),_xlfn.REGEXEXTRACT(CELL("address",AB60), "\$([A-Z]+)\$[0-9]+"))</f>
        <v/>
      </c>
    </row>
    <row r="61" spans="2:28" x14ac:dyDescent="0.25">
      <c r="B61" s="7" t="str" cm="1">
        <f t="array" aca="1" ref="B61" ca="1">IFERROR(IF(OR('Raw Data'!B61="",LEN(TRIM('Raw Data'!B61))=0),"",IF(AND(LEN('Raw Data'!B61) &lt;= 255,LEN('Raw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20,LEN('Raw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Data'!D61))=0),"",IF(AND(ISNUMBER('Raw Data'!D61),'Raw Data'!D61&gt;=Configuration!$D$2),"",_xlfn.REGEXEXTRACT(CELL("address",'Raw Data'!D61),"\$([A-Z]+)\$[0-9]+"))),_xlfn.REGEXEXTRACT(CELL("address",D61), "\$([A-Z]+)\$[0-9]+"))</f>
        <v/>
      </c>
      <c r="E61" s="7" t="str" cm="1">
        <f t="array" aca="1" ref="E61" ca="1">IFERROR(IF(OR('Raw Data'!E61="",LEN(TRIM('Raw Data'!E61))=0),"",IF(AND(ISNUMBER('Raw Data'!E61), IFERROR('Raw Data'!E61 = ROUND('Raw Data'!E61, 2),FALSE)),"",_xlfn.REGEXEXTRACT(CELL("address",E61), "\$([A-Z]+)\$[0-9]+"))),_xlfn.REGEXEXTRACT(CELL("address",E61), "\$([A-Z]+)\$[0-9]+"))</f>
        <v/>
      </c>
      <c r="F61" s="7" t="str" cm="1">
        <f t="array" aca="1" ref="F61" ca="1">IFERROR(IF(OR('Raw Data'!F61="",LEN(TRIM('Raw Data'!F61))=0),"",IF(AND(ISNUMBER('Raw Data'!F61), IFERROR('Raw Data'!F61 = ROUND('Raw Data'!F61, 2),FALSE)),"",_xlfn.REGEXEXTRACT(CELL("address",F61), "\$([A-Z]+)\$[0-9]+"))),_xlfn.REGEXEXTRACT(CELL("address",F61), "\$([A-Z]+)\$[0-9]+"))</f>
        <v/>
      </c>
      <c r="G61" s="7" t="str" cm="1">
        <f t="array" aca="1" ref="G61" ca="1">IFERROR(IF(OR('Raw Data'!G61="",LEN(TRIM('Raw Data'!G61))=0),"",IF(AND(ISNUMBER('Raw Data'!G61), IFERROR('Raw Data'!G61 = ROUND('Raw Data'!G61, 2),FALSE)),"",_xlfn.REGEXEXTRACT(CELL("address",G61), "\$([A-Z]+)\$[0-9]+"))),_xlfn.REGEXEXTRACT(CELL("address",G61), "\$([A-Z]+)\$[0-9]+"))</f>
        <v/>
      </c>
      <c r="H61" s="7" t="str" cm="1">
        <f t="array" aca="1" ref="H61" ca="1">IFERROR(IF(OR('Raw Data'!H61="",LEN(TRIM('Raw Data'!H61))=0),"",IF(AND(ISNUMBER('Raw Data'!H61), IFERROR('Raw Data'!H61 = ROUND('Raw Data'!H61, 2),FALSE)),"",_xlfn.REGEXEXTRACT(CELL("address",H61), "\$([A-Z]+)\$[0-9]+"))),_xlfn.REGEXEXTRACT(CELL("address",H61), "\$([A-Z]+)\$[0-9]+"))</f>
        <v/>
      </c>
      <c r="I61" s="7" t="str" cm="1">
        <f t="array" aca="1" ref="I61" ca="1">IFERROR(IF(OR('Raw Data'!I61="",LEN(TRIM('Raw Data'!I61))=0),"",IF(AND(ISNUMBER('Raw Data'!I61), IFERROR('Raw Data'!I61 = ROUND('Raw Data'!I61, 2),FALSE)),"",_xlfn.REGEXEXTRACT(CELL("address",I61), "\$([A-Z]+)\$[0-9]+"))),_xlfn.REGEXEXTRACT(CELL("address",I61), "\$([A-Z]+)\$[0-9]+"))</f>
        <v/>
      </c>
      <c r="J61" s="7" t="str" cm="1">
        <f t="array" aca="1" ref="J61" ca="1">IFERROR(IF(OR('Raw Data'!J61="",LEN(TRIM('Raw Data'!J61))=0),"",IF(AND(ISNUMBER('Raw Data'!J61), IFERROR('Raw Data'!J61 = ROUND('Raw Data'!J61, 2),FALSE)),"",_xlfn.REGEXEXTRACT(CELL("address",J61), "\$([A-Z]+)\$[0-9]+"))),_xlfn.REGEXEXTRACT(CELL("address",J61), "\$([A-Z]+)\$[0-9]+"))</f>
        <v/>
      </c>
      <c r="K61" s="7" t="str" cm="1">
        <f t="array" aca="1" ref="K61" ca="1">IFERROR(IF(OR('Raw Data'!K61="",LEN(TRIM('Raw Data'!K61))=0),"",IF(AND(ISNUMBER('Raw Data'!K61), IFERROR('Raw Data'!K61 = ROUND('Raw Data'!K61, 2),FALSE)),"",_xlfn.REGEXEXTRACT(CELL("address",K61), "\$([A-Z]+)\$[0-9]+"))),_xlfn.REGEXEXTRACT(CELL("address",K61), "\$([A-Z]+)\$[0-9]+"))</f>
        <v/>
      </c>
      <c r="L61" s="7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7" t="str" cm="1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7" t="str" cm="1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  <c r="O61" s="7" t="str" cm="1">
        <f t="array" aca="1" ref="O61" ca="1">IFERROR(IF(OR('Raw Data'!O61="",LEN(TRIM('Raw Data'!O61))=0),"",IF(AND(ISNUMBER('Raw Data'!O61), IFERROR('Raw Data'!O61 = ROUND('Raw Data'!O61, 2),FALSE)),"",_xlfn.REGEXEXTRACT(CELL("address",O61), "\$([A-Z]+)\$[0-9]+"))),_xlfn.REGEXEXTRACT(CELL("address",O61), "\$([A-Z]+)\$[0-9]+"))</f>
        <v/>
      </c>
      <c r="P61" s="7" t="str" cm="1">
        <f t="array" aca="1" ref="P61" ca="1">IFERROR(IF(OR('Raw Data'!P61="",LEN(TRIM('Raw Data'!P61))=0),"",IF(AND(ISNUMBER('Raw Data'!P61), IFERROR('Raw Data'!P61 = ROUND('Raw Data'!P61, 2),FALSE)),"",_xlfn.REGEXEXTRACT(CELL("address",P61), "\$([A-Z]+)\$[0-9]+"))),_xlfn.REGEXEXTRACT(CELL("address",P61), "\$([A-Z]+)\$[0-9]+"))</f>
        <v/>
      </c>
      <c r="Q61" s="7" t="str" cm="1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7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7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7" t="str" cm="1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7" t="str" cm="1">
        <f t="array" aca="1" ref="U61" ca="1">IFERROR(IF(OR('Raw Data'!U61="",LEN(TRIM('Raw Data'!U61))=0),"",IF(AND(ISNUMBER('Raw Data'!U61), IFERROR('Raw Data'!U61 = ROUND('Raw Data'!U61, 2),FALSE)),"",_xlfn.REGEXEXTRACT(CELL("address",U61), "\$([A-Z]+)\$[0-9]+"))),_xlfn.REGEXEXTRACT(CELL("address",U61), "\$([A-Z]+)\$[0-9]+"))</f>
        <v/>
      </c>
      <c r="V61" s="7" t="str" cm="1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7" t="str" cm="1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7" t="str" cm="1">
        <f t="array" aca="1" ref="X61" ca="1">IFERROR(IF(OR('Raw Data'!X61="",LEN(TRIM('Raw Data'!X61))=0),"",IF(AND(ISNUMBER('Raw Data'!X61), IFERROR('Raw Data'!X61 = ROUND('Raw Data'!X61, 2),FALSE)),"",_xlfn.REGEXEXTRACT(CELL("address",X61), "\$([A-Z]+)\$[0-9]+"))),_xlfn.REGEXEXTRACT(CELL("address",X61), "\$([A-Z]+)\$[0-9]+"))</f>
        <v/>
      </c>
      <c r="Y61" s="7" t="str" cm="1">
        <f t="array" aca="1" ref="Y61" ca="1">IFERROR(IF(OR('Raw Data'!Y61="",LEN(TRIM('Raw Data'!Y61))=0),"",IF(AND(ISNUMBER('Raw Data'!Y61), IFERROR('Raw Data'!Y61 = ROUND('Raw Data'!Y61, 2),FALSE)),"",_xlfn.REGEXEXTRACT(CELL("address",Y61), "\$([A-Z]+)\$[0-9]+"))),_xlfn.REGEXEXTRACT(CELL("address",Y61), "\$([A-Z]+)\$[0-9]+"))</f>
        <v/>
      </c>
      <c r="Z61" s="7" t="str" cm="1">
        <f t="array" aca="1" ref="Z61" ca="1">IFERROR(IF(OR('Raw Data'!Z61="",LEN(TRIM('Raw Data'!Z61))=0),"",IF(AND(ISNUMBER('Raw Data'!Z61), IFERROR('Raw Data'!Z61 = ROUND('Raw Data'!Z61, 2),FALSE)),"",_xlfn.REGEXEXTRACT(CELL("address",Z61), "\$([A-Z]+)\$[0-9]+"))),_xlfn.REGEXEXTRACT(CELL("address",Z61), "\$([A-Z]+)\$[0-9]+"))</f>
        <v/>
      </c>
      <c r="AA61" s="7" t="str" cm="1">
        <f t="array" aca="1" ref="AA61" ca="1">IFERROR(IF(OR('Raw Data'!AA61="",LEN(TRIM('Raw Data'!AA61))=0),"",IF(AND(ISNUMBER('Raw Data'!AA61), IFERROR('Raw Data'!AA61 = ROUND('Raw Data'!AA61, 2),FALSE)),"",_xlfn.REGEXEXTRACT(CELL("address",AA61), "\$([A-Z]+)\$[0-9]+"))),_xlfn.REGEXEXTRACT(CELL("address",AA61), "\$([A-Z]+)\$[0-9]+"))</f>
        <v/>
      </c>
      <c r="AB61" s="7" t="str" cm="1">
        <f t="array" aca="1" ref="AB61" ca="1">IFERROR(IF(OR('Raw Data'!AB61="",LEN(TRIM('Raw Data'!AB61))=0),"",IF(AND(ISNUMBER('Raw Data'!AB61), IFERROR('Raw Data'!AB61 = ROUND('Raw Data'!AB61, 2),FALSE)),"",_xlfn.REGEXEXTRACT(CELL("address",AB61), "\$([A-Z]+)\$[0-9]+"))),_xlfn.REGEXEXTRACT(CELL("address",AB61), "\$([A-Z]+)\$[0-9]+"))</f>
        <v/>
      </c>
    </row>
    <row r="62" spans="2:28" x14ac:dyDescent="0.25">
      <c r="B62" s="7" t="str" cm="1">
        <f t="array" aca="1" ref="B62" ca="1">IFERROR(IF(OR('Raw Data'!B62="",LEN(TRIM('Raw Data'!B62))=0),"",IF(AND(LEN('Raw Data'!B62) &lt;= 255,LEN('Raw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20,LEN('Raw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Data'!D62))=0),"",IF(AND(ISNUMBER('Raw Data'!D62),'Raw Data'!D62&gt;=Configuration!$D$2),"",_xlfn.REGEXEXTRACT(CELL("address",'Raw Data'!D62),"\$([A-Z]+)\$[0-9]+"))),_xlfn.REGEXEXTRACT(CELL("address",D62), "\$([A-Z]+)\$[0-9]+"))</f>
        <v/>
      </c>
      <c r="E62" s="7" t="str" cm="1">
        <f t="array" aca="1" ref="E62" ca="1">IFERROR(IF(OR('Raw Data'!E62="",LEN(TRIM('Raw Data'!E62))=0),"",IF(AND(ISNUMBER('Raw Data'!E62), IFERROR('Raw Data'!E62 = ROUND('Raw Data'!E62, 2),FALSE)),"",_xlfn.REGEXEXTRACT(CELL("address",E62), "\$([A-Z]+)\$[0-9]+"))),_xlfn.REGEXEXTRACT(CELL("address",E62), "\$([A-Z]+)\$[0-9]+"))</f>
        <v/>
      </c>
      <c r="F62" s="7" t="str" cm="1">
        <f t="array" aca="1" ref="F62" ca="1">IFERROR(IF(OR('Raw Data'!F62="",LEN(TRIM('Raw Data'!F62))=0),"",IF(AND(ISNUMBER('Raw Data'!F62), IFERROR('Raw Data'!F62 = ROUND('Raw Data'!F62, 2),FALSE)),"",_xlfn.REGEXEXTRACT(CELL("address",F62), "\$([A-Z]+)\$[0-9]+"))),_xlfn.REGEXEXTRACT(CELL("address",F62), "\$([A-Z]+)\$[0-9]+"))</f>
        <v/>
      </c>
      <c r="G62" s="7" t="str" cm="1">
        <f t="array" aca="1" ref="G62" ca="1">IFERROR(IF(OR('Raw Data'!G62="",LEN(TRIM('Raw Data'!G62))=0),"",IF(AND(ISNUMBER('Raw Data'!G62), IFERROR('Raw Data'!G62 = ROUND('Raw Data'!G62, 2),FALSE)),"",_xlfn.REGEXEXTRACT(CELL("address",G62), "\$([A-Z]+)\$[0-9]+"))),_xlfn.REGEXEXTRACT(CELL("address",G62), "\$([A-Z]+)\$[0-9]+"))</f>
        <v/>
      </c>
      <c r="H62" s="7" t="str" cm="1">
        <f t="array" aca="1" ref="H62" ca="1">IFERROR(IF(OR('Raw Data'!H62="",LEN(TRIM('Raw Data'!H62))=0),"",IF(AND(ISNUMBER('Raw Data'!H62), IFERROR('Raw Data'!H62 = ROUND('Raw Data'!H62, 2),FALSE)),"",_xlfn.REGEXEXTRACT(CELL("address",H62), "\$([A-Z]+)\$[0-9]+"))),_xlfn.REGEXEXTRACT(CELL("address",H62), "\$([A-Z]+)\$[0-9]+"))</f>
        <v/>
      </c>
      <c r="I62" s="7" t="str" cm="1">
        <f t="array" aca="1" ref="I62" ca="1">IFERROR(IF(OR('Raw Data'!I62="",LEN(TRIM('Raw Data'!I62))=0),"",IF(AND(ISNUMBER('Raw Data'!I62), IFERROR('Raw Data'!I62 = ROUND('Raw Data'!I62, 2),FALSE)),"",_xlfn.REGEXEXTRACT(CELL("address",I62), "\$([A-Z]+)\$[0-9]+"))),_xlfn.REGEXEXTRACT(CELL("address",I62), "\$([A-Z]+)\$[0-9]+"))</f>
        <v/>
      </c>
      <c r="J62" s="7" t="str" cm="1">
        <f t="array" aca="1" ref="J62" ca="1">IFERROR(IF(OR('Raw Data'!J62="",LEN(TRIM('Raw Data'!J62))=0),"",IF(AND(ISNUMBER('Raw Data'!J62), IFERROR('Raw Data'!J62 = ROUND('Raw Data'!J62, 2),FALSE)),"",_xlfn.REGEXEXTRACT(CELL("address",J62), "\$([A-Z]+)\$[0-9]+"))),_xlfn.REGEXEXTRACT(CELL("address",J62), "\$([A-Z]+)\$[0-9]+"))</f>
        <v/>
      </c>
      <c r="K62" s="7" t="str" cm="1">
        <f t="array" aca="1" ref="K62" ca="1">IFERROR(IF(OR('Raw Data'!K62="",LEN(TRIM('Raw Data'!K62))=0),"",IF(AND(ISNUMBER('Raw Data'!K62), IFERROR('Raw Data'!K62 = ROUND('Raw Data'!K62, 2),FALSE)),"",_xlfn.REGEXEXTRACT(CELL("address",K62), "\$([A-Z]+)\$[0-9]+"))),_xlfn.REGEXEXTRACT(CELL("address",K62), "\$([A-Z]+)\$[0-9]+"))</f>
        <v/>
      </c>
      <c r="L62" s="7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7" t="str" cm="1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7" t="str" cm="1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  <c r="O62" s="7" t="str" cm="1">
        <f t="array" aca="1" ref="O62" ca="1">IFERROR(IF(OR('Raw Data'!O62="",LEN(TRIM('Raw Data'!O62))=0),"",IF(AND(ISNUMBER('Raw Data'!O62), IFERROR('Raw Data'!O62 = ROUND('Raw Data'!O62, 2),FALSE)),"",_xlfn.REGEXEXTRACT(CELL("address",O62), "\$([A-Z]+)\$[0-9]+"))),_xlfn.REGEXEXTRACT(CELL("address",O62), "\$([A-Z]+)\$[0-9]+"))</f>
        <v/>
      </c>
      <c r="P62" s="7" t="str" cm="1">
        <f t="array" aca="1" ref="P62" ca="1">IFERROR(IF(OR('Raw Data'!P62="",LEN(TRIM('Raw Data'!P62))=0),"",IF(AND(ISNUMBER('Raw Data'!P62), IFERROR('Raw Data'!P62 = ROUND('Raw Data'!P62, 2),FALSE)),"",_xlfn.REGEXEXTRACT(CELL("address",P62), "\$([A-Z]+)\$[0-9]+"))),_xlfn.REGEXEXTRACT(CELL("address",P62), "\$([A-Z]+)\$[0-9]+"))</f>
        <v/>
      </c>
      <c r="Q62" s="7" t="str" cm="1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7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7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7" t="str" cm="1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7" t="str" cm="1">
        <f t="array" aca="1" ref="U62" ca="1">IFERROR(IF(OR('Raw Data'!U62="",LEN(TRIM('Raw Data'!U62))=0),"",IF(AND(ISNUMBER('Raw Data'!U62), IFERROR('Raw Data'!U62 = ROUND('Raw Data'!U62, 2),FALSE)),"",_xlfn.REGEXEXTRACT(CELL("address",U62), "\$([A-Z]+)\$[0-9]+"))),_xlfn.REGEXEXTRACT(CELL("address",U62), "\$([A-Z]+)\$[0-9]+"))</f>
        <v/>
      </c>
      <c r="V62" s="7" t="str" cm="1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7" t="str" cm="1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7" t="str" cm="1">
        <f t="array" aca="1" ref="X62" ca="1">IFERROR(IF(OR('Raw Data'!X62="",LEN(TRIM('Raw Data'!X62))=0),"",IF(AND(ISNUMBER('Raw Data'!X62), IFERROR('Raw Data'!X62 = ROUND('Raw Data'!X62, 2),FALSE)),"",_xlfn.REGEXEXTRACT(CELL("address",X62), "\$([A-Z]+)\$[0-9]+"))),_xlfn.REGEXEXTRACT(CELL("address",X62), "\$([A-Z]+)\$[0-9]+"))</f>
        <v/>
      </c>
      <c r="Y62" s="7" t="str" cm="1">
        <f t="array" aca="1" ref="Y62" ca="1">IFERROR(IF(OR('Raw Data'!Y62="",LEN(TRIM('Raw Data'!Y62))=0),"",IF(AND(ISNUMBER('Raw Data'!Y62), IFERROR('Raw Data'!Y62 = ROUND('Raw Data'!Y62, 2),FALSE)),"",_xlfn.REGEXEXTRACT(CELL("address",Y62), "\$([A-Z]+)\$[0-9]+"))),_xlfn.REGEXEXTRACT(CELL("address",Y62), "\$([A-Z]+)\$[0-9]+"))</f>
        <v/>
      </c>
      <c r="Z62" s="7" t="str" cm="1">
        <f t="array" aca="1" ref="Z62" ca="1">IFERROR(IF(OR('Raw Data'!Z62="",LEN(TRIM('Raw Data'!Z62))=0),"",IF(AND(ISNUMBER('Raw Data'!Z62), IFERROR('Raw Data'!Z62 = ROUND('Raw Data'!Z62, 2),FALSE)),"",_xlfn.REGEXEXTRACT(CELL("address",Z62), "\$([A-Z]+)\$[0-9]+"))),_xlfn.REGEXEXTRACT(CELL("address",Z62), "\$([A-Z]+)\$[0-9]+"))</f>
        <v/>
      </c>
      <c r="AA62" s="7" t="str" cm="1">
        <f t="array" aca="1" ref="AA62" ca="1">IFERROR(IF(OR('Raw Data'!AA62="",LEN(TRIM('Raw Data'!AA62))=0),"",IF(AND(ISNUMBER('Raw Data'!AA62), IFERROR('Raw Data'!AA62 = ROUND('Raw Data'!AA62, 2),FALSE)),"",_xlfn.REGEXEXTRACT(CELL("address",AA62), "\$([A-Z]+)\$[0-9]+"))),_xlfn.REGEXEXTRACT(CELL("address",AA62), "\$([A-Z]+)\$[0-9]+"))</f>
        <v/>
      </c>
      <c r="AB62" s="7" t="str" cm="1">
        <f t="array" aca="1" ref="AB62" ca="1">IFERROR(IF(OR('Raw Data'!AB62="",LEN(TRIM('Raw Data'!AB62))=0),"",IF(AND(ISNUMBER('Raw Data'!AB62), IFERROR('Raw Data'!AB62 = ROUND('Raw Data'!AB62, 2),FALSE)),"",_xlfn.REGEXEXTRACT(CELL("address",AB62), "\$([A-Z]+)\$[0-9]+"))),_xlfn.REGEXEXTRACT(CELL("address",AB62), "\$([A-Z]+)\$[0-9]+"))</f>
        <v/>
      </c>
    </row>
    <row r="63" spans="2:28" x14ac:dyDescent="0.25">
      <c r="B63" s="7" t="str" cm="1">
        <f t="array" aca="1" ref="B63" ca="1">IFERROR(IF(OR('Raw Data'!B63="",LEN(TRIM('Raw Data'!B63))=0),"",IF(AND(LEN('Raw Data'!B63) &lt;= 255,LEN('Raw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20,LEN('Raw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Data'!D63))=0),"",IF(AND(ISNUMBER('Raw Data'!D63),'Raw Data'!D63&gt;=Configuration!$D$2),"",_xlfn.REGEXEXTRACT(CELL("address",'Raw Data'!D63),"\$([A-Z]+)\$[0-9]+"))),_xlfn.REGEXEXTRACT(CELL("address",D63), "\$([A-Z]+)\$[0-9]+"))</f>
        <v/>
      </c>
      <c r="E63" s="7" t="str" cm="1">
        <f t="array" aca="1" ref="E63" ca="1">IFERROR(IF(OR('Raw Data'!E63="",LEN(TRIM('Raw Data'!E63))=0),"",IF(AND(ISNUMBER('Raw Data'!E63), IFERROR('Raw Data'!E63 = ROUND('Raw Data'!E63, 2),FALSE)),"",_xlfn.REGEXEXTRACT(CELL("address",E63), "\$([A-Z]+)\$[0-9]+"))),_xlfn.REGEXEXTRACT(CELL("address",E63), "\$([A-Z]+)\$[0-9]+"))</f>
        <v/>
      </c>
      <c r="F63" s="7" t="str" cm="1">
        <f t="array" aca="1" ref="F63" ca="1">IFERROR(IF(OR('Raw Data'!F63="",LEN(TRIM('Raw Data'!F63))=0),"",IF(AND(ISNUMBER('Raw Data'!F63), IFERROR('Raw Data'!F63 = ROUND('Raw Data'!F63, 2),FALSE)),"",_xlfn.REGEXEXTRACT(CELL("address",F63), "\$([A-Z]+)\$[0-9]+"))),_xlfn.REGEXEXTRACT(CELL("address",F63), "\$([A-Z]+)\$[0-9]+"))</f>
        <v/>
      </c>
      <c r="G63" s="7" t="str" cm="1">
        <f t="array" aca="1" ref="G63" ca="1">IFERROR(IF(OR('Raw Data'!G63="",LEN(TRIM('Raw Data'!G63))=0),"",IF(AND(ISNUMBER('Raw Data'!G63), IFERROR('Raw Data'!G63 = ROUND('Raw Data'!G63, 2),FALSE)),"",_xlfn.REGEXEXTRACT(CELL("address",G63), "\$([A-Z]+)\$[0-9]+"))),_xlfn.REGEXEXTRACT(CELL("address",G63), "\$([A-Z]+)\$[0-9]+"))</f>
        <v/>
      </c>
      <c r="H63" s="7" t="str" cm="1">
        <f t="array" aca="1" ref="H63" ca="1">IFERROR(IF(OR('Raw Data'!H63="",LEN(TRIM('Raw Data'!H63))=0),"",IF(AND(ISNUMBER('Raw Data'!H63), IFERROR('Raw Data'!H63 = ROUND('Raw Data'!H63, 2),FALSE)),"",_xlfn.REGEXEXTRACT(CELL("address",H63), "\$([A-Z]+)\$[0-9]+"))),_xlfn.REGEXEXTRACT(CELL("address",H63), "\$([A-Z]+)\$[0-9]+"))</f>
        <v/>
      </c>
      <c r="I63" s="7" t="str" cm="1">
        <f t="array" aca="1" ref="I63" ca="1">IFERROR(IF(OR('Raw Data'!I63="",LEN(TRIM('Raw Data'!I63))=0),"",IF(AND(ISNUMBER('Raw Data'!I63), IFERROR('Raw Data'!I63 = ROUND('Raw Data'!I63, 2),FALSE)),"",_xlfn.REGEXEXTRACT(CELL("address",I63), "\$([A-Z]+)\$[0-9]+"))),_xlfn.REGEXEXTRACT(CELL("address",I63), "\$([A-Z]+)\$[0-9]+"))</f>
        <v/>
      </c>
      <c r="J63" s="7" t="str" cm="1">
        <f t="array" aca="1" ref="J63" ca="1">IFERROR(IF(OR('Raw Data'!J63="",LEN(TRIM('Raw Data'!J63))=0),"",IF(AND(ISNUMBER('Raw Data'!J63), IFERROR('Raw Data'!J63 = ROUND('Raw Data'!J63, 2),FALSE)),"",_xlfn.REGEXEXTRACT(CELL("address",J63), "\$([A-Z]+)\$[0-9]+"))),_xlfn.REGEXEXTRACT(CELL("address",J63), "\$([A-Z]+)\$[0-9]+"))</f>
        <v/>
      </c>
      <c r="K63" s="7" t="str" cm="1">
        <f t="array" aca="1" ref="K63" ca="1">IFERROR(IF(OR('Raw Data'!K63="",LEN(TRIM('Raw Data'!K63))=0),"",IF(AND(ISNUMBER('Raw Data'!K63), IFERROR('Raw Data'!K63 = ROUND('Raw Data'!K63, 2),FALSE)),"",_xlfn.REGEXEXTRACT(CELL("address",K63), "\$([A-Z]+)\$[0-9]+"))),_xlfn.REGEXEXTRACT(CELL("address",K63), "\$([A-Z]+)\$[0-9]+"))</f>
        <v/>
      </c>
      <c r="L63" s="7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7" t="str" cm="1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7" t="str" cm="1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  <c r="O63" s="7" t="str" cm="1">
        <f t="array" aca="1" ref="O63" ca="1">IFERROR(IF(OR('Raw Data'!O63="",LEN(TRIM('Raw Data'!O63))=0),"",IF(AND(ISNUMBER('Raw Data'!O63), IFERROR('Raw Data'!O63 = ROUND('Raw Data'!O63, 2),FALSE)),"",_xlfn.REGEXEXTRACT(CELL("address",O63), "\$([A-Z]+)\$[0-9]+"))),_xlfn.REGEXEXTRACT(CELL("address",O63), "\$([A-Z]+)\$[0-9]+"))</f>
        <v/>
      </c>
      <c r="P63" s="7" t="str" cm="1">
        <f t="array" aca="1" ref="P63" ca="1">IFERROR(IF(OR('Raw Data'!P63="",LEN(TRIM('Raw Data'!P63))=0),"",IF(AND(ISNUMBER('Raw Data'!P63), IFERROR('Raw Data'!P63 = ROUND('Raw Data'!P63, 2),FALSE)),"",_xlfn.REGEXEXTRACT(CELL("address",P63), "\$([A-Z]+)\$[0-9]+"))),_xlfn.REGEXEXTRACT(CELL("address",P63), "\$([A-Z]+)\$[0-9]+"))</f>
        <v/>
      </c>
      <c r="Q63" s="7" t="str" cm="1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7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7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7" t="str" cm="1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7" t="str" cm="1">
        <f t="array" aca="1" ref="U63" ca="1">IFERROR(IF(OR('Raw Data'!U63="",LEN(TRIM('Raw Data'!U63))=0),"",IF(AND(ISNUMBER('Raw Data'!U63), IFERROR('Raw Data'!U63 = ROUND('Raw Data'!U63, 2),FALSE)),"",_xlfn.REGEXEXTRACT(CELL("address",U63), "\$([A-Z]+)\$[0-9]+"))),_xlfn.REGEXEXTRACT(CELL("address",U63), "\$([A-Z]+)\$[0-9]+"))</f>
        <v/>
      </c>
      <c r="V63" s="7" t="str" cm="1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7" t="str" cm="1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7" t="str" cm="1">
        <f t="array" aca="1" ref="X63" ca="1">IFERROR(IF(OR('Raw Data'!X63="",LEN(TRIM('Raw Data'!X63))=0),"",IF(AND(ISNUMBER('Raw Data'!X63), IFERROR('Raw Data'!X63 = ROUND('Raw Data'!X63, 2),FALSE)),"",_xlfn.REGEXEXTRACT(CELL("address",X63), "\$([A-Z]+)\$[0-9]+"))),_xlfn.REGEXEXTRACT(CELL("address",X63), "\$([A-Z]+)\$[0-9]+"))</f>
        <v/>
      </c>
      <c r="Y63" s="7" t="str" cm="1">
        <f t="array" aca="1" ref="Y63" ca="1">IFERROR(IF(OR('Raw Data'!Y63="",LEN(TRIM('Raw Data'!Y63))=0),"",IF(AND(ISNUMBER('Raw Data'!Y63), IFERROR('Raw Data'!Y63 = ROUND('Raw Data'!Y63, 2),FALSE)),"",_xlfn.REGEXEXTRACT(CELL("address",Y63), "\$([A-Z]+)\$[0-9]+"))),_xlfn.REGEXEXTRACT(CELL("address",Y63), "\$([A-Z]+)\$[0-9]+"))</f>
        <v/>
      </c>
      <c r="Z63" s="7" t="str" cm="1">
        <f t="array" aca="1" ref="Z63" ca="1">IFERROR(IF(OR('Raw Data'!Z63="",LEN(TRIM('Raw Data'!Z63))=0),"",IF(AND(ISNUMBER('Raw Data'!Z63), IFERROR('Raw Data'!Z63 = ROUND('Raw Data'!Z63, 2),FALSE)),"",_xlfn.REGEXEXTRACT(CELL("address",Z63), "\$([A-Z]+)\$[0-9]+"))),_xlfn.REGEXEXTRACT(CELL("address",Z63), "\$([A-Z]+)\$[0-9]+"))</f>
        <v/>
      </c>
      <c r="AA63" s="7" t="str" cm="1">
        <f t="array" aca="1" ref="AA63" ca="1">IFERROR(IF(OR('Raw Data'!AA63="",LEN(TRIM('Raw Data'!AA63))=0),"",IF(AND(ISNUMBER('Raw Data'!AA63), IFERROR('Raw Data'!AA63 = ROUND('Raw Data'!AA63, 2),FALSE)),"",_xlfn.REGEXEXTRACT(CELL("address",AA63), "\$([A-Z]+)\$[0-9]+"))),_xlfn.REGEXEXTRACT(CELL("address",AA63), "\$([A-Z]+)\$[0-9]+"))</f>
        <v/>
      </c>
      <c r="AB63" s="7" t="str" cm="1">
        <f t="array" aca="1" ref="AB63" ca="1">IFERROR(IF(OR('Raw Data'!AB63="",LEN(TRIM('Raw Data'!AB63))=0),"",IF(AND(ISNUMBER('Raw Data'!AB63), IFERROR('Raw Data'!AB63 = ROUND('Raw Data'!AB63, 2),FALSE)),"",_xlfn.REGEXEXTRACT(CELL("address",AB63), "\$([A-Z]+)\$[0-9]+"))),_xlfn.REGEXEXTRACT(CELL("address",AB63), "\$([A-Z]+)\$[0-9]+"))</f>
        <v/>
      </c>
    </row>
    <row r="64" spans="2:28" x14ac:dyDescent="0.25">
      <c r="B64" s="7" t="str" cm="1">
        <f t="array" aca="1" ref="B64" ca="1">IFERROR(IF(OR('Raw Data'!B64="",LEN(TRIM('Raw Data'!B64))=0),"",IF(AND(LEN('Raw Data'!B64) &lt;= 255,LEN('Raw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20,LEN('Raw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Data'!D64))=0),"",IF(AND(ISNUMBER('Raw Data'!D64),'Raw Data'!D64&gt;=Configuration!$D$2),"",_xlfn.REGEXEXTRACT(CELL("address",'Raw Data'!D64),"\$([A-Z]+)\$[0-9]+"))),_xlfn.REGEXEXTRACT(CELL("address",D64), "\$([A-Z]+)\$[0-9]+"))</f>
        <v/>
      </c>
      <c r="E64" s="7" t="str" cm="1">
        <f t="array" aca="1" ref="E64" ca="1">IFERROR(IF(OR('Raw Data'!E64="",LEN(TRIM('Raw Data'!E64))=0),"",IF(AND(ISNUMBER('Raw Data'!E64), IFERROR('Raw Data'!E64 = ROUND('Raw Data'!E64, 2),FALSE)),"",_xlfn.REGEXEXTRACT(CELL("address",E64), "\$([A-Z]+)\$[0-9]+"))),_xlfn.REGEXEXTRACT(CELL("address",E64), "\$([A-Z]+)\$[0-9]+"))</f>
        <v/>
      </c>
      <c r="F64" s="7" t="str" cm="1">
        <f t="array" aca="1" ref="F64" ca="1">IFERROR(IF(OR('Raw Data'!F64="",LEN(TRIM('Raw Data'!F64))=0),"",IF(AND(ISNUMBER('Raw Data'!F64), IFERROR('Raw Data'!F64 = ROUND('Raw Data'!F64, 2),FALSE)),"",_xlfn.REGEXEXTRACT(CELL("address",F64), "\$([A-Z]+)\$[0-9]+"))),_xlfn.REGEXEXTRACT(CELL("address",F64), "\$([A-Z]+)\$[0-9]+"))</f>
        <v/>
      </c>
      <c r="G64" s="7" t="str" cm="1">
        <f t="array" aca="1" ref="G64" ca="1">IFERROR(IF(OR('Raw Data'!G64="",LEN(TRIM('Raw Data'!G64))=0),"",IF(AND(ISNUMBER('Raw Data'!G64), IFERROR('Raw Data'!G64 = ROUND('Raw Data'!G64, 2),FALSE)),"",_xlfn.REGEXEXTRACT(CELL("address",G64), "\$([A-Z]+)\$[0-9]+"))),_xlfn.REGEXEXTRACT(CELL("address",G64), "\$([A-Z]+)\$[0-9]+"))</f>
        <v/>
      </c>
      <c r="H64" s="7" t="str" cm="1">
        <f t="array" aca="1" ref="H64" ca="1">IFERROR(IF(OR('Raw Data'!H64="",LEN(TRIM('Raw Data'!H64))=0),"",IF(AND(ISNUMBER('Raw Data'!H64), IFERROR('Raw Data'!H64 = ROUND('Raw Data'!H64, 2),FALSE)),"",_xlfn.REGEXEXTRACT(CELL("address",H64), "\$([A-Z]+)\$[0-9]+"))),_xlfn.REGEXEXTRACT(CELL("address",H64), "\$([A-Z]+)\$[0-9]+"))</f>
        <v/>
      </c>
      <c r="I64" s="7" t="str" cm="1">
        <f t="array" aca="1" ref="I64" ca="1">IFERROR(IF(OR('Raw Data'!I64="",LEN(TRIM('Raw Data'!I64))=0),"",IF(AND(ISNUMBER('Raw Data'!I64), IFERROR('Raw Data'!I64 = ROUND('Raw Data'!I64, 2),FALSE)),"",_xlfn.REGEXEXTRACT(CELL("address",I64), "\$([A-Z]+)\$[0-9]+"))),_xlfn.REGEXEXTRACT(CELL("address",I64), "\$([A-Z]+)\$[0-9]+"))</f>
        <v/>
      </c>
      <c r="J64" s="7" t="str" cm="1">
        <f t="array" aca="1" ref="J64" ca="1">IFERROR(IF(OR('Raw Data'!J64="",LEN(TRIM('Raw Data'!J64))=0),"",IF(AND(ISNUMBER('Raw Data'!J64), IFERROR('Raw Data'!J64 = ROUND('Raw Data'!J64, 2),FALSE)),"",_xlfn.REGEXEXTRACT(CELL("address",J64), "\$([A-Z]+)\$[0-9]+"))),_xlfn.REGEXEXTRACT(CELL("address",J64), "\$([A-Z]+)\$[0-9]+"))</f>
        <v/>
      </c>
      <c r="K64" s="7" t="str" cm="1">
        <f t="array" aca="1" ref="K64" ca="1">IFERROR(IF(OR('Raw Data'!K64="",LEN(TRIM('Raw Data'!K64))=0),"",IF(AND(ISNUMBER('Raw Data'!K64), IFERROR('Raw Data'!K64 = ROUND('Raw Data'!K64, 2),FALSE)),"",_xlfn.REGEXEXTRACT(CELL("address",K64), "\$([A-Z]+)\$[0-9]+"))),_xlfn.REGEXEXTRACT(CELL("address",K64), "\$([A-Z]+)\$[0-9]+"))</f>
        <v/>
      </c>
      <c r="L64" s="7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7" t="str" cm="1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7" t="str" cm="1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  <c r="O64" s="7" t="str" cm="1">
        <f t="array" aca="1" ref="O64" ca="1">IFERROR(IF(OR('Raw Data'!O64="",LEN(TRIM('Raw Data'!O64))=0),"",IF(AND(ISNUMBER('Raw Data'!O64), IFERROR('Raw Data'!O64 = ROUND('Raw Data'!O64, 2),FALSE)),"",_xlfn.REGEXEXTRACT(CELL("address",O64), "\$([A-Z]+)\$[0-9]+"))),_xlfn.REGEXEXTRACT(CELL("address",O64), "\$([A-Z]+)\$[0-9]+"))</f>
        <v/>
      </c>
      <c r="P64" s="7" t="str" cm="1">
        <f t="array" aca="1" ref="P64" ca="1">IFERROR(IF(OR('Raw Data'!P64="",LEN(TRIM('Raw Data'!P64))=0),"",IF(AND(ISNUMBER('Raw Data'!P64), IFERROR('Raw Data'!P64 = ROUND('Raw Data'!P64, 2),FALSE)),"",_xlfn.REGEXEXTRACT(CELL("address",P64), "\$([A-Z]+)\$[0-9]+"))),_xlfn.REGEXEXTRACT(CELL("address",P64), "\$([A-Z]+)\$[0-9]+"))</f>
        <v/>
      </c>
      <c r="Q64" s="7" t="str" cm="1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7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7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7" t="str" cm="1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7" t="str" cm="1">
        <f t="array" aca="1" ref="U64" ca="1">IFERROR(IF(OR('Raw Data'!U64="",LEN(TRIM('Raw Data'!U64))=0),"",IF(AND(ISNUMBER('Raw Data'!U64), IFERROR('Raw Data'!U64 = ROUND('Raw Data'!U64, 2),FALSE)),"",_xlfn.REGEXEXTRACT(CELL("address",U64), "\$([A-Z]+)\$[0-9]+"))),_xlfn.REGEXEXTRACT(CELL("address",U64), "\$([A-Z]+)\$[0-9]+"))</f>
        <v/>
      </c>
      <c r="V64" s="7" t="str" cm="1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7" t="str" cm="1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7" t="str" cm="1">
        <f t="array" aca="1" ref="X64" ca="1">IFERROR(IF(OR('Raw Data'!X64="",LEN(TRIM('Raw Data'!X64))=0),"",IF(AND(ISNUMBER('Raw Data'!X64), IFERROR('Raw Data'!X64 = ROUND('Raw Data'!X64, 2),FALSE)),"",_xlfn.REGEXEXTRACT(CELL("address",X64), "\$([A-Z]+)\$[0-9]+"))),_xlfn.REGEXEXTRACT(CELL("address",X64), "\$([A-Z]+)\$[0-9]+"))</f>
        <v/>
      </c>
      <c r="Y64" s="7" t="str" cm="1">
        <f t="array" aca="1" ref="Y64" ca="1">IFERROR(IF(OR('Raw Data'!Y64="",LEN(TRIM('Raw Data'!Y64))=0),"",IF(AND(ISNUMBER('Raw Data'!Y64), IFERROR('Raw Data'!Y64 = ROUND('Raw Data'!Y64, 2),FALSE)),"",_xlfn.REGEXEXTRACT(CELL("address",Y64), "\$([A-Z]+)\$[0-9]+"))),_xlfn.REGEXEXTRACT(CELL("address",Y64), "\$([A-Z]+)\$[0-9]+"))</f>
        <v/>
      </c>
      <c r="Z64" s="7" t="str" cm="1">
        <f t="array" aca="1" ref="Z64" ca="1">IFERROR(IF(OR('Raw Data'!Z64="",LEN(TRIM('Raw Data'!Z64))=0),"",IF(AND(ISNUMBER('Raw Data'!Z64), IFERROR('Raw Data'!Z64 = ROUND('Raw Data'!Z64, 2),FALSE)),"",_xlfn.REGEXEXTRACT(CELL("address",Z64), "\$([A-Z]+)\$[0-9]+"))),_xlfn.REGEXEXTRACT(CELL("address",Z64), "\$([A-Z]+)\$[0-9]+"))</f>
        <v/>
      </c>
      <c r="AA64" s="7" t="str" cm="1">
        <f t="array" aca="1" ref="AA64" ca="1">IFERROR(IF(OR('Raw Data'!AA64="",LEN(TRIM('Raw Data'!AA64))=0),"",IF(AND(ISNUMBER('Raw Data'!AA64), IFERROR('Raw Data'!AA64 = ROUND('Raw Data'!AA64, 2),FALSE)),"",_xlfn.REGEXEXTRACT(CELL("address",AA64), "\$([A-Z]+)\$[0-9]+"))),_xlfn.REGEXEXTRACT(CELL("address",AA64), "\$([A-Z]+)\$[0-9]+"))</f>
        <v/>
      </c>
      <c r="AB64" s="7" t="str" cm="1">
        <f t="array" aca="1" ref="AB64" ca="1">IFERROR(IF(OR('Raw Data'!AB64="",LEN(TRIM('Raw Data'!AB64))=0),"",IF(AND(ISNUMBER('Raw Data'!AB64), IFERROR('Raw Data'!AB64 = ROUND('Raw Data'!AB64, 2),FALSE)),"",_xlfn.REGEXEXTRACT(CELL("address",AB64), "\$([A-Z]+)\$[0-9]+"))),_xlfn.REGEXEXTRACT(CELL("address",AB64), "\$([A-Z]+)\$[0-9]+"))</f>
        <v/>
      </c>
    </row>
    <row r="65" spans="2:28" x14ac:dyDescent="0.25">
      <c r="B65" s="7" t="str" cm="1">
        <f t="array" aca="1" ref="B65" ca="1">IFERROR(IF(OR('Raw Data'!B65="",LEN(TRIM('Raw Data'!B65))=0),"",IF(AND(LEN('Raw Data'!B65) &lt;= 255,LEN('Raw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20,LEN('Raw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Data'!D65))=0),"",IF(AND(ISNUMBER('Raw Data'!D65),'Raw Data'!D65&gt;=Configuration!$D$2),"",_xlfn.REGEXEXTRACT(CELL("address",'Raw Data'!D65),"\$([A-Z]+)\$[0-9]+"))),_xlfn.REGEXEXTRACT(CELL("address",D65), "\$([A-Z]+)\$[0-9]+"))</f>
        <v/>
      </c>
      <c r="E65" s="7" t="str" cm="1">
        <f t="array" aca="1" ref="E65" ca="1">IFERROR(IF(OR('Raw Data'!E65="",LEN(TRIM('Raw Data'!E65))=0),"",IF(AND(ISNUMBER('Raw Data'!E65), IFERROR('Raw Data'!E65 = ROUND('Raw Data'!E65, 2),FALSE)),"",_xlfn.REGEXEXTRACT(CELL("address",E65), "\$([A-Z]+)\$[0-9]+"))),_xlfn.REGEXEXTRACT(CELL("address",E65), "\$([A-Z]+)\$[0-9]+"))</f>
        <v/>
      </c>
      <c r="F65" s="7" t="str" cm="1">
        <f t="array" aca="1" ref="F65" ca="1">IFERROR(IF(OR('Raw Data'!F65="",LEN(TRIM('Raw Data'!F65))=0),"",IF(AND(ISNUMBER('Raw Data'!F65), IFERROR('Raw Data'!F65 = ROUND('Raw Data'!F65, 2),FALSE)),"",_xlfn.REGEXEXTRACT(CELL("address",F65), "\$([A-Z]+)\$[0-9]+"))),_xlfn.REGEXEXTRACT(CELL("address",F65), "\$([A-Z]+)\$[0-9]+"))</f>
        <v/>
      </c>
      <c r="G65" s="7" t="str" cm="1">
        <f t="array" aca="1" ref="G65" ca="1">IFERROR(IF(OR('Raw Data'!G65="",LEN(TRIM('Raw Data'!G65))=0),"",IF(AND(ISNUMBER('Raw Data'!G65), IFERROR('Raw Data'!G65 = ROUND('Raw Data'!G65, 2),FALSE)),"",_xlfn.REGEXEXTRACT(CELL("address",G65), "\$([A-Z]+)\$[0-9]+"))),_xlfn.REGEXEXTRACT(CELL("address",G65), "\$([A-Z]+)\$[0-9]+"))</f>
        <v/>
      </c>
      <c r="H65" s="7" t="str" cm="1">
        <f t="array" aca="1" ref="H65" ca="1">IFERROR(IF(OR('Raw Data'!H65="",LEN(TRIM('Raw Data'!H65))=0),"",IF(AND(ISNUMBER('Raw Data'!H65), IFERROR('Raw Data'!H65 = ROUND('Raw Data'!H65, 2),FALSE)),"",_xlfn.REGEXEXTRACT(CELL("address",H65), "\$([A-Z]+)\$[0-9]+"))),_xlfn.REGEXEXTRACT(CELL("address",H65), "\$([A-Z]+)\$[0-9]+"))</f>
        <v/>
      </c>
      <c r="I65" s="7" t="str" cm="1">
        <f t="array" aca="1" ref="I65" ca="1">IFERROR(IF(OR('Raw Data'!I65="",LEN(TRIM('Raw Data'!I65))=0),"",IF(AND(ISNUMBER('Raw Data'!I65), IFERROR('Raw Data'!I65 = ROUND('Raw Data'!I65, 2),FALSE)),"",_xlfn.REGEXEXTRACT(CELL("address",I65), "\$([A-Z]+)\$[0-9]+"))),_xlfn.REGEXEXTRACT(CELL("address",I65), "\$([A-Z]+)\$[0-9]+"))</f>
        <v/>
      </c>
      <c r="J65" s="7" t="str" cm="1">
        <f t="array" aca="1" ref="J65" ca="1">IFERROR(IF(OR('Raw Data'!J65="",LEN(TRIM('Raw Data'!J65))=0),"",IF(AND(ISNUMBER('Raw Data'!J65), IFERROR('Raw Data'!J65 = ROUND('Raw Data'!J65, 2),FALSE)),"",_xlfn.REGEXEXTRACT(CELL("address",J65), "\$([A-Z]+)\$[0-9]+"))),_xlfn.REGEXEXTRACT(CELL("address",J65), "\$([A-Z]+)\$[0-9]+"))</f>
        <v/>
      </c>
      <c r="K65" s="7" t="str" cm="1">
        <f t="array" aca="1" ref="K65" ca="1">IFERROR(IF(OR('Raw Data'!K65="",LEN(TRIM('Raw Data'!K65))=0),"",IF(AND(ISNUMBER('Raw Data'!K65), IFERROR('Raw Data'!K65 = ROUND('Raw Data'!K65, 2),FALSE)),"",_xlfn.REGEXEXTRACT(CELL("address",K65), "\$([A-Z]+)\$[0-9]+"))),_xlfn.REGEXEXTRACT(CELL("address",K65), "\$([A-Z]+)\$[0-9]+"))</f>
        <v/>
      </c>
      <c r="L65" s="7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7" t="str" cm="1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7" t="str" cm="1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  <c r="O65" s="7" t="str" cm="1">
        <f t="array" aca="1" ref="O65" ca="1">IFERROR(IF(OR('Raw Data'!O65="",LEN(TRIM('Raw Data'!O65))=0),"",IF(AND(ISNUMBER('Raw Data'!O65), IFERROR('Raw Data'!O65 = ROUND('Raw Data'!O65, 2),FALSE)),"",_xlfn.REGEXEXTRACT(CELL("address",O65), "\$([A-Z]+)\$[0-9]+"))),_xlfn.REGEXEXTRACT(CELL("address",O65), "\$([A-Z]+)\$[0-9]+"))</f>
        <v/>
      </c>
      <c r="P65" s="7" t="str" cm="1">
        <f t="array" aca="1" ref="P65" ca="1">IFERROR(IF(OR('Raw Data'!P65="",LEN(TRIM('Raw Data'!P65))=0),"",IF(AND(ISNUMBER('Raw Data'!P65), IFERROR('Raw Data'!P65 = ROUND('Raw Data'!P65, 2),FALSE)),"",_xlfn.REGEXEXTRACT(CELL("address",P65), "\$([A-Z]+)\$[0-9]+"))),_xlfn.REGEXEXTRACT(CELL("address",P65), "\$([A-Z]+)\$[0-9]+"))</f>
        <v/>
      </c>
      <c r="Q65" s="7" t="str" cm="1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7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7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7" t="str" cm="1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7" t="str" cm="1">
        <f t="array" aca="1" ref="U65" ca="1">IFERROR(IF(OR('Raw Data'!U65="",LEN(TRIM('Raw Data'!U65))=0),"",IF(AND(ISNUMBER('Raw Data'!U65), IFERROR('Raw Data'!U65 = ROUND('Raw Data'!U65, 2),FALSE)),"",_xlfn.REGEXEXTRACT(CELL("address",U65), "\$([A-Z]+)\$[0-9]+"))),_xlfn.REGEXEXTRACT(CELL("address",U65), "\$([A-Z]+)\$[0-9]+"))</f>
        <v/>
      </c>
      <c r="V65" s="7" t="str" cm="1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7" t="str" cm="1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7" t="str" cm="1">
        <f t="array" aca="1" ref="X65" ca="1">IFERROR(IF(OR('Raw Data'!X65="",LEN(TRIM('Raw Data'!X65))=0),"",IF(AND(ISNUMBER('Raw Data'!X65), IFERROR('Raw Data'!X65 = ROUND('Raw Data'!X65, 2),FALSE)),"",_xlfn.REGEXEXTRACT(CELL("address",X65), "\$([A-Z]+)\$[0-9]+"))),_xlfn.REGEXEXTRACT(CELL("address",X65), "\$([A-Z]+)\$[0-9]+"))</f>
        <v/>
      </c>
      <c r="Y65" s="7" t="str" cm="1">
        <f t="array" aca="1" ref="Y65" ca="1">IFERROR(IF(OR('Raw Data'!Y65="",LEN(TRIM('Raw Data'!Y65))=0),"",IF(AND(ISNUMBER('Raw Data'!Y65), IFERROR('Raw Data'!Y65 = ROUND('Raw Data'!Y65, 2),FALSE)),"",_xlfn.REGEXEXTRACT(CELL("address",Y65), "\$([A-Z]+)\$[0-9]+"))),_xlfn.REGEXEXTRACT(CELL("address",Y65), "\$([A-Z]+)\$[0-9]+"))</f>
        <v/>
      </c>
      <c r="Z65" s="7" t="str" cm="1">
        <f t="array" aca="1" ref="Z65" ca="1">IFERROR(IF(OR('Raw Data'!Z65="",LEN(TRIM('Raw Data'!Z65))=0),"",IF(AND(ISNUMBER('Raw Data'!Z65), IFERROR('Raw Data'!Z65 = ROUND('Raw Data'!Z65, 2),FALSE)),"",_xlfn.REGEXEXTRACT(CELL("address",Z65), "\$([A-Z]+)\$[0-9]+"))),_xlfn.REGEXEXTRACT(CELL("address",Z65), "\$([A-Z]+)\$[0-9]+"))</f>
        <v/>
      </c>
      <c r="AA65" s="7" t="str" cm="1">
        <f t="array" aca="1" ref="AA65" ca="1">IFERROR(IF(OR('Raw Data'!AA65="",LEN(TRIM('Raw Data'!AA65))=0),"",IF(AND(ISNUMBER('Raw Data'!AA65), IFERROR('Raw Data'!AA65 = ROUND('Raw Data'!AA65, 2),FALSE)),"",_xlfn.REGEXEXTRACT(CELL("address",AA65), "\$([A-Z]+)\$[0-9]+"))),_xlfn.REGEXEXTRACT(CELL("address",AA65), "\$([A-Z]+)\$[0-9]+"))</f>
        <v/>
      </c>
      <c r="AB65" s="7" t="str" cm="1">
        <f t="array" aca="1" ref="AB65" ca="1">IFERROR(IF(OR('Raw Data'!AB65="",LEN(TRIM('Raw Data'!AB65))=0),"",IF(AND(ISNUMBER('Raw Data'!AB65), IFERROR('Raw Data'!AB65 = ROUND('Raw Data'!AB65, 2),FALSE)),"",_xlfn.REGEXEXTRACT(CELL("address",AB65), "\$([A-Z]+)\$[0-9]+"))),_xlfn.REGEXEXTRACT(CELL("address",AB65), "\$([A-Z]+)\$[0-9]+"))</f>
        <v/>
      </c>
    </row>
    <row r="66" spans="2:28" x14ac:dyDescent="0.25">
      <c r="B66" s="7" t="str" cm="1">
        <f t="array" aca="1" ref="B66" ca="1">IFERROR(IF(OR('Raw Data'!B66="",LEN(TRIM('Raw Data'!B66))=0),"",IF(AND(LEN('Raw Data'!B66) &lt;= 255,LEN('Raw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20,LEN('Raw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Data'!D66))=0),"",IF(AND(ISNUMBER('Raw Data'!D66),'Raw Data'!D66&gt;=Configuration!$D$2),"",_xlfn.REGEXEXTRACT(CELL("address",'Raw Data'!D66),"\$([A-Z]+)\$[0-9]+"))),_xlfn.REGEXEXTRACT(CELL("address",D66), "\$([A-Z]+)\$[0-9]+"))</f>
        <v/>
      </c>
      <c r="E66" s="7" t="str" cm="1">
        <f t="array" aca="1" ref="E66" ca="1">IFERROR(IF(OR('Raw Data'!E66="",LEN(TRIM('Raw Data'!E66))=0),"",IF(AND(ISNUMBER('Raw Data'!E66), IFERROR('Raw Data'!E66 = ROUND('Raw Data'!E66, 2),FALSE)),"",_xlfn.REGEXEXTRACT(CELL("address",E66), "\$([A-Z]+)\$[0-9]+"))),_xlfn.REGEXEXTRACT(CELL("address",E66), "\$([A-Z]+)\$[0-9]+"))</f>
        <v/>
      </c>
      <c r="F66" s="7" t="str" cm="1">
        <f t="array" aca="1" ref="F66" ca="1">IFERROR(IF(OR('Raw Data'!F66="",LEN(TRIM('Raw Data'!F66))=0),"",IF(AND(ISNUMBER('Raw Data'!F66), IFERROR('Raw Data'!F66 = ROUND('Raw Data'!F66, 2),FALSE)),"",_xlfn.REGEXEXTRACT(CELL("address",F66), "\$([A-Z]+)\$[0-9]+"))),_xlfn.REGEXEXTRACT(CELL("address",F66), "\$([A-Z]+)\$[0-9]+"))</f>
        <v/>
      </c>
      <c r="G66" s="7" t="str" cm="1">
        <f t="array" aca="1" ref="G66" ca="1">IFERROR(IF(OR('Raw Data'!G66="",LEN(TRIM('Raw Data'!G66))=0),"",IF(AND(ISNUMBER('Raw Data'!G66), IFERROR('Raw Data'!G66 = ROUND('Raw Data'!G66, 2),FALSE)),"",_xlfn.REGEXEXTRACT(CELL("address",G66), "\$([A-Z]+)\$[0-9]+"))),_xlfn.REGEXEXTRACT(CELL("address",G66), "\$([A-Z]+)\$[0-9]+"))</f>
        <v/>
      </c>
      <c r="H66" s="7" t="str" cm="1">
        <f t="array" aca="1" ref="H66" ca="1">IFERROR(IF(OR('Raw Data'!H66="",LEN(TRIM('Raw Data'!H66))=0),"",IF(AND(ISNUMBER('Raw Data'!H66), IFERROR('Raw Data'!H66 = ROUND('Raw Data'!H66, 2),FALSE)),"",_xlfn.REGEXEXTRACT(CELL("address",H66), "\$([A-Z]+)\$[0-9]+"))),_xlfn.REGEXEXTRACT(CELL("address",H66), "\$([A-Z]+)\$[0-9]+"))</f>
        <v/>
      </c>
      <c r="I66" s="7" t="str" cm="1">
        <f t="array" aca="1" ref="I66" ca="1">IFERROR(IF(OR('Raw Data'!I66="",LEN(TRIM('Raw Data'!I66))=0),"",IF(AND(ISNUMBER('Raw Data'!I66), IFERROR('Raw Data'!I66 = ROUND('Raw Data'!I66, 2),FALSE)),"",_xlfn.REGEXEXTRACT(CELL("address",I66), "\$([A-Z]+)\$[0-9]+"))),_xlfn.REGEXEXTRACT(CELL("address",I66), "\$([A-Z]+)\$[0-9]+"))</f>
        <v/>
      </c>
      <c r="J66" s="7" t="str" cm="1">
        <f t="array" aca="1" ref="J66" ca="1">IFERROR(IF(OR('Raw Data'!J66="",LEN(TRIM('Raw Data'!J66))=0),"",IF(AND(ISNUMBER('Raw Data'!J66), IFERROR('Raw Data'!J66 = ROUND('Raw Data'!J66, 2),FALSE)),"",_xlfn.REGEXEXTRACT(CELL("address",J66), "\$([A-Z]+)\$[0-9]+"))),_xlfn.REGEXEXTRACT(CELL("address",J66), "\$([A-Z]+)\$[0-9]+"))</f>
        <v/>
      </c>
      <c r="K66" s="7" t="str" cm="1">
        <f t="array" aca="1" ref="K66" ca="1">IFERROR(IF(OR('Raw Data'!K66="",LEN(TRIM('Raw Data'!K66))=0),"",IF(AND(ISNUMBER('Raw Data'!K66), IFERROR('Raw Data'!K66 = ROUND('Raw Data'!K66, 2),FALSE)),"",_xlfn.REGEXEXTRACT(CELL("address",K66), "\$([A-Z]+)\$[0-9]+"))),_xlfn.REGEXEXTRACT(CELL("address",K66), "\$([A-Z]+)\$[0-9]+"))</f>
        <v/>
      </c>
      <c r="L66" s="7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7" t="str" cm="1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7" t="str" cm="1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  <c r="O66" s="7" t="str" cm="1">
        <f t="array" aca="1" ref="O66" ca="1">IFERROR(IF(OR('Raw Data'!O66="",LEN(TRIM('Raw Data'!O66))=0),"",IF(AND(ISNUMBER('Raw Data'!O66), IFERROR('Raw Data'!O66 = ROUND('Raw Data'!O66, 2),FALSE)),"",_xlfn.REGEXEXTRACT(CELL("address",O66), "\$([A-Z]+)\$[0-9]+"))),_xlfn.REGEXEXTRACT(CELL("address",O66), "\$([A-Z]+)\$[0-9]+"))</f>
        <v/>
      </c>
      <c r="P66" s="7" t="str" cm="1">
        <f t="array" aca="1" ref="P66" ca="1">IFERROR(IF(OR('Raw Data'!P66="",LEN(TRIM('Raw Data'!P66))=0),"",IF(AND(ISNUMBER('Raw Data'!P66), IFERROR('Raw Data'!P66 = ROUND('Raw Data'!P66, 2),FALSE)),"",_xlfn.REGEXEXTRACT(CELL("address",P66), "\$([A-Z]+)\$[0-9]+"))),_xlfn.REGEXEXTRACT(CELL("address",P66), "\$([A-Z]+)\$[0-9]+"))</f>
        <v/>
      </c>
      <c r="Q66" s="7" t="str" cm="1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7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7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7" t="str" cm="1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7" t="str" cm="1">
        <f t="array" aca="1" ref="U66" ca="1">IFERROR(IF(OR('Raw Data'!U66="",LEN(TRIM('Raw Data'!U66))=0),"",IF(AND(ISNUMBER('Raw Data'!U66), IFERROR('Raw Data'!U66 = ROUND('Raw Data'!U66, 2),FALSE)),"",_xlfn.REGEXEXTRACT(CELL("address",U66), "\$([A-Z]+)\$[0-9]+"))),_xlfn.REGEXEXTRACT(CELL("address",U66), "\$([A-Z]+)\$[0-9]+"))</f>
        <v/>
      </c>
      <c r="V66" s="7" t="str" cm="1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7" t="str" cm="1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7" t="str" cm="1">
        <f t="array" aca="1" ref="X66" ca="1">IFERROR(IF(OR('Raw Data'!X66="",LEN(TRIM('Raw Data'!X66))=0),"",IF(AND(ISNUMBER('Raw Data'!X66), IFERROR('Raw Data'!X66 = ROUND('Raw Data'!X66, 2),FALSE)),"",_xlfn.REGEXEXTRACT(CELL("address",X66), "\$([A-Z]+)\$[0-9]+"))),_xlfn.REGEXEXTRACT(CELL("address",X66), "\$([A-Z]+)\$[0-9]+"))</f>
        <v/>
      </c>
      <c r="Y66" s="7" t="str" cm="1">
        <f t="array" aca="1" ref="Y66" ca="1">IFERROR(IF(OR('Raw Data'!Y66="",LEN(TRIM('Raw Data'!Y66))=0),"",IF(AND(ISNUMBER('Raw Data'!Y66), IFERROR('Raw Data'!Y66 = ROUND('Raw Data'!Y66, 2),FALSE)),"",_xlfn.REGEXEXTRACT(CELL("address",Y66), "\$([A-Z]+)\$[0-9]+"))),_xlfn.REGEXEXTRACT(CELL("address",Y66), "\$([A-Z]+)\$[0-9]+"))</f>
        <v/>
      </c>
      <c r="Z66" s="7" t="str" cm="1">
        <f t="array" aca="1" ref="Z66" ca="1">IFERROR(IF(OR('Raw Data'!Z66="",LEN(TRIM('Raw Data'!Z66))=0),"",IF(AND(ISNUMBER('Raw Data'!Z66), IFERROR('Raw Data'!Z66 = ROUND('Raw Data'!Z66, 2),FALSE)),"",_xlfn.REGEXEXTRACT(CELL("address",Z66), "\$([A-Z]+)\$[0-9]+"))),_xlfn.REGEXEXTRACT(CELL("address",Z66), "\$([A-Z]+)\$[0-9]+"))</f>
        <v/>
      </c>
      <c r="AA66" s="7" t="str" cm="1">
        <f t="array" aca="1" ref="AA66" ca="1">IFERROR(IF(OR('Raw Data'!AA66="",LEN(TRIM('Raw Data'!AA66))=0),"",IF(AND(ISNUMBER('Raw Data'!AA66), IFERROR('Raw Data'!AA66 = ROUND('Raw Data'!AA66, 2),FALSE)),"",_xlfn.REGEXEXTRACT(CELL("address",AA66), "\$([A-Z]+)\$[0-9]+"))),_xlfn.REGEXEXTRACT(CELL("address",AA66), "\$([A-Z]+)\$[0-9]+"))</f>
        <v/>
      </c>
      <c r="AB66" s="7" t="str" cm="1">
        <f t="array" aca="1" ref="AB66" ca="1">IFERROR(IF(OR('Raw Data'!AB66="",LEN(TRIM('Raw Data'!AB66))=0),"",IF(AND(ISNUMBER('Raw Data'!AB66), IFERROR('Raw Data'!AB66 = ROUND('Raw Data'!AB66, 2),FALSE)),"",_xlfn.REGEXEXTRACT(CELL("address",AB66), "\$([A-Z]+)\$[0-9]+"))),_xlfn.REGEXEXTRACT(CELL("address",AB66), "\$([A-Z]+)\$[0-9]+"))</f>
        <v/>
      </c>
    </row>
    <row r="67" spans="2:28" x14ac:dyDescent="0.25">
      <c r="B67" s="7" t="str" cm="1">
        <f t="array" aca="1" ref="B67" ca="1">IFERROR(IF(OR('Raw Data'!B67="",LEN(TRIM('Raw Data'!B67))=0),"",IF(AND(LEN('Raw Data'!B67) &lt;= 255,LEN('Raw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20,LEN('Raw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Data'!D67))=0),"",IF(AND(ISNUMBER('Raw Data'!D67),'Raw Data'!D67&gt;=Configuration!$D$2),"",_xlfn.REGEXEXTRACT(CELL("address",'Raw Data'!D67),"\$([A-Z]+)\$[0-9]+"))),_xlfn.REGEXEXTRACT(CELL("address",D67), "\$([A-Z]+)\$[0-9]+"))</f>
        <v/>
      </c>
      <c r="E67" s="7" t="str" cm="1">
        <f t="array" aca="1" ref="E67" ca="1">IFERROR(IF(OR('Raw Data'!E67="",LEN(TRIM('Raw Data'!E67))=0),"",IF(AND(ISNUMBER('Raw Data'!E67), IFERROR('Raw Data'!E67 = ROUND('Raw Data'!E67, 2),FALSE)),"",_xlfn.REGEXEXTRACT(CELL("address",E67), "\$([A-Z]+)\$[0-9]+"))),_xlfn.REGEXEXTRACT(CELL("address",E67), "\$([A-Z]+)\$[0-9]+"))</f>
        <v/>
      </c>
      <c r="F67" s="7" t="str" cm="1">
        <f t="array" aca="1" ref="F67" ca="1">IFERROR(IF(OR('Raw Data'!F67="",LEN(TRIM('Raw Data'!F67))=0),"",IF(AND(ISNUMBER('Raw Data'!F67), IFERROR('Raw Data'!F67 = ROUND('Raw Data'!F67, 2),FALSE)),"",_xlfn.REGEXEXTRACT(CELL("address",F67), "\$([A-Z]+)\$[0-9]+"))),_xlfn.REGEXEXTRACT(CELL("address",F67), "\$([A-Z]+)\$[0-9]+"))</f>
        <v/>
      </c>
      <c r="G67" s="7" t="str" cm="1">
        <f t="array" aca="1" ref="G67" ca="1">IFERROR(IF(OR('Raw Data'!G67="",LEN(TRIM('Raw Data'!G67))=0),"",IF(AND(ISNUMBER('Raw Data'!G67), IFERROR('Raw Data'!G67 = ROUND('Raw Data'!G67, 2),FALSE)),"",_xlfn.REGEXEXTRACT(CELL("address",G67), "\$([A-Z]+)\$[0-9]+"))),_xlfn.REGEXEXTRACT(CELL("address",G67), "\$([A-Z]+)\$[0-9]+"))</f>
        <v/>
      </c>
      <c r="H67" s="7" t="str" cm="1">
        <f t="array" aca="1" ref="H67" ca="1">IFERROR(IF(OR('Raw Data'!H67="",LEN(TRIM('Raw Data'!H67))=0),"",IF(AND(ISNUMBER('Raw Data'!H67), IFERROR('Raw Data'!H67 = ROUND('Raw Data'!H67, 2),FALSE)),"",_xlfn.REGEXEXTRACT(CELL("address",H67), "\$([A-Z]+)\$[0-9]+"))),_xlfn.REGEXEXTRACT(CELL("address",H67), "\$([A-Z]+)\$[0-9]+"))</f>
        <v/>
      </c>
      <c r="I67" s="7" t="str" cm="1">
        <f t="array" aca="1" ref="I67" ca="1">IFERROR(IF(OR('Raw Data'!I67="",LEN(TRIM('Raw Data'!I67))=0),"",IF(AND(ISNUMBER('Raw Data'!I67), IFERROR('Raw Data'!I67 = ROUND('Raw Data'!I67, 2),FALSE)),"",_xlfn.REGEXEXTRACT(CELL("address",I67), "\$([A-Z]+)\$[0-9]+"))),_xlfn.REGEXEXTRACT(CELL("address",I67), "\$([A-Z]+)\$[0-9]+"))</f>
        <v/>
      </c>
      <c r="J67" s="7" t="str" cm="1">
        <f t="array" aca="1" ref="J67" ca="1">IFERROR(IF(OR('Raw Data'!J67="",LEN(TRIM('Raw Data'!J67))=0),"",IF(AND(ISNUMBER('Raw Data'!J67), IFERROR('Raw Data'!J67 = ROUND('Raw Data'!J67, 2),FALSE)),"",_xlfn.REGEXEXTRACT(CELL("address",J67), "\$([A-Z]+)\$[0-9]+"))),_xlfn.REGEXEXTRACT(CELL("address",J67), "\$([A-Z]+)\$[0-9]+"))</f>
        <v/>
      </c>
      <c r="K67" s="7" t="str" cm="1">
        <f t="array" aca="1" ref="K67" ca="1">IFERROR(IF(OR('Raw Data'!K67="",LEN(TRIM('Raw Data'!K67))=0),"",IF(AND(ISNUMBER('Raw Data'!K67), IFERROR('Raw Data'!K67 = ROUND('Raw Data'!K67, 2),FALSE)),"",_xlfn.REGEXEXTRACT(CELL("address",K67), "\$([A-Z]+)\$[0-9]+"))),_xlfn.REGEXEXTRACT(CELL("address",K67), "\$([A-Z]+)\$[0-9]+"))</f>
        <v/>
      </c>
      <c r="L67" s="7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7" t="str" cm="1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7" t="str" cm="1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  <c r="O67" s="7" t="str" cm="1">
        <f t="array" aca="1" ref="O67" ca="1">IFERROR(IF(OR('Raw Data'!O67="",LEN(TRIM('Raw Data'!O67))=0),"",IF(AND(ISNUMBER('Raw Data'!O67), IFERROR('Raw Data'!O67 = ROUND('Raw Data'!O67, 2),FALSE)),"",_xlfn.REGEXEXTRACT(CELL("address",O67), "\$([A-Z]+)\$[0-9]+"))),_xlfn.REGEXEXTRACT(CELL("address",O67), "\$([A-Z]+)\$[0-9]+"))</f>
        <v/>
      </c>
      <c r="P67" s="7" t="str" cm="1">
        <f t="array" aca="1" ref="P67" ca="1">IFERROR(IF(OR('Raw Data'!P67="",LEN(TRIM('Raw Data'!P67))=0),"",IF(AND(ISNUMBER('Raw Data'!P67), IFERROR('Raw Data'!P67 = ROUND('Raw Data'!P67, 2),FALSE)),"",_xlfn.REGEXEXTRACT(CELL("address",P67), "\$([A-Z]+)\$[0-9]+"))),_xlfn.REGEXEXTRACT(CELL("address",P67), "\$([A-Z]+)\$[0-9]+"))</f>
        <v/>
      </c>
      <c r="Q67" s="7" t="str" cm="1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7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7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7" t="str" cm="1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7" t="str" cm="1">
        <f t="array" aca="1" ref="U67" ca="1">IFERROR(IF(OR('Raw Data'!U67="",LEN(TRIM('Raw Data'!U67))=0),"",IF(AND(ISNUMBER('Raw Data'!U67), IFERROR('Raw Data'!U67 = ROUND('Raw Data'!U67, 2),FALSE)),"",_xlfn.REGEXEXTRACT(CELL("address",U67), "\$([A-Z]+)\$[0-9]+"))),_xlfn.REGEXEXTRACT(CELL("address",U67), "\$([A-Z]+)\$[0-9]+"))</f>
        <v/>
      </c>
      <c r="V67" s="7" t="str" cm="1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7" t="str" cm="1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7" t="str" cm="1">
        <f t="array" aca="1" ref="X67" ca="1">IFERROR(IF(OR('Raw Data'!X67="",LEN(TRIM('Raw Data'!X67))=0),"",IF(AND(ISNUMBER('Raw Data'!X67), IFERROR('Raw Data'!X67 = ROUND('Raw Data'!X67, 2),FALSE)),"",_xlfn.REGEXEXTRACT(CELL("address",X67), "\$([A-Z]+)\$[0-9]+"))),_xlfn.REGEXEXTRACT(CELL("address",X67), "\$([A-Z]+)\$[0-9]+"))</f>
        <v/>
      </c>
      <c r="Y67" s="7" t="str" cm="1">
        <f t="array" aca="1" ref="Y67" ca="1">IFERROR(IF(OR('Raw Data'!Y67="",LEN(TRIM('Raw Data'!Y67))=0),"",IF(AND(ISNUMBER('Raw Data'!Y67), IFERROR('Raw Data'!Y67 = ROUND('Raw Data'!Y67, 2),FALSE)),"",_xlfn.REGEXEXTRACT(CELL("address",Y67), "\$([A-Z]+)\$[0-9]+"))),_xlfn.REGEXEXTRACT(CELL("address",Y67), "\$([A-Z]+)\$[0-9]+"))</f>
        <v/>
      </c>
      <c r="Z67" s="7" t="str" cm="1">
        <f t="array" aca="1" ref="Z67" ca="1">IFERROR(IF(OR('Raw Data'!Z67="",LEN(TRIM('Raw Data'!Z67))=0),"",IF(AND(ISNUMBER('Raw Data'!Z67), IFERROR('Raw Data'!Z67 = ROUND('Raw Data'!Z67, 2),FALSE)),"",_xlfn.REGEXEXTRACT(CELL("address",Z67), "\$([A-Z]+)\$[0-9]+"))),_xlfn.REGEXEXTRACT(CELL("address",Z67), "\$([A-Z]+)\$[0-9]+"))</f>
        <v/>
      </c>
      <c r="AA67" s="7" t="str" cm="1">
        <f t="array" aca="1" ref="AA67" ca="1">IFERROR(IF(OR('Raw Data'!AA67="",LEN(TRIM('Raw Data'!AA67))=0),"",IF(AND(ISNUMBER('Raw Data'!AA67), IFERROR('Raw Data'!AA67 = ROUND('Raw Data'!AA67, 2),FALSE)),"",_xlfn.REGEXEXTRACT(CELL("address",AA67), "\$([A-Z]+)\$[0-9]+"))),_xlfn.REGEXEXTRACT(CELL("address",AA67), "\$([A-Z]+)\$[0-9]+"))</f>
        <v/>
      </c>
      <c r="AB67" s="7" t="str" cm="1">
        <f t="array" aca="1" ref="AB67" ca="1">IFERROR(IF(OR('Raw Data'!AB67="",LEN(TRIM('Raw Data'!AB67))=0),"",IF(AND(ISNUMBER('Raw Data'!AB67), IFERROR('Raw Data'!AB67 = ROUND('Raw Data'!AB67, 2),FALSE)),"",_xlfn.REGEXEXTRACT(CELL("address",AB67), "\$([A-Z]+)\$[0-9]+"))),_xlfn.REGEXEXTRACT(CELL("address",AB67), "\$([A-Z]+)\$[0-9]+"))</f>
        <v/>
      </c>
    </row>
    <row r="68" spans="2:28" x14ac:dyDescent="0.25">
      <c r="B68" s="7" t="str" cm="1">
        <f t="array" aca="1" ref="B68" ca="1">IFERROR(IF(OR('Raw Data'!B68="",LEN(TRIM('Raw Data'!B68))=0),"",IF(AND(LEN('Raw Data'!B68) &lt;= 255,LEN('Raw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20,LEN('Raw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Data'!D68))=0),"",IF(AND(ISNUMBER('Raw Data'!D68),'Raw Data'!D68&gt;=Configuration!$D$2),"",_xlfn.REGEXEXTRACT(CELL("address",'Raw Data'!D68),"\$([A-Z]+)\$[0-9]+"))),_xlfn.REGEXEXTRACT(CELL("address",D68), "\$([A-Z]+)\$[0-9]+"))</f>
        <v/>
      </c>
      <c r="E68" s="7" t="str" cm="1">
        <f t="array" aca="1" ref="E68" ca="1">IFERROR(IF(OR('Raw Data'!E68="",LEN(TRIM('Raw Data'!E68))=0),"",IF(AND(ISNUMBER('Raw Data'!E68), IFERROR('Raw Data'!E68 = ROUND('Raw Data'!E68, 2),FALSE)),"",_xlfn.REGEXEXTRACT(CELL("address",E68), "\$([A-Z]+)\$[0-9]+"))),_xlfn.REGEXEXTRACT(CELL("address",E68), "\$([A-Z]+)\$[0-9]+"))</f>
        <v/>
      </c>
      <c r="F68" s="7" t="str" cm="1">
        <f t="array" aca="1" ref="F68" ca="1">IFERROR(IF(OR('Raw Data'!F68="",LEN(TRIM('Raw Data'!F68))=0),"",IF(AND(ISNUMBER('Raw Data'!F68), IFERROR('Raw Data'!F68 = ROUND('Raw Data'!F68, 2),FALSE)),"",_xlfn.REGEXEXTRACT(CELL("address",F68), "\$([A-Z]+)\$[0-9]+"))),_xlfn.REGEXEXTRACT(CELL("address",F68), "\$([A-Z]+)\$[0-9]+"))</f>
        <v/>
      </c>
      <c r="G68" s="7" t="str" cm="1">
        <f t="array" aca="1" ref="G68" ca="1">IFERROR(IF(OR('Raw Data'!G68="",LEN(TRIM('Raw Data'!G68))=0),"",IF(AND(ISNUMBER('Raw Data'!G68), IFERROR('Raw Data'!G68 = ROUND('Raw Data'!G68, 2),FALSE)),"",_xlfn.REGEXEXTRACT(CELL("address",G68), "\$([A-Z]+)\$[0-9]+"))),_xlfn.REGEXEXTRACT(CELL("address",G68), "\$([A-Z]+)\$[0-9]+"))</f>
        <v/>
      </c>
      <c r="H68" s="7" t="str" cm="1">
        <f t="array" aca="1" ref="H68" ca="1">IFERROR(IF(OR('Raw Data'!H68="",LEN(TRIM('Raw Data'!H68))=0),"",IF(AND(ISNUMBER('Raw Data'!H68), IFERROR('Raw Data'!H68 = ROUND('Raw Data'!H68, 2),FALSE)),"",_xlfn.REGEXEXTRACT(CELL("address",H68), "\$([A-Z]+)\$[0-9]+"))),_xlfn.REGEXEXTRACT(CELL("address",H68), "\$([A-Z]+)\$[0-9]+"))</f>
        <v/>
      </c>
      <c r="I68" s="7" t="str" cm="1">
        <f t="array" aca="1" ref="I68" ca="1">IFERROR(IF(OR('Raw Data'!I68="",LEN(TRIM('Raw Data'!I68))=0),"",IF(AND(ISNUMBER('Raw Data'!I68), IFERROR('Raw Data'!I68 = ROUND('Raw Data'!I68, 2),FALSE)),"",_xlfn.REGEXEXTRACT(CELL("address",I68), "\$([A-Z]+)\$[0-9]+"))),_xlfn.REGEXEXTRACT(CELL("address",I68), "\$([A-Z]+)\$[0-9]+"))</f>
        <v/>
      </c>
      <c r="J68" s="7" t="str" cm="1">
        <f t="array" aca="1" ref="J68" ca="1">IFERROR(IF(OR('Raw Data'!J68="",LEN(TRIM('Raw Data'!J68))=0),"",IF(AND(ISNUMBER('Raw Data'!J68), IFERROR('Raw Data'!J68 = ROUND('Raw Data'!J68, 2),FALSE)),"",_xlfn.REGEXEXTRACT(CELL("address",J68), "\$([A-Z]+)\$[0-9]+"))),_xlfn.REGEXEXTRACT(CELL("address",J68), "\$([A-Z]+)\$[0-9]+"))</f>
        <v/>
      </c>
      <c r="K68" s="7" t="str" cm="1">
        <f t="array" aca="1" ref="K68" ca="1">IFERROR(IF(OR('Raw Data'!K68="",LEN(TRIM('Raw Data'!K68))=0),"",IF(AND(ISNUMBER('Raw Data'!K68), IFERROR('Raw Data'!K68 = ROUND('Raw Data'!K68, 2),FALSE)),"",_xlfn.REGEXEXTRACT(CELL("address",K68), "\$([A-Z]+)\$[0-9]+"))),_xlfn.REGEXEXTRACT(CELL("address",K68), "\$([A-Z]+)\$[0-9]+"))</f>
        <v/>
      </c>
      <c r="L68" s="7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7" t="str" cm="1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7" t="str" cm="1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  <c r="O68" s="7" t="str" cm="1">
        <f t="array" aca="1" ref="O68" ca="1">IFERROR(IF(OR('Raw Data'!O68="",LEN(TRIM('Raw Data'!O68))=0),"",IF(AND(ISNUMBER('Raw Data'!O68), IFERROR('Raw Data'!O68 = ROUND('Raw Data'!O68, 2),FALSE)),"",_xlfn.REGEXEXTRACT(CELL("address",O68), "\$([A-Z]+)\$[0-9]+"))),_xlfn.REGEXEXTRACT(CELL("address",O68), "\$([A-Z]+)\$[0-9]+"))</f>
        <v/>
      </c>
      <c r="P68" s="7" t="str" cm="1">
        <f t="array" aca="1" ref="P68" ca="1">IFERROR(IF(OR('Raw Data'!P68="",LEN(TRIM('Raw Data'!P68))=0),"",IF(AND(ISNUMBER('Raw Data'!P68), IFERROR('Raw Data'!P68 = ROUND('Raw Data'!P68, 2),FALSE)),"",_xlfn.REGEXEXTRACT(CELL("address",P68), "\$([A-Z]+)\$[0-9]+"))),_xlfn.REGEXEXTRACT(CELL("address",P68), "\$([A-Z]+)\$[0-9]+"))</f>
        <v/>
      </c>
      <c r="Q68" s="7" t="str" cm="1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7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7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7" t="str" cm="1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7" t="str" cm="1">
        <f t="array" aca="1" ref="U68" ca="1">IFERROR(IF(OR('Raw Data'!U68="",LEN(TRIM('Raw Data'!U68))=0),"",IF(AND(ISNUMBER('Raw Data'!U68), IFERROR('Raw Data'!U68 = ROUND('Raw Data'!U68, 2),FALSE)),"",_xlfn.REGEXEXTRACT(CELL("address",U68), "\$([A-Z]+)\$[0-9]+"))),_xlfn.REGEXEXTRACT(CELL("address",U68), "\$([A-Z]+)\$[0-9]+"))</f>
        <v/>
      </c>
      <c r="V68" s="7" t="str" cm="1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7" t="str" cm="1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7" t="str" cm="1">
        <f t="array" aca="1" ref="X68" ca="1">IFERROR(IF(OR('Raw Data'!X68="",LEN(TRIM('Raw Data'!X68))=0),"",IF(AND(ISNUMBER('Raw Data'!X68), IFERROR('Raw Data'!X68 = ROUND('Raw Data'!X68, 2),FALSE)),"",_xlfn.REGEXEXTRACT(CELL("address",X68), "\$([A-Z]+)\$[0-9]+"))),_xlfn.REGEXEXTRACT(CELL("address",X68), "\$([A-Z]+)\$[0-9]+"))</f>
        <v/>
      </c>
      <c r="Y68" s="7" t="str" cm="1">
        <f t="array" aca="1" ref="Y68" ca="1">IFERROR(IF(OR('Raw Data'!Y68="",LEN(TRIM('Raw Data'!Y68))=0),"",IF(AND(ISNUMBER('Raw Data'!Y68), IFERROR('Raw Data'!Y68 = ROUND('Raw Data'!Y68, 2),FALSE)),"",_xlfn.REGEXEXTRACT(CELL("address",Y68), "\$([A-Z]+)\$[0-9]+"))),_xlfn.REGEXEXTRACT(CELL("address",Y68), "\$([A-Z]+)\$[0-9]+"))</f>
        <v/>
      </c>
      <c r="Z68" s="7" t="str" cm="1">
        <f t="array" aca="1" ref="Z68" ca="1">IFERROR(IF(OR('Raw Data'!Z68="",LEN(TRIM('Raw Data'!Z68))=0),"",IF(AND(ISNUMBER('Raw Data'!Z68), IFERROR('Raw Data'!Z68 = ROUND('Raw Data'!Z68, 2),FALSE)),"",_xlfn.REGEXEXTRACT(CELL("address",Z68), "\$([A-Z]+)\$[0-9]+"))),_xlfn.REGEXEXTRACT(CELL("address",Z68), "\$([A-Z]+)\$[0-9]+"))</f>
        <v/>
      </c>
      <c r="AA68" s="7" t="str" cm="1">
        <f t="array" aca="1" ref="AA68" ca="1">IFERROR(IF(OR('Raw Data'!AA68="",LEN(TRIM('Raw Data'!AA68))=0),"",IF(AND(ISNUMBER('Raw Data'!AA68), IFERROR('Raw Data'!AA68 = ROUND('Raw Data'!AA68, 2),FALSE)),"",_xlfn.REGEXEXTRACT(CELL("address",AA68), "\$([A-Z]+)\$[0-9]+"))),_xlfn.REGEXEXTRACT(CELL("address",AA68), "\$([A-Z]+)\$[0-9]+"))</f>
        <v/>
      </c>
      <c r="AB68" s="7" t="str" cm="1">
        <f t="array" aca="1" ref="AB68" ca="1">IFERROR(IF(OR('Raw Data'!AB68="",LEN(TRIM('Raw Data'!AB68))=0),"",IF(AND(ISNUMBER('Raw Data'!AB68), IFERROR('Raw Data'!AB68 = ROUND('Raw Data'!AB68, 2),FALSE)),"",_xlfn.REGEXEXTRACT(CELL("address",AB68), "\$([A-Z]+)\$[0-9]+"))),_xlfn.REGEXEXTRACT(CELL("address",AB68), "\$([A-Z]+)\$[0-9]+"))</f>
        <v/>
      </c>
    </row>
    <row r="69" spans="2:28" x14ac:dyDescent="0.25">
      <c r="B69" s="7" t="str" cm="1">
        <f t="array" aca="1" ref="B69" ca="1">IFERROR(IF(OR('Raw Data'!B69="",LEN(TRIM('Raw Data'!B69))=0),"",IF(AND(LEN('Raw Data'!B69) &lt;= 255,LEN('Raw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20,LEN('Raw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Data'!D69))=0),"",IF(AND(ISNUMBER('Raw Data'!D69),'Raw Data'!D69&gt;=Configuration!$D$2),"",_xlfn.REGEXEXTRACT(CELL("address",'Raw Data'!D69),"\$([A-Z]+)\$[0-9]+"))),_xlfn.REGEXEXTRACT(CELL("address",D69), "\$([A-Z]+)\$[0-9]+"))</f>
        <v/>
      </c>
      <c r="E69" s="7" t="str" cm="1">
        <f t="array" aca="1" ref="E69" ca="1">IFERROR(IF(OR('Raw Data'!E69="",LEN(TRIM('Raw Data'!E69))=0),"",IF(AND(ISNUMBER('Raw Data'!E69), IFERROR('Raw Data'!E69 = ROUND('Raw Data'!E69, 2),FALSE)),"",_xlfn.REGEXEXTRACT(CELL("address",E69), "\$([A-Z]+)\$[0-9]+"))),_xlfn.REGEXEXTRACT(CELL("address",E69), "\$([A-Z]+)\$[0-9]+"))</f>
        <v/>
      </c>
      <c r="F69" s="7" t="str" cm="1">
        <f t="array" aca="1" ref="F69" ca="1">IFERROR(IF(OR('Raw Data'!F69="",LEN(TRIM('Raw Data'!F69))=0),"",IF(AND(ISNUMBER('Raw Data'!F69), IFERROR('Raw Data'!F69 = ROUND('Raw Data'!F69, 2),FALSE)),"",_xlfn.REGEXEXTRACT(CELL("address",F69), "\$([A-Z]+)\$[0-9]+"))),_xlfn.REGEXEXTRACT(CELL("address",F69), "\$([A-Z]+)\$[0-9]+"))</f>
        <v/>
      </c>
      <c r="G69" s="7" t="str" cm="1">
        <f t="array" aca="1" ref="G69" ca="1">IFERROR(IF(OR('Raw Data'!G69="",LEN(TRIM('Raw Data'!G69))=0),"",IF(AND(ISNUMBER('Raw Data'!G69), IFERROR('Raw Data'!G69 = ROUND('Raw Data'!G69, 2),FALSE)),"",_xlfn.REGEXEXTRACT(CELL("address",G69), "\$([A-Z]+)\$[0-9]+"))),_xlfn.REGEXEXTRACT(CELL("address",G69), "\$([A-Z]+)\$[0-9]+"))</f>
        <v/>
      </c>
      <c r="H69" s="7" t="str" cm="1">
        <f t="array" aca="1" ref="H69" ca="1">IFERROR(IF(OR('Raw Data'!H69="",LEN(TRIM('Raw Data'!H69))=0),"",IF(AND(ISNUMBER('Raw Data'!H69), IFERROR('Raw Data'!H69 = ROUND('Raw Data'!H69, 2),FALSE)),"",_xlfn.REGEXEXTRACT(CELL("address",H69), "\$([A-Z]+)\$[0-9]+"))),_xlfn.REGEXEXTRACT(CELL("address",H69), "\$([A-Z]+)\$[0-9]+"))</f>
        <v/>
      </c>
      <c r="I69" s="7" t="str" cm="1">
        <f t="array" aca="1" ref="I69" ca="1">IFERROR(IF(OR('Raw Data'!I69="",LEN(TRIM('Raw Data'!I69))=0),"",IF(AND(ISNUMBER('Raw Data'!I69), IFERROR('Raw Data'!I69 = ROUND('Raw Data'!I69, 2),FALSE)),"",_xlfn.REGEXEXTRACT(CELL("address",I69), "\$([A-Z]+)\$[0-9]+"))),_xlfn.REGEXEXTRACT(CELL("address",I69), "\$([A-Z]+)\$[0-9]+"))</f>
        <v/>
      </c>
      <c r="J69" s="7" t="str" cm="1">
        <f t="array" aca="1" ref="J69" ca="1">IFERROR(IF(OR('Raw Data'!J69="",LEN(TRIM('Raw Data'!J69))=0),"",IF(AND(ISNUMBER('Raw Data'!J69), IFERROR('Raw Data'!J69 = ROUND('Raw Data'!J69, 2),FALSE)),"",_xlfn.REGEXEXTRACT(CELL("address",J69), "\$([A-Z]+)\$[0-9]+"))),_xlfn.REGEXEXTRACT(CELL("address",J69), "\$([A-Z]+)\$[0-9]+"))</f>
        <v/>
      </c>
      <c r="K69" s="7" t="str" cm="1">
        <f t="array" aca="1" ref="K69" ca="1">IFERROR(IF(OR('Raw Data'!K69="",LEN(TRIM('Raw Data'!K69))=0),"",IF(AND(ISNUMBER('Raw Data'!K69), IFERROR('Raw Data'!K69 = ROUND('Raw Data'!K69, 2),FALSE)),"",_xlfn.REGEXEXTRACT(CELL("address",K69), "\$([A-Z]+)\$[0-9]+"))),_xlfn.REGEXEXTRACT(CELL("address",K69), "\$([A-Z]+)\$[0-9]+"))</f>
        <v/>
      </c>
      <c r="L69" s="7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7" t="str" cm="1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7" t="str" cm="1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  <c r="O69" s="7" t="str" cm="1">
        <f t="array" aca="1" ref="O69" ca="1">IFERROR(IF(OR('Raw Data'!O69="",LEN(TRIM('Raw Data'!O69))=0),"",IF(AND(ISNUMBER('Raw Data'!O69), IFERROR('Raw Data'!O69 = ROUND('Raw Data'!O69, 2),FALSE)),"",_xlfn.REGEXEXTRACT(CELL("address",O69), "\$([A-Z]+)\$[0-9]+"))),_xlfn.REGEXEXTRACT(CELL("address",O69), "\$([A-Z]+)\$[0-9]+"))</f>
        <v/>
      </c>
      <c r="P69" s="7" t="str" cm="1">
        <f t="array" aca="1" ref="P69" ca="1">IFERROR(IF(OR('Raw Data'!P69="",LEN(TRIM('Raw Data'!P69))=0),"",IF(AND(ISNUMBER('Raw Data'!P69), IFERROR('Raw Data'!P69 = ROUND('Raw Data'!P69, 2),FALSE)),"",_xlfn.REGEXEXTRACT(CELL("address",P69), "\$([A-Z]+)\$[0-9]+"))),_xlfn.REGEXEXTRACT(CELL("address",P69), "\$([A-Z]+)\$[0-9]+"))</f>
        <v/>
      </c>
      <c r="Q69" s="7" t="str" cm="1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7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7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7" t="str" cm="1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7" t="str" cm="1">
        <f t="array" aca="1" ref="U69" ca="1">IFERROR(IF(OR('Raw Data'!U69="",LEN(TRIM('Raw Data'!U69))=0),"",IF(AND(ISNUMBER('Raw Data'!U69), IFERROR('Raw Data'!U69 = ROUND('Raw Data'!U69, 2),FALSE)),"",_xlfn.REGEXEXTRACT(CELL("address",U69), "\$([A-Z]+)\$[0-9]+"))),_xlfn.REGEXEXTRACT(CELL("address",U69), "\$([A-Z]+)\$[0-9]+"))</f>
        <v/>
      </c>
      <c r="V69" s="7" t="str" cm="1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7" t="str" cm="1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7" t="str" cm="1">
        <f t="array" aca="1" ref="X69" ca="1">IFERROR(IF(OR('Raw Data'!X69="",LEN(TRIM('Raw Data'!X69))=0),"",IF(AND(ISNUMBER('Raw Data'!X69), IFERROR('Raw Data'!X69 = ROUND('Raw Data'!X69, 2),FALSE)),"",_xlfn.REGEXEXTRACT(CELL("address",X69), "\$([A-Z]+)\$[0-9]+"))),_xlfn.REGEXEXTRACT(CELL("address",X69), "\$([A-Z]+)\$[0-9]+"))</f>
        <v/>
      </c>
      <c r="Y69" s="7" t="str" cm="1">
        <f t="array" aca="1" ref="Y69" ca="1">IFERROR(IF(OR('Raw Data'!Y69="",LEN(TRIM('Raw Data'!Y69))=0),"",IF(AND(ISNUMBER('Raw Data'!Y69), IFERROR('Raw Data'!Y69 = ROUND('Raw Data'!Y69, 2),FALSE)),"",_xlfn.REGEXEXTRACT(CELL("address",Y69), "\$([A-Z]+)\$[0-9]+"))),_xlfn.REGEXEXTRACT(CELL("address",Y69), "\$([A-Z]+)\$[0-9]+"))</f>
        <v/>
      </c>
      <c r="Z69" s="7" t="str" cm="1">
        <f t="array" aca="1" ref="Z69" ca="1">IFERROR(IF(OR('Raw Data'!Z69="",LEN(TRIM('Raw Data'!Z69))=0),"",IF(AND(ISNUMBER('Raw Data'!Z69), IFERROR('Raw Data'!Z69 = ROUND('Raw Data'!Z69, 2),FALSE)),"",_xlfn.REGEXEXTRACT(CELL("address",Z69), "\$([A-Z]+)\$[0-9]+"))),_xlfn.REGEXEXTRACT(CELL("address",Z69), "\$([A-Z]+)\$[0-9]+"))</f>
        <v/>
      </c>
      <c r="AA69" s="7" t="str" cm="1">
        <f t="array" aca="1" ref="AA69" ca="1">IFERROR(IF(OR('Raw Data'!AA69="",LEN(TRIM('Raw Data'!AA69))=0),"",IF(AND(ISNUMBER('Raw Data'!AA69), IFERROR('Raw Data'!AA69 = ROUND('Raw Data'!AA69, 2),FALSE)),"",_xlfn.REGEXEXTRACT(CELL("address",AA69), "\$([A-Z]+)\$[0-9]+"))),_xlfn.REGEXEXTRACT(CELL("address",AA69), "\$([A-Z]+)\$[0-9]+"))</f>
        <v/>
      </c>
      <c r="AB69" s="7" t="str" cm="1">
        <f t="array" aca="1" ref="AB69" ca="1">IFERROR(IF(OR('Raw Data'!AB69="",LEN(TRIM('Raw Data'!AB69))=0),"",IF(AND(ISNUMBER('Raw Data'!AB69), IFERROR('Raw Data'!AB69 = ROUND('Raw Data'!AB69, 2),FALSE)),"",_xlfn.REGEXEXTRACT(CELL("address",AB69), "\$([A-Z]+)\$[0-9]+"))),_xlfn.REGEXEXTRACT(CELL("address",AB69), "\$([A-Z]+)\$[0-9]+"))</f>
        <v/>
      </c>
    </row>
    <row r="70" spans="2:28" x14ac:dyDescent="0.25">
      <c r="B70" s="7" t="str" cm="1">
        <f t="array" aca="1" ref="B70" ca="1">IFERROR(IF(OR('Raw Data'!B70="",LEN(TRIM('Raw Data'!B70))=0),"",IF(AND(LEN('Raw Data'!B70) &lt;= 255,LEN('Raw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20,LEN('Raw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Data'!D70))=0),"",IF(AND(ISNUMBER('Raw Data'!D70),'Raw Data'!D70&gt;=Configuration!$D$2),"",_xlfn.REGEXEXTRACT(CELL("address",'Raw Data'!D70),"\$([A-Z]+)\$[0-9]+"))),_xlfn.REGEXEXTRACT(CELL("address",D70), "\$([A-Z]+)\$[0-9]+"))</f>
        <v/>
      </c>
      <c r="E70" s="7" t="str" cm="1">
        <f t="array" aca="1" ref="E70" ca="1">IFERROR(IF(OR('Raw Data'!E70="",LEN(TRIM('Raw Data'!E70))=0),"",IF(AND(ISNUMBER('Raw Data'!E70), IFERROR('Raw Data'!E70 = ROUND('Raw Data'!E70, 2),FALSE)),"",_xlfn.REGEXEXTRACT(CELL("address",E70), "\$([A-Z]+)\$[0-9]+"))),_xlfn.REGEXEXTRACT(CELL("address",E70), "\$([A-Z]+)\$[0-9]+"))</f>
        <v/>
      </c>
      <c r="F70" s="7" t="str" cm="1">
        <f t="array" aca="1" ref="F70" ca="1">IFERROR(IF(OR('Raw Data'!F70="",LEN(TRIM('Raw Data'!F70))=0),"",IF(AND(ISNUMBER('Raw Data'!F70), IFERROR('Raw Data'!F70 = ROUND('Raw Data'!F70, 2),FALSE)),"",_xlfn.REGEXEXTRACT(CELL("address",F70), "\$([A-Z]+)\$[0-9]+"))),_xlfn.REGEXEXTRACT(CELL("address",F70), "\$([A-Z]+)\$[0-9]+"))</f>
        <v/>
      </c>
      <c r="G70" s="7" t="str" cm="1">
        <f t="array" aca="1" ref="G70" ca="1">IFERROR(IF(OR('Raw Data'!G70="",LEN(TRIM('Raw Data'!G70))=0),"",IF(AND(ISNUMBER('Raw Data'!G70), IFERROR('Raw Data'!G70 = ROUND('Raw Data'!G70, 2),FALSE)),"",_xlfn.REGEXEXTRACT(CELL("address",G70), "\$([A-Z]+)\$[0-9]+"))),_xlfn.REGEXEXTRACT(CELL("address",G70), "\$([A-Z]+)\$[0-9]+"))</f>
        <v/>
      </c>
      <c r="H70" s="7" t="str" cm="1">
        <f t="array" aca="1" ref="H70" ca="1">IFERROR(IF(OR('Raw Data'!H70="",LEN(TRIM('Raw Data'!H70))=0),"",IF(AND(ISNUMBER('Raw Data'!H70), IFERROR('Raw Data'!H70 = ROUND('Raw Data'!H70, 2),FALSE)),"",_xlfn.REGEXEXTRACT(CELL("address",H70), "\$([A-Z]+)\$[0-9]+"))),_xlfn.REGEXEXTRACT(CELL("address",H70), "\$([A-Z]+)\$[0-9]+"))</f>
        <v/>
      </c>
      <c r="I70" s="7" t="str" cm="1">
        <f t="array" aca="1" ref="I70" ca="1">IFERROR(IF(OR('Raw Data'!I70="",LEN(TRIM('Raw Data'!I70))=0),"",IF(AND(ISNUMBER('Raw Data'!I70), IFERROR('Raw Data'!I70 = ROUND('Raw Data'!I70, 2),FALSE)),"",_xlfn.REGEXEXTRACT(CELL("address",I70), "\$([A-Z]+)\$[0-9]+"))),_xlfn.REGEXEXTRACT(CELL("address",I70), "\$([A-Z]+)\$[0-9]+"))</f>
        <v/>
      </c>
      <c r="J70" s="7" t="str" cm="1">
        <f t="array" aca="1" ref="J70" ca="1">IFERROR(IF(OR('Raw Data'!J70="",LEN(TRIM('Raw Data'!J70))=0),"",IF(AND(ISNUMBER('Raw Data'!J70), IFERROR('Raw Data'!J70 = ROUND('Raw Data'!J70, 2),FALSE)),"",_xlfn.REGEXEXTRACT(CELL("address",J70), "\$([A-Z]+)\$[0-9]+"))),_xlfn.REGEXEXTRACT(CELL("address",J70), "\$([A-Z]+)\$[0-9]+"))</f>
        <v/>
      </c>
      <c r="K70" s="7" t="str" cm="1">
        <f t="array" aca="1" ref="K70" ca="1">IFERROR(IF(OR('Raw Data'!K70="",LEN(TRIM('Raw Data'!K70))=0),"",IF(AND(ISNUMBER('Raw Data'!K70), IFERROR('Raw Data'!K70 = ROUND('Raw Data'!K70, 2),FALSE)),"",_xlfn.REGEXEXTRACT(CELL("address",K70), "\$([A-Z]+)\$[0-9]+"))),_xlfn.REGEXEXTRACT(CELL("address",K70), "\$([A-Z]+)\$[0-9]+"))</f>
        <v/>
      </c>
      <c r="L70" s="7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7" t="str" cm="1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7" t="str" cm="1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  <c r="O70" s="7" t="str" cm="1">
        <f t="array" aca="1" ref="O70" ca="1">IFERROR(IF(OR('Raw Data'!O70="",LEN(TRIM('Raw Data'!O70))=0),"",IF(AND(ISNUMBER('Raw Data'!O70), IFERROR('Raw Data'!O70 = ROUND('Raw Data'!O70, 2),FALSE)),"",_xlfn.REGEXEXTRACT(CELL("address",O70), "\$([A-Z]+)\$[0-9]+"))),_xlfn.REGEXEXTRACT(CELL("address",O70), "\$([A-Z]+)\$[0-9]+"))</f>
        <v/>
      </c>
      <c r="P70" s="7" t="str" cm="1">
        <f t="array" aca="1" ref="P70" ca="1">IFERROR(IF(OR('Raw Data'!P70="",LEN(TRIM('Raw Data'!P70))=0),"",IF(AND(ISNUMBER('Raw Data'!P70), IFERROR('Raw Data'!P70 = ROUND('Raw Data'!P70, 2),FALSE)),"",_xlfn.REGEXEXTRACT(CELL("address",P70), "\$([A-Z]+)\$[0-9]+"))),_xlfn.REGEXEXTRACT(CELL("address",P70), "\$([A-Z]+)\$[0-9]+"))</f>
        <v/>
      </c>
      <c r="Q70" s="7" t="str" cm="1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7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7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7" t="str" cm="1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7" t="str" cm="1">
        <f t="array" aca="1" ref="U70" ca="1">IFERROR(IF(OR('Raw Data'!U70="",LEN(TRIM('Raw Data'!U70))=0),"",IF(AND(ISNUMBER('Raw Data'!U70), IFERROR('Raw Data'!U70 = ROUND('Raw Data'!U70, 2),FALSE)),"",_xlfn.REGEXEXTRACT(CELL("address",U70), "\$([A-Z]+)\$[0-9]+"))),_xlfn.REGEXEXTRACT(CELL("address",U70), "\$([A-Z]+)\$[0-9]+"))</f>
        <v/>
      </c>
      <c r="V70" s="7" t="str" cm="1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7" t="str" cm="1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7" t="str" cm="1">
        <f t="array" aca="1" ref="X70" ca="1">IFERROR(IF(OR('Raw Data'!X70="",LEN(TRIM('Raw Data'!X70))=0),"",IF(AND(ISNUMBER('Raw Data'!X70), IFERROR('Raw Data'!X70 = ROUND('Raw Data'!X70, 2),FALSE)),"",_xlfn.REGEXEXTRACT(CELL("address",X70), "\$([A-Z]+)\$[0-9]+"))),_xlfn.REGEXEXTRACT(CELL("address",X70), "\$([A-Z]+)\$[0-9]+"))</f>
        <v/>
      </c>
      <c r="Y70" s="7" t="str" cm="1">
        <f t="array" aca="1" ref="Y70" ca="1">IFERROR(IF(OR('Raw Data'!Y70="",LEN(TRIM('Raw Data'!Y70))=0),"",IF(AND(ISNUMBER('Raw Data'!Y70), IFERROR('Raw Data'!Y70 = ROUND('Raw Data'!Y70, 2),FALSE)),"",_xlfn.REGEXEXTRACT(CELL("address",Y70), "\$([A-Z]+)\$[0-9]+"))),_xlfn.REGEXEXTRACT(CELL("address",Y70), "\$([A-Z]+)\$[0-9]+"))</f>
        <v/>
      </c>
      <c r="Z70" s="7" t="str" cm="1">
        <f t="array" aca="1" ref="Z70" ca="1">IFERROR(IF(OR('Raw Data'!Z70="",LEN(TRIM('Raw Data'!Z70))=0),"",IF(AND(ISNUMBER('Raw Data'!Z70), IFERROR('Raw Data'!Z70 = ROUND('Raw Data'!Z70, 2),FALSE)),"",_xlfn.REGEXEXTRACT(CELL("address",Z70), "\$([A-Z]+)\$[0-9]+"))),_xlfn.REGEXEXTRACT(CELL("address",Z70), "\$([A-Z]+)\$[0-9]+"))</f>
        <v/>
      </c>
      <c r="AA70" s="7" t="str" cm="1">
        <f t="array" aca="1" ref="AA70" ca="1">IFERROR(IF(OR('Raw Data'!AA70="",LEN(TRIM('Raw Data'!AA70))=0),"",IF(AND(ISNUMBER('Raw Data'!AA70), IFERROR('Raw Data'!AA70 = ROUND('Raw Data'!AA70, 2),FALSE)),"",_xlfn.REGEXEXTRACT(CELL("address",AA70), "\$([A-Z]+)\$[0-9]+"))),_xlfn.REGEXEXTRACT(CELL("address",AA70), "\$([A-Z]+)\$[0-9]+"))</f>
        <v/>
      </c>
      <c r="AB70" s="7" t="str" cm="1">
        <f t="array" aca="1" ref="AB70" ca="1">IFERROR(IF(OR('Raw Data'!AB70="",LEN(TRIM('Raw Data'!AB70))=0),"",IF(AND(ISNUMBER('Raw Data'!AB70), IFERROR('Raw Data'!AB70 = ROUND('Raw Data'!AB70, 2),FALSE)),"",_xlfn.REGEXEXTRACT(CELL("address",AB70), "\$([A-Z]+)\$[0-9]+"))),_xlfn.REGEXEXTRACT(CELL("address",AB70), "\$([A-Z]+)\$[0-9]+"))</f>
        <v/>
      </c>
    </row>
    <row r="71" spans="2:28" x14ac:dyDescent="0.25">
      <c r="B71" s="7" t="str" cm="1">
        <f t="array" aca="1" ref="B71" ca="1">IFERROR(IF(OR('Raw Data'!B71="",LEN(TRIM('Raw Data'!B71))=0),"",IF(AND(LEN('Raw Data'!B71) &lt;= 255,LEN('Raw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20,LEN('Raw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Data'!D71))=0),"",IF(AND(ISNUMBER('Raw Data'!D71),'Raw Data'!D71&gt;=Configuration!$D$2),"",_xlfn.REGEXEXTRACT(CELL("address",'Raw Data'!D71),"\$([A-Z]+)\$[0-9]+"))),_xlfn.REGEXEXTRACT(CELL("address",D71), "\$([A-Z]+)\$[0-9]+"))</f>
        <v/>
      </c>
      <c r="E71" s="7" t="str" cm="1">
        <f t="array" aca="1" ref="E71" ca="1">IFERROR(IF(OR('Raw Data'!E71="",LEN(TRIM('Raw Data'!E71))=0),"",IF(AND(ISNUMBER('Raw Data'!E71), IFERROR('Raw Data'!E71 = ROUND('Raw Data'!E71, 2),FALSE)),"",_xlfn.REGEXEXTRACT(CELL("address",E71), "\$([A-Z]+)\$[0-9]+"))),_xlfn.REGEXEXTRACT(CELL("address",E71), "\$([A-Z]+)\$[0-9]+"))</f>
        <v/>
      </c>
      <c r="F71" s="7" t="str" cm="1">
        <f t="array" aca="1" ref="F71" ca="1">IFERROR(IF(OR('Raw Data'!F71="",LEN(TRIM('Raw Data'!F71))=0),"",IF(AND(ISNUMBER('Raw Data'!F71), IFERROR('Raw Data'!F71 = ROUND('Raw Data'!F71, 2),FALSE)),"",_xlfn.REGEXEXTRACT(CELL("address",F71), "\$([A-Z]+)\$[0-9]+"))),_xlfn.REGEXEXTRACT(CELL("address",F71), "\$([A-Z]+)\$[0-9]+"))</f>
        <v/>
      </c>
      <c r="G71" s="7" t="str" cm="1">
        <f t="array" aca="1" ref="G71" ca="1">IFERROR(IF(OR('Raw Data'!G71="",LEN(TRIM('Raw Data'!G71))=0),"",IF(AND(ISNUMBER('Raw Data'!G71), IFERROR('Raw Data'!G71 = ROUND('Raw Data'!G71, 2),FALSE)),"",_xlfn.REGEXEXTRACT(CELL("address",G71), "\$([A-Z]+)\$[0-9]+"))),_xlfn.REGEXEXTRACT(CELL("address",G71), "\$([A-Z]+)\$[0-9]+"))</f>
        <v/>
      </c>
      <c r="H71" s="7" t="str" cm="1">
        <f t="array" aca="1" ref="H71" ca="1">IFERROR(IF(OR('Raw Data'!H71="",LEN(TRIM('Raw Data'!H71))=0),"",IF(AND(ISNUMBER('Raw Data'!H71), IFERROR('Raw Data'!H71 = ROUND('Raw Data'!H71, 2),FALSE)),"",_xlfn.REGEXEXTRACT(CELL("address",H71), "\$([A-Z]+)\$[0-9]+"))),_xlfn.REGEXEXTRACT(CELL("address",H71), "\$([A-Z]+)\$[0-9]+"))</f>
        <v/>
      </c>
      <c r="I71" s="7" t="str" cm="1">
        <f t="array" aca="1" ref="I71" ca="1">IFERROR(IF(OR('Raw Data'!I71="",LEN(TRIM('Raw Data'!I71))=0),"",IF(AND(ISNUMBER('Raw Data'!I71), IFERROR('Raw Data'!I71 = ROUND('Raw Data'!I71, 2),FALSE)),"",_xlfn.REGEXEXTRACT(CELL("address",I71), "\$([A-Z]+)\$[0-9]+"))),_xlfn.REGEXEXTRACT(CELL("address",I71), "\$([A-Z]+)\$[0-9]+"))</f>
        <v/>
      </c>
      <c r="J71" s="7" t="str" cm="1">
        <f t="array" aca="1" ref="J71" ca="1">IFERROR(IF(OR('Raw Data'!J71="",LEN(TRIM('Raw Data'!J71))=0),"",IF(AND(ISNUMBER('Raw Data'!J71), IFERROR('Raw Data'!J71 = ROUND('Raw Data'!J71, 2),FALSE)),"",_xlfn.REGEXEXTRACT(CELL("address",J71), "\$([A-Z]+)\$[0-9]+"))),_xlfn.REGEXEXTRACT(CELL("address",J71), "\$([A-Z]+)\$[0-9]+"))</f>
        <v/>
      </c>
      <c r="K71" s="7" t="str" cm="1">
        <f t="array" aca="1" ref="K71" ca="1">IFERROR(IF(OR('Raw Data'!K71="",LEN(TRIM('Raw Data'!K71))=0),"",IF(AND(ISNUMBER('Raw Data'!K71), IFERROR('Raw Data'!K71 = ROUND('Raw Data'!K71, 2),FALSE)),"",_xlfn.REGEXEXTRACT(CELL("address",K71), "\$([A-Z]+)\$[0-9]+"))),_xlfn.REGEXEXTRACT(CELL("address",K71), "\$([A-Z]+)\$[0-9]+"))</f>
        <v/>
      </c>
      <c r="L71" s="7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7" t="str" cm="1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7" t="str" cm="1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  <c r="O71" s="7" t="str" cm="1">
        <f t="array" aca="1" ref="O71" ca="1">IFERROR(IF(OR('Raw Data'!O71="",LEN(TRIM('Raw Data'!O71))=0),"",IF(AND(ISNUMBER('Raw Data'!O71), IFERROR('Raw Data'!O71 = ROUND('Raw Data'!O71, 2),FALSE)),"",_xlfn.REGEXEXTRACT(CELL("address",O71), "\$([A-Z]+)\$[0-9]+"))),_xlfn.REGEXEXTRACT(CELL("address",O71), "\$([A-Z]+)\$[0-9]+"))</f>
        <v/>
      </c>
      <c r="P71" s="7" t="str" cm="1">
        <f t="array" aca="1" ref="P71" ca="1">IFERROR(IF(OR('Raw Data'!P71="",LEN(TRIM('Raw Data'!P71))=0),"",IF(AND(ISNUMBER('Raw Data'!P71), IFERROR('Raw Data'!P71 = ROUND('Raw Data'!P71, 2),FALSE)),"",_xlfn.REGEXEXTRACT(CELL("address",P71), "\$([A-Z]+)\$[0-9]+"))),_xlfn.REGEXEXTRACT(CELL("address",P71), "\$([A-Z]+)\$[0-9]+"))</f>
        <v/>
      </c>
      <c r="Q71" s="7" t="str" cm="1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7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7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7" t="str" cm="1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7" t="str" cm="1">
        <f t="array" aca="1" ref="U71" ca="1">IFERROR(IF(OR('Raw Data'!U71="",LEN(TRIM('Raw Data'!U71))=0),"",IF(AND(ISNUMBER('Raw Data'!U71), IFERROR('Raw Data'!U71 = ROUND('Raw Data'!U71, 2),FALSE)),"",_xlfn.REGEXEXTRACT(CELL("address",U71), "\$([A-Z]+)\$[0-9]+"))),_xlfn.REGEXEXTRACT(CELL("address",U71), "\$([A-Z]+)\$[0-9]+"))</f>
        <v/>
      </c>
      <c r="V71" s="7" t="str" cm="1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7" t="str" cm="1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7" t="str" cm="1">
        <f t="array" aca="1" ref="X71" ca="1">IFERROR(IF(OR('Raw Data'!X71="",LEN(TRIM('Raw Data'!X71))=0),"",IF(AND(ISNUMBER('Raw Data'!X71), IFERROR('Raw Data'!X71 = ROUND('Raw Data'!X71, 2),FALSE)),"",_xlfn.REGEXEXTRACT(CELL("address",X71), "\$([A-Z]+)\$[0-9]+"))),_xlfn.REGEXEXTRACT(CELL("address",X71), "\$([A-Z]+)\$[0-9]+"))</f>
        <v/>
      </c>
      <c r="Y71" s="7" t="str" cm="1">
        <f t="array" aca="1" ref="Y71" ca="1">IFERROR(IF(OR('Raw Data'!Y71="",LEN(TRIM('Raw Data'!Y71))=0),"",IF(AND(ISNUMBER('Raw Data'!Y71), IFERROR('Raw Data'!Y71 = ROUND('Raw Data'!Y71, 2),FALSE)),"",_xlfn.REGEXEXTRACT(CELL("address",Y71), "\$([A-Z]+)\$[0-9]+"))),_xlfn.REGEXEXTRACT(CELL("address",Y71), "\$([A-Z]+)\$[0-9]+"))</f>
        <v/>
      </c>
      <c r="Z71" s="7" t="str" cm="1">
        <f t="array" aca="1" ref="Z71" ca="1">IFERROR(IF(OR('Raw Data'!Z71="",LEN(TRIM('Raw Data'!Z71))=0),"",IF(AND(ISNUMBER('Raw Data'!Z71), IFERROR('Raw Data'!Z71 = ROUND('Raw Data'!Z71, 2),FALSE)),"",_xlfn.REGEXEXTRACT(CELL("address",Z71), "\$([A-Z]+)\$[0-9]+"))),_xlfn.REGEXEXTRACT(CELL("address",Z71), "\$([A-Z]+)\$[0-9]+"))</f>
        <v/>
      </c>
      <c r="AA71" s="7" t="str" cm="1">
        <f t="array" aca="1" ref="AA71" ca="1">IFERROR(IF(OR('Raw Data'!AA71="",LEN(TRIM('Raw Data'!AA71))=0),"",IF(AND(ISNUMBER('Raw Data'!AA71), IFERROR('Raw Data'!AA71 = ROUND('Raw Data'!AA71, 2),FALSE)),"",_xlfn.REGEXEXTRACT(CELL("address",AA71), "\$([A-Z]+)\$[0-9]+"))),_xlfn.REGEXEXTRACT(CELL("address",AA71), "\$([A-Z]+)\$[0-9]+"))</f>
        <v/>
      </c>
      <c r="AB71" s="7" t="str" cm="1">
        <f t="array" aca="1" ref="AB71" ca="1">IFERROR(IF(OR('Raw Data'!AB71="",LEN(TRIM('Raw Data'!AB71))=0),"",IF(AND(ISNUMBER('Raw Data'!AB71), IFERROR('Raw Data'!AB71 = ROUND('Raw Data'!AB71, 2),FALSE)),"",_xlfn.REGEXEXTRACT(CELL("address",AB71), "\$([A-Z]+)\$[0-9]+"))),_xlfn.REGEXEXTRACT(CELL("address",AB71), "\$([A-Z]+)\$[0-9]+"))</f>
        <v/>
      </c>
    </row>
    <row r="72" spans="2:28" x14ac:dyDescent="0.25">
      <c r="B72" s="7" t="str" cm="1">
        <f t="array" aca="1" ref="B72" ca="1">IFERROR(IF(OR('Raw Data'!B72="",LEN(TRIM('Raw Data'!B72))=0),"",IF(AND(LEN('Raw Data'!B72) &lt;= 255,LEN('Raw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20,LEN('Raw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Data'!D72))=0),"",IF(AND(ISNUMBER('Raw Data'!D72),'Raw Data'!D72&gt;=Configuration!$D$2),"",_xlfn.REGEXEXTRACT(CELL("address",'Raw Data'!D72),"\$([A-Z]+)\$[0-9]+"))),_xlfn.REGEXEXTRACT(CELL("address",D72), "\$([A-Z]+)\$[0-9]+"))</f>
        <v/>
      </c>
      <c r="E72" s="7" t="str" cm="1">
        <f t="array" aca="1" ref="E72" ca="1">IFERROR(IF(OR('Raw Data'!E72="",LEN(TRIM('Raw Data'!E72))=0),"",IF(AND(ISNUMBER('Raw Data'!E72), IFERROR('Raw Data'!E72 = ROUND('Raw Data'!E72, 2),FALSE)),"",_xlfn.REGEXEXTRACT(CELL("address",E72), "\$([A-Z]+)\$[0-9]+"))),_xlfn.REGEXEXTRACT(CELL("address",E72), "\$([A-Z]+)\$[0-9]+"))</f>
        <v/>
      </c>
      <c r="F72" s="7" t="str" cm="1">
        <f t="array" aca="1" ref="F72" ca="1">IFERROR(IF(OR('Raw Data'!F72="",LEN(TRIM('Raw Data'!F72))=0),"",IF(AND(ISNUMBER('Raw Data'!F72), IFERROR('Raw Data'!F72 = ROUND('Raw Data'!F72, 2),FALSE)),"",_xlfn.REGEXEXTRACT(CELL("address",F72), "\$([A-Z]+)\$[0-9]+"))),_xlfn.REGEXEXTRACT(CELL("address",F72), "\$([A-Z]+)\$[0-9]+"))</f>
        <v/>
      </c>
      <c r="G72" s="7" t="str" cm="1">
        <f t="array" aca="1" ref="G72" ca="1">IFERROR(IF(OR('Raw Data'!G72="",LEN(TRIM('Raw Data'!G72))=0),"",IF(AND(ISNUMBER('Raw Data'!G72), IFERROR('Raw Data'!G72 = ROUND('Raw Data'!G72, 2),FALSE)),"",_xlfn.REGEXEXTRACT(CELL("address",G72), "\$([A-Z]+)\$[0-9]+"))),_xlfn.REGEXEXTRACT(CELL("address",G72), "\$([A-Z]+)\$[0-9]+"))</f>
        <v/>
      </c>
      <c r="H72" s="7" t="str" cm="1">
        <f t="array" aca="1" ref="H72" ca="1">IFERROR(IF(OR('Raw Data'!H72="",LEN(TRIM('Raw Data'!H72))=0),"",IF(AND(ISNUMBER('Raw Data'!H72), IFERROR('Raw Data'!H72 = ROUND('Raw Data'!H72, 2),FALSE)),"",_xlfn.REGEXEXTRACT(CELL("address",H72), "\$([A-Z]+)\$[0-9]+"))),_xlfn.REGEXEXTRACT(CELL("address",H72), "\$([A-Z]+)\$[0-9]+"))</f>
        <v/>
      </c>
      <c r="I72" s="7" t="str" cm="1">
        <f t="array" aca="1" ref="I72" ca="1">IFERROR(IF(OR('Raw Data'!I72="",LEN(TRIM('Raw Data'!I72))=0),"",IF(AND(ISNUMBER('Raw Data'!I72), IFERROR('Raw Data'!I72 = ROUND('Raw Data'!I72, 2),FALSE)),"",_xlfn.REGEXEXTRACT(CELL("address",I72), "\$([A-Z]+)\$[0-9]+"))),_xlfn.REGEXEXTRACT(CELL("address",I72), "\$([A-Z]+)\$[0-9]+"))</f>
        <v/>
      </c>
      <c r="J72" s="7" t="str" cm="1">
        <f t="array" aca="1" ref="J72" ca="1">IFERROR(IF(OR('Raw Data'!J72="",LEN(TRIM('Raw Data'!J72))=0),"",IF(AND(ISNUMBER('Raw Data'!J72), IFERROR('Raw Data'!J72 = ROUND('Raw Data'!J72, 2),FALSE)),"",_xlfn.REGEXEXTRACT(CELL("address",J72), "\$([A-Z]+)\$[0-9]+"))),_xlfn.REGEXEXTRACT(CELL("address",J72), "\$([A-Z]+)\$[0-9]+"))</f>
        <v/>
      </c>
      <c r="K72" s="7" t="str" cm="1">
        <f t="array" aca="1" ref="K72" ca="1">IFERROR(IF(OR('Raw Data'!K72="",LEN(TRIM('Raw Data'!K72))=0),"",IF(AND(ISNUMBER('Raw Data'!K72), IFERROR('Raw Data'!K72 = ROUND('Raw Data'!K72, 2),FALSE)),"",_xlfn.REGEXEXTRACT(CELL("address",K72), "\$([A-Z]+)\$[0-9]+"))),_xlfn.REGEXEXTRACT(CELL("address",K72), "\$([A-Z]+)\$[0-9]+"))</f>
        <v/>
      </c>
      <c r="L72" s="7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7" t="str" cm="1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7" t="str" cm="1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  <c r="O72" s="7" t="str" cm="1">
        <f t="array" aca="1" ref="O72" ca="1">IFERROR(IF(OR('Raw Data'!O72="",LEN(TRIM('Raw Data'!O72))=0),"",IF(AND(ISNUMBER('Raw Data'!O72), IFERROR('Raw Data'!O72 = ROUND('Raw Data'!O72, 2),FALSE)),"",_xlfn.REGEXEXTRACT(CELL("address",O72), "\$([A-Z]+)\$[0-9]+"))),_xlfn.REGEXEXTRACT(CELL("address",O72), "\$([A-Z]+)\$[0-9]+"))</f>
        <v/>
      </c>
      <c r="P72" s="7" t="str" cm="1">
        <f t="array" aca="1" ref="P72" ca="1">IFERROR(IF(OR('Raw Data'!P72="",LEN(TRIM('Raw Data'!P72))=0),"",IF(AND(ISNUMBER('Raw Data'!P72), IFERROR('Raw Data'!P72 = ROUND('Raw Data'!P72, 2),FALSE)),"",_xlfn.REGEXEXTRACT(CELL("address",P72), "\$([A-Z]+)\$[0-9]+"))),_xlfn.REGEXEXTRACT(CELL("address",P72), "\$([A-Z]+)\$[0-9]+"))</f>
        <v/>
      </c>
      <c r="Q72" s="7" t="str" cm="1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7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7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7" t="str" cm="1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7" t="str" cm="1">
        <f t="array" aca="1" ref="U72" ca="1">IFERROR(IF(OR('Raw Data'!U72="",LEN(TRIM('Raw Data'!U72))=0),"",IF(AND(ISNUMBER('Raw Data'!U72), IFERROR('Raw Data'!U72 = ROUND('Raw Data'!U72, 2),FALSE)),"",_xlfn.REGEXEXTRACT(CELL("address",U72), "\$([A-Z]+)\$[0-9]+"))),_xlfn.REGEXEXTRACT(CELL("address",U72), "\$([A-Z]+)\$[0-9]+"))</f>
        <v/>
      </c>
      <c r="V72" s="7" t="str" cm="1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7" t="str" cm="1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7" t="str" cm="1">
        <f t="array" aca="1" ref="X72" ca="1">IFERROR(IF(OR('Raw Data'!X72="",LEN(TRIM('Raw Data'!X72))=0),"",IF(AND(ISNUMBER('Raw Data'!X72), IFERROR('Raw Data'!X72 = ROUND('Raw Data'!X72, 2),FALSE)),"",_xlfn.REGEXEXTRACT(CELL("address",X72), "\$([A-Z]+)\$[0-9]+"))),_xlfn.REGEXEXTRACT(CELL("address",X72), "\$([A-Z]+)\$[0-9]+"))</f>
        <v/>
      </c>
      <c r="Y72" s="7" t="str" cm="1">
        <f t="array" aca="1" ref="Y72" ca="1">IFERROR(IF(OR('Raw Data'!Y72="",LEN(TRIM('Raw Data'!Y72))=0),"",IF(AND(ISNUMBER('Raw Data'!Y72), IFERROR('Raw Data'!Y72 = ROUND('Raw Data'!Y72, 2),FALSE)),"",_xlfn.REGEXEXTRACT(CELL("address",Y72), "\$([A-Z]+)\$[0-9]+"))),_xlfn.REGEXEXTRACT(CELL("address",Y72), "\$([A-Z]+)\$[0-9]+"))</f>
        <v/>
      </c>
      <c r="Z72" s="7" t="str" cm="1">
        <f t="array" aca="1" ref="Z72" ca="1">IFERROR(IF(OR('Raw Data'!Z72="",LEN(TRIM('Raw Data'!Z72))=0),"",IF(AND(ISNUMBER('Raw Data'!Z72), IFERROR('Raw Data'!Z72 = ROUND('Raw Data'!Z72, 2),FALSE)),"",_xlfn.REGEXEXTRACT(CELL("address",Z72), "\$([A-Z]+)\$[0-9]+"))),_xlfn.REGEXEXTRACT(CELL("address",Z72), "\$([A-Z]+)\$[0-9]+"))</f>
        <v/>
      </c>
      <c r="AA72" s="7" t="str" cm="1">
        <f t="array" aca="1" ref="AA72" ca="1">IFERROR(IF(OR('Raw Data'!AA72="",LEN(TRIM('Raw Data'!AA72))=0),"",IF(AND(ISNUMBER('Raw Data'!AA72), IFERROR('Raw Data'!AA72 = ROUND('Raw Data'!AA72, 2),FALSE)),"",_xlfn.REGEXEXTRACT(CELL("address",AA72), "\$([A-Z]+)\$[0-9]+"))),_xlfn.REGEXEXTRACT(CELL("address",AA72), "\$([A-Z]+)\$[0-9]+"))</f>
        <v/>
      </c>
      <c r="AB72" s="7" t="str" cm="1">
        <f t="array" aca="1" ref="AB72" ca="1">IFERROR(IF(OR('Raw Data'!AB72="",LEN(TRIM('Raw Data'!AB72))=0),"",IF(AND(ISNUMBER('Raw Data'!AB72), IFERROR('Raw Data'!AB72 = ROUND('Raw Data'!AB72, 2),FALSE)),"",_xlfn.REGEXEXTRACT(CELL("address",AB72), "\$([A-Z]+)\$[0-9]+"))),_xlfn.REGEXEXTRACT(CELL("address",AB72), "\$([A-Z]+)\$[0-9]+"))</f>
        <v/>
      </c>
    </row>
    <row r="73" spans="2:28" x14ac:dyDescent="0.25">
      <c r="B73" s="7" t="str" cm="1">
        <f t="array" aca="1" ref="B73" ca="1">IFERROR(IF(OR('Raw Data'!B73="",LEN(TRIM('Raw Data'!B73))=0),"",IF(AND(LEN('Raw Data'!B73) &lt;= 255,LEN('Raw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20,LEN('Raw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Data'!D73))=0),"",IF(AND(ISNUMBER('Raw Data'!D73),'Raw Data'!D73&gt;=Configuration!$D$2),"",_xlfn.REGEXEXTRACT(CELL("address",'Raw Data'!D73),"\$([A-Z]+)\$[0-9]+"))),_xlfn.REGEXEXTRACT(CELL("address",D73), "\$([A-Z]+)\$[0-9]+"))</f>
        <v/>
      </c>
      <c r="E73" s="7" t="str" cm="1">
        <f t="array" aca="1" ref="E73" ca="1">IFERROR(IF(OR('Raw Data'!E73="",LEN(TRIM('Raw Data'!E73))=0),"",IF(AND(ISNUMBER('Raw Data'!E73), IFERROR('Raw Data'!E73 = ROUND('Raw Data'!E73, 2),FALSE)),"",_xlfn.REGEXEXTRACT(CELL("address",E73), "\$([A-Z]+)\$[0-9]+"))),_xlfn.REGEXEXTRACT(CELL("address",E73), "\$([A-Z]+)\$[0-9]+"))</f>
        <v/>
      </c>
      <c r="F73" s="7" t="str" cm="1">
        <f t="array" aca="1" ref="F73" ca="1">IFERROR(IF(OR('Raw Data'!F73="",LEN(TRIM('Raw Data'!F73))=0),"",IF(AND(ISNUMBER('Raw Data'!F73), IFERROR('Raw Data'!F73 = ROUND('Raw Data'!F73, 2),FALSE)),"",_xlfn.REGEXEXTRACT(CELL("address",F73), "\$([A-Z]+)\$[0-9]+"))),_xlfn.REGEXEXTRACT(CELL("address",F73), "\$([A-Z]+)\$[0-9]+"))</f>
        <v/>
      </c>
      <c r="G73" s="7" t="str" cm="1">
        <f t="array" aca="1" ref="G73" ca="1">IFERROR(IF(OR('Raw Data'!G73="",LEN(TRIM('Raw Data'!G73))=0),"",IF(AND(ISNUMBER('Raw Data'!G73), IFERROR('Raw Data'!G73 = ROUND('Raw Data'!G73, 2),FALSE)),"",_xlfn.REGEXEXTRACT(CELL("address",G73), "\$([A-Z]+)\$[0-9]+"))),_xlfn.REGEXEXTRACT(CELL("address",G73), "\$([A-Z]+)\$[0-9]+"))</f>
        <v/>
      </c>
      <c r="H73" s="7" t="str" cm="1">
        <f t="array" aca="1" ref="H73" ca="1">IFERROR(IF(OR('Raw Data'!H73="",LEN(TRIM('Raw Data'!H73))=0),"",IF(AND(ISNUMBER('Raw Data'!H73), IFERROR('Raw Data'!H73 = ROUND('Raw Data'!H73, 2),FALSE)),"",_xlfn.REGEXEXTRACT(CELL("address",H73), "\$([A-Z]+)\$[0-9]+"))),_xlfn.REGEXEXTRACT(CELL("address",H73), "\$([A-Z]+)\$[0-9]+"))</f>
        <v/>
      </c>
      <c r="I73" s="7" t="str" cm="1">
        <f t="array" aca="1" ref="I73" ca="1">IFERROR(IF(OR('Raw Data'!I73="",LEN(TRIM('Raw Data'!I73))=0),"",IF(AND(ISNUMBER('Raw Data'!I73), IFERROR('Raw Data'!I73 = ROUND('Raw Data'!I73, 2),FALSE)),"",_xlfn.REGEXEXTRACT(CELL("address",I73), "\$([A-Z]+)\$[0-9]+"))),_xlfn.REGEXEXTRACT(CELL("address",I73), "\$([A-Z]+)\$[0-9]+"))</f>
        <v/>
      </c>
      <c r="J73" s="7" t="str" cm="1">
        <f t="array" aca="1" ref="J73" ca="1">IFERROR(IF(OR('Raw Data'!J73="",LEN(TRIM('Raw Data'!J73))=0),"",IF(AND(ISNUMBER('Raw Data'!J73), IFERROR('Raw Data'!J73 = ROUND('Raw Data'!J73, 2),FALSE)),"",_xlfn.REGEXEXTRACT(CELL("address",J73), "\$([A-Z]+)\$[0-9]+"))),_xlfn.REGEXEXTRACT(CELL("address",J73), "\$([A-Z]+)\$[0-9]+"))</f>
        <v/>
      </c>
      <c r="K73" s="7" t="str" cm="1">
        <f t="array" aca="1" ref="K73" ca="1">IFERROR(IF(OR('Raw Data'!K73="",LEN(TRIM('Raw Data'!K73))=0),"",IF(AND(ISNUMBER('Raw Data'!K73), IFERROR('Raw Data'!K73 = ROUND('Raw Data'!K73, 2),FALSE)),"",_xlfn.REGEXEXTRACT(CELL("address",K73), "\$([A-Z]+)\$[0-9]+"))),_xlfn.REGEXEXTRACT(CELL("address",K73), "\$([A-Z]+)\$[0-9]+"))</f>
        <v/>
      </c>
      <c r="L73" s="7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7" t="str" cm="1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7" t="str" cm="1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  <c r="O73" s="7" t="str" cm="1">
        <f t="array" aca="1" ref="O73" ca="1">IFERROR(IF(OR('Raw Data'!O73="",LEN(TRIM('Raw Data'!O73))=0),"",IF(AND(ISNUMBER('Raw Data'!O73), IFERROR('Raw Data'!O73 = ROUND('Raw Data'!O73, 2),FALSE)),"",_xlfn.REGEXEXTRACT(CELL("address",O73), "\$([A-Z]+)\$[0-9]+"))),_xlfn.REGEXEXTRACT(CELL("address",O73), "\$([A-Z]+)\$[0-9]+"))</f>
        <v/>
      </c>
      <c r="P73" s="7" t="str" cm="1">
        <f t="array" aca="1" ref="P73" ca="1">IFERROR(IF(OR('Raw Data'!P73="",LEN(TRIM('Raw Data'!P73))=0),"",IF(AND(ISNUMBER('Raw Data'!P73), IFERROR('Raw Data'!P73 = ROUND('Raw Data'!P73, 2),FALSE)),"",_xlfn.REGEXEXTRACT(CELL("address",P73), "\$([A-Z]+)\$[0-9]+"))),_xlfn.REGEXEXTRACT(CELL("address",P73), "\$([A-Z]+)\$[0-9]+"))</f>
        <v/>
      </c>
      <c r="Q73" s="7" t="str" cm="1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7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7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7" t="str" cm="1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7" t="str" cm="1">
        <f t="array" aca="1" ref="U73" ca="1">IFERROR(IF(OR('Raw Data'!U73="",LEN(TRIM('Raw Data'!U73))=0),"",IF(AND(ISNUMBER('Raw Data'!U73), IFERROR('Raw Data'!U73 = ROUND('Raw Data'!U73, 2),FALSE)),"",_xlfn.REGEXEXTRACT(CELL("address",U73), "\$([A-Z]+)\$[0-9]+"))),_xlfn.REGEXEXTRACT(CELL("address",U73), "\$([A-Z]+)\$[0-9]+"))</f>
        <v/>
      </c>
      <c r="V73" s="7" t="str" cm="1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7" t="str" cm="1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7" t="str" cm="1">
        <f t="array" aca="1" ref="X73" ca="1">IFERROR(IF(OR('Raw Data'!X73="",LEN(TRIM('Raw Data'!X73))=0),"",IF(AND(ISNUMBER('Raw Data'!X73), IFERROR('Raw Data'!X73 = ROUND('Raw Data'!X73, 2),FALSE)),"",_xlfn.REGEXEXTRACT(CELL("address",X73), "\$([A-Z]+)\$[0-9]+"))),_xlfn.REGEXEXTRACT(CELL("address",X73), "\$([A-Z]+)\$[0-9]+"))</f>
        <v/>
      </c>
      <c r="Y73" s="7" t="str" cm="1">
        <f t="array" aca="1" ref="Y73" ca="1">IFERROR(IF(OR('Raw Data'!Y73="",LEN(TRIM('Raw Data'!Y73))=0),"",IF(AND(ISNUMBER('Raw Data'!Y73), IFERROR('Raw Data'!Y73 = ROUND('Raw Data'!Y73, 2),FALSE)),"",_xlfn.REGEXEXTRACT(CELL("address",Y73), "\$([A-Z]+)\$[0-9]+"))),_xlfn.REGEXEXTRACT(CELL("address",Y73), "\$([A-Z]+)\$[0-9]+"))</f>
        <v/>
      </c>
      <c r="Z73" s="7" t="str" cm="1">
        <f t="array" aca="1" ref="Z73" ca="1">IFERROR(IF(OR('Raw Data'!Z73="",LEN(TRIM('Raw Data'!Z73))=0),"",IF(AND(ISNUMBER('Raw Data'!Z73), IFERROR('Raw Data'!Z73 = ROUND('Raw Data'!Z73, 2),FALSE)),"",_xlfn.REGEXEXTRACT(CELL("address",Z73), "\$([A-Z]+)\$[0-9]+"))),_xlfn.REGEXEXTRACT(CELL("address",Z73), "\$([A-Z]+)\$[0-9]+"))</f>
        <v/>
      </c>
      <c r="AA73" s="7" t="str" cm="1">
        <f t="array" aca="1" ref="AA73" ca="1">IFERROR(IF(OR('Raw Data'!AA73="",LEN(TRIM('Raw Data'!AA73))=0),"",IF(AND(ISNUMBER('Raw Data'!AA73), IFERROR('Raw Data'!AA73 = ROUND('Raw Data'!AA73, 2),FALSE)),"",_xlfn.REGEXEXTRACT(CELL("address",AA73), "\$([A-Z]+)\$[0-9]+"))),_xlfn.REGEXEXTRACT(CELL("address",AA73), "\$([A-Z]+)\$[0-9]+"))</f>
        <v/>
      </c>
      <c r="AB73" s="7" t="str" cm="1">
        <f t="array" aca="1" ref="AB73" ca="1">IFERROR(IF(OR('Raw Data'!AB73="",LEN(TRIM('Raw Data'!AB73))=0),"",IF(AND(ISNUMBER('Raw Data'!AB73), IFERROR('Raw Data'!AB73 = ROUND('Raw Data'!AB73, 2),FALSE)),"",_xlfn.REGEXEXTRACT(CELL("address",AB73), "\$([A-Z]+)\$[0-9]+"))),_xlfn.REGEXEXTRACT(CELL("address",AB73), "\$([A-Z]+)\$[0-9]+"))</f>
        <v/>
      </c>
    </row>
    <row r="74" spans="2:28" x14ac:dyDescent="0.25">
      <c r="B74" s="7" t="str" cm="1">
        <f t="array" aca="1" ref="B74" ca="1">IFERROR(IF(OR('Raw Data'!B74="",LEN(TRIM('Raw Data'!B74))=0),"",IF(AND(LEN('Raw Data'!B74) &lt;= 255,LEN('Raw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20,LEN('Raw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Data'!D74))=0),"",IF(AND(ISNUMBER('Raw Data'!D74),'Raw Data'!D74&gt;=Configuration!$D$2),"",_xlfn.REGEXEXTRACT(CELL("address",'Raw Data'!D74),"\$([A-Z]+)\$[0-9]+"))),_xlfn.REGEXEXTRACT(CELL("address",D74), "\$([A-Z]+)\$[0-9]+"))</f>
        <v/>
      </c>
      <c r="E74" s="7" t="str" cm="1">
        <f t="array" aca="1" ref="E74" ca="1">IFERROR(IF(OR('Raw Data'!E74="",LEN(TRIM('Raw Data'!E74))=0),"",IF(AND(ISNUMBER('Raw Data'!E74), IFERROR('Raw Data'!E74 = ROUND('Raw Data'!E74, 2),FALSE)),"",_xlfn.REGEXEXTRACT(CELL("address",E74), "\$([A-Z]+)\$[0-9]+"))),_xlfn.REGEXEXTRACT(CELL("address",E74), "\$([A-Z]+)\$[0-9]+"))</f>
        <v/>
      </c>
      <c r="F74" s="7" t="str" cm="1">
        <f t="array" aca="1" ref="F74" ca="1">IFERROR(IF(OR('Raw Data'!F74="",LEN(TRIM('Raw Data'!F74))=0),"",IF(AND(ISNUMBER('Raw Data'!F74), IFERROR('Raw Data'!F74 = ROUND('Raw Data'!F74, 2),FALSE)),"",_xlfn.REGEXEXTRACT(CELL("address",F74), "\$([A-Z]+)\$[0-9]+"))),_xlfn.REGEXEXTRACT(CELL("address",F74), "\$([A-Z]+)\$[0-9]+"))</f>
        <v/>
      </c>
      <c r="G74" s="7" t="str" cm="1">
        <f t="array" aca="1" ref="G74" ca="1">IFERROR(IF(OR('Raw Data'!G74="",LEN(TRIM('Raw Data'!G74))=0),"",IF(AND(ISNUMBER('Raw Data'!G74), IFERROR('Raw Data'!G74 = ROUND('Raw Data'!G74, 2),FALSE)),"",_xlfn.REGEXEXTRACT(CELL("address",G74), "\$([A-Z]+)\$[0-9]+"))),_xlfn.REGEXEXTRACT(CELL("address",G74), "\$([A-Z]+)\$[0-9]+"))</f>
        <v/>
      </c>
      <c r="H74" s="7" t="str" cm="1">
        <f t="array" aca="1" ref="H74" ca="1">IFERROR(IF(OR('Raw Data'!H74="",LEN(TRIM('Raw Data'!H74))=0),"",IF(AND(ISNUMBER('Raw Data'!H74), IFERROR('Raw Data'!H74 = ROUND('Raw Data'!H74, 2),FALSE)),"",_xlfn.REGEXEXTRACT(CELL("address",H74), "\$([A-Z]+)\$[0-9]+"))),_xlfn.REGEXEXTRACT(CELL("address",H74), "\$([A-Z]+)\$[0-9]+"))</f>
        <v/>
      </c>
      <c r="I74" s="7" t="str" cm="1">
        <f t="array" aca="1" ref="I74" ca="1">IFERROR(IF(OR('Raw Data'!I74="",LEN(TRIM('Raw Data'!I74))=0),"",IF(AND(ISNUMBER('Raw Data'!I74), IFERROR('Raw Data'!I74 = ROUND('Raw Data'!I74, 2),FALSE)),"",_xlfn.REGEXEXTRACT(CELL("address",I74), "\$([A-Z]+)\$[0-9]+"))),_xlfn.REGEXEXTRACT(CELL("address",I74), "\$([A-Z]+)\$[0-9]+"))</f>
        <v/>
      </c>
      <c r="J74" s="7" t="str" cm="1">
        <f t="array" aca="1" ref="J74" ca="1">IFERROR(IF(OR('Raw Data'!J74="",LEN(TRIM('Raw Data'!J74))=0),"",IF(AND(ISNUMBER('Raw Data'!J74), IFERROR('Raw Data'!J74 = ROUND('Raw Data'!J74, 2),FALSE)),"",_xlfn.REGEXEXTRACT(CELL("address",J74), "\$([A-Z]+)\$[0-9]+"))),_xlfn.REGEXEXTRACT(CELL("address",J74), "\$([A-Z]+)\$[0-9]+"))</f>
        <v/>
      </c>
      <c r="K74" s="7" t="str" cm="1">
        <f t="array" aca="1" ref="K74" ca="1">IFERROR(IF(OR('Raw Data'!K74="",LEN(TRIM('Raw Data'!K74))=0),"",IF(AND(ISNUMBER('Raw Data'!K74), IFERROR('Raw Data'!K74 = ROUND('Raw Data'!K74, 2),FALSE)),"",_xlfn.REGEXEXTRACT(CELL("address",K74), "\$([A-Z]+)\$[0-9]+"))),_xlfn.REGEXEXTRACT(CELL("address",K74), "\$([A-Z]+)\$[0-9]+"))</f>
        <v/>
      </c>
      <c r="L74" s="7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7" t="str" cm="1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7" t="str" cm="1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  <c r="O74" s="7" t="str" cm="1">
        <f t="array" aca="1" ref="O74" ca="1">IFERROR(IF(OR('Raw Data'!O74="",LEN(TRIM('Raw Data'!O74))=0),"",IF(AND(ISNUMBER('Raw Data'!O74), IFERROR('Raw Data'!O74 = ROUND('Raw Data'!O74, 2),FALSE)),"",_xlfn.REGEXEXTRACT(CELL("address",O74), "\$([A-Z]+)\$[0-9]+"))),_xlfn.REGEXEXTRACT(CELL("address",O74), "\$([A-Z]+)\$[0-9]+"))</f>
        <v/>
      </c>
      <c r="P74" s="7" t="str" cm="1">
        <f t="array" aca="1" ref="P74" ca="1">IFERROR(IF(OR('Raw Data'!P74="",LEN(TRIM('Raw Data'!P74))=0),"",IF(AND(ISNUMBER('Raw Data'!P74), IFERROR('Raw Data'!P74 = ROUND('Raw Data'!P74, 2),FALSE)),"",_xlfn.REGEXEXTRACT(CELL("address",P74), "\$([A-Z]+)\$[0-9]+"))),_xlfn.REGEXEXTRACT(CELL("address",P74), "\$([A-Z]+)\$[0-9]+"))</f>
        <v/>
      </c>
      <c r="Q74" s="7" t="str" cm="1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7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7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7" t="str" cm="1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7" t="str" cm="1">
        <f t="array" aca="1" ref="U74" ca="1">IFERROR(IF(OR('Raw Data'!U74="",LEN(TRIM('Raw Data'!U74))=0),"",IF(AND(ISNUMBER('Raw Data'!U74), IFERROR('Raw Data'!U74 = ROUND('Raw Data'!U74, 2),FALSE)),"",_xlfn.REGEXEXTRACT(CELL("address",U74), "\$([A-Z]+)\$[0-9]+"))),_xlfn.REGEXEXTRACT(CELL("address",U74), "\$([A-Z]+)\$[0-9]+"))</f>
        <v/>
      </c>
      <c r="V74" s="7" t="str" cm="1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7" t="str" cm="1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7" t="str" cm="1">
        <f t="array" aca="1" ref="X74" ca="1">IFERROR(IF(OR('Raw Data'!X74="",LEN(TRIM('Raw Data'!X74))=0),"",IF(AND(ISNUMBER('Raw Data'!X74), IFERROR('Raw Data'!X74 = ROUND('Raw Data'!X74, 2),FALSE)),"",_xlfn.REGEXEXTRACT(CELL("address",X74), "\$([A-Z]+)\$[0-9]+"))),_xlfn.REGEXEXTRACT(CELL("address",X74), "\$([A-Z]+)\$[0-9]+"))</f>
        <v/>
      </c>
      <c r="Y74" s="7" t="str" cm="1">
        <f t="array" aca="1" ref="Y74" ca="1">IFERROR(IF(OR('Raw Data'!Y74="",LEN(TRIM('Raw Data'!Y74))=0),"",IF(AND(ISNUMBER('Raw Data'!Y74), IFERROR('Raw Data'!Y74 = ROUND('Raw Data'!Y74, 2),FALSE)),"",_xlfn.REGEXEXTRACT(CELL("address",Y74), "\$([A-Z]+)\$[0-9]+"))),_xlfn.REGEXEXTRACT(CELL("address",Y74), "\$([A-Z]+)\$[0-9]+"))</f>
        <v/>
      </c>
      <c r="Z74" s="7" t="str" cm="1">
        <f t="array" aca="1" ref="Z74" ca="1">IFERROR(IF(OR('Raw Data'!Z74="",LEN(TRIM('Raw Data'!Z74))=0),"",IF(AND(ISNUMBER('Raw Data'!Z74), IFERROR('Raw Data'!Z74 = ROUND('Raw Data'!Z74, 2),FALSE)),"",_xlfn.REGEXEXTRACT(CELL("address",Z74), "\$([A-Z]+)\$[0-9]+"))),_xlfn.REGEXEXTRACT(CELL("address",Z74), "\$([A-Z]+)\$[0-9]+"))</f>
        <v/>
      </c>
      <c r="AA74" s="7" t="str" cm="1">
        <f t="array" aca="1" ref="AA74" ca="1">IFERROR(IF(OR('Raw Data'!AA74="",LEN(TRIM('Raw Data'!AA74))=0),"",IF(AND(ISNUMBER('Raw Data'!AA74), IFERROR('Raw Data'!AA74 = ROUND('Raw Data'!AA74, 2),FALSE)),"",_xlfn.REGEXEXTRACT(CELL("address",AA74), "\$([A-Z]+)\$[0-9]+"))),_xlfn.REGEXEXTRACT(CELL("address",AA74), "\$([A-Z]+)\$[0-9]+"))</f>
        <v/>
      </c>
      <c r="AB74" s="7" t="str" cm="1">
        <f t="array" aca="1" ref="AB74" ca="1">IFERROR(IF(OR('Raw Data'!AB74="",LEN(TRIM('Raw Data'!AB74))=0),"",IF(AND(ISNUMBER('Raw Data'!AB74), IFERROR('Raw Data'!AB74 = ROUND('Raw Data'!AB74, 2),FALSE)),"",_xlfn.REGEXEXTRACT(CELL("address",AB74), "\$([A-Z]+)\$[0-9]+"))),_xlfn.REGEXEXTRACT(CELL("address",AB74), "\$([A-Z]+)\$[0-9]+"))</f>
        <v/>
      </c>
    </row>
    <row r="75" spans="2:28" x14ac:dyDescent="0.25">
      <c r="B75" s="7" t="str" cm="1">
        <f t="array" aca="1" ref="B75" ca="1">IFERROR(IF(OR('Raw Data'!B75="",LEN(TRIM('Raw Data'!B75))=0),"",IF(AND(LEN('Raw Data'!B75) &lt;= 255,LEN('Raw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20,LEN('Raw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Data'!D75))=0),"",IF(AND(ISNUMBER('Raw Data'!D75),'Raw Data'!D75&gt;=Configuration!$D$2),"",_xlfn.REGEXEXTRACT(CELL("address",'Raw Data'!D75),"\$([A-Z]+)\$[0-9]+"))),_xlfn.REGEXEXTRACT(CELL("address",D75), "\$([A-Z]+)\$[0-9]+"))</f>
        <v/>
      </c>
      <c r="E75" s="7" t="str" cm="1">
        <f t="array" aca="1" ref="E75" ca="1">IFERROR(IF(OR('Raw Data'!E75="",LEN(TRIM('Raw Data'!E75))=0),"",IF(AND(ISNUMBER('Raw Data'!E75), IFERROR('Raw Data'!E75 = ROUND('Raw Data'!E75, 2),FALSE)),"",_xlfn.REGEXEXTRACT(CELL("address",E75), "\$([A-Z]+)\$[0-9]+"))),_xlfn.REGEXEXTRACT(CELL("address",E75), "\$([A-Z]+)\$[0-9]+"))</f>
        <v/>
      </c>
      <c r="F75" s="7" t="str" cm="1">
        <f t="array" aca="1" ref="F75" ca="1">IFERROR(IF(OR('Raw Data'!F75="",LEN(TRIM('Raw Data'!F75))=0),"",IF(AND(ISNUMBER('Raw Data'!F75), IFERROR('Raw Data'!F75 = ROUND('Raw Data'!F75, 2),FALSE)),"",_xlfn.REGEXEXTRACT(CELL("address",F75), "\$([A-Z]+)\$[0-9]+"))),_xlfn.REGEXEXTRACT(CELL("address",F75), "\$([A-Z]+)\$[0-9]+"))</f>
        <v/>
      </c>
      <c r="G75" s="7" t="str" cm="1">
        <f t="array" aca="1" ref="G75" ca="1">IFERROR(IF(OR('Raw Data'!G75="",LEN(TRIM('Raw Data'!G75))=0),"",IF(AND(ISNUMBER('Raw Data'!G75), IFERROR('Raw Data'!G75 = ROUND('Raw Data'!G75, 2),FALSE)),"",_xlfn.REGEXEXTRACT(CELL("address",G75), "\$([A-Z]+)\$[0-9]+"))),_xlfn.REGEXEXTRACT(CELL("address",G75), "\$([A-Z]+)\$[0-9]+"))</f>
        <v/>
      </c>
      <c r="H75" s="7" t="str" cm="1">
        <f t="array" aca="1" ref="H75" ca="1">IFERROR(IF(OR('Raw Data'!H75="",LEN(TRIM('Raw Data'!H75))=0),"",IF(AND(ISNUMBER('Raw Data'!H75), IFERROR('Raw Data'!H75 = ROUND('Raw Data'!H75, 2),FALSE)),"",_xlfn.REGEXEXTRACT(CELL("address",H75), "\$([A-Z]+)\$[0-9]+"))),_xlfn.REGEXEXTRACT(CELL("address",H75), "\$([A-Z]+)\$[0-9]+"))</f>
        <v/>
      </c>
      <c r="I75" s="7" t="str" cm="1">
        <f t="array" aca="1" ref="I75" ca="1">IFERROR(IF(OR('Raw Data'!I75="",LEN(TRIM('Raw Data'!I75))=0),"",IF(AND(ISNUMBER('Raw Data'!I75), IFERROR('Raw Data'!I75 = ROUND('Raw Data'!I75, 2),FALSE)),"",_xlfn.REGEXEXTRACT(CELL("address",I75), "\$([A-Z]+)\$[0-9]+"))),_xlfn.REGEXEXTRACT(CELL("address",I75), "\$([A-Z]+)\$[0-9]+"))</f>
        <v/>
      </c>
      <c r="J75" s="7" t="str" cm="1">
        <f t="array" aca="1" ref="J75" ca="1">IFERROR(IF(OR('Raw Data'!J75="",LEN(TRIM('Raw Data'!J75))=0),"",IF(AND(ISNUMBER('Raw Data'!J75), IFERROR('Raw Data'!J75 = ROUND('Raw Data'!J75, 2),FALSE)),"",_xlfn.REGEXEXTRACT(CELL("address",J75), "\$([A-Z]+)\$[0-9]+"))),_xlfn.REGEXEXTRACT(CELL("address",J75), "\$([A-Z]+)\$[0-9]+"))</f>
        <v/>
      </c>
      <c r="K75" s="7" t="str" cm="1">
        <f t="array" aca="1" ref="K75" ca="1">IFERROR(IF(OR('Raw Data'!K75="",LEN(TRIM('Raw Data'!K75))=0),"",IF(AND(ISNUMBER('Raw Data'!K75), IFERROR('Raw Data'!K75 = ROUND('Raw Data'!K75, 2),FALSE)),"",_xlfn.REGEXEXTRACT(CELL("address",K75), "\$([A-Z]+)\$[0-9]+"))),_xlfn.REGEXEXTRACT(CELL("address",K75), "\$([A-Z]+)\$[0-9]+"))</f>
        <v/>
      </c>
      <c r="L75" s="7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7" t="str" cm="1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7" t="str" cm="1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  <c r="O75" s="7" t="str" cm="1">
        <f t="array" aca="1" ref="O75" ca="1">IFERROR(IF(OR('Raw Data'!O75="",LEN(TRIM('Raw Data'!O75))=0),"",IF(AND(ISNUMBER('Raw Data'!O75), IFERROR('Raw Data'!O75 = ROUND('Raw Data'!O75, 2),FALSE)),"",_xlfn.REGEXEXTRACT(CELL("address",O75), "\$([A-Z]+)\$[0-9]+"))),_xlfn.REGEXEXTRACT(CELL("address",O75), "\$([A-Z]+)\$[0-9]+"))</f>
        <v/>
      </c>
      <c r="P75" s="7" t="str" cm="1">
        <f t="array" aca="1" ref="P75" ca="1">IFERROR(IF(OR('Raw Data'!P75="",LEN(TRIM('Raw Data'!P75))=0),"",IF(AND(ISNUMBER('Raw Data'!P75), IFERROR('Raw Data'!P75 = ROUND('Raw Data'!P75, 2),FALSE)),"",_xlfn.REGEXEXTRACT(CELL("address",P75), "\$([A-Z]+)\$[0-9]+"))),_xlfn.REGEXEXTRACT(CELL("address",P75), "\$([A-Z]+)\$[0-9]+"))</f>
        <v/>
      </c>
      <c r="Q75" s="7" t="str" cm="1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7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7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7" t="str" cm="1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7" t="str" cm="1">
        <f t="array" aca="1" ref="U75" ca="1">IFERROR(IF(OR('Raw Data'!U75="",LEN(TRIM('Raw Data'!U75))=0),"",IF(AND(ISNUMBER('Raw Data'!U75), IFERROR('Raw Data'!U75 = ROUND('Raw Data'!U75, 2),FALSE)),"",_xlfn.REGEXEXTRACT(CELL("address",U75), "\$([A-Z]+)\$[0-9]+"))),_xlfn.REGEXEXTRACT(CELL("address",U75), "\$([A-Z]+)\$[0-9]+"))</f>
        <v/>
      </c>
      <c r="V75" s="7" t="str" cm="1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7" t="str" cm="1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7" t="str" cm="1">
        <f t="array" aca="1" ref="X75" ca="1">IFERROR(IF(OR('Raw Data'!X75="",LEN(TRIM('Raw Data'!X75))=0),"",IF(AND(ISNUMBER('Raw Data'!X75), IFERROR('Raw Data'!X75 = ROUND('Raw Data'!X75, 2),FALSE)),"",_xlfn.REGEXEXTRACT(CELL("address",X75), "\$([A-Z]+)\$[0-9]+"))),_xlfn.REGEXEXTRACT(CELL("address",X75), "\$([A-Z]+)\$[0-9]+"))</f>
        <v/>
      </c>
      <c r="Y75" s="7" t="str" cm="1">
        <f t="array" aca="1" ref="Y75" ca="1">IFERROR(IF(OR('Raw Data'!Y75="",LEN(TRIM('Raw Data'!Y75))=0),"",IF(AND(ISNUMBER('Raw Data'!Y75), IFERROR('Raw Data'!Y75 = ROUND('Raw Data'!Y75, 2),FALSE)),"",_xlfn.REGEXEXTRACT(CELL("address",Y75), "\$([A-Z]+)\$[0-9]+"))),_xlfn.REGEXEXTRACT(CELL("address",Y75), "\$([A-Z]+)\$[0-9]+"))</f>
        <v/>
      </c>
      <c r="Z75" s="7" t="str" cm="1">
        <f t="array" aca="1" ref="Z75" ca="1">IFERROR(IF(OR('Raw Data'!Z75="",LEN(TRIM('Raw Data'!Z75))=0),"",IF(AND(ISNUMBER('Raw Data'!Z75), IFERROR('Raw Data'!Z75 = ROUND('Raw Data'!Z75, 2),FALSE)),"",_xlfn.REGEXEXTRACT(CELL("address",Z75), "\$([A-Z]+)\$[0-9]+"))),_xlfn.REGEXEXTRACT(CELL("address",Z75), "\$([A-Z]+)\$[0-9]+"))</f>
        <v/>
      </c>
      <c r="AA75" s="7" t="str" cm="1">
        <f t="array" aca="1" ref="AA75" ca="1">IFERROR(IF(OR('Raw Data'!AA75="",LEN(TRIM('Raw Data'!AA75))=0),"",IF(AND(ISNUMBER('Raw Data'!AA75), IFERROR('Raw Data'!AA75 = ROUND('Raw Data'!AA75, 2),FALSE)),"",_xlfn.REGEXEXTRACT(CELL("address",AA75), "\$([A-Z]+)\$[0-9]+"))),_xlfn.REGEXEXTRACT(CELL("address",AA75), "\$([A-Z]+)\$[0-9]+"))</f>
        <v/>
      </c>
      <c r="AB75" s="7" t="str" cm="1">
        <f t="array" aca="1" ref="AB75" ca="1">IFERROR(IF(OR('Raw Data'!AB75="",LEN(TRIM('Raw Data'!AB75))=0),"",IF(AND(ISNUMBER('Raw Data'!AB75), IFERROR('Raw Data'!AB75 = ROUND('Raw Data'!AB75, 2),FALSE)),"",_xlfn.REGEXEXTRACT(CELL("address",AB75), "\$([A-Z]+)\$[0-9]+"))),_xlfn.REGEXEXTRACT(CELL("address",AB75), "\$([A-Z]+)\$[0-9]+"))</f>
        <v/>
      </c>
    </row>
    <row r="76" spans="2:28" x14ac:dyDescent="0.25">
      <c r="B76" s="7" t="str" cm="1">
        <f t="array" aca="1" ref="B76" ca="1">IFERROR(IF(OR('Raw Data'!B76="",LEN(TRIM('Raw Data'!B76))=0),"",IF(AND(LEN('Raw Data'!B76) &lt;= 255,LEN('Raw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20,LEN('Raw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Data'!D76))=0),"",IF(AND(ISNUMBER('Raw Data'!D76),'Raw Data'!D76&gt;=Configuration!$D$2),"",_xlfn.REGEXEXTRACT(CELL("address",'Raw Data'!D76),"\$([A-Z]+)\$[0-9]+"))),_xlfn.REGEXEXTRACT(CELL("address",D76), "\$([A-Z]+)\$[0-9]+"))</f>
        <v/>
      </c>
      <c r="E76" s="7" t="str" cm="1">
        <f t="array" aca="1" ref="E76" ca="1">IFERROR(IF(OR('Raw Data'!E76="",LEN(TRIM('Raw Data'!E76))=0),"",IF(AND(ISNUMBER('Raw Data'!E76), IFERROR('Raw Data'!E76 = ROUND('Raw Data'!E76, 2),FALSE)),"",_xlfn.REGEXEXTRACT(CELL("address",E76), "\$([A-Z]+)\$[0-9]+"))),_xlfn.REGEXEXTRACT(CELL("address",E76), "\$([A-Z]+)\$[0-9]+"))</f>
        <v/>
      </c>
      <c r="F76" s="7" t="str" cm="1">
        <f t="array" aca="1" ref="F76" ca="1">IFERROR(IF(OR('Raw Data'!F76="",LEN(TRIM('Raw Data'!F76))=0),"",IF(AND(ISNUMBER('Raw Data'!F76), IFERROR('Raw Data'!F76 = ROUND('Raw Data'!F76, 2),FALSE)),"",_xlfn.REGEXEXTRACT(CELL("address",F76), "\$([A-Z]+)\$[0-9]+"))),_xlfn.REGEXEXTRACT(CELL("address",F76), "\$([A-Z]+)\$[0-9]+"))</f>
        <v/>
      </c>
      <c r="G76" s="7" t="str" cm="1">
        <f t="array" aca="1" ref="G76" ca="1">IFERROR(IF(OR('Raw Data'!G76="",LEN(TRIM('Raw Data'!G76))=0),"",IF(AND(ISNUMBER('Raw Data'!G76), IFERROR('Raw Data'!G76 = ROUND('Raw Data'!G76, 2),FALSE)),"",_xlfn.REGEXEXTRACT(CELL("address",G76), "\$([A-Z]+)\$[0-9]+"))),_xlfn.REGEXEXTRACT(CELL("address",G76), "\$([A-Z]+)\$[0-9]+"))</f>
        <v/>
      </c>
      <c r="H76" s="7" t="str" cm="1">
        <f t="array" aca="1" ref="H76" ca="1">IFERROR(IF(OR('Raw Data'!H76="",LEN(TRIM('Raw Data'!H76))=0),"",IF(AND(ISNUMBER('Raw Data'!H76), IFERROR('Raw Data'!H76 = ROUND('Raw Data'!H76, 2),FALSE)),"",_xlfn.REGEXEXTRACT(CELL("address",H76), "\$([A-Z]+)\$[0-9]+"))),_xlfn.REGEXEXTRACT(CELL("address",H76), "\$([A-Z]+)\$[0-9]+"))</f>
        <v/>
      </c>
      <c r="I76" s="7" t="str" cm="1">
        <f t="array" aca="1" ref="I76" ca="1">IFERROR(IF(OR('Raw Data'!I76="",LEN(TRIM('Raw Data'!I76))=0),"",IF(AND(ISNUMBER('Raw Data'!I76), IFERROR('Raw Data'!I76 = ROUND('Raw Data'!I76, 2),FALSE)),"",_xlfn.REGEXEXTRACT(CELL("address",I76), "\$([A-Z]+)\$[0-9]+"))),_xlfn.REGEXEXTRACT(CELL("address",I76), "\$([A-Z]+)\$[0-9]+"))</f>
        <v/>
      </c>
      <c r="J76" s="7" t="str" cm="1">
        <f t="array" aca="1" ref="J76" ca="1">IFERROR(IF(OR('Raw Data'!J76="",LEN(TRIM('Raw Data'!J76))=0),"",IF(AND(ISNUMBER('Raw Data'!J76), IFERROR('Raw Data'!J76 = ROUND('Raw Data'!J76, 2),FALSE)),"",_xlfn.REGEXEXTRACT(CELL("address",J76), "\$([A-Z]+)\$[0-9]+"))),_xlfn.REGEXEXTRACT(CELL("address",J76), "\$([A-Z]+)\$[0-9]+"))</f>
        <v/>
      </c>
      <c r="K76" s="7" t="str" cm="1">
        <f t="array" aca="1" ref="K76" ca="1">IFERROR(IF(OR('Raw Data'!K76="",LEN(TRIM('Raw Data'!K76))=0),"",IF(AND(ISNUMBER('Raw Data'!K76), IFERROR('Raw Data'!K76 = ROUND('Raw Data'!K76, 2),FALSE)),"",_xlfn.REGEXEXTRACT(CELL("address",K76), "\$([A-Z]+)\$[0-9]+"))),_xlfn.REGEXEXTRACT(CELL("address",K76), "\$([A-Z]+)\$[0-9]+"))</f>
        <v/>
      </c>
      <c r="L76" s="7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7" t="str" cm="1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7" t="str" cm="1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  <c r="O76" s="7" t="str" cm="1">
        <f t="array" aca="1" ref="O76" ca="1">IFERROR(IF(OR('Raw Data'!O76="",LEN(TRIM('Raw Data'!O76))=0),"",IF(AND(ISNUMBER('Raw Data'!O76), IFERROR('Raw Data'!O76 = ROUND('Raw Data'!O76, 2),FALSE)),"",_xlfn.REGEXEXTRACT(CELL("address",O76), "\$([A-Z]+)\$[0-9]+"))),_xlfn.REGEXEXTRACT(CELL("address",O76), "\$([A-Z]+)\$[0-9]+"))</f>
        <v/>
      </c>
      <c r="P76" s="7" t="str" cm="1">
        <f t="array" aca="1" ref="P76" ca="1">IFERROR(IF(OR('Raw Data'!P76="",LEN(TRIM('Raw Data'!P76))=0),"",IF(AND(ISNUMBER('Raw Data'!P76), IFERROR('Raw Data'!P76 = ROUND('Raw Data'!P76, 2),FALSE)),"",_xlfn.REGEXEXTRACT(CELL("address",P76), "\$([A-Z]+)\$[0-9]+"))),_xlfn.REGEXEXTRACT(CELL("address",P76), "\$([A-Z]+)\$[0-9]+"))</f>
        <v/>
      </c>
      <c r="Q76" s="7" t="str" cm="1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7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7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7" t="str" cm="1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7" t="str" cm="1">
        <f t="array" aca="1" ref="U76" ca="1">IFERROR(IF(OR('Raw Data'!U76="",LEN(TRIM('Raw Data'!U76))=0),"",IF(AND(ISNUMBER('Raw Data'!U76), IFERROR('Raw Data'!U76 = ROUND('Raw Data'!U76, 2),FALSE)),"",_xlfn.REGEXEXTRACT(CELL("address",U76), "\$([A-Z]+)\$[0-9]+"))),_xlfn.REGEXEXTRACT(CELL("address",U76), "\$([A-Z]+)\$[0-9]+"))</f>
        <v/>
      </c>
      <c r="V76" s="7" t="str" cm="1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7" t="str" cm="1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7" t="str" cm="1">
        <f t="array" aca="1" ref="X76" ca="1">IFERROR(IF(OR('Raw Data'!X76="",LEN(TRIM('Raw Data'!X76))=0),"",IF(AND(ISNUMBER('Raw Data'!X76), IFERROR('Raw Data'!X76 = ROUND('Raw Data'!X76, 2),FALSE)),"",_xlfn.REGEXEXTRACT(CELL("address",X76), "\$([A-Z]+)\$[0-9]+"))),_xlfn.REGEXEXTRACT(CELL("address",X76), "\$([A-Z]+)\$[0-9]+"))</f>
        <v/>
      </c>
      <c r="Y76" s="7" t="str" cm="1">
        <f t="array" aca="1" ref="Y76" ca="1">IFERROR(IF(OR('Raw Data'!Y76="",LEN(TRIM('Raw Data'!Y76))=0),"",IF(AND(ISNUMBER('Raw Data'!Y76), IFERROR('Raw Data'!Y76 = ROUND('Raw Data'!Y76, 2),FALSE)),"",_xlfn.REGEXEXTRACT(CELL("address",Y76), "\$([A-Z]+)\$[0-9]+"))),_xlfn.REGEXEXTRACT(CELL("address",Y76), "\$([A-Z]+)\$[0-9]+"))</f>
        <v/>
      </c>
      <c r="Z76" s="7" t="str" cm="1">
        <f t="array" aca="1" ref="Z76" ca="1">IFERROR(IF(OR('Raw Data'!Z76="",LEN(TRIM('Raw Data'!Z76))=0),"",IF(AND(ISNUMBER('Raw Data'!Z76), IFERROR('Raw Data'!Z76 = ROUND('Raw Data'!Z76, 2),FALSE)),"",_xlfn.REGEXEXTRACT(CELL("address",Z76), "\$([A-Z]+)\$[0-9]+"))),_xlfn.REGEXEXTRACT(CELL("address",Z76), "\$([A-Z]+)\$[0-9]+"))</f>
        <v/>
      </c>
      <c r="AA76" s="7" t="str" cm="1">
        <f t="array" aca="1" ref="AA76" ca="1">IFERROR(IF(OR('Raw Data'!AA76="",LEN(TRIM('Raw Data'!AA76))=0),"",IF(AND(ISNUMBER('Raw Data'!AA76), IFERROR('Raw Data'!AA76 = ROUND('Raw Data'!AA76, 2),FALSE)),"",_xlfn.REGEXEXTRACT(CELL("address",AA76), "\$([A-Z]+)\$[0-9]+"))),_xlfn.REGEXEXTRACT(CELL("address",AA76), "\$([A-Z]+)\$[0-9]+"))</f>
        <v/>
      </c>
      <c r="AB76" s="7" t="str" cm="1">
        <f t="array" aca="1" ref="AB76" ca="1">IFERROR(IF(OR('Raw Data'!AB76="",LEN(TRIM('Raw Data'!AB76))=0),"",IF(AND(ISNUMBER('Raw Data'!AB76), IFERROR('Raw Data'!AB76 = ROUND('Raw Data'!AB76, 2),FALSE)),"",_xlfn.REGEXEXTRACT(CELL("address",AB76), "\$([A-Z]+)\$[0-9]+"))),_xlfn.REGEXEXTRACT(CELL("address",AB76), "\$([A-Z]+)\$[0-9]+"))</f>
        <v/>
      </c>
    </row>
    <row r="77" spans="2:28" x14ac:dyDescent="0.25">
      <c r="B77" s="7" t="str" cm="1">
        <f t="array" aca="1" ref="B77" ca="1">IFERROR(IF(OR('Raw Data'!B77="",LEN(TRIM('Raw Data'!B77))=0),"",IF(AND(LEN('Raw Data'!B77) &lt;= 255,LEN('Raw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20,LEN('Raw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Data'!D77))=0),"",IF(AND(ISNUMBER('Raw Data'!D77),'Raw Data'!D77&gt;=Configuration!$D$2),"",_xlfn.REGEXEXTRACT(CELL("address",'Raw Data'!D77),"\$([A-Z]+)\$[0-9]+"))),_xlfn.REGEXEXTRACT(CELL("address",D77), "\$([A-Z]+)\$[0-9]+"))</f>
        <v/>
      </c>
      <c r="E77" s="7" t="str" cm="1">
        <f t="array" aca="1" ref="E77" ca="1">IFERROR(IF(OR('Raw Data'!E77="",LEN(TRIM('Raw Data'!E77))=0),"",IF(AND(ISNUMBER('Raw Data'!E77), IFERROR('Raw Data'!E77 = ROUND('Raw Data'!E77, 2),FALSE)),"",_xlfn.REGEXEXTRACT(CELL("address",E77), "\$([A-Z]+)\$[0-9]+"))),_xlfn.REGEXEXTRACT(CELL("address",E77), "\$([A-Z]+)\$[0-9]+"))</f>
        <v/>
      </c>
      <c r="F77" s="7" t="str" cm="1">
        <f t="array" aca="1" ref="F77" ca="1">IFERROR(IF(OR('Raw Data'!F77="",LEN(TRIM('Raw Data'!F77))=0),"",IF(AND(ISNUMBER('Raw Data'!F77), IFERROR('Raw Data'!F77 = ROUND('Raw Data'!F77, 2),FALSE)),"",_xlfn.REGEXEXTRACT(CELL("address",F77), "\$([A-Z]+)\$[0-9]+"))),_xlfn.REGEXEXTRACT(CELL("address",F77), "\$([A-Z]+)\$[0-9]+"))</f>
        <v/>
      </c>
      <c r="G77" s="7" t="str" cm="1">
        <f t="array" aca="1" ref="G77" ca="1">IFERROR(IF(OR('Raw Data'!G77="",LEN(TRIM('Raw Data'!G77))=0),"",IF(AND(ISNUMBER('Raw Data'!G77), IFERROR('Raw Data'!G77 = ROUND('Raw Data'!G77, 2),FALSE)),"",_xlfn.REGEXEXTRACT(CELL("address",G77), "\$([A-Z]+)\$[0-9]+"))),_xlfn.REGEXEXTRACT(CELL("address",G77), "\$([A-Z]+)\$[0-9]+"))</f>
        <v/>
      </c>
      <c r="H77" s="7" t="str" cm="1">
        <f t="array" aca="1" ref="H77" ca="1">IFERROR(IF(OR('Raw Data'!H77="",LEN(TRIM('Raw Data'!H77))=0),"",IF(AND(ISNUMBER('Raw Data'!H77), IFERROR('Raw Data'!H77 = ROUND('Raw Data'!H77, 2),FALSE)),"",_xlfn.REGEXEXTRACT(CELL("address",H77), "\$([A-Z]+)\$[0-9]+"))),_xlfn.REGEXEXTRACT(CELL("address",H77), "\$([A-Z]+)\$[0-9]+"))</f>
        <v/>
      </c>
      <c r="I77" s="7" t="str" cm="1">
        <f t="array" aca="1" ref="I77" ca="1">IFERROR(IF(OR('Raw Data'!I77="",LEN(TRIM('Raw Data'!I77))=0),"",IF(AND(ISNUMBER('Raw Data'!I77), IFERROR('Raw Data'!I77 = ROUND('Raw Data'!I77, 2),FALSE)),"",_xlfn.REGEXEXTRACT(CELL("address",I77), "\$([A-Z]+)\$[0-9]+"))),_xlfn.REGEXEXTRACT(CELL("address",I77), "\$([A-Z]+)\$[0-9]+"))</f>
        <v/>
      </c>
      <c r="J77" s="7" t="str" cm="1">
        <f t="array" aca="1" ref="J77" ca="1">IFERROR(IF(OR('Raw Data'!J77="",LEN(TRIM('Raw Data'!J77))=0),"",IF(AND(ISNUMBER('Raw Data'!J77), IFERROR('Raw Data'!J77 = ROUND('Raw Data'!J77, 2),FALSE)),"",_xlfn.REGEXEXTRACT(CELL("address",J77), "\$([A-Z]+)\$[0-9]+"))),_xlfn.REGEXEXTRACT(CELL("address",J77), "\$([A-Z]+)\$[0-9]+"))</f>
        <v/>
      </c>
      <c r="K77" s="7" t="str" cm="1">
        <f t="array" aca="1" ref="K77" ca="1">IFERROR(IF(OR('Raw Data'!K77="",LEN(TRIM('Raw Data'!K77))=0),"",IF(AND(ISNUMBER('Raw Data'!K77), IFERROR('Raw Data'!K77 = ROUND('Raw Data'!K77, 2),FALSE)),"",_xlfn.REGEXEXTRACT(CELL("address",K77), "\$([A-Z]+)\$[0-9]+"))),_xlfn.REGEXEXTRACT(CELL("address",K77), "\$([A-Z]+)\$[0-9]+"))</f>
        <v/>
      </c>
      <c r="L77" s="7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7" t="str" cm="1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7" t="str" cm="1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  <c r="O77" s="7" t="str" cm="1">
        <f t="array" aca="1" ref="O77" ca="1">IFERROR(IF(OR('Raw Data'!O77="",LEN(TRIM('Raw Data'!O77))=0),"",IF(AND(ISNUMBER('Raw Data'!O77), IFERROR('Raw Data'!O77 = ROUND('Raw Data'!O77, 2),FALSE)),"",_xlfn.REGEXEXTRACT(CELL("address",O77), "\$([A-Z]+)\$[0-9]+"))),_xlfn.REGEXEXTRACT(CELL("address",O77), "\$([A-Z]+)\$[0-9]+"))</f>
        <v/>
      </c>
      <c r="P77" s="7" t="str" cm="1">
        <f t="array" aca="1" ref="P77" ca="1">IFERROR(IF(OR('Raw Data'!P77="",LEN(TRIM('Raw Data'!P77))=0),"",IF(AND(ISNUMBER('Raw Data'!P77), IFERROR('Raw Data'!P77 = ROUND('Raw Data'!P77, 2),FALSE)),"",_xlfn.REGEXEXTRACT(CELL("address",P77), "\$([A-Z]+)\$[0-9]+"))),_xlfn.REGEXEXTRACT(CELL("address",P77), "\$([A-Z]+)\$[0-9]+"))</f>
        <v/>
      </c>
      <c r="Q77" s="7" t="str" cm="1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7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7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7" t="str" cm="1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7" t="str" cm="1">
        <f t="array" aca="1" ref="U77" ca="1">IFERROR(IF(OR('Raw Data'!U77="",LEN(TRIM('Raw Data'!U77))=0),"",IF(AND(ISNUMBER('Raw Data'!U77), IFERROR('Raw Data'!U77 = ROUND('Raw Data'!U77, 2),FALSE)),"",_xlfn.REGEXEXTRACT(CELL("address",U77), "\$([A-Z]+)\$[0-9]+"))),_xlfn.REGEXEXTRACT(CELL("address",U77), "\$([A-Z]+)\$[0-9]+"))</f>
        <v/>
      </c>
      <c r="V77" s="7" t="str" cm="1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7" t="str" cm="1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7" t="str" cm="1">
        <f t="array" aca="1" ref="X77" ca="1">IFERROR(IF(OR('Raw Data'!X77="",LEN(TRIM('Raw Data'!X77))=0),"",IF(AND(ISNUMBER('Raw Data'!X77), IFERROR('Raw Data'!X77 = ROUND('Raw Data'!X77, 2),FALSE)),"",_xlfn.REGEXEXTRACT(CELL("address",X77), "\$([A-Z]+)\$[0-9]+"))),_xlfn.REGEXEXTRACT(CELL("address",X77), "\$([A-Z]+)\$[0-9]+"))</f>
        <v/>
      </c>
      <c r="Y77" s="7" t="str" cm="1">
        <f t="array" aca="1" ref="Y77" ca="1">IFERROR(IF(OR('Raw Data'!Y77="",LEN(TRIM('Raw Data'!Y77))=0),"",IF(AND(ISNUMBER('Raw Data'!Y77), IFERROR('Raw Data'!Y77 = ROUND('Raw Data'!Y77, 2),FALSE)),"",_xlfn.REGEXEXTRACT(CELL("address",Y77), "\$([A-Z]+)\$[0-9]+"))),_xlfn.REGEXEXTRACT(CELL("address",Y77), "\$([A-Z]+)\$[0-9]+"))</f>
        <v/>
      </c>
      <c r="Z77" s="7" t="str" cm="1">
        <f t="array" aca="1" ref="Z77" ca="1">IFERROR(IF(OR('Raw Data'!Z77="",LEN(TRIM('Raw Data'!Z77))=0),"",IF(AND(ISNUMBER('Raw Data'!Z77), IFERROR('Raw Data'!Z77 = ROUND('Raw Data'!Z77, 2),FALSE)),"",_xlfn.REGEXEXTRACT(CELL("address",Z77), "\$([A-Z]+)\$[0-9]+"))),_xlfn.REGEXEXTRACT(CELL("address",Z77), "\$([A-Z]+)\$[0-9]+"))</f>
        <v/>
      </c>
      <c r="AA77" s="7" t="str" cm="1">
        <f t="array" aca="1" ref="AA77" ca="1">IFERROR(IF(OR('Raw Data'!AA77="",LEN(TRIM('Raw Data'!AA77))=0),"",IF(AND(ISNUMBER('Raw Data'!AA77), IFERROR('Raw Data'!AA77 = ROUND('Raw Data'!AA77, 2),FALSE)),"",_xlfn.REGEXEXTRACT(CELL("address",AA77), "\$([A-Z]+)\$[0-9]+"))),_xlfn.REGEXEXTRACT(CELL("address",AA77), "\$([A-Z]+)\$[0-9]+"))</f>
        <v/>
      </c>
      <c r="AB77" s="7" t="str" cm="1">
        <f t="array" aca="1" ref="AB77" ca="1">IFERROR(IF(OR('Raw Data'!AB77="",LEN(TRIM('Raw Data'!AB77))=0),"",IF(AND(ISNUMBER('Raw Data'!AB77), IFERROR('Raw Data'!AB77 = ROUND('Raw Data'!AB77, 2),FALSE)),"",_xlfn.REGEXEXTRACT(CELL("address",AB77), "\$([A-Z]+)\$[0-9]+"))),_xlfn.REGEXEXTRACT(CELL("address",AB77), "\$([A-Z]+)\$[0-9]+"))</f>
        <v/>
      </c>
    </row>
    <row r="78" spans="2:28" x14ac:dyDescent="0.25">
      <c r="B78" s="7" t="str" cm="1">
        <f t="array" aca="1" ref="B78" ca="1">IFERROR(IF(OR('Raw Data'!B78="",LEN(TRIM('Raw Data'!B78))=0),"",IF(AND(LEN('Raw Data'!B78) &lt;= 255,LEN('Raw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20,LEN('Raw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Data'!D78))=0),"",IF(AND(ISNUMBER('Raw Data'!D78),'Raw Data'!D78&gt;=Configuration!$D$2),"",_xlfn.REGEXEXTRACT(CELL("address",'Raw Data'!D78),"\$([A-Z]+)\$[0-9]+"))),_xlfn.REGEXEXTRACT(CELL("address",D78), "\$([A-Z]+)\$[0-9]+"))</f>
        <v/>
      </c>
      <c r="E78" s="7" t="str" cm="1">
        <f t="array" aca="1" ref="E78" ca="1">IFERROR(IF(OR('Raw Data'!E78="",LEN(TRIM('Raw Data'!E78))=0),"",IF(AND(ISNUMBER('Raw Data'!E78), IFERROR('Raw Data'!E78 = ROUND('Raw Data'!E78, 2),FALSE)),"",_xlfn.REGEXEXTRACT(CELL("address",E78), "\$([A-Z]+)\$[0-9]+"))),_xlfn.REGEXEXTRACT(CELL("address",E78), "\$([A-Z]+)\$[0-9]+"))</f>
        <v/>
      </c>
      <c r="F78" s="7" t="str" cm="1">
        <f t="array" aca="1" ref="F78" ca="1">IFERROR(IF(OR('Raw Data'!F78="",LEN(TRIM('Raw Data'!F78))=0),"",IF(AND(ISNUMBER('Raw Data'!F78), IFERROR('Raw Data'!F78 = ROUND('Raw Data'!F78, 2),FALSE)),"",_xlfn.REGEXEXTRACT(CELL("address",F78), "\$([A-Z]+)\$[0-9]+"))),_xlfn.REGEXEXTRACT(CELL("address",F78), "\$([A-Z]+)\$[0-9]+"))</f>
        <v/>
      </c>
      <c r="G78" s="7" t="str" cm="1">
        <f t="array" aca="1" ref="G78" ca="1">IFERROR(IF(OR('Raw Data'!G78="",LEN(TRIM('Raw Data'!G78))=0),"",IF(AND(ISNUMBER('Raw Data'!G78), IFERROR('Raw Data'!G78 = ROUND('Raw Data'!G78, 2),FALSE)),"",_xlfn.REGEXEXTRACT(CELL("address",G78), "\$([A-Z]+)\$[0-9]+"))),_xlfn.REGEXEXTRACT(CELL("address",G78), "\$([A-Z]+)\$[0-9]+"))</f>
        <v/>
      </c>
      <c r="H78" s="7" t="str" cm="1">
        <f t="array" aca="1" ref="H78" ca="1">IFERROR(IF(OR('Raw Data'!H78="",LEN(TRIM('Raw Data'!H78))=0),"",IF(AND(ISNUMBER('Raw Data'!H78), IFERROR('Raw Data'!H78 = ROUND('Raw Data'!H78, 2),FALSE)),"",_xlfn.REGEXEXTRACT(CELL("address",H78), "\$([A-Z]+)\$[0-9]+"))),_xlfn.REGEXEXTRACT(CELL("address",H78), "\$([A-Z]+)\$[0-9]+"))</f>
        <v/>
      </c>
      <c r="I78" s="7" t="str" cm="1">
        <f t="array" aca="1" ref="I78" ca="1">IFERROR(IF(OR('Raw Data'!I78="",LEN(TRIM('Raw Data'!I78))=0),"",IF(AND(ISNUMBER('Raw Data'!I78), IFERROR('Raw Data'!I78 = ROUND('Raw Data'!I78, 2),FALSE)),"",_xlfn.REGEXEXTRACT(CELL("address",I78), "\$([A-Z]+)\$[0-9]+"))),_xlfn.REGEXEXTRACT(CELL("address",I78), "\$([A-Z]+)\$[0-9]+"))</f>
        <v/>
      </c>
      <c r="J78" s="7" t="str" cm="1">
        <f t="array" aca="1" ref="J78" ca="1">IFERROR(IF(OR('Raw Data'!J78="",LEN(TRIM('Raw Data'!J78))=0),"",IF(AND(ISNUMBER('Raw Data'!J78), IFERROR('Raw Data'!J78 = ROUND('Raw Data'!J78, 2),FALSE)),"",_xlfn.REGEXEXTRACT(CELL("address",J78), "\$([A-Z]+)\$[0-9]+"))),_xlfn.REGEXEXTRACT(CELL("address",J78), "\$([A-Z]+)\$[0-9]+"))</f>
        <v/>
      </c>
      <c r="K78" s="7" t="str" cm="1">
        <f t="array" aca="1" ref="K78" ca="1">IFERROR(IF(OR('Raw Data'!K78="",LEN(TRIM('Raw Data'!K78))=0),"",IF(AND(ISNUMBER('Raw Data'!K78), IFERROR('Raw Data'!K78 = ROUND('Raw Data'!K78, 2),FALSE)),"",_xlfn.REGEXEXTRACT(CELL("address",K78), "\$([A-Z]+)\$[0-9]+"))),_xlfn.REGEXEXTRACT(CELL("address",K78), "\$([A-Z]+)\$[0-9]+"))</f>
        <v/>
      </c>
      <c r="L78" s="7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7" t="str" cm="1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7" t="str" cm="1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  <c r="O78" s="7" t="str" cm="1">
        <f t="array" aca="1" ref="O78" ca="1">IFERROR(IF(OR('Raw Data'!O78="",LEN(TRIM('Raw Data'!O78))=0),"",IF(AND(ISNUMBER('Raw Data'!O78), IFERROR('Raw Data'!O78 = ROUND('Raw Data'!O78, 2),FALSE)),"",_xlfn.REGEXEXTRACT(CELL("address",O78), "\$([A-Z]+)\$[0-9]+"))),_xlfn.REGEXEXTRACT(CELL("address",O78), "\$([A-Z]+)\$[0-9]+"))</f>
        <v/>
      </c>
      <c r="P78" s="7" t="str" cm="1">
        <f t="array" aca="1" ref="P78" ca="1">IFERROR(IF(OR('Raw Data'!P78="",LEN(TRIM('Raw Data'!P78))=0),"",IF(AND(ISNUMBER('Raw Data'!P78), IFERROR('Raw Data'!P78 = ROUND('Raw Data'!P78, 2),FALSE)),"",_xlfn.REGEXEXTRACT(CELL("address",P78), "\$([A-Z]+)\$[0-9]+"))),_xlfn.REGEXEXTRACT(CELL("address",P78), "\$([A-Z]+)\$[0-9]+"))</f>
        <v/>
      </c>
      <c r="Q78" s="7" t="str" cm="1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7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7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7" t="str" cm="1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7" t="str" cm="1">
        <f t="array" aca="1" ref="U78" ca="1">IFERROR(IF(OR('Raw Data'!U78="",LEN(TRIM('Raw Data'!U78))=0),"",IF(AND(ISNUMBER('Raw Data'!U78), IFERROR('Raw Data'!U78 = ROUND('Raw Data'!U78, 2),FALSE)),"",_xlfn.REGEXEXTRACT(CELL("address",U78), "\$([A-Z]+)\$[0-9]+"))),_xlfn.REGEXEXTRACT(CELL("address",U78), "\$([A-Z]+)\$[0-9]+"))</f>
        <v/>
      </c>
      <c r="V78" s="7" t="str" cm="1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7" t="str" cm="1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7" t="str" cm="1">
        <f t="array" aca="1" ref="X78" ca="1">IFERROR(IF(OR('Raw Data'!X78="",LEN(TRIM('Raw Data'!X78))=0),"",IF(AND(ISNUMBER('Raw Data'!X78), IFERROR('Raw Data'!X78 = ROUND('Raw Data'!X78, 2),FALSE)),"",_xlfn.REGEXEXTRACT(CELL("address",X78), "\$([A-Z]+)\$[0-9]+"))),_xlfn.REGEXEXTRACT(CELL("address",X78), "\$([A-Z]+)\$[0-9]+"))</f>
        <v/>
      </c>
      <c r="Y78" s="7" t="str" cm="1">
        <f t="array" aca="1" ref="Y78" ca="1">IFERROR(IF(OR('Raw Data'!Y78="",LEN(TRIM('Raw Data'!Y78))=0),"",IF(AND(ISNUMBER('Raw Data'!Y78), IFERROR('Raw Data'!Y78 = ROUND('Raw Data'!Y78, 2),FALSE)),"",_xlfn.REGEXEXTRACT(CELL("address",Y78), "\$([A-Z]+)\$[0-9]+"))),_xlfn.REGEXEXTRACT(CELL("address",Y78), "\$([A-Z]+)\$[0-9]+"))</f>
        <v/>
      </c>
      <c r="Z78" s="7" t="str" cm="1">
        <f t="array" aca="1" ref="Z78" ca="1">IFERROR(IF(OR('Raw Data'!Z78="",LEN(TRIM('Raw Data'!Z78))=0),"",IF(AND(ISNUMBER('Raw Data'!Z78), IFERROR('Raw Data'!Z78 = ROUND('Raw Data'!Z78, 2),FALSE)),"",_xlfn.REGEXEXTRACT(CELL("address",Z78), "\$([A-Z]+)\$[0-9]+"))),_xlfn.REGEXEXTRACT(CELL("address",Z78), "\$([A-Z]+)\$[0-9]+"))</f>
        <v/>
      </c>
      <c r="AA78" s="7" t="str" cm="1">
        <f t="array" aca="1" ref="AA78" ca="1">IFERROR(IF(OR('Raw Data'!AA78="",LEN(TRIM('Raw Data'!AA78))=0),"",IF(AND(ISNUMBER('Raw Data'!AA78), IFERROR('Raw Data'!AA78 = ROUND('Raw Data'!AA78, 2),FALSE)),"",_xlfn.REGEXEXTRACT(CELL("address",AA78), "\$([A-Z]+)\$[0-9]+"))),_xlfn.REGEXEXTRACT(CELL("address",AA78), "\$([A-Z]+)\$[0-9]+"))</f>
        <v/>
      </c>
      <c r="AB78" s="7" t="str" cm="1">
        <f t="array" aca="1" ref="AB78" ca="1">IFERROR(IF(OR('Raw Data'!AB78="",LEN(TRIM('Raw Data'!AB78))=0),"",IF(AND(ISNUMBER('Raw Data'!AB78), IFERROR('Raw Data'!AB78 = ROUND('Raw Data'!AB78, 2),FALSE)),"",_xlfn.REGEXEXTRACT(CELL("address",AB78), "\$([A-Z]+)\$[0-9]+"))),_xlfn.REGEXEXTRACT(CELL("address",AB78), "\$([A-Z]+)\$[0-9]+"))</f>
        <v/>
      </c>
    </row>
    <row r="79" spans="2:28" x14ac:dyDescent="0.25">
      <c r="B79" s="7" t="str" cm="1">
        <f t="array" aca="1" ref="B79" ca="1">IFERROR(IF(OR('Raw Data'!B79="",LEN(TRIM('Raw Data'!B79))=0),"",IF(AND(LEN('Raw Data'!B79) &lt;= 255,LEN('Raw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20,LEN('Raw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Data'!D79))=0),"",IF(AND(ISNUMBER('Raw Data'!D79),'Raw Data'!D79&gt;=Configuration!$D$2),"",_xlfn.REGEXEXTRACT(CELL("address",'Raw Data'!D79),"\$([A-Z]+)\$[0-9]+"))),_xlfn.REGEXEXTRACT(CELL("address",D79), "\$([A-Z]+)\$[0-9]+"))</f>
        <v/>
      </c>
      <c r="E79" s="7" t="str" cm="1">
        <f t="array" aca="1" ref="E79" ca="1">IFERROR(IF(OR('Raw Data'!E79="",LEN(TRIM('Raw Data'!E79))=0),"",IF(AND(ISNUMBER('Raw Data'!E79), IFERROR('Raw Data'!E79 = ROUND('Raw Data'!E79, 2),FALSE)),"",_xlfn.REGEXEXTRACT(CELL("address",E79), "\$([A-Z]+)\$[0-9]+"))),_xlfn.REGEXEXTRACT(CELL("address",E79), "\$([A-Z]+)\$[0-9]+"))</f>
        <v/>
      </c>
      <c r="F79" s="7" t="str" cm="1">
        <f t="array" aca="1" ref="F79" ca="1">IFERROR(IF(OR('Raw Data'!F79="",LEN(TRIM('Raw Data'!F79))=0),"",IF(AND(ISNUMBER('Raw Data'!F79), IFERROR('Raw Data'!F79 = ROUND('Raw Data'!F79, 2),FALSE)),"",_xlfn.REGEXEXTRACT(CELL("address",F79), "\$([A-Z]+)\$[0-9]+"))),_xlfn.REGEXEXTRACT(CELL("address",F79), "\$([A-Z]+)\$[0-9]+"))</f>
        <v/>
      </c>
      <c r="G79" s="7" t="str" cm="1">
        <f t="array" aca="1" ref="G79" ca="1">IFERROR(IF(OR('Raw Data'!G79="",LEN(TRIM('Raw Data'!G79))=0),"",IF(AND(ISNUMBER('Raw Data'!G79), IFERROR('Raw Data'!G79 = ROUND('Raw Data'!G79, 2),FALSE)),"",_xlfn.REGEXEXTRACT(CELL("address",G79), "\$([A-Z]+)\$[0-9]+"))),_xlfn.REGEXEXTRACT(CELL("address",G79), "\$([A-Z]+)\$[0-9]+"))</f>
        <v/>
      </c>
      <c r="H79" s="7" t="str" cm="1">
        <f t="array" aca="1" ref="H79" ca="1">IFERROR(IF(OR('Raw Data'!H79="",LEN(TRIM('Raw Data'!H79))=0),"",IF(AND(ISNUMBER('Raw Data'!H79), IFERROR('Raw Data'!H79 = ROUND('Raw Data'!H79, 2),FALSE)),"",_xlfn.REGEXEXTRACT(CELL("address",H79), "\$([A-Z]+)\$[0-9]+"))),_xlfn.REGEXEXTRACT(CELL("address",H79), "\$([A-Z]+)\$[0-9]+"))</f>
        <v/>
      </c>
      <c r="I79" s="7" t="str" cm="1">
        <f t="array" aca="1" ref="I79" ca="1">IFERROR(IF(OR('Raw Data'!I79="",LEN(TRIM('Raw Data'!I79))=0),"",IF(AND(ISNUMBER('Raw Data'!I79), IFERROR('Raw Data'!I79 = ROUND('Raw Data'!I79, 2),FALSE)),"",_xlfn.REGEXEXTRACT(CELL("address",I79), "\$([A-Z]+)\$[0-9]+"))),_xlfn.REGEXEXTRACT(CELL("address",I79), "\$([A-Z]+)\$[0-9]+"))</f>
        <v/>
      </c>
      <c r="J79" s="7" t="str" cm="1">
        <f t="array" aca="1" ref="J79" ca="1">IFERROR(IF(OR('Raw Data'!J79="",LEN(TRIM('Raw Data'!J79))=0),"",IF(AND(ISNUMBER('Raw Data'!J79), IFERROR('Raw Data'!J79 = ROUND('Raw Data'!J79, 2),FALSE)),"",_xlfn.REGEXEXTRACT(CELL("address",J79), "\$([A-Z]+)\$[0-9]+"))),_xlfn.REGEXEXTRACT(CELL("address",J79), "\$([A-Z]+)\$[0-9]+"))</f>
        <v/>
      </c>
      <c r="K79" s="7" t="str" cm="1">
        <f t="array" aca="1" ref="K79" ca="1">IFERROR(IF(OR('Raw Data'!K79="",LEN(TRIM('Raw Data'!K79))=0),"",IF(AND(ISNUMBER('Raw Data'!K79), IFERROR('Raw Data'!K79 = ROUND('Raw Data'!K79, 2),FALSE)),"",_xlfn.REGEXEXTRACT(CELL("address",K79), "\$([A-Z]+)\$[0-9]+"))),_xlfn.REGEXEXTRACT(CELL("address",K79), "\$([A-Z]+)\$[0-9]+"))</f>
        <v/>
      </c>
      <c r="L79" s="7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7" t="str" cm="1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7" t="str" cm="1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  <c r="O79" s="7" t="str" cm="1">
        <f t="array" aca="1" ref="O79" ca="1">IFERROR(IF(OR('Raw Data'!O79="",LEN(TRIM('Raw Data'!O79))=0),"",IF(AND(ISNUMBER('Raw Data'!O79), IFERROR('Raw Data'!O79 = ROUND('Raw Data'!O79, 2),FALSE)),"",_xlfn.REGEXEXTRACT(CELL("address",O79), "\$([A-Z]+)\$[0-9]+"))),_xlfn.REGEXEXTRACT(CELL("address",O79), "\$([A-Z]+)\$[0-9]+"))</f>
        <v/>
      </c>
      <c r="P79" s="7" t="str" cm="1">
        <f t="array" aca="1" ref="P79" ca="1">IFERROR(IF(OR('Raw Data'!P79="",LEN(TRIM('Raw Data'!P79))=0),"",IF(AND(ISNUMBER('Raw Data'!P79), IFERROR('Raw Data'!P79 = ROUND('Raw Data'!P79, 2),FALSE)),"",_xlfn.REGEXEXTRACT(CELL("address",P79), "\$([A-Z]+)\$[0-9]+"))),_xlfn.REGEXEXTRACT(CELL("address",P79), "\$([A-Z]+)\$[0-9]+"))</f>
        <v/>
      </c>
      <c r="Q79" s="7" t="str" cm="1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7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7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7" t="str" cm="1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7" t="str" cm="1">
        <f t="array" aca="1" ref="U79" ca="1">IFERROR(IF(OR('Raw Data'!U79="",LEN(TRIM('Raw Data'!U79))=0),"",IF(AND(ISNUMBER('Raw Data'!U79), IFERROR('Raw Data'!U79 = ROUND('Raw Data'!U79, 2),FALSE)),"",_xlfn.REGEXEXTRACT(CELL("address",U79), "\$([A-Z]+)\$[0-9]+"))),_xlfn.REGEXEXTRACT(CELL("address",U79), "\$([A-Z]+)\$[0-9]+"))</f>
        <v/>
      </c>
      <c r="V79" s="7" t="str" cm="1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7" t="str" cm="1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7" t="str" cm="1">
        <f t="array" aca="1" ref="X79" ca="1">IFERROR(IF(OR('Raw Data'!X79="",LEN(TRIM('Raw Data'!X79))=0),"",IF(AND(ISNUMBER('Raw Data'!X79), IFERROR('Raw Data'!X79 = ROUND('Raw Data'!X79, 2),FALSE)),"",_xlfn.REGEXEXTRACT(CELL("address",X79), "\$([A-Z]+)\$[0-9]+"))),_xlfn.REGEXEXTRACT(CELL("address",X79), "\$([A-Z]+)\$[0-9]+"))</f>
        <v/>
      </c>
      <c r="Y79" s="7" t="str" cm="1">
        <f t="array" aca="1" ref="Y79" ca="1">IFERROR(IF(OR('Raw Data'!Y79="",LEN(TRIM('Raw Data'!Y79))=0),"",IF(AND(ISNUMBER('Raw Data'!Y79), IFERROR('Raw Data'!Y79 = ROUND('Raw Data'!Y79, 2),FALSE)),"",_xlfn.REGEXEXTRACT(CELL("address",Y79), "\$([A-Z]+)\$[0-9]+"))),_xlfn.REGEXEXTRACT(CELL("address",Y79), "\$([A-Z]+)\$[0-9]+"))</f>
        <v/>
      </c>
      <c r="Z79" s="7" t="str" cm="1">
        <f t="array" aca="1" ref="Z79" ca="1">IFERROR(IF(OR('Raw Data'!Z79="",LEN(TRIM('Raw Data'!Z79))=0),"",IF(AND(ISNUMBER('Raw Data'!Z79), IFERROR('Raw Data'!Z79 = ROUND('Raw Data'!Z79, 2),FALSE)),"",_xlfn.REGEXEXTRACT(CELL("address",Z79), "\$([A-Z]+)\$[0-9]+"))),_xlfn.REGEXEXTRACT(CELL("address",Z79), "\$([A-Z]+)\$[0-9]+"))</f>
        <v/>
      </c>
      <c r="AA79" s="7" t="str" cm="1">
        <f t="array" aca="1" ref="AA79" ca="1">IFERROR(IF(OR('Raw Data'!AA79="",LEN(TRIM('Raw Data'!AA79))=0),"",IF(AND(ISNUMBER('Raw Data'!AA79), IFERROR('Raw Data'!AA79 = ROUND('Raw Data'!AA79, 2),FALSE)),"",_xlfn.REGEXEXTRACT(CELL("address",AA79), "\$([A-Z]+)\$[0-9]+"))),_xlfn.REGEXEXTRACT(CELL("address",AA79), "\$([A-Z]+)\$[0-9]+"))</f>
        <v/>
      </c>
      <c r="AB79" s="7" t="str" cm="1">
        <f t="array" aca="1" ref="AB79" ca="1">IFERROR(IF(OR('Raw Data'!AB79="",LEN(TRIM('Raw Data'!AB79))=0),"",IF(AND(ISNUMBER('Raw Data'!AB79), IFERROR('Raw Data'!AB79 = ROUND('Raw Data'!AB79, 2),FALSE)),"",_xlfn.REGEXEXTRACT(CELL("address",AB79), "\$([A-Z]+)\$[0-9]+"))),_xlfn.REGEXEXTRACT(CELL("address",AB79), "\$([A-Z]+)\$[0-9]+"))</f>
        <v/>
      </c>
    </row>
    <row r="80" spans="2:28" x14ac:dyDescent="0.25">
      <c r="B80" s="7" t="str" cm="1">
        <f t="array" aca="1" ref="B80" ca="1">IFERROR(IF(OR('Raw Data'!B80="",LEN(TRIM('Raw Data'!B80))=0),"",IF(AND(LEN('Raw Data'!B80) &lt;= 255,LEN('Raw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20,LEN('Raw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Data'!D80))=0),"",IF(AND(ISNUMBER('Raw Data'!D80),'Raw Data'!D80&gt;=Configuration!$D$2),"",_xlfn.REGEXEXTRACT(CELL("address",'Raw Data'!D80),"\$([A-Z]+)\$[0-9]+"))),_xlfn.REGEXEXTRACT(CELL("address",D80), "\$([A-Z]+)\$[0-9]+"))</f>
        <v/>
      </c>
      <c r="E80" s="7" t="str" cm="1">
        <f t="array" aca="1" ref="E80" ca="1">IFERROR(IF(OR('Raw Data'!E80="",LEN(TRIM('Raw Data'!E80))=0),"",IF(AND(ISNUMBER('Raw Data'!E80), IFERROR('Raw Data'!E80 = ROUND('Raw Data'!E80, 2),FALSE)),"",_xlfn.REGEXEXTRACT(CELL("address",E80), "\$([A-Z]+)\$[0-9]+"))),_xlfn.REGEXEXTRACT(CELL("address",E80), "\$([A-Z]+)\$[0-9]+"))</f>
        <v/>
      </c>
      <c r="F80" s="7" t="str" cm="1">
        <f t="array" aca="1" ref="F80" ca="1">IFERROR(IF(OR('Raw Data'!F80="",LEN(TRIM('Raw Data'!F80))=0),"",IF(AND(ISNUMBER('Raw Data'!F80), IFERROR('Raw Data'!F80 = ROUND('Raw Data'!F80, 2),FALSE)),"",_xlfn.REGEXEXTRACT(CELL("address",F80), "\$([A-Z]+)\$[0-9]+"))),_xlfn.REGEXEXTRACT(CELL("address",F80), "\$([A-Z]+)\$[0-9]+"))</f>
        <v/>
      </c>
      <c r="G80" s="7" t="str" cm="1">
        <f t="array" aca="1" ref="G80" ca="1">IFERROR(IF(OR('Raw Data'!G80="",LEN(TRIM('Raw Data'!G80))=0),"",IF(AND(ISNUMBER('Raw Data'!G80), IFERROR('Raw Data'!G80 = ROUND('Raw Data'!G80, 2),FALSE)),"",_xlfn.REGEXEXTRACT(CELL("address",G80), "\$([A-Z]+)\$[0-9]+"))),_xlfn.REGEXEXTRACT(CELL("address",G80), "\$([A-Z]+)\$[0-9]+"))</f>
        <v/>
      </c>
      <c r="H80" s="7" t="str" cm="1">
        <f t="array" aca="1" ref="H80" ca="1">IFERROR(IF(OR('Raw Data'!H80="",LEN(TRIM('Raw Data'!H80))=0),"",IF(AND(ISNUMBER('Raw Data'!H80), IFERROR('Raw Data'!H80 = ROUND('Raw Data'!H80, 2),FALSE)),"",_xlfn.REGEXEXTRACT(CELL("address",H80), "\$([A-Z]+)\$[0-9]+"))),_xlfn.REGEXEXTRACT(CELL("address",H80), "\$([A-Z]+)\$[0-9]+"))</f>
        <v/>
      </c>
      <c r="I80" s="7" t="str" cm="1">
        <f t="array" aca="1" ref="I80" ca="1">IFERROR(IF(OR('Raw Data'!I80="",LEN(TRIM('Raw Data'!I80))=0),"",IF(AND(ISNUMBER('Raw Data'!I80), IFERROR('Raw Data'!I80 = ROUND('Raw Data'!I80, 2),FALSE)),"",_xlfn.REGEXEXTRACT(CELL("address",I80), "\$([A-Z]+)\$[0-9]+"))),_xlfn.REGEXEXTRACT(CELL("address",I80), "\$([A-Z]+)\$[0-9]+"))</f>
        <v/>
      </c>
      <c r="J80" s="7" t="str" cm="1">
        <f t="array" aca="1" ref="J80" ca="1">IFERROR(IF(OR('Raw Data'!J80="",LEN(TRIM('Raw Data'!J80))=0),"",IF(AND(ISNUMBER('Raw Data'!J80), IFERROR('Raw Data'!J80 = ROUND('Raw Data'!J80, 2),FALSE)),"",_xlfn.REGEXEXTRACT(CELL("address",J80), "\$([A-Z]+)\$[0-9]+"))),_xlfn.REGEXEXTRACT(CELL("address",J80), "\$([A-Z]+)\$[0-9]+"))</f>
        <v/>
      </c>
      <c r="K80" s="7" t="str" cm="1">
        <f t="array" aca="1" ref="K80" ca="1">IFERROR(IF(OR('Raw Data'!K80="",LEN(TRIM('Raw Data'!K80))=0),"",IF(AND(ISNUMBER('Raw Data'!K80), IFERROR('Raw Data'!K80 = ROUND('Raw Data'!K80, 2),FALSE)),"",_xlfn.REGEXEXTRACT(CELL("address",K80), "\$([A-Z]+)\$[0-9]+"))),_xlfn.REGEXEXTRACT(CELL("address",K80), "\$([A-Z]+)\$[0-9]+"))</f>
        <v/>
      </c>
      <c r="L80" s="7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7" t="str" cm="1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7" t="str" cm="1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  <c r="O80" s="7" t="str" cm="1">
        <f t="array" aca="1" ref="O80" ca="1">IFERROR(IF(OR('Raw Data'!O80="",LEN(TRIM('Raw Data'!O80))=0),"",IF(AND(ISNUMBER('Raw Data'!O80), IFERROR('Raw Data'!O80 = ROUND('Raw Data'!O80, 2),FALSE)),"",_xlfn.REGEXEXTRACT(CELL("address",O80), "\$([A-Z]+)\$[0-9]+"))),_xlfn.REGEXEXTRACT(CELL("address",O80), "\$([A-Z]+)\$[0-9]+"))</f>
        <v/>
      </c>
      <c r="P80" s="7" t="str" cm="1">
        <f t="array" aca="1" ref="P80" ca="1">IFERROR(IF(OR('Raw Data'!P80="",LEN(TRIM('Raw Data'!P80))=0),"",IF(AND(ISNUMBER('Raw Data'!P80), IFERROR('Raw Data'!P80 = ROUND('Raw Data'!P80, 2),FALSE)),"",_xlfn.REGEXEXTRACT(CELL("address",P80), "\$([A-Z]+)\$[0-9]+"))),_xlfn.REGEXEXTRACT(CELL("address",P80), "\$([A-Z]+)\$[0-9]+"))</f>
        <v/>
      </c>
      <c r="Q80" s="7" t="str" cm="1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7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7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7" t="str" cm="1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7" t="str" cm="1">
        <f t="array" aca="1" ref="U80" ca="1">IFERROR(IF(OR('Raw Data'!U80="",LEN(TRIM('Raw Data'!U80))=0),"",IF(AND(ISNUMBER('Raw Data'!U80), IFERROR('Raw Data'!U80 = ROUND('Raw Data'!U80, 2),FALSE)),"",_xlfn.REGEXEXTRACT(CELL("address",U80), "\$([A-Z]+)\$[0-9]+"))),_xlfn.REGEXEXTRACT(CELL("address",U80), "\$([A-Z]+)\$[0-9]+"))</f>
        <v/>
      </c>
      <c r="V80" s="7" t="str" cm="1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7" t="str" cm="1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7" t="str" cm="1">
        <f t="array" aca="1" ref="X80" ca="1">IFERROR(IF(OR('Raw Data'!X80="",LEN(TRIM('Raw Data'!X80))=0),"",IF(AND(ISNUMBER('Raw Data'!X80), IFERROR('Raw Data'!X80 = ROUND('Raw Data'!X80, 2),FALSE)),"",_xlfn.REGEXEXTRACT(CELL("address",X80), "\$([A-Z]+)\$[0-9]+"))),_xlfn.REGEXEXTRACT(CELL("address",X80), "\$([A-Z]+)\$[0-9]+"))</f>
        <v/>
      </c>
      <c r="Y80" s="7" t="str" cm="1">
        <f t="array" aca="1" ref="Y80" ca="1">IFERROR(IF(OR('Raw Data'!Y80="",LEN(TRIM('Raw Data'!Y80))=0),"",IF(AND(ISNUMBER('Raw Data'!Y80), IFERROR('Raw Data'!Y80 = ROUND('Raw Data'!Y80, 2),FALSE)),"",_xlfn.REGEXEXTRACT(CELL("address",Y80), "\$([A-Z]+)\$[0-9]+"))),_xlfn.REGEXEXTRACT(CELL("address",Y80), "\$([A-Z]+)\$[0-9]+"))</f>
        <v/>
      </c>
      <c r="Z80" s="7" t="str" cm="1">
        <f t="array" aca="1" ref="Z80" ca="1">IFERROR(IF(OR('Raw Data'!Z80="",LEN(TRIM('Raw Data'!Z80))=0),"",IF(AND(ISNUMBER('Raw Data'!Z80), IFERROR('Raw Data'!Z80 = ROUND('Raw Data'!Z80, 2),FALSE)),"",_xlfn.REGEXEXTRACT(CELL("address",Z80), "\$([A-Z]+)\$[0-9]+"))),_xlfn.REGEXEXTRACT(CELL("address",Z80), "\$([A-Z]+)\$[0-9]+"))</f>
        <v/>
      </c>
      <c r="AA80" s="7" t="str" cm="1">
        <f t="array" aca="1" ref="AA80" ca="1">IFERROR(IF(OR('Raw Data'!AA80="",LEN(TRIM('Raw Data'!AA80))=0),"",IF(AND(ISNUMBER('Raw Data'!AA80), IFERROR('Raw Data'!AA80 = ROUND('Raw Data'!AA80, 2),FALSE)),"",_xlfn.REGEXEXTRACT(CELL("address",AA80), "\$([A-Z]+)\$[0-9]+"))),_xlfn.REGEXEXTRACT(CELL("address",AA80), "\$([A-Z]+)\$[0-9]+"))</f>
        <v/>
      </c>
      <c r="AB80" s="7" t="str" cm="1">
        <f t="array" aca="1" ref="AB80" ca="1">IFERROR(IF(OR('Raw Data'!AB80="",LEN(TRIM('Raw Data'!AB80))=0),"",IF(AND(ISNUMBER('Raw Data'!AB80), IFERROR('Raw Data'!AB80 = ROUND('Raw Data'!AB80, 2),FALSE)),"",_xlfn.REGEXEXTRACT(CELL("address",AB80), "\$([A-Z]+)\$[0-9]+"))),_xlfn.REGEXEXTRACT(CELL("address",AB80), "\$([A-Z]+)\$[0-9]+"))</f>
        <v/>
      </c>
    </row>
    <row r="81" spans="2:28" x14ac:dyDescent="0.25">
      <c r="B81" s="7" t="str" cm="1">
        <f t="array" aca="1" ref="B81" ca="1">IFERROR(IF(OR('Raw Data'!B81="",LEN(TRIM('Raw Data'!B81))=0),"",IF(AND(LEN('Raw Data'!B81) &lt;= 255,LEN('Raw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20,LEN('Raw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Data'!D81))=0),"",IF(AND(ISNUMBER('Raw Data'!D81),'Raw Data'!D81&gt;=Configuration!$D$2),"",_xlfn.REGEXEXTRACT(CELL("address",'Raw Data'!D81),"\$([A-Z]+)\$[0-9]+"))),_xlfn.REGEXEXTRACT(CELL("address",D81), "\$([A-Z]+)\$[0-9]+"))</f>
        <v/>
      </c>
      <c r="E81" s="7" t="str" cm="1">
        <f t="array" aca="1" ref="E81" ca="1">IFERROR(IF(OR('Raw Data'!E81="",LEN(TRIM('Raw Data'!E81))=0),"",IF(AND(ISNUMBER('Raw Data'!E81), IFERROR('Raw Data'!E81 = ROUND('Raw Data'!E81, 2),FALSE)),"",_xlfn.REGEXEXTRACT(CELL("address",E81), "\$([A-Z]+)\$[0-9]+"))),_xlfn.REGEXEXTRACT(CELL("address",E81), "\$([A-Z]+)\$[0-9]+"))</f>
        <v/>
      </c>
      <c r="F81" s="7" t="str" cm="1">
        <f t="array" aca="1" ref="F81" ca="1">IFERROR(IF(OR('Raw Data'!F81="",LEN(TRIM('Raw Data'!F81))=0),"",IF(AND(ISNUMBER('Raw Data'!F81), IFERROR('Raw Data'!F81 = ROUND('Raw Data'!F81, 2),FALSE)),"",_xlfn.REGEXEXTRACT(CELL("address",F81), "\$([A-Z]+)\$[0-9]+"))),_xlfn.REGEXEXTRACT(CELL("address",F81), "\$([A-Z]+)\$[0-9]+"))</f>
        <v/>
      </c>
      <c r="G81" s="7" t="str" cm="1">
        <f t="array" aca="1" ref="G81" ca="1">IFERROR(IF(OR('Raw Data'!G81="",LEN(TRIM('Raw Data'!G81))=0),"",IF(AND(ISNUMBER('Raw Data'!G81), IFERROR('Raw Data'!G81 = ROUND('Raw Data'!G81, 2),FALSE)),"",_xlfn.REGEXEXTRACT(CELL("address",G81), "\$([A-Z]+)\$[0-9]+"))),_xlfn.REGEXEXTRACT(CELL("address",G81), "\$([A-Z]+)\$[0-9]+"))</f>
        <v/>
      </c>
      <c r="H81" s="7" t="str" cm="1">
        <f t="array" aca="1" ref="H81" ca="1">IFERROR(IF(OR('Raw Data'!H81="",LEN(TRIM('Raw Data'!H81))=0),"",IF(AND(ISNUMBER('Raw Data'!H81), IFERROR('Raw Data'!H81 = ROUND('Raw Data'!H81, 2),FALSE)),"",_xlfn.REGEXEXTRACT(CELL("address",H81), "\$([A-Z]+)\$[0-9]+"))),_xlfn.REGEXEXTRACT(CELL("address",H81), "\$([A-Z]+)\$[0-9]+"))</f>
        <v/>
      </c>
      <c r="I81" s="7" t="str" cm="1">
        <f t="array" aca="1" ref="I81" ca="1">IFERROR(IF(OR('Raw Data'!I81="",LEN(TRIM('Raw Data'!I81))=0),"",IF(AND(ISNUMBER('Raw Data'!I81), IFERROR('Raw Data'!I81 = ROUND('Raw Data'!I81, 2),FALSE)),"",_xlfn.REGEXEXTRACT(CELL("address",I81), "\$([A-Z]+)\$[0-9]+"))),_xlfn.REGEXEXTRACT(CELL("address",I81), "\$([A-Z]+)\$[0-9]+"))</f>
        <v/>
      </c>
      <c r="J81" s="7" t="str" cm="1">
        <f t="array" aca="1" ref="J81" ca="1">IFERROR(IF(OR('Raw Data'!J81="",LEN(TRIM('Raw Data'!J81))=0),"",IF(AND(ISNUMBER('Raw Data'!J81), IFERROR('Raw Data'!J81 = ROUND('Raw Data'!J81, 2),FALSE)),"",_xlfn.REGEXEXTRACT(CELL("address",J81), "\$([A-Z]+)\$[0-9]+"))),_xlfn.REGEXEXTRACT(CELL("address",J81), "\$([A-Z]+)\$[0-9]+"))</f>
        <v/>
      </c>
      <c r="K81" s="7" t="str" cm="1">
        <f t="array" aca="1" ref="K81" ca="1">IFERROR(IF(OR('Raw Data'!K81="",LEN(TRIM('Raw Data'!K81))=0),"",IF(AND(ISNUMBER('Raw Data'!K81), IFERROR('Raw Data'!K81 = ROUND('Raw Data'!K81, 2),FALSE)),"",_xlfn.REGEXEXTRACT(CELL("address",K81), "\$([A-Z]+)\$[0-9]+"))),_xlfn.REGEXEXTRACT(CELL("address",K81), "\$([A-Z]+)\$[0-9]+"))</f>
        <v/>
      </c>
      <c r="L81" s="7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7" t="str" cm="1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7" t="str" cm="1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  <c r="O81" s="7" t="str" cm="1">
        <f t="array" aca="1" ref="O81" ca="1">IFERROR(IF(OR('Raw Data'!O81="",LEN(TRIM('Raw Data'!O81))=0),"",IF(AND(ISNUMBER('Raw Data'!O81), IFERROR('Raw Data'!O81 = ROUND('Raw Data'!O81, 2),FALSE)),"",_xlfn.REGEXEXTRACT(CELL("address",O81), "\$([A-Z]+)\$[0-9]+"))),_xlfn.REGEXEXTRACT(CELL("address",O81), "\$([A-Z]+)\$[0-9]+"))</f>
        <v/>
      </c>
      <c r="P81" s="7" t="str" cm="1">
        <f t="array" aca="1" ref="P81" ca="1">IFERROR(IF(OR('Raw Data'!P81="",LEN(TRIM('Raw Data'!P81))=0),"",IF(AND(ISNUMBER('Raw Data'!P81), IFERROR('Raw Data'!P81 = ROUND('Raw Data'!P81, 2),FALSE)),"",_xlfn.REGEXEXTRACT(CELL("address",P81), "\$([A-Z]+)\$[0-9]+"))),_xlfn.REGEXEXTRACT(CELL("address",P81), "\$([A-Z]+)\$[0-9]+"))</f>
        <v/>
      </c>
      <c r="Q81" s="7" t="str" cm="1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7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7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7" t="str" cm="1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7" t="str" cm="1">
        <f t="array" aca="1" ref="U81" ca="1">IFERROR(IF(OR('Raw Data'!U81="",LEN(TRIM('Raw Data'!U81))=0),"",IF(AND(ISNUMBER('Raw Data'!U81), IFERROR('Raw Data'!U81 = ROUND('Raw Data'!U81, 2),FALSE)),"",_xlfn.REGEXEXTRACT(CELL("address",U81), "\$([A-Z]+)\$[0-9]+"))),_xlfn.REGEXEXTRACT(CELL("address",U81), "\$([A-Z]+)\$[0-9]+"))</f>
        <v/>
      </c>
      <c r="V81" s="7" t="str" cm="1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7" t="str" cm="1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7" t="str" cm="1">
        <f t="array" aca="1" ref="X81" ca="1">IFERROR(IF(OR('Raw Data'!X81="",LEN(TRIM('Raw Data'!X81))=0),"",IF(AND(ISNUMBER('Raw Data'!X81), IFERROR('Raw Data'!X81 = ROUND('Raw Data'!X81, 2),FALSE)),"",_xlfn.REGEXEXTRACT(CELL("address",X81), "\$([A-Z]+)\$[0-9]+"))),_xlfn.REGEXEXTRACT(CELL("address",X81), "\$([A-Z]+)\$[0-9]+"))</f>
        <v/>
      </c>
      <c r="Y81" s="7" t="str" cm="1">
        <f t="array" aca="1" ref="Y81" ca="1">IFERROR(IF(OR('Raw Data'!Y81="",LEN(TRIM('Raw Data'!Y81))=0),"",IF(AND(ISNUMBER('Raw Data'!Y81), IFERROR('Raw Data'!Y81 = ROUND('Raw Data'!Y81, 2),FALSE)),"",_xlfn.REGEXEXTRACT(CELL("address",Y81), "\$([A-Z]+)\$[0-9]+"))),_xlfn.REGEXEXTRACT(CELL("address",Y81), "\$([A-Z]+)\$[0-9]+"))</f>
        <v/>
      </c>
      <c r="Z81" s="7" t="str" cm="1">
        <f t="array" aca="1" ref="Z81" ca="1">IFERROR(IF(OR('Raw Data'!Z81="",LEN(TRIM('Raw Data'!Z81))=0),"",IF(AND(ISNUMBER('Raw Data'!Z81), IFERROR('Raw Data'!Z81 = ROUND('Raw Data'!Z81, 2),FALSE)),"",_xlfn.REGEXEXTRACT(CELL("address",Z81), "\$([A-Z]+)\$[0-9]+"))),_xlfn.REGEXEXTRACT(CELL("address",Z81), "\$([A-Z]+)\$[0-9]+"))</f>
        <v/>
      </c>
      <c r="AA81" s="7" t="str" cm="1">
        <f t="array" aca="1" ref="AA81" ca="1">IFERROR(IF(OR('Raw Data'!AA81="",LEN(TRIM('Raw Data'!AA81))=0),"",IF(AND(ISNUMBER('Raw Data'!AA81), IFERROR('Raw Data'!AA81 = ROUND('Raw Data'!AA81, 2),FALSE)),"",_xlfn.REGEXEXTRACT(CELL("address",AA81), "\$([A-Z]+)\$[0-9]+"))),_xlfn.REGEXEXTRACT(CELL("address",AA81), "\$([A-Z]+)\$[0-9]+"))</f>
        <v/>
      </c>
      <c r="AB81" s="7" t="str" cm="1">
        <f t="array" aca="1" ref="AB81" ca="1">IFERROR(IF(OR('Raw Data'!AB81="",LEN(TRIM('Raw Data'!AB81))=0),"",IF(AND(ISNUMBER('Raw Data'!AB81), IFERROR('Raw Data'!AB81 = ROUND('Raw Data'!AB81, 2),FALSE)),"",_xlfn.REGEXEXTRACT(CELL("address",AB81), "\$([A-Z]+)\$[0-9]+"))),_xlfn.REGEXEXTRACT(CELL("address",AB81), "\$([A-Z]+)\$[0-9]+"))</f>
        <v/>
      </c>
    </row>
    <row r="82" spans="2:28" x14ac:dyDescent="0.25">
      <c r="B82" s="7" t="str" cm="1">
        <f t="array" aca="1" ref="B82" ca="1">IFERROR(IF(OR('Raw Data'!B82="",LEN(TRIM('Raw Data'!B82))=0),"",IF(AND(LEN('Raw Data'!B82) &lt;= 255,LEN('Raw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20,LEN('Raw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Data'!D82))=0),"",IF(AND(ISNUMBER('Raw Data'!D82),'Raw Data'!D82&gt;=Configuration!$D$2),"",_xlfn.REGEXEXTRACT(CELL("address",'Raw Data'!D82),"\$([A-Z]+)\$[0-9]+"))),_xlfn.REGEXEXTRACT(CELL("address",D82), "\$([A-Z]+)\$[0-9]+"))</f>
        <v/>
      </c>
      <c r="E82" s="7" t="str" cm="1">
        <f t="array" aca="1" ref="E82" ca="1">IFERROR(IF(OR('Raw Data'!E82="",LEN(TRIM('Raw Data'!E82))=0),"",IF(AND(ISNUMBER('Raw Data'!E82), IFERROR('Raw Data'!E82 = ROUND('Raw Data'!E82, 2),FALSE)),"",_xlfn.REGEXEXTRACT(CELL("address",E82), "\$([A-Z]+)\$[0-9]+"))),_xlfn.REGEXEXTRACT(CELL("address",E82), "\$([A-Z]+)\$[0-9]+"))</f>
        <v/>
      </c>
      <c r="F82" s="7" t="str" cm="1">
        <f t="array" aca="1" ref="F82" ca="1">IFERROR(IF(OR('Raw Data'!F82="",LEN(TRIM('Raw Data'!F82))=0),"",IF(AND(ISNUMBER('Raw Data'!F82), IFERROR('Raw Data'!F82 = ROUND('Raw Data'!F82, 2),FALSE)),"",_xlfn.REGEXEXTRACT(CELL("address",F82), "\$([A-Z]+)\$[0-9]+"))),_xlfn.REGEXEXTRACT(CELL("address",F82), "\$([A-Z]+)\$[0-9]+"))</f>
        <v/>
      </c>
      <c r="G82" s="7" t="str" cm="1">
        <f t="array" aca="1" ref="G82" ca="1">IFERROR(IF(OR('Raw Data'!G82="",LEN(TRIM('Raw Data'!G82))=0),"",IF(AND(ISNUMBER('Raw Data'!G82), IFERROR('Raw Data'!G82 = ROUND('Raw Data'!G82, 2),FALSE)),"",_xlfn.REGEXEXTRACT(CELL("address",G82), "\$([A-Z]+)\$[0-9]+"))),_xlfn.REGEXEXTRACT(CELL("address",G82), "\$([A-Z]+)\$[0-9]+"))</f>
        <v/>
      </c>
      <c r="H82" s="7" t="str" cm="1">
        <f t="array" aca="1" ref="H82" ca="1">IFERROR(IF(OR('Raw Data'!H82="",LEN(TRIM('Raw Data'!H82))=0),"",IF(AND(ISNUMBER('Raw Data'!H82), IFERROR('Raw Data'!H82 = ROUND('Raw Data'!H82, 2),FALSE)),"",_xlfn.REGEXEXTRACT(CELL("address",H82), "\$([A-Z]+)\$[0-9]+"))),_xlfn.REGEXEXTRACT(CELL("address",H82), "\$([A-Z]+)\$[0-9]+"))</f>
        <v/>
      </c>
      <c r="I82" s="7" t="str" cm="1">
        <f t="array" aca="1" ref="I82" ca="1">IFERROR(IF(OR('Raw Data'!I82="",LEN(TRIM('Raw Data'!I82))=0),"",IF(AND(ISNUMBER('Raw Data'!I82), IFERROR('Raw Data'!I82 = ROUND('Raw Data'!I82, 2),FALSE)),"",_xlfn.REGEXEXTRACT(CELL("address",I82), "\$([A-Z]+)\$[0-9]+"))),_xlfn.REGEXEXTRACT(CELL("address",I82), "\$([A-Z]+)\$[0-9]+"))</f>
        <v/>
      </c>
      <c r="J82" s="7" t="str" cm="1">
        <f t="array" aca="1" ref="J82" ca="1">IFERROR(IF(OR('Raw Data'!J82="",LEN(TRIM('Raw Data'!J82))=0),"",IF(AND(ISNUMBER('Raw Data'!J82), IFERROR('Raw Data'!J82 = ROUND('Raw Data'!J82, 2),FALSE)),"",_xlfn.REGEXEXTRACT(CELL("address",J82), "\$([A-Z]+)\$[0-9]+"))),_xlfn.REGEXEXTRACT(CELL("address",J82), "\$([A-Z]+)\$[0-9]+"))</f>
        <v/>
      </c>
      <c r="K82" s="7" t="str" cm="1">
        <f t="array" aca="1" ref="K82" ca="1">IFERROR(IF(OR('Raw Data'!K82="",LEN(TRIM('Raw Data'!K82))=0),"",IF(AND(ISNUMBER('Raw Data'!K82), IFERROR('Raw Data'!K82 = ROUND('Raw Data'!K82, 2),FALSE)),"",_xlfn.REGEXEXTRACT(CELL("address",K82), "\$([A-Z]+)\$[0-9]+"))),_xlfn.REGEXEXTRACT(CELL("address",K82), "\$([A-Z]+)\$[0-9]+"))</f>
        <v/>
      </c>
      <c r="L82" s="7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7" t="str" cm="1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7" t="str" cm="1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  <c r="O82" s="7" t="str" cm="1">
        <f t="array" aca="1" ref="O82" ca="1">IFERROR(IF(OR('Raw Data'!O82="",LEN(TRIM('Raw Data'!O82))=0),"",IF(AND(ISNUMBER('Raw Data'!O82), IFERROR('Raw Data'!O82 = ROUND('Raw Data'!O82, 2),FALSE)),"",_xlfn.REGEXEXTRACT(CELL("address",O82), "\$([A-Z]+)\$[0-9]+"))),_xlfn.REGEXEXTRACT(CELL("address",O82), "\$([A-Z]+)\$[0-9]+"))</f>
        <v/>
      </c>
      <c r="P82" s="7" t="str" cm="1">
        <f t="array" aca="1" ref="P82" ca="1">IFERROR(IF(OR('Raw Data'!P82="",LEN(TRIM('Raw Data'!P82))=0),"",IF(AND(ISNUMBER('Raw Data'!P82), IFERROR('Raw Data'!P82 = ROUND('Raw Data'!P82, 2),FALSE)),"",_xlfn.REGEXEXTRACT(CELL("address",P82), "\$([A-Z]+)\$[0-9]+"))),_xlfn.REGEXEXTRACT(CELL("address",P82), "\$([A-Z]+)\$[0-9]+"))</f>
        <v/>
      </c>
      <c r="Q82" s="7" t="str" cm="1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7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7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7" t="str" cm="1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7" t="str" cm="1">
        <f t="array" aca="1" ref="U82" ca="1">IFERROR(IF(OR('Raw Data'!U82="",LEN(TRIM('Raw Data'!U82))=0),"",IF(AND(ISNUMBER('Raw Data'!U82), IFERROR('Raw Data'!U82 = ROUND('Raw Data'!U82, 2),FALSE)),"",_xlfn.REGEXEXTRACT(CELL("address",U82), "\$([A-Z]+)\$[0-9]+"))),_xlfn.REGEXEXTRACT(CELL("address",U82), "\$([A-Z]+)\$[0-9]+"))</f>
        <v/>
      </c>
      <c r="V82" s="7" t="str" cm="1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7" t="str" cm="1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7" t="str" cm="1">
        <f t="array" aca="1" ref="X82" ca="1">IFERROR(IF(OR('Raw Data'!X82="",LEN(TRIM('Raw Data'!X82))=0),"",IF(AND(ISNUMBER('Raw Data'!X82), IFERROR('Raw Data'!X82 = ROUND('Raw Data'!X82, 2),FALSE)),"",_xlfn.REGEXEXTRACT(CELL("address",X82), "\$([A-Z]+)\$[0-9]+"))),_xlfn.REGEXEXTRACT(CELL("address",X82), "\$([A-Z]+)\$[0-9]+"))</f>
        <v/>
      </c>
      <c r="Y82" s="7" t="str" cm="1">
        <f t="array" aca="1" ref="Y82" ca="1">IFERROR(IF(OR('Raw Data'!Y82="",LEN(TRIM('Raw Data'!Y82))=0),"",IF(AND(ISNUMBER('Raw Data'!Y82), IFERROR('Raw Data'!Y82 = ROUND('Raw Data'!Y82, 2),FALSE)),"",_xlfn.REGEXEXTRACT(CELL("address",Y82), "\$([A-Z]+)\$[0-9]+"))),_xlfn.REGEXEXTRACT(CELL("address",Y82), "\$([A-Z]+)\$[0-9]+"))</f>
        <v/>
      </c>
      <c r="Z82" s="7" t="str" cm="1">
        <f t="array" aca="1" ref="Z82" ca="1">IFERROR(IF(OR('Raw Data'!Z82="",LEN(TRIM('Raw Data'!Z82))=0),"",IF(AND(ISNUMBER('Raw Data'!Z82), IFERROR('Raw Data'!Z82 = ROUND('Raw Data'!Z82, 2),FALSE)),"",_xlfn.REGEXEXTRACT(CELL("address",Z82), "\$([A-Z]+)\$[0-9]+"))),_xlfn.REGEXEXTRACT(CELL("address",Z82), "\$([A-Z]+)\$[0-9]+"))</f>
        <v/>
      </c>
      <c r="AA82" s="7" t="str" cm="1">
        <f t="array" aca="1" ref="AA82" ca="1">IFERROR(IF(OR('Raw Data'!AA82="",LEN(TRIM('Raw Data'!AA82))=0),"",IF(AND(ISNUMBER('Raw Data'!AA82), IFERROR('Raw Data'!AA82 = ROUND('Raw Data'!AA82, 2),FALSE)),"",_xlfn.REGEXEXTRACT(CELL("address",AA82), "\$([A-Z]+)\$[0-9]+"))),_xlfn.REGEXEXTRACT(CELL("address",AA82), "\$([A-Z]+)\$[0-9]+"))</f>
        <v/>
      </c>
      <c r="AB82" s="7" t="str" cm="1">
        <f t="array" aca="1" ref="AB82" ca="1">IFERROR(IF(OR('Raw Data'!AB82="",LEN(TRIM('Raw Data'!AB82))=0),"",IF(AND(ISNUMBER('Raw Data'!AB82), IFERROR('Raw Data'!AB82 = ROUND('Raw Data'!AB82, 2),FALSE)),"",_xlfn.REGEXEXTRACT(CELL("address",AB82), "\$([A-Z]+)\$[0-9]+"))),_xlfn.REGEXEXTRACT(CELL("address",AB82), "\$([A-Z]+)\$[0-9]+"))</f>
        <v/>
      </c>
    </row>
    <row r="83" spans="2:28" x14ac:dyDescent="0.25">
      <c r="B83" s="7" t="str" cm="1">
        <f t="array" aca="1" ref="B83" ca="1">IFERROR(IF(OR('Raw Data'!B83="",LEN(TRIM('Raw Data'!B83))=0),"",IF(AND(LEN('Raw Data'!B83) &lt;= 255,LEN('Raw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20,LEN('Raw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Data'!D83))=0),"",IF(AND(ISNUMBER('Raw Data'!D83),'Raw Data'!D83&gt;=Configuration!$D$2),"",_xlfn.REGEXEXTRACT(CELL("address",'Raw Data'!D83),"\$([A-Z]+)\$[0-9]+"))),_xlfn.REGEXEXTRACT(CELL("address",D83), "\$([A-Z]+)\$[0-9]+"))</f>
        <v/>
      </c>
      <c r="E83" s="7" t="str" cm="1">
        <f t="array" aca="1" ref="E83" ca="1">IFERROR(IF(OR('Raw Data'!E83="",LEN(TRIM('Raw Data'!E83))=0),"",IF(AND(ISNUMBER('Raw Data'!E83), IFERROR('Raw Data'!E83 = ROUND('Raw Data'!E83, 2),FALSE)),"",_xlfn.REGEXEXTRACT(CELL("address",E83), "\$([A-Z]+)\$[0-9]+"))),_xlfn.REGEXEXTRACT(CELL("address",E83), "\$([A-Z]+)\$[0-9]+"))</f>
        <v/>
      </c>
      <c r="F83" s="7" t="str" cm="1">
        <f t="array" aca="1" ref="F83" ca="1">IFERROR(IF(OR('Raw Data'!F83="",LEN(TRIM('Raw Data'!F83))=0),"",IF(AND(ISNUMBER('Raw Data'!F83), IFERROR('Raw Data'!F83 = ROUND('Raw Data'!F83, 2),FALSE)),"",_xlfn.REGEXEXTRACT(CELL("address",F83), "\$([A-Z]+)\$[0-9]+"))),_xlfn.REGEXEXTRACT(CELL("address",F83), "\$([A-Z]+)\$[0-9]+"))</f>
        <v/>
      </c>
      <c r="G83" s="7" t="str" cm="1">
        <f t="array" aca="1" ref="G83" ca="1">IFERROR(IF(OR('Raw Data'!G83="",LEN(TRIM('Raw Data'!G83))=0),"",IF(AND(ISNUMBER('Raw Data'!G83), IFERROR('Raw Data'!G83 = ROUND('Raw Data'!G83, 2),FALSE)),"",_xlfn.REGEXEXTRACT(CELL("address",G83), "\$([A-Z]+)\$[0-9]+"))),_xlfn.REGEXEXTRACT(CELL("address",G83), "\$([A-Z]+)\$[0-9]+"))</f>
        <v/>
      </c>
      <c r="H83" s="7" t="str" cm="1">
        <f t="array" aca="1" ref="H83" ca="1">IFERROR(IF(OR('Raw Data'!H83="",LEN(TRIM('Raw Data'!H83))=0),"",IF(AND(ISNUMBER('Raw Data'!H83), IFERROR('Raw Data'!H83 = ROUND('Raw Data'!H83, 2),FALSE)),"",_xlfn.REGEXEXTRACT(CELL("address",H83), "\$([A-Z]+)\$[0-9]+"))),_xlfn.REGEXEXTRACT(CELL("address",H83), "\$([A-Z]+)\$[0-9]+"))</f>
        <v/>
      </c>
      <c r="I83" s="7" t="str" cm="1">
        <f t="array" aca="1" ref="I83" ca="1">IFERROR(IF(OR('Raw Data'!I83="",LEN(TRIM('Raw Data'!I83))=0),"",IF(AND(ISNUMBER('Raw Data'!I83), IFERROR('Raw Data'!I83 = ROUND('Raw Data'!I83, 2),FALSE)),"",_xlfn.REGEXEXTRACT(CELL("address",I83), "\$([A-Z]+)\$[0-9]+"))),_xlfn.REGEXEXTRACT(CELL("address",I83), "\$([A-Z]+)\$[0-9]+"))</f>
        <v/>
      </c>
      <c r="J83" s="7" t="str" cm="1">
        <f t="array" aca="1" ref="J83" ca="1">IFERROR(IF(OR('Raw Data'!J83="",LEN(TRIM('Raw Data'!J83))=0),"",IF(AND(ISNUMBER('Raw Data'!J83), IFERROR('Raw Data'!J83 = ROUND('Raw Data'!J83, 2),FALSE)),"",_xlfn.REGEXEXTRACT(CELL("address",J83), "\$([A-Z]+)\$[0-9]+"))),_xlfn.REGEXEXTRACT(CELL("address",J83), "\$([A-Z]+)\$[0-9]+"))</f>
        <v/>
      </c>
      <c r="K83" s="7" t="str" cm="1">
        <f t="array" aca="1" ref="K83" ca="1">IFERROR(IF(OR('Raw Data'!K83="",LEN(TRIM('Raw Data'!K83))=0),"",IF(AND(ISNUMBER('Raw Data'!K83), IFERROR('Raw Data'!K83 = ROUND('Raw Data'!K83, 2),FALSE)),"",_xlfn.REGEXEXTRACT(CELL("address",K83), "\$([A-Z]+)\$[0-9]+"))),_xlfn.REGEXEXTRACT(CELL("address",K83), "\$([A-Z]+)\$[0-9]+"))</f>
        <v/>
      </c>
      <c r="L83" s="7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7" t="str" cm="1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7" t="str" cm="1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  <c r="O83" s="7" t="str" cm="1">
        <f t="array" aca="1" ref="O83" ca="1">IFERROR(IF(OR('Raw Data'!O83="",LEN(TRIM('Raw Data'!O83))=0),"",IF(AND(ISNUMBER('Raw Data'!O83), IFERROR('Raw Data'!O83 = ROUND('Raw Data'!O83, 2),FALSE)),"",_xlfn.REGEXEXTRACT(CELL("address",O83), "\$([A-Z]+)\$[0-9]+"))),_xlfn.REGEXEXTRACT(CELL("address",O83), "\$([A-Z]+)\$[0-9]+"))</f>
        <v/>
      </c>
      <c r="P83" s="7" t="str" cm="1">
        <f t="array" aca="1" ref="P83" ca="1">IFERROR(IF(OR('Raw Data'!P83="",LEN(TRIM('Raw Data'!P83))=0),"",IF(AND(ISNUMBER('Raw Data'!P83), IFERROR('Raw Data'!P83 = ROUND('Raw Data'!P83, 2),FALSE)),"",_xlfn.REGEXEXTRACT(CELL("address",P83), "\$([A-Z]+)\$[0-9]+"))),_xlfn.REGEXEXTRACT(CELL("address",P83), "\$([A-Z]+)\$[0-9]+"))</f>
        <v/>
      </c>
      <c r="Q83" s="7" t="str" cm="1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7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7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7" t="str" cm="1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7" t="str" cm="1">
        <f t="array" aca="1" ref="U83" ca="1">IFERROR(IF(OR('Raw Data'!U83="",LEN(TRIM('Raw Data'!U83))=0),"",IF(AND(ISNUMBER('Raw Data'!U83), IFERROR('Raw Data'!U83 = ROUND('Raw Data'!U83, 2),FALSE)),"",_xlfn.REGEXEXTRACT(CELL("address",U83), "\$([A-Z]+)\$[0-9]+"))),_xlfn.REGEXEXTRACT(CELL("address",U83), "\$([A-Z]+)\$[0-9]+"))</f>
        <v/>
      </c>
      <c r="V83" s="7" t="str" cm="1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7" t="str" cm="1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7" t="str" cm="1">
        <f t="array" aca="1" ref="X83" ca="1">IFERROR(IF(OR('Raw Data'!X83="",LEN(TRIM('Raw Data'!X83))=0),"",IF(AND(ISNUMBER('Raw Data'!X83), IFERROR('Raw Data'!X83 = ROUND('Raw Data'!X83, 2),FALSE)),"",_xlfn.REGEXEXTRACT(CELL("address",X83), "\$([A-Z]+)\$[0-9]+"))),_xlfn.REGEXEXTRACT(CELL("address",X83), "\$([A-Z]+)\$[0-9]+"))</f>
        <v/>
      </c>
      <c r="Y83" s="7" t="str" cm="1">
        <f t="array" aca="1" ref="Y83" ca="1">IFERROR(IF(OR('Raw Data'!Y83="",LEN(TRIM('Raw Data'!Y83))=0),"",IF(AND(ISNUMBER('Raw Data'!Y83), IFERROR('Raw Data'!Y83 = ROUND('Raw Data'!Y83, 2),FALSE)),"",_xlfn.REGEXEXTRACT(CELL("address",Y83), "\$([A-Z]+)\$[0-9]+"))),_xlfn.REGEXEXTRACT(CELL("address",Y83), "\$([A-Z]+)\$[0-9]+"))</f>
        <v/>
      </c>
      <c r="Z83" s="7" t="str" cm="1">
        <f t="array" aca="1" ref="Z83" ca="1">IFERROR(IF(OR('Raw Data'!Z83="",LEN(TRIM('Raw Data'!Z83))=0),"",IF(AND(ISNUMBER('Raw Data'!Z83), IFERROR('Raw Data'!Z83 = ROUND('Raw Data'!Z83, 2),FALSE)),"",_xlfn.REGEXEXTRACT(CELL("address",Z83), "\$([A-Z]+)\$[0-9]+"))),_xlfn.REGEXEXTRACT(CELL("address",Z83), "\$([A-Z]+)\$[0-9]+"))</f>
        <v/>
      </c>
      <c r="AA83" s="7" t="str" cm="1">
        <f t="array" aca="1" ref="AA83" ca="1">IFERROR(IF(OR('Raw Data'!AA83="",LEN(TRIM('Raw Data'!AA83))=0),"",IF(AND(ISNUMBER('Raw Data'!AA83), IFERROR('Raw Data'!AA83 = ROUND('Raw Data'!AA83, 2),FALSE)),"",_xlfn.REGEXEXTRACT(CELL("address",AA83), "\$([A-Z]+)\$[0-9]+"))),_xlfn.REGEXEXTRACT(CELL("address",AA83), "\$([A-Z]+)\$[0-9]+"))</f>
        <v/>
      </c>
      <c r="AB83" s="7" t="str" cm="1">
        <f t="array" aca="1" ref="AB83" ca="1">IFERROR(IF(OR('Raw Data'!AB83="",LEN(TRIM('Raw Data'!AB83))=0),"",IF(AND(ISNUMBER('Raw Data'!AB83), IFERROR('Raw Data'!AB83 = ROUND('Raw Data'!AB83, 2),FALSE)),"",_xlfn.REGEXEXTRACT(CELL("address",AB83), "\$([A-Z]+)\$[0-9]+"))),_xlfn.REGEXEXTRACT(CELL("address",AB83), "\$([A-Z]+)\$[0-9]+"))</f>
        <v/>
      </c>
    </row>
    <row r="84" spans="2:28" x14ac:dyDescent="0.25">
      <c r="B84" s="7" t="str" cm="1">
        <f t="array" aca="1" ref="B84" ca="1">IFERROR(IF(OR('Raw Data'!B84="",LEN(TRIM('Raw Data'!B84))=0),"",IF(AND(LEN('Raw Data'!B84) &lt;= 255,LEN('Raw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20,LEN('Raw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Data'!D84))=0),"",IF(AND(ISNUMBER('Raw Data'!D84),'Raw Data'!D84&gt;=Configuration!$D$2),"",_xlfn.REGEXEXTRACT(CELL("address",'Raw Data'!D84),"\$([A-Z]+)\$[0-9]+"))),_xlfn.REGEXEXTRACT(CELL("address",D84), "\$([A-Z]+)\$[0-9]+"))</f>
        <v/>
      </c>
      <c r="E84" s="7" t="str" cm="1">
        <f t="array" aca="1" ref="E84" ca="1">IFERROR(IF(OR('Raw Data'!E84="",LEN(TRIM('Raw Data'!E84))=0),"",IF(AND(ISNUMBER('Raw Data'!E84), IFERROR('Raw Data'!E84 = ROUND('Raw Data'!E84, 2),FALSE)),"",_xlfn.REGEXEXTRACT(CELL("address",E84), "\$([A-Z]+)\$[0-9]+"))),_xlfn.REGEXEXTRACT(CELL("address",E84), "\$([A-Z]+)\$[0-9]+"))</f>
        <v/>
      </c>
      <c r="F84" s="7" t="str" cm="1">
        <f t="array" aca="1" ref="F84" ca="1">IFERROR(IF(OR('Raw Data'!F84="",LEN(TRIM('Raw Data'!F84))=0),"",IF(AND(ISNUMBER('Raw Data'!F84), IFERROR('Raw Data'!F84 = ROUND('Raw Data'!F84, 2),FALSE)),"",_xlfn.REGEXEXTRACT(CELL("address",F84), "\$([A-Z]+)\$[0-9]+"))),_xlfn.REGEXEXTRACT(CELL("address",F84), "\$([A-Z]+)\$[0-9]+"))</f>
        <v/>
      </c>
      <c r="G84" s="7" t="str" cm="1">
        <f t="array" aca="1" ref="G84" ca="1">IFERROR(IF(OR('Raw Data'!G84="",LEN(TRIM('Raw Data'!G84))=0),"",IF(AND(ISNUMBER('Raw Data'!G84), IFERROR('Raw Data'!G84 = ROUND('Raw Data'!G84, 2),FALSE)),"",_xlfn.REGEXEXTRACT(CELL("address",G84), "\$([A-Z]+)\$[0-9]+"))),_xlfn.REGEXEXTRACT(CELL("address",G84), "\$([A-Z]+)\$[0-9]+"))</f>
        <v/>
      </c>
      <c r="H84" s="7" t="str" cm="1">
        <f t="array" aca="1" ref="H84" ca="1">IFERROR(IF(OR('Raw Data'!H84="",LEN(TRIM('Raw Data'!H84))=0),"",IF(AND(ISNUMBER('Raw Data'!H84), IFERROR('Raw Data'!H84 = ROUND('Raw Data'!H84, 2),FALSE)),"",_xlfn.REGEXEXTRACT(CELL("address",H84), "\$([A-Z]+)\$[0-9]+"))),_xlfn.REGEXEXTRACT(CELL("address",H84), "\$([A-Z]+)\$[0-9]+"))</f>
        <v/>
      </c>
      <c r="I84" s="7" t="str" cm="1">
        <f t="array" aca="1" ref="I84" ca="1">IFERROR(IF(OR('Raw Data'!I84="",LEN(TRIM('Raw Data'!I84))=0),"",IF(AND(ISNUMBER('Raw Data'!I84), IFERROR('Raw Data'!I84 = ROUND('Raw Data'!I84, 2),FALSE)),"",_xlfn.REGEXEXTRACT(CELL("address",I84), "\$([A-Z]+)\$[0-9]+"))),_xlfn.REGEXEXTRACT(CELL("address",I84), "\$([A-Z]+)\$[0-9]+"))</f>
        <v/>
      </c>
      <c r="J84" s="7" t="str" cm="1">
        <f t="array" aca="1" ref="J84" ca="1">IFERROR(IF(OR('Raw Data'!J84="",LEN(TRIM('Raw Data'!J84))=0),"",IF(AND(ISNUMBER('Raw Data'!J84), IFERROR('Raw Data'!J84 = ROUND('Raw Data'!J84, 2),FALSE)),"",_xlfn.REGEXEXTRACT(CELL("address",J84), "\$([A-Z]+)\$[0-9]+"))),_xlfn.REGEXEXTRACT(CELL("address",J84), "\$([A-Z]+)\$[0-9]+"))</f>
        <v/>
      </c>
      <c r="K84" s="7" t="str" cm="1">
        <f t="array" aca="1" ref="K84" ca="1">IFERROR(IF(OR('Raw Data'!K84="",LEN(TRIM('Raw Data'!K84))=0),"",IF(AND(ISNUMBER('Raw Data'!K84), IFERROR('Raw Data'!K84 = ROUND('Raw Data'!K84, 2),FALSE)),"",_xlfn.REGEXEXTRACT(CELL("address",K84), "\$([A-Z]+)\$[0-9]+"))),_xlfn.REGEXEXTRACT(CELL("address",K84), "\$([A-Z]+)\$[0-9]+"))</f>
        <v/>
      </c>
      <c r="L84" s="7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7" t="str" cm="1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7" t="str" cm="1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  <c r="O84" s="7" t="str" cm="1">
        <f t="array" aca="1" ref="O84" ca="1">IFERROR(IF(OR('Raw Data'!O84="",LEN(TRIM('Raw Data'!O84))=0),"",IF(AND(ISNUMBER('Raw Data'!O84), IFERROR('Raw Data'!O84 = ROUND('Raw Data'!O84, 2),FALSE)),"",_xlfn.REGEXEXTRACT(CELL("address",O84), "\$([A-Z]+)\$[0-9]+"))),_xlfn.REGEXEXTRACT(CELL("address",O84), "\$([A-Z]+)\$[0-9]+"))</f>
        <v/>
      </c>
      <c r="P84" s="7" t="str" cm="1">
        <f t="array" aca="1" ref="P84" ca="1">IFERROR(IF(OR('Raw Data'!P84="",LEN(TRIM('Raw Data'!P84))=0),"",IF(AND(ISNUMBER('Raw Data'!P84), IFERROR('Raw Data'!P84 = ROUND('Raw Data'!P84, 2),FALSE)),"",_xlfn.REGEXEXTRACT(CELL("address",P84), "\$([A-Z]+)\$[0-9]+"))),_xlfn.REGEXEXTRACT(CELL("address",P84), "\$([A-Z]+)\$[0-9]+"))</f>
        <v/>
      </c>
      <c r="Q84" s="7" t="str" cm="1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7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7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7" t="str" cm="1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7" t="str" cm="1">
        <f t="array" aca="1" ref="U84" ca="1">IFERROR(IF(OR('Raw Data'!U84="",LEN(TRIM('Raw Data'!U84))=0),"",IF(AND(ISNUMBER('Raw Data'!U84), IFERROR('Raw Data'!U84 = ROUND('Raw Data'!U84, 2),FALSE)),"",_xlfn.REGEXEXTRACT(CELL("address",U84), "\$([A-Z]+)\$[0-9]+"))),_xlfn.REGEXEXTRACT(CELL("address",U84), "\$([A-Z]+)\$[0-9]+"))</f>
        <v/>
      </c>
      <c r="V84" s="7" t="str" cm="1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7" t="str" cm="1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7" t="str" cm="1">
        <f t="array" aca="1" ref="X84" ca="1">IFERROR(IF(OR('Raw Data'!X84="",LEN(TRIM('Raw Data'!X84))=0),"",IF(AND(ISNUMBER('Raw Data'!X84), IFERROR('Raw Data'!X84 = ROUND('Raw Data'!X84, 2),FALSE)),"",_xlfn.REGEXEXTRACT(CELL("address",X84), "\$([A-Z]+)\$[0-9]+"))),_xlfn.REGEXEXTRACT(CELL("address",X84), "\$([A-Z]+)\$[0-9]+"))</f>
        <v/>
      </c>
      <c r="Y84" s="7" t="str" cm="1">
        <f t="array" aca="1" ref="Y84" ca="1">IFERROR(IF(OR('Raw Data'!Y84="",LEN(TRIM('Raw Data'!Y84))=0),"",IF(AND(ISNUMBER('Raw Data'!Y84), IFERROR('Raw Data'!Y84 = ROUND('Raw Data'!Y84, 2),FALSE)),"",_xlfn.REGEXEXTRACT(CELL("address",Y84), "\$([A-Z]+)\$[0-9]+"))),_xlfn.REGEXEXTRACT(CELL("address",Y84), "\$([A-Z]+)\$[0-9]+"))</f>
        <v/>
      </c>
      <c r="Z84" s="7" t="str" cm="1">
        <f t="array" aca="1" ref="Z84" ca="1">IFERROR(IF(OR('Raw Data'!Z84="",LEN(TRIM('Raw Data'!Z84))=0),"",IF(AND(ISNUMBER('Raw Data'!Z84), IFERROR('Raw Data'!Z84 = ROUND('Raw Data'!Z84, 2),FALSE)),"",_xlfn.REGEXEXTRACT(CELL("address",Z84), "\$([A-Z]+)\$[0-9]+"))),_xlfn.REGEXEXTRACT(CELL("address",Z84), "\$([A-Z]+)\$[0-9]+"))</f>
        <v/>
      </c>
      <c r="AA84" s="7" t="str" cm="1">
        <f t="array" aca="1" ref="AA84" ca="1">IFERROR(IF(OR('Raw Data'!AA84="",LEN(TRIM('Raw Data'!AA84))=0),"",IF(AND(ISNUMBER('Raw Data'!AA84), IFERROR('Raw Data'!AA84 = ROUND('Raw Data'!AA84, 2),FALSE)),"",_xlfn.REGEXEXTRACT(CELL("address",AA84), "\$([A-Z]+)\$[0-9]+"))),_xlfn.REGEXEXTRACT(CELL("address",AA84), "\$([A-Z]+)\$[0-9]+"))</f>
        <v/>
      </c>
      <c r="AB84" s="7" t="str" cm="1">
        <f t="array" aca="1" ref="AB84" ca="1">IFERROR(IF(OR('Raw Data'!AB84="",LEN(TRIM('Raw Data'!AB84))=0),"",IF(AND(ISNUMBER('Raw Data'!AB84), IFERROR('Raw Data'!AB84 = ROUND('Raw Data'!AB84, 2),FALSE)),"",_xlfn.REGEXEXTRACT(CELL("address",AB84), "\$([A-Z]+)\$[0-9]+"))),_xlfn.REGEXEXTRACT(CELL("address",AB84), "\$([A-Z]+)\$[0-9]+"))</f>
        <v/>
      </c>
    </row>
    <row r="85" spans="2:28" x14ac:dyDescent="0.25">
      <c r="B85" s="7" t="str" cm="1">
        <f t="array" aca="1" ref="B85" ca="1">IFERROR(IF(OR('Raw Data'!B85="",LEN(TRIM('Raw Data'!B85))=0),"",IF(AND(LEN('Raw Data'!B85) &lt;= 255,LEN('Raw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20,LEN('Raw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Data'!D85))=0),"",IF(AND(ISNUMBER('Raw Data'!D85),'Raw Data'!D85&gt;=Configuration!$D$2),"",_xlfn.REGEXEXTRACT(CELL("address",'Raw Data'!D85),"\$([A-Z]+)\$[0-9]+"))),_xlfn.REGEXEXTRACT(CELL("address",D85), "\$([A-Z]+)\$[0-9]+"))</f>
        <v/>
      </c>
      <c r="E85" s="7" t="str" cm="1">
        <f t="array" aca="1" ref="E85" ca="1">IFERROR(IF(OR('Raw Data'!E85="",LEN(TRIM('Raw Data'!E85))=0),"",IF(AND(ISNUMBER('Raw Data'!E85), IFERROR('Raw Data'!E85 = ROUND('Raw Data'!E85, 2),FALSE)),"",_xlfn.REGEXEXTRACT(CELL("address",E85), "\$([A-Z]+)\$[0-9]+"))),_xlfn.REGEXEXTRACT(CELL("address",E85), "\$([A-Z]+)\$[0-9]+"))</f>
        <v/>
      </c>
      <c r="F85" s="7" t="str" cm="1">
        <f t="array" aca="1" ref="F85" ca="1">IFERROR(IF(OR('Raw Data'!F85="",LEN(TRIM('Raw Data'!F85))=0),"",IF(AND(ISNUMBER('Raw Data'!F85), IFERROR('Raw Data'!F85 = ROUND('Raw Data'!F85, 2),FALSE)),"",_xlfn.REGEXEXTRACT(CELL("address",F85), "\$([A-Z]+)\$[0-9]+"))),_xlfn.REGEXEXTRACT(CELL("address",F85), "\$([A-Z]+)\$[0-9]+"))</f>
        <v/>
      </c>
      <c r="G85" s="7" t="str" cm="1">
        <f t="array" aca="1" ref="G85" ca="1">IFERROR(IF(OR('Raw Data'!G85="",LEN(TRIM('Raw Data'!G85))=0),"",IF(AND(ISNUMBER('Raw Data'!G85), IFERROR('Raw Data'!G85 = ROUND('Raw Data'!G85, 2),FALSE)),"",_xlfn.REGEXEXTRACT(CELL("address",G85), "\$([A-Z]+)\$[0-9]+"))),_xlfn.REGEXEXTRACT(CELL("address",G85), "\$([A-Z]+)\$[0-9]+"))</f>
        <v/>
      </c>
      <c r="H85" s="7" t="str" cm="1">
        <f t="array" aca="1" ref="H85" ca="1">IFERROR(IF(OR('Raw Data'!H85="",LEN(TRIM('Raw Data'!H85))=0),"",IF(AND(ISNUMBER('Raw Data'!H85), IFERROR('Raw Data'!H85 = ROUND('Raw Data'!H85, 2),FALSE)),"",_xlfn.REGEXEXTRACT(CELL("address",H85), "\$([A-Z]+)\$[0-9]+"))),_xlfn.REGEXEXTRACT(CELL("address",H85), "\$([A-Z]+)\$[0-9]+"))</f>
        <v/>
      </c>
      <c r="I85" s="7" t="str" cm="1">
        <f t="array" aca="1" ref="I85" ca="1">IFERROR(IF(OR('Raw Data'!I85="",LEN(TRIM('Raw Data'!I85))=0),"",IF(AND(ISNUMBER('Raw Data'!I85), IFERROR('Raw Data'!I85 = ROUND('Raw Data'!I85, 2),FALSE)),"",_xlfn.REGEXEXTRACT(CELL("address",I85), "\$([A-Z]+)\$[0-9]+"))),_xlfn.REGEXEXTRACT(CELL("address",I85), "\$([A-Z]+)\$[0-9]+"))</f>
        <v/>
      </c>
      <c r="J85" s="7" t="str" cm="1">
        <f t="array" aca="1" ref="J85" ca="1">IFERROR(IF(OR('Raw Data'!J85="",LEN(TRIM('Raw Data'!J85))=0),"",IF(AND(ISNUMBER('Raw Data'!J85), IFERROR('Raw Data'!J85 = ROUND('Raw Data'!J85, 2),FALSE)),"",_xlfn.REGEXEXTRACT(CELL("address",J85), "\$([A-Z]+)\$[0-9]+"))),_xlfn.REGEXEXTRACT(CELL("address",J85), "\$([A-Z]+)\$[0-9]+"))</f>
        <v/>
      </c>
      <c r="K85" s="7" t="str" cm="1">
        <f t="array" aca="1" ref="K85" ca="1">IFERROR(IF(OR('Raw Data'!K85="",LEN(TRIM('Raw Data'!K85))=0),"",IF(AND(ISNUMBER('Raw Data'!K85), IFERROR('Raw Data'!K85 = ROUND('Raw Data'!K85, 2),FALSE)),"",_xlfn.REGEXEXTRACT(CELL("address",K85), "\$([A-Z]+)\$[0-9]+"))),_xlfn.REGEXEXTRACT(CELL("address",K85), "\$([A-Z]+)\$[0-9]+"))</f>
        <v/>
      </c>
      <c r="L85" s="7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7" t="str" cm="1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7" t="str" cm="1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  <c r="O85" s="7" t="str" cm="1">
        <f t="array" aca="1" ref="O85" ca="1">IFERROR(IF(OR('Raw Data'!O85="",LEN(TRIM('Raw Data'!O85))=0),"",IF(AND(ISNUMBER('Raw Data'!O85), IFERROR('Raw Data'!O85 = ROUND('Raw Data'!O85, 2),FALSE)),"",_xlfn.REGEXEXTRACT(CELL("address",O85), "\$([A-Z]+)\$[0-9]+"))),_xlfn.REGEXEXTRACT(CELL("address",O85), "\$([A-Z]+)\$[0-9]+"))</f>
        <v/>
      </c>
      <c r="P85" s="7" t="str" cm="1">
        <f t="array" aca="1" ref="P85" ca="1">IFERROR(IF(OR('Raw Data'!P85="",LEN(TRIM('Raw Data'!P85))=0),"",IF(AND(ISNUMBER('Raw Data'!P85), IFERROR('Raw Data'!P85 = ROUND('Raw Data'!P85, 2),FALSE)),"",_xlfn.REGEXEXTRACT(CELL("address",P85), "\$([A-Z]+)\$[0-9]+"))),_xlfn.REGEXEXTRACT(CELL("address",P85), "\$([A-Z]+)\$[0-9]+"))</f>
        <v/>
      </c>
      <c r="Q85" s="7" t="str" cm="1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7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7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7" t="str" cm="1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7" t="str" cm="1">
        <f t="array" aca="1" ref="U85" ca="1">IFERROR(IF(OR('Raw Data'!U85="",LEN(TRIM('Raw Data'!U85))=0),"",IF(AND(ISNUMBER('Raw Data'!U85), IFERROR('Raw Data'!U85 = ROUND('Raw Data'!U85, 2),FALSE)),"",_xlfn.REGEXEXTRACT(CELL("address",U85), "\$([A-Z]+)\$[0-9]+"))),_xlfn.REGEXEXTRACT(CELL("address",U85), "\$([A-Z]+)\$[0-9]+"))</f>
        <v/>
      </c>
      <c r="V85" s="7" t="str" cm="1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7" t="str" cm="1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7" t="str" cm="1">
        <f t="array" aca="1" ref="X85" ca="1">IFERROR(IF(OR('Raw Data'!X85="",LEN(TRIM('Raw Data'!X85))=0),"",IF(AND(ISNUMBER('Raw Data'!X85), IFERROR('Raw Data'!X85 = ROUND('Raw Data'!X85, 2),FALSE)),"",_xlfn.REGEXEXTRACT(CELL("address",X85), "\$([A-Z]+)\$[0-9]+"))),_xlfn.REGEXEXTRACT(CELL("address",X85), "\$([A-Z]+)\$[0-9]+"))</f>
        <v/>
      </c>
      <c r="Y85" s="7" t="str" cm="1">
        <f t="array" aca="1" ref="Y85" ca="1">IFERROR(IF(OR('Raw Data'!Y85="",LEN(TRIM('Raw Data'!Y85))=0),"",IF(AND(ISNUMBER('Raw Data'!Y85), IFERROR('Raw Data'!Y85 = ROUND('Raw Data'!Y85, 2),FALSE)),"",_xlfn.REGEXEXTRACT(CELL("address",Y85), "\$([A-Z]+)\$[0-9]+"))),_xlfn.REGEXEXTRACT(CELL("address",Y85), "\$([A-Z]+)\$[0-9]+"))</f>
        <v/>
      </c>
      <c r="Z85" s="7" t="str" cm="1">
        <f t="array" aca="1" ref="Z85" ca="1">IFERROR(IF(OR('Raw Data'!Z85="",LEN(TRIM('Raw Data'!Z85))=0),"",IF(AND(ISNUMBER('Raw Data'!Z85), IFERROR('Raw Data'!Z85 = ROUND('Raw Data'!Z85, 2),FALSE)),"",_xlfn.REGEXEXTRACT(CELL("address",Z85), "\$([A-Z]+)\$[0-9]+"))),_xlfn.REGEXEXTRACT(CELL("address",Z85), "\$([A-Z]+)\$[0-9]+"))</f>
        <v/>
      </c>
      <c r="AA85" s="7" t="str" cm="1">
        <f t="array" aca="1" ref="AA85" ca="1">IFERROR(IF(OR('Raw Data'!AA85="",LEN(TRIM('Raw Data'!AA85))=0),"",IF(AND(ISNUMBER('Raw Data'!AA85), IFERROR('Raw Data'!AA85 = ROUND('Raw Data'!AA85, 2),FALSE)),"",_xlfn.REGEXEXTRACT(CELL("address",AA85), "\$([A-Z]+)\$[0-9]+"))),_xlfn.REGEXEXTRACT(CELL("address",AA85), "\$([A-Z]+)\$[0-9]+"))</f>
        <v/>
      </c>
      <c r="AB85" s="7" t="str" cm="1">
        <f t="array" aca="1" ref="AB85" ca="1">IFERROR(IF(OR('Raw Data'!AB85="",LEN(TRIM('Raw Data'!AB85))=0),"",IF(AND(ISNUMBER('Raw Data'!AB85), IFERROR('Raw Data'!AB85 = ROUND('Raw Data'!AB85, 2),FALSE)),"",_xlfn.REGEXEXTRACT(CELL("address",AB85), "\$([A-Z]+)\$[0-9]+"))),_xlfn.REGEXEXTRACT(CELL("address",AB85), "\$([A-Z]+)\$[0-9]+"))</f>
        <v/>
      </c>
    </row>
    <row r="86" spans="2:28" x14ac:dyDescent="0.25">
      <c r="B86" s="7" t="str" cm="1">
        <f t="array" aca="1" ref="B86" ca="1">IFERROR(IF(OR('Raw Data'!B86="",LEN(TRIM('Raw Data'!B86))=0),"",IF(AND(LEN('Raw Data'!B86) &lt;= 255,LEN('Raw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20,LEN('Raw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Data'!D86))=0),"",IF(AND(ISNUMBER('Raw Data'!D86),'Raw Data'!D86&gt;=Configuration!$D$2),"",_xlfn.REGEXEXTRACT(CELL("address",'Raw Data'!D86),"\$([A-Z]+)\$[0-9]+"))),_xlfn.REGEXEXTRACT(CELL("address",D86), "\$([A-Z]+)\$[0-9]+"))</f>
        <v/>
      </c>
      <c r="E86" s="7" t="str" cm="1">
        <f t="array" aca="1" ref="E86" ca="1">IFERROR(IF(OR('Raw Data'!E86="",LEN(TRIM('Raw Data'!E86))=0),"",IF(AND(ISNUMBER('Raw Data'!E86), IFERROR('Raw Data'!E86 = ROUND('Raw Data'!E86, 2),FALSE)),"",_xlfn.REGEXEXTRACT(CELL("address",E86), "\$([A-Z]+)\$[0-9]+"))),_xlfn.REGEXEXTRACT(CELL("address",E86), "\$([A-Z]+)\$[0-9]+"))</f>
        <v/>
      </c>
      <c r="F86" s="7" t="str" cm="1">
        <f t="array" aca="1" ref="F86" ca="1">IFERROR(IF(OR('Raw Data'!F86="",LEN(TRIM('Raw Data'!F86))=0),"",IF(AND(ISNUMBER('Raw Data'!F86), IFERROR('Raw Data'!F86 = ROUND('Raw Data'!F86, 2),FALSE)),"",_xlfn.REGEXEXTRACT(CELL("address",F86), "\$([A-Z]+)\$[0-9]+"))),_xlfn.REGEXEXTRACT(CELL("address",F86), "\$([A-Z]+)\$[0-9]+"))</f>
        <v/>
      </c>
      <c r="G86" s="7" t="str" cm="1">
        <f t="array" aca="1" ref="G86" ca="1">IFERROR(IF(OR('Raw Data'!G86="",LEN(TRIM('Raw Data'!G86))=0),"",IF(AND(ISNUMBER('Raw Data'!G86), IFERROR('Raw Data'!G86 = ROUND('Raw Data'!G86, 2),FALSE)),"",_xlfn.REGEXEXTRACT(CELL("address",G86), "\$([A-Z]+)\$[0-9]+"))),_xlfn.REGEXEXTRACT(CELL("address",G86), "\$([A-Z]+)\$[0-9]+"))</f>
        <v/>
      </c>
      <c r="H86" s="7" t="str" cm="1">
        <f t="array" aca="1" ref="H86" ca="1">IFERROR(IF(OR('Raw Data'!H86="",LEN(TRIM('Raw Data'!H86))=0),"",IF(AND(ISNUMBER('Raw Data'!H86), IFERROR('Raw Data'!H86 = ROUND('Raw Data'!H86, 2),FALSE)),"",_xlfn.REGEXEXTRACT(CELL("address",H86), "\$([A-Z]+)\$[0-9]+"))),_xlfn.REGEXEXTRACT(CELL("address",H86), "\$([A-Z]+)\$[0-9]+"))</f>
        <v/>
      </c>
      <c r="I86" s="7" t="str" cm="1">
        <f t="array" aca="1" ref="I86" ca="1">IFERROR(IF(OR('Raw Data'!I86="",LEN(TRIM('Raw Data'!I86))=0),"",IF(AND(ISNUMBER('Raw Data'!I86), IFERROR('Raw Data'!I86 = ROUND('Raw Data'!I86, 2),FALSE)),"",_xlfn.REGEXEXTRACT(CELL("address",I86), "\$([A-Z]+)\$[0-9]+"))),_xlfn.REGEXEXTRACT(CELL("address",I86), "\$([A-Z]+)\$[0-9]+"))</f>
        <v/>
      </c>
      <c r="J86" s="7" t="str" cm="1">
        <f t="array" aca="1" ref="J86" ca="1">IFERROR(IF(OR('Raw Data'!J86="",LEN(TRIM('Raw Data'!J86))=0),"",IF(AND(ISNUMBER('Raw Data'!J86), IFERROR('Raw Data'!J86 = ROUND('Raw Data'!J86, 2),FALSE)),"",_xlfn.REGEXEXTRACT(CELL("address",J86), "\$([A-Z]+)\$[0-9]+"))),_xlfn.REGEXEXTRACT(CELL("address",J86), "\$([A-Z]+)\$[0-9]+"))</f>
        <v/>
      </c>
      <c r="K86" s="7" t="str" cm="1">
        <f t="array" aca="1" ref="K86" ca="1">IFERROR(IF(OR('Raw Data'!K86="",LEN(TRIM('Raw Data'!K86))=0),"",IF(AND(ISNUMBER('Raw Data'!K86), IFERROR('Raw Data'!K86 = ROUND('Raw Data'!K86, 2),FALSE)),"",_xlfn.REGEXEXTRACT(CELL("address",K86), "\$([A-Z]+)\$[0-9]+"))),_xlfn.REGEXEXTRACT(CELL("address",K86), "\$([A-Z]+)\$[0-9]+"))</f>
        <v/>
      </c>
      <c r="L86" s="7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7" t="str" cm="1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7" t="str" cm="1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  <c r="O86" s="7" t="str" cm="1">
        <f t="array" aca="1" ref="O86" ca="1">IFERROR(IF(OR('Raw Data'!O86="",LEN(TRIM('Raw Data'!O86))=0),"",IF(AND(ISNUMBER('Raw Data'!O86), IFERROR('Raw Data'!O86 = ROUND('Raw Data'!O86, 2),FALSE)),"",_xlfn.REGEXEXTRACT(CELL("address",O86), "\$([A-Z]+)\$[0-9]+"))),_xlfn.REGEXEXTRACT(CELL("address",O86), "\$([A-Z]+)\$[0-9]+"))</f>
        <v/>
      </c>
      <c r="P86" s="7" t="str" cm="1">
        <f t="array" aca="1" ref="P86" ca="1">IFERROR(IF(OR('Raw Data'!P86="",LEN(TRIM('Raw Data'!P86))=0),"",IF(AND(ISNUMBER('Raw Data'!P86), IFERROR('Raw Data'!P86 = ROUND('Raw Data'!P86, 2),FALSE)),"",_xlfn.REGEXEXTRACT(CELL("address",P86), "\$([A-Z]+)\$[0-9]+"))),_xlfn.REGEXEXTRACT(CELL("address",P86), "\$([A-Z]+)\$[0-9]+"))</f>
        <v/>
      </c>
      <c r="Q86" s="7" t="str" cm="1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7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7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7" t="str" cm="1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7" t="str" cm="1">
        <f t="array" aca="1" ref="U86" ca="1">IFERROR(IF(OR('Raw Data'!U86="",LEN(TRIM('Raw Data'!U86))=0),"",IF(AND(ISNUMBER('Raw Data'!U86), IFERROR('Raw Data'!U86 = ROUND('Raw Data'!U86, 2),FALSE)),"",_xlfn.REGEXEXTRACT(CELL("address",U86), "\$([A-Z]+)\$[0-9]+"))),_xlfn.REGEXEXTRACT(CELL("address",U86), "\$([A-Z]+)\$[0-9]+"))</f>
        <v/>
      </c>
      <c r="V86" s="7" t="str" cm="1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7" t="str" cm="1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7" t="str" cm="1">
        <f t="array" aca="1" ref="X86" ca="1">IFERROR(IF(OR('Raw Data'!X86="",LEN(TRIM('Raw Data'!X86))=0),"",IF(AND(ISNUMBER('Raw Data'!X86), IFERROR('Raw Data'!X86 = ROUND('Raw Data'!X86, 2),FALSE)),"",_xlfn.REGEXEXTRACT(CELL("address",X86), "\$([A-Z]+)\$[0-9]+"))),_xlfn.REGEXEXTRACT(CELL("address",X86), "\$([A-Z]+)\$[0-9]+"))</f>
        <v/>
      </c>
      <c r="Y86" s="7" t="str" cm="1">
        <f t="array" aca="1" ref="Y86" ca="1">IFERROR(IF(OR('Raw Data'!Y86="",LEN(TRIM('Raw Data'!Y86))=0),"",IF(AND(ISNUMBER('Raw Data'!Y86), IFERROR('Raw Data'!Y86 = ROUND('Raw Data'!Y86, 2),FALSE)),"",_xlfn.REGEXEXTRACT(CELL("address",Y86), "\$([A-Z]+)\$[0-9]+"))),_xlfn.REGEXEXTRACT(CELL("address",Y86), "\$([A-Z]+)\$[0-9]+"))</f>
        <v/>
      </c>
      <c r="Z86" s="7" t="str" cm="1">
        <f t="array" aca="1" ref="Z86" ca="1">IFERROR(IF(OR('Raw Data'!Z86="",LEN(TRIM('Raw Data'!Z86))=0),"",IF(AND(ISNUMBER('Raw Data'!Z86), IFERROR('Raw Data'!Z86 = ROUND('Raw Data'!Z86, 2),FALSE)),"",_xlfn.REGEXEXTRACT(CELL("address",Z86), "\$([A-Z]+)\$[0-9]+"))),_xlfn.REGEXEXTRACT(CELL("address",Z86), "\$([A-Z]+)\$[0-9]+"))</f>
        <v/>
      </c>
      <c r="AA86" s="7" t="str" cm="1">
        <f t="array" aca="1" ref="AA86" ca="1">IFERROR(IF(OR('Raw Data'!AA86="",LEN(TRIM('Raw Data'!AA86))=0),"",IF(AND(ISNUMBER('Raw Data'!AA86), IFERROR('Raw Data'!AA86 = ROUND('Raw Data'!AA86, 2),FALSE)),"",_xlfn.REGEXEXTRACT(CELL("address",AA86), "\$([A-Z]+)\$[0-9]+"))),_xlfn.REGEXEXTRACT(CELL("address",AA86), "\$([A-Z]+)\$[0-9]+"))</f>
        <v/>
      </c>
      <c r="AB86" s="7" t="str" cm="1">
        <f t="array" aca="1" ref="AB86" ca="1">IFERROR(IF(OR('Raw Data'!AB86="",LEN(TRIM('Raw Data'!AB86))=0),"",IF(AND(ISNUMBER('Raw Data'!AB86), IFERROR('Raw Data'!AB86 = ROUND('Raw Data'!AB86, 2),FALSE)),"",_xlfn.REGEXEXTRACT(CELL("address",AB86), "\$([A-Z]+)\$[0-9]+"))),_xlfn.REGEXEXTRACT(CELL("address",AB86), "\$([A-Z]+)\$[0-9]+"))</f>
        <v/>
      </c>
    </row>
    <row r="87" spans="2:28" x14ac:dyDescent="0.25">
      <c r="B87" s="7" t="str" cm="1">
        <f t="array" aca="1" ref="B87" ca="1">IFERROR(IF(OR('Raw Data'!B87="",LEN(TRIM('Raw Data'!B87))=0),"",IF(AND(LEN('Raw Data'!B87) &lt;= 255,LEN('Raw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20,LEN('Raw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Data'!D87))=0),"",IF(AND(ISNUMBER('Raw Data'!D87),'Raw Data'!D87&gt;=Configuration!$D$2),"",_xlfn.REGEXEXTRACT(CELL("address",'Raw Data'!D87),"\$([A-Z]+)\$[0-9]+"))),_xlfn.REGEXEXTRACT(CELL("address",D87), "\$([A-Z]+)\$[0-9]+"))</f>
        <v/>
      </c>
      <c r="E87" s="7" t="str" cm="1">
        <f t="array" aca="1" ref="E87" ca="1">IFERROR(IF(OR('Raw Data'!E87="",LEN(TRIM('Raw Data'!E87))=0),"",IF(AND(ISNUMBER('Raw Data'!E87), IFERROR('Raw Data'!E87 = ROUND('Raw Data'!E87, 2),FALSE)),"",_xlfn.REGEXEXTRACT(CELL("address",E87), "\$([A-Z]+)\$[0-9]+"))),_xlfn.REGEXEXTRACT(CELL("address",E87), "\$([A-Z]+)\$[0-9]+"))</f>
        <v/>
      </c>
      <c r="F87" s="7" t="str" cm="1">
        <f t="array" aca="1" ref="F87" ca="1">IFERROR(IF(OR('Raw Data'!F87="",LEN(TRIM('Raw Data'!F87))=0),"",IF(AND(ISNUMBER('Raw Data'!F87), IFERROR('Raw Data'!F87 = ROUND('Raw Data'!F87, 2),FALSE)),"",_xlfn.REGEXEXTRACT(CELL("address",F87), "\$([A-Z]+)\$[0-9]+"))),_xlfn.REGEXEXTRACT(CELL("address",F87), "\$([A-Z]+)\$[0-9]+"))</f>
        <v/>
      </c>
      <c r="G87" s="7" t="str" cm="1">
        <f t="array" aca="1" ref="G87" ca="1">IFERROR(IF(OR('Raw Data'!G87="",LEN(TRIM('Raw Data'!G87))=0),"",IF(AND(ISNUMBER('Raw Data'!G87), IFERROR('Raw Data'!G87 = ROUND('Raw Data'!G87, 2),FALSE)),"",_xlfn.REGEXEXTRACT(CELL("address",G87), "\$([A-Z]+)\$[0-9]+"))),_xlfn.REGEXEXTRACT(CELL("address",G87), "\$([A-Z]+)\$[0-9]+"))</f>
        <v/>
      </c>
      <c r="H87" s="7" t="str" cm="1">
        <f t="array" aca="1" ref="H87" ca="1">IFERROR(IF(OR('Raw Data'!H87="",LEN(TRIM('Raw Data'!H87))=0),"",IF(AND(ISNUMBER('Raw Data'!H87), IFERROR('Raw Data'!H87 = ROUND('Raw Data'!H87, 2),FALSE)),"",_xlfn.REGEXEXTRACT(CELL("address",H87), "\$([A-Z]+)\$[0-9]+"))),_xlfn.REGEXEXTRACT(CELL("address",H87), "\$([A-Z]+)\$[0-9]+"))</f>
        <v/>
      </c>
      <c r="I87" s="7" t="str" cm="1">
        <f t="array" aca="1" ref="I87" ca="1">IFERROR(IF(OR('Raw Data'!I87="",LEN(TRIM('Raw Data'!I87))=0),"",IF(AND(ISNUMBER('Raw Data'!I87), IFERROR('Raw Data'!I87 = ROUND('Raw Data'!I87, 2),FALSE)),"",_xlfn.REGEXEXTRACT(CELL("address",I87), "\$([A-Z]+)\$[0-9]+"))),_xlfn.REGEXEXTRACT(CELL("address",I87), "\$([A-Z]+)\$[0-9]+"))</f>
        <v/>
      </c>
      <c r="J87" s="7" t="str" cm="1">
        <f t="array" aca="1" ref="J87" ca="1">IFERROR(IF(OR('Raw Data'!J87="",LEN(TRIM('Raw Data'!J87))=0),"",IF(AND(ISNUMBER('Raw Data'!J87), IFERROR('Raw Data'!J87 = ROUND('Raw Data'!J87, 2),FALSE)),"",_xlfn.REGEXEXTRACT(CELL("address",J87), "\$([A-Z]+)\$[0-9]+"))),_xlfn.REGEXEXTRACT(CELL("address",J87), "\$([A-Z]+)\$[0-9]+"))</f>
        <v/>
      </c>
      <c r="K87" s="7" t="str" cm="1">
        <f t="array" aca="1" ref="K87" ca="1">IFERROR(IF(OR('Raw Data'!K87="",LEN(TRIM('Raw Data'!K87))=0),"",IF(AND(ISNUMBER('Raw Data'!K87), IFERROR('Raw Data'!K87 = ROUND('Raw Data'!K87, 2),FALSE)),"",_xlfn.REGEXEXTRACT(CELL("address",K87), "\$([A-Z]+)\$[0-9]+"))),_xlfn.REGEXEXTRACT(CELL("address",K87), "\$([A-Z]+)\$[0-9]+"))</f>
        <v/>
      </c>
      <c r="L87" s="7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7" t="str" cm="1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7" t="str" cm="1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  <c r="O87" s="7" t="str" cm="1">
        <f t="array" aca="1" ref="O87" ca="1">IFERROR(IF(OR('Raw Data'!O87="",LEN(TRIM('Raw Data'!O87))=0),"",IF(AND(ISNUMBER('Raw Data'!O87), IFERROR('Raw Data'!O87 = ROUND('Raw Data'!O87, 2),FALSE)),"",_xlfn.REGEXEXTRACT(CELL("address",O87), "\$([A-Z]+)\$[0-9]+"))),_xlfn.REGEXEXTRACT(CELL("address",O87), "\$([A-Z]+)\$[0-9]+"))</f>
        <v/>
      </c>
      <c r="P87" s="7" t="str" cm="1">
        <f t="array" aca="1" ref="P87" ca="1">IFERROR(IF(OR('Raw Data'!P87="",LEN(TRIM('Raw Data'!P87))=0),"",IF(AND(ISNUMBER('Raw Data'!P87), IFERROR('Raw Data'!P87 = ROUND('Raw Data'!P87, 2),FALSE)),"",_xlfn.REGEXEXTRACT(CELL("address",P87), "\$([A-Z]+)\$[0-9]+"))),_xlfn.REGEXEXTRACT(CELL("address",P87), "\$([A-Z]+)\$[0-9]+"))</f>
        <v/>
      </c>
      <c r="Q87" s="7" t="str" cm="1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7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7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7" t="str" cm="1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7" t="str" cm="1">
        <f t="array" aca="1" ref="U87" ca="1">IFERROR(IF(OR('Raw Data'!U87="",LEN(TRIM('Raw Data'!U87))=0),"",IF(AND(ISNUMBER('Raw Data'!U87), IFERROR('Raw Data'!U87 = ROUND('Raw Data'!U87, 2),FALSE)),"",_xlfn.REGEXEXTRACT(CELL("address",U87), "\$([A-Z]+)\$[0-9]+"))),_xlfn.REGEXEXTRACT(CELL("address",U87), "\$([A-Z]+)\$[0-9]+"))</f>
        <v/>
      </c>
      <c r="V87" s="7" t="str" cm="1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7" t="str" cm="1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7" t="str" cm="1">
        <f t="array" aca="1" ref="X87" ca="1">IFERROR(IF(OR('Raw Data'!X87="",LEN(TRIM('Raw Data'!X87))=0),"",IF(AND(ISNUMBER('Raw Data'!X87), IFERROR('Raw Data'!X87 = ROUND('Raw Data'!X87, 2),FALSE)),"",_xlfn.REGEXEXTRACT(CELL("address",X87), "\$([A-Z]+)\$[0-9]+"))),_xlfn.REGEXEXTRACT(CELL("address",X87), "\$([A-Z]+)\$[0-9]+"))</f>
        <v/>
      </c>
      <c r="Y87" s="7" t="str" cm="1">
        <f t="array" aca="1" ref="Y87" ca="1">IFERROR(IF(OR('Raw Data'!Y87="",LEN(TRIM('Raw Data'!Y87))=0),"",IF(AND(ISNUMBER('Raw Data'!Y87), IFERROR('Raw Data'!Y87 = ROUND('Raw Data'!Y87, 2),FALSE)),"",_xlfn.REGEXEXTRACT(CELL("address",Y87), "\$([A-Z]+)\$[0-9]+"))),_xlfn.REGEXEXTRACT(CELL("address",Y87), "\$([A-Z]+)\$[0-9]+"))</f>
        <v/>
      </c>
      <c r="Z87" s="7" t="str" cm="1">
        <f t="array" aca="1" ref="Z87" ca="1">IFERROR(IF(OR('Raw Data'!Z87="",LEN(TRIM('Raw Data'!Z87))=0),"",IF(AND(ISNUMBER('Raw Data'!Z87), IFERROR('Raw Data'!Z87 = ROUND('Raw Data'!Z87, 2),FALSE)),"",_xlfn.REGEXEXTRACT(CELL("address",Z87), "\$([A-Z]+)\$[0-9]+"))),_xlfn.REGEXEXTRACT(CELL("address",Z87), "\$([A-Z]+)\$[0-9]+"))</f>
        <v/>
      </c>
      <c r="AA87" s="7" t="str" cm="1">
        <f t="array" aca="1" ref="AA87" ca="1">IFERROR(IF(OR('Raw Data'!AA87="",LEN(TRIM('Raw Data'!AA87))=0),"",IF(AND(ISNUMBER('Raw Data'!AA87), IFERROR('Raw Data'!AA87 = ROUND('Raw Data'!AA87, 2),FALSE)),"",_xlfn.REGEXEXTRACT(CELL("address",AA87), "\$([A-Z]+)\$[0-9]+"))),_xlfn.REGEXEXTRACT(CELL("address",AA87), "\$([A-Z]+)\$[0-9]+"))</f>
        <v/>
      </c>
      <c r="AB87" s="7" t="str" cm="1">
        <f t="array" aca="1" ref="AB87" ca="1">IFERROR(IF(OR('Raw Data'!AB87="",LEN(TRIM('Raw Data'!AB87))=0),"",IF(AND(ISNUMBER('Raw Data'!AB87), IFERROR('Raw Data'!AB87 = ROUND('Raw Data'!AB87, 2),FALSE)),"",_xlfn.REGEXEXTRACT(CELL("address",AB87), "\$([A-Z]+)\$[0-9]+"))),_xlfn.REGEXEXTRACT(CELL("address",AB87), "\$([A-Z]+)\$[0-9]+"))</f>
        <v/>
      </c>
    </row>
    <row r="88" spans="2:28" x14ac:dyDescent="0.25">
      <c r="B88" s="7" t="str" cm="1">
        <f t="array" aca="1" ref="B88" ca="1">IFERROR(IF(OR('Raw Data'!B88="",LEN(TRIM('Raw Data'!B88))=0),"",IF(AND(LEN('Raw Data'!B88) &lt;= 255,LEN('Raw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20,LEN('Raw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Data'!D88))=0),"",IF(AND(ISNUMBER('Raw Data'!D88),'Raw Data'!D88&gt;=Configuration!$D$2),"",_xlfn.REGEXEXTRACT(CELL("address",'Raw Data'!D88),"\$([A-Z]+)\$[0-9]+"))),_xlfn.REGEXEXTRACT(CELL("address",D88), "\$([A-Z]+)\$[0-9]+"))</f>
        <v/>
      </c>
      <c r="E88" s="7" t="str" cm="1">
        <f t="array" aca="1" ref="E88" ca="1">IFERROR(IF(OR('Raw Data'!E88="",LEN(TRIM('Raw Data'!E88))=0),"",IF(AND(ISNUMBER('Raw Data'!E88), IFERROR('Raw Data'!E88 = ROUND('Raw Data'!E88, 2),FALSE)),"",_xlfn.REGEXEXTRACT(CELL("address",E88), "\$([A-Z]+)\$[0-9]+"))),_xlfn.REGEXEXTRACT(CELL("address",E88), "\$([A-Z]+)\$[0-9]+"))</f>
        <v/>
      </c>
      <c r="F88" s="7" t="str" cm="1">
        <f t="array" aca="1" ref="F88" ca="1">IFERROR(IF(OR('Raw Data'!F88="",LEN(TRIM('Raw Data'!F88))=0),"",IF(AND(ISNUMBER('Raw Data'!F88), IFERROR('Raw Data'!F88 = ROUND('Raw Data'!F88, 2),FALSE)),"",_xlfn.REGEXEXTRACT(CELL("address",F88), "\$([A-Z]+)\$[0-9]+"))),_xlfn.REGEXEXTRACT(CELL("address",F88), "\$([A-Z]+)\$[0-9]+"))</f>
        <v/>
      </c>
      <c r="G88" s="7" t="str" cm="1">
        <f t="array" aca="1" ref="G88" ca="1">IFERROR(IF(OR('Raw Data'!G88="",LEN(TRIM('Raw Data'!G88))=0),"",IF(AND(ISNUMBER('Raw Data'!G88), IFERROR('Raw Data'!G88 = ROUND('Raw Data'!G88, 2),FALSE)),"",_xlfn.REGEXEXTRACT(CELL("address",G88), "\$([A-Z]+)\$[0-9]+"))),_xlfn.REGEXEXTRACT(CELL("address",G88), "\$([A-Z]+)\$[0-9]+"))</f>
        <v/>
      </c>
      <c r="H88" s="7" t="str" cm="1">
        <f t="array" aca="1" ref="H88" ca="1">IFERROR(IF(OR('Raw Data'!H88="",LEN(TRIM('Raw Data'!H88))=0),"",IF(AND(ISNUMBER('Raw Data'!H88), IFERROR('Raw Data'!H88 = ROUND('Raw Data'!H88, 2),FALSE)),"",_xlfn.REGEXEXTRACT(CELL("address",H88), "\$([A-Z]+)\$[0-9]+"))),_xlfn.REGEXEXTRACT(CELL("address",H88), "\$([A-Z]+)\$[0-9]+"))</f>
        <v/>
      </c>
      <c r="I88" s="7" t="str" cm="1">
        <f t="array" aca="1" ref="I88" ca="1">IFERROR(IF(OR('Raw Data'!I88="",LEN(TRIM('Raw Data'!I88))=0),"",IF(AND(ISNUMBER('Raw Data'!I88), IFERROR('Raw Data'!I88 = ROUND('Raw Data'!I88, 2),FALSE)),"",_xlfn.REGEXEXTRACT(CELL("address",I88), "\$([A-Z]+)\$[0-9]+"))),_xlfn.REGEXEXTRACT(CELL("address",I88), "\$([A-Z]+)\$[0-9]+"))</f>
        <v/>
      </c>
      <c r="J88" s="7" t="str" cm="1">
        <f t="array" aca="1" ref="J88" ca="1">IFERROR(IF(OR('Raw Data'!J88="",LEN(TRIM('Raw Data'!J88))=0),"",IF(AND(ISNUMBER('Raw Data'!J88), IFERROR('Raw Data'!J88 = ROUND('Raw Data'!J88, 2),FALSE)),"",_xlfn.REGEXEXTRACT(CELL("address",J88), "\$([A-Z]+)\$[0-9]+"))),_xlfn.REGEXEXTRACT(CELL("address",J88), "\$([A-Z]+)\$[0-9]+"))</f>
        <v/>
      </c>
      <c r="K88" s="7" t="str" cm="1">
        <f t="array" aca="1" ref="K88" ca="1">IFERROR(IF(OR('Raw Data'!K88="",LEN(TRIM('Raw Data'!K88))=0),"",IF(AND(ISNUMBER('Raw Data'!K88), IFERROR('Raw Data'!K88 = ROUND('Raw Data'!K88, 2),FALSE)),"",_xlfn.REGEXEXTRACT(CELL("address",K88), "\$([A-Z]+)\$[0-9]+"))),_xlfn.REGEXEXTRACT(CELL("address",K88), "\$([A-Z]+)\$[0-9]+"))</f>
        <v/>
      </c>
      <c r="L88" s="7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7" t="str" cm="1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7" t="str" cm="1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  <c r="O88" s="7" t="str" cm="1">
        <f t="array" aca="1" ref="O88" ca="1">IFERROR(IF(OR('Raw Data'!O88="",LEN(TRIM('Raw Data'!O88))=0),"",IF(AND(ISNUMBER('Raw Data'!O88), IFERROR('Raw Data'!O88 = ROUND('Raw Data'!O88, 2),FALSE)),"",_xlfn.REGEXEXTRACT(CELL("address",O88), "\$([A-Z]+)\$[0-9]+"))),_xlfn.REGEXEXTRACT(CELL("address",O88), "\$([A-Z]+)\$[0-9]+"))</f>
        <v/>
      </c>
      <c r="P88" s="7" t="str" cm="1">
        <f t="array" aca="1" ref="P88" ca="1">IFERROR(IF(OR('Raw Data'!P88="",LEN(TRIM('Raw Data'!P88))=0),"",IF(AND(ISNUMBER('Raw Data'!P88), IFERROR('Raw Data'!P88 = ROUND('Raw Data'!P88, 2),FALSE)),"",_xlfn.REGEXEXTRACT(CELL("address",P88), "\$([A-Z]+)\$[0-9]+"))),_xlfn.REGEXEXTRACT(CELL("address",P88), "\$([A-Z]+)\$[0-9]+"))</f>
        <v/>
      </c>
      <c r="Q88" s="7" t="str" cm="1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7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7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7" t="str" cm="1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7" t="str" cm="1">
        <f t="array" aca="1" ref="U88" ca="1">IFERROR(IF(OR('Raw Data'!U88="",LEN(TRIM('Raw Data'!U88))=0),"",IF(AND(ISNUMBER('Raw Data'!U88), IFERROR('Raw Data'!U88 = ROUND('Raw Data'!U88, 2),FALSE)),"",_xlfn.REGEXEXTRACT(CELL("address",U88), "\$([A-Z]+)\$[0-9]+"))),_xlfn.REGEXEXTRACT(CELL("address",U88), "\$([A-Z]+)\$[0-9]+"))</f>
        <v/>
      </c>
      <c r="V88" s="7" t="str" cm="1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7" t="str" cm="1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7" t="str" cm="1">
        <f t="array" aca="1" ref="X88" ca="1">IFERROR(IF(OR('Raw Data'!X88="",LEN(TRIM('Raw Data'!X88))=0),"",IF(AND(ISNUMBER('Raw Data'!X88), IFERROR('Raw Data'!X88 = ROUND('Raw Data'!X88, 2),FALSE)),"",_xlfn.REGEXEXTRACT(CELL("address",X88), "\$([A-Z]+)\$[0-9]+"))),_xlfn.REGEXEXTRACT(CELL("address",X88), "\$([A-Z]+)\$[0-9]+"))</f>
        <v/>
      </c>
      <c r="Y88" s="7" t="str" cm="1">
        <f t="array" aca="1" ref="Y88" ca="1">IFERROR(IF(OR('Raw Data'!Y88="",LEN(TRIM('Raw Data'!Y88))=0),"",IF(AND(ISNUMBER('Raw Data'!Y88), IFERROR('Raw Data'!Y88 = ROUND('Raw Data'!Y88, 2),FALSE)),"",_xlfn.REGEXEXTRACT(CELL("address",Y88), "\$([A-Z]+)\$[0-9]+"))),_xlfn.REGEXEXTRACT(CELL("address",Y88), "\$([A-Z]+)\$[0-9]+"))</f>
        <v/>
      </c>
      <c r="Z88" s="7" t="str" cm="1">
        <f t="array" aca="1" ref="Z88" ca="1">IFERROR(IF(OR('Raw Data'!Z88="",LEN(TRIM('Raw Data'!Z88))=0),"",IF(AND(ISNUMBER('Raw Data'!Z88), IFERROR('Raw Data'!Z88 = ROUND('Raw Data'!Z88, 2),FALSE)),"",_xlfn.REGEXEXTRACT(CELL("address",Z88), "\$([A-Z]+)\$[0-9]+"))),_xlfn.REGEXEXTRACT(CELL("address",Z88), "\$([A-Z]+)\$[0-9]+"))</f>
        <v/>
      </c>
      <c r="AA88" s="7" t="str" cm="1">
        <f t="array" aca="1" ref="AA88" ca="1">IFERROR(IF(OR('Raw Data'!AA88="",LEN(TRIM('Raw Data'!AA88))=0),"",IF(AND(ISNUMBER('Raw Data'!AA88), IFERROR('Raw Data'!AA88 = ROUND('Raw Data'!AA88, 2),FALSE)),"",_xlfn.REGEXEXTRACT(CELL("address",AA88), "\$([A-Z]+)\$[0-9]+"))),_xlfn.REGEXEXTRACT(CELL("address",AA88), "\$([A-Z]+)\$[0-9]+"))</f>
        <v/>
      </c>
      <c r="AB88" s="7" t="str" cm="1">
        <f t="array" aca="1" ref="AB88" ca="1">IFERROR(IF(OR('Raw Data'!AB88="",LEN(TRIM('Raw Data'!AB88))=0),"",IF(AND(ISNUMBER('Raw Data'!AB88), IFERROR('Raw Data'!AB88 = ROUND('Raw Data'!AB88, 2),FALSE)),"",_xlfn.REGEXEXTRACT(CELL("address",AB88), "\$([A-Z]+)\$[0-9]+"))),_xlfn.REGEXEXTRACT(CELL("address",AB88), "\$([A-Z]+)\$[0-9]+"))</f>
        <v/>
      </c>
    </row>
    <row r="89" spans="2:28" x14ac:dyDescent="0.25">
      <c r="B89" s="7" t="str" cm="1">
        <f t="array" aca="1" ref="B89" ca="1">IFERROR(IF(OR('Raw Data'!B89="",LEN(TRIM('Raw Data'!B89))=0),"",IF(AND(LEN('Raw Data'!B89) &lt;= 255,LEN('Raw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20,LEN('Raw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Data'!D89))=0),"",IF(AND(ISNUMBER('Raw Data'!D89),'Raw Data'!D89&gt;=Configuration!$D$2),"",_xlfn.REGEXEXTRACT(CELL("address",'Raw Data'!D89),"\$([A-Z]+)\$[0-9]+"))),_xlfn.REGEXEXTRACT(CELL("address",D89), "\$([A-Z]+)\$[0-9]+"))</f>
        <v/>
      </c>
      <c r="E89" s="7" t="str" cm="1">
        <f t="array" aca="1" ref="E89" ca="1">IFERROR(IF(OR('Raw Data'!E89="",LEN(TRIM('Raw Data'!E89))=0),"",IF(AND(ISNUMBER('Raw Data'!E89), IFERROR('Raw Data'!E89 = ROUND('Raw Data'!E89, 2),FALSE)),"",_xlfn.REGEXEXTRACT(CELL("address",E89), "\$([A-Z]+)\$[0-9]+"))),_xlfn.REGEXEXTRACT(CELL("address",E89), "\$([A-Z]+)\$[0-9]+"))</f>
        <v/>
      </c>
      <c r="F89" s="7" t="str" cm="1">
        <f t="array" aca="1" ref="F89" ca="1">IFERROR(IF(OR('Raw Data'!F89="",LEN(TRIM('Raw Data'!F89))=0),"",IF(AND(ISNUMBER('Raw Data'!F89), IFERROR('Raw Data'!F89 = ROUND('Raw Data'!F89, 2),FALSE)),"",_xlfn.REGEXEXTRACT(CELL("address",F89), "\$([A-Z]+)\$[0-9]+"))),_xlfn.REGEXEXTRACT(CELL("address",F89), "\$([A-Z]+)\$[0-9]+"))</f>
        <v/>
      </c>
      <c r="G89" s="7" t="str" cm="1">
        <f t="array" aca="1" ref="G89" ca="1">IFERROR(IF(OR('Raw Data'!G89="",LEN(TRIM('Raw Data'!G89))=0),"",IF(AND(ISNUMBER('Raw Data'!G89), IFERROR('Raw Data'!G89 = ROUND('Raw Data'!G89, 2),FALSE)),"",_xlfn.REGEXEXTRACT(CELL("address",G89), "\$([A-Z]+)\$[0-9]+"))),_xlfn.REGEXEXTRACT(CELL("address",G89), "\$([A-Z]+)\$[0-9]+"))</f>
        <v/>
      </c>
      <c r="H89" s="7" t="str" cm="1">
        <f t="array" aca="1" ref="H89" ca="1">IFERROR(IF(OR('Raw Data'!H89="",LEN(TRIM('Raw Data'!H89))=0),"",IF(AND(ISNUMBER('Raw Data'!H89), IFERROR('Raw Data'!H89 = ROUND('Raw Data'!H89, 2),FALSE)),"",_xlfn.REGEXEXTRACT(CELL("address",H89), "\$([A-Z]+)\$[0-9]+"))),_xlfn.REGEXEXTRACT(CELL("address",H89), "\$([A-Z]+)\$[0-9]+"))</f>
        <v/>
      </c>
      <c r="I89" s="7" t="str" cm="1">
        <f t="array" aca="1" ref="I89" ca="1">IFERROR(IF(OR('Raw Data'!I89="",LEN(TRIM('Raw Data'!I89))=0),"",IF(AND(ISNUMBER('Raw Data'!I89), IFERROR('Raw Data'!I89 = ROUND('Raw Data'!I89, 2),FALSE)),"",_xlfn.REGEXEXTRACT(CELL("address",I89), "\$([A-Z]+)\$[0-9]+"))),_xlfn.REGEXEXTRACT(CELL("address",I89), "\$([A-Z]+)\$[0-9]+"))</f>
        <v/>
      </c>
      <c r="J89" s="7" t="str" cm="1">
        <f t="array" aca="1" ref="J89" ca="1">IFERROR(IF(OR('Raw Data'!J89="",LEN(TRIM('Raw Data'!J89))=0),"",IF(AND(ISNUMBER('Raw Data'!J89), IFERROR('Raw Data'!J89 = ROUND('Raw Data'!J89, 2),FALSE)),"",_xlfn.REGEXEXTRACT(CELL("address",J89), "\$([A-Z]+)\$[0-9]+"))),_xlfn.REGEXEXTRACT(CELL("address",J89), "\$([A-Z]+)\$[0-9]+"))</f>
        <v/>
      </c>
      <c r="K89" s="7" t="str" cm="1">
        <f t="array" aca="1" ref="K89" ca="1">IFERROR(IF(OR('Raw Data'!K89="",LEN(TRIM('Raw Data'!K89))=0),"",IF(AND(ISNUMBER('Raw Data'!K89), IFERROR('Raw Data'!K89 = ROUND('Raw Data'!K89, 2),FALSE)),"",_xlfn.REGEXEXTRACT(CELL("address",K89), "\$([A-Z]+)\$[0-9]+"))),_xlfn.REGEXEXTRACT(CELL("address",K89), "\$([A-Z]+)\$[0-9]+"))</f>
        <v/>
      </c>
      <c r="L89" s="7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7" t="str" cm="1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7" t="str" cm="1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  <c r="O89" s="7" t="str" cm="1">
        <f t="array" aca="1" ref="O89" ca="1">IFERROR(IF(OR('Raw Data'!O89="",LEN(TRIM('Raw Data'!O89))=0),"",IF(AND(ISNUMBER('Raw Data'!O89), IFERROR('Raw Data'!O89 = ROUND('Raw Data'!O89, 2),FALSE)),"",_xlfn.REGEXEXTRACT(CELL("address",O89), "\$([A-Z]+)\$[0-9]+"))),_xlfn.REGEXEXTRACT(CELL("address",O89), "\$([A-Z]+)\$[0-9]+"))</f>
        <v/>
      </c>
      <c r="P89" s="7" t="str" cm="1">
        <f t="array" aca="1" ref="P89" ca="1">IFERROR(IF(OR('Raw Data'!P89="",LEN(TRIM('Raw Data'!P89))=0),"",IF(AND(ISNUMBER('Raw Data'!P89), IFERROR('Raw Data'!P89 = ROUND('Raw Data'!P89, 2),FALSE)),"",_xlfn.REGEXEXTRACT(CELL("address",P89), "\$([A-Z]+)\$[0-9]+"))),_xlfn.REGEXEXTRACT(CELL("address",P89), "\$([A-Z]+)\$[0-9]+"))</f>
        <v/>
      </c>
      <c r="Q89" s="7" t="str" cm="1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7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7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7" t="str" cm="1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7" t="str" cm="1">
        <f t="array" aca="1" ref="U89" ca="1">IFERROR(IF(OR('Raw Data'!U89="",LEN(TRIM('Raw Data'!U89))=0),"",IF(AND(ISNUMBER('Raw Data'!U89), IFERROR('Raw Data'!U89 = ROUND('Raw Data'!U89, 2),FALSE)),"",_xlfn.REGEXEXTRACT(CELL("address",U89), "\$([A-Z]+)\$[0-9]+"))),_xlfn.REGEXEXTRACT(CELL("address",U89), "\$([A-Z]+)\$[0-9]+"))</f>
        <v/>
      </c>
      <c r="V89" s="7" t="str" cm="1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7" t="str" cm="1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7" t="str" cm="1">
        <f t="array" aca="1" ref="X89" ca="1">IFERROR(IF(OR('Raw Data'!X89="",LEN(TRIM('Raw Data'!X89))=0),"",IF(AND(ISNUMBER('Raw Data'!X89), IFERROR('Raw Data'!X89 = ROUND('Raw Data'!X89, 2),FALSE)),"",_xlfn.REGEXEXTRACT(CELL("address",X89), "\$([A-Z]+)\$[0-9]+"))),_xlfn.REGEXEXTRACT(CELL("address",X89), "\$([A-Z]+)\$[0-9]+"))</f>
        <v/>
      </c>
      <c r="Y89" s="7" t="str" cm="1">
        <f t="array" aca="1" ref="Y89" ca="1">IFERROR(IF(OR('Raw Data'!Y89="",LEN(TRIM('Raw Data'!Y89))=0),"",IF(AND(ISNUMBER('Raw Data'!Y89), IFERROR('Raw Data'!Y89 = ROUND('Raw Data'!Y89, 2),FALSE)),"",_xlfn.REGEXEXTRACT(CELL("address",Y89), "\$([A-Z]+)\$[0-9]+"))),_xlfn.REGEXEXTRACT(CELL("address",Y89), "\$([A-Z]+)\$[0-9]+"))</f>
        <v/>
      </c>
      <c r="Z89" s="7" t="str" cm="1">
        <f t="array" aca="1" ref="Z89" ca="1">IFERROR(IF(OR('Raw Data'!Z89="",LEN(TRIM('Raw Data'!Z89))=0),"",IF(AND(ISNUMBER('Raw Data'!Z89), IFERROR('Raw Data'!Z89 = ROUND('Raw Data'!Z89, 2),FALSE)),"",_xlfn.REGEXEXTRACT(CELL("address",Z89), "\$([A-Z]+)\$[0-9]+"))),_xlfn.REGEXEXTRACT(CELL("address",Z89), "\$([A-Z]+)\$[0-9]+"))</f>
        <v/>
      </c>
      <c r="AA89" s="7" t="str" cm="1">
        <f t="array" aca="1" ref="AA89" ca="1">IFERROR(IF(OR('Raw Data'!AA89="",LEN(TRIM('Raw Data'!AA89))=0),"",IF(AND(ISNUMBER('Raw Data'!AA89), IFERROR('Raw Data'!AA89 = ROUND('Raw Data'!AA89, 2),FALSE)),"",_xlfn.REGEXEXTRACT(CELL("address",AA89), "\$([A-Z]+)\$[0-9]+"))),_xlfn.REGEXEXTRACT(CELL("address",AA89), "\$([A-Z]+)\$[0-9]+"))</f>
        <v/>
      </c>
      <c r="AB89" s="7" t="str" cm="1">
        <f t="array" aca="1" ref="AB89" ca="1">IFERROR(IF(OR('Raw Data'!AB89="",LEN(TRIM('Raw Data'!AB89))=0),"",IF(AND(ISNUMBER('Raw Data'!AB89), IFERROR('Raw Data'!AB89 = ROUND('Raw Data'!AB89, 2),FALSE)),"",_xlfn.REGEXEXTRACT(CELL("address",AB89), "\$([A-Z]+)\$[0-9]+"))),_xlfn.REGEXEXTRACT(CELL("address",AB89), "\$([A-Z]+)\$[0-9]+"))</f>
        <v/>
      </c>
    </row>
    <row r="90" spans="2:28" x14ac:dyDescent="0.25">
      <c r="B90" s="7" t="str" cm="1">
        <f t="array" aca="1" ref="B90" ca="1">IFERROR(IF(OR('Raw Data'!B90="",LEN(TRIM('Raw Data'!B90))=0),"",IF(AND(LEN('Raw Data'!B90) &lt;= 255,LEN('Raw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20,LEN('Raw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Data'!D90))=0),"",IF(AND(ISNUMBER('Raw Data'!D90),'Raw Data'!D90&gt;=Configuration!$D$2),"",_xlfn.REGEXEXTRACT(CELL("address",'Raw Data'!D90),"\$([A-Z]+)\$[0-9]+"))),_xlfn.REGEXEXTRACT(CELL("address",D90), "\$([A-Z]+)\$[0-9]+"))</f>
        <v/>
      </c>
      <c r="E90" s="7" t="str" cm="1">
        <f t="array" aca="1" ref="E90" ca="1">IFERROR(IF(OR('Raw Data'!E90="",LEN(TRIM('Raw Data'!E90))=0),"",IF(AND(ISNUMBER('Raw Data'!E90), IFERROR('Raw Data'!E90 = ROUND('Raw Data'!E90, 2),FALSE)),"",_xlfn.REGEXEXTRACT(CELL("address",E90), "\$([A-Z]+)\$[0-9]+"))),_xlfn.REGEXEXTRACT(CELL("address",E90), "\$([A-Z]+)\$[0-9]+"))</f>
        <v/>
      </c>
      <c r="F90" s="7" t="str" cm="1">
        <f t="array" aca="1" ref="F90" ca="1">IFERROR(IF(OR('Raw Data'!F90="",LEN(TRIM('Raw Data'!F90))=0),"",IF(AND(ISNUMBER('Raw Data'!F90), IFERROR('Raw Data'!F90 = ROUND('Raw Data'!F90, 2),FALSE)),"",_xlfn.REGEXEXTRACT(CELL("address",F90), "\$([A-Z]+)\$[0-9]+"))),_xlfn.REGEXEXTRACT(CELL("address",F90), "\$([A-Z]+)\$[0-9]+"))</f>
        <v/>
      </c>
      <c r="G90" s="7" t="str" cm="1">
        <f t="array" aca="1" ref="G90" ca="1">IFERROR(IF(OR('Raw Data'!G90="",LEN(TRIM('Raw Data'!G90))=0),"",IF(AND(ISNUMBER('Raw Data'!G90), IFERROR('Raw Data'!G90 = ROUND('Raw Data'!G90, 2),FALSE)),"",_xlfn.REGEXEXTRACT(CELL("address",G90), "\$([A-Z]+)\$[0-9]+"))),_xlfn.REGEXEXTRACT(CELL("address",G90), "\$([A-Z]+)\$[0-9]+"))</f>
        <v/>
      </c>
      <c r="H90" s="7" t="str" cm="1">
        <f t="array" aca="1" ref="H90" ca="1">IFERROR(IF(OR('Raw Data'!H90="",LEN(TRIM('Raw Data'!H90))=0),"",IF(AND(ISNUMBER('Raw Data'!H90), IFERROR('Raw Data'!H90 = ROUND('Raw Data'!H90, 2),FALSE)),"",_xlfn.REGEXEXTRACT(CELL("address",H90), "\$([A-Z]+)\$[0-9]+"))),_xlfn.REGEXEXTRACT(CELL("address",H90), "\$([A-Z]+)\$[0-9]+"))</f>
        <v/>
      </c>
      <c r="I90" s="7" t="str" cm="1">
        <f t="array" aca="1" ref="I90" ca="1">IFERROR(IF(OR('Raw Data'!I90="",LEN(TRIM('Raw Data'!I90))=0),"",IF(AND(ISNUMBER('Raw Data'!I90), IFERROR('Raw Data'!I90 = ROUND('Raw Data'!I90, 2),FALSE)),"",_xlfn.REGEXEXTRACT(CELL("address",I90), "\$([A-Z]+)\$[0-9]+"))),_xlfn.REGEXEXTRACT(CELL("address",I90), "\$([A-Z]+)\$[0-9]+"))</f>
        <v/>
      </c>
      <c r="J90" s="7" t="str" cm="1">
        <f t="array" aca="1" ref="J90" ca="1">IFERROR(IF(OR('Raw Data'!J90="",LEN(TRIM('Raw Data'!J90))=0),"",IF(AND(ISNUMBER('Raw Data'!J90), IFERROR('Raw Data'!J90 = ROUND('Raw Data'!J90, 2),FALSE)),"",_xlfn.REGEXEXTRACT(CELL("address",J90), "\$([A-Z]+)\$[0-9]+"))),_xlfn.REGEXEXTRACT(CELL("address",J90), "\$([A-Z]+)\$[0-9]+"))</f>
        <v/>
      </c>
      <c r="K90" s="7" t="str" cm="1">
        <f t="array" aca="1" ref="K90" ca="1">IFERROR(IF(OR('Raw Data'!K90="",LEN(TRIM('Raw Data'!K90))=0),"",IF(AND(ISNUMBER('Raw Data'!K90), IFERROR('Raw Data'!K90 = ROUND('Raw Data'!K90, 2),FALSE)),"",_xlfn.REGEXEXTRACT(CELL("address",K90), "\$([A-Z]+)\$[0-9]+"))),_xlfn.REGEXEXTRACT(CELL("address",K90), "\$([A-Z]+)\$[0-9]+"))</f>
        <v/>
      </c>
      <c r="L90" s="7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7" t="str" cm="1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7" t="str" cm="1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  <c r="O90" s="7" t="str" cm="1">
        <f t="array" aca="1" ref="O90" ca="1">IFERROR(IF(OR('Raw Data'!O90="",LEN(TRIM('Raw Data'!O90))=0),"",IF(AND(ISNUMBER('Raw Data'!O90), IFERROR('Raw Data'!O90 = ROUND('Raw Data'!O90, 2),FALSE)),"",_xlfn.REGEXEXTRACT(CELL("address",O90), "\$([A-Z]+)\$[0-9]+"))),_xlfn.REGEXEXTRACT(CELL("address",O90), "\$([A-Z]+)\$[0-9]+"))</f>
        <v/>
      </c>
      <c r="P90" s="7" t="str" cm="1">
        <f t="array" aca="1" ref="P90" ca="1">IFERROR(IF(OR('Raw Data'!P90="",LEN(TRIM('Raw Data'!P90))=0),"",IF(AND(ISNUMBER('Raw Data'!P90), IFERROR('Raw Data'!P90 = ROUND('Raw Data'!P90, 2),FALSE)),"",_xlfn.REGEXEXTRACT(CELL("address",P90), "\$([A-Z]+)\$[0-9]+"))),_xlfn.REGEXEXTRACT(CELL("address",P90), "\$([A-Z]+)\$[0-9]+"))</f>
        <v/>
      </c>
      <c r="Q90" s="7" t="str" cm="1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7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7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7" t="str" cm="1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7" t="str" cm="1">
        <f t="array" aca="1" ref="U90" ca="1">IFERROR(IF(OR('Raw Data'!U90="",LEN(TRIM('Raw Data'!U90))=0),"",IF(AND(ISNUMBER('Raw Data'!U90), IFERROR('Raw Data'!U90 = ROUND('Raw Data'!U90, 2),FALSE)),"",_xlfn.REGEXEXTRACT(CELL("address",U90), "\$([A-Z]+)\$[0-9]+"))),_xlfn.REGEXEXTRACT(CELL("address",U90), "\$([A-Z]+)\$[0-9]+"))</f>
        <v/>
      </c>
      <c r="V90" s="7" t="str" cm="1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7" t="str" cm="1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7" t="str" cm="1">
        <f t="array" aca="1" ref="X90" ca="1">IFERROR(IF(OR('Raw Data'!X90="",LEN(TRIM('Raw Data'!X90))=0),"",IF(AND(ISNUMBER('Raw Data'!X90), IFERROR('Raw Data'!X90 = ROUND('Raw Data'!X90, 2),FALSE)),"",_xlfn.REGEXEXTRACT(CELL("address",X90), "\$([A-Z]+)\$[0-9]+"))),_xlfn.REGEXEXTRACT(CELL("address",X90), "\$([A-Z]+)\$[0-9]+"))</f>
        <v/>
      </c>
      <c r="Y90" s="7" t="str" cm="1">
        <f t="array" aca="1" ref="Y90" ca="1">IFERROR(IF(OR('Raw Data'!Y90="",LEN(TRIM('Raw Data'!Y90))=0),"",IF(AND(ISNUMBER('Raw Data'!Y90), IFERROR('Raw Data'!Y90 = ROUND('Raw Data'!Y90, 2),FALSE)),"",_xlfn.REGEXEXTRACT(CELL("address",Y90), "\$([A-Z]+)\$[0-9]+"))),_xlfn.REGEXEXTRACT(CELL("address",Y90), "\$([A-Z]+)\$[0-9]+"))</f>
        <v/>
      </c>
      <c r="Z90" s="7" t="str" cm="1">
        <f t="array" aca="1" ref="Z90" ca="1">IFERROR(IF(OR('Raw Data'!Z90="",LEN(TRIM('Raw Data'!Z90))=0),"",IF(AND(ISNUMBER('Raw Data'!Z90), IFERROR('Raw Data'!Z90 = ROUND('Raw Data'!Z90, 2),FALSE)),"",_xlfn.REGEXEXTRACT(CELL("address",Z90), "\$([A-Z]+)\$[0-9]+"))),_xlfn.REGEXEXTRACT(CELL("address",Z90), "\$([A-Z]+)\$[0-9]+"))</f>
        <v/>
      </c>
      <c r="AA90" s="7" t="str" cm="1">
        <f t="array" aca="1" ref="AA90" ca="1">IFERROR(IF(OR('Raw Data'!AA90="",LEN(TRIM('Raw Data'!AA90))=0),"",IF(AND(ISNUMBER('Raw Data'!AA90), IFERROR('Raw Data'!AA90 = ROUND('Raw Data'!AA90, 2),FALSE)),"",_xlfn.REGEXEXTRACT(CELL("address",AA90), "\$([A-Z]+)\$[0-9]+"))),_xlfn.REGEXEXTRACT(CELL("address",AA90), "\$([A-Z]+)\$[0-9]+"))</f>
        <v/>
      </c>
      <c r="AB90" s="7" t="str" cm="1">
        <f t="array" aca="1" ref="AB90" ca="1">IFERROR(IF(OR('Raw Data'!AB90="",LEN(TRIM('Raw Data'!AB90))=0),"",IF(AND(ISNUMBER('Raw Data'!AB90), IFERROR('Raw Data'!AB90 = ROUND('Raw Data'!AB90, 2),FALSE)),"",_xlfn.REGEXEXTRACT(CELL("address",AB90), "\$([A-Z]+)\$[0-9]+"))),_xlfn.REGEXEXTRACT(CELL("address",AB90), "\$([A-Z]+)\$[0-9]+"))</f>
        <v/>
      </c>
    </row>
    <row r="91" spans="2:28" x14ac:dyDescent="0.25">
      <c r="B91" s="7" t="str" cm="1">
        <f t="array" aca="1" ref="B91" ca="1">IFERROR(IF(OR('Raw Data'!B91="",LEN(TRIM('Raw Data'!B91))=0),"",IF(AND(LEN('Raw Data'!B91) &lt;= 255,LEN('Raw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20,LEN('Raw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Data'!D91))=0),"",IF(AND(ISNUMBER('Raw Data'!D91),'Raw Data'!D91&gt;=Configuration!$D$2),"",_xlfn.REGEXEXTRACT(CELL("address",'Raw Data'!D91),"\$([A-Z]+)\$[0-9]+"))),_xlfn.REGEXEXTRACT(CELL("address",D91), "\$([A-Z]+)\$[0-9]+"))</f>
        <v/>
      </c>
      <c r="E91" s="7" t="str" cm="1">
        <f t="array" aca="1" ref="E91" ca="1">IFERROR(IF(OR('Raw Data'!E91="",LEN(TRIM('Raw Data'!E91))=0),"",IF(AND(ISNUMBER('Raw Data'!E91), IFERROR('Raw Data'!E91 = ROUND('Raw Data'!E91, 2),FALSE)),"",_xlfn.REGEXEXTRACT(CELL("address",E91), "\$([A-Z]+)\$[0-9]+"))),_xlfn.REGEXEXTRACT(CELL("address",E91), "\$([A-Z]+)\$[0-9]+"))</f>
        <v/>
      </c>
      <c r="F91" s="7" t="str" cm="1">
        <f t="array" aca="1" ref="F91" ca="1">IFERROR(IF(OR('Raw Data'!F91="",LEN(TRIM('Raw Data'!F91))=0),"",IF(AND(ISNUMBER('Raw Data'!F91), IFERROR('Raw Data'!F91 = ROUND('Raw Data'!F91, 2),FALSE)),"",_xlfn.REGEXEXTRACT(CELL("address",F91), "\$([A-Z]+)\$[0-9]+"))),_xlfn.REGEXEXTRACT(CELL("address",F91), "\$([A-Z]+)\$[0-9]+"))</f>
        <v/>
      </c>
      <c r="G91" s="7" t="str" cm="1">
        <f t="array" aca="1" ref="G91" ca="1">IFERROR(IF(OR('Raw Data'!G91="",LEN(TRIM('Raw Data'!G91))=0),"",IF(AND(ISNUMBER('Raw Data'!G91), IFERROR('Raw Data'!G91 = ROUND('Raw Data'!G91, 2),FALSE)),"",_xlfn.REGEXEXTRACT(CELL("address",G91), "\$([A-Z]+)\$[0-9]+"))),_xlfn.REGEXEXTRACT(CELL("address",G91), "\$([A-Z]+)\$[0-9]+"))</f>
        <v/>
      </c>
      <c r="H91" s="7" t="str" cm="1">
        <f t="array" aca="1" ref="H91" ca="1">IFERROR(IF(OR('Raw Data'!H91="",LEN(TRIM('Raw Data'!H91))=0),"",IF(AND(ISNUMBER('Raw Data'!H91), IFERROR('Raw Data'!H91 = ROUND('Raw Data'!H91, 2),FALSE)),"",_xlfn.REGEXEXTRACT(CELL("address",H91), "\$([A-Z]+)\$[0-9]+"))),_xlfn.REGEXEXTRACT(CELL("address",H91), "\$([A-Z]+)\$[0-9]+"))</f>
        <v/>
      </c>
      <c r="I91" s="7" t="str" cm="1">
        <f t="array" aca="1" ref="I91" ca="1">IFERROR(IF(OR('Raw Data'!I91="",LEN(TRIM('Raw Data'!I91))=0),"",IF(AND(ISNUMBER('Raw Data'!I91), IFERROR('Raw Data'!I91 = ROUND('Raw Data'!I91, 2),FALSE)),"",_xlfn.REGEXEXTRACT(CELL("address",I91), "\$([A-Z]+)\$[0-9]+"))),_xlfn.REGEXEXTRACT(CELL("address",I91), "\$([A-Z]+)\$[0-9]+"))</f>
        <v/>
      </c>
      <c r="J91" s="7" t="str" cm="1">
        <f t="array" aca="1" ref="J91" ca="1">IFERROR(IF(OR('Raw Data'!J91="",LEN(TRIM('Raw Data'!J91))=0),"",IF(AND(ISNUMBER('Raw Data'!J91), IFERROR('Raw Data'!J91 = ROUND('Raw Data'!J91, 2),FALSE)),"",_xlfn.REGEXEXTRACT(CELL("address",J91), "\$([A-Z]+)\$[0-9]+"))),_xlfn.REGEXEXTRACT(CELL("address",J91), "\$([A-Z]+)\$[0-9]+"))</f>
        <v/>
      </c>
      <c r="K91" s="7" t="str" cm="1">
        <f t="array" aca="1" ref="K91" ca="1">IFERROR(IF(OR('Raw Data'!K91="",LEN(TRIM('Raw Data'!K91))=0),"",IF(AND(ISNUMBER('Raw Data'!K91), IFERROR('Raw Data'!K91 = ROUND('Raw Data'!K91, 2),FALSE)),"",_xlfn.REGEXEXTRACT(CELL("address",K91), "\$([A-Z]+)\$[0-9]+"))),_xlfn.REGEXEXTRACT(CELL("address",K91), "\$([A-Z]+)\$[0-9]+"))</f>
        <v/>
      </c>
      <c r="L91" s="7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7" t="str" cm="1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7" t="str" cm="1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  <c r="O91" s="7" t="str" cm="1">
        <f t="array" aca="1" ref="O91" ca="1">IFERROR(IF(OR('Raw Data'!O91="",LEN(TRIM('Raw Data'!O91))=0),"",IF(AND(ISNUMBER('Raw Data'!O91), IFERROR('Raw Data'!O91 = ROUND('Raw Data'!O91, 2),FALSE)),"",_xlfn.REGEXEXTRACT(CELL("address",O91), "\$([A-Z]+)\$[0-9]+"))),_xlfn.REGEXEXTRACT(CELL("address",O91), "\$([A-Z]+)\$[0-9]+"))</f>
        <v/>
      </c>
      <c r="P91" s="7" t="str" cm="1">
        <f t="array" aca="1" ref="P91" ca="1">IFERROR(IF(OR('Raw Data'!P91="",LEN(TRIM('Raw Data'!P91))=0),"",IF(AND(ISNUMBER('Raw Data'!P91), IFERROR('Raw Data'!P91 = ROUND('Raw Data'!P91, 2),FALSE)),"",_xlfn.REGEXEXTRACT(CELL("address",P91), "\$([A-Z]+)\$[0-9]+"))),_xlfn.REGEXEXTRACT(CELL("address",P91), "\$([A-Z]+)\$[0-9]+"))</f>
        <v/>
      </c>
      <c r="Q91" s="7" t="str" cm="1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7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7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7" t="str" cm="1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7" t="str" cm="1">
        <f t="array" aca="1" ref="U91" ca="1">IFERROR(IF(OR('Raw Data'!U91="",LEN(TRIM('Raw Data'!U91))=0),"",IF(AND(ISNUMBER('Raw Data'!U91), IFERROR('Raw Data'!U91 = ROUND('Raw Data'!U91, 2),FALSE)),"",_xlfn.REGEXEXTRACT(CELL("address",U91), "\$([A-Z]+)\$[0-9]+"))),_xlfn.REGEXEXTRACT(CELL("address",U91), "\$([A-Z]+)\$[0-9]+"))</f>
        <v/>
      </c>
      <c r="V91" s="7" t="str" cm="1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7" t="str" cm="1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7" t="str" cm="1">
        <f t="array" aca="1" ref="X91" ca="1">IFERROR(IF(OR('Raw Data'!X91="",LEN(TRIM('Raw Data'!X91))=0),"",IF(AND(ISNUMBER('Raw Data'!X91), IFERROR('Raw Data'!X91 = ROUND('Raw Data'!X91, 2),FALSE)),"",_xlfn.REGEXEXTRACT(CELL("address",X91), "\$([A-Z]+)\$[0-9]+"))),_xlfn.REGEXEXTRACT(CELL("address",X91), "\$([A-Z]+)\$[0-9]+"))</f>
        <v/>
      </c>
      <c r="Y91" s="7" t="str" cm="1">
        <f t="array" aca="1" ref="Y91" ca="1">IFERROR(IF(OR('Raw Data'!Y91="",LEN(TRIM('Raw Data'!Y91))=0),"",IF(AND(ISNUMBER('Raw Data'!Y91), IFERROR('Raw Data'!Y91 = ROUND('Raw Data'!Y91, 2),FALSE)),"",_xlfn.REGEXEXTRACT(CELL("address",Y91), "\$([A-Z]+)\$[0-9]+"))),_xlfn.REGEXEXTRACT(CELL("address",Y91), "\$([A-Z]+)\$[0-9]+"))</f>
        <v/>
      </c>
      <c r="Z91" s="7" t="str" cm="1">
        <f t="array" aca="1" ref="Z91" ca="1">IFERROR(IF(OR('Raw Data'!Z91="",LEN(TRIM('Raw Data'!Z91))=0),"",IF(AND(ISNUMBER('Raw Data'!Z91), IFERROR('Raw Data'!Z91 = ROUND('Raw Data'!Z91, 2),FALSE)),"",_xlfn.REGEXEXTRACT(CELL("address",Z91), "\$([A-Z]+)\$[0-9]+"))),_xlfn.REGEXEXTRACT(CELL("address",Z91), "\$([A-Z]+)\$[0-9]+"))</f>
        <v/>
      </c>
      <c r="AA91" s="7" t="str" cm="1">
        <f t="array" aca="1" ref="AA91" ca="1">IFERROR(IF(OR('Raw Data'!AA91="",LEN(TRIM('Raw Data'!AA91))=0),"",IF(AND(ISNUMBER('Raw Data'!AA91), IFERROR('Raw Data'!AA91 = ROUND('Raw Data'!AA91, 2),FALSE)),"",_xlfn.REGEXEXTRACT(CELL("address",AA91), "\$([A-Z]+)\$[0-9]+"))),_xlfn.REGEXEXTRACT(CELL("address",AA91), "\$([A-Z]+)\$[0-9]+"))</f>
        <v/>
      </c>
      <c r="AB91" s="7" t="str" cm="1">
        <f t="array" aca="1" ref="AB91" ca="1">IFERROR(IF(OR('Raw Data'!AB91="",LEN(TRIM('Raw Data'!AB91))=0),"",IF(AND(ISNUMBER('Raw Data'!AB91), IFERROR('Raw Data'!AB91 = ROUND('Raw Data'!AB91, 2),FALSE)),"",_xlfn.REGEXEXTRACT(CELL("address",AB91), "\$([A-Z]+)\$[0-9]+"))),_xlfn.REGEXEXTRACT(CELL("address",AB91), "\$([A-Z]+)\$[0-9]+"))</f>
        <v/>
      </c>
    </row>
    <row r="92" spans="2:28" x14ac:dyDescent="0.25">
      <c r="B92" s="7" t="str" cm="1">
        <f t="array" aca="1" ref="B92" ca="1">IFERROR(IF(OR('Raw Data'!B92="",LEN(TRIM('Raw Data'!B92))=0),"",IF(AND(LEN('Raw Data'!B92) &lt;= 255,LEN('Raw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20,LEN('Raw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Data'!D92))=0),"",IF(AND(ISNUMBER('Raw Data'!D92),'Raw Data'!D92&gt;=Configuration!$D$2),"",_xlfn.REGEXEXTRACT(CELL("address",'Raw Data'!D92),"\$([A-Z]+)\$[0-9]+"))),_xlfn.REGEXEXTRACT(CELL("address",D92), "\$([A-Z]+)\$[0-9]+"))</f>
        <v/>
      </c>
      <c r="E92" s="7" t="str" cm="1">
        <f t="array" aca="1" ref="E92" ca="1">IFERROR(IF(OR('Raw Data'!E92="",LEN(TRIM('Raw Data'!E92))=0),"",IF(AND(ISNUMBER('Raw Data'!E92), IFERROR('Raw Data'!E92 = ROUND('Raw Data'!E92, 2),FALSE)),"",_xlfn.REGEXEXTRACT(CELL("address",E92), "\$([A-Z]+)\$[0-9]+"))),_xlfn.REGEXEXTRACT(CELL("address",E92), "\$([A-Z]+)\$[0-9]+"))</f>
        <v/>
      </c>
      <c r="F92" s="7" t="str" cm="1">
        <f t="array" aca="1" ref="F92" ca="1">IFERROR(IF(OR('Raw Data'!F92="",LEN(TRIM('Raw Data'!F92))=0),"",IF(AND(ISNUMBER('Raw Data'!F92), IFERROR('Raw Data'!F92 = ROUND('Raw Data'!F92, 2),FALSE)),"",_xlfn.REGEXEXTRACT(CELL("address",F92), "\$([A-Z]+)\$[0-9]+"))),_xlfn.REGEXEXTRACT(CELL("address",F92), "\$([A-Z]+)\$[0-9]+"))</f>
        <v/>
      </c>
      <c r="G92" s="7" t="str" cm="1">
        <f t="array" aca="1" ref="G92" ca="1">IFERROR(IF(OR('Raw Data'!G92="",LEN(TRIM('Raw Data'!G92))=0),"",IF(AND(ISNUMBER('Raw Data'!G92), IFERROR('Raw Data'!G92 = ROUND('Raw Data'!G92, 2),FALSE)),"",_xlfn.REGEXEXTRACT(CELL("address",G92), "\$([A-Z]+)\$[0-9]+"))),_xlfn.REGEXEXTRACT(CELL("address",G92), "\$([A-Z]+)\$[0-9]+"))</f>
        <v/>
      </c>
      <c r="H92" s="7" t="str" cm="1">
        <f t="array" aca="1" ref="H92" ca="1">IFERROR(IF(OR('Raw Data'!H92="",LEN(TRIM('Raw Data'!H92))=0),"",IF(AND(ISNUMBER('Raw Data'!H92), IFERROR('Raw Data'!H92 = ROUND('Raw Data'!H92, 2),FALSE)),"",_xlfn.REGEXEXTRACT(CELL("address",H92), "\$([A-Z]+)\$[0-9]+"))),_xlfn.REGEXEXTRACT(CELL("address",H92), "\$([A-Z]+)\$[0-9]+"))</f>
        <v/>
      </c>
      <c r="I92" s="7" t="str" cm="1">
        <f t="array" aca="1" ref="I92" ca="1">IFERROR(IF(OR('Raw Data'!I92="",LEN(TRIM('Raw Data'!I92))=0),"",IF(AND(ISNUMBER('Raw Data'!I92), IFERROR('Raw Data'!I92 = ROUND('Raw Data'!I92, 2),FALSE)),"",_xlfn.REGEXEXTRACT(CELL("address",I92), "\$([A-Z]+)\$[0-9]+"))),_xlfn.REGEXEXTRACT(CELL("address",I92), "\$([A-Z]+)\$[0-9]+"))</f>
        <v/>
      </c>
      <c r="J92" s="7" t="str" cm="1">
        <f t="array" aca="1" ref="J92" ca="1">IFERROR(IF(OR('Raw Data'!J92="",LEN(TRIM('Raw Data'!J92))=0),"",IF(AND(ISNUMBER('Raw Data'!J92), IFERROR('Raw Data'!J92 = ROUND('Raw Data'!J92, 2),FALSE)),"",_xlfn.REGEXEXTRACT(CELL("address",J92), "\$([A-Z]+)\$[0-9]+"))),_xlfn.REGEXEXTRACT(CELL("address",J92), "\$([A-Z]+)\$[0-9]+"))</f>
        <v/>
      </c>
      <c r="K92" s="7" t="str" cm="1">
        <f t="array" aca="1" ref="K92" ca="1">IFERROR(IF(OR('Raw Data'!K92="",LEN(TRIM('Raw Data'!K92))=0),"",IF(AND(ISNUMBER('Raw Data'!K92), IFERROR('Raw Data'!K92 = ROUND('Raw Data'!K92, 2),FALSE)),"",_xlfn.REGEXEXTRACT(CELL("address",K92), "\$([A-Z]+)\$[0-9]+"))),_xlfn.REGEXEXTRACT(CELL("address",K92), "\$([A-Z]+)\$[0-9]+"))</f>
        <v/>
      </c>
      <c r="L92" s="7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7" t="str" cm="1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7" t="str" cm="1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  <c r="O92" s="7" t="str" cm="1">
        <f t="array" aca="1" ref="O92" ca="1">IFERROR(IF(OR('Raw Data'!O92="",LEN(TRIM('Raw Data'!O92))=0),"",IF(AND(ISNUMBER('Raw Data'!O92), IFERROR('Raw Data'!O92 = ROUND('Raw Data'!O92, 2),FALSE)),"",_xlfn.REGEXEXTRACT(CELL("address",O92), "\$([A-Z]+)\$[0-9]+"))),_xlfn.REGEXEXTRACT(CELL("address",O92), "\$([A-Z]+)\$[0-9]+"))</f>
        <v/>
      </c>
      <c r="P92" s="7" t="str" cm="1">
        <f t="array" aca="1" ref="P92" ca="1">IFERROR(IF(OR('Raw Data'!P92="",LEN(TRIM('Raw Data'!P92))=0),"",IF(AND(ISNUMBER('Raw Data'!P92), IFERROR('Raw Data'!P92 = ROUND('Raw Data'!P92, 2),FALSE)),"",_xlfn.REGEXEXTRACT(CELL("address",P92), "\$([A-Z]+)\$[0-9]+"))),_xlfn.REGEXEXTRACT(CELL("address",P92), "\$([A-Z]+)\$[0-9]+"))</f>
        <v/>
      </c>
      <c r="Q92" s="7" t="str" cm="1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7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7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7" t="str" cm="1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7" t="str" cm="1">
        <f t="array" aca="1" ref="U92" ca="1">IFERROR(IF(OR('Raw Data'!U92="",LEN(TRIM('Raw Data'!U92))=0),"",IF(AND(ISNUMBER('Raw Data'!U92), IFERROR('Raw Data'!U92 = ROUND('Raw Data'!U92, 2),FALSE)),"",_xlfn.REGEXEXTRACT(CELL("address",U92), "\$([A-Z]+)\$[0-9]+"))),_xlfn.REGEXEXTRACT(CELL("address",U92), "\$([A-Z]+)\$[0-9]+"))</f>
        <v/>
      </c>
      <c r="V92" s="7" t="str" cm="1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7" t="str" cm="1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7" t="str" cm="1">
        <f t="array" aca="1" ref="X92" ca="1">IFERROR(IF(OR('Raw Data'!X92="",LEN(TRIM('Raw Data'!X92))=0),"",IF(AND(ISNUMBER('Raw Data'!X92), IFERROR('Raw Data'!X92 = ROUND('Raw Data'!X92, 2),FALSE)),"",_xlfn.REGEXEXTRACT(CELL("address",X92), "\$([A-Z]+)\$[0-9]+"))),_xlfn.REGEXEXTRACT(CELL("address",X92), "\$([A-Z]+)\$[0-9]+"))</f>
        <v/>
      </c>
      <c r="Y92" s="7" t="str" cm="1">
        <f t="array" aca="1" ref="Y92" ca="1">IFERROR(IF(OR('Raw Data'!Y92="",LEN(TRIM('Raw Data'!Y92))=0),"",IF(AND(ISNUMBER('Raw Data'!Y92), IFERROR('Raw Data'!Y92 = ROUND('Raw Data'!Y92, 2),FALSE)),"",_xlfn.REGEXEXTRACT(CELL("address",Y92), "\$([A-Z]+)\$[0-9]+"))),_xlfn.REGEXEXTRACT(CELL("address",Y92), "\$([A-Z]+)\$[0-9]+"))</f>
        <v/>
      </c>
      <c r="Z92" s="7" t="str" cm="1">
        <f t="array" aca="1" ref="Z92" ca="1">IFERROR(IF(OR('Raw Data'!Z92="",LEN(TRIM('Raw Data'!Z92))=0),"",IF(AND(ISNUMBER('Raw Data'!Z92), IFERROR('Raw Data'!Z92 = ROUND('Raw Data'!Z92, 2),FALSE)),"",_xlfn.REGEXEXTRACT(CELL("address",Z92), "\$([A-Z]+)\$[0-9]+"))),_xlfn.REGEXEXTRACT(CELL("address",Z92), "\$([A-Z]+)\$[0-9]+"))</f>
        <v/>
      </c>
      <c r="AA92" s="7" t="str" cm="1">
        <f t="array" aca="1" ref="AA92" ca="1">IFERROR(IF(OR('Raw Data'!AA92="",LEN(TRIM('Raw Data'!AA92))=0),"",IF(AND(ISNUMBER('Raw Data'!AA92), IFERROR('Raw Data'!AA92 = ROUND('Raw Data'!AA92, 2),FALSE)),"",_xlfn.REGEXEXTRACT(CELL("address",AA92), "\$([A-Z]+)\$[0-9]+"))),_xlfn.REGEXEXTRACT(CELL("address",AA92), "\$([A-Z]+)\$[0-9]+"))</f>
        <v/>
      </c>
      <c r="AB92" s="7" t="str" cm="1">
        <f t="array" aca="1" ref="AB92" ca="1">IFERROR(IF(OR('Raw Data'!AB92="",LEN(TRIM('Raw Data'!AB92))=0),"",IF(AND(ISNUMBER('Raw Data'!AB92), IFERROR('Raw Data'!AB92 = ROUND('Raw Data'!AB92, 2),FALSE)),"",_xlfn.REGEXEXTRACT(CELL("address",AB92), "\$([A-Z]+)\$[0-9]+"))),_xlfn.REGEXEXTRACT(CELL("address",AB92), "\$([A-Z]+)\$[0-9]+"))</f>
        <v/>
      </c>
    </row>
    <row r="93" spans="2:28" x14ac:dyDescent="0.25">
      <c r="B93" s="7" t="str" cm="1">
        <f t="array" aca="1" ref="B93" ca="1">IFERROR(IF(OR('Raw Data'!B93="",LEN(TRIM('Raw Data'!B93))=0),"",IF(AND(LEN('Raw Data'!B93) &lt;= 255,LEN('Raw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20,LEN('Raw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Data'!D93))=0),"",IF(AND(ISNUMBER('Raw Data'!D93),'Raw Data'!D93&gt;=Configuration!$D$2),"",_xlfn.REGEXEXTRACT(CELL("address",'Raw Data'!D93),"\$([A-Z]+)\$[0-9]+"))),_xlfn.REGEXEXTRACT(CELL("address",D93), "\$([A-Z]+)\$[0-9]+"))</f>
        <v/>
      </c>
      <c r="E93" s="7" t="str" cm="1">
        <f t="array" aca="1" ref="E93" ca="1">IFERROR(IF(OR('Raw Data'!E93="",LEN(TRIM('Raw Data'!E93))=0),"",IF(AND(ISNUMBER('Raw Data'!E93), IFERROR('Raw Data'!E93 = ROUND('Raw Data'!E93, 2),FALSE)),"",_xlfn.REGEXEXTRACT(CELL("address",E93), "\$([A-Z]+)\$[0-9]+"))),_xlfn.REGEXEXTRACT(CELL("address",E93), "\$([A-Z]+)\$[0-9]+"))</f>
        <v/>
      </c>
      <c r="F93" s="7" t="str" cm="1">
        <f t="array" aca="1" ref="F93" ca="1">IFERROR(IF(OR('Raw Data'!F93="",LEN(TRIM('Raw Data'!F93))=0),"",IF(AND(ISNUMBER('Raw Data'!F93), IFERROR('Raw Data'!F93 = ROUND('Raw Data'!F93, 2),FALSE)),"",_xlfn.REGEXEXTRACT(CELL("address",F93), "\$([A-Z]+)\$[0-9]+"))),_xlfn.REGEXEXTRACT(CELL("address",F93), "\$([A-Z]+)\$[0-9]+"))</f>
        <v/>
      </c>
      <c r="G93" s="7" t="str" cm="1">
        <f t="array" aca="1" ref="G93" ca="1">IFERROR(IF(OR('Raw Data'!G93="",LEN(TRIM('Raw Data'!G93))=0),"",IF(AND(ISNUMBER('Raw Data'!G93), IFERROR('Raw Data'!G93 = ROUND('Raw Data'!G93, 2),FALSE)),"",_xlfn.REGEXEXTRACT(CELL("address",G93), "\$([A-Z]+)\$[0-9]+"))),_xlfn.REGEXEXTRACT(CELL("address",G93), "\$([A-Z]+)\$[0-9]+"))</f>
        <v/>
      </c>
      <c r="H93" s="7" t="str" cm="1">
        <f t="array" aca="1" ref="H93" ca="1">IFERROR(IF(OR('Raw Data'!H93="",LEN(TRIM('Raw Data'!H93))=0),"",IF(AND(ISNUMBER('Raw Data'!H93), IFERROR('Raw Data'!H93 = ROUND('Raw Data'!H93, 2),FALSE)),"",_xlfn.REGEXEXTRACT(CELL("address",H93), "\$([A-Z]+)\$[0-9]+"))),_xlfn.REGEXEXTRACT(CELL("address",H93), "\$([A-Z]+)\$[0-9]+"))</f>
        <v/>
      </c>
      <c r="I93" s="7" t="str" cm="1">
        <f t="array" aca="1" ref="I93" ca="1">IFERROR(IF(OR('Raw Data'!I93="",LEN(TRIM('Raw Data'!I93))=0),"",IF(AND(ISNUMBER('Raw Data'!I93), IFERROR('Raw Data'!I93 = ROUND('Raw Data'!I93, 2),FALSE)),"",_xlfn.REGEXEXTRACT(CELL("address",I93), "\$([A-Z]+)\$[0-9]+"))),_xlfn.REGEXEXTRACT(CELL("address",I93), "\$([A-Z]+)\$[0-9]+"))</f>
        <v/>
      </c>
      <c r="J93" s="7" t="str" cm="1">
        <f t="array" aca="1" ref="J93" ca="1">IFERROR(IF(OR('Raw Data'!J93="",LEN(TRIM('Raw Data'!J93))=0),"",IF(AND(ISNUMBER('Raw Data'!J93), IFERROR('Raw Data'!J93 = ROUND('Raw Data'!J93, 2),FALSE)),"",_xlfn.REGEXEXTRACT(CELL("address",J93), "\$([A-Z]+)\$[0-9]+"))),_xlfn.REGEXEXTRACT(CELL("address",J93), "\$([A-Z]+)\$[0-9]+"))</f>
        <v/>
      </c>
      <c r="K93" s="7" t="str" cm="1">
        <f t="array" aca="1" ref="K93" ca="1">IFERROR(IF(OR('Raw Data'!K93="",LEN(TRIM('Raw Data'!K93))=0),"",IF(AND(ISNUMBER('Raw Data'!K93), IFERROR('Raw Data'!K93 = ROUND('Raw Data'!K93, 2),FALSE)),"",_xlfn.REGEXEXTRACT(CELL("address",K93), "\$([A-Z]+)\$[0-9]+"))),_xlfn.REGEXEXTRACT(CELL("address",K93), "\$([A-Z]+)\$[0-9]+"))</f>
        <v/>
      </c>
      <c r="L93" s="7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7" t="str" cm="1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7" t="str" cm="1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  <c r="O93" s="7" t="str" cm="1">
        <f t="array" aca="1" ref="O93" ca="1">IFERROR(IF(OR('Raw Data'!O93="",LEN(TRIM('Raw Data'!O93))=0),"",IF(AND(ISNUMBER('Raw Data'!O93), IFERROR('Raw Data'!O93 = ROUND('Raw Data'!O93, 2),FALSE)),"",_xlfn.REGEXEXTRACT(CELL("address",O93), "\$([A-Z]+)\$[0-9]+"))),_xlfn.REGEXEXTRACT(CELL("address",O93), "\$([A-Z]+)\$[0-9]+"))</f>
        <v/>
      </c>
      <c r="P93" s="7" t="str" cm="1">
        <f t="array" aca="1" ref="P93" ca="1">IFERROR(IF(OR('Raw Data'!P93="",LEN(TRIM('Raw Data'!P93))=0),"",IF(AND(ISNUMBER('Raw Data'!P93), IFERROR('Raw Data'!P93 = ROUND('Raw Data'!P93, 2),FALSE)),"",_xlfn.REGEXEXTRACT(CELL("address",P93), "\$([A-Z]+)\$[0-9]+"))),_xlfn.REGEXEXTRACT(CELL("address",P93), "\$([A-Z]+)\$[0-9]+"))</f>
        <v/>
      </c>
      <c r="Q93" s="7" t="str" cm="1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7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7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7" t="str" cm="1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7" t="str" cm="1">
        <f t="array" aca="1" ref="U93" ca="1">IFERROR(IF(OR('Raw Data'!U93="",LEN(TRIM('Raw Data'!U93))=0),"",IF(AND(ISNUMBER('Raw Data'!U93), IFERROR('Raw Data'!U93 = ROUND('Raw Data'!U93, 2),FALSE)),"",_xlfn.REGEXEXTRACT(CELL("address",U93), "\$([A-Z]+)\$[0-9]+"))),_xlfn.REGEXEXTRACT(CELL("address",U93), "\$([A-Z]+)\$[0-9]+"))</f>
        <v/>
      </c>
      <c r="V93" s="7" t="str" cm="1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7" t="str" cm="1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7" t="str" cm="1">
        <f t="array" aca="1" ref="X93" ca="1">IFERROR(IF(OR('Raw Data'!X93="",LEN(TRIM('Raw Data'!X93))=0),"",IF(AND(ISNUMBER('Raw Data'!X93), IFERROR('Raw Data'!X93 = ROUND('Raw Data'!X93, 2),FALSE)),"",_xlfn.REGEXEXTRACT(CELL("address",X93), "\$([A-Z]+)\$[0-9]+"))),_xlfn.REGEXEXTRACT(CELL("address",X93), "\$([A-Z]+)\$[0-9]+"))</f>
        <v/>
      </c>
      <c r="Y93" s="7" t="str" cm="1">
        <f t="array" aca="1" ref="Y93" ca="1">IFERROR(IF(OR('Raw Data'!Y93="",LEN(TRIM('Raw Data'!Y93))=0),"",IF(AND(ISNUMBER('Raw Data'!Y93), IFERROR('Raw Data'!Y93 = ROUND('Raw Data'!Y93, 2),FALSE)),"",_xlfn.REGEXEXTRACT(CELL("address",Y93), "\$([A-Z]+)\$[0-9]+"))),_xlfn.REGEXEXTRACT(CELL("address",Y93), "\$([A-Z]+)\$[0-9]+"))</f>
        <v/>
      </c>
      <c r="Z93" s="7" t="str" cm="1">
        <f t="array" aca="1" ref="Z93" ca="1">IFERROR(IF(OR('Raw Data'!Z93="",LEN(TRIM('Raw Data'!Z93))=0),"",IF(AND(ISNUMBER('Raw Data'!Z93), IFERROR('Raw Data'!Z93 = ROUND('Raw Data'!Z93, 2),FALSE)),"",_xlfn.REGEXEXTRACT(CELL("address",Z93), "\$([A-Z]+)\$[0-9]+"))),_xlfn.REGEXEXTRACT(CELL("address",Z93), "\$([A-Z]+)\$[0-9]+"))</f>
        <v/>
      </c>
      <c r="AA93" s="7" t="str" cm="1">
        <f t="array" aca="1" ref="AA93" ca="1">IFERROR(IF(OR('Raw Data'!AA93="",LEN(TRIM('Raw Data'!AA93))=0),"",IF(AND(ISNUMBER('Raw Data'!AA93), IFERROR('Raw Data'!AA93 = ROUND('Raw Data'!AA93, 2),FALSE)),"",_xlfn.REGEXEXTRACT(CELL("address",AA93), "\$([A-Z]+)\$[0-9]+"))),_xlfn.REGEXEXTRACT(CELL("address",AA93), "\$([A-Z]+)\$[0-9]+"))</f>
        <v/>
      </c>
      <c r="AB93" s="7" t="str" cm="1">
        <f t="array" aca="1" ref="AB93" ca="1">IFERROR(IF(OR('Raw Data'!AB93="",LEN(TRIM('Raw Data'!AB93))=0),"",IF(AND(ISNUMBER('Raw Data'!AB93), IFERROR('Raw Data'!AB93 = ROUND('Raw Data'!AB93, 2),FALSE)),"",_xlfn.REGEXEXTRACT(CELL("address",AB93), "\$([A-Z]+)\$[0-9]+"))),_xlfn.REGEXEXTRACT(CELL("address",AB93), "\$([A-Z]+)\$[0-9]+"))</f>
        <v/>
      </c>
    </row>
    <row r="94" spans="2:28" x14ac:dyDescent="0.25">
      <c r="B94" s="7" t="str" cm="1">
        <f t="array" aca="1" ref="B94" ca="1">IFERROR(IF(OR('Raw Data'!B94="",LEN(TRIM('Raw Data'!B94))=0),"",IF(AND(LEN('Raw Data'!B94) &lt;= 255,LEN('Raw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20,LEN('Raw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Data'!D94))=0),"",IF(AND(ISNUMBER('Raw Data'!D94),'Raw Data'!D94&gt;=Configuration!$D$2),"",_xlfn.REGEXEXTRACT(CELL("address",'Raw Data'!D94),"\$([A-Z]+)\$[0-9]+"))),_xlfn.REGEXEXTRACT(CELL("address",D94), "\$([A-Z]+)\$[0-9]+"))</f>
        <v/>
      </c>
      <c r="E94" s="7" t="str" cm="1">
        <f t="array" aca="1" ref="E94" ca="1">IFERROR(IF(OR('Raw Data'!E94="",LEN(TRIM('Raw Data'!E94))=0),"",IF(AND(ISNUMBER('Raw Data'!E94), IFERROR('Raw Data'!E94 = ROUND('Raw Data'!E94, 2),FALSE)),"",_xlfn.REGEXEXTRACT(CELL("address",E94), "\$([A-Z]+)\$[0-9]+"))),_xlfn.REGEXEXTRACT(CELL("address",E94), "\$([A-Z]+)\$[0-9]+"))</f>
        <v/>
      </c>
      <c r="F94" s="7" t="str" cm="1">
        <f t="array" aca="1" ref="F94" ca="1">IFERROR(IF(OR('Raw Data'!F94="",LEN(TRIM('Raw Data'!F94))=0),"",IF(AND(ISNUMBER('Raw Data'!F94), IFERROR('Raw Data'!F94 = ROUND('Raw Data'!F94, 2),FALSE)),"",_xlfn.REGEXEXTRACT(CELL("address",F94), "\$([A-Z]+)\$[0-9]+"))),_xlfn.REGEXEXTRACT(CELL("address",F94), "\$([A-Z]+)\$[0-9]+"))</f>
        <v/>
      </c>
      <c r="G94" s="7" t="str" cm="1">
        <f t="array" aca="1" ref="G94" ca="1">IFERROR(IF(OR('Raw Data'!G94="",LEN(TRIM('Raw Data'!G94))=0),"",IF(AND(ISNUMBER('Raw Data'!G94), IFERROR('Raw Data'!G94 = ROUND('Raw Data'!G94, 2),FALSE)),"",_xlfn.REGEXEXTRACT(CELL("address",G94), "\$([A-Z]+)\$[0-9]+"))),_xlfn.REGEXEXTRACT(CELL("address",G94), "\$([A-Z]+)\$[0-9]+"))</f>
        <v/>
      </c>
      <c r="H94" s="7" t="str" cm="1">
        <f t="array" aca="1" ref="H94" ca="1">IFERROR(IF(OR('Raw Data'!H94="",LEN(TRIM('Raw Data'!H94))=0),"",IF(AND(ISNUMBER('Raw Data'!H94), IFERROR('Raw Data'!H94 = ROUND('Raw Data'!H94, 2),FALSE)),"",_xlfn.REGEXEXTRACT(CELL("address",H94), "\$([A-Z]+)\$[0-9]+"))),_xlfn.REGEXEXTRACT(CELL("address",H94), "\$([A-Z]+)\$[0-9]+"))</f>
        <v/>
      </c>
      <c r="I94" s="7" t="str" cm="1">
        <f t="array" aca="1" ref="I94" ca="1">IFERROR(IF(OR('Raw Data'!I94="",LEN(TRIM('Raw Data'!I94))=0),"",IF(AND(ISNUMBER('Raw Data'!I94), IFERROR('Raw Data'!I94 = ROUND('Raw Data'!I94, 2),FALSE)),"",_xlfn.REGEXEXTRACT(CELL("address",I94), "\$([A-Z]+)\$[0-9]+"))),_xlfn.REGEXEXTRACT(CELL("address",I94), "\$([A-Z]+)\$[0-9]+"))</f>
        <v/>
      </c>
      <c r="J94" s="7" t="str" cm="1">
        <f t="array" aca="1" ref="J94" ca="1">IFERROR(IF(OR('Raw Data'!J94="",LEN(TRIM('Raw Data'!J94))=0),"",IF(AND(ISNUMBER('Raw Data'!J94), IFERROR('Raw Data'!J94 = ROUND('Raw Data'!J94, 2),FALSE)),"",_xlfn.REGEXEXTRACT(CELL("address",J94), "\$([A-Z]+)\$[0-9]+"))),_xlfn.REGEXEXTRACT(CELL("address",J94), "\$([A-Z]+)\$[0-9]+"))</f>
        <v/>
      </c>
      <c r="K94" s="7" t="str" cm="1">
        <f t="array" aca="1" ref="K94" ca="1">IFERROR(IF(OR('Raw Data'!K94="",LEN(TRIM('Raw Data'!K94))=0),"",IF(AND(ISNUMBER('Raw Data'!K94), IFERROR('Raw Data'!K94 = ROUND('Raw Data'!K94, 2),FALSE)),"",_xlfn.REGEXEXTRACT(CELL("address",K94), "\$([A-Z]+)\$[0-9]+"))),_xlfn.REGEXEXTRACT(CELL("address",K94), "\$([A-Z]+)\$[0-9]+"))</f>
        <v/>
      </c>
      <c r="L94" s="7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7" t="str" cm="1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7" t="str" cm="1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  <c r="O94" s="7" t="str" cm="1">
        <f t="array" aca="1" ref="O94" ca="1">IFERROR(IF(OR('Raw Data'!O94="",LEN(TRIM('Raw Data'!O94))=0),"",IF(AND(ISNUMBER('Raw Data'!O94), IFERROR('Raw Data'!O94 = ROUND('Raw Data'!O94, 2),FALSE)),"",_xlfn.REGEXEXTRACT(CELL("address",O94), "\$([A-Z]+)\$[0-9]+"))),_xlfn.REGEXEXTRACT(CELL("address",O94), "\$([A-Z]+)\$[0-9]+"))</f>
        <v/>
      </c>
      <c r="P94" s="7" t="str" cm="1">
        <f t="array" aca="1" ref="P94" ca="1">IFERROR(IF(OR('Raw Data'!P94="",LEN(TRIM('Raw Data'!P94))=0),"",IF(AND(ISNUMBER('Raw Data'!P94), IFERROR('Raw Data'!P94 = ROUND('Raw Data'!P94, 2),FALSE)),"",_xlfn.REGEXEXTRACT(CELL("address",P94), "\$([A-Z]+)\$[0-9]+"))),_xlfn.REGEXEXTRACT(CELL("address",P94), "\$([A-Z]+)\$[0-9]+"))</f>
        <v/>
      </c>
      <c r="Q94" s="7" t="str" cm="1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7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7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7" t="str" cm="1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7" t="str" cm="1">
        <f t="array" aca="1" ref="U94" ca="1">IFERROR(IF(OR('Raw Data'!U94="",LEN(TRIM('Raw Data'!U94))=0),"",IF(AND(ISNUMBER('Raw Data'!U94), IFERROR('Raw Data'!U94 = ROUND('Raw Data'!U94, 2),FALSE)),"",_xlfn.REGEXEXTRACT(CELL("address",U94), "\$([A-Z]+)\$[0-9]+"))),_xlfn.REGEXEXTRACT(CELL("address",U94), "\$([A-Z]+)\$[0-9]+"))</f>
        <v/>
      </c>
      <c r="V94" s="7" t="str" cm="1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7" t="str" cm="1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7" t="str" cm="1">
        <f t="array" aca="1" ref="X94" ca="1">IFERROR(IF(OR('Raw Data'!X94="",LEN(TRIM('Raw Data'!X94))=0),"",IF(AND(ISNUMBER('Raw Data'!X94), IFERROR('Raw Data'!X94 = ROUND('Raw Data'!X94, 2),FALSE)),"",_xlfn.REGEXEXTRACT(CELL("address",X94), "\$([A-Z]+)\$[0-9]+"))),_xlfn.REGEXEXTRACT(CELL("address",X94), "\$([A-Z]+)\$[0-9]+"))</f>
        <v/>
      </c>
      <c r="Y94" s="7" t="str" cm="1">
        <f t="array" aca="1" ref="Y94" ca="1">IFERROR(IF(OR('Raw Data'!Y94="",LEN(TRIM('Raw Data'!Y94))=0),"",IF(AND(ISNUMBER('Raw Data'!Y94), IFERROR('Raw Data'!Y94 = ROUND('Raw Data'!Y94, 2),FALSE)),"",_xlfn.REGEXEXTRACT(CELL("address",Y94), "\$([A-Z]+)\$[0-9]+"))),_xlfn.REGEXEXTRACT(CELL("address",Y94), "\$([A-Z]+)\$[0-9]+"))</f>
        <v/>
      </c>
      <c r="Z94" s="7" t="str" cm="1">
        <f t="array" aca="1" ref="Z94" ca="1">IFERROR(IF(OR('Raw Data'!Z94="",LEN(TRIM('Raw Data'!Z94))=0),"",IF(AND(ISNUMBER('Raw Data'!Z94), IFERROR('Raw Data'!Z94 = ROUND('Raw Data'!Z94, 2),FALSE)),"",_xlfn.REGEXEXTRACT(CELL("address",Z94), "\$([A-Z]+)\$[0-9]+"))),_xlfn.REGEXEXTRACT(CELL("address",Z94), "\$([A-Z]+)\$[0-9]+"))</f>
        <v/>
      </c>
      <c r="AA94" s="7" t="str" cm="1">
        <f t="array" aca="1" ref="AA94" ca="1">IFERROR(IF(OR('Raw Data'!AA94="",LEN(TRIM('Raw Data'!AA94))=0),"",IF(AND(ISNUMBER('Raw Data'!AA94), IFERROR('Raw Data'!AA94 = ROUND('Raw Data'!AA94, 2),FALSE)),"",_xlfn.REGEXEXTRACT(CELL("address",AA94), "\$([A-Z]+)\$[0-9]+"))),_xlfn.REGEXEXTRACT(CELL("address",AA94), "\$([A-Z]+)\$[0-9]+"))</f>
        <v/>
      </c>
      <c r="AB94" s="7" t="str" cm="1">
        <f t="array" aca="1" ref="AB94" ca="1">IFERROR(IF(OR('Raw Data'!AB94="",LEN(TRIM('Raw Data'!AB94))=0),"",IF(AND(ISNUMBER('Raw Data'!AB94), IFERROR('Raw Data'!AB94 = ROUND('Raw Data'!AB94, 2),FALSE)),"",_xlfn.REGEXEXTRACT(CELL("address",AB94), "\$([A-Z]+)\$[0-9]+"))),_xlfn.REGEXEXTRACT(CELL("address",AB94), "\$([A-Z]+)\$[0-9]+"))</f>
        <v/>
      </c>
    </row>
    <row r="95" spans="2:28" x14ac:dyDescent="0.25">
      <c r="B95" s="7" t="str" cm="1">
        <f t="array" aca="1" ref="B95" ca="1">IFERROR(IF(OR('Raw Data'!B95="",LEN(TRIM('Raw Data'!B95))=0),"",IF(AND(LEN('Raw Data'!B95) &lt;= 255,LEN('Raw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20,LEN('Raw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Data'!D95))=0),"",IF(AND(ISNUMBER('Raw Data'!D95),'Raw Data'!D95&gt;=Configuration!$D$2),"",_xlfn.REGEXEXTRACT(CELL("address",'Raw Data'!D95),"\$([A-Z]+)\$[0-9]+"))),_xlfn.REGEXEXTRACT(CELL("address",D95), "\$([A-Z]+)\$[0-9]+"))</f>
        <v/>
      </c>
      <c r="E95" s="7" t="str" cm="1">
        <f t="array" aca="1" ref="E95" ca="1">IFERROR(IF(OR('Raw Data'!E95="",LEN(TRIM('Raw Data'!E95))=0),"",IF(AND(ISNUMBER('Raw Data'!E95), IFERROR('Raw Data'!E95 = ROUND('Raw Data'!E95, 2),FALSE)),"",_xlfn.REGEXEXTRACT(CELL("address",E95), "\$([A-Z]+)\$[0-9]+"))),_xlfn.REGEXEXTRACT(CELL("address",E95), "\$([A-Z]+)\$[0-9]+"))</f>
        <v/>
      </c>
      <c r="F95" s="7" t="str" cm="1">
        <f t="array" aca="1" ref="F95" ca="1">IFERROR(IF(OR('Raw Data'!F95="",LEN(TRIM('Raw Data'!F95))=0),"",IF(AND(ISNUMBER('Raw Data'!F95), IFERROR('Raw Data'!F95 = ROUND('Raw Data'!F95, 2),FALSE)),"",_xlfn.REGEXEXTRACT(CELL("address",F95), "\$([A-Z]+)\$[0-9]+"))),_xlfn.REGEXEXTRACT(CELL("address",F95), "\$([A-Z]+)\$[0-9]+"))</f>
        <v/>
      </c>
      <c r="G95" s="7" t="str" cm="1">
        <f t="array" aca="1" ref="G95" ca="1">IFERROR(IF(OR('Raw Data'!G95="",LEN(TRIM('Raw Data'!G95))=0),"",IF(AND(ISNUMBER('Raw Data'!G95), IFERROR('Raw Data'!G95 = ROUND('Raw Data'!G95, 2),FALSE)),"",_xlfn.REGEXEXTRACT(CELL("address",G95), "\$([A-Z]+)\$[0-9]+"))),_xlfn.REGEXEXTRACT(CELL("address",G95), "\$([A-Z]+)\$[0-9]+"))</f>
        <v/>
      </c>
      <c r="H95" s="7" t="str" cm="1">
        <f t="array" aca="1" ref="H95" ca="1">IFERROR(IF(OR('Raw Data'!H95="",LEN(TRIM('Raw Data'!H95))=0),"",IF(AND(ISNUMBER('Raw Data'!H95), IFERROR('Raw Data'!H95 = ROUND('Raw Data'!H95, 2),FALSE)),"",_xlfn.REGEXEXTRACT(CELL("address",H95), "\$([A-Z]+)\$[0-9]+"))),_xlfn.REGEXEXTRACT(CELL("address",H95), "\$([A-Z]+)\$[0-9]+"))</f>
        <v/>
      </c>
      <c r="I95" s="7" t="str" cm="1">
        <f t="array" aca="1" ref="I95" ca="1">IFERROR(IF(OR('Raw Data'!I95="",LEN(TRIM('Raw Data'!I95))=0),"",IF(AND(ISNUMBER('Raw Data'!I95), IFERROR('Raw Data'!I95 = ROUND('Raw Data'!I95, 2),FALSE)),"",_xlfn.REGEXEXTRACT(CELL("address",I95), "\$([A-Z]+)\$[0-9]+"))),_xlfn.REGEXEXTRACT(CELL("address",I95), "\$([A-Z]+)\$[0-9]+"))</f>
        <v/>
      </c>
      <c r="J95" s="7" t="str" cm="1">
        <f t="array" aca="1" ref="J95" ca="1">IFERROR(IF(OR('Raw Data'!J95="",LEN(TRIM('Raw Data'!J95))=0),"",IF(AND(ISNUMBER('Raw Data'!J95), IFERROR('Raw Data'!J95 = ROUND('Raw Data'!J95, 2),FALSE)),"",_xlfn.REGEXEXTRACT(CELL("address",J95), "\$([A-Z]+)\$[0-9]+"))),_xlfn.REGEXEXTRACT(CELL("address",J95), "\$([A-Z]+)\$[0-9]+"))</f>
        <v/>
      </c>
      <c r="K95" s="7" t="str" cm="1">
        <f t="array" aca="1" ref="K95" ca="1">IFERROR(IF(OR('Raw Data'!K95="",LEN(TRIM('Raw Data'!K95))=0),"",IF(AND(ISNUMBER('Raw Data'!K95), IFERROR('Raw Data'!K95 = ROUND('Raw Data'!K95, 2),FALSE)),"",_xlfn.REGEXEXTRACT(CELL("address",K95), "\$([A-Z]+)\$[0-9]+"))),_xlfn.REGEXEXTRACT(CELL("address",K95), "\$([A-Z]+)\$[0-9]+"))</f>
        <v/>
      </c>
      <c r="L95" s="7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7" t="str" cm="1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7" t="str" cm="1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  <c r="O95" s="7" t="str" cm="1">
        <f t="array" aca="1" ref="O95" ca="1">IFERROR(IF(OR('Raw Data'!O95="",LEN(TRIM('Raw Data'!O95))=0),"",IF(AND(ISNUMBER('Raw Data'!O95), IFERROR('Raw Data'!O95 = ROUND('Raw Data'!O95, 2),FALSE)),"",_xlfn.REGEXEXTRACT(CELL("address",O95), "\$([A-Z]+)\$[0-9]+"))),_xlfn.REGEXEXTRACT(CELL("address",O95), "\$([A-Z]+)\$[0-9]+"))</f>
        <v/>
      </c>
      <c r="P95" s="7" t="str" cm="1">
        <f t="array" aca="1" ref="P95" ca="1">IFERROR(IF(OR('Raw Data'!P95="",LEN(TRIM('Raw Data'!P95))=0),"",IF(AND(ISNUMBER('Raw Data'!P95), IFERROR('Raw Data'!P95 = ROUND('Raw Data'!P95, 2),FALSE)),"",_xlfn.REGEXEXTRACT(CELL("address",P95), "\$([A-Z]+)\$[0-9]+"))),_xlfn.REGEXEXTRACT(CELL("address",P95), "\$([A-Z]+)\$[0-9]+"))</f>
        <v/>
      </c>
      <c r="Q95" s="7" t="str" cm="1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7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7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7" t="str" cm="1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7" t="str" cm="1">
        <f t="array" aca="1" ref="U95" ca="1">IFERROR(IF(OR('Raw Data'!U95="",LEN(TRIM('Raw Data'!U95))=0),"",IF(AND(ISNUMBER('Raw Data'!U95), IFERROR('Raw Data'!U95 = ROUND('Raw Data'!U95, 2),FALSE)),"",_xlfn.REGEXEXTRACT(CELL("address",U95), "\$([A-Z]+)\$[0-9]+"))),_xlfn.REGEXEXTRACT(CELL("address",U95), "\$([A-Z]+)\$[0-9]+"))</f>
        <v/>
      </c>
      <c r="V95" s="7" t="str" cm="1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7" t="str" cm="1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7" t="str" cm="1">
        <f t="array" aca="1" ref="X95" ca="1">IFERROR(IF(OR('Raw Data'!X95="",LEN(TRIM('Raw Data'!X95))=0),"",IF(AND(ISNUMBER('Raw Data'!X95), IFERROR('Raw Data'!X95 = ROUND('Raw Data'!X95, 2),FALSE)),"",_xlfn.REGEXEXTRACT(CELL("address",X95), "\$([A-Z]+)\$[0-9]+"))),_xlfn.REGEXEXTRACT(CELL("address",X95), "\$([A-Z]+)\$[0-9]+"))</f>
        <v/>
      </c>
      <c r="Y95" s="7" t="str" cm="1">
        <f t="array" aca="1" ref="Y95" ca="1">IFERROR(IF(OR('Raw Data'!Y95="",LEN(TRIM('Raw Data'!Y95))=0),"",IF(AND(ISNUMBER('Raw Data'!Y95), IFERROR('Raw Data'!Y95 = ROUND('Raw Data'!Y95, 2),FALSE)),"",_xlfn.REGEXEXTRACT(CELL("address",Y95), "\$([A-Z]+)\$[0-9]+"))),_xlfn.REGEXEXTRACT(CELL("address",Y95), "\$([A-Z]+)\$[0-9]+"))</f>
        <v/>
      </c>
      <c r="Z95" s="7" t="str" cm="1">
        <f t="array" aca="1" ref="Z95" ca="1">IFERROR(IF(OR('Raw Data'!Z95="",LEN(TRIM('Raw Data'!Z95))=0),"",IF(AND(ISNUMBER('Raw Data'!Z95), IFERROR('Raw Data'!Z95 = ROUND('Raw Data'!Z95, 2),FALSE)),"",_xlfn.REGEXEXTRACT(CELL("address",Z95), "\$([A-Z]+)\$[0-9]+"))),_xlfn.REGEXEXTRACT(CELL("address",Z95), "\$([A-Z]+)\$[0-9]+"))</f>
        <v/>
      </c>
      <c r="AA95" s="7" t="str" cm="1">
        <f t="array" aca="1" ref="AA95" ca="1">IFERROR(IF(OR('Raw Data'!AA95="",LEN(TRIM('Raw Data'!AA95))=0),"",IF(AND(ISNUMBER('Raw Data'!AA95), IFERROR('Raw Data'!AA95 = ROUND('Raw Data'!AA95, 2),FALSE)),"",_xlfn.REGEXEXTRACT(CELL("address",AA95), "\$([A-Z]+)\$[0-9]+"))),_xlfn.REGEXEXTRACT(CELL("address",AA95), "\$([A-Z]+)\$[0-9]+"))</f>
        <v/>
      </c>
      <c r="AB95" s="7" t="str" cm="1">
        <f t="array" aca="1" ref="AB95" ca="1">IFERROR(IF(OR('Raw Data'!AB95="",LEN(TRIM('Raw Data'!AB95))=0),"",IF(AND(ISNUMBER('Raw Data'!AB95), IFERROR('Raw Data'!AB95 = ROUND('Raw Data'!AB95, 2),FALSE)),"",_xlfn.REGEXEXTRACT(CELL("address",AB95), "\$([A-Z]+)\$[0-9]+"))),_xlfn.REGEXEXTRACT(CELL("address",AB95), "\$([A-Z]+)\$[0-9]+"))</f>
        <v/>
      </c>
    </row>
    <row r="96" spans="2:28" x14ac:dyDescent="0.25">
      <c r="B96" s="7" t="str" cm="1">
        <f t="array" aca="1" ref="B96" ca="1">IFERROR(IF(OR('Raw Data'!B96="",LEN(TRIM('Raw Data'!B96))=0),"",IF(AND(LEN('Raw Data'!B96) &lt;= 255,LEN('Raw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20,LEN('Raw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Data'!D96))=0),"",IF(AND(ISNUMBER('Raw Data'!D96),'Raw Data'!D96&gt;=Configuration!$D$2),"",_xlfn.REGEXEXTRACT(CELL("address",'Raw Data'!D96),"\$([A-Z]+)\$[0-9]+"))),_xlfn.REGEXEXTRACT(CELL("address",D96), "\$([A-Z]+)\$[0-9]+"))</f>
        <v/>
      </c>
      <c r="E96" s="7" t="str" cm="1">
        <f t="array" aca="1" ref="E96" ca="1">IFERROR(IF(OR('Raw Data'!E96="",LEN(TRIM('Raw Data'!E96))=0),"",IF(AND(ISNUMBER('Raw Data'!E96), IFERROR('Raw Data'!E96 = ROUND('Raw Data'!E96, 2),FALSE)),"",_xlfn.REGEXEXTRACT(CELL("address",E96), "\$([A-Z]+)\$[0-9]+"))),_xlfn.REGEXEXTRACT(CELL("address",E96), "\$([A-Z]+)\$[0-9]+"))</f>
        <v/>
      </c>
      <c r="F96" s="7" t="str" cm="1">
        <f t="array" aca="1" ref="F96" ca="1">IFERROR(IF(OR('Raw Data'!F96="",LEN(TRIM('Raw Data'!F96))=0),"",IF(AND(ISNUMBER('Raw Data'!F96), IFERROR('Raw Data'!F96 = ROUND('Raw Data'!F96, 2),FALSE)),"",_xlfn.REGEXEXTRACT(CELL("address",F96), "\$([A-Z]+)\$[0-9]+"))),_xlfn.REGEXEXTRACT(CELL("address",F96), "\$([A-Z]+)\$[0-9]+"))</f>
        <v/>
      </c>
      <c r="G96" s="7" t="str" cm="1">
        <f t="array" aca="1" ref="G96" ca="1">IFERROR(IF(OR('Raw Data'!G96="",LEN(TRIM('Raw Data'!G96))=0),"",IF(AND(ISNUMBER('Raw Data'!G96), IFERROR('Raw Data'!G96 = ROUND('Raw Data'!G96, 2),FALSE)),"",_xlfn.REGEXEXTRACT(CELL("address",G96), "\$([A-Z]+)\$[0-9]+"))),_xlfn.REGEXEXTRACT(CELL("address",G96), "\$([A-Z]+)\$[0-9]+"))</f>
        <v/>
      </c>
      <c r="H96" s="7" t="str" cm="1">
        <f t="array" aca="1" ref="H96" ca="1">IFERROR(IF(OR('Raw Data'!H96="",LEN(TRIM('Raw Data'!H96))=0),"",IF(AND(ISNUMBER('Raw Data'!H96), IFERROR('Raw Data'!H96 = ROUND('Raw Data'!H96, 2),FALSE)),"",_xlfn.REGEXEXTRACT(CELL("address",H96), "\$([A-Z]+)\$[0-9]+"))),_xlfn.REGEXEXTRACT(CELL("address",H96), "\$([A-Z]+)\$[0-9]+"))</f>
        <v/>
      </c>
      <c r="I96" s="7" t="str" cm="1">
        <f t="array" aca="1" ref="I96" ca="1">IFERROR(IF(OR('Raw Data'!I96="",LEN(TRIM('Raw Data'!I96))=0),"",IF(AND(ISNUMBER('Raw Data'!I96), IFERROR('Raw Data'!I96 = ROUND('Raw Data'!I96, 2),FALSE)),"",_xlfn.REGEXEXTRACT(CELL("address",I96), "\$([A-Z]+)\$[0-9]+"))),_xlfn.REGEXEXTRACT(CELL("address",I96), "\$([A-Z]+)\$[0-9]+"))</f>
        <v/>
      </c>
      <c r="J96" s="7" t="str" cm="1">
        <f t="array" aca="1" ref="J96" ca="1">IFERROR(IF(OR('Raw Data'!J96="",LEN(TRIM('Raw Data'!J96))=0),"",IF(AND(ISNUMBER('Raw Data'!J96), IFERROR('Raw Data'!J96 = ROUND('Raw Data'!J96, 2),FALSE)),"",_xlfn.REGEXEXTRACT(CELL("address",J96), "\$([A-Z]+)\$[0-9]+"))),_xlfn.REGEXEXTRACT(CELL("address",J96), "\$([A-Z]+)\$[0-9]+"))</f>
        <v/>
      </c>
      <c r="K96" s="7" t="str" cm="1">
        <f t="array" aca="1" ref="K96" ca="1">IFERROR(IF(OR('Raw Data'!K96="",LEN(TRIM('Raw Data'!K96))=0),"",IF(AND(ISNUMBER('Raw Data'!K96), IFERROR('Raw Data'!K96 = ROUND('Raw Data'!K96, 2),FALSE)),"",_xlfn.REGEXEXTRACT(CELL("address",K96), "\$([A-Z]+)\$[0-9]+"))),_xlfn.REGEXEXTRACT(CELL("address",K96), "\$([A-Z]+)\$[0-9]+"))</f>
        <v/>
      </c>
      <c r="L96" s="7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7" t="str" cm="1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7" t="str" cm="1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  <c r="O96" s="7" t="str" cm="1">
        <f t="array" aca="1" ref="O96" ca="1">IFERROR(IF(OR('Raw Data'!O96="",LEN(TRIM('Raw Data'!O96))=0),"",IF(AND(ISNUMBER('Raw Data'!O96), IFERROR('Raw Data'!O96 = ROUND('Raw Data'!O96, 2),FALSE)),"",_xlfn.REGEXEXTRACT(CELL("address",O96), "\$([A-Z]+)\$[0-9]+"))),_xlfn.REGEXEXTRACT(CELL("address",O96), "\$([A-Z]+)\$[0-9]+"))</f>
        <v/>
      </c>
      <c r="P96" s="7" t="str" cm="1">
        <f t="array" aca="1" ref="P96" ca="1">IFERROR(IF(OR('Raw Data'!P96="",LEN(TRIM('Raw Data'!P96))=0),"",IF(AND(ISNUMBER('Raw Data'!P96), IFERROR('Raw Data'!P96 = ROUND('Raw Data'!P96, 2),FALSE)),"",_xlfn.REGEXEXTRACT(CELL("address",P96), "\$([A-Z]+)\$[0-9]+"))),_xlfn.REGEXEXTRACT(CELL("address",P96), "\$([A-Z]+)\$[0-9]+"))</f>
        <v/>
      </c>
      <c r="Q96" s="7" t="str" cm="1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7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7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7" t="str" cm="1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7" t="str" cm="1">
        <f t="array" aca="1" ref="U96" ca="1">IFERROR(IF(OR('Raw Data'!U96="",LEN(TRIM('Raw Data'!U96))=0),"",IF(AND(ISNUMBER('Raw Data'!U96), IFERROR('Raw Data'!U96 = ROUND('Raw Data'!U96, 2),FALSE)),"",_xlfn.REGEXEXTRACT(CELL("address",U96), "\$([A-Z]+)\$[0-9]+"))),_xlfn.REGEXEXTRACT(CELL("address",U96), "\$([A-Z]+)\$[0-9]+"))</f>
        <v/>
      </c>
      <c r="V96" s="7" t="str" cm="1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7" t="str" cm="1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7" t="str" cm="1">
        <f t="array" aca="1" ref="X96" ca="1">IFERROR(IF(OR('Raw Data'!X96="",LEN(TRIM('Raw Data'!X96))=0),"",IF(AND(ISNUMBER('Raw Data'!X96), IFERROR('Raw Data'!X96 = ROUND('Raw Data'!X96, 2),FALSE)),"",_xlfn.REGEXEXTRACT(CELL("address",X96), "\$([A-Z]+)\$[0-9]+"))),_xlfn.REGEXEXTRACT(CELL("address",X96), "\$([A-Z]+)\$[0-9]+"))</f>
        <v/>
      </c>
      <c r="Y96" s="7" t="str" cm="1">
        <f t="array" aca="1" ref="Y96" ca="1">IFERROR(IF(OR('Raw Data'!Y96="",LEN(TRIM('Raw Data'!Y96))=0),"",IF(AND(ISNUMBER('Raw Data'!Y96), IFERROR('Raw Data'!Y96 = ROUND('Raw Data'!Y96, 2),FALSE)),"",_xlfn.REGEXEXTRACT(CELL("address",Y96), "\$([A-Z]+)\$[0-9]+"))),_xlfn.REGEXEXTRACT(CELL("address",Y96), "\$([A-Z]+)\$[0-9]+"))</f>
        <v/>
      </c>
      <c r="Z96" s="7" t="str" cm="1">
        <f t="array" aca="1" ref="Z96" ca="1">IFERROR(IF(OR('Raw Data'!Z96="",LEN(TRIM('Raw Data'!Z96))=0),"",IF(AND(ISNUMBER('Raw Data'!Z96), IFERROR('Raw Data'!Z96 = ROUND('Raw Data'!Z96, 2),FALSE)),"",_xlfn.REGEXEXTRACT(CELL("address",Z96), "\$([A-Z]+)\$[0-9]+"))),_xlfn.REGEXEXTRACT(CELL("address",Z96), "\$([A-Z]+)\$[0-9]+"))</f>
        <v/>
      </c>
      <c r="AA96" s="7" t="str" cm="1">
        <f t="array" aca="1" ref="AA96" ca="1">IFERROR(IF(OR('Raw Data'!AA96="",LEN(TRIM('Raw Data'!AA96))=0),"",IF(AND(ISNUMBER('Raw Data'!AA96), IFERROR('Raw Data'!AA96 = ROUND('Raw Data'!AA96, 2),FALSE)),"",_xlfn.REGEXEXTRACT(CELL("address",AA96), "\$([A-Z]+)\$[0-9]+"))),_xlfn.REGEXEXTRACT(CELL("address",AA96), "\$([A-Z]+)\$[0-9]+"))</f>
        <v/>
      </c>
      <c r="AB96" s="7" t="str" cm="1">
        <f t="array" aca="1" ref="AB96" ca="1">IFERROR(IF(OR('Raw Data'!AB96="",LEN(TRIM('Raw Data'!AB96))=0),"",IF(AND(ISNUMBER('Raw Data'!AB96), IFERROR('Raw Data'!AB96 = ROUND('Raw Data'!AB96, 2),FALSE)),"",_xlfn.REGEXEXTRACT(CELL("address",AB96), "\$([A-Z]+)\$[0-9]+"))),_xlfn.REGEXEXTRACT(CELL("address",AB96), "\$([A-Z]+)\$[0-9]+"))</f>
        <v/>
      </c>
    </row>
    <row r="97" spans="2:28" x14ac:dyDescent="0.25">
      <c r="B97" s="7" t="str" cm="1">
        <f t="array" aca="1" ref="B97" ca="1">IFERROR(IF(OR('Raw Data'!B97="",LEN(TRIM('Raw Data'!B97))=0),"",IF(AND(LEN('Raw Data'!B97) &lt;= 255,LEN('Raw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20,LEN('Raw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Data'!D97))=0),"",IF(AND(ISNUMBER('Raw Data'!D97),'Raw Data'!D97&gt;=Configuration!$D$2),"",_xlfn.REGEXEXTRACT(CELL("address",'Raw Data'!D97),"\$([A-Z]+)\$[0-9]+"))),_xlfn.REGEXEXTRACT(CELL("address",D97), "\$([A-Z]+)\$[0-9]+"))</f>
        <v/>
      </c>
      <c r="E97" s="7" t="str" cm="1">
        <f t="array" aca="1" ref="E97" ca="1">IFERROR(IF(OR('Raw Data'!E97="",LEN(TRIM('Raw Data'!E97))=0),"",IF(AND(ISNUMBER('Raw Data'!E97), IFERROR('Raw Data'!E97 = ROUND('Raw Data'!E97, 2),FALSE)),"",_xlfn.REGEXEXTRACT(CELL("address",E97), "\$([A-Z]+)\$[0-9]+"))),_xlfn.REGEXEXTRACT(CELL("address",E97), "\$([A-Z]+)\$[0-9]+"))</f>
        <v/>
      </c>
      <c r="F97" s="7" t="str" cm="1">
        <f t="array" aca="1" ref="F97" ca="1">IFERROR(IF(OR('Raw Data'!F97="",LEN(TRIM('Raw Data'!F97))=0),"",IF(AND(ISNUMBER('Raw Data'!F97), IFERROR('Raw Data'!F97 = ROUND('Raw Data'!F97, 2),FALSE)),"",_xlfn.REGEXEXTRACT(CELL("address",F97), "\$([A-Z]+)\$[0-9]+"))),_xlfn.REGEXEXTRACT(CELL("address",F97), "\$([A-Z]+)\$[0-9]+"))</f>
        <v/>
      </c>
      <c r="G97" s="7" t="str" cm="1">
        <f t="array" aca="1" ref="G97" ca="1">IFERROR(IF(OR('Raw Data'!G97="",LEN(TRIM('Raw Data'!G97))=0),"",IF(AND(ISNUMBER('Raw Data'!G97), IFERROR('Raw Data'!G97 = ROUND('Raw Data'!G97, 2),FALSE)),"",_xlfn.REGEXEXTRACT(CELL("address",G97), "\$([A-Z]+)\$[0-9]+"))),_xlfn.REGEXEXTRACT(CELL("address",G97), "\$([A-Z]+)\$[0-9]+"))</f>
        <v/>
      </c>
      <c r="H97" s="7" t="str" cm="1">
        <f t="array" aca="1" ref="H97" ca="1">IFERROR(IF(OR('Raw Data'!H97="",LEN(TRIM('Raw Data'!H97))=0),"",IF(AND(ISNUMBER('Raw Data'!H97), IFERROR('Raw Data'!H97 = ROUND('Raw Data'!H97, 2),FALSE)),"",_xlfn.REGEXEXTRACT(CELL("address",H97), "\$([A-Z]+)\$[0-9]+"))),_xlfn.REGEXEXTRACT(CELL("address",H97), "\$([A-Z]+)\$[0-9]+"))</f>
        <v/>
      </c>
      <c r="I97" s="7" t="str" cm="1">
        <f t="array" aca="1" ref="I97" ca="1">IFERROR(IF(OR('Raw Data'!I97="",LEN(TRIM('Raw Data'!I97))=0),"",IF(AND(ISNUMBER('Raw Data'!I97), IFERROR('Raw Data'!I97 = ROUND('Raw Data'!I97, 2),FALSE)),"",_xlfn.REGEXEXTRACT(CELL("address",I97), "\$([A-Z]+)\$[0-9]+"))),_xlfn.REGEXEXTRACT(CELL("address",I97), "\$([A-Z]+)\$[0-9]+"))</f>
        <v/>
      </c>
      <c r="J97" s="7" t="str" cm="1">
        <f t="array" aca="1" ref="J97" ca="1">IFERROR(IF(OR('Raw Data'!J97="",LEN(TRIM('Raw Data'!J97))=0),"",IF(AND(ISNUMBER('Raw Data'!J97), IFERROR('Raw Data'!J97 = ROUND('Raw Data'!J97, 2),FALSE)),"",_xlfn.REGEXEXTRACT(CELL("address",J97), "\$([A-Z]+)\$[0-9]+"))),_xlfn.REGEXEXTRACT(CELL("address",J97), "\$([A-Z]+)\$[0-9]+"))</f>
        <v/>
      </c>
      <c r="K97" s="7" t="str" cm="1">
        <f t="array" aca="1" ref="K97" ca="1">IFERROR(IF(OR('Raw Data'!K97="",LEN(TRIM('Raw Data'!K97))=0),"",IF(AND(ISNUMBER('Raw Data'!K97), IFERROR('Raw Data'!K97 = ROUND('Raw Data'!K97, 2),FALSE)),"",_xlfn.REGEXEXTRACT(CELL("address",K97), "\$([A-Z]+)\$[0-9]+"))),_xlfn.REGEXEXTRACT(CELL("address",K97), "\$([A-Z]+)\$[0-9]+"))</f>
        <v/>
      </c>
      <c r="L97" s="7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7" t="str" cm="1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7" t="str" cm="1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  <c r="O97" s="7" t="str" cm="1">
        <f t="array" aca="1" ref="O97" ca="1">IFERROR(IF(OR('Raw Data'!O97="",LEN(TRIM('Raw Data'!O97))=0),"",IF(AND(ISNUMBER('Raw Data'!O97), IFERROR('Raw Data'!O97 = ROUND('Raw Data'!O97, 2),FALSE)),"",_xlfn.REGEXEXTRACT(CELL("address",O97), "\$([A-Z]+)\$[0-9]+"))),_xlfn.REGEXEXTRACT(CELL("address",O97), "\$([A-Z]+)\$[0-9]+"))</f>
        <v/>
      </c>
      <c r="P97" s="7" t="str" cm="1">
        <f t="array" aca="1" ref="P97" ca="1">IFERROR(IF(OR('Raw Data'!P97="",LEN(TRIM('Raw Data'!P97))=0),"",IF(AND(ISNUMBER('Raw Data'!P97), IFERROR('Raw Data'!P97 = ROUND('Raw Data'!P97, 2),FALSE)),"",_xlfn.REGEXEXTRACT(CELL("address",P97), "\$([A-Z]+)\$[0-9]+"))),_xlfn.REGEXEXTRACT(CELL("address",P97), "\$([A-Z]+)\$[0-9]+"))</f>
        <v/>
      </c>
      <c r="Q97" s="7" t="str" cm="1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7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7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7" t="str" cm="1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7" t="str" cm="1">
        <f t="array" aca="1" ref="U97" ca="1">IFERROR(IF(OR('Raw Data'!U97="",LEN(TRIM('Raw Data'!U97))=0),"",IF(AND(ISNUMBER('Raw Data'!U97), IFERROR('Raw Data'!U97 = ROUND('Raw Data'!U97, 2),FALSE)),"",_xlfn.REGEXEXTRACT(CELL("address",U97), "\$([A-Z]+)\$[0-9]+"))),_xlfn.REGEXEXTRACT(CELL("address",U97), "\$([A-Z]+)\$[0-9]+"))</f>
        <v/>
      </c>
      <c r="V97" s="7" t="str" cm="1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7" t="str" cm="1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7" t="str" cm="1">
        <f t="array" aca="1" ref="X97" ca="1">IFERROR(IF(OR('Raw Data'!X97="",LEN(TRIM('Raw Data'!X97))=0),"",IF(AND(ISNUMBER('Raw Data'!X97), IFERROR('Raw Data'!X97 = ROUND('Raw Data'!X97, 2),FALSE)),"",_xlfn.REGEXEXTRACT(CELL("address",X97), "\$([A-Z]+)\$[0-9]+"))),_xlfn.REGEXEXTRACT(CELL("address",X97), "\$([A-Z]+)\$[0-9]+"))</f>
        <v/>
      </c>
      <c r="Y97" s="7" t="str" cm="1">
        <f t="array" aca="1" ref="Y97" ca="1">IFERROR(IF(OR('Raw Data'!Y97="",LEN(TRIM('Raw Data'!Y97))=0),"",IF(AND(ISNUMBER('Raw Data'!Y97), IFERROR('Raw Data'!Y97 = ROUND('Raw Data'!Y97, 2),FALSE)),"",_xlfn.REGEXEXTRACT(CELL("address",Y97), "\$([A-Z]+)\$[0-9]+"))),_xlfn.REGEXEXTRACT(CELL("address",Y97), "\$([A-Z]+)\$[0-9]+"))</f>
        <v/>
      </c>
      <c r="Z97" s="7" t="str" cm="1">
        <f t="array" aca="1" ref="Z97" ca="1">IFERROR(IF(OR('Raw Data'!Z97="",LEN(TRIM('Raw Data'!Z97))=0),"",IF(AND(ISNUMBER('Raw Data'!Z97), IFERROR('Raw Data'!Z97 = ROUND('Raw Data'!Z97, 2),FALSE)),"",_xlfn.REGEXEXTRACT(CELL("address",Z97), "\$([A-Z]+)\$[0-9]+"))),_xlfn.REGEXEXTRACT(CELL("address",Z97), "\$([A-Z]+)\$[0-9]+"))</f>
        <v/>
      </c>
      <c r="AA97" s="7" t="str" cm="1">
        <f t="array" aca="1" ref="AA97" ca="1">IFERROR(IF(OR('Raw Data'!AA97="",LEN(TRIM('Raw Data'!AA97))=0),"",IF(AND(ISNUMBER('Raw Data'!AA97), IFERROR('Raw Data'!AA97 = ROUND('Raw Data'!AA97, 2),FALSE)),"",_xlfn.REGEXEXTRACT(CELL("address",AA97), "\$([A-Z]+)\$[0-9]+"))),_xlfn.REGEXEXTRACT(CELL("address",AA97), "\$([A-Z]+)\$[0-9]+"))</f>
        <v/>
      </c>
      <c r="AB97" s="7" t="str" cm="1">
        <f t="array" aca="1" ref="AB97" ca="1">IFERROR(IF(OR('Raw Data'!AB97="",LEN(TRIM('Raw Data'!AB97))=0),"",IF(AND(ISNUMBER('Raw Data'!AB97), IFERROR('Raw Data'!AB97 = ROUND('Raw Data'!AB97, 2),FALSE)),"",_xlfn.REGEXEXTRACT(CELL("address",AB97), "\$([A-Z]+)\$[0-9]+"))),_xlfn.REGEXEXTRACT(CELL("address",AB97), "\$([A-Z]+)\$[0-9]+"))</f>
        <v/>
      </c>
    </row>
    <row r="98" spans="2:28" x14ac:dyDescent="0.25">
      <c r="B98" s="7" t="str" cm="1">
        <f t="array" aca="1" ref="B98" ca="1">IFERROR(IF(OR('Raw Data'!B98="",LEN(TRIM('Raw Data'!B98))=0),"",IF(AND(LEN('Raw Data'!B98) &lt;= 255,LEN('Raw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20,LEN('Raw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Data'!D98))=0),"",IF(AND(ISNUMBER('Raw Data'!D98),'Raw Data'!D98&gt;=Configuration!$D$2),"",_xlfn.REGEXEXTRACT(CELL("address",'Raw Data'!D98),"\$([A-Z]+)\$[0-9]+"))),_xlfn.REGEXEXTRACT(CELL("address",D98), "\$([A-Z]+)\$[0-9]+"))</f>
        <v/>
      </c>
      <c r="E98" s="7" t="str" cm="1">
        <f t="array" aca="1" ref="E98" ca="1">IFERROR(IF(OR('Raw Data'!E98="",LEN(TRIM('Raw Data'!E98))=0),"",IF(AND(ISNUMBER('Raw Data'!E98), IFERROR('Raw Data'!E98 = ROUND('Raw Data'!E98, 2),FALSE)),"",_xlfn.REGEXEXTRACT(CELL("address",E98), "\$([A-Z]+)\$[0-9]+"))),_xlfn.REGEXEXTRACT(CELL("address",E98), "\$([A-Z]+)\$[0-9]+"))</f>
        <v/>
      </c>
      <c r="F98" s="7" t="str" cm="1">
        <f t="array" aca="1" ref="F98" ca="1">IFERROR(IF(OR('Raw Data'!F98="",LEN(TRIM('Raw Data'!F98))=0),"",IF(AND(ISNUMBER('Raw Data'!F98), IFERROR('Raw Data'!F98 = ROUND('Raw Data'!F98, 2),FALSE)),"",_xlfn.REGEXEXTRACT(CELL("address",F98), "\$([A-Z]+)\$[0-9]+"))),_xlfn.REGEXEXTRACT(CELL("address",F98), "\$([A-Z]+)\$[0-9]+"))</f>
        <v/>
      </c>
      <c r="G98" s="7" t="str" cm="1">
        <f t="array" aca="1" ref="G98" ca="1">IFERROR(IF(OR('Raw Data'!G98="",LEN(TRIM('Raw Data'!G98))=0),"",IF(AND(ISNUMBER('Raw Data'!G98), IFERROR('Raw Data'!G98 = ROUND('Raw Data'!G98, 2),FALSE)),"",_xlfn.REGEXEXTRACT(CELL("address",G98), "\$([A-Z]+)\$[0-9]+"))),_xlfn.REGEXEXTRACT(CELL("address",G98), "\$([A-Z]+)\$[0-9]+"))</f>
        <v/>
      </c>
      <c r="H98" s="7" t="str" cm="1">
        <f t="array" aca="1" ref="H98" ca="1">IFERROR(IF(OR('Raw Data'!H98="",LEN(TRIM('Raw Data'!H98))=0),"",IF(AND(ISNUMBER('Raw Data'!H98), IFERROR('Raw Data'!H98 = ROUND('Raw Data'!H98, 2),FALSE)),"",_xlfn.REGEXEXTRACT(CELL("address",H98), "\$([A-Z]+)\$[0-9]+"))),_xlfn.REGEXEXTRACT(CELL("address",H98), "\$([A-Z]+)\$[0-9]+"))</f>
        <v/>
      </c>
      <c r="I98" s="7" t="str" cm="1">
        <f t="array" aca="1" ref="I98" ca="1">IFERROR(IF(OR('Raw Data'!I98="",LEN(TRIM('Raw Data'!I98))=0),"",IF(AND(ISNUMBER('Raw Data'!I98), IFERROR('Raw Data'!I98 = ROUND('Raw Data'!I98, 2),FALSE)),"",_xlfn.REGEXEXTRACT(CELL("address",I98), "\$([A-Z]+)\$[0-9]+"))),_xlfn.REGEXEXTRACT(CELL("address",I98), "\$([A-Z]+)\$[0-9]+"))</f>
        <v/>
      </c>
      <c r="J98" s="7" t="str" cm="1">
        <f t="array" aca="1" ref="J98" ca="1">IFERROR(IF(OR('Raw Data'!J98="",LEN(TRIM('Raw Data'!J98))=0),"",IF(AND(ISNUMBER('Raw Data'!J98), IFERROR('Raw Data'!J98 = ROUND('Raw Data'!J98, 2),FALSE)),"",_xlfn.REGEXEXTRACT(CELL("address",J98), "\$([A-Z]+)\$[0-9]+"))),_xlfn.REGEXEXTRACT(CELL("address",J98), "\$([A-Z]+)\$[0-9]+"))</f>
        <v/>
      </c>
      <c r="K98" s="7" t="str" cm="1">
        <f t="array" aca="1" ref="K98" ca="1">IFERROR(IF(OR('Raw Data'!K98="",LEN(TRIM('Raw Data'!K98))=0),"",IF(AND(ISNUMBER('Raw Data'!K98), IFERROR('Raw Data'!K98 = ROUND('Raw Data'!K98, 2),FALSE)),"",_xlfn.REGEXEXTRACT(CELL("address",K98), "\$([A-Z]+)\$[0-9]+"))),_xlfn.REGEXEXTRACT(CELL("address",K98), "\$([A-Z]+)\$[0-9]+"))</f>
        <v/>
      </c>
      <c r="L98" s="7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7" t="str" cm="1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7" t="str" cm="1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  <c r="O98" s="7" t="str" cm="1">
        <f t="array" aca="1" ref="O98" ca="1">IFERROR(IF(OR('Raw Data'!O98="",LEN(TRIM('Raw Data'!O98))=0),"",IF(AND(ISNUMBER('Raw Data'!O98), IFERROR('Raw Data'!O98 = ROUND('Raw Data'!O98, 2),FALSE)),"",_xlfn.REGEXEXTRACT(CELL("address",O98), "\$([A-Z]+)\$[0-9]+"))),_xlfn.REGEXEXTRACT(CELL("address",O98), "\$([A-Z]+)\$[0-9]+"))</f>
        <v/>
      </c>
      <c r="P98" s="7" t="str" cm="1">
        <f t="array" aca="1" ref="P98" ca="1">IFERROR(IF(OR('Raw Data'!P98="",LEN(TRIM('Raw Data'!P98))=0),"",IF(AND(ISNUMBER('Raw Data'!P98), IFERROR('Raw Data'!P98 = ROUND('Raw Data'!P98, 2),FALSE)),"",_xlfn.REGEXEXTRACT(CELL("address",P98), "\$([A-Z]+)\$[0-9]+"))),_xlfn.REGEXEXTRACT(CELL("address",P98), "\$([A-Z]+)\$[0-9]+"))</f>
        <v/>
      </c>
      <c r="Q98" s="7" t="str" cm="1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7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7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7" t="str" cm="1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7" t="str" cm="1">
        <f t="array" aca="1" ref="U98" ca="1">IFERROR(IF(OR('Raw Data'!U98="",LEN(TRIM('Raw Data'!U98))=0),"",IF(AND(ISNUMBER('Raw Data'!U98), IFERROR('Raw Data'!U98 = ROUND('Raw Data'!U98, 2),FALSE)),"",_xlfn.REGEXEXTRACT(CELL("address",U98), "\$([A-Z]+)\$[0-9]+"))),_xlfn.REGEXEXTRACT(CELL("address",U98), "\$([A-Z]+)\$[0-9]+"))</f>
        <v/>
      </c>
      <c r="V98" s="7" t="str" cm="1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7" t="str" cm="1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7" t="str" cm="1">
        <f t="array" aca="1" ref="X98" ca="1">IFERROR(IF(OR('Raw Data'!X98="",LEN(TRIM('Raw Data'!X98))=0),"",IF(AND(ISNUMBER('Raw Data'!X98), IFERROR('Raw Data'!X98 = ROUND('Raw Data'!X98, 2),FALSE)),"",_xlfn.REGEXEXTRACT(CELL("address",X98), "\$([A-Z]+)\$[0-9]+"))),_xlfn.REGEXEXTRACT(CELL("address",X98), "\$([A-Z]+)\$[0-9]+"))</f>
        <v/>
      </c>
      <c r="Y98" s="7" t="str" cm="1">
        <f t="array" aca="1" ref="Y98" ca="1">IFERROR(IF(OR('Raw Data'!Y98="",LEN(TRIM('Raw Data'!Y98))=0),"",IF(AND(ISNUMBER('Raw Data'!Y98), IFERROR('Raw Data'!Y98 = ROUND('Raw Data'!Y98, 2),FALSE)),"",_xlfn.REGEXEXTRACT(CELL("address",Y98), "\$([A-Z]+)\$[0-9]+"))),_xlfn.REGEXEXTRACT(CELL("address",Y98), "\$([A-Z]+)\$[0-9]+"))</f>
        <v/>
      </c>
      <c r="Z98" s="7" t="str" cm="1">
        <f t="array" aca="1" ref="Z98" ca="1">IFERROR(IF(OR('Raw Data'!Z98="",LEN(TRIM('Raw Data'!Z98))=0),"",IF(AND(ISNUMBER('Raw Data'!Z98), IFERROR('Raw Data'!Z98 = ROUND('Raw Data'!Z98, 2),FALSE)),"",_xlfn.REGEXEXTRACT(CELL("address",Z98), "\$([A-Z]+)\$[0-9]+"))),_xlfn.REGEXEXTRACT(CELL("address",Z98), "\$([A-Z]+)\$[0-9]+"))</f>
        <v/>
      </c>
      <c r="AA98" s="7" t="str" cm="1">
        <f t="array" aca="1" ref="AA98" ca="1">IFERROR(IF(OR('Raw Data'!AA98="",LEN(TRIM('Raw Data'!AA98))=0),"",IF(AND(ISNUMBER('Raw Data'!AA98), IFERROR('Raw Data'!AA98 = ROUND('Raw Data'!AA98, 2),FALSE)),"",_xlfn.REGEXEXTRACT(CELL("address",AA98), "\$([A-Z]+)\$[0-9]+"))),_xlfn.REGEXEXTRACT(CELL("address",AA98), "\$([A-Z]+)\$[0-9]+"))</f>
        <v/>
      </c>
      <c r="AB98" s="7" t="str" cm="1">
        <f t="array" aca="1" ref="AB98" ca="1">IFERROR(IF(OR('Raw Data'!AB98="",LEN(TRIM('Raw Data'!AB98))=0),"",IF(AND(ISNUMBER('Raw Data'!AB98), IFERROR('Raw Data'!AB98 = ROUND('Raw Data'!AB98, 2),FALSE)),"",_xlfn.REGEXEXTRACT(CELL("address",AB98), "\$([A-Z]+)\$[0-9]+"))),_xlfn.REGEXEXTRACT(CELL("address",AB98), "\$([A-Z]+)\$[0-9]+"))</f>
        <v/>
      </c>
    </row>
    <row r="99" spans="2:28" x14ac:dyDescent="0.25">
      <c r="B99" s="7" t="str" cm="1">
        <f t="array" aca="1" ref="B99" ca="1">IFERROR(IF(OR('Raw Data'!B99="",LEN(TRIM('Raw Data'!B99))=0),"",IF(AND(LEN('Raw Data'!B99) &lt;= 255,LEN('Raw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20,LEN('Raw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Data'!D99))=0),"",IF(AND(ISNUMBER('Raw Data'!D99),'Raw Data'!D99&gt;=Configuration!$D$2),"",_xlfn.REGEXEXTRACT(CELL("address",'Raw Data'!D99),"\$([A-Z]+)\$[0-9]+"))),_xlfn.REGEXEXTRACT(CELL("address",D99), "\$([A-Z]+)\$[0-9]+"))</f>
        <v/>
      </c>
      <c r="E99" s="7" t="str" cm="1">
        <f t="array" aca="1" ref="E99" ca="1">IFERROR(IF(OR('Raw Data'!E99="",LEN(TRIM('Raw Data'!E99))=0),"",IF(AND(ISNUMBER('Raw Data'!E99), IFERROR('Raw Data'!E99 = ROUND('Raw Data'!E99, 2),FALSE)),"",_xlfn.REGEXEXTRACT(CELL("address",E99), "\$([A-Z]+)\$[0-9]+"))),_xlfn.REGEXEXTRACT(CELL("address",E99), "\$([A-Z]+)\$[0-9]+"))</f>
        <v/>
      </c>
      <c r="F99" s="7" t="str" cm="1">
        <f t="array" aca="1" ref="F99" ca="1">IFERROR(IF(OR('Raw Data'!F99="",LEN(TRIM('Raw Data'!F99))=0),"",IF(AND(ISNUMBER('Raw Data'!F99), IFERROR('Raw Data'!F99 = ROUND('Raw Data'!F99, 2),FALSE)),"",_xlfn.REGEXEXTRACT(CELL("address",F99), "\$([A-Z]+)\$[0-9]+"))),_xlfn.REGEXEXTRACT(CELL("address",F99), "\$([A-Z]+)\$[0-9]+"))</f>
        <v/>
      </c>
      <c r="G99" s="7" t="str" cm="1">
        <f t="array" aca="1" ref="G99" ca="1">IFERROR(IF(OR('Raw Data'!G99="",LEN(TRIM('Raw Data'!G99))=0),"",IF(AND(ISNUMBER('Raw Data'!G99), IFERROR('Raw Data'!G99 = ROUND('Raw Data'!G99, 2),FALSE)),"",_xlfn.REGEXEXTRACT(CELL("address",G99), "\$([A-Z]+)\$[0-9]+"))),_xlfn.REGEXEXTRACT(CELL("address",G99), "\$([A-Z]+)\$[0-9]+"))</f>
        <v/>
      </c>
      <c r="H99" s="7" t="str" cm="1">
        <f t="array" aca="1" ref="H99" ca="1">IFERROR(IF(OR('Raw Data'!H99="",LEN(TRIM('Raw Data'!H99))=0),"",IF(AND(ISNUMBER('Raw Data'!H99), IFERROR('Raw Data'!H99 = ROUND('Raw Data'!H99, 2),FALSE)),"",_xlfn.REGEXEXTRACT(CELL("address",H99), "\$([A-Z]+)\$[0-9]+"))),_xlfn.REGEXEXTRACT(CELL("address",H99), "\$([A-Z]+)\$[0-9]+"))</f>
        <v/>
      </c>
      <c r="I99" s="7" t="str" cm="1">
        <f t="array" aca="1" ref="I99" ca="1">IFERROR(IF(OR('Raw Data'!I99="",LEN(TRIM('Raw Data'!I99))=0),"",IF(AND(ISNUMBER('Raw Data'!I99), IFERROR('Raw Data'!I99 = ROUND('Raw Data'!I99, 2),FALSE)),"",_xlfn.REGEXEXTRACT(CELL("address",I99), "\$([A-Z]+)\$[0-9]+"))),_xlfn.REGEXEXTRACT(CELL("address",I99), "\$([A-Z]+)\$[0-9]+"))</f>
        <v/>
      </c>
      <c r="J99" s="7" t="str" cm="1">
        <f t="array" aca="1" ref="J99" ca="1">IFERROR(IF(OR('Raw Data'!J99="",LEN(TRIM('Raw Data'!J99))=0),"",IF(AND(ISNUMBER('Raw Data'!J99), IFERROR('Raw Data'!J99 = ROUND('Raw Data'!J99, 2),FALSE)),"",_xlfn.REGEXEXTRACT(CELL("address",J99), "\$([A-Z]+)\$[0-9]+"))),_xlfn.REGEXEXTRACT(CELL("address",J99), "\$([A-Z]+)\$[0-9]+"))</f>
        <v/>
      </c>
      <c r="K99" s="7" t="str" cm="1">
        <f t="array" aca="1" ref="K99" ca="1">IFERROR(IF(OR('Raw Data'!K99="",LEN(TRIM('Raw Data'!K99))=0),"",IF(AND(ISNUMBER('Raw Data'!K99), IFERROR('Raw Data'!K99 = ROUND('Raw Data'!K99, 2),FALSE)),"",_xlfn.REGEXEXTRACT(CELL("address",K99), "\$([A-Z]+)\$[0-9]+"))),_xlfn.REGEXEXTRACT(CELL("address",K99), "\$([A-Z]+)\$[0-9]+"))</f>
        <v/>
      </c>
      <c r="L99" s="7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7" t="str" cm="1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7" t="str" cm="1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  <c r="O99" s="7" t="str" cm="1">
        <f t="array" aca="1" ref="O99" ca="1">IFERROR(IF(OR('Raw Data'!O99="",LEN(TRIM('Raw Data'!O99))=0),"",IF(AND(ISNUMBER('Raw Data'!O99), IFERROR('Raw Data'!O99 = ROUND('Raw Data'!O99, 2),FALSE)),"",_xlfn.REGEXEXTRACT(CELL("address",O99), "\$([A-Z]+)\$[0-9]+"))),_xlfn.REGEXEXTRACT(CELL("address",O99), "\$([A-Z]+)\$[0-9]+"))</f>
        <v/>
      </c>
      <c r="P99" s="7" t="str" cm="1">
        <f t="array" aca="1" ref="P99" ca="1">IFERROR(IF(OR('Raw Data'!P99="",LEN(TRIM('Raw Data'!P99))=0),"",IF(AND(ISNUMBER('Raw Data'!P99), IFERROR('Raw Data'!P99 = ROUND('Raw Data'!P99, 2),FALSE)),"",_xlfn.REGEXEXTRACT(CELL("address",P99), "\$([A-Z]+)\$[0-9]+"))),_xlfn.REGEXEXTRACT(CELL("address",P99), "\$([A-Z]+)\$[0-9]+"))</f>
        <v/>
      </c>
      <c r="Q99" s="7" t="str" cm="1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7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7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7" t="str" cm="1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7" t="str" cm="1">
        <f t="array" aca="1" ref="U99" ca="1">IFERROR(IF(OR('Raw Data'!U99="",LEN(TRIM('Raw Data'!U99))=0),"",IF(AND(ISNUMBER('Raw Data'!U99), IFERROR('Raw Data'!U99 = ROUND('Raw Data'!U99, 2),FALSE)),"",_xlfn.REGEXEXTRACT(CELL("address",U99), "\$([A-Z]+)\$[0-9]+"))),_xlfn.REGEXEXTRACT(CELL("address",U99), "\$([A-Z]+)\$[0-9]+"))</f>
        <v/>
      </c>
      <c r="V99" s="7" t="str" cm="1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7" t="str" cm="1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7" t="str" cm="1">
        <f t="array" aca="1" ref="X99" ca="1">IFERROR(IF(OR('Raw Data'!X99="",LEN(TRIM('Raw Data'!X99))=0),"",IF(AND(ISNUMBER('Raw Data'!X99), IFERROR('Raw Data'!X99 = ROUND('Raw Data'!X99, 2),FALSE)),"",_xlfn.REGEXEXTRACT(CELL("address",X99), "\$([A-Z]+)\$[0-9]+"))),_xlfn.REGEXEXTRACT(CELL("address",X99), "\$([A-Z]+)\$[0-9]+"))</f>
        <v/>
      </c>
      <c r="Y99" s="7" t="str" cm="1">
        <f t="array" aca="1" ref="Y99" ca="1">IFERROR(IF(OR('Raw Data'!Y99="",LEN(TRIM('Raw Data'!Y99))=0),"",IF(AND(ISNUMBER('Raw Data'!Y99), IFERROR('Raw Data'!Y99 = ROUND('Raw Data'!Y99, 2),FALSE)),"",_xlfn.REGEXEXTRACT(CELL("address",Y99), "\$([A-Z]+)\$[0-9]+"))),_xlfn.REGEXEXTRACT(CELL("address",Y99), "\$([A-Z]+)\$[0-9]+"))</f>
        <v/>
      </c>
      <c r="Z99" s="7" t="str" cm="1">
        <f t="array" aca="1" ref="Z99" ca="1">IFERROR(IF(OR('Raw Data'!Z99="",LEN(TRIM('Raw Data'!Z99))=0),"",IF(AND(ISNUMBER('Raw Data'!Z99), IFERROR('Raw Data'!Z99 = ROUND('Raw Data'!Z99, 2),FALSE)),"",_xlfn.REGEXEXTRACT(CELL("address",Z99), "\$([A-Z]+)\$[0-9]+"))),_xlfn.REGEXEXTRACT(CELL("address",Z99), "\$([A-Z]+)\$[0-9]+"))</f>
        <v/>
      </c>
      <c r="AA99" s="7" t="str" cm="1">
        <f t="array" aca="1" ref="AA99" ca="1">IFERROR(IF(OR('Raw Data'!AA99="",LEN(TRIM('Raw Data'!AA99))=0),"",IF(AND(ISNUMBER('Raw Data'!AA99), IFERROR('Raw Data'!AA99 = ROUND('Raw Data'!AA99, 2),FALSE)),"",_xlfn.REGEXEXTRACT(CELL("address",AA99), "\$([A-Z]+)\$[0-9]+"))),_xlfn.REGEXEXTRACT(CELL("address",AA99), "\$([A-Z]+)\$[0-9]+"))</f>
        <v/>
      </c>
      <c r="AB99" s="7" t="str" cm="1">
        <f t="array" aca="1" ref="AB99" ca="1">IFERROR(IF(OR('Raw Data'!AB99="",LEN(TRIM('Raw Data'!AB99))=0),"",IF(AND(ISNUMBER('Raw Data'!AB99), IFERROR('Raw Data'!AB99 = ROUND('Raw Data'!AB99, 2),FALSE)),"",_xlfn.REGEXEXTRACT(CELL("address",AB99), "\$([A-Z]+)\$[0-9]+"))),_xlfn.REGEXEXTRACT(CELL("address",AB99), "\$([A-Z]+)\$[0-9]+"))</f>
        <v/>
      </c>
    </row>
    <row r="100" spans="2:28" x14ac:dyDescent="0.25">
      <c r="B100" s="7" t="str" cm="1">
        <f t="array" aca="1" ref="B100" ca="1">IFERROR(IF(OR('Raw Data'!B100="",LEN(TRIM('Raw Data'!B100))=0),"",IF(AND(LEN('Raw Data'!B100) &lt;= 255,LEN('Raw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20,LEN('Raw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Data'!D100))=0),"",IF(AND(ISNUMBER('Raw Data'!D100),'Raw Data'!D100&gt;=Configuration!$D$2),"",_xlfn.REGEXEXTRACT(CELL("address",'Raw Data'!D100),"\$([A-Z]+)\$[0-9]+"))),_xlfn.REGEXEXTRACT(CELL("address",D100), "\$([A-Z]+)\$[0-9]+"))</f>
        <v/>
      </c>
      <c r="E100" s="7" t="str" cm="1">
        <f t="array" aca="1" ref="E100" ca="1">IFERROR(IF(OR('Raw Data'!E100="",LEN(TRIM('Raw Data'!E100))=0),"",IF(AND(ISNUMBER('Raw Data'!E100), IFERROR('Raw Data'!E100 = ROUND('Raw Data'!E100, 2),FALSE)),"",_xlfn.REGEXEXTRACT(CELL("address",E100), "\$([A-Z]+)\$[0-9]+"))),_xlfn.REGEXEXTRACT(CELL("address",E100), "\$([A-Z]+)\$[0-9]+"))</f>
        <v/>
      </c>
      <c r="F100" s="7" t="str" cm="1">
        <f t="array" aca="1" ref="F100" ca="1">IFERROR(IF(OR('Raw Data'!F100="",LEN(TRIM('Raw Data'!F100))=0),"",IF(AND(ISNUMBER('Raw Data'!F100), IFERROR('Raw Data'!F100 = ROUND('Raw Data'!F100, 2),FALSE)),"",_xlfn.REGEXEXTRACT(CELL("address",F100), "\$([A-Z]+)\$[0-9]+"))),_xlfn.REGEXEXTRACT(CELL("address",F100), "\$([A-Z]+)\$[0-9]+"))</f>
        <v/>
      </c>
      <c r="G100" s="7" t="str" cm="1">
        <f t="array" aca="1" ref="G100" ca="1">IFERROR(IF(OR('Raw Data'!G100="",LEN(TRIM('Raw Data'!G100))=0),"",IF(AND(ISNUMBER('Raw Data'!G100), IFERROR('Raw Data'!G100 = ROUND('Raw Data'!G100, 2),FALSE)),"",_xlfn.REGEXEXTRACT(CELL("address",G100), "\$([A-Z]+)\$[0-9]+"))),_xlfn.REGEXEXTRACT(CELL("address",G100), "\$([A-Z]+)\$[0-9]+"))</f>
        <v/>
      </c>
      <c r="H100" s="7" t="str" cm="1">
        <f t="array" aca="1" ref="H100" ca="1">IFERROR(IF(OR('Raw Data'!H100="",LEN(TRIM('Raw Data'!H100))=0),"",IF(AND(ISNUMBER('Raw Data'!H100), IFERROR('Raw Data'!H100 = ROUND('Raw Data'!H100, 2),FALSE)),"",_xlfn.REGEXEXTRACT(CELL("address",H100), "\$([A-Z]+)\$[0-9]+"))),_xlfn.REGEXEXTRACT(CELL("address",H100), "\$([A-Z]+)\$[0-9]+"))</f>
        <v/>
      </c>
      <c r="I100" s="7" t="str" cm="1">
        <f t="array" aca="1" ref="I100" ca="1">IFERROR(IF(OR('Raw Data'!I100="",LEN(TRIM('Raw Data'!I100))=0),"",IF(AND(ISNUMBER('Raw Data'!I100), IFERROR('Raw Data'!I100 = ROUND('Raw Data'!I100, 2),FALSE)),"",_xlfn.REGEXEXTRACT(CELL("address",I100), "\$([A-Z]+)\$[0-9]+"))),_xlfn.REGEXEXTRACT(CELL("address",I100), "\$([A-Z]+)\$[0-9]+"))</f>
        <v/>
      </c>
      <c r="J100" s="7" t="str" cm="1">
        <f t="array" aca="1" ref="J100" ca="1">IFERROR(IF(OR('Raw Data'!J100="",LEN(TRIM('Raw Data'!J100))=0),"",IF(AND(ISNUMBER('Raw Data'!J100), IFERROR('Raw Data'!J100 = ROUND('Raw Data'!J100, 2),FALSE)),"",_xlfn.REGEXEXTRACT(CELL("address",J100), "\$([A-Z]+)\$[0-9]+"))),_xlfn.REGEXEXTRACT(CELL("address",J100), "\$([A-Z]+)\$[0-9]+"))</f>
        <v/>
      </c>
      <c r="K100" s="7" t="str" cm="1">
        <f t="array" aca="1" ref="K100" ca="1">IFERROR(IF(OR('Raw Data'!K100="",LEN(TRIM('Raw Data'!K100))=0),"",IF(AND(ISNUMBER('Raw Data'!K100), IFERROR('Raw Data'!K100 = ROUND('Raw Data'!K100, 2),FALSE)),"",_xlfn.REGEXEXTRACT(CELL("address",K100), "\$([A-Z]+)\$[0-9]+"))),_xlfn.REGEXEXTRACT(CELL("address",K100), "\$([A-Z]+)\$[0-9]+"))</f>
        <v/>
      </c>
      <c r="L100" s="7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7" t="str" cm="1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7" t="str" cm="1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  <c r="O100" s="7" t="str" cm="1">
        <f t="array" aca="1" ref="O100" ca="1">IFERROR(IF(OR('Raw Data'!O100="",LEN(TRIM('Raw Data'!O100))=0),"",IF(AND(ISNUMBER('Raw Data'!O100), IFERROR('Raw Data'!O100 = ROUND('Raw Data'!O100, 2),FALSE)),"",_xlfn.REGEXEXTRACT(CELL("address",O100), "\$([A-Z]+)\$[0-9]+"))),_xlfn.REGEXEXTRACT(CELL("address",O100), "\$([A-Z]+)\$[0-9]+"))</f>
        <v/>
      </c>
      <c r="P100" s="7" t="str" cm="1">
        <f t="array" aca="1" ref="P100" ca="1">IFERROR(IF(OR('Raw Data'!P100="",LEN(TRIM('Raw Data'!P100))=0),"",IF(AND(ISNUMBER('Raw Data'!P100), IFERROR('Raw Data'!P100 = ROUND('Raw Data'!P100, 2),FALSE)),"",_xlfn.REGEXEXTRACT(CELL("address",P100), "\$([A-Z]+)\$[0-9]+"))),_xlfn.REGEXEXTRACT(CELL("address",P100), "\$([A-Z]+)\$[0-9]+"))</f>
        <v/>
      </c>
      <c r="Q100" s="7" t="str" cm="1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7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7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7" t="str" cm="1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7" t="str" cm="1">
        <f t="array" aca="1" ref="U100" ca="1">IFERROR(IF(OR('Raw Data'!U100="",LEN(TRIM('Raw Data'!U100))=0),"",IF(AND(ISNUMBER('Raw Data'!U100), IFERROR('Raw Data'!U100 = ROUND('Raw Data'!U100, 2),FALSE)),"",_xlfn.REGEXEXTRACT(CELL("address",U100), "\$([A-Z]+)\$[0-9]+"))),_xlfn.REGEXEXTRACT(CELL("address",U100), "\$([A-Z]+)\$[0-9]+"))</f>
        <v/>
      </c>
      <c r="V100" s="7" t="str" cm="1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7" t="str" cm="1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7" t="str" cm="1">
        <f t="array" aca="1" ref="X100" ca="1">IFERROR(IF(OR('Raw Data'!X100="",LEN(TRIM('Raw Data'!X100))=0),"",IF(AND(ISNUMBER('Raw Data'!X100), IFERROR('Raw Data'!X100 = ROUND('Raw Data'!X100, 2),FALSE)),"",_xlfn.REGEXEXTRACT(CELL("address",X100), "\$([A-Z]+)\$[0-9]+"))),_xlfn.REGEXEXTRACT(CELL("address",X100), "\$([A-Z]+)\$[0-9]+"))</f>
        <v/>
      </c>
      <c r="Y100" s="7" t="str" cm="1">
        <f t="array" aca="1" ref="Y100" ca="1">IFERROR(IF(OR('Raw Data'!Y100="",LEN(TRIM('Raw Data'!Y100))=0),"",IF(AND(ISNUMBER('Raw Data'!Y100), IFERROR('Raw Data'!Y100 = ROUND('Raw Data'!Y100, 2),FALSE)),"",_xlfn.REGEXEXTRACT(CELL("address",Y100), "\$([A-Z]+)\$[0-9]+"))),_xlfn.REGEXEXTRACT(CELL("address",Y100), "\$([A-Z]+)\$[0-9]+"))</f>
        <v/>
      </c>
      <c r="Z100" s="7" t="str" cm="1">
        <f t="array" aca="1" ref="Z100" ca="1">IFERROR(IF(OR('Raw Data'!Z100="",LEN(TRIM('Raw Data'!Z100))=0),"",IF(AND(ISNUMBER('Raw Data'!Z100), IFERROR('Raw Data'!Z100 = ROUND('Raw Data'!Z100, 2),FALSE)),"",_xlfn.REGEXEXTRACT(CELL("address",Z100), "\$([A-Z]+)\$[0-9]+"))),_xlfn.REGEXEXTRACT(CELL("address",Z100), "\$([A-Z]+)\$[0-9]+"))</f>
        <v/>
      </c>
      <c r="AA100" s="7" t="str" cm="1">
        <f t="array" aca="1" ref="AA100" ca="1">IFERROR(IF(OR('Raw Data'!AA100="",LEN(TRIM('Raw Data'!AA100))=0),"",IF(AND(ISNUMBER('Raw Data'!AA100), IFERROR('Raw Data'!AA100 = ROUND('Raw Data'!AA100, 2),FALSE)),"",_xlfn.REGEXEXTRACT(CELL("address",AA100), "\$([A-Z]+)\$[0-9]+"))),_xlfn.REGEXEXTRACT(CELL("address",AA100), "\$([A-Z]+)\$[0-9]+"))</f>
        <v/>
      </c>
      <c r="AB100" s="7" t="str" cm="1">
        <f t="array" aca="1" ref="AB100" ca="1">IFERROR(IF(OR('Raw Data'!AB100="",LEN(TRIM('Raw Data'!AB100))=0),"",IF(AND(ISNUMBER('Raw Data'!AB100), IFERROR('Raw Data'!AB100 = ROUND('Raw Data'!AB100, 2),FALSE)),"",_xlfn.REGEXEXTRACT(CELL("address",AB100), "\$([A-Z]+)\$[0-9]+"))),_xlfn.REGEXEXTRACT(CELL("address",AB100), "\$([A-Z]+)\$[0-9]+"))</f>
        <v/>
      </c>
    </row>
    <row r="101" spans="2:28" x14ac:dyDescent="0.25">
      <c r="B101" s="7" t="str" cm="1">
        <f t="array" aca="1" ref="B101" ca="1">IFERROR(IF(OR('Raw Data'!B101="",LEN(TRIM('Raw Data'!B101))=0),"",IF(AND(LEN('Raw Data'!B101) &lt;= 255,LEN('Raw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20,LEN('Raw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Data'!D101))=0),"",IF(AND(ISNUMBER('Raw Data'!D101),'Raw Data'!D101&gt;=Configuration!$D$2),"",_xlfn.REGEXEXTRACT(CELL("address",'Raw Data'!D101),"\$([A-Z]+)\$[0-9]+"))),_xlfn.REGEXEXTRACT(CELL("address",D101), "\$([A-Z]+)\$[0-9]+"))</f>
        <v/>
      </c>
      <c r="E101" s="7" t="str" cm="1">
        <f t="array" aca="1" ref="E101" ca="1">IFERROR(IF(OR('Raw Data'!E101="",LEN(TRIM('Raw Data'!E101))=0),"",IF(AND(ISNUMBER('Raw Data'!E101), IFERROR('Raw Data'!E101 = ROUND('Raw Data'!E101, 2),FALSE)),"",_xlfn.REGEXEXTRACT(CELL("address",E101), "\$([A-Z]+)\$[0-9]+"))),_xlfn.REGEXEXTRACT(CELL("address",E101), "\$([A-Z]+)\$[0-9]+"))</f>
        <v/>
      </c>
      <c r="F101" s="7" t="str" cm="1">
        <f t="array" aca="1" ref="F101" ca="1">IFERROR(IF(OR('Raw Data'!F101="",LEN(TRIM('Raw Data'!F101))=0),"",IF(AND(ISNUMBER('Raw Data'!F101), IFERROR('Raw Data'!F101 = ROUND('Raw Data'!F101, 2),FALSE)),"",_xlfn.REGEXEXTRACT(CELL("address",F101), "\$([A-Z]+)\$[0-9]+"))),_xlfn.REGEXEXTRACT(CELL("address",F101), "\$([A-Z]+)\$[0-9]+"))</f>
        <v/>
      </c>
      <c r="G101" s="7" t="str" cm="1">
        <f t="array" aca="1" ref="G101" ca="1">IFERROR(IF(OR('Raw Data'!G101="",LEN(TRIM('Raw Data'!G101))=0),"",IF(AND(ISNUMBER('Raw Data'!G101), IFERROR('Raw Data'!G101 = ROUND('Raw Data'!G101, 2),FALSE)),"",_xlfn.REGEXEXTRACT(CELL("address",G101), "\$([A-Z]+)\$[0-9]+"))),_xlfn.REGEXEXTRACT(CELL("address",G101), "\$([A-Z]+)\$[0-9]+"))</f>
        <v/>
      </c>
      <c r="H101" s="7" t="str" cm="1">
        <f t="array" aca="1" ref="H101" ca="1">IFERROR(IF(OR('Raw Data'!H101="",LEN(TRIM('Raw Data'!H101))=0),"",IF(AND(ISNUMBER('Raw Data'!H101), IFERROR('Raw Data'!H101 = ROUND('Raw Data'!H101, 2),FALSE)),"",_xlfn.REGEXEXTRACT(CELL("address",H101), "\$([A-Z]+)\$[0-9]+"))),_xlfn.REGEXEXTRACT(CELL("address",H101), "\$([A-Z]+)\$[0-9]+"))</f>
        <v/>
      </c>
      <c r="I101" s="7" t="str" cm="1">
        <f t="array" aca="1" ref="I101" ca="1">IFERROR(IF(OR('Raw Data'!I101="",LEN(TRIM('Raw Data'!I101))=0),"",IF(AND(ISNUMBER('Raw Data'!I101), IFERROR('Raw Data'!I101 = ROUND('Raw Data'!I101, 2),FALSE)),"",_xlfn.REGEXEXTRACT(CELL("address",I101), "\$([A-Z]+)\$[0-9]+"))),_xlfn.REGEXEXTRACT(CELL("address",I101), "\$([A-Z]+)\$[0-9]+"))</f>
        <v/>
      </c>
      <c r="J101" s="7" t="str" cm="1">
        <f t="array" aca="1" ref="J101" ca="1">IFERROR(IF(OR('Raw Data'!J101="",LEN(TRIM('Raw Data'!J101))=0),"",IF(AND(ISNUMBER('Raw Data'!J101), IFERROR('Raw Data'!J101 = ROUND('Raw Data'!J101, 2),FALSE)),"",_xlfn.REGEXEXTRACT(CELL("address",J101), "\$([A-Z]+)\$[0-9]+"))),_xlfn.REGEXEXTRACT(CELL("address",J101), "\$([A-Z]+)\$[0-9]+"))</f>
        <v/>
      </c>
      <c r="K101" s="7" t="str" cm="1">
        <f t="array" aca="1" ref="K101" ca="1">IFERROR(IF(OR('Raw Data'!K101="",LEN(TRIM('Raw Data'!K101))=0),"",IF(AND(ISNUMBER('Raw Data'!K101), IFERROR('Raw Data'!K101 = ROUND('Raw Data'!K101, 2),FALSE)),"",_xlfn.REGEXEXTRACT(CELL("address",K101), "\$([A-Z]+)\$[0-9]+"))),_xlfn.REGEXEXTRACT(CELL("address",K101), "\$([A-Z]+)\$[0-9]+"))</f>
        <v/>
      </c>
      <c r="L101" s="7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7" t="str" cm="1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7" t="str" cm="1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  <c r="O101" s="7" t="str" cm="1">
        <f t="array" aca="1" ref="O101" ca="1">IFERROR(IF(OR('Raw Data'!O101="",LEN(TRIM('Raw Data'!O101))=0),"",IF(AND(ISNUMBER('Raw Data'!O101), IFERROR('Raw Data'!O101 = ROUND('Raw Data'!O101, 2),FALSE)),"",_xlfn.REGEXEXTRACT(CELL("address",O101), "\$([A-Z]+)\$[0-9]+"))),_xlfn.REGEXEXTRACT(CELL("address",O101), "\$([A-Z]+)\$[0-9]+"))</f>
        <v/>
      </c>
      <c r="P101" s="7" t="str" cm="1">
        <f t="array" aca="1" ref="P101" ca="1">IFERROR(IF(OR('Raw Data'!P101="",LEN(TRIM('Raw Data'!P101))=0),"",IF(AND(ISNUMBER('Raw Data'!P101), IFERROR('Raw Data'!P101 = ROUND('Raw Data'!P101, 2),FALSE)),"",_xlfn.REGEXEXTRACT(CELL("address",P101), "\$([A-Z]+)\$[0-9]+"))),_xlfn.REGEXEXTRACT(CELL("address",P101), "\$([A-Z]+)\$[0-9]+"))</f>
        <v/>
      </c>
      <c r="Q101" s="7" t="str" cm="1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7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7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7" t="str" cm="1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7" t="str" cm="1">
        <f t="array" aca="1" ref="U101" ca="1">IFERROR(IF(OR('Raw Data'!U101="",LEN(TRIM('Raw Data'!U101))=0),"",IF(AND(ISNUMBER('Raw Data'!U101), IFERROR('Raw Data'!U101 = ROUND('Raw Data'!U101, 2),FALSE)),"",_xlfn.REGEXEXTRACT(CELL("address",U101), "\$([A-Z]+)\$[0-9]+"))),_xlfn.REGEXEXTRACT(CELL("address",U101), "\$([A-Z]+)\$[0-9]+"))</f>
        <v/>
      </c>
      <c r="V101" s="7" t="str" cm="1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7" t="str" cm="1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7" t="str" cm="1">
        <f t="array" aca="1" ref="X101" ca="1">IFERROR(IF(OR('Raw Data'!X101="",LEN(TRIM('Raw Data'!X101))=0),"",IF(AND(ISNUMBER('Raw Data'!X101), IFERROR('Raw Data'!X101 = ROUND('Raw Data'!X101, 2),FALSE)),"",_xlfn.REGEXEXTRACT(CELL("address",X101), "\$([A-Z]+)\$[0-9]+"))),_xlfn.REGEXEXTRACT(CELL("address",X101), "\$([A-Z]+)\$[0-9]+"))</f>
        <v/>
      </c>
      <c r="Y101" s="7" t="str" cm="1">
        <f t="array" aca="1" ref="Y101" ca="1">IFERROR(IF(OR('Raw Data'!Y101="",LEN(TRIM('Raw Data'!Y101))=0),"",IF(AND(ISNUMBER('Raw Data'!Y101), IFERROR('Raw Data'!Y101 = ROUND('Raw Data'!Y101, 2),FALSE)),"",_xlfn.REGEXEXTRACT(CELL("address",Y101), "\$([A-Z]+)\$[0-9]+"))),_xlfn.REGEXEXTRACT(CELL("address",Y101), "\$([A-Z]+)\$[0-9]+"))</f>
        <v/>
      </c>
      <c r="Z101" s="7" t="str" cm="1">
        <f t="array" aca="1" ref="Z101" ca="1">IFERROR(IF(OR('Raw Data'!Z101="",LEN(TRIM('Raw Data'!Z101))=0),"",IF(AND(ISNUMBER('Raw Data'!Z101), IFERROR('Raw Data'!Z101 = ROUND('Raw Data'!Z101, 2),FALSE)),"",_xlfn.REGEXEXTRACT(CELL("address",Z101), "\$([A-Z]+)\$[0-9]+"))),_xlfn.REGEXEXTRACT(CELL("address",Z101), "\$([A-Z]+)\$[0-9]+"))</f>
        <v/>
      </c>
      <c r="AA101" s="7" t="str" cm="1">
        <f t="array" aca="1" ref="AA101" ca="1">IFERROR(IF(OR('Raw Data'!AA101="",LEN(TRIM('Raw Data'!AA101))=0),"",IF(AND(ISNUMBER('Raw Data'!AA101), IFERROR('Raw Data'!AA101 = ROUND('Raw Data'!AA101, 2),FALSE)),"",_xlfn.REGEXEXTRACT(CELL("address",AA101), "\$([A-Z]+)\$[0-9]+"))),_xlfn.REGEXEXTRACT(CELL("address",AA101), "\$([A-Z]+)\$[0-9]+"))</f>
        <v/>
      </c>
      <c r="AB101" s="7" t="str" cm="1">
        <f t="array" aca="1" ref="AB101" ca="1">IFERROR(IF(OR('Raw Data'!AB101="",LEN(TRIM('Raw Data'!AB101))=0),"",IF(AND(ISNUMBER('Raw Data'!AB101), IFERROR('Raw Data'!AB101 = ROUND('Raw Data'!AB101, 2),FALSE)),"",_xlfn.REGEXEXTRACT(CELL("address",AB101), "\$([A-Z]+)\$[0-9]+"))),_xlfn.REGEXEXTRACT(CELL("address",AB101), "\$([A-Z]+)\$[0-9]+"))</f>
        <v/>
      </c>
    </row>
    <row r="102" spans="2:28" x14ac:dyDescent="0.25">
      <c r="B102" s="7" t="str" cm="1">
        <f t="array" aca="1" ref="B102" ca="1">IFERROR(IF(OR('Raw Data'!B102="",LEN(TRIM('Raw Data'!B102))=0),"",IF(AND(LEN('Raw Data'!B102) &lt;= 255,LEN('Raw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20,LEN('Raw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Data'!D102))=0),"",IF(AND(ISNUMBER('Raw Data'!D102),'Raw Data'!D102&gt;=Configuration!$D$2),"",_xlfn.REGEXEXTRACT(CELL("address",'Raw Data'!D102),"\$([A-Z]+)\$[0-9]+"))),_xlfn.REGEXEXTRACT(CELL("address",D102), "\$([A-Z]+)\$[0-9]+"))</f>
        <v/>
      </c>
      <c r="E102" s="7" t="str" cm="1">
        <f t="array" aca="1" ref="E102" ca="1">IFERROR(IF(OR('Raw Data'!E102="",LEN(TRIM('Raw Data'!E102))=0),"",IF(AND(ISNUMBER('Raw Data'!E102), IFERROR('Raw Data'!E102 = ROUND('Raw Data'!E102, 2),FALSE)),"",_xlfn.REGEXEXTRACT(CELL("address",E102), "\$([A-Z]+)\$[0-9]+"))),_xlfn.REGEXEXTRACT(CELL("address",E102), "\$([A-Z]+)\$[0-9]+"))</f>
        <v/>
      </c>
      <c r="F102" s="7" t="str" cm="1">
        <f t="array" aca="1" ref="F102" ca="1">IFERROR(IF(OR('Raw Data'!F102="",LEN(TRIM('Raw Data'!F102))=0),"",IF(AND(ISNUMBER('Raw Data'!F102), IFERROR('Raw Data'!F102 = ROUND('Raw Data'!F102, 2),FALSE)),"",_xlfn.REGEXEXTRACT(CELL("address",F102), "\$([A-Z]+)\$[0-9]+"))),_xlfn.REGEXEXTRACT(CELL("address",F102), "\$([A-Z]+)\$[0-9]+"))</f>
        <v/>
      </c>
      <c r="G102" s="7" t="str" cm="1">
        <f t="array" aca="1" ref="G102" ca="1">IFERROR(IF(OR('Raw Data'!G102="",LEN(TRIM('Raw Data'!G102))=0),"",IF(AND(ISNUMBER('Raw Data'!G102), IFERROR('Raw Data'!G102 = ROUND('Raw Data'!G102, 2),FALSE)),"",_xlfn.REGEXEXTRACT(CELL("address",G102), "\$([A-Z]+)\$[0-9]+"))),_xlfn.REGEXEXTRACT(CELL("address",G102), "\$([A-Z]+)\$[0-9]+"))</f>
        <v/>
      </c>
      <c r="H102" s="7" t="str" cm="1">
        <f t="array" aca="1" ref="H102" ca="1">IFERROR(IF(OR('Raw Data'!H102="",LEN(TRIM('Raw Data'!H102))=0),"",IF(AND(ISNUMBER('Raw Data'!H102), IFERROR('Raw Data'!H102 = ROUND('Raw Data'!H102, 2),FALSE)),"",_xlfn.REGEXEXTRACT(CELL("address",H102), "\$([A-Z]+)\$[0-9]+"))),_xlfn.REGEXEXTRACT(CELL("address",H102), "\$([A-Z]+)\$[0-9]+"))</f>
        <v/>
      </c>
      <c r="I102" s="7" t="str" cm="1">
        <f t="array" aca="1" ref="I102" ca="1">IFERROR(IF(OR('Raw Data'!I102="",LEN(TRIM('Raw Data'!I102))=0),"",IF(AND(ISNUMBER('Raw Data'!I102), IFERROR('Raw Data'!I102 = ROUND('Raw Data'!I102, 2),FALSE)),"",_xlfn.REGEXEXTRACT(CELL("address",I102), "\$([A-Z]+)\$[0-9]+"))),_xlfn.REGEXEXTRACT(CELL("address",I102), "\$([A-Z]+)\$[0-9]+"))</f>
        <v/>
      </c>
      <c r="J102" s="7" t="str" cm="1">
        <f t="array" aca="1" ref="J102" ca="1">IFERROR(IF(OR('Raw Data'!J102="",LEN(TRIM('Raw Data'!J102))=0),"",IF(AND(ISNUMBER('Raw Data'!J102), IFERROR('Raw Data'!J102 = ROUND('Raw Data'!J102, 2),FALSE)),"",_xlfn.REGEXEXTRACT(CELL("address",J102), "\$([A-Z]+)\$[0-9]+"))),_xlfn.REGEXEXTRACT(CELL("address",J102), "\$([A-Z]+)\$[0-9]+"))</f>
        <v/>
      </c>
      <c r="K102" s="7" t="str" cm="1">
        <f t="array" aca="1" ref="K102" ca="1">IFERROR(IF(OR('Raw Data'!K102="",LEN(TRIM('Raw Data'!K102))=0),"",IF(AND(ISNUMBER('Raw Data'!K102), IFERROR('Raw Data'!K102 = ROUND('Raw Data'!K102, 2),FALSE)),"",_xlfn.REGEXEXTRACT(CELL("address",K102), "\$([A-Z]+)\$[0-9]+"))),_xlfn.REGEXEXTRACT(CELL("address",K102), "\$([A-Z]+)\$[0-9]+"))</f>
        <v/>
      </c>
      <c r="L102" s="7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7" t="str" cm="1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7" t="str" cm="1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  <c r="O102" s="7" t="str" cm="1">
        <f t="array" aca="1" ref="O102" ca="1">IFERROR(IF(OR('Raw Data'!O102="",LEN(TRIM('Raw Data'!O102))=0),"",IF(AND(ISNUMBER('Raw Data'!O102), IFERROR('Raw Data'!O102 = ROUND('Raw Data'!O102, 2),FALSE)),"",_xlfn.REGEXEXTRACT(CELL("address",O102), "\$([A-Z]+)\$[0-9]+"))),_xlfn.REGEXEXTRACT(CELL("address",O102), "\$([A-Z]+)\$[0-9]+"))</f>
        <v/>
      </c>
      <c r="P102" s="7" t="str" cm="1">
        <f t="array" aca="1" ref="P102" ca="1">IFERROR(IF(OR('Raw Data'!P102="",LEN(TRIM('Raw Data'!P102))=0),"",IF(AND(ISNUMBER('Raw Data'!P102), IFERROR('Raw Data'!P102 = ROUND('Raw Data'!P102, 2),FALSE)),"",_xlfn.REGEXEXTRACT(CELL("address",P102), "\$([A-Z]+)\$[0-9]+"))),_xlfn.REGEXEXTRACT(CELL("address",P102), "\$([A-Z]+)\$[0-9]+"))</f>
        <v/>
      </c>
      <c r="Q102" s="7" t="str" cm="1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7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7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7" t="str" cm="1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7" t="str" cm="1">
        <f t="array" aca="1" ref="U102" ca="1">IFERROR(IF(OR('Raw Data'!U102="",LEN(TRIM('Raw Data'!U102))=0),"",IF(AND(ISNUMBER('Raw Data'!U102), IFERROR('Raw Data'!U102 = ROUND('Raw Data'!U102, 2),FALSE)),"",_xlfn.REGEXEXTRACT(CELL("address",U102), "\$([A-Z]+)\$[0-9]+"))),_xlfn.REGEXEXTRACT(CELL("address",U102), "\$([A-Z]+)\$[0-9]+"))</f>
        <v/>
      </c>
      <c r="V102" s="7" t="str" cm="1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7" t="str" cm="1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7" t="str" cm="1">
        <f t="array" aca="1" ref="X102" ca="1">IFERROR(IF(OR('Raw Data'!X102="",LEN(TRIM('Raw Data'!X102))=0),"",IF(AND(ISNUMBER('Raw Data'!X102), IFERROR('Raw Data'!X102 = ROUND('Raw Data'!X102, 2),FALSE)),"",_xlfn.REGEXEXTRACT(CELL("address",X102), "\$([A-Z]+)\$[0-9]+"))),_xlfn.REGEXEXTRACT(CELL("address",X102), "\$([A-Z]+)\$[0-9]+"))</f>
        <v/>
      </c>
      <c r="Y102" s="7" t="str" cm="1">
        <f t="array" aca="1" ref="Y102" ca="1">IFERROR(IF(OR('Raw Data'!Y102="",LEN(TRIM('Raw Data'!Y102))=0),"",IF(AND(ISNUMBER('Raw Data'!Y102), IFERROR('Raw Data'!Y102 = ROUND('Raw Data'!Y102, 2),FALSE)),"",_xlfn.REGEXEXTRACT(CELL("address",Y102), "\$([A-Z]+)\$[0-9]+"))),_xlfn.REGEXEXTRACT(CELL("address",Y102), "\$([A-Z]+)\$[0-9]+"))</f>
        <v/>
      </c>
      <c r="Z102" s="7" t="str" cm="1">
        <f t="array" aca="1" ref="Z102" ca="1">IFERROR(IF(OR('Raw Data'!Z102="",LEN(TRIM('Raw Data'!Z102))=0),"",IF(AND(ISNUMBER('Raw Data'!Z102), IFERROR('Raw Data'!Z102 = ROUND('Raw Data'!Z102, 2),FALSE)),"",_xlfn.REGEXEXTRACT(CELL("address",Z102), "\$([A-Z]+)\$[0-9]+"))),_xlfn.REGEXEXTRACT(CELL("address",Z102), "\$([A-Z]+)\$[0-9]+"))</f>
        <v/>
      </c>
      <c r="AA102" s="7" t="str" cm="1">
        <f t="array" aca="1" ref="AA102" ca="1">IFERROR(IF(OR('Raw Data'!AA102="",LEN(TRIM('Raw Data'!AA102))=0),"",IF(AND(ISNUMBER('Raw Data'!AA102), IFERROR('Raw Data'!AA102 = ROUND('Raw Data'!AA102, 2),FALSE)),"",_xlfn.REGEXEXTRACT(CELL("address",AA102), "\$([A-Z]+)\$[0-9]+"))),_xlfn.REGEXEXTRACT(CELL("address",AA102), "\$([A-Z]+)\$[0-9]+"))</f>
        <v/>
      </c>
      <c r="AB102" s="7" t="str" cm="1">
        <f t="array" aca="1" ref="AB102" ca="1">IFERROR(IF(OR('Raw Data'!AB102="",LEN(TRIM('Raw Data'!AB102))=0),"",IF(AND(ISNUMBER('Raw Data'!AB102), IFERROR('Raw Data'!AB102 = ROUND('Raw Data'!AB102, 2),FALSE)),"",_xlfn.REGEXEXTRACT(CELL("address",AB102), "\$([A-Z]+)\$[0-9]+"))),_xlfn.REGEXEXTRACT(CELL("address",AB102), "\$([A-Z]+)\$[0-9]+"))</f>
        <v/>
      </c>
    </row>
    <row r="103" spans="2:28" x14ac:dyDescent="0.25">
      <c r="B103" s="7" t="str" cm="1">
        <f t="array" aca="1" ref="B103" ca="1">IFERROR(IF(OR('Raw Data'!B103="",LEN(TRIM('Raw Data'!B103))=0),"",IF(AND(LEN('Raw Data'!B103) &lt;= 255,LEN('Raw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20,LEN('Raw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Data'!D103))=0),"",IF(AND(ISNUMBER('Raw Data'!D103),'Raw Data'!D103&gt;=Configuration!$D$2),"",_xlfn.REGEXEXTRACT(CELL("address",'Raw Data'!D103),"\$([A-Z]+)\$[0-9]+"))),_xlfn.REGEXEXTRACT(CELL("address",D103), "\$([A-Z]+)\$[0-9]+"))</f>
        <v/>
      </c>
      <c r="E103" s="7" t="str" cm="1">
        <f t="array" aca="1" ref="E103" ca="1">IFERROR(IF(OR('Raw Data'!E103="",LEN(TRIM('Raw Data'!E103))=0),"",IF(AND(ISNUMBER('Raw Data'!E103), IFERROR('Raw Data'!E103 = ROUND('Raw Data'!E103, 2),FALSE)),"",_xlfn.REGEXEXTRACT(CELL("address",E103), "\$([A-Z]+)\$[0-9]+"))),_xlfn.REGEXEXTRACT(CELL("address",E103), "\$([A-Z]+)\$[0-9]+"))</f>
        <v/>
      </c>
      <c r="F103" s="7" t="str" cm="1">
        <f t="array" aca="1" ref="F103" ca="1">IFERROR(IF(OR('Raw Data'!F103="",LEN(TRIM('Raw Data'!F103))=0),"",IF(AND(ISNUMBER('Raw Data'!F103), IFERROR('Raw Data'!F103 = ROUND('Raw Data'!F103, 2),FALSE)),"",_xlfn.REGEXEXTRACT(CELL("address",F103), "\$([A-Z]+)\$[0-9]+"))),_xlfn.REGEXEXTRACT(CELL("address",F103), "\$([A-Z]+)\$[0-9]+"))</f>
        <v/>
      </c>
      <c r="G103" s="7" t="str" cm="1">
        <f t="array" aca="1" ref="G103" ca="1">IFERROR(IF(OR('Raw Data'!G103="",LEN(TRIM('Raw Data'!G103))=0),"",IF(AND(ISNUMBER('Raw Data'!G103), IFERROR('Raw Data'!G103 = ROUND('Raw Data'!G103, 2),FALSE)),"",_xlfn.REGEXEXTRACT(CELL("address",G103), "\$([A-Z]+)\$[0-9]+"))),_xlfn.REGEXEXTRACT(CELL("address",G103), "\$([A-Z]+)\$[0-9]+"))</f>
        <v/>
      </c>
      <c r="H103" s="7" t="str" cm="1">
        <f t="array" aca="1" ref="H103" ca="1">IFERROR(IF(OR('Raw Data'!H103="",LEN(TRIM('Raw Data'!H103))=0),"",IF(AND(ISNUMBER('Raw Data'!H103), IFERROR('Raw Data'!H103 = ROUND('Raw Data'!H103, 2),FALSE)),"",_xlfn.REGEXEXTRACT(CELL("address",H103), "\$([A-Z]+)\$[0-9]+"))),_xlfn.REGEXEXTRACT(CELL("address",H103), "\$([A-Z]+)\$[0-9]+"))</f>
        <v/>
      </c>
      <c r="I103" s="7" t="str" cm="1">
        <f t="array" aca="1" ref="I103" ca="1">IFERROR(IF(OR('Raw Data'!I103="",LEN(TRIM('Raw Data'!I103))=0),"",IF(AND(ISNUMBER('Raw Data'!I103), IFERROR('Raw Data'!I103 = ROUND('Raw Data'!I103, 2),FALSE)),"",_xlfn.REGEXEXTRACT(CELL("address",I103), "\$([A-Z]+)\$[0-9]+"))),_xlfn.REGEXEXTRACT(CELL("address",I103), "\$([A-Z]+)\$[0-9]+"))</f>
        <v/>
      </c>
      <c r="J103" s="7" t="str" cm="1">
        <f t="array" aca="1" ref="J103" ca="1">IFERROR(IF(OR('Raw Data'!J103="",LEN(TRIM('Raw Data'!J103))=0),"",IF(AND(ISNUMBER('Raw Data'!J103), IFERROR('Raw Data'!J103 = ROUND('Raw Data'!J103, 2),FALSE)),"",_xlfn.REGEXEXTRACT(CELL("address",J103), "\$([A-Z]+)\$[0-9]+"))),_xlfn.REGEXEXTRACT(CELL("address",J103), "\$([A-Z]+)\$[0-9]+"))</f>
        <v/>
      </c>
      <c r="K103" s="7" t="str" cm="1">
        <f t="array" aca="1" ref="K103" ca="1">IFERROR(IF(OR('Raw Data'!K103="",LEN(TRIM('Raw Data'!K103))=0),"",IF(AND(ISNUMBER('Raw Data'!K103), IFERROR('Raw Data'!K103 = ROUND('Raw Data'!K103, 2),FALSE)),"",_xlfn.REGEXEXTRACT(CELL("address",K103), "\$([A-Z]+)\$[0-9]+"))),_xlfn.REGEXEXTRACT(CELL("address",K103), "\$([A-Z]+)\$[0-9]+"))</f>
        <v/>
      </c>
      <c r="L103" s="7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7" t="str" cm="1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7" t="str" cm="1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  <c r="O103" s="7" t="str" cm="1">
        <f t="array" aca="1" ref="O103" ca="1">IFERROR(IF(OR('Raw Data'!O103="",LEN(TRIM('Raw Data'!O103))=0),"",IF(AND(ISNUMBER('Raw Data'!O103), IFERROR('Raw Data'!O103 = ROUND('Raw Data'!O103, 2),FALSE)),"",_xlfn.REGEXEXTRACT(CELL("address",O103), "\$([A-Z]+)\$[0-9]+"))),_xlfn.REGEXEXTRACT(CELL("address",O103), "\$([A-Z]+)\$[0-9]+"))</f>
        <v/>
      </c>
      <c r="P103" s="7" t="str" cm="1">
        <f t="array" aca="1" ref="P103" ca="1">IFERROR(IF(OR('Raw Data'!P103="",LEN(TRIM('Raw Data'!P103))=0),"",IF(AND(ISNUMBER('Raw Data'!P103), IFERROR('Raw Data'!P103 = ROUND('Raw Data'!P103, 2),FALSE)),"",_xlfn.REGEXEXTRACT(CELL("address",P103), "\$([A-Z]+)\$[0-9]+"))),_xlfn.REGEXEXTRACT(CELL("address",P103), "\$([A-Z]+)\$[0-9]+"))</f>
        <v/>
      </c>
      <c r="Q103" s="7" t="str" cm="1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7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7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7" t="str" cm="1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7" t="str" cm="1">
        <f t="array" aca="1" ref="U103" ca="1">IFERROR(IF(OR('Raw Data'!U103="",LEN(TRIM('Raw Data'!U103))=0),"",IF(AND(ISNUMBER('Raw Data'!U103), IFERROR('Raw Data'!U103 = ROUND('Raw Data'!U103, 2),FALSE)),"",_xlfn.REGEXEXTRACT(CELL("address",U103), "\$([A-Z]+)\$[0-9]+"))),_xlfn.REGEXEXTRACT(CELL("address",U103), "\$([A-Z]+)\$[0-9]+"))</f>
        <v/>
      </c>
      <c r="V103" s="7" t="str" cm="1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7" t="str" cm="1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7" t="str" cm="1">
        <f t="array" aca="1" ref="X103" ca="1">IFERROR(IF(OR('Raw Data'!X103="",LEN(TRIM('Raw Data'!X103))=0),"",IF(AND(ISNUMBER('Raw Data'!X103), IFERROR('Raw Data'!X103 = ROUND('Raw Data'!X103, 2),FALSE)),"",_xlfn.REGEXEXTRACT(CELL("address",X103), "\$([A-Z]+)\$[0-9]+"))),_xlfn.REGEXEXTRACT(CELL("address",X103), "\$([A-Z]+)\$[0-9]+"))</f>
        <v/>
      </c>
      <c r="Y103" s="7" t="str" cm="1">
        <f t="array" aca="1" ref="Y103" ca="1">IFERROR(IF(OR('Raw Data'!Y103="",LEN(TRIM('Raw Data'!Y103))=0),"",IF(AND(ISNUMBER('Raw Data'!Y103), IFERROR('Raw Data'!Y103 = ROUND('Raw Data'!Y103, 2),FALSE)),"",_xlfn.REGEXEXTRACT(CELL("address",Y103), "\$([A-Z]+)\$[0-9]+"))),_xlfn.REGEXEXTRACT(CELL("address",Y103), "\$([A-Z]+)\$[0-9]+"))</f>
        <v/>
      </c>
      <c r="Z103" s="7" t="str" cm="1">
        <f t="array" aca="1" ref="Z103" ca="1">IFERROR(IF(OR('Raw Data'!Z103="",LEN(TRIM('Raw Data'!Z103))=0),"",IF(AND(ISNUMBER('Raw Data'!Z103), IFERROR('Raw Data'!Z103 = ROUND('Raw Data'!Z103, 2),FALSE)),"",_xlfn.REGEXEXTRACT(CELL("address",Z103), "\$([A-Z]+)\$[0-9]+"))),_xlfn.REGEXEXTRACT(CELL("address",Z103), "\$([A-Z]+)\$[0-9]+"))</f>
        <v/>
      </c>
      <c r="AA103" s="7" t="str" cm="1">
        <f t="array" aca="1" ref="AA103" ca="1">IFERROR(IF(OR('Raw Data'!AA103="",LEN(TRIM('Raw Data'!AA103))=0),"",IF(AND(ISNUMBER('Raw Data'!AA103), IFERROR('Raw Data'!AA103 = ROUND('Raw Data'!AA103, 2),FALSE)),"",_xlfn.REGEXEXTRACT(CELL("address",AA103), "\$([A-Z]+)\$[0-9]+"))),_xlfn.REGEXEXTRACT(CELL("address",AA103), "\$([A-Z]+)\$[0-9]+"))</f>
        <v/>
      </c>
      <c r="AB103" s="7" t="str" cm="1">
        <f t="array" aca="1" ref="AB103" ca="1">IFERROR(IF(OR('Raw Data'!AB103="",LEN(TRIM('Raw Data'!AB103))=0),"",IF(AND(ISNUMBER('Raw Data'!AB103), IFERROR('Raw Data'!AB103 = ROUND('Raw Data'!AB103, 2),FALSE)),"",_xlfn.REGEXEXTRACT(CELL("address",AB103), "\$([A-Z]+)\$[0-9]+"))),_xlfn.REGEXEXTRACT(CELL("address",AB103), "\$([A-Z]+)\$[0-9]+"))</f>
        <v/>
      </c>
    </row>
    <row r="104" spans="2:28" x14ac:dyDescent="0.25">
      <c r="B104" s="7" t="str" cm="1">
        <f t="array" aca="1" ref="B104" ca="1">IFERROR(IF(OR('Raw Data'!B104="",LEN(TRIM('Raw Data'!B104))=0),"",IF(AND(LEN('Raw Data'!B104) &lt;= 255,LEN('Raw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20,LEN('Raw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Data'!D104))=0),"",IF(AND(ISNUMBER('Raw Data'!D104),'Raw Data'!D104&gt;=Configuration!$D$2),"",_xlfn.REGEXEXTRACT(CELL("address",'Raw Data'!D104),"\$([A-Z]+)\$[0-9]+"))),_xlfn.REGEXEXTRACT(CELL("address",D104), "\$([A-Z]+)\$[0-9]+"))</f>
        <v/>
      </c>
      <c r="E104" s="7" t="str" cm="1">
        <f t="array" aca="1" ref="E104" ca="1">IFERROR(IF(OR('Raw Data'!E104="",LEN(TRIM('Raw Data'!E104))=0),"",IF(AND(ISNUMBER('Raw Data'!E104), IFERROR('Raw Data'!E104 = ROUND('Raw Data'!E104, 2),FALSE)),"",_xlfn.REGEXEXTRACT(CELL("address",E104), "\$([A-Z]+)\$[0-9]+"))),_xlfn.REGEXEXTRACT(CELL("address",E104), "\$([A-Z]+)\$[0-9]+"))</f>
        <v/>
      </c>
      <c r="F104" s="7" t="str" cm="1">
        <f t="array" aca="1" ref="F104" ca="1">IFERROR(IF(OR('Raw Data'!F104="",LEN(TRIM('Raw Data'!F104))=0),"",IF(AND(ISNUMBER('Raw Data'!F104), IFERROR('Raw Data'!F104 = ROUND('Raw Data'!F104, 2),FALSE)),"",_xlfn.REGEXEXTRACT(CELL("address",F104), "\$([A-Z]+)\$[0-9]+"))),_xlfn.REGEXEXTRACT(CELL("address",F104), "\$([A-Z]+)\$[0-9]+"))</f>
        <v/>
      </c>
      <c r="G104" s="7" t="str" cm="1">
        <f t="array" aca="1" ref="G104" ca="1">IFERROR(IF(OR('Raw Data'!G104="",LEN(TRIM('Raw Data'!G104))=0),"",IF(AND(ISNUMBER('Raw Data'!G104), IFERROR('Raw Data'!G104 = ROUND('Raw Data'!G104, 2),FALSE)),"",_xlfn.REGEXEXTRACT(CELL("address",G104), "\$([A-Z]+)\$[0-9]+"))),_xlfn.REGEXEXTRACT(CELL("address",G104), "\$([A-Z]+)\$[0-9]+"))</f>
        <v/>
      </c>
      <c r="H104" s="7" t="str" cm="1">
        <f t="array" aca="1" ref="H104" ca="1">IFERROR(IF(OR('Raw Data'!H104="",LEN(TRIM('Raw Data'!H104))=0),"",IF(AND(ISNUMBER('Raw Data'!H104), IFERROR('Raw Data'!H104 = ROUND('Raw Data'!H104, 2),FALSE)),"",_xlfn.REGEXEXTRACT(CELL("address",H104), "\$([A-Z]+)\$[0-9]+"))),_xlfn.REGEXEXTRACT(CELL("address",H104), "\$([A-Z]+)\$[0-9]+"))</f>
        <v/>
      </c>
      <c r="I104" s="7" t="str" cm="1">
        <f t="array" aca="1" ref="I104" ca="1">IFERROR(IF(OR('Raw Data'!I104="",LEN(TRIM('Raw Data'!I104))=0),"",IF(AND(ISNUMBER('Raw Data'!I104), IFERROR('Raw Data'!I104 = ROUND('Raw Data'!I104, 2),FALSE)),"",_xlfn.REGEXEXTRACT(CELL("address",I104), "\$([A-Z]+)\$[0-9]+"))),_xlfn.REGEXEXTRACT(CELL("address",I104), "\$([A-Z]+)\$[0-9]+"))</f>
        <v/>
      </c>
      <c r="J104" s="7" t="str" cm="1">
        <f t="array" aca="1" ref="J104" ca="1">IFERROR(IF(OR('Raw Data'!J104="",LEN(TRIM('Raw Data'!J104))=0),"",IF(AND(ISNUMBER('Raw Data'!J104), IFERROR('Raw Data'!J104 = ROUND('Raw Data'!J104, 2),FALSE)),"",_xlfn.REGEXEXTRACT(CELL("address",J104), "\$([A-Z]+)\$[0-9]+"))),_xlfn.REGEXEXTRACT(CELL("address",J104), "\$([A-Z]+)\$[0-9]+"))</f>
        <v/>
      </c>
      <c r="K104" s="7" t="str" cm="1">
        <f t="array" aca="1" ref="K104" ca="1">IFERROR(IF(OR('Raw Data'!K104="",LEN(TRIM('Raw Data'!K104))=0),"",IF(AND(ISNUMBER('Raw Data'!K104), IFERROR('Raw Data'!K104 = ROUND('Raw Data'!K104, 2),FALSE)),"",_xlfn.REGEXEXTRACT(CELL("address",K104), "\$([A-Z]+)\$[0-9]+"))),_xlfn.REGEXEXTRACT(CELL("address",K104), "\$([A-Z]+)\$[0-9]+"))</f>
        <v/>
      </c>
      <c r="L104" s="7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7" t="str" cm="1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7" t="str" cm="1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  <c r="O104" s="7" t="str" cm="1">
        <f t="array" aca="1" ref="O104" ca="1">IFERROR(IF(OR('Raw Data'!O104="",LEN(TRIM('Raw Data'!O104))=0),"",IF(AND(ISNUMBER('Raw Data'!O104), IFERROR('Raw Data'!O104 = ROUND('Raw Data'!O104, 2),FALSE)),"",_xlfn.REGEXEXTRACT(CELL("address",O104), "\$([A-Z]+)\$[0-9]+"))),_xlfn.REGEXEXTRACT(CELL("address",O104), "\$([A-Z]+)\$[0-9]+"))</f>
        <v/>
      </c>
      <c r="P104" s="7" t="str" cm="1">
        <f t="array" aca="1" ref="P104" ca="1">IFERROR(IF(OR('Raw Data'!P104="",LEN(TRIM('Raw Data'!P104))=0),"",IF(AND(ISNUMBER('Raw Data'!P104), IFERROR('Raw Data'!P104 = ROUND('Raw Data'!P104, 2),FALSE)),"",_xlfn.REGEXEXTRACT(CELL("address",P104), "\$([A-Z]+)\$[0-9]+"))),_xlfn.REGEXEXTRACT(CELL("address",P104), "\$([A-Z]+)\$[0-9]+"))</f>
        <v/>
      </c>
      <c r="Q104" s="7" t="str" cm="1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7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7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7" t="str" cm="1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7" t="str" cm="1">
        <f t="array" aca="1" ref="U104" ca="1">IFERROR(IF(OR('Raw Data'!U104="",LEN(TRIM('Raw Data'!U104))=0),"",IF(AND(ISNUMBER('Raw Data'!U104), IFERROR('Raw Data'!U104 = ROUND('Raw Data'!U104, 2),FALSE)),"",_xlfn.REGEXEXTRACT(CELL("address",U104), "\$([A-Z]+)\$[0-9]+"))),_xlfn.REGEXEXTRACT(CELL("address",U104), "\$([A-Z]+)\$[0-9]+"))</f>
        <v/>
      </c>
      <c r="V104" s="7" t="str" cm="1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7" t="str" cm="1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7" t="str" cm="1">
        <f t="array" aca="1" ref="X104" ca="1">IFERROR(IF(OR('Raw Data'!X104="",LEN(TRIM('Raw Data'!X104))=0),"",IF(AND(ISNUMBER('Raw Data'!X104), IFERROR('Raw Data'!X104 = ROUND('Raw Data'!X104, 2),FALSE)),"",_xlfn.REGEXEXTRACT(CELL("address",X104), "\$([A-Z]+)\$[0-9]+"))),_xlfn.REGEXEXTRACT(CELL("address",X104), "\$([A-Z]+)\$[0-9]+"))</f>
        <v/>
      </c>
      <c r="Y104" s="7" t="str" cm="1">
        <f t="array" aca="1" ref="Y104" ca="1">IFERROR(IF(OR('Raw Data'!Y104="",LEN(TRIM('Raw Data'!Y104))=0),"",IF(AND(ISNUMBER('Raw Data'!Y104), IFERROR('Raw Data'!Y104 = ROUND('Raw Data'!Y104, 2),FALSE)),"",_xlfn.REGEXEXTRACT(CELL("address",Y104), "\$([A-Z]+)\$[0-9]+"))),_xlfn.REGEXEXTRACT(CELL("address",Y104), "\$([A-Z]+)\$[0-9]+"))</f>
        <v/>
      </c>
      <c r="Z104" s="7" t="str" cm="1">
        <f t="array" aca="1" ref="Z104" ca="1">IFERROR(IF(OR('Raw Data'!Z104="",LEN(TRIM('Raw Data'!Z104))=0),"",IF(AND(ISNUMBER('Raw Data'!Z104), IFERROR('Raw Data'!Z104 = ROUND('Raw Data'!Z104, 2),FALSE)),"",_xlfn.REGEXEXTRACT(CELL("address",Z104), "\$([A-Z]+)\$[0-9]+"))),_xlfn.REGEXEXTRACT(CELL("address",Z104), "\$([A-Z]+)\$[0-9]+"))</f>
        <v/>
      </c>
      <c r="AA104" s="7" t="str" cm="1">
        <f t="array" aca="1" ref="AA104" ca="1">IFERROR(IF(OR('Raw Data'!AA104="",LEN(TRIM('Raw Data'!AA104))=0),"",IF(AND(ISNUMBER('Raw Data'!AA104), IFERROR('Raw Data'!AA104 = ROUND('Raw Data'!AA104, 2),FALSE)),"",_xlfn.REGEXEXTRACT(CELL("address",AA104), "\$([A-Z]+)\$[0-9]+"))),_xlfn.REGEXEXTRACT(CELL("address",AA104), "\$([A-Z]+)\$[0-9]+"))</f>
        <v/>
      </c>
      <c r="AB104" s="7" t="str" cm="1">
        <f t="array" aca="1" ref="AB104" ca="1">IFERROR(IF(OR('Raw Data'!AB104="",LEN(TRIM('Raw Data'!AB104))=0),"",IF(AND(ISNUMBER('Raw Data'!AB104), IFERROR('Raw Data'!AB104 = ROUND('Raw Data'!AB104, 2),FALSE)),"",_xlfn.REGEXEXTRACT(CELL("address",AB104), "\$([A-Z]+)\$[0-9]+"))),_xlfn.REGEXEXTRACT(CELL("address",AB104), "\$([A-Z]+)\$[0-9]+"))</f>
        <v/>
      </c>
    </row>
    <row r="105" spans="2:28" x14ac:dyDescent="0.25">
      <c r="B105" s="7" t="str" cm="1">
        <f t="array" aca="1" ref="B105" ca="1">IFERROR(IF(OR('Raw Data'!B105="",LEN(TRIM('Raw Data'!B105))=0),"",IF(AND(LEN('Raw Data'!B105) &lt;= 255,LEN('Raw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20,LEN('Raw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Data'!D105))=0),"",IF(AND(ISNUMBER('Raw Data'!D105),'Raw Data'!D105&gt;=Configuration!$D$2),"",_xlfn.REGEXEXTRACT(CELL("address",'Raw Data'!D105),"\$([A-Z]+)\$[0-9]+"))),_xlfn.REGEXEXTRACT(CELL("address",D105), "\$([A-Z]+)\$[0-9]+"))</f>
        <v/>
      </c>
      <c r="E105" s="7" t="str" cm="1">
        <f t="array" aca="1" ref="E105" ca="1">IFERROR(IF(OR('Raw Data'!E105="",LEN(TRIM('Raw Data'!E105))=0),"",IF(AND(ISNUMBER('Raw Data'!E105), IFERROR('Raw Data'!E105 = ROUND('Raw Data'!E105, 2),FALSE)),"",_xlfn.REGEXEXTRACT(CELL("address",E105), "\$([A-Z]+)\$[0-9]+"))),_xlfn.REGEXEXTRACT(CELL("address",E105), "\$([A-Z]+)\$[0-9]+"))</f>
        <v/>
      </c>
      <c r="F105" s="7" t="str" cm="1">
        <f t="array" aca="1" ref="F105" ca="1">IFERROR(IF(OR('Raw Data'!F105="",LEN(TRIM('Raw Data'!F105))=0),"",IF(AND(ISNUMBER('Raw Data'!F105), IFERROR('Raw Data'!F105 = ROUND('Raw Data'!F105, 2),FALSE)),"",_xlfn.REGEXEXTRACT(CELL("address",F105), "\$([A-Z]+)\$[0-9]+"))),_xlfn.REGEXEXTRACT(CELL("address",F105), "\$([A-Z]+)\$[0-9]+"))</f>
        <v/>
      </c>
      <c r="G105" s="7" t="str" cm="1">
        <f t="array" aca="1" ref="G105" ca="1">IFERROR(IF(OR('Raw Data'!G105="",LEN(TRIM('Raw Data'!G105))=0),"",IF(AND(ISNUMBER('Raw Data'!G105), IFERROR('Raw Data'!G105 = ROUND('Raw Data'!G105, 2),FALSE)),"",_xlfn.REGEXEXTRACT(CELL("address",G105), "\$([A-Z]+)\$[0-9]+"))),_xlfn.REGEXEXTRACT(CELL("address",G105), "\$([A-Z]+)\$[0-9]+"))</f>
        <v/>
      </c>
      <c r="H105" s="7" t="str" cm="1">
        <f t="array" aca="1" ref="H105" ca="1">IFERROR(IF(OR('Raw Data'!H105="",LEN(TRIM('Raw Data'!H105))=0),"",IF(AND(ISNUMBER('Raw Data'!H105), IFERROR('Raw Data'!H105 = ROUND('Raw Data'!H105, 2),FALSE)),"",_xlfn.REGEXEXTRACT(CELL("address",H105), "\$([A-Z]+)\$[0-9]+"))),_xlfn.REGEXEXTRACT(CELL("address",H105), "\$([A-Z]+)\$[0-9]+"))</f>
        <v/>
      </c>
      <c r="I105" s="7" t="str" cm="1">
        <f t="array" aca="1" ref="I105" ca="1">IFERROR(IF(OR('Raw Data'!I105="",LEN(TRIM('Raw Data'!I105))=0),"",IF(AND(ISNUMBER('Raw Data'!I105), IFERROR('Raw Data'!I105 = ROUND('Raw Data'!I105, 2),FALSE)),"",_xlfn.REGEXEXTRACT(CELL("address",I105), "\$([A-Z]+)\$[0-9]+"))),_xlfn.REGEXEXTRACT(CELL("address",I105), "\$([A-Z]+)\$[0-9]+"))</f>
        <v/>
      </c>
      <c r="J105" s="7" t="str" cm="1">
        <f t="array" aca="1" ref="J105" ca="1">IFERROR(IF(OR('Raw Data'!J105="",LEN(TRIM('Raw Data'!J105))=0),"",IF(AND(ISNUMBER('Raw Data'!J105), IFERROR('Raw Data'!J105 = ROUND('Raw Data'!J105, 2),FALSE)),"",_xlfn.REGEXEXTRACT(CELL("address",J105), "\$([A-Z]+)\$[0-9]+"))),_xlfn.REGEXEXTRACT(CELL("address",J105), "\$([A-Z]+)\$[0-9]+"))</f>
        <v/>
      </c>
      <c r="K105" s="7" t="str" cm="1">
        <f t="array" aca="1" ref="K105" ca="1">IFERROR(IF(OR('Raw Data'!K105="",LEN(TRIM('Raw Data'!K105))=0),"",IF(AND(ISNUMBER('Raw Data'!K105), IFERROR('Raw Data'!K105 = ROUND('Raw Data'!K105, 2),FALSE)),"",_xlfn.REGEXEXTRACT(CELL("address",K105), "\$([A-Z]+)\$[0-9]+"))),_xlfn.REGEXEXTRACT(CELL("address",K105), "\$([A-Z]+)\$[0-9]+"))</f>
        <v/>
      </c>
      <c r="L105" s="7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7" t="str" cm="1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7" t="str" cm="1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  <c r="O105" s="7" t="str" cm="1">
        <f t="array" aca="1" ref="O105" ca="1">IFERROR(IF(OR('Raw Data'!O105="",LEN(TRIM('Raw Data'!O105))=0),"",IF(AND(ISNUMBER('Raw Data'!O105), IFERROR('Raw Data'!O105 = ROUND('Raw Data'!O105, 2),FALSE)),"",_xlfn.REGEXEXTRACT(CELL("address",O105), "\$([A-Z]+)\$[0-9]+"))),_xlfn.REGEXEXTRACT(CELL("address",O105), "\$([A-Z]+)\$[0-9]+"))</f>
        <v/>
      </c>
      <c r="P105" s="7" t="str" cm="1">
        <f t="array" aca="1" ref="P105" ca="1">IFERROR(IF(OR('Raw Data'!P105="",LEN(TRIM('Raw Data'!P105))=0),"",IF(AND(ISNUMBER('Raw Data'!P105), IFERROR('Raw Data'!P105 = ROUND('Raw Data'!P105, 2),FALSE)),"",_xlfn.REGEXEXTRACT(CELL("address",P105), "\$([A-Z]+)\$[0-9]+"))),_xlfn.REGEXEXTRACT(CELL("address",P105), "\$([A-Z]+)\$[0-9]+"))</f>
        <v/>
      </c>
      <c r="Q105" s="7" t="str" cm="1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7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7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7" t="str" cm="1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7" t="str" cm="1">
        <f t="array" aca="1" ref="U105" ca="1">IFERROR(IF(OR('Raw Data'!U105="",LEN(TRIM('Raw Data'!U105))=0),"",IF(AND(ISNUMBER('Raw Data'!U105), IFERROR('Raw Data'!U105 = ROUND('Raw Data'!U105, 2),FALSE)),"",_xlfn.REGEXEXTRACT(CELL("address",U105), "\$([A-Z]+)\$[0-9]+"))),_xlfn.REGEXEXTRACT(CELL("address",U105), "\$([A-Z]+)\$[0-9]+"))</f>
        <v/>
      </c>
      <c r="V105" s="7" t="str" cm="1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7" t="str" cm="1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7" t="str" cm="1">
        <f t="array" aca="1" ref="X105" ca="1">IFERROR(IF(OR('Raw Data'!X105="",LEN(TRIM('Raw Data'!X105))=0),"",IF(AND(ISNUMBER('Raw Data'!X105), IFERROR('Raw Data'!X105 = ROUND('Raw Data'!X105, 2),FALSE)),"",_xlfn.REGEXEXTRACT(CELL("address",X105), "\$([A-Z]+)\$[0-9]+"))),_xlfn.REGEXEXTRACT(CELL("address",X105), "\$([A-Z]+)\$[0-9]+"))</f>
        <v/>
      </c>
      <c r="Y105" s="7" t="str" cm="1">
        <f t="array" aca="1" ref="Y105" ca="1">IFERROR(IF(OR('Raw Data'!Y105="",LEN(TRIM('Raw Data'!Y105))=0),"",IF(AND(ISNUMBER('Raw Data'!Y105), IFERROR('Raw Data'!Y105 = ROUND('Raw Data'!Y105, 2),FALSE)),"",_xlfn.REGEXEXTRACT(CELL("address",Y105), "\$([A-Z]+)\$[0-9]+"))),_xlfn.REGEXEXTRACT(CELL("address",Y105), "\$([A-Z]+)\$[0-9]+"))</f>
        <v/>
      </c>
      <c r="Z105" s="7" t="str" cm="1">
        <f t="array" aca="1" ref="Z105" ca="1">IFERROR(IF(OR('Raw Data'!Z105="",LEN(TRIM('Raw Data'!Z105))=0),"",IF(AND(ISNUMBER('Raw Data'!Z105), IFERROR('Raw Data'!Z105 = ROUND('Raw Data'!Z105, 2),FALSE)),"",_xlfn.REGEXEXTRACT(CELL("address",Z105), "\$([A-Z]+)\$[0-9]+"))),_xlfn.REGEXEXTRACT(CELL("address",Z105), "\$([A-Z]+)\$[0-9]+"))</f>
        <v/>
      </c>
      <c r="AA105" s="7" t="str" cm="1">
        <f t="array" aca="1" ref="AA105" ca="1">IFERROR(IF(OR('Raw Data'!AA105="",LEN(TRIM('Raw Data'!AA105))=0),"",IF(AND(ISNUMBER('Raw Data'!AA105), IFERROR('Raw Data'!AA105 = ROUND('Raw Data'!AA105, 2),FALSE)),"",_xlfn.REGEXEXTRACT(CELL("address",AA105), "\$([A-Z]+)\$[0-9]+"))),_xlfn.REGEXEXTRACT(CELL("address",AA105), "\$([A-Z]+)\$[0-9]+"))</f>
        <v/>
      </c>
      <c r="AB105" s="7" t="str" cm="1">
        <f t="array" aca="1" ref="AB105" ca="1">IFERROR(IF(OR('Raw Data'!AB105="",LEN(TRIM('Raw Data'!AB105))=0),"",IF(AND(ISNUMBER('Raw Data'!AB105), IFERROR('Raw Data'!AB105 = ROUND('Raw Data'!AB105, 2),FALSE)),"",_xlfn.REGEXEXTRACT(CELL("address",AB105), "\$([A-Z]+)\$[0-9]+"))),_xlfn.REGEXEXTRACT(CELL("address",AB105), "\$([A-Z]+)\$[0-9]+"))</f>
        <v/>
      </c>
    </row>
    <row r="106" spans="2:28" x14ac:dyDescent="0.25">
      <c r="B106" s="7" t="str" cm="1">
        <f t="array" aca="1" ref="B106" ca="1">IFERROR(IF(OR('Raw Data'!B106="",LEN(TRIM('Raw Data'!B106))=0),"",IF(AND(LEN('Raw Data'!B106) &lt;= 255,LEN('Raw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20,LEN('Raw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Data'!D106))=0),"",IF(AND(ISNUMBER('Raw Data'!D106),'Raw Data'!D106&gt;=Configuration!$D$2),"",_xlfn.REGEXEXTRACT(CELL("address",'Raw Data'!D106),"\$([A-Z]+)\$[0-9]+"))),_xlfn.REGEXEXTRACT(CELL("address",D106), "\$([A-Z]+)\$[0-9]+"))</f>
        <v/>
      </c>
      <c r="E106" s="7" t="str" cm="1">
        <f t="array" aca="1" ref="E106" ca="1">IFERROR(IF(OR('Raw Data'!E106="",LEN(TRIM('Raw Data'!E106))=0),"",IF(AND(ISNUMBER('Raw Data'!E106), IFERROR('Raw Data'!E106 = ROUND('Raw Data'!E106, 2),FALSE)),"",_xlfn.REGEXEXTRACT(CELL("address",E106), "\$([A-Z]+)\$[0-9]+"))),_xlfn.REGEXEXTRACT(CELL("address",E106), "\$([A-Z]+)\$[0-9]+"))</f>
        <v/>
      </c>
      <c r="F106" s="7" t="str" cm="1">
        <f t="array" aca="1" ref="F106" ca="1">IFERROR(IF(OR('Raw Data'!F106="",LEN(TRIM('Raw Data'!F106))=0),"",IF(AND(ISNUMBER('Raw Data'!F106), IFERROR('Raw Data'!F106 = ROUND('Raw Data'!F106, 2),FALSE)),"",_xlfn.REGEXEXTRACT(CELL("address",F106), "\$([A-Z]+)\$[0-9]+"))),_xlfn.REGEXEXTRACT(CELL("address",F106), "\$([A-Z]+)\$[0-9]+"))</f>
        <v/>
      </c>
      <c r="G106" s="7" t="str" cm="1">
        <f t="array" aca="1" ref="G106" ca="1">IFERROR(IF(OR('Raw Data'!G106="",LEN(TRIM('Raw Data'!G106))=0),"",IF(AND(ISNUMBER('Raw Data'!G106), IFERROR('Raw Data'!G106 = ROUND('Raw Data'!G106, 2),FALSE)),"",_xlfn.REGEXEXTRACT(CELL("address",G106), "\$([A-Z]+)\$[0-9]+"))),_xlfn.REGEXEXTRACT(CELL("address",G106), "\$([A-Z]+)\$[0-9]+"))</f>
        <v/>
      </c>
      <c r="H106" s="7" t="str" cm="1">
        <f t="array" aca="1" ref="H106" ca="1">IFERROR(IF(OR('Raw Data'!H106="",LEN(TRIM('Raw Data'!H106))=0),"",IF(AND(ISNUMBER('Raw Data'!H106), IFERROR('Raw Data'!H106 = ROUND('Raw Data'!H106, 2),FALSE)),"",_xlfn.REGEXEXTRACT(CELL("address",H106), "\$([A-Z]+)\$[0-9]+"))),_xlfn.REGEXEXTRACT(CELL("address",H106), "\$([A-Z]+)\$[0-9]+"))</f>
        <v/>
      </c>
      <c r="I106" s="7" t="str" cm="1">
        <f t="array" aca="1" ref="I106" ca="1">IFERROR(IF(OR('Raw Data'!I106="",LEN(TRIM('Raw Data'!I106))=0),"",IF(AND(ISNUMBER('Raw Data'!I106), IFERROR('Raw Data'!I106 = ROUND('Raw Data'!I106, 2),FALSE)),"",_xlfn.REGEXEXTRACT(CELL("address",I106), "\$([A-Z]+)\$[0-9]+"))),_xlfn.REGEXEXTRACT(CELL("address",I106), "\$([A-Z]+)\$[0-9]+"))</f>
        <v/>
      </c>
      <c r="J106" s="7" t="str" cm="1">
        <f t="array" aca="1" ref="J106" ca="1">IFERROR(IF(OR('Raw Data'!J106="",LEN(TRIM('Raw Data'!J106))=0),"",IF(AND(ISNUMBER('Raw Data'!J106), IFERROR('Raw Data'!J106 = ROUND('Raw Data'!J106, 2),FALSE)),"",_xlfn.REGEXEXTRACT(CELL("address",J106), "\$([A-Z]+)\$[0-9]+"))),_xlfn.REGEXEXTRACT(CELL("address",J106), "\$([A-Z]+)\$[0-9]+"))</f>
        <v/>
      </c>
      <c r="K106" s="7" t="str" cm="1">
        <f t="array" aca="1" ref="K106" ca="1">IFERROR(IF(OR('Raw Data'!K106="",LEN(TRIM('Raw Data'!K106))=0),"",IF(AND(ISNUMBER('Raw Data'!K106), IFERROR('Raw Data'!K106 = ROUND('Raw Data'!K106, 2),FALSE)),"",_xlfn.REGEXEXTRACT(CELL("address",K106), "\$([A-Z]+)\$[0-9]+"))),_xlfn.REGEXEXTRACT(CELL("address",K106), "\$([A-Z]+)\$[0-9]+"))</f>
        <v/>
      </c>
      <c r="L106" s="7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7" t="str" cm="1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7" t="str" cm="1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  <c r="O106" s="7" t="str" cm="1">
        <f t="array" aca="1" ref="O106" ca="1">IFERROR(IF(OR('Raw Data'!O106="",LEN(TRIM('Raw Data'!O106))=0),"",IF(AND(ISNUMBER('Raw Data'!O106), IFERROR('Raw Data'!O106 = ROUND('Raw Data'!O106, 2),FALSE)),"",_xlfn.REGEXEXTRACT(CELL("address",O106), "\$([A-Z]+)\$[0-9]+"))),_xlfn.REGEXEXTRACT(CELL("address",O106), "\$([A-Z]+)\$[0-9]+"))</f>
        <v/>
      </c>
      <c r="P106" s="7" t="str" cm="1">
        <f t="array" aca="1" ref="P106" ca="1">IFERROR(IF(OR('Raw Data'!P106="",LEN(TRIM('Raw Data'!P106))=0),"",IF(AND(ISNUMBER('Raw Data'!P106), IFERROR('Raw Data'!P106 = ROUND('Raw Data'!P106, 2),FALSE)),"",_xlfn.REGEXEXTRACT(CELL("address",P106), "\$([A-Z]+)\$[0-9]+"))),_xlfn.REGEXEXTRACT(CELL("address",P106), "\$([A-Z]+)\$[0-9]+"))</f>
        <v/>
      </c>
      <c r="Q106" s="7" t="str" cm="1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7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7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7" t="str" cm="1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7" t="str" cm="1">
        <f t="array" aca="1" ref="U106" ca="1">IFERROR(IF(OR('Raw Data'!U106="",LEN(TRIM('Raw Data'!U106))=0),"",IF(AND(ISNUMBER('Raw Data'!U106), IFERROR('Raw Data'!U106 = ROUND('Raw Data'!U106, 2),FALSE)),"",_xlfn.REGEXEXTRACT(CELL("address",U106), "\$([A-Z]+)\$[0-9]+"))),_xlfn.REGEXEXTRACT(CELL("address",U106), "\$([A-Z]+)\$[0-9]+"))</f>
        <v/>
      </c>
      <c r="V106" s="7" t="str" cm="1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7" t="str" cm="1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7" t="str" cm="1">
        <f t="array" aca="1" ref="X106" ca="1">IFERROR(IF(OR('Raw Data'!X106="",LEN(TRIM('Raw Data'!X106))=0),"",IF(AND(ISNUMBER('Raw Data'!X106), IFERROR('Raw Data'!X106 = ROUND('Raw Data'!X106, 2),FALSE)),"",_xlfn.REGEXEXTRACT(CELL("address",X106), "\$([A-Z]+)\$[0-9]+"))),_xlfn.REGEXEXTRACT(CELL("address",X106), "\$([A-Z]+)\$[0-9]+"))</f>
        <v/>
      </c>
      <c r="Y106" s="7" t="str" cm="1">
        <f t="array" aca="1" ref="Y106" ca="1">IFERROR(IF(OR('Raw Data'!Y106="",LEN(TRIM('Raw Data'!Y106))=0),"",IF(AND(ISNUMBER('Raw Data'!Y106), IFERROR('Raw Data'!Y106 = ROUND('Raw Data'!Y106, 2),FALSE)),"",_xlfn.REGEXEXTRACT(CELL("address",Y106), "\$([A-Z]+)\$[0-9]+"))),_xlfn.REGEXEXTRACT(CELL("address",Y106), "\$([A-Z]+)\$[0-9]+"))</f>
        <v/>
      </c>
      <c r="Z106" s="7" t="str" cm="1">
        <f t="array" aca="1" ref="Z106" ca="1">IFERROR(IF(OR('Raw Data'!Z106="",LEN(TRIM('Raw Data'!Z106))=0),"",IF(AND(ISNUMBER('Raw Data'!Z106), IFERROR('Raw Data'!Z106 = ROUND('Raw Data'!Z106, 2),FALSE)),"",_xlfn.REGEXEXTRACT(CELL("address",Z106), "\$([A-Z]+)\$[0-9]+"))),_xlfn.REGEXEXTRACT(CELL("address",Z106), "\$([A-Z]+)\$[0-9]+"))</f>
        <v/>
      </c>
      <c r="AA106" s="7" t="str" cm="1">
        <f t="array" aca="1" ref="AA106" ca="1">IFERROR(IF(OR('Raw Data'!AA106="",LEN(TRIM('Raw Data'!AA106))=0),"",IF(AND(ISNUMBER('Raw Data'!AA106), IFERROR('Raw Data'!AA106 = ROUND('Raw Data'!AA106, 2),FALSE)),"",_xlfn.REGEXEXTRACT(CELL("address",AA106), "\$([A-Z]+)\$[0-9]+"))),_xlfn.REGEXEXTRACT(CELL("address",AA106), "\$([A-Z]+)\$[0-9]+"))</f>
        <v/>
      </c>
      <c r="AB106" s="7" t="str" cm="1">
        <f t="array" aca="1" ref="AB106" ca="1">IFERROR(IF(OR('Raw Data'!AB106="",LEN(TRIM('Raw Data'!AB106))=0),"",IF(AND(ISNUMBER('Raw Data'!AB106), IFERROR('Raw Data'!AB106 = ROUND('Raw Data'!AB106, 2),FALSE)),"",_xlfn.REGEXEXTRACT(CELL("address",AB106), "\$([A-Z]+)\$[0-9]+"))),_xlfn.REGEXEXTRACT(CELL("address",AB106), "\$([A-Z]+)\$[0-9]+"))</f>
        <v/>
      </c>
    </row>
    <row r="107" spans="2:28" x14ac:dyDescent="0.25">
      <c r="B107" s="7" t="str" cm="1">
        <f t="array" aca="1" ref="B107" ca="1">IFERROR(IF(OR('Raw Data'!B107="",LEN(TRIM('Raw Data'!B107))=0),"",IF(AND(LEN('Raw Data'!B107) &lt;= 255,LEN('Raw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20,LEN('Raw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Data'!D107))=0),"",IF(AND(ISNUMBER('Raw Data'!D107),'Raw Data'!D107&gt;=Configuration!$D$2),"",_xlfn.REGEXEXTRACT(CELL("address",'Raw Data'!D107),"\$([A-Z]+)\$[0-9]+"))),_xlfn.REGEXEXTRACT(CELL("address",D107), "\$([A-Z]+)\$[0-9]+"))</f>
        <v/>
      </c>
      <c r="E107" s="7" t="str" cm="1">
        <f t="array" aca="1" ref="E107" ca="1">IFERROR(IF(OR('Raw Data'!E107="",LEN(TRIM('Raw Data'!E107))=0),"",IF(AND(ISNUMBER('Raw Data'!E107), IFERROR('Raw Data'!E107 = ROUND('Raw Data'!E107, 2),FALSE)),"",_xlfn.REGEXEXTRACT(CELL("address",E107), "\$([A-Z]+)\$[0-9]+"))),_xlfn.REGEXEXTRACT(CELL("address",E107), "\$([A-Z]+)\$[0-9]+"))</f>
        <v/>
      </c>
      <c r="F107" s="7" t="str" cm="1">
        <f t="array" aca="1" ref="F107" ca="1">IFERROR(IF(OR('Raw Data'!F107="",LEN(TRIM('Raw Data'!F107))=0),"",IF(AND(ISNUMBER('Raw Data'!F107), IFERROR('Raw Data'!F107 = ROUND('Raw Data'!F107, 2),FALSE)),"",_xlfn.REGEXEXTRACT(CELL("address",F107), "\$([A-Z]+)\$[0-9]+"))),_xlfn.REGEXEXTRACT(CELL("address",F107), "\$([A-Z]+)\$[0-9]+"))</f>
        <v/>
      </c>
      <c r="G107" s="7" t="str" cm="1">
        <f t="array" aca="1" ref="G107" ca="1">IFERROR(IF(OR('Raw Data'!G107="",LEN(TRIM('Raw Data'!G107))=0),"",IF(AND(ISNUMBER('Raw Data'!G107), IFERROR('Raw Data'!G107 = ROUND('Raw Data'!G107, 2),FALSE)),"",_xlfn.REGEXEXTRACT(CELL("address",G107), "\$([A-Z]+)\$[0-9]+"))),_xlfn.REGEXEXTRACT(CELL("address",G107), "\$([A-Z]+)\$[0-9]+"))</f>
        <v/>
      </c>
      <c r="H107" s="7" t="str" cm="1">
        <f t="array" aca="1" ref="H107" ca="1">IFERROR(IF(OR('Raw Data'!H107="",LEN(TRIM('Raw Data'!H107))=0),"",IF(AND(ISNUMBER('Raw Data'!H107), IFERROR('Raw Data'!H107 = ROUND('Raw Data'!H107, 2),FALSE)),"",_xlfn.REGEXEXTRACT(CELL("address",H107), "\$([A-Z]+)\$[0-9]+"))),_xlfn.REGEXEXTRACT(CELL("address",H107), "\$([A-Z]+)\$[0-9]+"))</f>
        <v/>
      </c>
      <c r="I107" s="7" t="str" cm="1">
        <f t="array" aca="1" ref="I107" ca="1">IFERROR(IF(OR('Raw Data'!I107="",LEN(TRIM('Raw Data'!I107))=0),"",IF(AND(ISNUMBER('Raw Data'!I107), IFERROR('Raw Data'!I107 = ROUND('Raw Data'!I107, 2),FALSE)),"",_xlfn.REGEXEXTRACT(CELL("address",I107), "\$([A-Z]+)\$[0-9]+"))),_xlfn.REGEXEXTRACT(CELL("address",I107), "\$([A-Z]+)\$[0-9]+"))</f>
        <v/>
      </c>
      <c r="J107" s="7" t="str" cm="1">
        <f t="array" aca="1" ref="J107" ca="1">IFERROR(IF(OR('Raw Data'!J107="",LEN(TRIM('Raw Data'!J107))=0),"",IF(AND(ISNUMBER('Raw Data'!J107), IFERROR('Raw Data'!J107 = ROUND('Raw Data'!J107, 2),FALSE)),"",_xlfn.REGEXEXTRACT(CELL("address",J107), "\$([A-Z]+)\$[0-9]+"))),_xlfn.REGEXEXTRACT(CELL("address",J107), "\$([A-Z]+)\$[0-9]+"))</f>
        <v/>
      </c>
      <c r="K107" s="7" t="str" cm="1">
        <f t="array" aca="1" ref="K107" ca="1">IFERROR(IF(OR('Raw Data'!K107="",LEN(TRIM('Raw Data'!K107))=0),"",IF(AND(ISNUMBER('Raw Data'!K107), IFERROR('Raw Data'!K107 = ROUND('Raw Data'!K107, 2),FALSE)),"",_xlfn.REGEXEXTRACT(CELL("address",K107), "\$([A-Z]+)\$[0-9]+"))),_xlfn.REGEXEXTRACT(CELL("address",K107), "\$([A-Z]+)\$[0-9]+"))</f>
        <v/>
      </c>
      <c r="L107" s="7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7" t="str" cm="1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7" t="str" cm="1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  <c r="O107" s="7" t="str" cm="1">
        <f t="array" aca="1" ref="O107" ca="1">IFERROR(IF(OR('Raw Data'!O107="",LEN(TRIM('Raw Data'!O107))=0),"",IF(AND(ISNUMBER('Raw Data'!O107), IFERROR('Raw Data'!O107 = ROUND('Raw Data'!O107, 2),FALSE)),"",_xlfn.REGEXEXTRACT(CELL("address",O107), "\$([A-Z]+)\$[0-9]+"))),_xlfn.REGEXEXTRACT(CELL("address",O107), "\$([A-Z]+)\$[0-9]+"))</f>
        <v/>
      </c>
      <c r="P107" s="7" t="str" cm="1">
        <f t="array" aca="1" ref="P107" ca="1">IFERROR(IF(OR('Raw Data'!P107="",LEN(TRIM('Raw Data'!P107))=0),"",IF(AND(ISNUMBER('Raw Data'!P107), IFERROR('Raw Data'!P107 = ROUND('Raw Data'!P107, 2),FALSE)),"",_xlfn.REGEXEXTRACT(CELL("address",P107), "\$([A-Z]+)\$[0-9]+"))),_xlfn.REGEXEXTRACT(CELL("address",P107), "\$([A-Z]+)\$[0-9]+"))</f>
        <v/>
      </c>
      <c r="Q107" s="7" t="str" cm="1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7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7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7" t="str" cm="1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7" t="str" cm="1">
        <f t="array" aca="1" ref="U107" ca="1">IFERROR(IF(OR('Raw Data'!U107="",LEN(TRIM('Raw Data'!U107))=0),"",IF(AND(ISNUMBER('Raw Data'!U107), IFERROR('Raw Data'!U107 = ROUND('Raw Data'!U107, 2),FALSE)),"",_xlfn.REGEXEXTRACT(CELL("address",U107), "\$([A-Z]+)\$[0-9]+"))),_xlfn.REGEXEXTRACT(CELL("address",U107), "\$([A-Z]+)\$[0-9]+"))</f>
        <v/>
      </c>
      <c r="V107" s="7" t="str" cm="1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7" t="str" cm="1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7" t="str" cm="1">
        <f t="array" aca="1" ref="X107" ca="1">IFERROR(IF(OR('Raw Data'!X107="",LEN(TRIM('Raw Data'!X107))=0),"",IF(AND(ISNUMBER('Raw Data'!X107), IFERROR('Raw Data'!X107 = ROUND('Raw Data'!X107, 2),FALSE)),"",_xlfn.REGEXEXTRACT(CELL("address",X107), "\$([A-Z]+)\$[0-9]+"))),_xlfn.REGEXEXTRACT(CELL("address",X107), "\$([A-Z]+)\$[0-9]+"))</f>
        <v/>
      </c>
      <c r="Y107" s="7" t="str" cm="1">
        <f t="array" aca="1" ref="Y107" ca="1">IFERROR(IF(OR('Raw Data'!Y107="",LEN(TRIM('Raw Data'!Y107))=0),"",IF(AND(ISNUMBER('Raw Data'!Y107), IFERROR('Raw Data'!Y107 = ROUND('Raw Data'!Y107, 2),FALSE)),"",_xlfn.REGEXEXTRACT(CELL("address",Y107), "\$([A-Z]+)\$[0-9]+"))),_xlfn.REGEXEXTRACT(CELL("address",Y107), "\$([A-Z]+)\$[0-9]+"))</f>
        <v/>
      </c>
      <c r="Z107" s="7" t="str" cm="1">
        <f t="array" aca="1" ref="Z107" ca="1">IFERROR(IF(OR('Raw Data'!Z107="",LEN(TRIM('Raw Data'!Z107))=0),"",IF(AND(ISNUMBER('Raw Data'!Z107), IFERROR('Raw Data'!Z107 = ROUND('Raw Data'!Z107, 2),FALSE)),"",_xlfn.REGEXEXTRACT(CELL("address",Z107), "\$([A-Z]+)\$[0-9]+"))),_xlfn.REGEXEXTRACT(CELL("address",Z107), "\$([A-Z]+)\$[0-9]+"))</f>
        <v/>
      </c>
      <c r="AA107" s="7" t="str" cm="1">
        <f t="array" aca="1" ref="AA107" ca="1">IFERROR(IF(OR('Raw Data'!AA107="",LEN(TRIM('Raw Data'!AA107))=0),"",IF(AND(ISNUMBER('Raw Data'!AA107), IFERROR('Raw Data'!AA107 = ROUND('Raw Data'!AA107, 2),FALSE)),"",_xlfn.REGEXEXTRACT(CELL("address",AA107), "\$([A-Z]+)\$[0-9]+"))),_xlfn.REGEXEXTRACT(CELL("address",AA107), "\$([A-Z]+)\$[0-9]+"))</f>
        <v/>
      </c>
      <c r="AB107" s="7" t="str" cm="1">
        <f t="array" aca="1" ref="AB107" ca="1">IFERROR(IF(OR('Raw Data'!AB107="",LEN(TRIM('Raw Data'!AB107))=0),"",IF(AND(ISNUMBER('Raw Data'!AB107), IFERROR('Raw Data'!AB107 = ROUND('Raw Data'!AB107, 2),FALSE)),"",_xlfn.REGEXEXTRACT(CELL("address",AB107), "\$([A-Z]+)\$[0-9]+"))),_xlfn.REGEXEXTRACT(CELL("address",AB107), "\$([A-Z]+)\$[0-9]+"))</f>
        <v/>
      </c>
    </row>
    <row r="108" spans="2:28" x14ac:dyDescent="0.25">
      <c r="B108" s="7" t="str" cm="1">
        <f t="array" aca="1" ref="B108" ca="1">IFERROR(IF(OR('Raw Data'!B108="",LEN(TRIM('Raw Data'!B108))=0),"",IF(AND(LEN('Raw Data'!B108) &lt;= 255,LEN('Raw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20,LEN('Raw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Data'!D108))=0),"",IF(AND(ISNUMBER('Raw Data'!D108),'Raw Data'!D108&gt;=Configuration!$D$2),"",_xlfn.REGEXEXTRACT(CELL("address",'Raw Data'!D108),"\$([A-Z]+)\$[0-9]+"))),_xlfn.REGEXEXTRACT(CELL("address",D108), "\$([A-Z]+)\$[0-9]+"))</f>
        <v/>
      </c>
      <c r="E108" s="7" t="str" cm="1">
        <f t="array" aca="1" ref="E108" ca="1">IFERROR(IF(OR('Raw Data'!E108="",LEN(TRIM('Raw Data'!E108))=0),"",IF(AND(ISNUMBER('Raw Data'!E108), IFERROR('Raw Data'!E108 = ROUND('Raw Data'!E108, 2),FALSE)),"",_xlfn.REGEXEXTRACT(CELL("address",E108), "\$([A-Z]+)\$[0-9]+"))),_xlfn.REGEXEXTRACT(CELL("address",E108), "\$([A-Z]+)\$[0-9]+"))</f>
        <v/>
      </c>
      <c r="F108" s="7" t="str" cm="1">
        <f t="array" aca="1" ref="F108" ca="1">IFERROR(IF(OR('Raw Data'!F108="",LEN(TRIM('Raw Data'!F108))=0),"",IF(AND(ISNUMBER('Raw Data'!F108), IFERROR('Raw Data'!F108 = ROUND('Raw Data'!F108, 2),FALSE)),"",_xlfn.REGEXEXTRACT(CELL("address",F108), "\$([A-Z]+)\$[0-9]+"))),_xlfn.REGEXEXTRACT(CELL("address",F108), "\$([A-Z]+)\$[0-9]+"))</f>
        <v/>
      </c>
      <c r="G108" s="7" t="str" cm="1">
        <f t="array" aca="1" ref="G108" ca="1">IFERROR(IF(OR('Raw Data'!G108="",LEN(TRIM('Raw Data'!G108))=0),"",IF(AND(ISNUMBER('Raw Data'!G108), IFERROR('Raw Data'!G108 = ROUND('Raw Data'!G108, 2),FALSE)),"",_xlfn.REGEXEXTRACT(CELL("address",G108), "\$([A-Z]+)\$[0-9]+"))),_xlfn.REGEXEXTRACT(CELL("address",G108), "\$([A-Z]+)\$[0-9]+"))</f>
        <v/>
      </c>
      <c r="H108" s="7" t="str" cm="1">
        <f t="array" aca="1" ref="H108" ca="1">IFERROR(IF(OR('Raw Data'!H108="",LEN(TRIM('Raw Data'!H108))=0),"",IF(AND(ISNUMBER('Raw Data'!H108), IFERROR('Raw Data'!H108 = ROUND('Raw Data'!H108, 2),FALSE)),"",_xlfn.REGEXEXTRACT(CELL("address",H108), "\$([A-Z]+)\$[0-9]+"))),_xlfn.REGEXEXTRACT(CELL("address",H108), "\$([A-Z]+)\$[0-9]+"))</f>
        <v/>
      </c>
      <c r="I108" s="7" t="str" cm="1">
        <f t="array" aca="1" ref="I108" ca="1">IFERROR(IF(OR('Raw Data'!I108="",LEN(TRIM('Raw Data'!I108))=0),"",IF(AND(ISNUMBER('Raw Data'!I108), IFERROR('Raw Data'!I108 = ROUND('Raw Data'!I108, 2),FALSE)),"",_xlfn.REGEXEXTRACT(CELL("address",I108), "\$([A-Z]+)\$[0-9]+"))),_xlfn.REGEXEXTRACT(CELL("address",I108), "\$([A-Z]+)\$[0-9]+"))</f>
        <v/>
      </c>
      <c r="J108" s="7" t="str" cm="1">
        <f t="array" aca="1" ref="J108" ca="1">IFERROR(IF(OR('Raw Data'!J108="",LEN(TRIM('Raw Data'!J108))=0),"",IF(AND(ISNUMBER('Raw Data'!J108), IFERROR('Raw Data'!J108 = ROUND('Raw Data'!J108, 2),FALSE)),"",_xlfn.REGEXEXTRACT(CELL("address",J108), "\$([A-Z]+)\$[0-9]+"))),_xlfn.REGEXEXTRACT(CELL("address",J108), "\$([A-Z]+)\$[0-9]+"))</f>
        <v/>
      </c>
      <c r="K108" s="7" t="str" cm="1">
        <f t="array" aca="1" ref="K108" ca="1">IFERROR(IF(OR('Raw Data'!K108="",LEN(TRIM('Raw Data'!K108))=0),"",IF(AND(ISNUMBER('Raw Data'!K108), IFERROR('Raw Data'!K108 = ROUND('Raw Data'!K108, 2),FALSE)),"",_xlfn.REGEXEXTRACT(CELL("address",K108), "\$([A-Z]+)\$[0-9]+"))),_xlfn.REGEXEXTRACT(CELL("address",K108), "\$([A-Z]+)\$[0-9]+"))</f>
        <v/>
      </c>
      <c r="L108" s="7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7" t="str" cm="1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7" t="str" cm="1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  <c r="O108" s="7" t="str" cm="1">
        <f t="array" aca="1" ref="O108" ca="1">IFERROR(IF(OR('Raw Data'!O108="",LEN(TRIM('Raw Data'!O108))=0),"",IF(AND(ISNUMBER('Raw Data'!O108), IFERROR('Raw Data'!O108 = ROUND('Raw Data'!O108, 2),FALSE)),"",_xlfn.REGEXEXTRACT(CELL("address",O108), "\$([A-Z]+)\$[0-9]+"))),_xlfn.REGEXEXTRACT(CELL("address",O108), "\$([A-Z]+)\$[0-9]+"))</f>
        <v/>
      </c>
      <c r="P108" s="7" t="str" cm="1">
        <f t="array" aca="1" ref="P108" ca="1">IFERROR(IF(OR('Raw Data'!P108="",LEN(TRIM('Raw Data'!P108))=0),"",IF(AND(ISNUMBER('Raw Data'!P108), IFERROR('Raw Data'!P108 = ROUND('Raw Data'!P108, 2),FALSE)),"",_xlfn.REGEXEXTRACT(CELL("address",P108), "\$([A-Z]+)\$[0-9]+"))),_xlfn.REGEXEXTRACT(CELL("address",P108), "\$([A-Z]+)\$[0-9]+"))</f>
        <v/>
      </c>
      <c r="Q108" s="7" t="str" cm="1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7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7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7" t="str" cm="1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7" t="str" cm="1">
        <f t="array" aca="1" ref="U108" ca="1">IFERROR(IF(OR('Raw Data'!U108="",LEN(TRIM('Raw Data'!U108))=0),"",IF(AND(ISNUMBER('Raw Data'!U108), IFERROR('Raw Data'!U108 = ROUND('Raw Data'!U108, 2),FALSE)),"",_xlfn.REGEXEXTRACT(CELL("address",U108), "\$([A-Z]+)\$[0-9]+"))),_xlfn.REGEXEXTRACT(CELL("address",U108), "\$([A-Z]+)\$[0-9]+"))</f>
        <v/>
      </c>
      <c r="V108" s="7" t="str" cm="1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7" t="str" cm="1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7" t="str" cm="1">
        <f t="array" aca="1" ref="X108" ca="1">IFERROR(IF(OR('Raw Data'!X108="",LEN(TRIM('Raw Data'!X108))=0),"",IF(AND(ISNUMBER('Raw Data'!X108), IFERROR('Raw Data'!X108 = ROUND('Raw Data'!X108, 2),FALSE)),"",_xlfn.REGEXEXTRACT(CELL("address",X108), "\$([A-Z]+)\$[0-9]+"))),_xlfn.REGEXEXTRACT(CELL("address",X108), "\$([A-Z]+)\$[0-9]+"))</f>
        <v/>
      </c>
      <c r="Y108" s="7" t="str" cm="1">
        <f t="array" aca="1" ref="Y108" ca="1">IFERROR(IF(OR('Raw Data'!Y108="",LEN(TRIM('Raw Data'!Y108))=0),"",IF(AND(ISNUMBER('Raw Data'!Y108), IFERROR('Raw Data'!Y108 = ROUND('Raw Data'!Y108, 2),FALSE)),"",_xlfn.REGEXEXTRACT(CELL("address",Y108), "\$([A-Z]+)\$[0-9]+"))),_xlfn.REGEXEXTRACT(CELL("address",Y108), "\$([A-Z]+)\$[0-9]+"))</f>
        <v/>
      </c>
      <c r="Z108" s="7" t="str" cm="1">
        <f t="array" aca="1" ref="Z108" ca="1">IFERROR(IF(OR('Raw Data'!Z108="",LEN(TRIM('Raw Data'!Z108))=0),"",IF(AND(ISNUMBER('Raw Data'!Z108), IFERROR('Raw Data'!Z108 = ROUND('Raw Data'!Z108, 2),FALSE)),"",_xlfn.REGEXEXTRACT(CELL("address",Z108), "\$([A-Z]+)\$[0-9]+"))),_xlfn.REGEXEXTRACT(CELL("address",Z108), "\$([A-Z]+)\$[0-9]+"))</f>
        <v/>
      </c>
      <c r="AA108" s="7" t="str" cm="1">
        <f t="array" aca="1" ref="AA108" ca="1">IFERROR(IF(OR('Raw Data'!AA108="",LEN(TRIM('Raw Data'!AA108))=0),"",IF(AND(ISNUMBER('Raw Data'!AA108), IFERROR('Raw Data'!AA108 = ROUND('Raw Data'!AA108, 2),FALSE)),"",_xlfn.REGEXEXTRACT(CELL("address",AA108), "\$([A-Z]+)\$[0-9]+"))),_xlfn.REGEXEXTRACT(CELL("address",AA108), "\$([A-Z]+)\$[0-9]+"))</f>
        <v/>
      </c>
      <c r="AB108" s="7" t="str" cm="1">
        <f t="array" aca="1" ref="AB108" ca="1">IFERROR(IF(OR('Raw Data'!AB108="",LEN(TRIM('Raw Data'!AB108))=0),"",IF(AND(ISNUMBER('Raw Data'!AB108), IFERROR('Raw Data'!AB108 = ROUND('Raw Data'!AB108, 2),FALSE)),"",_xlfn.REGEXEXTRACT(CELL("address",AB108), "\$([A-Z]+)\$[0-9]+"))),_xlfn.REGEXEXTRACT(CELL("address",AB108), "\$([A-Z]+)\$[0-9]+"))</f>
        <v/>
      </c>
    </row>
    <row r="109" spans="2:28" x14ac:dyDescent="0.25">
      <c r="B109" s="7" t="str" cm="1">
        <f t="array" aca="1" ref="B109" ca="1">IFERROR(IF(OR('Raw Data'!B109="",LEN(TRIM('Raw Data'!B109))=0),"",IF(AND(LEN('Raw Data'!B109) &lt;= 255,LEN('Raw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20,LEN('Raw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Data'!D109))=0),"",IF(AND(ISNUMBER('Raw Data'!D109),'Raw Data'!D109&gt;=Configuration!$D$2),"",_xlfn.REGEXEXTRACT(CELL("address",'Raw Data'!D109),"\$([A-Z]+)\$[0-9]+"))),_xlfn.REGEXEXTRACT(CELL("address",D109), "\$([A-Z]+)\$[0-9]+"))</f>
        <v/>
      </c>
      <c r="E109" s="7" t="str" cm="1">
        <f t="array" aca="1" ref="E109" ca="1">IFERROR(IF(OR('Raw Data'!E109="",LEN(TRIM('Raw Data'!E109))=0),"",IF(AND(ISNUMBER('Raw Data'!E109), IFERROR('Raw Data'!E109 = ROUND('Raw Data'!E109, 2),FALSE)),"",_xlfn.REGEXEXTRACT(CELL("address",E109), "\$([A-Z]+)\$[0-9]+"))),_xlfn.REGEXEXTRACT(CELL("address",E109), "\$([A-Z]+)\$[0-9]+"))</f>
        <v/>
      </c>
      <c r="F109" s="7" t="str" cm="1">
        <f t="array" aca="1" ref="F109" ca="1">IFERROR(IF(OR('Raw Data'!F109="",LEN(TRIM('Raw Data'!F109))=0),"",IF(AND(ISNUMBER('Raw Data'!F109), IFERROR('Raw Data'!F109 = ROUND('Raw Data'!F109, 2),FALSE)),"",_xlfn.REGEXEXTRACT(CELL("address",F109), "\$([A-Z]+)\$[0-9]+"))),_xlfn.REGEXEXTRACT(CELL("address",F109), "\$([A-Z]+)\$[0-9]+"))</f>
        <v/>
      </c>
      <c r="G109" s="7" t="str" cm="1">
        <f t="array" aca="1" ref="G109" ca="1">IFERROR(IF(OR('Raw Data'!G109="",LEN(TRIM('Raw Data'!G109))=0),"",IF(AND(ISNUMBER('Raw Data'!G109), IFERROR('Raw Data'!G109 = ROUND('Raw Data'!G109, 2),FALSE)),"",_xlfn.REGEXEXTRACT(CELL("address",G109), "\$([A-Z]+)\$[0-9]+"))),_xlfn.REGEXEXTRACT(CELL("address",G109), "\$([A-Z]+)\$[0-9]+"))</f>
        <v/>
      </c>
      <c r="H109" s="7" t="str" cm="1">
        <f t="array" aca="1" ref="H109" ca="1">IFERROR(IF(OR('Raw Data'!H109="",LEN(TRIM('Raw Data'!H109))=0),"",IF(AND(ISNUMBER('Raw Data'!H109), IFERROR('Raw Data'!H109 = ROUND('Raw Data'!H109, 2),FALSE)),"",_xlfn.REGEXEXTRACT(CELL("address",H109), "\$([A-Z]+)\$[0-9]+"))),_xlfn.REGEXEXTRACT(CELL("address",H109), "\$([A-Z]+)\$[0-9]+"))</f>
        <v/>
      </c>
      <c r="I109" s="7" t="str" cm="1">
        <f t="array" aca="1" ref="I109" ca="1">IFERROR(IF(OR('Raw Data'!I109="",LEN(TRIM('Raw Data'!I109))=0),"",IF(AND(ISNUMBER('Raw Data'!I109), IFERROR('Raw Data'!I109 = ROUND('Raw Data'!I109, 2),FALSE)),"",_xlfn.REGEXEXTRACT(CELL("address",I109), "\$([A-Z]+)\$[0-9]+"))),_xlfn.REGEXEXTRACT(CELL("address",I109), "\$([A-Z]+)\$[0-9]+"))</f>
        <v/>
      </c>
      <c r="J109" s="7" t="str" cm="1">
        <f t="array" aca="1" ref="J109" ca="1">IFERROR(IF(OR('Raw Data'!J109="",LEN(TRIM('Raw Data'!J109))=0),"",IF(AND(ISNUMBER('Raw Data'!J109), IFERROR('Raw Data'!J109 = ROUND('Raw Data'!J109, 2),FALSE)),"",_xlfn.REGEXEXTRACT(CELL("address",J109), "\$([A-Z]+)\$[0-9]+"))),_xlfn.REGEXEXTRACT(CELL("address",J109), "\$([A-Z]+)\$[0-9]+"))</f>
        <v/>
      </c>
      <c r="K109" s="7" t="str" cm="1">
        <f t="array" aca="1" ref="K109" ca="1">IFERROR(IF(OR('Raw Data'!K109="",LEN(TRIM('Raw Data'!K109))=0),"",IF(AND(ISNUMBER('Raw Data'!K109), IFERROR('Raw Data'!K109 = ROUND('Raw Data'!K109, 2),FALSE)),"",_xlfn.REGEXEXTRACT(CELL("address",K109), "\$([A-Z]+)\$[0-9]+"))),_xlfn.REGEXEXTRACT(CELL("address",K109), "\$([A-Z]+)\$[0-9]+"))</f>
        <v/>
      </c>
      <c r="L109" s="7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7" t="str" cm="1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7" t="str" cm="1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  <c r="O109" s="7" t="str" cm="1">
        <f t="array" aca="1" ref="O109" ca="1">IFERROR(IF(OR('Raw Data'!O109="",LEN(TRIM('Raw Data'!O109))=0),"",IF(AND(ISNUMBER('Raw Data'!O109), IFERROR('Raw Data'!O109 = ROUND('Raw Data'!O109, 2),FALSE)),"",_xlfn.REGEXEXTRACT(CELL("address",O109), "\$([A-Z]+)\$[0-9]+"))),_xlfn.REGEXEXTRACT(CELL("address",O109), "\$([A-Z]+)\$[0-9]+"))</f>
        <v/>
      </c>
      <c r="P109" s="7" t="str" cm="1">
        <f t="array" aca="1" ref="P109" ca="1">IFERROR(IF(OR('Raw Data'!P109="",LEN(TRIM('Raw Data'!P109))=0),"",IF(AND(ISNUMBER('Raw Data'!P109), IFERROR('Raw Data'!P109 = ROUND('Raw Data'!P109, 2),FALSE)),"",_xlfn.REGEXEXTRACT(CELL("address",P109), "\$([A-Z]+)\$[0-9]+"))),_xlfn.REGEXEXTRACT(CELL("address",P109), "\$([A-Z]+)\$[0-9]+"))</f>
        <v/>
      </c>
      <c r="Q109" s="7" t="str" cm="1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7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7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7" t="str" cm="1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7" t="str" cm="1">
        <f t="array" aca="1" ref="U109" ca="1">IFERROR(IF(OR('Raw Data'!U109="",LEN(TRIM('Raw Data'!U109))=0),"",IF(AND(ISNUMBER('Raw Data'!U109), IFERROR('Raw Data'!U109 = ROUND('Raw Data'!U109, 2),FALSE)),"",_xlfn.REGEXEXTRACT(CELL("address",U109), "\$([A-Z]+)\$[0-9]+"))),_xlfn.REGEXEXTRACT(CELL("address",U109), "\$([A-Z]+)\$[0-9]+"))</f>
        <v/>
      </c>
      <c r="V109" s="7" t="str" cm="1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7" t="str" cm="1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7" t="str" cm="1">
        <f t="array" aca="1" ref="X109" ca="1">IFERROR(IF(OR('Raw Data'!X109="",LEN(TRIM('Raw Data'!X109))=0),"",IF(AND(ISNUMBER('Raw Data'!X109), IFERROR('Raw Data'!X109 = ROUND('Raw Data'!X109, 2),FALSE)),"",_xlfn.REGEXEXTRACT(CELL("address",X109), "\$([A-Z]+)\$[0-9]+"))),_xlfn.REGEXEXTRACT(CELL("address",X109), "\$([A-Z]+)\$[0-9]+"))</f>
        <v/>
      </c>
      <c r="Y109" s="7" t="str" cm="1">
        <f t="array" aca="1" ref="Y109" ca="1">IFERROR(IF(OR('Raw Data'!Y109="",LEN(TRIM('Raw Data'!Y109))=0),"",IF(AND(ISNUMBER('Raw Data'!Y109), IFERROR('Raw Data'!Y109 = ROUND('Raw Data'!Y109, 2),FALSE)),"",_xlfn.REGEXEXTRACT(CELL("address",Y109), "\$([A-Z]+)\$[0-9]+"))),_xlfn.REGEXEXTRACT(CELL("address",Y109), "\$([A-Z]+)\$[0-9]+"))</f>
        <v/>
      </c>
      <c r="Z109" s="7" t="str" cm="1">
        <f t="array" aca="1" ref="Z109" ca="1">IFERROR(IF(OR('Raw Data'!Z109="",LEN(TRIM('Raw Data'!Z109))=0),"",IF(AND(ISNUMBER('Raw Data'!Z109), IFERROR('Raw Data'!Z109 = ROUND('Raw Data'!Z109, 2),FALSE)),"",_xlfn.REGEXEXTRACT(CELL("address",Z109), "\$([A-Z]+)\$[0-9]+"))),_xlfn.REGEXEXTRACT(CELL("address",Z109), "\$([A-Z]+)\$[0-9]+"))</f>
        <v/>
      </c>
      <c r="AA109" s="7" t="str" cm="1">
        <f t="array" aca="1" ref="AA109" ca="1">IFERROR(IF(OR('Raw Data'!AA109="",LEN(TRIM('Raw Data'!AA109))=0),"",IF(AND(ISNUMBER('Raw Data'!AA109), IFERROR('Raw Data'!AA109 = ROUND('Raw Data'!AA109, 2),FALSE)),"",_xlfn.REGEXEXTRACT(CELL("address",AA109), "\$([A-Z]+)\$[0-9]+"))),_xlfn.REGEXEXTRACT(CELL("address",AA109), "\$([A-Z]+)\$[0-9]+"))</f>
        <v/>
      </c>
      <c r="AB109" s="7" t="str" cm="1">
        <f t="array" aca="1" ref="AB109" ca="1">IFERROR(IF(OR('Raw Data'!AB109="",LEN(TRIM('Raw Data'!AB109))=0),"",IF(AND(ISNUMBER('Raw Data'!AB109), IFERROR('Raw Data'!AB109 = ROUND('Raw Data'!AB109, 2),FALSE)),"",_xlfn.REGEXEXTRACT(CELL("address",AB109), "\$([A-Z]+)\$[0-9]+"))),_xlfn.REGEXEXTRACT(CELL("address",AB109), "\$([A-Z]+)\$[0-9]+"))</f>
        <v/>
      </c>
    </row>
    <row r="110" spans="2:28" x14ac:dyDescent="0.25">
      <c r="B110" s="7" t="str" cm="1">
        <f t="array" aca="1" ref="B110" ca="1">IFERROR(IF(OR('Raw Data'!B110="",LEN(TRIM('Raw Data'!B110))=0),"",IF(AND(LEN('Raw Data'!B110) &lt;= 255,LEN('Raw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20,LEN('Raw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Data'!D110))=0),"",IF(AND(ISNUMBER('Raw Data'!D110),'Raw Data'!D110&gt;=Configuration!$D$2),"",_xlfn.REGEXEXTRACT(CELL("address",'Raw Data'!D110),"\$([A-Z]+)\$[0-9]+"))),_xlfn.REGEXEXTRACT(CELL("address",D110), "\$([A-Z]+)\$[0-9]+"))</f>
        <v/>
      </c>
      <c r="E110" s="7" t="str" cm="1">
        <f t="array" aca="1" ref="E110" ca="1">IFERROR(IF(OR('Raw Data'!E110="",LEN(TRIM('Raw Data'!E110))=0),"",IF(AND(ISNUMBER('Raw Data'!E110), IFERROR('Raw Data'!E110 = ROUND('Raw Data'!E110, 2),FALSE)),"",_xlfn.REGEXEXTRACT(CELL("address",E110), "\$([A-Z]+)\$[0-9]+"))),_xlfn.REGEXEXTRACT(CELL("address",E110), "\$([A-Z]+)\$[0-9]+"))</f>
        <v/>
      </c>
      <c r="F110" s="7" t="str" cm="1">
        <f t="array" aca="1" ref="F110" ca="1">IFERROR(IF(OR('Raw Data'!F110="",LEN(TRIM('Raw Data'!F110))=0),"",IF(AND(ISNUMBER('Raw Data'!F110), IFERROR('Raw Data'!F110 = ROUND('Raw Data'!F110, 2),FALSE)),"",_xlfn.REGEXEXTRACT(CELL("address",F110), "\$([A-Z]+)\$[0-9]+"))),_xlfn.REGEXEXTRACT(CELL("address",F110), "\$([A-Z]+)\$[0-9]+"))</f>
        <v/>
      </c>
      <c r="G110" s="7" t="str" cm="1">
        <f t="array" aca="1" ref="G110" ca="1">IFERROR(IF(OR('Raw Data'!G110="",LEN(TRIM('Raw Data'!G110))=0),"",IF(AND(ISNUMBER('Raw Data'!G110), IFERROR('Raw Data'!G110 = ROUND('Raw Data'!G110, 2),FALSE)),"",_xlfn.REGEXEXTRACT(CELL("address",G110), "\$([A-Z]+)\$[0-9]+"))),_xlfn.REGEXEXTRACT(CELL("address",G110), "\$([A-Z]+)\$[0-9]+"))</f>
        <v/>
      </c>
      <c r="H110" s="7" t="str" cm="1">
        <f t="array" aca="1" ref="H110" ca="1">IFERROR(IF(OR('Raw Data'!H110="",LEN(TRIM('Raw Data'!H110))=0),"",IF(AND(ISNUMBER('Raw Data'!H110), IFERROR('Raw Data'!H110 = ROUND('Raw Data'!H110, 2),FALSE)),"",_xlfn.REGEXEXTRACT(CELL("address",H110), "\$([A-Z]+)\$[0-9]+"))),_xlfn.REGEXEXTRACT(CELL("address",H110), "\$([A-Z]+)\$[0-9]+"))</f>
        <v/>
      </c>
      <c r="I110" s="7" t="str" cm="1">
        <f t="array" aca="1" ref="I110" ca="1">IFERROR(IF(OR('Raw Data'!I110="",LEN(TRIM('Raw Data'!I110))=0),"",IF(AND(ISNUMBER('Raw Data'!I110), IFERROR('Raw Data'!I110 = ROUND('Raw Data'!I110, 2),FALSE)),"",_xlfn.REGEXEXTRACT(CELL("address",I110), "\$([A-Z]+)\$[0-9]+"))),_xlfn.REGEXEXTRACT(CELL("address",I110), "\$([A-Z]+)\$[0-9]+"))</f>
        <v/>
      </c>
      <c r="J110" s="7" t="str" cm="1">
        <f t="array" aca="1" ref="J110" ca="1">IFERROR(IF(OR('Raw Data'!J110="",LEN(TRIM('Raw Data'!J110))=0),"",IF(AND(ISNUMBER('Raw Data'!J110), IFERROR('Raw Data'!J110 = ROUND('Raw Data'!J110, 2),FALSE)),"",_xlfn.REGEXEXTRACT(CELL("address",J110), "\$([A-Z]+)\$[0-9]+"))),_xlfn.REGEXEXTRACT(CELL("address",J110), "\$([A-Z]+)\$[0-9]+"))</f>
        <v/>
      </c>
      <c r="K110" s="7" t="str" cm="1">
        <f t="array" aca="1" ref="K110" ca="1">IFERROR(IF(OR('Raw Data'!K110="",LEN(TRIM('Raw Data'!K110))=0),"",IF(AND(ISNUMBER('Raw Data'!K110), IFERROR('Raw Data'!K110 = ROUND('Raw Data'!K110, 2),FALSE)),"",_xlfn.REGEXEXTRACT(CELL("address",K110), "\$([A-Z]+)\$[0-9]+"))),_xlfn.REGEXEXTRACT(CELL("address",K110), "\$([A-Z]+)\$[0-9]+"))</f>
        <v/>
      </c>
      <c r="L110" s="7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7" t="str" cm="1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7" t="str" cm="1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  <c r="O110" s="7" t="str" cm="1">
        <f t="array" aca="1" ref="O110" ca="1">IFERROR(IF(OR('Raw Data'!O110="",LEN(TRIM('Raw Data'!O110))=0),"",IF(AND(ISNUMBER('Raw Data'!O110), IFERROR('Raw Data'!O110 = ROUND('Raw Data'!O110, 2),FALSE)),"",_xlfn.REGEXEXTRACT(CELL("address",O110), "\$([A-Z]+)\$[0-9]+"))),_xlfn.REGEXEXTRACT(CELL("address",O110), "\$([A-Z]+)\$[0-9]+"))</f>
        <v/>
      </c>
      <c r="P110" s="7" t="str" cm="1">
        <f t="array" aca="1" ref="P110" ca="1">IFERROR(IF(OR('Raw Data'!P110="",LEN(TRIM('Raw Data'!P110))=0),"",IF(AND(ISNUMBER('Raw Data'!P110), IFERROR('Raw Data'!P110 = ROUND('Raw Data'!P110, 2),FALSE)),"",_xlfn.REGEXEXTRACT(CELL("address",P110), "\$([A-Z]+)\$[0-9]+"))),_xlfn.REGEXEXTRACT(CELL("address",P110), "\$([A-Z]+)\$[0-9]+"))</f>
        <v/>
      </c>
      <c r="Q110" s="7" t="str" cm="1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7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7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7" t="str" cm="1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7" t="str" cm="1">
        <f t="array" aca="1" ref="U110" ca="1">IFERROR(IF(OR('Raw Data'!U110="",LEN(TRIM('Raw Data'!U110))=0),"",IF(AND(ISNUMBER('Raw Data'!U110), IFERROR('Raw Data'!U110 = ROUND('Raw Data'!U110, 2),FALSE)),"",_xlfn.REGEXEXTRACT(CELL("address",U110), "\$([A-Z]+)\$[0-9]+"))),_xlfn.REGEXEXTRACT(CELL("address",U110), "\$([A-Z]+)\$[0-9]+"))</f>
        <v/>
      </c>
      <c r="V110" s="7" t="str" cm="1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7" t="str" cm="1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7" t="str" cm="1">
        <f t="array" aca="1" ref="X110" ca="1">IFERROR(IF(OR('Raw Data'!X110="",LEN(TRIM('Raw Data'!X110))=0),"",IF(AND(ISNUMBER('Raw Data'!X110), IFERROR('Raw Data'!X110 = ROUND('Raw Data'!X110, 2),FALSE)),"",_xlfn.REGEXEXTRACT(CELL("address",X110), "\$([A-Z]+)\$[0-9]+"))),_xlfn.REGEXEXTRACT(CELL("address",X110), "\$([A-Z]+)\$[0-9]+"))</f>
        <v/>
      </c>
      <c r="Y110" s="7" t="str" cm="1">
        <f t="array" aca="1" ref="Y110" ca="1">IFERROR(IF(OR('Raw Data'!Y110="",LEN(TRIM('Raw Data'!Y110))=0),"",IF(AND(ISNUMBER('Raw Data'!Y110), IFERROR('Raw Data'!Y110 = ROUND('Raw Data'!Y110, 2),FALSE)),"",_xlfn.REGEXEXTRACT(CELL("address",Y110), "\$([A-Z]+)\$[0-9]+"))),_xlfn.REGEXEXTRACT(CELL("address",Y110), "\$([A-Z]+)\$[0-9]+"))</f>
        <v/>
      </c>
      <c r="Z110" s="7" t="str" cm="1">
        <f t="array" aca="1" ref="Z110" ca="1">IFERROR(IF(OR('Raw Data'!Z110="",LEN(TRIM('Raw Data'!Z110))=0),"",IF(AND(ISNUMBER('Raw Data'!Z110), IFERROR('Raw Data'!Z110 = ROUND('Raw Data'!Z110, 2),FALSE)),"",_xlfn.REGEXEXTRACT(CELL("address",Z110), "\$([A-Z]+)\$[0-9]+"))),_xlfn.REGEXEXTRACT(CELL("address",Z110), "\$([A-Z]+)\$[0-9]+"))</f>
        <v/>
      </c>
      <c r="AA110" s="7" t="str" cm="1">
        <f t="array" aca="1" ref="AA110" ca="1">IFERROR(IF(OR('Raw Data'!AA110="",LEN(TRIM('Raw Data'!AA110))=0),"",IF(AND(ISNUMBER('Raw Data'!AA110), IFERROR('Raw Data'!AA110 = ROUND('Raw Data'!AA110, 2),FALSE)),"",_xlfn.REGEXEXTRACT(CELL("address",AA110), "\$([A-Z]+)\$[0-9]+"))),_xlfn.REGEXEXTRACT(CELL("address",AA110), "\$([A-Z]+)\$[0-9]+"))</f>
        <v/>
      </c>
      <c r="AB110" s="7" t="str" cm="1">
        <f t="array" aca="1" ref="AB110" ca="1">IFERROR(IF(OR('Raw Data'!AB110="",LEN(TRIM('Raw Data'!AB110))=0),"",IF(AND(ISNUMBER('Raw Data'!AB110), IFERROR('Raw Data'!AB110 = ROUND('Raw Data'!AB110, 2),FALSE)),"",_xlfn.REGEXEXTRACT(CELL("address",AB110), "\$([A-Z]+)\$[0-9]+"))),_xlfn.REGEXEXTRACT(CELL("address",AB110), "\$([A-Z]+)\$[0-9]+"))</f>
        <v/>
      </c>
    </row>
    <row r="111" spans="2:28" x14ac:dyDescent="0.25">
      <c r="B111" s="7" t="str" cm="1">
        <f t="array" aca="1" ref="B111" ca="1">IFERROR(IF(OR('Raw Data'!B111="",LEN(TRIM('Raw Data'!B111))=0),"",IF(AND(LEN('Raw Data'!B111) &lt;= 255,LEN('Raw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20,LEN('Raw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Data'!D111))=0),"",IF(AND(ISNUMBER('Raw Data'!D111),'Raw Data'!D111&gt;=Configuration!$D$2),"",_xlfn.REGEXEXTRACT(CELL("address",'Raw Data'!D111),"\$([A-Z]+)\$[0-9]+"))),_xlfn.REGEXEXTRACT(CELL("address",D111), "\$([A-Z]+)\$[0-9]+"))</f>
        <v/>
      </c>
      <c r="E111" s="7" t="str" cm="1">
        <f t="array" aca="1" ref="E111" ca="1">IFERROR(IF(OR('Raw Data'!E111="",LEN(TRIM('Raw Data'!E111))=0),"",IF(AND(ISNUMBER('Raw Data'!E111), IFERROR('Raw Data'!E111 = ROUND('Raw Data'!E111, 2),FALSE)),"",_xlfn.REGEXEXTRACT(CELL("address",E111), "\$([A-Z]+)\$[0-9]+"))),_xlfn.REGEXEXTRACT(CELL("address",E111), "\$([A-Z]+)\$[0-9]+"))</f>
        <v/>
      </c>
      <c r="F111" s="7" t="str" cm="1">
        <f t="array" aca="1" ref="F111" ca="1">IFERROR(IF(OR('Raw Data'!F111="",LEN(TRIM('Raw Data'!F111))=0),"",IF(AND(ISNUMBER('Raw Data'!F111), IFERROR('Raw Data'!F111 = ROUND('Raw Data'!F111, 2),FALSE)),"",_xlfn.REGEXEXTRACT(CELL("address",F111), "\$([A-Z]+)\$[0-9]+"))),_xlfn.REGEXEXTRACT(CELL("address",F111), "\$([A-Z]+)\$[0-9]+"))</f>
        <v/>
      </c>
      <c r="G111" s="7" t="str" cm="1">
        <f t="array" aca="1" ref="G111" ca="1">IFERROR(IF(OR('Raw Data'!G111="",LEN(TRIM('Raw Data'!G111))=0),"",IF(AND(ISNUMBER('Raw Data'!G111), IFERROR('Raw Data'!G111 = ROUND('Raw Data'!G111, 2),FALSE)),"",_xlfn.REGEXEXTRACT(CELL("address",G111), "\$([A-Z]+)\$[0-9]+"))),_xlfn.REGEXEXTRACT(CELL("address",G111), "\$([A-Z]+)\$[0-9]+"))</f>
        <v/>
      </c>
      <c r="H111" s="7" t="str" cm="1">
        <f t="array" aca="1" ref="H111" ca="1">IFERROR(IF(OR('Raw Data'!H111="",LEN(TRIM('Raw Data'!H111))=0),"",IF(AND(ISNUMBER('Raw Data'!H111), IFERROR('Raw Data'!H111 = ROUND('Raw Data'!H111, 2),FALSE)),"",_xlfn.REGEXEXTRACT(CELL("address",H111), "\$([A-Z]+)\$[0-9]+"))),_xlfn.REGEXEXTRACT(CELL("address",H111), "\$([A-Z]+)\$[0-9]+"))</f>
        <v/>
      </c>
      <c r="I111" s="7" t="str" cm="1">
        <f t="array" aca="1" ref="I111" ca="1">IFERROR(IF(OR('Raw Data'!I111="",LEN(TRIM('Raw Data'!I111))=0),"",IF(AND(ISNUMBER('Raw Data'!I111), IFERROR('Raw Data'!I111 = ROUND('Raw Data'!I111, 2),FALSE)),"",_xlfn.REGEXEXTRACT(CELL("address",I111), "\$([A-Z]+)\$[0-9]+"))),_xlfn.REGEXEXTRACT(CELL("address",I111), "\$([A-Z]+)\$[0-9]+"))</f>
        <v/>
      </c>
      <c r="J111" s="7" t="str" cm="1">
        <f t="array" aca="1" ref="J111" ca="1">IFERROR(IF(OR('Raw Data'!J111="",LEN(TRIM('Raw Data'!J111))=0),"",IF(AND(ISNUMBER('Raw Data'!J111), IFERROR('Raw Data'!J111 = ROUND('Raw Data'!J111, 2),FALSE)),"",_xlfn.REGEXEXTRACT(CELL("address",J111), "\$([A-Z]+)\$[0-9]+"))),_xlfn.REGEXEXTRACT(CELL("address",J111), "\$([A-Z]+)\$[0-9]+"))</f>
        <v/>
      </c>
      <c r="K111" s="7" t="str" cm="1">
        <f t="array" aca="1" ref="K111" ca="1">IFERROR(IF(OR('Raw Data'!K111="",LEN(TRIM('Raw Data'!K111))=0),"",IF(AND(ISNUMBER('Raw Data'!K111), IFERROR('Raw Data'!K111 = ROUND('Raw Data'!K111, 2),FALSE)),"",_xlfn.REGEXEXTRACT(CELL("address",K111), "\$([A-Z]+)\$[0-9]+"))),_xlfn.REGEXEXTRACT(CELL("address",K111), "\$([A-Z]+)\$[0-9]+"))</f>
        <v/>
      </c>
      <c r="L111" s="7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7" t="str" cm="1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7" t="str" cm="1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  <c r="O111" s="7" t="str" cm="1">
        <f t="array" aca="1" ref="O111" ca="1">IFERROR(IF(OR('Raw Data'!O111="",LEN(TRIM('Raw Data'!O111))=0),"",IF(AND(ISNUMBER('Raw Data'!O111), IFERROR('Raw Data'!O111 = ROUND('Raw Data'!O111, 2),FALSE)),"",_xlfn.REGEXEXTRACT(CELL("address",O111), "\$([A-Z]+)\$[0-9]+"))),_xlfn.REGEXEXTRACT(CELL("address",O111), "\$([A-Z]+)\$[0-9]+"))</f>
        <v/>
      </c>
      <c r="P111" s="7" t="str" cm="1">
        <f t="array" aca="1" ref="P111" ca="1">IFERROR(IF(OR('Raw Data'!P111="",LEN(TRIM('Raw Data'!P111))=0),"",IF(AND(ISNUMBER('Raw Data'!P111), IFERROR('Raw Data'!P111 = ROUND('Raw Data'!P111, 2),FALSE)),"",_xlfn.REGEXEXTRACT(CELL("address",P111), "\$([A-Z]+)\$[0-9]+"))),_xlfn.REGEXEXTRACT(CELL("address",P111), "\$([A-Z]+)\$[0-9]+"))</f>
        <v/>
      </c>
      <c r="Q111" s="7" t="str" cm="1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7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7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7" t="str" cm="1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7" t="str" cm="1">
        <f t="array" aca="1" ref="U111" ca="1">IFERROR(IF(OR('Raw Data'!U111="",LEN(TRIM('Raw Data'!U111))=0),"",IF(AND(ISNUMBER('Raw Data'!U111), IFERROR('Raw Data'!U111 = ROUND('Raw Data'!U111, 2),FALSE)),"",_xlfn.REGEXEXTRACT(CELL("address",U111), "\$([A-Z]+)\$[0-9]+"))),_xlfn.REGEXEXTRACT(CELL("address",U111), "\$([A-Z]+)\$[0-9]+"))</f>
        <v/>
      </c>
      <c r="V111" s="7" t="str" cm="1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7" t="str" cm="1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7" t="str" cm="1">
        <f t="array" aca="1" ref="X111" ca="1">IFERROR(IF(OR('Raw Data'!X111="",LEN(TRIM('Raw Data'!X111))=0),"",IF(AND(ISNUMBER('Raw Data'!X111), IFERROR('Raw Data'!X111 = ROUND('Raw Data'!X111, 2),FALSE)),"",_xlfn.REGEXEXTRACT(CELL("address",X111), "\$([A-Z]+)\$[0-9]+"))),_xlfn.REGEXEXTRACT(CELL("address",X111), "\$([A-Z]+)\$[0-9]+"))</f>
        <v/>
      </c>
      <c r="Y111" s="7" t="str" cm="1">
        <f t="array" aca="1" ref="Y111" ca="1">IFERROR(IF(OR('Raw Data'!Y111="",LEN(TRIM('Raw Data'!Y111))=0),"",IF(AND(ISNUMBER('Raw Data'!Y111), IFERROR('Raw Data'!Y111 = ROUND('Raw Data'!Y111, 2),FALSE)),"",_xlfn.REGEXEXTRACT(CELL("address",Y111), "\$([A-Z]+)\$[0-9]+"))),_xlfn.REGEXEXTRACT(CELL("address",Y111), "\$([A-Z]+)\$[0-9]+"))</f>
        <v/>
      </c>
      <c r="Z111" s="7" t="str" cm="1">
        <f t="array" aca="1" ref="Z111" ca="1">IFERROR(IF(OR('Raw Data'!Z111="",LEN(TRIM('Raw Data'!Z111))=0),"",IF(AND(ISNUMBER('Raw Data'!Z111), IFERROR('Raw Data'!Z111 = ROUND('Raw Data'!Z111, 2),FALSE)),"",_xlfn.REGEXEXTRACT(CELL("address",Z111), "\$([A-Z]+)\$[0-9]+"))),_xlfn.REGEXEXTRACT(CELL("address",Z111), "\$([A-Z]+)\$[0-9]+"))</f>
        <v/>
      </c>
      <c r="AA111" s="7" t="str" cm="1">
        <f t="array" aca="1" ref="AA111" ca="1">IFERROR(IF(OR('Raw Data'!AA111="",LEN(TRIM('Raw Data'!AA111))=0),"",IF(AND(ISNUMBER('Raw Data'!AA111), IFERROR('Raw Data'!AA111 = ROUND('Raw Data'!AA111, 2),FALSE)),"",_xlfn.REGEXEXTRACT(CELL("address",AA111), "\$([A-Z]+)\$[0-9]+"))),_xlfn.REGEXEXTRACT(CELL("address",AA111), "\$([A-Z]+)\$[0-9]+"))</f>
        <v/>
      </c>
      <c r="AB111" s="7" t="str" cm="1">
        <f t="array" aca="1" ref="AB111" ca="1">IFERROR(IF(OR('Raw Data'!AB111="",LEN(TRIM('Raw Data'!AB111))=0),"",IF(AND(ISNUMBER('Raw Data'!AB111), IFERROR('Raw Data'!AB111 = ROUND('Raw Data'!AB111, 2),FALSE)),"",_xlfn.REGEXEXTRACT(CELL("address",AB111), "\$([A-Z]+)\$[0-9]+"))),_xlfn.REGEXEXTRACT(CELL("address",AB111), "\$([A-Z]+)\$[0-9]+"))</f>
        <v/>
      </c>
    </row>
    <row r="112" spans="2:28" x14ac:dyDescent="0.25">
      <c r="B112" s="7" t="str" cm="1">
        <f t="array" aca="1" ref="B112" ca="1">IFERROR(IF(OR('Raw Data'!B112="",LEN(TRIM('Raw Data'!B112))=0),"",IF(AND(LEN('Raw Data'!B112) &lt;= 255,LEN('Raw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20,LEN('Raw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Data'!D112))=0),"",IF(AND(ISNUMBER('Raw Data'!D112),'Raw Data'!D112&gt;=Configuration!$D$2),"",_xlfn.REGEXEXTRACT(CELL("address",'Raw Data'!D112),"\$([A-Z]+)\$[0-9]+"))),_xlfn.REGEXEXTRACT(CELL("address",D112), "\$([A-Z]+)\$[0-9]+"))</f>
        <v/>
      </c>
      <c r="E112" s="7" t="str" cm="1">
        <f t="array" aca="1" ref="E112" ca="1">IFERROR(IF(OR('Raw Data'!E112="",LEN(TRIM('Raw Data'!E112))=0),"",IF(AND(ISNUMBER('Raw Data'!E112), IFERROR('Raw Data'!E112 = ROUND('Raw Data'!E112, 2),FALSE)),"",_xlfn.REGEXEXTRACT(CELL("address",E112), "\$([A-Z]+)\$[0-9]+"))),_xlfn.REGEXEXTRACT(CELL("address",E112), "\$([A-Z]+)\$[0-9]+"))</f>
        <v/>
      </c>
      <c r="F112" s="7" t="str" cm="1">
        <f t="array" aca="1" ref="F112" ca="1">IFERROR(IF(OR('Raw Data'!F112="",LEN(TRIM('Raw Data'!F112))=0),"",IF(AND(ISNUMBER('Raw Data'!F112), IFERROR('Raw Data'!F112 = ROUND('Raw Data'!F112, 2),FALSE)),"",_xlfn.REGEXEXTRACT(CELL("address",F112), "\$([A-Z]+)\$[0-9]+"))),_xlfn.REGEXEXTRACT(CELL("address",F112), "\$([A-Z]+)\$[0-9]+"))</f>
        <v/>
      </c>
      <c r="G112" s="7" t="str" cm="1">
        <f t="array" aca="1" ref="G112" ca="1">IFERROR(IF(OR('Raw Data'!G112="",LEN(TRIM('Raw Data'!G112))=0),"",IF(AND(ISNUMBER('Raw Data'!G112), IFERROR('Raw Data'!G112 = ROUND('Raw Data'!G112, 2),FALSE)),"",_xlfn.REGEXEXTRACT(CELL("address",G112), "\$([A-Z]+)\$[0-9]+"))),_xlfn.REGEXEXTRACT(CELL("address",G112), "\$([A-Z]+)\$[0-9]+"))</f>
        <v/>
      </c>
      <c r="H112" s="7" t="str" cm="1">
        <f t="array" aca="1" ref="H112" ca="1">IFERROR(IF(OR('Raw Data'!H112="",LEN(TRIM('Raw Data'!H112))=0),"",IF(AND(ISNUMBER('Raw Data'!H112), IFERROR('Raw Data'!H112 = ROUND('Raw Data'!H112, 2),FALSE)),"",_xlfn.REGEXEXTRACT(CELL("address",H112), "\$([A-Z]+)\$[0-9]+"))),_xlfn.REGEXEXTRACT(CELL("address",H112), "\$([A-Z]+)\$[0-9]+"))</f>
        <v/>
      </c>
      <c r="I112" s="7" t="str" cm="1">
        <f t="array" aca="1" ref="I112" ca="1">IFERROR(IF(OR('Raw Data'!I112="",LEN(TRIM('Raw Data'!I112))=0),"",IF(AND(ISNUMBER('Raw Data'!I112), IFERROR('Raw Data'!I112 = ROUND('Raw Data'!I112, 2),FALSE)),"",_xlfn.REGEXEXTRACT(CELL("address",I112), "\$([A-Z]+)\$[0-9]+"))),_xlfn.REGEXEXTRACT(CELL("address",I112), "\$([A-Z]+)\$[0-9]+"))</f>
        <v/>
      </c>
      <c r="J112" s="7" t="str" cm="1">
        <f t="array" aca="1" ref="J112" ca="1">IFERROR(IF(OR('Raw Data'!J112="",LEN(TRIM('Raw Data'!J112))=0),"",IF(AND(ISNUMBER('Raw Data'!J112), IFERROR('Raw Data'!J112 = ROUND('Raw Data'!J112, 2),FALSE)),"",_xlfn.REGEXEXTRACT(CELL("address",J112), "\$([A-Z]+)\$[0-9]+"))),_xlfn.REGEXEXTRACT(CELL("address",J112), "\$([A-Z]+)\$[0-9]+"))</f>
        <v/>
      </c>
      <c r="K112" s="7" t="str" cm="1">
        <f t="array" aca="1" ref="K112" ca="1">IFERROR(IF(OR('Raw Data'!K112="",LEN(TRIM('Raw Data'!K112))=0),"",IF(AND(ISNUMBER('Raw Data'!K112), IFERROR('Raw Data'!K112 = ROUND('Raw Data'!K112, 2),FALSE)),"",_xlfn.REGEXEXTRACT(CELL("address",K112), "\$([A-Z]+)\$[0-9]+"))),_xlfn.REGEXEXTRACT(CELL("address",K112), "\$([A-Z]+)\$[0-9]+"))</f>
        <v/>
      </c>
      <c r="L112" s="7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7" t="str" cm="1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7" t="str" cm="1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  <c r="O112" s="7" t="str" cm="1">
        <f t="array" aca="1" ref="O112" ca="1">IFERROR(IF(OR('Raw Data'!O112="",LEN(TRIM('Raw Data'!O112))=0),"",IF(AND(ISNUMBER('Raw Data'!O112), IFERROR('Raw Data'!O112 = ROUND('Raw Data'!O112, 2),FALSE)),"",_xlfn.REGEXEXTRACT(CELL("address",O112), "\$([A-Z]+)\$[0-9]+"))),_xlfn.REGEXEXTRACT(CELL("address",O112), "\$([A-Z]+)\$[0-9]+"))</f>
        <v/>
      </c>
      <c r="P112" s="7" t="str" cm="1">
        <f t="array" aca="1" ref="P112" ca="1">IFERROR(IF(OR('Raw Data'!P112="",LEN(TRIM('Raw Data'!P112))=0),"",IF(AND(ISNUMBER('Raw Data'!P112), IFERROR('Raw Data'!P112 = ROUND('Raw Data'!P112, 2),FALSE)),"",_xlfn.REGEXEXTRACT(CELL("address",P112), "\$([A-Z]+)\$[0-9]+"))),_xlfn.REGEXEXTRACT(CELL("address",P112), "\$([A-Z]+)\$[0-9]+"))</f>
        <v/>
      </c>
      <c r="Q112" s="7" t="str" cm="1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7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7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7" t="str" cm="1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7" t="str" cm="1">
        <f t="array" aca="1" ref="U112" ca="1">IFERROR(IF(OR('Raw Data'!U112="",LEN(TRIM('Raw Data'!U112))=0),"",IF(AND(ISNUMBER('Raw Data'!U112), IFERROR('Raw Data'!U112 = ROUND('Raw Data'!U112, 2),FALSE)),"",_xlfn.REGEXEXTRACT(CELL("address",U112), "\$([A-Z]+)\$[0-9]+"))),_xlfn.REGEXEXTRACT(CELL("address",U112), "\$([A-Z]+)\$[0-9]+"))</f>
        <v/>
      </c>
      <c r="V112" s="7" t="str" cm="1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7" t="str" cm="1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7" t="str" cm="1">
        <f t="array" aca="1" ref="X112" ca="1">IFERROR(IF(OR('Raw Data'!X112="",LEN(TRIM('Raw Data'!X112))=0),"",IF(AND(ISNUMBER('Raw Data'!X112), IFERROR('Raw Data'!X112 = ROUND('Raw Data'!X112, 2),FALSE)),"",_xlfn.REGEXEXTRACT(CELL("address",X112), "\$([A-Z]+)\$[0-9]+"))),_xlfn.REGEXEXTRACT(CELL("address",X112), "\$([A-Z]+)\$[0-9]+"))</f>
        <v/>
      </c>
      <c r="Y112" s="7" t="str" cm="1">
        <f t="array" aca="1" ref="Y112" ca="1">IFERROR(IF(OR('Raw Data'!Y112="",LEN(TRIM('Raw Data'!Y112))=0),"",IF(AND(ISNUMBER('Raw Data'!Y112), IFERROR('Raw Data'!Y112 = ROUND('Raw Data'!Y112, 2),FALSE)),"",_xlfn.REGEXEXTRACT(CELL("address",Y112), "\$([A-Z]+)\$[0-9]+"))),_xlfn.REGEXEXTRACT(CELL("address",Y112), "\$([A-Z]+)\$[0-9]+"))</f>
        <v/>
      </c>
      <c r="Z112" s="7" t="str" cm="1">
        <f t="array" aca="1" ref="Z112" ca="1">IFERROR(IF(OR('Raw Data'!Z112="",LEN(TRIM('Raw Data'!Z112))=0),"",IF(AND(ISNUMBER('Raw Data'!Z112), IFERROR('Raw Data'!Z112 = ROUND('Raw Data'!Z112, 2),FALSE)),"",_xlfn.REGEXEXTRACT(CELL("address",Z112), "\$([A-Z]+)\$[0-9]+"))),_xlfn.REGEXEXTRACT(CELL("address",Z112), "\$([A-Z]+)\$[0-9]+"))</f>
        <v/>
      </c>
      <c r="AA112" s="7" t="str" cm="1">
        <f t="array" aca="1" ref="AA112" ca="1">IFERROR(IF(OR('Raw Data'!AA112="",LEN(TRIM('Raw Data'!AA112))=0),"",IF(AND(ISNUMBER('Raw Data'!AA112), IFERROR('Raw Data'!AA112 = ROUND('Raw Data'!AA112, 2),FALSE)),"",_xlfn.REGEXEXTRACT(CELL("address",AA112), "\$([A-Z]+)\$[0-9]+"))),_xlfn.REGEXEXTRACT(CELL("address",AA112), "\$([A-Z]+)\$[0-9]+"))</f>
        <v/>
      </c>
      <c r="AB112" s="7" t="str" cm="1">
        <f t="array" aca="1" ref="AB112" ca="1">IFERROR(IF(OR('Raw Data'!AB112="",LEN(TRIM('Raw Data'!AB112))=0),"",IF(AND(ISNUMBER('Raw Data'!AB112), IFERROR('Raw Data'!AB112 = ROUND('Raw Data'!AB112, 2),FALSE)),"",_xlfn.REGEXEXTRACT(CELL("address",AB112), "\$([A-Z]+)\$[0-9]+"))),_xlfn.REGEXEXTRACT(CELL("address",AB112), "\$([A-Z]+)\$[0-9]+"))</f>
        <v/>
      </c>
    </row>
    <row r="113" spans="2:28" x14ac:dyDescent="0.25">
      <c r="B113" s="7" t="str" cm="1">
        <f t="array" aca="1" ref="B113" ca="1">IFERROR(IF(OR('Raw Data'!B113="",LEN(TRIM('Raw Data'!B113))=0),"",IF(AND(LEN('Raw Data'!B113) &lt;= 255,LEN('Raw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20,LEN('Raw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Data'!D113))=0),"",IF(AND(ISNUMBER('Raw Data'!D113),'Raw Data'!D113&gt;=Configuration!$D$2),"",_xlfn.REGEXEXTRACT(CELL("address",'Raw Data'!D113),"\$([A-Z]+)\$[0-9]+"))),_xlfn.REGEXEXTRACT(CELL("address",D113), "\$([A-Z]+)\$[0-9]+"))</f>
        <v/>
      </c>
      <c r="E113" s="7" t="str" cm="1">
        <f t="array" aca="1" ref="E113" ca="1">IFERROR(IF(OR('Raw Data'!E113="",LEN(TRIM('Raw Data'!E113))=0),"",IF(AND(ISNUMBER('Raw Data'!E113), IFERROR('Raw Data'!E113 = ROUND('Raw Data'!E113, 2),FALSE)),"",_xlfn.REGEXEXTRACT(CELL("address",E113), "\$([A-Z]+)\$[0-9]+"))),_xlfn.REGEXEXTRACT(CELL("address",E113), "\$([A-Z]+)\$[0-9]+"))</f>
        <v/>
      </c>
      <c r="F113" s="7" t="str" cm="1">
        <f t="array" aca="1" ref="F113" ca="1">IFERROR(IF(OR('Raw Data'!F113="",LEN(TRIM('Raw Data'!F113))=0),"",IF(AND(ISNUMBER('Raw Data'!F113), IFERROR('Raw Data'!F113 = ROUND('Raw Data'!F113, 2),FALSE)),"",_xlfn.REGEXEXTRACT(CELL("address",F113), "\$([A-Z]+)\$[0-9]+"))),_xlfn.REGEXEXTRACT(CELL("address",F113), "\$([A-Z]+)\$[0-9]+"))</f>
        <v/>
      </c>
      <c r="G113" s="7" t="str" cm="1">
        <f t="array" aca="1" ref="G113" ca="1">IFERROR(IF(OR('Raw Data'!G113="",LEN(TRIM('Raw Data'!G113))=0),"",IF(AND(ISNUMBER('Raw Data'!G113), IFERROR('Raw Data'!G113 = ROUND('Raw Data'!G113, 2),FALSE)),"",_xlfn.REGEXEXTRACT(CELL("address",G113), "\$([A-Z]+)\$[0-9]+"))),_xlfn.REGEXEXTRACT(CELL("address",G113), "\$([A-Z]+)\$[0-9]+"))</f>
        <v/>
      </c>
      <c r="H113" s="7" t="str" cm="1">
        <f t="array" aca="1" ref="H113" ca="1">IFERROR(IF(OR('Raw Data'!H113="",LEN(TRIM('Raw Data'!H113))=0),"",IF(AND(ISNUMBER('Raw Data'!H113), IFERROR('Raw Data'!H113 = ROUND('Raw Data'!H113, 2),FALSE)),"",_xlfn.REGEXEXTRACT(CELL("address",H113), "\$([A-Z]+)\$[0-9]+"))),_xlfn.REGEXEXTRACT(CELL("address",H113), "\$([A-Z]+)\$[0-9]+"))</f>
        <v/>
      </c>
      <c r="I113" s="7" t="str" cm="1">
        <f t="array" aca="1" ref="I113" ca="1">IFERROR(IF(OR('Raw Data'!I113="",LEN(TRIM('Raw Data'!I113))=0),"",IF(AND(ISNUMBER('Raw Data'!I113), IFERROR('Raw Data'!I113 = ROUND('Raw Data'!I113, 2),FALSE)),"",_xlfn.REGEXEXTRACT(CELL("address",I113), "\$([A-Z]+)\$[0-9]+"))),_xlfn.REGEXEXTRACT(CELL("address",I113), "\$([A-Z]+)\$[0-9]+"))</f>
        <v/>
      </c>
      <c r="J113" s="7" t="str" cm="1">
        <f t="array" aca="1" ref="J113" ca="1">IFERROR(IF(OR('Raw Data'!J113="",LEN(TRIM('Raw Data'!J113))=0),"",IF(AND(ISNUMBER('Raw Data'!J113), IFERROR('Raw Data'!J113 = ROUND('Raw Data'!J113, 2),FALSE)),"",_xlfn.REGEXEXTRACT(CELL("address",J113), "\$([A-Z]+)\$[0-9]+"))),_xlfn.REGEXEXTRACT(CELL("address",J113), "\$([A-Z]+)\$[0-9]+"))</f>
        <v/>
      </c>
      <c r="K113" s="7" t="str" cm="1">
        <f t="array" aca="1" ref="K113" ca="1">IFERROR(IF(OR('Raw Data'!K113="",LEN(TRIM('Raw Data'!K113))=0),"",IF(AND(ISNUMBER('Raw Data'!K113), IFERROR('Raw Data'!K113 = ROUND('Raw Data'!K113, 2),FALSE)),"",_xlfn.REGEXEXTRACT(CELL("address",K113), "\$([A-Z]+)\$[0-9]+"))),_xlfn.REGEXEXTRACT(CELL("address",K113), "\$([A-Z]+)\$[0-9]+"))</f>
        <v/>
      </c>
      <c r="L113" s="7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7" t="str" cm="1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7" t="str" cm="1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  <c r="O113" s="7" t="str" cm="1">
        <f t="array" aca="1" ref="O113" ca="1">IFERROR(IF(OR('Raw Data'!O113="",LEN(TRIM('Raw Data'!O113))=0),"",IF(AND(ISNUMBER('Raw Data'!O113), IFERROR('Raw Data'!O113 = ROUND('Raw Data'!O113, 2),FALSE)),"",_xlfn.REGEXEXTRACT(CELL("address",O113), "\$([A-Z]+)\$[0-9]+"))),_xlfn.REGEXEXTRACT(CELL("address",O113), "\$([A-Z]+)\$[0-9]+"))</f>
        <v/>
      </c>
      <c r="P113" s="7" t="str" cm="1">
        <f t="array" aca="1" ref="P113" ca="1">IFERROR(IF(OR('Raw Data'!P113="",LEN(TRIM('Raw Data'!P113))=0),"",IF(AND(ISNUMBER('Raw Data'!P113), IFERROR('Raw Data'!P113 = ROUND('Raw Data'!P113, 2),FALSE)),"",_xlfn.REGEXEXTRACT(CELL("address",P113), "\$([A-Z]+)\$[0-9]+"))),_xlfn.REGEXEXTRACT(CELL("address",P113), "\$([A-Z]+)\$[0-9]+"))</f>
        <v/>
      </c>
      <c r="Q113" s="7" t="str" cm="1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7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7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7" t="str" cm="1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7" t="str" cm="1">
        <f t="array" aca="1" ref="U113" ca="1">IFERROR(IF(OR('Raw Data'!U113="",LEN(TRIM('Raw Data'!U113))=0),"",IF(AND(ISNUMBER('Raw Data'!U113), IFERROR('Raw Data'!U113 = ROUND('Raw Data'!U113, 2),FALSE)),"",_xlfn.REGEXEXTRACT(CELL("address",U113), "\$([A-Z]+)\$[0-9]+"))),_xlfn.REGEXEXTRACT(CELL("address",U113), "\$([A-Z]+)\$[0-9]+"))</f>
        <v/>
      </c>
      <c r="V113" s="7" t="str" cm="1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7" t="str" cm="1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7" t="str" cm="1">
        <f t="array" aca="1" ref="X113" ca="1">IFERROR(IF(OR('Raw Data'!X113="",LEN(TRIM('Raw Data'!X113))=0),"",IF(AND(ISNUMBER('Raw Data'!X113), IFERROR('Raw Data'!X113 = ROUND('Raw Data'!X113, 2),FALSE)),"",_xlfn.REGEXEXTRACT(CELL("address",X113), "\$([A-Z]+)\$[0-9]+"))),_xlfn.REGEXEXTRACT(CELL("address",X113), "\$([A-Z]+)\$[0-9]+"))</f>
        <v/>
      </c>
      <c r="Y113" s="7" t="str" cm="1">
        <f t="array" aca="1" ref="Y113" ca="1">IFERROR(IF(OR('Raw Data'!Y113="",LEN(TRIM('Raw Data'!Y113))=0),"",IF(AND(ISNUMBER('Raw Data'!Y113), IFERROR('Raw Data'!Y113 = ROUND('Raw Data'!Y113, 2),FALSE)),"",_xlfn.REGEXEXTRACT(CELL("address",Y113), "\$([A-Z]+)\$[0-9]+"))),_xlfn.REGEXEXTRACT(CELL("address",Y113), "\$([A-Z]+)\$[0-9]+"))</f>
        <v/>
      </c>
      <c r="Z113" s="7" t="str" cm="1">
        <f t="array" aca="1" ref="Z113" ca="1">IFERROR(IF(OR('Raw Data'!Z113="",LEN(TRIM('Raw Data'!Z113))=0),"",IF(AND(ISNUMBER('Raw Data'!Z113), IFERROR('Raw Data'!Z113 = ROUND('Raw Data'!Z113, 2),FALSE)),"",_xlfn.REGEXEXTRACT(CELL("address",Z113), "\$([A-Z]+)\$[0-9]+"))),_xlfn.REGEXEXTRACT(CELL("address",Z113), "\$([A-Z]+)\$[0-9]+"))</f>
        <v/>
      </c>
      <c r="AA113" s="7" t="str" cm="1">
        <f t="array" aca="1" ref="AA113" ca="1">IFERROR(IF(OR('Raw Data'!AA113="",LEN(TRIM('Raw Data'!AA113))=0),"",IF(AND(ISNUMBER('Raw Data'!AA113), IFERROR('Raw Data'!AA113 = ROUND('Raw Data'!AA113, 2),FALSE)),"",_xlfn.REGEXEXTRACT(CELL("address",AA113), "\$([A-Z]+)\$[0-9]+"))),_xlfn.REGEXEXTRACT(CELL("address",AA113), "\$([A-Z]+)\$[0-9]+"))</f>
        <v/>
      </c>
      <c r="AB113" s="7" t="str" cm="1">
        <f t="array" aca="1" ref="AB113" ca="1">IFERROR(IF(OR('Raw Data'!AB113="",LEN(TRIM('Raw Data'!AB113))=0),"",IF(AND(ISNUMBER('Raw Data'!AB113), IFERROR('Raw Data'!AB113 = ROUND('Raw Data'!AB113, 2),FALSE)),"",_xlfn.REGEXEXTRACT(CELL("address",AB113), "\$([A-Z]+)\$[0-9]+"))),_xlfn.REGEXEXTRACT(CELL("address",AB113), "\$([A-Z]+)\$[0-9]+"))</f>
        <v/>
      </c>
    </row>
    <row r="114" spans="2:28" x14ac:dyDescent="0.25">
      <c r="B114" s="7" t="str" cm="1">
        <f t="array" aca="1" ref="B114" ca="1">IFERROR(IF(OR('Raw Data'!B114="",LEN(TRIM('Raw Data'!B114))=0),"",IF(AND(LEN('Raw Data'!B114) &lt;= 255,LEN('Raw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20,LEN('Raw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Data'!D114))=0),"",IF(AND(ISNUMBER('Raw Data'!D114),'Raw Data'!D114&gt;=Configuration!$D$2),"",_xlfn.REGEXEXTRACT(CELL("address",'Raw Data'!D114),"\$([A-Z]+)\$[0-9]+"))),_xlfn.REGEXEXTRACT(CELL("address",D114), "\$([A-Z]+)\$[0-9]+"))</f>
        <v/>
      </c>
      <c r="E114" s="7" t="str" cm="1">
        <f t="array" aca="1" ref="E114" ca="1">IFERROR(IF(OR('Raw Data'!E114="",LEN(TRIM('Raw Data'!E114))=0),"",IF(AND(ISNUMBER('Raw Data'!E114), IFERROR('Raw Data'!E114 = ROUND('Raw Data'!E114, 2),FALSE)),"",_xlfn.REGEXEXTRACT(CELL("address",E114), "\$([A-Z]+)\$[0-9]+"))),_xlfn.REGEXEXTRACT(CELL("address",E114), "\$([A-Z]+)\$[0-9]+"))</f>
        <v/>
      </c>
      <c r="F114" s="7" t="str" cm="1">
        <f t="array" aca="1" ref="F114" ca="1">IFERROR(IF(OR('Raw Data'!F114="",LEN(TRIM('Raw Data'!F114))=0),"",IF(AND(ISNUMBER('Raw Data'!F114), IFERROR('Raw Data'!F114 = ROUND('Raw Data'!F114, 2),FALSE)),"",_xlfn.REGEXEXTRACT(CELL("address",F114), "\$([A-Z]+)\$[0-9]+"))),_xlfn.REGEXEXTRACT(CELL("address",F114), "\$([A-Z]+)\$[0-9]+"))</f>
        <v/>
      </c>
      <c r="G114" s="7" t="str" cm="1">
        <f t="array" aca="1" ref="G114" ca="1">IFERROR(IF(OR('Raw Data'!G114="",LEN(TRIM('Raw Data'!G114))=0),"",IF(AND(ISNUMBER('Raw Data'!G114), IFERROR('Raw Data'!G114 = ROUND('Raw Data'!G114, 2),FALSE)),"",_xlfn.REGEXEXTRACT(CELL("address",G114), "\$([A-Z]+)\$[0-9]+"))),_xlfn.REGEXEXTRACT(CELL("address",G114), "\$([A-Z]+)\$[0-9]+"))</f>
        <v/>
      </c>
      <c r="H114" s="7" t="str" cm="1">
        <f t="array" aca="1" ref="H114" ca="1">IFERROR(IF(OR('Raw Data'!H114="",LEN(TRIM('Raw Data'!H114))=0),"",IF(AND(ISNUMBER('Raw Data'!H114), IFERROR('Raw Data'!H114 = ROUND('Raw Data'!H114, 2),FALSE)),"",_xlfn.REGEXEXTRACT(CELL("address",H114), "\$([A-Z]+)\$[0-9]+"))),_xlfn.REGEXEXTRACT(CELL("address",H114), "\$([A-Z]+)\$[0-9]+"))</f>
        <v/>
      </c>
      <c r="I114" s="7" t="str" cm="1">
        <f t="array" aca="1" ref="I114" ca="1">IFERROR(IF(OR('Raw Data'!I114="",LEN(TRIM('Raw Data'!I114))=0),"",IF(AND(ISNUMBER('Raw Data'!I114), IFERROR('Raw Data'!I114 = ROUND('Raw Data'!I114, 2),FALSE)),"",_xlfn.REGEXEXTRACT(CELL("address",I114), "\$([A-Z]+)\$[0-9]+"))),_xlfn.REGEXEXTRACT(CELL("address",I114), "\$([A-Z]+)\$[0-9]+"))</f>
        <v/>
      </c>
      <c r="J114" s="7" t="str" cm="1">
        <f t="array" aca="1" ref="J114" ca="1">IFERROR(IF(OR('Raw Data'!J114="",LEN(TRIM('Raw Data'!J114))=0),"",IF(AND(ISNUMBER('Raw Data'!J114), IFERROR('Raw Data'!J114 = ROUND('Raw Data'!J114, 2),FALSE)),"",_xlfn.REGEXEXTRACT(CELL("address",J114), "\$([A-Z]+)\$[0-9]+"))),_xlfn.REGEXEXTRACT(CELL("address",J114), "\$([A-Z]+)\$[0-9]+"))</f>
        <v/>
      </c>
      <c r="K114" s="7" t="str" cm="1">
        <f t="array" aca="1" ref="K114" ca="1">IFERROR(IF(OR('Raw Data'!K114="",LEN(TRIM('Raw Data'!K114))=0),"",IF(AND(ISNUMBER('Raw Data'!K114), IFERROR('Raw Data'!K114 = ROUND('Raw Data'!K114, 2),FALSE)),"",_xlfn.REGEXEXTRACT(CELL("address",K114), "\$([A-Z]+)\$[0-9]+"))),_xlfn.REGEXEXTRACT(CELL("address",K114), "\$([A-Z]+)\$[0-9]+"))</f>
        <v/>
      </c>
      <c r="L114" s="7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7" t="str" cm="1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7" t="str" cm="1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  <c r="O114" s="7" t="str" cm="1">
        <f t="array" aca="1" ref="O114" ca="1">IFERROR(IF(OR('Raw Data'!O114="",LEN(TRIM('Raw Data'!O114))=0),"",IF(AND(ISNUMBER('Raw Data'!O114), IFERROR('Raw Data'!O114 = ROUND('Raw Data'!O114, 2),FALSE)),"",_xlfn.REGEXEXTRACT(CELL("address",O114), "\$([A-Z]+)\$[0-9]+"))),_xlfn.REGEXEXTRACT(CELL("address",O114), "\$([A-Z]+)\$[0-9]+"))</f>
        <v/>
      </c>
      <c r="P114" s="7" t="str" cm="1">
        <f t="array" aca="1" ref="P114" ca="1">IFERROR(IF(OR('Raw Data'!P114="",LEN(TRIM('Raw Data'!P114))=0),"",IF(AND(ISNUMBER('Raw Data'!P114), IFERROR('Raw Data'!P114 = ROUND('Raw Data'!P114, 2),FALSE)),"",_xlfn.REGEXEXTRACT(CELL("address",P114), "\$([A-Z]+)\$[0-9]+"))),_xlfn.REGEXEXTRACT(CELL("address",P114), "\$([A-Z]+)\$[0-9]+"))</f>
        <v/>
      </c>
      <c r="Q114" s="7" t="str" cm="1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7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7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7" t="str" cm="1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7" t="str" cm="1">
        <f t="array" aca="1" ref="U114" ca="1">IFERROR(IF(OR('Raw Data'!U114="",LEN(TRIM('Raw Data'!U114))=0),"",IF(AND(ISNUMBER('Raw Data'!U114), IFERROR('Raw Data'!U114 = ROUND('Raw Data'!U114, 2),FALSE)),"",_xlfn.REGEXEXTRACT(CELL("address",U114), "\$([A-Z]+)\$[0-9]+"))),_xlfn.REGEXEXTRACT(CELL("address",U114), "\$([A-Z]+)\$[0-9]+"))</f>
        <v/>
      </c>
      <c r="V114" s="7" t="str" cm="1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7" t="str" cm="1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7" t="str" cm="1">
        <f t="array" aca="1" ref="X114" ca="1">IFERROR(IF(OR('Raw Data'!X114="",LEN(TRIM('Raw Data'!X114))=0),"",IF(AND(ISNUMBER('Raw Data'!X114), IFERROR('Raw Data'!X114 = ROUND('Raw Data'!X114, 2),FALSE)),"",_xlfn.REGEXEXTRACT(CELL("address",X114), "\$([A-Z]+)\$[0-9]+"))),_xlfn.REGEXEXTRACT(CELL("address",X114), "\$([A-Z]+)\$[0-9]+"))</f>
        <v/>
      </c>
      <c r="Y114" s="7" t="str" cm="1">
        <f t="array" aca="1" ref="Y114" ca="1">IFERROR(IF(OR('Raw Data'!Y114="",LEN(TRIM('Raw Data'!Y114))=0),"",IF(AND(ISNUMBER('Raw Data'!Y114), IFERROR('Raw Data'!Y114 = ROUND('Raw Data'!Y114, 2),FALSE)),"",_xlfn.REGEXEXTRACT(CELL("address",Y114), "\$([A-Z]+)\$[0-9]+"))),_xlfn.REGEXEXTRACT(CELL("address",Y114), "\$([A-Z]+)\$[0-9]+"))</f>
        <v/>
      </c>
      <c r="Z114" s="7" t="str" cm="1">
        <f t="array" aca="1" ref="Z114" ca="1">IFERROR(IF(OR('Raw Data'!Z114="",LEN(TRIM('Raw Data'!Z114))=0),"",IF(AND(ISNUMBER('Raw Data'!Z114), IFERROR('Raw Data'!Z114 = ROUND('Raw Data'!Z114, 2),FALSE)),"",_xlfn.REGEXEXTRACT(CELL("address",Z114), "\$([A-Z]+)\$[0-9]+"))),_xlfn.REGEXEXTRACT(CELL("address",Z114), "\$([A-Z]+)\$[0-9]+"))</f>
        <v/>
      </c>
      <c r="AA114" s="7" t="str" cm="1">
        <f t="array" aca="1" ref="AA114" ca="1">IFERROR(IF(OR('Raw Data'!AA114="",LEN(TRIM('Raw Data'!AA114))=0),"",IF(AND(ISNUMBER('Raw Data'!AA114), IFERROR('Raw Data'!AA114 = ROUND('Raw Data'!AA114, 2),FALSE)),"",_xlfn.REGEXEXTRACT(CELL("address",AA114), "\$([A-Z]+)\$[0-9]+"))),_xlfn.REGEXEXTRACT(CELL("address",AA114), "\$([A-Z]+)\$[0-9]+"))</f>
        <v/>
      </c>
      <c r="AB114" s="7" t="str" cm="1">
        <f t="array" aca="1" ref="AB114" ca="1">IFERROR(IF(OR('Raw Data'!AB114="",LEN(TRIM('Raw Data'!AB114))=0),"",IF(AND(ISNUMBER('Raw Data'!AB114), IFERROR('Raw Data'!AB114 = ROUND('Raw Data'!AB114, 2),FALSE)),"",_xlfn.REGEXEXTRACT(CELL("address",AB114), "\$([A-Z]+)\$[0-9]+"))),_xlfn.REGEXEXTRACT(CELL("address",AB114), "\$([A-Z]+)\$[0-9]+"))</f>
        <v/>
      </c>
    </row>
    <row r="115" spans="2:28" x14ac:dyDescent="0.25">
      <c r="B115" s="7" t="str" cm="1">
        <f t="array" aca="1" ref="B115" ca="1">IFERROR(IF(OR('Raw Data'!B115="",LEN(TRIM('Raw Data'!B115))=0),"",IF(AND(LEN('Raw Data'!B115) &lt;= 255,LEN('Raw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20,LEN('Raw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Data'!D115))=0),"",IF(AND(ISNUMBER('Raw Data'!D115),'Raw Data'!D115&gt;=Configuration!$D$2),"",_xlfn.REGEXEXTRACT(CELL("address",'Raw Data'!D115),"\$([A-Z]+)\$[0-9]+"))),_xlfn.REGEXEXTRACT(CELL("address",D115), "\$([A-Z]+)\$[0-9]+"))</f>
        <v/>
      </c>
      <c r="E115" s="7" t="str" cm="1">
        <f t="array" aca="1" ref="E115" ca="1">IFERROR(IF(OR('Raw Data'!E115="",LEN(TRIM('Raw Data'!E115))=0),"",IF(AND(ISNUMBER('Raw Data'!E115), IFERROR('Raw Data'!E115 = ROUND('Raw Data'!E115, 2),FALSE)),"",_xlfn.REGEXEXTRACT(CELL("address",E115), "\$([A-Z]+)\$[0-9]+"))),_xlfn.REGEXEXTRACT(CELL("address",E115), "\$([A-Z]+)\$[0-9]+"))</f>
        <v/>
      </c>
      <c r="F115" s="7" t="str" cm="1">
        <f t="array" aca="1" ref="F115" ca="1">IFERROR(IF(OR('Raw Data'!F115="",LEN(TRIM('Raw Data'!F115))=0),"",IF(AND(ISNUMBER('Raw Data'!F115), IFERROR('Raw Data'!F115 = ROUND('Raw Data'!F115, 2),FALSE)),"",_xlfn.REGEXEXTRACT(CELL("address",F115), "\$([A-Z]+)\$[0-9]+"))),_xlfn.REGEXEXTRACT(CELL("address",F115), "\$([A-Z]+)\$[0-9]+"))</f>
        <v/>
      </c>
      <c r="G115" s="7" t="str" cm="1">
        <f t="array" aca="1" ref="G115" ca="1">IFERROR(IF(OR('Raw Data'!G115="",LEN(TRIM('Raw Data'!G115))=0),"",IF(AND(ISNUMBER('Raw Data'!G115), IFERROR('Raw Data'!G115 = ROUND('Raw Data'!G115, 2),FALSE)),"",_xlfn.REGEXEXTRACT(CELL("address",G115), "\$([A-Z]+)\$[0-9]+"))),_xlfn.REGEXEXTRACT(CELL("address",G115), "\$([A-Z]+)\$[0-9]+"))</f>
        <v/>
      </c>
      <c r="H115" s="7" t="str" cm="1">
        <f t="array" aca="1" ref="H115" ca="1">IFERROR(IF(OR('Raw Data'!H115="",LEN(TRIM('Raw Data'!H115))=0),"",IF(AND(ISNUMBER('Raw Data'!H115), IFERROR('Raw Data'!H115 = ROUND('Raw Data'!H115, 2),FALSE)),"",_xlfn.REGEXEXTRACT(CELL("address",H115), "\$([A-Z]+)\$[0-9]+"))),_xlfn.REGEXEXTRACT(CELL("address",H115), "\$([A-Z]+)\$[0-9]+"))</f>
        <v/>
      </c>
      <c r="I115" s="7" t="str" cm="1">
        <f t="array" aca="1" ref="I115" ca="1">IFERROR(IF(OR('Raw Data'!I115="",LEN(TRIM('Raw Data'!I115))=0),"",IF(AND(ISNUMBER('Raw Data'!I115), IFERROR('Raw Data'!I115 = ROUND('Raw Data'!I115, 2),FALSE)),"",_xlfn.REGEXEXTRACT(CELL("address",I115), "\$([A-Z]+)\$[0-9]+"))),_xlfn.REGEXEXTRACT(CELL("address",I115), "\$([A-Z]+)\$[0-9]+"))</f>
        <v/>
      </c>
      <c r="J115" s="7" t="str" cm="1">
        <f t="array" aca="1" ref="J115" ca="1">IFERROR(IF(OR('Raw Data'!J115="",LEN(TRIM('Raw Data'!J115))=0),"",IF(AND(ISNUMBER('Raw Data'!J115), IFERROR('Raw Data'!J115 = ROUND('Raw Data'!J115, 2),FALSE)),"",_xlfn.REGEXEXTRACT(CELL("address",J115), "\$([A-Z]+)\$[0-9]+"))),_xlfn.REGEXEXTRACT(CELL("address",J115), "\$([A-Z]+)\$[0-9]+"))</f>
        <v/>
      </c>
      <c r="K115" s="7" t="str" cm="1">
        <f t="array" aca="1" ref="K115" ca="1">IFERROR(IF(OR('Raw Data'!K115="",LEN(TRIM('Raw Data'!K115))=0),"",IF(AND(ISNUMBER('Raw Data'!K115), IFERROR('Raw Data'!K115 = ROUND('Raw Data'!K115, 2),FALSE)),"",_xlfn.REGEXEXTRACT(CELL("address",K115), "\$([A-Z]+)\$[0-9]+"))),_xlfn.REGEXEXTRACT(CELL("address",K115), "\$([A-Z]+)\$[0-9]+"))</f>
        <v/>
      </c>
      <c r="L115" s="7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7" t="str" cm="1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7" t="str" cm="1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  <c r="O115" s="7" t="str" cm="1">
        <f t="array" aca="1" ref="O115" ca="1">IFERROR(IF(OR('Raw Data'!O115="",LEN(TRIM('Raw Data'!O115))=0),"",IF(AND(ISNUMBER('Raw Data'!O115), IFERROR('Raw Data'!O115 = ROUND('Raw Data'!O115, 2),FALSE)),"",_xlfn.REGEXEXTRACT(CELL("address",O115), "\$([A-Z]+)\$[0-9]+"))),_xlfn.REGEXEXTRACT(CELL("address",O115), "\$([A-Z]+)\$[0-9]+"))</f>
        <v/>
      </c>
      <c r="P115" s="7" t="str" cm="1">
        <f t="array" aca="1" ref="P115" ca="1">IFERROR(IF(OR('Raw Data'!P115="",LEN(TRIM('Raw Data'!P115))=0),"",IF(AND(ISNUMBER('Raw Data'!P115), IFERROR('Raw Data'!P115 = ROUND('Raw Data'!P115, 2),FALSE)),"",_xlfn.REGEXEXTRACT(CELL("address",P115), "\$([A-Z]+)\$[0-9]+"))),_xlfn.REGEXEXTRACT(CELL("address",P115), "\$([A-Z]+)\$[0-9]+"))</f>
        <v/>
      </c>
      <c r="Q115" s="7" t="str" cm="1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7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7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7" t="str" cm="1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7" t="str" cm="1">
        <f t="array" aca="1" ref="U115" ca="1">IFERROR(IF(OR('Raw Data'!U115="",LEN(TRIM('Raw Data'!U115))=0),"",IF(AND(ISNUMBER('Raw Data'!U115), IFERROR('Raw Data'!U115 = ROUND('Raw Data'!U115, 2),FALSE)),"",_xlfn.REGEXEXTRACT(CELL("address",U115), "\$([A-Z]+)\$[0-9]+"))),_xlfn.REGEXEXTRACT(CELL("address",U115), "\$([A-Z]+)\$[0-9]+"))</f>
        <v/>
      </c>
      <c r="V115" s="7" t="str" cm="1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7" t="str" cm="1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7" t="str" cm="1">
        <f t="array" aca="1" ref="X115" ca="1">IFERROR(IF(OR('Raw Data'!X115="",LEN(TRIM('Raw Data'!X115))=0),"",IF(AND(ISNUMBER('Raw Data'!X115), IFERROR('Raw Data'!X115 = ROUND('Raw Data'!X115, 2),FALSE)),"",_xlfn.REGEXEXTRACT(CELL("address",X115), "\$([A-Z]+)\$[0-9]+"))),_xlfn.REGEXEXTRACT(CELL("address",X115), "\$([A-Z]+)\$[0-9]+"))</f>
        <v/>
      </c>
      <c r="Y115" s="7" t="str" cm="1">
        <f t="array" aca="1" ref="Y115" ca="1">IFERROR(IF(OR('Raw Data'!Y115="",LEN(TRIM('Raw Data'!Y115))=0),"",IF(AND(ISNUMBER('Raw Data'!Y115), IFERROR('Raw Data'!Y115 = ROUND('Raw Data'!Y115, 2),FALSE)),"",_xlfn.REGEXEXTRACT(CELL("address",Y115), "\$([A-Z]+)\$[0-9]+"))),_xlfn.REGEXEXTRACT(CELL("address",Y115), "\$([A-Z]+)\$[0-9]+"))</f>
        <v/>
      </c>
      <c r="Z115" s="7" t="str" cm="1">
        <f t="array" aca="1" ref="Z115" ca="1">IFERROR(IF(OR('Raw Data'!Z115="",LEN(TRIM('Raw Data'!Z115))=0),"",IF(AND(ISNUMBER('Raw Data'!Z115), IFERROR('Raw Data'!Z115 = ROUND('Raw Data'!Z115, 2),FALSE)),"",_xlfn.REGEXEXTRACT(CELL("address",Z115), "\$([A-Z]+)\$[0-9]+"))),_xlfn.REGEXEXTRACT(CELL("address",Z115), "\$([A-Z]+)\$[0-9]+"))</f>
        <v/>
      </c>
      <c r="AA115" s="7" t="str" cm="1">
        <f t="array" aca="1" ref="AA115" ca="1">IFERROR(IF(OR('Raw Data'!AA115="",LEN(TRIM('Raw Data'!AA115))=0),"",IF(AND(ISNUMBER('Raw Data'!AA115), IFERROR('Raw Data'!AA115 = ROUND('Raw Data'!AA115, 2),FALSE)),"",_xlfn.REGEXEXTRACT(CELL("address",AA115), "\$([A-Z]+)\$[0-9]+"))),_xlfn.REGEXEXTRACT(CELL("address",AA115), "\$([A-Z]+)\$[0-9]+"))</f>
        <v/>
      </c>
      <c r="AB115" s="7" t="str" cm="1">
        <f t="array" aca="1" ref="AB115" ca="1">IFERROR(IF(OR('Raw Data'!AB115="",LEN(TRIM('Raw Data'!AB115))=0),"",IF(AND(ISNUMBER('Raw Data'!AB115), IFERROR('Raw Data'!AB115 = ROUND('Raw Data'!AB115, 2),FALSE)),"",_xlfn.REGEXEXTRACT(CELL("address",AB115), "\$([A-Z]+)\$[0-9]+"))),_xlfn.REGEXEXTRACT(CELL("address",AB115), "\$([A-Z]+)\$[0-9]+"))</f>
        <v/>
      </c>
    </row>
    <row r="116" spans="2:28" x14ac:dyDescent="0.25">
      <c r="B116" s="7" t="str" cm="1">
        <f t="array" aca="1" ref="B116" ca="1">IFERROR(IF(OR('Raw Data'!B116="",LEN(TRIM('Raw Data'!B116))=0),"",IF(AND(LEN('Raw Data'!B116) &lt;= 255,LEN('Raw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20,LEN('Raw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Data'!D116))=0),"",IF(AND(ISNUMBER('Raw Data'!D116),'Raw Data'!D116&gt;=Configuration!$D$2),"",_xlfn.REGEXEXTRACT(CELL("address",'Raw Data'!D116),"\$([A-Z]+)\$[0-9]+"))),_xlfn.REGEXEXTRACT(CELL("address",D116), "\$([A-Z]+)\$[0-9]+"))</f>
        <v/>
      </c>
      <c r="E116" s="7" t="str" cm="1">
        <f t="array" aca="1" ref="E116" ca="1">IFERROR(IF(OR('Raw Data'!E116="",LEN(TRIM('Raw Data'!E116))=0),"",IF(AND(ISNUMBER('Raw Data'!E116), IFERROR('Raw Data'!E116 = ROUND('Raw Data'!E116, 2),FALSE)),"",_xlfn.REGEXEXTRACT(CELL("address",E116), "\$([A-Z]+)\$[0-9]+"))),_xlfn.REGEXEXTRACT(CELL("address",E116), "\$([A-Z]+)\$[0-9]+"))</f>
        <v/>
      </c>
      <c r="F116" s="7" t="str" cm="1">
        <f t="array" aca="1" ref="F116" ca="1">IFERROR(IF(OR('Raw Data'!F116="",LEN(TRIM('Raw Data'!F116))=0),"",IF(AND(ISNUMBER('Raw Data'!F116), IFERROR('Raw Data'!F116 = ROUND('Raw Data'!F116, 2),FALSE)),"",_xlfn.REGEXEXTRACT(CELL("address",F116), "\$([A-Z]+)\$[0-9]+"))),_xlfn.REGEXEXTRACT(CELL("address",F116), "\$([A-Z]+)\$[0-9]+"))</f>
        <v/>
      </c>
      <c r="G116" s="7" t="str" cm="1">
        <f t="array" aca="1" ref="G116" ca="1">IFERROR(IF(OR('Raw Data'!G116="",LEN(TRIM('Raw Data'!G116))=0),"",IF(AND(ISNUMBER('Raw Data'!G116), IFERROR('Raw Data'!G116 = ROUND('Raw Data'!G116, 2),FALSE)),"",_xlfn.REGEXEXTRACT(CELL("address",G116), "\$([A-Z]+)\$[0-9]+"))),_xlfn.REGEXEXTRACT(CELL("address",G116), "\$([A-Z]+)\$[0-9]+"))</f>
        <v/>
      </c>
      <c r="H116" s="7" t="str" cm="1">
        <f t="array" aca="1" ref="H116" ca="1">IFERROR(IF(OR('Raw Data'!H116="",LEN(TRIM('Raw Data'!H116))=0),"",IF(AND(ISNUMBER('Raw Data'!H116), IFERROR('Raw Data'!H116 = ROUND('Raw Data'!H116, 2),FALSE)),"",_xlfn.REGEXEXTRACT(CELL("address",H116), "\$([A-Z]+)\$[0-9]+"))),_xlfn.REGEXEXTRACT(CELL("address",H116), "\$([A-Z]+)\$[0-9]+"))</f>
        <v/>
      </c>
      <c r="I116" s="7" t="str" cm="1">
        <f t="array" aca="1" ref="I116" ca="1">IFERROR(IF(OR('Raw Data'!I116="",LEN(TRIM('Raw Data'!I116))=0),"",IF(AND(ISNUMBER('Raw Data'!I116), IFERROR('Raw Data'!I116 = ROUND('Raw Data'!I116, 2),FALSE)),"",_xlfn.REGEXEXTRACT(CELL("address",I116), "\$([A-Z]+)\$[0-9]+"))),_xlfn.REGEXEXTRACT(CELL("address",I116), "\$([A-Z]+)\$[0-9]+"))</f>
        <v/>
      </c>
      <c r="J116" s="7" t="str" cm="1">
        <f t="array" aca="1" ref="J116" ca="1">IFERROR(IF(OR('Raw Data'!J116="",LEN(TRIM('Raw Data'!J116))=0),"",IF(AND(ISNUMBER('Raw Data'!J116), IFERROR('Raw Data'!J116 = ROUND('Raw Data'!J116, 2),FALSE)),"",_xlfn.REGEXEXTRACT(CELL("address",J116), "\$([A-Z]+)\$[0-9]+"))),_xlfn.REGEXEXTRACT(CELL("address",J116), "\$([A-Z]+)\$[0-9]+"))</f>
        <v/>
      </c>
      <c r="K116" s="7" t="str" cm="1">
        <f t="array" aca="1" ref="K116" ca="1">IFERROR(IF(OR('Raw Data'!K116="",LEN(TRIM('Raw Data'!K116))=0),"",IF(AND(ISNUMBER('Raw Data'!K116), IFERROR('Raw Data'!K116 = ROUND('Raw Data'!K116, 2),FALSE)),"",_xlfn.REGEXEXTRACT(CELL("address",K116), "\$([A-Z]+)\$[0-9]+"))),_xlfn.REGEXEXTRACT(CELL("address",K116), "\$([A-Z]+)\$[0-9]+"))</f>
        <v/>
      </c>
      <c r="L116" s="7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7" t="str" cm="1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7" t="str" cm="1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  <c r="O116" s="7" t="str" cm="1">
        <f t="array" aca="1" ref="O116" ca="1">IFERROR(IF(OR('Raw Data'!O116="",LEN(TRIM('Raw Data'!O116))=0),"",IF(AND(ISNUMBER('Raw Data'!O116), IFERROR('Raw Data'!O116 = ROUND('Raw Data'!O116, 2),FALSE)),"",_xlfn.REGEXEXTRACT(CELL("address",O116), "\$([A-Z]+)\$[0-9]+"))),_xlfn.REGEXEXTRACT(CELL("address",O116), "\$([A-Z]+)\$[0-9]+"))</f>
        <v/>
      </c>
      <c r="P116" s="7" t="str" cm="1">
        <f t="array" aca="1" ref="P116" ca="1">IFERROR(IF(OR('Raw Data'!P116="",LEN(TRIM('Raw Data'!P116))=0),"",IF(AND(ISNUMBER('Raw Data'!P116), IFERROR('Raw Data'!P116 = ROUND('Raw Data'!P116, 2),FALSE)),"",_xlfn.REGEXEXTRACT(CELL("address",P116), "\$([A-Z]+)\$[0-9]+"))),_xlfn.REGEXEXTRACT(CELL("address",P116), "\$([A-Z]+)\$[0-9]+"))</f>
        <v/>
      </c>
      <c r="Q116" s="7" t="str" cm="1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7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7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7" t="str" cm="1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7" t="str" cm="1">
        <f t="array" aca="1" ref="U116" ca="1">IFERROR(IF(OR('Raw Data'!U116="",LEN(TRIM('Raw Data'!U116))=0),"",IF(AND(ISNUMBER('Raw Data'!U116), IFERROR('Raw Data'!U116 = ROUND('Raw Data'!U116, 2),FALSE)),"",_xlfn.REGEXEXTRACT(CELL("address",U116), "\$([A-Z]+)\$[0-9]+"))),_xlfn.REGEXEXTRACT(CELL("address",U116), "\$([A-Z]+)\$[0-9]+"))</f>
        <v/>
      </c>
      <c r="V116" s="7" t="str" cm="1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7" t="str" cm="1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7" t="str" cm="1">
        <f t="array" aca="1" ref="X116" ca="1">IFERROR(IF(OR('Raw Data'!X116="",LEN(TRIM('Raw Data'!X116))=0),"",IF(AND(ISNUMBER('Raw Data'!X116), IFERROR('Raw Data'!X116 = ROUND('Raw Data'!X116, 2),FALSE)),"",_xlfn.REGEXEXTRACT(CELL("address",X116), "\$([A-Z]+)\$[0-9]+"))),_xlfn.REGEXEXTRACT(CELL("address",X116), "\$([A-Z]+)\$[0-9]+"))</f>
        <v/>
      </c>
      <c r="Y116" s="7" t="str" cm="1">
        <f t="array" aca="1" ref="Y116" ca="1">IFERROR(IF(OR('Raw Data'!Y116="",LEN(TRIM('Raw Data'!Y116))=0),"",IF(AND(ISNUMBER('Raw Data'!Y116), IFERROR('Raw Data'!Y116 = ROUND('Raw Data'!Y116, 2),FALSE)),"",_xlfn.REGEXEXTRACT(CELL("address",Y116), "\$([A-Z]+)\$[0-9]+"))),_xlfn.REGEXEXTRACT(CELL("address",Y116), "\$([A-Z]+)\$[0-9]+"))</f>
        <v/>
      </c>
      <c r="Z116" s="7" t="str" cm="1">
        <f t="array" aca="1" ref="Z116" ca="1">IFERROR(IF(OR('Raw Data'!Z116="",LEN(TRIM('Raw Data'!Z116))=0),"",IF(AND(ISNUMBER('Raw Data'!Z116), IFERROR('Raw Data'!Z116 = ROUND('Raw Data'!Z116, 2),FALSE)),"",_xlfn.REGEXEXTRACT(CELL("address",Z116), "\$([A-Z]+)\$[0-9]+"))),_xlfn.REGEXEXTRACT(CELL("address",Z116), "\$([A-Z]+)\$[0-9]+"))</f>
        <v/>
      </c>
      <c r="AA116" s="7" t="str" cm="1">
        <f t="array" aca="1" ref="AA116" ca="1">IFERROR(IF(OR('Raw Data'!AA116="",LEN(TRIM('Raw Data'!AA116))=0),"",IF(AND(ISNUMBER('Raw Data'!AA116), IFERROR('Raw Data'!AA116 = ROUND('Raw Data'!AA116, 2),FALSE)),"",_xlfn.REGEXEXTRACT(CELL("address",AA116), "\$([A-Z]+)\$[0-9]+"))),_xlfn.REGEXEXTRACT(CELL("address",AA116), "\$([A-Z]+)\$[0-9]+"))</f>
        <v/>
      </c>
      <c r="AB116" s="7" t="str" cm="1">
        <f t="array" aca="1" ref="AB116" ca="1">IFERROR(IF(OR('Raw Data'!AB116="",LEN(TRIM('Raw Data'!AB116))=0),"",IF(AND(ISNUMBER('Raw Data'!AB116), IFERROR('Raw Data'!AB116 = ROUND('Raw Data'!AB116, 2),FALSE)),"",_xlfn.REGEXEXTRACT(CELL("address",AB116), "\$([A-Z]+)\$[0-9]+"))),_xlfn.REGEXEXTRACT(CELL("address",AB116), "\$([A-Z]+)\$[0-9]+"))</f>
        <v/>
      </c>
    </row>
    <row r="117" spans="2:28" x14ac:dyDescent="0.25">
      <c r="B117" s="7" t="str" cm="1">
        <f t="array" aca="1" ref="B117" ca="1">IFERROR(IF(OR('Raw Data'!B117="",LEN(TRIM('Raw Data'!B117))=0),"",IF(AND(LEN('Raw Data'!B117) &lt;= 255,LEN('Raw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20,LEN('Raw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Data'!D117))=0),"",IF(AND(ISNUMBER('Raw Data'!D117),'Raw Data'!D117&gt;=Configuration!$D$2),"",_xlfn.REGEXEXTRACT(CELL("address",'Raw Data'!D117),"\$([A-Z]+)\$[0-9]+"))),_xlfn.REGEXEXTRACT(CELL("address",D117), "\$([A-Z]+)\$[0-9]+"))</f>
        <v/>
      </c>
      <c r="E117" s="7" t="str" cm="1">
        <f t="array" aca="1" ref="E117" ca="1">IFERROR(IF(OR('Raw Data'!E117="",LEN(TRIM('Raw Data'!E117))=0),"",IF(AND(ISNUMBER('Raw Data'!E117), IFERROR('Raw Data'!E117 = ROUND('Raw Data'!E117, 2),FALSE)),"",_xlfn.REGEXEXTRACT(CELL("address",E117), "\$([A-Z]+)\$[0-9]+"))),_xlfn.REGEXEXTRACT(CELL("address",E117), "\$([A-Z]+)\$[0-9]+"))</f>
        <v/>
      </c>
      <c r="F117" s="7" t="str" cm="1">
        <f t="array" aca="1" ref="F117" ca="1">IFERROR(IF(OR('Raw Data'!F117="",LEN(TRIM('Raw Data'!F117))=0),"",IF(AND(ISNUMBER('Raw Data'!F117), IFERROR('Raw Data'!F117 = ROUND('Raw Data'!F117, 2),FALSE)),"",_xlfn.REGEXEXTRACT(CELL("address",F117), "\$([A-Z]+)\$[0-9]+"))),_xlfn.REGEXEXTRACT(CELL("address",F117), "\$([A-Z]+)\$[0-9]+"))</f>
        <v/>
      </c>
      <c r="G117" s="7" t="str" cm="1">
        <f t="array" aca="1" ref="G117" ca="1">IFERROR(IF(OR('Raw Data'!G117="",LEN(TRIM('Raw Data'!G117))=0),"",IF(AND(ISNUMBER('Raw Data'!G117), IFERROR('Raw Data'!G117 = ROUND('Raw Data'!G117, 2),FALSE)),"",_xlfn.REGEXEXTRACT(CELL("address",G117), "\$([A-Z]+)\$[0-9]+"))),_xlfn.REGEXEXTRACT(CELL("address",G117), "\$([A-Z]+)\$[0-9]+"))</f>
        <v/>
      </c>
      <c r="H117" s="7" t="str" cm="1">
        <f t="array" aca="1" ref="H117" ca="1">IFERROR(IF(OR('Raw Data'!H117="",LEN(TRIM('Raw Data'!H117))=0),"",IF(AND(ISNUMBER('Raw Data'!H117), IFERROR('Raw Data'!H117 = ROUND('Raw Data'!H117, 2),FALSE)),"",_xlfn.REGEXEXTRACT(CELL("address",H117), "\$([A-Z]+)\$[0-9]+"))),_xlfn.REGEXEXTRACT(CELL("address",H117), "\$([A-Z]+)\$[0-9]+"))</f>
        <v/>
      </c>
      <c r="I117" s="7" t="str" cm="1">
        <f t="array" aca="1" ref="I117" ca="1">IFERROR(IF(OR('Raw Data'!I117="",LEN(TRIM('Raw Data'!I117))=0),"",IF(AND(ISNUMBER('Raw Data'!I117), IFERROR('Raw Data'!I117 = ROUND('Raw Data'!I117, 2),FALSE)),"",_xlfn.REGEXEXTRACT(CELL("address",I117), "\$([A-Z]+)\$[0-9]+"))),_xlfn.REGEXEXTRACT(CELL("address",I117), "\$([A-Z]+)\$[0-9]+"))</f>
        <v/>
      </c>
      <c r="J117" s="7" t="str" cm="1">
        <f t="array" aca="1" ref="J117" ca="1">IFERROR(IF(OR('Raw Data'!J117="",LEN(TRIM('Raw Data'!J117))=0),"",IF(AND(ISNUMBER('Raw Data'!J117), IFERROR('Raw Data'!J117 = ROUND('Raw Data'!J117, 2),FALSE)),"",_xlfn.REGEXEXTRACT(CELL("address",J117), "\$([A-Z]+)\$[0-9]+"))),_xlfn.REGEXEXTRACT(CELL("address",J117), "\$([A-Z]+)\$[0-9]+"))</f>
        <v/>
      </c>
      <c r="K117" s="7" t="str" cm="1">
        <f t="array" aca="1" ref="K117" ca="1">IFERROR(IF(OR('Raw Data'!K117="",LEN(TRIM('Raw Data'!K117))=0),"",IF(AND(ISNUMBER('Raw Data'!K117), IFERROR('Raw Data'!K117 = ROUND('Raw Data'!K117, 2),FALSE)),"",_xlfn.REGEXEXTRACT(CELL("address",K117), "\$([A-Z]+)\$[0-9]+"))),_xlfn.REGEXEXTRACT(CELL("address",K117), "\$([A-Z]+)\$[0-9]+"))</f>
        <v/>
      </c>
      <c r="L117" s="7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7" t="str" cm="1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7" t="str" cm="1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  <c r="O117" s="7" t="str" cm="1">
        <f t="array" aca="1" ref="O117" ca="1">IFERROR(IF(OR('Raw Data'!O117="",LEN(TRIM('Raw Data'!O117))=0),"",IF(AND(ISNUMBER('Raw Data'!O117), IFERROR('Raw Data'!O117 = ROUND('Raw Data'!O117, 2),FALSE)),"",_xlfn.REGEXEXTRACT(CELL("address",O117), "\$([A-Z]+)\$[0-9]+"))),_xlfn.REGEXEXTRACT(CELL("address",O117), "\$([A-Z]+)\$[0-9]+"))</f>
        <v/>
      </c>
      <c r="P117" s="7" t="str" cm="1">
        <f t="array" aca="1" ref="P117" ca="1">IFERROR(IF(OR('Raw Data'!P117="",LEN(TRIM('Raw Data'!P117))=0),"",IF(AND(ISNUMBER('Raw Data'!P117), IFERROR('Raw Data'!P117 = ROUND('Raw Data'!P117, 2),FALSE)),"",_xlfn.REGEXEXTRACT(CELL("address",P117), "\$([A-Z]+)\$[0-9]+"))),_xlfn.REGEXEXTRACT(CELL("address",P117), "\$([A-Z]+)\$[0-9]+"))</f>
        <v/>
      </c>
      <c r="Q117" s="7" t="str" cm="1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7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7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7" t="str" cm="1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7" t="str" cm="1">
        <f t="array" aca="1" ref="U117" ca="1">IFERROR(IF(OR('Raw Data'!U117="",LEN(TRIM('Raw Data'!U117))=0),"",IF(AND(ISNUMBER('Raw Data'!U117), IFERROR('Raw Data'!U117 = ROUND('Raw Data'!U117, 2),FALSE)),"",_xlfn.REGEXEXTRACT(CELL("address",U117), "\$([A-Z]+)\$[0-9]+"))),_xlfn.REGEXEXTRACT(CELL("address",U117), "\$([A-Z]+)\$[0-9]+"))</f>
        <v/>
      </c>
      <c r="V117" s="7" t="str" cm="1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7" t="str" cm="1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7" t="str" cm="1">
        <f t="array" aca="1" ref="X117" ca="1">IFERROR(IF(OR('Raw Data'!X117="",LEN(TRIM('Raw Data'!X117))=0),"",IF(AND(ISNUMBER('Raw Data'!X117), IFERROR('Raw Data'!X117 = ROUND('Raw Data'!X117, 2),FALSE)),"",_xlfn.REGEXEXTRACT(CELL("address",X117), "\$([A-Z]+)\$[0-9]+"))),_xlfn.REGEXEXTRACT(CELL("address",X117), "\$([A-Z]+)\$[0-9]+"))</f>
        <v/>
      </c>
      <c r="Y117" s="7" t="str" cm="1">
        <f t="array" aca="1" ref="Y117" ca="1">IFERROR(IF(OR('Raw Data'!Y117="",LEN(TRIM('Raw Data'!Y117))=0),"",IF(AND(ISNUMBER('Raw Data'!Y117), IFERROR('Raw Data'!Y117 = ROUND('Raw Data'!Y117, 2),FALSE)),"",_xlfn.REGEXEXTRACT(CELL("address",Y117), "\$([A-Z]+)\$[0-9]+"))),_xlfn.REGEXEXTRACT(CELL("address",Y117), "\$([A-Z]+)\$[0-9]+"))</f>
        <v/>
      </c>
      <c r="Z117" s="7" t="str" cm="1">
        <f t="array" aca="1" ref="Z117" ca="1">IFERROR(IF(OR('Raw Data'!Z117="",LEN(TRIM('Raw Data'!Z117))=0),"",IF(AND(ISNUMBER('Raw Data'!Z117), IFERROR('Raw Data'!Z117 = ROUND('Raw Data'!Z117, 2),FALSE)),"",_xlfn.REGEXEXTRACT(CELL("address",Z117), "\$([A-Z]+)\$[0-9]+"))),_xlfn.REGEXEXTRACT(CELL("address",Z117), "\$([A-Z]+)\$[0-9]+"))</f>
        <v/>
      </c>
      <c r="AA117" s="7" t="str" cm="1">
        <f t="array" aca="1" ref="AA117" ca="1">IFERROR(IF(OR('Raw Data'!AA117="",LEN(TRIM('Raw Data'!AA117))=0),"",IF(AND(ISNUMBER('Raw Data'!AA117), IFERROR('Raw Data'!AA117 = ROUND('Raw Data'!AA117, 2),FALSE)),"",_xlfn.REGEXEXTRACT(CELL("address",AA117), "\$([A-Z]+)\$[0-9]+"))),_xlfn.REGEXEXTRACT(CELL("address",AA117), "\$([A-Z]+)\$[0-9]+"))</f>
        <v/>
      </c>
      <c r="AB117" s="7" t="str" cm="1">
        <f t="array" aca="1" ref="AB117" ca="1">IFERROR(IF(OR('Raw Data'!AB117="",LEN(TRIM('Raw Data'!AB117))=0),"",IF(AND(ISNUMBER('Raw Data'!AB117), IFERROR('Raw Data'!AB117 = ROUND('Raw Data'!AB117, 2),FALSE)),"",_xlfn.REGEXEXTRACT(CELL("address",AB117), "\$([A-Z]+)\$[0-9]+"))),_xlfn.REGEXEXTRACT(CELL("address",AB117), "\$([A-Z]+)\$[0-9]+"))</f>
        <v/>
      </c>
    </row>
    <row r="118" spans="2:28" x14ac:dyDescent="0.25">
      <c r="B118" s="7" t="str" cm="1">
        <f t="array" aca="1" ref="B118" ca="1">IFERROR(IF(OR('Raw Data'!B118="",LEN(TRIM('Raw Data'!B118))=0),"",IF(AND(LEN('Raw Data'!B118) &lt;= 255,LEN('Raw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20,LEN('Raw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Data'!D118))=0),"",IF(AND(ISNUMBER('Raw Data'!D118),'Raw Data'!D118&gt;=Configuration!$D$2),"",_xlfn.REGEXEXTRACT(CELL("address",'Raw Data'!D118),"\$([A-Z]+)\$[0-9]+"))),_xlfn.REGEXEXTRACT(CELL("address",D118), "\$([A-Z]+)\$[0-9]+"))</f>
        <v/>
      </c>
      <c r="E118" s="7" t="str" cm="1">
        <f t="array" aca="1" ref="E118" ca="1">IFERROR(IF(OR('Raw Data'!E118="",LEN(TRIM('Raw Data'!E118))=0),"",IF(AND(ISNUMBER('Raw Data'!E118), IFERROR('Raw Data'!E118 = ROUND('Raw Data'!E118, 2),FALSE)),"",_xlfn.REGEXEXTRACT(CELL("address",E118), "\$([A-Z]+)\$[0-9]+"))),_xlfn.REGEXEXTRACT(CELL("address",E118), "\$([A-Z]+)\$[0-9]+"))</f>
        <v/>
      </c>
      <c r="F118" s="7" t="str" cm="1">
        <f t="array" aca="1" ref="F118" ca="1">IFERROR(IF(OR('Raw Data'!F118="",LEN(TRIM('Raw Data'!F118))=0),"",IF(AND(ISNUMBER('Raw Data'!F118), IFERROR('Raw Data'!F118 = ROUND('Raw Data'!F118, 2),FALSE)),"",_xlfn.REGEXEXTRACT(CELL("address",F118), "\$([A-Z]+)\$[0-9]+"))),_xlfn.REGEXEXTRACT(CELL("address",F118), "\$([A-Z]+)\$[0-9]+"))</f>
        <v/>
      </c>
      <c r="G118" s="7" t="str" cm="1">
        <f t="array" aca="1" ref="G118" ca="1">IFERROR(IF(OR('Raw Data'!G118="",LEN(TRIM('Raw Data'!G118))=0),"",IF(AND(ISNUMBER('Raw Data'!G118), IFERROR('Raw Data'!G118 = ROUND('Raw Data'!G118, 2),FALSE)),"",_xlfn.REGEXEXTRACT(CELL("address",G118), "\$([A-Z]+)\$[0-9]+"))),_xlfn.REGEXEXTRACT(CELL("address",G118), "\$([A-Z]+)\$[0-9]+"))</f>
        <v/>
      </c>
      <c r="H118" s="7" t="str" cm="1">
        <f t="array" aca="1" ref="H118" ca="1">IFERROR(IF(OR('Raw Data'!H118="",LEN(TRIM('Raw Data'!H118))=0),"",IF(AND(ISNUMBER('Raw Data'!H118), IFERROR('Raw Data'!H118 = ROUND('Raw Data'!H118, 2),FALSE)),"",_xlfn.REGEXEXTRACT(CELL("address",H118), "\$([A-Z]+)\$[0-9]+"))),_xlfn.REGEXEXTRACT(CELL("address",H118), "\$([A-Z]+)\$[0-9]+"))</f>
        <v/>
      </c>
      <c r="I118" s="7" t="str" cm="1">
        <f t="array" aca="1" ref="I118" ca="1">IFERROR(IF(OR('Raw Data'!I118="",LEN(TRIM('Raw Data'!I118))=0),"",IF(AND(ISNUMBER('Raw Data'!I118), IFERROR('Raw Data'!I118 = ROUND('Raw Data'!I118, 2),FALSE)),"",_xlfn.REGEXEXTRACT(CELL("address",I118), "\$([A-Z]+)\$[0-9]+"))),_xlfn.REGEXEXTRACT(CELL("address",I118), "\$([A-Z]+)\$[0-9]+"))</f>
        <v/>
      </c>
      <c r="J118" s="7" t="str" cm="1">
        <f t="array" aca="1" ref="J118" ca="1">IFERROR(IF(OR('Raw Data'!J118="",LEN(TRIM('Raw Data'!J118))=0),"",IF(AND(ISNUMBER('Raw Data'!J118), IFERROR('Raw Data'!J118 = ROUND('Raw Data'!J118, 2),FALSE)),"",_xlfn.REGEXEXTRACT(CELL("address",J118), "\$([A-Z]+)\$[0-9]+"))),_xlfn.REGEXEXTRACT(CELL("address",J118), "\$([A-Z]+)\$[0-9]+"))</f>
        <v/>
      </c>
      <c r="K118" s="7" t="str" cm="1">
        <f t="array" aca="1" ref="K118" ca="1">IFERROR(IF(OR('Raw Data'!K118="",LEN(TRIM('Raw Data'!K118))=0),"",IF(AND(ISNUMBER('Raw Data'!K118), IFERROR('Raw Data'!K118 = ROUND('Raw Data'!K118, 2),FALSE)),"",_xlfn.REGEXEXTRACT(CELL("address",K118), "\$([A-Z]+)\$[0-9]+"))),_xlfn.REGEXEXTRACT(CELL("address",K118), "\$([A-Z]+)\$[0-9]+"))</f>
        <v/>
      </c>
      <c r="L118" s="7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7" t="str" cm="1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7" t="str" cm="1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  <c r="O118" s="7" t="str" cm="1">
        <f t="array" aca="1" ref="O118" ca="1">IFERROR(IF(OR('Raw Data'!O118="",LEN(TRIM('Raw Data'!O118))=0),"",IF(AND(ISNUMBER('Raw Data'!O118), IFERROR('Raw Data'!O118 = ROUND('Raw Data'!O118, 2),FALSE)),"",_xlfn.REGEXEXTRACT(CELL("address",O118), "\$([A-Z]+)\$[0-9]+"))),_xlfn.REGEXEXTRACT(CELL("address",O118), "\$([A-Z]+)\$[0-9]+"))</f>
        <v/>
      </c>
      <c r="P118" s="7" t="str" cm="1">
        <f t="array" aca="1" ref="P118" ca="1">IFERROR(IF(OR('Raw Data'!P118="",LEN(TRIM('Raw Data'!P118))=0),"",IF(AND(ISNUMBER('Raw Data'!P118), IFERROR('Raw Data'!P118 = ROUND('Raw Data'!P118, 2),FALSE)),"",_xlfn.REGEXEXTRACT(CELL("address",P118), "\$([A-Z]+)\$[0-9]+"))),_xlfn.REGEXEXTRACT(CELL("address",P118), "\$([A-Z]+)\$[0-9]+"))</f>
        <v/>
      </c>
      <c r="Q118" s="7" t="str" cm="1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7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7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7" t="str" cm="1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7" t="str" cm="1">
        <f t="array" aca="1" ref="U118" ca="1">IFERROR(IF(OR('Raw Data'!U118="",LEN(TRIM('Raw Data'!U118))=0),"",IF(AND(ISNUMBER('Raw Data'!U118), IFERROR('Raw Data'!U118 = ROUND('Raw Data'!U118, 2),FALSE)),"",_xlfn.REGEXEXTRACT(CELL("address",U118), "\$([A-Z]+)\$[0-9]+"))),_xlfn.REGEXEXTRACT(CELL("address",U118), "\$([A-Z]+)\$[0-9]+"))</f>
        <v/>
      </c>
      <c r="V118" s="7" t="str" cm="1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7" t="str" cm="1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7" t="str" cm="1">
        <f t="array" aca="1" ref="X118" ca="1">IFERROR(IF(OR('Raw Data'!X118="",LEN(TRIM('Raw Data'!X118))=0),"",IF(AND(ISNUMBER('Raw Data'!X118), IFERROR('Raw Data'!X118 = ROUND('Raw Data'!X118, 2),FALSE)),"",_xlfn.REGEXEXTRACT(CELL("address",X118), "\$([A-Z]+)\$[0-9]+"))),_xlfn.REGEXEXTRACT(CELL("address",X118), "\$([A-Z]+)\$[0-9]+"))</f>
        <v/>
      </c>
      <c r="Y118" s="7" t="str" cm="1">
        <f t="array" aca="1" ref="Y118" ca="1">IFERROR(IF(OR('Raw Data'!Y118="",LEN(TRIM('Raw Data'!Y118))=0),"",IF(AND(ISNUMBER('Raw Data'!Y118), IFERROR('Raw Data'!Y118 = ROUND('Raw Data'!Y118, 2),FALSE)),"",_xlfn.REGEXEXTRACT(CELL("address",Y118), "\$([A-Z]+)\$[0-9]+"))),_xlfn.REGEXEXTRACT(CELL("address",Y118), "\$([A-Z]+)\$[0-9]+"))</f>
        <v/>
      </c>
      <c r="Z118" s="7" t="str" cm="1">
        <f t="array" aca="1" ref="Z118" ca="1">IFERROR(IF(OR('Raw Data'!Z118="",LEN(TRIM('Raw Data'!Z118))=0),"",IF(AND(ISNUMBER('Raw Data'!Z118), IFERROR('Raw Data'!Z118 = ROUND('Raw Data'!Z118, 2),FALSE)),"",_xlfn.REGEXEXTRACT(CELL("address",Z118), "\$([A-Z]+)\$[0-9]+"))),_xlfn.REGEXEXTRACT(CELL("address",Z118), "\$([A-Z]+)\$[0-9]+"))</f>
        <v/>
      </c>
      <c r="AA118" s="7" t="str" cm="1">
        <f t="array" aca="1" ref="AA118" ca="1">IFERROR(IF(OR('Raw Data'!AA118="",LEN(TRIM('Raw Data'!AA118))=0),"",IF(AND(ISNUMBER('Raw Data'!AA118), IFERROR('Raw Data'!AA118 = ROUND('Raw Data'!AA118, 2),FALSE)),"",_xlfn.REGEXEXTRACT(CELL("address",AA118), "\$([A-Z]+)\$[0-9]+"))),_xlfn.REGEXEXTRACT(CELL("address",AA118), "\$([A-Z]+)\$[0-9]+"))</f>
        <v/>
      </c>
      <c r="AB118" s="7" t="str" cm="1">
        <f t="array" aca="1" ref="AB118" ca="1">IFERROR(IF(OR('Raw Data'!AB118="",LEN(TRIM('Raw Data'!AB118))=0),"",IF(AND(ISNUMBER('Raw Data'!AB118), IFERROR('Raw Data'!AB118 = ROUND('Raw Data'!AB118, 2),FALSE)),"",_xlfn.REGEXEXTRACT(CELL("address",AB118), "\$([A-Z]+)\$[0-9]+"))),_xlfn.REGEXEXTRACT(CELL("address",AB118), "\$([A-Z]+)\$[0-9]+"))</f>
        <v/>
      </c>
    </row>
    <row r="119" spans="2:28" x14ac:dyDescent="0.25">
      <c r="B119" s="7" t="str" cm="1">
        <f t="array" aca="1" ref="B119" ca="1">IFERROR(IF(OR('Raw Data'!B119="",LEN(TRIM('Raw Data'!B119))=0),"",IF(AND(LEN('Raw Data'!B119) &lt;= 255,LEN('Raw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20,LEN('Raw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Data'!D119))=0),"",IF(AND(ISNUMBER('Raw Data'!D119),'Raw Data'!D119&gt;=Configuration!$D$2),"",_xlfn.REGEXEXTRACT(CELL("address",'Raw Data'!D119),"\$([A-Z]+)\$[0-9]+"))),_xlfn.REGEXEXTRACT(CELL("address",D119), "\$([A-Z]+)\$[0-9]+"))</f>
        <v/>
      </c>
      <c r="E119" s="7" t="str" cm="1">
        <f t="array" aca="1" ref="E119" ca="1">IFERROR(IF(OR('Raw Data'!E119="",LEN(TRIM('Raw Data'!E119))=0),"",IF(AND(ISNUMBER('Raw Data'!E119), IFERROR('Raw Data'!E119 = ROUND('Raw Data'!E119, 2),FALSE)),"",_xlfn.REGEXEXTRACT(CELL("address",E119), "\$([A-Z]+)\$[0-9]+"))),_xlfn.REGEXEXTRACT(CELL("address",E119), "\$([A-Z]+)\$[0-9]+"))</f>
        <v/>
      </c>
      <c r="F119" s="7" t="str" cm="1">
        <f t="array" aca="1" ref="F119" ca="1">IFERROR(IF(OR('Raw Data'!F119="",LEN(TRIM('Raw Data'!F119))=0),"",IF(AND(ISNUMBER('Raw Data'!F119), IFERROR('Raw Data'!F119 = ROUND('Raw Data'!F119, 2),FALSE)),"",_xlfn.REGEXEXTRACT(CELL("address",F119), "\$([A-Z]+)\$[0-9]+"))),_xlfn.REGEXEXTRACT(CELL("address",F119), "\$([A-Z]+)\$[0-9]+"))</f>
        <v/>
      </c>
      <c r="G119" s="7" t="str" cm="1">
        <f t="array" aca="1" ref="G119" ca="1">IFERROR(IF(OR('Raw Data'!G119="",LEN(TRIM('Raw Data'!G119))=0),"",IF(AND(ISNUMBER('Raw Data'!G119), IFERROR('Raw Data'!G119 = ROUND('Raw Data'!G119, 2),FALSE)),"",_xlfn.REGEXEXTRACT(CELL("address",G119), "\$([A-Z]+)\$[0-9]+"))),_xlfn.REGEXEXTRACT(CELL("address",G119), "\$([A-Z]+)\$[0-9]+"))</f>
        <v/>
      </c>
      <c r="H119" s="7" t="str" cm="1">
        <f t="array" aca="1" ref="H119" ca="1">IFERROR(IF(OR('Raw Data'!H119="",LEN(TRIM('Raw Data'!H119))=0),"",IF(AND(ISNUMBER('Raw Data'!H119), IFERROR('Raw Data'!H119 = ROUND('Raw Data'!H119, 2),FALSE)),"",_xlfn.REGEXEXTRACT(CELL("address",H119), "\$([A-Z]+)\$[0-9]+"))),_xlfn.REGEXEXTRACT(CELL("address",H119), "\$([A-Z]+)\$[0-9]+"))</f>
        <v/>
      </c>
      <c r="I119" s="7" t="str" cm="1">
        <f t="array" aca="1" ref="I119" ca="1">IFERROR(IF(OR('Raw Data'!I119="",LEN(TRIM('Raw Data'!I119))=0),"",IF(AND(ISNUMBER('Raw Data'!I119), IFERROR('Raw Data'!I119 = ROUND('Raw Data'!I119, 2),FALSE)),"",_xlfn.REGEXEXTRACT(CELL("address",I119), "\$([A-Z]+)\$[0-9]+"))),_xlfn.REGEXEXTRACT(CELL("address",I119), "\$([A-Z]+)\$[0-9]+"))</f>
        <v/>
      </c>
      <c r="J119" s="7" t="str" cm="1">
        <f t="array" aca="1" ref="J119" ca="1">IFERROR(IF(OR('Raw Data'!J119="",LEN(TRIM('Raw Data'!J119))=0),"",IF(AND(ISNUMBER('Raw Data'!J119), IFERROR('Raw Data'!J119 = ROUND('Raw Data'!J119, 2),FALSE)),"",_xlfn.REGEXEXTRACT(CELL("address",J119), "\$([A-Z]+)\$[0-9]+"))),_xlfn.REGEXEXTRACT(CELL("address",J119), "\$([A-Z]+)\$[0-9]+"))</f>
        <v/>
      </c>
      <c r="K119" s="7" t="str" cm="1">
        <f t="array" aca="1" ref="K119" ca="1">IFERROR(IF(OR('Raw Data'!K119="",LEN(TRIM('Raw Data'!K119))=0),"",IF(AND(ISNUMBER('Raw Data'!K119), IFERROR('Raw Data'!K119 = ROUND('Raw Data'!K119, 2),FALSE)),"",_xlfn.REGEXEXTRACT(CELL("address",K119), "\$([A-Z]+)\$[0-9]+"))),_xlfn.REGEXEXTRACT(CELL("address",K119), "\$([A-Z]+)\$[0-9]+"))</f>
        <v/>
      </c>
      <c r="L119" s="7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7" t="str" cm="1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7" t="str" cm="1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  <c r="O119" s="7" t="str" cm="1">
        <f t="array" aca="1" ref="O119" ca="1">IFERROR(IF(OR('Raw Data'!O119="",LEN(TRIM('Raw Data'!O119))=0),"",IF(AND(ISNUMBER('Raw Data'!O119), IFERROR('Raw Data'!O119 = ROUND('Raw Data'!O119, 2),FALSE)),"",_xlfn.REGEXEXTRACT(CELL("address",O119), "\$([A-Z]+)\$[0-9]+"))),_xlfn.REGEXEXTRACT(CELL("address",O119), "\$([A-Z]+)\$[0-9]+"))</f>
        <v/>
      </c>
      <c r="P119" s="7" t="str" cm="1">
        <f t="array" aca="1" ref="P119" ca="1">IFERROR(IF(OR('Raw Data'!P119="",LEN(TRIM('Raw Data'!P119))=0),"",IF(AND(ISNUMBER('Raw Data'!P119), IFERROR('Raw Data'!P119 = ROUND('Raw Data'!P119, 2),FALSE)),"",_xlfn.REGEXEXTRACT(CELL("address",P119), "\$([A-Z]+)\$[0-9]+"))),_xlfn.REGEXEXTRACT(CELL("address",P119), "\$([A-Z]+)\$[0-9]+"))</f>
        <v/>
      </c>
      <c r="Q119" s="7" t="str" cm="1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7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7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7" t="str" cm="1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7" t="str" cm="1">
        <f t="array" aca="1" ref="U119" ca="1">IFERROR(IF(OR('Raw Data'!U119="",LEN(TRIM('Raw Data'!U119))=0),"",IF(AND(ISNUMBER('Raw Data'!U119), IFERROR('Raw Data'!U119 = ROUND('Raw Data'!U119, 2),FALSE)),"",_xlfn.REGEXEXTRACT(CELL("address",U119), "\$([A-Z]+)\$[0-9]+"))),_xlfn.REGEXEXTRACT(CELL("address",U119), "\$([A-Z]+)\$[0-9]+"))</f>
        <v/>
      </c>
      <c r="V119" s="7" t="str" cm="1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7" t="str" cm="1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7" t="str" cm="1">
        <f t="array" aca="1" ref="X119" ca="1">IFERROR(IF(OR('Raw Data'!X119="",LEN(TRIM('Raw Data'!X119))=0),"",IF(AND(ISNUMBER('Raw Data'!X119), IFERROR('Raw Data'!X119 = ROUND('Raw Data'!X119, 2),FALSE)),"",_xlfn.REGEXEXTRACT(CELL("address",X119), "\$([A-Z]+)\$[0-9]+"))),_xlfn.REGEXEXTRACT(CELL("address",X119), "\$([A-Z]+)\$[0-9]+"))</f>
        <v/>
      </c>
      <c r="Y119" s="7" t="str" cm="1">
        <f t="array" aca="1" ref="Y119" ca="1">IFERROR(IF(OR('Raw Data'!Y119="",LEN(TRIM('Raw Data'!Y119))=0),"",IF(AND(ISNUMBER('Raw Data'!Y119), IFERROR('Raw Data'!Y119 = ROUND('Raw Data'!Y119, 2),FALSE)),"",_xlfn.REGEXEXTRACT(CELL("address",Y119), "\$([A-Z]+)\$[0-9]+"))),_xlfn.REGEXEXTRACT(CELL("address",Y119), "\$([A-Z]+)\$[0-9]+"))</f>
        <v/>
      </c>
      <c r="Z119" s="7" t="str" cm="1">
        <f t="array" aca="1" ref="Z119" ca="1">IFERROR(IF(OR('Raw Data'!Z119="",LEN(TRIM('Raw Data'!Z119))=0),"",IF(AND(ISNUMBER('Raw Data'!Z119), IFERROR('Raw Data'!Z119 = ROUND('Raw Data'!Z119, 2),FALSE)),"",_xlfn.REGEXEXTRACT(CELL("address",Z119), "\$([A-Z]+)\$[0-9]+"))),_xlfn.REGEXEXTRACT(CELL("address",Z119), "\$([A-Z]+)\$[0-9]+"))</f>
        <v/>
      </c>
      <c r="AA119" s="7" t="str" cm="1">
        <f t="array" aca="1" ref="AA119" ca="1">IFERROR(IF(OR('Raw Data'!AA119="",LEN(TRIM('Raw Data'!AA119))=0),"",IF(AND(ISNUMBER('Raw Data'!AA119), IFERROR('Raw Data'!AA119 = ROUND('Raw Data'!AA119, 2),FALSE)),"",_xlfn.REGEXEXTRACT(CELL("address",AA119), "\$([A-Z]+)\$[0-9]+"))),_xlfn.REGEXEXTRACT(CELL("address",AA119), "\$([A-Z]+)\$[0-9]+"))</f>
        <v/>
      </c>
      <c r="AB119" s="7" t="str" cm="1">
        <f t="array" aca="1" ref="AB119" ca="1">IFERROR(IF(OR('Raw Data'!AB119="",LEN(TRIM('Raw Data'!AB119))=0),"",IF(AND(ISNUMBER('Raw Data'!AB119), IFERROR('Raw Data'!AB119 = ROUND('Raw Data'!AB119, 2),FALSE)),"",_xlfn.REGEXEXTRACT(CELL("address",AB119), "\$([A-Z]+)\$[0-9]+"))),_xlfn.REGEXEXTRACT(CELL("address",AB119), "\$([A-Z]+)\$[0-9]+"))</f>
        <v/>
      </c>
    </row>
    <row r="120" spans="2:28" x14ac:dyDescent="0.25">
      <c r="B120" s="7" t="str" cm="1">
        <f t="array" aca="1" ref="B120" ca="1">IFERROR(IF(OR('Raw Data'!B120="",LEN(TRIM('Raw Data'!B120))=0),"",IF(AND(LEN('Raw Data'!B120) &lt;= 255,LEN('Raw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20,LEN('Raw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Data'!D120))=0),"",IF(AND(ISNUMBER('Raw Data'!D120),'Raw Data'!D120&gt;=Configuration!$D$2),"",_xlfn.REGEXEXTRACT(CELL("address",'Raw Data'!D120),"\$([A-Z]+)\$[0-9]+"))),_xlfn.REGEXEXTRACT(CELL("address",D120), "\$([A-Z]+)\$[0-9]+"))</f>
        <v/>
      </c>
      <c r="E120" s="7" t="str" cm="1">
        <f t="array" aca="1" ref="E120" ca="1">IFERROR(IF(OR('Raw Data'!E120="",LEN(TRIM('Raw Data'!E120))=0),"",IF(AND(ISNUMBER('Raw Data'!E120), IFERROR('Raw Data'!E120 = ROUND('Raw Data'!E120, 2),FALSE)),"",_xlfn.REGEXEXTRACT(CELL("address",E120), "\$([A-Z]+)\$[0-9]+"))),_xlfn.REGEXEXTRACT(CELL("address",E120), "\$([A-Z]+)\$[0-9]+"))</f>
        <v/>
      </c>
      <c r="F120" s="7" t="str" cm="1">
        <f t="array" aca="1" ref="F120" ca="1">IFERROR(IF(OR('Raw Data'!F120="",LEN(TRIM('Raw Data'!F120))=0),"",IF(AND(ISNUMBER('Raw Data'!F120), IFERROR('Raw Data'!F120 = ROUND('Raw Data'!F120, 2),FALSE)),"",_xlfn.REGEXEXTRACT(CELL("address",F120), "\$([A-Z]+)\$[0-9]+"))),_xlfn.REGEXEXTRACT(CELL("address",F120), "\$([A-Z]+)\$[0-9]+"))</f>
        <v/>
      </c>
      <c r="G120" s="7" t="str" cm="1">
        <f t="array" aca="1" ref="G120" ca="1">IFERROR(IF(OR('Raw Data'!G120="",LEN(TRIM('Raw Data'!G120))=0),"",IF(AND(ISNUMBER('Raw Data'!G120), IFERROR('Raw Data'!G120 = ROUND('Raw Data'!G120, 2),FALSE)),"",_xlfn.REGEXEXTRACT(CELL("address",G120), "\$([A-Z]+)\$[0-9]+"))),_xlfn.REGEXEXTRACT(CELL("address",G120), "\$([A-Z]+)\$[0-9]+"))</f>
        <v/>
      </c>
      <c r="H120" s="7" t="str" cm="1">
        <f t="array" aca="1" ref="H120" ca="1">IFERROR(IF(OR('Raw Data'!H120="",LEN(TRIM('Raw Data'!H120))=0),"",IF(AND(ISNUMBER('Raw Data'!H120), IFERROR('Raw Data'!H120 = ROUND('Raw Data'!H120, 2),FALSE)),"",_xlfn.REGEXEXTRACT(CELL("address",H120), "\$([A-Z]+)\$[0-9]+"))),_xlfn.REGEXEXTRACT(CELL("address",H120), "\$([A-Z]+)\$[0-9]+"))</f>
        <v/>
      </c>
      <c r="I120" s="7" t="str" cm="1">
        <f t="array" aca="1" ref="I120" ca="1">IFERROR(IF(OR('Raw Data'!I120="",LEN(TRIM('Raw Data'!I120))=0),"",IF(AND(ISNUMBER('Raw Data'!I120), IFERROR('Raw Data'!I120 = ROUND('Raw Data'!I120, 2),FALSE)),"",_xlfn.REGEXEXTRACT(CELL("address",I120), "\$([A-Z]+)\$[0-9]+"))),_xlfn.REGEXEXTRACT(CELL("address",I120), "\$([A-Z]+)\$[0-9]+"))</f>
        <v/>
      </c>
      <c r="J120" s="7" t="str" cm="1">
        <f t="array" aca="1" ref="J120" ca="1">IFERROR(IF(OR('Raw Data'!J120="",LEN(TRIM('Raw Data'!J120))=0),"",IF(AND(ISNUMBER('Raw Data'!J120), IFERROR('Raw Data'!J120 = ROUND('Raw Data'!J120, 2),FALSE)),"",_xlfn.REGEXEXTRACT(CELL("address",J120), "\$([A-Z]+)\$[0-9]+"))),_xlfn.REGEXEXTRACT(CELL("address",J120), "\$([A-Z]+)\$[0-9]+"))</f>
        <v/>
      </c>
      <c r="K120" s="7" t="str" cm="1">
        <f t="array" aca="1" ref="K120" ca="1">IFERROR(IF(OR('Raw Data'!K120="",LEN(TRIM('Raw Data'!K120))=0),"",IF(AND(ISNUMBER('Raw Data'!K120), IFERROR('Raw Data'!K120 = ROUND('Raw Data'!K120, 2),FALSE)),"",_xlfn.REGEXEXTRACT(CELL("address",K120), "\$([A-Z]+)\$[0-9]+"))),_xlfn.REGEXEXTRACT(CELL("address",K120), "\$([A-Z]+)\$[0-9]+"))</f>
        <v/>
      </c>
      <c r="L120" s="7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7" t="str" cm="1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7" t="str" cm="1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  <c r="O120" s="7" t="str" cm="1">
        <f t="array" aca="1" ref="O120" ca="1">IFERROR(IF(OR('Raw Data'!O120="",LEN(TRIM('Raw Data'!O120))=0),"",IF(AND(ISNUMBER('Raw Data'!O120), IFERROR('Raw Data'!O120 = ROUND('Raw Data'!O120, 2),FALSE)),"",_xlfn.REGEXEXTRACT(CELL("address",O120), "\$([A-Z]+)\$[0-9]+"))),_xlfn.REGEXEXTRACT(CELL("address",O120), "\$([A-Z]+)\$[0-9]+"))</f>
        <v/>
      </c>
      <c r="P120" s="7" t="str" cm="1">
        <f t="array" aca="1" ref="P120" ca="1">IFERROR(IF(OR('Raw Data'!P120="",LEN(TRIM('Raw Data'!P120))=0),"",IF(AND(ISNUMBER('Raw Data'!P120), IFERROR('Raw Data'!P120 = ROUND('Raw Data'!P120, 2),FALSE)),"",_xlfn.REGEXEXTRACT(CELL("address",P120), "\$([A-Z]+)\$[0-9]+"))),_xlfn.REGEXEXTRACT(CELL("address",P120), "\$([A-Z]+)\$[0-9]+"))</f>
        <v/>
      </c>
      <c r="Q120" s="7" t="str" cm="1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7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7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7" t="str" cm="1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7" t="str" cm="1">
        <f t="array" aca="1" ref="U120" ca="1">IFERROR(IF(OR('Raw Data'!U120="",LEN(TRIM('Raw Data'!U120))=0),"",IF(AND(ISNUMBER('Raw Data'!U120), IFERROR('Raw Data'!U120 = ROUND('Raw Data'!U120, 2),FALSE)),"",_xlfn.REGEXEXTRACT(CELL("address",U120), "\$([A-Z]+)\$[0-9]+"))),_xlfn.REGEXEXTRACT(CELL("address",U120), "\$([A-Z]+)\$[0-9]+"))</f>
        <v/>
      </c>
      <c r="V120" s="7" t="str" cm="1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7" t="str" cm="1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7" t="str" cm="1">
        <f t="array" aca="1" ref="X120" ca="1">IFERROR(IF(OR('Raw Data'!X120="",LEN(TRIM('Raw Data'!X120))=0),"",IF(AND(ISNUMBER('Raw Data'!X120), IFERROR('Raw Data'!X120 = ROUND('Raw Data'!X120, 2),FALSE)),"",_xlfn.REGEXEXTRACT(CELL("address",X120), "\$([A-Z]+)\$[0-9]+"))),_xlfn.REGEXEXTRACT(CELL("address",X120), "\$([A-Z]+)\$[0-9]+"))</f>
        <v/>
      </c>
      <c r="Y120" s="7" t="str" cm="1">
        <f t="array" aca="1" ref="Y120" ca="1">IFERROR(IF(OR('Raw Data'!Y120="",LEN(TRIM('Raw Data'!Y120))=0),"",IF(AND(ISNUMBER('Raw Data'!Y120), IFERROR('Raw Data'!Y120 = ROUND('Raw Data'!Y120, 2),FALSE)),"",_xlfn.REGEXEXTRACT(CELL("address",Y120), "\$([A-Z]+)\$[0-9]+"))),_xlfn.REGEXEXTRACT(CELL("address",Y120), "\$([A-Z]+)\$[0-9]+"))</f>
        <v/>
      </c>
      <c r="Z120" s="7" t="str" cm="1">
        <f t="array" aca="1" ref="Z120" ca="1">IFERROR(IF(OR('Raw Data'!Z120="",LEN(TRIM('Raw Data'!Z120))=0),"",IF(AND(ISNUMBER('Raw Data'!Z120), IFERROR('Raw Data'!Z120 = ROUND('Raw Data'!Z120, 2),FALSE)),"",_xlfn.REGEXEXTRACT(CELL("address",Z120), "\$([A-Z]+)\$[0-9]+"))),_xlfn.REGEXEXTRACT(CELL("address",Z120), "\$([A-Z]+)\$[0-9]+"))</f>
        <v/>
      </c>
      <c r="AA120" s="7" t="str" cm="1">
        <f t="array" aca="1" ref="AA120" ca="1">IFERROR(IF(OR('Raw Data'!AA120="",LEN(TRIM('Raw Data'!AA120))=0),"",IF(AND(ISNUMBER('Raw Data'!AA120), IFERROR('Raw Data'!AA120 = ROUND('Raw Data'!AA120, 2),FALSE)),"",_xlfn.REGEXEXTRACT(CELL("address",AA120), "\$([A-Z]+)\$[0-9]+"))),_xlfn.REGEXEXTRACT(CELL("address",AA120), "\$([A-Z]+)\$[0-9]+"))</f>
        <v/>
      </c>
      <c r="AB120" s="7" t="str" cm="1">
        <f t="array" aca="1" ref="AB120" ca="1">IFERROR(IF(OR('Raw Data'!AB120="",LEN(TRIM('Raw Data'!AB120))=0),"",IF(AND(ISNUMBER('Raw Data'!AB120), IFERROR('Raw Data'!AB120 = ROUND('Raw Data'!AB120, 2),FALSE)),"",_xlfn.REGEXEXTRACT(CELL("address",AB120), "\$([A-Z]+)\$[0-9]+"))),_xlfn.REGEXEXTRACT(CELL("address",AB120), "\$([A-Z]+)\$[0-9]+"))</f>
        <v/>
      </c>
    </row>
    <row r="121" spans="2:28" x14ac:dyDescent="0.25">
      <c r="B121" s="7" t="str" cm="1">
        <f t="array" aca="1" ref="B121" ca="1">IFERROR(IF(OR('Raw Data'!B121="",LEN(TRIM('Raw Data'!B121))=0),"",IF(AND(LEN('Raw Data'!B121) &lt;= 255,LEN('Raw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20,LEN('Raw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Data'!D121))=0),"",IF(AND(ISNUMBER('Raw Data'!D121),'Raw Data'!D121&gt;=Configuration!$D$2),"",_xlfn.REGEXEXTRACT(CELL("address",'Raw Data'!D121),"\$([A-Z]+)\$[0-9]+"))),_xlfn.REGEXEXTRACT(CELL("address",D121), "\$([A-Z]+)\$[0-9]+"))</f>
        <v/>
      </c>
      <c r="E121" s="7" t="str" cm="1">
        <f t="array" aca="1" ref="E121" ca="1">IFERROR(IF(OR('Raw Data'!E121="",LEN(TRIM('Raw Data'!E121))=0),"",IF(AND(ISNUMBER('Raw Data'!E121), IFERROR('Raw Data'!E121 = ROUND('Raw Data'!E121, 2),FALSE)),"",_xlfn.REGEXEXTRACT(CELL("address",E121), "\$([A-Z]+)\$[0-9]+"))),_xlfn.REGEXEXTRACT(CELL("address",E121), "\$([A-Z]+)\$[0-9]+"))</f>
        <v/>
      </c>
      <c r="F121" s="7" t="str" cm="1">
        <f t="array" aca="1" ref="F121" ca="1">IFERROR(IF(OR('Raw Data'!F121="",LEN(TRIM('Raw Data'!F121))=0),"",IF(AND(ISNUMBER('Raw Data'!F121), IFERROR('Raw Data'!F121 = ROUND('Raw Data'!F121, 2),FALSE)),"",_xlfn.REGEXEXTRACT(CELL("address",F121), "\$([A-Z]+)\$[0-9]+"))),_xlfn.REGEXEXTRACT(CELL("address",F121), "\$([A-Z]+)\$[0-9]+"))</f>
        <v/>
      </c>
      <c r="G121" s="7" t="str" cm="1">
        <f t="array" aca="1" ref="G121" ca="1">IFERROR(IF(OR('Raw Data'!G121="",LEN(TRIM('Raw Data'!G121))=0),"",IF(AND(ISNUMBER('Raw Data'!G121), IFERROR('Raw Data'!G121 = ROUND('Raw Data'!G121, 2),FALSE)),"",_xlfn.REGEXEXTRACT(CELL("address",G121), "\$([A-Z]+)\$[0-9]+"))),_xlfn.REGEXEXTRACT(CELL("address",G121), "\$([A-Z]+)\$[0-9]+"))</f>
        <v/>
      </c>
      <c r="H121" s="7" t="str" cm="1">
        <f t="array" aca="1" ref="H121" ca="1">IFERROR(IF(OR('Raw Data'!H121="",LEN(TRIM('Raw Data'!H121))=0),"",IF(AND(ISNUMBER('Raw Data'!H121), IFERROR('Raw Data'!H121 = ROUND('Raw Data'!H121, 2),FALSE)),"",_xlfn.REGEXEXTRACT(CELL("address",H121), "\$([A-Z]+)\$[0-9]+"))),_xlfn.REGEXEXTRACT(CELL("address",H121), "\$([A-Z]+)\$[0-9]+"))</f>
        <v/>
      </c>
      <c r="I121" s="7" t="str" cm="1">
        <f t="array" aca="1" ref="I121" ca="1">IFERROR(IF(OR('Raw Data'!I121="",LEN(TRIM('Raw Data'!I121))=0),"",IF(AND(ISNUMBER('Raw Data'!I121), IFERROR('Raw Data'!I121 = ROUND('Raw Data'!I121, 2),FALSE)),"",_xlfn.REGEXEXTRACT(CELL("address",I121), "\$([A-Z]+)\$[0-9]+"))),_xlfn.REGEXEXTRACT(CELL("address",I121), "\$([A-Z]+)\$[0-9]+"))</f>
        <v/>
      </c>
      <c r="J121" s="7" t="str" cm="1">
        <f t="array" aca="1" ref="J121" ca="1">IFERROR(IF(OR('Raw Data'!J121="",LEN(TRIM('Raw Data'!J121))=0),"",IF(AND(ISNUMBER('Raw Data'!J121), IFERROR('Raw Data'!J121 = ROUND('Raw Data'!J121, 2),FALSE)),"",_xlfn.REGEXEXTRACT(CELL("address",J121), "\$([A-Z]+)\$[0-9]+"))),_xlfn.REGEXEXTRACT(CELL("address",J121), "\$([A-Z]+)\$[0-9]+"))</f>
        <v/>
      </c>
      <c r="K121" s="7" t="str" cm="1">
        <f t="array" aca="1" ref="K121" ca="1">IFERROR(IF(OR('Raw Data'!K121="",LEN(TRIM('Raw Data'!K121))=0),"",IF(AND(ISNUMBER('Raw Data'!K121), IFERROR('Raw Data'!K121 = ROUND('Raw Data'!K121, 2),FALSE)),"",_xlfn.REGEXEXTRACT(CELL("address",K121), "\$([A-Z]+)\$[0-9]+"))),_xlfn.REGEXEXTRACT(CELL("address",K121), "\$([A-Z]+)\$[0-9]+"))</f>
        <v/>
      </c>
      <c r="L121" s="7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7" t="str" cm="1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7" t="str" cm="1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  <c r="O121" s="7" t="str" cm="1">
        <f t="array" aca="1" ref="O121" ca="1">IFERROR(IF(OR('Raw Data'!O121="",LEN(TRIM('Raw Data'!O121))=0),"",IF(AND(ISNUMBER('Raw Data'!O121), IFERROR('Raw Data'!O121 = ROUND('Raw Data'!O121, 2),FALSE)),"",_xlfn.REGEXEXTRACT(CELL("address",O121), "\$([A-Z]+)\$[0-9]+"))),_xlfn.REGEXEXTRACT(CELL("address",O121), "\$([A-Z]+)\$[0-9]+"))</f>
        <v/>
      </c>
      <c r="P121" s="7" t="str" cm="1">
        <f t="array" aca="1" ref="P121" ca="1">IFERROR(IF(OR('Raw Data'!P121="",LEN(TRIM('Raw Data'!P121))=0),"",IF(AND(ISNUMBER('Raw Data'!P121), IFERROR('Raw Data'!P121 = ROUND('Raw Data'!P121, 2),FALSE)),"",_xlfn.REGEXEXTRACT(CELL("address",P121), "\$([A-Z]+)\$[0-9]+"))),_xlfn.REGEXEXTRACT(CELL("address",P121), "\$([A-Z]+)\$[0-9]+"))</f>
        <v/>
      </c>
      <c r="Q121" s="7" t="str" cm="1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7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7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7" t="str" cm="1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7" t="str" cm="1">
        <f t="array" aca="1" ref="U121" ca="1">IFERROR(IF(OR('Raw Data'!U121="",LEN(TRIM('Raw Data'!U121))=0),"",IF(AND(ISNUMBER('Raw Data'!U121), IFERROR('Raw Data'!U121 = ROUND('Raw Data'!U121, 2),FALSE)),"",_xlfn.REGEXEXTRACT(CELL("address",U121), "\$([A-Z]+)\$[0-9]+"))),_xlfn.REGEXEXTRACT(CELL("address",U121), "\$([A-Z]+)\$[0-9]+"))</f>
        <v/>
      </c>
      <c r="V121" s="7" t="str" cm="1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7" t="str" cm="1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7" t="str" cm="1">
        <f t="array" aca="1" ref="X121" ca="1">IFERROR(IF(OR('Raw Data'!X121="",LEN(TRIM('Raw Data'!X121))=0),"",IF(AND(ISNUMBER('Raw Data'!X121), IFERROR('Raw Data'!X121 = ROUND('Raw Data'!X121, 2),FALSE)),"",_xlfn.REGEXEXTRACT(CELL("address",X121), "\$([A-Z]+)\$[0-9]+"))),_xlfn.REGEXEXTRACT(CELL("address",X121), "\$([A-Z]+)\$[0-9]+"))</f>
        <v/>
      </c>
      <c r="Y121" s="7" t="str" cm="1">
        <f t="array" aca="1" ref="Y121" ca="1">IFERROR(IF(OR('Raw Data'!Y121="",LEN(TRIM('Raw Data'!Y121))=0),"",IF(AND(ISNUMBER('Raw Data'!Y121), IFERROR('Raw Data'!Y121 = ROUND('Raw Data'!Y121, 2),FALSE)),"",_xlfn.REGEXEXTRACT(CELL("address",Y121), "\$([A-Z]+)\$[0-9]+"))),_xlfn.REGEXEXTRACT(CELL("address",Y121), "\$([A-Z]+)\$[0-9]+"))</f>
        <v/>
      </c>
      <c r="Z121" s="7" t="str" cm="1">
        <f t="array" aca="1" ref="Z121" ca="1">IFERROR(IF(OR('Raw Data'!Z121="",LEN(TRIM('Raw Data'!Z121))=0),"",IF(AND(ISNUMBER('Raw Data'!Z121), IFERROR('Raw Data'!Z121 = ROUND('Raw Data'!Z121, 2),FALSE)),"",_xlfn.REGEXEXTRACT(CELL("address",Z121), "\$([A-Z]+)\$[0-9]+"))),_xlfn.REGEXEXTRACT(CELL("address",Z121), "\$([A-Z]+)\$[0-9]+"))</f>
        <v/>
      </c>
      <c r="AA121" s="7" t="str" cm="1">
        <f t="array" aca="1" ref="AA121" ca="1">IFERROR(IF(OR('Raw Data'!AA121="",LEN(TRIM('Raw Data'!AA121))=0),"",IF(AND(ISNUMBER('Raw Data'!AA121), IFERROR('Raw Data'!AA121 = ROUND('Raw Data'!AA121, 2),FALSE)),"",_xlfn.REGEXEXTRACT(CELL("address",AA121), "\$([A-Z]+)\$[0-9]+"))),_xlfn.REGEXEXTRACT(CELL("address",AA121), "\$([A-Z]+)\$[0-9]+"))</f>
        <v/>
      </c>
      <c r="AB121" s="7" t="str" cm="1">
        <f t="array" aca="1" ref="AB121" ca="1">IFERROR(IF(OR('Raw Data'!AB121="",LEN(TRIM('Raw Data'!AB121))=0),"",IF(AND(ISNUMBER('Raw Data'!AB121), IFERROR('Raw Data'!AB121 = ROUND('Raw Data'!AB121, 2),FALSE)),"",_xlfn.REGEXEXTRACT(CELL("address",AB121), "\$([A-Z]+)\$[0-9]+"))),_xlfn.REGEXEXTRACT(CELL("address",AB121), "\$([A-Z]+)\$[0-9]+"))</f>
        <v/>
      </c>
    </row>
    <row r="122" spans="2:28" x14ac:dyDescent="0.25">
      <c r="B122" s="7" t="str" cm="1">
        <f t="array" aca="1" ref="B122" ca="1">IFERROR(IF(OR('Raw Data'!B122="",LEN(TRIM('Raw Data'!B122))=0),"",IF(AND(LEN('Raw Data'!B122) &lt;= 255,LEN('Raw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20,LEN('Raw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Data'!D122))=0),"",IF(AND(ISNUMBER('Raw Data'!D122),'Raw Data'!D122&gt;=Configuration!$D$2),"",_xlfn.REGEXEXTRACT(CELL("address",'Raw Data'!D122),"\$([A-Z]+)\$[0-9]+"))),_xlfn.REGEXEXTRACT(CELL("address",D122), "\$([A-Z]+)\$[0-9]+"))</f>
        <v/>
      </c>
      <c r="E122" s="7" t="str" cm="1">
        <f t="array" aca="1" ref="E122" ca="1">IFERROR(IF(OR('Raw Data'!E122="",LEN(TRIM('Raw Data'!E122))=0),"",IF(AND(ISNUMBER('Raw Data'!E122), IFERROR('Raw Data'!E122 = ROUND('Raw Data'!E122, 2),FALSE)),"",_xlfn.REGEXEXTRACT(CELL("address",E122), "\$([A-Z]+)\$[0-9]+"))),_xlfn.REGEXEXTRACT(CELL("address",E122), "\$([A-Z]+)\$[0-9]+"))</f>
        <v/>
      </c>
      <c r="F122" s="7" t="str" cm="1">
        <f t="array" aca="1" ref="F122" ca="1">IFERROR(IF(OR('Raw Data'!F122="",LEN(TRIM('Raw Data'!F122))=0),"",IF(AND(ISNUMBER('Raw Data'!F122), IFERROR('Raw Data'!F122 = ROUND('Raw Data'!F122, 2),FALSE)),"",_xlfn.REGEXEXTRACT(CELL("address",F122), "\$([A-Z]+)\$[0-9]+"))),_xlfn.REGEXEXTRACT(CELL("address",F122), "\$([A-Z]+)\$[0-9]+"))</f>
        <v/>
      </c>
      <c r="G122" s="7" t="str" cm="1">
        <f t="array" aca="1" ref="G122" ca="1">IFERROR(IF(OR('Raw Data'!G122="",LEN(TRIM('Raw Data'!G122))=0),"",IF(AND(ISNUMBER('Raw Data'!G122), IFERROR('Raw Data'!G122 = ROUND('Raw Data'!G122, 2),FALSE)),"",_xlfn.REGEXEXTRACT(CELL("address",G122), "\$([A-Z]+)\$[0-9]+"))),_xlfn.REGEXEXTRACT(CELL("address",G122), "\$([A-Z]+)\$[0-9]+"))</f>
        <v/>
      </c>
      <c r="H122" s="7" t="str" cm="1">
        <f t="array" aca="1" ref="H122" ca="1">IFERROR(IF(OR('Raw Data'!H122="",LEN(TRIM('Raw Data'!H122))=0),"",IF(AND(ISNUMBER('Raw Data'!H122), IFERROR('Raw Data'!H122 = ROUND('Raw Data'!H122, 2),FALSE)),"",_xlfn.REGEXEXTRACT(CELL("address",H122), "\$([A-Z]+)\$[0-9]+"))),_xlfn.REGEXEXTRACT(CELL("address",H122), "\$([A-Z]+)\$[0-9]+"))</f>
        <v/>
      </c>
      <c r="I122" s="7" t="str" cm="1">
        <f t="array" aca="1" ref="I122" ca="1">IFERROR(IF(OR('Raw Data'!I122="",LEN(TRIM('Raw Data'!I122))=0),"",IF(AND(ISNUMBER('Raw Data'!I122), IFERROR('Raw Data'!I122 = ROUND('Raw Data'!I122, 2),FALSE)),"",_xlfn.REGEXEXTRACT(CELL("address",I122), "\$([A-Z]+)\$[0-9]+"))),_xlfn.REGEXEXTRACT(CELL("address",I122), "\$([A-Z]+)\$[0-9]+"))</f>
        <v/>
      </c>
      <c r="J122" s="7" t="str" cm="1">
        <f t="array" aca="1" ref="J122" ca="1">IFERROR(IF(OR('Raw Data'!J122="",LEN(TRIM('Raw Data'!J122))=0),"",IF(AND(ISNUMBER('Raw Data'!J122), IFERROR('Raw Data'!J122 = ROUND('Raw Data'!J122, 2),FALSE)),"",_xlfn.REGEXEXTRACT(CELL("address",J122), "\$([A-Z]+)\$[0-9]+"))),_xlfn.REGEXEXTRACT(CELL("address",J122), "\$([A-Z]+)\$[0-9]+"))</f>
        <v/>
      </c>
      <c r="K122" s="7" t="str" cm="1">
        <f t="array" aca="1" ref="K122" ca="1">IFERROR(IF(OR('Raw Data'!K122="",LEN(TRIM('Raw Data'!K122))=0),"",IF(AND(ISNUMBER('Raw Data'!K122), IFERROR('Raw Data'!K122 = ROUND('Raw Data'!K122, 2),FALSE)),"",_xlfn.REGEXEXTRACT(CELL("address",K122), "\$([A-Z]+)\$[0-9]+"))),_xlfn.REGEXEXTRACT(CELL("address",K122), "\$([A-Z]+)\$[0-9]+"))</f>
        <v/>
      </c>
      <c r="L122" s="7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7" t="str" cm="1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7" t="str" cm="1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  <c r="O122" s="7" t="str" cm="1">
        <f t="array" aca="1" ref="O122" ca="1">IFERROR(IF(OR('Raw Data'!O122="",LEN(TRIM('Raw Data'!O122))=0),"",IF(AND(ISNUMBER('Raw Data'!O122), IFERROR('Raw Data'!O122 = ROUND('Raw Data'!O122, 2),FALSE)),"",_xlfn.REGEXEXTRACT(CELL("address",O122), "\$([A-Z]+)\$[0-9]+"))),_xlfn.REGEXEXTRACT(CELL("address",O122), "\$([A-Z]+)\$[0-9]+"))</f>
        <v/>
      </c>
      <c r="P122" s="7" t="str" cm="1">
        <f t="array" aca="1" ref="P122" ca="1">IFERROR(IF(OR('Raw Data'!P122="",LEN(TRIM('Raw Data'!P122))=0),"",IF(AND(ISNUMBER('Raw Data'!P122), IFERROR('Raw Data'!P122 = ROUND('Raw Data'!P122, 2),FALSE)),"",_xlfn.REGEXEXTRACT(CELL("address",P122), "\$([A-Z]+)\$[0-9]+"))),_xlfn.REGEXEXTRACT(CELL("address",P122), "\$([A-Z]+)\$[0-9]+"))</f>
        <v/>
      </c>
      <c r="Q122" s="7" t="str" cm="1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7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7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7" t="str" cm="1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7" t="str" cm="1">
        <f t="array" aca="1" ref="U122" ca="1">IFERROR(IF(OR('Raw Data'!U122="",LEN(TRIM('Raw Data'!U122))=0),"",IF(AND(ISNUMBER('Raw Data'!U122), IFERROR('Raw Data'!U122 = ROUND('Raw Data'!U122, 2),FALSE)),"",_xlfn.REGEXEXTRACT(CELL("address",U122), "\$([A-Z]+)\$[0-9]+"))),_xlfn.REGEXEXTRACT(CELL("address",U122), "\$([A-Z]+)\$[0-9]+"))</f>
        <v/>
      </c>
      <c r="V122" s="7" t="str" cm="1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7" t="str" cm="1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7" t="str" cm="1">
        <f t="array" aca="1" ref="X122" ca="1">IFERROR(IF(OR('Raw Data'!X122="",LEN(TRIM('Raw Data'!X122))=0),"",IF(AND(ISNUMBER('Raw Data'!X122), IFERROR('Raw Data'!X122 = ROUND('Raw Data'!X122, 2),FALSE)),"",_xlfn.REGEXEXTRACT(CELL("address",X122), "\$([A-Z]+)\$[0-9]+"))),_xlfn.REGEXEXTRACT(CELL("address",X122), "\$([A-Z]+)\$[0-9]+"))</f>
        <v/>
      </c>
      <c r="Y122" s="7" t="str" cm="1">
        <f t="array" aca="1" ref="Y122" ca="1">IFERROR(IF(OR('Raw Data'!Y122="",LEN(TRIM('Raw Data'!Y122))=0),"",IF(AND(ISNUMBER('Raw Data'!Y122), IFERROR('Raw Data'!Y122 = ROUND('Raw Data'!Y122, 2),FALSE)),"",_xlfn.REGEXEXTRACT(CELL("address",Y122), "\$([A-Z]+)\$[0-9]+"))),_xlfn.REGEXEXTRACT(CELL("address",Y122), "\$([A-Z]+)\$[0-9]+"))</f>
        <v/>
      </c>
      <c r="Z122" s="7" t="str" cm="1">
        <f t="array" aca="1" ref="Z122" ca="1">IFERROR(IF(OR('Raw Data'!Z122="",LEN(TRIM('Raw Data'!Z122))=0),"",IF(AND(ISNUMBER('Raw Data'!Z122), IFERROR('Raw Data'!Z122 = ROUND('Raw Data'!Z122, 2),FALSE)),"",_xlfn.REGEXEXTRACT(CELL("address",Z122), "\$([A-Z]+)\$[0-9]+"))),_xlfn.REGEXEXTRACT(CELL("address",Z122), "\$([A-Z]+)\$[0-9]+"))</f>
        <v/>
      </c>
      <c r="AA122" s="7" t="str" cm="1">
        <f t="array" aca="1" ref="AA122" ca="1">IFERROR(IF(OR('Raw Data'!AA122="",LEN(TRIM('Raw Data'!AA122))=0),"",IF(AND(ISNUMBER('Raw Data'!AA122), IFERROR('Raw Data'!AA122 = ROUND('Raw Data'!AA122, 2),FALSE)),"",_xlfn.REGEXEXTRACT(CELL("address",AA122), "\$([A-Z]+)\$[0-9]+"))),_xlfn.REGEXEXTRACT(CELL("address",AA122), "\$([A-Z]+)\$[0-9]+"))</f>
        <v/>
      </c>
      <c r="AB122" s="7" t="str" cm="1">
        <f t="array" aca="1" ref="AB122" ca="1">IFERROR(IF(OR('Raw Data'!AB122="",LEN(TRIM('Raw Data'!AB122))=0),"",IF(AND(ISNUMBER('Raw Data'!AB122), IFERROR('Raw Data'!AB122 = ROUND('Raw Data'!AB122, 2),FALSE)),"",_xlfn.REGEXEXTRACT(CELL("address",AB122), "\$([A-Z]+)\$[0-9]+"))),_xlfn.REGEXEXTRACT(CELL("address",AB122), "\$([A-Z]+)\$[0-9]+"))</f>
        <v/>
      </c>
    </row>
    <row r="123" spans="2:28" x14ac:dyDescent="0.25">
      <c r="B123" s="7" t="str" cm="1">
        <f t="array" aca="1" ref="B123" ca="1">IFERROR(IF(OR('Raw Data'!B123="",LEN(TRIM('Raw Data'!B123))=0),"",IF(AND(LEN('Raw Data'!B123) &lt;= 255,LEN('Raw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20,LEN('Raw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Data'!D123))=0),"",IF(AND(ISNUMBER('Raw Data'!D123),'Raw Data'!D123&gt;=Configuration!$D$2),"",_xlfn.REGEXEXTRACT(CELL("address",'Raw Data'!D123),"\$([A-Z]+)\$[0-9]+"))),_xlfn.REGEXEXTRACT(CELL("address",D123), "\$([A-Z]+)\$[0-9]+"))</f>
        <v/>
      </c>
      <c r="E123" s="7" t="str" cm="1">
        <f t="array" aca="1" ref="E123" ca="1">IFERROR(IF(OR('Raw Data'!E123="",LEN(TRIM('Raw Data'!E123))=0),"",IF(AND(ISNUMBER('Raw Data'!E123), IFERROR('Raw Data'!E123 = ROUND('Raw Data'!E123, 2),FALSE)),"",_xlfn.REGEXEXTRACT(CELL("address",E123), "\$([A-Z]+)\$[0-9]+"))),_xlfn.REGEXEXTRACT(CELL("address",E123), "\$([A-Z]+)\$[0-9]+"))</f>
        <v/>
      </c>
      <c r="F123" s="7" t="str" cm="1">
        <f t="array" aca="1" ref="F123" ca="1">IFERROR(IF(OR('Raw Data'!F123="",LEN(TRIM('Raw Data'!F123))=0),"",IF(AND(ISNUMBER('Raw Data'!F123), IFERROR('Raw Data'!F123 = ROUND('Raw Data'!F123, 2),FALSE)),"",_xlfn.REGEXEXTRACT(CELL("address",F123), "\$([A-Z]+)\$[0-9]+"))),_xlfn.REGEXEXTRACT(CELL("address",F123), "\$([A-Z]+)\$[0-9]+"))</f>
        <v/>
      </c>
      <c r="G123" s="7" t="str" cm="1">
        <f t="array" aca="1" ref="G123" ca="1">IFERROR(IF(OR('Raw Data'!G123="",LEN(TRIM('Raw Data'!G123))=0),"",IF(AND(ISNUMBER('Raw Data'!G123), IFERROR('Raw Data'!G123 = ROUND('Raw Data'!G123, 2),FALSE)),"",_xlfn.REGEXEXTRACT(CELL("address",G123), "\$([A-Z]+)\$[0-9]+"))),_xlfn.REGEXEXTRACT(CELL("address",G123), "\$([A-Z]+)\$[0-9]+"))</f>
        <v/>
      </c>
      <c r="H123" s="7" t="str" cm="1">
        <f t="array" aca="1" ref="H123" ca="1">IFERROR(IF(OR('Raw Data'!H123="",LEN(TRIM('Raw Data'!H123))=0),"",IF(AND(ISNUMBER('Raw Data'!H123), IFERROR('Raw Data'!H123 = ROUND('Raw Data'!H123, 2),FALSE)),"",_xlfn.REGEXEXTRACT(CELL("address",H123), "\$([A-Z]+)\$[0-9]+"))),_xlfn.REGEXEXTRACT(CELL("address",H123), "\$([A-Z]+)\$[0-9]+"))</f>
        <v/>
      </c>
      <c r="I123" s="7" t="str" cm="1">
        <f t="array" aca="1" ref="I123" ca="1">IFERROR(IF(OR('Raw Data'!I123="",LEN(TRIM('Raw Data'!I123))=0),"",IF(AND(ISNUMBER('Raw Data'!I123), IFERROR('Raw Data'!I123 = ROUND('Raw Data'!I123, 2),FALSE)),"",_xlfn.REGEXEXTRACT(CELL("address",I123), "\$([A-Z]+)\$[0-9]+"))),_xlfn.REGEXEXTRACT(CELL("address",I123), "\$([A-Z]+)\$[0-9]+"))</f>
        <v/>
      </c>
      <c r="J123" s="7" t="str" cm="1">
        <f t="array" aca="1" ref="J123" ca="1">IFERROR(IF(OR('Raw Data'!J123="",LEN(TRIM('Raw Data'!J123))=0),"",IF(AND(ISNUMBER('Raw Data'!J123), IFERROR('Raw Data'!J123 = ROUND('Raw Data'!J123, 2),FALSE)),"",_xlfn.REGEXEXTRACT(CELL("address",J123), "\$([A-Z]+)\$[0-9]+"))),_xlfn.REGEXEXTRACT(CELL("address",J123), "\$([A-Z]+)\$[0-9]+"))</f>
        <v/>
      </c>
      <c r="K123" s="7" t="str" cm="1">
        <f t="array" aca="1" ref="K123" ca="1">IFERROR(IF(OR('Raw Data'!K123="",LEN(TRIM('Raw Data'!K123))=0),"",IF(AND(ISNUMBER('Raw Data'!K123), IFERROR('Raw Data'!K123 = ROUND('Raw Data'!K123, 2),FALSE)),"",_xlfn.REGEXEXTRACT(CELL("address",K123), "\$([A-Z]+)\$[0-9]+"))),_xlfn.REGEXEXTRACT(CELL("address",K123), "\$([A-Z]+)\$[0-9]+"))</f>
        <v/>
      </c>
      <c r="L123" s="7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7" t="str" cm="1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7" t="str" cm="1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  <c r="O123" s="7" t="str" cm="1">
        <f t="array" aca="1" ref="O123" ca="1">IFERROR(IF(OR('Raw Data'!O123="",LEN(TRIM('Raw Data'!O123))=0),"",IF(AND(ISNUMBER('Raw Data'!O123), IFERROR('Raw Data'!O123 = ROUND('Raw Data'!O123, 2),FALSE)),"",_xlfn.REGEXEXTRACT(CELL("address",O123), "\$([A-Z]+)\$[0-9]+"))),_xlfn.REGEXEXTRACT(CELL("address",O123), "\$([A-Z]+)\$[0-9]+"))</f>
        <v/>
      </c>
      <c r="P123" s="7" t="str" cm="1">
        <f t="array" aca="1" ref="P123" ca="1">IFERROR(IF(OR('Raw Data'!P123="",LEN(TRIM('Raw Data'!P123))=0),"",IF(AND(ISNUMBER('Raw Data'!P123), IFERROR('Raw Data'!P123 = ROUND('Raw Data'!P123, 2),FALSE)),"",_xlfn.REGEXEXTRACT(CELL("address",P123), "\$([A-Z]+)\$[0-9]+"))),_xlfn.REGEXEXTRACT(CELL("address",P123), "\$([A-Z]+)\$[0-9]+"))</f>
        <v/>
      </c>
      <c r="Q123" s="7" t="str" cm="1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7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7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7" t="str" cm="1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7" t="str" cm="1">
        <f t="array" aca="1" ref="U123" ca="1">IFERROR(IF(OR('Raw Data'!U123="",LEN(TRIM('Raw Data'!U123))=0),"",IF(AND(ISNUMBER('Raw Data'!U123), IFERROR('Raw Data'!U123 = ROUND('Raw Data'!U123, 2),FALSE)),"",_xlfn.REGEXEXTRACT(CELL("address",U123), "\$([A-Z]+)\$[0-9]+"))),_xlfn.REGEXEXTRACT(CELL("address",U123), "\$([A-Z]+)\$[0-9]+"))</f>
        <v/>
      </c>
      <c r="V123" s="7" t="str" cm="1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7" t="str" cm="1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7" t="str" cm="1">
        <f t="array" aca="1" ref="X123" ca="1">IFERROR(IF(OR('Raw Data'!X123="",LEN(TRIM('Raw Data'!X123))=0),"",IF(AND(ISNUMBER('Raw Data'!X123), IFERROR('Raw Data'!X123 = ROUND('Raw Data'!X123, 2),FALSE)),"",_xlfn.REGEXEXTRACT(CELL("address",X123), "\$([A-Z]+)\$[0-9]+"))),_xlfn.REGEXEXTRACT(CELL("address",X123), "\$([A-Z]+)\$[0-9]+"))</f>
        <v/>
      </c>
      <c r="Y123" s="7" t="str" cm="1">
        <f t="array" aca="1" ref="Y123" ca="1">IFERROR(IF(OR('Raw Data'!Y123="",LEN(TRIM('Raw Data'!Y123))=0),"",IF(AND(ISNUMBER('Raw Data'!Y123), IFERROR('Raw Data'!Y123 = ROUND('Raw Data'!Y123, 2),FALSE)),"",_xlfn.REGEXEXTRACT(CELL("address",Y123), "\$([A-Z]+)\$[0-9]+"))),_xlfn.REGEXEXTRACT(CELL("address",Y123), "\$([A-Z]+)\$[0-9]+"))</f>
        <v/>
      </c>
      <c r="Z123" s="7" t="str" cm="1">
        <f t="array" aca="1" ref="Z123" ca="1">IFERROR(IF(OR('Raw Data'!Z123="",LEN(TRIM('Raw Data'!Z123))=0),"",IF(AND(ISNUMBER('Raw Data'!Z123), IFERROR('Raw Data'!Z123 = ROUND('Raw Data'!Z123, 2),FALSE)),"",_xlfn.REGEXEXTRACT(CELL("address",Z123), "\$([A-Z]+)\$[0-9]+"))),_xlfn.REGEXEXTRACT(CELL("address",Z123), "\$([A-Z]+)\$[0-9]+"))</f>
        <v/>
      </c>
      <c r="AA123" s="7" t="str" cm="1">
        <f t="array" aca="1" ref="AA123" ca="1">IFERROR(IF(OR('Raw Data'!AA123="",LEN(TRIM('Raw Data'!AA123))=0),"",IF(AND(ISNUMBER('Raw Data'!AA123), IFERROR('Raw Data'!AA123 = ROUND('Raw Data'!AA123, 2),FALSE)),"",_xlfn.REGEXEXTRACT(CELL("address",AA123), "\$([A-Z]+)\$[0-9]+"))),_xlfn.REGEXEXTRACT(CELL("address",AA123), "\$([A-Z]+)\$[0-9]+"))</f>
        <v/>
      </c>
      <c r="AB123" s="7" t="str" cm="1">
        <f t="array" aca="1" ref="AB123" ca="1">IFERROR(IF(OR('Raw Data'!AB123="",LEN(TRIM('Raw Data'!AB123))=0),"",IF(AND(ISNUMBER('Raw Data'!AB123), IFERROR('Raw Data'!AB123 = ROUND('Raw Data'!AB123, 2),FALSE)),"",_xlfn.REGEXEXTRACT(CELL("address",AB123), "\$([A-Z]+)\$[0-9]+"))),_xlfn.REGEXEXTRACT(CELL("address",AB123), "\$([A-Z]+)\$[0-9]+"))</f>
        <v/>
      </c>
    </row>
    <row r="124" spans="2:28" x14ac:dyDescent="0.25">
      <c r="B124" s="7" t="str" cm="1">
        <f t="array" aca="1" ref="B124" ca="1">IFERROR(IF(OR('Raw Data'!B124="",LEN(TRIM('Raw Data'!B124))=0),"",IF(AND(LEN('Raw Data'!B124) &lt;= 255,LEN('Raw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20,LEN('Raw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Data'!D124))=0),"",IF(AND(ISNUMBER('Raw Data'!D124),'Raw Data'!D124&gt;=Configuration!$D$2),"",_xlfn.REGEXEXTRACT(CELL("address",'Raw Data'!D124),"\$([A-Z]+)\$[0-9]+"))),_xlfn.REGEXEXTRACT(CELL("address",D124), "\$([A-Z]+)\$[0-9]+"))</f>
        <v/>
      </c>
      <c r="E124" s="7" t="str" cm="1">
        <f t="array" aca="1" ref="E124" ca="1">IFERROR(IF(OR('Raw Data'!E124="",LEN(TRIM('Raw Data'!E124))=0),"",IF(AND(ISNUMBER('Raw Data'!E124), IFERROR('Raw Data'!E124 = ROUND('Raw Data'!E124, 2),FALSE)),"",_xlfn.REGEXEXTRACT(CELL("address",E124), "\$([A-Z]+)\$[0-9]+"))),_xlfn.REGEXEXTRACT(CELL("address",E124), "\$([A-Z]+)\$[0-9]+"))</f>
        <v/>
      </c>
      <c r="F124" s="7" t="str" cm="1">
        <f t="array" aca="1" ref="F124" ca="1">IFERROR(IF(OR('Raw Data'!F124="",LEN(TRIM('Raw Data'!F124))=0),"",IF(AND(ISNUMBER('Raw Data'!F124), IFERROR('Raw Data'!F124 = ROUND('Raw Data'!F124, 2),FALSE)),"",_xlfn.REGEXEXTRACT(CELL("address",F124), "\$([A-Z]+)\$[0-9]+"))),_xlfn.REGEXEXTRACT(CELL("address",F124), "\$([A-Z]+)\$[0-9]+"))</f>
        <v/>
      </c>
      <c r="G124" s="7" t="str" cm="1">
        <f t="array" aca="1" ref="G124" ca="1">IFERROR(IF(OR('Raw Data'!G124="",LEN(TRIM('Raw Data'!G124))=0),"",IF(AND(ISNUMBER('Raw Data'!G124), IFERROR('Raw Data'!G124 = ROUND('Raw Data'!G124, 2),FALSE)),"",_xlfn.REGEXEXTRACT(CELL("address",G124), "\$([A-Z]+)\$[0-9]+"))),_xlfn.REGEXEXTRACT(CELL("address",G124), "\$([A-Z]+)\$[0-9]+"))</f>
        <v/>
      </c>
      <c r="H124" s="7" t="str" cm="1">
        <f t="array" aca="1" ref="H124" ca="1">IFERROR(IF(OR('Raw Data'!H124="",LEN(TRIM('Raw Data'!H124))=0),"",IF(AND(ISNUMBER('Raw Data'!H124), IFERROR('Raw Data'!H124 = ROUND('Raw Data'!H124, 2),FALSE)),"",_xlfn.REGEXEXTRACT(CELL("address",H124), "\$([A-Z]+)\$[0-9]+"))),_xlfn.REGEXEXTRACT(CELL("address",H124), "\$([A-Z]+)\$[0-9]+"))</f>
        <v/>
      </c>
      <c r="I124" s="7" t="str" cm="1">
        <f t="array" aca="1" ref="I124" ca="1">IFERROR(IF(OR('Raw Data'!I124="",LEN(TRIM('Raw Data'!I124))=0),"",IF(AND(ISNUMBER('Raw Data'!I124), IFERROR('Raw Data'!I124 = ROUND('Raw Data'!I124, 2),FALSE)),"",_xlfn.REGEXEXTRACT(CELL("address",I124), "\$([A-Z]+)\$[0-9]+"))),_xlfn.REGEXEXTRACT(CELL("address",I124), "\$([A-Z]+)\$[0-9]+"))</f>
        <v/>
      </c>
      <c r="J124" s="7" t="str" cm="1">
        <f t="array" aca="1" ref="J124" ca="1">IFERROR(IF(OR('Raw Data'!J124="",LEN(TRIM('Raw Data'!J124))=0),"",IF(AND(ISNUMBER('Raw Data'!J124), IFERROR('Raw Data'!J124 = ROUND('Raw Data'!J124, 2),FALSE)),"",_xlfn.REGEXEXTRACT(CELL("address",J124), "\$([A-Z]+)\$[0-9]+"))),_xlfn.REGEXEXTRACT(CELL("address",J124), "\$([A-Z]+)\$[0-9]+"))</f>
        <v/>
      </c>
      <c r="K124" s="7" t="str" cm="1">
        <f t="array" aca="1" ref="K124" ca="1">IFERROR(IF(OR('Raw Data'!K124="",LEN(TRIM('Raw Data'!K124))=0),"",IF(AND(ISNUMBER('Raw Data'!K124), IFERROR('Raw Data'!K124 = ROUND('Raw Data'!K124, 2),FALSE)),"",_xlfn.REGEXEXTRACT(CELL("address",K124), "\$([A-Z]+)\$[0-9]+"))),_xlfn.REGEXEXTRACT(CELL("address",K124), "\$([A-Z]+)\$[0-9]+"))</f>
        <v/>
      </c>
      <c r="L124" s="7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7" t="str" cm="1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7" t="str" cm="1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  <c r="O124" s="7" t="str" cm="1">
        <f t="array" aca="1" ref="O124" ca="1">IFERROR(IF(OR('Raw Data'!O124="",LEN(TRIM('Raw Data'!O124))=0),"",IF(AND(ISNUMBER('Raw Data'!O124), IFERROR('Raw Data'!O124 = ROUND('Raw Data'!O124, 2),FALSE)),"",_xlfn.REGEXEXTRACT(CELL("address",O124), "\$([A-Z]+)\$[0-9]+"))),_xlfn.REGEXEXTRACT(CELL("address",O124), "\$([A-Z]+)\$[0-9]+"))</f>
        <v/>
      </c>
      <c r="P124" s="7" t="str" cm="1">
        <f t="array" aca="1" ref="P124" ca="1">IFERROR(IF(OR('Raw Data'!P124="",LEN(TRIM('Raw Data'!P124))=0),"",IF(AND(ISNUMBER('Raw Data'!P124), IFERROR('Raw Data'!P124 = ROUND('Raw Data'!P124, 2),FALSE)),"",_xlfn.REGEXEXTRACT(CELL("address",P124), "\$([A-Z]+)\$[0-9]+"))),_xlfn.REGEXEXTRACT(CELL("address",P124), "\$([A-Z]+)\$[0-9]+"))</f>
        <v/>
      </c>
      <c r="Q124" s="7" t="str" cm="1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7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7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7" t="str" cm="1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7" t="str" cm="1">
        <f t="array" aca="1" ref="U124" ca="1">IFERROR(IF(OR('Raw Data'!U124="",LEN(TRIM('Raw Data'!U124))=0),"",IF(AND(ISNUMBER('Raw Data'!U124), IFERROR('Raw Data'!U124 = ROUND('Raw Data'!U124, 2),FALSE)),"",_xlfn.REGEXEXTRACT(CELL("address",U124), "\$([A-Z]+)\$[0-9]+"))),_xlfn.REGEXEXTRACT(CELL("address",U124), "\$([A-Z]+)\$[0-9]+"))</f>
        <v/>
      </c>
      <c r="V124" s="7" t="str" cm="1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7" t="str" cm="1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7" t="str" cm="1">
        <f t="array" aca="1" ref="X124" ca="1">IFERROR(IF(OR('Raw Data'!X124="",LEN(TRIM('Raw Data'!X124))=0),"",IF(AND(ISNUMBER('Raw Data'!X124), IFERROR('Raw Data'!X124 = ROUND('Raw Data'!X124, 2),FALSE)),"",_xlfn.REGEXEXTRACT(CELL("address",X124), "\$([A-Z]+)\$[0-9]+"))),_xlfn.REGEXEXTRACT(CELL("address",X124), "\$([A-Z]+)\$[0-9]+"))</f>
        <v/>
      </c>
      <c r="Y124" s="7" t="str" cm="1">
        <f t="array" aca="1" ref="Y124" ca="1">IFERROR(IF(OR('Raw Data'!Y124="",LEN(TRIM('Raw Data'!Y124))=0),"",IF(AND(ISNUMBER('Raw Data'!Y124), IFERROR('Raw Data'!Y124 = ROUND('Raw Data'!Y124, 2),FALSE)),"",_xlfn.REGEXEXTRACT(CELL("address",Y124), "\$([A-Z]+)\$[0-9]+"))),_xlfn.REGEXEXTRACT(CELL("address",Y124), "\$([A-Z]+)\$[0-9]+"))</f>
        <v/>
      </c>
      <c r="Z124" s="7" t="str" cm="1">
        <f t="array" aca="1" ref="Z124" ca="1">IFERROR(IF(OR('Raw Data'!Z124="",LEN(TRIM('Raw Data'!Z124))=0),"",IF(AND(ISNUMBER('Raw Data'!Z124), IFERROR('Raw Data'!Z124 = ROUND('Raw Data'!Z124, 2),FALSE)),"",_xlfn.REGEXEXTRACT(CELL("address",Z124), "\$([A-Z]+)\$[0-9]+"))),_xlfn.REGEXEXTRACT(CELL("address",Z124), "\$([A-Z]+)\$[0-9]+"))</f>
        <v/>
      </c>
      <c r="AA124" s="7" t="str" cm="1">
        <f t="array" aca="1" ref="AA124" ca="1">IFERROR(IF(OR('Raw Data'!AA124="",LEN(TRIM('Raw Data'!AA124))=0),"",IF(AND(ISNUMBER('Raw Data'!AA124), IFERROR('Raw Data'!AA124 = ROUND('Raw Data'!AA124, 2),FALSE)),"",_xlfn.REGEXEXTRACT(CELL("address",AA124), "\$([A-Z]+)\$[0-9]+"))),_xlfn.REGEXEXTRACT(CELL("address",AA124), "\$([A-Z]+)\$[0-9]+"))</f>
        <v/>
      </c>
      <c r="AB124" s="7" t="str" cm="1">
        <f t="array" aca="1" ref="AB124" ca="1">IFERROR(IF(OR('Raw Data'!AB124="",LEN(TRIM('Raw Data'!AB124))=0),"",IF(AND(ISNUMBER('Raw Data'!AB124), IFERROR('Raw Data'!AB124 = ROUND('Raw Data'!AB124, 2),FALSE)),"",_xlfn.REGEXEXTRACT(CELL("address",AB124), "\$([A-Z]+)\$[0-9]+"))),_xlfn.REGEXEXTRACT(CELL("address",AB124), "\$([A-Z]+)\$[0-9]+"))</f>
        <v/>
      </c>
    </row>
    <row r="125" spans="2:28" x14ac:dyDescent="0.25">
      <c r="B125" s="7" t="str" cm="1">
        <f t="array" aca="1" ref="B125" ca="1">IFERROR(IF(OR('Raw Data'!B125="",LEN(TRIM('Raw Data'!B125))=0),"",IF(AND(LEN('Raw Data'!B125) &lt;= 255,LEN('Raw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20,LEN('Raw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Data'!D125))=0),"",IF(AND(ISNUMBER('Raw Data'!D125),'Raw Data'!D125&gt;=Configuration!$D$2),"",_xlfn.REGEXEXTRACT(CELL("address",'Raw Data'!D125),"\$([A-Z]+)\$[0-9]+"))),_xlfn.REGEXEXTRACT(CELL("address",D125), "\$([A-Z]+)\$[0-9]+"))</f>
        <v/>
      </c>
      <c r="E125" s="7" t="str" cm="1">
        <f t="array" aca="1" ref="E125" ca="1">IFERROR(IF(OR('Raw Data'!E125="",LEN(TRIM('Raw Data'!E125))=0),"",IF(AND(ISNUMBER('Raw Data'!E125), IFERROR('Raw Data'!E125 = ROUND('Raw Data'!E125, 2),FALSE)),"",_xlfn.REGEXEXTRACT(CELL("address",E125), "\$([A-Z]+)\$[0-9]+"))),_xlfn.REGEXEXTRACT(CELL("address",E125), "\$([A-Z]+)\$[0-9]+"))</f>
        <v/>
      </c>
      <c r="F125" s="7" t="str" cm="1">
        <f t="array" aca="1" ref="F125" ca="1">IFERROR(IF(OR('Raw Data'!F125="",LEN(TRIM('Raw Data'!F125))=0),"",IF(AND(ISNUMBER('Raw Data'!F125), IFERROR('Raw Data'!F125 = ROUND('Raw Data'!F125, 2),FALSE)),"",_xlfn.REGEXEXTRACT(CELL("address",F125), "\$([A-Z]+)\$[0-9]+"))),_xlfn.REGEXEXTRACT(CELL("address",F125), "\$([A-Z]+)\$[0-9]+"))</f>
        <v/>
      </c>
      <c r="G125" s="7" t="str" cm="1">
        <f t="array" aca="1" ref="G125" ca="1">IFERROR(IF(OR('Raw Data'!G125="",LEN(TRIM('Raw Data'!G125))=0),"",IF(AND(ISNUMBER('Raw Data'!G125), IFERROR('Raw Data'!G125 = ROUND('Raw Data'!G125, 2),FALSE)),"",_xlfn.REGEXEXTRACT(CELL("address",G125), "\$([A-Z]+)\$[0-9]+"))),_xlfn.REGEXEXTRACT(CELL("address",G125), "\$([A-Z]+)\$[0-9]+"))</f>
        <v/>
      </c>
      <c r="H125" s="7" t="str" cm="1">
        <f t="array" aca="1" ref="H125" ca="1">IFERROR(IF(OR('Raw Data'!H125="",LEN(TRIM('Raw Data'!H125))=0),"",IF(AND(ISNUMBER('Raw Data'!H125), IFERROR('Raw Data'!H125 = ROUND('Raw Data'!H125, 2),FALSE)),"",_xlfn.REGEXEXTRACT(CELL("address",H125), "\$([A-Z]+)\$[0-9]+"))),_xlfn.REGEXEXTRACT(CELL("address",H125), "\$([A-Z]+)\$[0-9]+"))</f>
        <v/>
      </c>
      <c r="I125" s="7" t="str" cm="1">
        <f t="array" aca="1" ref="I125" ca="1">IFERROR(IF(OR('Raw Data'!I125="",LEN(TRIM('Raw Data'!I125))=0),"",IF(AND(ISNUMBER('Raw Data'!I125), IFERROR('Raw Data'!I125 = ROUND('Raw Data'!I125, 2),FALSE)),"",_xlfn.REGEXEXTRACT(CELL("address",I125), "\$([A-Z]+)\$[0-9]+"))),_xlfn.REGEXEXTRACT(CELL("address",I125), "\$([A-Z]+)\$[0-9]+"))</f>
        <v/>
      </c>
      <c r="J125" s="7" t="str" cm="1">
        <f t="array" aca="1" ref="J125" ca="1">IFERROR(IF(OR('Raw Data'!J125="",LEN(TRIM('Raw Data'!J125))=0),"",IF(AND(ISNUMBER('Raw Data'!J125), IFERROR('Raw Data'!J125 = ROUND('Raw Data'!J125, 2),FALSE)),"",_xlfn.REGEXEXTRACT(CELL("address",J125), "\$([A-Z]+)\$[0-9]+"))),_xlfn.REGEXEXTRACT(CELL("address",J125), "\$([A-Z]+)\$[0-9]+"))</f>
        <v/>
      </c>
      <c r="K125" s="7" t="str" cm="1">
        <f t="array" aca="1" ref="K125" ca="1">IFERROR(IF(OR('Raw Data'!K125="",LEN(TRIM('Raw Data'!K125))=0),"",IF(AND(ISNUMBER('Raw Data'!K125), IFERROR('Raw Data'!K125 = ROUND('Raw Data'!K125, 2),FALSE)),"",_xlfn.REGEXEXTRACT(CELL("address",K125), "\$([A-Z]+)\$[0-9]+"))),_xlfn.REGEXEXTRACT(CELL("address",K125), "\$([A-Z]+)\$[0-9]+"))</f>
        <v/>
      </c>
      <c r="L125" s="7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7" t="str" cm="1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7" t="str" cm="1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  <c r="O125" s="7" t="str" cm="1">
        <f t="array" aca="1" ref="O125" ca="1">IFERROR(IF(OR('Raw Data'!O125="",LEN(TRIM('Raw Data'!O125))=0),"",IF(AND(ISNUMBER('Raw Data'!O125), IFERROR('Raw Data'!O125 = ROUND('Raw Data'!O125, 2),FALSE)),"",_xlfn.REGEXEXTRACT(CELL("address",O125), "\$([A-Z]+)\$[0-9]+"))),_xlfn.REGEXEXTRACT(CELL("address",O125), "\$([A-Z]+)\$[0-9]+"))</f>
        <v/>
      </c>
      <c r="P125" s="7" t="str" cm="1">
        <f t="array" aca="1" ref="P125" ca="1">IFERROR(IF(OR('Raw Data'!P125="",LEN(TRIM('Raw Data'!P125))=0),"",IF(AND(ISNUMBER('Raw Data'!P125), IFERROR('Raw Data'!P125 = ROUND('Raw Data'!P125, 2),FALSE)),"",_xlfn.REGEXEXTRACT(CELL("address",P125), "\$([A-Z]+)\$[0-9]+"))),_xlfn.REGEXEXTRACT(CELL("address",P125), "\$([A-Z]+)\$[0-9]+"))</f>
        <v/>
      </c>
      <c r="Q125" s="7" t="str" cm="1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7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7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7" t="str" cm="1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7" t="str" cm="1">
        <f t="array" aca="1" ref="U125" ca="1">IFERROR(IF(OR('Raw Data'!U125="",LEN(TRIM('Raw Data'!U125))=0),"",IF(AND(ISNUMBER('Raw Data'!U125), IFERROR('Raw Data'!U125 = ROUND('Raw Data'!U125, 2),FALSE)),"",_xlfn.REGEXEXTRACT(CELL("address",U125), "\$([A-Z]+)\$[0-9]+"))),_xlfn.REGEXEXTRACT(CELL("address",U125), "\$([A-Z]+)\$[0-9]+"))</f>
        <v/>
      </c>
      <c r="V125" s="7" t="str" cm="1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7" t="str" cm="1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7" t="str" cm="1">
        <f t="array" aca="1" ref="X125" ca="1">IFERROR(IF(OR('Raw Data'!X125="",LEN(TRIM('Raw Data'!X125))=0),"",IF(AND(ISNUMBER('Raw Data'!X125), IFERROR('Raw Data'!X125 = ROUND('Raw Data'!X125, 2),FALSE)),"",_xlfn.REGEXEXTRACT(CELL("address",X125), "\$([A-Z]+)\$[0-9]+"))),_xlfn.REGEXEXTRACT(CELL("address",X125), "\$([A-Z]+)\$[0-9]+"))</f>
        <v/>
      </c>
      <c r="Y125" s="7" t="str" cm="1">
        <f t="array" aca="1" ref="Y125" ca="1">IFERROR(IF(OR('Raw Data'!Y125="",LEN(TRIM('Raw Data'!Y125))=0),"",IF(AND(ISNUMBER('Raw Data'!Y125), IFERROR('Raw Data'!Y125 = ROUND('Raw Data'!Y125, 2),FALSE)),"",_xlfn.REGEXEXTRACT(CELL("address",Y125), "\$([A-Z]+)\$[0-9]+"))),_xlfn.REGEXEXTRACT(CELL("address",Y125), "\$([A-Z]+)\$[0-9]+"))</f>
        <v/>
      </c>
      <c r="Z125" s="7" t="str" cm="1">
        <f t="array" aca="1" ref="Z125" ca="1">IFERROR(IF(OR('Raw Data'!Z125="",LEN(TRIM('Raw Data'!Z125))=0),"",IF(AND(ISNUMBER('Raw Data'!Z125), IFERROR('Raw Data'!Z125 = ROUND('Raw Data'!Z125, 2),FALSE)),"",_xlfn.REGEXEXTRACT(CELL("address",Z125), "\$([A-Z]+)\$[0-9]+"))),_xlfn.REGEXEXTRACT(CELL("address",Z125), "\$([A-Z]+)\$[0-9]+"))</f>
        <v/>
      </c>
      <c r="AA125" s="7" t="str" cm="1">
        <f t="array" aca="1" ref="AA125" ca="1">IFERROR(IF(OR('Raw Data'!AA125="",LEN(TRIM('Raw Data'!AA125))=0),"",IF(AND(ISNUMBER('Raw Data'!AA125), IFERROR('Raw Data'!AA125 = ROUND('Raw Data'!AA125, 2),FALSE)),"",_xlfn.REGEXEXTRACT(CELL("address",AA125), "\$([A-Z]+)\$[0-9]+"))),_xlfn.REGEXEXTRACT(CELL("address",AA125), "\$([A-Z]+)\$[0-9]+"))</f>
        <v/>
      </c>
      <c r="AB125" s="7" t="str" cm="1">
        <f t="array" aca="1" ref="AB125" ca="1">IFERROR(IF(OR('Raw Data'!AB125="",LEN(TRIM('Raw Data'!AB125))=0),"",IF(AND(ISNUMBER('Raw Data'!AB125), IFERROR('Raw Data'!AB125 = ROUND('Raw Data'!AB125, 2),FALSE)),"",_xlfn.REGEXEXTRACT(CELL("address",AB125), "\$([A-Z]+)\$[0-9]+"))),_xlfn.REGEXEXTRACT(CELL("address",AB125), "\$([A-Z]+)\$[0-9]+"))</f>
        <v/>
      </c>
    </row>
    <row r="126" spans="2:28" x14ac:dyDescent="0.25">
      <c r="B126" s="7" t="str" cm="1">
        <f t="array" aca="1" ref="B126" ca="1">IFERROR(IF(OR('Raw Data'!B126="",LEN(TRIM('Raw Data'!B126))=0),"",IF(AND(LEN('Raw Data'!B126) &lt;= 255,LEN('Raw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20,LEN('Raw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Data'!D126))=0),"",IF(AND(ISNUMBER('Raw Data'!D126),'Raw Data'!D126&gt;=Configuration!$D$2),"",_xlfn.REGEXEXTRACT(CELL("address",'Raw Data'!D126),"\$([A-Z]+)\$[0-9]+"))),_xlfn.REGEXEXTRACT(CELL("address",D126), "\$([A-Z]+)\$[0-9]+"))</f>
        <v/>
      </c>
      <c r="E126" s="7" t="str" cm="1">
        <f t="array" aca="1" ref="E126" ca="1">IFERROR(IF(OR('Raw Data'!E126="",LEN(TRIM('Raw Data'!E126))=0),"",IF(AND(ISNUMBER('Raw Data'!E126), IFERROR('Raw Data'!E126 = ROUND('Raw Data'!E126, 2),FALSE)),"",_xlfn.REGEXEXTRACT(CELL("address",E126), "\$([A-Z]+)\$[0-9]+"))),_xlfn.REGEXEXTRACT(CELL("address",E126), "\$([A-Z]+)\$[0-9]+"))</f>
        <v/>
      </c>
      <c r="F126" s="7" t="str" cm="1">
        <f t="array" aca="1" ref="F126" ca="1">IFERROR(IF(OR('Raw Data'!F126="",LEN(TRIM('Raw Data'!F126))=0),"",IF(AND(ISNUMBER('Raw Data'!F126), IFERROR('Raw Data'!F126 = ROUND('Raw Data'!F126, 2),FALSE)),"",_xlfn.REGEXEXTRACT(CELL("address",F126), "\$([A-Z]+)\$[0-9]+"))),_xlfn.REGEXEXTRACT(CELL("address",F126), "\$([A-Z]+)\$[0-9]+"))</f>
        <v/>
      </c>
      <c r="G126" s="7" t="str" cm="1">
        <f t="array" aca="1" ref="G126" ca="1">IFERROR(IF(OR('Raw Data'!G126="",LEN(TRIM('Raw Data'!G126))=0),"",IF(AND(ISNUMBER('Raw Data'!G126), IFERROR('Raw Data'!G126 = ROUND('Raw Data'!G126, 2),FALSE)),"",_xlfn.REGEXEXTRACT(CELL("address",G126), "\$([A-Z]+)\$[0-9]+"))),_xlfn.REGEXEXTRACT(CELL("address",G126), "\$([A-Z]+)\$[0-9]+"))</f>
        <v/>
      </c>
      <c r="H126" s="7" t="str" cm="1">
        <f t="array" aca="1" ref="H126" ca="1">IFERROR(IF(OR('Raw Data'!H126="",LEN(TRIM('Raw Data'!H126))=0),"",IF(AND(ISNUMBER('Raw Data'!H126), IFERROR('Raw Data'!H126 = ROUND('Raw Data'!H126, 2),FALSE)),"",_xlfn.REGEXEXTRACT(CELL("address",H126), "\$([A-Z]+)\$[0-9]+"))),_xlfn.REGEXEXTRACT(CELL("address",H126), "\$([A-Z]+)\$[0-9]+"))</f>
        <v/>
      </c>
      <c r="I126" s="7" t="str" cm="1">
        <f t="array" aca="1" ref="I126" ca="1">IFERROR(IF(OR('Raw Data'!I126="",LEN(TRIM('Raw Data'!I126))=0),"",IF(AND(ISNUMBER('Raw Data'!I126), IFERROR('Raw Data'!I126 = ROUND('Raw Data'!I126, 2),FALSE)),"",_xlfn.REGEXEXTRACT(CELL("address",I126), "\$([A-Z]+)\$[0-9]+"))),_xlfn.REGEXEXTRACT(CELL("address",I126), "\$([A-Z]+)\$[0-9]+"))</f>
        <v/>
      </c>
      <c r="J126" s="7" t="str" cm="1">
        <f t="array" aca="1" ref="J126" ca="1">IFERROR(IF(OR('Raw Data'!J126="",LEN(TRIM('Raw Data'!J126))=0),"",IF(AND(ISNUMBER('Raw Data'!J126), IFERROR('Raw Data'!J126 = ROUND('Raw Data'!J126, 2),FALSE)),"",_xlfn.REGEXEXTRACT(CELL("address",J126), "\$([A-Z]+)\$[0-9]+"))),_xlfn.REGEXEXTRACT(CELL("address",J126), "\$([A-Z]+)\$[0-9]+"))</f>
        <v/>
      </c>
      <c r="K126" s="7" t="str" cm="1">
        <f t="array" aca="1" ref="K126" ca="1">IFERROR(IF(OR('Raw Data'!K126="",LEN(TRIM('Raw Data'!K126))=0),"",IF(AND(ISNUMBER('Raw Data'!K126), IFERROR('Raw Data'!K126 = ROUND('Raw Data'!K126, 2),FALSE)),"",_xlfn.REGEXEXTRACT(CELL("address",K126), "\$([A-Z]+)\$[0-9]+"))),_xlfn.REGEXEXTRACT(CELL("address",K126), "\$([A-Z]+)\$[0-9]+"))</f>
        <v/>
      </c>
      <c r="L126" s="7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7" t="str" cm="1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7" t="str" cm="1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  <c r="O126" s="7" t="str" cm="1">
        <f t="array" aca="1" ref="O126" ca="1">IFERROR(IF(OR('Raw Data'!O126="",LEN(TRIM('Raw Data'!O126))=0),"",IF(AND(ISNUMBER('Raw Data'!O126), IFERROR('Raw Data'!O126 = ROUND('Raw Data'!O126, 2),FALSE)),"",_xlfn.REGEXEXTRACT(CELL("address",O126), "\$([A-Z]+)\$[0-9]+"))),_xlfn.REGEXEXTRACT(CELL("address",O126), "\$([A-Z]+)\$[0-9]+"))</f>
        <v/>
      </c>
      <c r="P126" s="7" t="str" cm="1">
        <f t="array" aca="1" ref="P126" ca="1">IFERROR(IF(OR('Raw Data'!P126="",LEN(TRIM('Raw Data'!P126))=0),"",IF(AND(ISNUMBER('Raw Data'!P126), IFERROR('Raw Data'!P126 = ROUND('Raw Data'!P126, 2),FALSE)),"",_xlfn.REGEXEXTRACT(CELL("address",P126), "\$([A-Z]+)\$[0-9]+"))),_xlfn.REGEXEXTRACT(CELL("address",P126), "\$([A-Z]+)\$[0-9]+"))</f>
        <v/>
      </c>
      <c r="Q126" s="7" t="str" cm="1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7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7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7" t="str" cm="1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7" t="str" cm="1">
        <f t="array" aca="1" ref="U126" ca="1">IFERROR(IF(OR('Raw Data'!U126="",LEN(TRIM('Raw Data'!U126))=0),"",IF(AND(ISNUMBER('Raw Data'!U126), IFERROR('Raw Data'!U126 = ROUND('Raw Data'!U126, 2),FALSE)),"",_xlfn.REGEXEXTRACT(CELL("address",U126), "\$([A-Z]+)\$[0-9]+"))),_xlfn.REGEXEXTRACT(CELL("address",U126), "\$([A-Z]+)\$[0-9]+"))</f>
        <v/>
      </c>
      <c r="V126" s="7" t="str" cm="1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7" t="str" cm="1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7" t="str" cm="1">
        <f t="array" aca="1" ref="X126" ca="1">IFERROR(IF(OR('Raw Data'!X126="",LEN(TRIM('Raw Data'!X126))=0),"",IF(AND(ISNUMBER('Raw Data'!X126), IFERROR('Raw Data'!X126 = ROUND('Raw Data'!X126, 2),FALSE)),"",_xlfn.REGEXEXTRACT(CELL("address",X126), "\$([A-Z]+)\$[0-9]+"))),_xlfn.REGEXEXTRACT(CELL("address",X126), "\$([A-Z]+)\$[0-9]+"))</f>
        <v/>
      </c>
      <c r="Y126" s="7" t="str" cm="1">
        <f t="array" aca="1" ref="Y126" ca="1">IFERROR(IF(OR('Raw Data'!Y126="",LEN(TRIM('Raw Data'!Y126))=0),"",IF(AND(ISNUMBER('Raw Data'!Y126), IFERROR('Raw Data'!Y126 = ROUND('Raw Data'!Y126, 2),FALSE)),"",_xlfn.REGEXEXTRACT(CELL("address",Y126), "\$([A-Z]+)\$[0-9]+"))),_xlfn.REGEXEXTRACT(CELL("address",Y126), "\$([A-Z]+)\$[0-9]+"))</f>
        <v/>
      </c>
      <c r="Z126" s="7" t="str" cm="1">
        <f t="array" aca="1" ref="Z126" ca="1">IFERROR(IF(OR('Raw Data'!Z126="",LEN(TRIM('Raw Data'!Z126))=0),"",IF(AND(ISNUMBER('Raw Data'!Z126), IFERROR('Raw Data'!Z126 = ROUND('Raw Data'!Z126, 2),FALSE)),"",_xlfn.REGEXEXTRACT(CELL("address",Z126), "\$([A-Z]+)\$[0-9]+"))),_xlfn.REGEXEXTRACT(CELL("address",Z126), "\$([A-Z]+)\$[0-9]+"))</f>
        <v/>
      </c>
      <c r="AA126" s="7" t="str" cm="1">
        <f t="array" aca="1" ref="AA126" ca="1">IFERROR(IF(OR('Raw Data'!AA126="",LEN(TRIM('Raw Data'!AA126))=0),"",IF(AND(ISNUMBER('Raw Data'!AA126), IFERROR('Raw Data'!AA126 = ROUND('Raw Data'!AA126, 2),FALSE)),"",_xlfn.REGEXEXTRACT(CELL("address",AA126), "\$([A-Z]+)\$[0-9]+"))),_xlfn.REGEXEXTRACT(CELL("address",AA126), "\$([A-Z]+)\$[0-9]+"))</f>
        <v/>
      </c>
      <c r="AB126" s="7" t="str" cm="1">
        <f t="array" aca="1" ref="AB126" ca="1">IFERROR(IF(OR('Raw Data'!AB126="",LEN(TRIM('Raw Data'!AB126))=0),"",IF(AND(ISNUMBER('Raw Data'!AB126), IFERROR('Raw Data'!AB126 = ROUND('Raw Data'!AB126, 2),FALSE)),"",_xlfn.REGEXEXTRACT(CELL("address",AB126), "\$([A-Z]+)\$[0-9]+"))),_xlfn.REGEXEXTRACT(CELL("address",AB126), "\$([A-Z]+)\$[0-9]+"))</f>
        <v/>
      </c>
    </row>
    <row r="127" spans="2:28" x14ac:dyDescent="0.25">
      <c r="B127" s="7" t="str" cm="1">
        <f t="array" aca="1" ref="B127" ca="1">IFERROR(IF(OR('Raw Data'!B127="",LEN(TRIM('Raw Data'!B127))=0),"",IF(AND(LEN('Raw Data'!B127) &lt;= 255,LEN('Raw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20,LEN('Raw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Data'!D127))=0),"",IF(AND(ISNUMBER('Raw Data'!D127),'Raw Data'!D127&gt;=Configuration!$D$2),"",_xlfn.REGEXEXTRACT(CELL("address",'Raw Data'!D127),"\$([A-Z]+)\$[0-9]+"))),_xlfn.REGEXEXTRACT(CELL("address",D127), "\$([A-Z]+)\$[0-9]+"))</f>
        <v/>
      </c>
      <c r="E127" s="7" t="str" cm="1">
        <f t="array" aca="1" ref="E127" ca="1">IFERROR(IF(OR('Raw Data'!E127="",LEN(TRIM('Raw Data'!E127))=0),"",IF(AND(ISNUMBER('Raw Data'!E127), IFERROR('Raw Data'!E127 = ROUND('Raw Data'!E127, 2),FALSE)),"",_xlfn.REGEXEXTRACT(CELL("address",E127), "\$([A-Z]+)\$[0-9]+"))),_xlfn.REGEXEXTRACT(CELL("address",E127), "\$([A-Z]+)\$[0-9]+"))</f>
        <v/>
      </c>
      <c r="F127" s="7" t="str" cm="1">
        <f t="array" aca="1" ref="F127" ca="1">IFERROR(IF(OR('Raw Data'!F127="",LEN(TRIM('Raw Data'!F127))=0),"",IF(AND(ISNUMBER('Raw Data'!F127), IFERROR('Raw Data'!F127 = ROUND('Raw Data'!F127, 2),FALSE)),"",_xlfn.REGEXEXTRACT(CELL("address",F127), "\$([A-Z]+)\$[0-9]+"))),_xlfn.REGEXEXTRACT(CELL("address",F127), "\$([A-Z]+)\$[0-9]+"))</f>
        <v/>
      </c>
      <c r="G127" s="7" t="str" cm="1">
        <f t="array" aca="1" ref="G127" ca="1">IFERROR(IF(OR('Raw Data'!G127="",LEN(TRIM('Raw Data'!G127))=0),"",IF(AND(ISNUMBER('Raw Data'!G127), IFERROR('Raw Data'!G127 = ROUND('Raw Data'!G127, 2),FALSE)),"",_xlfn.REGEXEXTRACT(CELL("address",G127), "\$([A-Z]+)\$[0-9]+"))),_xlfn.REGEXEXTRACT(CELL("address",G127), "\$([A-Z]+)\$[0-9]+"))</f>
        <v/>
      </c>
      <c r="H127" s="7" t="str" cm="1">
        <f t="array" aca="1" ref="H127" ca="1">IFERROR(IF(OR('Raw Data'!H127="",LEN(TRIM('Raw Data'!H127))=0),"",IF(AND(ISNUMBER('Raw Data'!H127), IFERROR('Raw Data'!H127 = ROUND('Raw Data'!H127, 2),FALSE)),"",_xlfn.REGEXEXTRACT(CELL("address",H127), "\$([A-Z]+)\$[0-9]+"))),_xlfn.REGEXEXTRACT(CELL("address",H127), "\$([A-Z]+)\$[0-9]+"))</f>
        <v/>
      </c>
      <c r="I127" s="7" t="str" cm="1">
        <f t="array" aca="1" ref="I127" ca="1">IFERROR(IF(OR('Raw Data'!I127="",LEN(TRIM('Raw Data'!I127))=0),"",IF(AND(ISNUMBER('Raw Data'!I127), IFERROR('Raw Data'!I127 = ROUND('Raw Data'!I127, 2),FALSE)),"",_xlfn.REGEXEXTRACT(CELL("address",I127), "\$([A-Z]+)\$[0-9]+"))),_xlfn.REGEXEXTRACT(CELL("address",I127), "\$([A-Z]+)\$[0-9]+"))</f>
        <v/>
      </c>
      <c r="J127" s="7" t="str" cm="1">
        <f t="array" aca="1" ref="J127" ca="1">IFERROR(IF(OR('Raw Data'!J127="",LEN(TRIM('Raw Data'!J127))=0),"",IF(AND(ISNUMBER('Raw Data'!J127), IFERROR('Raw Data'!J127 = ROUND('Raw Data'!J127, 2),FALSE)),"",_xlfn.REGEXEXTRACT(CELL("address",J127), "\$([A-Z]+)\$[0-9]+"))),_xlfn.REGEXEXTRACT(CELL("address",J127), "\$([A-Z]+)\$[0-9]+"))</f>
        <v/>
      </c>
      <c r="K127" s="7" t="str" cm="1">
        <f t="array" aca="1" ref="K127" ca="1">IFERROR(IF(OR('Raw Data'!K127="",LEN(TRIM('Raw Data'!K127))=0),"",IF(AND(ISNUMBER('Raw Data'!K127), IFERROR('Raw Data'!K127 = ROUND('Raw Data'!K127, 2),FALSE)),"",_xlfn.REGEXEXTRACT(CELL("address",K127), "\$([A-Z]+)\$[0-9]+"))),_xlfn.REGEXEXTRACT(CELL("address",K127), "\$([A-Z]+)\$[0-9]+"))</f>
        <v/>
      </c>
      <c r="L127" s="7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7" t="str" cm="1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7" t="str" cm="1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  <c r="O127" s="7" t="str" cm="1">
        <f t="array" aca="1" ref="O127" ca="1">IFERROR(IF(OR('Raw Data'!O127="",LEN(TRIM('Raw Data'!O127))=0),"",IF(AND(ISNUMBER('Raw Data'!O127), IFERROR('Raw Data'!O127 = ROUND('Raw Data'!O127, 2),FALSE)),"",_xlfn.REGEXEXTRACT(CELL("address",O127), "\$([A-Z]+)\$[0-9]+"))),_xlfn.REGEXEXTRACT(CELL("address",O127), "\$([A-Z]+)\$[0-9]+"))</f>
        <v/>
      </c>
      <c r="P127" s="7" t="str" cm="1">
        <f t="array" aca="1" ref="P127" ca="1">IFERROR(IF(OR('Raw Data'!P127="",LEN(TRIM('Raw Data'!P127))=0),"",IF(AND(ISNUMBER('Raw Data'!P127), IFERROR('Raw Data'!P127 = ROUND('Raw Data'!P127, 2),FALSE)),"",_xlfn.REGEXEXTRACT(CELL("address",P127), "\$([A-Z]+)\$[0-9]+"))),_xlfn.REGEXEXTRACT(CELL("address",P127), "\$([A-Z]+)\$[0-9]+"))</f>
        <v/>
      </c>
      <c r="Q127" s="7" t="str" cm="1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7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7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7" t="str" cm="1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7" t="str" cm="1">
        <f t="array" aca="1" ref="U127" ca="1">IFERROR(IF(OR('Raw Data'!U127="",LEN(TRIM('Raw Data'!U127))=0),"",IF(AND(ISNUMBER('Raw Data'!U127), IFERROR('Raw Data'!U127 = ROUND('Raw Data'!U127, 2),FALSE)),"",_xlfn.REGEXEXTRACT(CELL("address",U127), "\$([A-Z]+)\$[0-9]+"))),_xlfn.REGEXEXTRACT(CELL("address",U127), "\$([A-Z]+)\$[0-9]+"))</f>
        <v/>
      </c>
      <c r="V127" s="7" t="str" cm="1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7" t="str" cm="1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7" t="str" cm="1">
        <f t="array" aca="1" ref="X127" ca="1">IFERROR(IF(OR('Raw Data'!X127="",LEN(TRIM('Raw Data'!X127))=0),"",IF(AND(ISNUMBER('Raw Data'!X127), IFERROR('Raw Data'!X127 = ROUND('Raw Data'!X127, 2),FALSE)),"",_xlfn.REGEXEXTRACT(CELL("address",X127), "\$([A-Z]+)\$[0-9]+"))),_xlfn.REGEXEXTRACT(CELL("address",X127), "\$([A-Z]+)\$[0-9]+"))</f>
        <v/>
      </c>
      <c r="Y127" s="7" t="str" cm="1">
        <f t="array" aca="1" ref="Y127" ca="1">IFERROR(IF(OR('Raw Data'!Y127="",LEN(TRIM('Raw Data'!Y127))=0),"",IF(AND(ISNUMBER('Raw Data'!Y127), IFERROR('Raw Data'!Y127 = ROUND('Raw Data'!Y127, 2),FALSE)),"",_xlfn.REGEXEXTRACT(CELL("address",Y127), "\$([A-Z]+)\$[0-9]+"))),_xlfn.REGEXEXTRACT(CELL("address",Y127), "\$([A-Z]+)\$[0-9]+"))</f>
        <v/>
      </c>
      <c r="Z127" s="7" t="str" cm="1">
        <f t="array" aca="1" ref="Z127" ca="1">IFERROR(IF(OR('Raw Data'!Z127="",LEN(TRIM('Raw Data'!Z127))=0),"",IF(AND(ISNUMBER('Raw Data'!Z127), IFERROR('Raw Data'!Z127 = ROUND('Raw Data'!Z127, 2),FALSE)),"",_xlfn.REGEXEXTRACT(CELL("address",Z127), "\$([A-Z]+)\$[0-9]+"))),_xlfn.REGEXEXTRACT(CELL("address",Z127), "\$([A-Z]+)\$[0-9]+"))</f>
        <v/>
      </c>
      <c r="AA127" s="7" t="str" cm="1">
        <f t="array" aca="1" ref="AA127" ca="1">IFERROR(IF(OR('Raw Data'!AA127="",LEN(TRIM('Raw Data'!AA127))=0),"",IF(AND(ISNUMBER('Raw Data'!AA127), IFERROR('Raw Data'!AA127 = ROUND('Raw Data'!AA127, 2),FALSE)),"",_xlfn.REGEXEXTRACT(CELL("address",AA127), "\$([A-Z]+)\$[0-9]+"))),_xlfn.REGEXEXTRACT(CELL("address",AA127), "\$([A-Z]+)\$[0-9]+"))</f>
        <v/>
      </c>
      <c r="AB127" s="7" t="str" cm="1">
        <f t="array" aca="1" ref="AB127" ca="1">IFERROR(IF(OR('Raw Data'!AB127="",LEN(TRIM('Raw Data'!AB127))=0),"",IF(AND(ISNUMBER('Raw Data'!AB127), IFERROR('Raw Data'!AB127 = ROUND('Raw Data'!AB127, 2),FALSE)),"",_xlfn.REGEXEXTRACT(CELL("address",AB127), "\$([A-Z]+)\$[0-9]+"))),_xlfn.REGEXEXTRACT(CELL("address",AB127), "\$([A-Z]+)\$[0-9]+"))</f>
        <v/>
      </c>
    </row>
    <row r="128" spans="2:28" x14ac:dyDescent="0.25">
      <c r="B128" s="7" t="str" cm="1">
        <f t="array" aca="1" ref="B128" ca="1">IFERROR(IF(OR('Raw Data'!B128="",LEN(TRIM('Raw Data'!B128))=0),"",IF(AND(LEN('Raw Data'!B128) &lt;= 255,LEN('Raw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20,LEN('Raw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Data'!D128))=0),"",IF(AND(ISNUMBER('Raw Data'!D128),'Raw Data'!D128&gt;=Configuration!$D$2),"",_xlfn.REGEXEXTRACT(CELL("address",'Raw Data'!D128),"\$([A-Z]+)\$[0-9]+"))),_xlfn.REGEXEXTRACT(CELL("address",D128), "\$([A-Z]+)\$[0-9]+"))</f>
        <v/>
      </c>
      <c r="E128" s="7" t="str" cm="1">
        <f t="array" aca="1" ref="E128" ca="1">IFERROR(IF(OR('Raw Data'!E128="",LEN(TRIM('Raw Data'!E128))=0),"",IF(AND(ISNUMBER('Raw Data'!E128), IFERROR('Raw Data'!E128 = ROUND('Raw Data'!E128, 2),FALSE)),"",_xlfn.REGEXEXTRACT(CELL("address",E128), "\$([A-Z]+)\$[0-9]+"))),_xlfn.REGEXEXTRACT(CELL("address",E128), "\$([A-Z]+)\$[0-9]+"))</f>
        <v/>
      </c>
      <c r="F128" s="7" t="str" cm="1">
        <f t="array" aca="1" ref="F128" ca="1">IFERROR(IF(OR('Raw Data'!F128="",LEN(TRIM('Raw Data'!F128))=0),"",IF(AND(ISNUMBER('Raw Data'!F128), IFERROR('Raw Data'!F128 = ROUND('Raw Data'!F128, 2),FALSE)),"",_xlfn.REGEXEXTRACT(CELL("address",F128), "\$([A-Z]+)\$[0-9]+"))),_xlfn.REGEXEXTRACT(CELL("address",F128), "\$([A-Z]+)\$[0-9]+"))</f>
        <v/>
      </c>
      <c r="G128" s="7" t="str" cm="1">
        <f t="array" aca="1" ref="G128" ca="1">IFERROR(IF(OR('Raw Data'!G128="",LEN(TRIM('Raw Data'!G128))=0),"",IF(AND(ISNUMBER('Raw Data'!G128), IFERROR('Raw Data'!G128 = ROUND('Raw Data'!G128, 2),FALSE)),"",_xlfn.REGEXEXTRACT(CELL("address",G128), "\$([A-Z]+)\$[0-9]+"))),_xlfn.REGEXEXTRACT(CELL("address",G128), "\$([A-Z]+)\$[0-9]+"))</f>
        <v/>
      </c>
      <c r="H128" s="7" t="str" cm="1">
        <f t="array" aca="1" ref="H128" ca="1">IFERROR(IF(OR('Raw Data'!H128="",LEN(TRIM('Raw Data'!H128))=0),"",IF(AND(ISNUMBER('Raw Data'!H128), IFERROR('Raw Data'!H128 = ROUND('Raw Data'!H128, 2),FALSE)),"",_xlfn.REGEXEXTRACT(CELL("address",H128), "\$([A-Z]+)\$[0-9]+"))),_xlfn.REGEXEXTRACT(CELL("address",H128), "\$([A-Z]+)\$[0-9]+"))</f>
        <v/>
      </c>
      <c r="I128" s="7" t="str" cm="1">
        <f t="array" aca="1" ref="I128" ca="1">IFERROR(IF(OR('Raw Data'!I128="",LEN(TRIM('Raw Data'!I128))=0),"",IF(AND(ISNUMBER('Raw Data'!I128), IFERROR('Raw Data'!I128 = ROUND('Raw Data'!I128, 2),FALSE)),"",_xlfn.REGEXEXTRACT(CELL("address",I128), "\$([A-Z]+)\$[0-9]+"))),_xlfn.REGEXEXTRACT(CELL("address",I128), "\$([A-Z]+)\$[0-9]+"))</f>
        <v/>
      </c>
      <c r="J128" s="7" t="str" cm="1">
        <f t="array" aca="1" ref="J128" ca="1">IFERROR(IF(OR('Raw Data'!J128="",LEN(TRIM('Raw Data'!J128))=0),"",IF(AND(ISNUMBER('Raw Data'!J128), IFERROR('Raw Data'!J128 = ROUND('Raw Data'!J128, 2),FALSE)),"",_xlfn.REGEXEXTRACT(CELL("address",J128), "\$([A-Z]+)\$[0-9]+"))),_xlfn.REGEXEXTRACT(CELL("address",J128), "\$([A-Z]+)\$[0-9]+"))</f>
        <v/>
      </c>
      <c r="K128" s="7" t="str" cm="1">
        <f t="array" aca="1" ref="K128" ca="1">IFERROR(IF(OR('Raw Data'!K128="",LEN(TRIM('Raw Data'!K128))=0),"",IF(AND(ISNUMBER('Raw Data'!K128), IFERROR('Raw Data'!K128 = ROUND('Raw Data'!K128, 2),FALSE)),"",_xlfn.REGEXEXTRACT(CELL("address",K128), "\$([A-Z]+)\$[0-9]+"))),_xlfn.REGEXEXTRACT(CELL("address",K128), "\$([A-Z]+)\$[0-9]+"))</f>
        <v/>
      </c>
      <c r="L128" s="7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7" t="str" cm="1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7" t="str" cm="1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  <c r="O128" s="7" t="str" cm="1">
        <f t="array" aca="1" ref="O128" ca="1">IFERROR(IF(OR('Raw Data'!O128="",LEN(TRIM('Raw Data'!O128))=0),"",IF(AND(ISNUMBER('Raw Data'!O128), IFERROR('Raw Data'!O128 = ROUND('Raw Data'!O128, 2),FALSE)),"",_xlfn.REGEXEXTRACT(CELL("address",O128), "\$([A-Z]+)\$[0-9]+"))),_xlfn.REGEXEXTRACT(CELL("address",O128), "\$([A-Z]+)\$[0-9]+"))</f>
        <v/>
      </c>
      <c r="P128" s="7" t="str" cm="1">
        <f t="array" aca="1" ref="P128" ca="1">IFERROR(IF(OR('Raw Data'!P128="",LEN(TRIM('Raw Data'!P128))=0),"",IF(AND(ISNUMBER('Raw Data'!P128), IFERROR('Raw Data'!P128 = ROUND('Raw Data'!P128, 2),FALSE)),"",_xlfn.REGEXEXTRACT(CELL("address",P128), "\$([A-Z]+)\$[0-9]+"))),_xlfn.REGEXEXTRACT(CELL("address",P128), "\$([A-Z]+)\$[0-9]+"))</f>
        <v/>
      </c>
      <c r="Q128" s="7" t="str" cm="1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7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7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7" t="str" cm="1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7" t="str" cm="1">
        <f t="array" aca="1" ref="U128" ca="1">IFERROR(IF(OR('Raw Data'!U128="",LEN(TRIM('Raw Data'!U128))=0),"",IF(AND(ISNUMBER('Raw Data'!U128), IFERROR('Raw Data'!U128 = ROUND('Raw Data'!U128, 2),FALSE)),"",_xlfn.REGEXEXTRACT(CELL("address",U128), "\$([A-Z]+)\$[0-9]+"))),_xlfn.REGEXEXTRACT(CELL("address",U128), "\$([A-Z]+)\$[0-9]+"))</f>
        <v/>
      </c>
      <c r="V128" s="7" t="str" cm="1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7" t="str" cm="1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7" t="str" cm="1">
        <f t="array" aca="1" ref="X128" ca="1">IFERROR(IF(OR('Raw Data'!X128="",LEN(TRIM('Raw Data'!X128))=0),"",IF(AND(ISNUMBER('Raw Data'!X128), IFERROR('Raw Data'!X128 = ROUND('Raw Data'!X128, 2),FALSE)),"",_xlfn.REGEXEXTRACT(CELL("address",X128), "\$([A-Z]+)\$[0-9]+"))),_xlfn.REGEXEXTRACT(CELL("address",X128), "\$([A-Z]+)\$[0-9]+"))</f>
        <v/>
      </c>
      <c r="Y128" s="7" t="str" cm="1">
        <f t="array" aca="1" ref="Y128" ca="1">IFERROR(IF(OR('Raw Data'!Y128="",LEN(TRIM('Raw Data'!Y128))=0),"",IF(AND(ISNUMBER('Raw Data'!Y128), IFERROR('Raw Data'!Y128 = ROUND('Raw Data'!Y128, 2),FALSE)),"",_xlfn.REGEXEXTRACT(CELL("address",Y128), "\$([A-Z]+)\$[0-9]+"))),_xlfn.REGEXEXTRACT(CELL("address",Y128), "\$([A-Z]+)\$[0-9]+"))</f>
        <v/>
      </c>
      <c r="Z128" s="7" t="str" cm="1">
        <f t="array" aca="1" ref="Z128" ca="1">IFERROR(IF(OR('Raw Data'!Z128="",LEN(TRIM('Raw Data'!Z128))=0),"",IF(AND(ISNUMBER('Raw Data'!Z128), IFERROR('Raw Data'!Z128 = ROUND('Raw Data'!Z128, 2),FALSE)),"",_xlfn.REGEXEXTRACT(CELL("address",Z128), "\$([A-Z]+)\$[0-9]+"))),_xlfn.REGEXEXTRACT(CELL("address",Z128), "\$([A-Z]+)\$[0-9]+"))</f>
        <v/>
      </c>
      <c r="AA128" s="7" t="str" cm="1">
        <f t="array" aca="1" ref="AA128" ca="1">IFERROR(IF(OR('Raw Data'!AA128="",LEN(TRIM('Raw Data'!AA128))=0),"",IF(AND(ISNUMBER('Raw Data'!AA128), IFERROR('Raw Data'!AA128 = ROUND('Raw Data'!AA128, 2),FALSE)),"",_xlfn.REGEXEXTRACT(CELL("address",AA128), "\$([A-Z]+)\$[0-9]+"))),_xlfn.REGEXEXTRACT(CELL("address",AA128), "\$([A-Z]+)\$[0-9]+"))</f>
        <v/>
      </c>
      <c r="AB128" s="7" t="str" cm="1">
        <f t="array" aca="1" ref="AB128" ca="1">IFERROR(IF(OR('Raw Data'!AB128="",LEN(TRIM('Raw Data'!AB128))=0),"",IF(AND(ISNUMBER('Raw Data'!AB128), IFERROR('Raw Data'!AB128 = ROUND('Raw Data'!AB128, 2),FALSE)),"",_xlfn.REGEXEXTRACT(CELL("address",AB128), "\$([A-Z]+)\$[0-9]+"))),_xlfn.REGEXEXTRACT(CELL("address",AB128), "\$([A-Z]+)\$[0-9]+"))</f>
        <v/>
      </c>
    </row>
    <row r="129" spans="2:28" x14ac:dyDescent="0.25">
      <c r="B129" s="7" t="str" cm="1">
        <f t="array" aca="1" ref="B129" ca="1">IFERROR(IF(OR('Raw Data'!B129="",LEN(TRIM('Raw Data'!B129))=0),"",IF(AND(LEN('Raw Data'!B129) &lt;= 255,LEN('Raw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20,LEN('Raw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Data'!D129))=0),"",IF(AND(ISNUMBER('Raw Data'!D129),'Raw Data'!D129&gt;=Configuration!$D$2),"",_xlfn.REGEXEXTRACT(CELL("address",'Raw Data'!D129),"\$([A-Z]+)\$[0-9]+"))),_xlfn.REGEXEXTRACT(CELL("address",D129), "\$([A-Z]+)\$[0-9]+"))</f>
        <v/>
      </c>
      <c r="E129" s="7" t="str" cm="1">
        <f t="array" aca="1" ref="E129" ca="1">IFERROR(IF(OR('Raw Data'!E129="",LEN(TRIM('Raw Data'!E129))=0),"",IF(AND(ISNUMBER('Raw Data'!E129), IFERROR('Raw Data'!E129 = ROUND('Raw Data'!E129, 2),FALSE)),"",_xlfn.REGEXEXTRACT(CELL("address",E129), "\$([A-Z]+)\$[0-9]+"))),_xlfn.REGEXEXTRACT(CELL("address",E129), "\$([A-Z]+)\$[0-9]+"))</f>
        <v/>
      </c>
      <c r="F129" s="7" t="str" cm="1">
        <f t="array" aca="1" ref="F129" ca="1">IFERROR(IF(OR('Raw Data'!F129="",LEN(TRIM('Raw Data'!F129))=0),"",IF(AND(ISNUMBER('Raw Data'!F129), IFERROR('Raw Data'!F129 = ROUND('Raw Data'!F129, 2),FALSE)),"",_xlfn.REGEXEXTRACT(CELL("address",F129), "\$([A-Z]+)\$[0-9]+"))),_xlfn.REGEXEXTRACT(CELL("address",F129), "\$([A-Z]+)\$[0-9]+"))</f>
        <v/>
      </c>
      <c r="G129" s="7" t="str" cm="1">
        <f t="array" aca="1" ref="G129" ca="1">IFERROR(IF(OR('Raw Data'!G129="",LEN(TRIM('Raw Data'!G129))=0),"",IF(AND(ISNUMBER('Raw Data'!G129), IFERROR('Raw Data'!G129 = ROUND('Raw Data'!G129, 2),FALSE)),"",_xlfn.REGEXEXTRACT(CELL("address",G129), "\$([A-Z]+)\$[0-9]+"))),_xlfn.REGEXEXTRACT(CELL("address",G129), "\$([A-Z]+)\$[0-9]+"))</f>
        <v/>
      </c>
      <c r="H129" s="7" t="str" cm="1">
        <f t="array" aca="1" ref="H129" ca="1">IFERROR(IF(OR('Raw Data'!H129="",LEN(TRIM('Raw Data'!H129))=0),"",IF(AND(ISNUMBER('Raw Data'!H129), IFERROR('Raw Data'!H129 = ROUND('Raw Data'!H129, 2),FALSE)),"",_xlfn.REGEXEXTRACT(CELL("address",H129), "\$([A-Z]+)\$[0-9]+"))),_xlfn.REGEXEXTRACT(CELL("address",H129), "\$([A-Z]+)\$[0-9]+"))</f>
        <v/>
      </c>
      <c r="I129" s="7" t="str" cm="1">
        <f t="array" aca="1" ref="I129" ca="1">IFERROR(IF(OR('Raw Data'!I129="",LEN(TRIM('Raw Data'!I129))=0),"",IF(AND(ISNUMBER('Raw Data'!I129), IFERROR('Raw Data'!I129 = ROUND('Raw Data'!I129, 2),FALSE)),"",_xlfn.REGEXEXTRACT(CELL("address",I129), "\$([A-Z]+)\$[0-9]+"))),_xlfn.REGEXEXTRACT(CELL("address",I129), "\$([A-Z]+)\$[0-9]+"))</f>
        <v/>
      </c>
      <c r="J129" s="7" t="str" cm="1">
        <f t="array" aca="1" ref="J129" ca="1">IFERROR(IF(OR('Raw Data'!J129="",LEN(TRIM('Raw Data'!J129))=0),"",IF(AND(ISNUMBER('Raw Data'!J129), IFERROR('Raw Data'!J129 = ROUND('Raw Data'!J129, 2),FALSE)),"",_xlfn.REGEXEXTRACT(CELL("address",J129), "\$([A-Z]+)\$[0-9]+"))),_xlfn.REGEXEXTRACT(CELL("address",J129), "\$([A-Z]+)\$[0-9]+"))</f>
        <v/>
      </c>
      <c r="K129" s="7" t="str" cm="1">
        <f t="array" aca="1" ref="K129" ca="1">IFERROR(IF(OR('Raw Data'!K129="",LEN(TRIM('Raw Data'!K129))=0),"",IF(AND(ISNUMBER('Raw Data'!K129), IFERROR('Raw Data'!K129 = ROUND('Raw Data'!K129, 2),FALSE)),"",_xlfn.REGEXEXTRACT(CELL("address",K129), "\$([A-Z]+)\$[0-9]+"))),_xlfn.REGEXEXTRACT(CELL("address",K129), "\$([A-Z]+)\$[0-9]+"))</f>
        <v/>
      </c>
      <c r="L129" s="7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7" t="str" cm="1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7" t="str" cm="1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  <c r="O129" s="7" t="str" cm="1">
        <f t="array" aca="1" ref="O129" ca="1">IFERROR(IF(OR('Raw Data'!O129="",LEN(TRIM('Raw Data'!O129))=0),"",IF(AND(ISNUMBER('Raw Data'!O129), IFERROR('Raw Data'!O129 = ROUND('Raw Data'!O129, 2),FALSE)),"",_xlfn.REGEXEXTRACT(CELL("address",O129), "\$([A-Z]+)\$[0-9]+"))),_xlfn.REGEXEXTRACT(CELL("address",O129), "\$([A-Z]+)\$[0-9]+"))</f>
        <v/>
      </c>
      <c r="P129" s="7" t="str" cm="1">
        <f t="array" aca="1" ref="P129" ca="1">IFERROR(IF(OR('Raw Data'!P129="",LEN(TRIM('Raw Data'!P129))=0),"",IF(AND(ISNUMBER('Raw Data'!P129), IFERROR('Raw Data'!P129 = ROUND('Raw Data'!P129, 2),FALSE)),"",_xlfn.REGEXEXTRACT(CELL("address",P129), "\$([A-Z]+)\$[0-9]+"))),_xlfn.REGEXEXTRACT(CELL("address",P129), "\$([A-Z]+)\$[0-9]+"))</f>
        <v/>
      </c>
      <c r="Q129" s="7" t="str" cm="1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7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7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7" t="str" cm="1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7" t="str" cm="1">
        <f t="array" aca="1" ref="U129" ca="1">IFERROR(IF(OR('Raw Data'!U129="",LEN(TRIM('Raw Data'!U129))=0),"",IF(AND(ISNUMBER('Raw Data'!U129), IFERROR('Raw Data'!U129 = ROUND('Raw Data'!U129, 2),FALSE)),"",_xlfn.REGEXEXTRACT(CELL("address",U129), "\$([A-Z]+)\$[0-9]+"))),_xlfn.REGEXEXTRACT(CELL("address",U129), "\$([A-Z]+)\$[0-9]+"))</f>
        <v/>
      </c>
      <c r="V129" s="7" t="str" cm="1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7" t="str" cm="1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7" t="str" cm="1">
        <f t="array" aca="1" ref="X129" ca="1">IFERROR(IF(OR('Raw Data'!X129="",LEN(TRIM('Raw Data'!X129))=0),"",IF(AND(ISNUMBER('Raw Data'!X129), IFERROR('Raw Data'!X129 = ROUND('Raw Data'!X129, 2),FALSE)),"",_xlfn.REGEXEXTRACT(CELL("address",X129), "\$([A-Z]+)\$[0-9]+"))),_xlfn.REGEXEXTRACT(CELL("address",X129), "\$([A-Z]+)\$[0-9]+"))</f>
        <v/>
      </c>
      <c r="Y129" s="7" t="str" cm="1">
        <f t="array" aca="1" ref="Y129" ca="1">IFERROR(IF(OR('Raw Data'!Y129="",LEN(TRIM('Raw Data'!Y129))=0),"",IF(AND(ISNUMBER('Raw Data'!Y129), IFERROR('Raw Data'!Y129 = ROUND('Raw Data'!Y129, 2),FALSE)),"",_xlfn.REGEXEXTRACT(CELL("address",Y129), "\$([A-Z]+)\$[0-9]+"))),_xlfn.REGEXEXTRACT(CELL("address",Y129), "\$([A-Z]+)\$[0-9]+"))</f>
        <v/>
      </c>
      <c r="Z129" s="7" t="str" cm="1">
        <f t="array" aca="1" ref="Z129" ca="1">IFERROR(IF(OR('Raw Data'!Z129="",LEN(TRIM('Raw Data'!Z129))=0),"",IF(AND(ISNUMBER('Raw Data'!Z129), IFERROR('Raw Data'!Z129 = ROUND('Raw Data'!Z129, 2),FALSE)),"",_xlfn.REGEXEXTRACT(CELL("address",Z129), "\$([A-Z]+)\$[0-9]+"))),_xlfn.REGEXEXTRACT(CELL("address",Z129), "\$([A-Z]+)\$[0-9]+"))</f>
        <v/>
      </c>
      <c r="AA129" s="7" t="str" cm="1">
        <f t="array" aca="1" ref="AA129" ca="1">IFERROR(IF(OR('Raw Data'!AA129="",LEN(TRIM('Raw Data'!AA129))=0),"",IF(AND(ISNUMBER('Raw Data'!AA129), IFERROR('Raw Data'!AA129 = ROUND('Raw Data'!AA129, 2),FALSE)),"",_xlfn.REGEXEXTRACT(CELL("address",AA129), "\$([A-Z]+)\$[0-9]+"))),_xlfn.REGEXEXTRACT(CELL("address",AA129), "\$([A-Z]+)\$[0-9]+"))</f>
        <v/>
      </c>
      <c r="AB129" s="7" t="str" cm="1">
        <f t="array" aca="1" ref="AB129" ca="1">IFERROR(IF(OR('Raw Data'!AB129="",LEN(TRIM('Raw Data'!AB129))=0),"",IF(AND(ISNUMBER('Raw Data'!AB129), IFERROR('Raw Data'!AB129 = ROUND('Raw Data'!AB129, 2),FALSE)),"",_xlfn.REGEXEXTRACT(CELL("address",AB129), "\$([A-Z]+)\$[0-9]+"))),_xlfn.REGEXEXTRACT(CELL("address",AB129), "\$([A-Z]+)\$[0-9]+"))</f>
        <v/>
      </c>
    </row>
    <row r="130" spans="2:28" x14ac:dyDescent="0.25">
      <c r="B130" s="7" t="str" cm="1">
        <f t="array" aca="1" ref="B130" ca="1">IFERROR(IF(OR('Raw Data'!B130="",LEN(TRIM('Raw Data'!B130))=0),"",IF(AND(LEN('Raw Data'!B130) &lt;= 255,LEN('Raw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20,LEN('Raw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Data'!D130))=0),"",IF(AND(ISNUMBER('Raw Data'!D130),'Raw Data'!D130&gt;=Configuration!$D$2),"",_xlfn.REGEXEXTRACT(CELL("address",'Raw Data'!D130),"\$([A-Z]+)\$[0-9]+"))),_xlfn.REGEXEXTRACT(CELL("address",D130), "\$([A-Z]+)\$[0-9]+"))</f>
        <v/>
      </c>
      <c r="E130" s="7" t="str" cm="1">
        <f t="array" aca="1" ref="E130" ca="1">IFERROR(IF(OR('Raw Data'!E130="",LEN(TRIM('Raw Data'!E130))=0),"",IF(AND(ISNUMBER('Raw Data'!E130), IFERROR('Raw Data'!E130 = ROUND('Raw Data'!E130, 2),FALSE)),"",_xlfn.REGEXEXTRACT(CELL("address",E130), "\$([A-Z]+)\$[0-9]+"))),_xlfn.REGEXEXTRACT(CELL("address",E130), "\$([A-Z]+)\$[0-9]+"))</f>
        <v/>
      </c>
      <c r="F130" s="7" t="str" cm="1">
        <f t="array" aca="1" ref="F130" ca="1">IFERROR(IF(OR('Raw Data'!F130="",LEN(TRIM('Raw Data'!F130))=0),"",IF(AND(ISNUMBER('Raw Data'!F130), IFERROR('Raw Data'!F130 = ROUND('Raw Data'!F130, 2),FALSE)),"",_xlfn.REGEXEXTRACT(CELL("address",F130), "\$([A-Z]+)\$[0-9]+"))),_xlfn.REGEXEXTRACT(CELL("address",F130), "\$([A-Z]+)\$[0-9]+"))</f>
        <v/>
      </c>
      <c r="G130" s="7" t="str" cm="1">
        <f t="array" aca="1" ref="G130" ca="1">IFERROR(IF(OR('Raw Data'!G130="",LEN(TRIM('Raw Data'!G130))=0),"",IF(AND(ISNUMBER('Raw Data'!G130), IFERROR('Raw Data'!G130 = ROUND('Raw Data'!G130, 2),FALSE)),"",_xlfn.REGEXEXTRACT(CELL("address",G130), "\$([A-Z]+)\$[0-9]+"))),_xlfn.REGEXEXTRACT(CELL("address",G130), "\$([A-Z]+)\$[0-9]+"))</f>
        <v/>
      </c>
      <c r="H130" s="7" t="str" cm="1">
        <f t="array" aca="1" ref="H130" ca="1">IFERROR(IF(OR('Raw Data'!H130="",LEN(TRIM('Raw Data'!H130))=0),"",IF(AND(ISNUMBER('Raw Data'!H130), IFERROR('Raw Data'!H130 = ROUND('Raw Data'!H130, 2),FALSE)),"",_xlfn.REGEXEXTRACT(CELL("address",H130), "\$([A-Z]+)\$[0-9]+"))),_xlfn.REGEXEXTRACT(CELL("address",H130), "\$([A-Z]+)\$[0-9]+"))</f>
        <v/>
      </c>
      <c r="I130" s="7" t="str" cm="1">
        <f t="array" aca="1" ref="I130" ca="1">IFERROR(IF(OR('Raw Data'!I130="",LEN(TRIM('Raw Data'!I130))=0),"",IF(AND(ISNUMBER('Raw Data'!I130), IFERROR('Raw Data'!I130 = ROUND('Raw Data'!I130, 2),FALSE)),"",_xlfn.REGEXEXTRACT(CELL("address",I130), "\$([A-Z]+)\$[0-9]+"))),_xlfn.REGEXEXTRACT(CELL("address",I130), "\$([A-Z]+)\$[0-9]+"))</f>
        <v/>
      </c>
      <c r="J130" s="7" t="str" cm="1">
        <f t="array" aca="1" ref="J130" ca="1">IFERROR(IF(OR('Raw Data'!J130="",LEN(TRIM('Raw Data'!J130))=0),"",IF(AND(ISNUMBER('Raw Data'!J130), IFERROR('Raw Data'!J130 = ROUND('Raw Data'!J130, 2),FALSE)),"",_xlfn.REGEXEXTRACT(CELL("address",J130), "\$([A-Z]+)\$[0-9]+"))),_xlfn.REGEXEXTRACT(CELL("address",J130), "\$([A-Z]+)\$[0-9]+"))</f>
        <v/>
      </c>
      <c r="K130" s="7" t="str" cm="1">
        <f t="array" aca="1" ref="K130" ca="1">IFERROR(IF(OR('Raw Data'!K130="",LEN(TRIM('Raw Data'!K130))=0),"",IF(AND(ISNUMBER('Raw Data'!K130), IFERROR('Raw Data'!K130 = ROUND('Raw Data'!K130, 2),FALSE)),"",_xlfn.REGEXEXTRACT(CELL("address",K130), "\$([A-Z]+)\$[0-9]+"))),_xlfn.REGEXEXTRACT(CELL("address",K130), "\$([A-Z]+)\$[0-9]+"))</f>
        <v/>
      </c>
      <c r="L130" s="7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7" t="str" cm="1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7" t="str" cm="1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  <c r="O130" s="7" t="str" cm="1">
        <f t="array" aca="1" ref="O130" ca="1">IFERROR(IF(OR('Raw Data'!O130="",LEN(TRIM('Raw Data'!O130))=0),"",IF(AND(ISNUMBER('Raw Data'!O130), IFERROR('Raw Data'!O130 = ROUND('Raw Data'!O130, 2),FALSE)),"",_xlfn.REGEXEXTRACT(CELL("address",O130), "\$([A-Z]+)\$[0-9]+"))),_xlfn.REGEXEXTRACT(CELL("address",O130), "\$([A-Z]+)\$[0-9]+"))</f>
        <v/>
      </c>
      <c r="P130" s="7" t="str" cm="1">
        <f t="array" aca="1" ref="P130" ca="1">IFERROR(IF(OR('Raw Data'!P130="",LEN(TRIM('Raw Data'!P130))=0),"",IF(AND(ISNUMBER('Raw Data'!P130), IFERROR('Raw Data'!P130 = ROUND('Raw Data'!P130, 2),FALSE)),"",_xlfn.REGEXEXTRACT(CELL("address",P130), "\$([A-Z]+)\$[0-9]+"))),_xlfn.REGEXEXTRACT(CELL("address",P130), "\$([A-Z]+)\$[0-9]+"))</f>
        <v/>
      </c>
      <c r="Q130" s="7" t="str" cm="1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7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7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7" t="str" cm="1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7" t="str" cm="1">
        <f t="array" aca="1" ref="U130" ca="1">IFERROR(IF(OR('Raw Data'!U130="",LEN(TRIM('Raw Data'!U130))=0),"",IF(AND(ISNUMBER('Raw Data'!U130), IFERROR('Raw Data'!U130 = ROUND('Raw Data'!U130, 2),FALSE)),"",_xlfn.REGEXEXTRACT(CELL("address",U130), "\$([A-Z]+)\$[0-9]+"))),_xlfn.REGEXEXTRACT(CELL("address",U130), "\$([A-Z]+)\$[0-9]+"))</f>
        <v/>
      </c>
      <c r="V130" s="7" t="str" cm="1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7" t="str" cm="1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7" t="str" cm="1">
        <f t="array" aca="1" ref="X130" ca="1">IFERROR(IF(OR('Raw Data'!X130="",LEN(TRIM('Raw Data'!X130))=0),"",IF(AND(ISNUMBER('Raw Data'!X130), IFERROR('Raw Data'!X130 = ROUND('Raw Data'!X130, 2),FALSE)),"",_xlfn.REGEXEXTRACT(CELL("address",X130), "\$([A-Z]+)\$[0-9]+"))),_xlfn.REGEXEXTRACT(CELL("address",X130), "\$([A-Z]+)\$[0-9]+"))</f>
        <v/>
      </c>
      <c r="Y130" s="7" t="str" cm="1">
        <f t="array" aca="1" ref="Y130" ca="1">IFERROR(IF(OR('Raw Data'!Y130="",LEN(TRIM('Raw Data'!Y130))=0),"",IF(AND(ISNUMBER('Raw Data'!Y130), IFERROR('Raw Data'!Y130 = ROUND('Raw Data'!Y130, 2),FALSE)),"",_xlfn.REGEXEXTRACT(CELL("address",Y130), "\$([A-Z]+)\$[0-9]+"))),_xlfn.REGEXEXTRACT(CELL("address",Y130), "\$([A-Z]+)\$[0-9]+"))</f>
        <v/>
      </c>
      <c r="Z130" s="7" t="str" cm="1">
        <f t="array" aca="1" ref="Z130" ca="1">IFERROR(IF(OR('Raw Data'!Z130="",LEN(TRIM('Raw Data'!Z130))=0),"",IF(AND(ISNUMBER('Raw Data'!Z130), IFERROR('Raw Data'!Z130 = ROUND('Raw Data'!Z130, 2),FALSE)),"",_xlfn.REGEXEXTRACT(CELL("address",Z130), "\$([A-Z]+)\$[0-9]+"))),_xlfn.REGEXEXTRACT(CELL("address",Z130), "\$([A-Z]+)\$[0-9]+"))</f>
        <v/>
      </c>
      <c r="AA130" s="7" t="str" cm="1">
        <f t="array" aca="1" ref="AA130" ca="1">IFERROR(IF(OR('Raw Data'!AA130="",LEN(TRIM('Raw Data'!AA130))=0),"",IF(AND(ISNUMBER('Raw Data'!AA130), IFERROR('Raw Data'!AA130 = ROUND('Raw Data'!AA130, 2),FALSE)),"",_xlfn.REGEXEXTRACT(CELL("address",AA130), "\$([A-Z]+)\$[0-9]+"))),_xlfn.REGEXEXTRACT(CELL("address",AA130), "\$([A-Z]+)\$[0-9]+"))</f>
        <v/>
      </c>
      <c r="AB130" s="7" t="str" cm="1">
        <f t="array" aca="1" ref="AB130" ca="1">IFERROR(IF(OR('Raw Data'!AB130="",LEN(TRIM('Raw Data'!AB130))=0),"",IF(AND(ISNUMBER('Raw Data'!AB130), IFERROR('Raw Data'!AB130 = ROUND('Raw Data'!AB130, 2),FALSE)),"",_xlfn.REGEXEXTRACT(CELL("address",AB130), "\$([A-Z]+)\$[0-9]+"))),_xlfn.REGEXEXTRACT(CELL("address",AB130), "\$([A-Z]+)\$[0-9]+"))</f>
        <v/>
      </c>
    </row>
    <row r="131" spans="2:28" x14ac:dyDescent="0.25">
      <c r="B131" s="7" t="str" cm="1">
        <f t="array" aca="1" ref="B131" ca="1">IFERROR(IF(OR('Raw Data'!B131="",LEN(TRIM('Raw Data'!B131))=0),"",IF(AND(LEN('Raw Data'!B131) &lt;= 255,LEN('Raw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20,LEN('Raw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Data'!D131))=0),"",IF(AND(ISNUMBER('Raw Data'!D131),'Raw Data'!D131&gt;=Configuration!$D$2),"",_xlfn.REGEXEXTRACT(CELL("address",'Raw Data'!D131),"\$([A-Z]+)\$[0-9]+"))),_xlfn.REGEXEXTRACT(CELL("address",D131), "\$([A-Z]+)\$[0-9]+"))</f>
        <v/>
      </c>
      <c r="E131" s="7" t="str" cm="1">
        <f t="array" aca="1" ref="E131" ca="1">IFERROR(IF(OR('Raw Data'!E131="",LEN(TRIM('Raw Data'!E131))=0),"",IF(AND(ISNUMBER('Raw Data'!E131), IFERROR('Raw Data'!E131 = ROUND('Raw Data'!E131, 2),FALSE)),"",_xlfn.REGEXEXTRACT(CELL("address",E131), "\$([A-Z]+)\$[0-9]+"))),_xlfn.REGEXEXTRACT(CELL("address",E131), "\$([A-Z]+)\$[0-9]+"))</f>
        <v/>
      </c>
      <c r="F131" s="7" t="str" cm="1">
        <f t="array" aca="1" ref="F131" ca="1">IFERROR(IF(OR('Raw Data'!F131="",LEN(TRIM('Raw Data'!F131))=0),"",IF(AND(ISNUMBER('Raw Data'!F131), IFERROR('Raw Data'!F131 = ROUND('Raw Data'!F131, 2),FALSE)),"",_xlfn.REGEXEXTRACT(CELL("address",F131), "\$([A-Z]+)\$[0-9]+"))),_xlfn.REGEXEXTRACT(CELL("address",F131), "\$([A-Z]+)\$[0-9]+"))</f>
        <v/>
      </c>
      <c r="G131" s="7" t="str" cm="1">
        <f t="array" aca="1" ref="G131" ca="1">IFERROR(IF(OR('Raw Data'!G131="",LEN(TRIM('Raw Data'!G131))=0),"",IF(AND(ISNUMBER('Raw Data'!G131), IFERROR('Raw Data'!G131 = ROUND('Raw Data'!G131, 2),FALSE)),"",_xlfn.REGEXEXTRACT(CELL("address",G131), "\$([A-Z]+)\$[0-9]+"))),_xlfn.REGEXEXTRACT(CELL("address",G131), "\$([A-Z]+)\$[0-9]+"))</f>
        <v/>
      </c>
      <c r="H131" s="7" t="str" cm="1">
        <f t="array" aca="1" ref="H131" ca="1">IFERROR(IF(OR('Raw Data'!H131="",LEN(TRIM('Raw Data'!H131))=0),"",IF(AND(ISNUMBER('Raw Data'!H131), IFERROR('Raw Data'!H131 = ROUND('Raw Data'!H131, 2),FALSE)),"",_xlfn.REGEXEXTRACT(CELL("address",H131), "\$([A-Z]+)\$[0-9]+"))),_xlfn.REGEXEXTRACT(CELL("address",H131), "\$([A-Z]+)\$[0-9]+"))</f>
        <v/>
      </c>
      <c r="I131" s="7" t="str" cm="1">
        <f t="array" aca="1" ref="I131" ca="1">IFERROR(IF(OR('Raw Data'!I131="",LEN(TRIM('Raw Data'!I131))=0),"",IF(AND(ISNUMBER('Raw Data'!I131), IFERROR('Raw Data'!I131 = ROUND('Raw Data'!I131, 2),FALSE)),"",_xlfn.REGEXEXTRACT(CELL("address",I131), "\$([A-Z]+)\$[0-9]+"))),_xlfn.REGEXEXTRACT(CELL("address",I131), "\$([A-Z]+)\$[0-9]+"))</f>
        <v/>
      </c>
      <c r="J131" s="7" t="str" cm="1">
        <f t="array" aca="1" ref="J131" ca="1">IFERROR(IF(OR('Raw Data'!J131="",LEN(TRIM('Raw Data'!J131))=0),"",IF(AND(ISNUMBER('Raw Data'!J131), IFERROR('Raw Data'!J131 = ROUND('Raw Data'!J131, 2),FALSE)),"",_xlfn.REGEXEXTRACT(CELL("address",J131), "\$([A-Z]+)\$[0-9]+"))),_xlfn.REGEXEXTRACT(CELL("address",J131), "\$([A-Z]+)\$[0-9]+"))</f>
        <v/>
      </c>
      <c r="K131" s="7" t="str" cm="1">
        <f t="array" aca="1" ref="K131" ca="1">IFERROR(IF(OR('Raw Data'!K131="",LEN(TRIM('Raw Data'!K131))=0),"",IF(AND(ISNUMBER('Raw Data'!K131), IFERROR('Raw Data'!K131 = ROUND('Raw Data'!K131, 2),FALSE)),"",_xlfn.REGEXEXTRACT(CELL("address",K131), "\$([A-Z]+)\$[0-9]+"))),_xlfn.REGEXEXTRACT(CELL("address",K131), "\$([A-Z]+)\$[0-9]+"))</f>
        <v/>
      </c>
      <c r="L131" s="7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7" t="str" cm="1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7" t="str" cm="1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  <c r="O131" s="7" t="str" cm="1">
        <f t="array" aca="1" ref="O131" ca="1">IFERROR(IF(OR('Raw Data'!O131="",LEN(TRIM('Raw Data'!O131))=0),"",IF(AND(ISNUMBER('Raw Data'!O131), IFERROR('Raw Data'!O131 = ROUND('Raw Data'!O131, 2),FALSE)),"",_xlfn.REGEXEXTRACT(CELL("address",O131), "\$([A-Z]+)\$[0-9]+"))),_xlfn.REGEXEXTRACT(CELL("address",O131), "\$([A-Z]+)\$[0-9]+"))</f>
        <v/>
      </c>
      <c r="P131" s="7" t="str" cm="1">
        <f t="array" aca="1" ref="P131" ca="1">IFERROR(IF(OR('Raw Data'!P131="",LEN(TRIM('Raw Data'!P131))=0),"",IF(AND(ISNUMBER('Raw Data'!P131), IFERROR('Raw Data'!P131 = ROUND('Raw Data'!P131, 2),FALSE)),"",_xlfn.REGEXEXTRACT(CELL("address",P131), "\$([A-Z]+)\$[0-9]+"))),_xlfn.REGEXEXTRACT(CELL("address",P131), "\$([A-Z]+)\$[0-9]+"))</f>
        <v/>
      </c>
      <c r="Q131" s="7" t="str" cm="1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7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7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7" t="str" cm="1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7" t="str" cm="1">
        <f t="array" aca="1" ref="U131" ca="1">IFERROR(IF(OR('Raw Data'!U131="",LEN(TRIM('Raw Data'!U131))=0),"",IF(AND(ISNUMBER('Raw Data'!U131), IFERROR('Raw Data'!U131 = ROUND('Raw Data'!U131, 2),FALSE)),"",_xlfn.REGEXEXTRACT(CELL("address",U131), "\$([A-Z]+)\$[0-9]+"))),_xlfn.REGEXEXTRACT(CELL("address",U131), "\$([A-Z]+)\$[0-9]+"))</f>
        <v/>
      </c>
      <c r="V131" s="7" t="str" cm="1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7" t="str" cm="1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7" t="str" cm="1">
        <f t="array" aca="1" ref="X131" ca="1">IFERROR(IF(OR('Raw Data'!X131="",LEN(TRIM('Raw Data'!X131))=0),"",IF(AND(ISNUMBER('Raw Data'!X131), IFERROR('Raw Data'!X131 = ROUND('Raw Data'!X131, 2),FALSE)),"",_xlfn.REGEXEXTRACT(CELL("address",X131), "\$([A-Z]+)\$[0-9]+"))),_xlfn.REGEXEXTRACT(CELL("address",X131), "\$([A-Z]+)\$[0-9]+"))</f>
        <v/>
      </c>
      <c r="Y131" s="7" t="str" cm="1">
        <f t="array" aca="1" ref="Y131" ca="1">IFERROR(IF(OR('Raw Data'!Y131="",LEN(TRIM('Raw Data'!Y131))=0),"",IF(AND(ISNUMBER('Raw Data'!Y131), IFERROR('Raw Data'!Y131 = ROUND('Raw Data'!Y131, 2),FALSE)),"",_xlfn.REGEXEXTRACT(CELL("address",Y131), "\$([A-Z]+)\$[0-9]+"))),_xlfn.REGEXEXTRACT(CELL("address",Y131), "\$([A-Z]+)\$[0-9]+"))</f>
        <v/>
      </c>
      <c r="Z131" s="7" t="str" cm="1">
        <f t="array" aca="1" ref="Z131" ca="1">IFERROR(IF(OR('Raw Data'!Z131="",LEN(TRIM('Raw Data'!Z131))=0),"",IF(AND(ISNUMBER('Raw Data'!Z131), IFERROR('Raw Data'!Z131 = ROUND('Raw Data'!Z131, 2),FALSE)),"",_xlfn.REGEXEXTRACT(CELL("address",Z131), "\$([A-Z]+)\$[0-9]+"))),_xlfn.REGEXEXTRACT(CELL("address",Z131), "\$([A-Z]+)\$[0-9]+"))</f>
        <v/>
      </c>
      <c r="AA131" s="7" t="str" cm="1">
        <f t="array" aca="1" ref="AA131" ca="1">IFERROR(IF(OR('Raw Data'!AA131="",LEN(TRIM('Raw Data'!AA131))=0),"",IF(AND(ISNUMBER('Raw Data'!AA131), IFERROR('Raw Data'!AA131 = ROUND('Raw Data'!AA131, 2),FALSE)),"",_xlfn.REGEXEXTRACT(CELL("address",AA131), "\$([A-Z]+)\$[0-9]+"))),_xlfn.REGEXEXTRACT(CELL("address",AA131), "\$([A-Z]+)\$[0-9]+"))</f>
        <v/>
      </c>
      <c r="AB131" s="7" t="str" cm="1">
        <f t="array" aca="1" ref="AB131" ca="1">IFERROR(IF(OR('Raw Data'!AB131="",LEN(TRIM('Raw Data'!AB131))=0),"",IF(AND(ISNUMBER('Raw Data'!AB131), IFERROR('Raw Data'!AB131 = ROUND('Raw Data'!AB131, 2),FALSE)),"",_xlfn.REGEXEXTRACT(CELL("address",AB131), "\$([A-Z]+)\$[0-9]+"))),_xlfn.REGEXEXTRACT(CELL("address",AB131), "\$([A-Z]+)\$[0-9]+"))</f>
        <v/>
      </c>
    </row>
    <row r="132" spans="2:28" x14ac:dyDescent="0.25">
      <c r="B132" s="7" t="str" cm="1">
        <f t="array" aca="1" ref="B132" ca="1">IFERROR(IF(OR('Raw Data'!B132="",LEN(TRIM('Raw Data'!B132))=0),"",IF(AND(LEN('Raw Data'!B132) &lt;= 255,LEN('Raw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20,LEN('Raw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Data'!D132))=0),"",IF(AND(ISNUMBER('Raw Data'!D132),'Raw Data'!D132&gt;=Configuration!$D$2),"",_xlfn.REGEXEXTRACT(CELL("address",'Raw Data'!D132),"\$([A-Z]+)\$[0-9]+"))),_xlfn.REGEXEXTRACT(CELL("address",D132), "\$([A-Z]+)\$[0-9]+"))</f>
        <v/>
      </c>
      <c r="E132" s="7" t="str" cm="1">
        <f t="array" aca="1" ref="E132" ca="1">IFERROR(IF(OR('Raw Data'!E132="",LEN(TRIM('Raw Data'!E132))=0),"",IF(AND(ISNUMBER('Raw Data'!E132), IFERROR('Raw Data'!E132 = ROUND('Raw Data'!E132, 2),FALSE)),"",_xlfn.REGEXEXTRACT(CELL("address",E132), "\$([A-Z]+)\$[0-9]+"))),_xlfn.REGEXEXTRACT(CELL("address",E132), "\$([A-Z]+)\$[0-9]+"))</f>
        <v/>
      </c>
      <c r="F132" s="7" t="str" cm="1">
        <f t="array" aca="1" ref="F132" ca="1">IFERROR(IF(OR('Raw Data'!F132="",LEN(TRIM('Raw Data'!F132))=0),"",IF(AND(ISNUMBER('Raw Data'!F132), IFERROR('Raw Data'!F132 = ROUND('Raw Data'!F132, 2),FALSE)),"",_xlfn.REGEXEXTRACT(CELL("address",F132), "\$([A-Z]+)\$[0-9]+"))),_xlfn.REGEXEXTRACT(CELL("address",F132), "\$([A-Z]+)\$[0-9]+"))</f>
        <v/>
      </c>
      <c r="G132" s="7" t="str" cm="1">
        <f t="array" aca="1" ref="G132" ca="1">IFERROR(IF(OR('Raw Data'!G132="",LEN(TRIM('Raw Data'!G132))=0),"",IF(AND(ISNUMBER('Raw Data'!G132), IFERROR('Raw Data'!G132 = ROUND('Raw Data'!G132, 2),FALSE)),"",_xlfn.REGEXEXTRACT(CELL("address",G132), "\$([A-Z]+)\$[0-9]+"))),_xlfn.REGEXEXTRACT(CELL("address",G132), "\$([A-Z]+)\$[0-9]+"))</f>
        <v/>
      </c>
      <c r="H132" s="7" t="str" cm="1">
        <f t="array" aca="1" ref="H132" ca="1">IFERROR(IF(OR('Raw Data'!H132="",LEN(TRIM('Raw Data'!H132))=0),"",IF(AND(ISNUMBER('Raw Data'!H132), IFERROR('Raw Data'!H132 = ROUND('Raw Data'!H132, 2),FALSE)),"",_xlfn.REGEXEXTRACT(CELL("address",H132), "\$([A-Z]+)\$[0-9]+"))),_xlfn.REGEXEXTRACT(CELL("address",H132), "\$([A-Z]+)\$[0-9]+"))</f>
        <v/>
      </c>
      <c r="I132" s="7" t="str" cm="1">
        <f t="array" aca="1" ref="I132" ca="1">IFERROR(IF(OR('Raw Data'!I132="",LEN(TRIM('Raw Data'!I132))=0),"",IF(AND(ISNUMBER('Raw Data'!I132), IFERROR('Raw Data'!I132 = ROUND('Raw Data'!I132, 2),FALSE)),"",_xlfn.REGEXEXTRACT(CELL("address",I132), "\$([A-Z]+)\$[0-9]+"))),_xlfn.REGEXEXTRACT(CELL("address",I132), "\$([A-Z]+)\$[0-9]+"))</f>
        <v/>
      </c>
      <c r="J132" s="7" t="str" cm="1">
        <f t="array" aca="1" ref="J132" ca="1">IFERROR(IF(OR('Raw Data'!J132="",LEN(TRIM('Raw Data'!J132))=0),"",IF(AND(ISNUMBER('Raw Data'!J132), IFERROR('Raw Data'!J132 = ROUND('Raw Data'!J132, 2),FALSE)),"",_xlfn.REGEXEXTRACT(CELL("address",J132), "\$([A-Z]+)\$[0-9]+"))),_xlfn.REGEXEXTRACT(CELL("address",J132), "\$([A-Z]+)\$[0-9]+"))</f>
        <v/>
      </c>
      <c r="K132" s="7" t="str" cm="1">
        <f t="array" aca="1" ref="K132" ca="1">IFERROR(IF(OR('Raw Data'!K132="",LEN(TRIM('Raw Data'!K132))=0),"",IF(AND(ISNUMBER('Raw Data'!K132), IFERROR('Raw Data'!K132 = ROUND('Raw Data'!K132, 2),FALSE)),"",_xlfn.REGEXEXTRACT(CELL("address",K132), "\$([A-Z]+)\$[0-9]+"))),_xlfn.REGEXEXTRACT(CELL("address",K132), "\$([A-Z]+)\$[0-9]+"))</f>
        <v/>
      </c>
      <c r="L132" s="7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7" t="str" cm="1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7" t="str" cm="1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  <c r="O132" s="7" t="str" cm="1">
        <f t="array" aca="1" ref="O132" ca="1">IFERROR(IF(OR('Raw Data'!O132="",LEN(TRIM('Raw Data'!O132))=0),"",IF(AND(ISNUMBER('Raw Data'!O132), IFERROR('Raw Data'!O132 = ROUND('Raw Data'!O132, 2),FALSE)),"",_xlfn.REGEXEXTRACT(CELL("address",O132), "\$([A-Z]+)\$[0-9]+"))),_xlfn.REGEXEXTRACT(CELL("address",O132), "\$([A-Z]+)\$[0-9]+"))</f>
        <v/>
      </c>
      <c r="P132" s="7" t="str" cm="1">
        <f t="array" aca="1" ref="P132" ca="1">IFERROR(IF(OR('Raw Data'!P132="",LEN(TRIM('Raw Data'!P132))=0),"",IF(AND(ISNUMBER('Raw Data'!P132), IFERROR('Raw Data'!P132 = ROUND('Raw Data'!P132, 2),FALSE)),"",_xlfn.REGEXEXTRACT(CELL("address",P132), "\$([A-Z]+)\$[0-9]+"))),_xlfn.REGEXEXTRACT(CELL("address",P132), "\$([A-Z]+)\$[0-9]+"))</f>
        <v/>
      </c>
      <c r="Q132" s="7" t="str" cm="1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7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7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7" t="str" cm="1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7" t="str" cm="1">
        <f t="array" aca="1" ref="U132" ca="1">IFERROR(IF(OR('Raw Data'!U132="",LEN(TRIM('Raw Data'!U132))=0),"",IF(AND(ISNUMBER('Raw Data'!U132), IFERROR('Raw Data'!U132 = ROUND('Raw Data'!U132, 2),FALSE)),"",_xlfn.REGEXEXTRACT(CELL("address",U132), "\$([A-Z]+)\$[0-9]+"))),_xlfn.REGEXEXTRACT(CELL("address",U132), "\$([A-Z]+)\$[0-9]+"))</f>
        <v/>
      </c>
      <c r="V132" s="7" t="str" cm="1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7" t="str" cm="1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7" t="str" cm="1">
        <f t="array" aca="1" ref="X132" ca="1">IFERROR(IF(OR('Raw Data'!X132="",LEN(TRIM('Raw Data'!X132))=0),"",IF(AND(ISNUMBER('Raw Data'!X132), IFERROR('Raw Data'!X132 = ROUND('Raw Data'!X132, 2),FALSE)),"",_xlfn.REGEXEXTRACT(CELL("address",X132), "\$([A-Z]+)\$[0-9]+"))),_xlfn.REGEXEXTRACT(CELL("address",X132), "\$([A-Z]+)\$[0-9]+"))</f>
        <v/>
      </c>
      <c r="Y132" s="7" t="str" cm="1">
        <f t="array" aca="1" ref="Y132" ca="1">IFERROR(IF(OR('Raw Data'!Y132="",LEN(TRIM('Raw Data'!Y132))=0),"",IF(AND(ISNUMBER('Raw Data'!Y132), IFERROR('Raw Data'!Y132 = ROUND('Raw Data'!Y132, 2),FALSE)),"",_xlfn.REGEXEXTRACT(CELL("address",Y132), "\$([A-Z]+)\$[0-9]+"))),_xlfn.REGEXEXTRACT(CELL("address",Y132), "\$([A-Z]+)\$[0-9]+"))</f>
        <v/>
      </c>
      <c r="Z132" s="7" t="str" cm="1">
        <f t="array" aca="1" ref="Z132" ca="1">IFERROR(IF(OR('Raw Data'!Z132="",LEN(TRIM('Raw Data'!Z132))=0),"",IF(AND(ISNUMBER('Raw Data'!Z132), IFERROR('Raw Data'!Z132 = ROUND('Raw Data'!Z132, 2),FALSE)),"",_xlfn.REGEXEXTRACT(CELL("address",Z132), "\$([A-Z]+)\$[0-9]+"))),_xlfn.REGEXEXTRACT(CELL("address",Z132), "\$([A-Z]+)\$[0-9]+"))</f>
        <v/>
      </c>
      <c r="AA132" s="7" t="str" cm="1">
        <f t="array" aca="1" ref="AA132" ca="1">IFERROR(IF(OR('Raw Data'!AA132="",LEN(TRIM('Raw Data'!AA132))=0),"",IF(AND(ISNUMBER('Raw Data'!AA132), IFERROR('Raw Data'!AA132 = ROUND('Raw Data'!AA132, 2),FALSE)),"",_xlfn.REGEXEXTRACT(CELL("address",AA132), "\$([A-Z]+)\$[0-9]+"))),_xlfn.REGEXEXTRACT(CELL("address",AA132), "\$([A-Z]+)\$[0-9]+"))</f>
        <v/>
      </c>
      <c r="AB132" s="7" t="str" cm="1">
        <f t="array" aca="1" ref="AB132" ca="1">IFERROR(IF(OR('Raw Data'!AB132="",LEN(TRIM('Raw Data'!AB132))=0),"",IF(AND(ISNUMBER('Raw Data'!AB132), IFERROR('Raw Data'!AB132 = ROUND('Raw Data'!AB132, 2),FALSE)),"",_xlfn.REGEXEXTRACT(CELL("address",AB132), "\$([A-Z]+)\$[0-9]+"))),_xlfn.REGEXEXTRACT(CELL("address",AB132), "\$([A-Z]+)\$[0-9]+"))</f>
        <v/>
      </c>
    </row>
    <row r="133" spans="2:28" x14ac:dyDescent="0.25">
      <c r="B133" s="7" t="str" cm="1">
        <f t="array" aca="1" ref="B133" ca="1">IFERROR(IF(OR('Raw Data'!B133="",LEN(TRIM('Raw Data'!B133))=0),"",IF(AND(LEN('Raw Data'!B133) &lt;= 255,LEN('Raw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20,LEN('Raw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Data'!D133))=0),"",IF(AND(ISNUMBER('Raw Data'!D133),'Raw Data'!D133&gt;=Configuration!$D$2),"",_xlfn.REGEXEXTRACT(CELL("address",'Raw Data'!D133),"\$([A-Z]+)\$[0-9]+"))),_xlfn.REGEXEXTRACT(CELL("address",D133), "\$([A-Z]+)\$[0-9]+"))</f>
        <v/>
      </c>
      <c r="E133" s="7" t="str" cm="1">
        <f t="array" aca="1" ref="E133" ca="1">IFERROR(IF(OR('Raw Data'!E133="",LEN(TRIM('Raw Data'!E133))=0),"",IF(AND(ISNUMBER('Raw Data'!E133), IFERROR('Raw Data'!E133 = ROUND('Raw Data'!E133, 2),FALSE)),"",_xlfn.REGEXEXTRACT(CELL("address",E133), "\$([A-Z]+)\$[0-9]+"))),_xlfn.REGEXEXTRACT(CELL("address",E133), "\$([A-Z]+)\$[0-9]+"))</f>
        <v/>
      </c>
      <c r="F133" s="7" t="str" cm="1">
        <f t="array" aca="1" ref="F133" ca="1">IFERROR(IF(OR('Raw Data'!F133="",LEN(TRIM('Raw Data'!F133))=0),"",IF(AND(ISNUMBER('Raw Data'!F133), IFERROR('Raw Data'!F133 = ROUND('Raw Data'!F133, 2),FALSE)),"",_xlfn.REGEXEXTRACT(CELL("address",F133), "\$([A-Z]+)\$[0-9]+"))),_xlfn.REGEXEXTRACT(CELL("address",F133), "\$([A-Z]+)\$[0-9]+"))</f>
        <v/>
      </c>
      <c r="G133" s="7" t="str" cm="1">
        <f t="array" aca="1" ref="G133" ca="1">IFERROR(IF(OR('Raw Data'!G133="",LEN(TRIM('Raw Data'!G133))=0),"",IF(AND(ISNUMBER('Raw Data'!G133), IFERROR('Raw Data'!G133 = ROUND('Raw Data'!G133, 2),FALSE)),"",_xlfn.REGEXEXTRACT(CELL("address",G133), "\$([A-Z]+)\$[0-9]+"))),_xlfn.REGEXEXTRACT(CELL("address",G133), "\$([A-Z]+)\$[0-9]+"))</f>
        <v/>
      </c>
      <c r="H133" s="7" t="str" cm="1">
        <f t="array" aca="1" ref="H133" ca="1">IFERROR(IF(OR('Raw Data'!H133="",LEN(TRIM('Raw Data'!H133))=0),"",IF(AND(ISNUMBER('Raw Data'!H133), IFERROR('Raw Data'!H133 = ROUND('Raw Data'!H133, 2),FALSE)),"",_xlfn.REGEXEXTRACT(CELL("address",H133), "\$([A-Z]+)\$[0-9]+"))),_xlfn.REGEXEXTRACT(CELL("address",H133), "\$([A-Z]+)\$[0-9]+"))</f>
        <v/>
      </c>
      <c r="I133" s="7" t="str" cm="1">
        <f t="array" aca="1" ref="I133" ca="1">IFERROR(IF(OR('Raw Data'!I133="",LEN(TRIM('Raw Data'!I133))=0),"",IF(AND(ISNUMBER('Raw Data'!I133), IFERROR('Raw Data'!I133 = ROUND('Raw Data'!I133, 2),FALSE)),"",_xlfn.REGEXEXTRACT(CELL("address",I133), "\$([A-Z]+)\$[0-9]+"))),_xlfn.REGEXEXTRACT(CELL("address",I133), "\$([A-Z]+)\$[0-9]+"))</f>
        <v/>
      </c>
      <c r="J133" s="7" t="str" cm="1">
        <f t="array" aca="1" ref="J133" ca="1">IFERROR(IF(OR('Raw Data'!J133="",LEN(TRIM('Raw Data'!J133))=0),"",IF(AND(ISNUMBER('Raw Data'!J133), IFERROR('Raw Data'!J133 = ROUND('Raw Data'!J133, 2),FALSE)),"",_xlfn.REGEXEXTRACT(CELL("address",J133), "\$([A-Z]+)\$[0-9]+"))),_xlfn.REGEXEXTRACT(CELL("address",J133), "\$([A-Z]+)\$[0-9]+"))</f>
        <v/>
      </c>
      <c r="K133" s="7" t="str" cm="1">
        <f t="array" aca="1" ref="K133" ca="1">IFERROR(IF(OR('Raw Data'!K133="",LEN(TRIM('Raw Data'!K133))=0),"",IF(AND(ISNUMBER('Raw Data'!K133), IFERROR('Raw Data'!K133 = ROUND('Raw Data'!K133, 2),FALSE)),"",_xlfn.REGEXEXTRACT(CELL("address",K133), "\$([A-Z]+)\$[0-9]+"))),_xlfn.REGEXEXTRACT(CELL("address",K133), "\$([A-Z]+)\$[0-9]+"))</f>
        <v/>
      </c>
      <c r="L133" s="7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7" t="str" cm="1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7" t="str" cm="1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  <c r="O133" s="7" t="str" cm="1">
        <f t="array" aca="1" ref="O133" ca="1">IFERROR(IF(OR('Raw Data'!O133="",LEN(TRIM('Raw Data'!O133))=0),"",IF(AND(ISNUMBER('Raw Data'!O133), IFERROR('Raw Data'!O133 = ROUND('Raw Data'!O133, 2),FALSE)),"",_xlfn.REGEXEXTRACT(CELL("address",O133), "\$([A-Z]+)\$[0-9]+"))),_xlfn.REGEXEXTRACT(CELL("address",O133), "\$([A-Z]+)\$[0-9]+"))</f>
        <v/>
      </c>
      <c r="P133" s="7" t="str" cm="1">
        <f t="array" aca="1" ref="P133" ca="1">IFERROR(IF(OR('Raw Data'!P133="",LEN(TRIM('Raw Data'!P133))=0),"",IF(AND(ISNUMBER('Raw Data'!P133), IFERROR('Raw Data'!P133 = ROUND('Raw Data'!P133, 2),FALSE)),"",_xlfn.REGEXEXTRACT(CELL("address",P133), "\$([A-Z]+)\$[0-9]+"))),_xlfn.REGEXEXTRACT(CELL("address",P133), "\$([A-Z]+)\$[0-9]+"))</f>
        <v/>
      </c>
      <c r="Q133" s="7" t="str" cm="1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7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7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7" t="str" cm="1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7" t="str" cm="1">
        <f t="array" aca="1" ref="U133" ca="1">IFERROR(IF(OR('Raw Data'!U133="",LEN(TRIM('Raw Data'!U133))=0),"",IF(AND(ISNUMBER('Raw Data'!U133), IFERROR('Raw Data'!U133 = ROUND('Raw Data'!U133, 2),FALSE)),"",_xlfn.REGEXEXTRACT(CELL("address",U133), "\$([A-Z]+)\$[0-9]+"))),_xlfn.REGEXEXTRACT(CELL("address",U133), "\$([A-Z]+)\$[0-9]+"))</f>
        <v/>
      </c>
      <c r="V133" s="7" t="str" cm="1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7" t="str" cm="1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7" t="str" cm="1">
        <f t="array" aca="1" ref="X133" ca="1">IFERROR(IF(OR('Raw Data'!X133="",LEN(TRIM('Raw Data'!X133))=0),"",IF(AND(ISNUMBER('Raw Data'!X133), IFERROR('Raw Data'!X133 = ROUND('Raw Data'!X133, 2),FALSE)),"",_xlfn.REGEXEXTRACT(CELL("address",X133), "\$([A-Z]+)\$[0-9]+"))),_xlfn.REGEXEXTRACT(CELL("address",X133), "\$([A-Z]+)\$[0-9]+"))</f>
        <v/>
      </c>
      <c r="Y133" s="7" t="str" cm="1">
        <f t="array" aca="1" ref="Y133" ca="1">IFERROR(IF(OR('Raw Data'!Y133="",LEN(TRIM('Raw Data'!Y133))=0),"",IF(AND(ISNUMBER('Raw Data'!Y133), IFERROR('Raw Data'!Y133 = ROUND('Raw Data'!Y133, 2),FALSE)),"",_xlfn.REGEXEXTRACT(CELL("address",Y133), "\$([A-Z]+)\$[0-9]+"))),_xlfn.REGEXEXTRACT(CELL("address",Y133), "\$([A-Z]+)\$[0-9]+"))</f>
        <v/>
      </c>
      <c r="Z133" s="7" t="str" cm="1">
        <f t="array" aca="1" ref="Z133" ca="1">IFERROR(IF(OR('Raw Data'!Z133="",LEN(TRIM('Raw Data'!Z133))=0),"",IF(AND(ISNUMBER('Raw Data'!Z133), IFERROR('Raw Data'!Z133 = ROUND('Raw Data'!Z133, 2),FALSE)),"",_xlfn.REGEXEXTRACT(CELL("address",Z133), "\$([A-Z]+)\$[0-9]+"))),_xlfn.REGEXEXTRACT(CELL("address",Z133), "\$([A-Z]+)\$[0-9]+"))</f>
        <v/>
      </c>
      <c r="AA133" s="7" t="str" cm="1">
        <f t="array" aca="1" ref="AA133" ca="1">IFERROR(IF(OR('Raw Data'!AA133="",LEN(TRIM('Raw Data'!AA133))=0),"",IF(AND(ISNUMBER('Raw Data'!AA133), IFERROR('Raw Data'!AA133 = ROUND('Raw Data'!AA133, 2),FALSE)),"",_xlfn.REGEXEXTRACT(CELL("address",AA133), "\$([A-Z]+)\$[0-9]+"))),_xlfn.REGEXEXTRACT(CELL("address",AA133), "\$([A-Z]+)\$[0-9]+"))</f>
        <v/>
      </c>
      <c r="AB133" s="7" t="str" cm="1">
        <f t="array" aca="1" ref="AB133" ca="1">IFERROR(IF(OR('Raw Data'!AB133="",LEN(TRIM('Raw Data'!AB133))=0),"",IF(AND(ISNUMBER('Raw Data'!AB133), IFERROR('Raw Data'!AB133 = ROUND('Raw Data'!AB133, 2),FALSE)),"",_xlfn.REGEXEXTRACT(CELL("address",AB133), "\$([A-Z]+)\$[0-9]+"))),_xlfn.REGEXEXTRACT(CELL("address",AB133), "\$([A-Z]+)\$[0-9]+"))</f>
        <v/>
      </c>
    </row>
    <row r="134" spans="2:28" x14ac:dyDescent="0.25">
      <c r="B134" s="7" t="str" cm="1">
        <f t="array" aca="1" ref="B134" ca="1">IFERROR(IF(OR('Raw Data'!B134="",LEN(TRIM('Raw Data'!B134))=0),"",IF(AND(LEN('Raw Data'!B134) &lt;= 255,LEN('Raw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20,LEN('Raw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Data'!D134))=0),"",IF(AND(ISNUMBER('Raw Data'!D134),'Raw Data'!D134&gt;=Configuration!$D$2),"",_xlfn.REGEXEXTRACT(CELL("address",'Raw Data'!D134),"\$([A-Z]+)\$[0-9]+"))),_xlfn.REGEXEXTRACT(CELL("address",D134), "\$([A-Z]+)\$[0-9]+"))</f>
        <v/>
      </c>
      <c r="E134" s="7" t="str" cm="1">
        <f t="array" aca="1" ref="E134" ca="1">IFERROR(IF(OR('Raw Data'!E134="",LEN(TRIM('Raw Data'!E134))=0),"",IF(AND(ISNUMBER('Raw Data'!E134), IFERROR('Raw Data'!E134 = ROUND('Raw Data'!E134, 2),FALSE)),"",_xlfn.REGEXEXTRACT(CELL("address",E134), "\$([A-Z]+)\$[0-9]+"))),_xlfn.REGEXEXTRACT(CELL("address",E134), "\$([A-Z]+)\$[0-9]+"))</f>
        <v/>
      </c>
      <c r="F134" s="7" t="str" cm="1">
        <f t="array" aca="1" ref="F134" ca="1">IFERROR(IF(OR('Raw Data'!F134="",LEN(TRIM('Raw Data'!F134))=0),"",IF(AND(ISNUMBER('Raw Data'!F134), IFERROR('Raw Data'!F134 = ROUND('Raw Data'!F134, 2),FALSE)),"",_xlfn.REGEXEXTRACT(CELL("address",F134), "\$([A-Z]+)\$[0-9]+"))),_xlfn.REGEXEXTRACT(CELL("address",F134), "\$([A-Z]+)\$[0-9]+"))</f>
        <v/>
      </c>
      <c r="G134" s="7" t="str" cm="1">
        <f t="array" aca="1" ref="G134" ca="1">IFERROR(IF(OR('Raw Data'!G134="",LEN(TRIM('Raw Data'!G134))=0),"",IF(AND(ISNUMBER('Raw Data'!G134), IFERROR('Raw Data'!G134 = ROUND('Raw Data'!G134, 2),FALSE)),"",_xlfn.REGEXEXTRACT(CELL("address",G134), "\$([A-Z]+)\$[0-9]+"))),_xlfn.REGEXEXTRACT(CELL("address",G134), "\$([A-Z]+)\$[0-9]+"))</f>
        <v/>
      </c>
      <c r="H134" s="7" t="str" cm="1">
        <f t="array" aca="1" ref="H134" ca="1">IFERROR(IF(OR('Raw Data'!H134="",LEN(TRIM('Raw Data'!H134))=0),"",IF(AND(ISNUMBER('Raw Data'!H134), IFERROR('Raw Data'!H134 = ROUND('Raw Data'!H134, 2),FALSE)),"",_xlfn.REGEXEXTRACT(CELL("address",H134), "\$([A-Z]+)\$[0-9]+"))),_xlfn.REGEXEXTRACT(CELL("address",H134), "\$([A-Z]+)\$[0-9]+"))</f>
        <v/>
      </c>
      <c r="I134" s="7" t="str" cm="1">
        <f t="array" aca="1" ref="I134" ca="1">IFERROR(IF(OR('Raw Data'!I134="",LEN(TRIM('Raw Data'!I134))=0),"",IF(AND(ISNUMBER('Raw Data'!I134), IFERROR('Raw Data'!I134 = ROUND('Raw Data'!I134, 2),FALSE)),"",_xlfn.REGEXEXTRACT(CELL("address",I134), "\$([A-Z]+)\$[0-9]+"))),_xlfn.REGEXEXTRACT(CELL("address",I134), "\$([A-Z]+)\$[0-9]+"))</f>
        <v/>
      </c>
      <c r="J134" s="7" t="str" cm="1">
        <f t="array" aca="1" ref="J134" ca="1">IFERROR(IF(OR('Raw Data'!J134="",LEN(TRIM('Raw Data'!J134))=0),"",IF(AND(ISNUMBER('Raw Data'!J134), IFERROR('Raw Data'!J134 = ROUND('Raw Data'!J134, 2),FALSE)),"",_xlfn.REGEXEXTRACT(CELL("address",J134), "\$([A-Z]+)\$[0-9]+"))),_xlfn.REGEXEXTRACT(CELL("address",J134), "\$([A-Z]+)\$[0-9]+"))</f>
        <v/>
      </c>
      <c r="K134" s="7" t="str" cm="1">
        <f t="array" aca="1" ref="K134" ca="1">IFERROR(IF(OR('Raw Data'!K134="",LEN(TRIM('Raw Data'!K134))=0),"",IF(AND(ISNUMBER('Raw Data'!K134), IFERROR('Raw Data'!K134 = ROUND('Raw Data'!K134, 2),FALSE)),"",_xlfn.REGEXEXTRACT(CELL("address",K134), "\$([A-Z]+)\$[0-9]+"))),_xlfn.REGEXEXTRACT(CELL("address",K134), "\$([A-Z]+)\$[0-9]+"))</f>
        <v/>
      </c>
      <c r="L134" s="7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7" t="str" cm="1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7" t="str" cm="1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  <c r="O134" s="7" t="str" cm="1">
        <f t="array" aca="1" ref="O134" ca="1">IFERROR(IF(OR('Raw Data'!O134="",LEN(TRIM('Raw Data'!O134))=0),"",IF(AND(ISNUMBER('Raw Data'!O134), IFERROR('Raw Data'!O134 = ROUND('Raw Data'!O134, 2),FALSE)),"",_xlfn.REGEXEXTRACT(CELL("address",O134), "\$([A-Z]+)\$[0-9]+"))),_xlfn.REGEXEXTRACT(CELL("address",O134), "\$([A-Z]+)\$[0-9]+"))</f>
        <v/>
      </c>
      <c r="P134" s="7" t="str" cm="1">
        <f t="array" aca="1" ref="P134" ca="1">IFERROR(IF(OR('Raw Data'!P134="",LEN(TRIM('Raw Data'!P134))=0),"",IF(AND(ISNUMBER('Raw Data'!P134), IFERROR('Raw Data'!P134 = ROUND('Raw Data'!P134, 2),FALSE)),"",_xlfn.REGEXEXTRACT(CELL("address",P134), "\$([A-Z]+)\$[0-9]+"))),_xlfn.REGEXEXTRACT(CELL("address",P134), "\$([A-Z]+)\$[0-9]+"))</f>
        <v/>
      </c>
      <c r="Q134" s="7" t="str" cm="1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7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7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7" t="str" cm="1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7" t="str" cm="1">
        <f t="array" aca="1" ref="U134" ca="1">IFERROR(IF(OR('Raw Data'!U134="",LEN(TRIM('Raw Data'!U134))=0),"",IF(AND(ISNUMBER('Raw Data'!U134), IFERROR('Raw Data'!U134 = ROUND('Raw Data'!U134, 2),FALSE)),"",_xlfn.REGEXEXTRACT(CELL("address",U134), "\$([A-Z]+)\$[0-9]+"))),_xlfn.REGEXEXTRACT(CELL("address",U134), "\$([A-Z]+)\$[0-9]+"))</f>
        <v/>
      </c>
      <c r="V134" s="7" t="str" cm="1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7" t="str" cm="1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7" t="str" cm="1">
        <f t="array" aca="1" ref="X134" ca="1">IFERROR(IF(OR('Raw Data'!X134="",LEN(TRIM('Raw Data'!X134))=0),"",IF(AND(ISNUMBER('Raw Data'!X134), IFERROR('Raw Data'!X134 = ROUND('Raw Data'!X134, 2),FALSE)),"",_xlfn.REGEXEXTRACT(CELL("address",X134), "\$([A-Z]+)\$[0-9]+"))),_xlfn.REGEXEXTRACT(CELL("address",X134), "\$([A-Z]+)\$[0-9]+"))</f>
        <v/>
      </c>
      <c r="Y134" s="7" t="str" cm="1">
        <f t="array" aca="1" ref="Y134" ca="1">IFERROR(IF(OR('Raw Data'!Y134="",LEN(TRIM('Raw Data'!Y134))=0),"",IF(AND(ISNUMBER('Raw Data'!Y134), IFERROR('Raw Data'!Y134 = ROUND('Raw Data'!Y134, 2),FALSE)),"",_xlfn.REGEXEXTRACT(CELL("address",Y134), "\$([A-Z]+)\$[0-9]+"))),_xlfn.REGEXEXTRACT(CELL("address",Y134), "\$([A-Z]+)\$[0-9]+"))</f>
        <v/>
      </c>
      <c r="Z134" s="7" t="str" cm="1">
        <f t="array" aca="1" ref="Z134" ca="1">IFERROR(IF(OR('Raw Data'!Z134="",LEN(TRIM('Raw Data'!Z134))=0),"",IF(AND(ISNUMBER('Raw Data'!Z134), IFERROR('Raw Data'!Z134 = ROUND('Raw Data'!Z134, 2),FALSE)),"",_xlfn.REGEXEXTRACT(CELL("address",Z134), "\$([A-Z]+)\$[0-9]+"))),_xlfn.REGEXEXTRACT(CELL("address",Z134), "\$([A-Z]+)\$[0-9]+"))</f>
        <v/>
      </c>
      <c r="AA134" s="7" t="str" cm="1">
        <f t="array" aca="1" ref="AA134" ca="1">IFERROR(IF(OR('Raw Data'!AA134="",LEN(TRIM('Raw Data'!AA134))=0),"",IF(AND(ISNUMBER('Raw Data'!AA134), IFERROR('Raw Data'!AA134 = ROUND('Raw Data'!AA134, 2),FALSE)),"",_xlfn.REGEXEXTRACT(CELL("address",AA134), "\$([A-Z]+)\$[0-9]+"))),_xlfn.REGEXEXTRACT(CELL("address",AA134), "\$([A-Z]+)\$[0-9]+"))</f>
        <v/>
      </c>
      <c r="AB134" s="7" t="str" cm="1">
        <f t="array" aca="1" ref="AB134" ca="1">IFERROR(IF(OR('Raw Data'!AB134="",LEN(TRIM('Raw Data'!AB134))=0),"",IF(AND(ISNUMBER('Raw Data'!AB134), IFERROR('Raw Data'!AB134 = ROUND('Raw Data'!AB134, 2),FALSE)),"",_xlfn.REGEXEXTRACT(CELL("address",AB134), "\$([A-Z]+)\$[0-9]+"))),_xlfn.REGEXEXTRACT(CELL("address",AB134), "\$([A-Z]+)\$[0-9]+"))</f>
        <v/>
      </c>
    </row>
    <row r="135" spans="2:28" x14ac:dyDescent="0.25">
      <c r="B135" s="7" t="str" cm="1">
        <f t="array" aca="1" ref="B135" ca="1">IFERROR(IF(OR('Raw Data'!B135="",LEN(TRIM('Raw Data'!B135))=0),"",IF(AND(LEN('Raw Data'!B135) &lt;= 255,LEN('Raw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20,LEN('Raw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Data'!D135))=0),"",IF(AND(ISNUMBER('Raw Data'!D135),'Raw Data'!D135&gt;=Configuration!$D$2),"",_xlfn.REGEXEXTRACT(CELL("address",'Raw Data'!D135),"\$([A-Z]+)\$[0-9]+"))),_xlfn.REGEXEXTRACT(CELL("address",D135), "\$([A-Z]+)\$[0-9]+"))</f>
        <v/>
      </c>
      <c r="E135" s="7" t="str" cm="1">
        <f t="array" aca="1" ref="E135" ca="1">IFERROR(IF(OR('Raw Data'!E135="",LEN(TRIM('Raw Data'!E135))=0),"",IF(AND(ISNUMBER('Raw Data'!E135), IFERROR('Raw Data'!E135 = ROUND('Raw Data'!E135, 2),FALSE)),"",_xlfn.REGEXEXTRACT(CELL("address",E135), "\$([A-Z]+)\$[0-9]+"))),_xlfn.REGEXEXTRACT(CELL("address",E135), "\$([A-Z]+)\$[0-9]+"))</f>
        <v/>
      </c>
      <c r="F135" s="7" t="str" cm="1">
        <f t="array" aca="1" ref="F135" ca="1">IFERROR(IF(OR('Raw Data'!F135="",LEN(TRIM('Raw Data'!F135))=0),"",IF(AND(ISNUMBER('Raw Data'!F135), IFERROR('Raw Data'!F135 = ROUND('Raw Data'!F135, 2),FALSE)),"",_xlfn.REGEXEXTRACT(CELL("address",F135), "\$([A-Z]+)\$[0-9]+"))),_xlfn.REGEXEXTRACT(CELL("address",F135), "\$([A-Z]+)\$[0-9]+"))</f>
        <v/>
      </c>
      <c r="G135" s="7" t="str" cm="1">
        <f t="array" aca="1" ref="G135" ca="1">IFERROR(IF(OR('Raw Data'!G135="",LEN(TRIM('Raw Data'!G135))=0),"",IF(AND(ISNUMBER('Raw Data'!G135), IFERROR('Raw Data'!G135 = ROUND('Raw Data'!G135, 2),FALSE)),"",_xlfn.REGEXEXTRACT(CELL("address",G135), "\$([A-Z]+)\$[0-9]+"))),_xlfn.REGEXEXTRACT(CELL("address",G135), "\$([A-Z]+)\$[0-9]+"))</f>
        <v/>
      </c>
      <c r="H135" s="7" t="str" cm="1">
        <f t="array" aca="1" ref="H135" ca="1">IFERROR(IF(OR('Raw Data'!H135="",LEN(TRIM('Raw Data'!H135))=0),"",IF(AND(ISNUMBER('Raw Data'!H135), IFERROR('Raw Data'!H135 = ROUND('Raw Data'!H135, 2),FALSE)),"",_xlfn.REGEXEXTRACT(CELL("address",H135), "\$([A-Z]+)\$[0-9]+"))),_xlfn.REGEXEXTRACT(CELL("address",H135), "\$([A-Z]+)\$[0-9]+"))</f>
        <v/>
      </c>
      <c r="I135" s="7" t="str" cm="1">
        <f t="array" aca="1" ref="I135" ca="1">IFERROR(IF(OR('Raw Data'!I135="",LEN(TRIM('Raw Data'!I135))=0),"",IF(AND(ISNUMBER('Raw Data'!I135), IFERROR('Raw Data'!I135 = ROUND('Raw Data'!I135, 2),FALSE)),"",_xlfn.REGEXEXTRACT(CELL("address",I135), "\$([A-Z]+)\$[0-9]+"))),_xlfn.REGEXEXTRACT(CELL("address",I135), "\$([A-Z]+)\$[0-9]+"))</f>
        <v/>
      </c>
      <c r="J135" s="7" t="str" cm="1">
        <f t="array" aca="1" ref="J135" ca="1">IFERROR(IF(OR('Raw Data'!J135="",LEN(TRIM('Raw Data'!J135))=0),"",IF(AND(ISNUMBER('Raw Data'!J135), IFERROR('Raw Data'!J135 = ROUND('Raw Data'!J135, 2),FALSE)),"",_xlfn.REGEXEXTRACT(CELL("address",J135), "\$([A-Z]+)\$[0-9]+"))),_xlfn.REGEXEXTRACT(CELL("address",J135), "\$([A-Z]+)\$[0-9]+"))</f>
        <v/>
      </c>
      <c r="K135" s="7" t="str" cm="1">
        <f t="array" aca="1" ref="K135" ca="1">IFERROR(IF(OR('Raw Data'!K135="",LEN(TRIM('Raw Data'!K135))=0),"",IF(AND(ISNUMBER('Raw Data'!K135), IFERROR('Raw Data'!K135 = ROUND('Raw Data'!K135, 2),FALSE)),"",_xlfn.REGEXEXTRACT(CELL("address",K135), "\$([A-Z]+)\$[0-9]+"))),_xlfn.REGEXEXTRACT(CELL("address",K135), "\$([A-Z]+)\$[0-9]+"))</f>
        <v/>
      </c>
      <c r="L135" s="7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7" t="str" cm="1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7" t="str" cm="1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  <c r="O135" s="7" t="str" cm="1">
        <f t="array" aca="1" ref="O135" ca="1">IFERROR(IF(OR('Raw Data'!O135="",LEN(TRIM('Raw Data'!O135))=0),"",IF(AND(ISNUMBER('Raw Data'!O135), IFERROR('Raw Data'!O135 = ROUND('Raw Data'!O135, 2),FALSE)),"",_xlfn.REGEXEXTRACT(CELL("address",O135), "\$([A-Z]+)\$[0-9]+"))),_xlfn.REGEXEXTRACT(CELL("address",O135), "\$([A-Z]+)\$[0-9]+"))</f>
        <v/>
      </c>
      <c r="P135" s="7" t="str" cm="1">
        <f t="array" aca="1" ref="P135" ca="1">IFERROR(IF(OR('Raw Data'!P135="",LEN(TRIM('Raw Data'!P135))=0),"",IF(AND(ISNUMBER('Raw Data'!P135), IFERROR('Raw Data'!P135 = ROUND('Raw Data'!P135, 2),FALSE)),"",_xlfn.REGEXEXTRACT(CELL("address",P135), "\$([A-Z]+)\$[0-9]+"))),_xlfn.REGEXEXTRACT(CELL("address",P135), "\$([A-Z]+)\$[0-9]+"))</f>
        <v/>
      </c>
      <c r="Q135" s="7" t="str" cm="1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7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7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7" t="str" cm="1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7" t="str" cm="1">
        <f t="array" aca="1" ref="U135" ca="1">IFERROR(IF(OR('Raw Data'!U135="",LEN(TRIM('Raw Data'!U135))=0),"",IF(AND(ISNUMBER('Raw Data'!U135), IFERROR('Raw Data'!U135 = ROUND('Raw Data'!U135, 2),FALSE)),"",_xlfn.REGEXEXTRACT(CELL("address",U135), "\$([A-Z]+)\$[0-9]+"))),_xlfn.REGEXEXTRACT(CELL("address",U135), "\$([A-Z]+)\$[0-9]+"))</f>
        <v/>
      </c>
      <c r="V135" s="7" t="str" cm="1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7" t="str" cm="1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7" t="str" cm="1">
        <f t="array" aca="1" ref="X135" ca="1">IFERROR(IF(OR('Raw Data'!X135="",LEN(TRIM('Raw Data'!X135))=0),"",IF(AND(ISNUMBER('Raw Data'!X135), IFERROR('Raw Data'!X135 = ROUND('Raw Data'!X135, 2),FALSE)),"",_xlfn.REGEXEXTRACT(CELL("address",X135), "\$([A-Z]+)\$[0-9]+"))),_xlfn.REGEXEXTRACT(CELL("address",X135), "\$([A-Z]+)\$[0-9]+"))</f>
        <v/>
      </c>
      <c r="Y135" s="7" t="str" cm="1">
        <f t="array" aca="1" ref="Y135" ca="1">IFERROR(IF(OR('Raw Data'!Y135="",LEN(TRIM('Raw Data'!Y135))=0),"",IF(AND(ISNUMBER('Raw Data'!Y135), IFERROR('Raw Data'!Y135 = ROUND('Raw Data'!Y135, 2),FALSE)),"",_xlfn.REGEXEXTRACT(CELL("address",Y135), "\$([A-Z]+)\$[0-9]+"))),_xlfn.REGEXEXTRACT(CELL("address",Y135), "\$([A-Z]+)\$[0-9]+"))</f>
        <v/>
      </c>
      <c r="Z135" s="7" t="str" cm="1">
        <f t="array" aca="1" ref="Z135" ca="1">IFERROR(IF(OR('Raw Data'!Z135="",LEN(TRIM('Raw Data'!Z135))=0),"",IF(AND(ISNUMBER('Raw Data'!Z135), IFERROR('Raw Data'!Z135 = ROUND('Raw Data'!Z135, 2),FALSE)),"",_xlfn.REGEXEXTRACT(CELL("address",Z135), "\$([A-Z]+)\$[0-9]+"))),_xlfn.REGEXEXTRACT(CELL("address",Z135), "\$([A-Z]+)\$[0-9]+"))</f>
        <v/>
      </c>
      <c r="AA135" s="7" t="str" cm="1">
        <f t="array" aca="1" ref="AA135" ca="1">IFERROR(IF(OR('Raw Data'!AA135="",LEN(TRIM('Raw Data'!AA135))=0),"",IF(AND(ISNUMBER('Raw Data'!AA135), IFERROR('Raw Data'!AA135 = ROUND('Raw Data'!AA135, 2),FALSE)),"",_xlfn.REGEXEXTRACT(CELL("address",AA135), "\$([A-Z]+)\$[0-9]+"))),_xlfn.REGEXEXTRACT(CELL("address",AA135), "\$([A-Z]+)\$[0-9]+"))</f>
        <v/>
      </c>
      <c r="AB135" s="7" t="str" cm="1">
        <f t="array" aca="1" ref="AB135" ca="1">IFERROR(IF(OR('Raw Data'!AB135="",LEN(TRIM('Raw Data'!AB135))=0),"",IF(AND(ISNUMBER('Raw Data'!AB135), IFERROR('Raw Data'!AB135 = ROUND('Raw Data'!AB135, 2),FALSE)),"",_xlfn.REGEXEXTRACT(CELL("address",AB135), "\$([A-Z]+)\$[0-9]+"))),_xlfn.REGEXEXTRACT(CELL("address",AB135), "\$([A-Z]+)\$[0-9]+"))</f>
        <v/>
      </c>
    </row>
    <row r="136" spans="2:28" x14ac:dyDescent="0.25">
      <c r="B136" s="7" t="str" cm="1">
        <f t="array" aca="1" ref="B136" ca="1">IFERROR(IF(OR('Raw Data'!B136="",LEN(TRIM('Raw Data'!B136))=0),"",IF(AND(LEN('Raw Data'!B136) &lt;= 255,LEN('Raw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20,LEN('Raw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Data'!D136))=0),"",IF(AND(ISNUMBER('Raw Data'!D136),'Raw Data'!D136&gt;=Configuration!$D$2),"",_xlfn.REGEXEXTRACT(CELL("address",'Raw Data'!D136),"\$([A-Z]+)\$[0-9]+"))),_xlfn.REGEXEXTRACT(CELL("address",D136), "\$([A-Z]+)\$[0-9]+"))</f>
        <v/>
      </c>
      <c r="E136" s="7" t="str" cm="1">
        <f t="array" aca="1" ref="E136" ca="1">IFERROR(IF(OR('Raw Data'!E136="",LEN(TRIM('Raw Data'!E136))=0),"",IF(AND(ISNUMBER('Raw Data'!E136), IFERROR('Raw Data'!E136 = ROUND('Raw Data'!E136, 2),FALSE)),"",_xlfn.REGEXEXTRACT(CELL("address",E136), "\$([A-Z]+)\$[0-9]+"))),_xlfn.REGEXEXTRACT(CELL("address",E136), "\$([A-Z]+)\$[0-9]+"))</f>
        <v/>
      </c>
      <c r="F136" s="7" t="str" cm="1">
        <f t="array" aca="1" ref="F136" ca="1">IFERROR(IF(OR('Raw Data'!F136="",LEN(TRIM('Raw Data'!F136))=0),"",IF(AND(ISNUMBER('Raw Data'!F136), IFERROR('Raw Data'!F136 = ROUND('Raw Data'!F136, 2),FALSE)),"",_xlfn.REGEXEXTRACT(CELL("address",F136), "\$([A-Z]+)\$[0-9]+"))),_xlfn.REGEXEXTRACT(CELL("address",F136), "\$([A-Z]+)\$[0-9]+"))</f>
        <v/>
      </c>
      <c r="G136" s="7" t="str" cm="1">
        <f t="array" aca="1" ref="G136" ca="1">IFERROR(IF(OR('Raw Data'!G136="",LEN(TRIM('Raw Data'!G136))=0),"",IF(AND(ISNUMBER('Raw Data'!G136), IFERROR('Raw Data'!G136 = ROUND('Raw Data'!G136, 2),FALSE)),"",_xlfn.REGEXEXTRACT(CELL("address",G136), "\$([A-Z]+)\$[0-9]+"))),_xlfn.REGEXEXTRACT(CELL("address",G136), "\$([A-Z]+)\$[0-9]+"))</f>
        <v/>
      </c>
      <c r="H136" s="7" t="str" cm="1">
        <f t="array" aca="1" ref="H136" ca="1">IFERROR(IF(OR('Raw Data'!H136="",LEN(TRIM('Raw Data'!H136))=0),"",IF(AND(ISNUMBER('Raw Data'!H136), IFERROR('Raw Data'!H136 = ROUND('Raw Data'!H136, 2),FALSE)),"",_xlfn.REGEXEXTRACT(CELL("address",H136), "\$([A-Z]+)\$[0-9]+"))),_xlfn.REGEXEXTRACT(CELL("address",H136), "\$([A-Z]+)\$[0-9]+"))</f>
        <v/>
      </c>
      <c r="I136" s="7" t="str" cm="1">
        <f t="array" aca="1" ref="I136" ca="1">IFERROR(IF(OR('Raw Data'!I136="",LEN(TRIM('Raw Data'!I136))=0),"",IF(AND(ISNUMBER('Raw Data'!I136), IFERROR('Raw Data'!I136 = ROUND('Raw Data'!I136, 2),FALSE)),"",_xlfn.REGEXEXTRACT(CELL("address",I136), "\$([A-Z]+)\$[0-9]+"))),_xlfn.REGEXEXTRACT(CELL("address",I136), "\$([A-Z]+)\$[0-9]+"))</f>
        <v/>
      </c>
      <c r="J136" s="7" t="str" cm="1">
        <f t="array" aca="1" ref="J136" ca="1">IFERROR(IF(OR('Raw Data'!J136="",LEN(TRIM('Raw Data'!J136))=0),"",IF(AND(ISNUMBER('Raw Data'!J136), IFERROR('Raw Data'!J136 = ROUND('Raw Data'!J136, 2),FALSE)),"",_xlfn.REGEXEXTRACT(CELL("address",J136), "\$([A-Z]+)\$[0-9]+"))),_xlfn.REGEXEXTRACT(CELL("address",J136), "\$([A-Z]+)\$[0-9]+"))</f>
        <v/>
      </c>
      <c r="K136" s="7" t="str" cm="1">
        <f t="array" aca="1" ref="K136" ca="1">IFERROR(IF(OR('Raw Data'!K136="",LEN(TRIM('Raw Data'!K136))=0),"",IF(AND(ISNUMBER('Raw Data'!K136), IFERROR('Raw Data'!K136 = ROUND('Raw Data'!K136, 2),FALSE)),"",_xlfn.REGEXEXTRACT(CELL("address",K136), "\$([A-Z]+)\$[0-9]+"))),_xlfn.REGEXEXTRACT(CELL("address",K136), "\$([A-Z]+)\$[0-9]+"))</f>
        <v/>
      </c>
      <c r="L136" s="7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7" t="str" cm="1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7" t="str" cm="1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  <c r="O136" s="7" t="str" cm="1">
        <f t="array" aca="1" ref="O136" ca="1">IFERROR(IF(OR('Raw Data'!O136="",LEN(TRIM('Raw Data'!O136))=0),"",IF(AND(ISNUMBER('Raw Data'!O136), IFERROR('Raw Data'!O136 = ROUND('Raw Data'!O136, 2),FALSE)),"",_xlfn.REGEXEXTRACT(CELL("address",O136), "\$([A-Z]+)\$[0-9]+"))),_xlfn.REGEXEXTRACT(CELL("address",O136), "\$([A-Z]+)\$[0-9]+"))</f>
        <v/>
      </c>
      <c r="P136" s="7" t="str" cm="1">
        <f t="array" aca="1" ref="P136" ca="1">IFERROR(IF(OR('Raw Data'!P136="",LEN(TRIM('Raw Data'!P136))=0),"",IF(AND(ISNUMBER('Raw Data'!P136), IFERROR('Raw Data'!P136 = ROUND('Raw Data'!P136, 2),FALSE)),"",_xlfn.REGEXEXTRACT(CELL("address",P136), "\$([A-Z]+)\$[0-9]+"))),_xlfn.REGEXEXTRACT(CELL("address",P136), "\$([A-Z]+)\$[0-9]+"))</f>
        <v/>
      </c>
      <c r="Q136" s="7" t="str" cm="1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7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7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7" t="str" cm="1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7" t="str" cm="1">
        <f t="array" aca="1" ref="U136" ca="1">IFERROR(IF(OR('Raw Data'!U136="",LEN(TRIM('Raw Data'!U136))=0),"",IF(AND(ISNUMBER('Raw Data'!U136), IFERROR('Raw Data'!U136 = ROUND('Raw Data'!U136, 2),FALSE)),"",_xlfn.REGEXEXTRACT(CELL("address",U136), "\$([A-Z]+)\$[0-9]+"))),_xlfn.REGEXEXTRACT(CELL("address",U136), "\$([A-Z]+)\$[0-9]+"))</f>
        <v/>
      </c>
      <c r="V136" s="7" t="str" cm="1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7" t="str" cm="1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7" t="str" cm="1">
        <f t="array" aca="1" ref="X136" ca="1">IFERROR(IF(OR('Raw Data'!X136="",LEN(TRIM('Raw Data'!X136))=0),"",IF(AND(ISNUMBER('Raw Data'!X136), IFERROR('Raw Data'!X136 = ROUND('Raw Data'!X136, 2),FALSE)),"",_xlfn.REGEXEXTRACT(CELL("address",X136), "\$([A-Z]+)\$[0-9]+"))),_xlfn.REGEXEXTRACT(CELL("address",X136), "\$([A-Z]+)\$[0-9]+"))</f>
        <v/>
      </c>
      <c r="Y136" s="7" t="str" cm="1">
        <f t="array" aca="1" ref="Y136" ca="1">IFERROR(IF(OR('Raw Data'!Y136="",LEN(TRIM('Raw Data'!Y136))=0),"",IF(AND(ISNUMBER('Raw Data'!Y136), IFERROR('Raw Data'!Y136 = ROUND('Raw Data'!Y136, 2),FALSE)),"",_xlfn.REGEXEXTRACT(CELL("address",Y136), "\$([A-Z]+)\$[0-9]+"))),_xlfn.REGEXEXTRACT(CELL("address",Y136), "\$([A-Z]+)\$[0-9]+"))</f>
        <v/>
      </c>
      <c r="Z136" s="7" t="str" cm="1">
        <f t="array" aca="1" ref="Z136" ca="1">IFERROR(IF(OR('Raw Data'!Z136="",LEN(TRIM('Raw Data'!Z136))=0),"",IF(AND(ISNUMBER('Raw Data'!Z136), IFERROR('Raw Data'!Z136 = ROUND('Raw Data'!Z136, 2),FALSE)),"",_xlfn.REGEXEXTRACT(CELL("address",Z136), "\$([A-Z]+)\$[0-9]+"))),_xlfn.REGEXEXTRACT(CELL("address",Z136), "\$([A-Z]+)\$[0-9]+"))</f>
        <v/>
      </c>
      <c r="AA136" s="7" t="str" cm="1">
        <f t="array" aca="1" ref="AA136" ca="1">IFERROR(IF(OR('Raw Data'!AA136="",LEN(TRIM('Raw Data'!AA136))=0),"",IF(AND(ISNUMBER('Raw Data'!AA136), IFERROR('Raw Data'!AA136 = ROUND('Raw Data'!AA136, 2),FALSE)),"",_xlfn.REGEXEXTRACT(CELL("address",AA136), "\$([A-Z]+)\$[0-9]+"))),_xlfn.REGEXEXTRACT(CELL("address",AA136), "\$([A-Z]+)\$[0-9]+"))</f>
        <v/>
      </c>
      <c r="AB136" s="7" t="str" cm="1">
        <f t="array" aca="1" ref="AB136" ca="1">IFERROR(IF(OR('Raw Data'!AB136="",LEN(TRIM('Raw Data'!AB136))=0),"",IF(AND(ISNUMBER('Raw Data'!AB136), IFERROR('Raw Data'!AB136 = ROUND('Raw Data'!AB136, 2),FALSE)),"",_xlfn.REGEXEXTRACT(CELL("address",AB136), "\$([A-Z]+)\$[0-9]+"))),_xlfn.REGEXEXTRACT(CELL("address",AB136), "\$([A-Z]+)\$[0-9]+"))</f>
        <v/>
      </c>
    </row>
    <row r="137" spans="2:28" x14ac:dyDescent="0.25">
      <c r="B137" s="7" t="str" cm="1">
        <f t="array" aca="1" ref="B137" ca="1">IFERROR(IF(OR('Raw Data'!B137="",LEN(TRIM('Raw Data'!B137))=0),"",IF(AND(LEN('Raw Data'!B137) &lt;= 255,LEN('Raw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20,LEN('Raw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Data'!D137))=0),"",IF(AND(ISNUMBER('Raw Data'!D137),'Raw Data'!D137&gt;=Configuration!$D$2),"",_xlfn.REGEXEXTRACT(CELL("address",'Raw Data'!D137),"\$([A-Z]+)\$[0-9]+"))),_xlfn.REGEXEXTRACT(CELL("address",D137), "\$([A-Z]+)\$[0-9]+"))</f>
        <v/>
      </c>
      <c r="E137" s="7" t="str" cm="1">
        <f t="array" aca="1" ref="E137" ca="1">IFERROR(IF(OR('Raw Data'!E137="",LEN(TRIM('Raw Data'!E137))=0),"",IF(AND(ISNUMBER('Raw Data'!E137), IFERROR('Raw Data'!E137 = ROUND('Raw Data'!E137, 2),FALSE)),"",_xlfn.REGEXEXTRACT(CELL("address",E137), "\$([A-Z]+)\$[0-9]+"))),_xlfn.REGEXEXTRACT(CELL("address",E137), "\$([A-Z]+)\$[0-9]+"))</f>
        <v/>
      </c>
      <c r="F137" s="7" t="str" cm="1">
        <f t="array" aca="1" ref="F137" ca="1">IFERROR(IF(OR('Raw Data'!F137="",LEN(TRIM('Raw Data'!F137))=0),"",IF(AND(ISNUMBER('Raw Data'!F137), IFERROR('Raw Data'!F137 = ROUND('Raw Data'!F137, 2),FALSE)),"",_xlfn.REGEXEXTRACT(CELL("address",F137), "\$([A-Z]+)\$[0-9]+"))),_xlfn.REGEXEXTRACT(CELL("address",F137), "\$([A-Z]+)\$[0-9]+"))</f>
        <v/>
      </c>
      <c r="G137" s="7" t="str" cm="1">
        <f t="array" aca="1" ref="G137" ca="1">IFERROR(IF(OR('Raw Data'!G137="",LEN(TRIM('Raw Data'!G137))=0),"",IF(AND(ISNUMBER('Raw Data'!G137), IFERROR('Raw Data'!G137 = ROUND('Raw Data'!G137, 2),FALSE)),"",_xlfn.REGEXEXTRACT(CELL("address",G137), "\$([A-Z]+)\$[0-9]+"))),_xlfn.REGEXEXTRACT(CELL("address",G137), "\$([A-Z]+)\$[0-9]+"))</f>
        <v/>
      </c>
      <c r="H137" s="7" t="str" cm="1">
        <f t="array" aca="1" ref="H137" ca="1">IFERROR(IF(OR('Raw Data'!H137="",LEN(TRIM('Raw Data'!H137))=0),"",IF(AND(ISNUMBER('Raw Data'!H137), IFERROR('Raw Data'!H137 = ROUND('Raw Data'!H137, 2),FALSE)),"",_xlfn.REGEXEXTRACT(CELL("address",H137), "\$([A-Z]+)\$[0-9]+"))),_xlfn.REGEXEXTRACT(CELL("address",H137), "\$([A-Z]+)\$[0-9]+"))</f>
        <v/>
      </c>
      <c r="I137" s="7" t="str" cm="1">
        <f t="array" aca="1" ref="I137" ca="1">IFERROR(IF(OR('Raw Data'!I137="",LEN(TRIM('Raw Data'!I137))=0),"",IF(AND(ISNUMBER('Raw Data'!I137), IFERROR('Raw Data'!I137 = ROUND('Raw Data'!I137, 2),FALSE)),"",_xlfn.REGEXEXTRACT(CELL("address",I137), "\$([A-Z]+)\$[0-9]+"))),_xlfn.REGEXEXTRACT(CELL("address",I137), "\$([A-Z]+)\$[0-9]+"))</f>
        <v/>
      </c>
      <c r="J137" s="7" t="str" cm="1">
        <f t="array" aca="1" ref="J137" ca="1">IFERROR(IF(OR('Raw Data'!J137="",LEN(TRIM('Raw Data'!J137))=0),"",IF(AND(ISNUMBER('Raw Data'!J137), IFERROR('Raw Data'!J137 = ROUND('Raw Data'!J137, 2),FALSE)),"",_xlfn.REGEXEXTRACT(CELL("address",J137), "\$([A-Z]+)\$[0-9]+"))),_xlfn.REGEXEXTRACT(CELL("address",J137), "\$([A-Z]+)\$[0-9]+"))</f>
        <v/>
      </c>
      <c r="K137" s="7" t="str" cm="1">
        <f t="array" aca="1" ref="K137" ca="1">IFERROR(IF(OR('Raw Data'!K137="",LEN(TRIM('Raw Data'!K137))=0),"",IF(AND(ISNUMBER('Raw Data'!K137), IFERROR('Raw Data'!K137 = ROUND('Raw Data'!K137, 2),FALSE)),"",_xlfn.REGEXEXTRACT(CELL("address",K137), "\$([A-Z]+)\$[0-9]+"))),_xlfn.REGEXEXTRACT(CELL("address",K137), "\$([A-Z]+)\$[0-9]+"))</f>
        <v/>
      </c>
      <c r="L137" s="7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7" t="str" cm="1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7" t="str" cm="1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  <c r="O137" s="7" t="str" cm="1">
        <f t="array" aca="1" ref="O137" ca="1">IFERROR(IF(OR('Raw Data'!O137="",LEN(TRIM('Raw Data'!O137))=0),"",IF(AND(ISNUMBER('Raw Data'!O137), IFERROR('Raw Data'!O137 = ROUND('Raw Data'!O137, 2),FALSE)),"",_xlfn.REGEXEXTRACT(CELL("address",O137), "\$([A-Z]+)\$[0-9]+"))),_xlfn.REGEXEXTRACT(CELL("address",O137), "\$([A-Z]+)\$[0-9]+"))</f>
        <v/>
      </c>
      <c r="P137" s="7" t="str" cm="1">
        <f t="array" aca="1" ref="P137" ca="1">IFERROR(IF(OR('Raw Data'!P137="",LEN(TRIM('Raw Data'!P137))=0),"",IF(AND(ISNUMBER('Raw Data'!P137), IFERROR('Raw Data'!P137 = ROUND('Raw Data'!P137, 2),FALSE)),"",_xlfn.REGEXEXTRACT(CELL("address",P137), "\$([A-Z]+)\$[0-9]+"))),_xlfn.REGEXEXTRACT(CELL("address",P137), "\$([A-Z]+)\$[0-9]+"))</f>
        <v/>
      </c>
      <c r="Q137" s="7" t="str" cm="1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7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7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7" t="str" cm="1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7" t="str" cm="1">
        <f t="array" aca="1" ref="U137" ca="1">IFERROR(IF(OR('Raw Data'!U137="",LEN(TRIM('Raw Data'!U137))=0),"",IF(AND(ISNUMBER('Raw Data'!U137), IFERROR('Raw Data'!U137 = ROUND('Raw Data'!U137, 2),FALSE)),"",_xlfn.REGEXEXTRACT(CELL("address",U137), "\$([A-Z]+)\$[0-9]+"))),_xlfn.REGEXEXTRACT(CELL("address",U137), "\$([A-Z]+)\$[0-9]+"))</f>
        <v/>
      </c>
      <c r="V137" s="7" t="str" cm="1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7" t="str" cm="1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7" t="str" cm="1">
        <f t="array" aca="1" ref="X137" ca="1">IFERROR(IF(OR('Raw Data'!X137="",LEN(TRIM('Raw Data'!X137))=0),"",IF(AND(ISNUMBER('Raw Data'!X137), IFERROR('Raw Data'!X137 = ROUND('Raw Data'!X137, 2),FALSE)),"",_xlfn.REGEXEXTRACT(CELL("address",X137), "\$([A-Z]+)\$[0-9]+"))),_xlfn.REGEXEXTRACT(CELL("address",X137), "\$([A-Z]+)\$[0-9]+"))</f>
        <v/>
      </c>
      <c r="Y137" s="7" t="str" cm="1">
        <f t="array" aca="1" ref="Y137" ca="1">IFERROR(IF(OR('Raw Data'!Y137="",LEN(TRIM('Raw Data'!Y137))=0),"",IF(AND(ISNUMBER('Raw Data'!Y137), IFERROR('Raw Data'!Y137 = ROUND('Raw Data'!Y137, 2),FALSE)),"",_xlfn.REGEXEXTRACT(CELL("address",Y137), "\$([A-Z]+)\$[0-9]+"))),_xlfn.REGEXEXTRACT(CELL("address",Y137), "\$([A-Z]+)\$[0-9]+"))</f>
        <v/>
      </c>
      <c r="Z137" s="7" t="str" cm="1">
        <f t="array" aca="1" ref="Z137" ca="1">IFERROR(IF(OR('Raw Data'!Z137="",LEN(TRIM('Raw Data'!Z137))=0),"",IF(AND(ISNUMBER('Raw Data'!Z137), IFERROR('Raw Data'!Z137 = ROUND('Raw Data'!Z137, 2),FALSE)),"",_xlfn.REGEXEXTRACT(CELL("address",Z137), "\$([A-Z]+)\$[0-9]+"))),_xlfn.REGEXEXTRACT(CELL("address",Z137), "\$([A-Z]+)\$[0-9]+"))</f>
        <v/>
      </c>
      <c r="AA137" s="7" t="str" cm="1">
        <f t="array" aca="1" ref="AA137" ca="1">IFERROR(IF(OR('Raw Data'!AA137="",LEN(TRIM('Raw Data'!AA137))=0),"",IF(AND(ISNUMBER('Raw Data'!AA137), IFERROR('Raw Data'!AA137 = ROUND('Raw Data'!AA137, 2),FALSE)),"",_xlfn.REGEXEXTRACT(CELL("address",AA137), "\$([A-Z]+)\$[0-9]+"))),_xlfn.REGEXEXTRACT(CELL("address",AA137), "\$([A-Z]+)\$[0-9]+"))</f>
        <v/>
      </c>
      <c r="AB137" s="7" t="str" cm="1">
        <f t="array" aca="1" ref="AB137" ca="1">IFERROR(IF(OR('Raw Data'!AB137="",LEN(TRIM('Raw Data'!AB137))=0),"",IF(AND(ISNUMBER('Raw Data'!AB137), IFERROR('Raw Data'!AB137 = ROUND('Raw Data'!AB137, 2),FALSE)),"",_xlfn.REGEXEXTRACT(CELL("address",AB137), "\$([A-Z]+)\$[0-9]+"))),_xlfn.REGEXEXTRACT(CELL("address",AB137), "\$([A-Z]+)\$[0-9]+"))</f>
        <v/>
      </c>
    </row>
    <row r="138" spans="2:28" x14ac:dyDescent="0.25">
      <c r="B138" s="7" t="str" cm="1">
        <f t="array" aca="1" ref="B138" ca="1">IFERROR(IF(OR('Raw Data'!B138="",LEN(TRIM('Raw Data'!B138))=0),"",IF(AND(LEN('Raw Data'!B138) &lt;= 255,LEN('Raw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Data'!C138))=0),"",IF(AND(LEN('Raw Data'!C138) &lt;= 20,LEN('Raw Data'!C138)&gt; 0),"",_xlfn.REGEXEXTRACT(CELL("address",'Raw Data'!C138),"\$([A-Z]+)\$[0-9]+"))),_xlfn.REGEXEXTRACT(CELL("address",'Raw Data'!C138),"\$([A-Z]+)\$[0-9]+"))</f>
        <v/>
      </c>
      <c r="D138" s="7" t="str" cm="1">
        <f t="array" aca="1" ref="D138" ca="1">IFERROR(IF(OR('Raw Data'!D138="",LEN(TRIM('Raw Data'!D138))=0),"",IF(AND(ISNUMBER('Raw Data'!D138),'Raw Data'!D138&gt;=Configuration!$D$2),"",_xlfn.REGEXEXTRACT(CELL("address",'Raw Data'!D138),"\$([A-Z]+)\$[0-9]+"))),_xlfn.REGEXEXTRACT(CELL("address",D138), "\$([A-Z]+)\$[0-9]+"))</f>
        <v/>
      </c>
      <c r="E138" s="7" t="str" cm="1">
        <f t="array" aca="1" ref="E138" ca="1">IFERROR(IF(OR('Raw Data'!E138="",LEN(TRIM('Raw Data'!E138))=0),"",IF(AND(ISNUMBER('Raw Data'!E138), IFERROR('Raw Data'!E138 = ROUND('Raw Data'!E138, 2),FALSE)),"",_xlfn.REGEXEXTRACT(CELL("address",E138), "\$([A-Z]+)\$[0-9]+"))),_xlfn.REGEXEXTRACT(CELL("address",E138), "\$([A-Z]+)\$[0-9]+"))</f>
        <v/>
      </c>
      <c r="F138" s="7" t="str" cm="1">
        <f t="array" aca="1" ref="F138" ca="1">IFERROR(IF(OR('Raw Data'!F138="",LEN(TRIM('Raw Data'!F138))=0),"",IF(AND(ISNUMBER('Raw Data'!F138), IFERROR('Raw Data'!F138 = ROUND('Raw Data'!F138, 2),FALSE)),"",_xlfn.REGEXEXTRACT(CELL("address",F138), "\$([A-Z]+)\$[0-9]+"))),_xlfn.REGEXEXTRACT(CELL("address",F138), "\$([A-Z]+)\$[0-9]+"))</f>
        <v/>
      </c>
      <c r="G138" s="7" t="str" cm="1">
        <f t="array" aca="1" ref="G138" ca="1">IFERROR(IF(OR('Raw Data'!G138="",LEN(TRIM('Raw Data'!G138))=0),"",IF(AND(ISNUMBER('Raw Data'!G138), IFERROR('Raw Data'!G138 = ROUND('Raw Data'!G138, 2),FALSE)),"",_xlfn.REGEXEXTRACT(CELL("address",G138), "\$([A-Z]+)\$[0-9]+"))),_xlfn.REGEXEXTRACT(CELL("address",G138), "\$([A-Z]+)\$[0-9]+"))</f>
        <v/>
      </c>
      <c r="H138" s="7" t="str" cm="1">
        <f t="array" aca="1" ref="H138" ca="1">IFERROR(IF(OR('Raw Data'!H138="",LEN(TRIM('Raw Data'!H138))=0),"",IF(AND(ISNUMBER('Raw Data'!H138), IFERROR('Raw Data'!H138 = ROUND('Raw Data'!H138, 2),FALSE)),"",_xlfn.REGEXEXTRACT(CELL("address",H138), "\$([A-Z]+)\$[0-9]+"))),_xlfn.REGEXEXTRACT(CELL("address",H138), "\$([A-Z]+)\$[0-9]+"))</f>
        <v/>
      </c>
      <c r="I138" s="7" t="str" cm="1">
        <f t="array" aca="1" ref="I138" ca="1">IFERROR(IF(OR('Raw Data'!I138="",LEN(TRIM('Raw Data'!I138))=0),"",IF(AND(ISNUMBER('Raw Data'!I138), IFERROR('Raw Data'!I138 = ROUND('Raw Data'!I138, 2),FALSE)),"",_xlfn.REGEXEXTRACT(CELL("address",I138), "\$([A-Z]+)\$[0-9]+"))),_xlfn.REGEXEXTRACT(CELL("address",I138), "\$([A-Z]+)\$[0-9]+"))</f>
        <v/>
      </c>
      <c r="J138" s="7" t="str" cm="1">
        <f t="array" aca="1" ref="J138" ca="1">IFERROR(IF(OR('Raw Data'!J138="",LEN(TRIM('Raw Data'!J138))=0),"",IF(AND(ISNUMBER('Raw Data'!J138), IFERROR('Raw Data'!J138 = ROUND('Raw Data'!J138, 2),FALSE)),"",_xlfn.REGEXEXTRACT(CELL("address",J138), "\$([A-Z]+)\$[0-9]+"))),_xlfn.REGEXEXTRACT(CELL("address",J138), "\$([A-Z]+)\$[0-9]+"))</f>
        <v/>
      </c>
      <c r="K138" s="7" t="str" cm="1">
        <f t="array" aca="1" ref="K138" ca="1">IFERROR(IF(OR('Raw Data'!K138="",LEN(TRIM('Raw Data'!K138))=0),"",IF(AND(ISNUMBER('Raw Data'!K138), IFERROR('Raw Data'!K138 = ROUND('Raw Data'!K138, 2),FALSE)),"",_xlfn.REGEXEXTRACT(CELL("address",K138), "\$([A-Z]+)\$[0-9]+"))),_xlfn.REGEXEXTRACT(CELL("address",K138), "\$([A-Z]+)\$[0-9]+"))</f>
        <v/>
      </c>
      <c r="L138" s="7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7" t="str" cm="1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7" t="str" cm="1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  <c r="O138" s="7" t="str" cm="1">
        <f t="array" aca="1" ref="O138" ca="1">IFERROR(IF(OR('Raw Data'!O138="",LEN(TRIM('Raw Data'!O138))=0),"",IF(AND(ISNUMBER('Raw Data'!O138), IFERROR('Raw Data'!O138 = ROUND('Raw Data'!O138, 2),FALSE)),"",_xlfn.REGEXEXTRACT(CELL("address",O138), "\$([A-Z]+)\$[0-9]+"))),_xlfn.REGEXEXTRACT(CELL("address",O138), "\$([A-Z]+)\$[0-9]+"))</f>
        <v/>
      </c>
      <c r="P138" s="7" t="str" cm="1">
        <f t="array" aca="1" ref="P138" ca="1">IFERROR(IF(OR('Raw Data'!P138="",LEN(TRIM('Raw Data'!P138))=0),"",IF(AND(ISNUMBER('Raw Data'!P138), IFERROR('Raw Data'!P138 = ROUND('Raw Data'!P138, 2),FALSE)),"",_xlfn.REGEXEXTRACT(CELL("address",P138), "\$([A-Z]+)\$[0-9]+"))),_xlfn.REGEXEXTRACT(CELL("address",P138), "\$([A-Z]+)\$[0-9]+"))</f>
        <v/>
      </c>
      <c r="Q138" s="7" t="str" cm="1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7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7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7" t="str" cm="1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7" t="str" cm="1">
        <f t="array" aca="1" ref="U138" ca="1">IFERROR(IF(OR('Raw Data'!U138="",LEN(TRIM('Raw Data'!U138))=0),"",IF(AND(ISNUMBER('Raw Data'!U138), IFERROR('Raw Data'!U138 = ROUND('Raw Data'!U138, 2),FALSE)),"",_xlfn.REGEXEXTRACT(CELL("address",U138), "\$([A-Z]+)\$[0-9]+"))),_xlfn.REGEXEXTRACT(CELL("address",U138), "\$([A-Z]+)\$[0-9]+"))</f>
        <v/>
      </c>
      <c r="V138" s="7" t="str" cm="1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7" t="str" cm="1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7" t="str" cm="1">
        <f t="array" aca="1" ref="X138" ca="1">IFERROR(IF(OR('Raw Data'!X138="",LEN(TRIM('Raw Data'!X138))=0),"",IF(AND(ISNUMBER('Raw Data'!X138), IFERROR('Raw Data'!X138 = ROUND('Raw Data'!X138, 2),FALSE)),"",_xlfn.REGEXEXTRACT(CELL("address",X138), "\$([A-Z]+)\$[0-9]+"))),_xlfn.REGEXEXTRACT(CELL("address",X138), "\$([A-Z]+)\$[0-9]+"))</f>
        <v/>
      </c>
      <c r="Y138" s="7" t="str" cm="1">
        <f t="array" aca="1" ref="Y138" ca="1">IFERROR(IF(OR('Raw Data'!Y138="",LEN(TRIM('Raw Data'!Y138))=0),"",IF(AND(ISNUMBER('Raw Data'!Y138), IFERROR('Raw Data'!Y138 = ROUND('Raw Data'!Y138, 2),FALSE)),"",_xlfn.REGEXEXTRACT(CELL("address",Y138), "\$([A-Z]+)\$[0-9]+"))),_xlfn.REGEXEXTRACT(CELL("address",Y138), "\$([A-Z]+)\$[0-9]+"))</f>
        <v/>
      </c>
      <c r="Z138" s="7" t="str" cm="1">
        <f t="array" aca="1" ref="Z138" ca="1">IFERROR(IF(OR('Raw Data'!Z138="",LEN(TRIM('Raw Data'!Z138))=0),"",IF(AND(ISNUMBER('Raw Data'!Z138), IFERROR('Raw Data'!Z138 = ROUND('Raw Data'!Z138, 2),FALSE)),"",_xlfn.REGEXEXTRACT(CELL("address",Z138), "\$([A-Z]+)\$[0-9]+"))),_xlfn.REGEXEXTRACT(CELL("address",Z138), "\$([A-Z]+)\$[0-9]+"))</f>
        <v/>
      </c>
      <c r="AA138" s="7" t="str" cm="1">
        <f t="array" aca="1" ref="AA138" ca="1">IFERROR(IF(OR('Raw Data'!AA138="",LEN(TRIM('Raw Data'!AA138))=0),"",IF(AND(ISNUMBER('Raw Data'!AA138), IFERROR('Raw Data'!AA138 = ROUND('Raw Data'!AA138, 2),FALSE)),"",_xlfn.REGEXEXTRACT(CELL("address",AA138), "\$([A-Z]+)\$[0-9]+"))),_xlfn.REGEXEXTRACT(CELL("address",AA138), "\$([A-Z]+)\$[0-9]+"))</f>
        <v/>
      </c>
      <c r="AB138" s="7" t="str" cm="1">
        <f t="array" aca="1" ref="AB138" ca="1">IFERROR(IF(OR('Raw Data'!AB138="",LEN(TRIM('Raw Data'!AB138))=0),"",IF(AND(ISNUMBER('Raw Data'!AB138), IFERROR('Raw Data'!AB138 = ROUND('Raw Data'!AB138, 2),FALSE)),"",_xlfn.REGEXEXTRACT(CELL("address",AB138), "\$([A-Z]+)\$[0-9]+"))),_xlfn.REGEXEXTRACT(CELL("address",AB138), "\$([A-Z]+)\$[0-9]+"))</f>
        <v/>
      </c>
    </row>
    <row r="139" spans="2:28" x14ac:dyDescent="0.25">
      <c r="B139" s="7" t="str" cm="1">
        <f t="array" aca="1" ref="B139" ca="1">IFERROR(IF(OR('Raw Data'!B139="",LEN(TRIM('Raw Data'!B139))=0),"",IF(AND(LEN('Raw Data'!B139) &lt;= 255,LEN('Raw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Data'!C139))=0),"",IF(AND(LEN('Raw Data'!C139) &lt;= 20,LEN('Raw Data'!C139)&gt; 0),"",_xlfn.REGEXEXTRACT(CELL("address",'Raw Data'!C139),"\$([A-Z]+)\$[0-9]+"))),_xlfn.REGEXEXTRACT(CELL("address",'Raw Data'!C139),"\$([A-Z]+)\$[0-9]+"))</f>
        <v/>
      </c>
      <c r="D139" s="7" t="str" cm="1">
        <f t="array" aca="1" ref="D139" ca="1">IFERROR(IF(OR('Raw Data'!D139="",LEN(TRIM('Raw Data'!D139))=0),"",IF(AND(ISNUMBER('Raw Data'!D139),'Raw Data'!D139&gt;=Configuration!$D$2),"",_xlfn.REGEXEXTRACT(CELL("address",'Raw Data'!D139),"\$([A-Z]+)\$[0-9]+"))),_xlfn.REGEXEXTRACT(CELL("address",D139), "\$([A-Z]+)\$[0-9]+"))</f>
        <v/>
      </c>
      <c r="E139" s="7" t="str" cm="1">
        <f t="array" aca="1" ref="E139" ca="1">IFERROR(IF(OR('Raw Data'!E139="",LEN(TRIM('Raw Data'!E139))=0),"",IF(AND(ISNUMBER('Raw Data'!E139), IFERROR('Raw Data'!E139 = ROUND('Raw Data'!E139, 2),FALSE)),"",_xlfn.REGEXEXTRACT(CELL("address",E139), "\$([A-Z]+)\$[0-9]+"))),_xlfn.REGEXEXTRACT(CELL("address",E139), "\$([A-Z]+)\$[0-9]+"))</f>
        <v/>
      </c>
      <c r="F139" s="7" t="str" cm="1">
        <f t="array" aca="1" ref="F139" ca="1">IFERROR(IF(OR('Raw Data'!F139="",LEN(TRIM('Raw Data'!F139))=0),"",IF(AND(ISNUMBER('Raw Data'!F139), IFERROR('Raw Data'!F139 = ROUND('Raw Data'!F139, 2),FALSE)),"",_xlfn.REGEXEXTRACT(CELL("address",F139), "\$([A-Z]+)\$[0-9]+"))),_xlfn.REGEXEXTRACT(CELL("address",F139), "\$([A-Z]+)\$[0-9]+"))</f>
        <v/>
      </c>
      <c r="G139" s="7" t="str" cm="1">
        <f t="array" aca="1" ref="G139" ca="1">IFERROR(IF(OR('Raw Data'!G139="",LEN(TRIM('Raw Data'!G139))=0),"",IF(AND(ISNUMBER('Raw Data'!G139), IFERROR('Raw Data'!G139 = ROUND('Raw Data'!G139, 2),FALSE)),"",_xlfn.REGEXEXTRACT(CELL("address",G139), "\$([A-Z]+)\$[0-9]+"))),_xlfn.REGEXEXTRACT(CELL("address",G139), "\$([A-Z]+)\$[0-9]+"))</f>
        <v/>
      </c>
      <c r="H139" s="7" t="str" cm="1">
        <f t="array" aca="1" ref="H139" ca="1">IFERROR(IF(OR('Raw Data'!H139="",LEN(TRIM('Raw Data'!H139))=0),"",IF(AND(ISNUMBER('Raw Data'!H139), IFERROR('Raw Data'!H139 = ROUND('Raw Data'!H139, 2),FALSE)),"",_xlfn.REGEXEXTRACT(CELL("address",H139), "\$([A-Z]+)\$[0-9]+"))),_xlfn.REGEXEXTRACT(CELL("address",H139), "\$([A-Z]+)\$[0-9]+"))</f>
        <v/>
      </c>
      <c r="I139" s="7" t="str" cm="1">
        <f t="array" aca="1" ref="I139" ca="1">IFERROR(IF(OR('Raw Data'!I139="",LEN(TRIM('Raw Data'!I139))=0),"",IF(AND(ISNUMBER('Raw Data'!I139), IFERROR('Raw Data'!I139 = ROUND('Raw Data'!I139, 2),FALSE)),"",_xlfn.REGEXEXTRACT(CELL("address",I139), "\$([A-Z]+)\$[0-9]+"))),_xlfn.REGEXEXTRACT(CELL("address",I139), "\$([A-Z]+)\$[0-9]+"))</f>
        <v/>
      </c>
      <c r="J139" s="7" t="str" cm="1">
        <f t="array" aca="1" ref="J139" ca="1">IFERROR(IF(OR('Raw Data'!J139="",LEN(TRIM('Raw Data'!J139))=0),"",IF(AND(ISNUMBER('Raw Data'!J139), IFERROR('Raw Data'!J139 = ROUND('Raw Data'!J139, 2),FALSE)),"",_xlfn.REGEXEXTRACT(CELL("address",J139), "\$([A-Z]+)\$[0-9]+"))),_xlfn.REGEXEXTRACT(CELL("address",J139), "\$([A-Z]+)\$[0-9]+"))</f>
        <v/>
      </c>
      <c r="K139" s="7" t="str" cm="1">
        <f t="array" aca="1" ref="K139" ca="1">IFERROR(IF(OR('Raw Data'!K139="",LEN(TRIM('Raw Data'!K139))=0),"",IF(AND(ISNUMBER('Raw Data'!K139), IFERROR('Raw Data'!K139 = ROUND('Raw Data'!K139, 2),FALSE)),"",_xlfn.REGEXEXTRACT(CELL("address",K139), "\$([A-Z]+)\$[0-9]+"))),_xlfn.REGEXEXTRACT(CELL("address",K139), "\$([A-Z]+)\$[0-9]+"))</f>
        <v/>
      </c>
      <c r="L139" s="7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7" t="str" cm="1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7" t="str" cm="1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  <c r="O139" s="7" t="str" cm="1">
        <f t="array" aca="1" ref="O139" ca="1">IFERROR(IF(OR('Raw Data'!O139="",LEN(TRIM('Raw Data'!O139))=0),"",IF(AND(ISNUMBER('Raw Data'!O139), IFERROR('Raw Data'!O139 = ROUND('Raw Data'!O139, 2),FALSE)),"",_xlfn.REGEXEXTRACT(CELL("address",O139), "\$([A-Z]+)\$[0-9]+"))),_xlfn.REGEXEXTRACT(CELL("address",O139), "\$([A-Z]+)\$[0-9]+"))</f>
        <v/>
      </c>
      <c r="P139" s="7" t="str" cm="1">
        <f t="array" aca="1" ref="P139" ca="1">IFERROR(IF(OR('Raw Data'!P139="",LEN(TRIM('Raw Data'!P139))=0),"",IF(AND(ISNUMBER('Raw Data'!P139), IFERROR('Raw Data'!P139 = ROUND('Raw Data'!P139, 2),FALSE)),"",_xlfn.REGEXEXTRACT(CELL("address",P139), "\$([A-Z]+)\$[0-9]+"))),_xlfn.REGEXEXTRACT(CELL("address",P139), "\$([A-Z]+)\$[0-9]+"))</f>
        <v/>
      </c>
      <c r="Q139" s="7" t="str" cm="1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7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7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7" t="str" cm="1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7" t="str" cm="1">
        <f t="array" aca="1" ref="U139" ca="1">IFERROR(IF(OR('Raw Data'!U139="",LEN(TRIM('Raw Data'!U139))=0),"",IF(AND(ISNUMBER('Raw Data'!U139), IFERROR('Raw Data'!U139 = ROUND('Raw Data'!U139, 2),FALSE)),"",_xlfn.REGEXEXTRACT(CELL("address",U139), "\$([A-Z]+)\$[0-9]+"))),_xlfn.REGEXEXTRACT(CELL("address",U139), "\$([A-Z]+)\$[0-9]+"))</f>
        <v/>
      </c>
      <c r="V139" s="7" t="str" cm="1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7" t="str" cm="1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7" t="str" cm="1">
        <f t="array" aca="1" ref="X139" ca="1">IFERROR(IF(OR('Raw Data'!X139="",LEN(TRIM('Raw Data'!X139))=0),"",IF(AND(ISNUMBER('Raw Data'!X139), IFERROR('Raw Data'!X139 = ROUND('Raw Data'!X139, 2),FALSE)),"",_xlfn.REGEXEXTRACT(CELL("address",X139), "\$([A-Z]+)\$[0-9]+"))),_xlfn.REGEXEXTRACT(CELL("address",X139), "\$([A-Z]+)\$[0-9]+"))</f>
        <v/>
      </c>
      <c r="Y139" s="7" t="str" cm="1">
        <f t="array" aca="1" ref="Y139" ca="1">IFERROR(IF(OR('Raw Data'!Y139="",LEN(TRIM('Raw Data'!Y139))=0),"",IF(AND(ISNUMBER('Raw Data'!Y139), IFERROR('Raw Data'!Y139 = ROUND('Raw Data'!Y139, 2),FALSE)),"",_xlfn.REGEXEXTRACT(CELL("address",Y139), "\$([A-Z]+)\$[0-9]+"))),_xlfn.REGEXEXTRACT(CELL("address",Y139), "\$([A-Z]+)\$[0-9]+"))</f>
        <v/>
      </c>
      <c r="Z139" s="7" t="str" cm="1">
        <f t="array" aca="1" ref="Z139" ca="1">IFERROR(IF(OR('Raw Data'!Z139="",LEN(TRIM('Raw Data'!Z139))=0),"",IF(AND(ISNUMBER('Raw Data'!Z139), IFERROR('Raw Data'!Z139 = ROUND('Raw Data'!Z139, 2),FALSE)),"",_xlfn.REGEXEXTRACT(CELL("address",Z139), "\$([A-Z]+)\$[0-9]+"))),_xlfn.REGEXEXTRACT(CELL("address",Z139), "\$([A-Z]+)\$[0-9]+"))</f>
        <v/>
      </c>
      <c r="AA139" s="7" t="str" cm="1">
        <f t="array" aca="1" ref="AA139" ca="1">IFERROR(IF(OR('Raw Data'!AA139="",LEN(TRIM('Raw Data'!AA139))=0),"",IF(AND(ISNUMBER('Raw Data'!AA139), IFERROR('Raw Data'!AA139 = ROUND('Raw Data'!AA139, 2),FALSE)),"",_xlfn.REGEXEXTRACT(CELL("address",AA139), "\$([A-Z]+)\$[0-9]+"))),_xlfn.REGEXEXTRACT(CELL("address",AA139), "\$([A-Z]+)\$[0-9]+"))</f>
        <v/>
      </c>
      <c r="AB139" s="7" t="str" cm="1">
        <f t="array" aca="1" ref="AB139" ca="1">IFERROR(IF(OR('Raw Data'!AB139="",LEN(TRIM('Raw Data'!AB139))=0),"",IF(AND(ISNUMBER('Raw Data'!AB139), IFERROR('Raw Data'!AB139 = ROUND('Raw Data'!AB139, 2),FALSE)),"",_xlfn.REGEXEXTRACT(CELL("address",AB139), "\$([A-Z]+)\$[0-9]+"))),_xlfn.REGEXEXTRACT(CELL("address",AB139), "\$([A-Z]+)\$[0-9]+"))</f>
        <v/>
      </c>
    </row>
    <row r="140" spans="2:28" x14ac:dyDescent="0.25">
      <c r="B140" s="7" t="str" cm="1">
        <f t="array" aca="1" ref="B140" ca="1">IFERROR(IF(OR('Raw Data'!B140="",LEN(TRIM('Raw Data'!B140))=0),"",IF(AND(LEN('Raw Data'!B140) &lt;= 255,LEN('Raw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Data'!C140))=0),"",IF(AND(LEN('Raw Data'!C140) &lt;= 20,LEN('Raw Data'!C140)&gt; 0),"",_xlfn.REGEXEXTRACT(CELL("address",'Raw Data'!C140),"\$([A-Z]+)\$[0-9]+"))),_xlfn.REGEXEXTRACT(CELL("address",'Raw Data'!C140),"\$([A-Z]+)\$[0-9]+"))</f>
        <v/>
      </c>
      <c r="D140" s="7" t="str" cm="1">
        <f t="array" aca="1" ref="D140" ca="1">IFERROR(IF(OR('Raw Data'!D140="",LEN(TRIM('Raw Data'!D140))=0),"",IF(AND(ISNUMBER('Raw Data'!D140),'Raw Data'!D140&gt;=Configuration!$D$2),"",_xlfn.REGEXEXTRACT(CELL("address",'Raw Data'!D140),"\$([A-Z]+)\$[0-9]+"))),_xlfn.REGEXEXTRACT(CELL("address",D140), "\$([A-Z]+)\$[0-9]+"))</f>
        <v/>
      </c>
      <c r="E140" s="7" t="str" cm="1">
        <f t="array" aca="1" ref="E140" ca="1">IFERROR(IF(OR('Raw Data'!E140="",LEN(TRIM('Raw Data'!E140))=0),"",IF(AND(ISNUMBER('Raw Data'!E140), IFERROR('Raw Data'!E140 = ROUND('Raw Data'!E140, 2),FALSE)),"",_xlfn.REGEXEXTRACT(CELL("address",E140), "\$([A-Z]+)\$[0-9]+"))),_xlfn.REGEXEXTRACT(CELL("address",E140), "\$([A-Z]+)\$[0-9]+"))</f>
        <v/>
      </c>
      <c r="F140" s="7" t="str" cm="1">
        <f t="array" aca="1" ref="F140" ca="1">IFERROR(IF(OR('Raw Data'!F140="",LEN(TRIM('Raw Data'!F140))=0),"",IF(AND(ISNUMBER('Raw Data'!F140), IFERROR('Raw Data'!F140 = ROUND('Raw Data'!F140, 2),FALSE)),"",_xlfn.REGEXEXTRACT(CELL("address",F140), "\$([A-Z]+)\$[0-9]+"))),_xlfn.REGEXEXTRACT(CELL("address",F140), "\$([A-Z]+)\$[0-9]+"))</f>
        <v/>
      </c>
      <c r="G140" s="7" t="str" cm="1">
        <f t="array" aca="1" ref="G140" ca="1">IFERROR(IF(OR('Raw Data'!G140="",LEN(TRIM('Raw Data'!G140))=0),"",IF(AND(ISNUMBER('Raw Data'!G140), IFERROR('Raw Data'!G140 = ROUND('Raw Data'!G140, 2),FALSE)),"",_xlfn.REGEXEXTRACT(CELL("address",G140), "\$([A-Z]+)\$[0-9]+"))),_xlfn.REGEXEXTRACT(CELL("address",G140), "\$([A-Z]+)\$[0-9]+"))</f>
        <v/>
      </c>
      <c r="H140" s="7" t="str" cm="1">
        <f t="array" aca="1" ref="H140" ca="1">IFERROR(IF(OR('Raw Data'!H140="",LEN(TRIM('Raw Data'!H140))=0),"",IF(AND(ISNUMBER('Raw Data'!H140), IFERROR('Raw Data'!H140 = ROUND('Raw Data'!H140, 2),FALSE)),"",_xlfn.REGEXEXTRACT(CELL("address",H140), "\$([A-Z]+)\$[0-9]+"))),_xlfn.REGEXEXTRACT(CELL("address",H140), "\$([A-Z]+)\$[0-9]+"))</f>
        <v/>
      </c>
      <c r="I140" s="7" t="str" cm="1">
        <f t="array" aca="1" ref="I140" ca="1">IFERROR(IF(OR('Raw Data'!I140="",LEN(TRIM('Raw Data'!I140))=0),"",IF(AND(ISNUMBER('Raw Data'!I140), IFERROR('Raw Data'!I140 = ROUND('Raw Data'!I140, 2),FALSE)),"",_xlfn.REGEXEXTRACT(CELL("address",I140), "\$([A-Z]+)\$[0-9]+"))),_xlfn.REGEXEXTRACT(CELL("address",I140), "\$([A-Z]+)\$[0-9]+"))</f>
        <v/>
      </c>
      <c r="J140" s="7" t="str" cm="1">
        <f t="array" aca="1" ref="J140" ca="1">IFERROR(IF(OR('Raw Data'!J140="",LEN(TRIM('Raw Data'!J140))=0),"",IF(AND(ISNUMBER('Raw Data'!J140), IFERROR('Raw Data'!J140 = ROUND('Raw Data'!J140, 2),FALSE)),"",_xlfn.REGEXEXTRACT(CELL("address",J140), "\$([A-Z]+)\$[0-9]+"))),_xlfn.REGEXEXTRACT(CELL("address",J140), "\$([A-Z]+)\$[0-9]+"))</f>
        <v/>
      </c>
      <c r="K140" s="7" t="str" cm="1">
        <f t="array" aca="1" ref="K140" ca="1">IFERROR(IF(OR('Raw Data'!K140="",LEN(TRIM('Raw Data'!K140))=0),"",IF(AND(ISNUMBER('Raw Data'!K140), IFERROR('Raw Data'!K140 = ROUND('Raw Data'!K140, 2),FALSE)),"",_xlfn.REGEXEXTRACT(CELL("address",K140), "\$([A-Z]+)\$[0-9]+"))),_xlfn.REGEXEXTRACT(CELL("address",K140), "\$([A-Z]+)\$[0-9]+"))</f>
        <v/>
      </c>
      <c r="L140" s="7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7" t="str" cm="1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7" t="str" cm="1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  <c r="O140" s="7" t="str" cm="1">
        <f t="array" aca="1" ref="O140" ca="1">IFERROR(IF(OR('Raw Data'!O140="",LEN(TRIM('Raw Data'!O140))=0),"",IF(AND(ISNUMBER('Raw Data'!O140), IFERROR('Raw Data'!O140 = ROUND('Raw Data'!O140, 2),FALSE)),"",_xlfn.REGEXEXTRACT(CELL("address",O140), "\$([A-Z]+)\$[0-9]+"))),_xlfn.REGEXEXTRACT(CELL("address",O140), "\$([A-Z]+)\$[0-9]+"))</f>
        <v/>
      </c>
      <c r="P140" s="7" t="str" cm="1">
        <f t="array" aca="1" ref="P140" ca="1">IFERROR(IF(OR('Raw Data'!P140="",LEN(TRIM('Raw Data'!P140))=0),"",IF(AND(ISNUMBER('Raw Data'!P140), IFERROR('Raw Data'!P140 = ROUND('Raw Data'!P140, 2),FALSE)),"",_xlfn.REGEXEXTRACT(CELL("address",P140), "\$([A-Z]+)\$[0-9]+"))),_xlfn.REGEXEXTRACT(CELL("address",P140), "\$([A-Z]+)\$[0-9]+"))</f>
        <v/>
      </c>
      <c r="Q140" s="7" t="str" cm="1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7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7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7" t="str" cm="1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7" t="str" cm="1">
        <f t="array" aca="1" ref="U140" ca="1">IFERROR(IF(OR('Raw Data'!U140="",LEN(TRIM('Raw Data'!U140))=0),"",IF(AND(ISNUMBER('Raw Data'!U140), IFERROR('Raw Data'!U140 = ROUND('Raw Data'!U140, 2),FALSE)),"",_xlfn.REGEXEXTRACT(CELL("address",U140), "\$([A-Z]+)\$[0-9]+"))),_xlfn.REGEXEXTRACT(CELL("address",U140), "\$([A-Z]+)\$[0-9]+"))</f>
        <v/>
      </c>
      <c r="V140" s="7" t="str" cm="1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7" t="str" cm="1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7" t="str" cm="1">
        <f t="array" aca="1" ref="X140" ca="1">IFERROR(IF(OR('Raw Data'!X140="",LEN(TRIM('Raw Data'!X140))=0),"",IF(AND(ISNUMBER('Raw Data'!X140), IFERROR('Raw Data'!X140 = ROUND('Raw Data'!X140, 2),FALSE)),"",_xlfn.REGEXEXTRACT(CELL("address",X140), "\$([A-Z]+)\$[0-9]+"))),_xlfn.REGEXEXTRACT(CELL("address",X140), "\$([A-Z]+)\$[0-9]+"))</f>
        <v/>
      </c>
      <c r="Y140" s="7" t="str" cm="1">
        <f t="array" aca="1" ref="Y140" ca="1">IFERROR(IF(OR('Raw Data'!Y140="",LEN(TRIM('Raw Data'!Y140))=0),"",IF(AND(ISNUMBER('Raw Data'!Y140), IFERROR('Raw Data'!Y140 = ROUND('Raw Data'!Y140, 2),FALSE)),"",_xlfn.REGEXEXTRACT(CELL("address",Y140), "\$([A-Z]+)\$[0-9]+"))),_xlfn.REGEXEXTRACT(CELL("address",Y140), "\$([A-Z]+)\$[0-9]+"))</f>
        <v/>
      </c>
      <c r="Z140" s="7" t="str" cm="1">
        <f t="array" aca="1" ref="Z140" ca="1">IFERROR(IF(OR('Raw Data'!Z140="",LEN(TRIM('Raw Data'!Z140))=0),"",IF(AND(ISNUMBER('Raw Data'!Z140), IFERROR('Raw Data'!Z140 = ROUND('Raw Data'!Z140, 2),FALSE)),"",_xlfn.REGEXEXTRACT(CELL("address",Z140), "\$([A-Z]+)\$[0-9]+"))),_xlfn.REGEXEXTRACT(CELL("address",Z140), "\$([A-Z]+)\$[0-9]+"))</f>
        <v/>
      </c>
      <c r="AA140" s="7" t="str" cm="1">
        <f t="array" aca="1" ref="AA140" ca="1">IFERROR(IF(OR('Raw Data'!AA140="",LEN(TRIM('Raw Data'!AA140))=0),"",IF(AND(ISNUMBER('Raw Data'!AA140), IFERROR('Raw Data'!AA140 = ROUND('Raw Data'!AA140, 2),FALSE)),"",_xlfn.REGEXEXTRACT(CELL("address",AA140), "\$([A-Z]+)\$[0-9]+"))),_xlfn.REGEXEXTRACT(CELL("address",AA140), "\$([A-Z]+)\$[0-9]+"))</f>
        <v/>
      </c>
      <c r="AB140" s="7" t="str" cm="1">
        <f t="array" aca="1" ref="AB140" ca="1">IFERROR(IF(OR('Raw Data'!AB140="",LEN(TRIM('Raw Data'!AB140))=0),"",IF(AND(ISNUMBER('Raw Data'!AB140), IFERROR('Raw Data'!AB140 = ROUND('Raw Data'!AB140, 2),FALSE)),"",_xlfn.REGEXEXTRACT(CELL("address",AB140), "\$([A-Z]+)\$[0-9]+"))),_xlfn.REGEXEXTRACT(CELL("address",AB140), "\$([A-Z]+)\$[0-9]+"))</f>
        <v/>
      </c>
    </row>
    <row r="141" spans="2:28" x14ac:dyDescent="0.25">
      <c r="B141" s="7" t="str" cm="1">
        <f t="array" aca="1" ref="B141" ca="1">IFERROR(IF(OR('Raw Data'!B141="",LEN(TRIM('Raw Data'!B141))=0),"",IF(AND(LEN('Raw Data'!B141) &lt;= 255,LEN('Raw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Data'!C141))=0),"",IF(AND(LEN('Raw Data'!C141) &lt;= 20,LEN('Raw Data'!C141)&gt; 0),"",_xlfn.REGEXEXTRACT(CELL("address",'Raw Data'!C141),"\$([A-Z]+)\$[0-9]+"))),_xlfn.REGEXEXTRACT(CELL("address",'Raw Data'!C141),"\$([A-Z]+)\$[0-9]+"))</f>
        <v/>
      </c>
      <c r="D141" s="7" t="str" cm="1">
        <f t="array" aca="1" ref="D141" ca="1">IFERROR(IF(OR('Raw Data'!D141="",LEN(TRIM('Raw Data'!D141))=0),"",IF(AND(ISNUMBER('Raw Data'!D141),'Raw Data'!D141&gt;=Configuration!$D$2),"",_xlfn.REGEXEXTRACT(CELL("address",'Raw Data'!D141),"\$([A-Z]+)\$[0-9]+"))),_xlfn.REGEXEXTRACT(CELL("address",D141), "\$([A-Z]+)\$[0-9]+"))</f>
        <v/>
      </c>
      <c r="E141" s="7" t="str" cm="1">
        <f t="array" aca="1" ref="E141" ca="1">IFERROR(IF(OR('Raw Data'!E141="",LEN(TRIM('Raw Data'!E141))=0),"",IF(AND(ISNUMBER('Raw Data'!E141), IFERROR('Raw Data'!E141 = ROUND('Raw Data'!E141, 2),FALSE)),"",_xlfn.REGEXEXTRACT(CELL("address",E141), "\$([A-Z]+)\$[0-9]+"))),_xlfn.REGEXEXTRACT(CELL("address",E141), "\$([A-Z]+)\$[0-9]+"))</f>
        <v/>
      </c>
      <c r="F141" s="7" t="str" cm="1">
        <f t="array" aca="1" ref="F141" ca="1">IFERROR(IF(OR('Raw Data'!F141="",LEN(TRIM('Raw Data'!F141))=0),"",IF(AND(ISNUMBER('Raw Data'!F141), IFERROR('Raw Data'!F141 = ROUND('Raw Data'!F141, 2),FALSE)),"",_xlfn.REGEXEXTRACT(CELL("address",F141), "\$([A-Z]+)\$[0-9]+"))),_xlfn.REGEXEXTRACT(CELL("address",F141), "\$([A-Z]+)\$[0-9]+"))</f>
        <v/>
      </c>
      <c r="G141" s="7" t="str" cm="1">
        <f t="array" aca="1" ref="G141" ca="1">IFERROR(IF(OR('Raw Data'!G141="",LEN(TRIM('Raw Data'!G141))=0),"",IF(AND(ISNUMBER('Raw Data'!G141), IFERROR('Raw Data'!G141 = ROUND('Raw Data'!G141, 2),FALSE)),"",_xlfn.REGEXEXTRACT(CELL("address",G141), "\$([A-Z]+)\$[0-9]+"))),_xlfn.REGEXEXTRACT(CELL("address",G141), "\$([A-Z]+)\$[0-9]+"))</f>
        <v/>
      </c>
      <c r="H141" s="7" t="str" cm="1">
        <f t="array" aca="1" ref="H141" ca="1">IFERROR(IF(OR('Raw Data'!H141="",LEN(TRIM('Raw Data'!H141))=0),"",IF(AND(ISNUMBER('Raw Data'!H141), IFERROR('Raw Data'!H141 = ROUND('Raw Data'!H141, 2),FALSE)),"",_xlfn.REGEXEXTRACT(CELL("address",H141), "\$([A-Z]+)\$[0-9]+"))),_xlfn.REGEXEXTRACT(CELL("address",H141), "\$([A-Z]+)\$[0-9]+"))</f>
        <v/>
      </c>
      <c r="I141" s="7" t="str" cm="1">
        <f t="array" aca="1" ref="I141" ca="1">IFERROR(IF(OR('Raw Data'!I141="",LEN(TRIM('Raw Data'!I141))=0),"",IF(AND(ISNUMBER('Raw Data'!I141), IFERROR('Raw Data'!I141 = ROUND('Raw Data'!I141, 2),FALSE)),"",_xlfn.REGEXEXTRACT(CELL("address",I141), "\$([A-Z]+)\$[0-9]+"))),_xlfn.REGEXEXTRACT(CELL("address",I141), "\$([A-Z]+)\$[0-9]+"))</f>
        <v/>
      </c>
      <c r="J141" s="7" t="str" cm="1">
        <f t="array" aca="1" ref="J141" ca="1">IFERROR(IF(OR('Raw Data'!J141="",LEN(TRIM('Raw Data'!J141))=0),"",IF(AND(ISNUMBER('Raw Data'!J141), IFERROR('Raw Data'!J141 = ROUND('Raw Data'!J141, 2),FALSE)),"",_xlfn.REGEXEXTRACT(CELL("address",J141), "\$([A-Z]+)\$[0-9]+"))),_xlfn.REGEXEXTRACT(CELL("address",J141), "\$([A-Z]+)\$[0-9]+"))</f>
        <v/>
      </c>
      <c r="K141" s="7" t="str" cm="1">
        <f t="array" aca="1" ref="K141" ca="1">IFERROR(IF(OR('Raw Data'!K141="",LEN(TRIM('Raw Data'!K141))=0),"",IF(AND(ISNUMBER('Raw Data'!K141), IFERROR('Raw Data'!K141 = ROUND('Raw Data'!K141, 2),FALSE)),"",_xlfn.REGEXEXTRACT(CELL("address",K141), "\$([A-Z]+)\$[0-9]+"))),_xlfn.REGEXEXTRACT(CELL("address",K141), "\$([A-Z]+)\$[0-9]+"))</f>
        <v/>
      </c>
      <c r="L141" s="7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7" t="str" cm="1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7" t="str" cm="1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  <c r="O141" s="7" t="str" cm="1">
        <f t="array" aca="1" ref="O141" ca="1">IFERROR(IF(OR('Raw Data'!O141="",LEN(TRIM('Raw Data'!O141))=0),"",IF(AND(ISNUMBER('Raw Data'!O141), IFERROR('Raw Data'!O141 = ROUND('Raw Data'!O141, 2),FALSE)),"",_xlfn.REGEXEXTRACT(CELL("address",O141), "\$([A-Z]+)\$[0-9]+"))),_xlfn.REGEXEXTRACT(CELL("address",O141), "\$([A-Z]+)\$[0-9]+"))</f>
        <v/>
      </c>
      <c r="P141" s="7" t="str" cm="1">
        <f t="array" aca="1" ref="P141" ca="1">IFERROR(IF(OR('Raw Data'!P141="",LEN(TRIM('Raw Data'!P141))=0),"",IF(AND(ISNUMBER('Raw Data'!P141), IFERROR('Raw Data'!P141 = ROUND('Raw Data'!P141, 2),FALSE)),"",_xlfn.REGEXEXTRACT(CELL("address",P141), "\$([A-Z]+)\$[0-9]+"))),_xlfn.REGEXEXTRACT(CELL("address",P141), "\$([A-Z]+)\$[0-9]+"))</f>
        <v/>
      </c>
      <c r="Q141" s="7" t="str" cm="1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7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7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7" t="str" cm="1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7" t="str" cm="1">
        <f t="array" aca="1" ref="U141" ca="1">IFERROR(IF(OR('Raw Data'!U141="",LEN(TRIM('Raw Data'!U141))=0),"",IF(AND(ISNUMBER('Raw Data'!U141), IFERROR('Raw Data'!U141 = ROUND('Raw Data'!U141, 2),FALSE)),"",_xlfn.REGEXEXTRACT(CELL("address",U141), "\$([A-Z]+)\$[0-9]+"))),_xlfn.REGEXEXTRACT(CELL("address",U141), "\$([A-Z]+)\$[0-9]+"))</f>
        <v/>
      </c>
      <c r="V141" s="7" t="str" cm="1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7" t="str" cm="1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7" t="str" cm="1">
        <f t="array" aca="1" ref="X141" ca="1">IFERROR(IF(OR('Raw Data'!X141="",LEN(TRIM('Raw Data'!X141))=0),"",IF(AND(ISNUMBER('Raw Data'!X141), IFERROR('Raw Data'!X141 = ROUND('Raw Data'!X141, 2),FALSE)),"",_xlfn.REGEXEXTRACT(CELL("address",X141), "\$([A-Z]+)\$[0-9]+"))),_xlfn.REGEXEXTRACT(CELL("address",X141), "\$([A-Z]+)\$[0-9]+"))</f>
        <v/>
      </c>
      <c r="Y141" s="7" t="str" cm="1">
        <f t="array" aca="1" ref="Y141" ca="1">IFERROR(IF(OR('Raw Data'!Y141="",LEN(TRIM('Raw Data'!Y141))=0),"",IF(AND(ISNUMBER('Raw Data'!Y141), IFERROR('Raw Data'!Y141 = ROUND('Raw Data'!Y141, 2),FALSE)),"",_xlfn.REGEXEXTRACT(CELL("address",Y141), "\$([A-Z]+)\$[0-9]+"))),_xlfn.REGEXEXTRACT(CELL("address",Y141), "\$([A-Z]+)\$[0-9]+"))</f>
        <v/>
      </c>
      <c r="Z141" s="7" t="str" cm="1">
        <f t="array" aca="1" ref="Z141" ca="1">IFERROR(IF(OR('Raw Data'!Z141="",LEN(TRIM('Raw Data'!Z141))=0),"",IF(AND(ISNUMBER('Raw Data'!Z141), IFERROR('Raw Data'!Z141 = ROUND('Raw Data'!Z141, 2),FALSE)),"",_xlfn.REGEXEXTRACT(CELL("address",Z141), "\$([A-Z]+)\$[0-9]+"))),_xlfn.REGEXEXTRACT(CELL("address",Z141), "\$([A-Z]+)\$[0-9]+"))</f>
        <v/>
      </c>
      <c r="AA141" s="7" t="str" cm="1">
        <f t="array" aca="1" ref="AA141" ca="1">IFERROR(IF(OR('Raw Data'!AA141="",LEN(TRIM('Raw Data'!AA141))=0),"",IF(AND(ISNUMBER('Raw Data'!AA141), IFERROR('Raw Data'!AA141 = ROUND('Raw Data'!AA141, 2),FALSE)),"",_xlfn.REGEXEXTRACT(CELL("address",AA141), "\$([A-Z]+)\$[0-9]+"))),_xlfn.REGEXEXTRACT(CELL("address",AA141), "\$([A-Z]+)\$[0-9]+"))</f>
        <v/>
      </c>
      <c r="AB141" s="7" t="str" cm="1">
        <f t="array" aca="1" ref="AB141" ca="1">IFERROR(IF(OR('Raw Data'!AB141="",LEN(TRIM('Raw Data'!AB141))=0),"",IF(AND(ISNUMBER('Raw Data'!AB141), IFERROR('Raw Data'!AB141 = ROUND('Raw Data'!AB141, 2),FALSE)),"",_xlfn.REGEXEXTRACT(CELL("address",AB141), "\$([A-Z]+)\$[0-9]+"))),_xlfn.REGEXEXTRACT(CELL("address",AB141), "\$([A-Z]+)\$[0-9]+"))</f>
        <v/>
      </c>
    </row>
    <row r="142" spans="2:28" x14ac:dyDescent="0.25">
      <c r="B142" s="7" t="str" cm="1">
        <f t="array" aca="1" ref="B142" ca="1">IFERROR(IF(OR('Raw Data'!B142="",LEN(TRIM('Raw Data'!B142))=0),"",IF(AND(LEN('Raw Data'!B142) &lt;= 255,LEN('Raw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Data'!C142))=0),"",IF(AND(LEN('Raw Data'!C142) &lt;= 20,LEN('Raw Data'!C142)&gt; 0),"",_xlfn.REGEXEXTRACT(CELL("address",'Raw Data'!C142),"\$([A-Z]+)\$[0-9]+"))),_xlfn.REGEXEXTRACT(CELL("address",'Raw Data'!C142),"\$([A-Z]+)\$[0-9]+"))</f>
        <v/>
      </c>
      <c r="D142" s="7" t="str" cm="1">
        <f t="array" aca="1" ref="D142" ca="1">IFERROR(IF(OR('Raw Data'!D142="",LEN(TRIM('Raw Data'!D142))=0),"",IF(AND(ISNUMBER('Raw Data'!D142),'Raw Data'!D142&gt;=Configuration!$D$2),"",_xlfn.REGEXEXTRACT(CELL("address",'Raw Data'!D142),"\$([A-Z]+)\$[0-9]+"))),_xlfn.REGEXEXTRACT(CELL("address",D142), "\$([A-Z]+)\$[0-9]+"))</f>
        <v/>
      </c>
      <c r="E142" s="7" t="str" cm="1">
        <f t="array" aca="1" ref="E142" ca="1">IFERROR(IF(OR('Raw Data'!E142="",LEN(TRIM('Raw Data'!E142))=0),"",IF(AND(ISNUMBER('Raw Data'!E142), IFERROR('Raw Data'!E142 = ROUND('Raw Data'!E142, 2),FALSE)),"",_xlfn.REGEXEXTRACT(CELL("address",E142), "\$([A-Z]+)\$[0-9]+"))),_xlfn.REGEXEXTRACT(CELL("address",E142), "\$([A-Z]+)\$[0-9]+"))</f>
        <v/>
      </c>
      <c r="F142" s="7" t="str" cm="1">
        <f t="array" aca="1" ref="F142" ca="1">IFERROR(IF(OR('Raw Data'!F142="",LEN(TRIM('Raw Data'!F142))=0),"",IF(AND(ISNUMBER('Raw Data'!F142), IFERROR('Raw Data'!F142 = ROUND('Raw Data'!F142, 2),FALSE)),"",_xlfn.REGEXEXTRACT(CELL("address",F142), "\$([A-Z]+)\$[0-9]+"))),_xlfn.REGEXEXTRACT(CELL("address",F142), "\$([A-Z]+)\$[0-9]+"))</f>
        <v/>
      </c>
      <c r="G142" s="7" t="str" cm="1">
        <f t="array" aca="1" ref="G142" ca="1">IFERROR(IF(OR('Raw Data'!G142="",LEN(TRIM('Raw Data'!G142))=0),"",IF(AND(ISNUMBER('Raw Data'!G142), IFERROR('Raw Data'!G142 = ROUND('Raw Data'!G142, 2),FALSE)),"",_xlfn.REGEXEXTRACT(CELL("address",G142), "\$([A-Z]+)\$[0-9]+"))),_xlfn.REGEXEXTRACT(CELL("address",G142), "\$([A-Z]+)\$[0-9]+"))</f>
        <v/>
      </c>
      <c r="H142" s="7" t="str" cm="1">
        <f t="array" aca="1" ref="H142" ca="1">IFERROR(IF(OR('Raw Data'!H142="",LEN(TRIM('Raw Data'!H142))=0),"",IF(AND(ISNUMBER('Raw Data'!H142), IFERROR('Raw Data'!H142 = ROUND('Raw Data'!H142, 2),FALSE)),"",_xlfn.REGEXEXTRACT(CELL("address",H142), "\$([A-Z]+)\$[0-9]+"))),_xlfn.REGEXEXTRACT(CELL("address",H142), "\$([A-Z]+)\$[0-9]+"))</f>
        <v/>
      </c>
      <c r="I142" s="7" t="str" cm="1">
        <f t="array" aca="1" ref="I142" ca="1">IFERROR(IF(OR('Raw Data'!I142="",LEN(TRIM('Raw Data'!I142))=0),"",IF(AND(ISNUMBER('Raw Data'!I142), IFERROR('Raw Data'!I142 = ROUND('Raw Data'!I142, 2),FALSE)),"",_xlfn.REGEXEXTRACT(CELL("address",I142), "\$([A-Z]+)\$[0-9]+"))),_xlfn.REGEXEXTRACT(CELL("address",I142), "\$([A-Z]+)\$[0-9]+"))</f>
        <v/>
      </c>
      <c r="J142" s="7" t="str" cm="1">
        <f t="array" aca="1" ref="J142" ca="1">IFERROR(IF(OR('Raw Data'!J142="",LEN(TRIM('Raw Data'!J142))=0),"",IF(AND(ISNUMBER('Raw Data'!J142), IFERROR('Raw Data'!J142 = ROUND('Raw Data'!J142, 2),FALSE)),"",_xlfn.REGEXEXTRACT(CELL("address",J142), "\$([A-Z]+)\$[0-9]+"))),_xlfn.REGEXEXTRACT(CELL("address",J142), "\$([A-Z]+)\$[0-9]+"))</f>
        <v/>
      </c>
      <c r="K142" s="7" t="str" cm="1">
        <f t="array" aca="1" ref="K142" ca="1">IFERROR(IF(OR('Raw Data'!K142="",LEN(TRIM('Raw Data'!K142))=0),"",IF(AND(ISNUMBER('Raw Data'!K142), IFERROR('Raw Data'!K142 = ROUND('Raw Data'!K142, 2),FALSE)),"",_xlfn.REGEXEXTRACT(CELL("address",K142), "\$([A-Z]+)\$[0-9]+"))),_xlfn.REGEXEXTRACT(CELL("address",K142), "\$([A-Z]+)\$[0-9]+"))</f>
        <v/>
      </c>
      <c r="L142" s="7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7" t="str" cm="1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7" t="str" cm="1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  <c r="O142" s="7" t="str" cm="1">
        <f t="array" aca="1" ref="O142" ca="1">IFERROR(IF(OR('Raw Data'!O142="",LEN(TRIM('Raw Data'!O142))=0),"",IF(AND(ISNUMBER('Raw Data'!O142), IFERROR('Raw Data'!O142 = ROUND('Raw Data'!O142, 2),FALSE)),"",_xlfn.REGEXEXTRACT(CELL("address",O142), "\$([A-Z]+)\$[0-9]+"))),_xlfn.REGEXEXTRACT(CELL("address",O142), "\$([A-Z]+)\$[0-9]+"))</f>
        <v/>
      </c>
      <c r="P142" s="7" t="str" cm="1">
        <f t="array" aca="1" ref="P142" ca="1">IFERROR(IF(OR('Raw Data'!P142="",LEN(TRIM('Raw Data'!P142))=0),"",IF(AND(ISNUMBER('Raw Data'!P142), IFERROR('Raw Data'!P142 = ROUND('Raw Data'!P142, 2),FALSE)),"",_xlfn.REGEXEXTRACT(CELL("address",P142), "\$([A-Z]+)\$[0-9]+"))),_xlfn.REGEXEXTRACT(CELL("address",P142), "\$([A-Z]+)\$[0-9]+"))</f>
        <v/>
      </c>
      <c r="Q142" s="7" t="str" cm="1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7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7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7" t="str" cm="1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7" t="str" cm="1">
        <f t="array" aca="1" ref="U142" ca="1">IFERROR(IF(OR('Raw Data'!U142="",LEN(TRIM('Raw Data'!U142))=0),"",IF(AND(ISNUMBER('Raw Data'!U142), IFERROR('Raw Data'!U142 = ROUND('Raw Data'!U142, 2),FALSE)),"",_xlfn.REGEXEXTRACT(CELL("address",U142), "\$([A-Z]+)\$[0-9]+"))),_xlfn.REGEXEXTRACT(CELL("address",U142), "\$([A-Z]+)\$[0-9]+"))</f>
        <v/>
      </c>
      <c r="V142" s="7" t="str" cm="1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7" t="str" cm="1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7" t="str" cm="1">
        <f t="array" aca="1" ref="X142" ca="1">IFERROR(IF(OR('Raw Data'!X142="",LEN(TRIM('Raw Data'!X142))=0),"",IF(AND(ISNUMBER('Raw Data'!X142), IFERROR('Raw Data'!X142 = ROUND('Raw Data'!X142, 2),FALSE)),"",_xlfn.REGEXEXTRACT(CELL("address",X142), "\$([A-Z]+)\$[0-9]+"))),_xlfn.REGEXEXTRACT(CELL("address",X142), "\$([A-Z]+)\$[0-9]+"))</f>
        <v/>
      </c>
      <c r="Y142" s="7" t="str" cm="1">
        <f t="array" aca="1" ref="Y142" ca="1">IFERROR(IF(OR('Raw Data'!Y142="",LEN(TRIM('Raw Data'!Y142))=0),"",IF(AND(ISNUMBER('Raw Data'!Y142), IFERROR('Raw Data'!Y142 = ROUND('Raw Data'!Y142, 2),FALSE)),"",_xlfn.REGEXEXTRACT(CELL("address",Y142), "\$([A-Z]+)\$[0-9]+"))),_xlfn.REGEXEXTRACT(CELL("address",Y142), "\$([A-Z]+)\$[0-9]+"))</f>
        <v/>
      </c>
      <c r="Z142" s="7" t="str" cm="1">
        <f t="array" aca="1" ref="Z142" ca="1">IFERROR(IF(OR('Raw Data'!Z142="",LEN(TRIM('Raw Data'!Z142))=0),"",IF(AND(ISNUMBER('Raw Data'!Z142), IFERROR('Raw Data'!Z142 = ROUND('Raw Data'!Z142, 2),FALSE)),"",_xlfn.REGEXEXTRACT(CELL("address",Z142), "\$([A-Z]+)\$[0-9]+"))),_xlfn.REGEXEXTRACT(CELL("address",Z142), "\$([A-Z]+)\$[0-9]+"))</f>
        <v/>
      </c>
      <c r="AA142" s="7" t="str" cm="1">
        <f t="array" aca="1" ref="AA142" ca="1">IFERROR(IF(OR('Raw Data'!AA142="",LEN(TRIM('Raw Data'!AA142))=0),"",IF(AND(ISNUMBER('Raw Data'!AA142), IFERROR('Raw Data'!AA142 = ROUND('Raw Data'!AA142, 2),FALSE)),"",_xlfn.REGEXEXTRACT(CELL("address",AA142), "\$([A-Z]+)\$[0-9]+"))),_xlfn.REGEXEXTRACT(CELL("address",AA142), "\$([A-Z]+)\$[0-9]+"))</f>
        <v/>
      </c>
      <c r="AB142" s="7" t="str" cm="1">
        <f t="array" aca="1" ref="AB142" ca="1">IFERROR(IF(OR('Raw Data'!AB142="",LEN(TRIM('Raw Data'!AB142))=0),"",IF(AND(ISNUMBER('Raw Data'!AB142), IFERROR('Raw Data'!AB142 = ROUND('Raw Data'!AB142, 2),FALSE)),"",_xlfn.REGEXEXTRACT(CELL("address",AB142), "\$([A-Z]+)\$[0-9]+"))),_xlfn.REGEXEXTRACT(CELL("address",AB142), "\$([A-Z]+)\$[0-9]+"))</f>
        <v/>
      </c>
    </row>
    <row r="143" spans="2:28" x14ac:dyDescent="0.25">
      <c r="B143" s="7" t="str" cm="1">
        <f t="array" aca="1" ref="B143" ca="1">IFERROR(IF(OR('Raw Data'!B143="",LEN(TRIM('Raw Data'!B143))=0),"",IF(AND(LEN('Raw Data'!B143) &lt;= 255,LEN('Raw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Data'!C143))=0),"",IF(AND(LEN('Raw Data'!C143) &lt;= 20,LEN('Raw Data'!C143)&gt; 0),"",_xlfn.REGEXEXTRACT(CELL("address",'Raw Data'!C143),"\$([A-Z]+)\$[0-9]+"))),_xlfn.REGEXEXTRACT(CELL("address",'Raw Data'!C143),"\$([A-Z]+)\$[0-9]+"))</f>
        <v/>
      </c>
      <c r="D143" s="7" t="str" cm="1">
        <f t="array" aca="1" ref="D143" ca="1">IFERROR(IF(OR('Raw Data'!D143="",LEN(TRIM('Raw Data'!D143))=0),"",IF(AND(ISNUMBER('Raw Data'!D143),'Raw Data'!D143&gt;=Configuration!$D$2),"",_xlfn.REGEXEXTRACT(CELL("address",'Raw Data'!D143),"\$([A-Z]+)\$[0-9]+"))),_xlfn.REGEXEXTRACT(CELL("address",D143), "\$([A-Z]+)\$[0-9]+"))</f>
        <v/>
      </c>
      <c r="E143" s="7" t="str" cm="1">
        <f t="array" aca="1" ref="E143" ca="1">IFERROR(IF(OR('Raw Data'!E143="",LEN(TRIM('Raw Data'!E143))=0),"",IF(AND(ISNUMBER('Raw Data'!E143), IFERROR('Raw Data'!E143 = ROUND('Raw Data'!E143, 2),FALSE)),"",_xlfn.REGEXEXTRACT(CELL("address",E143), "\$([A-Z]+)\$[0-9]+"))),_xlfn.REGEXEXTRACT(CELL("address",E143), "\$([A-Z]+)\$[0-9]+"))</f>
        <v/>
      </c>
      <c r="F143" s="7" t="str" cm="1">
        <f t="array" aca="1" ref="F143" ca="1">IFERROR(IF(OR('Raw Data'!F143="",LEN(TRIM('Raw Data'!F143))=0),"",IF(AND(ISNUMBER('Raw Data'!F143), IFERROR('Raw Data'!F143 = ROUND('Raw Data'!F143, 2),FALSE)),"",_xlfn.REGEXEXTRACT(CELL("address",F143), "\$([A-Z]+)\$[0-9]+"))),_xlfn.REGEXEXTRACT(CELL("address",F143), "\$([A-Z]+)\$[0-9]+"))</f>
        <v/>
      </c>
      <c r="G143" s="7" t="str" cm="1">
        <f t="array" aca="1" ref="G143" ca="1">IFERROR(IF(OR('Raw Data'!G143="",LEN(TRIM('Raw Data'!G143))=0),"",IF(AND(ISNUMBER('Raw Data'!G143), IFERROR('Raw Data'!G143 = ROUND('Raw Data'!G143, 2),FALSE)),"",_xlfn.REGEXEXTRACT(CELL("address",G143), "\$([A-Z]+)\$[0-9]+"))),_xlfn.REGEXEXTRACT(CELL("address",G143), "\$([A-Z]+)\$[0-9]+"))</f>
        <v/>
      </c>
      <c r="H143" s="7" t="str" cm="1">
        <f t="array" aca="1" ref="H143" ca="1">IFERROR(IF(OR('Raw Data'!H143="",LEN(TRIM('Raw Data'!H143))=0),"",IF(AND(ISNUMBER('Raw Data'!H143), IFERROR('Raw Data'!H143 = ROUND('Raw Data'!H143, 2),FALSE)),"",_xlfn.REGEXEXTRACT(CELL("address",H143), "\$([A-Z]+)\$[0-9]+"))),_xlfn.REGEXEXTRACT(CELL("address",H143), "\$([A-Z]+)\$[0-9]+"))</f>
        <v/>
      </c>
      <c r="I143" s="7" t="str" cm="1">
        <f t="array" aca="1" ref="I143" ca="1">IFERROR(IF(OR('Raw Data'!I143="",LEN(TRIM('Raw Data'!I143))=0),"",IF(AND(ISNUMBER('Raw Data'!I143), IFERROR('Raw Data'!I143 = ROUND('Raw Data'!I143, 2),FALSE)),"",_xlfn.REGEXEXTRACT(CELL("address",I143), "\$([A-Z]+)\$[0-9]+"))),_xlfn.REGEXEXTRACT(CELL("address",I143), "\$([A-Z]+)\$[0-9]+"))</f>
        <v/>
      </c>
      <c r="J143" s="7" t="str" cm="1">
        <f t="array" aca="1" ref="J143" ca="1">IFERROR(IF(OR('Raw Data'!J143="",LEN(TRIM('Raw Data'!J143))=0),"",IF(AND(ISNUMBER('Raw Data'!J143), IFERROR('Raw Data'!J143 = ROUND('Raw Data'!J143, 2),FALSE)),"",_xlfn.REGEXEXTRACT(CELL("address",J143), "\$([A-Z]+)\$[0-9]+"))),_xlfn.REGEXEXTRACT(CELL("address",J143), "\$([A-Z]+)\$[0-9]+"))</f>
        <v/>
      </c>
      <c r="K143" s="7" t="str" cm="1">
        <f t="array" aca="1" ref="K143" ca="1">IFERROR(IF(OR('Raw Data'!K143="",LEN(TRIM('Raw Data'!K143))=0),"",IF(AND(ISNUMBER('Raw Data'!K143), IFERROR('Raw Data'!K143 = ROUND('Raw Data'!K143, 2),FALSE)),"",_xlfn.REGEXEXTRACT(CELL("address",K143), "\$([A-Z]+)\$[0-9]+"))),_xlfn.REGEXEXTRACT(CELL("address",K143), "\$([A-Z]+)\$[0-9]+"))</f>
        <v/>
      </c>
      <c r="L143" s="7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7" t="str" cm="1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7" t="str" cm="1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  <c r="O143" s="7" t="str" cm="1">
        <f t="array" aca="1" ref="O143" ca="1">IFERROR(IF(OR('Raw Data'!O143="",LEN(TRIM('Raw Data'!O143))=0),"",IF(AND(ISNUMBER('Raw Data'!O143), IFERROR('Raw Data'!O143 = ROUND('Raw Data'!O143, 2),FALSE)),"",_xlfn.REGEXEXTRACT(CELL("address",O143), "\$([A-Z]+)\$[0-9]+"))),_xlfn.REGEXEXTRACT(CELL("address",O143), "\$([A-Z]+)\$[0-9]+"))</f>
        <v/>
      </c>
      <c r="P143" s="7" t="str" cm="1">
        <f t="array" aca="1" ref="P143" ca="1">IFERROR(IF(OR('Raw Data'!P143="",LEN(TRIM('Raw Data'!P143))=0),"",IF(AND(ISNUMBER('Raw Data'!P143), IFERROR('Raw Data'!P143 = ROUND('Raw Data'!P143, 2),FALSE)),"",_xlfn.REGEXEXTRACT(CELL("address",P143), "\$([A-Z]+)\$[0-9]+"))),_xlfn.REGEXEXTRACT(CELL("address",P143), "\$([A-Z]+)\$[0-9]+"))</f>
        <v/>
      </c>
      <c r="Q143" s="7" t="str" cm="1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7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7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7" t="str" cm="1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7" t="str" cm="1">
        <f t="array" aca="1" ref="U143" ca="1">IFERROR(IF(OR('Raw Data'!U143="",LEN(TRIM('Raw Data'!U143))=0),"",IF(AND(ISNUMBER('Raw Data'!U143), IFERROR('Raw Data'!U143 = ROUND('Raw Data'!U143, 2),FALSE)),"",_xlfn.REGEXEXTRACT(CELL("address",U143), "\$([A-Z]+)\$[0-9]+"))),_xlfn.REGEXEXTRACT(CELL("address",U143), "\$([A-Z]+)\$[0-9]+"))</f>
        <v/>
      </c>
      <c r="V143" s="7" t="str" cm="1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7" t="str" cm="1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7" t="str" cm="1">
        <f t="array" aca="1" ref="X143" ca="1">IFERROR(IF(OR('Raw Data'!X143="",LEN(TRIM('Raw Data'!X143))=0),"",IF(AND(ISNUMBER('Raw Data'!X143), IFERROR('Raw Data'!X143 = ROUND('Raw Data'!X143, 2),FALSE)),"",_xlfn.REGEXEXTRACT(CELL("address",X143), "\$([A-Z]+)\$[0-9]+"))),_xlfn.REGEXEXTRACT(CELL("address",X143), "\$([A-Z]+)\$[0-9]+"))</f>
        <v/>
      </c>
      <c r="Y143" s="7" t="str" cm="1">
        <f t="array" aca="1" ref="Y143" ca="1">IFERROR(IF(OR('Raw Data'!Y143="",LEN(TRIM('Raw Data'!Y143))=0),"",IF(AND(ISNUMBER('Raw Data'!Y143), IFERROR('Raw Data'!Y143 = ROUND('Raw Data'!Y143, 2),FALSE)),"",_xlfn.REGEXEXTRACT(CELL("address",Y143), "\$([A-Z]+)\$[0-9]+"))),_xlfn.REGEXEXTRACT(CELL("address",Y143), "\$([A-Z]+)\$[0-9]+"))</f>
        <v/>
      </c>
      <c r="Z143" s="7" t="str" cm="1">
        <f t="array" aca="1" ref="Z143" ca="1">IFERROR(IF(OR('Raw Data'!Z143="",LEN(TRIM('Raw Data'!Z143))=0),"",IF(AND(ISNUMBER('Raw Data'!Z143), IFERROR('Raw Data'!Z143 = ROUND('Raw Data'!Z143, 2),FALSE)),"",_xlfn.REGEXEXTRACT(CELL("address",Z143), "\$([A-Z]+)\$[0-9]+"))),_xlfn.REGEXEXTRACT(CELL("address",Z143), "\$([A-Z]+)\$[0-9]+"))</f>
        <v/>
      </c>
      <c r="AA143" s="7" t="str" cm="1">
        <f t="array" aca="1" ref="AA143" ca="1">IFERROR(IF(OR('Raw Data'!AA143="",LEN(TRIM('Raw Data'!AA143))=0),"",IF(AND(ISNUMBER('Raw Data'!AA143), IFERROR('Raw Data'!AA143 = ROUND('Raw Data'!AA143, 2),FALSE)),"",_xlfn.REGEXEXTRACT(CELL("address",AA143), "\$([A-Z]+)\$[0-9]+"))),_xlfn.REGEXEXTRACT(CELL("address",AA143), "\$([A-Z]+)\$[0-9]+"))</f>
        <v/>
      </c>
      <c r="AB143" s="7" t="str" cm="1">
        <f t="array" aca="1" ref="AB143" ca="1">IFERROR(IF(OR('Raw Data'!AB143="",LEN(TRIM('Raw Data'!AB143))=0),"",IF(AND(ISNUMBER('Raw Data'!AB143), IFERROR('Raw Data'!AB143 = ROUND('Raw Data'!AB143, 2),FALSE)),"",_xlfn.REGEXEXTRACT(CELL("address",AB143), "\$([A-Z]+)\$[0-9]+"))),_xlfn.REGEXEXTRACT(CELL("address",AB143), "\$([A-Z]+)\$[0-9]+"))</f>
        <v/>
      </c>
    </row>
    <row r="144" spans="2:28" x14ac:dyDescent="0.25">
      <c r="B144" s="7" t="str" cm="1">
        <f t="array" aca="1" ref="B144" ca="1">IFERROR(IF(OR('Raw Data'!B144="",LEN(TRIM('Raw Data'!B144))=0),"",IF(AND(LEN('Raw Data'!B144) &lt;= 255,LEN('Raw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Data'!C144))=0),"",IF(AND(LEN('Raw Data'!C144) &lt;= 20,LEN('Raw Data'!C144)&gt; 0),"",_xlfn.REGEXEXTRACT(CELL("address",'Raw Data'!C144),"\$([A-Z]+)\$[0-9]+"))),_xlfn.REGEXEXTRACT(CELL("address",'Raw Data'!C144),"\$([A-Z]+)\$[0-9]+"))</f>
        <v/>
      </c>
      <c r="D144" s="7" t="str" cm="1">
        <f t="array" aca="1" ref="D144" ca="1">IFERROR(IF(OR('Raw Data'!D144="",LEN(TRIM('Raw Data'!D144))=0),"",IF(AND(ISNUMBER('Raw Data'!D144),'Raw Data'!D144&gt;=Configuration!$D$2),"",_xlfn.REGEXEXTRACT(CELL("address",'Raw Data'!D144),"\$([A-Z]+)\$[0-9]+"))),_xlfn.REGEXEXTRACT(CELL("address",D144), "\$([A-Z]+)\$[0-9]+"))</f>
        <v/>
      </c>
      <c r="E144" s="7" t="str" cm="1">
        <f t="array" aca="1" ref="E144" ca="1">IFERROR(IF(OR('Raw Data'!E144="",LEN(TRIM('Raw Data'!E144))=0),"",IF(AND(ISNUMBER('Raw Data'!E144), IFERROR('Raw Data'!E144 = ROUND('Raw Data'!E144, 2),FALSE)),"",_xlfn.REGEXEXTRACT(CELL("address",E144), "\$([A-Z]+)\$[0-9]+"))),_xlfn.REGEXEXTRACT(CELL("address",E144), "\$([A-Z]+)\$[0-9]+"))</f>
        <v/>
      </c>
      <c r="F144" s="7" t="str" cm="1">
        <f t="array" aca="1" ref="F144" ca="1">IFERROR(IF(OR('Raw Data'!F144="",LEN(TRIM('Raw Data'!F144))=0),"",IF(AND(ISNUMBER('Raw Data'!F144), IFERROR('Raw Data'!F144 = ROUND('Raw Data'!F144, 2),FALSE)),"",_xlfn.REGEXEXTRACT(CELL("address",F144), "\$([A-Z]+)\$[0-9]+"))),_xlfn.REGEXEXTRACT(CELL("address",F144), "\$([A-Z]+)\$[0-9]+"))</f>
        <v/>
      </c>
      <c r="G144" s="7" t="str" cm="1">
        <f t="array" aca="1" ref="G144" ca="1">IFERROR(IF(OR('Raw Data'!G144="",LEN(TRIM('Raw Data'!G144))=0),"",IF(AND(ISNUMBER('Raw Data'!G144), IFERROR('Raw Data'!G144 = ROUND('Raw Data'!G144, 2),FALSE)),"",_xlfn.REGEXEXTRACT(CELL("address",G144), "\$([A-Z]+)\$[0-9]+"))),_xlfn.REGEXEXTRACT(CELL("address",G144), "\$([A-Z]+)\$[0-9]+"))</f>
        <v/>
      </c>
      <c r="H144" s="7" t="str" cm="1">
        <f t="array" aca="1" ref="H144" ca="1">IFERROR(IF(OR('Raw Data'!H144="",LEN(TRIM('Raw Data'!H144))=0),"",IF(AND(ISNUMBER('Raw Data'!H144), IFERROR('Raw Data'!H144 = ROUND('Raw Data'!H144, 2),FALSE)),"",_xlfn.REGEXEXTRACT(CELL("address",H144), "\$([A-Z]+)\$[0-9]+"))),_xlfn.REGEXEXTRACT(CELL("address",H144), "\$([A-Z]+)\$[0-9]+"))</f>
        <v/>
      </c>
      <c r="I144" s="7" t="str" cm="1">
        <f t="array" aca="1" ref="I144" ca="1">IFERROR(IF(OR('Raw Data'!I144="",LEN(TRIM('Raw Data'!I144))=0),"",IF(AND(ISNUMBER('Raw Data'!I144), IFERROR('Raw Data'!I144 = ROUND('Raw Data'!I144, 2),FALSE)),"",_xlfn.REGEXEXTRACT(CELL("address",I144), "\$([A-Z]+)\$[0-9]+"))),_xlfn.REGEXEXTRACT(CELL("address",I144), "\$([A-Z]+)\$[0-9]+"))</f>
        <v/>
      </c>
      <c r="J144" s="7" t="str" cm="1">
        <f t="array" aca="1" ref="J144" ca="1">IFERROR(IF(OR('Raw Data'!J144="",LEN(TRIM('Raw Data'!J144))=0),"",IF(AND(ISNUMBER('Raw Data'!J144), IFERROR('Raw Data'!J144 = ROUND('Raw Data'!J144, 2),FALSE)),"",_xlfn.REGEXEXTRACT(CELL("address",J144), "\$([A-Z]+)\$[0-9]+"))),_xlfn.REGEXEXTRACT(CELL("address",J144), "\$([A-Z]+)\$[0-9]+"))</f>
        <v/>
      </c>
      <c r="K144" s="7" t="str" cm="1">
        <f t="array" aca="1" ref="K144" ca="1">IFERROR(IF(OR('Raw Data'!K144="",LEN(TRIM('Raw Data'!K144))=0),"",IF(AND(ISNUMBER('Raw Data'!K144), IFERROR('Raw Data'!K144 = ROUND('Raw Data'!K144, 2),FALSE)),"",_xlfn.REGEXEXTRACT(CELL("address",K144), "\$([A-Z]+)\$[0-9]+"))),_xlfn.REGEXEXTRACT(CELL("address",K144), "\$([A-Z]+)\$[0-9]+"))</f>
        <v/>
      </c>
      <c r="L144" s="7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7" t="str" cm="1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7" t="str" cm="1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  <c r="O144" s="7" t="str" cm="1">
        <f t="array" aca="1" ref="O144" ca="1">IFERROR(IF(OR('Raw Data'!O144="",LEN(TRIM('Raw Data'!O144))=0),"",IF(AND(ISNUMBER('Raw Data'!O144), IFERROR('Raw Data'!O144 = ROUND('Raw Data'!O144, 2),FALSE)),"",_xlfn.REGEXEXTRACT(CELL("address",O144), "\$([A-Z]+)\$[0-9]+"))),_xlfn.REGEXEXTRACT(CELL("address",O144), "\$([A-Z]+)\$[0-9]+"))</f>
        <v/>
      </c>
      <c r="P144" s="7" t="str" cm="1">
        <f t="array" aca="1" ref="P144" ca="1">IFERROR(IF(OR('Raw Data'!P144="",LEN(TRIM('Raw Data'!P144))=0),"",IF(AND(ISNUMBER('Raw Data'!P144), IFERROR('Raw Data'!P144 = ROUND('Raw Data'!P144, 2),FALSE)),"",_xlfn.REGEXEXTRACT(CELL("address",P144), "\$([A-Z]+)\$[0-9]+"))),_xlfn.REGEXEXTRACT(CELL("address",P144), "\$([A-Z]+)\$[0-9]+"))</f>
        <v/>
      </c>
      <c r="Q144" s="7" t="str" cm="1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7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7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7" t="str" cm="1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7" t="str" cm="1">
        <f t="array" aca="1" ref="U144" ca="1">IFERROR(IF(OR('Raw Data'!U144="",LEN(TRIM('Raw Data'!U144))=0),"",IF(AND(ISNUMBER('Raw Data'!U144), IFERROR('Raw Data'!U144 = ROUND('Raw Data'!U144, 2),FALSE)),"",_xlfn.REGEXEXTRACT(CELL("address",U144), "\$([A-Z]+)\$[0-9]+"))),_xlfn.REGEXEXTRACT(CELL("address",U144), "\$([A-Z]+)\$[0-9]+"))</f>
        <v/>
      </c>
      <c r="V144" s="7" t="str" cm="1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7" t="str" cm="1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7" t="str" cm="1">
        <f t="array" aca="1" ref="X144" ca="1">IFERROR(IF(OR('Raw Data'!X144="",LEN(TRIM('Raw Data'!X144))=0),"",IF(AND(ISNUMBER('Raw Data'!X144), IFERROR('Raw Data'!X144 = ROUND('Raw Data'!X144, 2),FALSE)),"",_xlfn.REGEXEXTRACT(CELL("address",X144), "\$([A-Z]+)\$[0-9]+"))),_xlfn.REGEXEXTRACT(CELL("address",X144), "\$([A-Z]+)\$[0-9]+"))</f>
        <v/>
      </c>
      <c r="Y144" s="7" t="str" cm="1">
        <f t="array" aca="1" ref="Y144" ca="1">IFERROR(IF(OR('Raw Data'!Y144="",LEN(TRIM('Raw Data'!Y144))=0),"",IF(AND(ISNUMBER('Raw Data'!Y144), IFERROR('Raw Data'!Y144 = ROUND('Raw Data'!Y144, 2),FALSE)),"",_xlfn.REGEXEXTRACT(CELL("address",Y144), "\$([A-Z]+)\$[0-9]+"))),_xlfn.REGEXEXTRACT(CELL("address",Y144), "\$([A-Z]+)\$[0-9]+"))</f>
        <v/>
      </c>
      <c r="Z144" s="7" t="str" cm="1">
        <f t="array" aca="1" ref="Z144" ca="1">IFERROR(IF(OR('Raw Data'!Z144="",LEN(TRIM('Raw Data'!Z144))=0),"",IF(AND(ISNUMBER('Raw Data'!Z144), IFERROR('Raw Data'!Z144 = ROUND('Raw Data'!Z144, 2),FALSE)),"",_xlfn.REGEXEXTRACT(CELL("address",Z144), "\$([A-Z]+)\$[0-9]+"))),_xlfn.REGEXEXTRACT(CELL("address",Z144), "\$([A-Z]+)\$[0-9]+"))</f>
        <v/>
      </c>
      <c r="AA144" s="7" t="str" cm="1">
        <f t="array" aca="1" ref="AA144" ca="1">IFERROR(IF(OR('Raw Data'!AA144="",LEN(TRIM('Raw Data'!AA144))=0),"",IF(AND(ISNUMBER('Raw Data'!AA144), IFERROR('Raw Data'!AA144 = ROUND('Raw Data'!AA144, 2),FALSE)),"",_xlfn.REGEXEXTRACT(CELL("address",AA144), "\$([A-Z]+)\$[0-9]+"))),_xlfn.REGEXEXTRACT(CELL("address",AA144), "\$([A-Z]+)\$[0-9]+"))</f>
        <v/>
      </c>
      <c r="AB144" s="7" t="str" cm="1">
        <f t="array" aca="1" ref="AB144" ca="1">IFERROR(IF(OR('Raw Data'!AB144="",LEN(TRIM('Raw Data'!AB144))=0),"",IF(AND(ISNUMBER('Raw Data'!AB144), IFERROR('Raw Data'!AB144 = ROUND('Raw Data'!AB144, 2),FALSE)),"",_xlfn.REGEXEXTRACT(CELL("address",AB144), "\$([A-Z]+)\$[0-9]+"))),_xlfn.REGEXEXTRACT(CELL("address",AB144), "\$([A-Z]+)\$[0-9]+"))</f>
        <v/>
      </c>
    </row>
    <row r="145" spans="2:28" x14ac:dyDescent="0.25">
      <c r="B145" s="7" t="str" cm="1">
        <f t="array" aca="1" ref="B145" ca="1">IFERROR(IF(OR('Raw Data'!B145="",LEN(TRIM('Raw Data'!B145))=0),"",IF(AND(LEN('Raw Data'!B145) &lt;= 255,LEN('Raw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Data'!C145))=0),"",IF(AND(LEN('Raw Data'!C145) &lt;= 20,LEN('Raw Data'!C145)&gt; 0),"",_xlfn.REGEXEXTRACT(CELL("address",'Raw Data'!C145),"\$([A-Z]+)\$[0-9]+"))),_xlfn.REGEXEXTRACT(CELL("address",'Raw Data'!C145),"\$([A-Z]+)\$[0-9]+"))</f>
        <v/>
      </c>
      <c r="D145" s="7" t="str" cm="1">
        <f t="array" aca="1" ref="D145" ca="1">IFERROR(IF(OR('Raw Data'!D145="",LEN(TRIM('Raw Data'!D145))=0),"",IF(AND(ISNUMBER('Raw Data'!D145),'Raw Data'!D145&gt;=Configuration!$D$2),"",_xlfn.REGEXEXTRACT(CELL("address",'Raw Data'!D145),"\$([A-Z]+)\$[0-9]+"))),_xlfn.REGEXEXTRACT(CELL("address",D145), "\$([A-Z]+)\$[0-9]+"))</f>
        <v/>
      </c>
      <c r="E145" s="7" t="str" cm="1">
        <f t="array" aca="1" ref="E145" ca="1">IFERROR(IF(OR('Raw Data'!E145="",LEN(TRIM('Raw Data'!E145))=0),"",IF(AND(ISNUMBER('Raw Data'!E145), IFERROR('Raw Data'!E145 = ROUND('Raw Data'!E145, 2),FALSE)),"",_xlfn.REGEXEXTRACT(CELL("address",E145), "\$([A-Z]+)\$[0-9]+"))),_xlfn.REGEXEXTRACT(CELL("address",E145), "\$([A-Z]+)\$[0-9]+"))</f>
        <v/>
      </c>
      <c r="F145" s="7" t="str" cm="1">
        <f t="array" aca="1" ref="F145" ca="1">IFERROR(IF(OR('Raw Data'!F145="",LEN(TRIM('Raw Data'!F145))=0),"",IF(AND(ISNUMBER('Raw Data'!F145), IFERROR('Raw Data'!F145 = ROUND('Raw Data'!F145, 2),FALSE)),"",_xlfn.REGEXEXTRACT(CELL("address",F145), "\$([A-Z]+)\$[0-9]+"))),_xlfn.REGEXEXTRACT(CELL("address",F145), "\$([A-Z]+)\$[0-9]+"))</f>
        <v/>
      </c>
      <c r="G145" s="7" t="str" cm="1">
        <f t="array" aca="1" ref="G145" ca="1">IFERROR(IF(OR('Raw Data'!G145="",LEN(TRIM('Raw Data'!G145))=0),"",IF(AND(ISNUMBER('Raw Data'!G145), IFERROR('Raw Data'!G145 = ROUND('Raw Data'!G145, 2),FALSE)),"",_xlfn.REGEXEXTRACT(CELL("address",G145), "\$([A-Z]+)\$[0-9]+"))),_xlfn.REGEXEXTRACT(CELL("address",G145), "\$([A-Z]+)\$[0-9]+"))</f>
        <v/>
      </c>
      <c r="H145" s="7" t="str" cm="1">
        <f t="array" aca="1" ref="H145" ca="1">IFERROR(IF(OR('Raw Data'!H145="",LEN(TRIM('Raw Data'!H145))=0),"",IF(AND(ISNUMBER('Raw Data'!H145), IFERROR('Raw Data'!H145 = ROUND('Raw Data'!H145, 2),FALSE)),"",_xlfn.REGEXEXTRACT(CELL("address",H145), "\$([A-Z]+)\$[0-9]+"))),_xlfn.REGEXEXTRACT(CELL("address",H145), "\$([A-Z]+)\$[0-9]+"))</f>
        <v/>
      </c>
      <c r="I145" s="7" t="str" cm="1">
        <f t="array" aca="1" ref="I145" ca="1">IFERROR(IF(OR('Raw Data'!I145="",LEN(TRIM('Raw Data'!I145))=0),"",IF(AND(ISNUMBER('Raw Data'!I145), IFERROR('Raw Data'!I145 = ROUND('Raw Data'!I145, 2),FALSE)),"",_xlfn.REGEXEXTRACT(CELL("address",I145), "\$([A-Z]+)\$[0-9]+"))),_xlfn.REGEXEXTRACT(CELL("address",I145), "\$([A-Z]+)\$[0-9]+"))</f>
        <v/>
      </c>
      <c r="J145" s="7" t="str" cm="1">
        <f t="array" aca="1" ref="J145" ca="1">IFERROR(IF(OR('Raw Data'!J145="",LEN(TRIM('Raw Data'!J145))=0),"",IF(AND(ISNUMBER('Raw Data'!J145), IFERROR('Raw Data'!J145 = ROUND('Raw Data'!J145, 2),FALSE)),"",_xlfn.REGEXEXTRACT(CELL("address",J145), "\$([A-Z]+)\$[0-9]+"))),_xlfn.REGEXEXTRACT(CELL("address",J145), "\$([A-Z]+)\$[0-9]+"))</f>
        <v/>
      </c>
      <c r="K145" s="7" t="str" cm="1">
        <f t="array" aca="1" ref="K145" ca="1">IFERROR(IF(OR('Raw Data'!K145="",LEN(TRIM('Raw Data'!K145))=0),"",IF(AND(ISNUMBER('Raw Data'!K145), IFERROR('Raw Data'!K145 = ROUND('Raw Data'!K145, 2),FALSE)),"",_xlfn.REGEXEXTRACT(CELL("address",K145), "\$([A-Z]+)\$[0-9]+"))),_xlfn.REGEXEXTRACT(CELL("address",K145), "\$([A-Z]+)\$[0-9]+"))</f>
        <v/>
      </c>
      <c r="L145" s="7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7" t="str" cm="1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7" t="str" cm="1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  <c r="O145" s="7" t="str" cm="1">
        <f t="array" aca="1" ref="O145" ca="1">IFERROR(IF(OR('Raw Data'!O145="",LEN(TRIM('Raw Data'!O145))=0),"",IF(AND(ISNUMBER('Raw Data'!O145), IFERROR('Raw Data'!O145 = ROUND('Raw Data'!O145, 2),FALSE)),"",_xlfn.REGEXEXTRACT(CELL("address",O145), "\$([A-Z]+)\$[0-9]+"))),_xlfn.REGEXEXTRACT(CELL("address",O145), "\$([A-Z]+)\$[0-9]+"))</f>
        <v/>
      </c>
      <c r="P145" s="7" t="str" cm="1">
        <f t="array" aca="1" ref="P145" ca="1">IFERROR(IF(OR('Raw Data'!P145="",LEN(TRIM('Raw Data'!P145))=0),"",IF(AND(ISNUMBER('Raw Data'!P145), IFERROR('Raw Data'!P145 = ROUND('Raw Data'!P145, 2),FALSE)),"",_xlfn.REGEXEXTRACT(CELL("address",P145), "\$([A-Z]+)\$[0-9]+"))),_xlfn.REGEXEXTRACT(CELL("address",P145), "\$([A-Z]+)\$[0-9]+"))</f>
        <v/>
      </c>
      <c r="Q145" s="7" t="str" cm="1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7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7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7" t="str" cm="1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7" t="str" cm="1">
        <f t="array" aca="1" ref="U145" ca="1">IFERROR(IF(OR('Raw Data'!U145="",LEN(TRIM('Raw Data'!U145))=0),"",IF(AND(ISNUMBER('Raw Data'!U145), IFERROR('Raw Data'!U145 = ROUND('Raw Data'!U145, 2),FALSE)),"",_xlfn.REGEXEXTRACT(CELL("address",U145), "\$([A-Z]+)\$[0-9]+"))),_xlfn.REGEXEXTRACT(CELL("address",U145), "\$([A-Z]+)\$[0-9]+"))</f>
        <v/>
      </c>
      <c r="V145" s="7" t="str" cm="1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7" t="str" cm="1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7" t="str" cm="1">
        <f t="array" aca="1" ref="X145" ca="1">IFERROR(IF(OR('Raw Data'!X145="",LEN(TRIM('Raw Data'!X145))=0),"",IF(AND(ISNUMBER('Raw Data'!X145), IFERROR('Raw Data'!X145 = ROUND('Raw Data'!X145, 2),FALSE)),"",_xlfn.REGEXEXTRACT(CELL("address",X145), "\$([A-Z]+)\$[0-9]+"))),_xlfn.REGEXEXTRACT(CELL("address",X145), "\$([A-Z]+)\$[0-9]+"))</f>
        <v/>
      </c>
      <c r="Y145" s="7" t="str" cm="1">
        <f t="array" aca="1" ref="Y145" ca="1">IFERROR(IF(OR('Raw Data'!Y145="",LEN(TRIM('Raw Data'!Y145))=0),"",IF(AND(ISNUMBER('Raw Data'!Y145), IFERROR('Raw Data'!Y145 = ROUND('Raw Data'!Y145, 2),FALSE)),"",_xlfn.REGEXEXTRACT(CELL("address",Y145), "\$([A-Z]+)\$[0-9]+"))),_xlfn.REGEXEXTRACT(CELL("address",Y145), "\$([A-Z]+)\$[0-9]+"))</f>
        <v/>
      </c>
      <c r="Z145" s="7" t="str" cm="1">
        <f t="array" aca="1" ref="Z145" ca="1">IFERROR(IF(OR('Raw Data'!Z145="",LEN(TRIM('Raw Data'!Z145))=0),"",IF(AND(ISNUMBER('Raw Data'!Z145), IFERROR('Raw Data'!Z145 = ROUND('Raw Data'!Z145, 2),FALSE)),"",_xlfn.REGEXEXTRACT(CELL("address",Z145), "\$([A-Z]+)\$[0-9]+"))),_xlfn.REGEXEXTRACT(CELL("address",Z145), "\$([A-Z]+)\$[0-9]+"))</f>
        <v/>
      </c>
      <c r="AA145" s="7" t="str" cm="1">
        <f t="array" aca="1" ref="AA145" ca="1">IFERROR(IF(OR('Raw Data'!AA145="",LEN(TRIM('Raw Data'!AA145))=0),"",IF(AND(ISNUMBER('Raw Data'!AA145), IFERROR('Raw Data'!AA145 = ROUND('Raw Data'!AA145, 2),FALSE)),"",_xlfn.REGEXEXTRACT(CELL("address",AA145), "\$([A-Z]+)\$[0-9]+"))),_xlfn.REGEXEXTRACT(CELL("address",AA145), "\$([A-Z]+)\$[0-9]+"))</f>
        <v/>
      </c>
      <c r="AB145" s="7" t="str" cm="1">
        <f t="array" aca="1" ref="AB145" ca="1">IFERROR(IF(OR('Raw Data'!AB145="",LEN(TRIM('Raw Data'!AB145))=0),"",IF(AND(ISNUMBER('Raw Data'!AB145), IFERROR('Raw Data'!AB145 = ROUND('Raw Data'!AB145, 2),FALSE)),"",_xlfn.REGEXEXTRACT(CELL("address",AB145), "\$([A-Z]+)\$[0-9]+"))),_xlfn.REGEXEXTRACT(CELL("address",AB145), "\$([A-Z]+)\$[0-9]+"))</f>
        <v/>
      </c>
    </row>
    <row r="146" spans="2:28" x14ac:dyDescent="0.25">
      <c r="B146" s="7" t="str" cm="1">
        <f t="array" aca="1" ref="B146" ca="1">IFERROR(IF(OR('Raw Data'!B146="",LEN(TRIM('Raw Data'!B146))=0),"",IF(AND(LEN('Raw Data'!B146) &lt;= 255,LEN('Raw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Data'!C146))=0),"",IF(AND(LEN('Raw Data'!C146) &lt;= 20,LEN('Raw Data'!C146)&gt; 0),"",_xlfn.REGEXEXTRACT(CELL("address",'Raw Data'!C146),"\$([A-Z]+)\$[0-9]+"))),_xlfn.REGEXEXTRACT(CELL("address",'Raw Data'!C146),"\$([A-Z]+)\$[0-9]+"))</f>
        <v/>
      </c>
      <c r="D146" s="7" t="str" cm="1">
        <f t="array" aca="1" ref="D146" ca="1">IFERROR(IF(OR('Raw Data'!D146="",LEN(TRIM('Raw Data'!D146))=0),"",IF(AND(ISNUMBER('Raw Data'!D146),'Raw Data'!D146&gt;=Configuration!$D$2),"",_xlfn.REGEXEXTRACT(CELL("address",'Raw Data'!D146),"\$([A-Z]+)\$[0-9]+"))),_xlfn.REGEXEXTRACT(CELL("address",D146), "\$([A-Z]+)\$[0-9]+"))</f>
        <v/>
      </c>
      <c r="E146" s="7" t="str" cm="1">
        <f t="array" aca="1" ref="E146" ca="1">IFERROR(IF(OR('Raw Data'!E146="",LEN(TRIM('Raw Data'!E146))=0),"",IF(AND(ISNUMBER('Raw Data'!E146), IFERROR('Raw Data'!E146 = ROUND('Raw Data'!E146, 2),FALSE)),"",_xlfn.REGEXEXTRACT(CELL("address",E146), "\$([A-Z]+)\$[0-9]+"))),_xlfn.REGEXEXTRACT(CELL("address",E146), "\$([A-Z]+)\$[0-9]+"))</f>
        <v/>
      </c>
      <c r="F146" s="7" t="str" cm="1">
        <f t="array" aca="1" ref="F146" ca="1">IFERROR(IF(OR('Raw Data'!F146="",LEN(TRIM('Raw Data'!F146))=0),"",IF(AND(ISNUMBER('Raw Data'!F146), IFERROR('Raw Data'!F146 = ROUND('Raw Data'!F146, 2),FALSE)),"",_xlfn.REGEXEXTRACT(CELL("address",F146), "\$([A-Z]+)\$[0-9]+"))),_xlfn.REGEXEXTRACT(CELL("address",F146), "\$([A-Z]+)\$[0-9]+"))</f>
        <v/>
      </c>
      <c r="G146" s="7" t="str" cm="1">
        <f t="array" aca="1" ref="G146" ca="1">IFERROR(IF(OR('Raw Data'!G146="",LEN(TRIM('Raw Data'!G146))=0),"",IF(AND(ISNUMBER('Raw Data'!G146), IFERROR('Raw Data'!G146 = ROUND('Raw Data'!G146, 2),FALSE)),"",_xlfn.REGEXEXTRACT(CELL("address",G146), "\$([A-Z]+)\$[0-9]+"))),_xlfn.REGEXEXTRACT(CELL("address",G146), "\$([A-Z]+)\$[0-9]+"))</f>
        <v/>
      </c>
      <c r="H146" s="7" t="str" cm="1">
        <f t="array" aca="1" ref="H146" ca="1">IFERROR(IF(OR('Raw Data'!H146="",LEN(TRIM('Raw Data'!H146))=0),"",IF(AND(ISNUMBER('Raw Data'!H146), IFERROR('Raw Data'!H146 = ROUND('Raw Data'!H146, 2),FALSE)),"",_xlfn.REGEXEXTRACT(CELL("address",H146), "\$([A-Z]+)\$[0-9]+"))),_xlfn.REGEXEXTRACT(CELL("address",H146), "\$([A-Z]+)\$[0-9]+"))</f>
        <v/>
      </c>
      <c r="I146" s="7" t="str" cm="1">
        <f t="array" aca="1" ref="I146" ca="1">IFERROR(IF(OR('Raw Data'!I146="",LEN(TRIM('Raw Data'!I146))=0),"",IF(AND(ISNUMBER('Raw Data'!I146), IFERROR('Raw Data'!I146 = ROUND('Raw Data'!I146, 2),FALSE)),"",_xlfn.REGEXEXTRACT(CELL("address",I146), "\$([A-Z]+)\$[0-9]+"))),_xlfn.REGEXEXTRACT(CELL("address",I146), "\$([A-Z]+)\$[0-9]+"))</f>
        <v/>
      </c>
      <c r="J146" s="7" t="str" cm="1">
        <f t="array" aca="1" ref="J146" ca="1">IFERROR(IF(OR('Raw Data'!J146="",LEN(TRIM('Raw Data'!J146))=0),"",IF(AND(ISNUMBER('Raw Data'!J146), IFERROR('Raw Data'!J146 = ROUND('Raw Data'!J146, 2),FALSE)),"",_xlfn.REGEXEXTRACT(CELL("address",J146), "\$([A-Z]+)\$[0-9]+"))),_xlfn.REGEXEXTRACT(CELL("address",J146), "\$([A-Z]+)\$[0-9]+"))</f>
        <v/>
      </c>
      <c r="K146" s="7" t="str" cm="1">
        <f t="array" aca="1" ref="K146" ca="1">IFERROR(IF(OR('Raw Data'!K146="",LEN(TRIM('Raw Data'!K146))=0),"",IF(AND(ISNUMBER('Raw Data'!K146), IFERROR('Raw Data'!K146 = ROUND('Raw Data'!K146, 2),FALSE)),"",_xlfn.REGEXEXTRACT(CELL("address",K146), "\$([A-Z]+)\$[0-9]+"))),_xlfn.REGEXEXTRACT(CELL("address",K146), "\$([A-Z]+)\$[0-9]+"))</f>
        <v/>
      </c>
      <c r="L146" s="7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7" t="str" cm="1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7" t="str" cm="1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  <c r="O146" s="7" t="str" cm="1">
        <f t="array" aca="1" ref="O146" ca="1">IFERROR(IF(OR('Raw Data'!O146="",LEN(TRIM('Raw Data'!O146))=0),"",IF(AND(ISNUMBER('Raw Data'!O146), IFERROR('Raw Data'!O146 = ROUND('Raw Data'!O146, 2),FALSE)),"",_xlfn.REGEXEXTRACT(CELL("address",O146), "\$([A-Z]+)\$[0-9]+"))),_xlfn.REGEXEXTRACT(CELL("address",O146), "\$([A-Z]+)\$[0-9]+"))</f>
        <v/>
      </c>
      <c r="P146" s="7" t="str" cm="1">
        <f t="array" aca="1" ref="P146" ca="1">IFERROR(IF(OR('Raw Data'!P146="",LEN(TRIM('Raw Data'!P146))=0),"",IF(AND(ISNUMBER('Raw Data'!P146), IFERROR('Raw Data'!P146 = ROUND('Raw Data'!P146, 2),FALSE)),"",_xlfn.REGEXEXTRACT(CELL("address",P146), "\$([A-Z]+)\$[0-9]+"))),_xlfn.REGEXEXTRACT(CELL("address",P146), "\$([A-Z]+)\$[0-9]+"))</f>
        <v/>
      </c>
      <c r="Q146" s="7" t="str" cm="1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7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7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7" t="str" cm="1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7" t="str" cm="1">
        <f t="array" aca="1" ref="U146" ca="1">IFERROR(IF(OR('Raw Data'!U146="",LEN(TRIM('Raw Data'!U146))=0),"",IF(AND(ISNUMBER('Raw Data'!U146), IFERROR('Raw Data'!U146 = ROUND('Raw Data'!U146, 2),FALSE)),"",_xlfn.REGEXEXTRACT(CELL("address",U146), "\$([A-Z]+)\$[0-9]+"))),_xlfn.REGEXEXTRACT(CELL("address",U146), "\$([A-Z]+)\$[0-9]+"))</f>
        <v/>
      </c>
      <c r="V146" s="7" t="str" cm="1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7" t="str" cm="1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7" t="str" cm="1">
        <f t="array" aca="1" ref="X146" ca="1">IFERROR(IF(OR('Raw Data'!X146="",LEN(TRIM('Raw Data'!X146))=0),"",IF(AND(ISNUMBER('Raw Data'!X146), IFERROR('Raw Data'!X146 = ROUND('Raw Data'!X146, 2),FALSE)),"",_xlfn.REGEXEXTRACT(CELL("address",X146), "\$([A-Z]+)\$[0-9]+"))),_xlfn.REGEXEXTRACT(CELL("address",X146), "\$([A-Z]+)\$[0-9]+"))</f>
        <v/>
      </c>
      <c r="Y146" s="7" t="str" cm="1">
        <f t="array" aca="1" ref="Y146" ca="1">IFERROR(IF(OR('Raw Data'!Y146="",LEN(TRIM('Raw Data'!Y146))=0),"",IF(AND(ISNUMBER('Raw Data'!Y146), IFERROR('Raw Data'!Y146 = ROUND('Raw Data'!Y146, 2),FALSE)),"",_xlfn.REGEXEXTRACT(CELL("address",Y146), "\$([A-Z]+)\$[0-9]+"))),_xlfn.REGEXEXTRACT(CELL("address",Y146), "\$([A-Z]+)\$[0-9]+"))</f>
        <v/>
      </c>
      <c r="Z146" s="7" t="str" cm="1">
        <f t="array" aca="1" ref="Z146" ca="1">IFERROR(IF(OR('Raw Data'!Z146="",LEN(TRIM('Raw Data'!Z146))=0),"",IF(AND(ISNUMBER('Raw Data'!Z146), IFERROR('Raw Data'!Z146 = ROUND('Raw Data'!Z146, 2),FALSE)),"",_xlfn.REGEXEXTRACT(CELL("address",Z146), "\$([A-Z]+)\$[0-9]+"))),_xlfn.REGEXEXTRACT(CELL("address",Z146), "\$([A-Z]+)\$[0-9]+"))</f>
        <v/>
      </c>
      <c r="AA146" s="7" t="str" cm="1">
        <f t="array" aca="1" ref="AA146" ca="1">IFERROR(IF(OR('Raw Data'!AA146="",LEN(TRIM('Raw Data'!AA146))=0),"",IF(AND(ISNUMBER('Raw Data'!AA146), IFERROR('Raw Data'!AA146 = ROUND('Raw Data'!AA146, 2),FALSE)),"",_xlfn.REGEXEXTRACT(CELL("address",AA146), "\$([A-Z]+)\$[0-9]+"))),_xlfn.REGEXEXTRACT(CELL("address",AA146), "\$([A-Z]+)\$[0-9]+"))</f>
        <v/>
      </c>
      <c r="AB146" s="7" t="str" cm="1">
        <f t="array" aca="1" ref="AB146" ca="1">IFERROR(IF(OR('Raw Data'!AB146="",LEN(TRIM('Raw Data'!AB146))=0),"",IF(AND(ISNUMBER('Raw Data'!AB146), IFERROR('Raw Data'!AB146 = ROUND('Raw Data'!AB146, 2),FALSE)),"",_xlfn.REGEXEXTRACT(CELL("address",AB146), "\$([A-Z]+)\$[0-9]+"))),_xlfn.REGEXEXTRACT(CELL("address",AB146), "\$([A-Z]+)\$[0-9]+"))</f>
        <v/>
      </c>
    </row>
    <row r="147" spans="2:28" x14ac:dyDescent="0.25">
      <c r="B147" s="7" t="str" cm="1">
        <f t="array" aca="1" ref="B147" ca="1">IFERROR(IF(OR('Raw Data'!B147="",LEN(TRIM('Raw Data'!B147))=0),"",IF(AND(LEN('Raw Data'!B147) &lt;= 255,LEN('Raw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Data'!C147))=0),"",IF(AND(LEN('Raw Data'!C147) &lt;= 20,LEN('Raw Data'!C147)&gt; 0),"",_xlfn.REGEXEXTRACT(CELL("address",'Raw Data'!C147),"\$([A-Z]+)\$[0-9]+"))),_xlfn.REGEXEXTRACT(CELL("address",'Raw Data'!C147),"\$([A-Z]+)\$[0-9]+"))</f>
        <v/>
      </c>
      <c r="D147" s="7" t="str" cm="1">
        <f t="array" aca="1" ref="D147" ca="1">IFERROR(IF(OR('Raw Data'!D147="",LEN(TRIM('Raw Data'!D147))=0),"",IF(AND(ISNUMBER('Raw Data'!D147),'Raw Data'!D147&gt;=Configuration!$D$2),"",_xlfn.REGEXEXTRACT(CELL("address",'Raw Data'!D147),"\$([A-Z]+)\$[0-9]+"))),_xlfn.REGEXEXTRACT(CELL("address",D147), "\$([A-Z]+)\$[0-9]+"))</f>
        <v/>
      </c>
      <c r="E147" s="7" t="str" cm="1">
        <f t="array" aca="1" ref="E147" ca="1">IFERROR(IF(OR('Raw Data'!E147="",LEN(TRIM('Raw Data'!E147))=0),"",IF(AND(ISNUMBER('Raw Data'!E147), IFERROR('Raw Data'!E147 = ROUND('Raw Data'!E147, 2),FALSE)),"",_xlfn.REGEXEXTRACT(CELL("address",E147), "\$([A-Z]+)\$[0-9]+"))),_xlfn.REGEXEXTRACT(CELL("address",E147), "\$([A-Z]+)\$[0-9]+"))</f>
        <v/>
      </c>
      <c r="F147" s="7" t="str" cm="1">
        <f t="array" aca="1" ref="F147" ca="1">IFERROR(IF(OR('Raw Data'!F147="",LEN(TRIM('Raw Data'!F147))=0),"",IF(AND(ISNUMBER('Raw Data'!F147), IFERROR('Raw Data'!F147 = ROUND('Raw Data'!F147, 2),FALSE)),"",_xlfn.REGEXEXTRACT(CELL("address",F147), "\$([A-Z]+)\$[0-9]+"))),_xlfn.REGEXEXTRACT(CELL("address",F147), "\$([A-Z]+)\$[0-9]+"))</f>
        <v/>
      </c>
      <c r="G147" s="7" t="str" cm="1">
        <f t="array" aca="1" ref="G147" ca="1">IFERROR(IF(OR('Raw Data'!G147="",LEN(TRIM('Raw Data'!G147))=0),"",IF(AND(ISNUMBER('Raw Data'!G147), IFERROR('Raw Data'!G147 = ROUND('Raw Data'!G147, 2),FALSE)),"",_xlfn.REGEXEXTRACT(CELL("address",G147), "\$([A-Z]+)\$[0-9]+"))),_xlfn.REGEXEXTRACT(CELL("address",G147), "\$([A-Z]+)\$[0-9]+"))</f>
        <v/>
      </c>
      <c r="H147" s="7" t="str" cm="1">
        <f t="array" aca="1" ref="H147" ca="1">IFERROR(IF(OR('Raw Data'!H147="",LEN(TRIM('Raw Data'!H147))=0),"",IF(AND(ISNUMBER('Raw Data'!H147), IFERROR('Raw Data'!H147 = ROUND('Raw Data'!H147, 2),FALSE)),"",_xlfn.REGEXEXTRACT(CELL("address",H147), "\$([A-Z]+)\$[0-9]+"))),_xlfn.REGEXEXTRACT(CELL("address",H147), "\$([A-Z]+)\$[0-9]+"))</f>
        <v/>
      </c>
      <c r="I147" s="7" t="str" cm="1">
        <f t="array" aca="1" ref="I147" ca="1">IFERROR(IF(OR('Raw Data'!I147="",LEN(TRIM('Raw Data'!I147))=0),"",IF(AND(ISNUMBER('Raw Data'!I147), IFERROR('Raw Data'!I147 = ROUND('Raw Data'!I147, 2),FALSE)),"",_xlfn.REGEXEXTRACT(CELL("address",I147), "\$([A-Z]+)\$[0-9]+"))),_xlfn.REGEXEXTRACT(CELL("address",I147), "\$([A-Z]+)\$[0-9]+"))</f>
        <v/>
      </c>
      <c r="J147" s="7" t="str" cm="1">
        <f t="array" aca="1" ref="J147" ca="1">IFERROR(IF(OR('Raw Data'!J147="",LEN(TRIM('Raw Data'!J147))=0),"",IF(AND(ISNUMBER('Raw Data'!J147), IFERROR('Raw Data'!J147 = ROUND('Raw Data'!J147, 2),FALSE)),"",_xlfn.REGEXEXTRACT(CELL("address",J147), "\$([A-Z]+)\$[0-9]+"))),_xlfn.REGEXEXTRACT(CELL("address",J147), "\$([A-Z]+)\$[0-9]+"))</f>
        <v/>
      </c>
      <c r="K147" s="7" t="str" cm="1">
        <f t="array" aca="1" ref="K147" ca="1">IFERROR(IF(OR('Raw Data'!K147="",LEN(TRIM('Raw Data'!K147))=0),"",IF(AND(ISNUMBER('Raw Data'!K147), IFERROR('Raw Data'!K147 = ROUND('Raw Data'!K147, 2),FALSE)),"",_xlfn.REGEXEXTRACT(CELL("address",K147), "\$([A-Z]+)\$[0-9]+"))),_xlfn.REGEXEXTRACT(CELL("address",K147), "\$([A-Z]+)\$[0-9]+"))</f>
        <v/>
      </c>
      <c r="L147" s="7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7" t="str" cm="1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7" t="str" cm="1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  <c r="O147" s="7" t="str" cm="1">
        <f t="array" aca="1" ref="O147" ca="1">IFERROR(IF(OR('Raw Data'!O147="",LEN(TRIM('Raw Data'!O147))=0),"",IF(AND(ISNUMBER('Raw Data'!O147), IFERROR('Raw Data'!O147 = ROUND('Raw Data'!O147, 2),FALSE)),"",_xlfn.REGEXEXTRACT(CELL("address",O147), "\$([A-Z]+)\$[0-9]+"))),_xlfn.REGEXEXTRACT(CELL("address",O147), "\$([A-Z]+)\$[0-9]+"))</f>
        <v/>
      </c>
      <c r="P147" s="7" t="str" cm="1">
        <f t="array" aca="1" ref="P147" ca="1">IFERROR(IF(OR('Raw Data'!P147="",LEN(TRIM('Raw Data'!P147))=0),"",IF(AND(ISNUMBER('Raw Data'!P147), IFERROR('Raw Data'!P147 = ROUND('Raw Data'!P147, 2),FALSE)),"",_xlfn.REGEXEXTRACT(CELL("address",P147), "\$([A-Z]+)\$[0-9]+"))),_xlfn.REGEXEXTRACT(CELL("address",P147), "\$([A-Z]+)\$[0-9]+"))</f>
        <v/>
      </c>
      <c r="Q147" s="7" t="str" cm="1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7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7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7" t="str" cm="1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7" t="str" cm="1">
        <f t="array" aca="1" ref="U147" ca="1">IFERROR(IF(OR('Raw Data'!U147="",LEN(TRIM('Raw Data'!U147))=0),"",IF(AND(ISNUMBER('Raw Data'!U147), IFERROR('Raw Data'!U147 = ROUND('Raw Data'!U147, 2),FALSE)),"",_xlfn.REGEXEXTRACT(CELL("address",U147), "\$([A-Z]+)\$[0-9]+"))),_xlfn.REGEXEXTRACT(CELL("address",U147), "\$([A-Z]+)\$[0-9]+"))</f>
        <v/>
      </c>
      <c r="V147" s="7" t="str" cm="1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7" t="str" cm="1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7" t="str" cm="1">
        <f t="array" aca="1" ref="X147" ca="1">IFERROR(IF(OR('Raw Data'!X147="",LEN(TRIM('Raw Data'!X147))=0),"",IF(AND(ISNUMBER('Raw Data'!X147), IFERROR('Raw Data'!X147 = ROUND('Raw Data'!X147, 2),FALSE)),"",_xlfn.REGEXEXTRACT(CELL("address",X147), "\$([A-Z]+)\$[0-9]+"))),_xlfn.REGEXEXTRACT(CELL("address",X147), "\$([A-Z]+)\$[0-9]+"))</f>
        <v/>
      </c>
      <c r="Y147" s="7" t="str" cm="1">
        <f t="array" aca="1" ref="Y147" ca="1">IFERROR(IF(OR('Raw Data'!Y147="",LEN(TRIM('Raw Data'!Y147))=0),"",IF(AND(ISNUMBER('Raw Data'!Y147), IFERROR('Raw Data'!Y147 = ROUND('Raw Data'!Y147, 2),FALSE)),"",_xlfn.REGEXEXTRACT(CELL("address",Y147), "\$([A-Z]+)\$[0-9]+"))),_xlfn.REGEXEXTRACT(CELL("address",Y147), "\$([A-Z]+)\$[0-9]+"))</f>
        <v/>
      </c>
      <c r="Z147" s="7" t="str" cm="1">
        <f t="array" aca="1" ref="Z147" ca="1">IFERROR(IF(OR('Raw Data'!Z147="",LEN(TRIM('Raw Data'!Z147))=0),"",IF(AND(ISNUMBER('Raw Data'!Z147), IFERROR('Raw Data'!Z147 = ROUND('Raw Data'!Z147, 2),FALSE)),"",_xlfn.REGEXEXTRACT(CELL("address",Z147), "\$([A-Z]+)\$[0-9]+"))),_xlfn.REGEXEXTRACT(CELL("address",Z147), "\$([A-Z]+)\$[0-9]+"))</f>
        <v/>
      </c>
      <c r="AA147" s="7" t="str" cm="1">
        <f t="array" aca="1" ref="AA147" ca="1">IFERROR(IF(OR('Raw Data'!AA147="",LEN(TRIM('Raw Data'!AA147))=0),"",IF(AND(ISNUMBER('Raw Data'!AA147), IFERROR('Raw Data'!AA147 = ROUND('Raw Data'!AA147, 2),FALSE)),"",_xlfn.REGEXEXTRACT(CELL("address",AA147), "\$([A-Z]+)\$[0-9]+"))),_xlfn.REGEXEXTRACT(CELL("address",AA147), "\$([A-Z]+)\$[0-9]+"))</f>
        <v/>
      </c>
      <c r="AB147" s="7" t="str" cm="1">
        <f t="array" aca="1" ref="AB147" ca="1">IFERROR(IF(OR('Raw Data'!AB147="",LEN(TRIM('Raw Data'!AB147))=0),"",IF(AND(ISNUMBER('Raw Data'!AB147), IFERROR('Raw Data'!AB147 = ROUND('Raw Data'!AB147, 2),FALSE)),"",_xlfn.REGEXEXTRACT(CELL("address",AB147), "\$([A-Z]+)\$[0-9]+"))),_xlfn.REGEXEXTRACT(CELL("address",AB147), "\$([A-Z]+)\$[0-9]+"))</f>
        <v/>
      </c>
    </row>
    <row r="148" spans="2:28" x14ac:dyDescent="0.25">
      <c r="B148" s="7" t="str" cm="1">
        <f t="array" aca="1" ref="B148" ca="1">IFERROR(IF(OR('Raw Data'!B148="",LEN(TRIM('Raw Data'!B148))=0),"",IF(AND(LEN('Raw Data'!B148) &lt;= 255,LEN('Raw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Data'!C148))=0),"",IF(AND(LEN('Raw Data'!C148) &lt;= 20,LEN('Raw Data'!C148)&gt; 0),"",_xlfn.REGEXEXTRACT(CELL("address",'Raw Data'!C148),"\$([A-Z]+)\$[0-9]+"))),_xlfn.REGEXEXTRACT(CELL("address",'Raw Data'!C148),"\$([A-Z]+)\$[0-9]+"))</f>
        <v/>
      </c>
      <c r="D148" s="7" t="str" cm="1">
        <f t="array" aca="1" ref="D148" ca="1">IFERROR(IF(OR('Raw Data'!D148="",LEN(TRIM('Raw Data'!D148))=0),"",IF(AND(ISNUMBER('Raw Data'!D148),'Raw Data'!D148&gt;=Configuration!$D$2),"",_xlfn.REGEXEXTRACT(CELL("address",'Raw Data'!D148),"\$([A-Z]+)\$[0-9]+"))),_xlfn.REGEXEXTRACT(CELL("address",D148), "\$([A-Z]+)\$[0-9]+"))</f>
        <v/>
      </c>
      <c r="E148" s="7" t="str" cm="1">
        <f t="array" aca="1" ref="E148" ca="1">IFERROR(IF(OR('Raw Data'!E148="",LEN(TRIM('Raw Data'!E148))=0),"",IF(AND(ISNUMBER('Raw Data'!E148), IFERROR('Raw Data'!E148 = ROUND('Raw Data'!E148, 2),FALSE)),"",_xlfn.REGEXEXTRACT(CELL("address",E148), "\$([A-Z]+)\$[0-9]+"))),_xlfn.REGEXEXTRACT(CELL("address",E148), "\$([A-Z]+)\$[0-9]+"))</f>
        <v/>
      </c>
      <c r="F148" s="7" t="str" cm="1">
        <f t="array" aca="1" ref="F148" ca="1">IFERROR(IF(OR('Raw Data'!F148="",LEN(TRIM('Raw Data'!F148))=0),"",IF(AND(ISNUMBER('Raw Data'!F148), IFERROR('Raw Data'!F148 = ROUND('Raw Data'!F148, 2),FALSE)),"",_xlfn.REGEXEXTRACT(CELL("address",F148), "\$([A-Z]+)\$[0-9]+"))),_xlfn.REGEXEXTRACT(CELL("address",F148), "\$([A-Z]+)\$[0-9]+"))</f>
        <v/>
      </c>
      <c r="G148" s="7" t="str" cm="1">
        <f t="array" aca="1" ref="G148" ca="1">IFERROR(IF(OR('Raw Data'!G148="",LEN(TRIM('Raw Data'!G148))=0),"",IF(AND(ISNUMBER('Raw Data'!G148), IFERROR('Raw Data'!G148 = ROUND('Raw Data'!G148, 2),FALSE)),"",_xlfn.REGEXEXTRACT(CELL("address",G148), "\$([A-Z]+)\$[0-9]+"))),_xlfn.REGEXEXTRACT(CELL("address",G148), "\$([A-Z]+)\$[0-9]+"))</f>
        <v/>
      </c>
      <c r="H148" s="7" t="str" cm="1">
        <f t="array" aca="1" ref="H148" ca="1">IFERROR(IF(OR('Raw Data'!H148="",LEN(TRIM('Raw Data'!H148))=0),"",IF(AND(ISNUMBER('Raw Data'!H148), IFERROR('Raw Data'!H148 = ROUND('Raw Data'!H148, 2),FALSE)),"",_xlfn.REGEXEXTRACT(CELL("address",H148), "\$([A-Z]+)\$[0-9]+"))),_xlfn.REGEXEXTRACT(CELL("address",H148), "\$([A-Z]+)\$[0-9]+"))</f>
        <v/>
      </c>
      <c r="I148" s="7" t="str" cm="1">
        <f t="array" aca="1" ref="I148" ca="1">IFERROR(IF(OR('Raw Data'!I148="",LEN(TRIM('Raw Data'!I148))=0),"",IF(AND(ISNUMBER('Raw Data'!I148), IFERROR('Raw Data'!I148 = ROUND('Raw Data'!I148, 2),FALSE)),"",_xlfn.REGEXEXTRACT(CELL("address",I148), "\$([A-Z]+)\$[0-9]+"))),_xlfn.REGEXEXTRACT(CELL("address",I148), "\$([A-Z]+)\$[0-9]+"))</f>
        <v/>
      </c>
      <c r="J148" s="7" t="str" cm="1">
        <f t="array" aca="1" ref="J148" ca="1">IFERROR(IF(OR('Raw Data'!J148="",LEN(TRIM('Raw Data'!J148))=0),"",IF(AND(ISNUMBER('Raw Data'!J148), IFERROR('Raw Data'!J148 = ROUND('Raw Data'!J148, 2),FALSE)),"",_xlfn.REGEXEXTRACT(CELL("address",J148), "\$([A-Z]+)\$[0-9]+"))),_xlfn.REGEXEXTRACT(CELL("address",J148), "\$([A-Z]+)\$[0-9]+"))</f>
        <v/>
      </c>
      <c r="K148" s="7" t="str" cm="1">
        <f t="array" aca="1" ref="K148" ca="1">IFERROR(IF(OR('Raw Data'!K148="",LEN(TRIM('Raw Data'!K148))=0),"",IF(AND(ISNUMBER('Raw Data'!K148), IFERROR('Raw Data'!K148 = ROUND('Raw Data'!K148, 2),FALSE)),"",_xlfn.REGEXEXTRACT(CELL("address",K148), "\$([A-Z]+)\$[0-9]+"))),_xlfn.REGEXEXTRACT(CELL("address",K148), "\$([A-Z]+)\$[0-9]+"))</f>
        <v/>
      </c>
      <c r="L148" s="7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7" t="str" cm="1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7" t="str" cm="1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  <c r="O148" s="7" t="str" cm="1">
        <f t="array" aca="1" ref="O148" ca="1">IFERROR(IF(OR('Raw Data'!O148="",LEN(TRIM('Raw Data'!O148))=0),"",IF(AND(ISNUMBER('Raw Data'!O148), IFERROR('Raw Data'!O148 = ROUND('Raw Data'!O148, 2),FALSE)),"",_xlfn.REGEXEXTRACT(CELL("address",O148), "\$([A-Z]+)\$[0-9]+"))),_xlfn.REGEXEXTRACT(CELL("address",O148), "\$([A-Z]+)\$[0-9]+"))</f>
        <v/>
      </c>
      <c r="P148" s="7" t="str" cm="1">
        <f t="array" aca="1" ref="P148" ca="1">IFERROR(IF(OR('Raw Data'!P148="",LEN(TRIM('Raw Data'!P148))=0),"",IF(AND(ISNUMBER('Raw Data'!P148), IFERROR('Raw Data'!P148 = ROUND('Raw Data'!P148, 2),FALSE)),"",_xlfn.REGEXEXTRACT(CELL("address",P148), "\$([A-Z]+)\$[0-9]+"))),_xlfn.REGEXEXTRACT(CELL("address",P148), "\$([A-Z]+)\$[0-9]+"))</f>
        <v/>
      </c>
      <c r="Q148" s="7" t="str" cm="1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7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7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7" t="str" cm="1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7" t="str" cm="1">
        <f t="array" aca="1" ref="U148" ca="1">IFERROR(IF(OR('Raw Data'!U148="",LEN(TRIM('Raw Data'!U148))=0),"",IF(AND(ISNUMBER('Raw Data'!U148), IFERROR('Raw Data'!U148 = ROUND('Raw Data'!U148, 2),FALSE)),"",_xlfn.REGEXEXTRACT(CELL("address",U148), "\$([A-Z]+)\$[0-9]+"))),_xlfn.REGEXEXTRACT(CELL("address",U148), "\$([A-Z]+)\$[0-9]+"))</f>
        <v/>
      </c>
      <c r="V148" s="7" t="str" cm="1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7" t="str" cm="1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7" t="str" cm="1">
        <f t="array" aca="1" ref="X148" ca="1">IFERROR(IF(OR('Raw Data'!X148="",LEN(TRIM('Raw Data'!X148))=0),"",IF(AND(ISNUMBER('Raw Data'!X148), IFERROR('Raw Data'!X148 = ROUND('Raw Data'!X148, 2),FALSE)),"",_xlfn.REGEXEXTRACT(CELL("address",X148), "\$([A-Z]+)\$[0-9]+"))),_xlfn.REGEXEXTRACT(CELL("address",X148), "\$([A-Z]+)\$[0-9]+"))</f>
        <v/>
      </c>
      <c r="Y148" s="7" t="str" cm="1">
        <f t="array" aca="1" ref="Y148" ca="1">IFERROR(IF(OR('Raw Data'!Y148="",LEN(TRIM('Raw Data'!Y148))=0),"",IF(AND(ISNUMBER('Raw Data'!Y148), IFERROR('Raw Data'!Y148 = ROUND('Raw Data'!Y148, 2),FALSE)),"",_xlfn.REGEXEXTRACT(CELL("address",Y148), "\$([A-Z]+)\$[0-9]+"))),_xlfn.REGEXEXTRACT(CELL("address",Y148), "\$([A-Z]+)\$[0-9]+"))</f>
        <v/>
      </c>
      <c r="Z148" s="7" t="str" cm="1">
        <f t="array" aca="1" ref="Z148" ca="1">IFERROR(IF(OR('Raw Data'!Z148="",LEN(TRIM('Raw Data'!Z148))=0),"",IF(AND(ISNUMBER('Raw Data'!Z148), IFERROR('Raw Data'!Z148 = ROUND('Raw Data'!Z148, 2),FALSE)),"",_xlfn.REGEXEXTRACT(CELL("address",Z148), "\$([A-Z]+)\$[0-9]+"))),_xlfn.REGEXEXTRACT(CELL("address",Z148), "\$([A-Z]+)\$[0-9]+"))</f>
        <v/>
      </c>
      <c r="AA148" s="7" t="str" cm="1">
        <f t="array" aca="1" ref="AA148" ca="1">IFERROR(IF(OR('Raw Data'!AA148="",LEN(TRIM('Raw Data'!AA148))=0),"",IF(AND(ISNUMBER('Raw Data'!AA148), IFERROR('Raw Data'!AA148 = ROUND('Raw Data'!AA148, 2),FALSE)),"",_xlfn.REGEXEXTRACT(CELL("address",AA148), "\$([A-Z]+)\$[0-9]+"))),_xlfn.REGEXEXTRACT(CELL("address",AA148), "\$([A-Z]+)\$[0-9]+"))</f>
        <v/>
      </c>
      <c r="AB148" s="7" t="str" cm="1">
        <f t="array" aca="1" ref="AB148" ca="1">IFERROR(IF(OR('Raw Data'!AB148="",LEN(TRIM('Raw Data'!AB148))=0),"",IF(AND(ISNUMBER('Raw Data'!AB148), IFERROR('Raw Data'!AB148 = ROUND('Raw Data'!AB148, 2),FALSE)),"",_xlfn.REGEXEXTRACT(CELL("address",AB148), "\$([A-Z]+)\$[0-9]+"))),_xlfn.REGEXEXTRACT(CELL("address",AB148), "\$([A-Z]+)\$[0-9]+"))</f>
        <v/>
      </c>
    </row>
    <row r="149" spans="2:28" x14ac:dyDescent="0.25">
      <c r="B149" s="7" t="str" cm="1">
        <f t="array" aca="1" ref="B149" ca="1">IFERROR(IF(OR('Raw Data'!B149="",LEN(TRIM('Raw Data'!B149))=0),"",IF(AND(LEN('Raw Data'!B149) &lt;= 255,LEN('Raw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Data'!C149))=0),"",IF(AND(LEN('Raw Data'!C149) &lt;= 20,LEN('Raw Data'!C149)&gt; 0),"",_xlfn.REGEXEXTRACT(CELL("address",'Raw Data'!C149),"\$([A-Z]+)\$[0-9]+"))),_xlfn.REGEXEXTRACT(CELL("address",'Raw Data'!C149),"\$([A-Z]+)\$[0-9]+"))</f>
        <v/>
      </c>
      <c r="D149" s="7" t="str" cm="1">
        <f t="array" aca="1" ref="D149" ca="1">IFERROR(IF(OR('Raw Data'!D149="",LEN(TRIM('Raw Data'!D149))=0),"",IF(AND(ISNUMBER('Raw Data'!D149),'Raw Data'!D149&gt;=Configuration!$D$2),"",_xlfn.REGEXEXTRACT(CELL("address",'Raw Data'!D149),"\$([A-Z]+)\$[0-9]+"))),_xlfn.REGEXEXTRACT(CELL("address",D149), "\$([A-Z]+)\$[0-9]+"))</f>
        <v/>
      </c>
      <c r="E149" s="7" t="str" cm="1">
        <f t="array" aca="1" ref="E149" ca="1">IFERROR(IF(OR('Raw Data'!E149="",LEN(TRIM('Raw Data'!E149))=0),"",IF(AND(ISNUMBER('Raw Data'!E149), IFERROR('Raw Data'!E149 = ROUND('Raw Data'!E149, 2),FALSE)),"",_xlfn.REGEXEXTRACT(CELL("address",E149), "\$([A-Z]+)\$[0-9]+"))),_xlfn.REGEXEXTRACT(CELL("address",E149), "\$([A-Z]+)\$[0-9]+"))</f>
        <v/>
      </c>
      <c r="F149" s="7" t="str" cm="1">
        <f t="array" aca="1" ref="F149" ca="1">IFERROR(IF(OR('Raw Data'!F149="",LEN(TRIM('Raw Data'!F149))=0),"",IF(AND(ISNUMBER('Raw Data'!F149), IFERROR('Raw Data'!F149 = ROUND('Raw Data'!F149, 2),FALSE)),"",_xlfn.REGEXEXTRACT(CELL("address",F149), "\$([A-Z]+)\$[0-9]+"))),_xlfn.REGEXEXTRACT(CELL("address",F149), "\$([A-Z]+)\$[0-9]+"))</f>
        <v/>
      </c>
      <c r="G149" s="7" t="str" cm="1">
        <f t="array" aca="1" ref="G149" ca="1">IFERROR(IF(OR('Raw Data'!G149="",LEN(TRIM('Raw Data'!G149))=0),"",IF(AND(ISNUMBER('Raw Data'!G149), IFERROR('Raw Data'!G149 = ROUND('Raw Data'!G149, 2),FALSE)),"",_xlfn.REGEXEXTRACT(CELL("address",G149), "\$([A-Z]+)\$[0-9]+"))),_xlfn.REGEXEXTRACT(CELL("address",G149), "\$([A-Z]+)\$[0-9]+"))</f>
        <v/>
      </c>
      <c r="H149" s="7" t="str" cm="1">
        <f t="array" aca="1" ref="H149" ca="1">IFERROR(IF(OR('Raw Data'!H149="",LEN(TRIM('Raw Data'!H149))=0),"",IF(AND(ISNUMBER('Raw Data'!H149), IFERROR('Raw Data'!H149 = ROUND('Raw Data'!H149, 2),FALSE)),"",_xlfn.REGEXEXTRACT(CELL("address",H149), "\$([A-Z]+)\$[0-9]+"))),_xlfn.REGEXEXTRACT(CELL("address",H149), "\$([A-Z]+)\$[0-9]+"))</f>
        <v/>
      </c>
      <c r="I149" s="7" t="str" cm="1">
        <f t="array" aca="1" ref="I149" ca="1">IFERROR(IF(OR('Raw Data'!I149="",LEN(TRIM('Raw Data'!I149))=0),"",IF(AND(ISNUMBER('Raw Data'!I149), IFERROR('Raw Data'!I149 = ROUND('Raw Data'!I149, 2),FALSE)),"",_xlfn.REGEXEXTRACT(CELL("address",I149), "\$([A-Z]+)\$[0-9]+"))),_xlfn.REGEXEXTRACT(CELL("address",I149), "\$([A-Z]+)\$[0-9]+"))</f>
        <v/>
      </c>
      <c r="J149" s="7" t="str" cm="1">
        <f t="array" aca="1" ref="J149" ca="1">IFERROR(IF(OR('Raw Data'!J149="",LEN(TRIM('Raw Data'!J149))=0),"",IF(AND(ISNUMBER('Raw Data'!J149), IFERROR('Raw Data'!J149 = ROUND('Raw Data'!J149, 2),FALSE)),"",_xlfn.REGEXEXTRACT(CELL("address",J149), "\$([A-Z]+)\$[0-9]+"))),_xlfn.REGEXEXTRACT(CELL("address",J149), "\$([A-Z]+)\$[0-9]+"))</f>
        <v/>
      </c>
      <c r="K149" s="7" t="str" cm="1">
        <f t="array" aca="1" ref="K149" ca="1">IFERROR(IF(OR('Raw Data'!K149="",LEN(TRIM('Raw Data'!K149))=0),"",IF(AND(ISNUMBER('Raw Data'!K149), IFERROR('Raw Data'!K149 = ROUND('Raw Data'!K149, 2),FALSE)),"",_xlfn.REGEXEXTRACT(CELL("address",K149), "\$([A-Z]+)\$[0-9]+"))),_xlfn.REGEXEXTRACT(CELL("address",K149), "\$([A-Z]+)\$[0-9]+"))</f>
        <v/>
      </c>
      <c r="L149" s="7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7" t="str" cm="1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7" t="str" cm="1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  <c r="O149" s="7" t="str" cm="1">
        <f t="array" aca="1" ref="O149" ca="1">IFERROR(IF(OR('Raw Data'!O149="",LEN(TRIM('Raw Data'!O149))=0),"",IF(AND(ISNUMBER('Raw Data'!O149), IFERROR('Raw Data'!O149 = ROUND('Raw Data'!O149, 2),FALSE)),"",_xlfn.REGEXEXTRACT(CELL("address",O149), "\$([A-Z]+)\$[0-9]+"))),_xlfn.REGEXEXTRACT(CELL("address",O149), "\$([A-Z]+)\$[0-9]+"))</f>
        <v/>
      </c>
      <c r="P149" s="7" t="str" cm="1">
        <f t="array" aca="1" ref="P149" ca="1">IFERROR(IF(OR('Raw Data'!P149="",LEN(TRIM('Raw Data'!P149))=0),"",IF(AND(ISNUMBER('Raw Data'!P149), IFERROR('Raw Data'!P149 = ROUND('Raw Data'!P149, 2),FALSE)),"",_xlfn.REGEXEXTRACT(CELL("address",P149), "\$([A-Z]+)\$[0-9]+"))),_xlfn.REGEXEXTRACT(CELL("address",P149), "\$([A-Z]+)\$[0-9]+"))</f>
        <v/>
      </c>
      <c r="Q149" s="7" t="str" cm="1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7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7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7" t="str" cm="1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7" t="str" cm="1">
        <f t="array" aca="1" ref="U149" ca="1">IFERROR(IF(OR('Raw Data'!U149="",LEN(TRIM('Raw Data'!U149))=0),"",IF(AND(ISNUMBER('Raw Data'!U149), IFERROR('Raw Data'!U149 = ROUND('Raw Data'!U149, 2),FALSE)),"",_xlfn.REGEXEXTRACT(CELL("address",U149), "\$([A-Z]+)\$[0-9]+"))),_xlfn.REGEXEXTRACT(CELL("address",U149), "\$([A-Z]+)\$[0-9]+"))</f>
        <v/>
      </c>
      <c r="V149" s="7" t="str" cm="1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7" t="str" cm="1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7" t="str" cm="1">
        <f t="array" aca="1" ref="X149" ca="1">IFERROR(IF(OR('Raw Data'!X149="",LEN(TRIM('Raw Data'!X149))=0),"",IF(AND(ISNUMBER('Raw Data'!X149), IFERROR('Raw Data'!X149 = ROUND('Raw Data'!X149, 2),FALSE)),"",_xlfn.REGEXEXTRACT(CELL("address",X149), "\$([A-Z]+)\$[0-9]+"))),_xlfn.REGEXEXTRACT(CELL("address",X149), "\$([A-Z]+)\$[0-9]+"))</f>
        <v/>
      </c>
      <c r="Y149" s="7" t="str" cm="1">
        <f t="array" aca="1" ref="Y149" ca="1">IFERROR(IF(OR('Raw Data'!Y149="",LEN(TRIM('Raw Data'!Y149))=0),"",IF(AND(ISNUMBER('Raw Data'!Y149), IFERROR('Raw Data'!Y149 = ROUND('Raw Data'!Y149, 2),FALSE)),"",_xlfn.REGEXEXTRACT(CELL("address",Y149), "\$([A-Z]+)\$[0-9]+"))),_xlfn.REGEXEXTRACT(CELL("address",Y149), "\$([A-Z]+)\$[0-9]+"))</f>
        <v/>
      </c>
      <c r="Z149" s="7" t="str" cm="1">
        <f t="array" aca="1" ref="Z149" ca="1">IFERROR(IF(OR('Raw Data'!Z149="",LEN(TRIM('Raw Data'!Z149))=0),"",IF(AND(ISNUMBER('Raw Data'!Z149), IFERROR('Raw Data'!Z149 = ROUND('Raw Data'!Z149, 2),FALSE)),"",_xlfn.REGEXEXTRACT(CELL("address",Z149), "\$([A-Z]+)\$[0-9]+"))),_xlfn.REGEXEXTRACT(CELL("address",Z149), "\$([A-Z]+)\$[0-9]+"))</f>
        <v/>
      </c>
      <c r="AA149" s="7" t="str" cm="1">
        <f t="array" aca="1" ref="AA149" ca="1">IFERROR(IF(OR('Raw Data'!AA149="",LEN(TRIM('Raw Data'!AA149))=0),"",IF(AND(ISNUMBER('Raw Data'!AA149), IFERROR('Raw Data'!AA149 = ROUND('Raw Data'!AA149, 2),FALSE)),"",_xlfn.REGEXEXTRACT(CELL("address",AA149), "\$([A-Z]+)\$[0-9]+"))),_xlfn.REGEXEXTRACT(CELL("address",AA149), "\$([A-Z]+)\$[0-9]+"))</f>
        <v/>
      </c>
      <c r="AB149" s="7" t="str" cm="1">
        <f t="array" aca="1" ref="AB149" ca="1">IFERROR(IF(OR('Raw Data'!AB149="",LEN(TRIM('Raw Data'!AB149))=0),"",IF(AND(ISNUMBER('Raw Data'!AB149), IFERROR('Raw Data'!AB149 = ROUND('Raw Data'!AB149, 2),FALSE)),"",_xlfn.REGEXEXTRACT(CELL("address",AB149), "\$([A-Z]+)\$[0-9]+"))),_xlfn.REGEXEXTRACT(CELL("address",AB149), "\$([A-Z]+)\$[0-9]+"))</f>
        <v/>
      </c>
    </row>
    <row r="150" spans="2:28" x14ac:dyDescent="0.25">
      <c r="B150" s="7" t="str" cm="1">
        <f t="array" aca="1" ref="B150" ca="1">IFERROR(IF(OR('Raw Data'!B150="",LEN(TRIM('Raw Data'!B150))=0),"",IF(AND(LEN('Raw Data'!B150) &lt;= 255,LEN('Raw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Data'!C150))=0),"",IF(AND(LEN('Raw Data'!C150) &lt;= 20,LEN('Raw Data'!C150)&gt; 0),"",_xlfn.REGEXEXTRACT(CELL("address",'Raw Data'!C150),"\$([A-Z]+)\$[0-9]+"))),_xlfn.REGEXEXTRACT(CELL("address",'Raw Data'!C150),"\$([A-Z]+)\$[0-9]+"))</f>
        <v/>
      </c>
      <c r="D150" s="7" t="str" cm="1">
        <f t="array" aca="1" ref="D150" ca="1">IFERROR(IF(OR('Raw Data'!D150="",LEN(TRIM('Raw Data'!D150))=0),"",IF(AND(ISNUMBER('Raw Data'!D150),'Raw Data'!D150&gt;=Configuration!$D$2),"",_xlfn.REGEXEXTRACT(CELL("address",'Raw Data'!D150),"\$([A-Z]+)\$[0-9]+"))),_xlfn.REGEXEXTRACT(CELL("address",D150), "\$([A-Z]+)\$[0-9]+"))</f>
        <v/>
      </c>
      <c r="E150" s="7" t="str" cm="1">
        <f t="array" aca="1" ref="E150" ca="1">IFERROR(IF(OR('Raw Data'!E150="",LEN(TRIM('Raw Data'!E150))=0),"",IF(AND(ISNUMBER('Raw Data'!E150), IFERROR('Raw Data'!E150 = ROUND('Raw Data'!E150, 2),FALSE)),"",_xlfn.REGEXEXTRACT(CELL("address",E150), "\$([A-Z]+)\$[0-9]+"))),_xlfn.REGEXEXTRACT(CELL("address",E150), "\$([A-Z]+)\$[0-9]+"))</f>
        <v/>
      </c>
      <c r="F150" s="7" t="str" cm="1">
        <f t="array" aca="1" ref="F150" ca="1">IFERROR(IF(OR('Raw Data'!F150="",LEN(TRIM('Raw Data'!F150))=0),"",IF(AND(ISNUMBER('Raw Data'!F150), IFERROR('Raw Data'!F150 = ROUND('Raw Data'!F150, 2),FALSE)),"",_xlfn.REGEXEXTRACT(CELL("address",F150), "\$([A-Z]+)\$[0-9]+"))),_xlfn.REGEXEXTRACT(CELL("address",F150), "\$([A-Z]+)\$[0-9]+"))</f>
        <v/>
      </c>
      <c r="G150" s="7" t="str" cm="1">
        <f t="array" aca="1" ref="G150" ca="1">IFERROR(IF(OR('Raw Data'!G150="",LEN(TRIM('Raw Data'!G150))=0),"",IF(AND(ISNUMBER('Raw Data'!G150), IFERROR('Raw Data'!G150 = ROUND('Raw Data'!G150, 2),FALSE)),"",_xlfn.REGEXEXTRACT(CELL("address",G150), "\$([A-Z]+)\$[0-9]+"))),_xlfn.REGEXEXTRACT(CELL("address",G150), "\$([A-Z]+)\$[0-9]+"))</f>
        <v/>
      </c>
      <c r="H150" s="7" t="str" cm="1">
        <f t="array" aca="1" ref="H150" ca="1">IFERROR(IF(OR('Raw Data'!H150="",LEN(TRIM('Raw Data'!H150))=0),"",IF(AND(ISNUMBER('Raw Data'!H150), IFERROR('Raw Data'!H150 = ROUND('Raw Data'!H150, 2),FALSE)),"",_xlfn.REGEXEXTRACT(CELL("address",H150), "\$([A-Z]+)\$[0-9]+"))),_xlfn.REGEXEXTRACT(CELL("address",H150), "\$([A-Z]+)\$[0-9]+"))</f>
        <v/>
      </c>
      <c r="I150" s="7" t="str" cm="1">
        <f t="array" aca="1" ref="I150" ca="1">IFERROR(IF(OR('Raw Data'!I150="",LEN(TRIM('Raw Data'!I150))=0),"",IF(AND(ISNUMBER('Raw Data'!I150), IFERROR('Raw Data'!I150 = ROUND('Raw Data'!I150, 2),FALSE)),"",_xlfn.REGEXEXTRACT(CELL("address",I150), "\$([A-Z]+)\$[0-9]+"))),_xlfn.REGEXEXTRACT(CELL("address",I150), "\$([A-Z]+)\$[0-9]+"))</f>
        <v/>
      </c>
      <c r="J150" s="7" t="str" cm="1">
        <f t="array" aca="1" ref="J150" ca="1">IFERROR(IF(OR('Raw Data'!J150="",LEN(TRIM('Raw Data'!J150))=0),"",IF(AND(ISNUMBER('Raw Data'!J150), IFERROR('Raw Data'!J150 = ROUND('Raw Data'!J150, 2),FALSE)),"",_xlfn.REGEXEXTRACT(CELL("address",J150), "\$([A-Z]+)\$[0-9]+"))),_xlfn.REGEXEXTRACT(CELL("address",J150), "\$([A-Z]+)\$[0-9]+"))</f>
        <v/>
      </c>
      <c r="K150" s="7" t="str" cm="1">
        <f t="array" aca="1" ref="K150" ca="1">IFERROR(IF(OR('Raw Data'!K150="",LEN(TRIM('Raw Data'!K150))=0),"",IF(AND(ISNUMBER('Raw Data'!K150), IFERROR('Raw Data'!K150 = ROUND('Raw Data'!K150, 2),FALSE)),"",_xlfn.REGEXEXTRACT(CELL("address",K150), "\$([A-Z]+)\$[0-9]+"))),_xlfn.REGEXEXTRACT(CELL("address",K150), "\$([A-Z]+)\$[0-9]+"))</f>
        <v/>
      </c>
      <c r="L150" s="7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7" t="str" cm="1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7" t="str" cm="1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  <c r="O150" s="7" t="str" cm="1">
        <f t="array" aca="1" ref="O150" ca="1">IFERROR(IF(OR('Raw Data'!O150="",LEN(TRIM('Raw Data'!O150))=0),"",IF(AND(ISNUMBER('Raw Data'!O150), IFERROR('Raw Data'!O150 = ROUND('Raw Data'!O150, 2),FALSE)),"",_xlfn.REGEXEXTRACT(CELL("address",O150), "\$([A-Z]+)\$[0-9]+"))),_xlfn.REGEXEXTRACT(CELL("address",O150), "\$([A-Z]+)\$[0-9]+"))</f>
        <v/>
      </c>
      <c r="P150" s="7" t="str" cm="1">
        <f t="array" aca="1" ref="P150" ca="1">IFERROR(IF(OR('Raw Data'!P150="",LEN(TRIM('Raw Data'!P150))=0),"",IF(AND(ISNUMBER('Raw Data'!P150), IFERROR('Raw Data'!P150 = ROUND('Raw Data'!P150, 2),FALSE)),"",_xlfn.REGEXEXTRACT(CELL("address",P150), "\$([A-Z]+)\$[0-9]+"))),_xlfn.REGEXEXTRACT(CELL("address",P150), "\$([A-Z]+)\$[0-9]+"))</f>
        <v/>
      </c>
      <c r="Q150" s="7" t="str" cm="1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7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7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7" t="str" cm="1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7" t="str" cm="1">
        <f t="array" aca="1" ref="U150" ca="1">IFERROR(IF(OR('Raw Data'!U150="",LEN(TRIM('Raw Data'!U150))=0),"",IF(AND(ISNUMBER('Raw Data'!U150), IFERROR('Raw Data'!U150 = ROUND('Raw Data'!U150, 2),FALSE)),"",_xlfn.REGEXEXTRACT(CELL("address",U150), "\$([A-Z]+)\$[0-9]+"))),_xlfn.REGEXEXTRACT(CELL("address",U150), "\$([A-Z]+)\$[0-9]+"))</f>
        <v/>
      </c>
      <c r="V150" s="7" t="str" cm="1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7" t="str" cm="1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7" t="str" cm="1">
        <f t="array" aca="1" ref="X150" ca="1">IFERROR(IF(OR('Raw Data'!X150="",LEN(TRIM('Raw Data'!X150))=0),"",IF(AND(ISNUMBER('Raw Data'!X150), IFERROR('Raw Data'!X150 = ROUND('Raw Data'!X150, 2),FALSE)),"",_xlfn.REGEXEXTRACT(CELL("address",X150), "\$([A-Z]+)\$[0-9]+"))),_xlfn.REGEXEXTRACT(CELL("address",X150), "\$([A-Z]+)\$[0-9]+"))</f>
        <v/>
      </c>
      <c r="Y150" s="7" t="str" cm="1">
        <f t="array" aca="1" ref="Y150" ca="1">IFERROR(IF(OR('Raw Data'!Y150="",LEN(TRIM('Raw Data'!Y150))=0),"",IF(AND(ISNUMBER('Raw Data'!Y150), IFERROR('Raw Data'!Y150 = ROUND('Raw Data'!Y150, 2),FALSE)),"",_xlfn.REGEXEXTRACT(CELL("address",Y150), "\$([A-Z]+)\$[0-9]+"))),_xlfn.REGEXEXTRACT(CELL("address",Y150), "\$([A-Z]+)\$[0-9]+"))</f>
        <v/>
      </c>
      <c r="Z150" s="7" t="str" cm="1">
        <f t="array" aca="1" ref="Z150" ca="1">IFERROR(IF(OR('Raw Data'!Z150="",LEN(TRIM('Raw Data'!Z150))=0),"",IF(AND(ISNUMBER('Raw Data'!Z150), IFERROR('Raw Data'!Z150 = ROUND('Raw Data'!Z150, 2),FALSE)),"",_xlfn.REGEXEXTRACT(CELL("address",Z150), "\$([A-Z]+)\$[0-9]+"))),_xlfn.REGEXEXTRACT(CELL("address",Z150), "\$([A-Z]+)\$[0-9]+"))</f>
        <v/>
      </c>
      <c r="AA150" s="7" t="str" cm="1">
        <f t="array" aca="1" ref="AA150" ca="1">IFERROR(IF(OR('Raw Data'!AA150="",LEN(TRIM('Raw Data'!AA150))=0),"",IF(AND(ISNUMBER('Raw Data'!AA150), IFERROR('Raw Data'!AA150 = ROUND('Raw Data'!AA150, 2),FALSE)),"",_xlfn.REGEXEXTRACT(CELL("address",AA150), "\$([A-Z]+)\$[0-9]+"))),_xlfn.REGEXEXTRACT(CELL("address",AA150), "\$([A-Z]+)\$[0-9]+"))</f>
        <v/>
      </c>
      <c r="AB150" s="7" t="str" cm="1">
        <f t="array" aca="1" ref="AB150" ca="1">IFERROR(IF(OR('Raw Data'!AB150="",LEN(TRIM('Raw Data'!AB150))=0),"",IF(AND(ISNUMBER('Raw Data'!AB150), IFERROR('Raw Data'!AB150 = ROUND('Raw Data'!AB150, 2),FALSE)),"",_xlfn.REGEXEXTRACT(CELL("address",AB150), "\$([A-Z]+)\$[0-9]+"))),_xlfn.REGEXEXTRACT(CELL("address",AB150), "\$([A-Z]+)\$[0-9]+"))</f>
        <v/>
      </c>
    </row>
    <row r="151" spans="2:28" x14ac:dyDescent="0.25">
      <c r="B151" s="7" t="str" cm="1">
        <f t="array" aca="1" ref="B151" ca="1">IFERROR(IF(OR('Raw Data'!B151="",LEN(TRIM('Raw Data'!B151))=0),"",IF(AND(LEN('Raw Data'!B151) &lt;= 255,LEN('Raw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Data'!C151))=0),"",IF(AND(LEN('Raw Data'!C151) &lt;= 20,LEN('Raw Data'!C151)&gt; 0),"",_xlfn.REGEXEXTRACT(CELL("address",'Raw Data'!C151),"\$([A-Z]+)\$[0-9]+"))),_xlfn.REGEXEXTRACT(CELL("address",'Raw Data'!C151),"\$([A-Z]+)\$[0-9]+"))</f>
        <v/>
      </c>
      <c r="D151" s="7" t="str" cm="1">
        <f t="array" aca="1" ref="D151" ca="1">IFERROR(IF(OR('Raw Data'!D151="",LEN(TRIM('Raw Data'!D151))=0),"",IF(AND(ISNUMBER('Raw Data'!D151),'Raw Data'!D151&gt;=Configuration!$D$2),"",_xlfn.REGEXEXTRACT(CELL("address",'Raw Data'!D151),"\$([A-Z]+)\$[0-9]+"))),_xlfn.REGEXEXTRACT(CELL("address",D151), "\$([A-Z]+)\$[0-9]+"))</f>
        <v/>
      </c>
      <c r="E151" s="7" t="str" cm="1">
        <f t="array" aca="1" ref="E151" ca="1">IFERROR(IF(OR('Raw Data'!E151="",LEN(TRIM('Raw Data'!E151))=0),"",IF(AND(ISNUMBER('Raw Data'!E151), IFERROR('Raw Data'!E151 = ROUND('Raw Data'!E151, 2),FALSE)),"",_xlfn.REGEXEXTRACT(CELL("address",E151), "\$([A-Z]+)\$[0-9]+"))),_xlfn.REGEXEXTRACT(CELL("address",E151), "\$([A-Z]+)\$[0-9]+"))</f>
        <v/>
      </c>
      <c r="F151" s="7" t="str" cm="1">
        <f t="array" aca="1" ref="F151" ca="1">IFERROR(IF(OR('Raw Data'!F151="",LEN(TRIM('Raw Data'!F151))=0),"",IF(AND(ISNUMBER('Raw Data'!F151), IFERROR('Raw Data'!F151 = ROUND('Raw Data'!F151, 2),FALSE)),"",_xlfn.REGEXEXTRACT(CELL("address",F151), "\$([A-Z]+)\$[0-9]+"))),_xlfn.REGEXEXTRACT(CELL("address",F151), "\$([A-Z]+)\$[0-9]+"))</f>
        <v/>
      </c>
      <c r="G151" s="7" t="str" cm="1">
        <f t="array" aca="1" ref="G151" ca="1">IFERROR(IF(OR('Raw Data'!G151="",LEN(TRIM('Raw Data'!G151))=0),"",IF(AND(ISNUMBER('Raw Data'!G151), IFERROR('Raw Data'!G151 = ROUND('Raw Data'!G151, 2),FALSE)),"",_xlfn.REGEXEXTRACT(CELL("address",G151), "\$([A-Z]+)\$[0-9]+"))),_xlfn.REGEXEXTRACT(CELL("address",G151), "\$([A-Z]+)\$[0-9]+"))</f>
        <v/>
      </c>
      <c r="H151" s="7" t="str" cm="1">
        <f t="array" aca="1" ref="H151" ca="1">IFERROR(IF(OR('Raw Data'!H151="",LEN(TRIM('Raw Data'!H151))=0),"",IF(AND(ISNUMBER('Raw Data'!H151), IFERROR('Raw Data'!H151 = ROUND('Raw Data'!H151, 2),FALSE)),"",_xlfn.REGEXEXTRACT(CELL("address",H151), "\$([A-Z]+)\$[0-9]+"))),_xlfn.REGEXEXTRACT(CELL("address",H151), "\$([A-Z]+)\$[0-9]+"))</f>
        <v/>
      </c>
      <c r="I151" s="7" t="str" cm="1">
        <f t="array" aca="1" ref="I151" ca="1">IFERROR(IF(OR('Raw Data'!I151="",LEN(TRIM('Raw Data'!I151))=0),"",IF(AND(ISNUMBER('Raw Data'!I151), IFERROR('Raw Data'!I151 = ROUND('Raw Data'!I151, 2),FALSE)),"",_xlfn.REGEXEXTRACT(CELL("address",I151), "\$([A-Z]+)\$[0-9]+"))),_xlfn.REGEXEXTRACT(CELL("address",I151), "\$([A-Z]+)\$[0-9]+"))</f>
        <v/>
      </c>
      <c r="J151" s="7" t="str" cm="1">
        <f t="array" aca="1" ref="J151" ca="1">IFERROR(IF(OR('Raw Data'!J151="",LEN(TRIM('Raw Data'!J151))=0),"",IF(AND(ISNUMBER('Raw Data'!J151), IFERROR('Raw Data'!J151 = ROUND('Raw Data'!J151, 2),FALSE)),"",_xlfn.REGEXEXTRACT(CELL("address",J151), "\$([A-Z]+)\$[0-9]+"))),_xlfn.REGEXEXTRACT(CELL("address",J151), "\$([A-Z]+)\$[0-9]+"))</f>
        <v/>
      </c>
      <c r="K151" s="7" t="str" cm="1">
        <f t="array" aca="1" ref="K151" ca="1">IFERROR(IF(OR('Raw Data'!K151="",LEN(TRIM('Raw Data'!K151))=0),"",IF(AND(ISNUMBER('Raw Data'!K151), IFERROR('Raw Data'!K151 = ROUND('Raw Data'!K151, 2),FALSE)),"",_xlfn.REGEXEXTRACT(CELL("address",K151), "\$([A-Z]+)\$[0-9]+"))),_xlfn.REGEXEXTRACT(CELL("address",K151), "\$([A-Z]+)\$[0-9]+"))</f>
        <v/>
      </c>
      <c r="L151" s="7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7" t="str" cm="1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7" t="str" cm="1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  <c r="O151" s="7" t="str" cm="1">
        <f t="array" aca="1" ref="O151" ca="1">IFERROR(IF(OR('Raw Data'!O151="",LEN(TRIM('Raw Data'!O151))=0),"",IF(AND(ISNUMBER('Raw Data'!O151), IFERROR('Raw Data'!O151 = ROUND('Raw Data'!O151, 2),FALSE)),"",_xlfn.REGEXEXTRACT(CELL("address",O151), "\$([A-Z]+)\$[0-9]+"))),_xlfn.REGEXEXTRACT(CELL("address",O151), "\$([A-Z]+)\$[0-9]+"))</f>
        <v/>
      </c>
      <c r="P151" s="7" t="str" cm="1">
        <f t="array" aca="1" ref="P151" ca="1">IFERROR(IF(OR('Raw Data'!P151="",LEN(TRIM('Raw Data'!P151))=0),"",IF(AND(ISNUMBER('Raw Data'!P151), IFERROR('Raw Data'!P151 = ROUND('Raw Data'!P151, 2),FALSE)),"",_xlfn.REGEXEXTRACT(CELL("address",P151), "\$([A-Z]+)\$[0-9]+"))),_xlfn.REGEXEXTRACT(CELL("address",P151), "\$([A-Z]+)\$[0-9]+"))</f>
        <v/>
      </c>
      <c r="Q151" s="7" t="str" cm="1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7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7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7" t="str" cm="1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7" t="str" cm="1">
        <f t="array" aca="1" ref="U151" ca="1">IFERROR(IF(OR('Raw Data'!U151="",LEN(TRIM('Raw Data'!U151))=0),"",IF(AND(ISNUMBER('Raw Data'!U151), IFERROR('Raw Data'!U151 = ROUND('Raw Data'!U151, 2),FALSE)),"",_xlfn.REGEXEXTRACT(CELL("address",U151), "\$([A-Z]+)\$[0-9]+"))),_xlfn.REGEXEXTRACT(CELL("address",U151), "\$([A-Z]+)\$[0-9]+"))</f>
        <v/>
      </c>
      <c r="V151" s="7" t="str" cm="1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7" t="str" cm="1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7" t="str" cm="1">
        <f t="array" aca="1" ref="X151" ca="1">IFERROR(IF(OR('Raw Data'!X151="",LEN(TRIM('Raw Data'!X151))=0),"",IF(AND(ISNUMBER('Raw Data'!X151), IFERROR('Raw Data'!X151 = ROUND('Raw Data'!X151, 2),FALSE)),"",_xlfn.REGEXEXTRACT(CELL("address",X151), "\$([A-Z]+)\$[0-9]+"))),_xlfn.REGEXEXTRACT(CELL("address",X151), "\$([A-Z]+)\$[0-9]+"))</f>
        <v/>
      </c>
      <c r="Y151" s="7" t="str" cm="1">
        <f t="array" aca="1" ref="Y151" ca="1">IFERROR(IF(OR('Raw Data'!Y151="",LEN(TRIM('Raw Data'!Y151))=0),"",IF(AND(ISNUMBER('Raw Data'!Y151), IFERROR('Raw Data'!Y151 = ROUND('Raw Data'!Y151, 2),FALSE)),"",_xlfn.REGEXEXTRACT(CELL("address",Y151), "\$([A-Z]+)\$[0-9]+"))),_xlfn.REGEXEXTRACT(CELL("address",Y151), "\$([A-Z]+)\$[0-9]+"))</f>
        <v/>
      </c>
      <c r="Z151" s="7" t="str" cm="1">
        <f t="array" aca="1" ref="Z151" ca="1">IFERROR(IF(OR('Raw Data'!Z151="",LEN(TRIM('Raw Data'!Z151))=0),"",IF(AND(ISNUMBER('Raw Data'!Z151), IFERROR('Raw Data'!Z151 = ROUND('Raw Data'!Z151, 2),FALSE)),"",_xlfn.REGEXEXTRACT(CELL("address",Z151), "\$([A-Z]+)\$[0-9]+"))),_xlfn.REGEXEXTRACT(CELL("address",Z151), "\$([A-Z]+)\$[0-9]+"))</f>
        <v/>
      </c>
      <c r="AA151" s="7" t="str" cm="1">
        <f t="array" aca="1" ref="AA151" ca="1">IFERROR(IF(OR('Raw Data'!AA151="",LEN(TRIM('Raw Data'!AA151))=0),"",IF(AND(ISNUMBER('Raw Data'!AA151), IFERROR('Raw Data'!AA151 = ROUND('Raw Data'!AA151, 2),FALSE)),"",_xlfn.REGEXEXTRACT(CELL("address",AA151), "\$([A-Z]+)\$[0-9]+"))),_xlfn.REGEXEXTRACT(CELL("address",AA151), "\$([A-Z]+)\$[0-9]+"))</f>
        <v/>
      </c>
      <c r="AB151" s="7" t="str" cm="1">
        <f t="array" aca="1" ref="AB151" ca="1">IFERROR(IF(OR('Raw Data'!AB151="",LEN(TRIM('Raw Data'!AB151))=0),"",IF(AND(ISNUMBER('Raw Data'!AB151), IFERROR('Raw Data'!AB151 = ROUND('Raw Data'!AB151, 2),FALSE)),"",_xlfn.REGEXEXTRACT(CELL("address",AB151), "\$([A-Z]+)\$[0-9]+"))),_xlfn.REGEXEXTRACT(CELL("address",AB151), "\$([A-Z]+)\$[0-9]+"))</f>
        <v/>
      </c>
    </row>
    <row r="152" spans="2:28" x14ac:dyDescent="0.25">
      <c r="B152" s="7" t="str" cm="1">
        <f t="array" aca="1" ref="B152" ca="1">IFERROR(IF(OR('Raw Data'!B152="",LEN(TRIM('Raw Data'!B152))=0),"",IF(AND(LEN('Raw Data'!B152) &lt;= 255,LEN('Raw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Data'!C152))=0),"",IF(AND(LEN('Raw Data'!C152) &lt;= 20,LEN('Raw Data'!C152)&gt; 0),"",_xlfn.REGEXEXTRACT(CELL("address",'Raw Data'!C152),"\$([A-Z]+)\$[0-9]+"))),_xlfn.REGEXEXTRACT(CELL("address",'Raw Data'!C152),"\$([A-Z]+)\$[0-9]+"))</f>
        <v/>
      </c>
      <c r="D152" s="7" t="str" cm="1">
        <f t="array" aca="1" ref="D152" ca="1">IFERROR(IF(OR('Raw Data'!D152="",LEN(TRIM('Raw Data'!D152))=0),"",IF(AND(ISNUMBER('Raw Data'!D152),'Raw Data'!D152&gt;=Configuration!$D$2),"",_xlfn.REGEXEXTRACT(CELL("address",'Raw Data'!D152),"\$([A-Z]+)\$[0-9]+"))),_xlfn.REGEXEXTRACT(CELL("address",D152), "\$([A-Z]+)\$[0-9]+"))</f>
        <v/>
      </c>
      <c r="E152" s="7" t="str" cm="1">
        <f t="array" aca="1" ref="E152" ca="1">IFERROR(IF(OR('Raw Data'!E152="",LEN(TRIM('Raw Data'!E152))=0),"",IF(AND(ISNUMBER('Raw Data'!E152), IFERROR('Raw Data'!E152 = ROUND('Raw Data'!E152, 2),FALSE)),"",_xlfn.REGEXEXTRACT(CELL("address",E152), "\$([A-Z]+)\$[0-9]+"))),_xlfn.REGEXEXTRACT(CELL("address",E152), "\$([A-Z]+)\$[0-9]+"))</f>
        <v/>
      </c>
      <c r="F152" s="7" t="str" cm="1">
        <f t="array" aca="1" ref="F152" ca="1">IFERROR(IF(OR('Raw Data'!F152="",LEN(TRIM('Raw Data'!F152))=0),"",IF(AND(ISNUMBER('Raw Data'!F152), IFERROR('Raw Data'!F152 = ROUND('Raw Data'!F152, 2),FALSE)),"",_xlfn.REGEXEXTRACT(CELL("address",F152), "\$([A-Z]+)\$[0-9]+"))),_xlfn.REGEXEXTRACT(CELL("address",F152), "\$([A-Z]+)\$[0-9]+"))</f>
        <v/>
      </c>
      <c r="G152" s="7" t="str" cm="1">
        <f t="array" aca="1" ref="G152" ca="1">IFERROR(IF(OR('Raw Data'!G152="",LEN(TRIM('Raw Data'!G152))=0),"",IF(AND(ISNUMBER('Raw Data'!G152), IFERROR('Raw Data'!G152 = ROUND('Raw Data'!G152, 2),FALSE)),"",_xlfn.REGEXEXTRACT(CELL("address",G152), "\$([A-Z]+)\$[0-9]+"))),_xlfn.REGEXEXTRACT(CELL("address",G152), "\$([A-Z]+)\$[0-9]+"))</f>
        <v/>
      </c>
      <c r="H152" s="7" t="str" cm="1">
        <f t="array" aca="1" ref="H152" ca="1">IFERROR(IF(OR('Raw Data'!H152="",LEN(TRIM('Raw Data'!H152))=0),"",IF(AND(ISNUMBER('Raw Data'!H152), IFERROR('Raw Data'!H152 = ROUND('Raw Data'!H152, 2),FALSE)),"",_xlfn.REGEXEXTRACT(CELL("address",H152), "\$([A-Z]+)\$[0-9]+"))),_xlfn.REGEXEXTRACT(CELL("address",H152), "\$([A-Z]+)\$[0-9]+"))</f>
        <v/>
      </c>
      <c r="I152" s="7" t="str" cm="1">
        <f t="array" aca="1" ref="I152" ca="1">IFERROR(IF(OR('Raw Data'!I152="",LEN(TRIM('Raw Data'!I152))=0),"",IF(AND(ISNUMBER('Raw Data'!I152), IFERROR('Raw Data'!I152 = ROUND('Raw Data'!I152, 2),FALSE)),"",_xlfn.REGEXEXTRACT(CELL("address",I152), "\$([A-Z]+)\$[0-9]+"))),_xlfn.REGEXEXTRACT(CELL("address",I152), "\$([A-Z]+)\$[0-9]+"))</f>
        <v/>
      </c>
      <c r="J152" s="7" t="str" cm="1">
        <f t="array" aca="1" ref="J152" ca="1">IFERROR(IF(OR('Raw Data'!J152="",LEN(TRIM('Raw Data'!J152))=0),"",IF(AND(ISNUMBER('Raw Data'!J152), IFERROR('Raw Data'!J152 = ROUND('Raw Data'!J152, 2),FALSE)),"",_xlfn.REGEXEXTRACT(CELL("address",J152), "\$([A-Z]+)\$[0-9]+"))),_xlfn.REGEXEXTRACT(CELL("address",J152), "\$([A-Z]+)\$[0-9]+"))</f>
        <v/>
      </c>
      <c r="K152" s="7" t="str" cm="1">
        <f t="array" aca="1" ref="K152" ca="1">IFERROR(IF(OR('Raw Data'!K152="",LEN(TRIM('Raw Data'!K152))=0),"",IF(AND(ISNUMBER('Raw Data'!K152), IFERROR('Raw Data'!K152 = ROUND('Raw Data'!K152, 2),FALSE)),"",_xlfn.REGEXEXTRACT(CELL("address",K152), "\$([A-Z]+)\$[0-9]+"))),_xlfn.REGEXEXTRACT(CELL("address",K152), "\$([A-Z]+)\$[0-9]+"))</f>
        <v/>
      </c>
      <c r="L152" s="7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7" t="str" cm="1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7" t="str" cm="1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  <c r="O152" s="7" t="str" cm="1">
        <f t="array" aca="1" ref="O152" ca="1">IFERROR(IF(OR('Raw Data'!O152="",LEN(TRIM('Raw Data'!O152))=0),"",IF(AND(ISNUMBER('Raw Data'!O152), IFERROR('Raw Data'!O152 = ROUND('Raw Data'!O152, 2),FALSE)),"",_xlfn.REGEXEXTRACT(CELL("address",O152), "\$([A-Z]+)\$[0-9]+"))),_xlfn.REGEXEXTRACT(CELL("address",O152), "\$([A-Z]+)\$[0-9]+"))</f>
        <v/>
      </c>
      <c r="P152" s="7" t="str" cm="1">
        <f t="array" aca="1" ref="P152" ca="1">IFERROR(IF(OR('Raw Data'!P152="",LEN(TRIM('Raw Data'!P152))=0),"",IF(AND(ISNUMBER('Raw Data'!P152), IFERROR('Raw Data'!P152 = ROUND('Raw Data'!P152, 2),FALSE)),"",_xlfn.REGEXEXTRACT(CELL("address",P152), "\$([A-Z]+)\$[0-9]+"))),_xlfn.REGEXEXTRACT(CELL("address",P152), "\$([A-Z]+)\$[0-9]+"))</f>
        <v/>
      </c>
      <c r="Q152" s="7" t="str" cm="1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7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7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7" t="str" cm="1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7" t="str" cm="1">
        <f t="array" aca="1" ref="U152" ca="1">IFERROR(IF(OR('Raw Data'!U152="",LEN(TRIM('Raw Data'!U152))=0),"",IF(AND(ISNUMBER('Raw Data'!U152), IFERROR('Raw Data'!U152 = ROUND('Raw Data'!U152, 2),FALSE)),"",_xlfn.REGEXEXTRACT(CELL("address",U152), "\$([A-Z]+)\$[0-9]+"))),_xlfn.REGEXEXTRACT(CELL("address",U152), "\$([A-Z]+)\$[0-9]+"))</f>
        <v/>
      </c>
      <c r="V152" s="7" t="str" cm="1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7" t="str" cm="1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7" t="str" cm="1">
        <f t="array" aca="1" ref="X152" ca="1">IFERROR(IF(OR('Raw Data'!X152="",LEN(TRIM('Raw Data'!X152))=0),"",IF(AND(ISNUMBER('Raw Data'!X152), IFERROR('Raw Data'!X152 = ROUND('Raw Data'!X152, 2),FALSE)),"",_xlfn.REGEXEXTRACT(CELL("address",X152), "\$([A-Z]+)\$[0-9]+"))),_xlfn.REGEXEXTRACT(CELL("address",X152), "\$([A-Z]+)\$[0-9]+"))</f>
        <v/>
      </c>
      <c r="Y152" s="7" t="str" cm="1">
        <f t="array" aca="1" ref="Y152" ca="1">IFERROR(IF(OR('Raw Data'!Y152="",LEN(TRIM('Raw Data'!Y152))=0),"",IF(AND(ISNUMBER('Raw Data'!Y152), IFERROR('Raw Data'!Y152 = ROUND('Raw Data'!Y152, 2),FALSE)),"",_xlfn.REGEXEXTRACT(CELL("address",Y152), "\$([A-Z]+)\$[0-9]+"))),_xlfn.REGEXEXTRACT(CELL("address",Y152), "\$([A-Z]+)\$[0-9]+"))</f>
        <v/>
      </c>
      <c r="Z152" s="7" t="str" cm="1">
        <f t="array" aca="1" ref="Z152" ca="1">IFERROR(IF(OR('Raw Data'!Z152="",LEN(TRIM('Raw Data'!Z152))=0),"",IF(AND(ISNUMBER('Raw Data'!Z152), IFERROR('Raw Data'!Z152 = ROUND('Raw Data'!Z152, 2),FALSE)),"",_xlfn.REGEXEXTRACT(CELL("address",Z152), "\$([A-Z]+)\$[0-9]+"))),_xlfn.REGEXEXTRACT(CELL("address",Z152), "\$([A-Z]+)\$[0-9]+"))</f>
        <v/>
      </c>
      <c r="AA152" s="7" t="str" cm="1">
        <f t="array" aca="1" ref="AA152" ca="1">IFERROR(IF(OR('Raw Data'!AA152="",LEN(TRIM('Raw Data'!AA152))=0),"",IF(AND(ISNUMBER('Raw Data'!AA152), IFERROR('Raw Data'!AA152 = ROUND('Raw Data'!AA152, 2),FALSE)),"",_xlfn.REGEXEXTRACT(CELL("address",AA152), "\$([A-Z]+)\$[0-9]+"))),_xlfn.REGEXEXTRACT(CELL("address",AA152), "\$([A-Z]+)\$[0-9]+"))</f>
        <v/>
      </c>
      <c r="AB152" s="7" t="str" cm="1">
        <f t="array" aca="1" ref="AB152" ca="1">IFERROR(IF(OR('Raw Data'!AB152="",LEN(TRIM('Raw Data'!AB152))=0),"",IF(AND(ISNUMBER('Raw Data'!AB152), IFERROR('Raw Data'!AB152 = ROUND('Raw Data'!AB152, 2),FALSE)),"",_xlfn.REGEXEXTRACT(CELL("address",AB152), "\$([A-Z]+)\$[0-9]+"))),_xlfn.REGEXEXTRACT(CELL("address",AB152), "\$([A-Z]+)\$[0-9]+"))</f>
        <v/>
      </c>
    </row>
    <row r="153" spans="2:28" x14ac:dyDescent="0.25">
      <c r="B153" s="7" t="str" cm="1">
        <f t="array" aca="1" ref="B153" ca="1">IFERROR(IF(OR('Raw Data'!B153="",LEN(TRIM('Raw Data'!B153))=0),"",IF(AND(LEN('Raw Data'!B153) &lt;= 255,LEN('Raw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Data'!C153))=0),"",IF(AND(LEN('Raw Data'!C153) &lt;= 20,LEN('Raw Data'!C153)&gt; 0),"",_xlfn.REGEXEXTRACT(CELL("address",'Raw Data'!C153),"\$([A-Z]+)\$[0-9]+"))),_xlfn.REGEXEXTRACT(CELL("address",'Raw Data'!C153),"\$([A-Z]+)\$[0-9]+"))</f>
        <v/>
      </c>
      <c r="D153" s="7" t="str" cm="1">
        <f t="array" aca="1" ref="D153" ca="1">IFERROR(IF(OR('Raw Data'!D153="",LEN(TRIM('Raw Data'!D153))=0),"",IF(AND(ISNUMBER('Raw Data'!D153),'Raw Data'!D153&gt;=Configuration!$D$2),"",_xlfn.REGEXEXTRACT(CELL("address",'Raw Data'!D153),"\$([A-Z]+)\$[0-9]+"))),_xlfn.REGEXEXTRACT(CELL("address",D153), "\$([A-Z]+)\$[0-9]+"))</f>
        <v/>
      </c>
      <c r="E153" s="7" t="str" cm="1">
        <f t="array" aca="1" ref="E153" ca="1">IFERROR(IF(OR('Raw Data'!E153="",LEN(TRIM('Raw Data'!E153))=0),"",IF(AND(ISNUMBER('Raw Data'!E153), IFERROR('Raw Data'!E153 = ROUND('Raw Data'!E153, 2),FALSE)),"",_xlfn.REGEXEXTRACT(CELL("address",E153), "\$([A-Z]+)\$[0-9]+"))),_xlfn.REGEXEXTRACT(CELL("address",E153), "\$([A-Z]+)\$[0-9]+"))</f>
        <v/>
      </c>
      <c r="F153" s="7" t="str" cm="1">
        <f t="array" aca="1" ref="F153" ca="1">IFERROR(IF(OR('Raw Data'!F153="",LEN(TRIM('Raw Data'!F153))=0),"",IF(AND(ISNUMBER('Raw Data'!F153), IFERROR('Raw Data'!F153 = ROUND('Raw Data'!F153, 2),FALSE)),"",_xlfn.REGEXEXTRACT(CELL("address",F153), "\$([A-Z]+)\$[0-9]+"))),_xlfn.REGEXEXTRACT(CELL("address",F153), "\$([A-Z]+)\$[0-9]+"))</f>
        <v/>
      </c>
      <c r="G153" s="7" t="str" cm="1">
        <f t="array" aca="1" ref="G153" ca="1">IFERROR(IF(OR('Raw Data'!G153="",LEN(TRIM('Raw Data'!G153))=0),"",IF(AND(ISNUMBER('Raw Data'!G153), IFERROR('Raw Data'!G153 = ROUND('Raw Data'!G153, 2),FALSE)),"",_xlfn.REGEXEXTRACT(CELL("address",G153), "\$([A-Z]+)\$[0-9]+"))),_xlfn.REGEXEXTRACT(CELL("address",G153), "\$([A-Z]+)\$[0-9]+"))</f>
        <v/>
      </c>
      <c r="H153" s="7" t="str" cm="1">
        <f t="array" aca="1" ref="H153" ca="1">IFERROR(IF(OR('Raw Data'!H153="",LEN(TRIM('Raw Data'!H153))=0),"",IF(AND(ISNUMBER('Raw Data'!H153), IFERROR('Raw Data'!H153 = ROUND('Raw Data'!H153, 2),FALSE)),"",_xlfn.REGEXEXTRACT(CELL("address",H153), "\$([A-Z]+)\$[0-9]+"))),_xlfn.REGEXEXTRACT(CELL("address",H153), "\$([A-Z]+)\$[0-9]+"))</f>
        <v/>
      </c>
      <c r="I153" s="7" t="str" cm="1">
        <f t="array" aca="1" ref="I153" ca="1">IFERROR(IF(OR('Raw Data'!I153="",LEN(TRIM('Raw Data'!I153))=0),"",IF(AND(ISNUMBER('Raw Data'!I153), IFERROR('Raw Data'!I153 = ROUND('Raw Data'!I153, 2),FALSE)),"",_xlfn.REGEXEXTRACT(CELL("address",I153), "\$([A-Z]+)\$[0-9]+"))),_xlfn.REGEXEXTRACT(CELL("address",I153), "\$([A-Z]+)\$[0-9]+"))</f>
        <v/>
      </c>
      <c r="J153" s="7" t="str" cm="1">
        <f t="array" aca="1" ref="J153" ca="1">IFERROR(IF(OR('Raw Data'!J153="",LEN(TRIM('Raw Data'!J153))=0),"",IF(AND(ISNUMBER('Raw Data'!J153), IFERROR('Raw Data'!J153 = ROUND('Raw Data'!J153, 2),FALSE)),"",_xlfn.REGEXEXTRACT(CELL("address",J153), "\$([A-Z]+)\$[0-9]+"))),_xlfn.REGEXEXTRACT(CELL("address",J153), "\$([A-Z]+)\$[0-9]+"))</f>
        <v/>
      </c>
      <c r="K153" s="7" t="str" cm="1">
        <f t="array" aca="1" ref="K153" ca="1">IFERROR(IF(OR('Raw Data'!K153="",LEN(TRIM('Raw Data'!K153))=0),"",IF(AND(ISNUMBER('Raw Data'!K153), IFERROR('Raw Data'!K153 = ROUND('Raw Data'!K153, 2),FALSE)),"",_xlfn.REGEXEXTRACT(CELL("address",K153), "\$([A-Z]+)\$[0-9]+"))),_xlfn.REGEXEXTRACT(CELL("address",K153), "\$([A-Z]+)\$[0-9]+"))</f>
        <v/>
      </c>
      <c r="L153" s="7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7" t="str" cm="1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7" t="str" cm="1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  <c r="O153" s="7" t="str" cm="1">
        <f t="array" aca="1" ref="O153" ca="1">IFERROR(IF(OR('Raw Data'!O153="",LEN(TRIM('Raw Data'!O153))=0),"",IF(AND(ISNUMBER('Raw Data'!O153), IFERROR('Raw Data'!O153 = ROUND('Raw Data'!O153, 2),FALSE)),"",_xlfn.REGEXEXTRACT(CELL("address",O153), "\$([A-Z]+)\$[0-9]+"))),_xlfn.REGEXEXTRACT(CELL("address",O153), "\$([A-Z]+)\$[0-9]+"))</f>
        <v/>
      </c>
      <c r="P153" s="7" t="str" cm="1">
        <f t="array" aca="1" ref="P153" ca="1">IFERROR(IF(OR('Raw Data'!P153="",LEN(TRIM('Raw Data'!P153))=0),"",IF(AND(ISNUMBER('Raw Data'!P153), IFERROR('Raw Data'!P153 = ROUND('Raw Data'!P153, 2),FALSE)),"",_xlfn.REGEXEXTRACT(CELL("address",P153), "\$([A-Z]+)\$[0-9]+"))),_xlfn.REGEXEXTRACT(CELL("address",P153), "\$([A-Z]+)\$[0-9]+"))</f>
        <v/>
      </c>
      <c r="Q153" s="7" t="str" cm="1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7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7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7" t="str" cm="1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7" t="str" cm="1">
        <f t="array" aca="1" ref="U153" ca="1">IFERROR(IF(OR('Raw Data'!U153="",LEN(TRIM('Raw Data'!U153))=0),"",IF(AND(ISNUMBER('Raw Data'!U153), IFERROR('Raw Data'!U153 = ROUND('Raw Data'!U153, 2),FALSE)),"",_xlfn.REGEXEXTRACT(CELL("address",U153), "\$([A-Z]+)\$[0-9]+"))),_xlfn.REGEXEXTRACT(CELL("address",U153), "\$([A-Z]+)\$[0-9]+"))</f>
        <v/>
      </c>
      <c r="V153" s="7" t="str" cm="1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7" t="str" cm="1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7" t="str" cm="1">
        <f t="array" aca="1" ref="X153" ca="1">IFERROR(IF(OR('Raw Data'!X153="",LEN(TRIM('Raw Data'!X153))=0),"",IF(AND(ISNUMBER('Raw Data'!X153), IFERROR('Raw Data'!X153 = ROUND('Raw Data'!X153, 2),FALSE)),"",_xlfn.REGEXEXTRACT(CELL("address",X153), "\$([A-Z]+)\$[0-9]+"))),_xlfn.REGEXEXTRACT(CELL("address",X153), "\$([A-Z]+)\$[0-9]+"))</f>
        <v/>
      </c>
      <c r="Y153" s="7" t="str" cm="1">
        <f t="array" aca="1" ref="Y153" ca="1">IFERROR(IF(OR('Raw Data'!Y153="",LEN(TRIM('Raw Data'!Y153))=0),"",IF(AND(ISNUMBER('Raw Data'!Y153), IFERROR('Raw Data'!Y153 = ROUND('Raw Data'!Y153, 2),FALSE)),"",_xlfn.REGEXEXTRACT(CELL("address",Y153), "\$([A-Z]+)\$[0-9]+"))),_xlfn.REGEXEXTRACT(CELL("address",Y153), "\$([A-Z]+)\$[0-9]+"))</f>
        <v/>
      </c>
      <c r="Z153" s="7" t="str" cm="1">
        <f t="array" aca="1" ref="Z153" ca="1">IFERROR(IF(OR('Raw Data'!Z153="",LEN(TRIM('Raw Data'!Z153))=0),"",IF(AND(ISNUMBER('Raw Data'!Z153), IFERROR('Raw Data'!Z153 = ROUND('Raw Data'!Z153, 2),FALSE)),"",_xlfn.REGEXEXTRACT(CELL("address",Z153), "\$([A-Z]+)\$[0-9]+"))),_xlfn.REGEXEXTRACT(CELL("address",Z153), "\$([A-Z]+)\$[0-9]+"))</f>
        <v/>
      </c>
      <c r="AA153" s="7" t="str" cm="1">
        <f t="array" aca="1" ref="AA153" ca="1">IFERROR(IF(OR('Raw Data'!AA153="",LEN(TRIM('Raw Data'!AA153))=0),"",IF(AND(ISNUMBER('Raw Data'!AA153), IFERROR('Raw Data'!AA153 = ROUND('Raw Data'!AA153, 2),FALSE)),"",_xlfn.REGEXEXTRACT(CELL("address",AA153), "\$([A-Z]+)\$[0-9]+"))),_xlfn.REGEXEXTRACT(CELL("address",AA153), "\$([A-Z]+)\$[0-9]+"))</f>
        <v/>
      </c>
      <c r="AB153" s="7" t="str" cm="1">
        <f t="array" aca="1" ref="AB153" ca="1">IFERROR(IF(OR('Raw Data'!AB153="",LEN(TRIM('Raw Data'!AB153))=0),"",IF(AND(ISNUMBER('Raw Data'!AB153), IFERROR('Raw Data'!AB153 = ROUND('Raw Data'!AB153, 2),FALSE)),"",_xlfn.REGEXEXTRACT(CELL("address",AB153), "\$([A-Z]+)\$[0-9]+"))),_xlfn.REGEXEXTRACT(CELL("address",AB153), "\$([A-Z]+)\$[0-9]+"))</f>
        <v/>
      </c>
    </row>
    <row r="154" spans="2:28" x14ac:dyDescent="0.25">
      <c r="B154" s="7" t="str" cm="1">
        <f t="array" aca="1" ref="B154" ca="1">IFERROR(IF(OR('Raw Data'!B154="",LEN(TRIM('Raw Data'!B154))=0),"",IF(AND(LEN('Raw Data'!B154) &lt;= 255,LEN('Raw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Data'!C154))=0),"",IF(AND(LEN('Raw Data'!C154) &lt;= 20,LEN('Raw Data'!C154)&gt; 0),"",_xlfn.REGEXEXTRACT(CELL("address",'Raw Data'!C154),"\$([A-Z]+)\$[0-9]+"))),_xlfn.REGEXEXTRACT(CELL("address",'Raw Data'!C154),"\$([A-Z]+)\$[0-9]+"))</f>
        <v/>
      </c>
      <c r="D154" s="7" t="str" cm="1">
        <f t="array" aca="1" ref="D154" ca="1">IFERROR(IF(OR('Raw Data'!D154="",LEN(TRIM('Raw Data'!D154))=0),"",IF(AND(ISNUMBER('Raw Data'!D154),'Raw Data'!D154&gt;=Configuration!$D$2),"",_xlfn.REGEXEXTRACT(CELL("address",'Raw Data'!D154),"\$([A-Z]+)\$[0-9]+"))),_xlfn.REGEXEXTRACT(CELL("address",D154), "\$([A-Z]+)\$[0-9]+"))</f>
        <v/>
      </c>
      <c r="E154" s="7" t="str" cm="1">
        <f t="array" aca="1" ref="E154" ca="1">IFERROR(IF(OR('Raw Data'!E154="",LEN(TRIM('Raw Data'!E154))=0),"",IF(AND(ISNUMBER('Raw Data'!E154), IFERROR('Raw Data'!E154 = ROUND('Raw Data'!E154, 2),FALSE)),"",_xlfn.REGEXEXTRACT(CELL("address",E154), "\$([A-Z]+)\$[0-9]+"))),_xlfn.REGEXEXTRACT(CELL("address",E154), "\$([A-Z]+)\$[0-9]+"))</f>
        <v/>
      </c>
      <c r="F154" s="7" t="str" cm="1">
        <f t="array" aca="1" ref="F154" ca="1">IFERROR(IF(OR('Raw Data'!F154="",LEN(TRIM('Raw Data'!F154))=0),"",IF(AND(ISNUMBER('Raw Data'!F154), IFERROR('Raw Data'!F154 = ROUND('Raw Data'!F154, 2),FALSE)),"",_xlfn.REGEXEXTRACT(CELL("address",F154), "\$([A-Z]+)\$[0-9]+"))),_xlfn.REGEXEXTRACT(CELL("address",F154), "\$([A-Z]+)\$[0-9]+"))</f>
        <v/>
      </c>
      <c r="G154" s="7" t="str" cm="1">
        <f t="array" aca="1" ref="G154" ca="1">IFERROR(IF(OR('Raw Data'!G154="",LEN(TRIM('Raw Data'!G154))=0),"",IF(AND(ISNUMBER('Raw Data'!G154), IFERROR('Raw Data'!G154 = ROUND('Raw Data'!G154, 2),FALSE)),"",_xlfn.REGEXEXTRACT(CELL("address",G154), "\$([A-Z]+)\$[0-9]+"))),_xlfn.REGEXEXTRACT(CELL("address",G154), "\$([A-Z]+)\$[0-9]+"))</f>
        <v/>
      </c>
      <c r="H154" s="7" t="str" cm="1">
        <f t="array" aca="1" ref="H154" ca="1">IFERROR(IF(OR('Raw Data'!H154="",LEN(TRIM('Raw Data'!H154))=0),"",IF(AND(ISNUMBER('Raw Data'!H154), IFERROR('Raw Data'!H154 = ROUND('Raw Data'!H154, 2),FALSE)),"",_xlfn.REGEXEXTRACT(CELL("address",H154), "\$([A-Z]+)\$[0-9]+"))),_xlfn.REGEXEXTRACT(CELL("address",H154), "\$([A-Z]+)\$[0-9]+"))</f>
        <v/>
      </c>
      <c r="I154" s="7" t="str" cm="1">
        <f t="array" aca="1" ref="I154" ca="1">IFERROR(IF(OR('Raw Data'!I154="",LEN(TRIM('Raw Data'!I154))=0),"",IF(AND(ISNUMBER('Raw Data'!I154), IFERROR('Raw Data'!I154 = ROUND('Raw Data'!I154, 2),FALSE)),"",_xlfn.REGEXEXTRACT(CELL("address",I154), "\$([A-Z]+)\$[0-9]+"))),_xlfn.REGEXEXTRACT(CELL("address",I154), "\$([A-Z]+)\$[0-9]+"))</f>
        <v/>
      </c>
      <c r="J154" s="7" t="str" cm="1">
        <f t="array" aca="1" ref="J154" ca="1">IFERROR(IF(OR('Raw Data'!J154="",LEN(TRIM('Raw Data'!J154))=0),"",IF(AND(ISNUMBER('Raw Data'!J154), IFERROR('Raw Data'!J154 = ROUND('Raw Data'!J154, 2),FALSE)),"",_xlfn.REGEXEXTRACT(CELL("address",J154), "\$([A-Z]+)\$[0-9]+"))),_xlfn.REGEXEXTRACT(CELL("address",J154), "\$([A-Z]+)\$[0-9]+"))</f>
        <v/>
      </c>
      <c r="K154" s="7" t="str" cm="1">
        <f t="array" aca="1" ref="K154" ca="1">IFERROR(IF(OR('Raw Data'!K154="",LEN(TRIM('Raw Data'!K154))=0),"",IF(AND(ISNUMBER('Raw Data'!K154), IFERROR('Raw Data'!K154 = ROUND('Raw Data'!K154, 2),FALSE)),"",_xlfn.REGEXEXTRACT(CELL("address",K154), "\$([A-Z]+)\$[0-9]+"))),_xlfn.REGEXEXTRACT(CELL("address",K154), "\$([A-Z]+)\$[0-9]+"))</f>
        <v/>
      </c>
      <c r="L154" s="7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7" t="str" cm="1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7" t="str" cm="1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  <c r="O154" s="7" t="str" cm="1">
        <f t="array" aca="1" ref="O154" ca="1">IFERROR(IF(OR('Raw Data'!O154="",LEN(TRIM('Raw Data'!O154))=0),"",IF(AND(ISNUMBER('Raw Data'!O154), IFERROR('Raw Data'!O154 = ROUND('Raw Data'!O154, 2),FALSE)),"",_xlfn.REGEXEXTRACT(CELL("address",O154), "\$([A-Z]+)\$[0-9]+"))),_xlfn.REGEXEXTRACT(CELL("address",O154), "\$([A-Z]+)\$[0-9]+"))</f>
        <v/>
      </c>
      <c r="P154" s="7" t="str" cm="1">
        <f t="array" aca="1" ref="P154" ca="1">IFERROR(IF(OR('Raw Data'!P154="",LEN(TRIM('Raw Data'!P154))=0),"",IF(AND(ISNUMBER('Raw Data'!P154), IFERROR('Raw Data'!P154 = ROUND('Raw Data'!P154, 2),FALSE)),"",_xlfn.REGEXEXTRACT(CELL("address",P154), "\$([A-Z]+)\$[0-9]+"))),_xlfn.REGEXEXTRACT(CELL("address",P154), "\$([A-Z]+)\$[0-9]+"))</f>
        <v/>
      </c>
      <c r="Q154" s="7" t="str" cm="1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7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7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7" t="str" cm="1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7" t="str" cm="1">
        <f t="array" aca="1" ref="U154" ca="1">IFERROR(IF(OR('Raw Data'!U154="",LEN(TRIM('Raw Data'!U154))=0),"",IF(AND(ISNUMBER('Raw Data'!U154), IFERROR('Raw Data'!U154 = ROUND('Raw Data'!U154, 2),FALSE)),"",_xlfn.REGEXEXTRACT(CELL("address",U154), "\$([A-Z]+)\$[0-9]+"))),_xlfn.REGEXEXTRACT(CELL("address",U154), "\$([A-Z]+)\$[0-9]+"))</f>
        <v/>
      </c>
      <c r="V154" s="7" t="str" cm="1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7" t="str" cm="1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7" t="str" cm="1">
        <f t="array" aca="1" ref="X154" ca="1">IFERROR(IF(OR('Raw Data'!X154="",LEN(TRIM('Raw Data'!X154))=0),"",IF(AND(ISNUMBER('Raw Data'!X154), IFERROR('Raw Data'!X154 = ROUND('Raw Data'!X154, 2),FALSE)),"",_xlfn.REGEXEXTRACT(CELL("address",X154), "\$([A-Z]+)\$[0-9]+"))),_xlfn.REGEXEXTRACT(CELL("address",X154), "\$([A-Z]+)\$[0-9]+"))</f>
        <v/>
      </c>
      <c r="Y154" s="7" t="str" cm="1">
        <f t="array" aca="1" ref="Y154" ca="1">IFERROR(IF(OR('Raw Data'!Y154="",LEN(TRIM('Raw Data'!Y154))=0),"",IF(AND(ISNUMBER('Raw Data'!Y154), IFERROR('Raw Data'!Y154 = ROUND('Raw Data'!Y154, 2),FALSE)),"",_xlfn.REGEXEXTRACT(CELL("address",Y154), "\$([A-Z]+)\$[0-9]+"))),_xlfn.REGEXEXTRACT(CELL("address",Y154), "\$([A-Z]+)\$[0-9]+"))</f>
        <v/>
      </c>
      <c r="Z154" s="7" t="str" cm="1">
        <f t="array" aca="1" ref="Z154" ca="1">IFERROR(IF(OR('Raw Data'!Z154="",LEN(TRIM('Raw Data'!Z154))=0),"",IF(AND(ISNUMBER('Raw Data'!Z154), IFERROR('Raw Data'!Z154 = ROUND('Raw Data'!Z154, 2),FALSE)),"",_xlfn.REGEXEXTRACT(CELL("address",Z154), "\$([A-Z]+)\$[0-9]+"))),_xlfn.REGEXEXTRACT(CELL("address",Z154), "\$([A-Z]+)\$[0-9]+"))</f>
        <v/>
      </c>
      <c r="AA154" s="7" t="str" cm="1">
        <f t="array" aca="1" ref="AA154" ca="1">IFERROR(IF(OR('Raw Data'!AA154="",LEN(TRIM('Raw Data'!AA154))=0),"",IF(AND(ISNUMBER('Raw Data'!AA154), IFERROR('Raw Data'!AA154 = ROUND('Raw Data'!AA154, 2),FALSE)),"",_xlfn.REGEXEXTRACT(CELL("address",AA154), "\$([A-Z]+)\$[0-9]+"))),_xlfn.REGEXEXTRACT(CELL("address",AA154), "\$([A-Z]+)\$[0-9]+"))</f>
        <v/>
      </c>
      <c r="AB154" s="7" t="str" cm="1">
        <f t="array" aca="1" ref="AB154" ca="1">IFERROR(IF(OR('Raw Data'!AB154="",LEN(TRIM('Raw Data'!AB154))=0),"",IF(AND(ISNUMBER('Raw Data'!AB154), IFERROR('Raw Data'!AB154 = ROUND('Raw Data'!AB154, 2),FALSE)),"",_xlfn.REGEXEXTRACT(CELL("address",AB154), "\$([A-Z]+)\$[0-9]+"))),_xlfn.REGEXEXTRACT(CELL("address",AB154), "\$([A-Z]+)\$[0-9]+"))</f>
        <v/>
      </c>
    </row>
    <row r="155" spans="2:28" x14ac:dyDescent="0.25">
      <c r="B155" s="7" t="str" cm="1">
        <f t="array" aca="1" ref="B155" ca="1">IFERROR(IF(OR('Raw Data'!B155="",LEN(TRIM('Raw Data'!B155))=0),"",IF(AND(LEN('Raw Data'!B155) &lt;= 255,LEN('Raw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Data'!C155))=0),"",IF(AND(LEN('Raw Data'!C155) &lt;= 20,LEN('Raw Data'!C155)&gt; 0),"",_xlfn.REGEXEXTRACT(CELL("address",'Raw Data'!C155),"\$([A-Z]+)\$[0-9]+"))),_xlfn.REGEXEXTRACT(CELL("address",'Raw Data'!C155),"\$([A-Z]+)\$[0-9]+"))</f>
        <v/>
      </c>
      <c r="D155" s="7" t="str" cm="1">
        <f t="array" aca="1" ref="D155" ca="1">IFERROR(IF(OR('Raw Data'!D155="",LEN(TRIM('Raw Data'!D155))=0),"",IF(AND(ISNUMBER('Raw Data'!D155),'Raw Data'!D155&gt;=Configuration!$D$2),"",_xlfn.REGEXEXTRACT(CELL("address",'Raw Data'!D155),"\$([A-Z]+)\$[0-9]+"))),_xlfn.REGEXEXTRACT(CELL("address",D155), "\$([A-Z]+)\$[0-9]+"))</f>
        <v/>
      </c>
      <c r="E155" s="7" t="str" cm="1">
        <f t="array" aca="1" ref="E155" ca="1">IFERROR(IF(OR('Raw Data'!E155="",LEN(TRIM('Raw Data'!E155))=0),"",IF(AND(ISNUMBER('Raw Data'!E155), IFERROR('Raw Data'!E155 = ROUND('Raw Data'!E155, 2),FALSE)),"",_xlfn.REGEXEXTRACT(CELL("address",E155), "\$([A-Z]+)\$[0-9]+"))),_xlfn.REGEXEXTRACT(CELL("address",E155), "\$([A-Z]+)\$[0-9]+"))</f>
        <v/>
      </c>
      <c r="F155" s="7" t="str" cm="1">
        <f t="array" aca="1" ref="F155" ca="1">IFERROR(IF(OR('Raw Data'!F155="",LEN(TRIM('Raw Data'!F155))=0),"",IF(AND(ISNUMBER('Raw Data'!F155), IFERROR('Raw Data'!F155 = ROUND('Raw Data'!F155, 2),FALSE)),"",_xlfn.REGEXEXTRACT(CELL("address",F155), "\$([A-Z]+)\$[0-9]+"))),_xlfn.REGEXEXTRACT(CELL("address",F155), "\$([A-Z]+)\$[0-9]+"))</f>
        <v/>
      </c>
      <c r="G155" s="7" t="str" cm="1">
        <f t="array" aca="1" ref="G155" ca="1">IFERROR(IF(OR('Raw Data'!G155="",LEN(TRIM('Raw Data'!G155))=0),"",IF(AND(ISNUMBER('Raw Data'!G155), IFERROR('Raw Data'!G155 = ROUND('Raw Data'!G155, 2),FALSE)),"",_xlfn.REGEXEXTRACT(CELL("address",G155), "\$([A-Z]+)\$[0-9]+"))),_xlfn.REGEXEXTRACT(CELL("address",G155), "\$([A-Z]+)\$[0-9]+"))</f>
        <v/>
      </c>
      <c r="H155" s="7" t="str" cm="1">
        <f t="array" aca="1" ref="H155" ca="1">IFERROR(IF(OR('Raw Data'!H155="",LEN(TRIM('Raw Data'!H155))=0),"",IF(AND(ISNUMBER('Raw Data'!H155), IFERROR('Raw Data'!H155 = ROUND('Raw Data'!H155, 2),FALSE)),"",_xlfn.REGEXEXTRACT(CELL("address",H155), "\$([A-Z]+)\$[0-9]+"))),_xlfn.REGEXEXTRACT(CELL("address",H155), "\$([A-Z]+)\$[0-9]+"))</f>
        <v/>
      </c>
      <c r="I155" s="7" t="str" cm="1">
        <f t="array" aca="1" ref="I155" ca="1">IFERROR(IF(OR('Raw Data'!I155="",LEN(TRIM('Raw Data'!I155))=0),"",IF(AND(ISNUMBER('Raw Data'!I155), IFERROR('Raw Data'!I155 = ROUND('Raw Data'!I155, 2),FALSE)),"",_xlfn.REGEXEXTRACT(CELL("address",I155), "\$([A-Z]+)\$[0-9]+"))),_xlfn.REGEXEXTRACT(CELL("address",I155), "\$([A-Z]+)\$[0-9]+"))</f>
        <v/>
      </c>
      <c r="J155" s="7" t="str" cm="1">
        <f t="array" aca="1" ref="J155" ca="1">IFERROR(IF(OR('Raw Data'!J155="",LEN(TRIM('Raw Data'!J155))=0),"",IF(AND(ISNUMBER('Raw Data'!J155), IFERROR('Raw Data'!J155 = ROUND('Raw Data'!J155, 2),FALSE)),"",_xlfn.REGEXEXTRACT(CELL("address",J155), "\$([A-Z]+)\$[0-9]+"))),_xlfn.REGEXEXTRACT(CELL("address",J155), "\$([A-Z]+)\$[0-9]+"))</f>
        <v/>
      </c>
      <c r="K155" s="7" t="str" cm="1">
        <f t="array" aca="1" ref="K155" ca="1">IFERROR(IF(OR('Raw Data'!K155="",LEN(TRIM('Raw Data'!K155))=0),"",IF(AND(ISNUMBER('Raw Data'!K155), IFERROR('Raw Data'!K155 = ROUND('Raw Data'!K155, 2),FALSE)),"",_xlfn.REGEXEXTRACT(CELL("address",K155), "\$([A-Z]+)\$[0-9]+"))),_xlfn.REGEXEXTRACT(CELL("address",K155), "\$([A-Z]+)\$[0-9]+"))</f>
        <v/>
      </c>
      <c r="L155" s="7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7" t="str" cm="1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7" t="str" cm="1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  <c r="O155" s="7" t="str" cm="1">
        <f t="array" aca="1" ref="O155" ca="1">IFERROR(IF(OR('Raw Data'!O155="",LEN(TRIM('Raw Data'!O155))=0),"",IF(AND(ISNUMBER('Raw Data'!O155), IFERROR('Raw Data'!O155 = ROUND('Raw Data'!O155, 2),FALSE)),"",_xlfn.REGEXEXTRACT(CELL("address",O155), "\$([A-Z]+)\$[0-9]+"))),_xlfn.REGEXEXTRACT(CELL("address",O155), "\$([A-Z]+)\$[0-9]+"))</f>
        <v/>
      </c>
      <c r="P155" s="7" t="str" cm="1">
        <f t="array" aca="1" ref="P155" ca="1">IFERROR(IF(OR('Raw Data'!P155="",LEN(TRIM('Raw Data'!P155))=0),"",IF(AND(ISNUMBER('Raw Data'!P155), IFERROR('Raw Data'!P155 = ROUND('Raw Data'!P155, 2),FALSE)),"",_xlfn.REGEXEXTRACT(CELL("address",P155), "\$([A-Z]+)\$[0-9]+"))),_xlfn.REGEXEXTRACT(CELL("address",P155), "\$([A-Z]+)\$[0-9]+"))</f>
        <v/>
      </c>
      <c r="Q155" s="7" t="str" cm="1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7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7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7" t="str" cm="1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7" t="str" cm="1">
        <f t="array" aca="1" ref="U155" ca="1">IFERROR(IF(OR('Raw Data'!U155="",LEN(TRIM('Raw Data'!U155))=0),"",IF(AND(ISNUMBER('Raw Data'!U155), IFERROR('Raw Data'!U155 = ROUND('Raw Data'!U155, 2),FALSE)),"",_xlfn.REGEXEXTRACT(CELL("address",U155), "\$([A-Z]+)\$[0-9]+"))),_xlfn.REGEXEXTRACT(CELL("address",U155), "\$([A-Z]+)\$[0-9]+"))</f>
        <v/>
      </c>
      <c r="V155" s="7" t="str" cm="1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7" t="str" cm="1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7" t="str" cm="1">
        <f t="array" aca="1" ref="X155" ca="1">IFERROR(IF(OR('Raw Data'!X155="",LEN(TRIM('Raw Data'!X155))=0),"",IF(AND(ISNUMBER('Raw Data'!X155), IFERROR('Raw Data'!X155 = ROUND('Raw Data'!X155, 2),FALSE)),"",_xlfn.REGEXEXTRACT(CELL("address",X155), "\$([A-Z]+)\$[0-9]+"))),_xlfn.REGEXEXTRACT(CELL("address",X155), "\$([A-Z]+)\$[0-9]+"))</f>
        <v/>
      </c>
      <c r="Y155" s="7" t="str" cm="1">
        <f t="array" aca="1" ref="Y155" ca="1">IFERROR(IF(OR('Raw Data'!Y155="",LEN(TRIM('Raw Data'!Y155))=0),"",IF(AND(ISNUMBER('Raw Data'!Y155), IFERROR('Raw Data'!Y155 = ROUND('Raw Data'!Y155, 2),FALSE)),"",_xlfn.REGEXEXTRACT(CELL("address",Y155), "\$([A-Z]+)\$[0-9]+"))),_xlfn.REGEXEXTRACT(CELL("address",Y155), "\$([A-Z]+)\$[0-9]+"))</f>
        <v/>
      </c>
      <c r="Z155" s="7" t="str" cm="1">
        <f t="array" aca="1" ref="Z155" ca="1">IFERROR(IF(OR('Raw Data'!Z155="",LEN(TRIM('Raw Data'!Z155))=0),"",IF(AND(ISNUMBER('Raw Data'!Z155), IFERROR('Raw Data'!Z155 = ROUND('Raw Data'!Z155, 2),FALSE)),"",_xlfn.REGEXEXTRACT(CELL("address",Z155), "\$([A-Z]+)\$[0-9]+"))),_xlfn.REGEXEXTRACT(CELL("address",Z155), "\$([A-Z]+)\$[0-9]+"))</f>
        <v/>
      </c>
      <c r="AA155" s="7" t="str" cm="1">
        <f t="array" aca="1" ref="AA155" ca="1">IFERROR(IF(OR('Raw Data'!AA155="",LEN(TRIM('Raw Data'!AA155))=0),"",IF(AND(ISNUMBER('Raw Data'!AA155), IFERROR('Raw Data'!AA155 = ROUND('Raw Data'!AA155, 2),FALSE)),"",_xlfn.REGEXEXTRACT(CELL("address",AA155), "\$([A-Z]+)\$[0-9]+"))),_xlfn.REGEXEXTRACT(CELL("address",AA155), "\$([A-Z]+)\$[0-9]+"))</f>
        <v/>
      </c>
      <c r="AB155" s="7" t="str" cm="1">
        <f t="array" aca="1" ref="AB155" ca="1">IFERROR(IF(OR('Raw Data'!AB155="",LEN(TRIM('Raw Data'!AB155))=0),"",IF(AND(ISNUMBER('Raw Data'!AB155), IFERROR('Raw Data'!AB155 = ROUND('Raw Data'!AB155, 2),FALSE)),"",_xlfn.REGEXEXTRACT(CELL("address",AB155), "\$([A-Z]+)\$[0-9]+"))),_xlfn.REGEXEXTRACT(CELL("address",AB155), "\$([A-Z]+)\$[0-9]+"))</f>
        <v/>
      </c>
    </row>
    <row r="156" spans="2:28" x14ac:dyDescent="0.25">
      <c r="B156" s="7" t="str" cm="1">
        <f t="array" aca="1" ref="B156" ca="1">IFERROR(IF(OR('Raw Data'!B156="",LEN(TRIM('Raw Data'!B156))=0),"",IF(AND(LEN('Raw Data'!B156) &lt;= 255,LEN('Raw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Data'!C156))=0),"",IF(AND(LEN('Raw Data'!C156) &lt;= 20,LEN('Raw Data'!C156)&gt; 0),"",_xlfn.REGEXEXTRACT(CELL("address",'Raw Data'!C156),"\$([A-Z]+)\$[0-9]+"))),_xlfn.REGEXEXTRACT(CELL("address",'Raw Data'!C156),"\$([A-Z]+)\$[0-9]+"))</f>
        <v/>
      </c>
      <c r="D156" s="7" t="str" cm="1">
        <f t="array" aca="1" ref="D156" ca="1">IFERROR(IF(OR('Raw Data'!D156="",LEN(TRIM('Raw Data'!D156))=0),"",IF(AND(ISNUMBER('Raw Data'!D156),'Raw Data'!D156&gt;=Configuration!$D$2),"",_xlfn.REGEXEXTRACT(CELL("address",'Raw Data'!D156),"\$([A-Z]+)\$[0-9]+"))),_xlfn.REGEXEXTRACT(CELL("address",D156), "\$([A-Z]+)\$[0-9]+"))</f>
        <v/>
      </c>
      <c r="E156" s="7" t="str" cm="1">
        <f t="array" aca="1" ref="E156" ca="1">IFERROR(IF(OR('Raw Data'!E156="",LEN(TRIM('Raw Data'!E156))=0),"",IF(AND(ISNUMBER('Raw Data'!E156), IFERROR('Raw Data'!E156 = ROUND('Raw Data'!E156, 2),FALSE)),"",_xlfn.REGEXEXTRACT(CELL("address",E156), "\$([A-Z]+)\$[0-9]+"))),_xlfn.REGEXEXTRACT(CELL("address",E156), "\$([A-Z]+)\$[0-9]+"))</f>
        <v/>
      </c>
      <c r="F156" s="7" t="str" cm="1">
        <f t="array" aca="1" ref="F156" ca="1">IFERROR(IF(OR('Raw Data'!F156="",LEN(TRIM('Raw Data'!F156))=0),"",IF(AND(ISNUMBER('Raw Data'!F156), IFERROR('Raw Data'!F156 = ROUND('Raw Data'!F156, 2),FALSE)),"",_xlfn.REGEXEXTRACT(CELL("address",F156), "\$([A-Z]+)\$[0-9]+"))),_xlfn.REGEXEXTRACT(CELL("address",F156), "\$([A-Z]+)\$[0-9]+"))</f>
        <v/>
      </c>
      <c r="G156" s="7" t="str" cm="1">
        <f t="array" aca="1" ref="G156" ca="1">IFERROR(IF(OR('Raw Data'!G156="",LEN(TRIM('Raw Data'!G156))=0),"",IF(AND(ISNUMBER('Raw Data'!G156), IFERROR('Raw Data'!G156 = ROUND('Raw Data'!G156, 2),FALSE)),"",_xlfn.REGEXEXTRACT(CELL("address",G156), "\$([A-Z]+)\$[0-9]+"))),_xlfn.REGEXEXTRACT(CELL("address",G156), "\$([A-Z]+)\$[0-9]+"))</f>
        <v/>
      </c>
      <c r="H156" s="7" t="str" cm="1">
        <f t="array" aca="1" ref="H156" ca="1">IFERROR(IF(OR('Raw Data'!H156="",LEN(TRIM('Raw Data'!H156))=0),"",IF(AND(ISNUMBER('Raw Data'!H156), IFERROR('Raw Data'!H156 = ROUND('Raw Data'!H156, 2),FALSE)),"",_xlfn.REGEXEXTRACT(CELL("address",H156), "\$([A-Z]+)\$[0-9]+"))),_xlfn.REGEXEXTRACT(CELL("address",H156), "\$([A-Z]+)\$[0-9]+"))</f>
        <v/>
      </c>
      <c r="I156" s="7" t="str" cm="1">
        <f t="array" aca="1" ref="I156" ca="1">IFERROR(IF(OR('Raw Data'!I156="",LEN(TRIM('Raw Data'!I156))=0),"",IF(AND(ISNUMBER('Raw Data'!I156), IFERROR('Raw Data'!I156 = ROUND('Raw Data'!I156, 2),FALSE)),"",_xlfn.REGEXEXTRACT(CELL("address",I156), "\$([A-Z]+)\$[0-9]+"))),_xlfn.REGEXEXTRACT(CELL("address",I156), "\$([A-Z]+)\$[0-9]+"))</f>
        <v/>
      </c>
      <c r="J156" s="7" t="str" cm="1">
        <f t="array" aca="1" ref="J156" ca="1">IFERROR(IF(OR('Raw Data'!J156="",LEN(TRIM('Raw Data'!J156))=0),"",IF(AND(ISNUMBER('Raw Data'!J156), IFERROR('Raw Data'!J156 = ROUND('Raw Data'!J156, 2),FALSE)),"",_xlfn.REGEXEXTRACT(CELL("address",J156), "\$([A-Z]+)\$[0-9]+"))),_xlfn.REGEXEXTRACT(CELL("address",J156), "\$([A-Z]+)\$[0-9]+"))</f>
        <v/>
      </c>
      <c r="K156" s="7" t="str" cm="1">
        <f t="array" aca="1" ref="K156" ca="1">IFERROR(IF(OR('Raw Data'!K156="",LEN(TRIM('Raw Data'!K156))=0),"",IF(AND(ISNUMBER('Raw Data'!K156), IFERROR('Raw Data'!K156 = ROUND('Raw Data'!K156, 2),FALSE)),"",_xlfn.REGEXEXTRACT(CELL("address",K156), "\$([A-Z]+)\$[0-9]+"))),_xlfn.REGEXEXTRACT(CELL("address",K156), "\$([A-Z]+)\$[0-9]+"))</f>
        <v/>
      </c>
      <c r="L156" s="7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7" t="str" cm="1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7" t="str" cm="1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  <c r="O156" s="7" t="str" cm="1">
        <f t="array" aca="1" ref="O156" ca="1">IFERROR(IF(OR('Raw Data'!O156="",LEN(TRIM('Raw Data'!O156))=0),"",IF(AND(ISNUMBER('Raw Data'!O156), IFERROR('Raw Data'!O156 = ROUND('Raw Data'!O156, 2),FALSE)),"",_xlfn.REGEXEXTRACT(CELL("address",O156), "\$([A-Z]+)\$[0-9]+"))),_xlfn.REGEXEXTRACT(CELL("address",O156), "\$([A-Z]+)\$[0-9]+"))</f>
        <v/>
      </c>
      <c r="P156" s="7" t="str" cm="1">
        <f t="array" aca="1" ref="P156" ca="1">IFERROR(IF(OR('Raw Data'!P156="",LEN(TRIM('Raw Data'!P156))=0),"",IF(AND(ISNUMBER('Raw Data'!P156), IFERROR('Raw Data'!P156 = ROUND('Raw Data'!P156, 2),FALSE)),"",_xlfn.REGEXEXTRACT(CELL("address",P156), "\$([A-Z]+)\$[0-9]+"))),_xlfn.REGEXEXTRACT(CELL("address",P156), "\$([A-Z]+)\$[0-9]+"))</f>
        <v/>
      </c>
      <c r="Q156" s="7" t="str" cm="1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7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7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7" t="str" cm="1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7" t="str" cm="1">
        <f t="array" aca="1" ref="U156" ca="1">IFERROR(IF(OR('Raw Data'!U156="",LEN(TRIM('Raw Data'!U156))=0),"",IF(AND(ISNUMBER('Raw Data'!U156), IFERROR('Raw Data'!U156 = ROUND('Raw Data'!U156, 2),FALSE)),"",_xlfn.REGEXEXTRACT(CELL("address",U156), "\$([A-Z]+)\$[0-9]+"))),_xlfn.REGEXEXTRACT(CELL("address",U156), "\$([A-Z]+)\$[0-9]+"))</f>
        <v/>
      </c>
      <c r="V156" s="7" t="str" cm="1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7" t="str" cm="1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7" t="str" cm="1">
        <f t="array" aca="1" ref="X156" ca="1">IFERROR(IF(OR('Raw Data'!X156="",LEN(TRIM('Raw Data'!X156))=0),"",IF(AND(ISNUMBER('Raw Data'!X156), IFERROR('Raw Data'!X156 = ROUND('Raw Data'!X156, 2),FALSE)),"",_xlfn.REGEXEXTRACT(CELL("address",X156), "\$([A-Z]+)\$[0-9]+"))),_xlfn.REGEXEXTRACT(CELL("address",X156), "\$([A-Z]+)\$[0-9]+"))</f>
        <v/>
      </c>
      <c r="Y156" s="7" t="str" cm="1">
        <f t="array" aca="1" ref="Y156" ca="1">IFERROR(IF(OR('Raw Data'!Y156="",LEN(TRIM('Raw Data'!Y156))=0),"",IF(AND(ISNUMBER('Raw Data'!Y156), IFERROR('Raw Data'!Y156 = ROUND('Raw Data'!Y156, 2),FALSE)),"",_xlfn.REGEXEXTRACT(CELL("address",Y156), "\$([A-Z]+)\$[0-9]+"))),_xlfn.REGEXEXTRACT(CELL("address",Y156), "\$([A-Z]+)\$[0-9]+"))</f>
        <v/>
      </c>
      <c r="Z156" s="7" t="str" cm="1">
        <f t="array" aca="1" ref="Z156" ca="1">IFERROR(IF(OR('Raw Data'!Z156="",LEN(TRIM('Raw Data'!Z156))=0),"",IF(AND(ISNUMBER('Raw Data'!Z156), IFERROR('Raw Data'!Z156 = ROUND('Raw Data'!Z156, 2),FALSE)),"",_xlfn.REGEXEXTRACT(CELL("address",Z156), "\$([A-Z]+)\$[0-9]+"))),_xlfn.REGEXEXTRACT(CELL("address",Z156), "\$([A-Z]+)\$[0-9]+"))</f>
        <v/>
      </c>
      <c r="AA156" s="7" t="str" cm="1">
        <f t="array" aca="1" ref="AA156" ca="1">IFERROR(IF(OR('Raw Data'!AA156="",LEN(TRIM('Raw Data'!AA156))=0),"",IF(AND(ISNUMBER('Raw Data'!AA156), IFERROR('Raw Data'!AA156 = ROUND('Raw Data'!AA156, 2),FALSE)),"",_xlfn.REGEXEXTRACT(CELL("address",AA156), "\$([A-Z]+)\$[0-9]+"))),_xlfn.REGEXEXTRACT(CELL("address",AA156), "\$([A-Z]+)\$[0-9]+"))</f>
        <v/>
      </c>
      <c r="AB156" s="7" t="str" cm="1">
        <f t="array" aca="1" ref="AB156" ca="1">IFERROR(IF(OR('Raw Data'!AB156="",LEN(TRIM('Raw Data'!AB156))=0),"",IF(AND(ISNUMBER('Raw Data'!AB156), IFERROR('Raw Data'!AB156 = ROUND('Raw Data'!AB156, 2),FALSE)),"",_xlfn.REGEXEXTRACT(CELL("address",AB156), "\$([A-Z]+)\$[0-9]+"))),_xlfn.REGEXEXTRACT(CELL("address",AB156), "\$([A-Z]+)\$[0-9]+"))</f>
        <v/>
      </c>
    </row>
    <row r="157" spans="2:28" x14ac:dyDescent="0.25">
      <c r="B157" s="7" t="str" cm="1">
        <f t="array" aca="1" ref="B157" ca="1">IFERROR(IF(OR('Raw Data'!B157="",LEN(TRIM('Raw Data'!B157))=0),"",IF(AND(LEN('Raw Data'!B157) &lt;= 255,LEN('Raw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Data'!C157))=0),"",IF(AND(LEN('Raw Data'!C157) &lt;= 20,LEN('Raw Data'!C157)&gt; 0),"",_xlfn.REGEXEXTRACT(CELL("address",'Raw Data'!C157),"\$([A-Z]+)\$[0-9]+"))),_xlfn.REGEXEXTRACT(CELL("address",'Raw Data'!C157),"\$([A-Z]+)\$[0-9]+"))</f>
        <v/>
      </c>
      <c r="D157" s="7" t="str" cm="1">
        <f t="array" aca="1" ref="D157" ca="1">IFERROR(IF(OR('Raw Data'!D157="",LEN(TRIM('Raw Data'!D157))=0),"",IF(AND(ISNUMBER('Raw Data'!D157),'Raw Data'!D157&gt;=Configuration!$D$2),"",_xlfn.REGEXEXTRACT(CELL("address",'Raw Data'!D157),"\$([A-Z]+)\$[0-9]+"))),_xlfn.REGEXEXTRACT(CELL("address",D157), "\$([A-Z]+)\$[0-9]+"))</f>
        <v/>
      </c>
      <c r="E157" s="7" t="str" cm="1">
        <f t="array" aca="1" ref="E157" ca="1">IFERROR(IF(OR('Raw Data'!E157="",LEN(TRIM('Raw Data'!E157))=0),"",IF(AND(ISNUMBER('Raw Data'!E157), IFERROR('Raw Data'!E157 = ROUND('Raw Data'!E157, 2),FALSE)),"",_xlfn.REGEXEXTRACT(CELL("address",E157), "\$([A-Z]+)\$[0-9]+"))),_xlfn.REGEXEXTRACT(CELL("address",E157), "\$([A-Z]+)\$[0-9]+"))</f>
        <v/>
      </c>
      <c r="F157" s="7" t="str" cm="1">
        <f t="array" aca="1" ref="F157" ca="1">IFERROR(IF(OR('Raw Data'!F157="",LEN(TRIM('Raw Data'!F157))=0),"",IF(AND(ISNUMBER('Raw Data'!F157), IFERROR('Raw Data'!F157 = ROUND('Raw Data'!F157, 2),FALSE)),"",_xlfn.REGEXEXTRACT(CELL("address",F157), "\$([A-Z]+)\$[0-9]+"))),_xlfn.REGEXEXTRACT(CELL("address",F157), "\$([A-Z]+)\$[0-9]+"))</f>
        <v/>
      </c>
      <c r="G157" s="7" t="str" cm="1">
        <f t="array" aca="1" ref="G157" ca="1">IFERROR(IF(OR('Raw Data'!G157="",LEN(TRIM('Raw Data'!G157))=0),"",IF(AND(ISNUMBER('Raw Data'!G157), IFERROR('Raw Data'!G157 = ROUND('Raw Data'!G157, 2),FALSE)),"",_xlfn.REGEXEXTRACT(CELL("address",G157), "\$([A-Z]+)\$[0-9]+"))),_xlfn.REGEXEXTRACT(CELL("address",G157), "\$([A-Z]+)\$[0-9]+"))</f>
        <v/>
      </c>
      <c r="H157" s="7" t="str" cm="1">
        <f t="array" aca="1" ref="H157" ca="1">IFERROR(IF(OR('Raw Data'!H157="",LEN(TRIM('Raw Data'!H157))=0),"",IF(AND(ISNUMBER('Raw Data'!H157), IFERROR('Raw Data'!H157 = ROUND('Raw Data'!H157, 2),FALSE)),"",_xlfn.REGEXEXTRACT(CELL("address",H157), "\$([A-Z]+)\$[0-9]+"))),_xlfn.REGEXEXTRACT(CELL("address",H157), "\$([A-Z]+)\$[0-9]+"))</f>
        <v/>
      </c>
      <c r="I157" s="7" t="str" cm="1">
        <f t="array" aca="1" ref="I157" ca="1">IFERROR(IF(OR('Raw Data'!I157="",LEN(TRIM('Raw Data'!I157))=0),"",IF(AND(ISNUMBER('Raw Data'!I157), IFERROR('Raw Data'!I157 = ROUND('Raw Data'!I157, 2),FALSE)),"",_xlfn.REGEXEXTRACT(CELL("address",I157), "\$([A-Z]+)\$[0-9]+"))),_xlfn.REGEXEXTRACT(CELL("address",I157), "\$([A-Z]+)\$[0-9]+"))</f>
        <v/>
      </c>
      <c r="J157" s="7" t="str" cm="1">
        <f t="array" aca="1" ref="J157" ca="1">IFERROR(IF(OR('Raw Data'!J157="",LEN(TRIM('Raw Data'!J157))=0),"",IF(AND(ISNUMBER('Raw Data'!J157), IFERROR('Raw Data'!J157 = ROUND('Raw Data'!J157, 2),FALSE)),"",_xlfn.REGEXEXTRACT(CELL("address",J157), "\$([A-Z]+)\$[0-9]+"))),_xlfn.REGEXEXTRACT(CELL("address",J157), "\$([A-Z]+)\$[0-9]+"))</f>
        <v/>
      </c>
      <c r="K157" s="7" t="str" cm="1">
        <f t="array" aca="1" ref="K157" ca="1">IFERROR(IF(OR('Raw Data'!K157="",LEN(TRIM('Raw Data'!K157))=0),"",IF(AND(ISNUMBER('Raw Data'!K157), IFERROR('Raw Data'!K157 = ROUND('Raw Data'!K157, 2),FALSE)),"",_xlfn.REGEXEXTRACT(CELL("address",K157), "\$([A-Z]+)\$[0-9]+"))),_xlfn.REGEXEXTRACT(CELL("address",K157), "\$([A-Z]+)\$[0-9]+"))</f>
        <v/>
      </c>
      <c r="L157" s="7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7" t="str" cm="1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7" t="str" cm="1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  <c r="O157" s="7" t="str" cm="1">
        <f t="array" aca="1" ref="O157" ca="1">IFERROR(IF(OR('Raw Data'!O157="",LEN(TRIM('Raw Data'!O157))=0),"",IF(AND(ISNUMBER('Raw Data'!O157), IFERROR('Raw Data'!O157 = ROUND('Raw Data'!O157, 2),FALSE)),"",_xlfn.REGEXEXTRACT(CELL("address",O157), "\$([A-Z]+)\$[0-9]+"))),_xlfn.REGEXEXTRACT(CELL("address",O157), "\$([A-Z]+)\$[0-9]+"))</f>
        <v/>
      </c>
      <c r="P157" s="7" t="str" cm="1">
        <f t="array" aca="1" ref="P157" ca="1">IFERROR(IF(OR('Raw Data'!P157="",LEN(TRIM('Raw Data'!P157))=0),"",IF(AND(ISNUMBER('Raw Data'!P157), IFERROR('Raw Data'!P157 = ROUND('Raw Data'!P157, 2),FALSE)),"",_xlfn.REGEXEXTRACT(CELL("address",P157), "\$([A-Z]+)\$[0-9]+"))),_xlfn.REGEXEXTRACT(CELL("address",P157), "\$([A-Z]+)\$[0-9]+"))</f>
        <v/>
      </c>
      <c r="Q157" s="7" t="str" cm="1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7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7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7" t="str" cm="1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7" t="str" cm="1">
        <f t="array" aca="1" ref="U157" ca="1">IFERROR(IF(OR('Raw Data'!U157="",LEN(TRIM('Raw Data'!U157))=0),"",IF(AND(ISNUMBER('Raw Data'!U157), IFERROR('Raw Data'!U157 = ROUND('Raw Data'!U157, 2),FALSE)),"",_xlfn.REGEXEXTRACT(CELL("address",U157), "\$([A-Z]+)\$[0-9]+"))),_xlfn.REGEXEXTRACT(CELL("address",U157), "\$([A-Z]+)\$[0-9]+"))</f>
        <v/>
      </c>
      <c r="V157" s="7" t="str" cm="1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7" t="str" cm="1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7" t="str" cm="1">
        <f t="array" aca="1" ref="X157" ca="1">IFERROR(IF(OR('Raw Data'!X157="",LEN(TRIM('Raw Data'!X157))=0),"",IF(AND(ISNUMBER('Raw Data'!X157), IFERROR('Raw Data'!X157 = ROUND('Raw Data'!X157, 2),FALSE)),"",_xlfn.REGEXEXTRACT(CELL("address",X157), "\$([A-Z]+)\$[0-9]+"))),_xlfn.REGEXEXTRACT(CELL("address",X157), "\$([A-Z]+)\$[0-9]+"))</f>
        <v/>
      </c>
      <c r="Y157" s="7" t="str" cm="1">
        <f t="array" aca="1" ref="Y157" ca="1">IFERROR(IF(OR('Raw Data'!Y157="",LEN(TRIM('Raw Data'!Y157))=0),"",IF(AND(ISNUMBER('Raw Data'!Y157), IFERROR('Raw Data'!Y157 = ROUND('Raw Data'!Y157, 2),FALSE)),"",_xlfn.REGEXEXTRACT(CELL("address",Y157), "\$([A-Z]+)\$[0-9]+"))),_xlfn.REGEXEXTRACT(CELL("address",Y157), "\$([A-Z]+)\$[0-9]+"))</f>
        <v/>
      </c>
      <c r="Z157" s="7" t="str" cm="1">
        <f t="array" aca="1" ref="Z157" ca="1">IFERROR(IF(OR('Raw Data'!Z157="",LEN(TRIM('Raw Data'!Z157))=0),"",IF(AND(ISNUMBER('Raw Data'!Z157), IFERROR('Raw Data'!Z157 = ROUND('Raw Data'!Z157, 2),FALSE)),"",_xlfn.REGEXEXTRACT(CELL("address",Z157), "\$([A-Z]+)\$[0-9]+"))),_xlfn.REGEXEXTRACT(CELL("address",Z157), "\$([A-Z]+)\$[0-9]+"))</f>
        <v/>
      </c>
      <c r="AA157" s="7" t="str" cm="1">
        <f t="array" aca="1" ref="AA157" ca="1">IFERROR(IF(OR('Raw Data'!AA157="",LEN(TRIM('Raw Data'!AA157))=0),"",IF(AND(ISNUMBER('Raw Data'!AA157), IFERROR('Raw Data'!AA157 = ROUND('Raw Data'!AA157, 2),FALSE)),"",_xlfn.REGEXEXTRACT(CELL("address",AA157), "\$([A-Z]+)\$[0-9]+"))),_xlfn.REGEXEXTRACT(CELL("address",AA157), "\$([A-Z]+)\$[0-9]+"))</f>
        <v/>
      </c>
      <c r="AB157" s="7" t="str" cm="1">
        <f t="array" aca="1" ref="AB157" ca="1">IFERROR(IF(OR('Raw Data'!AB157="",LEN(TRIM('Raw Data'!AB157))=0),"",IF(AND(ISNUMBER('Raw Data'!AB157), IFERROR('Raw Data'!AB157 = ROUND('Raw Data'!AB157, 2),FALSE)),"",_xlfn.REGEXEXTRACT(CELL("address",AB157), "\$([A-Z]+)\$[0-9]+"))),_xlfn.REGEXEXTRACT(CELL("address",AB157), "\$([A-Z]+)\$[0-9]+"))</f>
        <v/>
      </c>
    </row>
    <row r="158" spans="2:28" x14ac:dyDescent="0.25">
      <c r="B158" s="7" t="str" cm="1">
        <f t="array" aca="1" ref="B158" ca="1">IFERROR(IF(OR('Raw Data'!B158="",LEN(TRIM('Raw Data'!B158))=0),"",IF(AND(LEN('Raw Data'!B158) &lt;= 255,LEN('Raw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Data'!C158))=0),"",IF(AND(LEN('Raw Data'!C158) &lt;= 20,LEN('Raw Data'!C158)&gt; 0),"",_xlfn.REGEXEXTRACT(CELL("address",'Raw Data'!C158),"\$([A-Z]+)\$[0-9]+"))),_xlfn.REGEXEXTRACT(CELL("address",'Raw Data'!C158),"\$([A-Z]+)\$[0-9]+"))</f>
        <v/>
      </c>
      <c r="D158" s="7" t="str" cm="1">
        <f t="array" aca="1" ref="D158" ca="1">IFERROR(IF(OR('Raw Data'!D158="",LEN(TRIM('Raw Data'!D158))=0),"",IF(AND(ISNUMBER('Raw Data'!D158),'Raw Data'!D158&gt;=Configuration!$D$2),"",_xlfn.REGEXEXTRACT(CELL("address",'Raw Data'!D158),"\$([A-Z]+)\$[0-9]+"))),_xlfn.REGEXEXTRACT(CELL("address",D158), "\$([A-Z]+)\$[0-9]+"))</f>
        <v/>
      </c>
      <c r="E158" s="7" t="str" cm="1">
        <f t="array" aca="1" ref="E158" ca="1">IFERROR(IF(OR('Raw Data'!E158="",LEN(TRIM('Raw Data'!E158))=0),"",IF(AND(ISNUMBER('Raw Data'!E158), IFERROR('Raw Data'!E158 = ROUND('Raw Data'!E158, 2),FALSE)),"",_xlfn.REGEXEXTRACT(CELL("address",E158), "\$([A-Z]+)\$[0-9]+"))),_xlfn.REGEXEXTRACT(CELL("address",E158), "\$([A-Z]+)\$[0-9]+"))</f>
        <v/>
      </c>
      <c r="F158" s="7" t="str" cm="1">
        <f t="array" aca="1" ref="F158" ca="1">IFERROR(IF(OR('Raw Data'!F158="",LEN(TRIM('Raw Data'!F158))=0),"",IF(AND(ISNUMBER('Raw Data'!F158), IFERROR('Raw Data'!F158 = ROUND('Raw Data'!F158, 2),FALSE)),"",_xlfn.REGEXEXTRACT(CELL("address",F158), "\$([A-Z]+)\$[0-9]+"))),_xlfn.REGEXEXTRACT(CELL("address",F158), "\$([A-Z]+)\$[0-9]+"))</f>
        <v/>
      </c>
      <c r="G158" s="7" t="str" cm="1">
        <f t="array" aca="1" ref="G158" ca="1">IFERROR(IF(OR('Raw Data'!G158="",LEN(TRIM('Raw Data'!G158))=0),"",IF(AND(ISNUMBER('Raw Data'!G158), IFERROR('Raw Data'!G158 = ROUND('Raw Data'!G158, 2),FALSE)),"",_xlfn.REGEXEXTRACT(CELL("address",G158), "\$([A-Z]+)\$[0-9]+"))),_xlfn.REGEXEXTRACT(CELL("address",G158), "\$([A-Z]+)\$[0-9]+"))</f>
        <v/>
      </c>
      <c r="H158" s="7" t="str" cm="1">
        <f t="array" aca="1" ref="H158" ca="1">IFERROR(IF(OR('Raw Data'!H158="",LEN(TRIM('Raw Data'!H158))=0),"",IF(AND(ISNUMBER('Raw Data'!H158), IFERROR('Raw Data'!H158 = ROUND('Raw Data'!H158, 2),FALSE)),"",_xlfn.REGEXEXTRACT(CELL("address",H158), "\$([A-Z]+)\$[0-9]+"))),_xlfn.REGEXEXTRACT(CELL("address",H158), "\$([A-Z]+)\$[0-9]+"))</f>
        <v/>
      </c>
      <c r="I158" s="7" t="str" cm="1">
        <f t="array" aca="1" ref="I158" ca="1">IFERROR(IF(OR('Raw Data'!I158="",LEN(TRIM('Raw Data'!I158))=0),"",IF(AND(ISNUMBER('Raw Data'!I158), IFERROR('Raw Data'!I158 = ROUND('Raw Data'!I158, 2),FALSE)),"",_xlfn.REGEXEXTRACT(CELL("address",I158), "\$([A-Z]+)\$[0-9]+"))),_xlfn.REGEXEXTRACT(CELL("address",I158), "\$([A-Z]+)\$[0-9]+"))</f>
        <v/>
      </c>
      <c r="J158" s="7" t="str" cm="1">
        <f t="array" aca="1" ref="J158" ca="1">IFERROR(IF(OR('Raw Data'!J158="",LEN(TRIM('Raw Data'!J158))=0),"",IF(AND(ISNUMBER('Raw Data'!J158), IFERROR('Raw Data'!J158 = ROUND('Raw Data'!J158, 2),FALSE)),"",_xlfn.REGEXEXTRACT(CELL("address",J158), "\$([A-Z]+)\$[0-9]+"))),_xlfn.REGEXEXTRACT(CELL("address",J158), "\$([A-Z]+)\$[0-9]+"))</f>
        <v/>
      </c>
      <c r="K158" s="7" t="str" cm="1">
        <f t="array" aca="1" ref="K158" ca="1">IFERROR(IF(OR('Raw Data'!K158="",LEN(TRIM('Raw Data'!K158))=0),"",IF(AND(ISNUMBER('Raw Data'!K158), IFERROR('Raw Data'!K158 = ROUND('Raw Data'!K158, 2),FALSE)),"",_xlfn.REGEXEXTRACT(CELL("address",K158), "\$([A-Z]+)\$[0-9]+"))),_xlfn.REGEXEXTRACT(CELL("address",K158), "\$([A-Z]+)\$[0-9]+"))</f>
        <v/>
      </c>
      <c r="L158" s="7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7" t="str" cm="1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7" t="str" cm="1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  <c r="O158" s="7" t="str" cm="1">
        <f t="array" aca="1" ref="O158" ca="1">IFERROR(IF(OR('Raw Data'!O158="",LEN(TRIM('Raw Data'!O158))=0),"",IF(AND(ISNUMBER('Raw Data'!O158), IFERROR('Raw Data'!O158 = ROUND('Raw Data'!O158, 2),FALSE)),"",_xlfn.REGEXEXTRACT(CELL("address",O158), "\$([A-Z]+)\$[0-9]+"))),_xlfn.REGEXEXTRACT(CELL("address",O158), "\$([A-Z]+)\$[0-9]+"))</f>
        <v/>
      </c>
      <c r="P158" s="7" t="str" cm="1">
        <f t="array" aca="1" ref="P158" ca="1">IFERROR(IF(OR('Raw Data'!P158="",LEN(TRIM('Raw Data'!P158))=0),"",IF(AND(ISNUMBER('Raw Data'!P158), IFERROR('Raw Data'!P158 = ROUND('Raw Data'!P158, 2),FALSE)),"",_xlfn.REGEXEXTRACT(CELL("address",P158), "\$([A-Z]+)\$[0-9]+"))),_xlfn.REGEXEXTRACT(CELL("address",P158), "\$([A-Z]+)\$[0-9]+"))</f>
        <v/>
      </c>
      <c r="Q158" s="7" t="str" cm="1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7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7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7" t="str" cm="1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7" t="str" cm="1">
        <f t="array" aca="1" ref="U158" ca="1">IFERROR(IF(OR('Raw Data'!U158="",LEN(TRIM('Raw Data'!U158))=0),"",IF(AND(ISNUMBER('Raw Data'!U158), IFERROR('Raw Data'!U158 = ROUND('Raw Data'!U158, 2),FALSE)),"",_xlfn.REGEXEXTRACT(CELL("address",U158), "\$([A-Z]+)\$[0-9]+"))),_xlfn.REGEXEXTRACT(CELL("address",U158), "\$([A-Z]+)\$[0-9]+"))</f>
        <v/>
      </c>
      <c r="V158" s="7" t="str" cm="1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7" t="str" cm="1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7" t="str" cm="1">
        <f t="array" aca="1" ref="X158" ca="1">IFERROR(IF(OR('Raw Data'!X158="",LEN(TRIM('Raw Data'!X158))=0),"",IF(AND(ISNUMBER('Raw Data'!X158), IFERROR('Raw Data'!X158 = ROUND('Raw Data'!X158, 2),FALSE)),"",_xlfn.REGEXEXTRACT(CELL("address",X158), "\$([A-Z]+)\$[0-9]+"))),_xlfn.REGEXEXTRACT(CELL("address",X158), "\$([A-Z]+)\$[0-9]+"))</f>
        <v/>
      </c>
      <c r="Y158" s="7" t="str" cm="1">
        <f t="array" aca="1" ref="Y158" ca="1">IFERROR(IF(OR('Raw Data'!Y158="",LEN(TRIM('Raw Data'!Y158))=0),"",IF(AND(ISNUMBER('Raw Data'!Y158), IFERROR('Raw Data'!Y158 = ROUND('Raw Data'!Y158, 2),FALSE)),"",_xlfn.REGEXEXTRACT(CELL("address",Y158), "\$([A-Z]+)\$[0-9]+"))),_xlfn.REGEXEXTRACT(CELL("address",Y158), "\$([A-Z]+)\$[0-9]+"))</f>
        <v/>
      </c>
      <c r="Z158" s="7" t="str" cm="1">
        <f t="array" aca="1" ref="Z158" ca="1">IFERROR(IF(OR('Raw Data'!Z158="",LEN(TRIM('Raw Data'!Z158))=0),"",IF(AND(ISNUMBER('Raw Data'!Z158), IFERROR('Raw Data'!Z158 = ROUND('Raw Data'!Z158, 2),FALSE)),"",_xlfn.REGEXEXTRACT(CELL("address",Z158), "\$([A-Z]+)\$[0-9]+"))),_xlfn.REGEXEXTRACT(CELL("address",Z158), "\$([A-Z]+)\$[0-9]+"))</f>
        <v/>
      </c>
      <c r="AA158" s="7" t="str" cm="1">
        <f t="array" aca="1" ref="AA158" ca="1">IFERROR(IF(OR('Raw Data'!AA158="",LEN(TRIM('Raw Data'!AA158))=0),"",IF(AND(ISNUMBER('Raw Data'!AA158), IFERROR('Raw Data'!AA158 = ROUND('Raw Data'!AA158, 2),FALSE)),"",_xlfn.REGEXEXTRACT(CELL("address",AA158), "\$([A-Z]+)\$[0-9]+"))),_xlfn.REGEXEXTRACT(CELL("address",AA158), "\$([A-Z]+)\$[0-9]+"))</f>
        <v/>
      </c>
      <c r="AB158" s="7" t="str" cm="1">
        <f t="array" aca="1" ref="AB158" ca="1">IFERROR(IF(OR('Raw Data'!AB158="",LEN(TRIM('Raw Data'!AB158))=0),"",IF(AND(ISNUMBER('Raw Data'!AB158), IFERROR('Raw Data'!AB158 = ROUND('Raw Data'!AB158, 2),FALSE)),"",_xlfn.REGEXEXTRACT(CELL("address",AB158), "\$([A-Z]+)\$[0-9]+"))),_xlfn.REGEXEXTRACT(CELL("address",AB158), "\$([A-Z]+)\$[0-9]+"))</f>
        <v/>
      </c>
    </row>
    <row r="159" spans="2:28" x14ac:dyDescent="0.25">
      <c r="B159" s="7" t="str" cm="1">
        <f t="array" aca="1" ref="B159" ca="1">IFERROR(IF(OR('Raw Data'!B159="",LEN(TRIM('Raw Data'!B159))=0),"",IF(AND(LEN('Raw Data'!B159) &lt;= 255,LEN('Raw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Data'!C159))=0),"",IF(AND(LEN('Raw Data'!C159) &lt;= 20,LEN('Raw Data'!C159)&gt; 0),"",_xlfn.REGEXEXTRACT(CELL("address",'Raw Data'!C159),"\$([A-Z]+)\$[0-9]+"))),_xlfn.REGEXEXTRACT(CELL("address",'Raw Data'!C159),"\$([A-Z]+)\$[0-9]+"))</f>
        <v/>
      </c>
      <c r="D159" s="7" t="str" cm="1">
        <f t="array" aca="1" ref="D159" ca="1">IFERROR(IF(OR('Raw Data'!D159="",LEN(TRIM('Raw Data'!D159))=0),"",IF(AND(ISNUMBER('Raw Data'!D159),'Raw Data'!D159&gt;=Configuration!$D$2),"",_xlfn.REGEXEXTRACT(CELL("address",'Raw Data'!D159),"\$([A-Z]+)\$[0-9]+"))),_xlfn.REGEXEXTRACT(CELL("address",D159), "\$([A-Z]+)\$[0-9]+"))</f>
        <v/>
      </c>
      <c r="E159" s="7" t="str" cm="1">
        <f t="array" aca="1" ref="E159" ca="1">IFERROR(IF(OR('Raw Data'!E159="",LEN(TRIM('Raw Data'!E159))=0),"",IF(AND(ISNUMBER('Raw Data'!E159), IFERROR('Raw Data'!E159 = ROUND('Raw Data'!E159, 2),FALSE)),"",_xlfn.REGEXEXTRACT(CELL("address",E159), "\$([A-Z]+)\$[0-9]+"))),_xlfn.REGEXEXTRACT(CELL("address",E159), "\$([A-Z]+)\$[0-9]+"))</f>
        <v/>
      </c>
      <c r="F159" s="7" t="str" cm="1">
        <f t="array" aca="1" ref="F159" ca="1">IFERROR(IF(OR('Raw Data'!F159="",LEN(TRIM('Raw Data'!F159))=0),"",IF(AND(ISNUMBER('Raw Data'!F159), IFERROR('Raw Data'!F159 = ROUND('Raw Data'!F159, 2),FALSE)),"",_xlfn.REGEXEXTRACT(CELL("address",F159), "\$([A-Z]+)\$[0-9]+"))),_xlfn.REGEXEXTRACT(CELL("address",F159), "\$([A-Z]+)\$[0-9]+"))</f>
        <v/>
      </c>
      <c r="G159" s="7" t="str" cm="1">
        <f t="array" aca="1" ref="G159" ca="1">IFERROR(IF(OR('Raw Data'!G159="",LEN(TRIM('Raw Data'!G159))=0),"",IF(AND(ISNUMBER('Raw Data'!G159), IFERROR('Raw Data'!G159 = ROUND('Raw Data'!G159, 2),FALSE)),"",_xlfn.REGEXEXTRACT(CELL("address",G159), "\$([A-Z]+)\$[0-9]+"))),_xlfn.REGEXEXTRACT(CELL("address",G159), "\$([A-Z]+)\$[0-9]+"))</f>
        <v/>
      </c>
      <c r="H159" s="7" t="str" cm="1">
        <f t="array" aca="1" ref="H159" ca="1">IFERROR(IF(OR('Raw Data'!H159="",LEN(TRIM('Raw Data'!H159))=0),"",IF(AND(ISNUMBER('Raw Data'!H159), IFERROR('Raw Data'!H159 = ROUND('Raw Data'!H159, 2),FALSE)),"",_xlfn.REGEXEXTRACT(CELL("address",H159), "\$([A-Z]+)\$[0-9]+"))),_xlfn.REGEXEXTRACT(CELL("address",H159), "\$([A-Z]+)\$[0-9]+"))</f>
        <v/>
      </c>
      <c r="I159" s="7" t="str" cm="1">
        <f t="array" aca="1" ref="I159" ca="1">IFERROR(IF(OR('Raw Data'!I159="",LEN(TRIM('Raw Data'!I159))=0),"",IF(AND(ISNUMBER('Raw Data'!I159), IFERROR('Raw Data'!I159 = ROUND('Raw Data'!I159, 2),FALSE)),"",_xlfn.REGEXEXTRACT(CELL("address",I159), "\$([A-Z]+)\$[0-9]+"))),_xlfn.REGEXEXTRACT(CELL("address",I159), "\$([A-Z]+)\$[0-9]+"))</f>
        <v/>
      </c>
      <c r="J159" s="7" t="str" cm="1">
        <f t="array" aca="1" ref="J159" ca="1">IFERROR(IF(OR('Raw Data'!J159="",LEN(TRIM('Raw Data'!J159))=0),"",IF(AND(ISNUMBER('Raw Data'!J159), IFERROR('Raw Data'!J159 = ROUND('Raw Data'!J159, 2),FALSE)),"",_xlfn.REGEXEXTRACT(CELL("address",J159), "\$([A-Z]+)\$[0-9]+"))),_xlfn.REGEXEXTRACT(CELL("address",J159), "\$([A-Z]+)\$[0-9]+"))</f>
        <v/>
      </c>
      <c r="K159" s="7" t="str" cm="1">
        <f t="array" aca="1" ref="K159" ca="1">IFERROR(IF(OR('Raw Data'!K159="",LEN(TRIM('Raw Data'!K159))=0),"",IF(AND(ISNUMBER('Raw Data'!K159), IFERROR('Raw Data'!K159 = ROUND('Raw Data'!K159, 2),FALSE)),"",_xlfn.REGEXEXTRACT(CELL("address",K159), "\$([A-Z]+)\$[0-9]+"))),_xlfn.REGEXEXTRACT(CELL("address",K159), "\$([A-Z]+)\$[0-9]+"))</f>
        <v/>
      </c>
      <c r="L159" s="7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7" t="str" cm="1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7" t="str" cm="1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  <c r="O159" s="7" t="str" cm="1">
        <f t="array" aca="1" ref="O159" ca="1">IFERROR(IF(OR('Raw Data'!O159="",LEN(TRIM('Raw Data'!O159))=0),"",IF(AND(ISNUMBER('Raw Data'!O159), IFERROR('Raw Data'!O159 = ROUND('Raw Data'!O159, 2),FALSE)),"",_xlfn.REGEXEXTRACT(CELL("address",O159), "\$([A-Z]+)\$[0-9]+"))),_xlfn.REGEXEXTRACT(CELL("address",O159), "\$([A-Z]+)\$[0-9]+"))</f>
        <v/>
      </c>
      <c r="P159" s="7" t="str" cm="1">
        <f t="array" aca="1" ref="P159" ca="1">IFERROR(IF(OR('Raw Data'!P159="",LEN(TRIM('Raw Data'!P159))=0),"",IF(AND(ISNUMBER('Raw Data'!P159), IFERROR('Raw Data'!P159 = ROUND('Raw Data'!P159, 2),FALSE)),"",_xlfn.REGEXEXTRACT(CELL("address",P159), "\$([A-Z]+)\$[0-9]+"))),_xlfn.REGEXEXTRACT(CELL("address",P159), "\$([A-Z]+)\$[0-9]+"))</f>
        <v/>
      </c>
      <c r="Q159" s="7" t="str" cm="1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7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7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7" t="str" cm="1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7" t="str" cm="1">
        <f t="array" aca="1" ref="U159" ca="1">IFERROR(IF(OR('Raw Data'!U159="",LEN(TRIM('Raw Data'!U159))=0),"",IF(AND(ISNUMBER('Raw Data'!U159), IFERROR('Raw Data'!U159 = ROUND('Raw Data'!U159, 2),FALSE)),"",_xlfn.REGEXEXTRACT(CELL("address",U159), "\$([A-Z]+)\$[0-9]+"))),_xlfn.REGEXEXTRACT(CELL("address",U159), "\$([A-Z]+)\$[0-9]+"))</f>
        <v/>
      </c>
      <c r="V159" s="7" t="str" cm="1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7" t="str" cm="1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7" t="str" cm="1">
        <f t="array" aca="1" ref="X159" ca="1">IFERROR(IF(OR('Raw Data'!X159="",LEN(TRIM('Raw Data'!X159))=0),"",IF(AND(ISNUMBER('Raw Data'!X159), IFERROR('Raw Data'!X159 = ROUND('Raw Data'!X159, 2),FALSE)),"",_xlfn.REGEXEXTRACT(CELL("address",X159), "\$([A-Z]+)\$[0-9]+"))),_xlfn.REGEXEXTRACT(CELL("address",X159), "\$([A-Z]+)\$[0-9]+"))</f>
        <v/>
      </c>
      <c r="Y159" s="7" t="str" cm="1">
        <f t="array" aca="1" ref="Y159" ca="1">IFERROR(IF(OR('Raw Data'!Y159="",LEN(TRIM('Raw Data'!Y159))=0),"",IF(AND(ISNUMBER('Raw Data'!Y159), IFERROR('Raw Data'!Y159 = ROUND('Raw Data'!Y159, 2),FALSE)),"",_xlfn.REGEXEXTRACT(CELL("address",Y159), "\$([A-Z]+)\$[0-9]+"))),_xlfn.REGEXEXTRACT(CELL("address",Y159), "\$([A-Z]+)\$[0-9]+"))</f>
        <v/>
      </c>
      <c r="Z159" s="7" t="str" cm="1">
        <f t="array" aca="1" ref="Z159" ca="1">IFERROR(IF(OR('Raw Data'!Z159="",LEN(TRIM('Raw Data'!Z159))=0),"",IF(AND(ISNUMBER('Raw Data'!Z159), IFERROR('Raw Data'!Z159 = ROUND('Raw Data'!Z159, 2),FALSE)),"",_xlfn.REGEXEXTRACT(CELL("address",Z159), "\$([A-Z]+)\$[0-9]+"))),_xlfn.REGEXEXTRACT(CELL("address",Z159), "\$([A-Z]+)\$[0-9]+"))</f>
        <v/>
      </c>
      <c r="AA159" s="7" t="str" cm="1">
        <f t="array" aca="1" ref="AA159" ca="1">IFERROR(IF(OR('Raw Data'!AA159="",LEN(TRIM('Raw Data'!AA159))=0),"",IF(AND(ISNUMBER('Raw Data'!AA159), IFERROR('Raw Data'!AA159 = ROUND('Raw Data'!AA159, 2),FALSE)),"",_xlfn.REGEXEXTRACT(CELL("address",AA159), "\$([A-Z]+)\$[0-9]+"))),_xlfn.REGEXEXTRACT(CELL("address",AA159), "\$([A-Z]+)\$[0-9]+"))</f>
        <v/>
      </c>
      <c r="AB159" s="7" t="str" cm="1">
        <f t="array" aca="1" ref="AB159" ca="1">IFERROR(IF(OR('Raw Data'!AB159="",LEN(TRIM('Raw Data'!AB159))=0),"",IF(AND(ISNUMBER('Raw Data'!AB159), IFERROR('Raw Data'!AB159 = ROUND('Raw Data'!AB159, 2),FALSE)),"",_xlfn.REGEXEXTRACT(CELL("address",AB159), "\$([A-Z]+)\$[0-9]+"))),_xlfn.REGEXEXTRACT(CELL("address",AB159), "\$([A-Z]+)\$[0-9]+"))</f>
        <v/>
      </c>
    </row>
    <row r="160" spans="2:28" x14ac:dyDescent="0.25">
      <c r="B160" s="7" t="str" cm="1">
        <f t="array" aca="1" ref="B160" ca="1">IFERROR(IF(OR('Raw Data'!B160="",LEN(TRIM('Raw Data'!B160))=0),"",IF(AND(LEN('Raw Data'!B160) &lt;= 255,LEN('Raw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Data'!C160))=0),"",IF(AND(LEN('Raw Data'!C160) &lt;= 20,LEN('Raw Data'!C160)&gt; 0),"",_xlfn.REGEXEXTRACT(CELL("address",'Raw Data'!C160),"\$([A-Z]+)\$[0-9]+"))),_xlfn.REGEXEXTRACT(CELL("address",'Raw Data'!C160),"\$([A-Z]+)\$[0-9]+"))</f>
        <v/>
      </c>
      <c r="D160" s="7" t="str" cm="1">
        <f t="array" aca="1" ref="D160" ca="1">IFERROR(IF(OR('Raw Data'!D160="",LEN(TRIM('Raw Data'!D160))=0),"",IF(AND(ISNUMBER('Raw Data'!D160),'Raw Data'!D160&gt;=Configuration!$D$2),"",_xlfn.REGEXEXTRACT(CELL("address",'Raw Data'!D160),"\$([A-Z]+)\$[0-9]+"))),_xlfn.REGEXEXTRACT(CELL("address",D160), "\$([A-Z]+)\$[0-9]+"))</f>
        <v/>
      </c>
      <c r="E160" s="7" t="str" cm="1">
        <f t="array" aca="1" ref="E160" ca="1">IFERROR(IF(OR('Raw Data'!E160="",LEN(TRIM('Raw Data'!E160))=0),"",IF(AND(ISNUMBER('Raw Data'!E160), IFERROR('Raw Data'!E160 = ROUND('Raw Data'!E160, 2),FALSE)),"",_xlfn.REGEXEXTRACT(CELL("address",E160), "\$([A-Z]+)\$[0-9]+"))),_xlfn.REGEXEXTRACT(CELL("address",E160), "\$([A-Z]+)\$[0-9]+"))</f>
        <v/>
      </c>
      <c r="F160" s="7" t="str" cm="1">
        <f t="array" aca="1" ref="F160" ca="1">IFERROR(IF(OR('Raw Data'!F160="",LEN(TRIM('Raw Data'!F160))=0),"",IF(AND(ISNUMBER('Raw Data'!F160), IFERROR('Raw Data'!F160 = ROUND('Raw Data'!F160, 2),FALSE)),"",_xlfn.REGEXEXTRACT(CELL("address",F160), "\$([A-Z]+)\$[0-9]+"))),_xlfn.REGEXEXTRACT(CELL("address",F160), "\$([A-Z]+)\$[0-9]+"))</f>
        <v/>
      </c>
      <c r="G160" s="7" t="str" cm="1">
        <f t="array" aca="1" ref="G160" ca="1">IFERROR(IF(OR('Raw Data'!G160="",LEN(TRIM('Raw Data'!G160))=0),"",IF(AND(ISNUMBER('Raw Data'!G160), IFERROR('Raw Data'!G160 = ROUND('Raw Data'!G160, 2),FALSE)),"",_xlfn.REGEXEXTRACT(CELL("address",G160), "\$([A-Z]+)\$[0-9]+"))),_xlfn.REGEXEXTRACT(CELL("address",G160), "\$([A-Z]+)\$[0-9]+"))</f>
        <v/>
      </c>
      <c r="H160" s="7" t="str" cm="1">
        <f t="array" aca="1" ref="H160" ca="1">IFERROR(IF(OR('Raw Data'!H160="",LEN(TRIM('Raw Data'!H160))=0),"",IF(AND(ISNUMBER('Raw Data'!H160), IFERROR('Raw Data'!H160 = ROUND('Raw Data'!H160, 2),FALSE)),"",_xlfn.REGEXEXTRACT(CELL("address",H160), "\$([A-Z]+)\$[0-9]+"))),_xlfn.REGEXEXTRACT(CELL("address",H160), "\$([A-Z]+)\$[0-9]+"))</f>
        <v/>
      </c>
      <c r="I160" s="7" t="str" cm="1">
        <f t="array" aca="1" ref="I160" ca="1">IFERROR(IF(OR('Raw Data'!I160="",LEN(TRIM('Raw Data'!I160))=0),"",IF(AND(ISNUMBER('Raw Data'!I160), IFERROR('Raw Data'!I160 = ROUND('Raw Data'!I160, 2),FALSE)),"",_xlfn.REGEXEXTRACT(CELL("address",I160), "\$([A-Z]+)\$[0-9]+"))),_xlfn.REGEXEXTRACT(CELL("address",I160), "\$([A-Z]+)\$[0-9]+"))</f>
        <v/>
      </c>
      <c r="J160" s="7" t="str" cm="1">
        <f t="array" aca="1" ref="J160" ca="1">IFERROR(IF(OR('Raw Data'!J160="",LEN(TRIM('Raw Data'!J160))=0),"",IF(AND(ISNUMBER('Raw Data'!J160), IFERROR('Raw Data'!J160 = ROUND('Raw Data'!J160, 2),FALSE)),"",_xlfn.REGEXEXTRACT(CELL("address",J160), "\$([A-Z]+)\$[0-9]+"))),_xlfn.REGEXEXTRACT(CELL("address",J160), "\$([A-Z]+)\$[0-9]+"))</f>
        <v/>
      </c>
      <c r="K160" s="7" t="str" cm="1">
        <f t="array" aca="1" ref="K160" ca="1">IFERROR(IF(OR('Raw Data'!K160="",LEN(TRIM('Raw Data'!K160))=0),"",IF(AND(ISNUMBER('Raw Data'!K160), IFERROR('Raw Data'!K160 = ROUND('Raw Data'!K160, 2),FALSE)),"",_xlfn.REGEXEXTRACT(CELL("address",K160), "\$([A-Z]+)\$[0-9]+"))),_xlfn.REGEXEXTRACT(CELL("address",K160), "\$([A-Z]+)\$[0-9]+"))</f>
        <v/>
      </c>
      <c r="L160" s="7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7" t="str" cm="1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7" t="str" cm="1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  <c r="O160" s="7" t="str" cm="1">
        <f t="array" aca="1" ref="O160" ca="1">IFERROR(IF(OR('Raw Data'!O160="",LEN(TRIM('Raw Data'!O160))=0),"",IF(AND(ISNUMBER('Raw Data'!O160), IFERROR('Raw Data'!O160 = ROUND('Raw Data'!O160, 2),FALSE)),"",_xlfn.REGEXEXTRACT(CELL("address",O160), "\$([A-Z]+)\$[0-9]+"))),_xlfn.REGEXEXTRACT(CELL("address",O160), "\$([A-Z]+)\$[0-9]+"))</f>
        <v/>
      </c>
      <c r="P160" s="7" t="str" cm="1">
        <f t="array" aca="1" ref="P160" ca="1">IFERROR(IF(OR('Raw Data'!P160="",LEN(TRIM('Raw Data'!P160))=0),"",IF(AND(ISNUMBER('Raw Data'!P160), IFERROR('Raw Data'!P160 = ROUND('Raw Data'!P160, 2),FALSE)),"",_xlfn.REGEXEXTRACT(CELL("address",P160), "\$([A-Z]+)\$[0-9]+"))),_xlfn.REGEXEXTRACT(CELL("address",P160), "\$([A-Z]+)\$[0-9]+"))</f>
        <v/>
      </c>
      <c r="Q160" s="7" t="str" cm="1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7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7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7" t="str" cm="1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7" t="str" cm="1">
        <f t="array" aca="1" ref="U160" ca="1">IFERROR(IF(OR('Raw Data'!U160="",LEN(TRIM('Raw Data'!U160))=0),"",IF(AND(ISNUMBER('Raw Data'!U160), IFERROR('Raw Data'!U160 = ROUND('Raw Data'!U160, 2),FALSE)),"",_xlfn.REGEXEXTRACT(CELL("address",U160), "\$([A-Z]+)\$[0-9]+"))),_xlfn.REGEXEXTRACT(CELL("address",U160), "\$([A-Z]+)\$[0-9]+"))</f>
        <v/>
      </c>
      <c r="V160" s="7" t="str" cm="1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7" t="str" cm="1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7" t="str" cm="1">
        <f t="array" aca="1" ref="X160" ca="1">IFERROR(IF(OR('Raw Data'!X160="",LEN(TRIM('Raw Data'!X160))=0),"",IF(AND(ISNUMBER('Raw Data'!X160), IFERROR('Raw Data'!X160 = ROUND('Raw Data'!X160, 2),FALSE)),"",_xlfn.REGEXEXTRACT(CELL("address",X160), "\$([A-Z]+)\$[0-9]+"))),_xlfn.REGEXEXTRACT(CELL("address",X160), "\$([A-Z]+)\$[0-9]+"))</f>
        <v/>
      </c>
      <c r="Y160" s="7" t="str" cm="1">
        <f t="array" aca="1" ref="Y160" ca="1">IFERROR(IF(OR('Raw Data'!Y160="",LEN(TRIM('Raw Data'!Y160))=0),"",IF(AND(ISNUMBER('Raw Data'!Y160), IFERROR('Raw Data'!Y160 = ROUND('Raw Data'!Y160, 2),FALSE)),"",_xlfn.REGEXEXTRACT(CELL("address",Y160), "\$([A-Z]+)\$[0-9]+"))),_xlfn.REGEXEXTRACT(CELL("address",Y160), "\$([A-Z]+)\$[0-9]+"))</f>
        <v/>
      </c>
      <c r="Z160" s="7" t="str" cm="1">
        <f t="array" aca="1" ref="Z160" ca="1">IFERROR(IF(OR('Raw Data'!Z160="",LEN(TRIM('Raw Data'!Z160))=0),"",IF(AND(ISNUMBER('Raw Data'!Z160), IFERROR('Raw Data'!Z160 = ROUND('Raw Data'!Z160, 2),FALSE)),"",_xlfn.REGEXEXTRACT(CELL("address",Z160), "\$([A-Z]+)\$[0-9]+"))),_xlfn.REGEXEXTRACT(CELL("address",Z160), "\$([A-Z]+)\$[0-9]+"))</f>
        <v/>
      </c>
      <c r="AA160" s="7" t="str" cm="1">
        <f t="array" aca="1" ref="AA160" ca="1">IFERROR(IF(OR('Raw Data'!AA160="",LEN(TRIM('Raw Data'!AA160))=0),"",IF(AND(ISNUMBER('Raw Data'!AA160), IFERROR('Raw Data'!AA160 = ROUND('Raw Data'!AA160, 2),FALSE)),"",_xlfn.REGEXEXTRACT(CELL("address",AA160), "\$([A-Z]+)\$[0-9]+"))),_xlfn.REGEXEXTRACT(CELL("address",AA160), "\$([A-Z]+)\$[0-9]+"))</f>
        <v/>
      </c>
      <c r="AB160" s="7" t="str" cm="1">
        <f t="array" aca="1" ref="AB160" ca="1">IFERROR(IF(OR('Raw Data'!AB160="",LEN(TRIM('Raw Data'!AB160))=0),"",IF(AND(ISNUMBER('Raw Data'!AB160), IFERROR('Raw Data'!AB160 = ROUND('Raw Data'!AB160, 2),FALSE)),"",_xlfn.REGEXEXTRACT(CELL("address",AB160), "\$([A-Z]+)\$[0-9]+"))),_xlfn.REGEXEXTRACT(CELL("address",AB160), "\$([A-Z]+)\$[0-9]+"))</f>
        <v/>
      </c>
    </row>
    <row r="161" spans="2:28" x14ac:dyDescent="0.25">
      <c r="B161" s="7" t="str" cm="1">
        <f t="array" aca="1" ref="B161" ca="1">IFERROR(IF(OR('Raw Data'!B161="",LEN(TRIM('Raw Data'!B161))=0),"",IF(AND(LEN('Raw Data'!B161) &lt;= 255,LEN('Raw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Data'!C161))=0),"",IF(AND(LEN('Raw Data'!C161) &lt;= 20,LEN('Raw Data'!C161)&gt; 0),"",_xlfn.REGEXEXTRACT(CELL("address",'Raw Data'!C161),"\$([A-Z]+)\$[0-9]+"))),_xlfn.REGEXEXTRACT(CELL("address",'Raw Data'!C161),"\$([A-Z]+)\$[0-9]+"))</f>
        <v/>
      </c>
      <c r="D161" s="7" t="str" cm="1">
        <f t="array" aca="1" ref="D161" ca="1">IFERROR(IF(OR('Raw Data'!D161="",LEN(TRIM('Raw Data'!D161))=0),"",IF(AND(ISNUMBER('Raw Data'!D161),'Raw Data'!D161&gt;=Configuration!$D$2),"",_xlfn.REGEXEXTRACT(CELL("address",'Raw Data'!D161),"\$([A-Z]+)\$[0-9]+"))),_xlfn.REGEXEXTRACT(CELL("address",D161), "\$([A-Z]+)\$[0-9]+"))</f>
        <v/>
      </c>
      <c r="E161" s="7" t="str" cm="1">
        <f t="array" aca="1" ref="E161" ca="1">IFERROR(IF(OR('Raw Data'!E161="",LEN(TRIM('Raw Data'!E161))=0),"",IF(AND(ISNUMBER('Raw Data'!E161), IFERROR('Raw Data'!E161 = ROUND('Raw Data'!E161, 2),FALSE)),"",_xlfn.REGEXEXTRACT(CELL("address",E161), "\$([A-Z]+)\$[0-9]+"))),_xlfn.REGEXEXTRACT(CELL("address",E161), "\$([A-Z]+)\$[0-9]+"))</f>
        <v/>
      </c>
      <c r="F161" s="7" t="str" cm="1">
        <f t="array" aca="1" ref="F161" ca="1">IFERROR(IF(OR('Raw Data'!F161="",LEN(TRIM('Raw Data'!F161))=0),"",IF(AND(ISNUMBER('Raw Data'!F161), IFERROR('Raw Data'!F161 = ROUND('Raw Data'!F161, 2),FALSE)),"",_xlfn.REGEXEXTRACT(CELL("address",F161), "\$([A-Z]+)\$[0-9]+"))),_xlfn.REGEXEXTRACT(CELL("address",F161), "\$([A-Z]+)\$[0-9]+"))</f>
        <v/>
      </c>
      <c r="G161" s="7" t="str" cm="1">
        <f t="array" aca="1" ref="G161" ca="1">IFERROR(IF(OR('Raw Data'!G161="",LEN(TRIM('Raw Data'!G161))=0),"",IF(AND(ISNUMBER('Raw Data'!G161), IFERROR('Raw Data'!G161 = ROUND('Raw Data'!G161, 2),FALSE)),"",_xlfn.REGEXEXTRACT(CELL("address",G161), "\$([A-Z]+)\$[0-9]+"))),_xlfn.REGEXEXTRACT(CELL("address",G161), "\$([A-Z]+)\$[0-9]+"))</f>
        <v/>
      </c>
      <c r="H161" s="7" t="str" cm="1">
        <f t="array" aca="1" ref="H161" ca="1">IFERROR(IF(OR('Raw Data'!H161="",LEN(TRIM('Raw Data'!H161))=0),"",IF(AND(ISNUMBER('Raw Data'!H161), IFERROR('Raw Data'!H161 = ROUND('Raw Data'!H161, 2),FALSE)),"",_xlfn.REGEXEXTRACT(CELL("address",H161), "\$([A-Z]+)\$[0-9]+"))),_xlfn.REGEXEXTRACT(CELL("address",H161), "\$([A-Z]+)\$[0-9]+"))</f>
        <v/>
      </c>
      <c r="I161" s="7" t="str" cm="1">
        <f t="array" aca="1" ref="I161" ca="1">IFERROR(IF(OR('Raw Data'!I161="",LEN(TRIM('Raw Data'!I161))=0),"",IF(AND(ISNUMBER('Raw Data'!I161), IFERROR('Raw Data'!I161 = ROUND('Raw Data'!I161, 2),FALSE)),"",_xlfn.REGEXEXTRACT(CELL("address",I161), "\$([A-Z]+)\$[0-9]+"))),_xlfn.REGEXEXTRACT(CELL("address",I161), "\$([A-Z]+)\$[0-9]+"))</f>
        <v/>
      </c>
      <c r="J161" s="7" t="str" cm="1">
        <f t="array" aca="1" ref="J161" ca="1">IFERROR(IF(OR('Raw Data'!J161="",LEN(TRIM('Raw Data'!J161))=0),"",IF(AND(ISNUMBER('Raw Data'!J161), IFERROR('Raw Data'!J161 = ROUND('Raw Data'!J161, 2),FALSE)),"",_xlfn.REGEXEXTRACT(CELL("address",J161), "\$([A-Z]+)\$[0-9]+"))),_xlfn.REGEXEXTRACT(CELL("address",J161), "\$([A-Z]+)\$[0-9]+"))</f>
        <v/>
      </c>
      <c r="K161" s="7" t="str" cm="1">
        <f t="array" aca="1" ref="K161" ca="1">IFERROR(IF(OR('Raw Data'!K161="",LEN(TRIM('Raw Data'!K161))=0),"",IF(AND(ISNUMBER('Raw Data'!K161), IFERROR('Raw Data'!K161 = ROUND('Raw Data'!K161, 2),FALSE)),"",_xlfn.REGEXEXTRACT(CELL("address",K161), "\$([A-Z]+)\$[0-9]+"))),_xlfn.REGEXEXTRACT(CELL("address",K161), "\$([A-Z]+)\$[0-9]+"))</f>
        <v/>
      </c>
      <c r="L161" s="7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7" t="str" cm="1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7" t="str" cm="1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  <c r="O161" s="7" t="str" cm="1">
        <f t="array" aca="1" ref="O161" ca="1">IFERROR(IF(OR('Raw Data'!O161="",LEN(TRIM('Raw Data'!O161))=0),"",IF(AND(ISNUMBER('Raw Data'!O161), IFERROR('Raw Data'!O161 = ROUND('Raw Data'!O161, 2),FALSE)),"",_xlfn.REGEXEXTRACT(CELL("address",O161), "\$([A-Z]+)\$[0-9]+"))),_xlfn.REGEXEXTRACT(CELL("address",O161), "\$([A-Z]+)\$[0-9]+"))</f>
        <v/>
      </c>
      <c r="P161" s="7" t="str" cm="1">
        <f t="array" aca="1" ref="P161" ca="1">IFERROR(IF(OR('Raw Data'!P161="",LEN(TRIM('Raw Data'!P161))=0),"",IF(AND(ISNUMBER('Raw Data'!P161), IFERROR('Raw Data'!P161 = ROUND('Raw Data'!P161, 2),FALSE)),"",_xlfn.REGEXEXTRACT(CELL("address",P161), "\$([A-Z]+)\$[0-9]+"))),_xlfn.REGEXEXTRACT(CELL("address",P161), "\$([A-Z]+)\$[0-9]+"))</f>
        <v/>
      </c>
      <c r="Q161" s="7" t="str" cm="1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7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7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7" t="str" cm="1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7" t="str" cm="1">
        <f t="array" aca="1" ref="U161" ca="1">IFERROR(IF(OR('Raw Data'!U161="",LEN(TRIM('Raw Data'!U161))=0),"",IF(AND(ISNUMBER('Raw Data'!U161), IFERROR('Raw Data'!U161 = ROUND('Raw Data'!U161, 2),FALSE)),"",_xlfn.REGEXEXTRACT(CELL("address",U161), "\$([A-Z]+)\$[0-9]+"))),_xlfn.REGEXEXTRACT(CELL("address",U161), "\$([A-Z]+)\$[0-9]+"))</f>
        <v/>
      </c>
      <c r="V161" s="7" t="str" cm="1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7" t="str" cm="1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7" t="str" cm="1">
        <f t="array" aca="1" ref="X161" ca="1">IFERROR(IF(OR('Raw Data'!X161="",LEN(TRIM('Raw Data'!X161))=0),"",IF(AND(ISNUMBER('Raw Data'!X161), IFERROR('Raw Data'!X161 = ROUND('Raw Data'!X161, 2),FALSE)),"",_xlfn.REGEXEXTRACT(CELL("address",X161), "\$([A-Z]+)\$[0-9]+"))),_xlfn.REGEXEXTRACT(CELL("address",X161), "\$([A-Z]+)\$[0-9]+"))</f>
        <v/>
      </c>
      <c r="Y161" s="7" t="str" cm="1">
        <f t="array" aca="1" ref="Y161" ca="1">IFERROR(IF(OR('Raw Data'!Y161="",LEN(TRIM('Raw Data'!Y161))=0),"",IF(AND(ISNUMBER('Raw Data'!Y161), IFERROR('Raw Data'!Y161 = ROUND('Raw Data'!Y161, 2),FALSE)),"",_xlfn.REGEXEXTRACT(CELL("address",Y161), "\$([A-Z]+)\$[0-9]+"))),_xlfn.REGEXEXTRACT(CELL("address",Y161), "\$([A-Z]+)\$[0-9]+"))</f>
        <v/>
      </c>
      <c r="Z161" s="7" t="str" cm="1">
        <f t="array" aca="1" ref="Z161" ca="1">IFERROR(IF(OR('Raw Data'!Z161="",LEN(TRIM('Raw Data'!Z161))=0),"",IF(AND(ISNUMBER('Raw Data'!Z161), IFERROR('Raw Data'!Z161 = ROUND('Raw Data'!Z161, 2),FALSE)),"",_xlfn.REGEXEXTRACT(CELL("address",Z161), "\$([A-Z]+)\$[0-9]+"))),_xlfn.REGEXEXTRACT(CELL("address",Z161), "\$([A-Z]+)\$[0-9]+"))</f>
        <v/>
      </c>
      <c r="AA161" s="7" t="str" cm="1">
        <f t="array" aca="1" ref="AA161" ca="1">IFERROR(IF(OR('Raw Data'!AA161="",LEN(TRIM('Raw Data'!AA161))=0),"",IF(AND(ISNUMBER('Raw Data'!AA161), IFERROR('Raw Data'!AA161 = ROUND('Raw Data'!AA161, 2),FALSE)),"",_xlfn.REGEXEXTRACT(CELL("address",AA161), "\$([A-Z]+)\$[0-9]+"))),_xlfn.REGEXEXTRACT(CELL("address",AA161), "\$([A-Z]+)\$[0-9]+"))</f>
        <v/>
      </c>
      <c r="AB161" s="7" t="str" cm="1">
        <f t="array" aca="1" ref="AB161" ca="1">IFERROR(IF(OR('Raw Data'!AB161="",LEN(TRIM('Raw Data'!AB161))=0),"",IF(AND(ISNUMBER('Raw Data'!AB161), IFERROR('Raw Data'!AB161 = ROUND('Raw Data'!AB161, 2),FALSE)),"",_xlfn.REGEXEXTRACT(CELL("address",AB161), "\$([A-Z]+)\$[0-9]+"))),_xlfn.REGEXEXTRACT(CELL("address",AB161), "\$([A-Z]+)\$[0-9]+"))</f>
        <v/>
      </c>
    </row>
    <row r="162" spans="2:28" x14ac:dyDescent="0.25">
      <c r="B162" s="7" t="str" cm="1">
        <f t="array" aca="1" ref="B162" ca="1">IFERROR(IF(OR('Raw Data'!B162="",LEN(TRIM('Raw Data'!B162))=0),"",IF(AND(LEN('Raw Data'!B162) &lt;= 255,LEN('Raw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Data'!C162))=0),"",IF(AND(LEN('Raw Data'!C162) &lt;= 20,LEN('Raw Data'!C162)&gt; 0),"",_xlfn.REGEXEXTRACT(CELL("address",'Raw Data'!C162),"\$([A-Z]+)\$[0-9]+"))),_xlfn.REGEXEXTRACT(CELL("address",'Raw Data'!C162),"\$([A-Z]+)\$[0-9]+"))</f>
        <v/>
      </c>
      <c r="D162" s="7" t="str" cm="1">
        <f t="array" aca="1" ref="D162" ca="1">IFERROR(IF(OR('Raw Data'!D162="",LEN(TRIM('Raw Data'!D162))=0),"",IF(AND(ISNUMBER('Raw Data'!D162),'Raw Data'!D162&gt;=Configuration!$D$2),"",_xlfn.REGEXEXTRACT(CELL("address",'Raw Data'!D162),"\$([A-Z]+)\$[0-9]+"))),_xlfn.REGEXEXTRACT(CELL("address",D162), "\$([A-Z]+)\$[0-9]+"))</f>
        <v/>
      </c>
      <c r="E162" s="7" t="str" cm="1">
        <f t="array" aca="1" ref="E162" ca="1">IFERROR(IF(OR('Raw Data'!E162="",LEN(TRIM('Raw Data'!E162))=0),"",IF(AND(ISNUMBER('Raw Data'!E162), IFERROR('Raw Data'!E162 = ROUND('Raw Data'!E162, 2),FALSE)),"",_xlfn.REGEXEXTRACT(CELL("address",E162), "\$([A-Z]+)\$[0-9]+"))),_xlfn.REGEXEXTRACT(CELL("address",E162), "\$([A-Z]+)\$[0-9]+"))</f>
        <v/>
      </c>
      <c r="F162" s="7" t="str" cm="1">
        <f t="array" aca="1" ref="F162" ca="1">IFERROR(IF(OR('Raw Data'!F162="",LEN(TRIM('Raw Data'!F162))=0),"",IF(AND(ISNUMBER('Raw Data'!F162), IFERROR('Raw Data'!F162 = ROUND('Raw Data'!F162, 2),FALSE)),"",_xlfn.REGEXEXTRACT(CELL("address",F162), "\$([A-Z]+)\$[0-9]+"))),_xlfn.REGEXEXTRACT(CELL("address",F162), "\$([A-Z]+)\$[0-9]+"))</f>
        <v/>
      </c>
      <c r="G162" s="7" t="str" cm="1">
        <f t="array" aca="1" ref="G162" ca="1">IFERROR(IF(OR('Raw Data'!G162="",LEN(TRIM('Raw Data'!G162))=0),"",IF(AND(ISNUMBER('Raw Data'!G162), IFERROR('Raw Data'!G162 = ROUND('Raw Data'!G162, 2),FALSE)),"",_xlfn.REGEXEXTRACT(CELL("address",G162), "\$([A-Z]+)\$[0-9]+"))),_xlfn.REGEXEXTRACT(CELL("address",G162), "\$([A-Z]+)\$[0-9]+"))</f>
        <v/>
      </c>
      <c r="H162" s="7" t="str" cm="1">
        <f t="array" aca="1" ref="H162" ca="1">IFERROR(IF(OR('Raw Data'!H162="",LEN(TRIM('Raw Data'!H162))=0),"",IF(AND(ISNUMBER('Raw Data'!H162), IFERROR('Raw Data'!H162 = ROUND('Raw Data'!H162, 2),FALSE)),"",_xlfn.REGEXEXTRACT(CELL("address",H162), "\$([A-Z]+)\$[0-9]+"))),_xlfn.REGEXEXTRACT(CELL("address",H162), "\$([A-Z]+)\$[0-9]+"))</f>
        <v/>
      </c>
      <c r="I162" s="7" t="str" cm="1">
        <f t="array" aca="1" ref="I162" ca="1">IFERROR(IF(OR('Raw Data'!I162="",LEN(TRIM('Raw Data'!I162))=0),"",IF(AND(ISNUMBER('Raw Data'!I162), IFERROR('Raw Data'!I162 = ROUND('Raw Data'!I162, 2),FALSE)),"",_xlfn.REGEXEXTRACT(CELL("address",I162), "\$([A-Z]+)\$[0-9]+"))),_xlfn.REGEXEXTRACT(CELL("address",I162), "\$([A-Z]+)\$[0-9]+"))</f>
        <v/>
      </c>
      <c r="J162" s="7" t="str" cm="1">
        <f t="array" aca="1" ref="J162" ca="1">IFERROR(IF(OR('Raw Data'!J162="",LEN(TRIM('Raw Data'!J162))=0),"",IF(AND(ISNUMBER('Raw Data'!J162), IFERROR('Raw Data'!J162 = ROUND('Raw Data'!J162, 2),FALSE)),"",_xlfn.REGEXEXTRACT(CELL("address",J162), "\$([A-Z]+)\$[0-9]+"))),_xlfn.REGEXEXTRACT(CELL("address",J162), "\$([A-Z]+)\$[0-9]+"))</f>
        <v/>
      </c>
      <c r="K162" s="7" t="str" cm="1">
        <f t="array" aca="1" ref="K162" ca="1">IFERROR(IF(OR('Raw Data'!K162="",LEN(TRIM('Raw Data'!K162))=0),"",IF(AND(ISNUMBER('Raw Data'!K162), IFERROR('Raw Data'!K162 = ROUND('Raw Data'!K162, 2),FALSE)),"",_xlfn.REGEXEXTRACT(CELL("address",K162), "\$([A-Z]+)\$[0-9]+"))),_xlfn.REGEXEXTRACT(CELL("address",K162), "\$([A-Z]+)\$[0-9]+"))</f>
        <v/>
      </c>
      <c r="L162" s="7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7" t="str" cm="1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7" t="str" cm="1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  <c r="O162" s="7" t="str" cm="1">
        <f t="array" aca="1" ref="O162" ca="1">IFERROR(IF(OR('Raw Data'!O162="",LEN(TRIM('Raw Data'!O162))=0),"",IF(AND(ISNUMBER('Raw Data'!O162), IFERROR('Raw Data'!O162 = ROUND('Raw Data'!O162, 2),FALSE)),"",_xlfn.REGEXEXTRACT(CELL("address",O162), "\$([A-Z]+)\$[0-9]+"))),_xlfn.REGEXEXTRACT(CELL("address",O162), "\$([A-Z]+)\$[0-9]+"))</f>
        <v/>
      </c>
      <c r="P162" s="7" t="str" cm="1">
        <f t="array" aca="1" ref="P162" ca="1">IFERROR(IF(OR('Raw Data'!P162="",LEN(TRIM('Raw Data'!P162))=0),"",IF(AND(ISNUMBER('Raw Data'!P162), IFERROR('Raw Data'!P162 = ROUND('Raw Data'!P162, 2),FALSE)),"",_xlfn.REGEXEXTRACT(CELL("address",P162), "\$([A-Z]+)\$[0-9]+"))),_xlfn.REGEXEXTRACT(CELL("address",P162), "\$([A-Z]+)\$[0-9]+"))</f>
        <v/>
      </c>
      <c r="Q162" s="7" t="str" cm="1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7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7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7" t="str" cm="1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7" t="str" cm="1">
        <f t="array" aca="1" ref="U162" ca="1">IFERROR(IF(OR('Raw Data'!U162="",LEN(TRIM('Raw Data'!U162))=0),"",IF(AND(ISNUMBER('Raw Data'!U162), IFERROR('Raw Data'!U162 = ROUND('Raw Data'!U162, 2),FALSE)),"",_xlfn.REGEXEXTRACT(CELL("address",U162), "\$([A-Z]+)\$[0-9]+"))),_xlfn.REGEXEXTRACT(CELL("address",U162), "\$([A-Z]+)\$[0-9]+"))</f>
        <v/>
      </c>
      <c r="V162" s="7" t="str" cm="1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7" t="str" cm="1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7" t="str" cm="1">
        <f t="array" aca="1" ref="X162" ca="1">IFERROR(IF(OR('Raw Data'!X162="",LEN(TRIM('Raw Data'!X162))=0),"",IF(AND(ISNUMBER('Raw Data'!X162), IFERROR('Raw Data'!X162 = ROUND('Raw Data'!X162, 2),FALSE)),"",_xlfn.REGEXEXTRACT(CELL("address",X162), "\$([A-Z]+)\$[0-9]+"))),_xlfn.REGEXEXTRACT(CELL("address",X162), "\$([A-Z]+)\$[0-9]+"))</f>
        <v/>
      </c>
      <c r="Y162" s="7" t="str" cm="1">
        <f t="array" aca="1" ref="Y162" ca="1">IFERROR(IF(OR('Raw Data'!Y162="",LEN(TRIM('Raw Data'!Y162))=0),"",IF(AND(ISNUMBER('Raw Data'!Y162), IFERROR('Raw Data'!Y162 = ROUND('Raw Data'!Y162, 2),FALSE)),"",_xlfn.REGEXEXTRACT(CELL("address",Y162), "\$([A-Z]+)\$[0-9]+"))),_xlfn.REGEXEXTRACT(CELL("address",Y162), "\$([A-Z]+)\$[0-9]+"))</f>
        <v/>
      </c>
      <c r="Z162" s="7" t="str" cm="1">
        <f t="array" aca="1" ref="Z162" ca="1">IFERROR(IF(OR('Raw Data'!Z162="",LEN(TRIM('Raw Data'!Z162))=0),"",IF(AND(ISNUMBER('Raw Data'!Z162), IFERROR('Raw Data'!Z162 = ROUND('Raw Data'!Z162, 2),FALSE)),"",_xlfn.REGEXEXTRACT(CELL("address",Z162), "\$([A-Z]+)\$[0-9]+"))),_xlfn.REGEXEXTRACT(CELL("address",Z162), "\$([A-Z]+)\$[0-9]+"))</f>
        <v/>
      </c>
      <c r="AA162" s="7" t="str" cm="1">
        <f t="array" aca="1" ref="AA162" ca="1">IFERROR(IF(OR('Raw Data'!AA162="",LEN(TRIM('Raw Data'!AA162))=0),"",IF(AND(ISNUMBER('Raw Data'!AA162), IFERROR('Raw Data'!AA162 = ROUND('Raw Data'!AA162, 2),FALSE)),"",_xlfn.REGEXEXTRACT(CELL("address",AA162), "\$([A-Z]+)\$[0-9]+"))),_xlfn.REGEXEXTRACT(CELL("address",AA162), "\$([A-Z]+)\$[0-9]+"))</f>
        <v/>
      </c>
      <c r="AB162" s="7" t="str" cm="1">
        <f t="array" aca="1" ref="AB162" ca="1">IFERROR(IF(OR('Raw Data'!AB162="",LEN(TRIM('Raw Data'!AB162))=0),"",IF(AND(ISNUMBER('Raw Data'!AB162), IFERROR('Raw Data'!AB162 = ROUND('Raw Data'!AB162, 2),FALSE)),"",_xlfn.REGEXEXTRACT(CELL("address",AB162), "\$([A-Z]+)\$[0-9]+"))),_xlfn.REGEXEXTRACT(CELL("address",AB162), "\$([A-Z]+)\$[0-9]+"))</f>
        <v/>
      </c>
    </row>
    <row r="163" spans="2:28" x14ac:dyDescent="0.25">
      <c r="B163" s="7" t="str" cm="1">
        <f t="array" aca="1" ref="B163" ca="1">IFERROR(IF(OR('Raw Data'!B163="",LEN(TRIM('Raw Data'!B163))=0),"",IF(AND(LEN('Raw Data'!B163) &lt;= 255,LEN('Raw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Data'!C163))=0),"",IF(AND(LEN('Raw Data'!C163) &lt;= 20,LEN('Raw Data'!C163)&gt; 0),"",_xlfn.REGEXEXTRACT(CELL("address",'Raw Data'!C163),"\$([A-Z]+)\$[0-9]+"))),_xlfn.REGEXEXTRACT(CELL("address",'Raw Data'!C163),"\$([A-Z]+)\$[0-9]+"))</f>
        <v/>
      </c>
      <c r="D163" s="7" t="str" cm="1">
        <f t="array" aca="1" ref="D163" ca="1">IFERROR(IF(OR('Raw Data'!D163="",LEN(TRIM('Raw Data'!D163))=0),"",IF(AND(ISNUMBER('Raw Data'!D163),'Raw Data'!D163&gt;=Configuration!$D$2),"",_xlfn.REGEXEXTRACT(CELL("address",'Raw Data'!D163),"\$([A-Z]+)\$[0-9]+"))),_xlfn.REGEXEXTRACT(CELL("address",D163), "\$([A-Z]+)\$[0-9]+"))</f>
        <v/>
      </c>
      <c r="E163" s="7" t="str" cm="1">
        <f t="array" aca="1" ref="E163" ca="1">IFERROR(IF(OR('Raw Data'!E163="",LEN(TRIM('Raw Data'!E163))=0),"",IF(AND(ISNUMBER('Raw Data'!E163), IFERROR('Raw Data'!E163 = ROUND('Raw Data'!E163, 2),FALSE)),"",_xlfn.REGEXEXTRACT(CELL("address",E163), "\$([A-Z]+)\$[0-9]+"))),_xlfn.REGEXEXTRACT(CELL("address",E163), "\$([A-Z]+)\$[0-9]+"))</f>
        <v/>
      </c>
      <c r="F163" s="7" t="str" cm="1">
        <f t="array" aca="1" ref="F163" ca="1">IFERROR(IF(OR('Raw Data'!F163="",LEN(TRIM('Raw Data'!F163))=0),"",IF(AND(ISNUMBER('Raw Data'!F163), IFERROR('Raw Data'!F163 = ROUND('Raw Data'!F163, 2),FALSE)),"",_xlfn.REGEXEXTRACT(CELL("address",F163), "\$([A-Z]+)\$[0-9]+"))),_xlfn.REGEXEXTRACT(CELL("address",F163), "\$([A-Z]+)\$[0-9]+"))</f>
        <v/>
      </c>
      <c r="G163" s="7" t="str" cm="1">
        <f t="array" aca="1" ref="G163" ca="1">IFERROR(IF(OR('Raw Data'!G163="",LEN(TRIM('Raw Data'!G163))=0),"",IF(AND(ISNUMBER('Raw Data'!G163), IFERROR('Raw Data'!G163 = ROUND('Raw Data'!G163, 2),FALSE)),"",_xlfn.REGEXEXTRACT(CELL("address",G163), "\$([A-Z]+)\$[0-9]+"))),_xlfn.REGEXEXTRACT(CELL("address",G163), "\$([A-Z]+)\$[0-9]+"))</f>
        <v/>
      </c>
      <c r="H163" s="7" t="str" cm="1">
        <f t="array" aca="1" ref="H163" ca="1">IFERROR(IF(OR('Raw Data'!H163="",LEN(TRIM('Raw Data'!H163))=0),"",IF(AND(ISNUMBER('Raw Data'!H163), IFERROR('Raw Data'!H163 = ROUND('Raw Data'!H163, 2),FALSE)),"",_xlfn.REGEXEXTRACT(CELL("address",H163), "\$([A-Z]+)\$[0-9]+"))),_xlfn.REGEXEXTRACT(CELL("address",H163), "\$([A-Z]+)\$[0-9]+"))</f>
        <v/>
      </c>
      <c r="I163" s="7" t="str" cm="1">
        <f t="array" aca="1" ref="I163" ca="1">IFERROR(IF(OR('Raw Data'!I163="",LEN(TRIM('Raw Data'!I163))=0),"",IF(AND(ISNUMBER('Raw Data'!I163), IFERROR('Raw Data'!I163 = ROUND('Raw Data'!I163, 2),FALSE)),"",_xlfn.REGEXEXTRACT(CELL("address",I163), "\$([A-Z]+)\$[0-9]+"))),_xlfn.REGEXEXTRACT(CELL("address",I163), "\$([A-Z]+)\$[0-9]+"))</f>
        <v/>
      </c>
      <c r="J163" s="7" t="str" cm="1">
        <f t="array" aca="1" ref="J163" ca="1">IFERROR(IF(OR('Raw Data'!J163="",LEN(TRIM('Raw Data'!J163))=0),"",IF(AND(ISNUMBER('Raw Data'!J163), IFERROR('Raw Data'!J163 = ROUND('Raw Data'!J163, 2),FALSE)),"",_xlfn.REGEXEXTRACT(CELL("address",J163), "\$([A-Z]+)\$[0-9]+"))),_xlfn.REGEXEXTRACT(CELL("address",J163), "\$([A-Z]+)\$[0-9]+"))</f>
        <v/>
      </c>
      <c r="K163" s="7" t="str" cm="1">
        <f t="array" aca="1" ref="K163" ca="1">IFERROR(IF(OR('Raw Data'!K163="",LEN(TRIM('Raw Data'!K163))=0),"",IF(AND(ISNUMBER('Raw Data'!K163), IFERROR('Raw Data'!K163 = ROUND('Raw Data'!K163, 2),FALSE)),"",_xlfn.REGEXEXTRACT(CELL("address",K163), "\$([A-Z]+)\$[0-9]+"))),_xlfn.REGEXEXTRACT(CELL("address",K163), "\$([A-Z]+)\$[0-9]+"))</f>
        <v/>
      </c>
      <c r="L163" s="7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7" t="str" cm="1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7" t="str" cm="1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  <c r="O163" s="7" t="str" cm="1">
        <f t="array" aca="1" ref="O163" ca="1">IFERROR(IF(OR('Raw Data'!O163="",LEN(TRIM('Raw Data'!O163))=0),"",IF(AND(ISNUMBER('Raw Data'!O163), IFERROR('Raw Data'!O163 = ROUND('Raw Data'!O163, 2),FALSE)),"",_xlfn.REGEXEXTRACT(CELL("address",O163), "\$([A-Z]+)\$[0-9]+"))),_xlfn.REGEXEXTRACT(CELL("address",O163), "\$([A-Z]+)\$[0-9]+"))</f>
        <v/>
      </c>
      <c r="P163" s="7" t="str" cm="1">
        <f t="array" aca="1" ref="P163" ca="1">IFERROR(IF(OR('Raw Data'!P163="",LEN(TRIM('Raw Data'!P163))=0),"",IF(AND(ISNUMBER('Raw Data'!P163), IFERROR('Raw Data'!P163 = ROUND('Raw Data'!P163, 2),FALSE)),"",_xlfn.REGEXEXTRACT(CELL("address",P163), "\$([A-Z]+)\$[0-9]+"))),_xlfn.REGEXEXTRACT(CELL("address",P163), "\$([A-Z]+)\$[0-9]+"))</f>
        <v/>
      </c>
      <c r="Q163" s="7" t="str" cm="1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7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7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7" t="str" cm="1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7" t="str" cm="1">
        <f t="array" aca="1" ref="U163" ca="1">IFERROR(IF(OR('Raw Data'!U163="",LEN(TRIM('Raw Data'!U163))=0),"",IF(AND(ISNUMBER('Raw Data'!U163), IFERROR('Raw Data'!U163 = ROUND('Raw Data'!U163, 2),FALSE)),"",_xlfn.REGEXEXTRACT(CELL("address",U163), "\$([A-Z]+)\$[0-9]+"))),_xlfn.REGEXEXTRACT(CELL("address",U163), "\$([A-Z]+)\$[0-9]+"))</f>
        <v/>
      </c>
      <c r="V163" s="7" t="str" cm="1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7" t="str" cm="1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7" t="str" cm="1">
        <f t="array" aca="1" ref="X163" ca="1">IFERROR(IF(OR('Raw Data'!X163="",LEN(TRIM('Raw Data'!X163))=0),"",IF(AND(ISNUMBER('Raw Data'!X163), IFERROR('Raw Data'!X163 = ROUND('Raw Data'!X163, 2),FALSE)),"",_xlfn.REGEXEXTRACT(CELL("address",X163), "\$([A-Z]+)\$[0-9]+"))),_xlfn.REGEXEXTRACT(CELL("address",X163), "\$([A-Z]+)\$[0-9]+"))</f>
        <v/>
      </c>
      <c r="Y163" s="7" t="str" cm="1">
        <f t="array" aca="1" ref="Y163" ca="1">IFERROR(IF(OR('Raw Data'!Y163="",LEN(TRIM('Raw Data'!Y163))=0),"",IF(AND(ISNUMBER('Raw Data'!Y163), IFERROR('Raw Data'!Y163 = ROUND('Raw Data'!Y163, 2),FALSE)),"",_xlfn.REGEXEXTRACT(CELL("address",Y163), "\$([A-Z]+)\$[0-9]+"))),_xlfn.REGEXEXTRACT(CELL("address",Y163), "\$([A-Z]+)\$[0-9]+"))</f>
        <v/>
      </c>
      <c r="Z163" s="7" t="str" cm="1">
        <f t="array" aca="1" ref="Z163" ca="1">IFERROR(IF(OR('Raw Data'!Z163="",LEN(TRIM('Raw Data'!Z163))=0),"",IF(AND(ISNUMBER('Raw Data'!Z163), IFERROR('Raw Data'!Z163 = ROUND('Raw Data'!Z163, 2),FALSE)),"",_xlfn.REGEXEXTRACT(CELL("address",Z163), "\$([A-Z]+)\$[0-9]+"))),_xlfn.REGEXEXTRACT(CELL("address",Z163), "\$([A-Z]+)\$[0-9]+"))</f>
        <v/>
      </c>
      <c r="AA163" s="7" t="str" cm="1">
        <f t="array" aca="1" ref="AA163" ca="1">IFERROR(IF(OR('Raw Data'!AA163="",LEN(TRIM('Raw Data'!AA163))=0),"",IF(AND(ISNUMBER('Raw Data'!AA163), IFERROR('Raw Data'!AA163 = ROUND('Raw Data'!AA163, 2),FALSE)),"",_xlfn.REGEXEXTRACT(CELL("address",AA163), "\$([A-Z]+)\$[0-9]+"))),_xlfn.REGEXEXTRACT(CELL("address",AA163), "\$([A-Z]+)\$[0-9]+"))</f>
        <v/>
      </c>
      <c r="AB163" s="7" t="str" cm="1">
        <f t="array" aca="1" ref="AB163" ca="1">IFERROR(IF(OR('Raw Data'!AB163="",LEN(TRIM('Raw Data'!AB163))=0),"",IF(AND(ISNUMBER('Raw Data'!AB163), IFERROR('Raw Data'!AB163 = ROUND('Raw Data'!AB163, 2),FALSE)),"",_xlfn.REGEXEXTRACT(CELL("address",AB163), "\$([A-Z]+)\$[0-9]+"))),_xlfn.REGEXEXTRACT(CELL("address",AB163), "\$([A-Z]+)\$[0-9]+"))</f>
        <v/>
      </c>
    </row>
    <row r="164" spans="2:28" x14ac:dyDescent="0.25">
      <c r="B164" s="7" t="str" cm="1">
        <f t="array" aca="1" ref="B164" ca="1">IFERROR(IF(OR('Raw Data'!B164="",LEN(TRIM('Raw Data'!B164))=0),"",IF(AND(LEN('Raw Data'!B164) &lt;= 255,LEN('Raw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Data'!C164))=0),"",IF(AND(LEN('Raw Data'!C164) &lt;= 20,LEN('Raw Data'!C164)&gt; 0),"",_xlfn.REGEXEXTRACT(CELL("address",'Raw Data'!C164),"\$([A-Z]+)\$[0-9]+"))),_xlfn.REGEXEXTRACT(CELL("address",'Raw Data'!C164),"\$([A-Z]+)\$[0-9]+"))</f>
        <v/>
      </c>
      <c r="D164" s="7" t="str" cm="1">
        <f t="array" aca="1" ref="D164" ca="1">IFERROR(IF(OR('Raw Data'!D164="",LEN(TRIM('Raw Data'!D164))=0),"",IF(AND(ISNUMBER('Raw Data'!D164),'Raw Data'!D164&gt;=Configuration!$D$2),"",_xlfn.REGEXEXTRACT(CELL("address",'Raw Data'!D164),"\$([A-Z]+)\$[0-9]+"))),_xlfn.REGEXEXTRACT(CELL("address",D164), "\$([A-Z]+)\$[0-9]+"))</f>
        <v/>
      </c>
      <c r="E164" s="7" t="str" cm="1">
        <f t="array" aca="1" ref="E164" ca="1">IFERROR(IF(OR('Raw Data'!E164="",LEN(TRIM('Raw Data'!E164))=0),"",IF(AND(ISNUMBER('Raw Data'!E164), IFERROR('Raw Data'!E164 = ROUND('Raw Data'!E164, 2),FALSE)),"",_xlfn.REGEXEXTRACT(CELL("address",E164), "\$([A-Z]+)\$[0-9]+"))),_xlfn.REGEXEXTRACT(CELL("address",E164), "\$([A-Z]+)\$[0-9]+"))</f>
        <v/>
      </c>
      <c r="F164" s="7" t="str" cm="1">
        <f t="array" aca="1" ref="F164" ca="1">IFERROR(IF(OR('Raw Data'!F164="",LEN(TRIM('Raw Data'!F164))=0),"",IF(AND(ISNUMBER('Raw Data'!F164), IFERROR('Raw Data'!F164 = ROUND('Raw Data'!F164, 2),FALSE)),"",_xlfn.REGEXEXTRACT(CELL("address",F164), "\$([A-Z]+)\$[0-9]+"))),_xlfn.REGEXEXTRACT(CELL("address",F164), "\$([A-Z]+)\$[0-9]+"))</f>
        <v/>
      </c>
      <c r="G164" s="7" t="str" cm="1">
        <f t="array" aca="1" ref="G164" ca="1">IFERROR(IF(OR('Raw Data'!G164="",LEN(TRIM('Raw Data'!G164))=0),"",IF(AND(ISNUMBER('Raw Data'!G164), IFERROR('Raw Data'!G164 = ROUND('Raw Data'!G164, 2),FALSE)),"",_xlfn.REGEXEXTRACT(CELL("address",G164), "\$([A-Z]+)\$[0-9]+"))),_xlfn.REGEXEXTRACT(CELL("address",G164), "\$([A-Z]+)\$[0-9]+"))</f>
        <v/>
      </c>
      <c r="H164" s="7" t="str" cm="1">
        <f t="array" aca="1" ref="H164" ca="1">IFERROR(IF(OR('Raw Data'!H164="",LEN(TRIM('Raw Data'!H164))=0),"",IF(AND(ISNUMBER('Raw Data'!H164), IFERROR('Raw Data'!H164 = ROUND('Raw Data'!H164, 2),FALSE)),"",_xlfn.REGEXEXTRACT(CELL("address",H164), "\$([A-Z]+)\$[0-9]+"))),_xlfn.REGEXEXTRACT(CELL("address",H164), "\$([A-Z]+)\$[0-9]+"))</f>
        <v/>
      </c>
      <c r="I164" s="7" t="str" cm="1">
        <f t="array" aca="1" ref="I164" ca="1">IFERROR(IF(OR('Raw Data'!I164="",LEN(TRIM('Raw Data'!I164))=0),"",IF(AND(ISNUMBER('Raw Data'!I164), IFERROR('Raw Data'!I164 = ROUND('Raw Data'!I164, 2),FALSE)),"",_xlfn.REGEXEXTRACT(CELL("address",I164), "\$([A-Z]+)\$[0-9]+"))),_xlfn.REGEXEXTRACT(CELL("address",I164), "\$([A-Z]+)\$[0-9]+"))</f>
        <v/>
      </c>
      <c r="J164" s="7" t="str" cm="1">
        <f t="array" aca="1" ref="J164" ca="1">IFERROR(IF(OR('Raw Data'!J164="",LEN(TRIM('Raw Data'!J164))=0),"",IF(AND(ISNUMBER('Raw Data'!J164), IFERROR('Raw Data'!J164 = ROUND('Raw Data'!J164, 2),FALSE)),"",_xlfn.REGEXEXTRACT(CELL("address",J164), "\$([A-Z]+)\$[0-9]+"))),_xlfn.REGEXEXTRACT(CELL("address",J164), "\$([A-Z]+)\$[0-9]+"))</f>
        <v/>
      </c>
      <c r="K164" s="7" t="str" cm="1">
        <f t="array" aca="1" ref="K164" ca="1">IFERROR(IF(OR('Raw Data'!K164="",LEN(TRIM('Raw Data'!K164))=0),"",IF(AND(ISNUMBER('Raw Data'!K164), IFERROR('Raw Data'!K164 = ROUND('Raw Data'!K164, 2),FALSE)),"",_xlfn.REGEXEXTRACT(CELL("address",K164), "\$([A-Z]+)\$[0-9]+"))),_xlfn.REGEXEXTRACT(CELL("address",K164), "\$([A-Z]+)\$[0-9]+"))</f>
        <v/>
      </c>
      <c r="L164" s="7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7" t="str" cm="1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7" t="str" cm="1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  <c r="O164" s="7" t="str" cm="1">
        <f t="array" aca="1" ref="O164" ca="1">IFERROR(IF(OR('Raw Data'!O164="",LEN(TRIM('Raw Data'!O164))=0),"",IF(AND(ISNUMBER('Raw Data'!O164), IFERROR('Raw Data'!O164 = ROUND('Raw Data'!O164, 2),FALSE)),"",_xlfn.REGEXEXTRACT(CELL("address",O164), "\$([A-Z]+)\$[0-9]+"))),_xlfn.REGEXEXTRACT(CELL("address",O164), "\$([A-Z]+)\$[0-9]+"))</f>
        <v/>
      </c>
      <c r="P164" s="7" t="str" cm="1">
        <f t="array" aca="1" ref="P164" ca="1">IFERROR(IF(OR('Raw Data'!P164="",LEN(TRIM('Raw Data'!P164))=0),"",IF(AND(ISNUMBER('Raw Data'!P164), IFERROR('Raw Data'!P164 = ROUND('Raw Data'!P164, 2),FALSE)),"",_xlfn.REGEXEXTRACT(CELL("address",P164), "\$([A-Z]+)\$[0-9]+"))),_xlfn.REGEXEXTRACT(CELL("address",P164), "\$([A-Z]+)\$[0-9]+"))</f>
        <v/>
      </c>
      <c r="Q164" s="7" t="str" cm="1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7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7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7" t="str" cm="1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7" t="str" cm="1">
        <f t="array" aca="1" ref="U164" ca="1">IFERROR(IF(OR('Raw Data'!U164="",LEN(TRIM('Raw Data'!U164))=0),"",IF(AND(ISNUMBER('Raw Data'!U164), IFERROR('Raw Data'!U164 = ROUND('Raw Data'!U164, 2),FALSE)),"",_xlfn.REGEXEXTRACT(CELL("address",U164), "\$([A-Z]+)\$[0-9]+"))),_xlfn.REGEXEXTRACT(CELL("address",U164), "\$([A-Z]+)\$[0-9]+"))</f>
        <v/>
      </c>
      <c r="V164" s="7" t="str" cm="1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7" t="str" cm="1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7" t="str" cm="1">
        <f t="array" aca="1" ref="X164" ca="1">IFERROR(IF(OR('Raw Data'!X164="",LEN(TRIM('Raw Data'!X164))=0),"",IF(AND(ISNUMBER('Raw Data'!X164), IFERROR('Raw Data'!X164 = ROUND('Raw Data'!X164, 2),FALSE)),"",_xlfn.REGEXEXTRACT(CELL("address",X164), "\$([A-Z]+)\$[0-9]+"))),_xlfn.REGEXEXTRACT(CELL("address",X164), "\$([A-Z]+)\$[0-9]+"))</f>
        <v/>
      </c>
      <c r="Y164" s="7" t="str" cm="1">
        <f t="array" aca="1" ref="Y164" ca="1">IFERROR(IF(OR('Raw Data'!Y164="",LEN(TRIM('Raw Data'!Y164))=0),"",IF(AND(ISNUMBER('Raw Data'!Y164), IFERROR('Raw Data'!Y164 = ROUND('Raw Data'!Y164, 2),FALSE)),"",_xlfn.REGEXEXTRACT(CELL("address",Y164), "\$([A-Z]+)\$[0-9]+"))),_xlfn.REGEXEXTRACT(CELL("address",Y164), "\$([A-Z]+)\$[0-9]+"))</f>
        <v/>
      </c>
      <c r="Z164" s="7" t="str" cm="1">
        <f t="array" aca="1" ref="Z164" ca="1">IFERROR(IF(OR('Raw Data'!Z164="",LEN(TRIM('Raw Data'!Z164))=0),"",IF(AND(ISNUMBER('Raw Data'!Z164), IFERROR('Raw Data'!Z164 = ROUND('Raw Data'!Z164, 2),FALSE)),"",_xlfn.REGEXEXTRACT(CELL("address",Z164), "\$([A-Z]+)\$[0-9]+"))),_xlfn.REGEXEXTRACT(CELL("address",Z164), "\$([A-Z]+)\$[0-9]+"))</f>
        <v/>
      </c>
      <c r="AA164" s="7" t="str" cm="1">
        <f t="array" aca="1" ref="AA164" ca="1">IFERROR(IF(OR('Raw Data'!AA164="",LEN(TRIM('Raw Data'!AA164))=0),"",IF(AND(ISNUMBER('Raw Data'!AA164), IFERROR('Raw Data'!AA164 = ROUND('Raw Data'!AA164, 2),FALSE)),"",_xlfn.REGEXEXTRACT(CELL("address",AA164), "\$([A-Z]+)\$[0-9]+"))),_xlfn.REGEXEXTRACT(CELL("address",AA164), "\$([A-Z]+)\$[0-9]+"))</f>
        <v/>
      </c>
      <c r="AB164" s="7" t="str" cm="1">
        <f t="array" aca="1" ref="AB164" ca="1">IFERROR(IF(OR('Raw Data'!AB164="",LEN(TRIM('Raw Data'!AB164))=0),"",IF(AND(ISNUMBER('Raw Data'!AB164), IFERROR('Raw Data'!AB164 = ROUND('Raw Data'!AB164, 2),FALSE)),"",_xlfn.REGEXEXTRACT(CELL("address",AB164), "\$([A-Z]+)\$[0-9]+"))),_xlfn.REGEXEXTRACT(CELL("address",AB164), "\$([A-Z]+)\$[0-9]+"))</f>
        <v/>
      </c>
    </row>
    <row r="165" spans="2:28" x14ac:dyDescent="0.25">
      <c r="B165" s="7" t="str" cm="1">
        <f t="array" aca="1" ref="B165" ca="1">IFERROR(IF(OR('Raw Data'!B165="",LEN(TRIM('Raw Data'!B165))=0),"",IF(AND(LEN('Raw Data'!B165) &lt;= 255,LEN('Raw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Data'!C165))=0),"",IF(AND(LEN('Raw Data'!C165) &lt;= 20,LEN('Raw Data'!C165)&gt; 0),"",_xlfn.REGEXEXTRACT(CELL("address",'Raw Data'!C165),"\$([A-Z]+)\$[0-9]+"))),_xlfn.REGEXEXTRACT(CELL("address",'Raw Data'!C165),"\$([A-Z]+)\$[0-9]+"))</f>
        <v/>
      </c>
      <c r="D165" s="7" t="str" cm="1">
        <f t="array" aca="1" ref="D165" ca="1">IFERROR(IF(OR('Raw Data'!D165="",LEN(TRIM('Raw Data'!D165))=0),"",IF(AND(ISNUMBER('Raw Data'!D165),'Raw Data'!D165&gt;=Configuration!$D$2),"",_xlfn.REGEXEXTRACT(CELL("address",'Raw Data'!D165),"\$([A-Z]+)\$[0-9]+"))),_xlfn.REGEXEXTRACT(CELL("address",D165), "\$([A-Z]+)\$[0-9]+"))</f>
        <v/>
      </c>
      <c r="E165" s="7" t="str" cm="1">
        <f t="array" aca="1" ref="E165" ca="1">IFERROR(IF(OR('Raw Data'!E165="",LEN(TRIM('Raw Data'!E165))=0),"",IF(AND(ISNUMBER('Raw Data'!E165), IFERROR('Raw Data'!E165 = ROUND('Raw Data'!E165, 2),FALSE)),"",_xlfn.REGEXEXTRACT(CELL("address",E165), "\$([A-Z]+)\$[0-9]+"))),_xlfn.REGEXEXTRACT(CELL("address",E165), "\$([A-Z]+)\$[0-9]+"))</f>
        <v/>
      </c>
      <c r="F165" s="7" t="str" cm="1">
        <f t="array" aca="1" ref="F165" ca="1">IFERROR(IF(OR('Raw Data'!F165="",LEN(TRIM('Raw Data'!F165))=0),"",IF(AND(ISNUMBER('Raw Data'!F165), IFERROR('Raw Data'!F165 = ROUND('Raw Data'!F165, 2),FALSE)),"",_xlfn.REGEXEXTRACT(CELL("address",F165), "\$([A-Z]+)\$[0-9]+"))),_xlfn.REGEXEXTRACT(CELL("address",F165), "\$([A-Z]+)\$[0-9]+"))</f>
        <v/>
      </c>
      <c r="G165" s="7" t="str" cm="1">
        <f t="array" aca="1" ref="G165" ca="1">IFERROR(IF(OR('Raw Data'!G165="",LEN(TRIM('Raw Data'!G165))=0),"",IF(AND(ISNUMBER('Raw Data'!G165), IFERROR('Raw Data'!G165 = ROUND('Raw Data'!G165, 2),FALSE)),"",_xlfn.REGEXEXTRACT(CELL("address",G165), "\$([A-Z]+)\$[0-9]+"))),_xlfn.REGEXEXTRACT(CELL("address",G165), "\$([A-Z]+)\$[0-9]+"))</f>
        <v/>
      </c>
      <c r="H165" s="7" t="str" cm="1">
        <f t="array" aca="1" ref="H165" ca="1">IFERROR(IF(OR('Raw Data'!H165="",LEN(TRIM('Raw Data'!H165))=0),"",IF(AND(ISNUMBER('Raw Data'!H165), IFERROR('Raw Data'!H165 = ROUND('Raw Data'!H165, 2),FALSE)),"",_xlfn.REGEXEXTRACT(CELL("address",H165), "\$([A-Z]+)\$[0-9]+"))),_xlfn.REGEXEXTRACT(CELL("address",H165), "\$([A-Z]+)\$[0-9]+"))</f>
        <v/>
      </c>
      <c r="I165" s="7" t="str" cm="1">
        <f t="array" aca="1" ref="I165" ca="1">IFERROR(IF(OR('Raw Data'!I165="",LEN(TRIM('Raw Data'!I165))=0),"",IF(AND(ISNUMBER('Raw Data'!I165), IFERROR('Raw Data'!I165 = ROUND('Raw Data'!I165, 2),FALSE)),"",_xlfn.REGEXEXTRACT(CELL("address",I165), "\$([A-Z]+)\$[0-9]+"))),_xlfn.REGEXEXTRACT(CELL("address",I165), "\$([A-Z]+)\$[0-9]+"))</f>
        <v/>
      </c>
      <c r="J165" s="7" t="str" cm="1">
        <f t="array" aca="1" ref="J165" ca="1">IFERROR(IF(OR('Raw Data'!J165="",LEN(TRIM('Raw Data'!J165))=0),"",IF(AND(ISNUMBER('Raw Data'!J165), IFERROR('Raw Data'!J165 = ROUND('Raw Data'!J165, 2),FALSE)),"",_xlfn.REGEXEXTRACT(CELL("address",J165), "\$([A-Z]+)\$[0-9]+"))),_xlfn.REGEXEXTRACT(CELL("address",J165), "\$([A-Z]+)\$[0-9]+"))</f>
        <v/>
      </c>
      <c r="K165" s="7" t="str" cm="1">
        <f t="array" aca="1" ref="K165" ca="1">IFERROR(IF(OR('Raw Data'!K165="",LEN(TRIM('Raw Data'!K165))=0),"",IF(AND(ISNUMBER('Raw Data'!K165), IFERROR('Raw Data'!K165 = ROUND('Raw Data'!K165, 2),FALSE)),"",_xlfn.REGEXEXTRACT(CELL("address",K165), "\$([A-Z]+)\$[0-9]+"))),_xlfn.REGEXEXTRACT(CELL("address",K165), "\$([A-Z]+)\$[0-9]+"))</f>
        <v/>
      </c>
      <c r="L165" s="7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7" t="str" cm="1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7" t="str" cm="1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  <c r="O165" s="7" t="str" cm="1">
        <f t="array" aca="1" ref="O165" ca="1">IFERROR(IF(OR('Raw Data'!O165="",LEN(TRIM('Raw Data'!O165))=0),"",IF(AND(ISNUMBER('Raw Data'!O165), IFERROR('Raw Data'!O165 = ROUND('Raw Data'!O165, 2),FALSE)),"",_xlfn.REGEXEXTRACT(CELL("address",O165), "\$([A-Z]+)\$[0-9]+"))),_xlfn.REGEXEXTRACT(CELL("address",O165), "\$([A-Z]+)\$[0-9]+"))</f>
        <v/>
      </c>
      <c r="P165" s="7" t="str" cm="1">
        <f t="array" aca="1" ref="P165" ca="1">IFERROR(IF(OR('Raw Data'!P165="",LEN(TRIM('Raw Data'!P165))=0),"",IF(AND(ISNUMBER('Raw Data'!P165), IFERROR('Raw Data'!P165 = ROUND('Raw Data'!P165, 2),FALSE)),"",_xlfn.REGEXEXTRACT(CELL("address",P165), "\$([A-Z]+)\$[0-9]+"))),_xlfn.REGEXEXTRACT(CELL("address",P165), "\$([A-Z]+)\$[0-9]+"))</f>
        <v/>
      </c>
      <c r="Q165" s="7" t="str" cm="1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7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7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7" t="str" cm="1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7" t="str" cm="1">
        <f t="array" aca="1" ref="U165" ca="1">IFERROR(IF(OR('Raw Data'!U165="",LEN(TRIM('Raw Data'!U165))=0),"",IF(AND(ISNUMBER('Raw Data'!U165), IFERROR('Raw Data'!U165 = ROUND('Raw Data'!U165, 2),FALSE)),"",_xlfn.REGEXEXTRACT(CELL("address",U165), "\$([A-Z]+)\$[0-9]+"))),_xlfn.REGEXEXTRACT(CELL("address",U165), "\$([A-Z]+)\$[0-9]+"))</f>
        <v/>
      </c>
      <c r="V165" s="7" t="str" cm="1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7" t="str" cm="1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7" t="str" cm="1">
        <f t="array" aca="1" ref="X165" ca="1">IFERROR(IF(OR('Raw Data'!X165="",LEN(TRIM('Raw Data'!X165))=0),"",IF(AND(ISNUMBER('Raw Data'!X165), IFERROR('Raw Data'!X165 = ROUND('Raw Data'!X165, 2),FALSE)),"",_xlfn.REGEXEXTRACT(CELL("address",X165), "\$([A-Z]+)\$[0-9]+"))),_xlfn.REGEXEXTRACT(CELL("address",X165), "\$([A-Z]+)\$[0-9]+"))</f>
        <v/>
      </c>
      <c r="Y165" s="7" t="str" cm="1">
        <f t="array" aca="1" ref="Y165" ca="1">IFERROR(IF(OR('Raw Data'!Y165="",LEN(TRIM('Raw Data'!Y165))=0),"",IF(AND(ISNUMBER('Raw Data'!Y165), IFERROR('Raw Data'!Y165 = ROUND('Raw Data'!Y165, 2),FALSE)),"",_xlfn.REGEXEXTRACT(CELL("address",Y165), "\$([A-Z]+)\$[0-9]+"))),_xlfn.REGEXEXTRACT(CELL("address",Y165), "\$([A-Z]+)\$[0-9]+"))</f>
        <v/>
      </c>
      <c r="Z165" s="7" t="str" cm="1">
        <f t="array" aca="1" ref="Z165" ca="1">IFERROR(IF(OR('Raw Data'!Z165="",LEN(TRIM('Raw Data'!Z165))=0),"",IF(AND(ISNUMBER('Raw Data'!Z165), IFERROR('Raw Data'!Z165 = ROUND('Raw Data'!Z165, 2),FALSE)),"",_xlfn.REGEXEXTRACT(CELL("address",Z165), "\$([A-Z]+)\$[0-9]+"))),_xlfn.REGEXEXTRACT(CELL("address",Z165), "\$([A-Z]+)\$[0-9]+"))</f>
        <v/>
      </c>
      <c r="AA165" s="7" t="str" cm="1">
        <f t="array" aca="1" ref="AA165" ca="1">IFERROR(IF(OR('Raw Data'!AA165="",LEN(TRIM('Raw Data'!AA165))=0),"",IF(AND(ISNUMBER('Raw Data'!AA165), IFERROR('Raw Data'!AA165 = ROUND('Raw Data'!AA165, 2),FALSE)),"",_xlfn.REGEXEXTRACT(CELL("address",AA165), "\$([A-Z]+)\$[0-9]+"))),_xlfn.REGEXEXTRACT(CELL("address",AA165), "\$([A-Z]+)\$[0-9]+"))</f>
        <v/>
      </c>
      <c r="AB165" s="7" t="str" cm="1">
        <f t="array" aca="1" ref="AB165" ca="1">IFERROR(IF(OR('Raw Data'!AB165="",LEN(TRIM('Raw Data'!AB165))=0),"",IF(AND(ISNUMBER('Raw Data'!AB165), IFERROR('Raw Data'!AB165 = ROUND('Raw Data'!AB165, 2),FALSE)),"",_xlfn.REGEXEXTRACT(CELL("address",AB165), "\$([A-Z]+)\$[0-9]+"))),_xlfn.REGEXEXTRACT(CELL("address",AB165), "\$([A-Z]+)\$[0-9]+"))</f>
        <v/>
      </c>
    </row>
    <row r="166" spans="2:28" x14ac:dyDescent="0.25">
      <c r="B166" s="7" t="str" cm="1">
        <f t="array" aca="1" ref="B166" ca="1">IFERROR(IF(OR('Raw Data'!B166="",LEN(TRIM('Raw Data'!B166))=0),"",IF(AND(LEN('Raw Data'!B166) &lt;= 255,LEN('Raw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Data'!C166))=0),"",IF(AND(LEN('Raw Data'!C166) &lt;= 20,LEN('Raw Data'!C166)&gt; 0),"",_xlfn.REGEXEXTRACT(CELL("address",'Raw Data'!C166),"\$([A-Z]+)\$[0-9]+"))),_xlfn.REGEXEXTRACT(CELL("address",'Raw Data'!C166),"\$([A-Z]+)\$[0-9]+"))</f>
        <v/>
      </c>
      <c r="D166" s="7" t="str" cm="1">
        <f t="array" aca="1" ref="D166" ca="1">IFERROR(IF(OR('Raw Data'!D166="",LEN(TRIM('Raw Data'!D166))=0),"",IF(AND(ISNUMBER('Raw Data'!D166),'Raw Data'!D166&gt;=Configuration!$D$2),"",_xlfn.REGEXEXTRACT(CELL("address",'Raw Data'!D166),"\$([A-Z]+)\$[0-9]+"))),_xlfn.REGEXEXTRACT(CELL("address",D166), "\$([A-Z]+)\$[0-9]+"))</f>
        <v/>
      </c>
      <c r="E166" s="7" t="str" cm="1">
        <f t="array" aca="1" ref="E166" ca="1">IFERROR(IF(OR('Raw Data'!E166="",LEN(TRIM('Raw Data'!E166))=0),"",IF(AND(ISNUMBER('Raw Data'!E166), IFERROR('Raw Data'!E166 = ROUND('Raw Data'!E166, 2),FALSE)),"",_xlfn.REGEXEXTRACT(CELL("address",E166), "\$([A-Z]+)\$[0-9]+"))),_xlfn.REGEXEXTRACT(CELL("address",E166), "\$([A-Z]+)\$[0-9]+"))</f>
        <v/>
      </c>
      <c r="F166" s="7" t="str" cm="1">
        <f t="array" aca="1" ref="F166" ca="1">IFERROR(IF(OR('Raw Data'!F166="",LEN(TRIM('Raw Data'!F166))=0),"",IF(AND(ISNUMBER('Raw Data'!F166), IFERROR('Raw Data'!F166 = ROUND('Raw Data'!F166, 2),FALSE)),"",_xlfn.REGEXEXTRACT(CELL("address",F166), "\$([A-Z]+)\$[0-9]+"))),_xlfn.REGEXEXTRACT(CELL("address",F166), "\$([A-Z]+)\$[0-9]+"))</f>
        <v/>
      </c>
      <c r="G166" s="7" t="str" cm="1">
        <f t="array" aca="1" ref="G166" ca="1">IFERROR(IF(OR('Raw Data'!G166="",LEN(TRIM('Raw Data'!G166))=0),"",IF(AND(ISNUMBER('Raw Data'!G166), IFERROR('Raw Data'!G166 = ROUND('Raw Data'!G166, 2),FALSE)),"",_xlfn.REGEXEXTRACT(CELL("address",G166), "\$([A-Z]+)\$[0-9]+"))),_xlfn.REGEXEXTRACT(CELL("address",G166), "\$([A-Z]+)\$[0-9]+"))</f>
        <v/>
      </c>
      <c r="H166" s="7" t="str" cm="1">
        <f t="array" aca="1" ref="H166" ca="1">IFERROR(IF(OR('Raw Data'!H166="",LEN(TRIM('Raw Data'!H166))=0),"",IF(AND(ISNUMBER('Raw Data'!H166), IFERROR('Raw Data'!H166 = ROUND('Raw Data'!H166, 2),FALSE)),"",_xlfn.REGEXEXTRACT(CELL("address",H166), "\$([A-Z]+)\$[0-9]+"))),_xlfn.REGEXEXTRACT(CELL("address",H166), "\$([A-Z]+)\$[0-9]+"))</f>
        <v/>
      </c>
      <c r="I166" s="7" t="str" cm="1">
        <f t="array" aca="1" ref="I166" ca="1">IFERROR(IF(OR('Raw Data'!I166="",LEN(TRIM('Raw Data'!I166))=0),"",IF(AND(ISNUMBER('Raw Data'!I166), IFERROR('Raw Data'!I166 = ROUND('Raw Data'!I166, 2),FALSE)),"",_xlfn.REGEXEXTRACT(CELL("address",I166), "\$([A-Z]+)\$[0-9]+"))),_xlfn.REGEXEXTRACT(CELL("address",I166), "\$([A-Z]+)\$[0-9]+"))</f>
        <v/>
      </c>
      <c r="J166" s="7" t="str" cm="1">
        <f t="array" aca="1" ref="J166" ca="1">IFERROR(IF(OR('Raw Data'!J166="",LEN(TRIM('Raw Data'!J166))=0),"",IF(AND(ISNUMBER('Raw Data'!J166), IFERROR('Raw Data'!J166 = ROUND('Raw Data'!J166, 2),FALSE)),"",_xlfn.REGEXEXTRACT(CELL("address",J166), "\$([A-Z]+)\$[0-9]+"))),_xlfn.REGEXEXTRACT(CELL("address",J166), "\$([A-Z]+)\$[0-9]+"))</f>
        <v/>
      </c>
      <c r="K166" s="7" t="str" cm="1">
        <f t="array" aca="1" ref="K166" ca="1">IFERROR(IF(OR('Raw Data'!K166="",LEN(TRIM('Raw Data'!K166))=0),"",IF(AND(ISNUMBER('Raw Data'!K166), IFERROR('Raw Data'!K166 = ROUND('Raw Data'!K166, 2),FALSE)),"",_xlfn.REGEXEXTRACT(CELL("address",K166), "\$([A-Z]+)\$[0-9]+"))),_xlfn.REGEXEXTRACT(CELL("address",K166), "\$([A-Z]+)\$[0-9]+"))</f>
        <v/>
      </c>
      <c r="L166" s="7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7" t="str" cm="1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7" t="str" cm="1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  <c r="O166" s="7" t="str" cm="1">
        <f t="array" aca="1" ref="O166" ca="1">IFERROR(IF(OR('Raw Data'!O166="",LEN(TRIM('Raw Data'!O166))=0),"",IF(AND(ISNUMBER('Raw Data'!O166), IFERROR('Raw Data'!O166 = ROUND('Raw Data'!O166, 2),FALSE)),"",_xlfn.REGEXEXTRACT(CELL("address",O166), "\$([A-Z]+)\$[0-9]+"))),_xlfn.REGEXEXTRACT(CELL("address",O166), "\$([A-Z]+)\$[0-9]+"))</f>
        <v/>
      </c>
      <c r="P166" s="7" t="str" cm="1">
        <f t="array" aca="1" ref="P166" ca="1">IFERROR(IF(OR('Raw Data'!P166="",LEN(TRIM('Raw Data'!P166))=0),"",IF(AND(ISNUMBER('Raw Data'!P166), IFERROR('Raw Data'!P166 = ROUND('Raw Data'!P166, 2),FALSE)),"",_xlfn.REGEXEXTRACT(CELL("address",P166), "\$([A-Z]+)\$[0-9]+"))),_xlfn.REGEXEXTRACT(CELL("address",P166), "\$([A-Z]+)\$[0-9]+"))</f>
        <v/>
      </c>
      <c r="Q166" s="7" t="str" cm="1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7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7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7" t="str" cm="1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7" t="str" cm="1">
        <f t="array" aca="1" ref="U166" ca="1">IFERROR(IF(OR('Raw Data'!U166="",LEN(TRIM('Raw Data'!U166))=0),"",IF(AND(ISNUMBER('Raw Data'!U166), IFERROR('Raw Data'!U166 = ROUND('Raw Data'!U166, 2),FALSE)),"",_xlfn.REGEXEXTRACT(CELL("address",U166), "\$([A-Z]+)\$[0-9]+"))),_xlfn.REGEXEXTRACT(CELL("address",U166), "\$([A-Z]+)\$[0-9]+"))</f>
        <v/>
      </c>
      <c r="V166" s="7" t="str" cm="1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7" t="str" cm="1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7" t="str" cm="1">
        <f t="array" aca="1" ref="X166" ca="1">IFERROR(IF(OR('Raw Data'!X166="",LEN(TRIM('Raw Data'!X166))=0),"",IF(AND(ISNUMBER('Raw Data'!X166), IFERROR('Raw Data'!X166 = ROUND('Raw Data'!X166, 2),FALSE)),"",_xlfn.REGEXEXTRACT(CELL("address",X166), "\$([A-Z]+)\$[0-9]+"))),_xlfn.REGEXEXTRACT(CELL("address",X166), "\$([A-Z]+)\$[0-9]+"))</f>
        <v/>
      </c>
      <c r="Y166" s="7" t="str" cm="1">
        <f t="array" aca="1" ref="Y166" ca="1">IFERROR(IF(OR('Raw Data'!Y166="",LEN(TRIM('Raw Data'!Y166))=0),"",IF(AND(ISNUMBER('Raw Data'!Y166), IFERROR('Raw Data'!Y166 = ROUND('Raw Data'!Y166, 2),FALSE)),"",_xlfn.REGEXEXTRACT(CELL("address",Y166), "\$([A-Z]+)\$[0-9]+"))),_xlfn.REGEXEXTRACT(CELL("address",Y166), "\$([A-Z]+)\$[0-9]+"))</f>
        <v/>
      </c>
      <c r="Z166" s="7" t="str" cm="1">
        <f t="array" aca="1" ref="Z166" ca="1">IFERROR(IF(OR('Raw Data'!Z166="",LEN(TRIM('Raw Data'!Z166))=0),"",IF(AND(ISNUMBER('Raw Data'!Z166), IFERROR('Raw Data'!Z166 = ROUND('Raw Data'!Z166, 2),FALSE)),"",_xlfn.REGEXEXTRACT(CELL("address",Z166), "\$([A-Z]+)\$[0-9]+"))),_xlfn.REGEXEXTRACT(CELL("address",Z166), "\$([A-Z]+)\$[0-9]+"))</f>
        <v/>
      </c>
      <c r="AA166" s="7" t="str" cm="1">
        <f t="array" aca="1" ref="AA166" ca="1">IFERROR(IF(OR('Raw Data'!AA166="",LEN(TRIM('Raw Data'!AA166))=0),"",IF(AND(ISNUMBER('Raw Data'!AA166), IFERROR('Raw Data'!AA166 = ROUND('Raw Data'!AA166, 2),FALSE)),"",_xlfn.REGEXEXTRACT(CELL("address",AA166), "\$([A-Z]+)\$[0-9]+"))),_xlfn.REGEXEXTRACT(CELL("address",AA166), "\$([A-Z]+)\$[0-9]+"))</f>
        <v/>
      </c>
      <c r="AB166" s="7" t="str" cm="1">
        <f t="array" aca="1" ref="AB166" ca="1">IFERROR(IF(OR('Raw Data'!AB166="",LEN(TRIM('Raw Data'!AB166))=0),"",IF(AND(ISNUMBER('Raw Data'!AB166), IFERROR('Raw Data'!AB166 = ROUND('Raw Data'!AB166, 2),FALSE)),"",_xlfn.REGEXEXTRACT(CELL("address",AB166), "\$([A-Z]+)\$[0-9]+"))),_xlfn.REGEXEXTRACT(CELL("address",AB166), "\$([A-Z]+)\$[0-9]+"))</f>
        <v/>
      </c>
    </row>
    <row r="167" spans="2:28" x14ac:dyDescent="0.25">
      <c r="B167" s="7" t="str" cm="1">
        <f t="array" aca="1" ref="B167" ca="1">IFERROR(IF(OR('Raw Data'!B167="",LEN(TRIM('Raw Data'!B167))=0),"",IF(AND(LEN('Raw Data'!B167) &lt;= 255,LEN('Raw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Data'!C167))=0),"",IF(AND(LEN('Raw Data'!C167) &lt;= 20,LEN('Raw Data'!C167)&gt; 0),"",_xlfn.REGEXEXTRACT(CELL("address",'Raw Data'!C167),"\$([A-Z]+)\$[0-9]+"))),_xlfn.REGEXEXTRACT(CELL("address",'Raw Data'!C167),"\$([A-Z]+)\$[0-9]+"))</f>
        <v/>
      </c>
      <c r="D167" s="7" t="str" cm="1">
        <f t="array" aca="1" ref="D167" ca="1">IFERROR(IF(OR('Raw Data'!D167="",LEN(TRIM('Raw Data'!D167))=0),"",IF(AND(ISNUMBER('Raw Data'!D167),'Raw Data'!D167&gt;=Configuration!$D$2),"",_xlfn.REGEXEXTRACT(CELL("address",'Raw Data'!D167),"\$([A-Z]+)\$[0-9]+"))),_xlfn.REGEXEXTRACT(CELL("address",D167), "\$([A-Z]+)\$[0-9]+"))</f>
        <v/>
      </c>
      <c r="E167" s="7" t="str" cm="1">
        <f t="array" aca="1" ref="E167" ca="1">IFERROR(IF(OR('Raw Data'!E167="",LEN(TRIM('Raw Data'!E167))=0),"",IF(AND(ISNUMBER('Raw Data'!E167), IFERROR('Raw Data'!E167 = ROUND('Raw Data'!E167, 2),FALSE)),"",_xlfn.REGEXEXTRACT(CELL("address",E167), "\$([A-Z]+)\$[0-9]+"))),_xlfn.REGEXEXTRACT(CELL("address",E167), "\$([A-Z]+)\$[0-9]+"))</f>
        <v/>
      </c>
      <c r="F167" s="7" t="str" cm="1">
        <f t="array" aca="1" ref="F167" ca="1">IFERROR(IF(OR('Raw Data'!F167="",LEN(TRIM('Raw Data'!F167))=0),"",IF(AND(ISNUMBER('Raw Data'!F167), IFERROR('Raw Data'!F167 = ROUND('Raw Data'!F167, 2),FALSE)),"",_xlfn.REGEXEXTRACT(CELL("address",F167), "\$([A-Z]+)\$[0-9]+"))),_xlfn.REGEXEXTRACT(CELL("address",F167), "\$([A-Z]+)\$[0-9]+"))</f>
        <v/>
      </c>
      <c r="G167" s="7" t="str" cm="1">
        <f t="array" aca="1" ref="G167" ca="1">IFERROR(IF(OR('Raw Data'!G167="",LEN(TRIM('Raw Data'!G167))=0),"",IF(AND(ISNUMBER('Raw Data'!G167), IFERROR('Raw Data'!G167 = ROUND('Raw Data'!G167, 2),FALSE)),"",_xlfn.REGEXEXTRACT(CELL("address",G167), "\$([A-Z]+)\$[0-9]+"))),_xlfn.REGEXEXTRACT(CELL("address",G167), "\$([A-Z]+)\$[0-9]+"))</f>
        <v/>
      </c>
      <c r="H167" s="7" t="str" cm="1">
        <f t="array" aca="1" ref="H167" ca="1">IFERROR(IF(OR('Raw Data'!H167="",LEN(TRIM('Raw Data'!H167))=0),"",IF(AND(ISNUMBER('Raw Data'!H167), IFERROR('Raw Data'!H167 = ROUND('Raw Data'!H167, 2),FALSE)),"",_xlfn.REGEXEXTRACT(CELL("address",H167), "\$([A-Z]+)\$[0-9]+"))),_xlfn.REGEXEXTRACT(CELL("address",H167), "\$([A-Z]+)\$[0-9]+"))</f>
        <v/>
      </c>
      <c r="I167" s="7" t="str" cm="1">
        <f t="array" aca="1" ref="I167" ca="1">IFERROR(IF(OR('Raw Data'!I167="",LEN(TRIM('Raw Data'!I167))=0),"",IF(AND(ISNUMBER('Raw Data'!I167), IFERROR('Raw Data'!I167 = ROUND('Raw Data'!I167, 2),FALSE)),"",_xlfn.REGEXEXTRACT(CELL("address",I167), "\$([A-Z]+)\$[0-9]+"))),_xlfn.REGEXEXTRACT(CELL("address",I167), "\$([A-Z]+)\$[0-9]+"))</f>
        <v/>
      </c>
      <c r="J167" s="7" t="str" cm="1">
        <f t="array" aca="1" ref="J167" ca="1">IFERROR(IF(OR('Raw Data'!J167="",LEN(TRIM('Raw Data'!J167))=0),"",IF(AND(ISNUMBER('Raw Data'!J167), IFERROR('Raw Data'!J167 = ROUND('Raw Data'!J167, 2),FALSE)),"",_xlfn.REGEXEXTRACT(CELL("address",J167), "\$([A-Z]+)\$[0-9]+"))),_xlfn.REGEXEXTRACT(CELL("address",J167), "\$([A-Z]+)\$[0-9]+"))</f>
        <v/>
      </c>
      <c r="K167" s="7" t="str" cm="1">
        <f t="array" aca="1" ref="K167" ca="1">IFERROR(IF(OR('Raw Data'!K167="",LEN(TRIM('Raw Data'!K167))=0),"",IF(AND(ISNUMBER('Raw Data'!K167), IFERROR('Raw Data'!K167 = ROUND('Raw Data'!K167, 2),FALSE)),"",_xlfn.REGEXEXTRACT(CELL("address",K167), "\$([A-Z]+)\$[0-9]+"))),_xlfn.REGEXEXTRACT(CELL("address",K167), "\$([A-Z]+)\$[0-9]+"))</f>
        <v/>
      </c>
      <c r="L167" s="7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7" t="str" cm="1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7" t="str" cm="1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  <c r="O167" s="7" t="str" cm="1">
        <f t="array" aca="1" ref="O167" ca="1">IFERROR(IF(OR('Raw Data'!O167="",LEN(TRIM('Raw Data'!O167))=0),"",IF(AND(ISNUMBER('Raw Data'!O167), IFERROR('Raw Data'!O167 = ROUND('Raw Data'!O167, 2),FALSE)),"",_xlfn.REGEXEXTRACT(CELL("address",O167), "\$([A-Z]+)\$[0-9]+"))),_xlfn.REGEXEXTRACT(CELL("address",O167), "\$([A-Z]+)\$[0-9]+"))</f>
        <v/>
      </c>
      <c r="P167" s="7" t="str" cm="1">
        <f t="array" aca="1" ref="P167" ca="1">IFERROR(IF(OR('Raw Data'!P167="",LEN(TRIM('Raw Data'!P167))=0),"",IF(AND(ISNUMBER('Raw Data'!P167), IFERROR('Raw Data'!P167 = ROUND('Raw Data'!P167, 2),FALSE)),"",_xlfn.REGEXEXTRACT(CELL("address",P167), "\$([A-Z]+)\$[0-9]+"))),_xlfn.REGEXEXTRACT(CELL("address",P167), "\$([A-Z]+)\$[0-9]+"))</f>
        <v/>
      </c>
      <c r="Q167" s="7" t="str" cm="1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7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7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7" t="str" cm="1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7" t="str" cm="1">
        <f t="array" aca="1" ref="U167" ca="1">IFERROR(IF(OR('Raw Data'!U167="",LEN(TRIM('Raw Data'!U167))=0),"",IF(AND(ISNUMBER('Raw Data'!U167), IFERROR('Raw Data'!U167 = ROUND('Raw Data'!U167, 2),FALSE)),"",_xlfn.REGEXEXTRACT(CELL("address",U167), "\$([A-Z]+)\$[0-9]+"))),_xlfn.REGEXEXTRACT(CELL("address",U167), "\$([A-Z]+)\$[0-9]+"))</f>
        <v/>
      </c>
      <c r="V167" s="7" t="str" cm="1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7" t="str" cm="1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7" t="str" cm="1">
        <f t="array" aca="1" ref="X167" ca="1">IFERROR(IF(OR('Raw Data'!X167="",LEN(TRIM('Raw Data'!X167))=0),"",IF(AND(ISNUMBER('Raw Data'!X167), IFERROR('Raw Data'!X167 = ROUND('Raw Data'!X167, 2),FALSE)),"",_xlfn.REGEXEXTRACT(CELL("address",X167), "\$([A-Z]+)\$[0-9]+"))),_xlfn.REGEXEXTRACT(CELL("address",X167), "\$([A-Z]+)\$[0-9]+"))</f>
        <v/>
      </c>
      <c r="Y167" s="7" t="str" cm="1">
        <f t="array" aca="1" ref="Y167" ca="1">IFERROR(IF(OR('Raw Data'!Y167="",LEN(TRIM('Raw Data'!Y167))=0),"",IF(AND(ISNUMBER('Raw Data'!Y167), IFERROR('Raw Data'!Y167 = ROUND('Raw Data'!Y167, 2),FALSE)),"",_xlfn.REGEXEXTRACT(CELL("address",Y167), "\$([A-Z]+)\$[0-9]+"))),_xlfn.REGEXEXTRACT(CELL("address",Y167), "\$([A-Z]+)\$[0-9]+"))</f>
        <v/>
      </c>
      <c r="Z167" s="7" t="str" cm="1">
        <f t="array" aca="1" ref="Z167" ca="1">IFERROR(IF(OR('Raw Data'!Z167="",LEN(TRIM('Raw Data'!Z167))=0),"",IF(AND(ISNUMBER('Raw Data'!Z167), IFERROR('Raw Data'!Z167 = ROUND('Raw Data'!Z167, 2),FALSE)),"",_xlfn.REGEXEXTRACT(CELL("address",Z167), "\$([A-Z]+)\$[0-9]+"))),_xlfn.REGEXEXTRACT(CELL("address",Z167), "\$([A-Z]+)\$[0-9]+"))</f>
        <v/>
      </c>
      <c r="AA167" s="7" t="str" cm="1">
        <f t="array" aca="1" ref="AA167" ca="1">IFERROR(IF(OR('Raw Data'!AA167="",LEN(TRIM('Raw Data'!AA167))=0),"",IF(AND(ISNUMBER('Raw Data'!AA167), IFERROR('Raw Data'!AA167 = ROUND('Raw Data'!AA167, 2),FALSE)),"",_xlfn.REGEXEXTRACT(CELL("address",AA167), "\$([A-Z]+)\$[0-9]+"))),_xlfn.REGEXEXTRACT(CELL("address",AA167), "\$([A-Z]+)\$[0-9]+"))</f>
        <v/>
      </c>
      <c r="AB167" s="7" t="str" cm="1">
        <f t="array" aca="1" ref="AB167" ca="1">IFERROR(IF(OR('Raw Data'!AB167="",LEN(TRIM('Raw Data'!AB167))=0),"",IF(AND(ISNUMBER('Raw Data'!AB167), IFERROR('Raw Data'!AB167 = ROUND('Raw Data'!AB167, 2),FALSE)),"",_xlfn.REGEXEXTRACT(CELL("address",AB167), "\$([A-Z]+)\$[0-9]+"))),_xlfn.REGEXEXTRACT(CELL("address",AB167), "\$([A-Z]+)\$[0-9]+"))</f>
        <v/>
      </c>
    </row>
    <row r="168" spans="2:28" x14ac:dyDescent="0.25">
      <c r="B168" s="7" t="str" cm="1">
        <f t="array" aca="1" ref="B168" ca="1">IFERROR(IF(OR('Raw Data'!B168="",LEN(TRIM('Raw Data'!B168))=0),"",IF(AND(LEN('Raw Data'!B168) &lt;= 255,LEN('Raw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Data'!C168))=0),"",IF(AND(LEN('Raw Data'!C168) &lt;= 20,LEN('Raw Data'!C168)&gt; 0),"",_xlfn.REGEXEXTRACT(CELL("address",'Raw Data'!C168),"\$([A-Z]+)\$[0-9]+"))),_xlfn.REGEXEXTRACT(CELL("address",'Raw Data'!C168),"\$([A-Z]+)\$[0-9]+"))</f>
        <v/>
      </c>
      <c r="D168" s="7" t="str" cm="1">
        <f t="array" aca="1" ref="D168" ca="1">IFERROR(IF(OR('Raw Data'!D168="",LEN(TRIM('Raw Data'!D168))=0),"",IF(AND(ISNUMBER('Raw Data'!D168),'Raw Data'!D168&gt;=Configuration!$D$2),"",_xlfn.REGEXEXTRACT(CELL("address",'Raw Data'!D168),"\$([A-Z]+)\$[0-9]+"))),_xlfn.REGEXEXTRACT(CELL("address",D168), "\$([A-Z]+)\$[0-9]+"))</f>
        <v/>
      </c>
      <c r="E168" s="7" t="str" cm="1">
        <f t="array" aca="1" ref="E168" ca="1">IFERROR(IF(OR('Raw Data'!E168="",LEN(TRIM('Raw Data'!E168))=0),"",IF(AND(ISNUMBER('Raw Data'!E168), IFERROR('Raw Data'!E168 = ROUND('Raw Data'!E168, 2),FALSE)),"",_xlfn.REGEXEXTRACT(CELL("address",E168), "\$([A-Z]+)\$[0-9]+"))),_xlfn.REGEXEXTRACT(CELL("address",E168), "\$([A-Z]+)\$[0-9]+"))</f>
        <v/>
      </c>
      <c r="F168" s="7" t="str" cm="1">
        <f t="array" aca="1" ref="F168" ca="1">IFERROR(IF(OR('Raw Data'!F168="",LEN(TRIM('Raw Data'!F168))=0),"",IF(AND(ISNUMBER('Raw Data'!F168), IFERROR('Raw Data'!F168 = ROUND('Raw Data'!F168, 2),FALSE)),"",_xlfn.REGEXEXTRACT(CELL("address",F168), "\$([A-Z]+)\$[0-9]+"))),_xlfn.REGEXEXTRACT(CELL("address",F168), "\$([A-Z]+)\$[0-9]+"))</f>
        <v/>
      </c>
      <c r="G168" s="7" t="str" cm="1">
        <f t="array" aca="1" ref="G168" ca="1">IFERROR(IF(OR('Raw Data'!G168="",LEN(TRIM('Raw Data'!G168))=0),"",IF(AND(ISNUMBER('Raw Data'!G168), IFERROR('Raw Data'!G168 = ROUND('Raw Data'!G168, 2),FALSE)),"",_xlfn.REGEXEXTRACT(CELL("address",G168), "\$([A-Z]+)\$[0-9]+"))),_xlfn.REGEXEXTRACT(CELL("address",G168), "\$([A-Z]+)\$[0-9]+"))</f>
        <v/>
      </c>
      <c r="H168" s="7" t="str" cm="1">
        <f t="array" aca="1" ref="H168" ca="1">IFERROR(IF(OR('Raw Data'!H168="",LEN(TRIM('Raw Data'!H168))=0),"",IF(AND(ISNUMBER('Raw Data'!H168), IFERROR('Raw Data'!H168 = ROUND('Raw Data'!H168, 2),FALSE)),"",_xlfn.REGEXEXTRACT(CELL("address",H168), "\$([A-Z]+)\$[0-9]+"))),_xlfn.REGEXEXTRACT(CELL("address",H168), "\$([A-Z]+)\$[0-9]+"))</f>
        <v/>
      </c>
      <c r="I168" s="7" t="str" cm="1">
        <f t="array" aca="1" ref="I168" ca="1">IFERROR(IF(OR('Raw Data'!I168="",LEN(TRIM('Raw Data'!I168))=0),"",IF(AND(ISNUMBER('Raw Data'!I168), IFERROR('Raw Data'!I168 = ROUND('Raw Data'!I168, 2),FALSE)),"",_xlfn.REGEXEXTRACT(CELL("address",I168), "\$([A-Z]+)\$[0-9]+"))),_xlfn.REGEXEXTRACT(CELL("address",I168), "\$([A-Z]+)\$[0-9]+"))</f>
        <v/>
      </c>
      <c r="J168" s="7" t="str" cm="1">
        <f t="array" aca="1" ref="J168" ca="1">IFERROR(IF(OR('Raw Data'!J168="",LEN(TRIM('Raw Data'!J168))=0),"",IF(AND(ISNUMBER('Raw Data'!J168), IFERROR('Raw Data'!J168 = ROUND('Raw Data'!J168, 2),FALSE)),"",_xlfn.REGEXEXTRACT(CELL("address",J168), "\$([A-Z]+)\$[0-9]+"))),_xlfn.REGEXEXTRACT(CELL("address",J168), "\$([A-Z]+)\$[0-9]+"))</f>
        <v/>
      </c>
      <c r="K168" s="7" t="str" cm="1">
        <f t="array" aca="1" ref="K168" ca="1">IFERROR(IF(OR('Raw Data'!K168="",LEN(TRIM('Raw Data'!K168))=0),"",IF(AND(ISNUMBER('Raw Data'!K168), IFERROR('Raw Data'!K168 = ROUND('Raw Data'!K168, 2),FALSE)),"",_xlfn.REGEXEXTRACT(CELL("address",K168), "\$([A-Z]+)\$[0-9]+"))),_xlfn.REGEXEXTRACT(CELL("address",K168), "\$([A-Z]+)\$[0-9]+"))</f>
        <v/>
      </c>
      <c r="L168" s="7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7" t="str" cm="1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7" t="str" cm="1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  <c r="O168" s="7" t="str" cm="1">
        <f t="array" aca="1" ref="O168" ca="1">IFERROR(IF(OR('Raw Data'!O168="",LEN(TRIM('Raw Data'!O168))=0),"",IF(AND(ISNUMBER('Raw Data'!O168), IFERROR('Raw Data'!O168 = ROUND('Raw Data'!O168, 2),FALSE)),"",_xlfn.REGEXEXTRACT(CELL("address",O168), "\$([A-Z]+)\$[0-9]+"))),_xlfn.REGEXEXTRACT(CELL("address",O168), "\$([A-Z]+)\$[0-9]+"))</f>
        <v/>
      </c>
      <c r="P168" s="7" t="str" cm="1">
        <f t="array" aca="1" ref="P168" ca="1">IFERROR(IF(OR('Raw Data'!P168="",LEN(TRIM('Raw Data'!P168))=0),"",IF(AND(ISNUMBER('Raw Data'!P168), IFERROR('Raw Data'!P168 = ROUND('Raw Data'!P168, 2),FALSE)),"",_xlfn.REGEXEXTRACT(CELL("address",P168), "\$([A-Z]+)\$[0-9]+"))),_xlfn.REGEXEXTRACT(CELL("address",P168), "\$([A-Z]+)\$[0-9]+"))</f>
        <v/>
      </c>
      <c r="Q168" s="7" t="str" cm="1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7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7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7" t="str" cm="1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7" t="str" cm="1">
        <f t="array" aca="1" ref="U168" ca="1">IFERROR(IF(OR('Raw Data'!U168="",LEN(TRIM('Raw Data'!U168))=0),"",IF(AND(ISNUMBER('Raw Data'!U168), IFERROR('Raw Data'!U168 = ROUND('Raw Data'!U168, 2),FALSE)),"",_xlfn.REGEXEXTRACT(CELL("address",U168), "\$([A-Z]+)\$[0-9]+"))),_xlfn.REGEXEXTRACT(CELL("address",U168), "\$([A-Z]+)\$[0-9]+"))</f>
        <v/>
      </c>
      <c r="V168" s="7" t="str" cm="1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7" t="str" cm="1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7" t="str" cm="1">
        <f t="array" aca="1" ref="X168" ca="1">IFERROR(IF(OR('Raw Data'!X168="",LEN(TRIM('Raw Data'!X168))=0),"",IF(AND(ISNUMBER('Raw Data'!X168), IFERROR('Raw Data'!X168 = ROUND('Raw Data'!X168, 2),FALSE)),"",_xlfn.REGEXEXTRACT(CELL("address",X168), "\$([A-Z]+)\$[0-9]+"))),_xlfn.REGEXEXTRACT(CELL("address",X168), "\$([A-Z]+)\$[0-9]+"))</f>
        <v/>
      </c>
      <c r="Y168" s="7" t="str" cm="1">
        <f t="array" aca="1" ref="Y168" ca="1">IFERROR(IF(OR('Raw Data'!Y168="",LEN(TRIM('Raw Data'!Y168))=0),"",IF(AND(ISNUMBER('Raw Data'!Y168), IFERROR('Raw Data'!Y168 = ROUND('Raw Data'!Y168, 2),FALSE)),"",_xlfn.REGEXEXTRACT(CELL("address",Y168), "\$([A-Z]+)\$[0-9]+"))),_xlfn.REGEXEXTRACT(CELL("address",Y168), "\$([A-Z]+)\$[0-9]+"))</f>
        <v/>
      </c>
      <c r="Z168" s="7" t="str" cm="1">
        <f t="array" aca="1" ref="Z168" ca="1">IFERROR(IF(OR('Raw Data'!Z168="",LEN(TRIM('Raw Data'!Z168))=0),"",IF(AND(ISNUMBER('Raw Data'!Z168), IFERROR('Raw Data'!Z168 = ROUND('Raw Data'!Z168, 2),FALSE)),"",_xlfn.REGEXEXTRACT(CELL("address",Z168), "\$([A-Z]+)\$[0-9]+"))),_xlfn.REGEXEXTRACT(CELL("address",Z168), "\$([A-Z]+)\$[0-9]+"))</f>
        <v/>
      </c>
      <c r="AA168" s="7" t="str" cm="1">
        <f t="array" aca="1" ref="AA168" ca="1">IFERROR(IF(OR('Raw Data'!AA168="",LEN(TRIM('Raw Data'!AA168))=0),"",IF(AND(ISNUMBER('Raw Data'!AA168), IFERROR('Raw Data'!AA168 = ROUND('Raw Data'!AA168, 2),FALSE)),"",_xlfn.REGEXEXTRACT(CELL("address",AA168), "\$([A-Z]+)\$[0-9]+"))),_xlfn.REGEXEXTRACT(CELL("address",AA168), "\$([A-Z]+)\$[0-9]+"))</f>
        <v/>
      </c>
      <c r="AB168" s="7" t="str" cm="1">
        <f t="array" aca="1" ref="AB168" ca="1">IFERROR(IF(OR('Raw Data'!AB168="",LEN(TRIM('Raw Data'!AB168))=0),"",IF(AND(ISNUMBER('Raw Data'!AB168), IFERROR('Raw Data'!AB168 = ROUND('Raw Data'!AB168, 2),FALSE)),"",_xlfn.REGEXEXTRACT(CELL("address",AB168), "\$([A-Z]+)\$[0-9]+"))),_xlfn.REGEXEXTRACT(CELL("address",AB168), "\$([A-Z]+)\$[0-9]+"))</f>
        <v/>
      </c>
    </row>
    <row r="169" spans="2:28" x14ac:dyDescent="0.25">
      <c r="B169" s="7" t="str" cm="1">
        <f t="array" aca="1" ref="B169" ca="1">IFERROR(IF(OR('Raw Data'!B169="",LEN(TRIM('Raw Data'!B169))=0),"",IF(AND(LEN('Raw Data'!B169) &lt;= 255,LEN('Raw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Data'!C169))=0),"",IF(AND(LEN('Raw Data'!C169) &lt;= 20,LEN('Raw Data'!C169)&gt; 0),"",_xlfn.REGEXEXTRACT(CELL("address",'Raw Data'!C169),"\$([A-Z]+)\$[0-9]+"))),_xlfn.REGEXEXTRACT(CELL("address",'Raw Data'!C169),"\$([A-Z]+)\$[0-9]+"))</f>
        <v/>
      </c>
      <c r="D169" s="7" t="str" cm="1">
        <f t="array" aca="1" ref="D169" ca="1">IFERROR(IF(OR('Raw Data'!D169="",LEN(TRIM('Raw Data'!D169))=0),"",IF(AND(ISNUMBER('Raw Data'!D169),'Raw Data'!D169&gt;=Configuration!$D$2),"",_xlfn.REGEXEXTRACT(CELL("address",'Raw Data'!D169),"\$([A-Z]+)\$[0-9]+"))),_xlfn.REGEXEXTRACT(CELL("address",D169), "\$([A-Z]+)\$[0-9]+"))</f>
        <v/>
      </c>
      <c r="E169" s="7" t="str" cm="1">
        <f t="array" aca="1" ref="E169" ca="1">IFERROR(IF(OR('Raw Data'!E169="",LEN(TRIM('Raw Data'!E169))=0),"",IF(AND(ISNUMBER('Raw Data'!E169), IFERROR('Raw Data'!E169 = ROUND('Raw Data'!E169, 2),FALSE)),"",_xlfn.REGEXEXTRACT(CELL("address",E169), "\$([A-Z]+)\$[0-9]+"))),_xlfn.REGEXEXTRACT(CELL("address",E169), "\$([A-Z]+)\$[0-9]+"))</f>
        <v/>
      </c>
      <c r="F169" s="7" t="str" cm="1">
        <f t="array" aca="1" ref="F169" ca="1">IFERROR(IF(OR('Raw Data'!F169="",LEN(TRIM('Raw Data'!F169))=0),"",IF(AND(ISNUMBER('Raw Data'!F169), IFERROR('Raw Data'!F169 = ROUND('Raw Data'!F169, 2),FALSE)),"",_xlfn.REGEXEXTRACT(CELL("address",F169), "\$([A-Z]+)\$[0-9]+"))),_xlfn.REGEXEXTRACT(CELL("address",F169), "\$([A-Z]+)\$[0-9]+"))</f>
        <v/>
      </c>
      <c r="G169" s="7" t="str" cm="1">
        <f t="array" aca="1" ref="G169" ca="1">IFERROR(IF(OR('Raw Data'!G169="",LEN(TRIM('Raw Data'!G169))=0),"",IF(AND(ISNUMBER('Raw Data'!G169), IFERROR('Raw Data'!G169 = ROUND('Raw Data'!G169, 2),FALSE)),"",_xlfn.REGEXEXTRACT(CELL("address",G169), "\$([A-Z]+)\$[0-9]+"))),_xlfn.REGEXEXTRACT(CELL("address",G169), "\$([A-Z]+)\$[0-9]+"))</f>
        <v/>
      </c>
      <c r="H169" s="7" t="str" cm="1">
        <f t="array" aca="1" ref="H169" ca="1">IFERROR(IF(OR('Raw Data'!H169="",LEN(TRIM('Raw Data'!H169))=0),"",IF(AND(ISNUMBER('Raw Data'!H169), IFERROR('Raw Data'!H169 = ROUND('Raw Data'!H169, 2),FALSE)),"",_xlfn.REGEXEXTRACT(CELL("address",H169), "\$([A-Z]+)\$[0-9]+"))),_xlfn.REGEXEXTRACT(CELL("address",H169), "\$([A-Z]+)\$[0-9]+"))</f>
        <v/>
      </c>
      <c r="I169" s="7" t="str" cm="1">
        <f t="array" aca="1" ref="I169" ca="1">IFERROR(IF(OR('Raw Data'!I169="",LEN(TRIM('Raw Data'!I169))=0),"",IF(AND(ISNUMBER('Raw Data'!I169), IFERROR('Raw Data'!I169 = ROUND('Raw Data'!I169, 2),FALSE)),"",_xlfn.REGEXEXTRACT(CELL("address",I169), "\$([A-Z]+)\$[0-9]+"))),_xlfn.REGEXEXTRACT(CELL("address",I169), "\$([A-Z]+)\$[0-9]+"))</f>
        <v/>
      </c>
      <c r="J169" s="7" t="str" cm="1">
        <f t="array" aca="1" ref="J169" ca="1">IFERROR(IF(OR('Raw Data'!J169="",LEN(TRIM('Raw Data'!J169))=0),"",IF(AND(ISNUMBER('Raw Data'!J169), IFERROR('Raw Data'!J169 = ROUND('Raw Data'!J169, 2),FALSE)),"",_xlfn.REGEXEXTRACT(CELL("address",J169), "\$([A-Z]+)\$[0-9]+"))),_xlfn.REGEXEXTRACT(CELL("address",J169), "\$([A-Z]+)\$[0-9]+"))</f>
        <v/>
      </c>
      <c r="K169" s="7" t="str" cm="1">
        <f t="array" aca="1" ref="K169" ca="1">IFERROR(IF(OR('Raw Data'!K169="",LEN(TRIM('Raw Data'!K169))=0),"",IF(AND(ISNUMBER('Raw Data'!K169), IFERROR('Raw Data'!K169 = ROUND('Raw Data'!K169, 2),FALSE)),"",_xlfn.REGEXEXTRACT(CELL("address",K169), "\$([A-Z]+)\$[0-9]+"))),_xlfn.REGEXEXTRACT(CELL("address",K169), "\$([A-Z]+)\$[0-9]+"))</f>
        <v/>
      </c>
      <c r="L169" s="7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7" t="str" cm="1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7" t="str" cm="1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  <c r="O169" s="7" t="str" cm="1">
        <f t="array" aca="1" ref="O169" ca="1">IFERROR(IF(OR('Raw Data'!O169="",LEN(TRIM('Raw Data'!O169))=0),"",IF(AND(ISNUMBER('Raw Data'!O169), IFERROR('Raw Data'!O169 = ROUND('Raw Data'!O169, 2),FALSE)),"",_xlfn.REGEXEXTRACT(CELL("address",O169), "\$([A-Z]+)\$[0-9]+"))),_xlfn.REGEXEXTRACT(CELL("address",O169), "\$([A-Z]+)\$[0-9]+"))</f>
        <v/>
      </c>
      <c r="P169" s="7" t="str" cm="1">
        <f t="array" aca="1" ref="P169" ca="1">IFERROR(IF(OR('Raw Data'!P169="",LEN(TRIM('Raw Data'!P169))=0),"",IF(AND(ISNUMBER('Raw Data'!P169), IFERROR('Raw Data'!P169 = ROUND('Raw Data'!P169, 2),FALSE)),"",_xlfn.REGEXEXTRACT(CELL("address",P169), "\$([A-Z]+)\$[0-9]+"))),_xlfn.REGEXEXTRACT(CELL("address",P169), "\$([A-Z]+)\$[0-9]+"))</f>
        <v/>
      </c>
      <c r="Q169" s="7" t="str" cm="1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7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7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7" t="str" cm="1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7" t="str" cm="1">
        <f t="array" aca="1" ref="U169" ca="1">IFERROR(IF(OR('Raw Data'!U169="",LEN(TRIM('Raw Data'!U169))=0),"",IF(AND(ISNUMBER('Raw Data'!U169), IFERROR('Raw Data'!U169 = ROUND('Raw Data'!U169, 2),FALSE)),"",_xlfn.REGEXEXTRACT(CELL("address",U169), "\$([A-Z]+)\$[0-9]+"))),_xlfn.REGEXEXTRACT(CELL("address",U169), "\$([A-Z]+)\$[0-9]+"))</f>
        <v/>
      </c>
      <c r="V169" s="7" t="str" cm="1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7" t="str" cm="1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7" t="str" cm="1">
        <f t="array" aca="1" ref="X169" ca="1">IFERROR(IF(OR('Raw Data'!X169="",LEN(TRIM('Raw Data'!X169))=0),"",IF(AND(ISNUMBER('Raw Data'!X169), IFERROR('Raw Data'!X169 = ROUND('Raw Data'!X169, 2),FALSE)),"",_xlfn.REGEXEXTRACT(CELL("address",X169), "\$([A-Z]+)\$[0-9]+"))),_xlfn.REGEXEXTRACT(CELL("address",X169), "\$([A-Z]+)\$[0-9]+"))</f>
        <v/>
      </c>
      <c r="Y169" s="7" t="str" cm="1">
        <f t="array" aca="1" ref="Y169" ca="1">IFERROR(IF(OR('Raw Data'!Y169="",LEN(TRIM('Raw Data'!Y169))=0),"",IF(AND(ISNUMBER('Raw Data'!Y169), IFERROR('Raw Data'!Y169 = ROUND('Raw Data'!Y169, 2),FALSE)),"",_xlfn.REGEXEXTRACT(CELL("address",Y169), "\$([A-Z]+)\$[0-9]+"))),_xlfn.REGEXEXTRACT(CELL("address",Y169), "\$([A-Z]+)\$[0-9]+"))</f>
        <v/>
      </c>
      <c r="Z169" s="7" t="str" cm="1">
        <f t="array" aca="1" ref="Z169" ca="1">IFERROR(IF(OR('Raw Data'!Z169="",LEN(TRIM('Raw Data'!Z169))=0),"",IF(AND(ISNUMBER('Raw Data'!Z169), IFERROR('Raw Data'!Z169 = ROUND('Raw Data'!Z169, 2),FALSE)),"",_xlfn.REGEXEXTRACT(CELL("address",Z169), "\$([A-Z]+)\$[0-9]+"))),_xlfn.REGEXEXTRACT(CELL("address",Z169), "\$([A-Z]+)\$[0-9]+"))</f>
        <v/>
      </c>
      <c r="AA169" s="7" t="str" cm="1">
        <f t="array" aca="1" ref="AA169" ca="1">IFERROR(IF(OR('Raw Data'!AA169="",LEN(TRIM('Raw Data'!AA169))=0),"",IF(AND(ISNUMBER('Raw Data'!AA169), IFERROR('Raw Data'!AA169 = ROUND('Raw Data'!AA169, 2),FALSE)),"",_xlfn.REGEXEXTRACT(CELL("address",AA169), "\$([A-Z]+)\$[0-9]+"))),_xlfn.REGEXEXTRACT(CELL("address",AA169), "\$([A-Z]+)\$[0-9]+"))</f>
        <v/>
      </c>
      <c r="AB169" s="7" t="str" cm="1">
        <f t="array" aca="1" ref="AB169" ca="1">IFERROR(IF(OR('Raw Data'!AB169="",LEN(TRIM('Raw Data'!AB169))=0),"",IF(AND(ISNUMBER('Raw Data'!AB169), IFERROR('Raw Data'!AB169 = ROUND('Raw Data'!AB169, 2),FALSE)),"",_xlfn.REGEXEXTRACT(CELL("address",AB169), "\$([A-Z]+)\$[0-9]+"))),_xlfn.REGEXEXTRACT(CELL("address",AB169), "\$([A-Z]+)\$[0-9]+"))</f>
        <v/>
      </c>
    </row>
    <row r="170" spans="2:28" x14ac:dyDescent="0.25">
      <c r="B170" s="7" t="str" cm="1">
        <f t="array" aca="1" ref="B170" ca="1">IFERROR(IF(OR('Raw Data'!B170="",LEN(TRIM('Raw Data'!B170))=0),"",IF(AND(LEN('Raw Data'!B170) &lt;= 255,LEN('Raw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Data'!C170))=0),"",IF(AND(LEN('Raw Data'!C170) &lt;= 20,LEN('Raw Data'!C170)&gt; 0),"",_xlfn.REGEXEXTRACT(CELL("address",'Raw Data'!C170),"\$([A-Z]+)\$[0-9]+"))),_xlfn.REGEXEXTRACT(CELL("address",'Raw Data'!C170),"\$([A-Z]+)\$[0-9]+"))</f>
        <v/>
      </c>
      <c r="D170" s="7" t="str" cm="1">
        <f t="array" aca="1" ref="D170" ca="1">IFERROR(IF(OR('Raw Data'!D170="",LEN(TRIM('Raw Data'!D170))=0),"",IF(AND(ISNUMBER('Raw Data'!D170),'Raw Data'!D170&gt;=Configuration!$D$2),"",_xlfn.REGEXEXTRACT(CELL("address",'Raw Data'!D170),"\$([A-Z]+)\$[0-9]+"))),_xlfn.REGEXEXTRACT(CELL("address",D170), "\$([A-Z]+)\$[0-9]+"))</f>
        <v/>
      </c>
      <c r="E170" s="7" t="str" cm="1">
        <f t="array" aca="1" ref="E170" ca="1">IFERROR(IF(OR('Raw Data'!E170="",LEN(TRIM('Raw Data'!E170))=0),"",IF(AND(ISNUMBER('Raw Data'!E170), IFERROR('Raw Data'!E170 = ROUND('Raw Data'!E170, 2),FALSE)),"",_xlfn.REGEXEXTRACT(CELL("address",E170), "\$([A-Z]+)\$[0-9]+"))),_xlfn.REGEXEXTRACT(CELL("address",E170), "\$([A-Z]+)\$[0-9]+"))</f>
        <v/>
      </c>
      <c r="F170" s="7" t="str" cm="1">
        <f t="array" aca="1" ref="F170" ca="1">IFERROR(IF(OR('Raw Data'!F170="",LEN(TRIM('Raw Data'!F170))=0),"",IF(AND(ISNUMBER('Raw Data'!F170), IFERROR('Raw Data'!F170 = ROUND('Raw Data'!F170, 2),FALSE)),"",_xlfn.REGEXEXTRACT(CELL("address",F170), "\$([A-Z]+)\$[0-9]+"))),_xlfn.REGEXEXTRACT(CELL("address",F170), "\$([A-Z]+)\$[0-9]+"))</f>
        <v/>
      </c>
      <c r="G170" s="7" t="str" cm="1">
        <f t="array" aca="1" ref="G170" ca="1">IFERROR(IF(OR('Raw Data'!G170="",LEN(TRIM('Raw Data'!G170))=0),"",IF(AND(ISNUMBER('Raw Data'!G170), IFERROR('Raw Data'!G170 = ROUND('Raw Data'!G170, 2),FALSE)),"",_xlfn.REGEXEXTRACT(CELL("address",G170), "\$([A-Z]+)\$[0-9]+"))),_xlfn.REGEXEXTRACT(CELL("address",G170), "\$([A-Z]+)\$[0-9]+"))</f>
        <v/>
      </c>
      <c r="H170" s="7" t="str" cm="1">
        <f t="array" aca="1" ref="H170" ca="1">IFERROR(IF(OR('Raw Data'!H170="",LEN(TRIM('Raw Data'!H170))=0),"",IF(AND(ISNUMBER('Raw Data'!H170), IFERROR('Raw Data'!H170 = ROUND('Raw Data'!H170, 2),FALSE)),"",_xlfn.REGEXEXTRACT(CELL("address",H170), "\$([A-Z]+)\$[0-9]+"))),_xlfn.REGEXEXTRACT(CELL("address",H170), "\$([A-Z]+)\$[0-9]+"))</f>
        <v/>
      </c>
      <c r="I170" s="7" t="str" cm="1">
        <f t="array" aca="1" ref="I170" ca="1">IFERROR(IF(OR('Raw Data'!I170="",LEN(TRIM('Raw Data'!I170))=0),"",IF(AND(ISNUMBER('Raw Data'!I170), IFERROR('Raw Data'!I170 = ROUND('Raw Data'!I170, 2),FALSE)),"",_xlfn.REGEXEXTRACT(CELL("address",I170), "\$([A-Z]+)\$[0-9]+"))),_xlfn.REGEXEXTRACT(CELL("address",I170), "\$([A-Z]+)\$[0-9]+"))</f>
        <v/>
      </c>
      <c r="J170" s="7" t="str" cm="1">
        <f t="array" aca="1" ref="J170" ca="1">IFERROR(IF(OR('Raw Data'!J170="",LEN(TRIM('Raw Data'!J170))=0),"",IF(AND(ISNUMBER('Raw Data'!J170), IFERROR('Raw Data'!J170 = ROUND('Raw Data'!J170, 2),FALSE)),"",_xlfn.REGEXEXTRACT(CELL("address",J170), "\$([A-Z]+)\$[0-9]+"))),_xlfn.REGEXEXTRACT(CELL("address",J170), "\$([A-Z]+)\$[0-9]+"))</f>
        <v/>
      </c>
      <c r="K170" s="7" t="str" cm="1">
        <f t="array" aca="1" ref="K170" ca="1">IFERROR(IF(OR('Raw Data'!K170="",LEN(TRIM('Raw Data'!K170))=0),"",IF(AND(ISNUMBER('Raw Data'!K170), IFERROR('Raw Data'!K170 = ROUND('Raw Data'!K170, 2),FALSE)),"",_xlfn.REGEXEXTRACT(CELL("address",K170), "\$([A-Z]+)\$[0-9]+"))),_xlfn.REGEXEXTRACT(CELL("address",K170), "\$([A-Z]+)\$[0-9]+"))</f>
        <v/>
      </c>
      <c r="L170" s="7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7" t="str" cm="1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7" t="str" cm="1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  <c r="O170" s="7" t="str" cm="1">
        <f t="array" aca="1" ref="O170" ca="1">IFERROR(IF(OR('Raw Data'!O170="",LEN(TRIM('Raw Data'!O170))=0),"",IF(AND(ISNUMBER('Raw Data'!O170), IFERROR('Raw Data'!O170 = ROUND('Raw Data'!O170, 2),FALSE)),"",_xlfn.REGEXEXTRACT(CELL("address",O170), "\$([A-Z]+)\$[0-9]+"))),_xlfn.REGEXEXTRACT(CELL("address",O170), "\$([A-Z]+)\$[0-9]+"))</f>
        <v/>
      </c>
      <c r="P170" s="7" t="str" cm="1">
        <f t="array" aca="1" ref="P170" ca="1">IFERROR(IF(OR('Raw Data'!P170="",LEN(TRIM('Raw Data'!P170))=0),"",IF(AND(ISNUMBER('Raw Data'!P170), IFERROR('Raw Data'!P170 = ROUND('Raw Data'!P170, 2),FALSE)),"",_xlfn.REGEXEXTRACT(CELL("address",P170), "\$([A-Z]+)\$[0-9]+"))),_xlfn.REGEXEXTRACT(CELL("address",P170), "\$([A-Z]+)\$[0-9]+"))</f>
        <v/>
      </c>
      <c r="Q170" s="7" t="str" cm="1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7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7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7" t="str" cm="1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7" t="str" cm="1">
        <f t="array" aca="1" ref="U170" ca="1">IFERROR(IF(OR('Raw Data'!U170="",LEN(TRIM('Raw Data'!U170))=0),"",IF(AND(ISNUMBER('Raw Data'!U170), IFERROR('Raw Data'!U170 = ROUND('Raw Data'!U170, 2),FALSE)),"",_xlfn.REGEXEXTRACT(CELL("address",U170), "\$([A-Z]+)\$[0-9]+"))),_xlfn.REGEXEXTRACT(CELL("address",U170), "\$([A-Z]+)\$[0-9]+"))</f>
        <v/>
      </c>
      <c r="V170" s="7" t="str" cm="1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7" t="str" cm="1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7" t="str" cm="1">
        <f t="array" aca="1" ref="X170" ca="1">IFERROR(IF(OR('Raw Data'!X170="",LEN(TRIM('Raw Data'!X170))=0),"",IF(AND(ISNUMBER('Raw Data'!X170), IFERROR('Raw Data'!X170 = ROUND('Raw Data'!X170, 2),FALSE)),"",_xlfn.REGEXEXTRACT(CELL("address",X170), "\$([A-Z]+)\$[0-9]+"))),_xlfn.REGEXEXTRACT(CELL("address",X170), "\$([A-Z]+)\$[0-9]+"))</f>
        <v/>
      </c>
      <c r="Y170" s="7" t="str" cm="1">
        <f t="array" aca="1" ref="Y170" ca="1">IFERROR(IF(OR('Raw Data'!Y170="",LEN(TRIM('Raw Data'!Y170))=0),"",IF(AND(ISNUMBER('Raw Data'!Y170), IFERROR('Raw Data'!Y170 = ROUND('Raw Data'!Y170, 2),FALSE)),"",_xlfn.REGEXEXTRACT(CELL("address",Y170), "\$([A-Z]+)\$[0-9]+"))),_xlfn.REGEXEXTRACT(CELL("address",Y170), "\$([A-Z]+)\$[0-9]+"))</f>
        <v/>
      </c>
      <c r="Z170" s="7" t="str" cm="1">
        <f t="array" aca="1" ref="Z170" ca="1">IFERROR(IF(OR('Raw Data'!Z170="",LEN(TRIM('Raw Data'!Z170))=0),"",IF(AND(ISNUMBER('Raw Data'!Z170), IFERROR('Raw Data'!Z170 = ROUND('Raw Data'!Z170, 2),FALSE)),"",_xlfn.REGEXEXTRACT(CELL("address",Z170), "\$([A-Z]+)\$[0-9]+"))),_xlfn.REGEXEXTRACT(CELL("address",Z170), "\$([A-Z]+)\$[0-9]+"))</f>
        <v/>
      </c>
      <c r="AA170" s="7" t="str" cm="1">
        <f t="array" aca="1" ref="AA170" ca="1">IFERROR(IF(OR('Raw Data'!AA170="",LEN(TRIM('Raw Data'!AA170))=0),"",IF(AND(ISNUMBER('Raw Data'!AA170), IFERROR('Raw Data'!AA170 = ROUND('Raw Data'!AA170, 2),FALSE)),"",_xlfn.REGEXEXTRACT(CELL("address",AA170), "\$([A-Z]+)\$[0-9]+"))),_xlfn.REGEXEXTRACT(CELL("address",AA170), "\$([A-Z]+)\$[0-9]+"))</f>
        <v/>
      </c>
      <c r="AB170" s="7" t="str" cm="1">
        <f t="array" aca="1" ref="AB170" ca="1">IFERROR(IF(OR('Raw Data'!AB170="",LEN(TRIM('Raw Data'!AB170))=0),"",IF(AND(ISNUMBER('Raw Data'!AB170), IFERROR('Raw Data'!AB170 = ROUND('Raw Data'!AB170, 2),FALSE)),"",_xlfn.REGEXEXTRACT(CELL("address",AB170), "\$([A-Z]+)\$[0-9]+"))),_xlfn.REGEXEXTRACT(CELL("address",AB170), "\$([A-Z]+)\$[0-9]+"))</f>
        <v/>
      </c>
    </row>
    <row r="171" spans="2:28" x14ac:dyDescent="0.25">
      <c r="B171" s="7" t="str" cm="1">
        <f t="array" aca="1" ref="B171" ca="1">IFERROR(IF(OR('Raw Data'!B171="",LEN(TRIM('Raw Data'!B171))=0),"",IF(AND(LEN('Raw Data'!B171) &lt;= 255,LEN('Raw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Data'!C171))=0),"",IF(AND(LEN('Raw Data'!C171) &lt;= 20,LEN('Raw Data'!C171)&gt; 0),"",_xlfn.REGEXEXTRACT(CELL("address",'Raw Data'!C171),"\$([A-Z]+)\$[0-9]+"))),_xlfn.REGEXEXTRACT(CELL("address",'Raw Data'!C171),"\$([A-Z]+)\$[0-9]+"))</f>
        <v/>
      </c>
      <c r="D171" s="7" t="str" cm="1">
        <f t="array" aca="1" ref="D171" ca="1">IFERROR(IF(OR('Raw Data'!D171="",LEN(TRIM('Raw Data'!D171))=0),"",IF(AND(ISNUMBER('Raw Data'!D171),'Raw Data'!D171&gt;=Configuration!$D$2),"",_xlfn.REGEXEXTRACT(CELL("address",'Raw Data'!D171),"\$([A-Z]+)\$[0-9]+"))),_xlfn.REGEXEXTRACT(CELL("address",D171), "\$([A-Z]+)\$[0-9]+"))</f>
        <v/>
      </c>
      <c r="E171" s="7" t="str" cm="1">
        <f t="array" aca="1" ref="E171" ca="1">IFERROR(IF(OR('Raw Data'!E171="",LEN(TRIM('Raw Data'!E171))=0),"",IF(AND(ISNUMBER('Raw Data'!E171), IFERROR('Raw Data'!E171 = ROUND('Raw Data'!E171, 2),FALSE)),"",_xlfn.REGEXEXTRACT(CELL("address",E171), "\$([A-Z]+)\$[0-9]+"))),_xlfn.REGEXEXTRACT(CELL("address",E171), "\$([A-Z]+)\$[0-9]+"))</f>
        <v/>
      </c>
      <c r="F171" s="7" t="str" cm="1">
        <f t="array" aca="1" ref="F171" ca="1">IFERROR(IF(OR('Raw Data'!F171="",LEN(TRIM('Raw Data'!F171))=0),"",IF(AND(ISNUMBER('Raw Data'!F171), IFERROR('Raw Data'!F171 = ROUND('Raw Data'!F171, 2),FALSE)),"",_xlfn.REGEXEXTRACT(CELL("address",F171), "\$([A-Z]+)\$[0-9]+"))),_xlfn.REGEXEXTRACT(CELL("address",F171), "\$([A-Z]+)\$[0-9]+"))</f>
        <v/>
      </c>
      <c r="G171" s="7" t="str" cm="1">
        <f t="array" aca="1" ref="G171" ca="1">IFERROR(IF(OR('Raw Data'!G171="",LEN(TRIM('Raw Data'!G171))=0),"",IF(AND(ISNUMBER('Raw Data'!G171), IFERROR('Raw Data'!G171 = ROUND('Raw Data'!G171, 2),FALSE)),"",_xlfn.REGEXEXTRACT(CELL("address",G171), "\$([A-Z]+)\$[0-9]+"))),_xlfn.REGEXEXTRACT(CELL("address",G171), "\$([A-Z]+)\$[0-9]+"))</f>
        <v/>
      </c>
      <c r="H171" s="7" t="str" cm="1">
        <f t="array" aca="1" ref="H171" ca="1">IFERROR(IF(OR('Raw Data'!H171="",LEN(TRIM('Raw Data'!H171))=0),"",IF(AND(ISNUMBER('Raw Data'!H171), IFERROR('Raw Data'!H171 = ROUND('Raw Data'!H171, 2),FALSE)),"",_xlfn.REGEXEXTRACT(CELL("address",H171), "\$([A-Z]+)\$[0-9]+"))),_xlfn.REGEXEXTRACT(CELL("address",H171), "\$([A-Z]+)\$[0-9]+"))</f>
        <v/>
      </c>
      <c r="I171" s="7" t="str" cm="1">
        <f t="array" aca="1" ref="I171" ca="1">IFERROR(IF(OR('Raw Data'!I171="",LEN(TRIM('Raw Data'!I171))=0),"",IF(AND(ISNUMBER('Raw Data'!I171), IFERROR('Raw Data'!I171 = ROUND('Raw Data'!I171, 2),FALSE)),"",_xlfn.REGEXEXTRACT(CELL("address",I171), "\$([A-Z]+)\$[0-9]+"))),_xlfn.REGEXEXTRACT(CELL("address",I171), "\$([A-Z]+)\$[0-9]+"))</f>
        <v/>
      </c>
      <c r="J171" s="7" t="str" cm="1">
        <f t="array" aca="1" ref="J171" ca="1">IFERROR(IF(OR('Raw Data'!J171="",LEN(TRIM('Raw Data'!J171))=0),"",IF(AND(ISNUMBER('Raw Data'!J171), IFERROR('Raw Data'!J171 = ROUND('Raw Data'!J171, 2),FALSE)),"",_xlfn.REGEXEXTRACT(CELL("address",J171), "\$([A-Z]+)\$[0-9]+"))),_xlfn.REGEXEXTRACT(CELL("address",J171), "\$([A-Z]+)\$[0-9]+"))</f>
        <v/>
      </c>
      <c r="K171" s="7" t="str" cm="1">
        <f t="array" aca="1" ref="K171" ca="1">IFERROR(IF(OR('Raw Data'!K171="",LEN(TRIM('Raw Data'!K171))=0),"",IF(AND(ISNUMBER('Raw Data'!K171), IFERROR('Raw Data'!K171 = ROUND('Raw Data'!K171, 2),FALSE)),"",_xlfn.REGEXEXTRACT(CELL("address",K171), "\$([A-Z]+)\$[0-9]+"))),_xlfn.REGEXEXTRACT(CELL("address",K171), "\$([A-Z]+)\$[0-9]+"))</f>
        <v/>
      </c>
      <c r="L171" s="7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7" t="str" cm="1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7" t="str" cm="1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  <c r="O171" s="7" t="str" cm="1">
        <f t="array" aca="1" ref="O171" ca="1">IFERROR(IF(OR('Raw Data'!O171="",LEN(TRIM('Raw Data'!O171))=0),"",IF(AND(ISNUMBER('Raw Data'!O171), IFERROR('Raw Data'!O171 = ROUND('Raw Data'!O171, 2),FALSE)),"",_xlfn.REGEXEXTRACT(CELL("address",O171), "\$([A-Z]+)\$[0-9]+"))),_xlfn.REGEXEXTRACT(CELL("address",O171), "\$([A-Z]+)\$[0-9]+"))</f>
        <v/>
      </c>
      <c r="P171" s="7" t="str" cm="1">
        <f t="array" aca="1" ref="P171" ca="1">IFERROR(IF(OR('Raw Data'!P171="",LEN(TRIM('Raw Data'!P171))=0),"",IF(AND(ISNUMBER('Raw Data'!P171), IFERROR('Raw Data'!P171 = ROUND('Raw Data'!P171, 2),FALSE)),"",_xlfn.REGEXEXTRACT(CELL("address",P171), "\$([A-Z]+)\$[0-9]+"))),_xlfn.REGEXEXTRACT(CELL("address",P171), "\$([A-Z]+)\$[0-9]+"))</f>
        <v/>
      </c>
      <c r="Q171" s="7" t="str" cm="1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7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7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7" t="str" cm="1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7" t="str" cm="1">
        <f t="array" aca="1" ref="U171" ca="1">IFERROR(IF(OR('Raw Data'!U171="",LEN(TRIM('Raw Data'!U171))=0),"",IF(AND(ISNUMBER('Raw Data'!U171), IFERROR('Raw Data'!U171 = ROUND('Raw Data'!U171, 2),FALSE)),"",_xlfn.REGEXEXTRACT(CELL("address",U171), "\$([A-Z]+)\$[0-9]+"))),_xlfn.REGEXEXTRACT(CELL("address",U171), "\$([A-Z]+)\$[0-9]+"))</f>
        <v/>
      </c>
      <c r="V171" s="7" t="str" cm="1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7" t="str" cm="1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7" t="str" cm="1">
        <f t="array" aca="1" ref="X171" ca="1">IFERROR(IF(OR('Raw Data'!X171="",LEN(TRIM('Raw Data'!X171))=0),"",IF(AND(ISNUMBER('Raw Data'!X171), IFERROR('Raw Data'!X171 = ROUND('Raw Data'!X171, 2),FALSE)),"",_xlfn.REGEXEXTRACT(CELL("address",X171), "\$([A-Z]+)\$[0-9]+"))),_xlfn.REGEXEXTRACT(CELL("address",X171), "\$([A-Z]+)\$[0-9]+"))</f>
        <v/>
      </c>
      <c r="Y171" s="7" t="str" cm="1">
        <f t="array" aca="1" ref="Y171" ca="1">IFERROR(IF(OR('Raw Data'!Y171="",LEN(TRIM('Raw Data'!Y171))=0),"",IF(AND(ISNUMBER('Raw Data'!Y171), IFERROR('Raw Data'!Y171 = ROUND('Raw Data'!Y171, 2),FALSE)),"",_xlfn.REGEXEXTRACT(CELL("address",Y171), "\$([A-Z]+)\$[0-9]+"))),_xlfn.REGEXEXTRACT(CELL("address",Y171), "\$([A-Z]+)\$[0-9]+"))</f>
        <v/>
      </c>
      <c r="Z171" s="7" t="str" cm="1">
        <f t="array" aca="1" ref="Z171" ca="1">IFERROR(IF(OR('Raw Data'!Z171="",LEN(TRIM('Raw Data'!Z171))=0),"",IF(AND(ISNUMBER('Raw Data'!Z171), IFERROR('Raw Data'!Z171 = ROUND('Raw Data'!Z171, 2),FALSE)),"",_xlfn.REGEXEXTRACT(CELL("address",Z171), "\$([A-Z]+)\$[0-9]+"))),_xlfn.REGEXEXTRACT(CELL("address",Z171), "\$([A-Z]+)\$[0-9]+"))</f>
        <v/>
      </c>
      <c r="AA171" s="7" t="str" cm="1">
        <f t="array" aca="1" ref="AA171" ca="1">IFERROR(IF(OR('Raw Data'!AA171="",LEN(TRIM('Raw Data'!AA171))=0),"",IF(AND(ISNUMBER('Raw Data'!AA171), IFERROR('Raw Data'!AA171 = ROUND('Raw Data'!AA171, 2),FALSE)),"",_xlfn.REGEXEXTRACT(CELL("address",AA171), "\$([A-Z]+)\$[0-9]+"))),_xlfn.REGEXEXTRACT(CELL("address",AA171), "\$([A-Z]+)\$[0-9]+"))</f>
        <v/>
      </c>
      <c r="AB171" s="7" t="str" cm="1">
        <f t="array" aca="1" ref="AB171" ca="1">IFERROR(IF(OR('Raw Data'!AB171="",LEN(TRIM('Raw Data'!AB171))=0),"",IF(AND(ISNUMBER('Raw Data'!AB171), IFERROR('Raw Data'!AB171 = ROUND('Raw Data'!AB171, 2),FALSE)),"",_xlfn.REGEXEXTRACT(CELL("address",AB171), "\$([A-Z]+)\$[0-9]+"))),_xlfn.REGEXEXTRACT(CELL("address",AB171), "\$([A-Z]+)\$[0-9]+"))</f>
        <v/>
      </c>
    </row>
    <row r="172" spans="2:28" x14ac:dyDescent="0.25">
      <c r="B172" s="7" t="str" cm="1">
        <f t="array" aca="1" ref="B172" ca="1">IFERROR(IF(OR('Raw Data'!B172="",LEN(TRIM('Raw Data'!B172))=0),"",IF(AND(LEN('Raw Data'!B172) &lt;= 255,LEN('Raw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Data'!C172))=0),"",IF(AND(LEN('Raw Data'!C172) &lt;= 20,LEN('Raw Data'!C172)&gt; 0),"",_xlfn.REGEXEXTRACT(CELL("address",'Raw Data'!C172),"\$([A-Z]+)\$[0-9]+"))),_xlfn.REGEXEXTRACT(CELL("address",'Raw Data'!C172),"\$([A-Z]+)\$[0-9]+"))</f>
        <v/>
      </c>
      <c r="D172" s="7" t="str" cm="1">
        <f t="array" aca="1" ref="D172" ca="1">IFERROR(IF(OR('Raw Data'!D172="",LEN(TRIM('Raw Data'!D172))=0),"",IF(AND(ISNUMBER('Raw Data'!D172),'Raw Data'!D172&gt;=Configuration!$D$2),"",_xlfn.REGEXEXTRACT(CELL("address",'Raw Data'!D172),"\$([A-Z]+)\$[0-9]+"))),_xlfn.REGEXEXTRACT(CELL("address",D172), "\$([A-Z]+)\$[0-9]+"))</f>
        <v/>
      </c>
      <c r="E172" s="7" t="str" cm="1">
        <f t="array" aca="1" ref="E172" ca="1">IFERROR(IF(OR('Raw Data'!E172="",LEN(TRIM('Raw Data'!E172))=0),"",IF(AND(ISNUMBER('Raw Data'!E172), IFERROR('Raw Data'!E172 = ROUND('Raw Data'!E172, 2),FALSE)),"",_xlfn.REGEXEXTRACT(CELL("address",E172), "\$([A-Z]+)\$[0-9]+"))),_xlfn.REGEXEXTRACT(CELL("address",E172), "\$([A-Z]+)\$[0-9]+"))</f>
        <v/>
      </c>
      <c r="F172" s="7" t="str" cm="1">
        <f t="array" aca="1" ref="F172" ca="1">IFERROR(IF(OR('Raw Data'!F172="",LEN(TRIM('Raw Data'!F172))=0),"",IF(AND(ISNUMBER('Raw Data'!F172), IFERROR('Raw Data'!F172 = ROUND('Raw Data'!F172, 2),FALSE)),"",_xlfn.REGEXEXTRACT(CELL("address",F172), "\$([A-Z]+)\$[0-9]+"))),_xlfn.REGEXEXTRACT(CELL("address",F172), "\$([A-Z]+)\$[0-9]+"))</f>
        <v/>
      </c>
      <c r="G172" s="7" t="str" cm="1">
        <f t="array" aca="1" ref="G172" ca="1">IFERROR(IF(OR('Raw Data'!G172="",LEN(TRIM('Raw Data'!G172))=0),"",IF(AND(ISNUMBER('Raw Data'!G172), IFERROR('Raw Data'!G172 = ROUND('Raw Data'!G172, 2),FALSE)),"",_xlfn.REGEXEXTRACT(CELL("address",G172), "\$([A-Z]+)\$[0-9]+"))),_xlfn.REGEXEXTRACT(CELL("address",G172), "\$([A-Z]+)\$[0-9]+"))</f>
        <v/>
      </c>
      <c r="H172" s="7" t="str" cm="1">
        <f t="array" aca="1" ref="H172" ca="1">IFERROR(IF(OR('Raw Data'!H172="",LEN(TRIM('Raw Data'!H172))=0),"",IF(AND(ISNUMBER('Raw Data'!H172), IFERROR('Raw Data'!H172 = ROUND('Raw Data'!H172, 2),FALSE)),"",_xlfn.REGEXEXTRACT(CELL("address",H172), "\$([A-Z]+)\$[0-9]+"))),_xlfn.REGEXEXTRACT(CELL("address",H172), "\$([A-Z]+)\$[0-9]+"))</f>
        <v/>
      </c>
      <c r="I172" s="7" t="str" cm="1">
        <f t="array" aca="1" ref="I172" ca="1">IFERROR(IF(OR('Raw Data'!I172="",LEN(TRIM('Raw Data'!I172))=0),"",IF(AND(ISNUMBER('Raw Data'!I172), IFERROR('Raw Data'!I172 = ROUND('Raw Data'!I172, 2),FALSE)),"",_xlfn.REGEXEXTRACT(CELL("address",I172), "\$([A-Z]+)\$[0-9]+"))),_xlfn.REGEXEXTRACT(CELL("address",I172), "\$([A-Z]+)\$[0-9]+"))</f>
        <v/>
      </c>
      <c r="J172" s="7" t="str" cm="1">
        <f t="array" aca="1" ref="J172" ca="1">IFERROR(IF(OR('Raw Data'!J172="",LEN(TRIM('Raw Data'!J172))=0),"",IF(AND(ISNUMBER('Raw Data'!J172), IFERROR('Raw Data'!J172 = ROUND('Raw Data'!J172, 2),FALSE)),"",_xlfn.REGEXEXTRACT(CELL("address",J172), "\$([A-Z]+)\$[0-9]+"))),_xlfn.REGEXEXTRACT(CELL("address",J172), "\$([A-Z]+)\$[0-9]+"))</f>
        <v/>
      </c>
      <c r="K172" s="7" t="str" cm="1">
        <f t="array" aca="1" ref="K172" ca="1">IFERROR(IF(OR('Raw Data'!K172="",LEN(TRIM('Raw Data'!K172))=0),"",IF(AND(ISNUMBER('Raw Data'!K172), IFERROR('Raw Data'!K172 = ROUND('Raw Data'!K172, 2),FALSE)),"",_xlfn.REGEXEXTRACT(CELL("address",K172), "\$([A-Z]+)\$[0-9]+"))),_xlfn.REGEXEXTRACT(CELL("address",K172), "\$([A-Z]+)\$[0-9]+"))</f>
        <v/>
      </c>
      <c r="L172" s="7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7" t="str" cm="1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7" t="str" cm="1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  <c r="O172" s="7" t="str" cm="1">
        <f t="array" aca="1" ref="O172" ca="1">IFERROR(IF(OR('Raw Data'!O172="",LEN(TRIM('Raw Data'!O172))=0),"",IF(AND(ISNUMBER('Raw Data'!O172), IFERROR('Raw Data'!O172 = ROUND('Raw Data'!O172, 2),FALSE)),"",_xlfn.REGEXEXTRACT(CELL("address",O172), "\$([A-Z]+)\$[0-9]+"))),_xlfn.REGEXEXTRACT(CELL("address",O172), "\$([A-Z]+)\$[0-9]+"))</f>
        <v/>
      </c>
      <c r="P172" s="7" t="str" cm="1">
        <f t="array" aca="1" ref="P172" ca="1">IFERROR(IF(OR('Raw Data'!P172="",LEN(TRIM('Raw Data'!P172))=0),"",IF(AND(ISNUMBER('Raw Data'!P172), IFERROR('Raw Data'!P172 = ROUND('Raw Data'!P172, 2),FALSE)),"",_xlfn.REGEXEXTRACT(CELL("address",P172), "\$([A-Z]+)\$[0-9]+"))),_xlfn.REGEXEXTRACT(CELL("address",P172), "\$([A-Z]+)\$[0-9]+"))</f>
        <v/>
      </c>
      <c r="Q172" s="7" t="str" cm="1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7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7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7" t="str" cm="1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7" t="str" cm="1">
        <f t="array" aca="1" ref="U172" ca="1">IFERROR(IF(OR('Raw Data'!U172="",LEN(TRIM('Raw Data'!U172))=0),"",IF(AND(ISNUMBER('Raw Data'!U172), IFERROR('Raw Data'!U172 = ROUND('Raw Data'!U172, 2),FALSE)),"",_xlfn.REGEXEXTRACT(CELL("address",U172), "\$([A-Z]+)\$[0-9]+"))),_xlfn.REGEXEXTRACT(CELL("address",U172), "\$([A-Z]+)\$[0-9]+"))</f>
        <v/>
      </c>
      <c r="V172" s="7" t="str" cm="1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7" t="str" cm="1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7" t="str" cm="1">
        <f t="array" aca="1" ref="X172" ca="1">IFERROR(IF(OR('Raw Data'!X172="",LEN(TRIM('Raw Data'!X172))=0),"",IF(AND(ISNUMBER('Raw Data'!X172), IFERROR('Raw Data'!X172 = ROUND('Raw Data'!X172, 2),FALSE)),"",_xlfn.REGEXEXTRACT(CELL("address",X172), "\$([A-Z]+)\$[0-9]+"))),_xlfn.REGEXEXTRACT(CELL("address",X172), "\$([A-Z]+)\$[0-9]+"))</f>
        <v/>
      </c>
      <c r="Y172" s="7" t="str" cm="1">
        <f t="array" aca="1" ref="Y172" ca="1">IFERROR(IF(OR('Raw Data'!Y172="",LEN(TRIM('Raw Data'!Y172))=0),"",IF(AND(ISNUMBER('Raw Data'!Y172), IFERROR('Raw Data'!Y172 = ROUND('Raw Data'!Y172, 2),FALSE)),"",_xlfn.REGEXEXTRACT(CELL("address",Y172), "\$([A-Z]+)\$[0-9]+"))),_xlfn.REGEXEXTRACT(CELL("address",Y172), "\$([A-Z]+)\$[0-9]+"))</f>
        <v/>
      </c>
      <c r="Z172" s="7" t="str" cm="1">
        <f t="array" aca="1" ref="Z172" ca="1">IFERROR(IF(OR('Raw Data'!Z172="",LEN(TRIM('Raw Data'!Z172))=0),"",IF(AND(ISNUMBER('Raw Data'!Z172), IFERROR('Raw Data'!Z172 = ROUND('Raw Data'!Z172, 2),FALSE)),"",_xlfn.REGEXEXTRACT(CELL("address",Z172), "\$([A-Z]+)\$[0-9]+"))),_xlfn.REGEXEXTRACT(CELL("address",Z172), "\$([A-Z]+)\$[0-9]+"))</f>
        <v/>
      </c>
      <c r="AA172" s="7" t="str" cm="1">
        <f t="array" aca="1" ref="AA172" ca="1">IFERROR(IF(OR('Raw Data'!AA172="",LEN(TRIM('Raw Data'!AA172))=0),"",IF(AND(ISNUMBER('Raw Data'!AA172), IFERROR('Raw Data'!AA172 = ROUND('Raw Data'!AA172, 2),FALSE)),"",_xlfn.REGEXEXTRACT(CELL("address",AA172), "\$([A-Z]+)\$[0-9]+"))),_xlfn.REGEXEXTRACT(CELL("address",AA172), "\$([A-Z]+)\$[0-9]+"))</f>
        <v/>
      </c>
      <c r="AB172" s="7" t="str" cm="1">
        <f t="array" aca="1" ref="AB172" ca="1">IFERROR(IF(OR('Raw Data'!AB172="",LEN(TRIM('Raw Data'!AB172))=0),"",IF(AND(ISNUMBER('Raw Data'!AB172), IFERROR('Raw Data'!AB172 = ROUND('Raw Data'!AB172, 2),FALSE)),"",_xlfn.REGEXEXTRACT(CELL("address",AB172), "\$([A-Z]+)\$[0-9]+"))),_xlfn.REGEXEXTRACT(CELL("address",AB172), "\$([A-Z]+)\$[0-9]+"))</f>
        <v/>
      </c>
    </row>
    <row r="173" spans="2:28" x14ac:dyDescent="0.25">
      <c r="B173" s="7" t="str" cm="1">
        <f t="array" aca="1" ref="B173" ca="1">IFERROR(IF(OR('Raw Data'!B173="",LEN(TRIM('Raw Data'!B173))=0),"",IF(AND(LEN('Raw Data'!B173) &lt;= 255,LEN('Raw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Data'!C173))=0),"",IF(AND(LEN('Raw Data'!C173) &lt;= 20,LEN('Raw Data'!C173)&gt; 0),"",_xlfn.REGEXEXTRACT(CELL("address",'Raw Data'!C173),"\$([A-Z]+)\$[0-9]+"))),_xlfn.REGEXEXTRACT(CELL("address",'Raw Data'!C173),"\$([A-Z]+)\$[0-9]+"))</f>
        <v/>
      </c>
      <c r="D173" s="7" t="str" cm="1">
        <f t="array" aca="1" ref="D173" ca="1">IFERROR(IF(OR('Raw Data'!D173="",LEN(TRIM('Raw Data'!D173))=0),"",IF(AND(ISNUMBER('Raw Data'!D173),'Raw Data'!D173&gt;=Configuration!$D$2),"",_xlfn.REGEXEXTRACT(CELL("address",'Raw Data'!D173),"\$([A-Z]+)\$[0-9]+"))),_xlfn.REGEXEXTRACT(CELL("address",D173), "\$([A-Z]+)\$[0-9]+"))</f>
        <v/>
      </c>
      <c r="E173" s="7" t="str" cm="1">
        <f t="array" aca="1" ref="E173" ca="1">IFERROR(IF(OR('Raw Data'!E173="",LEN(TRIM('Raw Data'!E173))=0),"",IF(AND(ISNUMBER('Raw Data'!E173), IFERROR('Raw Data'!E173 = ROUND('Raw Data'!E173, 2),FALSE)),"",_xlfn.REGEXEXTRACT(CELL("address",E173), "\$([A-Z]+)\$[0-9]+"))),_xlfn.REGEXEXTRACT(CELL("address",E173), "\$([A-Z]+)\$[0-9]+"))</f>
        <v/>
      </c>
      <c r="F173" s="7" t="str" cm="1">
        <f t="array" aca="1" ref="F173" ca="1">IFERROR(IF(OR('Raw Data'!F173="",LEN(TRIM('Raw Data'!F173))=0),"",IF(AND(ISNUMBER('Raw Data'!F173), IFERROR('Raw Data'!F173 = ROUND('Raw Data'!F173, 2),FALSE)),"",_xlfn.REGEXEXTRACT(CELL("address",F173), "\$([A-Z]+)\$[0-9]+"))),_xlfn.REGEXEXTRACT(CELL("address",F173), "\$([A-Z]+)\$[0-9]+"))</f>
        <v/>
      </c>
      <c r="G173" s="7" t="str" cm="1">
        <f t="array" aca="1" ref="G173" ca="1">IFERROR(IF(OR('Raw Data'!G173="",LEN(TRIM('Raw Data'!G173))=0),"",IF(AND(ISNUMBER('Raw Data'!G173), IFERROR('Raw Data'!G173 = ROUND('Raw Data'!G173, 2),FALSE)),"",_xlfn.REGEXEXTRACT(CELL("address",G173), "\$([A-Z]+)\$[0-9]+"))),_xlfn.REGEXEXTRACT(CELL("address",G173), "\$([A-Z]+)\$[0-9]+"))</f>
        <v/>
      </c>
      <c r="H173" s="7" t="str" cm="1">
        <f t="array" aca="1" ref="H173" ca="1">IFERROR(IF(OR('Raw Data'!H173="",LEN(TRIM('Raw Data'!H173))=0),"",IF(AND(ISNUMBER('Raw Data'!H173), IFERROR('Raw Data'!H173 = ROUND('Raw Data'!H173, 2),FALSE)),"",_xlfn.REGEXEXTRACT(CELL("address",H173), "\$([A-Z]+)\$[0-9]+"))),_xlfn.REGEXEXTRACT(CELL("address",H173), "\$([A-Z]+)\$[0-9]+"))</f>
        <v/>
      </c>
      <c r="I173" s="7" t="str" cm="1">
        <f t="array" aca="1" ref="I173" ca="1">IFERROR(IF(OR('Raw Data'!I173="",LEN(TRIM('Raw Data'!I173))=0),"",IF(AND(ISNUMBER('Raw Data'!I173), IFERROR('Raw Data'!I173 = ROUND('Raw Data'!I173, 2),FALSE)),"",_xlfn.REGEXEXTRACT(CELL("address",I173), "\$([A-Z]+)\$[0-9]+"))),_xlfn.REGEXEXTRACT(CELL("address",I173), "\$([A-Z]+)\$[0-9]+"))</f>
        <v/>
      </c>
      <c r="J173" s="7" t="str" cm="1">
        <f t="array" aca="1" ref="J173" ca="1">IFERROR(IF(OR('Raw Data'!J173="",LEN(TRIM('Raw Data'!J173))=0),"",IF(AND(ISNUMBER('Raw Data'!J173), IFERROR('Raw Data'!J173 = ROUND('Raw Data'!J173, 2),FALSE)),"",_xlfn.REGEXEXTRACT(CELL("address",J173), "\$([A-Z]+)\$[0-9]+"))),_xlfn.REGEXEXTRACT(CELL("address",J173), "\$([A-Z]+)\$[0-9]+"))</f>
        <v/>
      </c>
      <c r="K173" s="7" t="str" cm="1">
        <f t="array" aca="1" ref="K173" ca="1">IFERROR(IF(OR('Raw Data'!K173="",LEN(TRIM('Raw Data'!K173))=0),"",IF(AND(ISNUMBER('Raw Data'!K173), IFERROR('Raw Data'!K173 = ROUND('Raw Data'!K173, 2),FALSE)),"",_xlfn.REGEXEXTRACT(CELL("address",K173), "\$([A-Z]+)\$[0-9]+"))),_xlfn.REGEXEXTRACT(CELL("address",K173), "\$([A-Z]+)\$[0-9]+"))</f>
        <v/>
      </c>
      <c r="L173" s="7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7" t="str" cm="1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7" t="str" cm="1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  <c r="O173" s="7" t="str" cm="1">
        <f t="array" aca="1" ref="O173" ca="1">IFERROR(IF(OR('Raw Data'!O173="",LEN(TRIM('Raw Data'!O173))=0),"",IF(AND(ISNUMBER('Raw Data'!O173), IFERROR('Raw Data'!O173 = ROUND('Raw Data'!O173, 2),FALSE)),"",_xlfn.REGEXEXTRACT(CELL("address",O173), "\$([A-Z]+)\$[0-9]+"))),_xlfn.REGEXEXTRACT(CELL("address",O173), "\$([A-Z]+)\$[0-9]+"))</f>
        <v/>
      </c>
      <c r="P173" s="7" t="str" cm="1">
        <f t="array" aca="1" ref="P173" ca="1">IFERROR(IF(OR('Raw Data'!P173="",LEN(TRIM('Raw Data'!P173))=0),"",IF(AND(ISNUMBER('Raw Data'!P173), IFERROR('Raw Data'!P173 = ROUND('Raw Data'!P173, 2),FALSE)),"",_xlfn.REGEXEXTRACT(CELL("address",P173), "\$([A-Z]+)\$[0-9]+"))),_xlfn.REGEXEXTRACT(CELL("address",P173), "\$([A-Z]+)\$[0-9]+"))</f>
        <v/>
      </c>
      <c r="Q173" s="7" t="str" cm="1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7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7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7" t="str" cm="1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7" t="str" cm="1">
        <f t="array" aca="1" ref="U173" ca="1">IFERROR(IF(OR('Raw Data'!U173="",LEN(TRIM('Raw Data'!U173))=0),"",IF(AND(ISNUMBER('Raw Data'!U173), IFERROR('Raw Data'!U173 = ROUND('Raw Data'!U173, 2),FALSE)),"",_xlfn.REGEXEXTRACT(CELL("address",U173), "\$([A-Z]+)\$[0-9]+"))),_xlfn.REGEXEXTRACT(CELL("address",U173), "\$([A-Z]+)\$[0-9]+"))</f>
        <v/>
      </c>
      <c r="V173" s="7" t="str" cm="1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7" t="str" cm="1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7" t="str" cm="1">
        <f t="array" aca="1" ref="X173" ca="1">IFERROR(IF(OR('Raw Data'!X173="",LEN(TRIM('Raw Data'!X173))=0),"",IF(AND(ISNUMBER('Raw Data'!X173), IFERROR('Raw Data'!X173 = ROUND('Raw Data'!X173, 2),FALSE)),"",_xlfn.REGEXEXTRACT(CELL("address",X173), "\$([A-Z]+)\$[0-9]+"))),_xlfn.REGEXEXTRACT(CELL("address",X173), "\$([A-Z]+)\$[0-9]+"))</f>
        <v/>
      </c>
      <c r="Y173" s="7" t="str" cm="1">
        <f t="array" aca="1" ref="Y173" ca="1">IFERROR(IF(OR('Raw Data'!Y173="",LEN(TRIM('Raw Data'!Y173))=0),"",IF(AND(ISNUMBER('Raw Data'!Y173), IFERROR('Raw Data'!Y173 = ROUND('Raw Data'!Y173, 2),FALSE)),"",_xlfn.REGEXEXTRACT(CELL("address",Y173), "\$([A-Z]+)\$[0-9]+"))),_xlfn.REGEXEXTRACT(CELL("address",Y173), "\$([A-Z]+)\$[0-9]+"))</f>
        <v/>
      </c>
      <c r="Z173" s="7" t="str" cm="1">
        <f t="array" aca="1" ref="Z173" ca="1">IFERROR(IF(OR('Raw Data'!Z173="",LEN(TRIM('Raw Data'!Z173))=0),"",IF(AND(ISNUMBER('Raw Data'!Z173), IFERROR('Raw Data'!Z173 = ROUND('Raw Data'!Z173, 2),FALSE)),"",_xlfn.REGEXEXTRACT(CELL("address",Z173), "\$([A-Z]+)\$[0-9]+"))),_xlfn.REGEXEXTRACT(CELL("address",Z173), "\$([A-Z]+)\$[0-9]+"))</f>
        <v/>
      </c>
      <c r="AA173" s="7" t="str" cm="1">
        <f t="array" aca="1" ref="AA173" ca="1">IFERROR(IF(OR('Raw Data'!AA173="",LEN(TRIM('Raw Data'!AA173))=0),"",IF(AND(ISNUMBER('Raw Data'!AA173), IFERROR('Raw Data'!AA173 = ROUND('Raw Data'!AA173, 2),FALSE)),"",_xlfn.REGEXEXTRACT(CELL("address",AA173), "\$([A-Z]+)\$[0-9]+"))),_xlfn.REGEXEXTRACT(CELL("address",AA173), "\$([A-Z]+)\$[0-9]+"))</f>
        <v/>
      </c>
      <c r="AB173" s="7" t="str" cm="1">
        <f t="array" aca="1" ref="AB173" ca="1">IFERROR(IF(OR('Raw Data'!AB173="",LEN(TRIM('Raw Data'!AB173))=0),"",IF(AND(ISNUMBER('Raw Data'!AB173), IFERROR('Raw Data'!AB173 = ROUND('Raw Data'!AB173, 2),FALSE)),"",_xlfn.REGEXEXTRACT(CELL("address",AB173), "\$([A-Z]+)\$[0-9]+"))),_xlfn.REGEXEXTRACT(CELL("address",AB173), "\$([A-Z]+)\$[0-9]+"))</f>
        <v/>
      </c>
    </row>
    <row r="174" spans="2:28" x14ac:dyDescent="0.25">
      <c r="B174" s="7" t="str" cm="1">
        <f t="array" aca="1" ref="B174" ca="1">IFERROR(IF(OR('Raw Data'!B174="",LEN(TRIM('Raw Data'!B174))=0),"",IF(AND(LEN('Raw Data'!B174) &lt;= 255,LEN('Raw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Data'!C174))=0),"",IF(AND(LEN('Raw Data'!C174) &lt;= 20,LEN('Raw Data'!C174)&gt; 0),"",_xlfn.REGEXEXTRACT(CELL("address",'Raw Data'!C174),"\$([A-Z]+)\$[0-9]+"))),_xlfn.REGEXEXTRACT(CELL("address",'Raw Data'!C174),"\$([A-Z]+)\$[0-9]+"))</f>
        <v/>
      </c>
      <c r="D174" s="7" t="str" cm="1">
        <f t="array" aca="1" ref="D174" ca="1">IFERROR(IF(OR('Raw Data'!D174="",LEN(TRIM('Raw Data'!D174))=0),"",IF(AND(ISNUMBER('Raw Data'!D174),'Raw Data'!D174&gt;=Configuration!$D$2),"",_xlfn.REGEXEXTRACT(CELL("address",'Raw Data'!D174),"\$([A-Z]+)\$[0-9]+"))),_xlfn.REGEXEXTRACT(CELL("address",D174), "\$([A-Z]+)\$[0-9]+"))</f>
        <v/>
      </c>
      <c r="E174" s="7" t="str" cm="1">
        <f t="array" aca="1" ref="E174" ca="1">IFERROR(IF(OR('Raw Data'!E174="",LEN(TRIM('Raw Data'!E174))=0),"",IF(AND(ISNUMBER('Raw Data'!E174), IFERROR('Raw Data'!E174 = ROUND('Raw Data'!E174, 2),FALSE)),"",_xlfn.REGEXEXTRACT(CELL("address",E174), "\$([A-Z]+)\$[0-9]+"))),_xlfn.REGEXEXTRACT(CELL("address",E174), "\$([A-Z]+)\$[0-9]+"))</f>
        <v/>
      </c>
      <c r="F174" s="7" t="str" cm="1">
        <f t="array" aca="1" ref="F174" ca="1">IFERROR(IF(OR('Raw Data'!F174="",LEN(TRIM('Raw Data'!F174))=0),"",IF(AND(ISNUMBER('Raw Data'!F174), IFERROR('Raw Data'!F174 = ROUND('Raw Data'!F174, 2),FALSE)),"",_xlfn.REGEXEXTRACT(CELL("address",F174), "\$([A-Z]+)\$[0-9]+"))),_xlfn.REGEXEXTRACT(CELL("address",F174), "\$([A-Z]+)\$[0-9]+"))</f>
        <v/>
      </c>
      <c r="G174" s="7" t="str" cm="1">
        <f t="array" aca="1" ref="G174" ca="1">IFERROR(IF(OR('Raw Data'!G174="",LEN(TRIM('Raw Data'!G174))=0),"",IF(AND(ISNUMBER('Raw Data'!G174), IFERROR('Raw Data'!G174 = ROUND('Raw Data'!G174, 2),FALSE)),"",_xlfn.REGEXEXTRACT(CELL("address",G174), "\$([A-Z]+)\$[0-9]+"))),_xlfn.REGEXEXTRACT(CELL("address",G174), "\$([A-Z]+)\$[0-9]+"))</f>
        <v/>
      </c>
      <c r="H174" s="7" t="str" cm="1">
        <f t="array" aca="1" ref="H174" ca="1">IFERROR(IF(OR('Raw Data'!H174="",LEN(TRIM('Raw Data'!H174))=0),"",IF(AND(ISNUMBER('Raw Data'!H174), IFERROR('Raw Data'!H174 = ROUND('Raw Data'!H174, 2),FALSE)),"",_xlfn.REGEXEXTRACT(CELL("address",H174), "\$([A-Z]+)\$[0-9]+"))),_xlfn.REGEXEXTRACT(CELL("address",H174), "\$([A-Z]+)\$[0-9]+"))</f>
        <v/>
      </c>
      <c r="I174" s="7" t="str" cm="1">
        <f t="array" aca="1" ref="I174" ca="1">IFERROR(IF(OR('Raw Data'!I174="",LEN(TRIM('Raw Data'!I174))=0),"",IF(AND(ISNUMBER('Raw Data'!I174), IFERROR('Raw Data'!I174 = ROUND('Raw Data'!I174, 2),FALSE)),"",_xlfn.REGEXEXTRACT(CELL("address",I174), "\$([A-Z]+)\$[0-9]+"))),_xlfn.REGEXEXTRACT(CELL("address",I174), "\$([A-Z]+)\$[0-9]+"))</f>
        <v/>
      </c>
      <c r="J174" s="7" t="str" cm="1">
        <f t="array" aca="1" ref="J174" ca="1">IFERROR(IF(OR('Raw Data'!J174="",LEN(TRIM('Raw Data'!J174))=0),"",IF(AND(ISNUMBER('Raw Data'!J174), IFERROR('Raw Data'!J174 = ROUND('Raw Data'!J174, 2),FALSE)),"",_xlfn.REGEXEXTRACT(CELL("address",J174), "\$([A-Z]+)\$[0-9]+"))),_xlfn.REGEXEXTRACT(CELL("address",J174), "\$([A-Z]+)\$[0-9]+"))</f>
        <v/>
      </c>
      <c r="K174" s="7" t="str" cm="1">
        <f t="array" aca="1" ref="K174" ca="1">IFERROR(IF(OR('Raw Data'!K174="",LEN(TRIM('Raw Data'!K174))=0),"",IF(AND(ISNUMBER('Raw Data'!K174), IFERROR('Raw Data'!K174 = ROUND('Raw Data'!K174, 2),FALSE)),"",_xlfn.REGEXEXTRACT(CELL("address",K174), "\$([A-Z]+)\$[0-9]+"))),_xlfn.REGEXEXTRACT(CELL("address",K174), "\$([A-Z]+)\$[0-9]+"))</f>
        <v/>
      </c>
      <c r="L174" s="7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7" t="str" cm="1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7" t="str" cm="1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  <c r="O174" s="7" t="str" cm="1">
        <f t="array" aca="1" ref="O174" ca="1">IFERROR(IF(OR('Raw Data'!O174="",LEN(TRIM('Raw Data'!O174))=0),"",IF(AND(ISNUMBER('Raw Data'!O174), IFERROR('Raw Data'!O174 = ROUND('Raw Data'!O174, 2),FALSE)),"",_xlfn.REGEXEXTRACT(CELL("address",O174), "\$([A-Z]+)\$[0-9]+"))),_xlfn.REGEXEXTRACT(CELL("address",O174), "\$([A-Z]+)\$[0-9]+"))</f>
        <v/>
      </c>
      <c r="P174" s="7" t="str" cm="1">
        <f t="array" aca="1" ref="P174" ca="1">IFERROR(IF(OR('Raw Data'!P174="",LEN(TRIM('Raw Data'!P174))=0),"",IF(AND(ISNUMBER('Raw Data'!P174), IFERROR('Raw Data'!P174 = ROUND('Raw Data'!P174, 2),FALSE)),"",_xlfn.REGEXEXTRACT(CELL("address",P174), "\$([A-Z]+)\$[0-9]+"))),_xlfn.REGEXEXTRACT(CELL("address",P174), "\$([A-Z]+)\$[0-9]+"))</f>
        <v/>
      </c>
      <c r="Q174" s="7" t="str" cm="1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7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7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7" t="str" cm="1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7" t="str" cm="1">
        <f t="array" aca="1" ref="U174" ca="1">IFERROR(IF(OR('Raw Data'!U174="",LEN(TRIM('Raw Data'!U174))=0),"",IF(AND(ISNUMBER('Raw Data'!U174), IFERROR('Raw Data'!U174 = ROUND('Raw Data'!U174, 2),FALSE)),"",_xlfn.REGEXEXTRACT(CELL("address",U174), "\$([A-Z]+)\$[0-9]+"))),_xlfn.REGEXEXTRACT(CELL("address",U174), "\$([A-Z]+)\$[0-9]+"))</f>
        <v/>
      </c>
      <c r="V174" s="7" t="str" cm="1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7" t="str" cm="1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7" t="str" cm="1">
        <f t="array" aca="1" ref="X174" ca="1">IFERROR(IF(OR('Raw Data'!X174="",LEN(TRIM('Raw Data'!X174))=0),"",IF(AND(ISNUMBER('Raw Data'!X174), IFERROR('Raw Data'!X174 = ROUND('Raw Data'!X174, 2),FALSE)),"",_xlfn.REGEXEXTRACT(CELL("address",X174), "\$([A-Z]+)\$[0-9]+"))),_xlfn.REGEXEXTRACT(CELL("address",X174), "\$([A-Z]+)\$[0-9]+"))</f>
        <v/>
      </c>
      <c r="Y174" s="7" t="str" cm="1">
        <f t="array" aca="1" ref="Y174" ca="1">IFERROR(IF(OR('Raw Data'!Y174="",LEN(TRIM('Raw Data'!Y174))=0),"",IF(AND(ISNUMBER('Raw Data'!Y174), IFERROR('Raw Data'!Y174 = ROUND('Raw Data'!Y174, 2),FALSE)),"",_xlfn.REGEXEXTRACT(CELL("address",Y174), "\$([A-Z]+)\$[0-9]+"))),_xlfn.REGEXEXTRACT(CELL("address",Y174), "\$([A-Z]+)\$[0-9]+"))</f>
        <v/>
      </c>
      <c r="Z174" s="7" t="str" cm="1">
        <f t="array" aca="1" ref="Z174" ca="1">IFERROR(IF(OR('Raw Data'!Z174="",LEN(TRIM('Raw Data'!Z174))=0),"",IF(AND(ISNUMBER('Raw Data'!Z174), IFERROR('Raw Data'!Z174 = ROUND('Raw Data'!Z174, 2),FALSE)),"",_xlfn.REGEXEXTRACT(CELL("address",Z174), "\$([A-Z]+)\$[0-9]+"))),_xlfn.REGEXEXTRACT(CELL("address",Z174), "\$([A-Z]+)\$[0-9]+"))</f>
        <v/>
      </c>
      <c r="AA174" s="7" t="str" cm="1">
        <f t="array" aca="1" ref="AA174" ca="1">IFERROR(IF(OR('Raw Data'!AA174="",LEN(TRIM('Raw Data'!AA174))=0),"",IF(AND(ISNUMBER('Raw Data'!AA174), IFERROR('Raw Data'!AA174 = ROUND('Raw Data'!AA174, 2),FALSE)),"",_xlfn.REGEXEXTRACT(CELL("address",AA174), "\$([A-Z]+)\$[0-9]+"))),_xlfn.REGEXEXTRACT(CELL("address",AA174), "\$([A-Z]+)\$[0-9]+"))</f>
        <v/>
      </c>
      <c r="AB174" s="7" t="str" cm="1">
        <f t="array" aca="1" ref="AB174" ca="1">IFERROR(IF(OR('Raw Data'!AB174="",LEN(TRIM('Raw Data'!AB174))=0),"",IF(AND(ISNUMBER('Raw Data'!AB174), IFERROR('Raw Data'!AB174 = ROUND('Raw Data'!AB174, 2),FALSE)),"",_xlfn.REGEXEXTRACT(CELL("address",AB174), "\$([A-Z]+)\$[0-9]+"))),_xlfn.REGEXEXTRACT(CELL("address",AB174), "\$([A-Z]+)\$[0-9]+"))</f>
        <v/>
      </c>
    </row>
    <row r="175" spans="2:28" x14ac:dyDescent="0.25">
      <c r="B175" s="7" t="str" cm="1">
        <f t="array" aca="1" ref="B175" ca="1">IFERROR(IF(OR('Raw Data'!B175="",LEN(TRIM('Raw Data'!B175))=0),"",IF(AND(LEN('Raw Data'!B175) &lt;= 255,LEN('Raw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Data'!C175))=0),"",IF(AND(LEN('Raw Data'!C175) &lt;= 20,LEN('Raw Data'!C175)&gt; 0),"",_xlfn.REGEXEXTRACT(CELL("address",'Raw Data'!C175),"\$([A-Z]+)\$[0-9]+"))),_xlfn.REGEXEXTRACT(CELL("address",'Raw Data'!C175),"\$([A-Z]+)\$[0-9]+"))</f>
        <v/>
      </c>
      <c r="D175" s="7" t="str" cm="1">
        <f t="array" aca="1" ref="D175" ca="1">IFERROR(IF(OR('Raw Data'!D175="",LEN(TRIM('Raw Data'!D175))=0),"",IF(AND(ISNUMBER('Raw Data'!D175),'Raw Data'!D175&gt;=Configuration!$D$2),"",_xlfn.REGEXEXTRACT(CELL("address",'Raw Data'!D175),"\$([A-Z]+)\$[0-9]+"))),_xlfn.REGEXEXTRACT(CELL("address",D175), "\$([A-Z]+)\$[0-9]+"))</f>
        <v/>
      </c>
      <c r="E175" s="7" t="str" cm="1">
        <f t="array" aca="1" ref="E175" ca="1">IFERROR(IF(OR('Raw Data'!E175="",LEN(TRIM('Raw Data'!E175))=0),"",IF(AND(ISNUMBER('Raw Data'!E175), IFERROR('Raw Data'!E175 = ROUND('Raw Data'!E175, 2),FALSE)),"",_xlfn.REGEXEXTRACT(CELL("address",E175), "\$([A-Z]+)\$[0-9]+"))),_xlfn.REGEXEXTRACT(CELL("address",E175), "\$([A-Z]+)\$[0-9]+"))</f>
        <v/>
      </c>
      <c r="F175" s="7" t="str" cm="1">
        <f t="array" aca="1" ref="F175" ca="1">IFERROR(IF(OR('Raw Data'!F175="",LEN(TRIM('Raw Data'!F175))=0),"",IF(AND(ISNUMBER('Raw Data'!F175), IFERROR('Raw Data'!F175 = ROUND('Raw Data'!F175, 2),FALSE)),"",_xlfn.REGEXEXTRACT(CELL("address",F175), "\$([A-Z]+)\$[0-9]+"))),_xlfn.REGEXEXTRACT(CELL("address",F175), "\$([A-Z]+)\$[0-9]+"))</f>
        <v/>
      </c>
      <c r="G175" s="7" t="str" cm="1">
        <f t="array" aca="1" ref="G175" ca="1">IFERROR(IF(OR('Raw Data'!G175="",LEN(TRIM('Raw Data'!G175))=0),"",IF(AND(ISNUMBER('Raw Data'!G175), IFERROR('Raw Data'!G175 = ROUND('Raw Data'!G175, 2),FALSE)),"",_xlfn.REGEXEXTRACT(CELL("address",G175), "\$([A-Z]+)\$[0-9]+"))),_xlfn.REGEXEXTRACT(CELL("address",G175), "\$([A-Z]+)\$[0-9]+"))</f>
        <v/>
      </c>
      <c r="H175" s="7" t="str" cm="1">
        <f t="array" aca="1" ref="H175" ca="1">IFERROR(IF(OR('Raw Data'!H175="",LEN(TRIM('Raw Data'!H175))=0),"",IF(AND(ISNUMBER('Raw Data'!H175), IFERROR('Raw Data'!H175 = ROUND('Raw Data'!H175, 2),FALSE)),"",_xlfn.REGEXEXTRACT(CELL("address",H175), "\$([A-Z]+)\$[0-9]+"))),_xlfn.REGEXEXTRACT(CELL("address",H175), "\$([A-Z]+)\$[0-9]+"))</f>
        <v/>
      </c>
      <c r="I175" s="7" t="str" cm="1">
        <f t="array" aca="1" ref="I175" ca="1">IFERROR(IF(OR('Raw Data'!I175="",LEN(TRIM('Raw Data'!I175))=0),"",IF(AND(ISNUMBER('Raw Data'!I175), IFERROR('Raw Data'!I175 = ROUND('Raw Data'!I175, 2),FALSE)),"",_xlfn.REGEXEXTRACT(CELL("address",I175), "\$([A-Z]+)\$[0-9]+"))),_xlfn.REGEXEXTRACT(CELL("address",I175), "\$([A-Z]+)\$[0-9]+"))</f>
        <v/>
      </c>
      <c r="J175" s="7" t="str" cm="1">
        <f t="array" aca="1" ref="J175" ca="1">IFERROR(IF(OR('Raw Data'!J175="",LEN(TRIM('Raw Data'!J175))=0),"",IF(AND(ISNUMBER('Raw Data'!J175), IFERROR('Raw Data'!J175 = ROUND('Raw Data'!J175, 2),FALSE)),"",_xlfn.REGEXEXTRACT(CELL("address",J175), "\$([A-Z]+)\$[0-9]+"))),_xlfn.REGEXEXTRACT(CELL("address",J175), "\$([A-Z]+)\$[0-9]+"))</f>
        <v/>
      </c>
      <c r="K175" s="7" t="str" cm="1">
        <f t="array" aca="1" ref="K175" ca="1">IFERROR(IF(OR('Raw Data'!K175="",LEN(TRIM('Raw Data'!K175))=0),"",IF(AND(ISNUMBER('Raw Data'!K175), IFERROR('Raw Data'!K175 = ROUND('Raw Data'!K175, 2),FALSE)),"",_xlfn.REGEXEXTRACT(CELL("address",K175), "\$([A-Z]+)\$[0-9]+"))),_xlfn.REGEXEXTRACT(CELL("address",K175), "\$([A-Z]+)\$[0-9]+"))</f>
        <v/>
      </c>
      <c r="L175" s="7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7" t="str" cm="1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7" t="str" cm="1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  <c r="O175" s="7" t="str" cm="1">
        <f t="array" aca="1" ref="O175" ca="1">IFERROR(IF(OR('Raw Data'!O175="",LEN(TRIM('Raw Data'!O175))=0),"",IF(AND(ISNUMBER('Raw Data'!O175), IFERROR('Raw Data'!O175 = ROUND('Raw Data'!O175, 2),FALSE)),"",_xlfn.REGEXEXTRACT(CELL("address",O175), "\$([A-Z]+)\$[0-9]+"))),_xlfn.REGEXEXTRACT(CELL("address",O175), "\$([A-Z]+)\$[0-9]+"))</f>
        <v/>
      </c>
      <c r="P175" s="7" t="str" cm="1">
        <f t="array" aca="1" ref="P175" ca="1">IFERROR(IF(OR('Raw Data'!P175="",LEN(TRIM('Raw Data'!P175))=0),"",IF(AND(ISNUMBER('Raw Data'!P175), IFERROR('Raw Data'!P175 = ROUND('Raw Data'!P175, 2),FALSE)),"",_xlfn.REGEXEXTRACT(CELL("address",P175), "\$([A-Z]+)\$[0-9]+"))),_xlfn.REGEXEXTRACT(CELL("address",P175), "\$([A-Z]+)\$[0-9]+"))</f>
        <v/>
      </c>
      <c r="Q175" s="7" t="str" cm="1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7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7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7" t="str" cm="1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7" t="str" cm="1">
        <f t="array" aca="1" ref="U175" ca="1">IFERROR(IF(OR('Raw Data'!U175="",LEN(TRIM('Raw Data'!U175))=0),"",IF(AND(ISNUMBER('Raw Data'!U175), IFERROR('Raw Data'!U175 = ROUND('Raw Data'!U175, 2),FALSE)),"",_xlfn.REGEXEXTRACT(CELL("address",U175), "\$([A-Z]+)\$[0-9]+"))),_xlfn.REGEXEXTRACT(CELL("address",U175), "\$([A-Z]+)\$[0-9]+"))</f>
        <v/>
      </c>
      <c r="V175" s="7" t="str" cm="1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7" t="str" cm="1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7" t="str" cm="1">
        <f t="array" aca="1" ref="X175" ca="1">IFERROR(IF(OR('Raw Data'!X175="",LEN(TRIM('Raw Data'!X175))=0),"",IF(AND(ISNUMBER('Raw Data'!X175), IFERROR('Raw Data'!X175 = ROUND('Raw Data'!X175, 2),FALSE)),"",_xlfn.REGEXEXTRACT(CELL("address",X175), "\$([A-Z]+)\$[0-9]+"))),_xlfn.REGEXEXTRACT(CELL("address",X175), "\$([A-Z]+)\$[0-9]+"))</f>
        <v/>
      </c>
      <c r="Y175" s="7" t="str" cm="1">
        <f t="array" aca="1" ref="Y175" ca="1">IFERROR(IF(OR('Raw Data'!Y175="",LEN(TRIM('Raw Data'!Y175))=0),"",IF(AND(ISNUMBER('Raw Data'!Y175), IFERROR('Raw Data'!Y175 = ROUND('Raw Data'!Y175, 2),FALSE)),"",_xlfn.REGEXEXTRACT(CELL("address",Y175), "\$([A-Z]+)\$[0-9]+"))),_xlfn.REGEXEXTRACT(CELL("address",Y175), "\$([A-Z]+)\$[0-9]+"))</f>
        <v/>
      </c>
      <c r="Z175" s="7" t="str" cm="1">
        <f t="array" aca="1" ref="Z175" ca="1">IFERROR(IF(OR('Raw Data'!Z175="",LEN(TRIM('Raw Data'!Z175))=0),"",IF(AND(ISNUMBER('Raw Data'!Z175), IFERROR('Raw Data'!Z175 = ROUND('Raw Data'!Z175, 2),FALSE)),"",_xlfn.REGEXEXTRACT(CELL("address",Z175), "\$([A-Z]+)\$[0-9]+"))),_xlfn.REGEXEXTRACT(CELL("address",Z175), "\$([A-Z]+)\$[0-9]+"))</f>
        <v/>
      </c>
      <c r="AA175" s="7" t="str" cm="1">
        <f t="array" aca="1" ref="AA175" ca="1">IFERROR(IF(OR('Raw Data'!AA175="",LEN(TRIM('Raw Data'!AA175))=0),"",IF(AND(ISNUMBER('Raw Data'!AA175), IFERROR('Raw Data'!AA175 = ROUND('Raw Data'!AA175, 2),FALSE)),"",_xlfn.REGEXEXTRACT(CELL("address",AA175), "\$([A-Z]+)\$[0-9]+"))),_xlfn.REGEXEXTRACT(CELL("address",AA175), "\$([A-Z]+)\$[0-9]+"))</f>
        <v/>
      </c>
      <c r="AB175" s="7" t="str" cm="1">
        <f t="array" aca="1" ref="AB175" ca="1">IFERROR(IF(OR('Raw Data'!AB175="",LEN(TRIM('Raw Data'!AB175))=0),"",IF(AND(ISNUMBER('Raw Data'!AB175), IFERROR('Raw Data'!AB175 = ROUND('Raw Data'!AB175, 2),FALSE)),"",_xlfn.REGEXEXTRACT(CELL("address",AB175), "\$([A-Z]+)\$[0-9]+"))),_xlfn.REGEXEXTRACT(CELL("address",AB175), "\$([A-Z]+)\$[0-9]+"))</f>
        <v/>
      </c>
    </row>
    <row r="176" spans="2:28" x14ac:dyDescent="0.25">
      <c r="B176" s="7" t="str" cm="1">
        <f t="array" aca="1" ref="B176" ca="1">IFERROR(IF(OR('Raw Data'!B176="",LEN(TRIM('Raw Data'!B176))=0),"",IF(AND(LEN('Raw Data'!B176) &lt;= 255,LEN('Raw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Data'!C176))=0),"",IF(AND(LEN('Raw Data'!C176) &lt;= 20,LEN('Raw Data'!C176)&gt; 0),"",_xlfn.REGEXEXTRACT(CELL("address",'Raw Data'!C176),"\$([A-Z]+)\$[0-9]+"))),_xlfn.REGEXEXTRACT(CELL("address",'Raw Data'!C176),"\$([A-Z]+)\$[0-9]+"))</f>
        <v/>
      </c>
      <c r="D176" s="7" t="str" cm="1">
        <f t="array" aca="1" ref="D176" ca="1">IFERROR(IF(OR('Raw Data'!D176="",LEN(TRIM('Raw Data'!D176))=0),"",IF(AND(ISNUMBER('Raw Data'!D176),'Raw Data'!D176&gt;=Configuration!$D$2),"",_xlfn.REGEXEXTRACT(CELL("address",'Raw Data'!D176),"\$([A-Z]+)\$[0-9]+"))),_xlfn.REGEXEXTRACT(CELL("address",D176), "\$([A-Z]+)\$[0-9]+"))</f>
        <v/>
      </c>
      <c r="E176" s="7" t="str" cm="1">
        <f t="array" aca="1" ref="E176" ca="1">IFERROR(IF(OR('Raw Data'!E176="",LEN(TRIM('Raw Data'!E176))=0),"",IF(AND(ISNUMBER('Raw Data'!E176), IFERROR('Raw Data'!E176 = ROUND('Raw Data'!E176, 2),FALSE)),"",_xlfn.REGEXEXTRACT(CELL("address",E176), "\$([A-Z]+)\$[0-9]+"))),_xlfn.REGEXEXTRACT(CELL("address",E176), "\$([A-Z]+)\$[0-9]+"))</f>
        <v/>
      </c>
      <c r="F176" s="7" t="str" cm="1">
        <f t="array" aca="1" ref="F176" ca="1">IFERROR(IF(OR('Raw Data'!F176="",LEN(TRIM('Raw Data'!F176))=0),"",IF(AND(ISNUMBER('Raw Data'!F176), IFERROR('Raw Data'!F176 = ROUND('Raw Data'!F176, 2),FALSE)),"",_xlfn.REGEXEXTRACT(CELL("address",F176), "\$([A-Z]+)\$[0-9]+"))),_xlfn.REGEXEXTRACT(CELL("address",F176), "\$([A-Z]+)\$[0-9]+"))</f>
        <v/>
      </c>
      <c r="G176" s="7" t="str" cm="1">
        <f t="array" aca="1" ref="G176" ca="1">IFERROR(IF(OR('Raw Data'!G176="",LEN(TRIM('Raw Data'!G176))=0),"",IF(AND(ISNUMBER('Raw Data'!G176), IFERROR('Raw Data'!G176 = ROUND('Raw Data'!G176, 2),FALSE)),"",_xlfn.REGEXEXTRACT(CELL("address",G176), "\$([A-Z]+)\$[0-9]+"))),_xlfn.REGEXEXTRACT(CELL("address",G176), "\$([A-Z]+)\$[0-9]+"))</f>
        <v/>
      </c>
      <c r="H176" s="7" t="str" cm="1">
        <f t="array" aca="1" ref="H176" ca="1">IFERROR(IF(OR('Raw Data'!H176="",LEN(TRIM('Raw Data'!H176))=0),"",IF(AND(ISNUMBER('Raw Data'!H176), IFERROR('Raw Data'!H176 = ROUND('Raw Data'!H176, 2),FALSE)),"",_xlfn.REGEXEXTRACT(CELL("address",H176), "\$([A-Z]+)\$[0-9]+"))),_xlfn.REGEXEXTRACT(CELL("address",H176), "\$([A-Z]+)\$[0-9]+"))</f>
        <v/>
      </c>
      <c r="I176" s="7" t="str" cm="1">
        <f t="array" aca="1" ref="I176" ca="1">IFERROR(IF(OR('Raw Data'!I176="",LEN(TRIM('Raw Data'!I176))=0),"",IF(AND(ISNUMBER('Raw Data'!I176), IFERROR('Raw Data'!I176 = ROUND('Raw Data'!I176, 2),FALSE)),"",_xlfn.REGEXEXTRACT(CELL("address",I176), "\$([A-Z]+)\$[0-9]+"))),_xlfn.REGEXEXTRACT(CELL("address",I176), "\$([A-Z]+)\$[0-9]+"))</f>
        <v/>
      </c>
      <c r="J176" s="7" t="str" cm="1">
        <f t="array" aca="1" ref="J176" ca="1">IFERROR(IF(OR('Raw Data'!J176="",LEN(TRIM('Raw Data'!J176))=0),"",IF(AND(ISNUMBER('Raw Data'!J176), IFERROR('Raw Data'!J176 = ROUND('Raw Data'!J176, 2),FALSE)),"",_xlfn.REGEXEXTRACT(CELL("address",J176), "\$([A-Z]+)\$[0-9]+"))),_xlfn.REGEXEXTRACT(CELL("address",J176), "\$([A-Z]+)\$[0-9]+"))</f>
        <v/>
      </c>
      <c r="K176" s="7" t="str" cm="1">
        <f t="array" aca="1" ref="K176" ca="1">IFERROR(IF(OR('Raw Data'!K176="",LEN(TRIM('Raw Data'!K176))=0),"",IF(AND(ISNUMBER('Raw Data'!K176), IFERROR('Raw Data'!K176 = ROUND('Raw Data'!K176, 2),FALSE)),"",_xlfn.REGEXEXTRACT(CELL("address",K176), "\$([A-Z]+)\$[0-9]+"))),_xlfn.REGEXEXTRACT(CELL("address",K176), "\$([A-Z]+)\$[0-9]+"))</f>
        <v/>
      </c>
      <c r="L176" s="7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7" t="str" cm="1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7" t="str" cm="1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  <c r="O176" s="7" t="str" cm="1">
        <f t="array" aca="1" ref="O176" ca="1">IFERROR(IF(OR('Raw Data'!O176="",LEN(TRIM('Raw Data'!O176))=0),"",IF(AND(ISNUMBER('Raw Data'!O176), IFERROR('Raw Data'!O176 = ROUND('Raw Data'!O176, 2),FALSE)),"",_xlfn.REGEXEXTRACT(CELL("address",O176), "\$([A-Z]+)\$[0-9]+"))),_xlfn.REGEXEXTRACT(CELL("address",O176), "\$([A-Z]+)\$[0-9]+"))</f>
        <v/>
      </c>
      <c r="P176" s="7" t="str" cm="1">
        <f t="array" aca="1" ref="P176" ca="1">IFERROR(IF(OR('Raw Data'!P176="",LEN(TRIM('Raw Data'!P176))=0),"",IF(AND(ISNUMBER('Raw Data'!P176), IFERROR('Raw Data'!P176 = ROUND('Raw Data'!P176, 2),FALSE)),"",_xlfn.REGEXEXTRACT(CELL("address",P176), "\$([A-Z]+)\$[0-9]+"))),_xlfn.REGEXEXTRACT(CELL("address",P176), "\$([A-Z]+)\$[0-9]+"))</f>
        <v/>
      </c>
      <c r="Q176" s="7" t="str" cm="1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7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7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7" t="str" cm="1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7" t="str" cm="1">
        <f t="array" aca="1" ref="U176" ca="1">IFERROR(IF(OR('Raw Data'!U176="",LEN(TRIM('Raw Data'!U176))=0),"",IF(AND(ISNUMBER('Raw Data'!U176), IFERROR('Raw Data'!U176 = ROUND('Raw Data'!U176, 2),FALSE)),"",_xlfn.REGEXEXTRACT(CELL("address",U176), "\$([A-Z]+)\$[0-9]+"))),_xlfn.REGEXEXTRACT(CELL("address",U176), "\$([A-Z]+)\$[0-9]+"))</f>
        <v/>
      </c>
      <c r="V176" s="7" t="str" cm="1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7" t="str" cm="1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7" t="str" cm="1">
        <f t="array" aca="1" ref="X176" ca="1">IFERROR(IF(OR('Raw Data'!X176="",LEN(TRIM('Raw Data'!X176))=0),"",IF(AND(ISNUMBER('Raw Data'!X176), IFERROR('Raw Data'!X176 = ROUND('Raw Data'!X176, 2),FALSE)),"",_xlfn.REGEXEXTRACT(CELL("address",X176), "\$([A-Z]+)\$[0-9]+"))),_xlfn.REGEXEXTRACT(CELL("address",X176), "\$([A-Z]+)\$[0-9]+"))</f>
        <v/>
      </c>
      <c r="Y176" s="7" t="str" cm="1">
        <f t="array" aca="1" ref="Y176" ca="1">IFERROR(IF(OR('Raw Data'!Y176="",LEN(TRIM('Raw Data'!Y176))=0),"",IF(AND(ISNUMBER('Raw Data'!Y176), IFERROR('Raw Data'!Y176 = ROUND('Raw Data'!Y176, 2),FALSE)),"",_xlfn.REGEXEXTRACT(CELL("address",Y176), "\$([A-Z]+)\$[0-9]+"))),_xlfn.REGEXEXTRACT(CELL("address",Y176), "\$([A-Z]+)\$[0-9]+"))</f>
        <v/>
      </c>
      <c r="Z176" s="7" t="str" cm="1">
        <f t="array" aca="1" ref="Z176" ca="1">IFERROR(IF(OR('Raw Data'!Z176="",LEN(TRIM('Raw Data'!Z176))=0),"",IF(AND(ISNUMBER('Raw Data'!Z176), IFERROR('Raw Data'!Z176 = ROUND('Raw Data'!Z176, 2),FALSE)),"",_xlfn.REGEXEXTRACT(CELL("address",Z176), "\$([A-Z]+)\$[0-9]+"))),_xlfn.REGEXEXTRACT(CELL("address",Z176), "\$([A-Z]+)\$[0-9]+"))</f>
        <v/>
      </c>
      <c r="AA176" s="7" t="str" cm="1">
        <f t="array" aca="1" ref="AA176" ca="1">IFERROR(IF(OR('Raw Data'!AA176="",LEN(TRIM('Raw Data'!AA176))=0),"",IF(AND(ISNUMBER('Raw Data'!AA176), IFERROR('Raw Data'!AA176 = ROUND('Raw Data'!AA176, 2),FALSE)),"",_xlfn.REGEXEXTRACT(CELL("address",AA176), "\$([A-Z]+)\$[0-9]+"))),_xlfn.REGEXEXTRACT(CELL("address",AA176), "\$([A-Z]+)\$[0-9]+"))</f>
        <v/>
      </c>
      <c r="AB176" s="7" t="str" cm="1">
        <f t="array" aca="1" ref="AB176" ca="1">IFERROR(IF(OR('Raw Data'!AB176="",LEN(TRIM('Raw Data'!AB176))=0),"",IF(AND(ISNUMBER('Raw Data'!AB176), IFERROR('Raw Data'!AB176 = ROUND('Raw Data'!AB176, 2),FALSE)),"",_xlfn.REGEXEXTRACT(CELL("address",AB176), "\$([A-Z]+)\$[0-9]+"))),_xlfn.REGEXEXTRACT(CELL("address",AB176), "\$([A-Z]+)\$[0-9]+"))</f>
        <v/>
      </c>
    </row>
    <row r="177" spans="2:28" x14ac:dyDescent="0.25">
      <c r="B177" s="7" t="str" cm="1">
        <f t="array" aca="1" ref="B177" ca="1">IFERROR(IF(OR('Raw Data'!B177="",LEN(TRIM('Raw Data'!B177))=0),"",IF(AND(LEN('Raw Data'!B177) &lt;= 255,LEN('Raw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Data'!C177))=0),"",IF(AND(LEN('Raw Data'!C177) &lt;= 20,LEN('Raw Data'!C177)&gt; 0),"",_xlfn.REGEXEXTRACT(CELL("address",'Raw Data'!C177),"\$([A-Z]+)\$[0-9]+"))),_xlfn.REGEXEXTRACT(CELL("address",'Raw Data'!C177),"\$([A-Z]+)\$[0-9]+"))</f>
        <v/>
      </c>
      <c r="D177" s="7" t="str" cm="1">
        <f t="array" aca="1" ref="D177" ca="1">IFERROR(IF(OR('Raw Data'!D177="",LEN(TRIM('Raw Data'!D177))=0),"",IF(AND(ISNUMBER('Raw Data'!D177),'Raw Data'!D177&gt;=Configuration!$D$2),"",_xlfn.REGEXEXTRACT(CELL("address",'Raw Data'!D177),"\$([A-Z]+)\$[0-9]+"))),_xlfn.REGEXEXTRACT(CELL("address",D177), "\$([A-Z]+)\$[0-9]+"))</f>
        <v/>
      </c>
      <c r="E177" s="7" t="str" cm="1">
        <f t="array" aca="1" ref="E177" ca="1">IFERROR(IF(OR('Raw Data'!E177="",LEN(TRIM('Raw Data'!E177))=0),"",IF(AND(ISNUMBER('Raw Data'!E177), IFERROR('Raw Data'!E177 = ROUND('Raw Data'!E177, 2),FALSE)),"",_xlfn.REGEXEXTRACT(CELL("address",E177), "\$([A-Z]+)\$[0-9]+"))),_xlfn.REGEXEXTRACT(CELL("address",E177), "\$([A-Z]+)\$[0-9]+"))</f>
        <v/>
      </c>
      <c r="F177" s="7" t="str" cm="1">
        <f t="array" aca="1" ref="F177" ca="1">IFERROR(IF(OR('Raw Data'!F177="",LEN(TRIM('Raw Data'!F177))=0),"",IF(AND(ISNUMBER('Raw Data'!F177), IFERROR('Raw Data'!F177 = ROUND('Raw Data'!F177, 2),FALSE)),"",_xlfn.REGEXEXTRACT(CELL("address",F177), "\$([A-Z]+)\$[0-9]+"))),_xlfn.REGEXEXTRACT(CELL("address",F177), "\$([A-Z]+)\$[0-9]+"))</f>
        <v/>
      </c>
      <c r="G177" s="7" t="str" cm="1">
        <f t="array" aca="1" ref="G177" ca="1">IFERROR(IF(OR('Raw Data'!G177="",LEN(TRIM('Raw Data'!G177))=0),"",IF(AND(ISNUMBER('Raw Data'!G177), IFERROR('Raw Data'!G177 = ROUND('Raw Data'!G177, 2),FALSE)),"",_xlfn.REGEXEXTRACT(CELL("address",G177), "\$([A-Z]+)\$[0-9]+"))),_xlfn.REGEXEXTRACT(CELL("address",G177), "\$([A-Z]+)\$[0-9]+"))</f>
        <v/>
      </c>
      <c r="H177" s="7" t="str" cm="1">
        <f t="array" aca="1" ref="H177" ca="1">IFERROR(IF(OR('Raw Data'!H177="",LEN(TRIM('Raw Data'!H177))=0),"",IF(AND(ISNUMBER('Raw Data'!H177), IFERROR('Raw Data'!H177 = ROUND('Raw Data'!H177, 2),FALSE)),"",_xlfn.REGEXEXTRACT(CELL("address",H177), "\$([A-Z]+)\$[0-9]+"))),_xlfn.REGEXEXTRACT(CELL("address",H177), "\$([A-Z]+)\$[0-9]+"))</f>
        <v/>
      </c>
      <c r="I177" s="7" t="str" cm="1">
        <f t="array" aca="1" ref="I177" ca="1">IFERROR(IF(OR('Raw Data'!I177="",LEN(TRIM('Raw Data'!I177))=0),"",IF(AND(ISNUMBER('Raw Data'!I177), IFERROR('Raw Data'!I177 = ROUND('Raw Data'!I177, 2),FALSE)),"",_xlfn.REGEXEXTRACT(CELL("address",I177), "\$([A-Z]+)\$[0-9]+"))),_xlfn.REGEXEXTRACT(CELL("address",I177), "\$([A-Z]+)\$[0-9]+"))</f>
        <v/>
      </c>
      <c r="J177" s="7" t="str" cm="1">
        <f t="array" aca="1" ref="J177" ca="1">IFERROR(IF(OR('Raw Data'!J177="",LEN(TRIM('Raw Data'!J177))=0),"",IF(AND(ISNUMBER('Raw Data'!J177), IFERROR('Raw Data'!J177 = ROUND('Raw Data'!J177, 2),FALSE)),"",_xlfn.REGEXEXTRACT(CELL("address",J177), "\$([A-Z]+)\$[0-9]+"))),_xlfn.REGEXEXTRACT(CELL("address",J177), "\$([A-Z]+)\$[0-9]+"))</f>
        <v/>
      </c>
      <c r="K177" s="7" t="str" cm="1">
        <f t="array" aca="1" ref="K177" ca="1">IFERROR(IF(OR('Raw Data'!K177="",LEN(TRIM('Raw Data'!K177))=0),"",IF(AND(ISNUMBER('Raw Data'!K177), IFERROR('Raw Data'!K177 = ROUND('Raw Data'!K177, 2),FALSE)),"",_xlfn.REGEXEXTRACT(CELL("address",K177), "\$([A-Z]+)\$[0-9]+"))),_xlfn.REGEXEXTRACT(CELL("address",K177), "\$([A-Z]+)\$[0-9]+"))</f>
        <v/>
      </c>
      <c r="L177" s="7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7" t="str" cm="1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7" t="str" cm="1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  <c r="O177" s="7" t="str" cm="1">
        <f t="array" aca="1" ref="O177" ca="1">IFERROR(IF(OR('Raw Data'!O177="",LEN(TRIM('Raw Data'!O177))=0),"",IF(AND(ISNUMBER('Raw Data'!O177), IFERROR('Raw Data'!O177 = ROUND('Raw Data'!O177, 2),FALSE)),"",_xlfn.REGEXEXTRACT(CELL("address",O177), "\$([A-Z]+)\$[0-9]+"))),_xlfn.REGEXEXTRACT(CELL("address",O177), "\$([A-Z]+)\$[0-9]+"))</f>
        <v/>
      </c>
      <c r="P177" s="7" t="str" cm="1">
        <f t="array" aca="1" ref="P177" ca="1">IFERROR(IF(OR('Raw Data'!P177="",LEN(TRIM('Raw Data'!P177))=0),"",IF(AND(ISNUMBER('Raw Data'!P177), IFERROR('Raw Data'!P177 = ROUND('Raw Data'!P177, 2),FALSE)),"",_xlfn.REGEXEXTRACT(CELL("address",P177), "\$([A-Z]+)\$[0-9]+"))),_xlfn.REGEXEXTRACT(CELL("address",P177), "\$([A-Z]+)\$[0-9]+"))</f>
        <v/>
      </c>
      <c r="Q177" s="7" t="str" cm="1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7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7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7" t="str" cm="1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7" t="str" cm="1">
        <f t="array" aca="1" ref="U177" ca="1">IFERROR(IF(OR('Raw Data'!U177="",LEN(TRIM('Raw Data'!U177))=0),"",IF(AND(ISNUMBER('Raw Data'!U177), IFERROR('Raw Data'!U177 = ROUND('Raw Data'!U177, 2),FALSE)),"",_xlfn.REGEXEXTRACT(CELL("address",U177), "\$([A-Z]+)\$[0-9]+"))),_xlfn.REGEXEXTRACT(CELL("address",U177), "\$([A-Z]+)\$[0-9]+"))</f>
        <v/>
      </c>
      <c r="V177" s="7" t="str" cm="1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7" t="str" cm="1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7" t="str" cm="1">
        <f t="array" aca="1" ref="X177" ca="1">IFERROR(IF(OR('Raw Data'!X177="",LEN(TRIM('Raw Data'!X177))=0),"",IF(AND(ISNUMBER('Raw Data'!X177), IFERROR('Raw Data'!X177 = ROUND('Raw Data'!X177, 2),FALSE)),"",_xlfn.REGEXEXTRACT(CELL("address",X177), "\$([A-Z]+)\$[0-9]+"))),_xlfn.REGEXEXTRACT(CELL("address",X177), "\$([A-Z]+)\$[0-9]+"))</f>
        <v/>
      </c>
      <c r="Y177" s="7" t="str" cm="1">
        <f t="array" aca="1" ref="Y177" ca="1">IFERROR(IF(OR('Raw Data'!Y177="",LEN(TRIM('Raw Data'!Y177))=0),"",IF(AND(ISNUMBER('Raw Data'!Y177), IFERROR('Raw Data'!Y177 = ROUND('Raw Data'!Y177, 2),FALSE)),"",_xlfn.REGEXEXTRACT(CELL("address",Y177), "\$([A-Z]+)\$[0-9]+"))),_xlfn.REGEXEXTRACT(CELL("address",Y177), "\$([A-Z]+)\$[0-9]+"))</f>
        <v/>
      </c>
      <c r="Z177" s="7" t="str" cm="1">
        <f t="array" aca="1" ref="Z177" ca="1">IFERROR(IF(OR('Raw Data'!Z177="",LEN(TRIM('Raw Data'!Z177))=0),"",IF(AND(ISNUMBER('Raw Data'!Z177), IFERROR('Raw Data'!Z177 = ROUND('Raw Data'!Z177, 2),FALSE)),"",_xlfn.REGEXEXTRACT(CELL("address",Z177), "\$([A-Z]+)\$[0-9]+"))),_xlfn.REGEXEXTRACT(CELL("address",Z177), "\$([A-Z]+)\$[0-9]+"))</f>
        <v/>
      </c>
      <c r="AA177" s="7" t="str" cm="1">
        <f t="array" aca="1" ref="AA177" ca="1">IFERROR(IF(OR('Raw Data'!AA177="",LEN(TRIM('Raw Data'!AA177))=0),"",IF(AND(ISNUMBER('Raw Data'!AA177), IFERROR('Raw Data'!AA177 = ROUND('Raw Data'!AA177, 2),FALSE)),"",_xlfn.REGEXEXTRACT(CELL("address",AA177), "\$([A-Z]+)\$[0-9]+"))),_xlfn.REGEXEXTRACT(CELL("address",AA177), "\$([A-Z]+)\$[0-9]+"))</f>
        <v/>
      </c>
      <c r="AB177" s="7" t="str" cm="1">
        <f t="array" aca="1" ref="AB177" ca="1">IFERROR(IF(OR('Raw Data'!AB177="",LEN(TRIM('Raw Data'!AB177))=0),"",IF(AND(ISNUMBER('Raw Data'!AB177), IFERROR('Raw Data'!AB177 = ROUND('Raw Data'!AB177, 2),FALSE)),"",_xlfn.REGEXEXTRACT(CELL("address",AB177), "\$([A-Z]+)\$[0-9]+"))),_xlfn.REGEXEXTRACT(CELL("address",AB177), "\$([A-Z]+)\$[0-9]+"))</f>
        <v/>
      </c>
    </row>
    <row r="178" spans="2:28" x14ac:dyDescent="0.25">
      <c r="B178" s="7" t="str" cm="1">
        <f t="array" aca="1" ref="B178" ca="1">IFERROR(IF(OR('Raw Data'!B178="",LEN(TRIM('Raw Data'!B178))=0),"",IF(AND(LEN('Raw Data'!B178) &lt;= 255,LEN('Raw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Data'!C178))=0),"",IF(AND(LEN('Raw Data'!C178) &lt;= 20,LEN('Raw Data'!C178)&gt; 0),"",_xlfn.REGEXEXTRACT(CELL("address",'Raw Data'!C178),"\$([A-Z]+)\$[0-9]+"))),_xlfn.REGEXEXTRACT(CELL("address",'Raw Data'!C178),"\$([A-Z]+)\$[0-9]+"))</f>
        <v/>
      </c>
      <c r="D178" s="7" t="str" cm="1">
        <f t="array" aca="1" ref="D178" ca="1">IFERROR(IF(OR('Raw Data'!D178="",LEN(TRIM('Raw Data'!D178))=0),"",IF(AND(ISNUMBER('Raw Data'!D178),'Raw Data'!D178&gt;=Configuration!$D$2),"",_xlfn.REGEXEXTRACT(CELL("address",'Raw Data'!D178),"\$([A-Z]+)\$[0-9]+"))),_xlfn.REGEXEXTRACT(CELL("address",D178), "\$([A-Z]+)\$[0-9]+"))</f>
        <v/>
      </c>
      <c r="E178" s="7" t="str" cm="1">
        <f t="array" aca="1" ref="E178" ca="1">IFERROR(IF(OR('Raw Data'!E178="",LEN(TRIM('Raw Data'!E178))=0),"",IF(AND(ISNUMBER('Raw Data'!E178), IFERROR('Raw Data'!E178 = ROUND('Raw Data'!E178, 2),FALSE)),"",_xlfn.REGEXEXTRACT(CELL("address",E178), "\$([A-Z]+)\$[0-9]+"))),_xlfn.REGEXEXTRACT(CELL("address",E178), "\$([A-Z]+)\$[0-9]+"))</f>
        <v/>
      </c>
      <c r="F178" s="7" t="str" cm="1">
        <f t="array" aca="1" ref="F178" ca="1">IFERROR(IF(OR('Raw Data'!F178="",LEN(TRIM('Raw Data'!F178))=0),"",IF(AND(ISNUMBER('Raw Data'!F178), IFERROR('Raw Data'!F178 = ROUND('Raw Data'!F178, 2),FALSE)),"",_xlfn.REGEXEXTRACT(CELL("address",F178), "\$([A-Z]+)\$[0-9]+"))),_xlfn.REGEXEXTRACT(CELL("address",F178), "\$([A-Z]+)\$[0-9]+"))</f>
        <v/>
      </c>
      <c r="G178" s="7" t="str" cm="1">
        <f t="array" aca="1" ref="G178" ca="1">IFERROR(IF(OR('Raw Data'!G178="",LEN(TRIM('Raw Data'!G178))=0),"",IF(AND(ISNUMBER('Raw Data'!G178), IFERROR('Raw Data'!G178 = ROUND('Raw Data'!G178, 2),FALSE)),"",_xlfn.REGEXEXTRACT(CELL("address",G178), "\$([A-Z]+)\$[0-9]+"))),_xlfn.REGEXEXTRACT(CELL("address",G178), "\$([A-Z]+)\$[0-9]+"))</f>
        <v/>
      </c>
      <c r="H178" s="7" t="str" cm="1">
        <f t="array" aca="1" ref="H178" ca="1">IFERROR(IF(OR('Raw Data'!H178="",LEN(TRIM('Raw Data'!H178))=0),"",IF(AND(ISNUMBER('Raw Data'!H178), IFERROR('Raw Data'!H178 = ROUND('Raw Data'!H178, 2),FALSE)),"",_xlfn.REGEXEXTRACT(CELL("address",H178), "\$([A-Z]+)\$[0-9]+"))),_xlfn.REGEXEXTRACT(CELL("address",H178), "\$([A-Z]+)\$[0-9]+"))</f>
        <v/>
      </c>
      <c r="I178" s="7" t="str" cm="1">
        <f t="array" aca="1" ref="I178" ca="1">IFERROR(IF(OR('Raw Data'!I178="",LEN(TRIM('Raw Data'!I178))=0),"",IF(AND(ISNUMBER('Raw Data'!I178), IFERROR('Raw Data'!I178 = ROUND('Raw Data'!I178, 2),FALSE)),"",_xlfn.REGEXEXTRACT(CELL("address",I178), "\$([A-Z]+)\$[0-9]+"))),_xlfn.REGEXEXTRACT(CELL("address",I178), "\$([A-Z]+)\$[0-9]+"))</f>
        <v/>
      </c>
      <c r="J178" s="7" t="str" cm="1">
        <f t="array" aca="1" ref="J178" ca="1">IFERROR(IF(OR('Raw Data'!J178="",LEN(TRIM('Raw Data'!J178))=0),"",IF(AND(ISNUMBER('Raw Data'!J178), IFERROR('Raw Data'!J178 = ROUND('Raw Data'!J178, 2),FALSE)),"",_xlfn.REGEXEXTRACT(CELL("address",J178), "\$([A-Z]+)\$[0-9]+"))),_xlfn.REGEXEXTRACT(CELL("address",J178), "\$([A-Z]+)\$[0-9]+"))</f>
        <v/>
      </c>
      <c r="K178" s="7" t="str" cm="1">
        <f t="array" aca="1" ref="K178" ca="1">IFERROR(IF(OR('Raw Data'!K178="",LEN(TRIM('Raw Data'!K178))=0),"",IF(AND(ISNUMBER('Raw Data'!K178), IFERROR('Raw Data'!K178 = ROUND('Raw Data'!K178, 2),FALSE)),"",_xlfn.REGEXEXTRACT(CELL("address",K178), "\$([A-Z]+)\$[0-9]+"))),_xlfn.REGEXEXTRACT(CELL("address",K178), "\$([A-Z]+)\$[0-9]+"))</f>
        <v/>
      </c>
      <c r="L178" s="7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7" t="str" cm="1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7" t="str" cm="1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  <c r="O178" s="7" t="str" cm="1">
        <f t="array" aca="1" ref="O178" ca="1">IFERROR(IF(OR('Raw Data'!O178="",LEN(TRIM('Raw Data'!O178))=0),"",IF(AND(ISNUMBER('Raw Data'!O178), IFERROR('Raw Data'!O178 = ROUND('Raw Data'!O178, 2),FALSE)),"",_xlfn.REGEXEXTRACT(CELL("address",O178), "\$([A-Z]+)\$[0-9]+"))),_xlfn.REGEXEXTRACT(CELL("address",O178), "\$([A-Z]+)\$[0-9]+"))</f>
        <v/>
      </c>
      <c r="P178" s="7" t="str" cm="1">
        <f t="array" aca="1" ref="P178" ca="1">IFERROR(IF(OR('Raw Data'!P178="",LEN(TRIM('Raw Data'!P178))=0),"",IF(AND(ISNUMBER('Raw Data'!P178), IFERROR('Raw Data'!P178 = ROUND('Raw Data'!P178, 2),FALSE)),"",_xlfn.REGEXEXTRACT(CELL("address",P178), "\$([A-Z]+)\$[0-9]+"))),_xlfn.REGEXEXTRACT(CELL("address",P178), "\$([A-Z]+)\$[0-9]+"))</f>
        <v/>
      </c>
      <c r="Q178" s="7" t="str" cm="1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7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7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7" t="str" cm="1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7" t="str" cm="1">
        <f t="array" aca="1" ref="U178" ca="1">IFERROR(IF(OR('Raw Data'!U178="",LEN(TRIM('Raw Data'!U178))=0),"",IF(AND(ISNUMBER('Raw Data'!U178), IFERROR('Raw Data'!U178 = ROUND('Raw Data'!U178, 2),FALSE)),"",_xlfn.REGEXEXTRACT(CELL("address",U178), "\$([A-Z]+)\$[0-9]+"))),_xlfn.REGEXEXTRACT(CELL("address",U178), "\$([A-Z]+)\$[0-9]+"))</f>
        <v/>
      </c>
      <c r="V178" s="7" t="str" cm="1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7" t="str" cm="1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7" t="str" cm="1">
        <f t="array" aca="1" ref="X178" ca="1">IFERROR(IF(OR('Raw Data'!X178="",LEN(TRIM('Raw Data'!X178))=0),"",IF(AND(ISNUMBER('Raw Data'!X178), IFERROR('Raw Data'!X178 = ROUND('Raw Data'!X178, 2),FALSE)),"",_xlfn.REGEXEXTRACT(CELL("address",X178), "\$([A-Z]+)\$[0-9]+"))),_xlfn.REGEXEXTRACT(CELL("address",X178), "\$([A-Z]+)\$[0-9]+"))</f>
        <v/>
      </c>
      <c r="Y178" s="7" t="str" cm="1">
        <f t="array" aca="1" ref="Y178" ca="1">IFERROR(IF(OR('Raw Data'!Y178="",LEN(TRIM('Raw Data'!Y178))=0),"",IF(AND(ISNUMBER('Raw Data'!Y178), IFERROR('Raw Data'!Y178 = ROUND('Raw Data'!Y178, 2),FALSE)),"",_xlfn.REGEXEXTRACT(CELL("address",Y178), "\$([A-Z]+)\$[0-9]+"))),_xlfn.REGEXEXTRACT(CELL("address",Y178), "\$([A-Z]+)\$[0-9]+"))</f>
        <v/>
      </c>
      <c r="Z178" s="7" t="str" cm="1">
        <f t="array" aca="1" ref="Z178" ca="1">IFERROR(IF(OR('Raw Data'!Z178="",LEN(TRIM('Raw Data'!Z178))=0),"",IF(AND(ISNUMBER('Raw Data'!Z178), IFERROR('Raw Data'!Z178 = ROUND('Raw Data'!Z178, 2),FALSE)),"",_xlfn.REGEXEXTRACT(CELL("address",Z178), "\$([A-Z]+)\$[0-9]+"))),_xlfn.REGEXEXTRACT(CELL("address",Z178), "\$([A-Z]+)\$[0-9]+"))</f>
        <v/>
      </c>
      <c r="AA178" s="7" t="str" cm="1">
        <f t="array" aca="1" ref="AA178" ca="1">IFERROR(IF(OR('Raw Data'!AA178="",LEN(TRIM('Raw Data'!AA178))=0),"",IF(AND(ISNUMBER('Raw Data'!AA178), IFERROR('Raw Data'!AA178 = ROUND('Raw Data'!AA178, 2),FALSE)),"",_xlfn.REGEXEXTRACT(CELL("address",AA178), "\$([A-Z]+)\$[0-9]+"))),_xlfn.REGEXEXTRACT(CELL("address",AA178), "\$([A-Z]+)\$[0-9]+"))</f>
        <v/>
      </c>
      <c r="AB178" s="7" t="str" cm="1">
        <f t="array" aca="1" ref="AB178" ca="1">IFERROR(IF(OR('Raw Data'!AB178="",LEN(TRIM('Raw Data'!AB178))=0),"",IF(AND(ISNUMBER('Raw Data'!AB178), IFERROR('Raw Data'!AB178 = ROUND('Raw Data'!AB178, 2),FALSE)),"",_xlfn.REGEXEXTRACT(CELL("address",AB178), "\$([A-Z]+)\$[0-9]+"))),_xlfn.REGEXEXTRACT(CELL("address",AB178), "\$([A-Z]+)\$[0-9]+"))</f>
        <v/>
      </c>
    </row>
    <row r="179" spans="2:28" x14ac:dyDescent="0.25">
      <c r="B179" s="7" t="str" cm="1">
        <f t="array" aca="1" ref="B179" ca="1">IFERROR(IF(OR('Raw Data'!B179="",LEN(TRIM('Raw Data'!B179))=0),"",IF(AND(LEN('Raw Data'!B179) &lt;= 255,LEN('Raw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Data'!C179))=0),"",IF(AND(LEN('Raw Data'!C179) &lt;= 20,LEN('Raw Data'!C179)&gt; 0),"",_xlfn.REGEXEXTRACT(CELL("address",'Raw Data'!C179),"\$([A-Z]+)\$[0-9]+"))),_xlfn.REGEXEXTRACT(CELL("address",'Raw Data'!C179),"\$([A-Z]+)\$[0-9]+"))</f>
        <v/>
      </c>
      <c r="D179" s="7" t="str" cm="1">
        <f t="array" aca="1" ref="D179" ca="1">IFERROR(IF(OR('Raw Data'!D179="",LEN(TRIM('Raw Data'!D179))=0),"",IF(AND(ISNUMBER('Raw Data'!D179),'Raw Data'!D179&gt;=Configuration!$D$2),"",_xlfn.REGEXEXTRACT(CELL("address",'Raw Data'!D179),"\$([A-Z]+)\$[0-9]+"))),_xlfn.REGEXEXTRACT(CELL("address",D179), "\$([A-Z]+)\$[0-9]+"))</f>
        <v/>
      </c>
      <c r="E179" s="7" t="str" cm="1">
        <f t="array" aca="1" ref="E179" ca="1">IFERROR(IF(OR('Raw Data'!E179="",LEN(TRIM('Raw Data'!E179))=0),"",IF(AND(ISNUMBER('Raw Data'!E179), IFERROR('Raw Data'!E179 = ROUND('Raw Data'!E179, 2),FALSE)),"",_xlfn.REGEXEXTRACT(CELL("address",E179), "\$([A-Z]+)\$[0-9]+"))),_xlfn.REGEXEXTRACT(CELL("address",E179), "\$([A-Z]+)\$[0-9]+"))</f>
        <v/>
      </c>
      <c r="F179" s="7" t="str" cm="1">
        <f t="array" aca="1" ref="F179" ca="1">IFERROR(IF(OR('Raw Data'!F179="",LEN(TRIM('Raw Data'!F179))=0),"",IF(AND(ISNUMBER('Raw Data'!F179), IFERROR('Raw Data'!F179 = ROUND('Raw Data'!F179, 2),FALSE)),"",_xlfn.REGEXEXTRACT(CELL("address",F179), "\$([A-Z]+)\$[0-9]+"))),_xlfn.REGEXEXTRACT(CELL("address",F179), "\$([A-Z]+)\$[0-9]+"))</f>
        <v/>
      </c>
      <c r="G179" s="7" t="str" cm="1">
        <f t="array" aca="1" ref="G179" ca="1">IFERROR(IF(OR('Raw Data'!G179="",LEN(TRIM('Raw Data'!G179))=0),"",IF(AND(ISNUMBER('Raw Data'!G179), IFERROR('Raw Data'!G179 = ROUND('Raw Data'!G179, 2),FALSE)),"",_xlfn.REGEXEXTRACT(CELL("address",G179), "\$([A-Z]+)\$[0-9]+"))),_xlfn.REGEXEXTRACT(CELL("address",G179), "\$([A-Z]+)\$[0-9]+"))</f>
        <v/>
      </c>
      <c r="H179" s="7" t="str" cm="1">
        <f t="array" aca="1" ref="H179" ca="1">IFERROR(IF(OR('Raw Data'!H179="",LEN(TRIM('Raw Data'!H179))=0),"",IF(AND(ISNUMBER('Raw Data'!H179), IFERROR('Raw Data'!H179 = ROUND('Raw Data'!H179, 2),FALSE)),"",_xlfn.REGEXEXTRACT(CELL("address",H179), "\$([A-Z]+)\$[0-9]+"))),_xlfn.REGEXEXTRACT(CELL("address",H179), "\$([A-Z]+)\$[0-9]+"))</f>
        <v/>
      </c>
      <c r="I179" s="7" t="str" cm="1">
        <f t="array" aca="1" ref="I179" ca="1">IFERROR(IF(OR('Raw Data'!I179="",LEN(TRIM('Raw Data'!I179))=0),"",IF(AND(ISNUMBER('Raw Data'!I179), IFERROR('Raw Data'!I179 = ROUND('Raw Data'!I179, 2),FALSE)),"",_xlfn.REGEXEXTRACT(CELL("address",I179), "\$([A-Z]+)\$[0-9]+"))),_xlfn.REGEXEXTRACT(CELL("address",I179), "\$([A-Z]+)\$[0-9]+"))</f>
        <v/>
      </c>
      <c r="J179" s="7" t="str" cm="1">
        <f t="array" aca="1" ref="J179" ca="1">IFERROR(IF(OR('Raw Data'!J179="",LEN(TRIM('Raw Data'!J179))=0),"",IF(AND(ISNUMBER('Raw Data'!J179), IFERROR('Raw Data'!J179 = ROUND('Raw Data'!J179, 2),FALSE)),"",_xlfn.REGEXEXTRACT(CELL("address",J179), "\$([A-Z]+)\$[0-9]+"))),_xlfn.REGEXEXTRACT(CELL("address",J179), "\$([A-Z]+)\$[0-9]+"))</f>
        <v/>
      </c>
      <c r="K179" s="7" t="str" cm="1">
        <f t="array" aca="1" ref="K179" ca="1">IFERROR(IF(OR('Raw Data'!K179="",LEN(TRIM('Raw Data'!K179))=0),"",IF(AND(ISNUMBER('Raw Data'!K179), IFERROR('Raw Data'!K179 = ROUND('Raw Data'!K179, 2),FALSE)),"",_xlfn.REGEXEXTRACT(CELL("address",K179), "\$([A-Z]+)\$[0-9]+"))),_xlfn.REGEXEXTRACT(CELL("address",K179), "\$([A-Z]+)\$[0-9]+"))</f>
        <v/>
      </c>
      <c r="L179" s="7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7" t="str" cm="1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7" t="str" cm="1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  <c r="O179" s="7" t="str" cm="1">
        <f t="array" aca="1" ref="O179" ca="1">IFERROR(IF(OR('Raw Data'!O179="",LEN(TRIM('Raw Data'!O179))=0),"",IF(AND(ISNUMBER('Raw Data'!O179), IFERROR('Raw Data'!O179 = ROUND('Raw Data'!O179, 2),FALSE)),"",_xlfn.REGEXEXTRACT(CELL("address",O179), "\$([A-Z]+)\$[0-9]+"))),_xlfn.REGEXEXTRACT(CELL("address",O179), "\$([A-Z]+)\$[0-9]+"))</f>
        <v/>
      </c>
      <c r="P179" s="7" t="str" cm="1">
        <f t="array" aca="1" ref="P179" ca="1">IFERROR(IF(OR('Raw Data'!P179="",LEN(TRIM('Raw Data'!P179))=0),"",IF(AND(ISNUMBER('Raw Data'!P179), IFERROR('Raw Data'!P179 = ROUND('Raw Data'!P179, 2),FALSE)),"",_xlfn.REGEXEXTRACT(CELL("address",P179), "\$([A-Z]+)\$[0-9]+"))),_xlfn.REGEXEXTRACT(CELL("address",P179), "\$([A-Z]+)\$[0-9]+"))</f>
        <v/>
      </c>
      <c r="Q179" s="7" t="str" cm="1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7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7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7" t="str" cm="1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7" t="str" cm="1">
        <f t="array" aca="1" ref="U179" ca="1">IFERROR(IF(OR('Raw Data'!U179="",LEN(TRIM('Raw Data'!U179))=0),"",IF(AND(ISNUMBER('Raw Data'!U179), IFERROR('Raw Data'!U179 = ROUND('Raw Data'!U179, 2),FALSE)),"",_xlfn.REGEXEXTRACT(CELL("address",U179), "\$([A-Z]+)\$[0-9]+"))),_xlfn.REGEXEXTRACT(CELL("address",U179), "\$([A-Z]+)\$[0-9]+"))</f>
        <v/>
      </c>
      <c r="V179" s="7" t="str" cm="1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7" t="str" cm="1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7" t="str" cm="1">
        <f t="array" aca="1" ref="X179" ca="1">IFERROR(IF(OR('Raw Data'!X179="",LEN(TRIM('Raw Data'!X179))=0),"",IF(AND(ISNUMBER('Raw Data'!X179), IFERROR('Raw Data'!X179 = ROUND('Raw Data'!X179, 2),FALSE)),"",_xlfn.REGEXEXTRACT(CELL("address",X179), "\$([A-Z]+)\$[0-9]+"))),_xlfn.REGEXEXTRACT(CELL("address",X179), "\$([A-Z]+)\$[0-9]+"))</f>
        <v/>
      </c>
      <c r="Y179" s="7" t="str" cm="1">
        <f t="array" aca="1" ref="Y179" ca="1">IFERROR(IF(OR('Raw Data'!Y179="",LEN(TRIM('Raw Data'!Y179))=0),"",IF(AND(ISNUMBER('Raw Data'!Y179), IFERROR('Raw Data'!Y179 = ROUND('Raw Data'!Y179, 2),FALSE)),"",_xlfn.REGEXEXTRACT(CELL("address",Y179), "\$([A-Z]+)\$[0-9]+"))),_xlfn.REGEXEXTRACT(CELL("address",Y179), "\$([A-Z]+)\$[0-9]+"))</f>
        <v/>
      </c>
      <c r="Z179" s="7" t="str" cm="1">
        <f t="array" aca="1" ref="Z179" ca="1">IFERROR(IF(OR('Raw Data'!Z179="",LEN(TRIM('Raw Data'!Z179))=0),"",IF(AND(ISNUMBER('Raw Data'!Z179), IFERROR('Raw Data'!Z179 = ROUND('Raw Data'!Z179, 2),FALSE)),"",_xlfn.REGEXEXTRACT(CELL("address",Z179), "\$([A-Z]+)\$[0-9]+"))),_xlfn.REGEXEXTRACT(CELL("address",Z179), "\$([A-Z]+)\$[0-9]+"))</f>
        <v/>
      </c>
      <c r="AA179" s="7" t="str" cm="1">
        <f t="array" aca="1" ref="AA179" ca="1">IFERROR(IF(OR('Raw Data'!AA179="",LEN(TRIM('Raw Data'!AA179))=0),"",IF(AND(ISNUMBER('Raw Data'!AA179), IFERROR('Raw Data'!AA179 = ROUND('Raw Data'!AA179, 2),FALSE)),"",_xlfn.REGEXEXTRACT(CELL("address",AA179), "\$([A-Z]+)\$[0-9]+"))),_xlfn.REGEXEXTRACT(CELL("address",AA179), "\$([A-Z]+)\$[0-9]+"))</f>
        <v/>
      </c>
      <c r="AB179" s="7" t="str" cm="1">
        <f t="array" aca="1" ref="AB179" ca="1">IFERROR(IF(OR('Raw Data'!AB179="",LEN(TRIM('Raw Data'!AB179))=0),"",IF(AND(ISNUMBER('Raw Data'!AB179), IFERROR('Raw Data'!AB179 = ROUND('Raw Data'!AB179, 2),FALSE)),"",_xlfn.REGEXEXTRACT(CELL("address",AB179), "\$([A-Z]+)\$[0-9]+"))),_xlfn.REGEXEXTRACT(CELL("address",AB179), "\$([A-Z]+)\$[0-9]+"))</f>
        <v/>
      </c>
    </row>
    <row r="180" spans="2:28" x14ac:dyDescent="0.25">
      <c r="B180" s="7" t="str" cm="1">
        <f t="array" aca="1" ref="B180" ca="1">IFERROR(IF(OR('Raw Data'!B180="",LEN(TRIM('Raw Data'!B180))=0),"",IF(AND(LEN('Raw Data'!B180) &lt;= 255,LEN('Raw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Data'!C180))=0),"",IF(AND(LEN('Raw Data'!C180) &lt;= 20,LEN('Raw Data'!C180)&gt; 0),"",_xlfn.REGEXEXTRACT(CELL("address",'Raw Data'!C180),"\$([A-Z]+)\$[0-9]+"))),_xlfn.REGEXEXTRACT(CELL("address",'Raw Data'!C180),"\$([A-Z]+)\$[0-9]+"))</f>
        <v/>
      </c>
      <c r="D180" s="7" t="str" cm="1">
        <f t="array" aca="1" ref="D180" ca="1">IFERROR(IF(OR('Raw Data'!D180="",LEN(TRIM('Raw Data'!D180))=0),"",IF(AND(ISNUMBER('Raw Data'!D180),'Raw Data'!D180&gt;=Configuration!$D$2),"",_xlfn.REGEXEXTRACT(CELL("address",'Raw Data'!D180),"\$([A-Z]+)\$[0-9]+"))),_xlfn.REGEXEXTRACT(CELL("address",D180), "\$([A-Z]+)\$[0-9]+"))</f>
        <v/>
      </c>
      <c r="E180" s="7" t="str" cm="1">
        <f t="array" aca="1" ref="E180" ca="1">IFERROR(IF(OR('Raw Data'!E180="",LEN(TRIM('Raw Data'!E180))=0),"",IF(AND(ISNUMBER('Raw Data'!E180), IFERROR('Raw Data'!E180 = ROUND('Raw Data'!E180, 2),FALSE)),"",_xlfn.REGEXEXTRACT(CELL("address",E180), "\$([A-Z]+)\$[0-9]+"))),_xlfn.REGEXEXTRACT(CELL("address",E180), "\$([A-Z]+)\$[0-9]+"))</f>
        <v/>
      </c>
      <c r="F180" s="7" t="str" cm="1">
        <f t="array" aca="1" ref="F180" ca="1">IFERROR(IF(OR('Raw Data'!F180="",LEN(TRIM('Raw Data'!F180))=0),"",IF(AND(ISNUMBER('Raw Data'!F180), IFERROR('Raw Data'!F180 = ROUND('Raw Data'!F180, 2),FALSE)),"",_xlfn.REGEXEXTRACT(CELL("address",F180), "\$([A-Z]+)\$[0-9]+"))),_xlfn.REGEXEXTRACT(CELL("address",F180), "\$([A-Z]+)\$[0-9]+"))</f>
        <v/>
      </c>
      <c r="G180" s="7" t="str" cm="1">
        <f t="array" aca="1" ref="G180" ca="1">IFERROR(IF(OR('Raw Data'!G180="",LEN(TRIM('Raw Data'!G180))=0),"",IF(AND(ISNUMBER('Raw Data'!G180), IFERROR('Raw Data'!G180 = ROUND('Raw Data'!G180, 2),FALSE)),"",_xlfn.REGEXEXTRACT(CELL("address",G180), "\$([A-Z]+)\$[0-9]+"))),_xlfn.REGEXEXTRACT(CELL("address",G180), "\$([A-Z]+)\$[0-9]+"))</f>
        <v/>
      </c>
      <c r="H180" s="7" t="str" cm="1">
        <f t="array" aca="1" ref="H180" ca="1">IFERROR(IF(OR('Raw Data'!H180="",LEN(TRIM('Raw Data'!H180))=0),"",IF(AND(ISNUMBER('Raw Data'!H180), IFERROR('Raw Data'!H180 = ROUND('Raw Data'!H180, 2),FALSE)),"",_xlfn.REGEXEXTRACT(CELL("address",H180), "\$([A-Z]+)\$[0-9]+"))),_xlfn.REGEXEXTRACT(CELL("address",H180), "\$([A-Z]+)\$[0-9]+"))</f>
        <v/>
      </c>
      <c r="I180" s="7" t="str" cm="1">
        <f t="array" aca="1" ref="I180" ca="1">IFERROR(IF(OR('Raw Data'!I180="",LEN(TRIM('Raw Data'!I180))=0),"",IF(AND(ISNUMBER('Raw Data'!I180), IFERROR('Raw Data'!I180 = ROUND('Raw Data'!I180, 2),FALSE)),"",_xlfn.REGEXEXTRACT(CELL("address",I180), "\$([A-Z]+)\$[0-9]+"))),_xlfn.REGEXEXTRACT(CELL("address",I180), "\$([A-Z]+)\$[0-9]+"))</f>
        <v/>
      </c>
      <c r="J180" s="7" t="str" cm="1">
        <f t="array" aca="1" ref="J180" ca="1">IFERROR(IF(OR('Raw Data'!J180="",LEN(TRIM('Raw Data'!J180))=0),"",IF(AND(ISNUMBER('Raw Data'!J180), IFERROR('Raw Data'!J180 = ROUND('Raw Data'!J180, 2),FALSE)),"",_xlfn.REGEXEXTRACT(CELL("address",J180), "\$([A-Z]+)\$[0-9]+"))),_xlfn.REGEXEXTRACT(CELL("address",J180), "\$([A-Z]+)\$[0-9]+"))</f>
        <v/>
      </c>
      <c r="K180" s="7" t="str" cm="1">
        <f t="array" aca="1" ref="K180" ca="1">IFERROR(IF(OR('Raw Data'!K180="",LEN(TRIM('Raw Data'!K180))=0),"",IF(AND(ISNUMBER('Raw Data'!K180), IFERROR('Raw Data'!K180 = ROUND('Raw Data'!K180, 2),FALSE)),"",_xlfn.REGEXEXTRACT(CELL("address",K180), "\$([A-Z]+)\$[0-9]+"))),_xlfn.REGEXEXTRACT(CELL("address",K180), "\$([A-Z]+)\$[0-9]+"))</f>
        <v/>
      </c>
      <c r="L180" s="7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7" t="str" cm="1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7" t="str" cm="1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  <c r="O180" s="7" t="str" cm="1">
        <f t="array" aca="1" ref="O180" ca="1">IFERROR(IF(OR('Raw Data'!O180="",LEN(TRIM('Raw Data'!O180))=0),"",IF(AND(ISNUMBER('Raw Data'!O180), IFERROR('Raw Data'!O180 = ROUND('Raw Data'!O180, 2),FALSE)),"",_xlfn.REGEXEXTRACT(CELL("address",O180), "\$([A-Z]+)\$[0-9]+"))),_xlfn.REGEXEXTRACT(CELL("address",O180), "\$([A-Z]+)\$[0-9]+"))</f>
        <v/>
      </c>
      <c r="P180" s="7" t="str" cm="1">
        <f t="array" aca="1" ref="P180" ca="1">IFERROR(IF(OR('Raw Data'!P180="",LEN(TRIM('Raw Data'!P180))=0),"",IF(AND(ISNUMBER('Raw Data'!P180), IFERROR('Raw Data'!P180 = ROUND('Raw Data'!P180, 2),FALSE)),"",_xlfn.REGEXEXTRACT(CELL("address",P180), "\$([A-Z]+)\$[0-9]+"))),_xlfn.REGEXEXTRACT(CELL("address",P180), "\$([A-Z]+)\$[0-9]+"))</f>
        <v/>
      </c>
      <c r="Q180" s="7" t="str" cm="1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7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7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7" t="str" cm="1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7" t="str" cm="1">
        <f t="array" aca="1" ref="U180" ca="1">IFERROR(IF(OR('Raw Data'!U180="",LEN(TRIM('Raw Data'!U180))=0),"",IF(AND(ISNUMBER('Raw Data'!U180), IFERROR('Raw Data'!U180 = ROUND('Raw Data'!U180, 2),FALSE)),"",_xlfn.REGEXEXTRACT(CELL("address",U180), "\$([A-Z]+)\$[0-9]+"))),_xlfn.REGEXEXTRACT(CELL("address",U180), "\$([A-Z]+)\$[0-9]+"))</f>
        <v/>
      </c>
      <c r="V180" s="7" t="str" cm="1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7" t="str" cm="1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7" t="str" cm="1">
        <f t="array" aca="1" ref="X180" ca="1">IFERROR(IF(OR('Raw Data'!X180="",LEN(TRIM('Raw Data'!X180))=0),"",IF(AND(ISNUMBER('Raw Data'!X180), IFERROR('Raw Data'!X180 = ROUND('Raw Data'!X180, 2),FALSE)),"",_xlfn.REGEXEXTRACT(CELL("address",X180), "\$([A-Z]+)\$[0-9]+"))),_xlfn.REGEXEXTRACT(CELL("address",X180), "\$([A-Z]+)\$[0-9]+"))</f>
        <v/>
      </c>
      <c r="Y180" s="7" t="str" cm="1">
        <f t="array" aca="1" ref="Y180" ca="1">IFERROR(IF(OR('Raw Data'!Y180="",LEN(TRIM('Raw Data'!Y180))=0),"",IF(AND(ISNUMBER('Raw Data'!Y180), IFERROR('Raw Data'!Y180 = ROUND('Raw Data'!Y180, 2),FALSE)),"",_xlfn.REGEXEXTRACT(CELL("address",Y180), "\$([A-Z]+)\$[0-9]+"))),_xlfn.REGEXEXTRACT(CELL("address",Y180), "\$([A-Z]+)\$[0-9]+"))</f>
        <v/>
      </c>
      <c r="Z180" s="7" t="str" cm="1">
        <f t="array" aca="1" ref="Z180" ca="1">IFERROR(IF(OR('Raw Data'!Z180="",LEN(TRIM('Raw Data'!Z180))=0),"",IF(AND(ISNUMBER('Raw Data'!Z180), IFERROR('Raw Data'!Z180 = ROUND('Raw Data'!Z180, 2),FALSE)),"",_xlfn.REGEXEXTRACT(CELL("address",Z180), "\$([A-Z]+)\$[0-9]+"))),_xlfn.REGEXEXTRACT(CELL("address",Z180), "\$([A-Z]+)\$[0-9]+"))</f>
        <v/>
      </c>
      <c r="AA180" s="7" t="str" cm="1">
        <f t="array" aca="1" ref="AA180" ca="1">IFERROR(IF(OR('Raw Data'!AA180="",LEN(TRIM('Raw Data'!AA180))=0),"",IF(AND(ISNUMBER('Raw Data'!AA180), IFERROR('Raw Data'!AA180 = ROUND('Raw Data'!AA180, 2),FALSE)),"",_xlfn.REGEXEXTRACT(CELL("address",AA180), "\$([A-Z]+)\$[0-9]+"))),_xlfn.REGEXEXTRACT(CELL("address",AA180), "\$([A-Z]+)\$[0-9]+"))</f>
        <v/>
      </c>
      <c r="AB180" s="7" t="str" cm="1">
        <f t="array" aca="1" ref="AB180" ca="1">IFERROR(IF(OR('Raw Data'!AB180="",LEN(TRIM('Raw Data'!AB180))=0),"",IF(AND(ISNUMBER('Raw Data'!AB180), IFERROR('Raw Data'!AB180 = ROUND('Raw Data'!AB180, 2),FALSE)),"",_xlfn.REGEXEXTRACT(CELL("address",AB180), "\$([A-Z]+)\$[0-9]+"))),_xlfn.REGEXEXTRACT(CELL("address",AB180), "\$([A-Z]+)\$[0-9]+"))</f>
        <v/>
      </c>
    </row>
    <row r="181" spans="2:28" x14ac:dyDescent="0.25">
      <c r="B181" s="7" t="str" cm="1">
        <f t="array" aca="1" ref="B181" ca="1">IFERROR(IF(OR('Raw Data'!B181="",LEN(TRIM('Raw Data'!B181))=0),"",IF(AND(LEN('Raw Data'!B181) &lt;= 255,LEN('Raw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Data'!C181))=0),"",IF(AND(LEN('Raw Data'!C181) &lt;= 20,LEN('Raw Data'!C181)&gt; 0),"",_xlfn.REGEXEXTRACT(CELL("address",'Raw Data'!C181),"\$([A-Z]+)\$[0-9]+"))),_xlfn.REGEXEXTRACT(CELL("address",'Raw Data'!C181),"\$([A-Z]+)\$[0-9]+"))</f>
        <v/>
      </c>
      <c r="D181" s="7" t="str" cm="1">
        <f t="array" aca="1" ref="D181" ca="1">IFERROR(IF(OR('Raw Data'!D181="",LEN(TRIM('Raw Data'!D181))=0),"",IF(AND(ISNUMBER('Raw Data'!D181),'Raw Data'!D181&gt;=Configuration!$D$2),"",_xlfn.REGEXEXTRACT(CELL("address",'Raw Data'!D181),"\$([A-Z]+)\$[0-9]+"))),_xlfn.REGEXEXTRACT(CELL("address",D181), "\$([A-Z]+)\$[0-9]+"))</f>
        <v/>
      </c>
      <c r="E181" s="7" t="str" cm="1">
        <f t="array" aca="1" ref="E181" ca="1">IFERROR(IF(OR('Raw Data'!E181="",LEN(TRIM('Raw Data'!E181))=0),"",IF(AND(ISNUMBER('Raw Data'!E181), IFERROR('Raw Data'!E181 = ROUND('Raw Data'!E181, 2),FALSE)),"",_xlfn.REGEXEXTRACT(CELL("address",E181), "\$([A-Z]+)\$[0-9]+"))),_xlfn.REGEXEXTRACT(CELL("address",E181), "\$([A-Z]+)\$[0-9]+"))</f>
        <v/>
      </c>
      <c r="F181" s="7" t="str" cm="1">
        <f t="array" aca="1" ref="F181" ca="1">IFERROR(IF(OR('Raw Data'!F181="",LEN(TRIM('Raw Data'!F181))=0),"",IF(AND(ISNUMBER('Raw Data'!F181), IFERROR('Raw Data'!F181 = ROUND('Raw Data'!F181, 2),FALSE)),"",_xlfn.REGEXEXTRACT(CELL("address",F181), "\$([A-Z]+)\$[0-9]+"))),_xlfn.REGEXEXTRACT(CELL("address",F181), "\$([A-Z]+)\$[0-9]+"))</f>
        <v/>
      </c>
      <c r="G181" s="7" t="str" cm="1">
        <f t="array" aca="1" ref="G181" ca="1">IFERROR(IF(OR('Raw Data'!G181="",LEN(TRIM('Raw Data'!G181))=0),"",IF(AND(ISNUMBER('Raw Data'!G181), IFERROR('Raw Data'!G181 = ROUND('Raw Data'!G181, 2),FALSE)),"",_xlfn.REGEXEXTRACT(CELL("address",G181), "\$([A-Z]+)\$[0-9]+"))),_xlfn.REGEXEXTRACT(CELL("address",G181), "\$([A-Z]+)\$[0-9]+"))</f>
        <v/>
      </c>
      <c r="H181" s="7" t="str" cm="1">
        <f t="array" aca="1" ref="H181" ca="1">IFERROR(IF(OR('Raw Data'!H181="",LEN(TRIM('Raw Data'!H181))=0),"",IF(AND(ISNUMBER('Raw Data'!H181), IFERROR('Raw Data'!H181 = ROUND('Raw Data'!H181, 2),FALSE)),"",_xlfn.REGEXEXTRACT(CELL("address",H181), "\$([A-Z]+)\$[0-9]+"))),_xlfn.REGEXEXTRACT(CELL("address",H181), "\$([A-Z]+)\$[0-9]+"))</f>
        <v/>
      </c>
      <c r="I181" s="7" t="str" cm="1">
        <f t="array" aca="1" ref="I181" ca="1">IFERROR(IF(OR('Raw Data'!I181="",LEN(TRIM('Raw Data'!I181))=0),"",IF(AND(ISNUMBER('Raw Data'!I181), IFERROR('Raw Data'!I181 = ROUND('Raw Data'!I181, 2),FALSE)),"",_xlfn.REGEXEXTRACT(CELL("address",I181), "\$([A-Z]+)\$[0-9]+"))),_xlfn.REGEXEXTRACT(CELL("address",I181), "\$([A-Z]+)\$[0-9]+"))</f>
        <v/>
      </c>
      <c r="J181" s="7" t="str" cm="1">
        <f t="array" aca="1" ref="J181" ca="1">IFERROR(IF(OR('Raw Data'!J181="",LEN(TRIM('Raw Data'!J181))=0),"",IF(AND(ISNUMBER('Raw Data'!J181), IFERROR('Raw Data'!J181 = ROUND('Raw Data'!J181, 2),FALSE)),"",_xlfn.REGEXEXTRACT(CELL("address",J181), "\$([A-Z]+)\$[0-9]+"))),_xlfn.REGEXEXTRACT(CELL("address",J181), "\$([A-Z]+)\$[0-9]+"))</f>
        <v/>
      </c>
      <c r="K181" s="7" t="str" cm="1">
        <f t="array" aca="1" ref="K181" ca="1">IFERROR(IF(OR('Raw Data'!K181="",LEN(TRIM('Raw Data'!K181))=0),"",IF(AND(ISNUMBER('Raw Data'!K181), IFERROR('Raw Data'!K181 = ROUND('Raw Data'!K181, 2),FALSE)),"",_xlfn.REGEXEXTRACT(CELL("address",K181), "\$([A-Z]+)\$[0-9]+"))),_xlfn.REGEXEXTRACT(CELL("address",K181), "\$([A-Z]+)\$[0-9]+"))</f>
        <v/>
      </c>
      <c r="L181" s="7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7" t="str" cm="1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7" t="str" cm="1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  <c r="O181" s="7" t="str" cm="1">
        <f t="array" aca="1" ref="O181" ca="1">IFERROR(IF(OR('Raw Data'!O181="",LEN(TRIM('Raw Data'!O181))=0),"",IF(AND(ISNUMBER('Raw Data'!O181), IFERROR('Raw Data'!O181 = ROUND('Raw Data'!O181, 2),FALSE)),"",_xlfn.REGEXEXTRACT(CELL("address",O181), "\$([A-Z]+)\$[0-9]+"))),_xlfn.REGEXEXTRACT(CELL("address",O181), "\$([A-Z]+)\$[0-9]+"))</f>
        <v/>
      </c>
      <c r="P181" s="7" t="str" cm="1">
        <f t="array" aca="1" ref="P181" ca="1">IFERROR(IF(OR('Raw Data'!P181="",LEN(TRIM('Raw Data'!P181))=0),"",IF(AND(ISNUMBER('Raw Data'!P181), IFERROR('Raw Data'!P181 = ROUND('Raw Data'!P181, 2),FALSE)),"",_xlfn.REGEXEXTRACT(CELL("address",P181), "\$([A-Z]+)\$[0-9]+"))),_xlfn.REGEXEXTRACT(CELL("address",P181), "\$([A-Z]+)\$[0-9]+"))</f>
        <v/>
      </c>
      <c r="Q181" s="7" t="str" cm="1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7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7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7" t="str" cm="1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7" t="str" cm="1">
        <f t="array" aca="1" ref="U181" ca="1">IFERROR(IF(OR('Raw Data'!U181="",LEN(TRIM('Raw Data'!U181))=0),"",IF(AND(ISNUMBER('Raw Data'!U181), IFERROR('Raw Data'!U181 = ROUND('Raw Data'!U181, 2),FALSE)),"",_xlfn.REGEXEXTRACT(CELL("address",U181), "\$([A-Z]+)\$[0-9]+"))),_xlfn.REGEXEXTRACT(CELL("address",U181), "\$([A-Z]+)\$[0-9]+"))</f>
        <v/>
      </c>
      <c r="V181" s="7" t="str" cm="1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7" t="str" cm="1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7" t="str" cm="1">
        <f t="array" aca="1" ref="X181" ca="1">IFERROR(IF(OR('Raw Data'!X181="",LEN(TRIM('Raw Data'!X181))=0),"",IF(AND(ISNUMBER('Raw Data'!X181), IFERROR('Raw Data'!X181 = ROUND('Raw Data'!X181, 2),FALSE)),"",_xlfn.REGEXEXTRACT(CELL("address",X181), "\$([A-Z]+)\$[0-9]+"))),_xlfn.REGEXEXTRACT(CELL("address",X181), "\$([A-Z]+)\$[0-9]+"))</f>
        <v/>
      </c>
      <c r="Y181" s="7" t="str" cm="1">
        <f t="array" aca="1" ref="Y181" ca="1">IFERROR(IF(OR('Raw Data'!Y181="",LEN(TRIM('Raw Data'!Y181))=0),"",IF(AND(ISNUMBER('Raw Data'!Y181), IFERROR('Raw Data'!Y181 = ROUND('Raw Data'!Y181, 2),FALSE)),"",_xlfn.REGEXEXTRACT(CELL("address",Y181), "\$([A-Z]+)\$[0-9]+"))),_xlfn.REGEXEXTRACT(CELL("address",Y181), "\$([A-Z]+)\$[0-9]+"))</f>
        <v/>
      </c>
      <c r="Z181" s="7" t="str" cm="1">
        <f t="array" aca="1" ref="Z181" ca="1">IFERROR(IF(OR('Raw Data'!Z181="",LEN(TRIM('Raw Data'!Z181))=0),"",IF(AND(ISNUMBER('Raw Data'!Z181), IFERROR('Raw Data'!Z181 = ROUND('Raw Data'!Z181, 2),FALSE)),"",_xlfn.REGEXEXTRACT(CELL("address",Z181), "\$([A-Z]+)\$[0-9]+"))),_xlfn.REGEXEXTRACT(CELL("address",Z181), "\$([A-Z]+)\$[0-9]+"))</f>
        <v/>
      </c>
      <c r="AA181" s="7" t="str" cm="1">
        <f t="array" aca="1" ref="AA181" ca="1">IFERROR(IF(OR('Raw Data'!AA181="",LEN(TRIM('Raw Data'!AA181))=0),"",IF(AND(ISNUMBER('Raw Data'!AA181), IFERROR('Raw Data'!AA181 = ROUND('Raw Data'!AA181, 2),FALSE)),"",_xlfn.REGEXEXTRACT(CELL("address",AA181), "\$([A-Z]+)\$[0-9]+"))),_xlfn.REGEXEXTRACT(CELL("address",AA181), "\$([A-Z]+)\$[0-9]+"))</f>
        <v/>
      </c>
      <c r="AB181" s="7" t="str" cm="1">
        <f t="array" aca="1" ref="AB181" ca="1">IFERROR(IF(OR('Raw Data'!AB181="",LEN(TRIM('Raw Data'!AB181))=0),"",IF(AND(ISNUMBER('Raw Data'!AB181), IFERROR('Raw Data'!AB181 = ROUND('Raw Data'!AB181, 2),FALSE)),"",_xlfn.REGEXEXTRACT(CELL("address",AB181), "\$([A-Z]+)\$[0-9]+"))),_xlfn.REGEXEXTRACT(CELL("address",AB181), "\$([A-Z]+)\$[0-9]+"))</f>
        <v/>
      </c>
    </row>
    <row r="182" spans="2:28" x14ac:dyDescent="0.25">
      <c r="B182" s="7" t="str" cm="1">
        <f t="array" aca="1" ref="B182" ca="1">IFERROR(IF(OR('Raw Data'!B182="",LEN(TRIM('Raw Data'!B182))=0),"",IF(AND(LEN('Raw Data'!B182) &lt;= 255,LEN('Raw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Data'!C182))=0),"",IF(AND(LEN('Raw Data'!C182) &lt;= 20,LEN('Raw Data'!C182)&gt; 0),"",_xlfn.REGEXEXTRACT(CELL("address",'Raw Data'!C182),"\$([A-Z]+)\$[0-9]+"))),_xlfn.REGEXEXTRACT(CELL("address",'Raw Data'!C182),"\$([A-Z]+)\$[0-9]+"))</f>
        <v/>
      </c>
      <c r="D182" s="7" t="str" cm="1">
        <f t="array" aca="1" ref="D182" ca="1">IFERROR(IF(OR('Raw Data'!D182="",LEN(TRIM('Raw Data'!D182))=0),"",IF(AND(ISNUMBER('Raw Data'!D182),'Raw Data'!D182&gt;=Configuration!$D$2),"",_xlfn.REGEXEXTRACT(CELL("address",'Raw Data'!D182),"\$([A-Z]+)\$[0-9]+"))),_xlfn.REGEXEXTRACT(CELL("address",D182), "\$([A-Z]+)\$[0-9]+"))</f>
        <v/>
      </c>
      <c r="E182" s="7" t="str" cm="1">
        <f t="array" aca="1" ref="E182" ca="1">IFERROR(IF(OR('Raw Data'!E182="",LEN(TRIM('Raw Data'!E182))=0),"",IF(AND(ISNUMBER('Raw Data'!E182), IFERROR('Raw Data'!E182 = ROUND('Raw Data'!E182, 2),FALSE)),"",_xlfn.REGEXEXTRACT(CELL("address",E182), "\$([A-Z]+)\$[0-9]+"))),_xlfn.REGEXEXTRACT(CELL("address",E182), "\$([A-Z]+)\$[0-9]+"))</f>
        <v/>
      </c>
      <c r="F182" s="7" t="str" cm="1">
        <f t="array" aca="1" ref="F182" ca="1">IFERROR(IF(OR('Raw Data'!F182="",LEN(TRIM('Raw Data'!F182))=0),"",IF(AND(ISNUMBER('Raw Data'!F182), IFERROR('Raw Data'!F182 = ROUND('Raw Data'!F182, 2),FALSE)),"",_xlfn.REGEXEXTRACT(CELL("address",F182), "\$([A-Z]+)\$[0-9]+"))),_xlfn.REGEXEXTRACT(CELL("address",F182), "\$([A-Z]+)\$[0-9]+"))</f>
        <v/>
      </c>
      <c r="G182" s="7" t="str" cm="1">
        <f t="array" aca="1" ref="G182" ca="1">IFERROR(IF(OR('Raw Data'!G182="",LEN(TRIM('Raw Data'!G182))=0),"",IF(AND(ISNUMBER('Raw Data'!G182), IFERROR('Raw Data'!G182 = ROUND('Raw Data'!G182, 2),FALSE)),"",_xlfn.REGEXEXTRACT(CELL("address",G182), "\$([A-Z]+)\$[0-9]+"))),_xlfn.REGEXEXTRACT(CELL("address",G182), "\$([A-Z]+)\$[0-9]+"))</f>
        <v/>
      </c>
      <c r="H182" s="7" t="str" cm="1">
        <f t="array" aca="1" ref="H182" ca="1">IFERROR(IF(OR('Raw Data'!H182="",LEN(TRIM('Raw Data'!H182))=0),"",IF(AND(ISNUMBER('Raw Data'!H182), IFERROR('Raw Data'!H182 = ROUND('Raw Data'!H182, 2),FALSE)),"",_xlfn.REGEXEXTRACT(CELL("address",H182), "\$([A-Z]+)\$[0-9]+"))),_xlfn.REGEXEXTRACT(CELL("address",H182), "\$([A-Z]+)\$[0-9]+"))</f>
        <v/>
      </c>
      <c r="I182" s="7" t="str" cm="1">
        <f t="array" aca="1" ref="I182" ca="1">IFERROR(IF(OR('Raw Data'!I182="",LEN(TRIM('Raw Data'!I182))=0),"",IF(AND(ISNUMBER('Raw Data'!I182), IFERROR('Raw Data'!I182 = ROUND('Raw Data'!I182, 2),FALSE)),"",_xlfn.REGEXEXTRACT(CELL("address",I182), "\$([A-Z]+)\$[0-9]+"))),_xlfn.REGEXEXTRACT(CELL("address",I182), "\$([A-Z]+)\$[0-9]+"))</f>
        <v/>
      </c>
      <c r="J182" s="7" t="str" cm="1">
        <f t="array" aca="1" ref="J182" ca="1">IFERROR(IF(OR('Raw Data'!J182="",LEN(TRIM('Raw Data'!J182))=0),"",IF(AND(ISNUMBER('Raw Data'!J182), IFERROR('Raw Data'!J182 = ROUND('Raw Data'!J182, 2),FALSE)),"",_xlfn.REGEXEXTRACT(CELL("address",J182), "\$([A-Z]+)\$[0-9]+"))),_xlfn.REGEXEXTRACT(CELL("address",J182), "\$([A-Z]+)\$[0-9]+"))</f>
        <v/>
      </c>
      <c r="K182" s="7" t="str" cm="1">
        <f t="array" aca="1" ref="K182" ca="1">IFERROR(IF(OR('Raw Data'!K182="",LEN(TRIM('Raw Data'!K182))=0),"",IF(AND(ISNUMBER('Raw Data'!K182), IFERROR('Raw Data'!K182 = ROUND('Raw Data'!K182, 2),FALSE)),"",_xlfn.REGEXEXTRACT(CELL("address",K182), "\$([A-Z]+)\$[0-9]+"))),_xlfn.REGEXEXTRACT(CELL("address",K182), "\$([A-Z]+)\$[0-9]+"))</f>
        <v/>
      </c>
      <c r="L182" s="7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7" t="str" cm="1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7" t="str" cm="1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  <c r="O182" s="7" t="str" cm="1">
        <f t="array" aca="1" ref="O182" ca="1">IFERROR(IF(OR('Raw Data'!O182="",LEN(TRIM('Raw Data'!O182))=0),"",IF(AND(ISNUMBER('Raw Data'!O182), IFERROR('Raw Data'!O182 = ROUND('Raw Data'!O182, 2),FALSE)),"",_xlfn.REGEXEXTRACT(CELL("address",O182), "\$([A-Z]+)\$[0-9]+"))),_xlfn.REGEXEXTRACT(CELL("address",O182), "\$([A-Z]+)\$[0-9]+"))</f>
        <v/>
      </c>
      <c r="P182" s="7" t="str" cm="1">
        <f t="array" aca="1" ref="P182" ca="1">IFERROR(IF(OR('Raw Data'!P182="",LEN(TRIM('Raw Data'!P182))=0),"",IF(AND(ISNUMBER('Raw Data'!P182), IFERROR('Raw Data'!P182 = ROUND('Raw Data'!P182, 2),FALSE)),"",_xlfn.REGEXEXTRACT(CELL("address",P182), "\$([A-Z]+)\$[0-9]+"))),_xlfn.REGEXEXTRACT(CELL("address",P182), "\$([A-Z]+)\$[0-9]+"))</f>
        <v/>
      </c>
      <c r="Q182" s="7" t="str" cm="1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7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7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7" t="str" cm="1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7" t="str" cm="1">
        <f t="array" aca="1" ref="U182" ca="1">IFERROR(IF(OR('Raw Data'!U182="",LEN(TRIM('Raw Data'!U182))=0),"",IF(AND(ISNUMBER('Raw Data'!U182), IFERROR('Raw Data'!U182 = ROUND('Raw Data'!U182, 2),FALSE)),"",_xlfn.REGEXEXTRACT(CELL("address",U182), "\$([A-Z]+)\$[0-9]+"))),_xlfn.REGEXEXTRACT(CELL("address",U182), "\$([A-Z]+)\$[0-9]+"))</f>
        <v/>
      </c>
      <c r="V182" s="7" t="str" cm="1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7" t="str" cm="1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7" t="str" cm="1">
        <f t="array" aca="1" ref="X182" ca="1">IFERROR(IF(OR('Raw Data'!X182="",LEN(TRIM('Raw Data'!X182))=0),"",IF(AND(ISNUMBER('Raw Data'!X182), IFERROR('Raw Data'!X182 = ROUND('Raw Data'!X182, 2),FALSE)),"",_xlfn.REGEXEXTRACT(CELL("address",X182), "\$([A-Z]+)\$[0-9]+"))),_xlfn.REGEXEXTRACT(CELL("address",X182), "\$([A-Z]+)\$[0-9]+"))</f>
        <v/>
      </c>
      <c r="Y182" s="7" t="str" cm="1">
        <f t="array" aca="1" ref="Y182" ca="1">IFERROR(IF(OR('Raw Data'!Y182="",LEN(TRIM('Raw Data'!Y182))=0),"",IF(AND(ISNUMBER('Raw Data'!Y182), IFERROR('Raw Data'!Y182 = ROUND('Raw Data'!Y182, 2),FALSE)),"",_xlfn.REGEXEXTRACT(CELL("address",Y182), "\$([A-Z]+)\$[0-9]+"))),_xlfn.REGEXEXTRACT(CELL("address",Y182), "\$([A-Z]+)\$[0-9]+"))</f>
        <v/>
      </c>
      <c r="Z182" s="7" t="str" cm="1">
        <f t="array" aca="1" ref="Z182" ca="1">IFERROR(IF(OR('Raw Data'!Z182="",LEN(TRIM('Raw Data'!Z182))=0),"",IF(AND(ISNUMBER('Raw Data'!Z182), IFERROR('Raw Data'!Z182 = ROUND('Raw Data'!Z182, 2),FALSE)),"",_xlfn.REGEXEXTRACT(CELL("address",Z182), "\$([A-Z]+)\$[0-9]+"))),_xlfn.REGEXEXTRACT(CELL("address",Z182), "\$([A-Z]+)\$[0-9]+"))</f>
        <v/>
      </c>
      <c r="AA182" s="7" t="str" cm="1">
        <f t="array" aca="1" ref="AA182" ca="1">IFERROR(IF(OR('Raw Data'!AA182="",LEN(TRIM('Raw Data'!AA182))=0),"",IF(AND(ISNUMBER('Raw Data'!AA182), IFERROR('Raw Data'!AA182 = ROUND('Raw Data'!AA182, 2),FALSE)),"",_xlfn.REGEXEXTRACT(CELL("address",AA182), "\$([A-Z]+)\$[0-9]+"))),_xlfn.REGEXEXTRACT(CELL("address",AA182), "\$([A-Z]+)\$[0-9]+"))</f>
        <v/>
      </c>
      <c r="AB182" s="7" t="str" cm="1">
        <f t="array" aca="1" ref="AB182" ca="1">IFERROR(IF(OR('Raw Data'!AB182="",LEN(TRIM('Raw Data'!AB182))=0),"",IF(AND(ISNUMBER('Raw Data'!AB182), IFERROR('Raw Data'!AB182 = ROUND('Raw Data'!AB182, 2),FALSE)),"",_xlfn.REGEXEXTRACT(CELL("address",AB182), "\$([A-Z]+)\$[0-9]+"))),_xlfn.REGEXEXTRACT(CELL("address",AB182), "\$([A-Z]+)\$[0-9]+"))</f>
        <v/>
      </c>
    </row>
    <row r="183" spans="2:28" x14ac:dyDescent="0.25">
      <c r="B183" s="7" t="str" cm="1">
        <f t="array" aca="1" ref="B183" ca="1">IFERROR(IF(OR('Raw Data'!B183="",LEN(TRIM('Raw Data'!B183))=0),"",IF(AND(LEN('Raw Data'!B183) &lt;= 255,LEN('Raw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Data'!C183))=0),"",IF(AND(LEN('Raw Data'!C183) &lt;= 20,LEN('Raw Data'!C183)&gt; 0),"",_xlfn.REGEXEXTRACT(CELL("address",'Raw Data'!C183),"\$([A-Z]+)\$[0-9]+"))),_xlfn.REGEXEXTRACT(CELL("address",'Raw Data'!C183),"\$([A-Z]+)\$[0-9]+"))</f>
        <v/>
      </c>
      <c r="D183" s="7" t="str" cm="1">
        <f t="array" aca="1" ref="D183" ca="1">IFERROR(IF(OR('Raw Data'!D183="",LEN(TRIM('Raw Data'!D183))=0),"",IF(AND(ISNUMBER('Raw Data'!D183),'Raw Data'!D183&gt;=Configuration!$D$2),"",_xlfn.REGEXEXTRACT(CELL("address",'Raw Data'!D183),"\$([A-Z]+)\$[0-9]+"))),_xlfn.REGEXEXTRACT(CELL("address",D183), "\$([A-Z]+)\$[0-9]+"))</f>
        <v/>
      </c>
      <c r="E183" s="7" t="str" cm="1">
        <f t="array" aca="1" ref="E183" ca="1">IFERROR(IF(OR('Raw Data'!E183="",LEN(TRIM('Raw Data'!E183))=0),"",IF(AND(ISNUMBER('Raw Data'!E183), IFERROR('Raw Data'!E183 = ROUND('Raw Data'!E183, 2),FALSE)),"",_xlfn.REGEXEXTRACT(CELL("address",E183), "\$([A-Z]+)\$[0-9]+"))),_xlfn.REGEXEXTRACT(CELL("address",E183), "\$([A-Z]+)\$[0-9]+"))</f>
        <v/>
      </c>
      <c r="F183" s="7" t="str" cm="1">
        <f t="array" aca="1" ref="F183" ca="1">IFERROR(IF(OR('Raw Data'!F183="",LEN(TRIM('Raw Data'!F183))=0),"",IF(AND(ISNUMBER('Raw Data'!F183), IFERROR('Raw Data'!F183 = ROUND('Raw Data'!F183, 2),FALSE)),"",_xlfn.REGEXEXTRACT(CELL("address",F183), "\$([A-Z]+)\$[0-9]+"))),_xlfn.REGEXEXTRACT(CELL("address",F183), "\$([A-Z]+)\$[0-9]+"))</f>
        <v/>
      </c>
      <c r="G183" s="7" t="str" cm="1">
        <f t="array" aca="1" ref="G183" ca="1">IFERROR(IF(OR('Raw Data'!G183="",LEN(TRIM('Raw Data'!G183))=0),"",IF(AND(ISNUMBER('Raw Data'!G183), IFERROR('Raw Data'!G183 = ROUND('Raw Data'!G183, 2),FALSE)),"",_xlfn.REGEXEXTRACT(CELL("address",G183), "\$([A-Z]+)\$[0-9]+"))),_xlfn.REGEXEXTRACT(CELL("address",G183), "\$([A-Z]+)\$[0-9]+"))</f>
        <v/>
      </c>
      <c r="H183" s="7" t="str" cm="1">
        <f t="array" aca="1" ref="H183" ca="1">IFERROR(IF(OR('Raw Data'!H183="",LEN(TRIM('Raw Data'!H183))=0),"",IF(AND(ISNUMBER('Raw Data'!H183), IFERROR('Raw Data'!H183 = ROUND('Raw Data'!H183, 2),FALSE)),"",_xlfn.REGEXEXTRACT(CELL("address",H183), "\$([A-Z]+)\$[0-9]+"))),_xlfn.REGEXEXTRACT(CELL("address",H183), "\$([A-Z]+)\$[0-9]+"))</f>
        <v/>
      </c>
      <c r="I183" s="7" t="str" cm="1">
        <f t="array" aca="1" ref="I183" ca="1">IFERROR(IF(OR('Raw Data'!I183="",LEN(TRIM('Raw Data'!I183))=0),"",IF(AND(ISNUMBER('Raw Data'!I183), IFERROR('Raw Data'!I183 = ROUND('Raw Data'!I183, 2),FALSE)),"",_xlfn.REGEXEXTRACT(CELL("address",I183), "\$([A-Z]+)\$[0-9]+"))),_xlfn.REGEXEXTRACT(CELL("address",I183), "\$([A-Z]+)\$[0-9]+"))</f>
        <v/>
      </c>
      <c r="J183" s="7" t="str" cm="1">
        <f t="array" aca="1" ref="J183" ca="1">IFERROR(IF(OR('Raw Data'!J183="",LEN(TRIM('Raw Data'!J183))=0),"",IF(AND(ISNUMBER('Raw Data'!J183), IFERROR('Raw Data'!J183 = ROUND('Raw Data'!J183, 2),FALSE)),"",_xlfn.REGEXEXTRACT(CELL("address",J183), "\$([A-Z]+)\$[0-9]+"))),_xlfn.REGEXEXTRACT(CELL("address",J183), "\$([A-Z]+)\$[0-9]+"))</f>
        <v/>
      </c>
      <c r="K183" s="7" t="str" cm="1">
        <f t="array" aca="1" ref="K183" ca="1">IFERROR(IF(OR('Raw Data'!K183="",LEN(TRIM('Raw Data'!K183))=0),"",IF(AND(ISNUMBER('Raw Data'!K183), IFERROR('Raw Data'!K183 = ROUND('Raw Data'!K183, 2),FALSE)),"",_xlfn.REGEXEXTRACT(CELL("address",K183), "\$([A-Z]+)\$[0-9]+"))),_xlfn.REGEXEXTRACT(CELL("address",K183), "\$([A-Z]+)\$[0-9]+"))</f>
        <v/>
      </c>
      <c r="L183" s="7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7" t="str" cm="1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7" t="str" cm="1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  <c r="O183" s="7" t="str" cm="1">
        <f t="array" aca="1" ref="O183" ca="1">IFERROR(IF(OR('Raw Data'!O183="",LEN(TRIM('Raw Data'!O183))=0),"",IF(AND(ISNUMBER('Raw Data'!O183), IFERROR('Raw Data'!O183 = ROUND('Raw Data'!O183, 2),FALSE)),"",_xlfn.REGEXEXTRACT(CELL("address",O183), "\$([A-Z]+)\$[0-9]+"))),_xlfn.REGEXEXTRACT(CELL("address",O183), "\$([A-Z]+)\$[0-9]+"))</f>
        <v/>
      </c>
      <c r="P183" s="7" t="str" cm="1">
        <f t="array" aca="1" ref="P183" ca="1">IFERROR(IF(OR('Raw Data'!P183="",LEN(TRIM('Raw Data'!P183))=0),"",IF(AND(ISNUMBER('Raw Data'!P183), IFERROR('Raw Data'!P183 = ROUND('Raw Data'!P183, 2),FALSE)),"",_xlfn.REGEXEXTRACT(CELL("address",P183), "\$([A-Z]+)\$[0-9]+"))),_xlfn.REGEXEXTRACT(CELL("address",P183), "\$([A-Z]+)\$[0-9]+"))</f>
        <v/>
      </c>
      <c r="Q183" s="7" t="str" cm="1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7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7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7" t="str" cm="1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7" t="str" cm="1">
        <f t="array" aca="1" ref="U183" ca="1">IFERROR(IF(OR('Raw Data'!U183="",LEN(TRIM('Raw Data'!U183))=0),"",IF(AND(ISNUMBER('Raw Data'!U183), IFERROR('Raw Data'!U183 = ROUND('Raw Data'!U183, 2),FALSE)),"",_xlfn.REGEXEXTRACT(CELL("address",U183), "\$([A-Z]+)\$[0-9]+"))),_xlfn.REGEXEXTRACT(CELL("address",U183), "\$([A-Z]+)\$[0-9]+"))</f>
        <v/>
      </c>
      <c r="V183" s="7" t="str" cm="1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7" t="str" cm="1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7" t="str" cm="1">
        <f t="array" aca="1" ref="X183" ca="1">IFERROR(IF(OR('Raw Data'!X183="",LEN(TRIM('Raw Data'!X183))=0),"",IF(AND(ISNUMBER('Raw Data'!X183), IFERROR('Raw Data'!X183 = ROUND('Raw Data'!X183, 2),FALSE)),"",_xlfn.REGEXEXTRACT(CELL("address",X183), "\$([A-Z]+)\$[0-9]+"))),_xlfn.REGEXEXTRACT(CELL("address",X183), "\$([A-Z]+)\$[0-9]+"))</f>
        <v/>
      </c>
      <c r="Y183" s="7" t="str" cm="1">
        <f t="array" aca="1" ref="Y183" ca="1">IFERROR(IF(OR('Raw Data'!Y183="",LEN(TRIM('Raw Data'!Y183))=0),"",IF(AND(ISNUMBER('Raw Data'!Y183), IFERROR('Raw Data'!Y183 = ROUND('Raw Data'!Y183, 2),FALSE)),"",_xlfn.REGEXEXTRACT(CELL("address",Y183), "\$([A-Z]+)\$[0-9]+"))),_xlfn.REGEXEXTRACT(CELL("address",Y183), "\$([A-Z]+)\$[0-9]+"))</f>
        <v/>
      </c>
      <c r="Z183" s="7" t="str" cm="1">
        <f t="array" aca="1" ref="Z183" ca="1">IFERROR(IF(OR('Raw Data'!Z183="",LEN(TRIM('Raw Data'!Z183))=0),"",IF(AND(ISNUMBER('Raw Data'!Z183), IFERROR('Raw Data'!Z183 = ROUND('Raw Data'!Z183, 2),FALSE)),"",_xlfn.REGEXEXTRACT(CELL("address",Z183), "\$([A-Z]+)\$[0-9]+"))),_xlfn.REGEXEXTRACT(CELL("address",Z183), "\$([A-Z]+)\$[0-9]+"))</f>
        <v/>
      </c>
      <c r="AA183" s="7" t="str" cm="1">
        <f t="array" aca="1" ref="AA183" ca="1">IFERROR(IF(OR('Raw Data'!AA183="",LEN(TRIM('Raw Data'!AA183))=0),"",IF(AND(ISNUMBER('Raw Data'!AA183), IFERROR('Raw Data'!AA183 = ROUND('Raw Data'!AA183, 2),FALSE)),"",_xlfn.REGEXEXTRACT(CELL("address",AA183), "\$([A-Z]+)\$[0-9]+"))),_xlfn.REGEXEXTRACT(CELL("address",AA183), "\$([A-Z]+)\$[0-9]+"))</f>
        <v/>
      </c>
      <c r="AB183" s="7" t="str" cm="1">
        <f t="array" aca="1" ref="AB183" ca="1">IFERROR(IF(OR('Raw Data'!AB183="",LEN(TRIM('Raw Data'!AB183))=0),"",IF(AND(ISNUMBER('Raw Data'!AB183), IFERROR('Raw Data'!AB183 = ROUND('Raw Data'!AB183, 2),FALSE)),"",_xlfn.REGEXEXTRACT(CELL("address",AB183), "\$([A-Z]+)\$[0-9]+"))),_xlfn.REGEXEXTRACT(CELL("address",AB183), "\$([A-Z]+)\$[0-9]+"))</f>
        <v/>
      </c>
    </row>
    <row r="184" spans="2:28" x14ac:dyDescent="0.25">
      <c r="B184" s="7" t="str" cm="1">
        <f t="array" aca="1" ref="B184" ca="1">IFERROR(IF(OR('Raw Data'!B184="",LEN(TRIM('Raw Data'!B184))=0),"",IF(AND(LEN('Raw Data'!B184) &lt;= 255,LEN('Raw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Data'!C184))=0),"",IF(AND(LEN('Raw Data'!C184) &lt;= 20,LEN('Raw Data'!C184)&gt; 0),"",_xlfn.REGEXEXTRACT(CELL("address",'Raw Data'!C184),"\$([A-Z]+)\$[0-9]+"))),_xlfn.REGEXEXTRACT(CELL("address",'Raw Data'!C184),"\$([A-Z]+)\$[0-9]+"))</f>
        <v/>
      </c>
      <c r="D184" s="7" t="str" cm="1">
        <f t="array" aca="1" ref="D184" ca="1">IFERROR(IF(OR('Raw Data'!D184="",LEN(TRIM('Raw Data'!D184))=0),"",IF(AND(ISNUMBER('Raw Data'!D184),'Raw Data'!D184&gt;=Configuration!$D$2),"",_xlfn.REGEXEXTRACT(CELL("address",'Raw Data'!D184),"\$([A-Z]+)\$[0-9]+"))),_xlfn.REGEXEXTRACT(CELL("address",D184), "\$([A-Z]+)\$[0-9]+"))</f>
        <v/>
      </c>
      <c r="E184" s="7" t="str" cm="1">
        <f t="array" aca="1" ref="E184" ca="1">IFERROR(IF(OR('Raw Data'!E184="",LEN(TRIM('Raw Data'!E184))=0),"",IF(AND(ISNUMBER('Raw Data'!E184), IFERROR('Raw Data'!E184 = ROUND('Raw Data'!E184, 2),FALSE)),"",_xlfn.REGEXEXTRACT(CELL("address",E184), "\$([A-Z]+)\$[0-9]+"))),_xlfn.REGEXEXTRACT(CELL("address",E184), "\$([A-Z]+)\$[0-9]+"))</f>
        <v/>
      </c>
      <c r="F184" s="7" t="str" cm="1">
        <f t="array" aca="1" ref="F184" ca="1">IFERROR(IF(OR('Raw Data'!F184="",LEN(TRIM('Raw Data'!F184))=0),"",IF(AND(ISNUMBER('Raw Data'!F184), IFERROR('Raw Data'!F184 = ROUND('Raw Data'!F184, 2),FALSE)),"",_xlfn.REGEXEXTRACT(CELL("address",F184), "\$([A-Z]+)\$[0-9]+"))),_xlfn.REGEXEXTRACT(CELL("address",F184), "\$([A-Z]+)\$[0-9]+"))</f>
        <v/>
      </c>
      <c r="G184" s="7" t="str" cm="1">
        <f t="array" aca="1" ref="G184" ca="1">IFERROR(IF(OR('Raw Data'!G184="",LEN(TRIM('Raw Data'!G184))=0),"",IF(AND(ISNUMBER('Raw Data'!G184), IFERROR('Raw Data'!G184 = ROUND('Raw Data'!G184, 2),FALSE)),"",_xlfn.REGEXEXTRACT(CELL("address",G184), "\$([A-Z]+)\$[0-9]+"))),_xlfn.REGEXEXTRACT(CELL("address",G184), "\$([A-Z]+)\$[0-9]+"))</f>
        <v/>
      </c>
      <c r="H184" s="7" t="str" cm="1">
        <f t="array" aca="1" ref="H184" ca="1">IFERROR(IF(OR('Raw Data'!H184="",LEN(TRIM('Raw Data'!H184))=0),"",IF(AND(ISNUMBER('Raw Data'!H184), IFERROR('Raw Data'!H184 = ROUND('Raw Data'!H184, 2),FALSE)),"",_xlfn.REGEXEXTRACT(CELL("address",H184), "\$([A-Z]+)\$[0-9]+"))),_xlfn.REGEXEXTRACT(CELL("address",H184), "\$([A-Z]+)\$[0-9]+"))</f>
        <v/>
      </c>
      <c r="I184" s="7" t="str" cm="1">
        <f t="array" aca="1" ref="I184" ca="1">IFERROR(IF(OR('Raw Data'!I184="",LEN(TRIM('Raw Data'!I184))=0),"",IF(AND(ISNUMBER('Raw Data'!I184), IFERROR('Raw Data'!I184 = ROUND('Raw Data'!I184, 2),FALSE)),"",_xlfn.REGEXEXTRACT(CELL("address",I184), "\$([A-Z]+)\$[0-9]+"))),_xlfn.REGEXEXTRACT(CELL("address",I184), "\$([A-Z]+)\$[0-9]+"))</f>
        <v/>
      </c>
      <c r="J184" s="7" t="str" cm="1">
        <f t="array" aca="1" ref="J184" ca="1">IFERROR(IF(OR('Raw Data'!J184="",LEN(TRIM('Raw Data'!J184))=0),"",IF(AND(ISNUMBER('Raw Data'!J184), IFERROR('Raw Data'!J184 = ROUND('Raw Data'!J184, 2),FALSE)),"",_xlfn.REGEXEXTRACT(CELL("address",J184), "\$([A-Z]+)\$[0-9]+"))),_xlfn.REGEXEXTRACT(CELL("address",J184), "\$([A-Z]+)\$[0-9]+"))</f>
        <v/>
      </c>
      <c r="K184" s="7" t="str" cm="1">
        <f t="array" aca="1" ref="K184" ca="1">IFERROR(IF(OR('Raw Data'!K184="",LEN(TRIM('Raw Data'!K184))=0),"",IF(AND(ISNUMBER('Raw Data'!K184), IFERROR('Raw Data'!K184 = ROUND('Raw Data'!K184, 2),FALSE)),"",_xlfn.REGEXEXTRACT(CELL("address",K184), "\$([A-Z]+)\$[0-9]+"))),_xlfn.REGEXEXTRACT(CELL("address",K184), "\$([A-Z]+)\$[0-9]+"))</f>
        <v/>
      </c>
      <c r="L184" s="7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7" t="str" cm="1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7" t="str" cm="1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  <c r="O184" s="7" t="str" cm="1">
        <f t="array" aca="1" ref="O184" ca="1">IFERROR(IF(OR('Raw Data'!O184="",LEN(TRIM('Raw Data'!O184))=0),"",IF(AND(ISNUMBER('Raw Data'!O184), IFERROR('Raw Data'!O184 = ROUND('Raw Data'!O184, 2),FALSE)),"",_xlfn.REGEXEXTRACT(CELL("address",O184), "\$([A-Z]+)\$[0-9]+"))),_xlfn.REGEXEXTRACT(CELL("address",O184), "\$([A-Z]+)\$[0-9]+"))</f>
        <v/>
      </c>
      <c r="P184" s="7" t="str" cm="1">
        <f t="array" aca="1" ref="P184" ca="1">IFERROR(IF(OR('Raw Data'!P184="",LEN(TRIM('Raw Data'!P184))=0),"",IF(AND(ISNUMBER('Raw Data'!P184), IFERROR('Raw Data'!P184 = ROUND('Raw Data'!P184, 2),FALSE)),"",_xlfn.REGEXEXTRACT(CELL("address",P184), "\$([A-Z]+)\$[0-9]+"))),_xlfn.REGEXEXTRACT(CELL("address",P184), "\$([A-Z]+)\$[0-9]+"))</f>
        <v/>
      </c>
      <c r="Q184" s="7" t="str" cm="1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7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7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7" t="str" cm="1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7" t="str" cm="1">
        <f t="array" aca="1" ref="U184" ca="1">IFERROR(IF(OR('Raw Data'!U184="",LEN(TRIM('Raw Data'!U184))=0),"",IF(AND(ISNUMBER('Raw Data'!U184), IFERROR('Raw Data'!U184 = ROUND('Raw Data'!U184, 2),FALSE)),"",_xlfn.REGEXEXTRACT(CELL("address",U184), "\$([A-Z]+)\$[0-9]+"))),_xlfn.REGEXEXTRACT(CELL("address",U184), "\$([A-Z]+)\$[0-9]+"))</f>
        <v/>
      </c>
      <c r="V184" s="7" t="str" cm="1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7" t="str" cm="1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7" t="str" cm="1">
        <f t="array" aca="1" ref="X184" ca="1">IFERROR(IF(OR('Raw Data'!X184="",LEN(TRIM('Raw Data'!X184))=0),"",IF(AND(ISNUMBER('Raw Data'!X184), IFERROR('Raw Data'!X184 = ROUND('Raw Data'!X184, 2),FALSE)),"",_xlfn.REGEXEXTRACT(CELL("address",X184), "\$([A-Z]+)\$[0-9]+"))),_xlfn.REGEXEXTRACT(CELL("address",X184), "\$([A-Z]+)\$[0-9]+"))</f>
        <v/>
      </c>
      <c r="Y184" s="7" t="str" cm="1">
        <f t="array" aca="1" ref="Y184" ca="1">IFERROR(IF(OR('Raw Data'!Y184="",LEN(TRIM('Raw Data'!Y184))=0),"",IF(AND(ISNUMBER('Raw Data'!Y184), IFERROR('Raw Data'!Y184 = ROUND('Raw Data'!Y184, 2),FALSE)),"",_xlfn.REGEXEXTRACT(CELL("address",Y184), "\$([A-Z]+)\$[0-9]+"))),_xlfn.REGEXEXTRACT(CELL("address",Y184), "\$([A-Z]+)\$[0-9]+"))</f>
        <v/>
      </c>
      <c r="Z184" s="7" t="str" cm="1">
        <f t="array" aca="1" ref="Z184" ca="1">IFERROR(IF(OR('Raw Data'!Z184="",LEN(TRIM('Raw Data'!Z184))=0),"",IF(AND(ISNUMBER('Raw Data'!Z184), IFERROR('Raw Data'!Z184 = ROUND('Raw Data'!Z184, 2),FALSE)),"",_xlfn.REGEXEXTRACT(CELL("address",Z184), "\$([A-Z]+)\$[0-9]+"))),_xlfn.REGEXEXTRACT(CELL("address",Z184), "\$([A-Z]+)\$[0-9]+"))</f>
        <v/>
      </c>
      <c r="AA184" s="7" t="str" cm="1">
        <f t="array" aca="1" ref="AA184" ca="1">IFERROR(IF(OR('Raw Data'!AA184="",LEN(TRIM('Raw Data'!AA184))=0),"",IF(AND(ISNUMBER('Raw Data'!AA184), IFERROR('Raw Data'!AA184 = ROUND('Raw Data'!AA184, 2),FALSE)),"",_xlfn.REGEXEXTRACT(CELL("address",AA184), "\$([A-Z]+)\$[0-9]+"))),_xlfn.REGEXEXTRACT(CELL("address",AA184), "\$([A-Z]+)\$[0-9]+"))</f>
        <v/>
      </c>
      <c r="AB184" s="7" t="str" cm="1">
        <f t="array" aca="1" ref="AB184" ca="1">IFERROR(IF(OR('Raw Data'!AB184="",LEN(TRIM('Raw Data'!AB184))=0),"",IF(AND(ISNUMBER('Raw Data'!AB184), IFERROR('Raw Data'!AB184 = ROUND('Raw Data'!AB184, 2),FALSE)),"",_xlfn.REGEXEXTRACT(CELL("address",AB184), "\$([A-Z]+)\$[0-9]+"))),_xlfn.REGEXEXTRACT(CELL("address",AB184), "\$([A-Z]+)\$[0-9]+"))</f>
        <v/>
      </c>
    </row>
    <row r="185" spans="2:28" x14ac:dyDescent="0.25">
      <c r="B185" s="7" t="str" cm="1">
        <f t="array" aca="1" ref="B185" ca="1">IFERROR(IF(OR('Raw Data'!B185="",LEN(TRIM('Raw Data'!B185))=0),"",IF(AND(LEN('Raw Data'!B185) &lt;= 255,LEN('Raw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Data'!C185))=0),"",IF(AND(LEN('Raw Data'!C185) &lt;= 20,LEN('Raw Data'!C185)&gt; 0),"",_xlfn.REGEXEXTRACT(CELL("address",'Raw Data'!C185),"\$([A-Z]+)\$[0-9]+"))),_xlfn.REGEXEXTRACT(CELL("address",'Raw Data'!C185),"\$([A-Z]+)\$[0-9]+"))</f>
        <v/>
      </c>
      <c r="D185" s="7" t="str" cm="1">
        <f t="array" aca="1" ref="D185" ca="1">IFERROR(IF(OR('Raw Data'!D185="",LEN(TRIM('Raw Data'!D185))=0),"",IF(AND(ISNUMBER('Raw Data'!D185),'Raw Data'!D185&gt;=Configuration!$D$2),"",_xlfn.REGEXEXTRACT(CELL("address",'Raw Data'!D185),"\$([A-Z]+)\$[0-9]+"))),_xlfn.REGEXEXTRACT(CELL("address",D185), "\$([A-Z]+)\$[0-9]+"))</f>
        <v/>
      </c>
      <c r="E185" s="7" t="str" cm="1">
        <f t="array" aca="1" ref="E185" ca="1">IFERROR(IF(OR('Raw Data'!E185="",LEN(TRIM('Raw Data'!E185))=0),"",IF(AND(ISNUMBER('Raw Data'!E185), IFERROR('Raw Data'!E185 = ROUND('Raw Data'!E185, 2),FALSE)),"",_xlfn.REGEXEXTRACT(CELL("address",E185), "\$([A-Z]+)\$[0-9]+"))),_xlfn.REGEXEXTRACT(CELL("address",E185), "\$([A-Z]+)\$[0-9]+"))</f>
        <v/>
      </c>
      <c r="F185" s="7" t="str" cm="1">
        <f t="array" aca="1" ref="F185" ca="1">IFERROR(IF(OR('Raw Data'!F185="",LEN(TRIM('Raw Data'!F185))=0),"",IF(AND(ISNUMBER('Raw Data'!F185), IFERROR('Raw Data'!F185 = ROUND('Raw Data'!F185, 2),FALSE)),"",_xlfn.REGEXEXTRACT(CELL("address",F185), "\$([A-Z]+)\$[0-9]+"))),_xlfn.REGEXEXTRACT(CELL("address",F185), "\$([A-Z]+)\$[0-9]+"))</f>
        <v/>
      </c>
      <c r="G185" s="7" t="str" cm="1">
        <f t="array" aca="1" ref="G185" ca="1">IFERROR(IF(OR('Raw Data'!G185="",LEN(TRIM('Raw Data'!G185))=0),"",IF(AND(ISNUMBER('Raw Data'!G185), IFERROR('Raw Data'!G185 = ROUND('Raw Data'!G185, 2),FALSE)),"",_xlfn.REGEXEXTRACT(CELL("address",G185), "\$([A-Z]+)\$[0-9]+"))),_xlfn.REGEXEXTRACT(CELL("address",G185), "\$([A-Z]+)\$[0-9]+"))</f>
        <v/>
      </c>
      <c r="H185" s="7" t="str" cm="1">
        <f t="array" aca="1" ref="H185" ca="1">IFERROR(IF(OR('Raw Data'!H185="",LEN(TRIM('Raw Data'!H185))=0),"",IF(AND(ISNUMBER('Raw Data'!H185), IFERROR('Raw Data'!H185 = ROUND('Raw Data'!H185, 2),FALSE)),"",_xlfn.REGEXEXTRACT(CELL("address",H185), "\$([A-Z]+)\$[0-9]+"))),_xlfn.REGEXEXTRACT(CELL("address",H185), "\$([A-Z]+)\$[0-9]+"))</f>
        <v/>
      </c>
      <c r="I185" s="7" t="str" cm="1">
        <f t="array" aca="1" ref="I185" ca="1">IFERROR(IF(OR('Raw Data'!I185="",LEN(TRIM('Raw Data'!I185))=0),"",IF(AND(ISNUMBER('Raw Data'!I185), IFERROR('Raw Data'!I185 = ROUND('Raw Data'!I185, 2),FALSE)),"",_xlfn.REGEXEXTRACT(CELL("address",I185), "\$([A-Z]+)\$[0-9]+"))),_xlfn.REGEXEXTRACT(CELL("address",I185), "\$([A-Z]+)\$[0-9]+"))</f>
        <v/>
      </c>
      <c r="J185" s="7" t="str" cm="1">
        <f t="array" aca="1" ref="J185" ca="1">IFERROR(IF(OR('Raw Data'!J185="",LEN(TRIM('Raw Data'!J185))=0),"",IF(AND(ISNUMBER('Raw Data'!J185), IFERROR('Raw Data'!J185 = ROUND('Raw Data'!J185, 2),FALSE)),"",_xlfn.REGEXEXTRACT(CELL("address",J185), "\$([A-Z]+)\$[0-9]+"))),_xlfn.REGEXEXTRACT(CELL("address",J185), "\$([A-Z]+)\$[0-9]+"))</f>
        <v/>
      </c>
      <c r="K185" s="7" t="str" cm="1">
        <f t="array" aca="1" ref="K185" ca="1">IFERROR(IF(OR('Raw Data'!K185="",LEN(TRIM('Raw Data'!K185))=0),"",IF(AND(ISNUMBER('Raw Data'!K185), IFERROR('Raw Data'!K185 = ROUND('Raw Data'!K185, 2),FALSE)),"",_xlfn.REGEXEXTRACT(CELL("address",K185), "\$([A-Z]+)\$[0-9]+"))),_xlfn.REGEXEXTRACT(CELL("address",K185), "\$([A-Z]+)\$[0-9]+"))</f>
        <v/>
      </c>
      <c r="L185" s="7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7" t="str" cm="1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7" t="str" cm="1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  <c r="O185" s="7" t="str" cm="1">
        <f t="array" aca="1" ref="O185" ca="1">IFERROR(IF(OR('Raw Data'!O185="",LEN(TRIM('Raw Data'!O185))=0),"",IF(AND(ISNUMBER('Raw Data'!O185), IFERROR('Raw Data'!O185 = ROUND('Raw Data'!O185, 2),FALSE)),"",_xlfn.REGEXEXTRACT(CELL("address",O185), "\$([A-Z]+)\$[0-9]+"))),_xlfn.REGEXEXTRACT(CELL("address",O185), "\$([A-Z]+)\$[0-9]+"))</f>
        <v/>
      </c>
      <c r="P185" s="7" t="str" cm="1">
        <f t="array" aca="1" ref="P185" ca="1">IFERROR(IF(OR('Raw Data'!P185="",LEN(TRIM('Raw Data'!P185))=0),"",IF(AND(ISNUMBER('Raw Data'!P185), IFERROR('Raw Data'!P185 = ROUND('Raw Data'!P185, 2),FALSE)),"",_xlfn.REGEXEXTRACT(CELL("address",P185), "\$([A-Z]+)\$[0-9]+"))),_xlfn.REGEXEXTRACT(CELL("address",P185), "\$([A-Z]+)\$[0-9]+"))</f>
        <v/>
      </c>
      <c r="Q185" s="7" t="str" cm="1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7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7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7" t="str" cm="1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7" t="str" cm="1">
        <f t="array" aca="1" ref="U185" ca="1">IFERROR(IF(OR('Raw Data'!U185="",LEN(TRIM('Raw Data'!U185))=0),"",IF(AND(ISNUMBER('Raw Data'!U185), IFERROR('Raw Data'!U185 = ROUND('Raw Data'!U185, 2),FALSE)),"",_xlfn.REGEXEXTRACT(CELL("address",U185), "\$([A-Z]+)\$[0-9]+"))),_xlfn.REGEXEXTRACT(CELL("address",U185), "\$([A-Z]+)\$[0-9]+"))</f>
        <v/>
      </c>
      <c r="V185" s="7" t="str" cm="1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7" t="str" cm="1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7" t="str" cm="1">
        <f t="array" aca="1" ref="X185" ca="1">IFERROR(IF(OR('Raw Data'!X185="",LEN(TRIM('Raw Data'!X185))=0),"",IF(AND(ISNUMBER('Raw Data'!X185), IFERROR('Raw Data'!X185 = ROUND('Raw Data'!X185, 2),FALSE)),"",_xlfn.REGEXEXTRACT(CELL("address",X185), "\$([A-Z]+)\$[0-9]+"))),_xlfn.REGEXEXTRACT(CELL("address",X185), "\$([A-Z]+)\$[0-9]+"))</f>
        <v/>
      </c>
      <c r="Y185" s="7" t="str" cm="1">
        <f t="array" aca="1" ref="Y185" ca="1">IFERROR(IF(OR('Raw Data'!Y185="",LEN(TRIM('Raw Data'!Y185))=0),"",IF(AND(ISNUMBER('Raw Data'!Y185), IFERROR('Raw Data'!Y185 = ROUND('Raw Data'!Y185, 2),FALSE)),"",_xlfn.REGEXEXTRACT(CELL("address",Y185), "\$([A-Z]+)\$[0-9]+"))),_xlfn.REGEXEXTRACT(CELL("address",Y185), "\$([A-Z]+)\$[0-9]+"))</f>
        <v/>
      </c>
      <c r="Z185" s="7" t="str" cm="1">
        <f t="array" aca="1" ref="Z185" ca="1">IFERROR(IF(OR('Raw Data'!Z185="",LEN(TRIM('Raw Data'!Z185))=0),"",IF(AND(ISNUMBER('Raw Data'!Z185), IFERROR('Raw Data'!Z185 = ROUND('Raw Data'!Z185, 2),FALSE)),"",_xlfn.REGEXEXTRACT(CELL("address",Z185), "\$([A-Z]+)\$[0-9]+"))),_xlfn.REGEXEXTRACT(CELL("address",Z185), "\$([A-Z]+)\$[0-9]+"))</f>
        <v/>
      </c>
      <c r="AA185" s="7" t="str" cm="1">
        <f t="array" aca="1" ref="AA185" ca="1">IFERROR(IF(OR('Raw Data'!AA185="",LEN(TRIM('Raw Data'!AA185))=0),"",IF(AND(ISNUMBER('Raw Data'!AA185), IFERROR('Raw Data'!AA185 = ROUND('Raw Data'!AA185, 2),FALSE)),"",_xlfn.REGEXEXTRACT(CELL("address",AA185), "\$([A-Z]+)\$[0-9]+"))),_xlfn.REGEXEXTRACT(CELL("address",AA185), "\$([A-Z]+)\$[0-9]+"))</f>
        <v/>
      </c>
      <c r="AB185" s="7" t="str" cm="1">
        <f t="array" aca="1" ref="AB185" ca="1">IFERROR(IF(OR('Raw Data'!AB185="",LEN(TRIM('Raw Data'!AB185))=0),"",IF(AND(ISNUMBER('Raw Data'!AB185), IFERROR('Raw Data'!AB185 = ROUND('Raw Data'!AB185, 2),FALSE)),"",_xlfn.REGEXEXTRACT(CELL("address",AB185), "\$([A-Z]+)\$[0-9]+"))),_xlfn.REGEXEXTRACT(CELL("address",AB185), "\$([A-Z]+)\$[0-9]+"))</f>
        <v/>
      </c>
    </row>
    <row r="186" spans="2:28" x14ac:dyDescent="0.25">
      <c r="B186" s="7" t="str" cm="1">
        <f t="array" aca="1" ref="B186" ca="1">IFERROR(IF(OR('Raw Data'!B186="",LEN(TRIM('Raw Data'!B186))=0),"",IF(AND(LEN('Raw Data'!B186) &lt;= 255,LEN('Raw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Data'!C186))=0),"",IF(AND(LEN('Raw Data'!C186) &lt;= 20,LEN('Raw Data'!C186)&gt; 0),"",_xlfn.REGEXEXTRACT(CELL("address",'Raw Data'!C186),"\$([A-Z]+)\$[0-9]+"))),_xlfn.REGEXEXTRACT(CELL("address",'Raw Data'!C186),"\$([A-Z]+)\$[0-9]+"))</f>
        <v/>
      </c>
      <c r="D186" s="7" t="str" cm="1">
        <f t="array" aca="1" ref="D186" ca="1">IFERROR(IF(OR('Raw Data'!D186="",LEN(TRIM('Raw Data'!D186))=0),"",IF(AND(ISNUMBER('Raw Data'!D186),'Raw Data'!D186&gt;=Configuration!$D$2),"",_xlfn.REGEXEXTRACT(CELL("address",'Raw Data'!D186),"\$([A-Z]+)\$[0-9]+"))),_xlfn.REGEXEXTRACT(CELL("address",D186), "\$([A-Z]+)\$[0-9]+"))</f>
        <v/>
      </c>
      <c r="E186" s="7" t="str" cm="1">
        <f t="array" aca="1" ref="E186" ca="1">IFERROR(IF(OR('Raw Data'!E186="",LEN(TRIM('Raw Data'!E186))=0),"",IF(AND(ISNUMBER('Raw Data'!E186), IFERROR('Raw Data'!E186 = ROUND('Raw Data'!E186, 2),FALSE)),"",_xlfn.REGEXEXTRACT(CELL("address",E186), "\$([A-Z]+)\$[0-9]+"))),_xlfn.REGEXEXTRACT(CELL("address",E186), "\$([A-Z]+)\$[0-9]+"))</f>
        <v/>
      </c>
      <c r="F186" s="7" t="str" cm="1">
        <f t="array" aca="1" ref="F186" ca="1">IFERROR(IF(OR('Raw Data'!F186="",LEN(TRIM('Raw Data'!F186))=0),"",IF(AND(ISNUMBER('Raw Data'!F186), IFERROR('Raw Data'!F186 = ROUND('Raw Data'!F186, 2),FALSE)),"",_xlfn.REGEXEXTRACT(CELL("address",F186), "\$([A-Z]+)\$[0-9]+"))),_xlfn.REGEXEXTRACT(CELL("address",F186), "\$([A-Z]+)\$[0-9]+"))</f>
        <v/>
      </c>
      <c r="G186" s="7" t="str" cm="1">
        <f t="array" aca="1" ref="G186" ca="1">IFERROR(IF(OR('Raw Data'!G186="",LEN(TRIM('Raw Data'!G186))=0),"",IF(AND(ISNUMBER('Raw Data'!G186), IFERROR('Raw Data'!G186 = ROUND('Raw Data'!G186, 2),FALSE)),"",_xlfn.REGEXEXTRACT(CELL("address",G186), "\$([A-Z]+)\$[0-9]+"))),_xlfn.REGEXEXTRACT(CELL("address",G186), "\$([A-Z]+)\$[0-9]+"))</f>
        <v/>
      </c>
      <c r="H186" s="7" t="str" cm="1">
        <f t="array" aca="1" ref="H186" ca="1">IFERROR(IF(OR('Raw Data'!H186="",LEN(TRIM('Raw Data'!H186))=0),"",IF(AND(ISNUMBER('Raw Data'!H186), IFERROR('Raw Data'!H186 = ROUND('Raw Data'!H186, 2),FALSE)),"",_xlfn.REGEXEXTRACT(CELL("address",H186), "\$([A-Z]+)\$[0-9]+"))),_xlfn.REGEXEXTRACT(CELL("address",H186), "\$([A-Z]+)\$[0-9]+"))</f>
        <v/>
      </c>
      <c r="I186" s="7" t="str" cm="1">
        <f t="array" aca="1" ref="I186" ca="1">IFERROR(IF(OR('Raw Data'!I186="",LEN(TRIM('Raw Data'!I186))=0),"",IF(AND(ISNUMBER('Raw Data'!I186), IFERROR('Raw Data'!I186 = ROUND('Raw Data'!I186, 2),FALSE)),"",_xlfn.REGEXEXTRACT(CELL("address",I186), "\$([A-Z]+)\$[0-9]+"))),_xlfn.REGEXEXTRACT(CELL("address",I186), "\$([A-Z]+)\$[0-9]+"))</f>
        <v/>
      </c>
      <c r="J186" s="7" t="str" cm="1">
        <f t="array" aca="1" ref="J186" ca="1">IFERROR(IF(OR('Raw Data'!J186="",LEN(TRIM('Raw Data'!J186))=0),"",IF(AND(ISNUMBER('Raw Data'!J186), IFERROR('Raw Data'!J186 = ROUND('Raw Data'!J186, 2),FALSE)),"",_xlfn.REGEXEXTRACT(CELL("address",J186), "\$([A-Z]+)\$[0-9]+"))),_xlfn.REGEXEXTRACT(CELL("address",J186), "\$([A-Z]+)\$[0-9]+"))</f>
        <v/>
      </c>
      <c r="K186" s="7" t="str" cm="1">
        <f t="array" aca="1" ref="K186" ca="1">IFERROR(IF(OR('Raw Data'!K186="",LEN(TRIM('Raw Data'!K186))=0),"",IF(AND(ISNUMBER('Raw Data'!K186), IFERROR('Raw Data'!K186 = ROUND('Raw Data'!K186, 2),FALSE)),"",_xlfn.REGEXEXTRACT(CELL("address",K186), "\$([A-Z]+)\$[0-9]+"))),_xlfn.REGEXEXTRACT(CELL("address",K186), "\$([A-Z]+)\$[0-9]+"))</f>
        <v/>
      </c>
      <c r="L186" s="7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7" t="str" cm="1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7" t="str" cm="1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  <c r="O186" s="7" t="str" cm="1">
        <f t="array" aca="1" ref="O186" ca="1">IFERROR(IF(OR('Raw Data'!O186="",LEN(TRIM('Raw Data'!O186))=0),"",IF(AND(ISNUMBER('Raw Data'!O186), IFERROR('Raw Data'!O186 = ROUND('Raw Data'!O186, 2),FALSE)),"",_xlfn.REGEXEXTRACT(CELL("address",O186), "\$([A-Z]+)\$[0-9]+"))),_xlfn.REGEXEXTRACT(CELL("address",O186), "\$([A-Z]+)\$[0-9]+"))</f>
        <v/>
      </c>
      <c r="P186" s="7" t="str" cm="1">
        <f t="array" aca="1" ref="P186" ca="1">IFERROR(IF(OR('Raw Data'!P186="",LEN(TRIM('Raw Data'!P186))=0),"",IF(AND(ISNUMBER('Raw Data'!P186), IFERROR('Raw Data'!P186 = ROUND('Raw Data'!P186, 2),FALSE)),"",_xlfn.REGEXEXTRACT(CELL("address",P186), "\$([A-Z]+)\$[0-9]+"))),_xlfn.REGEXEXTRACT(CELL("address",P186), "\$([A-Z]+)\$[0-9]+"))</f>
        <v/>
      </c>
      <c r="Q186" s="7" t="str" cm="1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7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7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7" t="str" cm="1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7" t="str" cm="1">
        <f t="array" aca="1" ref="U186" ca="1">IFERROR(IF(OR('Raw Data'!U186="",LEN(TRIM('Raw Data'!U186))=0),"",IF(AND(ISNUMBER('Raw Data'!U186), IFERROR('Raw Data'!U186 = ROUND('Raw Data'!U186, 2),FALSE)),"",_xlfn.REGEXEXTRACT(CELL("address",U186), "\$([A-Z]+)\$[0-9]+"))),_xlfn.REGEXEXTRACT(CELL("address",U186), "\$([A-Z]+)\$[0-9]+"))</f>
        <v/>
      </c>
      <c r="V186" s="7" t="str" cm="1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7" t="str" cm="1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7" t="str" cm="1">
        <f t="array" aca="1" ref="X186" ca="1">IFERROR(IF(OR('Raw Data'!X186="",LEN(TRIM('Raw Data'!X186))=0),"",IF(AND(ISNUMBER('Raw Data'!X186), IFERROR('Raw Data'!X186 = ROUND('Raw Data'!X186, 2),FALSE)),"",_xlfn.REGEXEXTRACT(CELL("address",X186), "\$([A-Z]+)\$[0-9]+"))),_xlfn.REGEXEXTRACT(CELL("address",X186), "\$([A-Z]+)\$[0-9]+"))</f>
        <v/>
      </c>
      <c r="Y186" s="7" t="str" cm="1">
        <f t="array" aca="1" ref="Y186" ca="1">IFERROR(IF(OR('Raw Data'!Y186="",LEN(TRIM('Raw Data'!Y186))=0),"",IF(AND(ISNUMBER('Raw Data'!Y186), IFERROR('Raw Data'!Y186 = ROUND('Raw Data'!Y186, 2),FALSE)),"",_xlfn.REGEXEXTRACT(CELL("address",Y186), "\$([A-Z]+)\$[0-9]+"))),_xlfn.REGEXEXTRACT(CELL("address",Y186), "\$([A-Z]+)\$[0-9]+"))</f>
        <v/>
      </c>
      <c r="Z186" s="7" t="str" cm="1">
        <f t="array" aca="1" ref="Z186" ca="1">IFERROR(IF(OR('Raw Data'!Z186="",LEN(TRIM('Raw Data'!Z186))=0),"",IF(AND(ISNUMBER('Raw Data'!Z186), IFERROR('Raw Data'!Z186 = ROUND('Raw Data'!Z186, 2),FALSE)),"",_xlfn.REGEXEXTRACT(CELL("address",Z186), "\$([A-Z]+)\$[0-9]+"))),_xlfn.REGEXEXTRACT(CELL("address",Z186), "\$([A-Z]+)\$[0-9]+"))</f>
        <v/>
      </c>
      <c r="AA186" s="7" t="str" cm="1">
        <f t="array" aca="1" ref="AA186" ca="1">IFERROR(IF(OR('Raw Data'!AA186="",LEN(TRIM('Raw Data'!AA186))=0),"",IF(AND(ISNUMBER('Raw Data'!AA186), IFERROR('Raw Data'!AA186 = ROUND('Raw Data'!AA186, 2),FALSE)),"",_xlfn.REGEXEXTRACT(CELL("address",AA186), "\$([A-Z]+)\$[0-9]+"))),_xlfn.REGEXEXTRACT(CELL("address",AA186), "\$([A-Z]+)\$[0-9]+"))</f>
        <v/>
      </c>
      <c r="AB186" s="7" t="str" cm="1">
        <f t="array" aca="1" ref="AB186" ca="1">IFERROR(IF(OR('Raw Data'!AB186="",LEN(TRIM('Raw Data'!AB186))=0),"",IF(AND(ISNUMBER('Raw Data'!AB186), IFERROR('Raw Data'!AB186 = ROUND('Raw Data'!AB186, 2),FALSE)),"",_xlfn.REGEXEXTRACT(CELL("address",AB186), "\$([A-Z]+)\$[0-9]+"))),_xlfn.REGEXEXTRACT(CELL("address",AB186), "\$([A-Z]+)\$[0-9]+"))</f>
        <v/>
      </c>
    </row>
    <row r="187" spans="2:28" x14ac:dyDescent="0.25">
      <c r="B187" s="7" t="str" cm="1">
        <f t="array" aca="1" ref="B187" ca="1">IFERROR(IF(OR('Raw Data'!B187="",LEN(TRIM('Raw Data'!B187))=0),"",IF(AND(LEN('Raw Data'!B187) &lt;= 255,LEN('Raw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Data'!C187))=0),"",IF(AND(LEN('Raw Data'!C187) &lt;= 20,LEN('Raw Data'!C187)&gt; 0),"",_xlfn.REGEXEXTRACT(CELL("address",'Raw Data'!C187),"\$([A-Z]+)\$[0-9]+"))),_xlfn.REGEXEXTRACT(CELL("address",'Raw Data'!C187),"\$([A-Z]+)\$[0-9]+"))</f>
        <v/>
      </c>
      <c r="D187" s="7" t="str" cm="1">
        <f t="array" aca="1" ref="D187" ca="1">IFERROR(IF(OR('Raw Data'!D187="",LEN(TRIM('Raw Data'!D187))=0),"",IF(AND(ISNUMBER('Raw Data'!D187),'Raw Data'!D187&gt;=Configuration!$D$2),"",_xlfn.REGEXEXTRACT(CELL("address",'Raw Data'!D187),"\$([A-Z]+)\$[0-9]+"))),_xlfn.REGEXEXTRACT(CELL("address",D187), "\$([A-Z]+)\$[0-9]+"))</f>
        <v/>
      </c>
      <c r="E187" s="7" t="str" cm="1">
        <f t="array" aca="1" ref="E187" ca="1">IFERROR(IF(OR('Raw Data'!E187="",LEN(TRIM('Raw Data'!E187))=0),"",IF(AND(ISNUMBER('Raw Data'!E187), IFERROR('Raw Data'!E187 = ROUND('Raw Data'!E187, 2),FALSE)),"",_xlfn.REGEXEXTRACT(CELL("address",E187), "\$([A-Z]+)\$[0-9]+"))),_xlfn.REGEXEXTRACT(CELL("address",E187), "\$([A-Z]+)\$[0-9]+"))</f>
        <v/>
      </c>
      <c r="F187" s="7" t="str" cm="1">
        <f t="array" aca="1" ref="F187" ca="1">IFERROR(IF(OR('Raw Data'!F187="",LEN(TRIM('Raw Data'!F187))=0),"",IF(AND(ISNUMBER('Raw Data'!F187), IFERROR('Raw Data'!F187 = ROUND('Raw Data'!F187, 2),FALSE)),"",_xlfn.REGEXEXTRACT(CELL("address",F187), "\$([A-Z]+)\$[0-9]+"))),_xlfn.REGEXEXTRACT(CELL("address",F187), "\$([A-Z]+)\$[0-9]+"))</f>
        <v/>
      </c>
      <c r="G187" s="7" t="str" cm="1">
        <f t="array" aca="1" ref="G187" ca="1">IFERROR(IF(OR('Raw Data'!G187="",LEN(TRIM('Raw Data'!G187))=0),"",IF(AND(ISNUMBER('Raw Data'!G187), IFERROR('Raw Data'!G187 = ROUND('Raw Data'!G187, 2),FALSE)),"",_xlfn.REGEXEXTRACT(CELL("address",G187), "\$([A-Z]+)\$[0-9]+"))),_xlfn.REGEXEXTRACT(CELL("address",G187), "\$([A-Z]+)\$[0-9]+"))</f>
        <v/>
      </c>
      <c r="H187" s="7" t="str" cm="1">
        <f t="array" aca="1" ref="H187" ca="1">IFERROR(IF(OR('Raw Data'!H187="",LEN(TRIM('Raw Data'!H187))=0),"",IF(AND(ISNUMBER('Raw Data'!H187), IFERROR('Raw Data'!H187 = ROUND('Raw Data'!H187, 2),FALSE)),"",_xlfn.REGEXEXTRACT(CELL("address",H187), "\$([A-Z]+)\$[0-9]+"))),_xlfn.REGEXEXTRACT(CELL("address",H187), "\$([A-Z]+)\$[0-9]+"))</f>
        <v/>
      </c>
      <c r="I187" s="7" t="str" cm="1">
        <f t="array" aca="1" ref="I187" ca="1">IFERROR(IF(OR('Raw Data'!I187="",LEN(TRIM('Raw Data'!I187))=0),"",IF(AND(ISNUMBER('Raw Data'!I187), IFERROR('Raw Data'!I187 = ROUND('Raw Data'!I187, 2),FALSE)),"",_xlfn.REGEXEXTRACT(CELL("address",I187), "\$([A-Z]+)\$[0-9]+"))),_xlfn.REGEXEXTRACT(CELL("address",I187), "\$([A-Z]+)\$[0-9]+"))</f>
        <v/>
      </c>
      <c r="J187" s="7" t="str" cm="1">
        <f t="array" aca="1" ref="J187" ca="1">IFERROR(IF(OR('Raw Data'!J187="",LEN(TRIM('Raw Data'!J187))=0),"",IF(AND(ISNUMBER('Raw Data'!J187), IFERROR('Raw Data'!J187 = ROUND('Raw Data'!J187, 2),FALSE)),"",_xlfn.REGEXEXTRACT(CELL("address",J187), "\$([A-Z]+)\$[0-9]+"))),_xlfn.REGEXEXTRACT(CELL("address",J187), "\$([A-Z]+)\$[0-9]+"))</f>
        <v/>
      </c>
      <c r="K187" s="7" t="str" cm="1">
        <f t="array" aca="1" ref="K187" ca="1">IFERROR(IF(OR('Raw Data'!K187="",LEN(TRIM('Raw Data'!K187))=0),"",IF(AND(ISNUMBER('Raw Data'!K187), IFERROR('Raw Data'!K187 = ROUND('Raw Data'!K187, 2),FALSE)),"",_xlfn.REGEXEXTRACT(CELL("address",K187), "\$([A-Z]+)\$[0-9]+"))),_xlfn.REGEXEXTRACT(CELL("address",K187), "\$([A-Z]+)\$[0-9]+"))</f>
        <v/>
      </c>
      <c r="L187" s="7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7" t="str" cm="1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7" t="str" cm="1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  <c r="O187" s="7" t="str" cm="1">
        <f t="array" aca="1" ref="O187" ca="1">IFERROR(IF(OR('Raw Data'!O187="",LEN(TRIM('Raw Data'!O187))=0),"",IF(AND(ISNUMBER('Raw Data'!O187), IFERROR('Raw Data'!O187 = ROUND('Raw Data'!O187, 2),FALSE)),"",_xlfn.REGEXEXTRACT(CELL("address",O187), "\$([A-Z]+)\$[0-9]+"))),_xlfn.REGEXEXTRACT(CELL("address",O187), "\$([A-Z]+)\$[0-9]+"))</f>
        <v/>
      </c>
      <c r="P187" s="7" t="str" cm="1">
        <f t="array" aca="1" ref="P187" ca="1">IFERROR(IF(OR('Raw Data'!P187="",LEN(TRIM('Raw Data'!P187))=0),"",IF(AND(ISNUMBER('Raw Data'!P187), IFERROR('Raw Data'!P187 = ROUND('Raw Data'!P187, 2),FALSE)),"",_xlfn.REGEXEXTRACT(CELL("address",P187), "\$([A-Z]+)\$[0-9]+"))),_xlfn.REGEXEXTRACT(CELL("address",P187), "\$([A-Z]+)\$[0-9]+"))</f>
        <v/>
      </c>
      <c r="Q187" s="7" t="str" cm="1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7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7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7" t="str" cm="1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7" t="str" cm="1">
        <f t="array" aca="1" ref="U187" ca="1">IFERROR(IF(OR('Raw Data'!U187="",LEN(TRIM('Raw Data'!U187))=0),"",IF(AND(ISNUMBER('Raw Data'!U187), IFERROR('Raw Data'!U187 = ROUND('Raw Data'!U187, 2),FALSE)),"",_xlfn.REGEXEXTRACT(CELL("address",U187), "\$([A-Z]+)\$[0-9]+"))),_xlfn.REGEXEXTRACT(CELL("address",U187), "\$([A-Z]+)\$[0-9]+"))</f>
        <v/>
      </c>
      <c r="V187" s="7" t="str" cm="1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7" t="str" cm="1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7" t="str" cm="1">
        <f t="array" aca="1" ref="X187" ca="1">IFERROR(IF(OR('Raw Data'!X187="",LEN(TRIM('Raw Data'!X187))=0),"",IF(AND(ISNUMBER('Raw Data'!X187), IFERROR('Raw Data'!X187 = ROUND('Raw Data'!X187, 2),FALSE)),"",_xlfn.REGEXEXTRACT(CELL("address",X187), "\$([A-Z]+)\$[0-9]+"))),_xlfn.REGEXEXTRACT(CELL("address",X187), "\$([A-Z]+)\$[0-9]+"))</f>
        <v/>
      </c>
      <c r="Y187" s="7" t="str" cm="1">
        <f t="array" aca="1" ref="Y187" ca="1">IFERROR(IF(OR('Raw Data'!Y187="",LEN(TRIM('Raw Data'!Y187))=0),"",IF(AND(ISNUMBER('Raw Data'!Y187), IFERROR('Raw Data'!Y187 = ROUND('Raw Data'!Y187, 2),FALSE)),"",_xlfn.REGEXEXTRACT(CELL("address",Y187), "\$([A-Z]+)\$[0-9]+"))),_xlfn.REGEXEXTRACT(CELL("address",Y187), "\$([A-Z]+)\$[0-9]+"))</f>
        <v/>
      </c>
      <c r="Z187" s="7" t="str" cm="1">
        <f t="array" aca="1" ref="Z187" ca="1">IFERROR(IF(OR('Raw Data'!Z187="",LEN(TRIM('Raw Data'!Z187))=0),"",IF(AND(ISNUMBER('Raw Data'!Z187), IFERROR('Raw Data'!Z187 = ROUND('Raw Data'!Z187, 2),FALSE)),"",_xlfn.REGEXEXTRACT(CELL("address",Z187), "\$([A-Z]+)\$[0-9]+"))),_xlfn.REGEXEXTRACT(CELL("address",Z187), "\$([A-Z]+)\$[0-9]+"))</f>
        <v/>
      </c>
      <c r="AA187" s="7" t="str" cm="1">
        <f t="array" aca="1" ref="AA187" ca="1">IFERROR(IF(OR('Raw Data'!AA187="",LEN(TRIM('Raw Data'!AA187))=0),"",IF(AND(ISNUMBER('Raw Data'!AA187), IFERROR('Raw Data'!AA187 = ROUND('Raw Data'!AA187, 2),FALSE)),"",_xlfn.REGEXEXTRACT(CELL("address",AA187), "\$([A-Z]+)\$[0-9]+"))),_xlfn.REGEXEXTRACT(CELL("address",AA187), "\$([A-Z]+)\$[0-9]+"))</f>
        <v/>
      </c>
      <c r="AB187" s="7" t="str" cm="1">
        <f t="array" aca="1" ref="AB187" ca="1">IFERROR(IF(OR('Raw Data'!AB187="",LEN(TRIM('Raw Data'!AB187))=0),"",IF(AND(ISNUMBER('Raw Data'!AB187), IFERROR('Raw Data'!AB187 = ROUND('Raw Data'!AB187, 2),FALSE)),"",_xlfn.REGEXEXTRACT(CELL("address",AB187), "\$([A-Z]+)\$[0-9]+"))),_xlfn.REGEXEXTRACT(CELL("address",AB187), "\$([A-Z]+)\$[0-9]+"))</f>
        <v/>
      </c>
    </row>
    <row r="188" spans="2:28" x14ac:dyDescent="0.25">
      <c r="B188" s="7" t="str" cm="1">
        <f t="array" aca="1" ref="B188" ca="1">IFERROR(IF(OR('Raw Data'!B188="",LEN(TRIM('Raw Data'!B188))=0),"",IF(AND(LEN('Raw Data'!B188) &lt;= 255,LEN('Raw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Data'!C188))=0),"",IF(AND(LEN('Raw Data'!C188) &lt;= 20,LEN('Raw Data'!C188)&gt; 0),"",_xlfn.REGEXEXTRACT(CELL("address",'Raw Data'!C188),"\$([A-Z]+)\$[0-9]+"))),_xlfn.REGEXEXTRACT(CELL("address",'Raw Data'!C188),"\$([A-Z]+)\$[0-9]+"))</f>
        <v/>
      </c>
      <c r="D188" s="7" t="str" cm="1">
        <f t="array" aca="1" ref="D188" ca="1">IFERROR(IF(OR('Raw Data'!D188="",LEN(TRIM('Raw Data'!D188))=0),"",IF(AND(ISNUMBER('Raw Data'!D188),'Raw Data'!D188&gt;=Configuration!$D$2),"",_xlfn.REGEXEXTRACT(CELL("address",'Raw Data'!D188),"\$([A-Z]+)\$[0-9]+"))),_xlfn.REGEXEXTRACT(CELL("address",D188), "\$([A-Z]+)\$[0-9]+"))</f>
        <v/>
      </c>
      <c r="E188" s="7" t="str" cm="1">
        <f t="array" aca="1" ref="E188" ca="1">IFERROR(IF(OR('Raw Data'!E188="",LEN(TRIM('Raw Data'!E188))=0),"",IF(AND(ISNUMBER('Raw Data'!E188), IFERROR('Raw Data'!E188 = ROUND('Raw Data'!E188, 2),FALSE)),"",_xlfn.REGEXEXTRACT(CELL("address",E188), "\$([A-Z]+)\$[0-9]+"))),_xlfn.REGEXEXTRACT(CELL("address",E188), "\$([A-Z]+)\$[0-9]+"))</f>
        <v/>
      </c>
      <c r="F188" s="7" t="str" cm="1">
        <f t="array" aca="1" ref="F188" ca="1">IFERROR(IF(OR('Raw Data'!F188="",LEN(TRIM('Raw Data'!F188))=0),"",IF(AND(ISNUMBER('Raw Data'!F188), IFERROR('Raw Data'!F188 = ROUND('Raw Data'!F188, 2),FALSE)),"",_xlfn.REGEXEXTRACT(CELL("address",F188), "\$([A-Z]+)\$[0-9]+"))),_xlfn.REGEXEXTRACT(CELL("address",F188), "\$([A-Z]+)\$[0-9]+"))</f>
        <v/>
      </c>
      <c r="G188" s="7" t="str" cm="1">
        <f t="array" aca="1" ref="G188" ca="1">IFERROR(IF(OR('Raw Data'!G188="",LEN(TRIM('Raw Data'!G188))=0),"",IF(AND(ISNUMBER('Raw Data'!G188), IFERROR('Raw Data'!G188 = ROUND('Raw Data'!G188, 2),FALSE)),"",_xlfn.REGEXEXTRACT(CELL("address",G188), "\$([A-Z]+)\$[0-9]+"))),_xlfn.REGEXEXTRACT(CELL("address",G188), "\$([A-Z]+)\$[0-9]+"))</f>
        <v/>
      </c>
      <c r="H188" s="7" t="str" cm="1">
        <f t="array" aca="1" ref="H188" ca="1">IFERROR(IF(OR('Raw Data'!H188="",LEN(TRIM('Raw Data'!H188))=0),"",IF(AND(ISNUMBER('Raw Data'!H188), IFERROR('Raw Data'!H188 = ROUND('Raw Data'!H188, 2),FALSE)),"",_xlfn.REGEXEXTRACT(CELL("address",H188), "\$([A-Z]+)\$[0-9]+"))),_xlfn.REGEXEXTRACT(CELL("address",H188), "\$([A-Z]+)\$[0-9]+"))</f>
        <v/>
      </c>
      <c r="I188" s="7" t="str" cm="1">
        <f t="array" aca="1" ref="I188" ca="1">IFERROR(IF(OR('Raw Data'!I188="",LEN(TRIM('Raw Data'!I188))=0),"",IF(AND(ISNUMBER('Raw Data'!I188), IFERROR('Raw Data'!I188 = ROUND('Raw Data'!I188, 2),FALSE)),"",_xlfn.REGEXEXTRACT(CELL("address",I188), "\$([A-Z]+)\$[0-9]+"))),_xlfn.REGEXEXTRACT(CELL("address",I188), "\$([A-Z]+)\$[0-9]+"))</f>
        <v/>
      </c>
      <c r="J188" s="7" t="str" cm="1">
        <f t="array" aca="1" ref="J188" ca="1">IFERROR(IF(OR('Raw Data'!J188="",LEN(TRIM('Raw Data'!J188))=0),"",IF(AND(ISNUMBER('Raw Data'!J188), IFERROR('Raw Data'!J188 = ROUND('Raw Data'!J188, 2),FALSE)),"",_xlfn.REGEXEXTRACT(CELL("address",J188), "\$([A-Z]+)\$[0-9]+"))),_xlfn.REGEXEXTRACT(CELL("address",J188), "\$([A-Z]+)\$[0-9]+"))</f>
        <v/>
      </c>
      <c r="K188" s="7" t="str" cm="1">
        <f t="array" aca="1" ref="K188" ca="1">IFERROR(IF(OR('Raw Data'!K188="",LEN(TRIM('Raw Data'!K188))=0),"",IF(AND(ISNUMBER('Raw Data'!K188), IFERROR('Raw Data'!K188 = ROUND('Raw Data'!K188, 2),FALSE)),"",_xlfn.REGEXEXTRACT(CELL("address",K188), "\$([A-Z]+)\$[0-9]+"))),_xlfn.REGEXEXTRACT(CELL("address",K188), "\$([A-Z]+)\$[0-9]+"))</f>
        <v/>
      </c>
      <c r="L188" s="7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7" t="str" cm="1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7" t="str" cm="1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  <c r="O188" s="7" t="str" cm="1">
        <f t="array" aca="1" ref="O188" ca="1">IFERROR(IF(OR('Raw Data'!O188="",LEN(TRIM('Raw Data'!O188))=0),"",IF(AND(ISNUMBER('Raw Data'!O188), IFERROR('Raw Data'!O188 = ROUND('Raw Data'!O188, 2),FALSE)),"",_xlfn.REGEXEXTRACT(CELL("address",O188), "\$([A-Z]+)\$[0-9]+"))),_xlfn.REGEXEXTRACT(CELL("address",O188), "\$([A-Z]+)\$[0-9]+"))</f>
        <v/>
      </c>
      <c r="P188" s="7" t="str" cm="1">
        <f t="array" aca="1" ref="P188" ca="1">IFERROR(IF(OR('Raw Data'!P188="",LEN(TRIM('Raw Data'!P188))=0),"",IF(AND(ISNUMBER('Raw Data'!P188), IFERROR('Raw Data'!P188 = ROUND('Raw Data'!P188, 2),FALSE)),"",_xlfn.REGEXEXTRACT(CELL("address",P188), "\$([A-Z]+)\$[0-9]+"))),_xlfn.REGEXEXTRACT(CELL("address",P188), "\$([A-Z]+)\$[0-9]+"))</f>
        <v/>
      </c>
      <c r="Q188" s="7" t="str" cm="1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7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7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7" t="str" cm="1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7" t="str" cm="1">
        <f t="array" aca="1" ref="U188" ca="1">IFERROR(IF(OR('Raw Data'!U188="",LEN(TRIM('Raw Data'!U188))=0),"",IF(AND(ISNUMBER('Raw Data'!U188), IFERROR('Raw Data'!U188 = ROUND('Raw Data'!U188, 2),FALSE)),"",_xlfn.REGEXEXTRACT(CELL("address",U188), "\$([A-Z]+)\$[0-9]+"))),_xlfn.REGEXEXTRACT(CELL("address",U188), "\$([A-Z]+)\$[0-9]+"))</f>
        <v/>
      </c>
      <c r="V188" s="7" t="str" cm="1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7" t="str" cm="1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7" t="str" cm="1">
        <f t="array" aca="1" ref="X188" ca="1">IFERROR(IF(OR('Raw Data'!X188="",LEN(TRIM('Raw Data'!X188))=0),"",IF(AND(ISNUMBER('Raw Data'!X188), IFERROR('Raw Data'!X188 = ROUND('Raw Data'!X188, 2),FALSE)),"",_xlfn.REGEXEXTRACT(CELL("address",X188), "\$([A-Z]+)\$[0-9]+"))),_xlfn.REGEXEXTRACT(CELL("address",X188), "\$([A-Z]+)\$[0-9]+"))</f>
        <v/>
      </c>
      <c r="Y188" s="7" t="str" cm="1">
        <f t="array" aca="1" ref="Y188" ca="1">IFERROR(IF(OR('Raw Data'!Y188="",LEN(TRIM('Raw Data'!Y188))=0),"",IF(AND(ISNUMBER('Raw Data'!Y188), IFERROR('Raw Data'!Y188 = ROUND('Raw Data'!Y188, 2),FALSE)),"",_xlfn.REGEXEXTRACT(CELL("address",Y188), "\$([A-Z]+)\$[0-9]+"))),_xlfn.REGEXEXTRACT(CELL("address",Y188), "\$([A-Z]+)\$[0-9]+"))</f>
        <v/>
      </c>
      <c r="Z188" s="7" t="str" cm="1">
        <f t="array" aca="1" ref="Z188" ca="1">IFERROR(IF(OR('Raw Data'!Z188="",LEN(TRIM('Raw Data'!Z188))=0),"",IF(AND(ISNUMBER('Raw Data'!Z188), IFERROR('Raw Data'!Z188 = ROUND('Raw Data'!Z188, 2),FALSE)),"",_xlfn.REGEXEXTRACT(CELL("address",Z188), "\$([A-Z]+)\$[0-9]+"))),_xlfn.REGEXEXTRACT(CELL("address",Z188), "\$([A-Z]+)\$[0-9]+"))</f>
        <v/>
      </c>
      <c r="AA188" s="7" t="str" cm="1">
        <f t="array" aca="1" ref="AA188" ca="1">IFERROR(IF(OR('Raw Data'!AA188="",LEN(TRIM('Raw Data'!AA188))=0),"",IF(AND(ISNUMBER('Raw Data'!AA188), IFERROR('Raw Data'!AA188 = ROUND('Raw Data'!AA188, 2),FALSE)),"",_xlfn.REGEXEXTRACT(CELL("address",AA188), "\$([A-Z]+)\$[0-9]+"))),_xlfn.REGEXEXTRACT(CELL("address",AA188), "\$([A-Z]+)\$[0-9]+"))</f>
        <v/>
      </c>
      <c r="AB188" s="7" t="str" cm="1">
        <f t="array" aca="1" ref="AB188" ca="1">IFERROR(IF(OR('Raw Data'!AB188="",LEN(TRIM('Raw Data'!AB188))=0),"",IF(AND(ISNUMBER('Raw Data'!AB188), IFERROR('Raw Data'!AB188 = ROUND('Raw Data'!AB188, 2),FALSE)),"",_xlfn.REGEXEXTRACT(CELL("address",AB188), "\$([A-Z]+)\$[0-9]+"))),_xlfn.REGEXEXTRACT(CELL("address",AB188), "\$([A-Z]+)\$[0-9]+"))</f>
        <v/>
      </c>
    </row>
    <row r="189" spans="2:28" x14ac:dyDescent="0.25">
      <c r="B189" s="7" t="str" cm="1">
        <f t="array" aca="1" ref="B189" ca="1">IFERROR(IF(OR('Raw Data'!B189="",LEN(TRIM('Raw Data'!B189))=0),"",IF(AND(LEN('Raw Data'!B189) &lt;= 255,LEN('Raw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Data'!C189))=0),"",IF(AND(LEN('Raw Data'!C189) &lt;= 20,LEN('Raw Data'!C189)&gt; 0),"",_xlfn.REGEXEXTRACT(CELL("address",'Raw Data'!C189),"\$([A-Z]+)\$[0-9]+"))),_xlfn.REGEXEXTRACT(CELL("address",'Raw Data'!C189),"\$([A-Z]+)\$[0-9]+"))</f>
        <v/>
      </c>
      <c r="D189" s="7" t="str" cm="1">
        <f t="array" aca="1" ref="D189" ca="1">IFERROR(IF(OR('Raw Data'!D189="",LEN(TRIM('Raw Data'!D189))=0),"",IF(AND(ISNUMBER('Raw Data'!D189),'Raw Data'!D189&gt;=Configuration!$D$2),"",_xlfn.REGEXEXTRACT(CELL("address",'Raw Data'!D189),"\$([A-Z]+)\$[0-9]+"))),_xlfn.REGEXEXTRACT(CELL("address",D189), "\$([A-Z]+)\$[0-9]+"))</f>
        <v/>
      </c>
      <c r="E189" s="7" t="str" cm="1">
        <f t="array" aca="1" ref="E189" ca="1">IFERROR(IF(OR('Raw Data'!E189="",LEN(TRIM('Raw Data'!E189))=0),"",IF(AND(ISNUMBER('Raw Data'!E189), IFERROR('Raw Data'!E189 = ROUND('Raw Data'!E189, 2),FALSE)),"",_xlfn.REGEXEXTRACT(CELL("address",E189), "\$([A-Z]+)\$[0-9]+"))),_xlfn.REGEXEXTRACT(CELL("address",E189), "\$([A-Z]+)\$[0-9]+"))</f>
        <v/>
      </c>
      <c r="F189" s="7" t="str" cm="1">
        <f t="array" aca="1" ref="F189" ca="1">IFERROR(IF(OR('Raw Data'!F189="",LEN(TRIM('Raw Data'!F189))=0),"",IF(AND(ISNUMBER('Raw Data'!F189), IFERROR('Raw Data'!F189 = ROUND('Raw Data'!F189, 2),FALSE)),"",_xlfn.REGEXEXTRACT(CELL("address",F189), "\$([A-Z]+)\$[0-9]+"))),_xlfn.REGEXEXTRACT(CELL("address",F189), "\$([A-Z]+)\$[0-9]+"))</f>
        <v/>
      </c>
      <c r="G189" s="7" t="str" cm="1">
        <f t="array" aca="1" ref="G189" ca="1">IFERROR(IF(OR('Raw Data'!G189="",LEN(TRIM('Raw Data'!G189))=0),"",IF(AND(ISNUMBER('Raw Data'!G189), IFERROR('Raw Data'!G189 = ROUND('Raw Data'!G189, 2),FALSE)),"",_xlfn.REGEXEXTRACT(CELL("address",G189), "\$([A-Z]+)\$[0-9]+"))),_xlfn.REGEXEXTRACT(CELL("address",G189), "\$([A-Z]+)\$[0-9]+"))</f>
        <v/>
      </c>
      <c r="H189" s="7" t="str" cm="1">
        <f t="array" aca="1" ref="H189" ca="1">IFERROR(IF(OR('Raw Data'!H189="",LEN(TRIM('Raw Data'!H189))=0),"",IF(AND(ISNUMBER('Raw Data'!H189), IFERROR('Raw Data'!H189 = ROUND('Raw Data'!H189, 2),FALSE)),"",_xlfn.REGEXEXTRACT(CELL("address",H189), "\$([A-Z]+)\$[0-9]+"))),_xlfn.REGEXEXTRACT(CELL("address",H189), "\$([A-Z]+)\$[0-9]+"))</f>
        <v/>
      </c>
      <c r="I189" s="7" t="str" cm="1">
        <f t="array" aca="1" ref="I189" ca="1">IFERROR(IF(OR('Raw Data'!I189="",LEN(TRIM('Raw Data'!I189))=0),"",IF(AND(ISNUMBER('Raw Data'!I189), IFERROR('Raw Data'!I189 = ROUND('Raw Data'!I189, 2),FALSE)),"",_xlfn.REGEXEXTRACT(CELL("address",I189), "\$([A-Z]+)\$[0-9]+"))),_xlfn.REGEXEXTRACT(CELL("address",I189), "\$([A-Z]+)\$[0-9]+"))</f>
        <v/>
      </c>
      <c r="J189" s="7" t="str" cm="1">
        <f t="array" aca="1" ref="J189" ca="1">IFERROR(IF(OR('Raw Data'!J189="",LEN(TRIM('Raw Data'!J189))=0),"",IF(AND(ISNUMBER('Raw Data'!J189), IFERROR('Raw Data'!J189 = ROUND('Raw Data'!J189, 2),FALSE)),"",_xlfn.REGEXEXTRACT(CELL("address",J189), "\$([A-Z]+)\$[0-9]+"))),_xlfn.REGEXEXTRACT(CELL("address",J189), "\$([A-Z]+)\$[0-9]+"))</f>
        <v/>
      </c>
      <c r="K189" s="7" t="str" cm="1">
        <f t="array" aca="1" ref="K189" ca="1">IFERROR(IF(OR('Raw Data'!K189="",LEN(TRIM('Raw Data'!K189))=0),"",IF(AND(ISNUMBER('Raw Data'!K189), IFERROR('Raw Data'!K189 = ROUND('Raw Data'!K189, 2),FALSE)),"",_xlfn.REGEXEXTRACT(CELL("address",K189), "\$([A-Z]+)\$[0-9]+"))),_xlfn.REGEXEXTRACT(CELL("address",K189), "\$([A-Z]+)\$[0-9]+"))</f>
        <v/>
      </c>
      <c r="L189" s="7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7" t="str" cm="1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7" t="str" cm="1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  <c r="O189" s="7" t="str" cm="1">
        <f t="array" aca="1" ref="O189" ca="1">IFERROR(IF(OR('Raw Data'!O189="",LEN(TRIM('Raw Data'!O189))=0),"",IF(AND(ISNUMBER('Raw Data'!O189), IFERROR('Raw Data'!O189 = ROUND('Raw Data'!O189, 2),FALSE)),"",_xlfn.REGEXEXTRACT(CELL("address",O189), "\$([A-Z]+)\$[0-9]+"))),_xlfn.REGEXEXTRACT(CELL("address",O189), "\$([A-Z]+)\$[0-9]+"))</f>
        <v/>
      </c>
      <c r="P189" s="7" t="str" cm="1">
        <f t="array" aca="1" ref="P189" ca="1">IFERROR(IF(OR('Raw Data'!P189="",LEN(TRIM('Raw Data'!P189))=0),"",IF(AND(ISNUMBER('Raw Data'!P189), IFERROR('Raw Data'!P189 = ROUND('Raw Data'!P189, 2),FALSE)),"",_xlfn.REGEXEXTRACT(CELL("address",P189), "\$([A-Z]+)\$[0-9]+"))),_xlfn.REGEXEXTRACT(CELL("address",P189), "\$([A-Z]+)\$[0-9]+"))</f>
        <v/>
      </c>
      <c r="Q189" s="7" t="str" cm="1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7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7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7" t="str" cm="1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7" t="str" cm="1">
        <f t="array" aca="1" ref="U189" ca="1">IFERROR(IF(OR('Raw Data'!U189="",LEN(TRIM('Raw Data'!U189))=0),"",IF(AND(ISNUMBER('Raw Data'!U189), IFERROR('Raw Data'!U189 = ROUND('Raw Data'!U189, 2),FALSE)),"",_xlfn.REGEXEXTRACT(CELL("address",U189), "\$([A-Z]+)\$[0-9]+"))),_xlfn.REGEXEXTRACT(CELL("address",U189), "\$([A-Z]+)\$[0-9]+"))</f>
        <v/>
      </c>
      <c r="V189" s="7" t="str" cm="1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7" t="str" cm="1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7" t="str" cm="1">
        <f t="array" aca="1" ref="X189" ca="1">IFERROR(IF(OR('Raw Data'!X189="",LEN(TRIM('Raw Data'!X189))=0),"",IF(AND(ISNUMBER('Raw Data'!X189), IFERROR('Raw Data'!X189 = ROUND('Raw Data'!X189, 2),FALSE)),"",_xlfn.REGEXEXTRACT(CELL("address",X189), "\$([A-Z]+)\$[0-9]+"))),_xlfn.REGEXEXTRACT(CELL("address",X189), "\$([A-Z]+)\$[0-9]+"))</f>
        <v/>
      </c>
      <c r="Y189" s="7" t="str" cm="1">
        <f t="array" aca="1" ref="Y189" ca="1">IFERROR(IF(OR('Raw Data'!Y189="",LEN(TRIM('Raw Data'!Y189))=0),"",IF(AND(ISNUMBER('Raw Data'!Y189), IFERROR('Raw Data'!Y189 = ROUND('Raw Data'!Y189, 2),FALSE)),"",_xlfn.REGEXEXTRACT(CELL("address",Y189), "\$([A-Z]+)\$[0-9]+"))),_xlfn.REGEXEXTRACT(CELL("address",Y189), "\$([A-Z]+)\$[0-9]+"))</f>
        <v/>
      </c>
      <c r="Z189" s="7" t="str" cm="1">
        <f t="array" aca="1" ref="Z189" ca="1">IFERROR(IF(OR('Raw Data'!Z189="",LEN(TRIM('Raw Data'!Z189))=0),"",IF(AND(ISNUMBER('Raw Data'!Z189), IFERROR('Raw Data'!Z189 = ROUND('Raw Data'!Z189, 2),FALSE)),"",_xlfn.REGEXEXTRACT(CELL("address",Z189), "\$([A-Z]+)\$[0-9]+"))),_xlfn.REGEXEXTRACT(CELL("address",Z189), "\$([A-Z]+)\$[0-9]+"))</f>
        <v/>
      </c>
      <c r="AA189" s="7" t="str" cm="1">
        <f t="array" aca="1" ref="AA189" ca="1">IFERROR(IF(OR('Raw Data'!AA189="",LEN(TRIM('Raw Data'!AA189))=0),"",IF(AND(ISNUMBER('Raw Data'!AA189), IFERROR('Raw Data'!AA189 = ROUND('Raw Data'!AA189, 2),FALSE)),"",_xlfn.REGEXEXTRACT(CELL("address",AA189), "\$([A-Z]+)\$[0-9]+"))),_xlfn.REGEXEXTRACT(CELL("address",AA189), "\$([A-Z]+)\$[0-9]+"))</f>
        <v/>
      </c>
      <c r="AB189" s="7" t="str" cm="1">
        <f t="array" aca="1" ref="AB189" ca="1">IFERROR(IF(OR('Raw Data'!AB189="",LEN(TRIM('Raw Data'!AB189))=0),"",IF(AND(ISNUMBER('Raw Data'!AB189), IFERROR('Raw Data'!AB189 = ROUND('Raw Data'!AB189, 2),FALSE)),"",_xlfn.REGEXEXTRACT(CELL("address",AB189), "\$([A-Z]+)\$[0-9]+"))),_xlfn.REGEXEXTRACT(CELL("address",AB189), "\$([A-Z]+)\$[0-9]+"))</f>
        <v/>
      </c>
    </row>
    <row r="190" spans="2:28" x14ac:dyDescent="0.25">
      <c r="B190" s="7" t="str" cm="1">
        <f t="array" aca="1" ref="B190" ca="1">IFERROR(IF(OR('Raw Data'!B190="",LEN(TRIM('Raw Data'!B190))=0),"",IF(AND(LEN('Raw Data'!B190) &lt;= 255,LEN('Raw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Data'!C190))=0),"",IF(AND(LEN('Raw Data'!C190) &lt;= 20,LEN('Raw Data'!C190)&gt; 0),"",_xlfn.REGEXEXTRACT(CELL("address",'Raw Data'!C190),"\$([A-Z]+)\$[0-9]+"))),_xlfn.REGEXEXTRACT(CELL("address",'Raw Data'!C190),"\$([A-Z]+)\$[0-9]+"))</f>
        <v/>
      </c>
      <c r="D190" s="7" t="str" cm="1">
        <f t="array" aca="1" ref="D190" ca="1">IFERROR(IF(OR('Raw Data'!D190="",LEN(TRIM('Raw Data'!D190))=0),"",IF(AND(ISNUMBER('Raw Data'!D190),'Raw Data'!D190&gt;=Configuration!$D$2),"",_xlfn.REGEXEXTRACT(CELL("address",'Raw Data'!D190),"\$([A-Z]+)\$[0-9]+"))),_xlfn.REGEXEXTRACT(CELL("address",D190), "\$([A-Z]+)\$[0-9]+"))</f>
        <v/>
      </c>
      <c r="E190" s="7" t="str" cm="1">
        <f t="array" aca="1" ref="E190" ca="1">IFERROR(IF(OR('Raw Data'!E190="",LEN(TRIM('Raw Data'!E190))=0),"",IF(AND(ISNUMBER('Raw Data'!E190), IFERROR('Raw Data'!E190 = ROUND('Raw Data'!E190, 2),FALSE)),"",_xlfn.REGEXEXTRACT(CELL("address",E190), "\$([A-Z]+)\$[0-9]+"))),_xlfn.REGEXEXTRACT(CELL("address",E190), "\$([A-Z]+)\$[0-9]+"))</f>
        <v/>
      </c>
      <c r="F190" s="7" t="str" cm="1">
        <f t="array" aca="1" ref="F190" ca="1">IFERROR(IF(OR('Raw Data'!F190="",LEN(TRIM('Raw Data'!F190))=0),"",IF(AND(ISNUMBER('Raw Data'!F190), IFERROR('Raw Data'!F190 = ROUND('Raw Data'!F190, 2),FALSE)),"",_xlfn.REGEXEXTRACT(CELL("address",F190), "\$([A-Z]+)\$[0-9]+"))),_xlfn.REGEXEXTRACT(CELL("address",F190), "\$([A-Z]+)\$[0-9]+"))</f>
        <v/>
      </c>
      <c r="G190" s="7" t="str" cm="1">
        <f t="array" aca="1" ref="G190" ca="1">IFERROR(IF(OR('Raw Data'!G190="",LEN(TRIM('Raw Data'!G190))=0),"",IF(AND(ISNUMBER('Raw Data'!G190), IFERROR('Raw Data'!G190 = ROUND('Raw Data'!G190, 2),FALSE)),"",_xlfn.REGEXEXTRACT(CELL("address",G190), "\$([A-Z]+)\$[0-9]+"))),_xlfn.REGEXEXTRACT(CELL("address",G190), "\$([A-Z]+)\$[0-9]+"))</f>
        <v/>
      </c>
      <c r="H190" s="7" t="str" cm="1">
        <f t="array" aca="1" ref="H190" ca="1">IFERROR(IF(OR('Raw Data'!H190="",LEN(TRIM('Raw Data'!H190))=0),"",IF(AND(ISNUMBER('Raw Data'!H190), IFERROR('Raw Data'!H190 = ROUND('Raw Data'!H190, 2),FALSE)),"",_xlfn.REGEXEXTRACT(CELL("address",H190), "\$([A-Z]+)\$[0-9]+"))),_xlfn.REGEXEXTRACT(CELL("address",H190), "\$([A-Z]+)\$[0-9]+"))</f>
        <v/>
      </c>
      <c r="I190" s="7" t="str" cm="1">
        <f t="array" aca="1" ref="I190" ca="1">IFERROR(IF(OR('Raw Data'!I190="",LEN(TRIM('Raw Data'!I190))=0),"",IF(AND(ISNUMBER('Raw Data'!I190), IFERROR('Raw Data'!I190 = ROUND('Raw Data'!I190, 2),FALSE)),"",_xlfn.REGEXEXTRACT(CELL("address",I190), "\$([A-Z]+)\$[0-9]+"))),_xlfn.REGEXEXTRACT(CELL("address",I190), "\$([A-Z]+)\$[0-9]+"))</f>
        <v/>
      </c>
      <c r="J190" s="7" t="str" cm="1">
        <f t="array" aca="1" ref="J190" ca="1">IFERROR(IF(OR('Raw Data'!J190="",LEN(TRIM('Raw Data'!J190))=0),"",IF(AND(ISNUMBER('Raw Data'!J190), IFERROR('Raw Data'!J190 = ROUND('Raw Data'!J190, 2),FALSE)),"",_xlfn.REGEXEXTRACT(CELL("address",J190), "\$([A-Z]+)\$[0-9]+"))),_xlfn.REGEXEXTRACT(CELL("address",J190), "\$([A-Z]+)\$[0-9]+"))</f>
        <v/>
      </c>
      <c r="K190" s="7" t="str" cm="1">
        <f t="array" aca="1" ref="K190" ca="1">IFERROR(IF(OR('Raw Data'!K190="",LEN(TRIM('Raw Data'!K190))=0),"",IF(AND(ISNUMBER('Raw Data'!K190), IFERROR('Raw Data'!K190 = ROUND('Raw Data'!K190, 2),FALSE)),"",_xlfn.REGEXEXTRACT(CELL("address",K190), "\$([A-Z]+)\$[0-9]+"))),_xlfn.REGEXEXTRACT(CELL("address",K190), "\$([A-Z]+)\$[0-9]+"))</f>
        <v/>
      </c>
      <c r="L190" s="7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7" t="str" cm="1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7" t="str" cm="1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  <c r="O190" s="7" t="str" cm="1">
        <f t="array" aca="1" ref="O190" ca="1">IFERROR(IF(OR('Raw Data'!O190="",LEN(TRIM('Raw Data'!O190))=0),"",IF(AND(ISNUMBER('Raw Data'!O190), IFERROR('Raw Data'!O190 = ROUND('Raw Data'!O190, 2),FALSE)),"",_xlfn.REGEXEXTRACT(CELL("address",O190), "\$([A-Z]+)\$[0-9]+"))),_xlfn.REGEXEXTRACT(CELL("address",O190), "\$([A-Z]+)\$[0-9]+"))</f>
        <v/>
      </c>
      <c r="P190" s="7" t="str" cm="1">
        <f t="array" aca="1" ref="P190" ca="1">IFERROR(IF(OR('Raw Data'!P190="",LEN(TRIM('Raw Data'!P190))=0),"",IF(AND(ISNUMBER('Raw Data'!P190), IFERROR('Raw Data'!P190 = ROUND('Raw Data'!P190, 2),FALSE)),"",_xlfn.REGEXEXTRACT(CELL("address",P190), "\$([A-Z]+)\$[0-9]+"))),_xlfn.REGEXEXTRACT(CELL("address",P190), "\$([A-Z]+)\$[0-9]+"))</f>
        <v/>
      </c>
      <c r="Q190" s="7" t="str" cm="1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7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7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7" t="str" cm="1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7" t="str" cm="1">
        <f t="array" aca="1" ref="U190" ca="1">IFERROR(IF(OR('Raw Data'!U190="",LEN(TRIM('Raw Data'!U190))=0),"",IF(AND(ISNUMBER('Raw Data'!U190), IFERROR('Raw Data'!U190 = ROUND('Raw Data'!U190, 2),FALSE)),"",_xlfn.REGEXEXTRACT(CELL("address",U190), "\$([A-Z]+)\$[0-9]+"))),_xlfn.REGEXEXTRACT(CELL("address",U190), "\$([A-Z]+)\$[0-9]+"))</f>
        <v/>
      </c>
      <c r="V190" s="7" t="str" cm="1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7" t="str" cm="1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7" t="str" cm="1">
        <f t="array" aca="1" ref="X190" ca="1">IFERROR(IF(OR('Raw Data'!X190="",LEN(TRIM('Raw Data'!X190))=0),"",IF(AND(ISNUMBER('Raw Data'!X190), IFERROR('Raw Data'!X190 = ROUND('Raw Data'!X190, 2),FALSE)),"",_xlfn.REGEXEXTRACT(CELL("address",X190), "\$([A-Z]+)\$[0-9]+"))),_xlfn.REGEXEXTRACT(CELL("address",X190), "\$([A-Z]+)\$[0-9]+"))</f>
        <v/>
      </c>
      <c r="Y190" s="7" t="str" cm="1">
        <f t="array" aca="1" ref="Y190" ca="1">IFERROR(IF(OR('Raw Data'!Y190="",LEN(TRIM('Raw Data'!Y190))=0),"",IF(AND(ISNUMBER('Raw Data'!Y190), IFERROR('Raw Data'!Y190 = ROUND('Raw Data'!Y190, 2),FALSE)),"",_xlfn.REGEXEXTRACT(CELL("address",Y190), "\$([A-Z]+)\$[0-9]+"))),_xlfn.REGEXEXTRACT(CELL("address",Y190), "\$([A-Z]+)\$[0-9]+"))</f>
        <v/>
      </c>
      <c r="Z190" s="7" t="str" cm="1">
        <f t="array" aca="1" ref="Z190" ca="1">IFERROR(IF(OR('Raw Data'!Z190="",LEN(TRIM('Raw Data'!Z190))=0),"",IF(AND(ISNUMBER('Raw Data'!Z190), IFERROR('Raw Data'!Z190 = ROUND('Raw Data'!Z190, 2),FALSE)),"",_xlfn.REGEXEXTRACT(CELL("address",Z190), "\$([A-Z]+)\$[0-9]+"))),_xlfn.REGEXEXTRACT(CELL("address",Z190), "\$([A-Z]+)\$[0-9]+"))</f>
        <v/>
      </c>
      <c r="AA190" s="7" t="str" cm="1">
        <f t="array" aca="1" ref="AA190" ca="1">IFERROR(IF(OR('Raw Data'!AA190="",LEN(TRIM('Raw Data'!AA190))=0),"",IF(AND(ISNUMBER('Raw Data'!AA190), IFERROR('Raw Data'!AA190 = ROUND('Raw Data'!AA190, 2),FALSE)),"",_xlfn.REGEXEXTRACT(CELL("address",AA190), "\$([A-Z]+)\$[0-9]+"))),_xlfn.REGEXEXTRACT(CELL("address",AA190), "\$([A-Z]+)\$[0-9]+"))</f>
        <v/>
      </c>
      <c r="AB190" s="7" t="str" cm="1">
        <f t="array" aca="1" ref="AB190" ca="1">IFERROR(IF(OR('Raw Data'!AB190="",LEN(TRIM('Raw Data'!AB190))=0),"",IF(AND(ISNUMBER('Raw Data'!AB190), IFERROR('Raw Data'!AB190 = ROUND('Raw Data'!AB190, 2),FALSE)),"",_xlfn.REGEXEXTRACT(CELL("address",AB190), "\$([A-Z]+)\$[0-9]+"))),_xlfn.REGEXEXTRACT(CELL("address",AB190), "\$([A-Z]+)\$[0-9]+"))</f>
        <v/>
      </c>
    </row>
    <row r="191" spans="2:28" x14ac:dyDescent="0.25">
      <c r="B191" s="7" t="str" cm="1">
        <f t="array" aca="1" ref="B191" ca="1">IFERROR(IF(OR('Raw Data'!B191="",LEN(TRIM('Raw Data'!B191))=0),"",IF(AND(LEN('Raw Data'!B191) &lt;= 255,LEN('Raw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Data'!C191))=0),"",IF(AND(LEN('Raw Data'!C191) &lt;= 20,LEN('Raw Data'!C191)&gt; 0),"",_xlfn.REGEXEXTRACT(CELL("address",'Raw Data'!C191),"\$([A-Z]+)\$[0-9]+"))),_xlfn.REGEXEXTRACT(CELL("address",'Raw Data'!C191),"\$([A-Z]+)\$[0-9]+"))</f>
        <v/>
      </c>
      <c r="D191" s="7" t="str" cm="1">
        <f t="array" aca="1" ref="D191" ca="1">IFERROR(IF(OR('Raw Data'!D191="",LEN(TRIM('Raw Data'!D191))=0),"",IF(AND(ISNUMBER('Raw Data'!D191),'Raw Data'!D191&gt;=Configuration!$D$2),"",_xlfn.REGEXEXTRACT(CELL("address",'Raw Data'!D191),"\$([A-Z]+)\$[0-9]+"))),_xlfn.REGEXEXTRACT(CELL("address",D191), "\$([A-Z]+)\$[0-9]+"))</f>
        <v/>
      </c>
      <c r="E191" s="7" t="str" cm="1">
        <f t="array" aca="1" ref="E191" ca="1">IFERROR(IF(OR('Raw Data'!E191="",LEN(TRIM('Raw Data'!E191))=0),"",IF(AND(ISNUMBER('Raw Data'!E191), IFERROR('Raw Data'!E191 = ROUND('Raw Data'!E191, 2),FALSE)),"",_xlfn.REGEXEXTRACT(CELL("address",E191), "\$([A-Z]+)\$[0-9]+"))),_xlfn.REGEXEXTRACT(CELL("address",E191), "\$([A-Z]+)\$[0-9]+"))</f>
        <v/>
      </c>
      <c r="F191" s="7" t="str" cm="1">
        <f t="array" aca="1" ref="F191" ca="1">IFERROR(IF(OR('Raw Data'!F191="",LEN(TRIM('Raw Data'!F191))=0),"",IF(AND(ISNUMBER('Raw Data'!F191), IFERROR('Raw Data'!F191 = ROUND('Raw Data'!F191, 2),FALSE)),"",_xlfn.REGEXEXTRACT(CELL("address",F191), "\$([A-Z]+)\$[0-9]+"))),_xlfn.REGEXEXTRACT(CELL("address",F191), "\$([A-Z]+)\$[0-9]+"))</f>
        <v/>
      </c>
      <c r="G191" s="7" t="str" cm="1">
        <f t="array" aca="1" ref="G191" ca="1">IFERROR(IF(OR('Raw Data'!G191="",LEN(TRIM('Raw Data'!G191))=0),"",IF(AND(ISNUMBER('Raw Data'!G191), IFERROR('Raw Data'!G191 = ROUND('Raw Data'!G191, 2),FALSE)),"",_xlfn.REGEXEXTRACT(CELL("address",G191), "\$([A-Z]+)\$[0-9]+"))),_xlfn.REGEXEXTRACT(CELL("address",G191), "\$([A-Z]+)\$[0-9]+"))</f>
        <v/>
      </c>
      <c r="H191" s="7" t="str" cm="1">
        <f t="array" aca="1" ref="H191" ca="1">IFERROR(IF(OR('Raw Data'!H191="",LEN(TRIM('Raw Data'!H191))=0),"",IF(AND(ISNUMBER('Raw Data'!H191), IFERROR('Raw Data'!H191 = ROUND('Raw Data'!H191, 2),FALSE)),"",_xlfn.REGEXEXTRACT(CELL("address",H191), "\$([A-Z]+)\$[0-9]+"))),_xlfn.REGEXEXTRACT(CELL("address",H191), "\$([A-Z]+)\$[0-9]+"))</f>
        <v/>
      </c>
      <c r="I191" s="7" t="str" cm="1">
        <f t="array" aca="1" ref="I191" ca="1">IFERROR(IF(OR('Raw Data'!I191="",LEN(TRIM('Raw Data'!I191))=0),"",IF(AND(ISNUMBER('Raw Data'!I191), IFERROR('Raw Data'!I191 = ROUND('Raw Data'!I191, 2),FALSE)),"",_xlfn.REGEXEXTRACT(CELL("address",I191), "\$([A-Z]+)\$[0-9]+"))),_xlfn.REGEXEXTRACT(CELL("address",I191), "\$([A-Z]+)\$[0-9]+"))</f>
        <v/>
      </c>
      <c r="J191" s="7" t="str" cm="1">
        <f t="array" aca="1" ref="J191" ca="1">IFERROR(IF(OR('Raw Data'!J191="",LEN(TRIM('Raw Data'!J191))=0),"",IF(AND(ISNUMBER('Raw Data'!J191), IFERROR('Raw Data'!J191 = ROUND('Raw Data'!J191, 2),FALSE)),"",_xlfn.REGEXEXTRACT(CELL("address",J191), "\$([A-Z]+)\$[0-9]+"))),_xlfn.REGEXEXTRACT(CELL("address",J191), "\$([A-Z]+)\$[0-9]+"))</f>
        <v/>
      </c>
      <c r="K191" s="7" t="str" cm="1">
        <f t="array" aca="1" ref="K191" ca="1">IFERROR(IF(OR('Raw Data'!K191="",LEN(TRIM('Raw Data'!K191))=0),"",IF(AND(ISNUMBER('Raw Data'!K191), IFERROR('Raw Data'!K191 = ROUND('Raw Data'!K191, 2),FALSE)),"",_xlfn.REGEXEXTRACT(CELL("address",K191), "\$([A-Z]+)\$[0-9]+"))),_xlfn.REGEXEXTRACT(CELL("address",K191), "\$([A-Z]+)\$[0-9]+"))</f>
        <v/>
      </c>
      <c r="L191" s="7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7" t="str" cm="1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7" t="str" cm="1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  <c r="O191" s="7" t="str" cm="1">
        <f t="array" aca="1" ref="O191" ca="1">IFERROR(IF(OR('Raw Data'!O191="",LEN(TRIM('Raw Data'!O191))=0),"",IF(AND(ISNUMBER('Raw Data'!O191), IFERROR('Raw Data'!O191 = ROUND('Raw Data'!O191, 2),FALSE)),"",_xlfn.REGEXEXTRACT(CELL("address",O191), "\$([A-Z]+)\$[0-9]+"))),_xlfn.REGEXEXTRACT(CELL("address",O191), "\$([A-Z]+)\$[0-9]+"))</f>
        <v/>
      </c>
      <c r="P191" s="7" t="str" cm="1">
        <f t="array" aca="1" ref="P191" ca="1">IFERROR(IF(OR('Raw Data'!P191="",LEN(TRIM('Raw Data'!P191))=0),"",IF(AND(ISNUMBER('Raw Data'!P191), IFERROR('Raw Data'!P191 = ROUND('Raw Data'!P191, 2),FALSE)),"",_xlfn.REGEXEXTRACT(CELL("address",P191), "\$([A-Z]+)\$[0-9]+"))),_xlfn.REGEXEXTRACT(CELL("address",P191), "\$([A-Z]+)\$[0-9]+"))</f>
        <v/>
      </c>
      <c r="Q191" s="7" t="str" cm="1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7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7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7" t="str" cm="1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7" t="str" cm="1">
        <f t="array" aca="1" ref="U191" ca="1">IFERROR(IF(OR('Raw Data'!U191="",LEN(TRIM('Raw Data'!U191))=0),"",IF(AND(ISNUMBER('Raw Data'!U191), IFERROR('Raw Data'!U191 = ROUND('Raw Data'!U191, 2),FALSE)),"",_xlfn.REGEXEXTRACT(CELL("address",U191), "\$([A-Z]+)\$[0-9]+"))),_xlfn.REGEXEXTRACT(CELL("address",U191), "\$([A-Z]+)\$[0-9]+"))</f>
        <v/>
      </c>
      <c r="V191" s="7" t="str" cm="1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7" t="str" cm="1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7" t="str" cm="1">
        <f t="array" aca="1" ref="X191" ca="1">IFERROR(IF(OR('Raw Data'!X191="",LEN(TRIM('Raw Data'!X191))=0),"",IF(AND(ISNUMBER('Raw Data'!X191), IFERROR('Raw Data'!X191 = ROUND('Raw Data'!X191, 2),FALSE)),"",_xlfn.REGEXEXTRACT(CELL("address",X191), "\$([A-Z]+)\$[0-9]+"))),_xlfn.REGEXEXTRACT(CELL("address",X191), "\$([A-Z]+)\$[0-9]+"))</f>
        <v/>
      </c>
      <c r="Y191" s="7" t="str" cm="1">
        <f t="array" aca="1" ref="Y191" ca="1">IFERROR(IF(OR('Raw Data'!Y191="",LEN(TRIM('Raw Data'!Y191))=0),"",IF(AND(ISNUMBER('Raw Data'!Y191), IFERROR('Raw Data'!Y191 = ROUND('Raw Data'!Y191, 2),FALSE)),"",_xlfn.REGEXEXTRACT(CELL("address",Y191), "\$([A-Z]+)\$[0-9]+"))),_xlfn.REGEXEXTRACT(CELL("address",Y191), "\$([A-Z]+)\$[0-9]+"))</f>
        <v/>
      </c>
      <c r="Z191" s="7" t="str" cm="1">
        <f t="array" aca="1" ref="Z191" ca="1">IFERROR(IF(OR('Raw Data'!Z191="",LEN(TRIM('Raw Data'!Z191))=0),"",IF(AND(ISNUMBER('Raw Data'!Z191), IFERROR('Raw Data'!Z191 = ROUND('Raw Data'!Z191, 2),FALSE)),"",_xlfn.REGEXEXTRACT(CELL("address",Z191), "\$([A-Z]+)\$[0-9]+"))),_xlfn.REGEXEXTRACT(CELL("address",Z191), "\$([A-Z]+)\$[0-9]+"))</f>
        <v/>
      </c>
      <c r="AA191" s="7" t="str" cm="1">
        <f t="array" aca="1" ref="AA191" ca="1">IFERROR(IF(OR('Raw Data'!AA191="",LEN(TRIM('Raw Data'!AA191))=0),"",IF(AND(ISNUMBER('Raw Data'!AA191), IFERROR('Raw Data'!AA191 = ROUND('Raw Data'!AA191, 2),FALSE)),"",_xlfn.REGEXEXTRACT(CELL("address",AA191), "\$([A-Z]+)\$[0-9]+"))),_xlfn.REGEXEXTRACT(CELL("address",AA191), "\$([A-Z]+)\$[0-9]+"))</f>
        <v/>
      </c>
      <c r="AB191" s="7" t="str" cm="1">
        <f t="array" aca="1" ref="AB191" ca="1">IFERROR(IF(OR('Raw Data'!AB191="",LEN(TRIM('Raw Data'!AB191))=0),"",IF(AND(ISNUMBER('Raw Data'!AB191), IFERROR('Raw Data'!AB191 = ROUND('Raw Data'!AB191, 2),FALSE)),"",_xlfn.REGEXEXTRACT(CELL("address",AB191), "\$([A-Z]+)\$[0-9]+"))),_xlfn.REGEXEXTRACT(CELL("address",AB191), "\$([A-Z]+)\$[0-9]+"))</f>
        <v/>
      </c>
    </row>
    <row r="192" spans="2:28" x14ac:dyDescent="0.25">
      <c r="B192" s="7" t="str" cm="1">
        <f t="array" aca="1" ref="B192" ca="1">IFERROR(IF(OR('Raw Data'!B192="",LEN(TRIM('Raw Data'!B192))=0),"",IF(AND(LEN('Raw Data'!B192) &lt;= 255,LEN('Raw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Data'!C192))=0),"",IF(AND(LEN('Raw Data'!C192) &lt;= 20,LEN('Raw Data'!C192)&gt; 0),"",_xlfn.REGEXEXTRACT(CELL("address",'Raw Data'!C192),"\$([A-Z]+)\$[0-9]+"))),_xlfn.REGEXEXTRACT(CELL("address",'Raw Data'!C192),"\$([A-Z]+)\$[0-9]+"))</f>
        <v/>
      </c>
      <c r="D192" s="7" t="str" cm="1">
        <f t="array" aca="1" ref="D192" ca="1">IFERROR(IF(OR('Raw Data'!D192="",LEN(TRIM('Raw Data'!D192))=0),"",IF(AND(ISNUMBER('Raw Data'!D192),'Raw Data'!D192&gt;=Configuration!$D$2),"",_xlfn.REGEXEXTRACT(CELL("address",'Raw Data'!D192),"\$([A-Z]+)\$[0-9]+"))),_xlfn.REGEXEXTRACT(CELL("address",D192), "\$([A-Z]+)\$[0-9]+"))</f>
        <v/>
      </c>
      <c r="E192" s="7" t="str" cm="1">
        <f t="array" aca="1" ref="E192" ca="1">IFERROR(IF(OR('Raw Data'!E192="",LEN(TRIM('Raw Data'!E192))=0),"",IF(AND(ISNUMBER('Raw Data'!E192), IFERROR('Raw Data'!E192 = ROUND('Raw Data'!E192, 2),FALSE)),"",_xlfn.REGEXEXTRACT(CELL("address",E192), "\$([A-Z]+)\$[0-9]+"))),_xlfn.REGEXEXTRACT(CELL("address",E192), "\$([A-Z]+)\$[0-9]+"))</f>
        <v/>
      </c>
      <c r="F192" s="7" t="str" cm="1">
        <f t="array" aca="1" ref="F192" ca="1">IFERROR(IF(OR('Raw Data'!F192="",LEN(TRIM('Raw Data'!F192))=0),"",IF(AND(ISNUMBER('Raw Data'!F192), IFERROR('Raw Data'!F192 = ROUND('Raw Data'!F192, 2),FALSE)),"",_xlfn.REGEXEXTRACT(CELL("address",F192), "\$([A-Z]+)\$[0-9]+"))),_xlfn.REGEXEXTRACT(CELL("address",F192), "\$([A-Z]+)\$[0-9]+"))</f>
        <v/>
      </c>
      <c r="G192" s="7" t="str" cm="1">
        <f t="array" aca="1" ref="G192" ca="1">IFERROR(IF(OR('Raw Data'!G192="",LEN(TRIM('Raw Data'!G192))=0),"",IF(AND(ISNUMBER('Raw Data'!G192), IFERROR('Raw Data'!G192 = ROUND('Raw Data'!G192, 2),FALSE)),"",_xlfn.REGEXEXTRACT(CELL("address",G192), "\$([A-Z]+)\$[0-9]+"))),_xlfn.REGEXEXTRACT(CELL("address",G192), "\$([A-Z]+)\$[0-9]+"))</f>
        <v/>
      </c>
      <c r="H192" s="7" t="str" cm="1">
        <f t="array" aca="1" ref="H192" ca="1">IFERROR(IF(OR('Raw Data'!H192="",LEN(TRIM('Raw Data'!H192))=0),"",IF(AND(ISNUMBER('Raw Data'!H192), IFERROR('Raw Data'!H192 = ROUND('Raw Data'!H192, 2),FALSE)),"",_xlfn.REGEXEXTRACT(CELL("address",H192), "\$([A-Z]+)\$[0-9]+"))),_xlfn.REGEXEXTRACT(CELL("address",H192), "\$([A-Z]+)\$[0-9]+"))</f>
        <v/>
      </c>
      <c r="I192" s="7" t="str" cm="1">
        <f t="array" aca="1" ref="I192" ca="1">IFERROR(IF(OR('Raw Data'!I192="",LEN(TRIM('Raw Data'!I192))=0),"",IF(AND(ISNUMBER('Raw Data'!I192), IFERROR('Raw Data'!I192 = ROUND('Raw Data'!I192, 2),FALSE)),"",_xlfn.REGEXEXTRACT(CELL("address",I192), "\$([A-Z]+)\$[0-9]+"))),_xlfn.REGEXEXTRACT(CELL("address",I192), "\$([A-Z]+)\$[0-9]+"))</f>
        <v/>
      </c>
      <c r="J192" s="7" t="str" cm="1">
        <f t="array" aca="1" ref="J192" ca="1">IFERROR(IF(OR('Raw Data'!J192="",LEN(TRIM('Raw Data'!J192))=0),"",IF(AND(ISNUMBER('Raw Data'!J192), IFERROR('Raw Data'!J192 = ROUND('Raw Data'!J192, 2),FALSE)),"",_xlfn.REGEXEXTRACT(CELL("address",J192), "\$([A-Z]+)\$[0-9]+"))),_xlfn.REGEXEXTRACT(CELL("address",J192), "\$([A-Z]+)\$[0-9]+"))</f>
        <v/>
      </c>
      <c r="K192" s="7" t="str" cm="1">
        <f t="array" aca="1" ref="K192" ca="1">IFERROR(IF(OR('Raw Data'!K192="",LEN(TRIM('Raw Data'!K192))=0),"",IF(AND(ISNUMBER('Raw Data'!K192), IFERROR('Raw Data'!K192 = ROUND('Raw Data'!K192, 2),FALSE)),"",_xlfn.REGEXEXTRACT(CELL("address",K192), "\$([A-Z]+)\$[0-9]+"))),_xlfn.REGEXEXTRACT(CELL("address",K192), "\$([A-Z]+)\$[0-9]+"))</f>
        <v/>
      </c>
      <c r="L192" s="7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7" t="str" cm="1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7" t="str" cm="1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  <c r="O192" s="7" t="str" cm="1">
        <f t="array" aca="1" ref="O192" ca="1">IFERROR(IF(OR('Raw Data'!O192="",LEN(TRIM('Raw Data'!O192))=0),"",IF(AND(ISNUMBER('Raw Data'!O192), IFERROR('Raw Data'!O192 = ROUND('Raw Data'!O192, 2),FALSE)),"",_xlfn.REGEXEXTRACT(CELL("address",O192), "\$([A-Z]+)\$[0-9]+"))),_xlfn.REGEXEXTRACT(CELL("address",O192), "\$([A-Z]+)\$[0-9]+"))</f>
        <v/>
      </c>
      <c r="P192" s="7" t="str" cm="1">
        <f t="array" aca="1" ref="P192" ca="1">IFERROR(IF(OR('Raw Data'!P192="",LEN(TRIM('Raw Data'!P192))=0),"",IF(AND(ISNUMBER('Raw Data'!P192), IFERROR('Raw Data'!P192 = ROUND('Raw Data'!P192, 2),FALSE)),"",_xlfn.REGEXEXTRACT(CELL("address",P192), "\$([A-Z]+)\$[0-9]+"))),_xlfn.REGEXEXTRACT(CELL("address",P192), "\$([A-Z]+)\$[0-9]+"))</f>
        <v/>
      </c>
      <c r="Q192" s="7" t="str" cm="1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7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7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7" t="str" cm="1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7" t="str" cm="1">
        <f t="array" aca="1" ref="U192" ca="1">IFERROR(IF(OR('Raw Data'!U192="",LEN(TRIM('Raw Data'!U192))=0),"",IF(AND(ISNUMBER('Raw Data'!U192), IFERROR('Raw Data'!U192 = ROUND('Raw Data'!U192, 2),FALSE)),"",_xlfn.REGEXEXTRACT(CELL("address",U192), "\$([A-Z]+)\$[0-9]+"))),_xlfn.REGEXEXTRACT(CELL("address",U192), "\$([A-Z]+)\$[0-9]+"))</f>
        <v/>
      </c>
      <c r="V192" s="7" t="str" cm="1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7" t="str" cm="1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7" t="str" cm="1">
        <f t="array" aca="1" ref="X192" ca="1">IFERROR(IF(OR('Raw Data'!X192="",LEN(TRIM('Raw Data'!X192))=0),"",IF(AND(ISNUMBER('Raw Data'!X192), IFERROR('Raw Data'!X192 = ROUND('Raw Data'!X192, 2),FALSE)),"",_xlfn.REGEXEXTRACT(CELL("address",X192), "\$([A-Z]+)\$[0-9]+"))),_xlfn.REGEXEXTRACT(CELL("address",X192), "\$([A-Z]+)\$[0-9]+"))</f>
        <v/>
      </c>
      <c r="Y192" s="7" t="str" cm="1">
        <f t="array" aca="1" ref="Y192" ca="1">IFERROR(IF(OR('Raw Data'!Y192="",LEN(TRIM('Raw Data'!Y192))=0),"",IF(AND(ISNUMBER('Raw Data'!Y192), IFERROR('Raw Data'!Y192 = ROUND('Raw Data'!Y192, 2),FALSE)),"",_xlfn.REGEXEXTRACT(CELL("address",Y192), "\$([A-Z]+)\$[0-9]+"))),_xlfn.REGEXEXTRACT(CELL("address",Y192), "\$([A-Z]+)\$[0-9]+"))</f>
        <v/>
      </c>
      <c r="Z192" s="7" t="str" cm="1">
        <f t="array" aca="1" ref="Z192" ca="1">IFERROR(IF(OR('Raw Data'!Z192="",LEN(TRIM('Raw Data'!Z192))=0),"",IF(AND(ISNUMBER('Raw Data'!Z192), IFERROR('Raw Data'!Z192 = ROUND('Raw Data'!Z192, 2),FALSE)),"",_xlfn.REGEXEXTRACT(CELL("address",Z192), "\$([A-Z]+)\$[0-9]+"))),_xlfn.REGEXEXTRACT(CELL("address",Z192), "\$([A-Z]+)\$[0-9]+"))</f>
        <v/>
      </c>
      <c r="AA192" s="7" t="str" cm="1">
        <f t="array" aca="1" ref="AA192" ca="1">IFERROR(IF(OR('Raw Data'!AA192="",LEN(TRIM('Raw Data'!AA192))=0),"",IF(AND(ISNUMBER('Raw Data'!AA192), IFERROR('Raw Data'!AA192 = ROUND('Raw Data'!AA192, 2),FALSE)),"",_xlfn.REGEXEXTRACT(CELL("address",AA192), "\$([A-Z]+)\$[0-9]+"))),_xlfn.REGEXEXTRACT(CELL("address",AA192), "\$([A-Z]+)\$[0-9]+"))</f>
        <v/>
      </c>
      <c r="AB192" s="7" t="str" cm="1">
        <f t="array" aca="1" ref="AB192" ca="1">IFERROR(IF(OR('Raw Data'!AB192="",LEN(TRIM('Raw Data'!AB192))=0),"",IF(AND(ISNUMBER('Raw Data'!AB192), IFERROR('Raw Data'!AB192 = ROUND('Raw Data'!AB192, 2),FALSE)),"",_xlfn.REGEXEXTRACT(CELL("address",AB192), "\$([A-Z]+)\$[0-9]+"))),_xlfn.REGEXEXTRACT(CELL("address",AB192), "\$([A-Z]+)\$[0-9]+"))</f>
        <v/>
      </c>
    </row>
    <row r="193" spans="2:28" x14ac:dyDescent="0.25">
      <c r="B193" s="7" t="str" cm="1">
        <f t="array" aca="1" ref="B193" ca="1">IFERROR(IF(OR('Raw Data'!B193="",LEN(TRIM('Raw Data'!B193))=0),"",IF(AND(LEN('Raw Data'!B193) &lt;= 255,LEN('Raw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Data'!C193))=0),"",IF(AND(LEN('Raw Data'!C193) &lt;= 20,LEN('Raw Data'!C193)&gt; 0),"",_xlfn.REGEXEXTRACT(CELL("address",'Raw Data'!C193),"\$([A-Z]+)\$[0-9]+"))),_xlfn.REGEXEXTRACT(CELL("address",'Raw Data'!C193),"\$([A-Z]+)\$[0-9]+"))</f>
        <v/>
      </c>
      <c r="D193" s="7" t="str" cm="1">
        <f t="array" aca="1" ref="D193" ca="1">IFERROR(IF(OR('Raw Data'!D193="",LEN(TRIM('Raw Data'!D193))=0),"",IF(AND(ISNUMBER('Raw Data'!D193),'Raw Data'!D193&gt;=Configuration!$D$2),"",_xlfn.REGEXEXTRACT(CELL("address",'Raw Data'!D193),"\$([A-Z]+)\$[0-9]+"))),_xlfn.REGEXEXTRACT(CELL("address",D193), "\$([A-Z]+)\$[0-9]+"))</f>
        <v/>
      </c>
      <c r="E193" s="7" t="str" cm="1">
        <f t="array" aca="1" ref="E193" ca="1">IFERROR(IF(OR('Raw Data'!E193="",LEN(TRIM('Raw Data'!E193))=0),"",IF(AND(ISNUMBER('Raw Data'!E193), IFERROR('Raw Data'!E193 = ROUND('Raw Data'!E193, 2),FALSE)),"",_xlfn.REGEXEXTRACT(CELL("address",E193), "\$([A-Z]+)\$[0-9]+"))),_xlfn.REGEXEXTRACT(CELL("address",E193), "\$([A-Z]+)\$[0-9]+"))</f>
        <v/>
      </c>
      <c r="F193" s="7" t="str" cm="1">
        <f t="array" aca="1" ref="F193" ca="1">IFERROR(IF(OR('Raw Data'!F193="",LEN(TRIM('Raw Data'!F193))=0),"",IF(AND(ISNUMBER('Raw Data'!F193), IFERROR('Raw Data'!F193 = ROUND('Raw Data'!F193, 2),FALSE)),"",_xlfn.REGEXEXTRACT(CELL("address",F193), "\$([A-Z]+)\$[0-9]+"))),_xlfn.REGEXEXTRACT(CELL("address",F193), "\$([A-Z]+)\$[0-9]+"))</f>
        <v/>
      </c>
      <c r="G193" s="7" t="str" cm="1">
        <f t="array" aca="1" ref="G193" ca="1">IFERROR(IF(OR('Raw Data'!G193="",LEN(TRIM('Raw Data'!G193))=0),"",IF(AND(ISNUMBER('Raw Data'!G193), IFERROR('Raw Data'!G193 = ROUND('Raw Data'!G193, 2),FALSE)),"",_xlfn.REGEXEXTRACT(CELL("address",G193), "\$([A-Z]+)\$[0-9]+"))),_xlfn.REGEXEXTRACT(CELL("address",G193), "\$([A-Z]+)\$[0-9]+"))</f>
        <v/>
      </c>
      <c r="H193" s="7" t="str" cm="1">
        <f t="array" aca="1" ref="H193" ca="1">IFERROR(IF(OR('Raw Data'!H193="",LEN(TRIM('Raw Data'!H193))=0),"",IF(AND(ISNUMBER('Raw Data'!H193), IFERROR('Raw Data'!H193 = ROUND('Raw Data'!H193, 2),FALSE)),"",_xlfn.REGEXEXTRACT(CELL("address",H193), "\$([A-Z]+)\$[0-9]+"))),_xlfn.REGEXEXTRACT(CELL("address",H193), "\$([A-Z]+)\$[0-9]+"))</f>
        <v/>
      </c>
      <c r="I193" s="7" t="str" cm="1">
        <f t="array" aca="1" ref="I193" ca="1">IFERROR(IF(OR('Raw Data'!I193="",LEN(TRIM('Raw Data'!I193))=0),"",IF(AND(ISNUMBER('Raw Data'!I193), IFERROR('Raw Data'!I193 = ROUND('Raw Data'!I193, 2),FALSE)),"",_xlfn.REGEXEXTRACT(CELL("address",I193), "\$([A-Z]+)\$[0-9]+"))),_xlfn.REGEXEXTRACT(CELL("address",I193), "\$([A-Z]+)\$[0-9]+"))</f>
        <v/>
      </c>
      <c r="J193" s="7" t="str" cm="1">
        <f t="array" aca="1" ref="J193" ca="1">IFERROR(IF(OR('Raw Data'!J193="",LEN(TRIM('Raw Data'!J193))=0),"",IF(AND(ISNUMBER('Raw Data'!J193), IFERROR('Raw Data'!J193 = ROUND('Raw Data'!J193, 2),FALSE)),"",_xlfn.REGEXEXTRACT(CELL("address",J193), "\$([A-Z]+)\$[0-9]+"))),_xlfn.REGEXEXTRACT(CELL("address",J193), "\$([A-Z]+)\$[0-9]+"))</f>
        <v/>
      </c>
      <c r="K193" s="7" t="str" cm="1">
        <f t="array" aca="1" ref="K193" ca="1">IFERROR(IF(OR('Raw Data'!K193="",LEN(TRIM('Raw Data'!K193))=0),"",IF(AND(ISNUMBER('Raw Data'!K193), IFERROR('Raw Data'!K193 = ROUND('Raw Data'!K193, 2),FALSE)),"",_xlfn.REGEXEXTRACT(CELL("address",K193), "\$([A-Z]+)\$[0-9]+"))),_xlfn.REGEXEXTRACT(CELL("address",K193), "\$([A-Z]+)\$[0-9]+"))</f>
        <v/>
      </c>
      <c r="L193" s="7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7" t="str" cm="1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7" t="str" cm="1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  <c r="O193" s="7" t="str" cm="1">
        <f t="array" aca="1" ref="O193" ca="1">IFERROR(IF(OR('Raw Data'!O193="",LEN(TRIM('Raw Data'!O193))=0),"",IF(AND(ISNUMBER('Raw Data'!O193), IFERROR('Raw Data'!O193 = ROUND('Raw Data'!O193, 2),FALSE)),"",_xlfn.REGEXEXTRACT(CELL("address",O193), "\$([A-Z]+)\$[0-9]+"))),_xlfn.REGEXEXTRACT(CELL("address",O193), "\$([A-Z]+)\$[0-9]+"))</f>
        <v/>
      </c>
      <c r="P193" s="7" t="str" cm="1">
        <f t="array" aca="1" ref="P193" ca="1">IFERROR(IF(OR('Raw Data'!P193="",LEN(TRIM('Raw Data'!P193))=0),"",IF(AND(ISNUMBER('Raw Data'!P193), IFERROR('Raw Data'!P193 = ROUND('Raw Data'!P193, 2),FALSE)),"",_xlfn.REGEXEXTRACT(CELL("address",P193), "\$([A-Z]+)\$[0-9]+"))),_xlfn.REGEXEXTRACT(CELL("address",P193), "\$([A-Z]+)\$[0-9]+"))</f>
        <v/>
      </c>
      <c r="Q193" s="7" t="str" cm="1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7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7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7" t="str" cm="1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7" t="str" cm="1">
        <f t="array" aca="1" ref="U193" ca="1">IFERROR(IF(OR('Raw Data'!U193="",LEN(TRIM('Raw Data'!U193))=0),"",IF(AND(ISNUMBER('Raw Data'!U193), IFERROR('Raw Data'!U193 = ROUND('Raw Data'!U193, 2),FALSE)),"",_xlfn.REGEXEXTRACT(CELL("address",U193), "\$([A-Z]+)\$[0-9]+"))),_xlfn.REGEXEXTRACT(CELL("address",U193), "\$([A-Z]+)\$[0-9]+"))</f>
        <v/>
      </c>
      <c r="V193" s="7" t="str" cm="1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7" t="str" cm="1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7" t="str" cm="1">
        <f t="array" aca="1" ref="X193" ca="1">IFERROR(IF(OR('Raw Data'!X193="",LEN(TRIM('Raw Data'!X193))=0),"",IF(AND(ISNUMBER('Raw Data'!X193), IFERROR('Raw Data'!X193 = ROUND('Raw Data'!X193, 2),FALSE)),"",_xlfn.REGEXEXTRACT(CELL("address",X193), "\$([A-Z]+)\$[0-9]+"))),_xlfn.REGEXEXTRACT(CELL("address",X193), "\$([A-Z]+)\$[0-9]+"))</f>
        <v/>
      </c>
      <c r="Y193" s="7" t="str" cm="1">
        <f t="array" aca="1" ref="Y193" ca="1">IFERROR(IF(OR('Raw Data'!Y193="",LEN(TRIM('Raw Data'!Y193))=0),"",IF(AND(ISNUMBER('Raw Data'!Y193), IFERROR('Raw Data'!Y193 = ROUND('Raw Data'!Y193, 2),FALSE)),"",_xlfn.REGEXEXTRACT(CELL("address",Y193), "\$([A-Z]+)\$[0-9]+"))),_xlfn.REGEXEXTRACT(CELL("address",Y193), "\$([A-Z]+)\$[0-9]+"))</f>
        <v/>
      </c>
      <c r="Z193" s="7" t="str" cm="1">
        <f t="array" aca="1" ref="Z193" ca="1">IFERROR(IF(OR('Raw Data'!Z193="",LEN(TRIM('Raw Data'!Z193))=0),"",IF(AND(ISNUMBER('Raw Data'!Z193), IFERROR('Raw Data'!Z193 = ROUND('Raw Data'!Z193, 2),FALSE)),"",_xlfn.REGEXEXTRACT(CELL("address",Z193), "\$([A-Z]+)\$[0-9]+"))),_xlfn.REGEXEXTRACT(CELL("address",Z193), "\$([A-Z]+)\$[0-9]+"))</f>
        <v/>
      </c>
      <c r="AA193" s="7" t="str" cm="1">
        <f t="array" aca="1" ref="AA193" ca="1">IFERROR(IF(OR('Raw Data'!AA193="",LEN(TRIM('Raw Data'!AA193))=0),"",IF(AND(ISNUMBER('Raw Data'!AA193), IFERROR('Raw Data'!AA193 = ROUND('Raw Data'!AA193, 2),FALSE)),"",_xlfn.REGEXEXTRACT(CELL("address",AA193), "\$([A-Z]+)\$[0-9]+"))),_xlfn.REGEXEXTRACT(CELL("address",AA193), "\$([A-Z]+)\$[0-9]+"))</f>
        <v/>
      </c>
      <c r="AB193" s="7" t="str" cm="1">
        <f t="array" aca="1" ref="AB193" ca="1">IFERROR(IF(OR('Raw Data'!AB193="",LEN(TRIM('Raw Data'!AB193))=0),"",IF(AND(ISNUMBER('Raw Data'!AB193), IFERROR('Raw Data'!AB193 = ROUND('Raw Data'!AB193, 2),FALSE)),"",_xlfn.REGEXEXTRACT(CELL("address",AB193), "\$([A-Z]+)\$[0-9]+"))),_xlfn.REGEXEXTRACT(CELL("address",AB193), "\$([A-Z]+)\$[0-9]+"))</f>
        <v/>
      </c>
    </row>
    <row r="194" spans="2:28" x14ac:dyDescent="0.25">
      <c r="B194" s="7" t="str" cm="1">
        <f t="array" aca="1" ref="B194" ca="1">IFERROR(IF(OR('Raw Data'!B194="",LEN(TRIM('Raw Data'!B194))=0),"",IF(AND(LEN('Raw Data'!B194) &lt;= 255,LEN('Raw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Data'!C194))=0),"",IF(AND(LEN('Raw Data'!C194) &lt;= 20,LEN('Raw Data'!C194)&gt; 0),"",_xlfn.REGEXEXTRACT(CELL("address",'Raw Data'!C194),"\$([A-Z]+)\$[0-9]+"))),_xlfn.REGEXEXTRACT(CELL("address",'Raw Data'!C194),"\$([A-Z]+)\$[0-9]+"))</f>
        <v/>
      </c>
      <c r="D194" s="7" t="str" cm="1">
        <f t="array" aca="1" ref="D194" ca="1">IFERROR(IF(OR('Raw Data'!D194="",LEN(TRIM('Raw Data'!D194))=0),"",IF(AND(ISNUMBER('Raw Data'!D194),'Raw Data'!D194&gt;=Configuration!$D$2),"",_xlfn.REGEXEXTRACT(CELL("address",'Raw Data'!D194),"\$([A-Z]+)\$[0-9]+"))),_xlfn.REGEXEXTRACT(CELL("address",D194), "\$([A-Z]+)\$[0-9]+"))</f>
        <v/>
      </c>
      <c r="E194" s="7" t="str" cm="1">
        <f t="array" aca="1" ref="E194" ca="1">IFERROR(IF(OR('Raw Data'!E194="",LEN(TRIM('Raw Data'!E194))=0),"",IF(AND(ISNUMBER('Raw Data'!E194), IFERROR('Raw Data'!E194 = ROUND('Raw Data'!E194, 2),FALSE)),"",_xlfn.REGEXEXTRACT(CELL("address",E194), "\$([A-Z]+)\$[0-9]+"))),_xlfn.REGEXEXTRACT(CELL("address",E194), "\$([A-Z]+)\$[0-9]+"))</f>
        <v/>
      </c>
      <c r="F194" s="7" t="str" cm="1">
        <f t="array" aca="1" ref="F194" ca="1">IFERROR(IF(OR('Raw Data'!F194="",LEN(TRIM('Raw Data'!F194))=0),"",IF(AND(ISNUMBER('Raw Data'!F194), IFERROR('Raw Data'!F194 = ROUND('Raw Data'!F194, 2),FALSE)),"",_xlfn.REGEXEXTRACT(CELL("address",F194), "\$([A-Z]+)\$[0-9]+"))),_xlfn.REGEXEXTRACT(CELL("address",F194), "\$([A-Z]+)\$[0-9]+"))</f>
        <v/>
      </c>
      <c r="G194" s="7" t="str" cm="1">
        <f t="array" aca="1" ref="G194" ca="1">IFERROR(IF(OR('Raw Data'!G194="",LEN(TRIM('Raw Data'!G194))=0),"",IF(AND(ISNUMBER('Raw Data'!G194), IFERROR('Raw Data'!G194 = ROUND('Raw Data'!G194, 2),FALSE)),"",_xlfn.REGEXEXTRACT(CELL("address",G194), "\$([A-Z]+)\$[0-9]+"))),_xlfn.REGEXEXTRACT(CELL("address",G194), "\$([A-Z]+)\$[0-9]+"))</f>
        <v/>
      </c>
      <c r="H194" s="7" t="str" cm="1">
        <f t="array" aca="1" ref="H194" ca="1">IFERROR(IF(OR('Raw Data'!H194="",LEN(TRIM('Raw Data'!H194))=0),"",IF(AND(ISNUMBER('Raw Data'!H194), IFERROR('Raw Data'!H194 = ROUND('Raw Data'!H194, 2),FALSE)),"",_xlfn.REGEXEXTRACT(CELL("address",H194), "\$([A-Z]+)\$[0-9]+"))),_xlfn.REGEXEXTRACT(CELL("address",H194), "\$([A-Z]+)\$[0-9]+"))</f>
        <v/>
      </c>
      <c r="I194" s="7" t="str" cm="1">
        <f t="array" aca="1" ref="I194" ca="1">IFERROR(IF(OR('Raw Data'!I194="",LEN(TRIM('Raw Data'!I194))=0),"",IF(AND(ISNUMBER('Raw Data'!I194), IFERROR('Raw Data'!I194 = ROUND('Raw Data'!I194, 2),FALSE)),"",_xlfn.REGEXEXTRACT(CELL("address",I194), "\$([A-Z]+)\$[0-9]+"))),_xlfn.REGEXEXTRACT(CELL("address",I194), "\$([A-Z]+)\$[0-9]+"))</f>
        <v/>
      </c>
      <c r="J194" s="7" t="str" cm="1">
        <f t="array" aca="1" ref="J194" ca="1">IFERROR(IF(OR('Raw Data'!J194="",LEN(TRIM('Raw Data'!J194))=0),"",IF(AND(ISNUMBER('Raw Data'!J194), IFERROR('Raw Data'!J194 = ROUND('Raw Data'!J194, 2),FALSE)),"",_xlfn.REGEXEXTRACT(CELL("address",J194), "\$([A-Z]+)\$[0-9]+"))),_xlfn.REGEXEXTRACT(CELL("address",J194), "\$([A-Z]+)\$[0-9]+"))</f>
        <v/>
      </c>
      <c r="K194" s="7" t="str" cm="1">
        <f t="array" aca="1" ref="K194" ca="1">IFERROR(IF(OR('Raw Data'!K194="",LEN(TRIM('Raw Data'!K194))=0),"",IF(AND(ISNUMBER('Raw Data'!K194), IFERROR('Raw Data'!K194 = ROUND('Raw Data'!K194, 2),FALSE)),"",_xlfn.REGEXEXTRACT(CELL("address",K194), "\$([A-Z]+)\$[0-9]+"))),_xlfn.REGEXEXTRACT(CELL("address",K194), "\$([A-Z]+)\$[0-9]+"))</f>
        <v/>
      </c>
      <c r="L194" s="7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7" t="str" cm="1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7" t="str" cm="1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  <c r="O194" s="7" t="str" cm="1">
        <f t="array" aca="1" ref="O194" ca="1">IFERROR(IF(OR('Raw Data'!O194="",LEN(TRIM('Raw Data'!O194))=0),"",IF(AND(ISNUMBER('Raw Data'!O194), IFERROR('Raw Data'!O194 = ROUND('Raw Data'!O194, 2),FALSE)),"",_xlfn.REGEXEXTRACT(CELL("address",O194), "\$([A-Z]+)\$[0-9]+"))),_xlfn.REGEXEXTRACT(CELL("address",O194), "\$([A-Z]+)\$[0-9]+"))</f>
        <v/>
      </c>
      <c r="P194" s="7" t="str" cm="1">
        <f t="array" aca="1" ref="P194" ca="1">IFERROR(IF(OR('Raw Data'!P194="",LEN(TRIM('Raw Data'!P194))=0),"",IF(AND(ISNUMBER('Raw Data'!P194), IFERROR('Raw Data'!P194 = ROUND('Raw Data'!P194, 2),FALSE)),"",_xlfn.REGEXEXTRACT(CELL("address",P194), "\$([A-Z]+)\$[0-9]+"))),_xlfn.REGEXEXTRACT(CELL("address",P194), "\$([A-Z]+)\$[0-9]+"))</f>
        <v/>
      </c>
      <c r="Q194" s="7" t="str" cm="1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7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7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7" t="str" cm="1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7" t="str" cm="1">
        <f t="array" aca="1" ref="U194" ca="1">IFERROR(IF(OR('Raw Data'!U194="",LEN(TRIM('Raw Data'!U194))=0),"",IF(AND(ISNUMBER('Raw Data'!U194), IFERROR('Raw Data'!U194 = ROUND('Raw Data'!U194, 2),FALSE)),"",_xlfn.REGEXEXTRACT(CELL("address",U194), "\$([A-Z]+)\$[0-9]+"))),_xlfn.REGEXEXTRACT(CELL("address",U194), "\$([A-Z]+)\$[0-9]+"))</f>
        <v/>
      </c>
      <c r="V194" s="7" t="str" cm="1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7" t="str" cm="1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7" t="str" cm="1">
        <f t="array" aca="1" ref="X194" ca="1">IFERROR(IF(OR('Raw Data'!X194="",LEN(TRIM('Raw Data'!X194))=0),"",IF(AND(ISNUMBER('Raw Data'!X194), IFERROR('Raw Data'!X194 = ROUND('Raw Data'!X194, 2),FALSE)),"",_xlfn.REGEXEXTRACT(CELL("address",X194), "\$([A-Z]+)\$[0-9]+"))),_xlfn.REGEXEXTRACT(CELL("address",X194), "\$([A-Z]+)\$[0-9]+"))</f>
        <v/>
      </c>
      <c r="Y194" s="7" t="str" cm="1">
        <f t="array" aca="1" ref="Y194" ca="1">IFERROR(IF(OR('Raw Data'!Y194="",LEN(TRIM('Raw Data'!Y194))=0),"",IF(AND(ISNUMBER('Raw Data'!Y194), IFERROR('Raw Data'!Y194 = ROUND('Raw Data'!Y194, 2),FALSE)),"",_xlfn.REGEXEXTRACT(CELL("address",Y194), "\$([A-Z]+)\$[0-9]+"))),_xlfn.REGEXEXTRACT(CELL("address",Y194), "\$([A-Z]+)\$[0-9]+"))</f>
        <v/>
      </c>
      <c r="Z194" s="7" t="str" cm="1">
        <f t="array" aca="1" ref="Z194" ca="1">IFERROR(IF(OR('Raw Data'!Z194="",LEN(TRIM('Raw Data'!Z194))=0),"",IF(AND(ISNUMBER('Raw Data'!Z194), IFERROR('Raw Data'!Z194 = ROUND('Raw Data'!Z194, 2),FALSE)),"",_xlfn.REGEXEXTRACT(CELL("address",Z194), "\$([A-Z]+)\$[0-9]+"))),_xlfn.REGEXEXTRACT(CELL("address",Z194), "\$([A-Z]+)\$[0-9]+"))</f>
        <v/>
      </c>
      <c r="AA194" s="7" t="str" cm="1">
        <f t="array" aca="1" ref="AA194" ca="1">IFERROR(IF(OR('Raw Data'!AA194="",LEN(TRIM('Raw Data'!AA194))=0),"",IF(AND(ISNUMBER('Raw Data'!AA194), IFERROR('Raw Data'!AA194 = ROUND('Raw Data'!AA194, 2),FALSE)),"",_xlfn.REGEXEXTRACT(CELL("address",AA194), "\$([A-Z]+)\$[0-9]+"))),_xlfn.REGEXEXTRACT(CELL("address",AA194), "\$([A-Z]+)\$[0-9]+"))</f>
        <v/>
      </c>
      <c r="AB194" s="7" t="str" cm="1">
        <f t="array" aca="1" ref="AB194" ca="1">IFERROR(IF(OR('Raw Data'!AB194="",LEN(TRIM('Raw Data'!AB194))=0),"",IF(AND(ISNUMBER('Raw Data'!AB194), IFERROR('Raw Data'!AB194 = ROUND('Raw Data'!AB194, 2),FALSE)),"",_xlfn.REGEXEXTRACT(CELL("address",AB194), "\$([A-Z]+)\$[0-9]+"))),_xlfn.REGEXEXTRACT(CELL("address",AB194), "\$([A-Z]+)\$[0-9]+"))</f>
        <v/>
      </c>
    </row>
    <row r="195" spans="2:28" x14ac:dyDescent="0.25">
      <c r="B195" s="7" t="str" cm="1">
        <f t="array" aca="1" ref="B195" ca="1">IFERROR(IF(OR('Raw Data'!B195="",LEN(TRIM('Raw Data'!B195))=0),"",IF(AND(LEN('Raw Data'!B195) &lt;= 255,LEN('Raw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Data'!C195))=0),"",IF(AND(LEN('Raw Data'!C195) &lt;= 20,LEN('Raw Data'!C195)&gt; 0),"",_xlfn.REGEXEXTRACT(CELL("address",'Raw Data'!C195),"\$([A-Z]+)\$[0-9]+"))),_xlfn.REGEXEXTRACT(CELL("address",'Raw Data'!C195),"\$([A-Z]+)\$[0-9]+"))</f>
        <v/>
      </c>
      <c r="D195" s="7" t="str" cm="1">
        <f t="array" aca="1" ref="D195" ca="1">IFERROR(IF(OR('Raw Data'!D195="",LEN(TRIM('Raw Data'!D195))=0),"",IF(AND(ISNUMBER('Raw Data'!D195),'Raw Data'!D195&gt;=Configuration!$D$2),"",_xlfn.REGEXEXTRACT(CELL("address",'Raw Data'!D195),"\$([A-Z]+)\$[0-9]+"))),_xlfn.REGEXEXTRACT(CELL("address",D195), "\$([A-Z]+)\$[0-9]+"))</f>
        <v/>
      </c>
      <c r="E195" s="7" t="str" cm="1">
        <f t="array" aca="1" ref="E195" ca="1">IFERROR(IF(OR('Raw Data'!E195="",LEN(TRIM('Raw Data'!E195))=0),"",IF(AND(ISNUMBER('Raw Data'!E195), IFERROR('Raw Data'!E195 = ROUND('Raw Data'!E195, 2),FALSE)),"",_xlfn.REGEXEXTRACT(CELL("address",E195), "\$([A-Z]+)\$[0-9]+"))),_xlfn.REGEXEXTRACT(CELL("address",E195), "\$([A-Z]+)\$[0-9]+"))</f>
        <v/>
      </c>
      <c r="F195" s="7" t="str" cm="1">
        <f t="array" aca="1" ref="F195" ca="1">IFERROR(IF(OR('Raw Data'!F195="",LEN(TRIM('Raw Data'!F195))=0),"",IF(AND(ISNUMBER('Raw Data'!F195), IFERROR('Raw Data'!F195 = ROUND('Raw Data'!F195, 2),FALSE)),"",_xlfn.REGEXEXTRACT(CELL("address",F195), "\$([A-Z]+)\$[0-9]+"))),_xlfn.REGEXEXTRACT(CELL("address",F195), "\$([A-Z]+)\$[0-9]+"))</f>
        <v/>
      </c>
      <c r="G195" s="7" t="str" cm="1">
        <f t="array" aca="1" ref="G195" ca="1">IFERROR(IF(OR('Raw Data'!G195="",LEN(TRIM('Raw Data'!G195))=0),"",IF(AND(ISNUMBER('Raw Data'!G195), IFERROR('Raw Data'!G195 = ROUND('Raw Data'!G195, 2),FALSE)),"",_xlfn.REGEXEXTRACT(CELL("address",G195), "\$([A-Z]+)\$[0-9]+"))),_xlfn.REGEXEXTRACT(CELL("address",G195), "\$([A-Z]+)\$[0-9]+"))</f>
        <v/>
      </c>
      <c r="H195" s="7" t="str" cm="1">
        <f t="array" aca="1" ref="H195" ca="1">IFERROR(IF(OR('Raw Data'!H195="",LEN(TRIM('Raw Data'!H195))=0),"",IF(AND(ISNUMBER('Raw Data'!H195), IFERROR('Raw Data'!H195 = ROUND('Raw Data'!H195, 2),FALSE)),"",_xlfn.REGEXEXTRACT(CELL("address",H195), "\$([A-Z]+)\$[0-9]+"))),_xlfn.REGEXEXTRACT(CELL("address",H195), "\$([A-Z]+)\$[0-9]+"))</f>
        <v/>
      </c>
      <c r="I195" s="7" t="str" cm="1">
        <f t="array" aca="1" ref="I195" ca="1">IFERROR(IF(OR('Raw Data'!I195="",LEN(TRIM('Raw Data'!I195))=0),"",IF(AND(ISNUMBER('Raw Data'!I195), IFERROR('Raw Data'!I195 = ROUND('Raw Data'!I195, 2),FALSE)),"",_xlfn.REGEXEXTRACT(CELL("address",I195), "\$([A-Z]+)\$[0-9]+"))),_xlfn.REGEXEXTRACT(CELL("address",I195), "\$([A-Z]+)\$[0-9]+"))</f>
        <v/>
      </c>
      <c r="J195" s="7" t="str" cm="1">
        <f t="array" aca="1" ref="J195" ca="1">IFERROR(IF(OR('Raw Data'!J195="",LEN(TRIM('Raw Data'!J195))=0),"",IF(AND(ISNUMBER('Raw Data'!J195), IFERROR('Raw Data'!J195 = ROUND('Raw Data'!J195, 2),FALSE)),"",_xlfn.REGEXEXTRACT(CELL("address",J195), "\$([A-Z]+)\$[0-9]+"))),_xlfn.REGEXEXTRACT(CELL("address",J195), "\$([A-Z]+)\$[0-9]+"))</f>
        <v/>
      </c>
      <c r="K195" s="7" t="str" cm="1">
        <f t="array" aca="1" ref="K195" ca="1">IFERROR(IF(OR('Raw Data'!K195="",LEN(TRIM('Raw Data'!K195))=0),"",IF(AND(ISNUMBER('Raw Data'!K195), IFERROR('Raw Data'!K195 = ROUND('Raw Data'!K195, 2),FALSE)),"",_xlfn.REGEXEXTRACT(CELL("address",K195), "\$([A-Z]+)\$[0-9]+"))),_xlfn.REGEXEXTRACT(CELL("address",K195), "\$([A-Z]+)\$[0-9]+"))</f>
        <v/>
      </c>
      <c r="L195" s="7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7" t="str" cm="1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7" t="str" cm="1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  <c r="O195" s="7" t="str" cm="1">
        <f t="array" aca="1" ref="O195" ca="1">IFERROR(IF(OR('Raw Data'!O195="",LEN(TRIM('Raw Data'!O195))=0),"",IF(AND(ISNUMBER('Raw Data'!O195), IFERROR('Raw Data'!O195 = ROUND('Raw Data'!O195, 2),FALSE)),"",_xlfn.REGEXEXTRACT(CELL("address",O195), "\$([A-Z]+)\$[0-9]+"))),_xlfn.REGEXEXTRACT(CELL("address",O195), "\$([A-Z]+)\$[0-9]+"))</f>
        <v/>
      </c>
      <c r="P195" s="7" t="str" cm="1">
        <f t="array" aca="1" ref="P195" ca="1">IFERROR(IF(OR('Raw Data'!P195="",LEN(TRIM('Raw Data'!P195))=0),"",IF(AND(ISNUMBER('Raw Data'!P195), IFERROR('Raw Data'!P195 = ROUND('Raw Data'!P195, 2),FALSE)),"",_xlfn.REGEXEXTRACT(CELL("address",P195), "\$([A-Z]+)\$[0-9]+"))),_xlfn.REGEXEXTRACT(CELL("address",P195), "\$([A-Z]+)\$[0-9]+"))</f>
        <v/>
      </c>
      <c r="Q195" s="7" t="str" cm="1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7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7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7" t="str" cm="1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7" t="str" cm="1">
        <f t="array" aca="1" ref="U195" ca="1">IFERROR(IF(OR('Raw Data'!U195="",LEN(TRIM('Raw Data'!U195))=0),"",IF(AND(ISNUMBER('Raw Data'!U195), IFERROR('Raw Data'!U195 = ROUND('Raw Data'!U195, 2),FALSE)),"",_xlfn.REGEXEXTRACT(CELL("address",U195), "\$([A-Z]+)\$[0-9]+"))),_xlfn.REGEXEXTRACT(CELL("address",U195), "\$([A-Z]+)\$[0-9]+"))</f>
        <v/>
      </c>
      <c r="V195" s="7" t="str" cm="1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7" t="str" cm="1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7" t="str" cm="1">
        <f t="array" aca="1" ref="X195" ca="1">IFERROR(IF(OR('Raw Data'!X195="",LEN(TRIM('Raw Data'!X195))=0),"",IF(AND(ISNUMBER('Raw Data'!X195), IFERROR('Raw Data'!X195 = ROUND('Raw Data'!X195, 2),FALSE)),"",_xlfn.REGEXEXTRACT(CELL("address",X195), "\$([A-Z]+)\$[0-9]+"))),_xlfn.REGEXEXTRACT(CELL("address",X195), "\$([A-Z]+)\$[0-9]+"))</f>
        <v/>
      </c>
      <c r="Y195" s="7" t="str" cm="1">
        <f t="array" aca="1" ref="Y195" ca="1">IFERROR(IF(OR('Raw Data'!Y195="",LEN(TRIM('Raw Data'!Y195))=0),"",IF(AND(ISNUMBER('Raw Data'!Y195), IFERROR('Raw Data'!Y195 = ROUND('Raw Data'!Y195, 2),FALSE)),"",_xlfn.REGEXEXTRACT(CELL("address",Y195), "\$([A-Z]+)\$[0-9]+"))),_xlfn.REGEXEXTRACT(CELL("address",Y195), "\$([A-Z]+)\$[0-9]+"))</f>
        <v/>
      </c>
      <c r="Z195" s="7" t="str" cm="1">
        <f t="array" aca="1" ref="Z195" ca="1">IFERROR(IF(OR('Raw Data'!Z195="",LEN(TRIM('Raw Data'!Z195))=0),"",IF(AND(ISNUMBER('Raw Data'!Z195), IFERROR('Raw Data'!Z195 = ROUND('Raw Data'!Z195, 2),FALSE)),"",_xlfn.REGEXEXTRACT(CELL("address",Z195), "\$([A-Z]+)\$[0-9]+"))),_xlfn.REGEXEXTRACT(CELL("address",Z195), "\$([A-Z]+)\$[0-9]+"))</f>
        <v/>
      </c>
      <c r="AA195" s="7" t="str" cm="1">
        <f t="array" aca="1" ref="AA195" ca="1">IFERROR(IF(OR('Raw Data'!AA195="",LEN(TRIM('Raw Data'!AA195))=0),"",IF(AND(ISNUMBER('Raw Data'!AA195), IFERROR('Raw Data'!AA195 = ROUND('Raw Data'!AA195, 2),FALSE)),"",_xlfn.REGEXEXTRACT(CELL("address",AA195), "\$([A-Z]+)\$[0-9]+"))),_xlfn.REGEXEXTRACT(CELL("address",AA195), "\$([A-Z]+)\$[0-9]+"))</f>
        <v/>
      </c>
      <c r="AB195" s="7" t="str" cm="1">
        <f t="array" aca="1" ref="AB195" ca="1">IFERROR(IF(OR('Raw Data'!AB195="",LEN(TRIM('Raw Data'!AB195))=0),"",IF(AND(ISNUMBER('Raw Data'!AB195), IFERROR('Raw Data'!AB195 = ROUND('Raw Data'!AB195, 2),FALSE)),"",_xlfn.REGEXEXTRACT(CELL("address",AB195), "\$([A-Z]+)\$[0-9]+"))),_xlfn.REGEXEXTRACT(CELL("address",AB195), "\$([A-Z]+)\$[0-9]+"))</f>
        <v/>
      </c>
    </row>
    <row r="196" spans="2:28" x14ac:dyDescent="0.25">
      <c r="B196" s="7" t="str" cm="1">
        <f t="array" aca="1" ref="B196" ca="1">IFERROR(IF(OR('Raw Data'!B196="",LEN(TRIM('Raw Data'!B196))=0),"",IF(AND(LEN('Raw Data'!B196) &lt;= 255,LEN('Raw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Data'!C196))=0),"",IF(AND(LEN('Raw Data'!C196) &lt;= 20,LEN('Raw Data'!C196)&gt; 0),"",_xlfn.REGEXEXTRACT(CELL("address",'Raw Data'!C196),"\$([A-Z]+)\$[0-9]+"))),_xlfn.REGEXEXTRACT(CELL("address",'Raw Data'!C196),"\$([A-Z]+)\$[0-9]+"))</f>
        <v/>
      </c>
      <c r="D196" s="7" t="str" cm="1">
        <f t="array" aca="1" ref="D196" ca="1">IFERROR(IF(OR('Raw Data'!D196="",LEN(TRIM('Raw Data'!D196))=0),"",IF(AND(ISNUMBER('Raw Data'!D196),'Raw Data'!D196&gt;=Configuration!$D$2),"",_xlfn.REGEXEXTRACT(CELL("address",'Raw Data'!D196),"\$([A-Z]+)\$[0-9]+"))),_xlfn.REGEXEXTRACT(CELL("address",D196), "\$([A-Z]+)\$[0-9]+"))</f>
        <v/>
      </c>
      <c r="E196" s="7" t="str" cm="1">
        <f t="array" aca="1" ref="E196" ca="1">IFERROR(IF(OR('Raw Data'!E196="",LEN(TRIM('Raw Data'!E196))=0),"",IF(AND(ISNUMBER('Raw Data'!E196), IFERROR('Raw Data'!E196 = ROUND('Raw Data'!E196, 2),FALSE)),"",_xlfn.REGEXEXTRACT(CELL("address",E196), "\$([A-Z]+)\$[0-9]+"))),_xlfn.REGEXEXTRACT(CELL("address",E196), "\$([A-Z]+)\$[0-9]+"))</f>
        <v/>
      </c>
      <c r="F196" s="7" t="str" cm="1">
        <f t="array" aca="1" ref="F196" ca="1">IFERROR(IF(OR('Raw Data'!F196="",LEN(TRIM('Raw Data'!F196))=0),"",IF(AND(ISNUMBER('Raw Data'!F196), IFERROR('Raw Data'!F196 = ROUND('Raw Data'!F196, 2),FALSE)),"",_xlfn.REGEXEXTRACT(CELL("address",F196), "\$([A-Z]+)\$[0-9]+"))),_xlfn.REGEXEXTRACT(CELL("address",F196), "\$([A-Z]+)\$[0-9]+"))</f>
        <v/>
      </c>
      <c r="G196" s="7" t="str" cm="1">
        <f t="array" aca="1" ref="G196" ca="1">IFERROR(IF(OR('Raw Data'!G196="",LEN(TRIM('Raw Data'!G196))=0),"",IF(AND(ISNUMBER('Raw Data'!G196), IFERROR('Raw Data'!G196 = ROUND('Raw Data'!G196, 2),FALSE)),"",_xlfn.REGEXEXTRACT(CELL("address",G196), "\$([A-Z]+)\$[0-9]+"))),_xlfn.REGEXEXTRACT(CELL("address",G196), "\$([A-Z]+)\$[0-9]+"))</f>
        <v/>
      </c>
      <c r="H196" s="7" t="str" cm="1">
        <f t="array" aca="1" ref="H196" ca="1">IFERROR(IF(OR('Raw Data'!H196="",LEN(TRIM('Raw Data'!H196))=0),"",IF(AND(ISNUMBER('Raw Data'!H196), IFERROR('Raw Data'!H196 = ROUND('Raw Data'!H196, 2),FALSE)),"",_xlfn.REGEXEXTRACT(CELL("address",H196), "\$([A-Z]+)\$[0-9]+"))),_xlfn.REGEXEXTRACT(CELL("address",H196), "\$([A-Z]+)\$[0-9]+"))</f>
        <v/>
      </c>
      <c r="I196" s="7" t="str" cm="1">
        <f t="array" aca="1" ref="I196" ca="1">IFERROR(IF(OR('Raw Data'!I196="",LEN(TRIM('Raw Data'!I196))=0),"",IF(AND(ISNUMBER('Raw Data'!I196), IFERROR('Raw Data'!I196 = ROUND('Raw Data'!I196, 2),FALSE)),"",_xlfn.REGEXEXTRACT(CELL("address",I196), "\$([A-Z]+)\$[0-9]+"))),_xlfn.REGEXEXTRACT(CELL("address",I196), "\$([A-Z]+)\$[0-9]+"))</f>
        <v/>
      </c>
      <c r="J196" s="7" t="str" cm="1">
        <f t="array" aca="1" ref="J196" ca="1">IFERROR(IF(OR('Raw Data'!J196="",LEN(TRIM('Raw Data'!J196))=0),"",IF(AND(ISNUMBER('Raw Data'!J196), IFERROR('Raw Data'!J196 = ROUND('Raw Data'!J196, 2),FALSE)),"",_xlfn.REGEXEXTRACT(CELL("address",J196), "\$([A-Z]+)\$[0-9]+"))),_xlfn.REGEXEXTRACT(CELL("address",J196), "\$([A-Z]+)\$[0-9]+"))</f>
        <v/>
      </c>
      <c r="K196" s="7" t="str" cm="1">
        <f t="array" aca="1" ref="K196" ca="1">IFERROR(IF(OR('Raw Data'!K196="",LEN(TRIM('Raw Data'!K196))=0),"",IF(AND(ISNUMBER('Raw Data'!K196), IFERROR('Raw Data'!K196 = ROUND('Raw Data'!K196, 2),FALSE)),"",_xlfn.REGEXEXTRACT(CELL("address",K196), "\$([A-Z]+)\$[0-9]+"))),_xlfn.REGEXEXTRACT(CELL("address",K196), "\$([A-Z]+)\$[0-9]+"))</f>
        <v/>
      </c>
      <c r="L196" s="7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7" t="str" cm="1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7" t="str" cm="1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  <c r="O196" s="7" t="str" cm="1">
        <f t="array" aca="1" ref="O196" ca="1">IFERROR(IF(OR('Raw Data'!O196="",LEN(TRIM('Raw Data'!O196))=0),"",IF(AND(ISNUMBER('Raw Data'!O196), IFERROR('Raw Data'!O196 = ROUND('Raw Data'!O196, 2),FALSE)),"",_xlfn.REGEXEXTRACT(CELL("address",O196), "\$([A-Z]+)\$[0-9]+"))),_xlfn.REGEXEXTRACT(CELL("address",O196), "\$([A-Z]+)\$[0-9]+"))</f>
        <v/>
      </c>
      <c r="P196" s="7" t="str" cm="1">
        <f t="array" aca="1" ref="P196" ca="1">IFERROR(IF(OR('Raw Data'!P196="",LEN(TRIM('Raw Data'!P196))=0),"",IF(AND(ISNUMBER('Raw Data'!P196), IFERROR('Raw Data'!P196 = ROUND('Raw Data'!P196, 2),FALSE)),"",_xlfn.REGEXEXTRACT(CELL("address",P196), "\$([A-Z]+)\$[0-9]+"))),_xlfn.REGEXEXTRACT(CELL("address",P196), "\$([A-Z]+)\$[0-9]+"))</f>
        <v/>
      </c>
      <c r="Q196" s="7" t="str" cm="1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7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7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7" t="str" cm="1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7" t="str" cm="1">
        <f t="array" aca="1" ref="U196" ca="1">IFERROR(IF(OR('Raw Data'!U196="",LEN(TRIM('Raw Data'!U196))=0),"",IF(AND(ISNUMBER('Raw Data'!U196), IFERROR('Raw Data'!U196 = ROUND('Raw Data'!U196, 2),FALSE)),"",_xlfn.REGEXEXTRACT(CELL("address",U196), "\$([A-Z]+)\$[0-9]+"))),_xlfn.REGEXEXTRACT(CELL("address",U196), "\$([A-Z]+)\$[0-9]+"))</f>
        <v/>
      </c>
      <c r="V196" s="7" t="str" cm="1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7" t="str" cm="1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7" t="str" cm="1">
        <f t="array" aca="1" ref="X196" ca="1">IFERROR(IF(OR('Raw Data'!X196="",LEN(TRIM('Raw Data'!X196))=0),"",IF(AND(ISNUMBER('Raw Data'!X196), IFERROR('Raw Data'!X196 = ROUND('Raw Data'!X196, 2),FALSE)),"",_xlfn.REGEXEXTRACT(CELL("address",X196), "\$([A-Z]+)\$[0-9]+"))),_xlfn.REGEXEXTRACT(CELL("address",X196), "\$([A-Z]+)\$[0-9]+"))</f>
        <v/>
      </c>
      <c r="Y196" s="7" t="str" cm="1">
        <f t="array" aca="1" ref="Y196" ca="1">IFERROR(IF(OR('Raw Data'!Y196="",LEN(TRIM('Raw Data'!Y196))=0),"",IF(AND(ISNUMBER('Raw Data'!Y196), IFERROR('Raw Data'!Y196 = ROUND('Raw Data'!Y196, 2),FALSE)),"",_xlfn.REGEXEXTRACT(CELL("address",Y196), "\$([A-Z]+)\$[0-9]+"))),_xlfn.REGEXEXTRACT(CELL("address",Y196), "\$([A-Z]+)\$[0-9]+"))</f>
        <v/>
      </c>
      <c r="Z196" s="7" t="str" cm="1">
        <f t="array" aca="1" ref="Z196" ca="1">IFERROR(IF(OR('Raw Data'!Z196="",LEN(TRIM('Raw Data'!Z196))=0),"",IF(AND(ISNUMBER('Raw Data'!Z196), IFERROR('Raw Data'!Z196 = ROUND('Raw Data'!Z196, 2),FALSE)),"",_xlfn.REGEXEXTRACT(CELL("address",Z196), "\$([A-Z]+)\$[0-9]+"))),_xlfn.REGEXEXTRACT(CELL("address",Z196), "\$([A-Z]+)\$[0-9]+"))</f>
        <v/>
      </c>
      <c r="AA196" s="7" t="str" cm="1">
        <f t="array" aca="1" ref="AA196" ca="1">IFERROR(IF(OR('Raw Data'!AA196="",LEN(TRIM('Raw Data'!AA196))=0),"",IF(AND(ISNUMBER('Raw Data'!AA196), IFERROR('Raw Data'!AA196 = ROUND('Raw Data'!AA196, 2),FALSE)),"",_xlfn.REGEXEXTRACT(CELL("address",AA196), "\$([A-Z]+)\$[0-9]+"))),_xlfn.REGEXEXTRACT(CELL("address",AA196), "\$([A-Z]+)\$[0-9]+"))</f>
        <v/>
      </c>
      <c r="AB196" s="7" t="str" cm="1">
        <f t="array" aca="1" ref="AB196" ca="1">IFERROR(IF(OR('Raw Data'!AB196="",LEN(TRIM('Raw Data'!AB196))=0),"",IF(AND(ISNUMBER('Raw Data'!AB196), IFERROR('Raw Data'!AB196 = ROUND('Raw Data'!AB196, 2),FALSE)),"",_xlfn.REGEXEXTRACT(CELL("address",AB196), "\$([A-Z]+)\$[0-9]+"))),_xlfn.REGEXEXTRACT(CELL("address",AB196), "\$([A-Z]+)\$[0-9]+"))</f>
        <v/>
      </c>
    </row>
    <row r="197" spans="2:28" x14ac:dyDescent="0.25">
      <c r="B197" s="7" t="str" cm="1">
        <f t="array" aca="1" ref="B197" ca="1">IFERROR(IF(OR('Raw Data'!B197="",LEN(TRIM('Raw Data'!B197))=0),"",IF(AND(LEN('Raw Data'!B197) &lt;= 255,LEN('Raw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Data'!C197))=0),"",IF(AND(LEN('Raw Data'!C197) &lt;= 20,LEN('Raw Data'!C197)&gt; 0),"",_xlfn.REGEXEXTRACT(CELL("address",'Raw Data'!C197),"\$([A-Z]+)\$[0-9]+"))),_xlfn.REGEXEXTRACT(CELL("address",'Raw Data'!C197),"\$([A-Z]+)\$[0-9]+"))</f>
        <v/>
      </c>
      <c r="D197" s="7" t="str" cm="1">
        <f t="array" aca="1" ref="D197" ca="1">IFERROR(IF(OR('Raw Data'!D197="",LEN(TRIM('Raw Data'!D197))=0),"",IF(AND(ISNUMBER('Raw Data'!D197),'Raw Data'!D197&gt;=Configuration!$D$2),"",_xlfn.REGEXEXTRACT(CELL("address",'Raw Data'!D197),"\$([A-Z]+)\$[0-9]+"))),_xlfn.REGEXEXTRACT(CELL("address",D197), "\$([A-Z]+)\$[0-9]+"))</f>
        <v/>
      </c>
      <c r="E197" s="7" t="str" cm="1">
        <f t="array" aca="1" ref="E197" ca="1">IFERROR(IF(OR('Raw Data'!E197="",LEN(TRIM('Raw Data'!E197))=0),"",IF(AND(ISNUMBER('Raw Data'!E197), IFERROR('Raw Data'!E197 = ROUND('Raw Data'!E197, 2),FALSE)),"",_xlfn.REGEXEXTRACT(CELL("address",E197), "\$([A-Z]+)\$[0-9]+"))),_xlfn.REGEXEXTRACT(CELL("address",E197), "\$([A-Z]+)\$[0-9]+"))</f>
        <v/>
      </c>
      <c r="F197" s="7" t="str" cm="1">
        <f t="array" aca="1" ref="F197" ca="1">IFERROR(IF(OR('Raw Data'!F197="",LEN(TRIM('Raw Data'!F197))=0),"",IF(AND(ISNUMBER('Raw Data'!F197), IFERROR('Raw Data'!F197 = ROUND('Raw Data'!F197, 2),FALSE)),"",_xlfn.REGEXEXTRACT(CELL("address",F197), "\$([A-Z]+)\$[0-9]+"))),_xlfn.REGEXEXTRACT(CELL("address",F197), "\$([A-Z]+)\$[0-9]+"))</f>
        <v/>
      </c>
      <c r="G197" s="7" t="str" cm="1">
        <f t="array" aca="1" ref="G197" ca="1">IFERROR(IF(OR('Raw Data'!G197="",LEN(TRIM('Raw Data'!G197))=0),"",IF(AND(ISNUMBER('Raw Data'!G197), IFERROR('Raw Data'!G197 = ROUND('Raw Data'!G197, 2),FALSE)),"",_xlfn.REGEXEXTRACT(CELL("address",G197), "\$([A-Z]+)\$[0-9]+"))),_xlfn.REGEXEXTRACT(CELL("address",G197), "\$([A-Z]+)\$[0-9]+"))</f>
        <v/>
      </c>
      <c r="H197" s="7" t="str" cm="1">
        <f t="array" aca="1" ref="H197" ca="1">IFERROR(IF(OR('Raw Data'!H197="",LEN(TRIM('Raw Data'!H197))=0),"",IF(AND(ISNUMBER('Raw Data'!H197), IFERROR('Raw Data'!H197 = ROUND('Raw Data'!H197, 2),FALSE)),"",_xlfn.REGEXEXTRACT(CELL("address",H197), "\$([A-Z]+)\$[0-9]+"))),_xlfn.REGEXEXTRACT(CELL("address",H197), "\$([A-Z]+)\$[0-9]+"))</f>
        <v/>
      </c>
      <c r="I197" s="7" t="str" cm="1">
        <f t="array" aca="1" ref="I197" ca="1">IFERROR(IF(OR('Raw Data'!I197="",LEN(TRIM('Raw Data'!I197))=0),"",IF(AND(ISNUMBER('Raw Data'!I197), IFERROR('Raw Data'!I197 = ROUND('Raw Data'!I197, 2),FALSE)),"",_xlfn.REGEXEXTRACT(CELL("address",I197), "\$([A-Z]+)\$[0-9]+"))),_xlfn.REGEXEXTRACT(CELL("address",I197), "\$([A-Z]+)\$[0-9]+"))</f>
        <v/>
      </c>
      <c r="J197" s="7" t="str" cm="1">
        <f t="array" aca="1" ref="J197" ca="1">IFERROR(IF(OR('Raw Data'!J197="",LEN(TRIM('Raw Data'!J197))=0),"",IF(AND(ISNUMBER('Raw Data'!J197), IFERROR('Raw Data'!J197 = ROUND('Raw Data'!J197, 2),FALSE)),"",_xlfn.REGEXEXTRACT(CELL("address",J197), "\$([A-Z]+)\$[0-9]+"))),_xlfn.REGEXEXTRACT(CELL("address",J197), "\$([A-Z]+)\$[0-9]+"))</f>
        <v/>
      </c>
      <c r="K197" s="7" t="str" cm="1">
        <f t="array" aca="1" ref="K197" ca="1">IFERROR(IF(OR('Raw Data'!K197="",LEN(TRIM('Raw Data'!K197))=0),"",IF(AND(ISNUMBER('Raw Data'!K197), IFERROR('Raw Data'!K197 = ROUND('Raw Data'!K197, 2),FALSE)),"",_xlfn.REGEXEXTRACT(CELL("address",K197), "\$([A-Z]+)\$[0-9]+"))),_xlfn.REGEXEXTRACT(CELL("address",K197), "\$([A-Z]+)\$[0-9]+"))</f>
        <v/>
      </c>
      <c r="L197" s="7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7" t="str" cm="1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7" t="str" cm="1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  <c r="O197" s="7" t="str" cm="1">
        <f t="array" aca="1" ref="O197" ca="1">IFERROR(IF(OR('Raw Data'!O197="",LEN(TRIM('Raw Data'!O197))=0),"",IF(AND(ISNUMBER('Raw Data'!O197), IFERROR('Raw Data'!O197 = ROUND('Raw Data'!O197, 2),FALSE)),"",_xlfn.REGEXEXTRACT(CELL("address",O197), "\$([A-Z]+)\$[0-9]+"))),_xlfn.REGEXEXTRACT(CELL("address",O197), "\$([A-Z]+)\$[0-9]+"))</f>
        <v/>
      </c>
      <c r="P197" s="7" t="str" cm="1">
        <f t="array" aca="1" ref="P197" ca="1">IFERROR(IF(OR('Raw Data'!P197="",LEN(TRIM('Raw Data'!P197))=0),"",IF(AND(ISNUMBER('Raw Data'!P197), IFERROR('Raw Data'!P197 = ROUND('Raw Data'!P197, 2),FALSE)),"",_xlfn.REGEXEXTRACT(CELL("address",P197), "\$([A-Z]+)\$[0-9]+"))),_xlfn.REGEXEXTRACT(CELL("address",P197), "\$([A-Z]+)\$[0-9]+"))</f>
        <v/>
      </c>
      <c r="Q197" s="7" t="str" cm="1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7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7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7" t="str" cm="1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7" t="str" cm="1">
        <f t="array" aca="1" ref="U197" ca="1">IFERROR(IF(OR('Raw Data'!U197="",LEN(TRIM('Raw Data'!U197))=0),"",IF(AND(ISNUMBER('Raw Data'!U197), IFERROR('Raw Data'!U197 = ROUND('Raw Data'!U197, 2),FALSE)),"",_xlfn.REGEXEXTRACT(CELL("address",U197), "\$([A-Z]+)\$[0-9]+"))),_xlfn.REGEXEXTRACT(CELL("address",U197), "\$([A-Z]+)\$[0-9]+"))</f>
        <v/>
      </c>
      <c r="V197" s="7" t="str" cm="1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7" t="str" cm="1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7" t="str" cm="1">
        <f t="array" aca="1" ref="X197" ca="1">IFERROR(IF(OR('Raw Data'!X197="",LEN(TRIM('Raw Data'!X197))=0),"",IF(AND(ISNUMBER('Raw Data'!X197), IFERROR('Raw Data'!X197 = ROUND('Raw Data'!X197, 2),FALSE)),"",_xlfn.REGEXEXTRACT(CELL("address",X197), "\$([A-Z]+)\$[0-9]+"))),_xlfn.REGEXEXTRACT(CELL("address",X197), "\$([A-Z]+)\$[0-9]+"))</f>
        <v/>
      </c>
      <c r="Y197" s="7" t="str" cm="1">
        <f t="array" aca="1" ref="Y197" ca="1">IFERROR(IF(OR('Raw Data'!Y197="",LEN(TRIM('Raw Data'!Y197))=0),"",IF(AND(ISNUMBER('Raw Data'!Y197), IFERROR('Raw Data'!Y197 = ROUND('Raw Data'!Y197, 2),FALSE)),"",_xlfn.REGEXEXTRACT(CELL("address",Y197), "\$([A-Z]+)\$[0-9]+"))),_xlfn.REGEXEXTRACT(CELL("address",Y197), "\$([A-Z]+)\$[0-9]+"))</f>
        <v/>
      </c>
      <c r="Z197" s="7" t="str" cm="1">
        <f t="array" aca="1" ref="Z197" ca="1">IFERROR(IF(OR('Raw Data'!Z197="",LEN(TRIM('Raw Data'!Z197))=0),"",IF(AND(ISNUMBER('Raw Data'!Z197), IFERROR('Raw Data'!Z197 = ROUND('Raw Data'!Z197, 2),FALSE)),"",_xlfn.REGEXEXTRACT(CELL("address",Z197), "\$([A-Z]+)\$[0-9]+"))),_xlfn.REGEXEXTRACT(CELL("address",Z197), "\$([A-Z]+)\$[0-9]+"))</f>
        <v/>
      </c>
      <c r="AA197" s="7" t="str" cm="1">
        <f t="array" aca="1" ref="AA197" ca="1">IFERROR(IF(OR('Raw Data'!AA197="",LEN(TRIM('Raw Data'!AA197))=0),"",IF(AND(ISNUMBER('Raw Data'!AA197), IFERROR('Raw Data'!AA197 = ROUND('Raw Data'!AA197, 2),FALSE)),"",_xlfn.REGEXEXTRACT(CELL("address",AA197), "\$([A-Z]+)\$[0-9]+"))),_xlfn.REGEXEXTRACT(CELL("address",AA197), "\$([A-Z]+)\$[0-9]+"))</f>
        <v/>
      </c>
      <c r="AB197" s="7" t="str" cm="1">
        <f t="array" aca="1" ref="AB197" ca="1">IFERROR(IF(OR('Raw Data'!AB197="",LEN(TRIM('Raw Data'!AB197))=0),"",IF(AND(ISNUMBER('Raw Data'!AB197), IFERROR('Raw Data'!AB197 = ROUND('Raw Data'!AB197, 2),FALSE)),"",_xlfn.REGEXEXTRACT(CELL("address",AB197), "\$([A-Z]+)\$[0-9]+"))),_xlfn.REGEXEXTRACT(CELL("address",AB197), "\$([A-Z]+)\$[0-9]+"))</f>
        <v/>
      </c>
    </row>
    <row r="198" spans="2:28" x14ac:dyDescent="0.25">
      <c r="B198" s="7" t="str" cm="1">
        <f t="array" aca="1" ref="B198" ca="1">IFERROR(IF(OR('Raw Data'!B198="",LEN(TRIM('Raw Data'!B198))=0),"",IF(AND(LEN('Raw Data'!B198) &lt;= 255,LEN('Raw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Data'!C198))=0),"",IF(AND(LEN('Raw Data'!C198) &lt;= 20,LEN('Raw Data'!C198)&gt; 0),"",_xlfn.REGEXEXTRACT(CELL("address",'Raw Data'!C198),"\$([A-Z]+)\$[0-9]+"))),_xlfn.REGEXEXTRACT(CELL("address",'Raw Data'!C198),"\$([A-Z]+)\$[0-9]+"))</f>
        <v/>
      </c>
      <c r="D198" s="7" t="str" cm="1">
        <f t="array" aca="1" ref="D198" ca="1">IFERROR(IF(OR('Raw Data'!D198="",LEN(TRIM('Raw Data'!D198))=0),"",IF(AND(ISNUMBER('Raw Data'!D198),'Raw Data'!D198&gt;=Configuration!$D$2),"",_xlfn.REGEXEXTRACT(CELL("address",'Raw Data'!D198),"\$([A-Z]+)\$[0-9]+"))),_xlfn.REGEXEXTRACT(CELL("address",D198), "\$([A-Z]+)\$[0-9]+"))</f>
        <v/>
      </c>
      <c r="E198" s="7" t="str" cm="1">
        <f t="array" aca="1" ref="E198" ca="1">IFERROR(IF(OR('Raw Data'!E198="",LEN(TRIM('Raw Data'!E198))=0),"",IF(AND(ISNUMBER('Raw Data'!E198), IFERROR('Raw Data'!E198 = ROUND('Raw Data'!E198, 2),FALSE)),"",_xlfn.REGEXEXTRACT(CELL("address",E198), "\$([A-Z]+)\$[0-9]+"))),_xlfn.REGEXEXTRACT(CELL("address",E198), "\$([A-Z]+)\$[0-9]+"))</f>
        <v/>
      </c>
      <c r="F198" s="7" t="str" cm="1">
        <f t="array" aca="1" ref="F198" ca="1">IFERROR(IF(OR('Raw Data'!F198="",LEN(TRIM('Raw Data'!F198))=0),"",IF(AND(ISNUMBER('Raw Data'!F198), IFERROR('Raw Data'!F198 = ROUND('Raw Data'!F198, 2),FALSE)),"",_xlfn.REGEXEXTRACT(CELL("address",F198), "\$([A-Z]+)\$[0-9]+"))),_xlfn.REGEXEXTRACT(CELL("address",F198), "\$([A-Z]+)\$[0-9]+"))</f>
        <v/>
      </c>
      <c r="G198" s="7" t="str" cm="1">
        <f t="array" aca="1" ref="G198" ca="1">IFERROR(IF(OR('Raw Data'!G198="",LEN(TRIM('Raw Data'!G198))=0),"",IF(AND(ISNUMBER('Raw Data'!G198), IFERROR('Raw Data'!G198 = ROUND('Raw Data'!G198, 2),FALSE)),"",_xlfn.REGEXEXTRACT(CELL("address",G198), "\$([A-Z]+)\$[0-9]+"))),_xlfn.REGEXEXTRACT(CELL("address",G198), "\$([A-Z]+)\$[0-9]+"))</f>
        <v/>
      </c>
      <c r="H198" s="7" t="str" cm="1">
        <f t="array" aca="1" ref="H198" ca="1">IFERROR(IF(OR('Raw Data'!H198="",LEN(TRIM('Raw Data'!H198))=0),"",IF(AND(ISNUMBER('Raw Data'!H198), IFERROR('Raw Data'!H198 = ROUND('Raw Data'!H198, 2),FALSE)),"",_xlfn.REGEXEXTRACT(CELL("address",H198), "\$([A-Z]+)\$[0-9]+"))),_xlfn.REGEXEXTRACT(CELL("address",H198), "\$([A-Z]+)\$[0-9]+"))</f>
        <v/>
      </c>
      <c r="I198" s="7" t="str" cm="1">
        <f t="array" aca="1" ref="I198" ca="1">IFERROR(IF(OR('Raw Data'!I198="",LEN(TRIM('Raw Data'!I198))=0),"",IF(AND(ISNUMBER('Raw Data'!I198), IFERROR('Raw Data'!I198 = ROUND('Raw Data'!I198, 2),FALSE)),"",_xlfn.REGEXEXTRACT(CELL("address",I198), "\$([A-Z]+)\$[0-9]+"))),_xlfn.REGEXEXTRACT(CELL("address",I198), "\$([A-Z]+)\$[0-9]+"))</f>
        <v/>
      </c>
      <c r="J198" s="7" t="str" cm="1">
        <f t="array" aca="1" ref="J198" ca="1">IFERROR(IF(OR('Raw Data'!J198="",LEN(TRIM('Raw Data'!J198))=0),"",IF(AND(ISNUMBER('Raw Data'!J198), IFERROR('Raw Data'!J198 = ROUND('Raw Data'!J198, 2),FALSE)),"",_xlfn.REGEXEXTRACT(CELL("address",J198), "\$([A-Z]+)\$[0-9]+"))),_xlfn.REGEXEXTRACT(CELL("address",J198), "\$([A-Z]+)\$[0-9]+"))</f>
        <v/>
      </c>
      <c r="K198" s="7" t="str" cm="1">
        <f t="array" aca="1" ref="K198" ca="1">IFERROR(IF(OR('Raw Data'!K198="",LEN(TRIM('Raw Data'!K198))=0),"",IF(AND(ISNUMBER('Raw Data'!K198), IFERROR('Raw Data'!K198 = ROUND('Raw Data'!K198, 2),FALSE)),"",_xlfn.REGEXEXTRACT(CELL("address",K198), "\$([A-Z]+)\$[0-9]+"))),_xlfn.REGEXEXTRACT(CELL("address",K198), "\$([A-Z]+)\$[0-9]+"))</f>
        <v/>
      </c>
      <c r="L198" s="7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7" t="str" cm="1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7" t="str" cm="1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  <c r="O198" s="7" t="str" cm="1">
        <f t="array" aca="1" ref="O198" ca="1">IFERROR(IF(OR('Raw Data'!O198="",LEN(TRIM('Raw Data'!O198))=0),"",IF(AND(ISNUMBER('Raw Data'!O198), IFERROR('Raw Data'!O198 = ROUND('Raw Data'!O198, 2),FALSE)),"",_xlfn.REGEXEXTRACT(CELL("address",O198), "\$([A-Z]+)\$[0-9]+"))),_xlfn.REGEXEXTRACT(CELL("address",O198), "\$([A-Z]+)\$[0-9]+"))</f>
        <v/>
      </c>
      <c r="P198" s="7" t="str" cm="1">
        <f t="array" aca="1" ref="P198" ca="1">IFERROR(IF(OR('Raw Data'!P198="",LEN(TRIM('Raw Data'!P198))=0),"",IF(AND(ISNUMBER('Raw Data'!P198), IFERROR('Raw Data'!P198 = ROUND('Raw Data'!P198, 2),FALSE)),"",_xlfn.REGEXEXTRACT(CELL("address",P198), "\$([A-Z]+)\$[0-9]+"))),_xlfn.REGEXEXTRACT(CELL("address",P198), "\$([A-Z]+)\$[0-9]+"))</f>
        <v/>
      </c>
      <c r="Q198" s="7" t="str" cm="1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7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7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7" t="str" cm="1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7" t="str" cm="1">
        <f t="array" aca="1" ref="U198" ca="1">IFERROR(IF(OR('Raw Data'!U198="",LEN(TRIM('Raw Data'!U198))=0),"",IF(AND(ISNUMBER('Raw Data'!U198), IFERROR('Raw Data'!U198 = ROUND('Raw Data'!U198, 2),FALSE)),"",_xlfn.REGEXEXTRACT(CELL("address",U198), "\$([A-Z]+)\$[0-9]+"))),_xlfn.REGEXEXTRACT(CELL("address",U198), "\$([A-Z]+)\$[0-9]+"))</f>
        <v/>
      </c>
      <c r="V198" s="7" t="str" cm="1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7" t="str" cm="1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7" t="str" cm="1">
        <f t="array" aca="1" ref="X198" ca="1">IFERROR(IF(OR('Raw Data'!X198="",LEN(TRIM('Raw Data'!X198))=0),"",IF(AND(ISNUMBER('Raw Data'!X198), IFERROR('Raw Data'!X198 = ROUND('Raw Data'!X198, 2),FALSE)),"",_xlfn.REGEXEXTRACT(CELL("address",X198), "\$([A-Z]+)\$[0-9]+"))),_xlfn.REGEXEXTRACT(CELL("address",X198), "\$([A-Z]+)\$[0-9]+"))</f>
        <v/>
      </c>
      <c r="Y198" s="7" t="str" cm="1">
        <f t="array" aca="1" ref="Y198" ca="1">IFERROR(IF(OR('Raw Data'!Y198="",LEN(TRIM('Raw Data'!Y198))=0),"",IF(AND(ISNUMBER('Raw Data'!Y198), IFERROR('Raw Data'!Y198 = ROUND('Raw Data'!Y198, 2),FALSE)),"",_xlfn.REGEXEXTRACT(CELL("address",Y198), "\$([A-Z]+)\$[0-9]+"))),_xlfn.REGEXEXTRACT(CELL("address",Y198), "\$([A-Z]+)\$[0-9]+"))</f>
        <v/>
      </c>
      <c r="Z198" s="7" t="str" cm="1">
        <f t="array" aca="1" ref="Z198" ca="1">IFERROR(IF(OR('Raw Data'!Z198="",LEN(TRIM('Raw Data'!Z198))=0),"",IF(AND(ISNUMBER('Raw Data'!Z198), IFERROR('Raw Data'!Z198 = ROUND('Raw Data'!Z198, 2),FALSE)),"",_xlfn.REGEXEXTRACT(CELL("address",Z198), "\$([A-Z]+)\$[0-9]+"))),_xlfn.REGEXEXTRACT(CELL("address",Z198), "\$([A-Z]+)\$[0-9]+"))</f>
        <v/>
      </c>
      <c r="AA198" s="7" t="str" cm="1">
        <f t="array" aca="1" ref="AA198" ca="1">IFERROR(IF(OR('Raw Data'!AA198="",LEN(TRIM('Raw Data'!AA198))=0),"",IF(AND(ISNUMBER('Raw Data'!AA198), IFERROR('Raw Data'!AA198 = ROUND('Raw Data'!AA198, 2),FALSE)),"",_xlfn.REGEXEXTRACT(CELL("address",AA198), "\$([A-Z]+)\$[0-9]+"))),_xlfn.REGEXEXTRACT(CELL("address",AA198), "\$([A-Z]+)\$[0-9]+"))</f>
        <v/>
      </c>
      <c r="AB198" s="7" t="str" cm="1">
        <f t="array" aca="1" ref="AB198" ca="1">IFERROR(IF(OR('Raw Data'!AB198="",LEN(TRIM('Raw Data'!AB198))=0),"",IF(AND(ISNUMBER('Raw Data'!AB198), IFERROR('Raw Data'!AB198 = ROUND('Raw Data'!AB198, 2),FALSE)),"",_xlfn.REGEXEXTRACT(CELL("address",AB198), "\$([A-Z]+)\$[0-9]+"))),_xlfn.REGEXEXTRACT(CELL("address",AB198), "\$([A-Z]+)\$[0-9]+"))</f>
        <v/>
      </c>
    </row>
    <row r="199" spans="2:28" x14ac:dyDescent="0.25">
      <c r="B199" s="7" t="str" cm="1">
        <f t="array" aca="1" ref="B199" ca="1">IFERROR(IF(OR('Raw Data'!B199="",LEN(TRIM('Raw Data'!B199))=0),"",IF(AND(LEN('Raw Data'!B199) &lt;= 255,LEN('Raw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Data'!C199))=0),"",IF(AND(LEN('Raw Data'!C199) &lt;= 20,LEN('Raw Data'!C199)&gt; 0),"",_xlfn.REGEXEXTRACT(CELL("address",'Raw Data'!C199),"\$([A-Z]+)\$[0-9]+"))),_xlfn.REGEXEXTRACT(CELL("address",'Raw Data'!C199),"\$([A-Z]+)\$[0-9]+"))</f>
        <v/>
      </c>
      <c r="D199" s="7" t="str" cm="1">
        <f t="array" aca="1" ref="D199" ca="1">IFERROR(IF(OR('Raw Data'!D199="",LEN(TRIM('Raw Data'!D199))=0),"",IF(AND(ISNUMBER('Raw Data'!D199),'Raw Data'!D199&gt;=Configuration!$D$2),"",_xlfn.REGEXEXTRACT(CELL("address",'Raw Data'!D199),"\$([A-Z]+)\$[0-9]+"))),_xlfn.REGEXEXTRACT(CELL("address",D199), "\$([A-Z]+)\$[0-9]+"))</f>
        <v/>
      </c>
      <c r="E199" s="7" t="str" cm="1">
        <f t="array" aca="1" ref="E199" ca="1">IFERROR(IF(OR('Raw Data'!E199="",LEN(TRIM('Raw Data'!E199))=0),"",IF(AND(ISNUMBER('Raw Data'!E199), IFERROR('Raw Data'!E199 = ROUND('Raw Data'!E199, 2),FALSE)),"",_xlfn.REGEXEXTRACT(CELL("address",E199), "\$([A-Z]+)\$[0-9]+"))),_xlfn.REGEXEXTRACT(CELL("address",E199), "\$([A-Z]+)\$[0-9]+"))</f>
        <v/>
      </c>
      <c r="F199" s="7" t="str" cm="1">
        <f t="array" aca="1" ref="F199" ca="1">IFERROR(IF(OR('Raw Data'!F199="",LEN(TRIM('Raw Data'!F199))=0),"",IF(AND(ISNUMBER('Raw Data'!F199), IFERROR('Raw Data'!F199 = ROUND('Raw Data'!F199, 2),FALSE)),"",_xlfn.REGEXEXTRACT(CELL("address",F199), "\$([A-Z]+)\$[0-9]+"))),_xlfn.REGEXEXTRACT(CELL("address",F199), "\$([A-Z]+)\$[0-9]+"))</f>
        <v/>
      </c>
      <c r="G199" s="7" t="str" cm="1">
        <f t="array" aca="1" ref="G199" ca="1">IFERROR(IF(OR('Raw Data'!G199="",LEN(TRIM('Raw Data'!G199))=0),"",IF(AND(ISNUMBER('Raw Data'!G199), IFERROR('Raw Data'!G199 = ROUND('Raw Data'!G199, 2),FALSE)),"",_xlfn.REGEXEXTRACT(CELL("address",G199), "\$([A-Z]+)\$[0-9]+"))),_xlfn.REGEXEXTRACT(CELL("address",G199), "\$([A-Z]+)\$[0-9]+"))</f>
        <v/>
      </c>
      <c r="H199" s="7" t="str" cm="1">
        <f t="array" aca="1" ref="H199" ca="1">IFERROR(IF(OR('Raw Data'!H199="",LEN(TRIM('Raw Data'!H199))=0),"",IF(AND(ISNUMBER('Raw Data'!H199), IFERROR('Raw Data'!H199 = ROUND('Raw Data'!H199, 2),FALSE)),"",_xlfn.REGEXEXTRACT(CELL("address",H199), "\$([A-Z]+)\$[0-9]+"))),_xlfn.REGEXEXTRACT(CELL("address",H199), "\$([A-Z]+)\$[0-9]+"))</f>
        <v/>
      </c>
      <c r="I199" s="7" t="str" cm="1">
        <f t="array" aca="1" ref="I199" ca="1">IFERROR(IF(OR('Raw Data'!I199="",LEN(TRIM('Raw Data'!I199))=0),"",IF(AND(ISNUMBER('Raw Data'!I199), IFERROR('Raw Data'!I199 = ROUND('Raw Data'!I199, 2),FALSE)),"",_xlfn.REGEXEXTRACT(CELL("address",I199), "\$([A-Z]+)\$[0-9]+"))),_xlfn.REGEXEXTRACT(CELL("address",I199), "\$([A-Z]+)\$[0-9]+"))</f>
        <v/>
      </c>
      <c r="J199" s="7" t="str" cm="1">
        <f t="array" aca="1" ref="J199" ca="1">IFERROR(IF(OR('Raw Data'!J199="",LEN(TRIM('Raw Data'!J199))=0),"",IF(AND(ISNUMBER('Raw Data'!J199), IFERROR('Raw Data'!J199 = ROUND('Raw Data'!J199, 2),FALSE)),"",_xlfn.REGEXEXTRACT(CELL("address",J199), "\$([A-Z]+)\$[0-9]+"))),_xlfn.REGEXEXTRACT(CELL("address",J199), "\$([A-Z]+)\$[0-9]+"))</f>
        <v/>
      </c>
      <c r="K199" s="7" t="str" cm="1">
        <f t="array" aca="1" ref="K199" ca="1">IFERROR(IF(OR('Raw Data'!K199="",LEN(TRIM('Raw Data'!K199))=0),"",IF(AND(ISNUMBER('Raw Data'!K199), IFERROR('Raw Data'!K199 = ROUND('Raw Data'!K199, 2),FALSE)),"",_xlfn.REGEXEXTRACT(CELL("address",K199), "\$([A-Z]+)\$[0-9]+"))),_xlfn.REGEXEXTRACT(CELL("address",K199), "\$([A-Z]+)\$[0-9]+"))</f>
        <v/>
      </c>
      <c r="L199" s="7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7" t="str" cm="1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7" t="str" cm="1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  <c r="O199" s="7" t="str" cm="1">
        <f t="array" aca="1" ref="O199" ca="1">IFERROR(IF(OR('Raw Data'!O199="",LEN(TRIM('Raw Data'!O199))=0),"",IF(AND(ISNUMBER('Raw Data'!O199), IFERROR('Raw Data'!O199 = ROUND('Raw Data'!O199, 2),FALSE)),"",_xlfn.REGEXEXTRACT(CELL("address",O199), "\$([A-Z]+)\$[0-9]+"))),_xlfn.REGEXEXTRACT(CELL("address",O199), "\$([A-Z]+)\$[0-9]+"))</f>
        <v/>
      </c>
      <c r="P199" s="7" t="str" cm="1">
        <f t="array" aca="1" ref="P199" ca="1">IFERROR(IF(OR('Raw Data'!P199="",LEN(TRIM('Raw Data'!P199))=0),"",IF(AND(ISNUMBER('Raw Data'!P199), IFERROR('Raw Data'!P199 = ROUND('Raw Data'!P199, 2),FALSE)),"",_xlfn.REGEXEXTRACT(CELL("address",P199), "\$([A-Z]+)\$[0-9]+"))),_xlfn.REGEXEXTRACT(CELL("address",P199), "\$([A-Z]+)\$[0-9]+"))</f>
        <v/>
      </c>
      <c r="Q199" s="7" t="str" cm="1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7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7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7" t="str" cm="1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7" t="str" cm="1">
        <f t="array" aca="1" ref="U199" ca="1">IFERROR(IF(OR('Raw Data'!U199="",LEN(TRIM('Raw Data'!U199))=0),"",IF(AND(ISNUMBER('Raw Data'!U199), IFERROR('Raw Data'!U199 = ROUND('Raw Data'!U199, 2),FALSE)),"",_xlfn.REGEXEXTRACT(CELL("address",U199), "\$([A-Z]+)\$[0-9]+"))),_xlfn.REGEXEXTRACT(CELL("address",U199), "\$([A-Z]+)\$[0-9]+"))</f>
        <v/>
      </c>
      <c r="V199" s="7" t="str" cm="1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7" t="str" cm="1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7" t="str" cm="1">
        <f t="array" aca="1" ref="X199" ca="1">IFERROR(IF(OR('Raw Data'!X199="",LEN(TRIM('Raw Data'!X199))=0),"",IF(AND(ISNUMBER('Raw Data'!X199), IFERROR('Raw Data'!X199 = ROUND('Raw Data'!X199, 2),FALSE)),"",_xlfn.REGEXEXTRACT(CELL("address",X199), "\$([A-Z]+)\$[0-9]+"))),_xlfn.REGEXEXTRACT(CELL("address",X199), "\$([A-Z]+)\$[0-9]+"))</f>
        <v/>
      </c>
      <c r="Y199" s="7" t="str" cm="1">
        <f t="array" aca="1" ref="Y199" ca="1">IFERROR(IF(OR('Raw Data'!Y199="",LEN(TRIM('Raw Data'!Y199))=0),"",IF(AND(ISNUMBER('Raw Data'!Y199), IFERROR('Raw Data'!Y199 = ROUND('Raw Data'!Y199, 2),FALSE)),"",_xlfn.REGEXEXTRACT(CELL("address",Y199), "\$([A-Z]+)\$[0-9]+"))),_xlfn.REGEXEXTRACT(CELL("address",Y199), "\$([A-Z]+)\$[0-9]+"))</f>
        <v/>
      </c>
      <c r="Z199" s="7" t="str" cm="1">
        <f t="array" aca="1" ref="Z199" ca="1">IFERROR(IF(OR('Raw Data'!Z199="",LEN(TRIM('Raw Data'!Z199))=0),"",IF(AND(ISNUMBER('Raw Data'!Z199), IFERROR('Raw Data'!Z199 = ROUND('Raw Data'!Z199, 2),FALSE)),"",_xlfn.REGEXEXTRACT(CELL("address",Z199), "\$([A-Z]+)\$[0-9]+"))),_xlfn.REGEXEXTRACT(CELL("address",Z199), "\$([A-Z]+)\$[0-9]+"))</f>
        <v/>
      </c>
      <c r="AA199" s="7" t="str" cm="1">
        <f t="array" aca="1" ref="AA199" ca="1">IFERROR(IF(OR('Raw Data'!AA199="",LEN(TRIM('Raw Data'!AA199))=0),"",IF(AND(ISNUMBER('Raw Data'!AA199), IFERROR('Raw Data'!AA199 = ROUND('Raw Data'!AA199, 2),FALSE)),"",_xlfn.REGEXEXTRACT(CELL("address",AA199), "\$([A-Z]+)\$[0-9]+"))),_xlfn.REGEXEXTRACT(CELL("address",AA199), "\$([A-Z]+)\$[0-9]+"))</f>
        <v/>
      </c>
      <c r="AB199" s="7" t="str" cm="1">
        <f t="array" aca="1" ref="AB199" ca="1">IFERROR(IF(OR('Raw Data'!AB199="",LEN(TRIM('Raw Data'!AB199))=0),"",IF(AND(ISNUMBER('Raw Data'!AB199), IFERROR('Raw Data'!AB199 = ROUND('Raw Data'!AB199, 2),FALSE)),"",_xlfn.REGEXEXTRACT(CELL("address",AB199), "\$([A-Z]+)\$[0-9]+"))),_xlfn.REGEXEXTRACT(CELL("address",AB199), "\$([A-Z]+)\$[0-9]+"))</f>
        <v/>
      </c>
    </row>
    <row r="200" spans="2:28" x14ac:dyDescent="0.25">
      <c r="B200" s="7" t="str" cm="1">
        <f t="array" aca="1" ref="B200" ca="1">IFERROR(IF(OR('Raw Data'!B200="",LEN(TRIM('Raw Data'!B200))=0),"",IF(AND(LEN('Raw Data'!B200) &lt;= 255,LEN('Raw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Data'!C200))=0),"",IF(AND(LEN('Raw Data'!C200) &lt;= 20,LEN('Raw Data'!C200)&gt; 0),"",_xlfn.REGEXEXTRACT(CELL("address",'Raw Data'!C200),"\$([A-Z]+)\$[0-9]+"))),_xlfn.REGEXEXTRACT(CELL("address",'Raw Data'!C200),"\$([A-Z]+)\$[0-9]+"))</f>
        <v/>
      </c>
      <c r="D200" s="7" t="str" cm="1">
        <f t="array" aca="1" ref="D200" ca="1">IFERROR(IF(OR('Raw Data'!D200="",LEN(TRIM('Raw Data'!D200))=0),"",IF(AND(ISNUMBER('Raw Data'!D200),'Raw Data'!D200&gt;=Configuration!$D$2),"",_xlfn.REGEXEXTRACT(CELL("address",'Raw Data'!D200),"\$([A-Z]+)\$[0-9]+"))),_xlfn.REGEXEXTRACT(CELL("address",D200), "\$([A-Z]+)\$[0-9]+"))</f>
        <v/>
      </c>
      <c r="E200" s="7" t="str" cm="1">
        <f t="array" aca="1" ref="E200" ca="1">IFERROR(IF(OR('Raw Data'!E200="",LEN(TRIM('Raw Data'!E200))=0),"",IF(AND(ISNUMBER('Raw Data'!E200), IFERROR('Raw Data'!E200 = ROUND('Raw Data'!E200, 2),FALSE)),"",_xlfn.REGEXEXTRACT(CELL("address",E200), "\$([A-Z]+)\$[0-9]+"))),_xlfn.REGEXEXTRACT(CELL("address",E200), "\$([A-Z]+)\$[0-9]+"))</f>
        <v/>
      </c>
      <c r="F200" s="7" t="str" cm="1">
        <f t="array" aca="1" ref="F200" ca="1">IFERROR(IF(OR('Raw Data'!F200="",LEN(TRIM('Raw Data'!F200))=0),"",IF(AND(ISNUMBER('Raw Data'!F200), IFERROR('Raw Data'!F200 = ROUND('Raw Data'!F200, 2),FALSE)),"",_xlfn.REGEXEXTRACT(CELL("address",F200), "\$([A-Z]+)\$[0-9]+"))),_xlfn.REGEXEXTRACT(CELL("address",F200), "\$([A-Z]+)\$[0-9]+"))</f>
        <v/>
      </c>
      <c r="G200" s="7" t="str" cm="1">
        <f t="array" aca="1" ref="G200" ca="1">IFERROR(IF(OR('Raw Data'!G200="",LEN(TRIM('Raw Data'!G200))=0),"",IF(AND(ISNUMBER('Raw Data'!G200), IFERROR('Raw Data'!G200 = ROUND('Raw Data'!G200, 2),FALSE)),"",_xlfn.REGEXEXTRACT(CELL("address",G200), "\$([A-Z]+)\$[0-9]+"))),_xlfn.REGEXEXTRACT(CELL("address",G200), "\$([A-Z]+)\$[0-9]+"))</f>
        <v/>
      </c>
      <c r="H200" s="7" t="str" cm="1">
        <f t="array" aca="1" ref="H200" ca="1">IFERROR(IF(OR('Raw Data'!H200="",LEN(TRIM('Raw Data'!H200))=0),"",IF(AND(ISNUMBER('Raw Data'!H200), IFERROR('Raw Data'!H200 = ROUND('Raw Data'!H200, 2),FALSE)),"",_xlfn.REGEXEXTRACT(CELL("address",H200), "\$([A-Z]+)\$[0-9]+"))),_xlfn.REGEXEXTRACT(CELL("address",H200), "\$([A-Z]+)\$[0-9]+"))</f>
        <v/>
      </c>
      <c r="I200" s="7" t="str" cm="1">
        <f t="array" aca="1" ref="I200" ca="1">IFERROR(IF(OR('Raw Data'!I200="",LEN(TRIM('Raw Data'!I200))=0),"",IF(AND(ISNUMBER('Raw Data'!I200), IFERROR('Raw Data'!I200 = ROUND('Raw Data'!I200, 2),FALSE)),"",_xlfn.REGEXEXTRACT(CELL("address",I200), "\$([A-Z]+)\$[0-9]+"))),_xlfn.REGEXEXTRACT(CELL("address",I200), "\$([A-Z]+)\$[0-9]+"))</f>
        <v/>
      </c>
      <c r="J200" s="7" t="str" cm="1">
        <f t="array" aca="1" ref="J200" ca="1">IFERROR(IF(OR('Raw Data'!J200="",LEN(TRIM('Raw Data'!J200))=0),"",IF(AND(ISNUMBER('Raw Data'!J200), IFERROR('Raw Data'!J200 = ROUND('Raw Data'!J200, 2),FALSE)),"",_xlfn.REGEXEXTRACT(CELL("address",J200), "\$([A-Z]+)\$[0-9]+"))),_xlfn.REGEXEXTRACT(CELL("address",J200), "\$([A-Z]+)\$[0-9]+"))</f>
        <v/>
      </c>
      <c r="K200" s="7" t="str" cm="1">
        <f t="array" aca="1" ref="K200" ca="1">IFERROR(IF(OR('Raw Data'!K200="",LEN(TRIM('Raw Data'!K200))=0),"",IF(AND(ISNUMBER('Raw Data'!K200), IFERROR('Raw Data'!K200 = ROUND('Raw Data'!K200, 2),FALSE)),"",_xlfn.REGEXEXTRACT(CELL("address",K200), "\$([A-Z]+)\$[0-9]+"))),_xlfn.REGEXEXTRACT(CELL("address",K200), "\$([A-Z]+)\$[0-9]+"))</f>
        <v/>
      </c>
      <c r="L200" s="7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7" t="str" cm="1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7" t="str" cm="1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  <c r="O200" s="7" t="str" cm="1">
        <f t="array" aca="1" ref="O200" ca="1">IFERROR(IF(OR('Raw Data'!O200="",LEN(TRIM('Raw Data'!O200))=0),"",IF(AND(ISNUMBER('Raw Data'!O200), IFERROR('Raw Data'!O200 = ROUND('Raw Data'!O200, 2),FALSE)),"",_xlfn.REGEXEXTRACT(CELL("address",O200), "\$([A-Z]+)\$[0-9]+"))),_xlfn.REGEXEXTRACT(CELL("address",O200), "\$([A-Z]+)\$[0-9]+"))</f>
        <v/>
      </c>
      <c r="P200" s="7" t="str" cm="1">
        <f t="array" aca="1" ref="P200" ca="1">IFERROR(IF(OR('Raw Data'!P200="",LEN(TRIM('Raw Data'!P200))=0),"",IF(AND(ISNUMBER('Raw Data'!P200), IFERROR('Raw Data'!P200 = ROUND('Raw Data'!P200, 2),FALSE)),"",_xlfn.REGEXEXTRACT(CELL("address",P200), "\$([A-Z]+)\$[0-9]+"))),_xlfn.REGEXEXTRACT(CELL("address",P200), "\$([A-Z]+)\$[0-9]+"))</f>
        <v/>
      </c>
      <c r="Q200" s="7" t="str" cm="1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7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7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7" t="str" cm="1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7" t="str" cm="1">
        <f t="array" aca="1" ref="U200" ca="1">IFERROR(IF(OR('Raw Data'!U200="",LEN(TRIM('Raw Data'!U200))=0),"",IF(AND(ISNUMBER('Raw Data'!U200), IFERROR('Raw Data'!U200 = ROUND('Raw Data'!U200, 2),FALSE)),"",_xlfn.REGEXEXTRACT(CELL("address",U200), "\$([A-Z]+)\$[0-9]+"))),_xlfn.REGEXEXTRACT(CELL("address",U200), "\$([A-Z]+)\$[0-9]+"))</f>
        <v/>
      </c>
      <c r="V200" s="7" t="str" cm="1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7" t="str" cm="1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7" t="str" cm="1">
        <f t="array" aca="1" ref="X200" ca="1">IFERROR(IF(OR('Raw Data'!X200="",LEN(TRIM('Raw Data'!X200))=0),"",IF(AND(ISNUMBER('Raw Data'!X200), IFERROR('Raw Data'!X200 = ROUND('Raw Data'!X200, 2),FALSE)),"",_xlfn.REGEXEXTRACT(CELL("address",X200), "\$([A-Z]+)\$[0-9]+"))),_xlfn.REGEXEXTRACT(CELL("address",X200), "\$([A-Z]+)\$[0-9]+"))</f>
        <v/>
      </c>
      <c r="Y200" s="7" t="str" cm="1">
        <f t="array" aca="1" ref="Y200" ca="1">IFERROR(IF(OR('Raw Data'!Y200="",LEN(TRIM('Raw Data'!Y200))=0),"",IF(AND(ISNUMBER('Raw Data'!Y200), IFERROR('Raw Data'!Y200 = ROUND('Raw Data'!Y200, 2),FALSE)),"",_xlfn.REGEXEXTRACT(CELL("address",Y200), "\$([A-Z]+)\$[0-9]+"))),_xlfn.REGEXEXTRACT(CELL("address",Y200), "\$([A-Z]+)\$[0-9]+"))</f>
        <v/>
      </c>
      <c r="Z200" s="7" t="str" cm="1">
        <f t="array" aca="1" ref="Z200" ca="1">IFERROR(IF(OR('Raw Data'!Z200="",LEN(TRIM('Raw Data'!Z200))=0),"",IF(AND(ISNUMBER('Raw Data'!Z200), IFERROR('Raw Data'!Z200 = ROUND('Raw Data'!Z200, 2),FALSE)),"",_xlfn.REGEXEXTRACT(CELL("address",Z200), "\$([A-Z]+)\$[0-9]+"))),_xlfn.REGEXEXTRACT(CELL("address",Z200), "\$([A-Z]+)\$[0-9]+"))</f>
        <v/>
      </c>
      <c r="AA200" s="7" t="str" cm="1">
        <f t="array" aca="1" ref="AA200" ca="1">IFERROR(IF(OR('Raw Data'!AA200="",LEN(TRIM('Raw Data'!AA200))=0),"",IF(AND(ISNUMBER('Raw Data'!AA200), IFERROR('Raw Data'!AA200 = ROUND('Raw Data'!AA200, 2),FALSE)),"",_xlfn.REGEXEXTRACT(CELL("address",AA200), "\$([A-Z]+)\$[0-9]+"))),_xlfn.REGEXEXTRACT(CELL("address",AA200), "\$([A-Z]+)\$[0-9]+"))</f>
        <v/>
      </c>
      <c r="AB200" s="7" t="str" cm="1">
        <f t="array" aca="1" ref="AB200" ca="1">IFERROR(IF(OR('Raw Data'!AB200="",LEN(TRIM('Raw Data'!AB200))=0),"",IF(AND(ISNUMBER('Raw Data'!AB200), IFERROR('Raw Data'!AB200 = ROUND('Raw Data'!AB200, 2),FALSE)),"",_xlfn.REGEXEXTRACT(CELL("address",AB200), "\$([A-Z]+)\$[0-9]+"))),_xlfn.REGEXEXTRACT(CELL("address",AB200), "\$([A-Z]+)\$[0-9]+"))</f>
        <v/>
      </c>
    </row>
    <row r="201" spans="2:28" x14ac:dyDescent="0.25">
      <c r="B201" s="7" t="str" cm="1">
        <f t="array" aca="1" ref="B201" ca="1">IFERROR(IF(OR('Raw Data'!B201="",LEN(TRIM('Raw Data'!B201))=0),"",IF(AND(LEN('Raw Data'!B201) &lt;= 255,LEN('Raw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Data'!C201))=0),"",IF(AND(LEN('Raw Data'!C201) &lt;= 20,LEN('Raw Data'!C201)&gt; 0),"",_xlfn.REGEXEXTRACT(CELL("address",'Raw Data'!C201),"\$([A-Z]+)\$[0-9]+"))),_xlfn.REGEXEXTRACT(CELL("address",'Raw Data'!C201),"\$([A-Z]+)\$[0-9]+"))</f>
        <v/>
      </c>
      <c r="D201" s="7" t="str" cm="1">
        <f t="array" aca="1" ref="D201" ca="1">IFERROR(IF(OR('Raw Data'!D201="",LEN(TRIM('Raw Data'!D201))=0),"",IF(AND(ISNUMBER('Raw Data'!D201),'Raw Data'!D201&gt;=Configuration!$D$2),"",_xlfn.REGEXEXTRACT(CELL("address",'Raw Data'!D201),"\$([A-Z]+)\$[0-9]+"))),_xlfn.REGEXEXTRACT(CELL("address",D201), "\$([A-Z]+)\$[0-9]+"))</f>
        <v/>
      </c>
      <c r="E201" s="7" t="str" cm="1">
        <f t="array" aca="1" ref="E201" ca="1">IFERROR(IF(OR('Raw Data'!E201="",LEN(TRIM('Raw Data'!E201))=0),"",IF(AND(ISNUMBER('Raw Data'!E201), IFERROR('Raw Data'!E201 = ROUND('Raw Data'!E201, 2),FALSE)),"",_xlfn.REGEXEXTRACT(CELL("address",E201), "\$([A-Z]+)\$[0-9]+"))),_xlfn.REGEXEXTRACT(CELL("address",E201), "\$([A-Z]+)\$[0-9]+"))</f>
        <v/>
      </c>
      <c r="F201" s="7" t="str" cm="1">
        <f t="array" aca="1" ref="F201" ca="1">IFERROR(IF(OR('Raw Data'!F201="",LEN(TRIM('Raw Data'!F201))=0),"",IF(AND(ISNUMBER('Raw Data'!F201), IFERROR('Raw Data'!F201 = ROUND('Raw Data'!F201, 2),FALSE)),"",_xlfn.REGEXEXTRACT(CELL("address",F201), "\$([A-Z]+)\$[0-9]+"))),_xlfn.REGEXEXTRACT(CELL("address",F201), "\$([A-Z]+)\$[0-9]+"))</f>
        <v/>
      </c>
      <c r="G201" s="7" t="str" cm="1">
        <f t="array" aca="1" ref="G201" ca="1">IFERROR(IF(OR('Raw Data'!G201="",LEN(TRIM('Raw Data'!G201))=0),"",IF(AND(ISNUMBER('Raw Data'!G201), IFERROR('Raw Data'!G201 = ROUND('Raw Data'!G201, 2),FALSE)),"",_xlfn.REGEXEXTRACT(CELL("address",G201), "\$([A-Z]+)\$[0-9]+"))),_xlfn.REGEXEXTRACT(CELL("address",G201), "\$([A-Z]+)\$[0-9]+"))</f>
        <v/>
      </c>
      <c r="H201" s="7" t="str" cm="1">
        <f t="array" aca="1" ref="H201" ca="1">IFERROR(IF(OR('Raw Data'!H201="",LEN(TRIM('Raw Data'!H201))=0),"",IF(AND(ISNUMBER('Raw Data'!H201), IFERROR('Raw Data'!H201 = ROUND('Raw Data'!H201, 2),FALSE)),"",_xlfn.REGEXEXTRACT(CELL("address",H201), "\$([A-Z]+)\$[0-9]+"))),_xlfn.REGEXEXTRACT(CELL("address",H201), "\$([A-Z]+)\$[0-9]+"))</f>
        <v/>
      </c>
      <c r="I201" s="7" t="str" cm="1">
        <f t="array" aca="1" ref="I201" ca="1">IFERROR(IF(OR('Raw Data'!I201="",LEN(TRIM('Raw Data'!I201))=0),"",IF(AND(ISNUMBER('Raw Data'!I201), IFERROR('Raw Data'!I201 = ROUND('Raw Data'!I201, 2),FALSE)),"",_xlfn.REGEXEXTRACT(CELL("address",I201), "\$([A-Z]+)\$[0-9]+"))),_xlfn.REGEXEXTRACT(CELL("address",I201), "\$([A-Z]+)\$[0-9]+"))</f>
        <v/>
      </c>
      <c r="J201" s="7" t="str" cm="1">
        <f t="array" aca="1" ref="J201" ca="1">IFERROR(IF(OR('Raw Data'!J201="",LEN(TRIM('Raw Data'!J201))=0),"",IF(AND(ISNUMBER('Raw Data'!J201), IFERROR('Raw Data'!J201 = ROUND('Raw Data'!J201, 2),FALSE)),"",_xlfn.REGEXEXTRACT(CELL("address",J201), "\$([A-Z]+)\$[0-9]+"))),_xlfn.REGEXEXTRACT(CELL("address",J201), "\$([A-Z]+)\$[0-9]+"))</f>
        <v/>
      </c>
      <c r="K201" s="7" t="str" cm="1">
        <f t="array" aca="1" ref="K201" ca="1">IFERROR(IF(OR('Raw Data'!K201="",LEN(TRIM('Raw Data'!K201))=0),"",IF(AND(ISNUMBER('Raw Data'!K201), IFERROR('Raw Data'!K201 = ROUND('Raw Data'!K201, 2),FALSE)),"",_xlfn.REGEXEXTRACT(CELL("address",K201), "\$([A-Z]+)\$[0-9]+"))),_xlfn.REGEXEXTRACT(CELL("address",K201), "\$([A-Z]+)\$[0-9]+"))</f>
        <v/>
      </c>
      <c r="L201" s="7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7" t="str" cm="1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7" t="str" cm="1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  <c r="O201" s="7" t="str" cm="1">
        <f t="array" aca="1" ref="O201" ca="1">IFERROR(IF(OR('Raw Data'!O201="",LEN(TRIM('Raw Data'!O201))=0),"",IF(AND(ISNUMBER('Raw Data'!O201), IFERROR('Raw Data'!O201 = ROUND('Raw Data'!O201, 2),FALSE)),"",_xlfn.REGEXEXTRACT(CELL("address",O201), "\$([A-Z]+)\$[0-9]+"))),_xlfn.REGEXEXTRACT(CELL("address",O201), "\$([A-Z]+)\$[0-9]+"))</f>
        <v/>
      </c>
      <c r="P201" s="7" t="str" cm="1">
        <f t="array" aca="1" ref="P201" ca="1">IFERROR(IF(OR('Raw Data'!P201="",LEN(TRIM('Raw Data'!P201))=0),"",IF(AND(ISNUMBER('Raw Data'!P201), IFERROR('Raw Data'!P201 = ROUND('Raw Data'!P201, 2),FALSE)),"",_xlfn.REGEXEXTRACT(CELL("address",P201), "\$([A-Z]+)\$[0-9]+"))),_xlfn.REGEXEXTRACT(CELL("address",P201), "\$([A-Z]+)\$[0-9]+"))</f>
        <v/>
      </c>
      <c r="Q201" s="7" t="str" cm="1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7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7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7" t="str" cm="1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7" t="str" cm="1">
        <f t="array" aca="1" ref="U201" ca="1">IFERROR(IF(OR('Raw Data'!U201="",LEN(TRIM('Raw Data'!U201))=0),"",IF(AND(ISNUMBER('Raw Data'!U201), IFERROR('Raw Data'!U201 = ROUND('Raw Data'!U201, 2),FALSE)),"",_xlfn.REGEXEXTRACT(CELL("address",U201), "\$([A-Z]+)\$[0-9]+"))),_xlfn.REGEXEXTRACT(CELL("address",U201), "\$([A-Z]+)\$[0-9]+"))</f>
        <v/>
      </c>
      <c r="V201" s="7" t="str" cm="1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7" t="str" cm="1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7" t="str" cm="1">
        <f t="array" aca="1" ref="X201" ca="1">IFERROR(IF(OR('Raw Data'!X201="",LEN(TRIM('Raw Data'!X201))=0),"",IF(AND(ISNUMBER('Raw Data'!X201), IFERROR('Raw Data'!X201 = ROUND('Raw Data'!X201, 2),FALSE)),"",_xlfn.REGEXEXTRACT(CELL("address",X201), "\$([A-Z]+)\$[0-9]+"))),_xlfn.REGEXEXTRACT(CELL("address",X201), "\$([A-Z]+)\$[0-9]+"))</f>
        <v/>
      </c>
      <c r="Y201" s="7" t="str" cm="1">
        <f t="array" aca="1" ref="Y201" ca="1">IFERROR(IF(OR('Raw Data'!Y201="",LEN(TRIM('Raw Data'!Y201))=0),"",IF(AND(ISNUMBER('Raw Data'!Y201), IFERROR('Raw Data'!Y201 = ROUND('Raw Data'!Y201, 2),FALSE)),"",_xlfn.REGEXEXTRACT(CELL("address",Y201), "\$([A-Z]+)\$[0-9]+"))),_xlfn.REGEXEXTRACT(CELL("address",Y201), "\$([A-Z]+)\$[0-9]+"))</f>
        <v/>
      </c>
      <c r="Z201" s="7" t="str" cm="1">
        <f t="array" aca="1" ref="Z201" ca="1">IFERROR(IF(OR('Raw Data'!Z201="",LEN(TRIM('Raw Data'!Z201))=0),"",IF(AND(ISNUMBER('Raw Data'!Z201), IFERROR('Raw Data'!Z201 = ROUND('Raw Data'!Z201, 2),FALSE)),"",_xlfn.REGEXEXTRACT(CELL("address",Z201), "\$([A-Z]+)\$[0-9]+"))),_xlfn.REGEXEXTRACT(CELL("address",Z201), "\$([A-Z]+)\$[0-9]+"))</f>
        <v/>
      </c>
      <c r="AA201" s="7" t="str" cm="1">
        <f t="array" aca="1" ref="AA201" ca="1">IFERROR(IF(OR('Raw Data'!AA201="",LEN(TRIM('Raw Data'!AA201))=0),"",IF(AND(ISNUMBER('Raw Data'!AA201), IFERROR('Raw Data'!AA201 = ROUND('Raw Data'!AA201, 2),FALSE)),"",_xlfn.REGEXEXTRACT(CELL("address",AA201), "\$([A-Z]+)\$[0-9]+"))),_xlfn.REGEXEXTRACT(CELL("address",AA201), "\$([A-Z]+)\$[0-9]+"))</f>
        <v/>
      </c>
      <c r="AB201" s="7" t="str" cm="1">
        <f t="array" aca="1" ref="AB201" ca="1">IFERROR(IF(OR('Raw Data'!AB201="",LEN(TRIM('Raw Data'!AB201))=0),"",IF(AND(ISNUMBER('Raw Data'!AB201), IFERROR('Raw Data'!AB201 = ROUND('Raw Data'!AB201, 2),FALSE)),"",_xlfn.REGEXEXTRACT(CELL("address",AB201), "\$([A-Z]+)\$[0-9]+"))),_xlfn.REGEXEXTRACT(CELL("address",AB201), "\$([A-Z]+)\$[0-9]+"))</f>
        <v/>
      </c>
    </row>
    <row r="202" spans="2:28" x14ac:dyDescent="0.25">
      <c r="B202" s="7" t="str" cm="1">
        <f t="array" aca="1" ref="B202" ca="1">IFERROR(IF(OR('Raw Data'!B202="",LEN(TRIM('Raw Data'!B202))=0),"",IF(AND(LEN('Raw Data'!B202) &lt;= 255,LEN('Raw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Data'!C202))=0),"",IF(AND(LEN('Raw Data'!C202) &lt;= 20,LEN('Raw Data'!C202)&gt; 0),"",_xlfn.REGEXEXTRACT(CELL("address",'Raw Data'!C202),"\$([A-Z]+)\$[0-9]+"))),_xlfn.REGEXEXTRACT(CELL("address",'Raw Data'!C202),"\$([A-Z]+)\$[0-9]+"))</f>
        <v/>
      </c>
      <c r="D202" s="7" t="str" cm="1">
        <f t="array" aca="1" ref="D202" ca="1">IFERROR(IF(OR('Raw Data'!D202="",LEN(TRIM('Raw Data'!D202))=0),"",IF(AND(ISNUMBER('Raw Data'!D202),'Raw Data'!D202&gt;=Configuration!$D$2),"",_xlfn.REGEXEXTRACT(CELL("address",'Raw Data'!D202),"\$([A-Z]+)\$[0-9]+"))),_xlfn.REGEXEXTRACT(CELL("address",D202), "\$([A-Z]+)\$[0-9]+"))</f>
        <v/>
      </c>
      <c r="E202" s="7" t="str" cm="1">
        <f t="array" aca="1" ref="E202" ca="1">IFERROR(IF(OR('Raw Data'!E202="",LEN(TRIM('Raw Data'!E202))=0),"",IF(AND(ISNUMBER('Raw Data'!E202), IFERROR('Raw Data'!E202 = ROUND('Raw Data'!E202, 2),FALSE)),"",_xlfn.REGEXEXTRACT(CELL("address",E202), "\$([A-Z]+)\$[0-9]+"))),_xlfn.REGEXEXTRACT(CELL("address",E202), "\$([A-Z]+)\$[0-9]+"))</f>
        <v/>
      </c>
      <c r="F202" s="7" t="str" cm="1">
        <f t="array" aca="1" ref="F202" ca="1">IFERROR(IF(OR('Raw Data'!F202="",LEN(TRIM('Raw Data'!F202))=0),"",IF(AND(ISNUMBER('Raw Data'!F202), IFERROR('Raw Data'!F202 = ROUND('Raw Data'!F202, 2),FALSE)),"",_xlfn.REGEXEXTRACT(CELL("address",F202), "\$([A-Z]+)\$[0-9]+"))),_xlfn.REGEXEXTRACT(CELL("address",F202), "\$([A-Z]+)\$[0-9]+"))</f>
        <v/>
      </c>
      <c r="G202" s="7" t="str" cm="1">
        <f t="array" aca="1" ref="G202" ca="1">IFERROR(IF(OR('Raw Data'!G202="",LEN(TRIM('Raw Data'!G202))=0),"",IF(AND(ISNUMBER('Raw Data'!G202), IFERROR('Raw Data'!G202 = ROUND('Raw Data'!G202, 2),FALSE)),"",_xlfn.REGEXEXTRACT(CELL("address",G202), "\$([A-Z]+)\$[0-9]+"))),_xlfn.REGEXEXTRACT(CELL("address",G202), "\$([A-Z]+)\$[0-9]+"))</f>
        <v/>
      </c>
      <c r="H202" s="7" t="str" cm="1">
        <f t="array" aca="1" ref="H202" ca="1">IFERROR(IF(OR('Raw Data'!H202="",LEN(TRIM('Raw Data'!H202))=0),"",IF(AND(ISNUMBER('Raw Data'!H202), IFERROR('Raw Data'!H202 = ROUND('Raw Data'!H202, 2),FALSE)),"",_xlfn.REGEXEXTRACT(CELL("address",H202), "\$([A-Z]+)\$[0-9]+"))),_xlfn.REGEXEXTRACT(CELL("address",H202), "\$([A-Z]+)\$[0-9]+"))</f>
        <v/>
      </c>
      <c r="I202" s="7" t="str" cm="1">
        <f t="array" aca="1" ref="I202" ca="1">IFERROR(IF(OR('Raw Data'!I202="",LEN(TRIM('Raw Data'!I202))=0),"",IF(AND(ISNUMBER('Raw Data'!I202), IFERROR('Raw Data'!I202 = ROUND('Raw Data'!I202, 2),FALSE)),"",_xlfn.REGEXEXTRACT(CELL("address",I202), "\$([A-Z]+)\$[0-9]+"))),_xlfn.REGEXEXTRACT(CELL("address",I202), "\$([A-Z]+)\$[0-9]+"))</f>
        <v/>
      </c>
      <c r="J202" s="7" t="str" cm="1">
        <f t="array" aca="1" ref="J202" ca="1">IFERROR(IF(OR('Raw Data'!J202="",LEN(TRIM('Raw Data'!J202))=0),"",IF(AND(ISNUMBER('Raw Data'!J202), IFERROR('Raw Data'!J202 = ROUND('Raw Data'!J202, 2),FALSE)),"",_xlfn.REGEXEXTRACT(CELL("address",J202), "\$([A-Z]+)\$[0-9]+"))),_xlfn.REGEXEXTRACT(CELL("address",J202), "\$([A-Z]+)\$[0-9]+"))</f>
        <v/>
      </c>
      <c r="K202" s="7" t="str" cm="1">
        <f t="array" aca="1" ref="K202" ca="1">IFERROR(IF(OR('Raw Data'!K202="",LEN(TRIM('Raw Data'!K202))=0),"",IF(AND(ISNUMBER('Raw Data'!K202), IFERROR('Raw Data'!K202 = ROUND('Raw Data'!K202, 2),FALSE)),"",_xlfn.REGEXEXTRACT(CELL("address",K202), "\$([A-Z]+)\$[0-9]+"))),_xlfn.REGEXEXTRACT(CELL("address",K202), "\$([A-Z]+)\$[0-9]+"))</f>
        <v/>
      </c>
      <c r="L202" s="7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7" t="str" cm="1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7" t="str" cm="1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  <c r="O202" s="7" t="str" cm="1">
        <f t="array" aca="1" ref="O202" ca="1">IFERROR(IF(OR('Raw Data'!O202="",LEN(TRIM('Raw Data'!O202))=0),"",IF(AND(ISNUMBER('Raw Data'!O202), IFERROR('Raw Data'!O202 = ROUND('Raw Data'!O202, 2),FALSE)),"",_xlfn.REGEXEXTRACT(CELL("address",O202), "\$([A-Z]+)\$[0-9]+"))),_xlfn.REGEXEXTRACT(CELL("address",O202), "\$([A-Z]+)\$[0-9]+"))</f>
        <v/>
      </c>
      <c r="P202" s="7" t="str" cm="1">
        <f t="array" aca="1" ref="P202" ca="1">IFERROR(IF(OR('Raw Data'!P202="",LEN(TRIM('Raw Data'!P202))=0),"",IF(AND(ISNUMBER('Raw Data'!P202), IFERROR('Raw Data'!P202 = ROUND('Raw Data'!P202, 2),FALSE)),"",_xlfn.REGEXEXTRACT(CELL("address",P202), "\$([A-Z]+)\$[0-9]+"))),_xlfn.REGEXEXTRACT(CELL("address",P202), "\$([A-Z]+)\$[0-9]+"))</f>
        <v/>
      </c>
      <c r="Q202" s="7" t="str" cm="1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7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7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7" t="str" cm="1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7" t="str" cm="1">
        <f t="array" aca="1" ref="U202" ca="1">IFERROR(IF(OR('Raw Data'!U202="",LEN(TRIM('Raw Data'!U202))=0),"",IF(AND(ISNUMBER('Raw Data'!U202), IFERROR('Raw Data'!U202 = ROUND('Raw Data'!U202, 2),FALSE)),"",_xlfn.REGEXEXTRACT(CELL("address",U202), "\$([A-Z]+)\$[0-9]+"))),_xlfn.REGEXEXTRACT(CELL("address",U202), "\$([A-Z]+)\$[0-9]+"))</f>
        <v/>
      </c>
      <c r="V202" s="7" t="str" cm="1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7" t="str" cm="1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7" t="str" cm="1">
        <f t="array" aca="1" ref="X202" ca="1">IFERROR(IF(OR('Raw Data'!X202="",LEN(TRIM('Raw Data'!X202))=0),"",IF(AND(ISNUMBER('Raw Data'!X202), IFERROR('Raw Data'!X202 = ROUND('Raw Data'!X202, 2),FALSE)),"",_xlfn.REGEXEXTRACT(CELL("address",X202), "\$([A-Z]+)\$[0-9]+"))),_xlfn.REGEXEXTRACT(CELL("address",X202), "\$([A-Z]+)\$[0-9]+"))</f>
        <v/>
      </c>
      <c r="Y202" s="7" t="str" cm="1">
        <f t="array" aca="1" ref="Y202" ca="1">IFERROR(IF(OR('Raw Data'!Y202="",LEN(TRIM('Raw Data'!Y202))=0),"",IF(AND(ISNUMBER('Raw Data'!Y202), IFERROR('Raw Data'!Y202 = ROUND('Raw Data'!Y202, 2),FALSE)),"",_xlfn.REGEXEXTRACT(CELL("address",Y202), "\$([A-Z]+)\$[0-9]+"))),_xlfn.REGEXEXTRACT(CELL("address",Y202), "\$([A-Z]+)\$[0-9]+"))</f>
        <v/>
      </c>
      <c r="Z202" s="7" t="str" cm="1">
        <f t="array" aca="1" ref="Z202" ca="1">IFERROR(IF(OR('Raw Data'!Z202="",LEN(TRIM('Raw Data'!Z202))=0),"",IF(AND(ISNUMBER('Raw Data'!Z202), IFERROR('Raw Data'!Z202 = ROUND('Raw Data'!Z202, 2),FALSE)),"",_xlfn.REGEXEXTRACT(CELL("address",Z202), "\$([A-Z]+)\$[0-9]+"))),_xlfn.REGEXEXTRACT(CELL("address",Z202), "\$([A-Z]+)\$[0-9]+"))</f>
        <v/>
      </c>
      <c r="AA202" s="7" t="str" cm="1">
        <f t="array" aca="1" ref="AA202" ca="1">IFERROR(IF(OR('Raw Data'!AA202="",LEN(TRIM('Raw Data'!AA202))=0),"",IF(AND(ISNUMBER('Raw Data'!AA202), IFERROR('Raw Data'!AA202 = ROUND('Raw Data'!AA202, 2),FALSE)),"",_xlfn.REGEXEXTRACT(CELL("address",AA202), "\$([A-Z]+)\$[0-9]+"))),_xlfn.REGEXEXTRACT(CELL("address",AA202), "\$([A-Z]+)\$[0-9]+"))</f>
        <v/>
      </c>
      <c r="AB202" s="7" t="str" cm="1">
        <f t="array" aca="1" ref="AB202" ca="1">IFERROR(IF(OR('Raw Data'!AB202="",LEN(TRIM('Raw Data'!AB202))=0),"",IF(AND(ISNUMBER('Raw Data'!AB202), IFERROR('Raw Data'!AB202 = ROUND('Raw Data'!AB202, 2),FALSE)),"",_xlfn.REGEXEXTRACT(CELL("address",AB202), "\$([A-Z]+)\$[0-9]+"))),_xlfn.REGEXEXTRACT(CELL("address",AB202), "\$([A-Z]+)\$[0-9]+"))</f>
        <v/>
      </c>
    </row>
    <row r="203" spans="2:28" x14ac:dyDescent="0.25">
      <c r="B203" s="7" t="str" cm="1">
        <f t="array" aca="1" ref="B203" ca="1">IFERROR(IF(OR('Raw Data'!B203="",LEN(TRIM('Raw Data'!B203))=0),"",IF(AND(LEN('Raw Data'!B203) &lt;= 255,LEN('Raw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Data'!C203))=0),"",IF(AND(LEN('Raw Data'!C203) &lt;= 20,LEN('Raw Data'!C203)&gt; 0),"",_xlfn.REGEXEXTRACT(CELL("address",'Raw Data'!C203),"\$([A-Z]+)\$[0-9]+"))),_xlfn.REGEXEXTRACT(CELL("address",'Raw Data'!C203),"\$([A-Z]+)\$[0-9]+"))</f>
        <v/>
      </c>
      <c r="D203" s="7" t="str" cm="1">
        <f t="array" aca="1" ref="D203" ca="1">IFERROR(IF(OR('Raw Data'!D203="",LEN(TRIM('Raw Data'!D203))=0),"",IF(AND(ISNUMBER('Raw Data'!D203),'Raw Data'!D203&gt;=Configuration!$D$2),"",_xlfn.REGEXEXTRACT(CELL("address",'Raw Data'!D203),"\$([A-Z]+)\$[0-9]+"))),_xlfn.REGEXEXTRACT(CELL("address",D203), "\$([A-Z]+)\$[0-9]+"))</f>
        <v/>
      </c>
      <c r="E203" s="7" t="str" cm="1">
        <f t="array" aca="1" ref="E203" ca="1">IFERROR(IF(OR('Raw Data'!E203="",LEN(TRIM('Raw Data'!E203))=0),"",IF(AND(ISNUMBER('Raw Data'!E203), IFERROR('Raw Data'!E203 = ROUND('Raw Data'!E203, 2),FALSE)),"",_xlfn.REGEXEXTRACT(CELL("address",E203), "\$([A-Z]+)\$[0-9]+"))),_xlfn.REGEXEXTRACT(CELL("address",E203), "\$([A-Z]+)\$[0-9]+"))</f>
        <v/>
      </c>
      <c r="F203" s="7" t="str" cm="1">
        <f t="array" aca="1" ref="F203" ca="1">IFERROR(IF(OR('Raw Data'!F203="",LEN(TRIM('Raw Data'!F203))=0),"",IF(AND(ISNUMBER('Raw Data'!F203), IFERROR('Raw Data'!F203 = ROUND('Raw Data'!F203, 2),FALSE)),"",_xlfn.REGEXEXTRACT(CELL("address",F203), "\$([A-Z]+)\$[0-9]+"))),_xlfn.REGEXEXTRACT(CELL("address",F203), "\$([A-Z]+)\$[0-9]+"))</f>
        <v/>
      </c>
      <c r="G203" s="7" t="str" cm="1">
        <f t="array" aca="1" ref="G203" ca="1">IFERROR(IF(OR('Raw Data'!G203="",LEN(TRIM('Raw Data'!G203))=0),"",IF(AND(ISNUMBER('Raw Data'!G203), IFERROR('Raw Data'!G203 = ROUND('Raw Data'!G203, 2),FALSE)),"",_xlfn.REGEXEXTRACT(CELL("address",G203), "\$([A-Z]+)\$[0-9]+"))),_xlfn.REGEXEXTRACT(CELL("address",G203), "\$([A-Z]+)\$[0-9]+"))</f>
        <v/>
      </c>
      <c r="H203" s="7" t="str" cm="1">
        <f t="array" aca="1" ref="H203" ca="1">IFERROR(IF(OR('Raw Data'!H203="",LEN(TRIM('Raw Data'!H203))=0),"",IF(AND(ISNUMBER('Raw Data'!H203), IFERROR('Raw Data'!H203 = ROUND('Raw Data'!H203, 2),FALSE)),"",_xlfn.REGEXEXTRACT(CELL("address",H203), "\$([A-Z]+)\$[0-9]+"))),_xlfn.REGEXEXTRACT(CELL("address",H203), "\$([A-Z]+)\$[0-9]+"))</f>
        <v/>
      </c>
      <c r="I203" s="7" t="str" cm="1">
        <f t="array" aca="1" ref="I203" ca="1">IFERROR(IF(OR('Raw Data'!I203="",LEN(TRIM('Raw Data'!I203))=0),"",IF(AND(ISNUMBER('Raw Data'!I203), IFERROR('Raw Data'!I203 = ROUND('Raw Data'!I203, 2),FALSE)),"",_xlfn.REGEXEXTRACT(CELL("address",I203), "\$([A-Z]+)\$[0-9]+"))),_xlfn.REGEXEXTRACT(CELL("address",I203), "\$([A-Z]+)\$[0-9]+"))</f>
        <v/>
      </c>
      <c r="J203" s="7" t="str" cm="1">
        <f t="array" aca="1" ref="J203" ca="1">IFERROR(IF(OR('Raw Data'!J203="",LEN(TRIM('Raw Data'!J203))=0),"",IF(AND(ISNUMBER('Raw Data'!J203), IFERROR('Raw Data'!J203 = ROUND('Raw Data'!J203, 2),FALSE)),"",_xlfn.REGEXEXTRACT(CELL("address",J203), "\$([A-Z]+)\$[0-9]+"))),_xlfn.REGEXEXTRACT(CELL("address",J203), "\$([A-Z]+)\$[0-9]+"))</f>
        <v/>
      </c>
      <c r="K203" s="7" t="str" cm="1">
        <f t="array" aca="1" ref="K203" ca="1">IFERROR(IF(OR('Raw Data'!K203="",LEN(TRIM('Raw Data'!K203))=0),"",IF(AND(ISNUMBER('Raw Data'!K203), IFERROR('Raw Data'!K203 = ROUND('Raw Data'!K203, 2),FALSE)),"",_xlfn.REGEXEXTRACT(CELL("address",K203), "\$([A-Z]+)\$[0-9]+"))),_xlfn.REGEXEXTRACT(CELL("address",K203), "\$([A-Z]+)\$[0-9]+"))</f>
        <v/>
      </c>
      <c r="L203" s="7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7" t="str" cm="1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7" t="str" cm="1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  <c r="O203" s="7" t="str" cm="1">
        <f t="array" aca="1" ref="O203" ca="1">IFERROR(IF(OR('Raw Data'!O203="",LEN(TRIM('Raw Data'!O203))=0),"",IF(AND(ISNUMBER('Raw Data'!O203), IFERROR('Raw Data'!O203 = ROUND('Raw Data'!O203, 2),FALSE)),"",_xlfn.REGEXEXTRACT(CELL("address",O203), "\$([A-Z]+)\$[0-9]+"))),_xlfn.REGEXEXTRACT(CELL("address",O203), "\$([A-Z]+)\$[0-9]+"))</f>
        <v/>
      </c>
      <c r="P203" s="7" t="str" cm="1">
        <f t="array" aca="1" ref="P203" ca="1">IFERROR(IF(OR('Raw Data'!P203="",LEN(TRIM('Raw Data'!P203))=0),"",IF(AND(ISNUMBER('Raw Data'!P203), IFERROR('Raw Data'!P203 = ROUND('Raw Data'!P203, 2),FALSE)),"",_xlfn.REGEXEXTRACT(CELL("address",P203), "\$([A-Z]+)\$[0-9]+"))),_xlfn.REGEXEXTRACT(CELL("address",P203), "\$([A-Z]+)\$[0-9]+"))</f>
        <v/>
      </c>
      <c r="Q203" s="7" t="str" cm="1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7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7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7" t="str" cm="1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7" t="str" cm="1">
        <f t="array" aca="1" ref="U203" ca="1">IFERROR(IF(OR('Raw Data'!U203="",LEN(TRIM('Raw Data'!U203))=0),"",IF(AND(ISNUMBER('Raw Data'!U203), IFERROR('Raw Data'!U203 = ROUND('Raw Data'!U203, 2),FALSE)),"",_xlfn.REGEXEXTRACT(CELL("address",U203), "\$([A-Z]+)\$[0-9]+"))),_xlfn.REGEXEXTRACT(CELL("address",U203), "\$([A-Z]+)\$[0-9]+"))</f>
        <v/>
      </c>
      <c r="V203" s="7" t="str" cm="1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7" t="str" cm="1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7" t="str" cm="1">
        <f t="array" aca="1" ref="X203" ca="1">IFERROR(IF(OR('Raw Data'!X203="",LEN(TRIM('Raw Data'!X203))=0),"",IF(AND(ISNUMBER('Raw Data'!X203), IFERROR('Raw Data'!X203 = ROUND('Raw Data'!X203, 2),FALSE)),"",_xlfn.REGEXEXTRACT(CELL("address",X203), "\$([A-Z]+)\$[0-9]+"))),_xlfn.REGEXEXTRACT(CELL("address",X203), "\$([A-Z]+)\$[0-9]+"))</f>
        <v/>
      </c>
      <c r="Y203" s="7" t="str" cm="1">
        <f t="array" aca="1" ref="Y203" ca="1">IFERROR(IF(OR('Raw Data'!Y203="",LEN(TRIM('Raw Data'!Y203))=0),"",IF(AND(ISNUMBER('Raw Data'!Y203), IFERROR('Raw Data'!Y203 = ROUND('Raw Data'!Y203, 2),FALSE)),"",_xlfn.REGEXEXTRACT(CELL("address",Y203), "\$([A-Z]+)\$[0-9]+"))),_xlfn.REGEXEXTRACT(CELL("address",Y203), "\$([A-Z]+)\$[0-9]+"))</f>
        <v/>
      </c>
      <c r="Z203" s="7" t="str" cm="1">
        <f t="array" aca="1" ref="Z203" ca="1">IFERROR(IF(OR('Raw Data'!Z203="",LEN(TRIM('Raw Data'!Z203))=0),"",IF(AND(ISNUMBER('Raw Data'!Z203), IFERROR('Raw Data'!Z203 = ROUND('Raw Data'!Z203, 2),FALSE)),"",_xlfn.REGEXEXTRACT(CELL("address",Z203), "\$([A-Z]+)\$[0-9]+"))),_xlfn.REGEXEXTRACT(CELL("address",Z203), "\$([A-Z]+)\$[0-9]+"))</f>
        <v/>
      </c>
      <c r="AA203" s="7" t="str" cm="1">
        <f t="array" aca="1" ref="AA203" ca="1">IFERROR(IF(OR('Raw Data'!AA203="",LEN(TRIM('Raw Data'!AA203))=0),"",IF(AND(ISNUMBER('Raw Data'!AA203), IFERROR('Raw Data'!AA203 = ROUND('Raw Data'!AA203, 2),FALSE)),"",_xlfn.REGEXEXTRACT(CELL("address",AA203), "\$([A-Z]+)\$[0-9]+"))),_xlfn.REGEXEXTRACT(CELL("address",AA203), "\$([A-Z]+)\$[0-9]+"))</f>
        <v/>
      </c>
      <c r="AB203" s="7" t="str" cm="1">
        <f t="array" aca="1" ref="AB203" ca="1">IFERROR(IF(OR('Raw Data'!AB203="",LEN(TRIM('Raw Data'!AB203))=0),"",IF(AND(ISNUMBER('Raw Data'!AB203), IFERROR('Raw Data'!AB203 = ROUND('Raw Data'!AB203, 2),FALSE)),"",_xlfn.REGEXEXTRACT(CELL("address",AB203), "\$([A-Z]+)\$[0-9]+"))),_xlfn.REGEXEXTRACT(CELL("address",AB203), "\$([A-Z]+)\$[0-9]+"))</f>
        <v/>
      </c>
    </row>
    <row r="204" spans="2:28" x14ac:dyDescent="0.25">
      <c r="B204" s="7" t="str" cm="1">
        <f t="array" aca="1" ref="B204" ca="1">IFERROR(IF(OR('Raw Data'!B204="",LEN(TRIM('Raw Data'!B204))=0),"",IF(AND(LEN('Raw Data'!B204) &lt;= 255,LEN('Raw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Data'!C204))=0),"",IF(AND(LEN('Raw Data'!C204) &lt;= 20,LEN('Raw Data'!C204)&gt; 0),"",_xlfn.REGEXEXTRACT(CELL("address",'Raw Data'!C204),"\$([A-Z]+)\$[0-9]+"))),_xlfn.REGEXEXTRACT(CELL("address",'Raw Data'!C204),"\$([A-Z]+)\$[0-9]+"))</f>
        <v/>
      </c>
      <c r="D204" s="7" t="str" cm="1">
        <f t="array" aca="1" ref="D204" ca="1">IFERROR(IF(OR('Raw Data'!D204="",LEN(TRIM('Raw Data'!D204))=0),"",IF(AND(ISNUMBER('Raw Data'!D204),'Raw Data'!D204&gt;=Configuration!$D$2),"",_xlfn.REGEXEXTRACT(CELL("address",'Raw Data'!D204),"\$([A-Z]+)\$[0-9]+"))),_xlfn.REGEXEXTRACT(CELL("address",D204), "\$([A-Z]+)\$[0-9]+"))</f>
        <v/>
      </c>
      <c r="E204" s="7" t="str" cm="1">
        <f t="array" aca="1" ref="E204" ca="1">IFERROR(IF(OR('Raw Data'!E204="",LEN(TRIM('Raw Data'!E204))=0),"",IF(AND(ISNUMBER('Raw Data'!E204), IFERROR('Raw Data'!E204 = ROUND('Raw Data'!E204, 2),FALSE)),"",_xlfn.REGEXEXTRACT(CELL("address",E204), "\$([A-Z]+)\$[0-9]+"))),_xlfn.REGEXEXTRACT(CELL("address",E204), "\$([A-Z]+)\$[0-9]+"))</f>
        <v/>
      </c>
      <c r="F204" s="7" t="str" cm="1">
        <f t="array" aca="1" ref="F204" ca="1">IFERROR(IF(OR('Raw Data'!F204="",LEN(TRIM('Raw Data'!F204))=0),"",IF(AND(ISNUMBER('Raw Data'!F204), IFERROR('Raw Data'!F204 = ROUND('Raw Data'!F204, 2),FALSE)),"",_xlfn.REGEXEXTRACT(CELL("address",F204), "\$([A-Z]+)\$[0-9]+"))),_xlfn.REGEXEXTRACT(CELL("address",F204), "\$([A-Z]+)\$[0-9]+"))</f>
        <v/>
      </c>
      <c r="G204" s="7" t="str" cm="1">
        <f t="array" aca="1" ref="G204" ca="1">IFERROR(IF(OR('Raw Data'!G204="",LEN(TRIM('Raw Data'!G204))=0),"",IF(AND(ISNUMBER('Raw Data'!G204), IFERROR('Raw Data'!G204 = ROUND('Raw Data'!G204, 2),FALSE)),"",_xlfn.REGEXEXTRACT(CELL("address",G204), "\$([A-Z]+)\$[0-9]+"))),_xlfn.REGEXEXTRACT(CELL("address",G204), "\$([A-Z]+)\$[0-9]+"))</f>
        <v/>
      </c>
      <c r="H204" s="7" t="str" cm="1">
        <f t="array" aca="1" ref="H204" ca="1">IFERROR(IF(OR('Raw Data'!H204="",LEN(TRIM('Raw Data'!H204))=0),"",IF(AND(ISNUMBER('Raw Data'!H204), IFERROR('Raw Data'!H204 = ROUND('Raw Data'!H204, 2),FALSE)),"",_xlfn.REGEXEXTRACT(CELL("address",H204), "\$([A-Z]+)\$[0-9]+"))),_xlfn.REGEXEXTRACT(CELL("address",H204), "\$([A-Z]+)\$[0-9]+"))</f>
        <v/>
      </c>
      <c r="I204" s="7" t="str" cm="1">
        <f t="array" aca="1" ref="I204" ca="1">IFERROR(IF(OR('Raw Data'!I204="",LEN(TRIM('Raw Data'!I204))=0),"",IF(AND(ISNUMBER('Raw Data'!I204), IFERROR('Raw Data'!I204 = ROUND('Raw Data'!I204, 2),FALSE)),"",_xlfn.REGEXEXTRACT(CELL("address",I204), "\$([A-Z]+)\$[0-9]+"))),_xlfn.REGEXEXTRACT(CELL("address",I204), "\$([A-Z]+)\$[0-9]+"))</f>
        <v/>
      </c>
      <c r="J204" s="7" t="str" cm="1">
        <f t="array" aca="1" ref="J204" ca="1">IFERROR(IF(OR('Raw Data'!J204="",LEN(TRIM('Raw Data'!J204))=0),"",IF(AND(ISNUMBER('Raw Data'!J204), IFERROR('Raw Data'!J204 = ROUND('Raw Data'!J204, 2),FALSE)),"",_xlfn.REGEXEXTRACT(CELL("address",J204), "\$([A-Z]+)\$[0-9]+"))),_xlfn.REGEXEXTRACT(CELL("address",J204), "\$([A-Z]+)\$[0-9]+"))</f>
        <v/>
      </c>
      <c r="K204" s="7" t="str" cm="1">
        <f t="array" aca="1" ref="K204" ca="1">IFERROR(IF(OR('Raw Data'!K204="",LEN(TRIM('Raw Data'!K204))=0),"",IF(AND(ISNUMBER('Raw Data'!K204), IFERROR('Raw Data'!K204 = ROUND('Raw Data'!K204, 2),FALSE)),"",_xlfn.REGEXEXTRACT(CELL("address",K204), "\$([A-Z]+)\$[0-9]+"))),_xlfn.REGEXEXTRACT(CELL("address",K204), "\$([A-Z]+)\$[0-9]+"))</f>
        <v/>
      </c>
      <c r="L204" s="7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7" t="str" cm="1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7" t="str" cm="1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  <c r="O204" s="7" t="str" cm="1">
        <f t="array" aca="1" ref="O204" ca="1">IFERROR(IF(OR('Raw Data'!O204="",LEN(TRIM('Raw Data'!O204))=0),"",IF(AND(ISNUMBER('Raw Data'!O204), IFERROR('Raw Data'!O204 = ROUND('Raw Data'!O204, 2),FALSE)),"",_xlfn.REGEXEXTRACT(CELL("address",O204), "\$([A-Z]+)\$[0-9]+"))),_xlfn.REGEXEXTRACT(CELL("address",O204), "\$([A-Z]+)\$[0-9]+"))</f>
        <v/>
      </c>
      <c r="P204" s="7" t="str" cm="1">
        <f t="array" aca="1" ref="P204" ca="1">IFERROR(IF(OR('Raw Data'!P204="",LEN(TRIM('Raw Data'!P204))=0),"",IF(AND(ISNUMBER('Raw Data'!P204), IFERROR('Raw Data'!P204 = ROUND('Raw Data'!P204, 2),FALSE)),"",_xlfn.REGEXEXTRACT(CELL("address",P204), "\$([A-Z]+)\$[0-9]+"))),_xlfn.REGEXEXTRACT(CELL("address",P204), "\$([A-Z]+)\$[0-9]+"))</f>
        <v/>
      </c>
      <c r="Q204" s="7" t="str" cm="1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7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7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7" t="str" cm="1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7" t="str" cm="1">
        <f t="array" aca="1" ref="U204" ca="1">IFERROR(IF(OR('Raw Data'!U204="",LEN(TRIM('Raw Data'!U204))=0),"",IF(AND(ISNUMBER('Raw Data'!U204), IFERROR('Raw Data'!U204 = ROUND('Raw Data'!U204, 2),FALSE)),"",_xlfn.REGEXEXTRACT(CELL("address",U204), "\$([A-Z]+)\$[0-9]+"))),_xlfn.REGEXEXTRACT(CELL("address",U204), "\$([A-Z]+)\$[0-9]+"))</f>
        <v/>
      </c>
      <c r="V204" s="7" t="str" cm="1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7" t="str" cm="1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7" t="str" cm="1">
        <f t="array" aca="1" ref="X204" ca="1">IFERROR(IF(OR('Raw Data'!X204="",LEN(TRIM('Raw Data'!X204))=0),"",IF(AND(ISNUMBER('Raw Data'!X204), IFERROR('Raw Data'!X204 = ROUND('Raw Data'!X204, 2),FALSE)),"",_xlfn.REGEXEXTRACT(CELL("address",X204), "\$([A-Z]+)\$[0-9]+"))),_xlfn.REGEXEXTRACT(CELL("address",X204), "\$([A-Z]+)\$[0-9]+"))</f>
        <v/>
      </c>
      <c r="Y204" s="7" t="str" cm="1">
        <f t="array" aca="1" ref="Y204" ca="1">IFERROR(IF(OR('Raw Data'!Y204="",LEN(TRIM('Raw Data'!Y204))=0),"",IF(AND(ISNUMBER('Raw Data'!Y204), IFERROR('Raw Data'!Y204 = ROUND('Raw Data'!Y204, 2),FALSE)),"",_xlfn.REGEXEXTRACT(CELL("address",Y204), "\$([A-Z]+)\$[0-9]+"))),_xlfn.REGEXEXTRACT(CELL("address",Y204), "\$([A-Z]+)\$[0-9]+"))</f>
        <v/>
      </c>
      <c r="Z204" s="7" t="str" cm="1">
        <f t="array" aca="1" ref="Z204" ca="1">IFERROR(IF(OR('Raw Data'!Z204="",LEN(TRIM('Raw Data'!Z204))=0),"",IF(AND(ISNUMBER('Raw Data'!Z204), IFERROR('Raw Data'!Z204 = ROUND('Raw Data'!Z204, 2),FALSE)),"",_xlfn.REGEXEXTRACT(CELL("address",Z204), "\$([A-Z]+)\$[0-9]+"))),_xlfn.REGEXEXTRACT(CELL("address",Z204), "\$([A-Z]+)\$[0-9]+"))</f>
        <v/>
      </c>
      <c r="AA204" s="7" t="str" cm="1">
        <f t="array" aca="1" ref="AA204" ca="1">IFERROR(IF(OR('Raw Data'!AA204="",LEN(TRIM('Raw Data'!AA204))=0),"",IF(AND(ISNUMBER('Raw Data'!AA204), IFERROR('Raw Data'!AA204 = ROUND('Raw Data'!AA204, 2),FALSE)),"",_xlfn.REGEXEXTRACT(CELL("address",AA204), "\$([A-Z]+)\$[0-9]+"))),_xlfn.REGEXEXTRACT(CELL("address",AA204), "\$([A-Z]+)\$[0-9]+"))</f>
        <v/>
      </c>
      <c r="AB204" s="7" t="str" cm="1">
        <f t="array" aca="1" ref="AB204" ca="1">IFERROR(IF(OR('Raw Data'!AB204="",LEN(TRIM('Raw Data'!AB204))=0),"",IF(AND(ISNUMBER('Raw Data'!AB204), IFERROR('Raw Data'!AB204 = ROUND('Raw Data'!AB204, 2),FALSE)),"",_xlfn.REGEXEXTRACT(CELL("address",AB204), "\$([A-Z]+)\$[0-9]+"))),_xlfn.REGEXEXTRACT(CELL("address",AB204), "\$([A-Z]+)\$[0-9]+"))</f>
        <v/>
      </c>
    </row>
    <row r="205" spans="2:28" x14ac:dyDescent="0.25">
      <c r="B205" s="7" t="str" cm="1">
        <f t="array" aca="1" ref="B205" ca="1">IFERROR(IF(OR('Raw Data'!B205="",LEN(TRIM('Raw Data'!B205))=0),"",IF(AND(LEN('Raw Data'!B205) &lt;= 255,LEN('Raw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Data'!C205))=0),"",IF(AND(LEN('Raw Data'!C205) &lt;= 20,LEN('Raw Data'!C205)&gt; 0),"",_xlfn.REGEXEXTRACT(CELL("address",'Raw Data'!C205),"\$([A-Z]+)\$[0-9]+"))),_xlfn.REGEXEXTRACT(CELL("address",'Raw Data'!C205),"\$([A-Z]+)\$[0-9]+"))</f>
        <v/>
      </c>
      <c r="D205" s="7" t="str" cm="1">
        <f t="array" aca="1" ref="D205" ca="1">IFERROR(IF(OR('Raw Data'!D205="",LEN(TRIM('Raw Data'!D205))=0),"",IF(AND(ISNUMBER('Raw Data'!D205),'Raw Data'!D205&gt;=Configuration!$D$2),"",_xlfn.REGEXEXTRACT(CELL("address",'Raw Data'!D205),"\$([A-Z]+)\$[0-9]+"))),_xlfn.REGEXEXTRACT(CELL("address",D205), "\$([A-Z]+)\$[0-9]+"))</f>
        <v/>
      </c>
      <c r="E205" s="7" t="str" cm="1">
        <f t="array" aca="1" ref="E205" ca="1">IFERROR(IF(OR('Raw Data'!E205="",LEN(TRIM('Raw Data'!E205))=0),"",IF(AND(ISNUMBER('Raw Data'!E205), IFERROR('Raw Data'!E205 = ROUND('Raw Data'!E205, 2),FALSE)),"",_xlfn.REGEXEXTRACT(CELL("address",E205), "\$([A-Z]+)\$[0-9]+"))),_xlfn.REGEXEXTRACT(CELL("address",E205), "\$([A-Z]+)\$[0-9]+"))</f>
        <v/>
      </c>
      <c r="F205" s="7" t="str" cm="1">
        <f t="array" aca="1" ref="F205" ca="1">IFERROR(IF(OR('Raw Data'!F205="",LEN(TRIM('Raw Data'!F205))=0),"",IF(AND(ISNUMBER('Raw Data'!F205), IFERROR('Raw Data'!F205 = ROUND('Raw Data'!F205, 2),FALSE)),"",_xlfn.REGEXEXTRACT(CELL("address",F205), "\$([A-Z]+)\$[0-9]+"))),_xlfn.REGEXEXTRACT(CELL("address",F205), "\$([A-Z]+)\$[0-9]+"))</f>
        <v/>
      </c>
      <c r="G205" s="7" t="str" cm="1">
        <f t="array" aca="1" ref="G205" ca="1">IFERROR(IF(OR('Raw Data'!G205="",LEN(TRIM('Raw Data'!G205))=0),"",IF(AND(ISNUMBER('Raw Data'!G205), IFERROR('Raw Data'!G205 = ROUND('Raw Data'!G205, 2),FALSE)),"",_xlfn.REGEXEXTRACT(CELL("address",G205), "\$([A-Z]+)\$[0-9]+"))),_xlfn.REGEXEXTRACT(CELL("address",G205), "\$([A-Z]+)\$[0-9]+"))</f>
        <v/>
      </c>
      <c r="H205" s="7" t="str" cm="1">
        <f t="array" aca="1" ref="H205" ca="1">IFERROR(IF(OR('Raw Data'!H205="",LEN(TRIM('Raw Data'!H205))=0),"",IF(AND(ISNUMBER('Raw Data'!H205), IFERROR('Raw Data'!H205 = ROUND('Raw Data'!H205, 2),FALSE)),"",_xlfn.REGEXEXTRACT(CELL("address",H205), "\$([A-Z]+)\$[0-9]+"))),_xlfn.REGEXEXTRACT(CELL("address",H205), "\$([A-Z]+)\$[0-9]+"))</f>
        <v/>
      </c>
      <c r="I205" s="7" t="str" cm="1">
        <f t="array" aca="1" ref="I205" ca="1">IFERROR(IF(OR('Raw Data'!I205="",LEN(TRIM('Raw Data'!I205))=0),"",IF(AND(ISNUMBER('Raw Data'!I205), IFERROR('Raw Data'!I205 = ROUND('Raw Data'!I205, 2),FALSE)),"",_xlfn.REGEXEXTRACT(CELL("address",I205), "\$([A-Z]+)\$[0-9]+"))),_xlfn.REGEXEXTRACT(CELL("address",I205), "\$([A-Z]+)\$[0-9]+"))</f>
        <v/>
      </c>
      <c r="J205" s="7" t="str" cm="1">
        <f t="array" aca="1" ref="J205" ca="1">IFERROR(IF(OR('Raw Data'!J205="",LEN(TRIM('Raw Data'!J205))=0),"",IF(AND(ISNUMBER('Raw Data'!J205), IFERROR('Raw Data'!J205 = ROUND('Raw Data'!J205, 2),FALSE)),"",_xlfn.REGEXEXTRACT(CELL("address",J205), "\$([A-Z]+)\$[0-9]+"))),_xlfn.REGEXEXTRACT(CELL("address",J205), "\$([A-Z]+)\$[0-9]+"))</f>
        <v/>
      </c>
      <c r="K205" s="7" t="str" cm="1">
        <f t="array" aca="1" ref="K205" ca="1">IFERROR(IF(OR('Raw Data'!K205="",LEN(TRIM('Raw Data'!K205))=0),"",IF(AND(ISNUMBER('Raw Data'!K205), IFERROR('Raw Data'!K205 = ROUND('Raw Data'!K205, 2),FALSE)),"",_xlfn.REGEXEXTRACT(CELL("address",K205), "\$([A-Z]+)\$[0-9]+"))),_xlfn.REGEXEXTRACT(CELL("address",K205), "\$([A-Z]+)\$[0-9]+"))</f>
        <v/>
      </c>
      <c r="L205" s="7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7" t="str" cm="1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7" t="str" cm="1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  <c r="O205" s="7" t="str" cm="1">
        <f t="array" aca="1" ref="O205" ca="1">IFERROR(IF(OR('Raw Data'!O205="",LEN(TRIM('Raw Data'!O205))=0),"",IF(AND(ISNUMBER('Raw Data'!O205), IFERROR('Raw Data'!O205 = ROUND('Raw Data'!O205, 2),FALSE)),"",_xlfn.REGEXEXTRACT(CELL("address",O205), "\$([A-Z]+)\$[0-9]+"))),_xlfn.REGEXEXTRACT(CELL("address",O205), "\$([A-Z]+)\$[0-9]+"))</f>
        <v/>
      </c>
      <c r="P205" s="7" t="str" cm="1">
        <f t="array" aca="1" ref="P205" ca="1">IFERROR(IF(OR('Raw Data'!P205="",LEN(TRIM('Raw Data'!P205))=0),"",IF(AND(ISNUMBER('Raw Data'!P205), IFERROR('Raw Data'!P205 = ROUND('Raw Data'!P205, 2),FALSE)),"",_xlfn.REGEXEXTRACT(CELL("address",P205), "\$([A-Z]+)\$[0-9]+"))),_xlfn.REGEXEXTRACT(CELL("address",P205), "\$([A-Z]+)\$[0-9]+"))</f>
        <v/>
      </c>
      <c r="Q205" s="7" t="str" cm="1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7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7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7" t="str" cm="1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7" t="str" cm="1">
        <f t="array" aca="1" ref="U205" ca="1">IFERROR(IF(OR('Raw Data'!U205="",LEN(TRIM('Raw Data'!U205))=0),"",IF(AND(ISNUMBER('Raw Data'!U205), IFERROR('Raw Data'!U205 = ROUND('Raw Data'!U205, 2),FALSE)),"",_xlfn.REGEXEXTRACT(CELL("address",U205), "\$([A-Z]+)\$[0-9]+"))),_xlfn.REGEXEXTRACT(CELL("address",U205), "\$([A-Z]+)\$[0-9]+"))</f>
        <v/>
      </c>
      <c r="V205" s="7" t="str" cm="1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7" t="str" cm="1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7" t="str" cm="1">
        <f t="array" aca="1" ref="X205" ca="1">IFERROR(IF(OR('Raw Data'!X205="",LEN(TRIM('Raw Data'!X205))=0),"",IF(AND(ISNUMBER('Raw Data'!X205), IFERROR('Raw Data'!X205 = ROUND('Raw Data'!X205, 2),FALSE)),"",_xlfn.REGEXEXTRACT(CELL("address",X205), "\$([A-Z]+)\$[0-9]+"))),_xlfn.REGEXEXTRACT(CELL("address",X205), "\$([A-Z]+)\$[0-9]+"))</f>
        <v/>
      </c>
      <c r="Y205" s="7" t="str" cm="1">
        <f t="array" aca="1" ref="Y205" ca="1">IFERROR(IF(OR('Raw Data'!Y205="",LEN(TRIM('Raw Data'!Y205))=0),"",IF(AND(ISNUMBER('Raw Data'!Y205), IFERROR('Raw Data'!Y205 = ROUND('Raw Data'!Y205, 2),FALSE)),"",_xlfn.REGEXEXTRACT(CELL("address",Y205), "\$([A-Z]+)\$[0-9]+"))),_xlfn.REGEXEXTRACT(CELL("address",Y205), "\$([A-Z]+)\$[0-9]+"))</f>
        <v/>
      </c>
      <c r="Z205" s="7" t="str" cm="1">
        <f t="array" aca="1" ref="Z205" ca="1">IFERROR(IF(OR('Raw Data'!Z205="",LEN(TRIM('Raw Data'!Z205))=0),"",IF(AND(ISNUMBER('Raw Data'!Z205), IFERROR('Raw Data'!Z205 = ROUND('Raw Data'!Z205, 2),FALSE)),"",_xlfn.REGEXEXTRACT(CELL("address",Z205), "\$([A-Z]+)\$[0-9]+"))),_xlfn.REGEXEXTRACT(CELL("address",Z205), "\$([A-Z]+)\$[0-9]+"))</f>
        <v/>
      </c>
      <c r="AA205" s="7" t="str" cm="1">
        <f t="array" aca="1" ref="AA205" ca="1">IFERROR(IF(OR('Raw Data'!AA205="",LEN(TRIM('Raw Data'!AA205))=0),"",IF(AND(ISNUMBER('Raw Data'!AA205), IFERROR('Raw Data'!AA205 = ROUND('Raw Data'!AA205, 2),FALSE)),"",_xlfn.REGEXEXTRACT(CELL("address",AA205), "\$([A-Z]+)\$[0-9]+"))),_xlfn.REGEXEXTRACT(CELL("address",AA205), "\$([A-Z]+)\$[0-9]+"))</f>
        <v/>
      </c>
      <c r="AB205" s="7" t="str" cm="1">
        <f t="array" aca="1" ref="AB205" ca="1">IFERROR(IF(OR('Raw Data'!AB205="",LEN(TRIM('Raw Data'!AB205))=0),"",IF(AND(ISNUMBER('Raw Data'!AB205), IFERROR('Raw Data'!AB205 = ROUND('Raw Data'!AB205, 2),FALSE)),"",_xlfn.REGEXEXTRACT(CELL("address",AB205), "\$([A-Z]+)\$[0-9]+"))),_xlfn.REGEXEXTRACT(CELL("address",AB205), "\$([A-Z]+)\$[0-9]+"))</f>
        <v/>
      </c>
    </row>
    <row r="206" spans="2:28" x14ac:dyDescent="0.25">
      <c r="B206" s="7" t="str" cm="1">
        <f t="array" aca="1" ref="B206" ca="1">IFERROR(IF(OR('Raw Data'!B206="",LEN(TRIM('Raw Data'!B206))=0),"",IF(AND(LEN('Raw Data'!B206) &lt;= 255,LEN('Raw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Data'!C206))=0),"",IF(AND(LEN('Raw Data'!C206) &lt;= 20,LEN('Raw Data'!C206)&gt; 0),"",_xlfn.REGEXEXTRACT(CELL("address",'Raw Data'!C206),"\$([A-Z]+)\$[0-9]+"))),_xlfn.REGEXEXTRACT(CELL("address",'Raw Data'!C206),"\$([A-Z]+)\$[0-9]+"))</f>
        <v/>
      </c>
      <c r="D206" s="7" t="str" cm="1">
        <f t="array" aca="1" ref="D206" ca="1">IFERROR(IF(OR('Raw Data'!D206="",LEN(TRIM('Raw Data'!D206))=0),"",IF(AND(ISNUMBER('Raw Data'!D206),'Raw Data'!D206&gt;=Configuration!$D$2),"",_xlfn.REGEXEXTRACT(CELL("address",'Raw Data'!D206),"\$([A-Z]+)\$[0-9]+"))),_xlfn.REGEXEXTRACT(CELL("address",D206), "\$([A-Z]+)\$[0-9]+"))</f>
        <v/>
      </c>
      <c r="E206" s="7" t="str" cm="1">
        <f t="array" aca="1" ref="E206" ca="1">IFERROR(IF(OR('Raw Data'!E206="",LEN(TRIM('Raw Data'!E206))=0),"",IF(AND(ISNUMBER('Raw Data'!E206), IFERROR('Raw Data'!E206 = ROUND('Raw Data'!E206, 2),FALSE)),"",_xlfn.REGEXEXTRACT(CELL("address",E206), "\$([A-Z]+)\$[0-9]+"))),_xlfn.REGEXEXTRACT(CELL("address",E206), "\$([A-Z]+)\$[0-9]+"))</f>
        <v/>
      </c>
      <c r="F206" s="7" t="str" cm="1">
        <f t="array" aca="1" ref="F206" ca="1">IFERROR(IF(OR('Raw Data'!F206="",LEN(TRIM('Raw Data'!F206))=0),"",IF(AND(ISNUMBER('Raw Data'!F206), IFERROR('Raw Data'!F206 = ROUND('Raw Data'!F206, 2),FALSE)),"",_xlfn.REGEXEXTRACT(CELL("address",F206), "\$([A-Z]+)\$[0-9]+"))),_xlfn.REGEXEXTRACT(CELL("address",F206), "\$([A-Z]+)\$[0-9]+"))</f>
        <v/>
      </c>
      <c r="G206" s="7" t="str" cm="1">
        <f t="array" aca="1" ref="G206" ca="1">IFERROR(IF(OR('Raw Data'!G206="",LEN(TRIM('Raw Data'!G206))=0),"",IF(AND(ISNUMBER('Raw Data'!G206), IFERROR('Raw Data'!G206 = ROUND('Raw Data'!G206, 2),FALSE)),"",_xlfn.REGEXEXTRACT(CELL("address",G206), "\$([A-Z]+)\$[0-9]+"))),_xlfn.REGEXEXTRACT(CELL("address",G206), "\$([A-Z]+)\$[0-9]+"))</f>
        <v/>
      </c>
      <c r="H206" s="7" t="str" cm="1">
        <f t="array" aca="1" ref="H206" ca="1">IFERROR(IF(OR('Raw Data'!H206="",LEN(TRIM('Raw Data'!H206))=0),"",IF(AND(ISNUMBER('Raw Data'!H206), IFERROR('Raw Data'!H206 = ROUND('Raw Data'!H206, 2),FALSE)),"",_xlfn.REGEXEXTRACT(CELL("address",H206), "\$([A-Z]+)\$[0-9]+"))),_xlfn.REGEXEXTRACT(CELL("address",H206), "\$([A-Z]+)\$[0-9]+"))</f>
        <v/>
      </c>
      <c r="I206" s="7" t="str" cm="1">
        <f t="array" aca="1" ref="I206" ca="1">IFERROR(IF(OR('Raw Data'!I206="",LEN(TRIM('Raw Data'!I206))=0),"",IF(AND(ISNUMBER('Raw Data'!I206), IFERROR('Raw Data'!I206 = ROUND('Raw Data'!I206, 2),FALSE)),"",_xlfn.REGEXEXTRACT(CELL("address",I206), "\$([A-Z]+)\$[0-9]+"))),_xlfn.REGEXEXTRACT(CELL("address",I206), "\$([A-Z]+)\$[0-9]+"))</f>
        <v/>
      </c>
      <c r="J206" s="7" t="str" cm="1">
        <f t="array" aca="1" ref="J206" ca="1">IFERROR(IF(OR('Raw Data'!J206="",LEN(TRIM('Raw Data'!J206))=0),"",IF(AND(ISNUMBER('Raw Data'!J206), IFERROR('Raw Data'!J206 = ROUND('Raw Data'!J206, 2),FALSE)),"",_xlfn.REGEXEXTRACT(CELL("address",J206), "\$([A-Z]+)\$[0-9]+"))),_xlfn.REGEXEXTRACT(CELL("address",J206), "\$([A-Z]+)\$[0-9]+"))</f>
        <v/>
      </c>
      <c r="K206" s="7" t="str" cm="1">
        <f t="array" aca="1" ref="K206" ca="1">IFERROR(IF(OR('Raw Data'!K206="",LEN(TRIM('Raw Data'!K206))=0),"",IF(AND(ISNUMBER('Raw Data'!K206), IFERROR('Raw Data'!K206 = ROUND('Raw Data'!K206, 2),FALSE)),"",_xlfn.REGEXEXTRACT(CELL("address",K206), "\$([A-Z]+)\$[0-9]+"))),_xlfn.REGEXEXTRACT(CELL("address",K206), "\$([A-Z]+)\$[0-9]+"))</f>
        <v/>
      </c>
      <c r="L206" s="7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7" t="str" cm="1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7" t="str" cm="1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  <c r="O206" s="7" t="str" cm="1">
        <f t="array" aca="1" ref="O206" ca="1">IFERROR(IF(OR('Raw Data'!O206="",LEN(TRIM('Raw Data'!O206))=0),"",IF(AND(ISNUMBER('Raw Data'!O206), IFERROR('Raw Data'!O206 = ROUND('Raw Data'!O206, 2),FALSE)),"",_xlfn.REGEXEXTRACT(CELL("address",O206), "\$([A-Z]+)\$[0-9]+"))),_xlfn.REGEXEXTRACT(CELL("address",O206), "\$([A-Z]+)\$[0-9]+"))</f>
        <v/>
      </c>
      <c r="P206" s="7" t="str" cm="1">
        <f t="array" aca="1" ref="P206" ca="1">IFERROR(IF(OR('Raw Data'!P206="",LEN(TRIM('Raw Data'!P206))=0),"",IF(AND(ISNUMBER('Raw Data'!P206), IFERROR('Raw Data'!P206 = ROUND('Raw Data'!P206, 2),FALSE)),"",_xlfn.REGEXEXTRACT(CELL("address",P206), "\$([A-Z]+)\$[0-9]+"))),_xlfn.REGEXEXTRACT(CELL("address",P206), "\$([A-Z]+)\$[0-9]+"))</f>
        <v/>
      </c>
      <c r="Q206" s="7" t="str" cm="1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7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7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7" t="str" cm="1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7" t="str" cm="1">
        <f t="array" aca="1" ref="U206" ca="1">IFERROR(IF(OR('Raw Data'!U206="",LEN(TRIM('Raw Data'!U206))=0),"",IF(AND(ISNUMBER('Raw Data'!U206), IFERROR('Raw Data'!U206 = ROUND('Raw Data'!U206, 2),FALSE)),"",_xlfn.REGEXEXTRACT(CELL("address",U206), "\$([A-Z]+)\$[0-9]+"))),_xlfn.REGEXEXTRACT(CELL("address",U206), "\$([A-Z]+)\$[0-9]+"))</f>
        <v/>
      </c>
      <c r="V206" s="7" t="str" cm="1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7" t="str" cm="1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7" t="str" cm="1">
        <f t="array" aca="1" ref="X206" ca="1">IFERROR(IF(OR('Raw Data'!X206="",LEN(TRIM('Raw Data'!X206))=0),"",IF(AND(ISNUMBER('Raw Data'!X206), IFERROR('Raw Data'!X206 = ROUND('Raw Data'!X206, 2),FALSE)),"",_xlfn.REGEXEXTRACT(CELL("address",X206), "\$([A-Z]+)\$[0-9]+"))),_xlfn.REGEXEXTRACT(CELL("address",X206), "\$([A-Z]+)\$[0-9]+"))</f>
        <v/>
      </c>
      <c r="Y206" s="7" t="str" cm="1">
        <f t="array" aca="1" ref="Y206" ca="1">IFERROR(IF(OR('Raw Data'!Y206="",LEN(TRIM('Raw Data'!Y206))=0),"",IF(AND(ISNUMBER('Raw Data'!Y206), IFERROR('Raw Data'!Y206 = ROUND('Raw Data'!Y206, 2),FALSE)),"",_xlfn.REGEXEXTRACT(CELL("address",Y206), "\$([A-Z]+)\$[0-9]+"))),_xlfn.REGEXEXTRACT(CELL("address",Y206), "\$([A-Z]+)\$[0-9]+"))</f>
        <v/>
      </c>
      <c r="Z206" s="7" t="str" cm="1">
        <f t="array" aca="1" ref="Z206" ca="1">IFERROR(IF(OR('Raw Data'!Z206="",LEN(TRIM('Raw Data'!Z206))=0),"",IF(AND(ISNUMBER('Raw Data'!Z206), IFERROR('Raw Data'!Z206 = ROUND('Raw Data'!Z206, 2),FALSE)),"",_xlfn.REGEXEXTRACT(CELL("address",Z206), "\$([A-Z]+)\$[0-9]+"))),_xlfn.REGEXEXTRACT(CELL("address",Z206), "\$([A-Z]+)\$[0-9]+"))</f>
        <v/>
      </c>
      <c r="AA206" s="7" t="str" cm="1">
        <f t="array" aca="1" ref="AA206" ca="1">IFERROR(IF(OR('Raw Data'!AA206="",LEN(TRIM('Raw Data'!AA206))=0),"",IF(AND(ISNUMBER('Raw Data'!AA206), IFERROR('Raw Data'!AA206 = ROUND('Raw Data'!AA206, 2),FALSE)),"",_xlfn.REGEXEXTRACT(CELL("address",AA206), "\$([A-Z]+)\$[0-9]+"))),_xlfn.REGEXEXTRACT(CELL("address",AA206), "\$([A-Z]+)\$[0-9]+"))</f>
        <v/>
      </c>
      <c r="AB206" s="7" t="str" cm="1">
        <f t="array" aca="1" ref="AB206" ca="1">IFERROR(IF(OR('Raw Data'!AB206="",LEN(TRIM('Raw Data'!AB206))=0),"",IF(AND(ISNUMBER('Raw Data'!AB206), IFERROR('Raw Data'!AB206 = ROUND('Raw Data'!AB206, 2),FALSE)),"",_xlfn.REGEXEXTRACT(CELL("address",AB206), "\$([A-Z]+)\$[0-9]+"))),_xlfn.REGEXEXTRACT(CELL("address",AB206), "\$([A-Z]+)\$[0-9]+"))</f>
        <v/>
      </c>
    </row>
    <row r="207" spans="2:28" x14ac:dyDescent="0.25">
      <c r="B207" s="7" t="str" cm="1">
        <f t="array" aca="1" ref="B207" ca="1">IFERROR(IF(OR('Raw Data'!B207="",LEN(TRIM('Raw Data'!B207))=0),"",IF(AND(LEN('Raw Data'!B207) &lt;= 255,LEN('Raw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Data'!C207))=0),"",IF(AND(LEN('Raw Data'!C207) &lt;= 20,LEN('Raw Data'!C207)&gt; 0),"",_xlfn.REGEXEXTRACT(CELL("address",'Raw Data'!C207),"\$([A-Z]+)\$[0-9]+"))),_xlfn.REGEXEXTRACT(CELL("address",'Raw Data'!C207),"\$([A-Z]+)\$[0-9]+"))</f>
        <v/>
      </c>
      <c r="D207" s="7" t="str" cm="1">
        <f t="array" aca="1" ref="D207" ca="1">IFERROR(IF(OR('Raw Data'!D207="",LEN(TRIM('Raw Data'!D207))=0),"",IF(AND(ISNUMBER('Raw Data'!D207),'Raw Data'!D207&gt;=Configuration!$D$2),"",_xlfn.REGEXEXTRACT(CELL("address",'Raw Data'!D207),"\$([A-Z]+)\$[0-9]+"))),_xlfn.REGEXEXTRACT(CELL("address",D207), "\$([A-Z]+)\$[0-9]+"))</f>
        <v/>
      </c>
      <c r="E207" s="7" t="str" cm="1">
        <f t="array" aca="1" ref="E207" ca="1">IFERROR(IF(OR('Raw Data'!E207="",LEN(TRIM('Raw Data'!E207))=0),"",IF(AND(ISNUMBER('Raw Data'!E207), IFERROR('Raw Data'!E207 = ROUND('Raw Data'!E207, 2),FALSE)),"",_xlfn.REGEXEXTRACT(CELL("address",E207), "\$([A-Z]+)\$[0-9]+"))),_xlfn.REGEXEXTRACT(CELL("address",E207), "\$([A-Z]+)\$[0-9]+"))</f>
        <v/>
      </c>
      <c r="F207" s="7" t="str" cm="1">
        <f t="array" aca="1" ref="F207" ca="1">IFERROR(IF(OR('Raw Data'!F207="",LEN(TRIM('Raw Data'!F207))=0),"",IF(AND(ISNUMBER('Raw Data'!F207), IFERROR('Raw Data'!F207 = ROUND('Raw Data'!F207, 2),FALSE)),"",_xlfn.REGEXEXTRACT(CELL("address",F207), "\$([A-Z]+)\$[0-9]+"))),_xlfn.REGEXEXTRACT(CELL("address",F207), "\$([A-Z]+)\$[0-9]+"))</f>
        <v/>
      </c>
      <c r="G207" s="7" t="str" cm="1">
        <f t="array" aca="1" ref="G207" ca="1">IFERROR(IF(OR('Raw Data'!G207="",LEN(TRIM('Raw Data'!G207))=0),"",IF(AND(ISNUMBER('Raw Data'!G207), IFERROR('Raw Data'!G207 = ROUND('Raw Data'!G207, 2),FALSE)),"",_xlfn.REGEXEXTRACT(CELL("address",G207), "\$([A-Z]+)\$[0-9]+"))),_xlfn.REGEXEXTRACT(CELL("address",G207), "\$([A-Z]+)\$[0-9]+"))</f>
        <v/>
      </c>
      <c r="H207" s="7" t="str" cm="1">
        <f t="array" aca="1" ref="H207" ca="1">IFERROR(IF(OR('Raw Data'!H207="",LEN(TRIM('Raw Data'!H207))=0),"",IF(AND(ISNUMBER('Raw Data'!H207), IFERROR('Raw Data'!H207 = ROUND('Raw Data'!H207, 2),FALSE)),"",_xlfn.REGEXEXTRACT(CELL("address",H207), "\$([A-Z]+)\$[0-9]+"))),_xlfn.REGEXEXTRACT(CELL("address",H207), "\$([A-Z]+)\$[0-9]+"))</f>
        <v/>
      </c>
      <c r="I207" s="7" t="str" cm="1">
        <f t="array" aca="1" ref="I207" ca="1">IFERROR(IF(OR('Raw Data'!I207="",LEN(TRIM('Raw Data'!I207))=0),"",IF(AND(ISNUMBER('Raw Data'!I207), IFERROR('Raw Data'!I207 = ROUND('Raw Data'!I207, 2),FALSE)),"",_xlfn.REGEXEXTRACT(CELL("address",I207), "\$([A-Z]+)\$[0-9]+"))),_xlfn.REGEXEXTRACT(CELL("address",I207), "\$([A-Z]+)\$[0-9]+"))</f>
        <v/>
      </c>
      <c r="J207" s="7" t="str" cm="1">
        <f t="array" aca="1" ref="J207" ca="1">IFERROR(IF(OR('Raw Data'!J207="",LEN(TRIM('Raw Data'!J207))=0),"",IF(AND(ISNUMBER('Raw Data'!J207), IFERROR('Raw Data'!J207 = ROUND('Raw Data'!J207, 2),FALSE)),"",_xlfn.REGEXEXTRACT(CELL("address",J207), "\$([A-Z]+)\$[0-9]+"))),_xlfn.REGEXEXTRACT(CELL("address",J207), "\$([A-Z]+)\$[0-9]+"))</f>
        <v/>
      </c>
      <c r="K207" s="7" t="str" cm="1">
        <f t="array" aca="1" ref="K207" ca="1">IFERROR(IF(OR('Raw Data'!K207="",LEN(TRIM('Raw Data'!K207))=0),"",IF(AND(ISNUMBER('Raw Data'!K207), IFERROR('Raw Data'!K207 = ROUND('Raw Data'!K207, 2),FALSE)),"",_xlfn.REGEXEXTRACT(CELL("address",K207), "\$([A-Z]+)\$[0-9]+"))),_xlfn.REGEXEXTRACT(CELL("address",K207), "\$([A-Z]+)\$[0-9]+"))</f>
        <v/>
      </c>
      <c r="L207" s="7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7" t="str" cm="1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7" t="str" cm="1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  <c r="O207" s="7" t="str" cm="1">
        <f t="array" aca="1" ref="O207" ca="1">IFERROR(IF(OR('Raw Data'!O207="",LEN(TRIM('Raw Data'!O207))=0),"",IF(AND(ISNUMBER('Raw Data'!O207), IFERROR('Raw Data'!O207 = ROUND('Raw Data'!O207, 2),FALSE)),"",_xlfn.REGEXEXTRACT(CELL("address",O207), "\$([A-Z]+)\$[0-9]+"))),_xlfn.REGEXEXTRACT(CELL("address",O207), "\$([A-Z]+)\$[0-9]+"))</f>
        <v/>
      </c>
      <c r="P207" s="7" t="str" cm="1">
        <f t="array" aca="1" ref="P207" ca="1">IFERROR(IF(OR('Raw Data'!P207="",LEN(TRIM('Raw Data'!P207))=0),"",IF(AND(ISNUMBER('Raw Data'!P207), IFERROR('Raw Data'!P207 = ROUND('Raw Data'!P207, 2),FALSE)),"",_xlfn.REGEXEXTRACT(CELL("address",P207), "\$([A-Z]+)\$[0-9]+"))),_xlfn.REGEXEXTRACT(CELL("address",P207), "\$([A-Z]+)\$[0-9]+"))</f>
        <v/>
      </c>
      <c r="Q207" s="7" t="str" cm="1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7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7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7" t="str" cm="1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7" t="str" cm="1">
        <f t="array" aca="1" ref="U207" ca="1">IFERROR(IF(OR('Raw Data'!U207="",LEN(TRIM('Raw Data'!U207))=0),"",IF(AND(ISNUMBER('Raw Data'!U207), IFERROR('Raw Data'!U207 = ROUND('Raw Data'!U207, 2),FALSE)),"",_xlfn.REGEXEXTRACT(CELL("address",U207), "\$([A-Z]+)\$[0-9]+"))),_xlfn.REGEXEXTRACT(CELL("address",U207), "\$([A-Z]+)\$[0-9]+"))</f>
        <v/>
      </c>
      <c r="V207" s="7" t="str" cm="1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7" t="str" cm="1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7" t="str" cm="1">
        <f t="array" aca="1" ref="X207" ca="1">IFERROR(IF(OR('Raw Data'!X207="",LEN(TRIM('Raw Data'!X207))=0),"",IF(AND(ISNUMBER('Raw Data'!X207), IFERROR('Raw Data'!X207 = ROUND('Raw Data'!X207, 2),FALSE)),"",_xlfn.REGEXEXTRACT(CELL("address",X207), "\$([A-Z]+)\$[0-9]+"))),_xlfn.REGEXEXTRACT(CELL("address",X207), "\$([A-Z]+)\$[0-9]+"))</f>
        <v/>
      </c>
      <c r="Y207" s="7" t="str" cm="1">
        <f t="array" aca="1" ref="Y207" ca="1">IFERROR(IF(OR('Raw Data'!Y207="",LEN(TRIM('Raw Data'!Y207))=0),"",IF(AND(ISNUMBER('Raw Data'!Y207), IFERROR('Raw Data'!Y207 = ROUND('Raw Data'!Y207, 2),FALSE)),"",_xlfn.REGEXEXTRACT(CELL("address",Y207), "\$([A-Z]+)\$[0-9]+"))),_xlfn.REGEXEXTRACT(CELL("address",Y207), "\$([A-Z]+)\$[0-9]+"))</f>
        <v/>
      </c>
      <c r="Z207" s="7" t="str" cm="1">
        <f t="array" aca="1" ref="Z207" ca="1">IFERROR(IF(OR('Raw Data'!Z207="",LEN(TRIM('Raw Data'!Z207))=0),"",IF(AND(ISNUMBER('Raw Data'!Z207), IFERROR('Raw Data'!Z207 = ROUND('Raw Data'!Z207, 2),FALSE)),"",_xlfn.REGEXEXTRACT(CELL("address",Z207), "\$([A-Z]+)\$[0-9]+"))),_xlfn.REGEXEXTRACT(CELL("address",Z207), "\$([A-Z]+)\$[0-9]+"))</f>
        <v/>
      </c>
      <c r="AA207" s="7" t="str" cm="1">
        <f t="array" aca="1" ref="AA207" ca="1">IFERROR(IF(OR('Raw Data'!AA207="",LEN(TRIM('Raw Data'!AA207))=0),"",IF(AND(ISNUMBER('Raw Data'!AA207), IFERROR('Raw Data'!AA207 = ROUND('Raw Data'!AA207, 2),FALSE)),"",_xlfn.REGEXEXTRACT(CELL("address",AA207), "\$([A-Z]+)\$[0-9]+"))),_xlfn.REGEXEXTRACT(CELL("address",AA207), "\$([A-Z]+)\$[0-9]+"))</f>
        <v/>
      </c>
      <c r="AB207" s="7" t="str" cm="1">
        <f t="array" aca="1" ref="AB207" ca="1">IFERROR(IF(OR('Raw Data'!AB207="",LEN(TRIM('Raw Data'!AB207))=0),"",IF(AND(ISNUMBER('Raw Data'!AB207), IFERROR('Raw Data'!AB207 = ROUND('Raw Data'!AB207, 2),FALSE)),"",_xlfn.REGEXEXTRACT(CELL("address",AB207), "\$([A-Z]+)\$[0-9]+"))),_xlfn.REGEXEXTRACT(CELL("address",AB207), "\$([A-Z]+)\$[0-9]+"))</f>
        <v/>
      </c>
    </row>
    <row r="208" spans="2:28" x14ac:dyDescent="0.25">
      <c r="B208" s="7" t="str" cm="1">
        <f t="array" aca="1" ref="B208" ca="1">IFERROR(IF(OR('Raw Data'!B208="",LEN(TRIM('Raw Data'!B208))=0),"",IF(AND(LEN('Raw Data'!B208) &lt;= 255,LEN('Raw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Data'!C208))=0),"",IF(AND(LEN('Raw Data'!C208) &lt;= 20,LEN('Raw Data'!C208)&gt; 0),"",_xlfn.REGEXEXTRACT(CELL("address",'Raw Data'!C208),"\$([A-Z]+)\$[0-9]+"))),_xlfn.REGEXEXTRACT(CELL("address",'Raw Data'!C208),"\$([A-Z]+)\$[0-9]+"))</f>
        <v/>
      </c>
      <c r="D208" s="7" t="str" cm="1">
        <f t="array" aca="1" ref="D208" ca="1">IFERROR(IF(OR('Raw Data'!D208="",LEN(TRIM('Raw Data'!D208))=0),"",IF(AND(ISNUMBER('Raw Data'!D208),'Raw Data'!D208&gt;=Configuration!$D$2),"",_xlfn.REGEXEXTRACT(CELL("address",'Raw Data'!D208),"\$([A-Z]+)\$[0-9]+"))),_xlfn.REGEXEXTRACT(CELL("address",D208), "\$([A-Z]+)\$[0-9]+"))</f>
        <v/>
      </c>
      <c r="E208" s="7" t="str" cm="1">
        <f t="array" aca="1" ref="E208" ca="1">IFERROR(IF(OR('Raw Data'!E208="",LEN(TRIM('Raw Data'!E208))=0),"",IF(AND(ISNUMBER('Raw Data'!E208), IFERROR('Raw Data'!E208 = ROUND('Raw Data'!E208, 2),FALSE)),"",_xlfn.REGEXEXTRACT(CELL("address",E208), "\$([A-Z]+)\$[0-9]+"))),_xlfn.REGEXEXTRACT(CELL("address",E208), "\$([A-Z]+)\$[0-9]+"))</f>
        <v/>
      </c>
      <c r="F208" s="7" t="str" cm="1">
        <f t="array" aca="1" ref="F208" ca="1">IFERROR(IF(OR('Raw Data'!F208="",LEN(TRIM('Raw Data'!F208))=0),"",IF(AND(ISNUMBER('Raw Data'!F208), IFERROR('Raw Data'!F208 = ROUND('Raw Data'!F208, 2),FALSE)),"",_xlfn.REGEXEXTRACT(CELL("address",F208), "\$([A-Z]+)\$[0-9]+"))),_xlfn.REGEXEXTRACT(CELL("address",F208), "\$([A-Z]+)\$[0-9]+"))</f>
        <v/>
      </c>
      <c r="G208" s="7" t="str" cm="1">
        <f t="array" aca="1" ref="G208" ca="1">IFERROR(IF(OR('Raw Data'!G208="",LEN(TRIM('Raw Data'!G208))=0),"",IF(AND(ISNUMBER('Raw Data'!G208), IFERROR('Raw Data'!G208 = ROUND('Raw Data'!G208, 2),FALSE)),"",_xlfn.REGEXEXTRACT(CELL("address",G208), "\$([A-Z]+)\$[0-9]+"))),_xlfn.REGEXEXTRACT(CELL("address",G208), "\$([A-Z]+)\$[0-9]+"))</f>
        <v/>
      </c>
      <c r="H208" s="7" t="str" cm="1">
        <f t="array" aca="1" ref="H208" ca="1">IFERROR(IF(OR('Raw Data'!H208="",LEN(TRIM('Raw Data'!H208))=0),"",IF(AND(ISNUMBER('Raw Data'!H208), IFERROR('Raw Data'!H208 = ROUND('Raw Data'!H208, 2),FALSE)),"",_xlfn.REGEXEXTRACT(CELL("address",H208), "\$([A-Z]+)\$[0-9]+"))),_xlfn.REGEXEXTRACT(CELL("address",H208), "\$([A-Z]+)\$[0-9]+"))</f>
        <v/>
      </c>
      <c r="I208" s="7" t="str" cm="1">
        <f t="array" aca="1" ref="I208" ca="1">IFERROR(IF(OR('Raw Data'!I208="",LEN(TRIM('Raw Data'!I208))=0),"",IF(AND(ISNUMBER('Raw Data'!I208), IFERROR('Raw Data'!I208 = ROUND('Raw Data'!I208, 2),FALSE)),"",_xlfn.REGEXEXTRACT(CELL("address",I208), "\$([A-Z]+)\$[0-9]+"))),_xlfn.REGEXEXTRACT(CELL("address",I208), "\$([A-Z]+)\$[0-9]+"))</f>
        <v/>
      </c>
      <c r="J208" s="7" t="str" cm="1">
        <f t="array" aca="1" ref="J208" ca="1">IFERROR(IF(OR('Raw Data'!J208="",LEN(TRIM('Raw Data'!J208))=0),"",IF(AND(ISNUMBER('Raw Data'!J208), IFERROR('Raw Data'!J208 = ROUND('Raw Data'!J208, 2),FALSE)),"",_xlfn.REGEXEXTRACT(CELL("address",J208), "\$([A-Z]+)\$[0-9]+"))),_xlfn.REGEXEXTRACT(CELL("address",J208), "\$([A-Z]+)\$[0-9]+"))</f>
        <v/>
      </c>
      <c r="K208" s="7" t="str" cm="1">
        <f t="array" aca="1" ref="K208" ca="1">IFERROR(IF(OR('Raw Data'!K208="",LEN(TRIM('Raw Data'!K208))=0),"",IF(AND(ISNUMBER('Raw Data'!K208), IFERROR('Raw Data'!K208 = ROUND('Raw Data'!K208, 2),FALSE)),"",_xlfn.REGEXEXTRACT(CELL("address",K208), "\$([A-Z]+)\$[0-9]+"))),_xlfn.REGEXEXTRACT(CELL("address",K208), "\$([A-Z]+)\$[0-9]+"))</f>
        <v/>
      </c>
      <c r="L208" s="7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7" t="str" cm="1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7" t="str" cm="1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  <c r="O208" s="7" t="str" cm="1">
        <f t="array" aca="1" ref="O208" ca="1">IFERROR(IF(OR('Raw Data'!O208="",LEN(TRIM('Raw Data'!O208))=0),"",IF(AND(ISNUMBER('Raw Data'!O208), IFERROR('Raw Data'!O208 = ROUND('Raw Data'!O208, 2),FALSE)),"",_xlfn.REGEXEXTRACT(CELL("address",O208), "\$([A-Z]+)\$[0-9]+"))),_xlfn.REGEXEXTRACT(CELL("address",O208), "\$([A-Z]+)\$[0-9]+"))</f>
        <v/>
      </c>
      <c r="P208" s="7" t="str" cm="1">
        <f t="array" aca="1" ref="P208" ca="1">IFERROR(IF(OR('Raw Data'!P208="",LEN(TRIM('Raw Data'!P208))=0),"",IF(AND(ISNUMBER('Raw Data'!P208), IFERROR('Raw Data'!P208 = ROUND('Raw Data'!P208, 2),FALSE)),"",_xlfn.REGEXEXTRACT(CELL("address",P208), "\$([A-Z]+)\$[0-9]+"))),_xlfn.REGEXEXTRACT(CELL("address",P208), "\$([A-Z]+)\$[0-9]+"))</f>
        <v/>
      </c>
      <c r="Q208" s="7" t="str" cm="1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7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7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7" t="str" cm="1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7" t="str" cm="1">
        <f t="array" aca="1" ref="U208" ca="1">IFERROR(IF(OR('Raw Data'!U208="",LEN(TRIM('Raw Data'!U208))=0),"",IF(AND(ISNUMBER('Raw Data'!U208), IFERROR('Raw Data'!U208 = ROUND('Raw Data'!U208, 2),FALSE)),"",_xlfn.REGEXEXTRACT(CELL("address",U208), "\$([A-Z]+)\$[0-9]+"))),_xlfn.REGEXEXTRACT(CELL("address",U208), "\$([A-Z]+)\$[0-9]+"))</f>
        <v/>
      </c>
      <c r="V208" s="7" t="str" cm="1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7" t="str" cm="1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7" t="str" cm="1">
        <f t="array" aca="1" ref="X208" ca="1">IFERROR(IF(OR('Raw Data'!X208="",LEN(TRIM('Raw Data'!X208))=0),"",IF(AND(ISNUMBER('Raw Data'!X208), IFERROR('Raw Data'!X208 = ROUND('Raw Data'!X208, 2),FALSE)),"",_xlfn.REGEXEXTRACT(CELL("address",X208), "\$([A-Z]+)\$[0-9]+"))),_xlfn.REGEXEXTRACT(CELL("address",X208), "\$([A-Z]+)\$[0-9]+"))</f>
        <v/>
      </c>
      <c r="Y208" s="7" t="str" cm="1">
        <f t="array" aca="1" ref="Y208" ca="1">IFERROR(IF(OR('Raw Data'!Y208="",LEN(TRIM('Raw Data'!Y208))=0),"",IF(AND(ISNUMBER('Raw Data'!Y208), IFERROR('Raw Data'!Y208 = ROUND('Raw Data'!Y208, 2),FALSE)),"",_xlfn.REGEXEXTRACT(CELL("address",Y208), "\$([A-Z]+)\$[0-9]+"))),_xlfn.REGEXEXTRACT(CELL("address",Y208), "\$([A-Z]+)\$[0-9]+"))</f>
        <v/>
      </c>
      <c r="Z208" s="7" t="str" cm="1">
        <f t="array" aca="1" ref="Z208" ca="1">IFERROR(IF(OR('Raw Data'!Z208="",LEN(TRIM('Raw Data'!Z208))=0),"",IF(AND(ISNUMBER('Raw Data'!Z208), IFERROR('Raw Data'!Z208 = ROUND('Raw Data'!Z208, 2),FALSE)),"",_xlfn.REGEXEXTRACT(CELL("address",Z208), "\$([A-Z]+)\$[0-9]+"))),_xlfn.REGEXEXTRACT(CELL("address",Z208), "\$([A-Z]+)\$[0-9]+"))</f>
        <v/>
      </c>
      <c r="AA208" s="7" t="str" cm="1">
        <f t="array" aca="1" ref="AA208" ca="1">IFERROR(IF(OR('Raw Data'!AA208="",LEN(TRIM('Raw Data'!AA208))=0),"",IF(AND(ISNUMBER('Raw Data'!AA208), IFERROR('Raw Data'!AA208 = ROUND('Raw Data'!AA208, 2),FALSE)),"",_xlfn.REGEXEXTRACT(CELL("address",AA208), "\$([A-Z]+)\$[0-9]+"))),_xlfn.REGEXEXTRACT(CELL("address",AA208), "\$([A-Z]+)\$[0-9]+"))</f>
        <v/>
      </c>
      <c r="AB208" s="7" t="str" cm="1">
        <f t="array" aca="1" ref="AB208" ca="1">IFERROR(IF(OR('Raw Data'!AB208="",LEN(TRIM('Raw Data'!AB208))=0),"",IF(AND(ISNUMBER('Raw Data'!AB208), IFERROR('Raw Data'!AB208 = ROUND('Raw Data'!AB208, 2),FALSE)),"",_xlfn.REGEXEXTRACT(CELL("address",AB208), "\$([A-Z]+)\$[0-9]+"))),_xlfn.REGEXEXTRACT(CELL("address",AB208), "\$([A-Z]+)\$[0-9]+"))</f>
        <v/>
      </c>
    </row>
    <row r="209" spans="2:28" x14ac:dyDescent="0.25">
      <c r="B209" s="7" t="str" cm="1">
        <f t="array" aca="1" ref="B209" ca="1">IFERROR(IF(OR('Raw Data'!B209="",LEN(TRIM('Raw Data'!B209))=0),"",IF(AND(LEN('Raw Data'!B209) &lt;= 255,LEN('Raw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Data'!C209))=0),"",IF(AND(LEN('Raw Data'!C209) &lt;= 20,LEN('Raw Data'!C209)&gt; 0),"",_xlfn.REGEXEXTRACT(CELL("address",'Raw Data'!C209),"\$([A-Z]+)\$[0-9]+"))),_xlfn.REGEXEXTRACT(CELL("address",'Raw Data'!C209),"\$([A-Z]+)\$[0-9]+"))</f>
        <v/>
      </c>
      <c r="D209" s="7" t="str" cm="1">
        <f t="array" aca="1" ref="D209" ca="1">IFERROR(IF(OR('Raw Data'!D209="",LEN(TRIM('Raw Data'!D209))=0),"",IF(AND(ISNUMBER('Raw Data'!D209),'Raw Data'!D209&gt;=Configuration!$D$2),"",_xlfn.REGEXEXTRACT(CELL("address",'Raw Data'!D209),"\$([A-Z]+)\$[0-9]+"))),_xlfn.REGEXEXTRACT(CELL("address",D209), "\$([A-Z]+)\$[0-9]+"))</f>
        <v/>
      </c>
      <c r="E209" s="7" t="str" cm="1">
        <f t="array" aca="1" ref="E209" ca="1">IFERROR(IF(OR('Raw Data'!E209="",LEN(TRIM('Raw Data'!E209))=0),"",IF(AND(ISNUMBER('Raw Data'!E209), IFERROR('Raw Data'!E209 = ROUND('Raw Data'!E209, 2),FALSE)),"",_xlfn.REGEXEXTRACT(CELL("address",E209), "\$([A-Z]+)\$[0-9]+"))),_xlfn.REGEXEXTRACT(CELL("address",E209), "\$([A-Z]+)\$[0-9]+"))</f>
        <v/>
      </c>
      <c r="F209" s="7" t="str" cm="1">
        <f t="array" aca="1" ref="F209" ca="1">IFERROR(IF(OR('Raw Data'!F209="",LEN(TRIM('Raw Data'!F209))=0),"",IF(AND(ISNUMBER('Raw Data'!F209), IFERROR('Raw Data'!F209 = ROUND('Raw Data'!F209, 2),FALSE)),"",_xlfn.REGEXEXTRACT(CELL("address",F209), "\$([A-Z]+)\$[0-9]+"))),_xlfn.REGEXEXTRACT(CELL("address",F209), "\$([A-Z]+)\$[0-9]+"))</f>
        <v/>
      </c>
      <c r="G209" s="7" t="str" cm="1">
        <f t="array" aca="1" ref="G209" ca="1">IFERROR(IF(OR('Raw Data'!G209="",LEN(TRIM('Raw Data'!G209))=0),"",IF(AND(ISNUMBER('Raw Data'!G209), IFERROR('Raw Data'!G209 = ROUND('Raw Data'!G209, 2),FALSE)),"",_xlfn.REGEXEXTRACT(CELL("address",G209), "\$([A-Z]+)\$[0-9]+"))),_xlfn.REGEXEXTRACT(CELL("address",G209), "\$([A-Z]+)\$[0-9]+"))</f>
        <v/>
      </c>
      <c r="H209" s="7" t="str" cm="1">
        <f t="array" aca="1" ref="H209" ca="1">IFERROR(IF(OR('Raw Data'!H209="",LEN(TRIM('Raw Data'!H209))=0),"",IF(AND(ISNUMBER('Raw Data'!H209), IFERROR('Raw Data'!H209 = ROUND('Raw Data'!H209, 2),FALSE)),"",_xlfn.REGEXEXTRACT(CELL("address",H209), "\$([A-Z]+)\$[0-9]+"))),_xlfn.REGEXEXTRACT(CELL("address",H209), "\$([A-Z]+)\$[0-9]+"))</f>
        <v/>
      </c>
      <c r="I209" s="7" t="str" cm="1">
        <f t="array" aca="1" ref="I209" ca="1">IFERROR(IF(OR('Raw Data'!I209="",LEN(TRIM('Raw Data'!I209))=0),"",IF(AND(ISNUMBER('Raw Data'!I209), IFERROR('Raw Data'!I209 = ROUND('Raw Data'!I209, 2),FALSE)),"",_xlfn.REGEXEXTRACT(CELL("address",I209), "\$([A-Z]+)\$[0-9]+"))),_xlfn.REGEXEXTRACT(CELL("address",I209), "\$([A-Z]+)\$[0-9]+"))</f>
        <v/>
      </c>
      <c r="J209" s="7" t="str" cm="1">
        <f t="array" aca="1" ref="J209" ca="1">IFERROR(IF(OR('Raw Data'!J209="",LEN(TRIM('Raw Data'!J209))=0),"",IF(AND(ISNUMBER('Raw Data'!J209), IFERROR('Raw Data'!J209 = ROUND('Raw Data'!J209, 2),FALSE)),"",_xlfn.REGEXEXTRACT(CELL("address",J209), "\$([A-Z]+)\$[0-9]+"))),_xlfn.REGEXEXTRACT(CELL("address",J209), "\$([A-Z]+)\$[0-9]+"))</f>
        <v/>
      </c>
      <c r="K209" s="7" t="str" cm="1">
        <f t="array" aca="1" ref="K209" ca="1">IFERROR(IF(OR('Raw Data'!K209="",LEN(TRIM('Raw Data'!K209))=0),"",IF(AND(ISNUMBER('Raw Data'!K209), IFERROR('Raw Data'!K209 = ROUND('Raw Data'!K209, 2),FALSE)),"",_xlfn.REGEXEXTRACT(CELL("address",K209), "\$([A-Z]+)\$[0-9]+"))),_xlfn.REGEXEXTRACT(CELL("address",K209), "\$([A-Z]+)\$[0-9]+"))</f>
        <v/>
      </c>
      <c r="L209" s="7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7" t="str" cm="1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7" t="str" cm="1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  <c r="O209" s="7" t="str" cm="1">
        <f t="array" aca="1" ref="O209" ca="1">IFERROR(IF(OR('Raw Data'!O209="",LEN(TRIM('Raw Data'!O209))=0),"",IF(AND(ISNUMBER('Raw Data'!O209), IFERROR('Raw Data'!O209 = ROUND('Raw Data'!O209, 2),FALSE)),"",_xlfn.REGEXEXTRACT(CELL("address",O209), "\$([A-Z]+)\$[0-9]+"))),_xlfn.REGEXEXTRACT(CELL("address",O209), "\$([A-Z]+)\$[0-9]+"))</f>
        <v/>
      </c>
      <c r="P209" s="7" t="str" cm="1">
        <f t="array" aca="1" ref="P209" ca="1">IFERROR(IF(OR('Raw Data'!P209="",LEN(TRIM('Raw Data'!P209))=0),"",IF(AND(ISNUMBER('Raw Data'!P209), IFERROR('Raw Data'!P209 = ROUND('Raw Data'!P209, 2),FALSE)),"",_xlfn.REGEXEXTRACT(CELL("address",P209), "\$([A-Z]+)\$[0-9]+"))),_xlfn.REGEXEXTRACT(CELL("address",P209), "\$([A-Z]+)\$[0-9]+"))</f>
        <v/>
      </c>
      <c r="Q209" s="7" t="str" cm="1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7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7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7" t="str" cm="1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7" t="str" cm="1">
        <f t="array" aca="1" ref="U209" ca="1">IFERROR(IF(OR('Raw Data'!U209="",LEN(TRIM('Raw Data'!U209))=0),"",IF(AND(ISNUMBER('Raw Data'!U209), IFERROR('Raw Data'!U209 = ROUND('Raw Data'!U209, 2),FALSE)),"",_xlfn.REGEXEXTRACT(CELL("address",U209), "\$([A-Z]+)\$[0-9]+"))),_xlfn.REGEXEXTRACT(CELL("address",U209), "\$([A-Z]+)\$[0-9]+"))</f>
        <v/>
      </c>
      <c r="V209" s="7" t="str" cm="1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7" t="str" cm="1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7" t="str" cm="1">
        <f t="array" aca="1" ref="X209" ca="1">IFERROR(IF(OR('Raw Data'!X209="",LEN(TRIM('Raw Data'!X209))=0),"",IF(AND(ISNUMBER('Raw Data'!X209), IFERROR('Raw Data'!X209 = ROUND('Raw Data'!X209, 2),FALSE)),"",_xlfn.REGEXEXTRACT(CELL("address",X209), "\$([A-Z]+)\$[0-9]+"))),_xlfn.REGEXEXTRACT(CELL("address",X209), "\$([A-Z]+)\$[0-9]+"))</f>
        <v/>
      </c>
      <c r="Y209" s="7" t="str" cm="1">
        <f t="array" aca="1" ref="Y209" ca="1">IFERROR(IF(OR('Raw Data'!Y209="",LEN(TRIM('Raw Data'!Y209))=0),"",IF(AND(ISNUMBER('Raw Data'!Y209), IFERROR('Raw Data'!Y209 = ROUND('Raw Data'!Y209, 2),FALSE)),"",_xlfn.REGEXEXTRACT(CELL("address",Y209), "\$([A-Z]+)\$[0-9]+"))),_xlfn.REGEXEXTRACT(CELL("address",Y209), "\$([A-Z]+)\$[0-9]+"))</f>
        <v/>
      </c>
      <c r="Z209" s="7" t="str" cm="1">
        <f t="array" aca="1" ref="Z209" ca="1">IFERROR(IF(OR('Raw Data'!Z209="",LEN(TRIM('Raw Data'!Z209))=0),"",IF(AND(ISNUMBER('Raw Data'!Z209), IFERROR('Raw Data'!Z209 = ROUND('Raw Data'!Z209, 2),FALSE)),"",_xlfn.REGEXEXTRACT(CELL("address",Z209), "\$([A-Z]+)\$[0-9]+"))),_xlfn.REGEXEXTRACT(CELL("address",Z209), "\$([A-Z]+)\$[0-9]+"))</f>
        <v/>
      </c>
      <c r="AA209" s="7" t="str" cm="1">
        <f t="array" aca="1" ref="AA209" ca="1">IFERROR(IF(OR('Raw Data'!AA209="",LEN(TRIM('Raw Data'!AA209))=0),"",IF(AND(ISNUMBER('Raw Data'!AA209), IFERROR('Raw Data'!AA209 = ROUND('Raw Data'!AA209, 2),FALSE)),"",_xlfn.REGEXEXTRACT(CELL("address",AA209), "\$([A-Z]+)\$[0-9]+"))),_xlfn.REGEXEXTRACT(CELL("address",AA209), "\$([A-Z]+)\$[0-9]+"))</f>
        <v/>
      </c>
      <c r="AB209" s="7" t="str" cm="1">
        <f t="array" aca="1" ref="AB209" ca="1">IFERROR(IF(OR('Raw Data'!AB209="",LEN(TRIM('Raw Data'!AB209))=0),"",IF(AND(ISNUMBER('Raw Data'!AB209), IFERROR('Raw Data'!AB209 = ROUND('Raw Data'!AB209, 2),FALSE)),"",_xlfn.REGEXEXTRACT(CELL("address",AB209), "\$([A-Z]+)\$[0-9]+"))),_xlfn.REGEXEXTRACT(CELL("address",AB209), "\$([A-Z]+)\$[0-9]+"))</f>
        <v/>
      </c>
    </row>
    <row r="210" spans="2:28" x14ac:dyDescent="0.25">
      <c r="B210" s="7" t="str" cm="1">
        <f t="array" aca="1" ref="B210" ca="1">IFERROR(IF(OR('Raw Data'!B210="",LEN(TRIM('Raw Data'!B210))=0),"",IF(AND(LEN('Raw Data'!B210) &lt;= 255,LEN('Raw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Data'!C210))=0),"",IF(AND(LEN('Raw Data'!C210) &lt;= 20,LEN('Raw Data'!C210)&gt; 0),"",_xlfn.REGEXEXTRACT(CELL("address",'Raw Data'!C210),"\$([A-Z]+)\$[0-9]+"))),_xlfn.REGEXEXTRACT(CELL("address",'Raw Data'!C210),"\$([A-Z]+)\$[0-9]+"))</f>
        <v/>
      </c>
      <c r="D210" s="7" t="str" cm="1">
        <f t="array" aca="1" ref="D210" ca="1">IFERROR(IF(OR('Raw Data'!D210="",LEN(TRIM('Raw Data'!D210))=0),"",IF(AND(ISNUMBER('Raw Data'!D210),'Raw Data'!D210&gt;=Configuration!$D$2),"",_xlfn.REGEXEXTRACT(CELL("address",'Raw Data'!D210),"\$([A-Z]+)\$[0-9]+"))),_xlfn.REGEXEXTRACT(CELL("address",D210), "\$([A-Z]+)\$[0-9]+"))</f>
        <v/>
      </c>
      <c r="E210" s="7" t="str" cm="1">
        <f t="array" aca="1" ref="E210" ca="1">IFERROR(IF(OR('Raw Data'!E210="",LEN(TRIM('Raw Data'!E210))=0),"",IF(AND(ISNUMBER('Raw Data'!E210), IFERROR('Raw Data'!E210 = ROUND('Raw Data'!E210, 2),FALSE)),"",_xlfn.REGEXEXTRACT(CELL("address",E210), "\$([A-Z]+)\$[0-9]+"))),_xlfn.REGEXEXTRACT(CELL("address",E210), "\$([A-Z]+)\$[0-9]+"))</f>
        <v/>
      </c>
      <c r="F210" s="7" t="str" cm="1">
        <f t="array" aca="1" ref="F210" ca="1">IFERROR(IF(OR('Raw Data'!F210="",LEN(TRIM('Raw Data'!F210))=0),"",IF(AND(ISNUMBER('Raw Data'!F210), IFERROR('Raw Data'!F210 = ROUND('Raw Data'!F210, 2),FALSE)),"",_xlfn.REGEXEXTRACT(CELL("address",F210), "\$([A-Z]+)\$[0-9]+"))),_xlfn.REGEXEXTRACT(CELL("address",F210), "\$([A-Z]+)\$[0-9]+"))</f>
        <v/>
      </c>
      <c r="G210" s="7" t="str" cm="1">
        <f t="array" aca="1" ref="G210" ca="1">IFERROR(IF(OR('Raw Data'!G210="",LEN(TRIM('Raw Data'!G210))=0),"",IF(AND(ISNUMBER('Raw Data'!G210), IFERROR('Raw Data'!G210 = ROUND('Raw Data'!G210, 2),FALSE)),"",_xlfn.REGEXEXTRACT(CELL("address",G210), "\$([A-Z]+)\$[0-9]+"))),_xlfn.REGEXEXTRACT(CELL("address",G210), "\$([A-Z]+)\$[0-9]+"))</f>
        <v/>
      </c>
      <c r="H210" s="7" t="str" cm="1">
        <f t="array" aca="1" ref="H210" ca="1">IFERROR(IF(OR('Raw Data'!H210="",LEN(TRIM('Raw Data'!H210))=0),"",IF(AND(ISNUMBER('Raw Data'!H210), IFERROR('Raw Data'!H210 = ROUND('Raw Data'!H210, 2),FALSE)),"",_xlfn.REGEXEXTRACT(CELL("address",H210), "\$([A-Z]+)\$[0-9]+"))),_xlfn.REGEXEXTRACT(CELL("address",H210), "\$([A-Z]+)\$[0-9]+"))</f>
        <v/>
      </c>
      <c r="I210" s="7" t="str" cm="1">
        <f t="array" aca="1" ref="I210" ca="1">IFERROR(IF(OR('Raw Data'!I210="",LEN(TRIM('Raw Data'!I210))=0),"",IF(AND(ISNUMBER('Raw Data'!I210), IFERROR('Raw Data'!I210 = ROUND('Raw Data'!I210, 2),FALSE)),"",_xlfn.REGEXEXTRACT(CELL("address",I210), "\$([A-Z]+)\$[0-9]+"))),_xlfn.REGEXEXTRACT(CELL("address",I210), "\$([A-Z]+)\$[0-9]+"))</f>
        <v/>
      </c>
      <c r="J210" s="7" t="str" cm="1">
        <f t="array" aca="1" ref="J210" ca="1">IFERROR(IF(OR('Raw Data'!J210="",LEN(TRIM('Raw Data'!J210))=0),"",IF(AND(ISNUMBER('Raw Data'!J210), IFERROR('Raw Data'!J210 = ROUND('Raw Data'!J210, 2),FALSE)),"",_xlfn.REGEXEXTRACT(CELL("address",J210), "\$([A-Z]+)\$[0-9]+"))),_xlfn.REGEXEXTRACT(CELL("address",J210), "\$([A-Z]+)\$[0-9]+"))</f>
        <v/>
      </c>
      <c r="K210" s="7" t="str" cm="1">
        <f t="array" aca="1" ref="K210" ca="1">IFERROR(IF(OR('Raw Data'!K210="",LEN(TRIM('Raw Data'!K210))=0),"",IF(AND(ISNUMBER('Raw Data'!K210), IFERROR('Raw Data'!K210 = ROUND('Raw Data'!K210, 2),FALSE)),"",_xlfn.REGEXEXTRACT(CELL("address",K210), "\$([A-Z]+)\$[0-9]+"))),_xlfn.REGEXEXTRACT(CELL("address",K210), "\$([A-Z]+)\$[0-9]+"))</f>
        <v/>
      </c>
      <c r="L210" s="7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7" t="str" cm="1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7" t="str" cm="1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  <c r="O210" s="7" t="str" cm="1">
        <f t="array" aca="1" ref="O210" ca="1">IFERROR(IF(OR('Raw Data'!O210="",LEN(TRIM('Raw Data'!O210))=0),"",IF(AND(ISNUMBER('Raw Data'!O210), IFERROR('Raw Data'!O210 = ROUND('Raw Data'!O210, 2),FALSE)),"",_xlfn.REGEXEXTRACT(CELL("address",O210), "\$([A-Z]+)\$[0-9]+"))),_xlfn.REGEXEXTRACT(CELL("address",O210), "\$([A-Z]+)\$[0-9]+"))</f>
        <v/>
      </c>
      <c r="P210" s="7" t="str" cm="1">
        <f t="array" aca="1" ref="P210" ca="1">IFERROR(IF(OR('Raw Data'!P210="",LEN(TRIM('Raw Data'!P210))=0),"",IF(AND(ISNUMBER('Raw Data'!P210), IFERROR('Raw Data'!P210 = ROUND('Raw Data'!P210, 2),FALSE)),"",_xlfn.REGEXEXTRACT(CELL("address",P210), "\$([A-Z]+)\$[0-9]+"))),_xlfn.REGEXEXTRACT(CELL("address",P210), "\$([A-Z]+)\$[0-9]+"))</f>
        <v/>
      </c>
      <c r="Q210" s="7" t="str" cm="1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7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7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7" t="str" cm="1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7" t="str" cm="1">
        <f t="array" aca="1" ref="U210" ca="1">IFERROR(IF(OR('Raw Data'!U210="",LEN(TRIM('Raw Data'!U210))=0),"",IF(AND(ISNUMBER('Raw Data'!U210), IFERROR('Raw Data'!U210 = ROUND('Raw Data'!U210, 2),FALSE)),"",_xlfn.REGEXEXTRACT(CELL("address",U210), "\$([A-Z]+)\$[0-9]+"))),_xlfn.REGEXEXTRACT(CELL("address",U210), "\$([A-Z]+)\$[0-9]+"))</f>
        <v/>
      </c>
      <c r="V210" s="7" t="str" cm="1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7" t="str" cm="1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7" t="str" cm="1">
        <f t="array" aca="1" ref="X210" ca="1">IFERROR(IF(OR('Raw Data'!X210="",LEN(TRIM('Raw Data'!X210))=0),"",IF(AND(ISNUMBER('Raw Data'!X210), IFERROR('Raw Data'!X210 = ROUND('Raw Data'!X210, 2),FALSE)),"",_xlfn.REGEXEXTRACT(CELL("address",X210), "\$([A-Z]+)\$[0-9]+"))),_xlfn.REGEXEXTRACT(CELL("address",X210), "\$([A-Z]+)\$[0-9]+"))</f>
        <v/>
      </c>
      <c r="Y210" s="7" t="str" cm="1">
        <f t="array" aca="1" ref="Y210" ca="1">IFERROR(IF(OR('Raw Data'!Y210="",LEN(TRIM('Raw Data'!Y210))=0),"",IF(AND(ISNUMBER('Raw Data'!Y210), IFERROR('Raw Data'!Y210 = ROUND('Raw Data'!Y210, 2),FALSE)),"",_xlfn.REGEXEXTRACT(CELL("address",Y210), "\$([A-Z]+)\$[0-9]+"))),_xlfn.REGEXEXTRACT(CELL("address",Y210), "\$([A-Z]+)\$[0-9]+"))</f>
        <v/>
      </c>
      <c r="Z210" s="7" t="str" cm="1">
        <f t="array" aca="1" ref="Z210" ca="1">IFERROR(IF(OR('Raw Data'!Z210="",LEN(TRIM('Raw Data'!Z210))=0),"",IF(AND(ISNUMBER('Raw Data'!Z210), IFERROR('Raw Data'!Z210 = ROUND('Raw Data'!Z210, 2),FALSE)),"",_xlfn.REGEXEXTRACT(CELL("address",Z210), "\$([A-Z]+)\$[0-9]+"))),_xlfn.REGEXEXTRACT(CELL("address",Z210), "\$([A-Z]+)\$[0-9]+"))</f>
        <v/>
      </c>
      <c r="AA210" s="7" t="str" cm="1">
        <f t="array" aca="1" ref="AA210" ca="1">IFERROR(IF(OR('Raw Data'!AA210="",LEN(TRIM('Raw Data'!AA210))=0),"",IF(AND(ISNUMBER('Raw Data'!AA210), IFERROR('Raw Data'!AA210 = ROUND('Raw Data'!AA210, 2),FALSE)),"",_xlfn.REGEXEXTRACT(CELL("address",AA210), "\$([A-Z]+)\$[0-9]+"))),_xlfn.REGEXEXTRACT(CELL("address",AA210), "\$([A-Z]+)\$[0-9]+"))</f>
        <v/>
      </c>
      <c r="AB210" s="7" t="str" cm="1">
        <f t="array" aca="1" ref="AB210" ca="1">IFERROR(IF(OR('Raw Data'!AB210="",LEN(TRIM('Raw Data'!AB210))=0),"",IF(AND(ISNUMBER('Raw Data'!AB210), IFERROR('Raw Data'!AB210 = ROUND('Raw Data'!AB210, 2),FALSE)),"",_xlfn.REGEXEXTRACT(CELL("address",AB210), "\$([A-Z]+)\$[0-9]+"))),_xlfn.REGEXEXTRACT(CELL("address",AB210), "\$([A-Z]+)\$[0-9]+"))</f>
        <v/>
      </c>
    </row>
    <row r="211" spans="2:28" x14ac:dyDescent="0.25">
      <c r="B211" s="7" t="str" cm="1">
        <f t="array" aca="1" ref="B211" ca="1">IFERROR(IF(OR('Raw Data'!B211="",LEN(TRIM('Raw Data'!B211))=0),"",IF(AND(LEN('Raw Data'!B211) &lt;= 255,LEN('Raw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Data'!C211))=0),"",IF(AND(LEN('Raw Data'!C211) &lt;= 20,LEN('Raw Data'!C211)&gt; 0),"",_xlfn.REGEXEXTRACT(CELL("address",'Raw Data'!C211),"\$([A-Z]+)\$[0-9]+"))),_xlfn.REGEXEXTRACT(CELL("address",'Raw Data'!C211),"\$([A-Z]+)\$[0-9]+"))</f>
        <v/>
      </c>
      <c r="D211" s="7" t="str" cm="1">
        <f t="array" aca="1" ref="D211" ca="1">IFERROR(IF(OR('Raw Data'!D211="",LEN(TRIM('Raw Data'!D211))=0),"",IF(AND(ISNUMBER('Raw Data'!D211),'Raw Data'!D211&gt;=Configuration!$D$2),"",_xlfn.REGEXEXTRACT(CELL("address",'Raw Data'!D211),"\$([A-Z]+)\$[0-9]+"))),_xlfn.REGEXEXTRACT(CELL("address",D211), "\$([A-Z]+)\$[0-9]+"))</f>
        <v/>
      </c>
      <c r="E211" s="7" t="str" cm="1">
        <f t="array" aca="1" ref="E211" ca="1">IFERROR(IF(OR('Raw Data'!E211="",LEN(TRIM('Raw Data'!E211))=0),"",IF(AND(ISNUMBER('Raw Data'!E211), IFERROR('Raw Data'!E211 = ROUND('Raw Data'!E211, 2),FALSE)),"",_xlfn.REGEXEXTRACT(CELL("address",E211), "\$([A-Z]+)\$[0-9]+"))),_xlfn.REGEXEXTRACT(CELL("address",E211), "\$([A-Z]+)\$[0-9]+"))</f>
        <v/>
      </c>
      <c r="F211" s="7" t="str" cm="1">
        <f t="array" aca="1" ref="F211" ca="1">IFERROR(IF(OR('Raw Data'!F211="",LEN(TRIM('Raw Data'!F211))=0),"",IF(AND(ISNUMBER('Raw Data'!F211), IFERROR('Raw Data'!F211 = ROUND('Raw Data'!F211, 2),FALSE)),"",_xlfn.REGEXEXTRACT(CELL("address",F211), "\$([A-Z]+)\$[0-9]+"))),_xlfn.REGEXEXTRACT(CELL("address",F211), "\$([A-Z]+)\$[0-9]+"))</f>
        <v/>
      </c>
      <c r="G211" s="7" t="str" cm="1">
        <f t="array" aca="1" ref="G211" ca="1">IFERROR(IF(OR('Raw Data'!G211="",LEN(TRIM('Raw Data'!G211))=0),"",IF(AND(ISNUMBER('Raw Data'!G211), IFERROR('Raw Data'!G211 = ROUND('Raw Data'!G211, 2),FALSE)),"",_xlfn.REGEXEXTRACT(CELL("address",G211), "\$([A-Z]+)\$[0-9]+"))),_xlfn.REGEXEXTRACT(CELL("address",G211), "\$([A-Z]+)\$[0-9]+"))</f>
        <v/>
      </c>
      <c r="H211" s="7" t="str" cm="1">
        <f t="array" aca="1" ref="H211" ca="1">IFERROR(IF(OR('Raw Data'!H211="",LEN(TRIM('Raw Data'!H211))=0),"",IF(AND(ISNUMBER('Raw Data'!H211), IFERROR('Raw Data'!H211 = ROUND('Raw Data'!H211, 2),FALSE)),"",_xlfn.REGEXEXTRACT(CELL("address",H211), "\$([A-Z]+)\$[0-9]+"))),_xlfn.REGEXEXTRACT(CELL("address",H211), "\$([A-Z]+)\$[0-9]+"))</f>
        <v/>
      </c>
      <c r="I211" s="7" t="str" cm="1">
        <f t="array" aca="1" ref="I211" ca="1">IFERROR(IF(OR('Raw Data'!I211="",LEN(TRIM('Raw Data'!I211))=0),"",IF(AND(ISNUMBER('Raw Data'!I211), IFERROR('Raw Data'!I211 = ROUND('Raw Data'!I211, 2),FALSE)),"",_xlfn.REGEXEXTRACT(CELL("address",I211), "\$([A-Z]+)\$[0-9]+"))),_xlfn.REGEXEXTRACT(CELL("address",I211), "\$([A-Z]+)\$[0-9]+"))</f>
        <v/>
      </c>
      <c r="J211" s="7" t="str" cm="1">
        <f t="array" aca="1" ref="J211" ca="1">IFERROR(IF(OR('Raw Data'!J211="",LEN(TRIM('Raw Data'!J211))=0),"",IF(AND(ISNUMBER('Raw Data'!J211), IFERROR('Raw Data'!J211 = ROUND('Raw Data'!J211, 2),FALSE)),"",_xlfn.REGEXEXTRACT(CELL("address",J211), "\$([A-Z]+)\$[0-9]+"))),_xlfn.REGEXEXTRACT(CELL("address",J211), "\$([A-Z]+)\$[0-9]+"))</f>
        <v/>
      </c>
      <c r="K211" s="7" t="str" cm="1">
        <f t="array" aca="1" ref="K211" ca="1">IFERROR(IF(OR('Raw Data'!K211="",LEN(TRIM('Raw Data'!K211))=0),"",IF(AND(ISNUMBER('Raw Data'!K211), IFERROR('Raw Data'!K211 = ROUND('Raw Data'!K211, 2),FALSE)),"",_xlfn.REGEXEXTRACT(CELL("address",K211), "\$([A-Z]+)\$[0-9]+"))),_xlfn.REGEXEXTRACT(CELL("address",K211), "\$([A-Z]+)\$[0-9]+"))</f>
        <v/>
      </c>
      <c r="L211" s="7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7" t="str" cm="1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7" t="str" cm="1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  <c r="O211" s="7" t="str" cm="1">
        <f t="array" aca="1" ref="O211" ca="1">IFERROR(IF(OR('Raw Data'!O211="",LEN(TRIM('Raw Data'!O211))=0),"",IF(AND(ISNUMBER('Raw Data'!O211), IFERROR('Raw Data'!O211 = ROUND('Raw Data'!O211, 2),FALSE)),"",_xlfn.REGEXEXTRACT(CELL("address",O211), "\$([A-Z]+)\$[0-9]+"))),_xlfn.REGEXEXTRACT(CELL("address",O211), "\$([A-Z]+)\$[0-9]+"))</f>
        <v/>
      </c>
      <c r="P211" s="7" t="str" cm="1">
        <f t="array" aca="1" ref="P211" ca="1">IFERROR(IF(OR('Raw Data'!P211="",LEN(TRIM('Raw Data'!P211))=0),"",IF(AND(ISNUMBER('Raw Data'!P211), IFERROR('Raw Data'!P211 = ROUND('Raw Data'!P211, 2),FALSE)),"",_xlfn.REGEXEXTRACT(CELL("address",P211), "\$([A-Z]+)\$[0-9]+"))),_xlfn.REGEXEXTRACT(CELL("address",P211), "\$([A-Z]+)\$[0-9]+"))</f>
        <v/>
      </c>
      <c r="Q211" s="7" t="str" cm="1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7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7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7" t="str" cm="1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7" t="str" cm="1">
        <f t="array" aca="1" ref="U211" ca="1">IFERROR(IF(OR('Raw Data'!U211="",LEN(TRIM('Raw Data'!U211))=0),"",IF(AND(ISNUMBER('Raw Data'!U211), IFERROR('Raw Data'!U211 = ROUND('Raw Data'!U211, 2),FALSE)),"",_xlfn.REGEXEXTRACT(CELL("address",U211), "\$([A-Z]+)\$[0-9]+"))),_xlfn.REGEXEXTRACT(CELL("address",U211), "\$([A-Z]+)\$[0-9]+"))</f>
        <v/>
      </c>
      <c r="V211" s="7" t="str" cm="1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7" t="str" cm="1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7" t="str" cm="1">
        <f t="array" aca="1" ref="X211" ca="1">IFERROR(IF(OR('Raw Data'!X211="",LEN(TRIM('Raw Data'!X211))=0),"",IF(AND(ISNUMBER('Raw Data'!X211), IFERROR('Raw Data'!X211 = ROUND('Raw Data'!X211, 2),FALSE)),"",_xlfn.REGEXEXTRACT(CELL("address",X211), "\$([A-Z]+)\$[0-9]+"))),_xlfn.REGEXEXTRACT(CELL("address",X211), "\$([A-Z]+)\$[0-9]+"))</f>
        <v/>
      </c>
      <c r="Y211" s="7" t="str" cm="1">
        <f t="array" aca="1" ref="Y211" ca="1">IFERROR(IF(OR('Raw Data'!Y211="",LEN(TRIM('Raw Data'!Y211))=0),"",IF(AND(ISNUMBER('Raw Data'!Y211), IFERROR('Raw Data'!Y211 = ROUND('Raw Data'!Y211, 2),FALSE)),"",_xlfn.REGEXEXTRACT(CELL("address",Y211), "\$([A-Z]+)\$[0-9]+"))),_xlfn.REGEXEXTRACT(CELL("address",Y211), "\$([A-Z]+)\$[0-9]+"))</f>
        <v/>
      </c>
      <c r="Z211" s="7" t="str" cm="1">
        <f t="array" aca="1" ref="Z211" ca="1">IFERROR(IF(OR('Raw Data'!Z211="",LEN(TRIM('Raw Data'!Z211))=0),"",IF(AND(ISNUMBER('Raw Data'!Z211), IFERROR('Raw Data'!Z211 = ROUND('Raw Data'!Z211, 2),FALSE)),"",_xlfn.REGEXEXTRACT(CELL("address",Z211), "\$([A-Z]+)\$[0-9]+"))),_xlfn.REGEXEXTRACT(CELL("address",Z211), "\$([A-Z]+)\$[0-9]+"))</f>
        <v/>
      </c>
      <c r="AA211" s="7" t="str" cm="1">
        <f t="array" aca="1" ref="AA211" ca="1">IFERROR(IF(OR('Raw Data'!AA211="",LEN(TRIM('Raw Data'!AA211))=0),"",IF(AND(ISNUMBER('Raw Data'!AA211), IFERROR('Raw Data'!AA211 = ROUND('Raw Data'!AA211, 2),FALSE)),"",_xlfn.REGEXEXTRACT(CELL("address",AA211), "\$([A-Z]+)\$[0-9]+"))),_xlfn.REGEXEXTRACT(CELL("address",AA211), "\$([A-Z]+)\$[0-9]+"))</f>
        <v/>
      </c>
      <c r="AB211" s="7" t="str" cm="1">
        <f t="array" aca="1" ref="AB211" ca="1">IFERROR(IF(OR('Raw Data'!AB211="",LEN(TRIM('Raw Data'!AB211))=0),"",IF(AND(ISNUMBER('Raw Data'!AB211), IFERROR('Raw Data'!AB211 = ROUND('Raw Data'!AB211, 2),FALSE)),"",_xlfn.REGEXEXTRACT(CELL("address",AB211), "\$([A-Z]+)\$[0-9]+"))),_xlfn.REGEXEXTRACT(CELL("address",AB211), "\$([A-Z]+)\$[0-9]+"))</f>
        <v/>
      </c>
    </row>
    <row r="212" spans="2:28" x14ac:dyDescent="0.25">
      <c r="B212" s="7" t="str" cm="1">
        <f t="array" aca="1" ref="B212" ca="1">IFERROR(IF(OR('Raw Data'!B212="",LEN(TRIM('Raw Data'!B212))=0),"",IF(AND(LEN('Raw Data'!B212) &lt;= 255,LEN('Raw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Data'!C212))=0),"",IF(AND(LEN('Raw Data'!C212) &lt;= 20,LEN('Raw Data'!C212)&gt; 0),"",_xlfn.REGEXEXTRACT(CELL("address",'Raw Data'!C212),"\$([A-Z]+)\$[0-9]+"))),_xlfn.REGEXEXTRACT(CELL("address",'Raw Data'!C212),"\$([A-Z]+)\$[0-9]+"))</f>
        <v/>
      </c>
      <c r="D212" s="7" t="str" cm="1">
        <f t="array" aca="1" ref="D212" ca="1">IFERROR(IF(OR('Raw Data'!D212="",LEN(TRIM('Raw Data'!D212))=0),"",IF(AND(ISNUMBER('Raw Data'!D212),'Raw Data'!D212&gt;=Configuration!$D$2),"",_xlfn.REGEXEXTRACT(CELL("address",'Raw Data'!D212),"\$([A-Z]+)\$[0-9]+"))),_xlfn.REGEXEXTRACT(CELL("address",D212), "\$([A-Z]+)\$[0-9]+"))</f>
        <v/>
      </c>
      <c r="E212" s="7" t="str" cm="1">
        <f t="array" aca="1" ref="E212" ca="1">IFERROR(IF(OR('Raw Data'!E212="",LEN(TRIM('Raw Data'!E212))=0),"",IF(AND(ISNUMBER('Raw Data'!E212), IFERROR('Raw Data'!E212 = ROUND('Raw Data'!E212, 2),FALSE)),"",_xlfn.REGEXEXTRACT(CELL("address",E212), "\$([A-Z]+)\$[0-9]+"))),_xlfn.REGEXEXTRACT(CELL("address",E212), "\$([A-Z]+)\$[0-9]+"))</f>
        <v/>
      </c>
      <c r="F212" s="7" t="str" cm="1">
        <f t="array" aca="1" ref="F212" ca="1">IFERROR(IF(OR('Raw Data'!F212="",LEN(TRIM('Raw Data'!F212))=0),"",IF(AND(ISNUMBER('Raw Data'!F212), IFERROR('Raw Data'!F212 = ROUND('Raw Data'!F212, 2),FALSE)),"",_xlfn.REGEXEXTRACT(CELL("address",F212), "\$([A-Z]+)\$[0-9]+"))),_xlfn.REGEXEXTRACT(CELL("address",F212), "\$([A-Z]+)\$[0-9]+"))</f>
        <v/>
      </c>
      <c r="G212" s="7" t="str" cm="1">
        <f t="array" aca="1" ref="G212" ca="1">IFERROR(IF(OR('Raw Data'!G212="",LEN(TRIM('Raw Data'!G212))=0),"",IF(AND(ISNUMBER('Raw Data'!G212), IFERROR('Raw Data'!G212 = ROUND('Raw Data'!G212, 2),FALSE)),"",_xlfn.REGEXEXTRACT(CELL("address",G212), "\$([A-Z]+)\$[0-9]+"))),_xlfn.REGEXEXTRACT(CELL("address",G212), "\$([A-Z]+)\$[0-9]+"))</f>
        <v/>
      </c>
      <c r="H212" s="7" t="str" cm="1">
        <f t="array" aca="1" ref="H212" ca="1">IFERROR(IF(OR('Raw Data'!H212="",LEN(TRIM('Raw Data'!H212))=0),"",IF(AND(ISNUMBER('Raw Data'!H212), IFERROR('Raw Data'!H212 = ROUND('Raw Data'!H212, 2),FALSE)),"",_xlfn.REGEXEXTRACT(CELL("address",H212), "\$([A-Z]+)\$[0-9]+"))),_xlfn.REGEXEXTRACT(CELL("address",H212), "\$([A-Z]+)\$[0-9]+"))</f>
        <v/>
      </c>
      <c r="I212" s="7" t="str" cm="1">
        <f t="array" aca="1" ref="I212" ca="1">IFERROR(IF(OR('Raw Data'!I212="",LEN(TRIM('Raw Data'!I212))=0),"",IF(AND(ISNUMBER('Raw Data'!I212), IFERROR('Raw Data'!I212 = ROUND('Raw Data'!I212, 2),FALSE)),"",_xlfn.REGEXEXTRACT(CELL("address",I212), "\$([A-Z]+)\$[0-9]+"))),_xlfn.REGEXEXTRACT(CELL("address",I212), "\$([A-Z]+)\$[0-9]+"))</f>
        <v/>
      </c>
      <c r="J212" s="7" t="str" cm="1">
        <f t="array" aca="1" ref="J212" ca="1">IFERROR(IF(OR('Raw Data'!J212="",LEN(TRIM('Raw Data'!J212))=0),"",IF(AND(ISNUMBER('Raw Data'!J212), IFERROR('Raw Data'!J212 = ROUND('Raw Data'!J212, 2),FALSE)),"",_xlfn.REGEXEXTRACT(CELL("address",J212), "\$([A-Z]+)\$[0-9]+"))),_xlfn.REGEXEXTRACT(CELL("address",J212), "\$([A-Z]+)\$[0-9]+"))</f>
        <v/>
      </c>
      <c r="K212" s="7" t="str" cm="1">
        <f t="array" aca="1" ref="K212" ca="1">IFERROR(IF(OR('Raw Data'!K212="",LEN(TRIM('Raw Data'!K212))=0),"",IF(AND(ISNUMBER('Raw Data'!K212), IFERROR('Raw Data'!K212 = ROUND('Raw Data'!K212, 2),FALSE)),"",_xlfn.REGEXEXTRACT(CELL("address",K212), "\$([A-Z]+)\$[0-9]+"))),_xlfn.REGEXEXTRACT(CELL("address",K212), "\$([A-Z]+)\$[0-9]+"))</f>
        <v/>
      </c>
      <c r="L212" s="7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7" t="str" cm="1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7" t="str" cm="1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  <c r="O212" s="7" t="str" cm="1">
        <f t="array" aca="1" ref="O212" ca="1">IFERROR(IF(OR('Raw Data'!O212="",LEN(TRIM('Raw Data'!O212))=0),"",IF(AND(ISNUMBER('Raw Data'!O212), IFERROR('Raw Data'!O212 = ROUND('Raw Data'!O212, 2),FALSE)),"",_xlfn.REGEXEXTRACT(CELL("address",O212), "\$([A-Z]+)\$[0-9]+"))),_xlfn.REGEXEXTRACT(CELL("address",O212), "\$([A-Z]+)\$[0-9]+"))</f>
        <v/>
      </c>
      <c r="P212" s="7" t="str" cm="1">
        <f t="array" aca="1" ref="P212" ca="1">IFERROR(IF(OR('Raw Data'!P212="",LEN(TRIM('Raw Data'!P212))=0),"",IF(AND(ISNUMBER('Raw Data'!P212), IFERROR('Raw Data'!P212 = ROUND('Raw Data'!P212, 2),FALSE)),"",_xlfn.REGEXEXTRACT(CELL("address",P212), "\$([A-Z]+)\$[0-9]+"))),_xlfn.REGEXEXTRACT(CELL("address",P212), "\$([A-Z]+)\$[0-9]+"))</f>
        <v/>
      </c>
      <c r="Q212" s="7" t="str" cm="1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7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7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7" t="str" cm="1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7" t="str" cm="1">
        <f t="array" aca="1" ref="U212" ca="1">IFERROR(IF(OR('Raw Data'!U212="",LEN(TRIM('Raw Data'!U212))=0),"",IF(AND(ISNUMBER('Raw Data'!U212), IFERROR('Raw Data'!U212 = ROUND('Raw Data'!U212, 2),FALSE)),"",_xlfn.REGEXEXTRACT(CELL("address",U212), "\$([A-Z]+)\$[0-9]+"))),_xlfn.REGEXEXTRACT(CELL("address",U212), "\$([A-Z]+)\$[0-9]+"))</f>
        <v/>
      </c>
      <c r="V212" s="7" t="str" cm="1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7" t="str" cm="1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7" t="str" cm="1">
        <f t="array" aca="1" ref="X212" ca="1">IFERROR(IF(OR('Raw Data'!X212="",LEN(TRIM('Raw Data'!X212))=0),"",IF(AND(ISNUMBER('Raw Data'!X212), IFERROR('Raw Data'!X212 = ROUND('Raw Data'!X212, 2),FALSE)),"",_xlfn.REGEXEXTRACT(CELL("address",X212), "\$([A-Z]+)\$[0-9]+"))),_xlfn.REGEXEXTRACT(CELL("address",X212), "\$([A-Z]+)\$[0-9]+"))</f>
        <v/>
      </c>
      <c r="Y212" s="7" t="str" cm="1">
        <f t="array" aca="1" ref="Y212" ca="1">IFERROR(IF(OR('Raw Data'!Y212="",LEN(TRIM('Raw Data'!Y212))=0),"",IF(AND(ISNUMBER('Raw Data'!Y212), IFERROR('Raw Data'!Y212 = ROUND('Raw Data'!Y212, 2),FALSE)),"",_xlfn.REGEXEXTRACT(CELL("address",Y212), "\$([A-Z]+)\$[0-9]+"))),_xlfn.REGEXEXTRACT(CELL("address",Y212), "\$([A-Z]+)\$[0-9]+"))</f>
        <v/>
      </c>
      <c r="Z212" s="7" t="str" cm="1">
        <f t="array" aca="1" ref="Z212" ca="1">IFERROR(IF(OR('Raw Data'!Z212="",LEN(TRIM('Raw Data'!Z212))=0),"",IF(AND(ISNUMBER('Raw Data'!Z212), IFERROR('Raw Data'!Z212 = ROUND('Raw Data'!Z212, 2),FALSE)),"",_xlfn.REGEXEXTRACT(CELL("address",Z212), "\$([A-Z]+)\$[0-9]+"))),_xlfn.REGEXEXTRACT(CELL("address",Z212), "\$([A-Z]+)\$[0-9]+"))</f>
        <v/>
      </c>
      <c r="AA212" s="7" t="str" cm="1">
        <f t="array" aca="1" ref="AA212" ca="1">IFERROR(IF(OR('Raw Data'!AA212="",LEN(TRIM('Raw Data'!AA212))=0),"",IF(AND(ISNUMBER('Raw Data'!AA212), IFERROR('Raw Data'!AA212 = ROUND('Raw Data'!AA212, 2),FALSE)),"",_xlfn.REGEXEXTRACT(CELL("address",AA212), "\$([A-Z]+)\$[0-9]+"))),_xlfn.REGEXEXTRACT(CELL("address",AA212), "\$([A-Z]+)\$[0-9]+"))</f>
        <v/>
      </c>
      <c r="AB212" s="7" t="str" cm="1">
        <f t="array" aca="1" ref="AB212" ca="1">IFERROR(IF(OR('Raw Data'!AB212="",LEN(TRIM('Raw Data'!AB212))=0),"",IF(AND(ISNUMBER('Raw Data'!AB212), IFERROR('Raw Data'!AB212 = ROUND('Raw Data'!AB212, 2),FALSE)),"",_xlfn.REGEXEXTRACT(CELL("address",AB212), "\$([A-Z]+)\$[0-9]+"))),_xlfn.REGEXEXTRACT(CELL("address",AB212), "\$([A-Z]+)\$[0-9]+"))</f>
        <v/>
      </c>
    </row>
    <row r="213" spans="2:28" x14ac:dyDescent="0.25">
      <c r="B213" s="7" t="str" cm="1">
        <f t="array" aca="1" ref="B213" ca="1">IFERROR(IF(OR('Raw Data'!B213="",LEN(TRIM('Raw Data'!B213))=0),"",IF(AND(LEN('Raw Data'!B213) &lt;= 255,LEN('Raw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Data'!C213))=0),"",IF(AND(LEN('Raw Data'!C213) &lt;= 20,LEN('Raw Data'!C213)&gt; 0),"",_xlfn.REGEXEXTRACT(CELL("address",'Raw Data'!C213),"\$([A-Z]+)\$[0-9]+"))),_xlfn.REGEXEXTRACT(CELL("address",'Raw Data'!C213),"\$([A-Z]+)\$[0-9]+"))</f>
        <v/>
      </c>
      <c r="D213" s="7" t="str" cm="1">
        <f t="array" aca="1" ref="D213" ca="1">IFERROR(IF(OR('Raw Data'!D213="",LEN(TRIM('Raw Data'!D213))=0),"",IF(AND(ISNUMBER('Raw Data'!D213),'Raw Data'!D213&gt;=Configuration!$D$2),"",_xlfn.REGEXEXTRACT(CELL("address",'Raw Data'!D213),"\$([A-Z]+)\$[0-9]+"))),_xlfn.REGEXEXTRACT(CELL("address",D213), "\$([A-Z]+)\$[0-9]+"))</f>
        <v/>
      </c>
      <c r="E213" s="7" t="str" cm="1">
        <f t="array" aca="1" ref="E213" ca="1">IFERROR(IF(OR('Raw Data'!E213="",LEN(TRIM('Raw Data'!E213))=0),"",IF(AND(ISNUMBER('Raw Data'!E213), IFERROR('Raw Data'!E213 = ROUND('Raw Data'!E213, 2),FALSE)),"",_xlfn.REGEXEXTRACT(CELL("address",E213), "\$([A-Z]+)\$[0-9]+"))),_xlfn.REGEXEXTRACT(CELL("address",E213), "\$([A-Z]+)\$[0-9]+"))</f>
        <v/>
      </c>
      <c r="F213" s="7" t="str" cm="1">
        <f t="array" aca="1" ref="F213" ca="1">IFERROR(IF(OR('Raw Data'!F213="",LEN(TRIM('Raw Data'!F213))=0),"",IF(AND(ISNUMBER('Raw Data'!F213), IFERROR('Raw Data'!F213 = ROUND('Raw Data'!F213, 2),FALSE)),"",_xlfn.REGEXEXTRACT(CELL("address",F213), "\$([A-Z]+)\$[0-9]+"))),_xlfn.REGEXEXTRACT(CELL("address",F213), "\$([A-Z]+)\$[0-9]+"))</f>
        <v/>
      </c>
      <c r="G213" s="7" t="str" cm="1">
        <f t="array" aca="1" ref="G213" ca="1">IFERROR(IF(OR('Raw Data'!G213="",LEN(TRIM('Raw Data'!G213))=0),"",IF(AND(ISNUMBER('Raw Data'!G213), IFERROR('Raw Data'!G213 = ROUND('Raw Data'!G213, 2),FALSE)),"",_xlfn.REGEXEXTRACT(CELL("address",G213), "\$([A-Z]+)\$[0-9]+"))),_xlfn.REGEXEXTRACT(CELL("address",G213), "\$([A-Z]+)\$[0-9]+"))</f>
        <v/>
      </c>
      <c r="H213" s="7" t="str" cm="1">
        <f t="array" aca="1" ref="H213" ca="1">IFERROR(IF(OR('Raw Data'!H213="",LEN(TRIM('Raw Data'!H213))=0),"",IF(AND(ISNUMBER('Raw Data'!H213), IFERROR('Raw Data'!H213 = ROUND('Raw Data'!H213, 2),FALSE)),"",_xlfn.REGEXEXTRACT(CELL("address",H213), "\$([A-Z]+)\$[0-9]+"))),_xlfn.REGEXEXTRACT(CELL("address",H213), "\$([A-Z]+)\$[0-9]+"))</f>
        <v/>
      </c>
      <c r="I213" s="7" t="str" cm="1">
        <f t="array" aca="1" ref="I213" ca="1">IFERROR(IF(OR('Raw Data'!I213="",LEN(TRIM('Raw Data'!I213))=0),"",IF(AND(ISNUMBER('Raw Data'!I213), IFERROR('Raw Data'!I213 = ROUND('Raw Data'!I213, 2),FALSE)),"",_xlfn.REGEXEXTRACT(CELL("address",I213), "\$([A-Z]+)\$[0-9]+"))),_xlfn.REGEXEXTRACT(CELL("address",I213), "\$([A-Z]+)\$[0-9]+"))</f>
        <v/>
      </c>
      <c r="J213" s="7" t="str" cm="1">
        <f t="array" aca="1" ref="J213" ca="1">IFERROR(IF(OR('Raw Data'!J213="",LEN(TRIM('Raw Data'!J213))=0),"",IF(AND(ISNUMBER('Raw Data'!J213), IFERROR('Raw Data'!J213 = ROUND('Raw Data'!J213, 2),FALSE)),"",_xlfn.REGEXEXTRACT(CELL("address",J213), "\$([A-Z]+)\$[0-9]+"))),_xlfn.REGEXEXTRACT(CELL("address",J213), "\$([A-Z]+)\$[0-9]+"))</f>
        <v/>
      </c>
      <c r="K213" s="7" t="str" cm="1">
        <f t="array" aca="1" ref="K213" ca="1">IFERROR(IF(OR('Raw Data'!K213="",LEN(TRIM('Raw Data'!K213))=0),"",IF(AND(ISNUMBER('Raw Data'!K213), IFERROR('Raw Data'!K213 = ROUND('Raw Data'!K213, 2),FALSE)),"",_xlfn.REGEXEXTRACT(CELL("address",K213), "\$([A-Z]+)\$[0-9]+"))),_xlfn.REGEXEXTRACT(CELL("address",K213), "\$([A-Z]+)\$[0-9]+"))</f>
        <v/>
      </c>
      <c r="L213" s="7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7" t="str" cm="1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7" t="str" cm="1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  <c r="O213" s="7" t="str" cm="1">
        <f t="array" aca="1" ref="O213" ca="1">IFERROR(IF(OR('Raw Data'!O213="",LEN(TRIM('Raw Data'!O213))=0),"",IF(AND(ISNUMBER('Raw Data'!O213), IFERROR('Raw Data'!O213 = ROUND('Raw Data'!O213, 2),FALSE)),"",_xlfn.REGEXEXTRACT(CELL("address",O213), "\$([A-Z]+)\$[0-9]+"))),_xlfn.REGEXEXTRACT(CELL("address",O213), "\$([A-Z]+)\$[0-9]+"))</f>
        <v/>
      </c>
      <c r="P213" s="7" t="str" cm="1">
        <f t="array" aca="1" ref="P213" ca="1">IFERROR(IF(OR('Raw Data'!P213="",LEN(TRIM('Raw Data'!P213))=0),"",IF(AND(ISNUMBER('Raw Data'!P213), IFERROR('Raw Data'!P213 = ROUND('Raw Data'!P213, 2),FALSE)),"",_xlfn.REGEXEXTRACT(CELL("address",P213), "\$([A-Z]+)\$[0-9]+"))),_xlfn.REGEXEXTRACT(CELL("address",P213), "\$([A-Z]+)\$[0-9]+"))</f>
        <v/>
      </c>
      <c r="Q213" s="7" t="str" cm="1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7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7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7" t="str" cm="1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7" t="str" cm="1">
        <f t="array" aca="1" ref="U213" ca="1">IFERROR(IF(OR('Raw Data'!U213="",LEN(TRIM('Raw Data'!U213))=0),"",IF(AND(ISNUMBER('Raw Data'!U213), IFERROR('Raw Data'!U213 = ROUND('Raw Data'!U213, 2),FALSE)),"",_xlfn.REGEXEXTRACT(CELL("address",U213), "\$([A-Z]+)\$[0-9]+"))),_xlfn.REGEXEXTRACT(CELL("address",U213), "\$([A-Z]+)\$[0-9]+"))</f>
        <v/>
      </c>
      <c r="V213" s="7" t="str" cm="1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7" t="str" cm="1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7" t="str" cm="1">
        <f t="array" aca="1" ref="X213" ca="1">IFERROR(IF(OR('Raw Data'!X213="",LEN(TRIM('Raw Data'!X213))=0),"",IF(AND(ISNUMBER('Raw Data'!X213), IFERROR('Raw Data'!X213 = ROUND('Raw Data'!X213, 2),FALSE)),"",_xlfn.REGEXEXTRACT(CELL("address",X213), "\$([A-Z]+)\$[0-9]+"))),_xlfn.REGEXEXTRACT(CELL("address",X213), "\$([A-Z]+)\$[0-9]+"))</f>
        <v/>
      </c>
      <c r="Y213" s="7" t="str" cm="1">
        <f t="array" aca="1" ref="Y213" ca="1">IFERROR(IF(OR('Raw Data'!Y213="",LEN(TRIM('Raw Data'!Y213))=0),"",IF(AND(ISNUMBER('Raw Data'!Y213), IFERROR('Raw Data'!Y213 = ROUND('Raw Data'!Y213, 2),FALSE)),"",_xlfn.REGEXEXTRACT(CELL("address",Y213), "\$([A-Z]+)\$[0-9]+"))),_xlfn.REGEXEXTRACT(CELL("address",Y213), "\$([A-Z]+)\$[0-9]+"))</f>
        <v/>
      </c>
      <c r="Z213" s="7" t="str" cm="1">
        <f t="array" aca="1" ref="Z213" ca="1">IFERROR(IF(OR('Raw Data'!Z213="",LEN(TRIM('Raw Data'!Z213))=0),"",IF(AND(ISNUMBER('Raw Data'!Z213), IFERROR('Raw Data'!Z213 = ROUND('Raw Data'!Z213, 2),FALSE)),"",_xlfn.REGEXEXTRACT(CELL("address",Z213), "\$([A-Z]+)\$[0-9]+"))),_xlfn.REGEXEXTRACT(CELL("address",Z213), "\$([A-Z]+)\$[0-9]+"))</f>
        <v/>
      </c>
      <c r="AA213" s="7" t="str" cm="1">
        <f t="array" aca="1" ref="AA213" ca="1">IFERROR(IF(OR('Raw Data'!AA213="",LEN(TRIM('Raw Data'!AA213))=0),"",IF(AND(ISNUMBER('Raw Data'!AA213), IFERROR('Raw Data'!AA213 = ROUND('Raw Data'!AA213, 2),FALSE)),"",_xlfn.REGEXEXTRACT(CELL("address",AA213), "\$([A-Z]+)\$[0-9]+"))),_xlfn.REGEXEXTRACT(CELL("address",AA213), "\$([A-Z]+)\$[0-9]+"))</f>
        <v/>
      </c>
      <c r="AB213" s="7" t="str" cm="1">
        <f t="array" aca="1" ref="AB213" ca="1">IFERROR(IF(OR('Raw Data'!AB213="",LEN(TRIM('Raw Data'!AB213))=0),"",IF(AND(ISNUMBER('Raw Data'!AB213), IFERROR('Raw Data'!AB213 = ROUND('Raw Data'!AB213, 2),FALSE)),"",_xlfn.REGEXEXTRACT(CELL("address",AB213), "\$([A-Z]+)\$[0-9]+"))),_xlfn.REGEXEXTRACT(CELL("address",AB213), "\$([A-Z]+)\$[0-9]+"))</f>
        <v/>
      </c>
    </row>
    <row r="214" spans="2:28" x14ac:dyDescent="0.25">
      <c r="B214" s="7" t="str" cm="1">
        <f t="array" aca="1" ref="B214" ca="1">IFERROR(IF(OR('Raw Data'!B214="",LEN(TRIM('Raw Data'!B214))=0),"",IF(AND(LEN('Raw Data'!B214) &lt;= 255,LEN('Raw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Data'!C214))=0),"",IF(AND(LEN('Raw Data'!C214) &lt;= 20,LEN('Raw Data'!C214)&gt; 0),"",_xlfn.REGEXEXTRACT(CELL("address",'Raw Data'!C214),"\$([A-Z]+)\$[0-9]+"))),_xlfn.REGEXEXTRACT(CELL("address",'Raw Data'!C214),"\$([A-Z]+)\$[0-9]+"))</f>
        <v/>
      </c>
      <c r="D214" s="7" t="str" cm="1">
        <f t="array" aca="1" ref="D214" ca="1">IFERROR(IF(OR('Raw Data'!D214="",LEN(TRIM('Raw Data'!D214))=0),"",IF(AND(ISNUMBER('Raw Data'!D214),'Raw Data'!D214&gt;=Configuration!$D$2),"",_xlfn.REGEXEXTRACT(CELL("address",'Raw Data'!D214),"\$([A-Z]+)\$[0-9]+"))),_xlfn.REGEXEXTRACT(CELL("address",D214), "\$([A-Z]+)\$[0-9]+"))</f>
        <v/>
      </c>
      <c r="E214" s="7" t="str" cm="1">
        <f t="array" aca="1" ref="E214" ca="1">IFERROR(IF(OR('Raw Data'!E214="",LEN(TRIM('Raw Data'!E214))=0),"",IF(AND(ISNUMBER('Raw Data'!E214), IFERROR('Raw Data'!E214 = ROUND('Raw Data'!E214, 2),FALSE)),"",_xlfn.REGEXEXTRACT(CELL("address",E214), "\$([A-Z]+)\$[0-9]+"))),_xlfn.REGEXEXTRACT(CELL("address",E214), "\$([A-Z]+)\$[0-9]+"))</f>
        <v/>
      </c>
      <c r="F214" s="7" t="str" cm="1">
        <f t="array" aca="1" ref="F214" ca="1">IFERROR(IF(OR('Raw Data'!F214="",LEN(TRIM('Raw Data'!F214))=0),"",IF(AND(ISNUMBER('Raw Data'!F214), IFERROR('Raw Data'!F214 = ROUND('Raw Data'!F214, 2),FALSE)),"",_xlfn.REGEXEXTRACT(CELL("address",F214), "\$([A-Z]+)\$[0-9]+"))),_xlfn.REGEXEXTRACT(CELL("address",F214), "\$([A-Z]+)\$[0-9]+"))</f>
        <v/>
      </c>
      <c r="G214" s="7" t="str" cm="1">
        <f t="array" aca="1" ref="G214" ca="1">IFERROR(IF(OR('Raw Data'!G214="",LEN(TRIM('Raw Data'!G214))=0),"",IF(AND(ISNUMBER('Raw Data'!G214), IFERROR('Raw Data'!G214 = ROUND('Raw Data'!G214, 2),FALSE)),"",_xlfn.REGEXEXTRACT(CELL("address",G214), "\$([A-Z]+)\$[0-9]+"))),_xlfn.REGEXEXTRACT(CELL("address",G214), "\$([A-Z]+)\$[0-9]+"))</f>
        <v/>
      </c>
      <c r="H214" s="7" t="str" cm="1">
        <f t="array" aca="1" ref="H214" ca="1">IFERROR(IF(OR('Raw Data'!H214="",LEN(TRIM('Raw Data'!H214))=0),"",IF(AND(ISNUMBER('Raw Data'!H214), IFERROR('Raw Data'!H214 = ROUND('Raw Data'!H214, 2),FALSE)),"",_xlfn.REGEXEXTRACT(CELL("address",H214), "\$([A-Z]+)\$[0-9]+"))),_xlfn.REGEXEXTRACT(CELL("address",H214), "\$([A-Z]+)\$[0-9]+"))</f>
        <v/>
      </c>
      <c r="I214" s="7" t="str" cm="1">
        <f t="array" aca="1" ref="I214" ca="1">IFERROR(IF(OR('Raw Data'!I214="",LEN(TRIM('Raw Data'!I214))=0),"",IF(AND(ISNUMBER('Raw Data'!I214), IFERROR('Raw Data'!I214 = ROUND('Raw Data'!I214, 2),FALSE)),"",_xlfn.REGEXEXTRACT(CELL("address",I214), "\$([A-Z]+)\$[0-9]+"))),_xlfn.REGEXEXTRACT(CELL("address",I214), "\$([A-Z]+)\$[0-9]+"))</f>
        <v/>
      </c>
      <c r="J214" s="7" t="str" cm="1">
        <f t="array" aca="1" ref="J214" ca="1">IFERROR(IF(OR('Raw Data'!J214="",LEN(TRIM('Raw Data'!J214))=0),"",IF(AND(ISNUMBER('Raw Data'!J214), IFERROR('Raw Data'!J214 = ROUND('Raw Data'!J214, 2),FALSE)),"",_xlfn.REGEXEXTRACT(CELL("address",J214), "\$([A-Z]+)\$[0-9]+"))),_xlfn.REGEXEXTRACT(CELL("address",J214), "\$([A-Z]+)\$[0-9]+"))</f>
        <v/>
      </c>
      <c r="K214" s="7" t="str" cm="1">
        <f t="array" aca="1" ref="K214" ca="1">IFERROR(IF(OR('Raw Data'!K214="",LEN(TRIM('Raw Data'!K214))=0),"",IF(AND(ISNUMBER('Raw Data'!K214), IFERROR('Raw Data'!K214 = ROUND('Raw Data'!K214, 2),FALSE)),"",_xlfn.REGEXEXTRACT(CELL("address",K214), "\$([A-Z]+)\$[0-9]+"))),_xlfn.REGEXEXTRACT(CELL("address",K214), "\$([A-Z]+)\$[0-9]+"))</f>
        <v/>
      </c>
      <c r="L214" s="7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7" t="str" cm="1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7" t="str" cm="1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  <c r="O214" s="7" t="str" cm="1">
        <f t="array" aca="1" ref="O214" ca="1">IFERROR(IF(OR('Raw Data'!O214="",LEN(TRIM('Raw Data'!O214))=0),"",IF(AND(ISNUMBER('Raw Data'!O214), IFERROR('Raw Data'!O214 = ROUND('Raw Data'!O214, 2),FALSE)),"",_xlfn.REGEXEXTRACT(CELL("address",O214), "\$([A-Z]+)\$[0-9]+"))),_xlfn.REGEXEXTRACT(CELL("address",O214), "\$([A-Z]+)\$[0-9]+"))</f>
        <v/>
      </c>
      <c r="P214" s="7" t="str" cm="1">
        <f t="array" aca="1" ref="P214" ca="1">IFERROR(IF(OR('Raw Data'!P214="",LEN(TRIM('Raw Data'!P214))=0),"",IF(AND(ISNUMBER('Raw Data'!P214), IFERROR('Raw Data'!P214 = ROUND('Raw Data'!P214, 2),FALSE)),"",_xlfn.REGEXEXTRACT(CELL("address",P214), "\$([A-Z]+)\$[0-9]+"))),_xlfn.REGEXEXTRACT(CELL("address",P214), "\$([A-Z]+)\$[0-9]+"))</f>
        <v/>
      </c>
      <c r="Q214" s="7" t="str" cm="1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7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7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7" t="str" cm="1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7" t="str" cm="1">
        <f t="array" aca="1" ref="U214" ca="1">IFERROR(IF(OR('Raw Data'!U214="",LEN(TRIM('Raw Data'!U214))=0),"",IF(AND(ISNUMBER('Raw Data'!U214), IFERROR('Raw Data'!U214 = ROUND('Raw Data'!U214, 2),FALSE)),"",_xlfn.REGEXEXTRACT(CELL("address",U214), "\$([A-Z]+)\$[0-9]+"))),_xlfn.REGEXEXTRACT(CELL("address",U214), "\$([A-Z]+)\$[0-9]+"))</f>
        <v/>
      </c>
      <c r="V214" s="7" t="str" cm="1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7" t="str" cm="1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7" t="str" cm="1">
        <f t="array" aca="1" ref="X214" ca="1">IFERROR(IF(OR('Raw Data'!X214="",LEN(TRIM('Raw Data'!X214))=0),"",IF(AND(ISNUMBER('Raw Data'!X214), IFERROR('Raw Data'!X214 = ROUND('Raw Data'!X214, 2),FALSE)),"",_xlfn.REGEXEXTRACT(CELL("address",X214), "\$([A-Z]+)\$[0-9]+"))),_xlfn.REGEXEXTRACT(CELL("address",X214), "\$([A-Z]+)\$[0-9]+"))</f>
        <v/>
      </c>
      <c r="Y214" s="7" t="str" cm="1">
        <f t="array" aca="1" ref="Y214" ca="1">IFERROR(IF(OR('Raw Data'!Y214="",LEN(TRIM('Raw Data'!Y214))=0),"",IF(AND(ISNUMBER('Raw Data'!Y214), IFERROR('Raw Data'!Y214 = ROUND('Raw Data'!Y214, 2),FALSE)),"",_xlfn.REGEXEXTRACT(CELL("address",Y214), "\$([A-Z]+)\$[0-9]+"))),_xlfn.REGEXEXTRACT(CELL("address",Y214), "\$([A-Z]+)\$[0-9]+"))</f>
        <v/>
      </c>
      <c r="Z214" s="7" t="str" cm="1">
        <f t="array" aca="1" ref="Z214" ca="1">IFERROR(IF(OR('Raw Data'!Z214="",LEN(TRIM('Raw Data'!Z214))=0),"",IF(AND(ISNUMBER('Raw Data'!Z214), IFERROR('Raw Data'!Z214 = ROUND('Raw Data'!Z214, 2),FALSE)),"",_xlfn.REGEXEXTRACT(CELL("address",Z214), "\$([A-Z]+)\$[0-9]+"))),_xlfn.REGEXEXTRACT(CELL("address",Z214), "\$([A-Z]+)\$[0-9]+"))</f>
        <v/>
      </c>
      <c r="AA214" s="7" t="str" cm="1">
        <f t="array" aca="1" ref="AA214" ca="1">IFERROR(IF(OR('Raw Data'!AA214="",LEN(TRIM('Raw Data'!AA214))=0),"",IF(AND(ISNUMBER('Raw Data'!AA214), IFERROR('Raw Data'!AA214 = ROUND('Raw Data'!AA214, 2),FALSE)),"",_xlfn.REGEXEXTRACT(CELL("address",AA214), "\$([A-Z]+)\$[0-9]+"))),_xlfn.REGEXEXTRACT(CELL("address",AA214), "\$([A-Z]+)\$[0-9]+"))</f>
        <v/>
      </c>
      <c r="AB214" s="7" t="str" cm="1">
        <f t="array" aca="1" ref="AB214" ca="1">IFERROR(IF(OR('Raw Data'!AB214="",LEN(TRIM('Raw Data'!AB214))=0),"",IF(AND(ISNUMBER('Raw Data'!AB214), IFERROR('Raw Data'!AB214 = ROUND('Raw Data'!AB214, 2),FALSE)),"",_xlfn.REGEXEXTRACT(CELL("address",AB214), "\$([A-Z]+)\$[0-9]+"))),_xlfn.REGEXEXTRACT(CELL("address",AB214), "\$([A-Z]+)\$[0-9]+"))</f>
        <v/>
      </c>
    </row>
    <row r="215" spans="2:28" x14ac:dyDescent="0.25">
      <c r="B215" s="7" t="str" cm="1">
        <f t="array" aca="1" ref="B215" ca="1">IFERROR(IF(OR('Raw Data'!B215="",LEN(TRIM('Raw Data'!B215))=0),"",IF(AND(LEN('Raw Data'!B215) &lt;= 255,LEN('Raw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Data'!C215))=0),"",IF(AND(LEN('Raw Data'!C215) &lt;= 20,LEN('Raw Data'!C215)&gt; 0),"",_xlfn.REGEXEXTRACT(CELL("address",'Raw Data'!C215),"\$([A-Z]+)\$[0-9]+"))),_xlfn.REGEXEXTRACT(CELL("address",'Raw Data'!C215),"\$([A-Z]+)\$[0-9]+"))</f>
        <v/>
      </c>
      <c r="D215" s="7" t="str" cm="1">
        <f t="array" aca="1" ref="D215" ca="1">IFERROR(IF(OR('Raw Data'!D215="",LEN(TRIM('Raw Data'!D215))=0),"",IF(AND(ISNUMBER('Raw Data'!D215),'Raw Data'!D215&gt;=Configuration!$D$2),"",_xlfn.REGEXEXTRACT(CELL("address",'Raw Data'!D215),"\$([A-Z]+)\$[0-9]+"))),_xlfn.REGEXEXTRACT(CELL("address",D215), "\$([A-Z]+)\$[0-9]+"))</f>
        <v/>
      </c>
      <c r="E215" s="7" t="str" cm="1">
        <f t="array" aca="1" ref="E215" ca="1">IFERROR(IF(OR('Raw Data'!E215="",LEN(TRIM('Raw Data'!E215))=0),"",IF(AND(ISNUMBER('Raw Data'!E215), IFERROR('Raw Data'!E215 = ROUND('Raw Data'!E215, 2),FALSE)),"",_xlfn.REGEXEXTRACT(CELL("address",E215), "\$([A-Z]+)\$[0-9]+"))),_xlfn.REGEXEXTRACT(CELL("address",E215), "\$([A-Z]+)\$[0-9]+"))</f>
        <v/>
      </c>
      <c r="F215" s="7" t="str" cm="1">
        <f t="array" aca="1" ref="F215" ca="1">IFERROR(IF(OR('Raw Data'!F215="",LEN(TRIM('Raw Data'!F215))=0),"",IF(AND(ISNUMBER('Raw Data'!F215), IFERROR('Raw Data'!F215 = ROUND('Raw Data'!F215, 2),FALSE)),"",_xlfn.REGEXEXTRACT(CELL("address",F215), "\$([A-Z]+)\$[0-9]+"))),_xlfn.REGEXEXTRACT(CELL("address",F215), "\$([A-Z]+)\$[0-9]+"))</f>
        <v/>
      </c>
      <c r="G215" s="7" t="str" cm="1">
        <f t="array" aca="1" ref="G215" ca="1">IFERROR(IF(OR('Raw Data'!G215="",LEN(TRIM('Raw Data'!G215))=0),"",IF(AND(ISNUMBER('Raw Data'!G215), IFERROR('Raw Data'!G215 = ROUND('Raw Data'!G215, 2),FALSE)),"",_xlfn.REGEXEXTRACT(CELL("address",G215), "\$([A-Z]+)\$[0-9]+"))),_xlfn.REGEXEXTRACT(CELL("address",G215), "\$([A-Z]+)\$[0-9]+"))</f>
        <v/>
      </c>
      <c r="H215" s="7" t="str" cm="1">
        <f t="array" aca="1" ref="H215" ca="1">IFERROR(IF(OR('Raw Data'!H215="",LEN(TRIM('Raw Data'!H215))=0),"",IF(AND(ISNUMBER('Raw Data'!H215), IFERROR('Raw Data'!H215 = ROUND('Raw Data'!H215, 2),FALSE)),"",_xlfn.REGEXEXTRACT(CELL("address",H215), "\$([A-Z]+)\$[0-9]+"))),_xlfn.REGEXEXTRACT(CELL("address",H215), "\$([A-Z]+)\$[0-9]+"))</f>
        <v/>
      </c>
      <c r="I215" s="7" t="str" cm="1">
        <f t="array" aca="1" ref="I215" ca="1">IFERROR(IF(OR('Raw Data'!I215="",LEN(TRIM('Raw Data'!I215))=0),"",IF(AND(ISNUMBER('Raw Data'!I215), IFERROR('Raw Data'!I215 = ROUND('Raw Data'!I215, 2),FALSE)),"",_xlfn.REGEXEXTRACT(CELL("address",I215), "\$([A-Z]+)\$[0-9]+"))),_xlfn.REGEXEXTRACT(CELL("address",I215), "\$([A-Z]+)\$[0-9]+"))</f>
        <v/>
      </c>
      <c r="J215" s="7" t="str" cm="1">
        <f t="array" aca="1" ref="J215" ca="1">IFERROR(IF(OR('Raw Data'!J215="",LEN(TRIM('Raw Data'!J215))=0),"",IF(AND(ISNUMBER('Raw Data'!J215), IFERROR('Raw Data'!J215 = ROUND('Raw Data'!J215, 2),FALSE)),"",_xlfn.REGEXEXTRACT(CELL("address",J215), "\$([A-Z]+)\$[0-9]+"))),_xlfn.REGEXEXTRACT(CELL("address",J215), "\$([A-Z]+)\$[0-9]+"))</f>
        <v/>
      </c>
      <c r="K215" s="7" t="str" cm="1">
        <f t="array" aca="1" ref="K215" ca="1">IFERROR(IF(OR('Raw Data'!K215="",LEN(TRIM('Raw Data'!K215))=0),"",IF(AND(ISNUMBER('Raw Data'!K215), IFERROR('Raw Data'!K215 = ROUND('Raw Data'!K215, 2),FALSE)),"",_xlfn.REGEXEXTRACT(CELL("address",K215), "\$([A-Z]+)\$[0-9]+"))),_xlfn.REGEXEXTRACT(CELL("address",K215), "\$([A-Z]+)\$[0-9]+"))</f>
        <v/>
      </c>
      <c r="L215" s="7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7" t="str" cm="1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7" t="str" cm="1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  <c r="O215" s="7" t="str" cm="1">
        <f t="array" aca="1" ref="O215" ca="1">IFERROR(IF(OR('Raw Data'!O215="",LEN(TRIM('Raw Data'!O215))=0),"",IF(AND(ISNUMBER('Raw Data'!O215), IFERROR('Raw Data'!O215 = ROUND('Raw Data'!O215, 2),FALSE)),"",_xlfn.REGEXEXTRACT(CELL("address",O215), "\$([A-Z]+)\$[0-9]+"))),_xlfn.REGEXEXTRACT(CELL("address",O215), "\$([A-Z]+)\$[0-9]+"))</f>
        <v/>
      </c>
      <c r="P215" s="7" t="str" cm="1">
        <f t="array" aca="1" ref="P215" ca="1">IFERROR(IF(OR('Raw Data'!P215="",LEN(TRIM('Raw Data'!P215))=0),"",IF(AND(ISNUMBER('Raw Data'!P215), IFERROR('Raw Data'!P215 = ROUND('Raw Data'!P215, 2),FALSE)),"",_xlfn.REGEXEXTRACT(CELL("address",P215), "\$([A-Z]+)\$[0-9]+"))),_xlfn.REGEXEXTRACT(CELL("address",P215), "\$([A-Z]+)\$[0-9]+"))</f>
        <v/>
      </c>
      <c r="Q215" s="7" t="str" cm="1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7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7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7" t="str" cm="1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7" t="str" cm="1">
        <f t="array" aca="1" ref="U215" ca="1">IFERROR(IF(OR('Raw Data'!U215="",LEN(TRIM('Raw Data'!U215))=0),"",IF(AND(ISNUMBER('Raw Data'!U215), IFERROR('Raw Data'!U215 = ROUND('Raw Data'!U215, 2),FALSE)),"",_xlfn.REGEXEXTRACT(CELL("address",U215), "\$([A-Z]+)\$[0-9]+"))),_xlfn.REGEXEXTRACT(CELL("address",U215), "\$([A-Z]+)\$[0-9]+"))</f>
        <v/>
      </c>
      <c r="V215" s="7" t="str" cm="1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7" t="str" cm="1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7" t="str" cm="1">
        <f t="array" aca="1" ref="X215" ca="1">IFERROR(IF(OR('Raw Data'!X215="",LEN(TRIM('Raw Data'!X215))=0),"",IF(AND(ISNUMBER('Raw Data'!X215), IFERROR('Raw Data'!X215 = ROUND('Raw Data'!X215, 2),FALSE)),"",_xlfn.REGEXEXTRACT(CELL("address",X215), "\$([A-Z]+)\$[0-9]+"))),_xlfn.REGEXEXTRACT(CELL("address",X215), "\$([A-Z]+)\$[0-9]+"))</f>
        <v/>
      </c>
      <c r="Y215" s="7" t="str" cm="1">
        <f t="array" aca="1" ref="Y215" ca="1">IFERROR(IF(OR('Raw Data'!Y215="",LEN(TRIM('Raw Data'!Y215))=0),"",IF(AND(ISNUMBER('Raw Data'!Y215), IFERROR('Raw Data'!Y215 = ROUND('Raw Data'!Y215, 2),FALSE)),"",_xlfn.REGEXEXTRACT(CELL("address",Y215), "\$([A-Z]+)\$[0-9]+"))),_xlfn.REGEXEXTRACT(CELL("address",Y215), "\$([A-Z]+)\$[0-9]+"))</f>
        <v/>
      </c>
      <c r="Z215" s="7" t="str" cm="1">
        <f t="array" aca="1" ref="Z215" ca="1">IFERROR(IF(OR('Raw Data'!Z215="",LEN(TRIM('Raw Data'!Z215))=0),"",IF(AND(ISNUMBER('Raw Data'!Z215), IFERROR('Raw Data'!Z215 = ROUND('Raw Data'!Z215, 2),FALSE)),"",_xlfn.REGEXEXTRACT(CELL("address",Z215), "\$([A-Z]+)\$[0-9]+"))),_xlfn.REGEXEXTRACT(CELL("address",Z215), "\$([A-Z]+)\$[0-9]+"))</f>
        <v/>
      </c>
      <c r="AA215" s="7" t="str" cm="1">
        <f t="array" aca="1" ref="AA215" ca="1">IFERROR(IF(OR('Raw Data'!AA215="",LEN(TRIM('Raw Data'!AA215))=0),"",IF(AND(ISNUMBER('Raw Data'!AA215), IFERROR('Raw Data'!AA215 = ROUND('Raw Data'!AA215, 2),FALSE)),"",_xlfn.REGEXEXTRACT(CELL("address",AA215), "\$([A-Z]+)\$[0-9]+"))),_xlfn.REGEXEXTRACT(CELL("address",AA215), "\$([A-Z]+)\$[0-9]+"))</f>
        <v/>
      </c>
      <c r="AB215" s="7" t="str" cm="1">
        <f t="array" aca="1" ref="AB215" ca="1">IFERROR(IF(OR('Raw Data'!AB215="",LEN(TRIM('Raw Data'!AB215))=0),"",IF(AND(ISNUMBER('Raw Data'!AB215), IFERROR('Raw Data'!AB215 = ROUND('Raw Data'!AB215, 2),FALSE)),"",_xlfn.REGEXEXTRACT(CELL("address",AB215), "\$([A-Z]+)\$[0-9]+"))),_xlfn.REGEXEXTRACT(CELL("address",AB215), "\$([A-Z]+)\$[0-9]+"))</f>
        <v/>
      </c>
    </row>
    <row r="216" spans="2:28" x14ac:dyDescent="0.25">
      <c r="B216" s="7" t="str" cm="1">
        <f t="array" aca="1" ref="B216" ca="1">IFERROR(IF(OR('Raw Data'!B216="",LEN(TRIM('Raw Data'!B216))=0),"",IF(AND(LEN('Raw Data'!B216) &lt;= 255,LEN('Raw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Data'!C216))=0),"",IF(AND(LEN('Raw Data'!C216) &lt;= 20,LEN('Raw Data'!C216)&gt; 0),"",_xlfn.REGEXEXTRACT(CELL("address",'Raw Data'!C216),"\$([A-Z]+)\$[0-9]+"))),_xlfn.REGEXEXTRACT(CELL("address",'Raw Data'!C216),"\$([A-Z]+)\$[0-9]+"))</f>
        <v/>
      </c>
      <c r="D216" s="7" t="str" cm="1">
        <f t="array" aca="1" ref="D216" ca="1">IFERROR(IF(OR('Raw Data'!D216="",LEN(TRIM('Raw Data'!D216))=0),"",IF(AND(ISNUMBER('Raw Data'!D216),'Raw Data'!D216&gt;=Configuration!$D$2),"",_xlfn.REGEXEXTRACT(CELL("address",'Raw Data'!D216),"\$([A-Z]+)\$[0-9]+"))),_xlfn.REGEXEXTRACT(CELL("address",D216), "\$([A-Z]+)\$[0-9]+"))</f>
        <v/>
      </c>
      <c r="E216" s="7" t="str" cm="1">
        <f t="array" aca="1" ref="E216" ca="1">IFERROR(IF(OR('Raw Data'!E216="",LEN(TRIM('Raw Data'!E216))=0),"",IF(AND(ISNUMBER('Raw Data'!E216), IFERROR('Raw Data'!E216 = ROUND('Raw Data'!E216, 2),FALSE)),"",_xlfn.REGEXEXTRACT(CELL("address",E216), "\$([A-Z]+)\$[0-9]+"))),_xlfn.REGEXEXTRACT(CELL("address",E216), "\$([A-Z]+)\$[0-9]+"))</f>
        <v/>
      </c>
      <c r="F216" s="7" t="str" cm="1">
        <f t="array" aca="1" ref="F216" ca="1">IFERROR(IF(OR('Raw Data'!F216="",LEN(TRIM('Raw Data'!F216))=0),"",IF(AND(ISNUMBER('Raw Data'!F216), IFERROR('Raw Data'!F216 = ROUND('Raw Data'!F216, 2),FALSE)),"",_xlfn.REGEXEXTRACT(CELL("address",F216), "\$([A-Z]+)\$[0-9]+"))),_xlfn.REGEXEXTRACT(CELL("address",F216), "\$([A-Z]+)\$[0-9]+"))</f>
        <v/>
      </c>
      <c r="G216" s="7" t="str" cm="1">
        <f t="array" aca="1" ref="G216" ca="1">IFERROR(IF(OR('Raw Data'!G216="",LEN(TRIM('Raw Data'!G216))=0),"",IF(AND(ISNUMBER('Raw Data'!G216), IFERROR('Raw Data'!G216 = ROUND('Raw Data'!G216, 2),FALSE)),"",_xlfn.REGEXEXTRACT(CELL("address",G216), "\$([A-Z]+)\$[0-9]+"))),_xlfn.REGEXEXTRACT(CELL("address",G216), "\$([A-Z]+)\$[0-9]+"))</f>
        <v/>
      </c>
      <c r="H216" s="7" t="str" cm="1">
        <f t="array" aca="1" ref="H216" ca="1">IFERROR(IF(OR('Raw Data'!H216="",LEN(TRIM('Raw Data'!H216))=0),"",IF(AND(ISNUMBER('Raw Data'!H216), IFERROR('Raw Data'!H216 = ROUND('Raw Data'!H216, 2),FALSE)),"",_xlfn.REGEXEXTRACT(CELL("address",H216), "\$([A-Z]+)\$[0-9]+"))),_xlfn.REGEXEXTRACT(CELL("address",H216), "\$([A-Z]+)\$[0-9]+"))</f>
        <v/>
      </c>
      <c r="I216" s="7" t="str" cm="1">
        <f t="array" aca="1" ref="I216" ca="1">IFERROR(IF(OR('Raw Data'!I216="",LEN(TRIM('Raw Data'!I216))=0),"",IF(AND(ISNUMBER('Raw Data'!I216), IFERROR('Raw Data'!I216 = ROUND('Raw Data'!I216, 2),FALSE)),"",_xlfn.REGEXEXTRACT(CELL("address",I216), "\$([A-Z]+)\$[0-9]+"))),_xlfn.REGEXEXTRACT(CELL("address",I216), "\$([A-Z]+)\$[0-9]+"))</f>
        <v/>
      </c>
      <c r="J216" s="7" t="str" cm="1">
        <f t="array" aca="1" ref="J216" ca="1">IFERROR(IF(OR('Raw Data'!J216="",LEN(TRIM('Raw Data'!J216))=0),"",IF(AND(ISNUMBER('Raw Data'!J216), IFERROR('Raw Data'!J216 = ROUND('Raw Data'!J216, 2),FALSE)),"",_xlfn.REGEXEXTRACT(CELL("address",J216), "\$([A-Z]+)\$[0-9]+"))),_xlfn.REGEXEXTRACT(CELL("address",J216), "\$([A-Z]+)\$[0-9]+"))</f>
        <v/>
      </c>
      <c r="K216" s="7" t="str" cm="1">
        <f t="array" aca="1" ref="K216" ca="1">IFERROR(IF(OR('Raw Data'!K216="",LEN(TRIM('Raw Data'!K216))=0),"",IF(AND(ISNUMBER('Raw Data'!K216), IFERROR('Raw Data'!K216 = ROUND('Raw Data'!K216, 2),FALSE)),"",_xlfn.REGEXEXTRACT(CELL("address",K216), "\$([A-Z]+)\$[0-9]+"))),_xlfn.REGEXEXTRACT(CELL("address",K216), "\$([A-Z]+)\$[0-9]+"))</f>
        <v/>
      </c>
      <c r="L216" s="7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7" t="str" cm="1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7" t="str" cm="1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  <c r="O216" s="7" t="str" cm="1">
        <f t="array" aca="1" ref="O216" ca="1">IFERROR(IF(OR('Raw Data'!O216="",LEN(TRIM('Raw Data'!O216))=0),"",IF(AND(ISNUMBER('Raw Data'!O216), IFERROR('Raw Data'!O216 = ROUND('Raw Data'!O216, 2),FALSE)),"",_xlfn.REGEXEXTRACT(CELL("address",O216), "\$([A-Z]+)\$[0-9]+"))),_xlfn.REGEXEXTRACT(CELL("address",O216), "\$([A-Z]+)\$[0-9]+"))</f>
        <v/>
      </c>
      <c r="P216" s="7" t="str" cm="1">
        <f t="array" aca="1" ref="P216" ca="1">IFERROR(IF(OR('Raw Data'!P216="",LEN(TRIM('Raw Data'!P216))=0),"",IF(AND(ISNUMBER('Raw Data'!P216), IFERROR('Raw Data'!P216 = ROUND('Raw Data'!P216, 2),FALSE)),"",_xlfn.REGEXEXTRACT(CELL("address",P216), "\$([A-Z]+)\$[0-9]+"))),_xlfn.REGEXEXTRACT(CELL("address",P216), "\$([A-Z]+)\$[0-9]+"))</f>
        <v/>
      </c>
      <c r="Q216" s="7" t="str" cm="1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7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7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7" t="str" cm="1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7" t="str" cm="1">
        <f t="array" aca="1" ref="U216" ca="1">IFERROR(IF(OR('Raw Data'!U216="",LEN(TRIM('Raw Data'!U216))=0),"",IF(AND(ISNUMBER('Raw Data'!U216), IFERROR('Raw Data'!U216 = ROUND('Raw Data'!U216, 2),FALSE)),"",_xlfn.REGEXEXTRACT(CELL("address",U216), "\$([A-Z]+)\$[0-9]+"))),_xlfn.REGEXEXTRACT(CELL("address",U216), "\$([A-Z]+)\$[0-9]+"))</f>
        <v/>
      </c>
      <c r="V216" s="7" t="str" cm="1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7" t="str" cm="1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7" t="str" cm="1">
        <f t="array" aca="1" ref="X216" ca="1">IFERROR(IF(OR('Raw Data'!X216="",LEN(TRIM('Raw Data'!X216))=0),"",IF(AND(ISNUMBER('Raw Data'!X216), IFERROR('Raw Data'!X216 = ROUND('Raw Data'!X216, 2),FALSE)),"",_xlfn.REGEXEXTRACT(CELL("address",X216), "\$([A-Z]+)\$[0-9]+"))),_xlfn.REGEXEXTRACT(CELL("address",X216), "\$([A-Z]+)\$[0-9]+"))</f>
        <v/>
      </c>
      <c r="Y216" s="7" t="str" cm="1">
        <f t="array" aca="1" ref="Y216" ca="1">IFERROR(IF(OR('Raw Data'!Y216="",LEN(TRIM('Raw Data'!Y216))=0),"",IF(AND(ISNUMBER('Raw Data'!Y216), IFERROR('Raw Data'!Y216 = ROUND('Raw Data'!Y216, 2),FALSE)),"",_xlfn.REGEXEXTRACT(CELL("address",Y216), "\$([A-Z]+)\$[0-9]+"))),_xlfn.REGEXEXTRACT(CELL("address",Y216), "\$([A-Z]+)\$[0-9]+"))</f>
        <v/>
      </c>
      <c r="Z216" s="7" t="str" cm="1">
        <f t="array" aca="1" ref="Z216" ca="1">IFERROR(IF(OR('Raw Data'!Z216="",LEN(TRIM('Raw Data'!Z216))=0),"",IF(AND(ISNUMBER('Raw Data'!Z216), IFERROR('Raw Data'!Z216 = ROUND('Raw Data'!Z216, 2),FALSE)),"",_xlfn.REGEXEXTRACT(CELL("address",Z216), "\$([A-Z]+)\$[0-9]+"))),_xlfn.REGEXEXTRACT(CELL("address",Z216), "\$([A-Z]+)\$[0-9]+"))</f>
        <v/>
      </c>
      <c r="AA216" s="7" t="str" cm="1">
        <f t="array" aca="1" ref="AA216" ca="1">IFERROR(IF(OR('Raw Data'!AA216="",LEN(TRIM('Raw Data'!AA216))=0),"",IF(AND(ISNUMBER('Raw Data'!AA216), IFERROR('Raw Data'!AA216 = ROUND('Raw Data'!AA216, 2),FALSE)),"",_xlfn.REGEXEXTRACT(CELL("address",AA216), "\$([A-Z]+)\$[0-9]+"))),_xlfn.REGEXEXTRACT(CELL("address",AA216), "\$([A-Z]+)\$[0-9]+"))</f>
        <v/>
      </c>
      <c r="AB216" s="7" t="str" cm="1">
        <f t="array" aca="1" ref="AB216" ca="1">IFERROR(IF(OR('Raw Data'!AB216="",LEN(TRIM('Raw Data'!AB216))=0),"",IF(AND(ISNUMBER('Raw Data'!AB216), IFERROR('Raw Data'!AB216 = ROUND('Raw Data'!AB216, 2),FALSE)),"",_xlfn.REGEXEXTRACT(CELL("address",AB216), "\$([A-Z]+)\$[0-9]+"))),_xlfn.REGEXEXTRACT(CELL("address",AB216), "\$([A-Z]+)\$[0-9]+"))</f>
        <v/>
      </c>
    </row>
    <row r="217" spans="2:28" x14ac:dyDescent="0.25">
      <c r="B217" s="7" t="str" cm="1">
        <f t="array" aca="1" ref="B217" ca="1">IFERROR(IF(OR('Raw Data'!B217="",LEN(TRIM('Raw Data'!B217))=0),"",IF(AND(LEN('Raw Data'!B217) &lt;= 255,LEN('Raw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Data'!C217))=0),"",IF(AND(LEN('Raw Data'!C217) &lt;= 20,LEN('Raw Data'!C217)&gt; 0),"",_xlfn.REGEXEXTRACT(CELL("address",'Raw Data'!C217),"\$([A-Z]+)\$[0-9]+"))),_xlfn.REGEXEXTRACT(CELL("address",'Raw Data'!C217),"\$([A-Z]+)\$[0-9]+"))</f>
        <v/>
      </c>
      <c r="D217" s="7" t="str" cm="1">
        <f t="array" aca="1" ref="D217" ca="1">IFERROR(IF(OR('Raw Data'!D217="",LEN(TRIM('Raw Data'!D217))=0),"",IF(AND(ISNUMBER('Raw Data'!D217),'Raw Data'!D217&gt;=Configuration!$D$2),"",_xlfn.REGEXEXTRACT(CELL("address",'Raw Data'!D217),"\$([A-Z]+)\$[0-9]+"))),_xlfn.REGEXEXTRACT(CELL("address",D217), "\$([A-Z]+)\$[0-9]+"))</f>
        <v/>
      </c>
      <c r="E217" s="7" t="str" cm="1">
        <f t="array" aca="1" ref="E217" ca="1">IFERROR(IF(OR('Raw Data'!E217="",LEN(TRIM('Raw Data'!E217))=0),"",IF(AND(ISNUMBER('Raw Data'!E217), IFERROR('Raw Data'!E217 = ROUND('Raw Data'!E217, 2),FALSE)),"",_xlfn.REGEXEXTRACT(CELL("address",E217), "\$([A-Z]+)\$[0-9]+"))),_xlfn.REGEXEXTRACT(CELL("address",E217), "\$([A-Z]+)\$[0-9]+"))</f>
        <v/>
      </c>
      <c r="F217" s="7" t="str" cm="1">
        <f t="array" aca="1" ref="F217" ca="1">IFERROR(IF(OR('Raw Data'!F217="",LEN(TRIM('Raw Data'!F217))=0),"",IF(AND(ISNUMBER('Raw Data'!F217), IFERROR('Raw Data'!F217 = ROUND('Raw Data'!F217, 2),FALSE)),"",_xlfn.REGEXEXTRACT(CELL("address",F217), "\$([A-Z]+)\$[0-9]+"))),_xlfn.REGEXEXTRACT(CELL("address",F217), "\$([A-Z]+)\$[0-9]+"))</f>
        <v/>
      </c>
      <c r="G217" s="7" t="str" cm="1">
        <f t="array" aca="1" ref="G217" ca="1">IFERROR(IF(OR('Raw Data'!G217="",LEN(TRIM('Raw Data'!G217))=0),"",IF(AND(ISNUMBER('Raw Data'!G217), IFERROR('Raw Data'!G217 = ROUND('Raw Data'!G217, 2),FALSE)),"",_xlfn.REGEXEXTRACT(CELL("address",G217), "\$([A-Z]+)\$[0-9]+"))),_xlfn.REGEXEXTRACT(CELL("address",G217), "\$([A-Z]+)\$[0-9]+"))</f>
        <v/>
      </c>
      <c r="H217" s="7" t="str" cm="1">
        <f t="array" aca="1" ref="H217" ca="1">IFERROR(IF(OR('Raw Data'!H217="",LEN(TRIM('Raw Data'!H217))=0),"",IF(AND(ISNUMBER('Raw Data'!H217), IFERROR('Raw Data'!H217 = ROUND('Raw Data'!H217, 2),FALSE)),"",_xlfn.REGEXEXTRACT(CELL("address",H217), "\$([A-Z]+)\$[0-9]+"))),_xlfn.REGEXEXTRACT(CELL("address",H217), "\$([A-Z]+)\$[0-9]+"))</f>
        <v/>
      </c>
      <c r="I217" s="7" t="str" cm="1">
        <f t="array" aca="1" ref="I217" ca="1">IFERROR(IF(OR('Raw Data'!I217="",LEN(TRIM('Raw Data'!I217))=0),"",IF(AND(ISNUMBER('Raw Data'!I217), IFERROR('Raw Data'!I217 = ROUND('Raw Data'!I217, 2),FALSE)),"",_xlfn.REGEXEXTRACT(CELL("address",I217), "\$([A-Z]+)\$[0-9]+"))),_xlfn.REGEXEXTRACT(CELL("address",I217), "\$([A-Z]+)\$[0-9]+"))</f>
        <v/>
      </c>
      <c r="J217" s="7" t="str" cm="1">
        <f t="array" aca="1" ref="J217" ca="1">IFERROR(IF(OR('Raw Data'!J217="",LEN(TRIM('Raw Data'!J217))=0),"",IF(AND(ISNUMBER('Raw Data'!J217), IFERROR('Raw Data'!J217 = ROUND('Raw Data'!J217, 2),FALSE)),"",_xlfn.REGEXEXTRACT(CELL("address",J217), "\$([A-Z]+)\$[0-9]+"))),_xlfn.REGEXEXTRACT(CELL("address",J217), "\$([A-Z]+)\$[0-9]+"))</f>
        <v/>
      </c>
      <c r="K217" s="7" t="str" cm="1">
        <f t="array" aca="1" ref="K217" ca="1">IFERROR(IF(OR('Raw Data'!K217="",LEN(TRIM('Raw Data'!K217))=0),"",IF(AND(ISNUMBER('Raw Data'!K217), IFERROR('Raw Data'!K217 = ROUND('Raw Data'!K217, 2),FALSE)),"",_xlfn.REGEXEXTRACT(CELL("address",K217), "\$([A-Z]+)\$[0-9]+"))),_xlfn.REGEXEXTRACT(CELL("address",K217), "\$([A-Z]+)\$[0-9]+"))</f>
        <v/>
      </c>
      <c r="L217" s="7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7" t="str" cm="1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7" t="str" cm="1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  <c r="O217" s="7" t="str" cm="1">
        <f t="array" aca="1" ref="O217" ca="1">IFERROR(IF(OR('Raw Data'!O217="",LEN(TRIM('Raw Data'!O217))=0),"",IF(AND(ISNUMBER('Raw Data'!O217), IFERROR('Raw Data'!O217 = ROUND('Raw Data'!O217, 2),FALSE)),"",_xlfn.REGEXEXTRACT(CELL("address",O217), "\$([A-Z]+)\$[0-9]+"))),_xlfn.REGEXEXTRACT(CELL("address",O217), "\$([A-Z]+)\$[0-9]+"))</f>
        <v/>
      </c>
      <c r="P217" s="7" t="str" cm="1">
        <f t="array" aca="1" ref="P217" ca="1">IFERROR(IF(OR('Raw Data'!P217="",LEN(TRIM('Raw Data'!P217))=0),"",IF(AND(ISNUMBER('Raw Data'!P217), IFERROR('Raw Data'!P217 = ROUND('Raw Data'!P217, 2),FALSE)),"",_xlfn.REGEXEXTRACT(CELL("address",P217), "\$([A-Z]+)\$[0-9]+"))),_xlfn.REGEXEXTRACT(CELL("address",P217), "\$([A-Z]+)\$[0-9]+"))</f>
        <v/>
      </c>
      <c r="Q217" s="7" t="str" cm="1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7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7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7" t="str" cm="1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7" t="str" cm="1">
        <f t="array" aca="1" ref="U217" ca="1">IFERROR(IF(OR('Raw Data'!U217="",LEN(TRIM('Raw Data'!U217))=0),"",IF(AND(ISNUMBER('Raw Data'!U217), IFERROR('Raw Data'!U217 = ROUND('Raw Data'!U217, 2),FALSE)),"",_xlfn.REGEXEXTRACT(CELL("address",U217), "\$([A-Z]+)\$[0-9]+"))),_xlfn.REGEXEXTRACT(CELL("address",U217), "\$([A-Z]+)\$[0-9]+"))</f>
        <v/>
      </c>
      <c r="V217" s="7" t="str" cm="1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7" t="str" cm="1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7" t="str" cm="1">
        <f t="array" aca="1" ref="X217" ca="1">IFERROR(IF(OR('Raw Data'!X217="",LEN(TRIM('Raw Data'!X217))=0),"",IF(AND(ISNUMBER('Raw Data'!X217), IFERROR('Raw Data'!X217 = ROUND('Raw Data'!X217, 2),FALSE)),"",_xlfn.REGEXEXTRACT(CELL("address",X217), "\$([A-Z]+)\$[0-9]+"))),_xlfn.REGEXEXTRACT(CELL("address",X217), "\$([A-Z]+)\$[0-9]+"))</f>
        <v/>
      </c>
      <c r="Y217" s="7" t="str" cm="1">
        <f t="array" aca="1" ref="Y217" ca="1">IFERROR(IF(OR('Raw Data'!Y217="",LEN(TRIM('Raw Data'!Y217))=0),"",IF(AND(ISNUMBER('Raw Data'!Y217), IFERROR('Raw Data'!Y217 = ROUND('Raw Data'!Y217, 2),FALSE)),"",_xlfn.REGEXEXTRACT(CELL("address",Y217), "\$([A-Z]+)\$[0-9]+"))),_xlfn.REGEXEXTRACT(CELL("address",Y217), "\$([A-Z]+)\$[0-9]+"))</f>
        <v/>
      </c>
      <c r="Z217" s="7" t="str" cm="1">
        <f t="array" aca="1" ref="Z217" ca="1">IFERROR(IF(OR('Raw Data'!Z217="",LEN(TRIM('Raw Data'!Z217))=0),"",IF(AND(ISNUMBER('Raw Data'!Z217), IFERROR('Raw Data'!Z217 = ROUND('Raw Data'!Z217, 2),FALSE)),"",_xlfn.REGEXEXTRACT(CELL("address",Z217), "\$([A-Z]+)\$[0-9]+"))),_xlfn.REGEXEXTRACT(CELL("address",Z217), "\$([A-Z]+)\$[0-9]+"))</f>
        <v/>
      </c>
      <c r="AA217" s="7" t="str" cm="1">
        <f t="array" aca="1" ref="AA217" ca="1">IFERROR(IF(OR('Raw Data'!AA217="",LEN(TRIM('Raw Data'!AA217))=0),"",IF(AND(ISNUMBER('Raw Data'!AA217), IFERROR('Raw Data'!AA217 = ROUND('Raw Data'!AA217, 2),FALSE)),"",_xlfn.REGEXEXTRACT(CELL("address",AA217), "\$([A-Z]+)\$[0-9]+"))),_xlfn.REGEXEXTRACT(CELL("address",AA217), "\$([A-Z]+)\$[0-9]+"))</f>
        <v/>
      </c>
      <c r="AB217" s="7" t="str" cm="1">
        <f t="array" aca="1" ref="AB217" ca="1">IFERROR(IF(OR('Raw Data'!AB217="",LEN(TRIM('Raw Data'!AB217))=0),"",IF(AND(ISNUMBER('Raw Data'!AB217), IFERROR('Raw Data'!AB217 = ROUND('Raw Data'!AB217, 2),FALSE)),"",_xlfn.REGEXEXTRACT(CELL("address",AB217), "\$([A-Z]+)\$[0-9]+"))),_xlfn.REGEXEXTRACT(CELL("address",AB217), "\$([A-Z]+)\$[0-9]+"))</f>
        <v/>
      </c>
    </row>
    <row r="218" spans="2:28" x14ac:dyDescent="0.25">
      <c r="B218" s="7" t="str" cm="1">
        <f t="array" aca="1" ref="B218" ca="1">IFERROR(IF(OR('Raw Data'!B218="",LEN(TRIM('Raw Data'!B218))=0),"",IF(AND(LEN('Raw Data'!B218) &lt;= 255,LEN('Raw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Data'!C218))=0),"",IF(AND(LEN('Raw Data'!C218) &lt;= 20,LEN('Raw Data'!C218)&gt; 0),"",_xlfn.REGEXEXTRACT(CELL("address",'Raw Data'!C218),"\$([A-Z]+)\$[0-9]+"))),_xlfn.REGEXEXTRACT(CELL("address",'Raw Data'!C218),"\$([A-Z]+)\$[0-9]+"))</f>
        <v/>
      </c>
      <c r="D218" s="7" t="str" cm="1">
        <f t="array" aca="1" ref="D218" ca="1">IFERROR(IF(OR('Raw Data'!D218="",LEN(TRIM('Raw Data'!D218))=0),"",IF(AND(ISNUMBER('Raw Data'!D218),'Raw Data'!D218&gt;=Configuration!$D$2),"",_xlfn.REGEXEXTRACT(CELL("address",'Raw Data'!D218),"\$([A-Z]+)\$[0-9]+"))),_xlfn.REGEXEXTRACT(CELL("address",D218), "\$([A-Z]+)\$[0-9]+"))</f>
        <v/>
      </c>
      <c r="E218" s="7" t="str" cm="1">
        <f t="array" aca="1" ref="E218" ca="1">IFERROR(IF(OR('Raw Data'!E218="",LEN(TRIM('Raw Data'!E218))=0),"",IF(AND(ISNUMBER('Raw Data'!E218), IFERROR('Raw Data'!E218 = ROUND('Raw Data'!E218, 2),FALSE)),"",_xlfn.REGEXEXTRACT(CELL("address",E218), "\$([A-Z]+)\$[0-9]+"))),_xlfn.REGEXEXTRACT(CELL("address",E218), "\$([A-Z]+)\$[0-9]+"))</f>
        <v/>
      </c>
      <c r="F218" s="7" t="str" cm="1">
        <f t="array" aca="1" ref="F218" ca="1">IFERROR(IF(OR('Raw Data'!F218="",LEN(TRIM('Raw Data'!F218))=0),"",IF(AND(ISNUMBER('Raw Data'!F218), IFERROR('Raw Data'!F218 = ROUND('Raw Data'!F218, 2),FALSE)),"",_xlfn.REGEXEXTRACT(CELL("address",F218), "\$([A-Z]+)\$[0-9]+"))),_xlfn.REGEXEXTRACT(CELL("address",F218), "\$([A-Z]+)\$[0-9]+"))</f>
        <v/>
      </c>
      <c r="G218" s="7" t="str" cm="1">
        <f t="array" aca="1" ref="G218" ca="1">IFERROR(IF(OR('Raw Data'!G218="",LEN(TRIM('Raw Data'!G218))=0),"",IF(AND(ISNUMBER('Raw Data'!G218), IFERROR('Raw Data'!G218 = ROUND('Raw Data'!G218, 2),FALSE)),"",_xlfn.REGEXEXTRACT(CELL("address",G218), "\$([A-Z]+)\$[0-9]+"))),_xlfn.REGEXEXTRACT(CELL("address",G218), "\$([A-Z]+)\$[0-9]+"))</f>
        <v/>
      </c>
      <c r="H218" s="7" t="str" cm="1">
        <f t="array" aca="1" ref="H218" ca="1">IFERROR(IF(OR('Raw Data'!H218="",LEN(TRIM('Raw Data'!H218))=0),"",IF(AND(ISNUMBER('Raw Data'!H218), IFERROR('Raw Data'!H218 = ROUND('Raw Data'!H218, 2),FALSE)),"",_xlfn.REGEXEXTRACT(CELL("address",H218), "\$([A-Z]+)\$[0-9]+"))),_xlfn.REGEXEXTRACT(CELL("address",H218), "\$([A-Z]+)\$[0-9]+"))</f>
        <v/>
      </c>
      <c r="I218" s="7" t="str" cm="1">
        <f t="array" aca="1" ref="I218" ca="1">IFERROR(IF(OR('Raw Data'!I218="",LEN(TRIM('Raw Data'!I218))=0),"",IF(AND(ISNUMBER('Raw Data'!I218), IFERROR('Raw Data'!I218 = ROUND('Raw Data'!I218, 2),FALSE)),"",_xlfn.REGEXEXTRACT(CELL("address",I218), "\$([A-Z]+)\$[0-9]+"))),_xlfn.REGEXEXTRACT(CELL("address",I218), "\$([A-Z]+)\$[0-9]+"))</f>
        <v/>
      </c>
      <c r="J218" s="7" t="str" cm="1">
        <f t="array" aca="1" ref="J218" ca="1">IFERROR(IF(OR('Raw Data'!J218="",LEN(TRIM('Raw Data'!J218))=0),"",IF(AND(ISNUMBER('Raw Data'!J218), IFERROR('Raw Data'!J218 = ROUND('Raw Data'!J218, 2),FALSE)),"",_xlfn.REGEXEXTRACT(CELL("address",J218), "\$([A-Z]+)\$[0-9]+"))),_xlfn.REGEXEXTRACT(CELL("address",J218), "\$([A-Z]+)\$[0-9]+"))</f>
        <v/>
      </c>
      <c r="K218" s="7" t="str" cm="1">
        <f t="array" aca="1" ref="K218" ca="1">IFERROR(IF(OR('Raw Data'!K218="",LEN(TRIM('Raw Data'!K218))=0),"",IF(AND(ISNUMBER('Raw Data'!K218), IFERROR('Raw Data'!K218 = ROUND('Raw Data'!K218, 2),FALSE)),"",_xlfn.REGEXEXTRACT(CELL("address",K218), "\$([A-Z]+)\$[0-9]+"))),_xlfn.REGEXEXTRACT(CELL("address",K218), "\$([A-Z]+)\$[0-9]+"))</f>
        <v/>
      </c>
      <c r="L218" s="7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7" t="str" cm="1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7" t="str" cm="1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  <c r="O218" s="7" t="str" cm="1">
        <f t="array" aca="1" ref="O218" ca="1">IFERROR(IF(OR('Raw Data'!O218="",LEN(TRIM('Raw Data'!O218))=0),"",IF(AND(ISNUMBER('Raw Data'!O218), IFERROR('Raw Data'!O218 = ROUND('Raw Data'!O218, 2),FALSE)),"",_xlfn.REGEXEXTRACT(CELL("address",O218), "\$([A-Z]+)\$[0-9]+"))),_xlfn.REGEXEXTRACT(CELL("address",O218), "\$([A-Z]+)\$[0-9]+"))</f>
        <v/>
      </c>
      <c r="P218" s="7" t="str" cm="1">
        <f t="array" aca="1" ref="P218" ca="1">IFERROR(IF(OR('Raw Data'!P218="",LEN(TRIM('Raw Data'!P218))=0),"",IF(AND(ISNUMBER('Raw Data'!P218), IFERROR('Raw Data'!P218 = ROUND('Raw Data'!P218, 2),FALSE)),"",_xlfn.REGEXEXTRACT(CELL("address",P218), "\$([A-Z]+)\$[0-9]+"))),_xlfn.REGEXEXTRACT(CELL("address",P218), "\$([A-Z]+)\$[0-9]+"))</f>
        <v/>
      </c>
      <c r="Q218" s="7" t="str" cm="1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7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7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7" t="str" cm="1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7" t="str" cm="1">
        <f t="array" aca="1" ref="U218" ca="1">IFERROR(IF(OR('Raw Data'!U218="",LEN(TRIM('Raw Data'!U218))=0),"",IF(AND(ISNUMBER('Raw Data'!U218), IFERROR('Raw Data'!U218 = ROUND('Raw Data'!U218, 2),FALSE)),"",_xlfn.REGEXEXTRACT(CELL("address",U218), "\$([A-Z]+)\$[0-9]+"))),_xlfn.REGEXEXTRACT(CELL("address",U218), "\$([A-Z]+)\$[0-9]+"))</f>
        <v/>
      </c>
      <c r="V218" s="7" t="str" cm="1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7" t="str" cm="1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7" t="str" cm="1">
        <f t="array" aca="1" ref="X218" ca="1">IFERROR(IF(OR('Raw Data'!X218="",LEN(TRIM('Raw Data'!X218))=0),"",IF(AND(ISNUMBER('Raw Data'!X218), IFERROR('Raw Data'!X218 = ROUND('Raw Data'!X218, 2),FALSE)),"",_xlfn.REGEXEXTRACT(CELL("address",X218), "\$([A-Z]+)\$[0-9]+"))),_xlfn.REGEXEXTRACT(CELL("address",X218), "\$([A-Z]+)\$[0-9]+"))</f>
        <v/>
      </c>
      <c r="Y218" s="7" t="str" cm="1">
        <f t="array" aca="1" ref="Y218" ca="1">IFERROR(IF(OR('Raw Data'!Y218="",LEN(TRIM('Raw Data'!Y218))=0),"",IF(AND(ISNUMBER('Raw Data'!Y218), IFERROR('Raw Data'!Y218 = ROUND('Raw Data'!Y218, 2),FALSE)),"",_xlfn.REGEXEXTRACT(CELL("address",Y218), "\$([A-Z]+)\$[0-9]+"))),_xlfn.REGEXEXTRACT(CELL("address",Y218), "\$([A-Z]+)\$[0-9]+"))</f>
        <v/>
      </c>
      <c r="Z218" s="7" t="str" cm="1">
        <f t="array" aca="1" ref="Z218" ca="1">IFERROR(IF(OR('Raw Data'!Z218="",LEN(TRIM('Raw Data'!Z218))=0),"",IF(AND(ISNUMBER('Raw Data'!Z218), IFERROR('Raw Data'!Z218 = ROUND('Raw Data'!Z218, 2),FALSE)),"",_xlfn.REGEXEXTRACT(CELL("address",Z218), "\$([A-Z]+)\$[0-9]+"))),_xlfn.REGEXEXTRACT(CELL("address",Z218), "\$([A-Z]+)\$[0-9]+"))</f>
        <v/>
      </c>
      <c r="AA218" s="7" t="str" cm="1">
        <f t="array" aca="1" ref="AA218" ca="1">IFERROR(IF(OR('Raw Data'!AA218="",LEN(TRIM('Raw Data'!AA218))=0),"",IF(AND(ISNUMBER('Raw Data'!AA218), IFERROR('Raw Data'!AA218 = ROUND('Raw Data'!AA218, 2),FALSE)),"",_xlfn.REGEXEXTRACT(CELL("address",AA218), "\$([A-Z]+)\$[0-9]+"))),_xlfn.REGEXEXTRACT(CELL("address",AA218), "\$([A-Z]+)\$[0-9]+"))</f>
        <v/>
      </c>
      <c r="AB218" s="7" t="str" cm="1">
        <f t="array" aca="1" ref="AB218" ca="1">IFERROR(IF(OR('Raw Data'!AB218="",LEN(TRIM('Raw Data'!AB218))=0),"",IF(AND(ISNUMBER('Raw Data'!AB218), IFERROR('Raw Data'!AB218 = ROUND('Raw Data'!AB218, 2),FALSE)),"",_xlfn.REGEXEXTRACT(CELL("address",AB218), "\$([A-Z]+)\$[0-9]+"))),_xlfn.REGEXEXTRACT(CELL("address",AB218), "\$([A-Z]+)\$[0-9]+"))</f>
        <v/>
      </c>
    </row>
    <row r="219" spans="2:28" x14ac:dyDescent="0.25">
      <c r="B219" s="7" t="str" cm="1">
        <f t="array" aca="1" ref="B219" ca="1">IFERROR(IF(OR('Raw Data'!B219="",LEN(TRIM('Raw Data'!B219))=0),"",IF(AND(LEN('Raw Data'!B219) &lt;= 255,LEN('Raw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Data'!C219))=0),"",IF(AND(LEN('Raw Data'!C219) &lt;= 20,LEN('Raw Data'!C219)&gt; 0),"",_xlfn.REGEXEXTRACT(CELL("address",'Raw Data'!C219),"\$([A-Z]+)\$[0-9]+"))),_xlfn.REGEXEXTRACT(CELL("address",'Raw Data'!C219),"\$([A-Z]+)\$[0-9]+"))</f>
        <v/>
      </c>
      <c r="D219" s="7" t="str" cm="1">
        <f t="array" aca="1" ref="D219" ca="1">IFERROR(IF(OR('Raw Data'!D219="",LEN(TRIM('Raw Data'!D219))=0),"",IF(AND(ISNUMBER('Raw Data'!D219),'Raw Data'!D219&gt;=Configuration!$D$2),"",_xlfn.REGEXEXTRACT(CELL("address",'Raw Data'!D219),"\$([A-Z]+)\$[0-9]+"))),_xlfn.REGEXEXTRACT(CELL("address",D219), "\$([A-Z]+)\$[0-9]+"))</f>
        <v/>
      </c>
      <c r="E219" s="7" t="str" cm="1">
        <f t="array" aca="1" ref="E219" ca="1">IFERROR(IF(OR('Raw Data'!E219="",LEN(TRIM('Raw Data'!E219))=0),"",IF(AND(ISNUMBER('Raw Data'!E219), IFERROR('Raw Data'!E219 = ROUND('Raw Data'!E219, 2),FALSE)),"",_xlfn.REGEXEXTRACT(CELL("address",E219), "\$([A-Z]+)\$[0-9]+"))),_xlfn.REGEXEXTRACT(CELL("address",E219), "\$([A-Z]+)\$[0-9]+"))</f>
        <v/>
      </c>
      <c r="F219" s="7" t="str" cm="1">
        <f t="array" aca="1" ref="F219" ca="1">IFERROR(IF(OR('Raw Data'!F219="",LEN(TRIM('Raw Data'!F219))=0),"",IF(AND(ISNUMBER('Raw Data'!F219), IFERROR('Raw Data'!F219 = ROUND('Raw Data'!F219, 2),FALSE)),"",_xlfn.REGEXEXTRACT(CELL("address",F219), "\$([A-Z]+)\$[0-9]+"))),_xlfn.REGEXEXTRACT(CELL("address",F219), "\$([A-Z]+)\$[0-9]+"))</f>
        <v/>
      </c>
      <c r="G219" s="7" t="str" cm="1">
        <f t="array" aca="1" ref="G219" ca="1">IFERROR(IF(OR('Raw Data'!G219="",LEN(TRIM('Raw Data'!G219))=0),"",IF(AND(ISNUMBER('Raw Data'!G219), IFERROR('Raw Data'!G219 = ROUND('Raw Data'!G219, 2),FALSE)),"",_xlfn.REGEXEXTRACT(CELL("address",G219), "\$([A-Z]+)\$[0-9]+"))),_xlfn.REGEXEXTRACT(CELL("address",G219), "\$([A-Z]+)\$[0-9]+"))</f>
        <v/>
      </c>
      <c r="H219" s="7" t="str" cm="1">
        <f t="array" aca="1" ref="H219" ca="1">IFERROR(IF(OR('Raw Data'!H219="",LEN(TRIM('Raw Data'!H219))=0),"",IF(AND(ISNUMBER('Raw Data'!H219), IFERROR('Raw Data'!H219 = ROUND('Raw Data'!H219, 2),FALSE)),"",_xlfn.REGEXEXTRACT(CELL("address",H219), "\$([A-Z]+)\$[0-9]+"))),_xlfn.REGEXEXTRACT(CELL("address",H219), "\$([A-Z]+)\$[0-9]+"))</f>
        <v/>
      </c>
      <c r="I219" s="7" t="str" cm="1">
        <f t="array" aca="1" ref="I219" ca="1">IFERROR(IF(OR('Raw Data'!I219="",LEN(TRIM('Raw Data'!I219))=0),"",IF(AND(ISNUMBER('Raw Data'!I219), IFERROR('Raw Data'!I219 = ROUND('Raw Data'!I219, 2),FALSE)),"",_xlfn.REGEXEXTRACT(CELL("address",I219), "\$([A-Z]+)\$[0-9]+"))),_xlfn.REGEXEXTRACT(CELL("address",I219), "\$([A-Z]+)\$[0-9]+"))</f>
        <v/>
      </c>
      <c r="J219" s="7" t="str" cm="1">
        <f t="array" aca="1" ref="J219" ca="1">IFERROR(IF(OR('Raw Data'!J219="",LEN(TRIM('Raw Data'!J219))=0),"",IF(AND(ISNUMBER('Raw Data'!J219), IFERROR('Raw Data'!J219 = ROUND('Raw Data'!J219, 2),FALSE)),"",_xlfn.REGEXEXTRACT(CELL("address",J219), "\$([A-Z]+)\$[0-9]+"))),_xlfn.REGEXEXTRACT(CELL("address",J219), "\$([A-Z]+)\$[0-9]+"))</f>
        <v/>
      </c>
      <c r="K219" s="7" t="str" cm="1">
        <f t="array" aca="1" ref="K219" ca="1">IFERROR(IF(OR('Raw Data'!K219="",LEN(TRIM('Raw Data'!K219))=0),"",IF(AND(ISNUMBER('Raw Data'!K219), IFERROR('Raw Data'!K219 = ROUND('Raw Data'!K219, 2),FALSE)),"",_xlfn.REGEXEXTRACT(CELL("address",K219), "\$([A-Z]+)\$[0-9]+"))),_xlfn.REGEXEXTRACT(CELL("address",K219), "\$([A-Z]+)\$[0-9]+"))</f>
        <v/>
      </c>
      <c r="L219" s="7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7" t="str" cm="1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7" t="str" cm="1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  <c r="O219" s="7" t="str" cm="1">
        <f t="array" aca="1" ref="O219" ca="1">IFERROR(IF(OR('Raw Data'!O219="",LEN(TRIM('Raw Data'!O219))=0),"",IF(AND(ISNUMBER('Raw Data'!O219), IFERROR('Raw Data'!O219 = ROUND('Raw Data'!O219, 2),FALSE)),"",_xlfn.REGEXEXTRACT(CELL("address",O219), "\$([A-Z]+)\$[0-9]+"))),_xlfn.REGEXEXTRACT(CELL("address",O219), "\$([A-Z]+)\$[0-9]+"))</f>
        <v/>
      </c>
      <c r="P219" s="7" t="str" cm="1">
        <f t="array" aca="1" ref="P219" ca="1">IFERROR(IF(OR('Raw Data'!P219="",LEN(TRIM('Raw Data'!P219))=0),"",IF(AND(ISNUMBER('Raw Data'!P219), IFERROR('Raw Data'!P219 = ROUND('Raw Data'!P219, 2),FALSE)),"",_xlfn.REGEXEXTRACT(CELL("address",P219), "\$([A-Z]+)\$[0-9]+"))),_xlfn.REGEXEXTRACT(CELL("address",P219), "\$([A-Z]+)\$[0-9]+"))</f>
        <v/>
      </c>
      <c r="Q219" s="7" t="str" cm="1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7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7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7" t="str" cm="1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7" t="str" cm="1">
        <f t="array" aca="1" ref="U219" ca="1">IFERROR(IF(OR('Raw Data'!U219="",LEN(TRIM('Raw Data'!U219))=0),"",IF(AND(ISNUMBER('Raw Data'!U219), IFERROR('Raw Data'!U219 = ROUND('Raw Data'!U219, 2),FALSE)),"",_xlfn.REGEXEXTRACT(CELL("address",U219), "\$([A-Z]+)\$[0-9]+"))),_xlfn.REGEXEXTRACT(CELL("address",U219), "\$([A-Z]+)\$[0-9]+"))</f>
        <v/>
      </c>
      <c r="V219" s="7" t="str" cm="1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7" t="str" cm="1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7" t="str" cm="1">
        <f t="array" aca="1" ref="X219" ca="1">IFERROR(IF(OR('Raw Data'!X219="",LEN(TRIM('Raw Data'!X219))=0),"",IF(AND(ISNUMBER('Raw Data'!X219), IFERROR('Raw Data'!X219 = ROUND('Raw Data'!X219, 2),FALSE)),"",_xlfn.REGEXEXTRACT(CELL("address",X219), "\$([A-Z]+)\$[0-9]+"))),_xlfn.REGEXEXTRACT(CELL("address",X219), "\$([A-Z]+)\$[0-9]+"))</f>
        <v/>
      </c>
      <c r="Y219" s="7" t="str" cm="1">
        <f t="array" aca="1" ref="Y219" ca="1">IFERROR(IF(OR('Raw Data'!Y219="",LEN(TRIM('Raw Data'!Y219))=0),"",IF(AND(ISNUMBER('Raw Data'!Y219), IFERROR('Raw Data'!Y219 = ROUND('Raw Data'!Y219, 2),FALSE)),"",_xlfn.REGEXEXTRACT(CELL("address",Y219), "\$([A-Z]+)\$[0-9]+"))),_xlfn.REGEXEXTRACT(CELL("address",Y219), "\$([A-Z]+)\$[0-9]+"))</f>
        <v/>
      </c>
      <c r="Z219" s="7" t="str" cm="1">
        <f t="array" aca="1" ref="Z219" ca="1">IFERROR(IF(OR('Raw Data'!Z219="",LEN(TRIM('Raw Data'!Z219))=0),"",IF(AND(ISNUMBER('Raw Data'!Z219), IFERROR('Raw Data'!Z219 = ROUND('Raw Data'!Z219, 2),FALSE)),"",_xlfn.REGEXEXTRACT(CELL("address",Z219), "\$([A-Z]+)\$[0-9]+"))),_xlfn.REGEXEXTRACT(CELL("address",Z219), "\$([A-Z]+)\$[0-9]+"))</f>
        <v/>
      </c>
      <c r="AA219" s="7" t="str" cm="1">
        <f t="array" aca="1" ref="AA219" ca="1">IFERROR(IF(OR('Raw Data'!AA219="",LEN(TRIM('Raw Data'!AA219))=0),"",IF(AND(ISNUMBER('Raw Data'!AA219), IFERROR('Raw Data'!AA219 = ROUND('Raw Data'!AA219, 2),FALSE)),"",_xlfn.REGEXEXTRACT(CELL("address",AA219), "\$([A-Z]+)\$[0-9]+"))),_xlfn.REGEXEXTRACT(CELL("address",AA219), "\$([A-Z]+)\$[0-9]+"))</f>
        <v/>
      </c>
      <c r="AB219" s="7" t="str" cm="1">
        <f t="array" aca="1" ref="AB219" ca="1">IFERROR(IF(OR('Raw Data'!AB219="",LEN(TRIM('Raw Data'!AB219))=0),"",IF(AND(ISNUMBER('Raw Data'!AB219), IFERROR('Raw Data'!AB219 = ROUND('Raw Data'!AB219, 2),FALSE)),"",_xlfn.REGEXEXTRACT(CELL("address",AB219), "\$([A-Z]+)\$[0-9]+"))),_xlfn.REGEXEXTRACT(CELL("address",AB219), "\$([A-Z]+)\$[0-9]+"))</f>
        <v/>
      </c>
    </row>
    <row r="220" spans="2:28" x14ac:dyDescent="0.25">
      <c r="B220" s="7" t="str" cm="1">
        <f t="array" aca="1" ref="B220" ca="1">IFERROR(IF(OR('Raw Data'!B220="",LEN(TRIM('Raw Data'!B220))=0),"",IF(AND(LEN('Raw Data'!B220) &lt;= 255,LEN('Raw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Data'!C220))=0),"",IF(AND(LEN('Raw Data'!C220) &lt;= 20,LEN('Raw Data'!C220)&gt; 0),"",_xlfn.REGEXEXTRACT(CELL("address",'Raw Data'!C220),"\$([A-Z]+)\$[0-9]+"))),_xlfn.REGEXEXTRACT(CELL("address",'Raw Data'!C220),"\$([A-Z]+)\$[0-9]+"))</f>
        <v/>
      </c>
      <c r="D220" s="7" t="str" cm="1">
        <f t="array" aca="1" ref="D220" ca="1">IFERROR(IF(OR('Raw Data'!D220="",LEN(TRIM('Raw Data'!D220))=0),"",IF(AND(ISNUMBER('Raw Data'!D220),'Raw Data'!D220&gt;=Configuration!$D$2),"",_xlfn.REGEXEXTRACT(CELL("address",'Raw Data'!D220),"\$([A-Z]+)\$[0-9]+"))),_xlfn.REGEXEXTRACT(CELL("address",D220), "\$([A-Z]+)\$[0-9]+"))</f>
        <v/>
      </c>
      <c r="E220" s="7" t="str" cm="1">
        <f t="array" aca="1" ref="E220" ca="1">IFERROR(IF(OR('Raw Data'!E220="",LEN(TRIM('Raw Data'!E220))=0),"",IF(AND(ISNUMBER('Raw Data'!E220), IFERROR('Raw Data'!E220 = ROUND('Raw Data'!E220, 2),FALSE)),"",_xlfn.REGEXEXTRACT(CELL("address",E220), "\$([A-Z]+)\$[0-9]+"))),_xlfn.REGEXEXTRACT(CELL("address",E220), "\$([A-Z]+)\$[0-9]+"))</f>
        <v/>
      </c>
      <c r="F220" s="7" t="str" cm="1">
        <f t="array" aca="1" ref="F220" ca="1">IFERROR(IF(OR('Raw Data'!F220="",LEN(TRIM('Raw Data'!F220))=0),"",IF(AND(ISNUMBER('Raw Data'!F220), IFERROR('Raw Data'!F220 = ROUND('Raw Data'!F220, 2),FALSE)),"",_xlfn.REGEXEXTRACT(CELL("address",F220), "\$([A-Z]+)\$[0-9]+"))),_xlfn.REGEXEXTRACT(CELL("address",F220), "\$([A-Z]+)\$[0-9]+"))</f>
        <v/>
      </c>
      <c r="G220" s="7" t="str" cm="1">
        <f t="array" aca="1" ref="G220" ca="1">IFERROR(IF(OR('Raw Data'!G220="",LEN(TRIM('Raw Data'!G220))=0),"",IF(AND(ISNUMBER('Raw Data'!G220), IFERROR('Raw Data'!G220 = ROUND('Raw Data'!G220, 2),FALSE)),"",_xlfn.REGEXEXTRACT(CELL("address",G220), "\$([A-Z]+)\$[0-9]+"))),_xlfn.REGEXEXTRACT(CELL("address",G220), "\$([A-Z]+)\$[0-9]+"))</f>
        <v/>
      </c>
      <c r="H220" s="7" t="str" cm="1">
        <f t="array" aca="1" ref="H220" ca="1">IFERROR(IF(OR('Raw Data'!H220="",LEN(TRIM('Raw Data'!H220))=0),"",IF(AND(ISNUMBER('Raw Data'!H220), IFERROR('Raw Data'!H220 = ROUND('Raw Data'!H220, 2),FALSE)),"",_xlfn.REGEXEXTRACT(CELL("address",H220), "\$([A-Z]+)\$[0-9]+"))),_xlfn.REGEXEXTRACT(CELL("address",H220), "\$([A-Z]+)\$[0-9]+"))</f>
        <v/>
      </c>
      <c r="I220" s="7" t="str" cm="1">
        <f t="array" aca="1" ref="I220" ca="1">IFERROR(IF(OR('Raw Data'!I220="",LEN(TRIM('Raw Data'!I220))=0),"",IF(AND(ISNUMBER('Raw Data'!I220), IFERROR('Raw Data'!I220 = ROUND('Raw Data'!I220, 2),FALSE)),"",_xlfn.REGEXEXTRACT(CELL("address",I220), "\$([A-Z]+)\$[0-9]+"))),_xlfn.REGEXEXTRACT(CELL("address",I220), "\$([A-Z]+)\$[0-9]+"))</f>
        <v/>
      </c>
      <c r="J220" s="7" t="str" cm="1">
        <f t="array" aca="1" ref="J220" ca="1">IFERROR(IF(OR('Raw Data'!J220="",LEN(TRIM('Raw Data'!J220))=0),"",IF(AND(ISNUMBER('Raw Data'!J220), IFERROR('Raw Data'!J220 = ROUND('Raw Data'!J220, 2),FALSE)),"",_xlfn.REGEXEXTRACT(CELL("address",J220), "\$([A-Z]+)\$[0-9]+"))),_xlfn.REGEXEXTRACT(CELL("address",J220), "\$([A-Z]+)\$[0-9]+"))</f>
        <v/>
      </c>
      <c r="K220" s="7" t="str" cm="1">
        <f t="array" aca="1" ref="K220" ca="1">IFERROR(IF(OR('Raw Data'!K220="",LEN(TRIM('Raw Data'!K220))=0),"",IF(AND(ISNUMBER('Raw Data'!K220), IFERROR('Raw Data'!K220 = ROUND('Raw Data'!K220, 2),FALSE)),"",_xlfn.REGEXEXTRACT(CELL("address",K220), "\$([A-Z]+)\$[0-9]+"))),_xlfn.REGEXEXTRACT(CELL("address",K220), "\$([A-Z]+)\$[0-9]+"))</f>
        <v/>
      </c>
      <c r="L220" s="7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7" t="str" cm="1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7" t="str" cm="1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  <c r="O220" s="7" t="str" cm="1">
        <f t="array" aca="1" ref="O220" ca="1">IFERROR(IF(OR('Raw Data'!O220="",LEN(TRIM('Raw Data'!O220))=0),"",IF(AND(ISNUMBER('Raw Data'!O220), IFERROR('Raw Data'!O220 = ROUND('Raw Data'!O220, 2),FALSE)),"",_xlfn.REGEXEXTRACT(CELL("address",O220), "\$([A-Z]+)\$[0-9]+"))),_xlfn.REGEXEXTRACT(CELL("address",O220), "\$([A-Z]+)\$[0-9]+"))</f>
        <v/>
      </c>
      <c r="P220" s="7" t="str" cm="1">
        <f t="array" aca="1" ref="P220" ca="1">IFERROR(IF(OR('Raw Data'!P220="",LEN(TRIM('Raw Data'!P220))=0),"",IF(AND(ISNUMBER('Raw Data'!P220), IFERROR('Raw Data'!P220 = ROUND('Raw Data'!P220, 2),FALSE)),"",_xlfn.REGEXEXTRACT(CELL("address",P220), "\$([A-Z]+)\$[0-9]+"))),_xlfn.REGEXEXTRACT(CELL("address",P220), "\$([A-Z]+)\$[0-9]+"))</f>
        <v/>
      </c>
      <c r="Q220" s="7" t="str" cm="1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7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7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7" t="str" cm="1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7" t="str" cm="1">
        <f t="array" aca="1" ref="U220" ca="1">IFERROR(IF(OR('Raw Data'!U220="",LEN(TRIM('Raw Data'!U220))=0),"",IF(AND(ISNUMBER('Raw Data'!U220), IFERROR('Raw Data'!U220 = ROUND('Raw Data'!U220, 2),FALSE)),"",_xlfn.REGEXEXTRACT(CELL("address",U220), "\$([A-Z]+)\$[0-9]+"))),_xlfn.REGEXEXTRACT(CELL("address",U220), "\$([A-Z]+)\$[0-9]+"))</f>
        <v/>
      </c>
      <c r="V220" s="7" t="str" cm="1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7" t="str" cm="1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7" t="str" cm="1">
        <f t="array" aca="1" ref="X220" ca="1">IFERROR(IF(OR('Raw Data'!X220="",LEN(TRIM('Raw Data'!X220))=0),"",IF(AND(ISNUMBER('Raw Data'!X220), IFERROR('Raw Data'!X220 = ROUND('Raw Data'!X220, 2),FALSE)),"",_xlfn.REGEXEXTRACT(CELL("address",X220), "\$([A-Z]+)\$[0-9]+"))),_xlfn.REGEXEXTRACT(CELL("address",X220), "\$([A-Z]+)\$[0-9]+"))</f>
        <v/>
      </c>
      <c r="Y220" s="7" t="str" cm="1">
        <f t="array" aca="1" ref="Y220" ca="1">IFERROR(IF(OR('Raw Data'!Y220="",LEN(TRIM('Raw Data'!Y220))=0),"",IF(AND(ISNUMBER('Raw Data'!Y220), IFERROR('Raw Data'!Y220 = ROUND('Raw Data'!Y220, 2),FALSE)),"",_xlfn.REGEXEXTRACT(CELL("address",Y220), "\$([A-Z]+)\$[0-9]+"))),_xlfn.REGEXEXTRACT(CELL("address",Y220), "\$([A-Z]+)\$[0-9]+"))</f>
        <v/>
      </c>
      <c r="Z220" s="7" t="str" cm="1">
        <f t="array" aca="1" ref="Z220" ca="1">IFERROR(IF(OR('Raw Data'!Z220="",LEN(TRIM('Raw Data'!Z220))=0),"",IF(AND(ISNUMBER('Raw Data'!Z220), IFERROR('Raw Data'!Z220 = ROUND('Raw Data'!Z220, 2),FALSE)),"",_xlfn.REGEXEXTRACT(CELL("address",Z220), "\$([A-Z]+)\$[0-9]+"))),_xlfn.REGEXEXTRACT(CELL("address",Z220), "\$([A-Z]+)\$[0-9]+"))</f>
        <v/>
      </c>
      <c r="AA220" s="7" t="str" cm="1">
        <f t="array" aca="1" ref="AA220" ca="1">IFERROR(IF(OR('Raw Data'!AA220="",LEN(TRIM('Raw Data'!AA220))=0),"",IF(AND(ISNUMBER('Raw Data'!AA220), IFERROR('Raw Data'!AA220 = ROUND('Raw Data'!AA220, 2),FALSE)),"",_xlfn.REGEXEXTRACT(CELL("address",AA220), "\$([A-Z]+)\$[0-9]+"))),_xlfn.REGEXEXTRACT(CELL("address",AA220), "\$([A-Z]+)\$[0-9]+"))</f>
        <v/>
      </c>
      <c r="AB220" s="7" t="str" cm="1">
        <f t="array" aca="1" ref="AB220" ca="1">IFERROR(IF(OR('Raw Data'!AB220="",LEN(TRIM('Raw Data'!AB220))=0),"",IF(AND(ISNUMBER('Raw Data'!AB220), IFERROR('Raw Data'!AB220 = ROUND('Raw Data'!AB220, 2),FALSE)),"",_xlfn.REGEXEXTRACT(CELL("address",AB220), "\$([A-Z]+)\$[0-9]+"))),_xlfn.REGEXEXTRACT(CELL("address",AB220), "\$([A-Z]+)\$[0-9]+"))</f>
        <v/>
      </c>
    </row>
    <row r="221" spans="2:28" x14ac:dyDescent="0.25">
      <c r="B221" s="7" t="str" cm="1">
        <f t="array" aca="1" ref="B221" ca="1">IFERROR(IF(OR('Raw Data'!B221="",LEN(TRIM('Raw Data'!B221))=0),"",IF(AND(LEN('Raw Data'!B221) &lt;= 255,LEN('Raw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Data'!C221))=0),"",IF(AND(LEN('Raw Data'!C221) &lt;= 20,LEN('Raw Data'!C221)&gt; 0),"",_xlfn.REGEXEXTRACT(CELL("address",'Raw Data'!C221),"\$([A-Z]+)\$[0-9]+"))),_xlfn.REGEXEXTRACT(CELL("address",'Raw Data'!C221),"\$([A-Z]+)\$[0-9]+"))</f>
        <v/>
      </c>
      <c r="D221" s="7" t="str" cm="1">
        <f t="array" aca="1" ref="D221" ca="1">IFERROR(IF(OR('Raw Data'!D221="",LEN(TRIM('Raw Data'!D221))=0),"",IF(AND(ISNUMBER('Raw Data'!D221),'Raw Data'!D221&gt;=Configuration!$D$2),"",_xlfn.REGEXEXTRACT(CELL("address",'Raw Data'!D221),"\$([A-Z]+)\$[0-9]+"))),_xlfn.REGEXEXTRACT(CELL("address",D221), "\$([A-Z]+)\$[0-9]+"))</f>
        <v/>
      </c>
      <c r="E221" s="7" t="str" cm="1">
        <f t="array" aca="1" ref="E221" ca="1">IFERROR(IF(OR('Raw Data'!E221="",LEN(TRIM('Raw Data'!E221))=0),"",IF(AND(ISNUMBER('Raw Data'!E221), IFERROR('Raw Data'!E221 = ROUND('Raw Data'!E221, 2),FALSE)),"",_xlfn.REGEXEXTRACT(CELL("address",E221), "\$([A-Z]+)\$[0-9]+"))),_xlfn.REGEXEXTRACT(CELL("address",E221), "\$([A-Z]+)\$[0-9]+"))</f>
        <v/>
      </c>
      <c r="F221" s="7" t="str" cm="1">
        <f t="array" aca="1" ref="F221" ca="1">IFERROR(IF(OR('Raw Data'!F221="",LEN(TRIM('Raw Data'!F221))=0),"",IF(AND(ISNUMBER('Raw Data'!F221), IFERROR('Raw Data'!F221 = ROUND('Raw Data'!F221, 2),FALSE)),"",_xlfn.REGEXEXTRACT(CELL("address",F221), "\$([A-Z]+)\$[0-9]+"))),_xlfn.REGEXEXTRACT(CELL("address",F221), "\$([A-Z]+)\$[0-9]+"))</f>
        <v/>
      </c>
      <c r="G221" s="7" t="str" cm="1">
        <f t="array" aca="1" ref="G221" ca="1">IFERROR(IF(OR('Raw Data'!G221="",LEN(TRIM('Raw Data'!G221))=0),"",IF(AND(ISNUMBER('Raw Data'!G221), IFERROR('Raw Data'!G221 = ROUND('Raw Data'!G221, 2),FALSE)),"",_xlfn.REGEXEXTRACT(CELL("address",G221), "\$([A-Z]+)\$[0-9]+"))),_xlfn.REGEXEXTRACT(CELL("address",G221), "\$([A-Z]+)\$[0-9]+"))</f>
        <v/>
      </c>
      <c r="H221" s="7" t="str" cm="1">
        <f t="array" aca="1" ref="H221" ca="1">IFERROR(IF(OR('Raw Data'!H221="",LEN(TRIM('Raw Data'!H221))=0),"",IF(AND(ISNUMBER('Raw Data'!H221), IFERROR('Raw Data'!H221 = ROUND('Raw Data'!H221, 2),FALSE)),"",_xlfn.REGEXEXTRACT(CELL("address",H221), "\$([A-Z]+)\$[0-9]+"))),_xlfn.REGEXEXTRACT(CELL("address",H221), "\$([A-Z]+)\$[0-9]+"))</f>
        <v/>
      </c>
      <c r="I221" s="7" t="str" cm="1">
        <f t="array" aca="1" ref="I221" ca="1">IFERROR(IF(OR('Raw Data'!I221="",LEN(TRIM('Raw Data'!I221))=0),"",IF(AND(ISNUMBER('Raw Data'!I221), IFERROR('Raw Data'!I221 = ROUND('Raw Data'!I221, 2),FALSE)),"",_xlfn.REGEXEXTRACT(CELL("address",I221), "\$([A-Z]+)\$[0-9]+"))),_xlfn.REGEXEXTRACT(CELL("address",I221), "\$([A-Z]+)\$[0-9]+"))</f>
        <v/>
      </c>
      <c r="J221" s="7" t="str" cm="1">
        <f t="array" aca="1" ref="J221" ca="1">IFERROR(IF(OR('Raw Data'!J221="",LEN(TRIM('Raw Data'!J221))=0),"",IF(AND(ISNUMBER('Raw Data'!J221), IFERROR('Raw Data'!J221 = ROUND('Raw Data'!J221, 2),FALSE)),"",_xlfn.REGEXEXTRACT(CELL("address",J221), "\$([A-Z]+)\$[0-9]+"))),_xlfn.REGEXEXTRACT(CELL("address",J221), "\$([A-Z]+)\$[0-9]+"))</f>
        <v/>
      </c>
      <c r="K221" s="7" t="str" cm="1">
        <f t="array" aca="1" ref="K221" ca="1">IFERROR(IF(OR('Raw Data'!K221="",LEN(TRIM('Raw Data'!K221))=0),"",IF(AND(ISNUMBER('Raw Data'!K221), IFERROR('Raw Data'!K221 = ROUND('Raw Data'!K221, 2),FALSE)),"",_xlfn.REGEXEXTRACT(CELL("address",K221), "\$([A-Z]+)\$[0-9]+"))),_xlfn.REGEXEXTRACT(CELL("address",K221), "\$([A-Z]+)\$[0-9]+"))</f>
        <v/>
      </c>
      <c r="L221" s="7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7" t="str" cm="1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7" t="str" cm="1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  <c r="O221" s="7" t="str" cm="1">
        <f t="array" aca="1" ref="O221" ca="1">IFERROR(IF(OR('Raw Data'!O221="",LEN(TRIM('Raw Data'!O221))=0),"",IF(AND(ISNUMBER('Raw Data'!O221), IFERROR('Raw Data'!O221 = ROUND('Raw Data'!O221, 2),FALSE)),"",_xlfn.REGEXEXTRACT(CELL("address",O221), "\$([A-Z]+)\$[0-9]+"))),_xlfn.REGEXEXTRACT(CELL("address",O221), "\$([A-Z]+)\$[0-9]+"))</f>
        <v/>
      </c>
      <c r="P221" s="7" t="str" cm="1">
        <f t="array" aca="1" ref="P221" ca="1">IFERROR(IF(OR('Raw Data'!P221="",LEN(TRIM('Raw Data'!P221))=0),"",IF(AND(ISNUMBER('Raw Data'!P221), IFERROR('Raw Data'!P221 = ROUND('Raw Data'!P221, 2),FALSE)),"",_xlfn.REGEXEXTRACT(CELL("address",P221), "\$([A-Z]+)\$[0-9]+"))),_xlfn.REGEXEXTRACT(CELL("address",P221), "\$([A-Z]+)\$[0-9]+"))</f>
        <v/>
      </c>
      <c r="Q221" s="7" t="str" cm="1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7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7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7" t="str" cm="1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7" t="str" cm="1">
        <f t="array" aca="1" ref="U221" ca="1">IFERROR(IF(OR('Raw Data'!U221="",LEN(TRIM('Raw Data'!U221))=0),"",IF(AND(ISNUMBER('Raw Data'!U221), IFERROR('Raw Data'!U221 = ROUND('Raw Data'!U221, 2),FALSE)),"",_xlfn.REGEXEXTRACT(CELL("address",U221), "\$([A-Z]+)\$[0-9]+"))),_xlfn.REGEXEXTRACT(CELL("address",U221), "\$([A-Z]+)\$[0-9]+"))</f>
        <v/>
      </c>
      <c r="V221" s="7" t="str" cm="1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7" t="str" cm="1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7" t="str" cm="1">
        <f t="array" aca="1" ref="X221" ca="1">IFERROR(IF(OR('Raw Data'!X221="",LEN(TRIM('Raw Data'!X221))=0),"",IF(AND(ISNUMBER('Raw Data'!X221), IFERROR('Raw Data'!X221 = ROUND('Raw Data'!X221, 2),FALSE)),"",_xlfn.REGEXEXTRACT(CELL("address",X221), "\$([A-Z]+)\$[0-9]+"))),_xlfn.REGEXEXTRACT(CELL("address",X221), "\$([A-Z]+)\$[0-9]+"))</f>
        <v/>
      </c>
      <c r="Y221" s="7" t="str" cm="1">
        <f t="array" aca="1" ref="Y221" ca="1">IFERROR(IF(OR('Raw Data'!Y221="",LEN(TRIM('Raw Data'!Y221))=0),"",IF(AND(ISNUMBER('Raw Data'!Y221), IFERROR('Raw Data'!Y221 = ROUND('Raw Data'!Y221, 2),FALSE)),"",_xlfn.REGEXEXTRACT(CELL("address",Y221), "\$([A-Z]+)\$[0-9]+"))),_xlfn.REGEXEXTRACT(CELL("address",Y221), "\$([A-Z]+)\$[0-9]+"))</f>
        <v/>
      </c>
      <c r="Z221" s="7" t="str" cm="1">
        <f t="array" aca="1" ref="Z221" ca="1">IFERROR(IF(OR('Raw Data'!Z221="",LEN(TRIM('Raw Data'!Z221))=0),"",IF(AND(ISNUMBER('Raw Data'!Z221), IFERROR('Raw Data'!Z221 = ROUND('Raw Data'!Z221, 2),FALSE)),"",_xlfn.REGEXEXTRACT(CELL("address",Z221), "\$([A-Z]+)\$[0-9]+"))),_xlfn.REGEXEXTRACT(CELL("address",Z221), "\$([A-Z]+)\$[0-9]+"))</f>
        <v/>
      </c>
      <c r="AA221" s="7" t="str" cm="1">
        <f t="array" aca="1" ref="AA221" ca="1">IFERROR(IF(OR('Raw Data'!AA221="",LEN(TRIM('Raw Data'!AA221))=0),"",IF(AND(ISNUMBER('Raw Data'!AA221), IFERROR('Raw Data'!AA221 = ROUND('Raw Data'!AA221, 2),FALSE)),"",_xlfn.REGEXEXTRACT(CELL("address",AA221), "\$([A-Z]+)\$[0-9]+"))),_xlfn.REGEXEXTRACT(CELL("address",AA221), "\$([A-Z]+)\$[0-9]+"))</f>
        <v/>
      </c>
      <c r="AB221" s="7" t="str" cm="1">
        <f t="array" aca="1" ref="AB221" ca="1">IFERROR(IF(OR('Raw Data'!AB221="",LEN(TRIM('Raw Data'!AB221))=0),"",IF(AND(ISNUMBER('Raw Data'!AB221), IFERROR('Raw Data'!AB221 = ROUND('Raw Data'!AB221, 2),FALSE)),"",_xlfn.REGEXEXTRACT(CELL("address",AB221), "\$([A-Z]+)\$[0-9]+"))),_xlfn.REGEXEXTRACT(CELL("address",AB221), "\$([A-Z]+)\$[0-9]+"))</f>
        <v/>
      </c>
    </row>
    <row r="222" spans="2:28" x14ac:dyDescent="0.25">
      <c r="B222" s="7" t="str" cm="1">
        <f t="array" aca="1" ref="B222" ca="1">IFERROR(IF(OR('Raw Data'!B222="",LEN(TRIM('Raw Data'!B222))=0),"",IF(AND(LEN('Raw Data'!B222) &lt;= 255,LEN('Raw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Data'!C222))=0),"",IF(AND(LEN('Raw Data'!C222) &lt;= 20,LEN('Raw Data'!C222)&gt; 0),"",_xlfn.REGEXEXTRACT(CELL("address",'Raw Data'!C222),"\$([A-Z]+)\$[0-9]+"))),_xlfn.REGEXEXTRACT(CELL("address",'Raw Data'!C222),"\$([A-Z]+)\$[0-9]+"))</f>
        <v/>
      </c>
      <c r="D222" s="7" t="str" cm="1">
        <f t="array" aca="1" ref="D222" ca="1">IFERROR(IF(OR('Raw Data'!D222="",LEN(TRIM('Raw Data'!D222))=0),"",IF(AND(ISNUMBER('Raw Data'!D222),'Raw Data'!D222&gt;=Configuration!$D$2),"",_xlfn.REGEXEXTRACT(CELL("address",'Raw Data'!D222),"\$([A-Z]+)\$[0-9]+"))),_xlfn.REGEXEXTRACT(CELL("address",D222), "\$([A-Z]+)\$[0-9]+"))</f>
        <v/>
      </c>
      <c r="E222" s="7" t="str" cm="1">
        <f t="array" aca="1" ref="E222" ca="1">IFERROR(IF(OR('Raw Data'!E222="",LEN(TRIM('Raw Data'!E222))=0),"",IF(AND(ISNUMBER('Raw Data'!E222), IFERROR('Raw Data'!E222 = ROUND('Raw Data'!E222, 2),FALSE)),"",_xlfn.REGEXEXTRACT(CELL("address",E222), "\$([A-Z]+)\$[0-9]+"))),_xlfn.REGEXEXTRACT(CELL("address",E222), "\$([A-Z]+)\$[0-9]+"))</f>
        <v/>
      </c>
      <c r="F222" s="7" t="str" cm="1">
        <f t="array" aca="1" ref="F222" ca="1">IFERROR(IF(OR('Raw Data'!F222="",LEN(TRIM('Raw Data'!F222))=0),"",IF(AND(ISNUMBER('Raw Data'!F222), IFERROR('Raw Data'!F222 = ROUND('Raw Data'!F222, 2),FALSE)),"",_xlfn.REGEXEXTRACT(CELL("address",F222), "\$([A-Z]+)\$[0-9]+"))),_xlfn.REGEXEXTRACT(CELL("address",F222), "\$([A-Z]+)\$[0-9]+"))</f>
        <v/>
      </c>
      <c r="G222" s="7" t="str" cm="1">
        <f t="array" aca="1" ref="G222" ca="1">IFERROR(IF(OR('Raw Data'!G222="",LEN(TRIM('Raw Data'!G222))=0),"",IF(AND(ISNUMBER('Raw Data'!G222), IFERROR('Raw Data'!G222 = ROUND('Raw Data'!G222, 2),FALSE)),"",_xlfn.REGEXEXTRACT(CELL("address",G222), "\$([A-Z]+)\$[0-9]+"))),_xlfn.REGEXEXTRACT(CELL("address",G222), "\$([A-Z]+)\$[0-9]+"))</f>
        <v/>
      </c>
      <c r="H222" s="7" t="str" cm="1">
        <f t="array" aca="1" ref="H222" ca="1">IFERROR(IF(OR('Raw Data'!H222="",LEN(TRIM('Raw Data'!H222))=0),"",IF(AND(ISNUMBER('Raw Data'!H222), IFERROR('Raw Data'!H222 = ROUND('Raw Data'!H222, 2),FALSE)),"",_xlfn.REGEXEXTRACT(CELL("address",H222), "\$([A-Z]+)\$[0-9]+"))),_xlfn.REGEXEXTRACT(CELL("address",H222), "\$([A-Z]+)\$[0-9]+"))</f>
        <v/>
      </c>
      <c r="I222" s="7" t="str" cm="1">
        <f t="array" aca="1" ref="I222" ca="1">IFERROR(IF(OR('Raw Data'!I222="",LEN(TRIM('Raw Data'!I222))=0),"",IF(AND(ISNUMBER('Raw Data'!I222), IFERROR('Raw Data'!I222 = ROUND('Raw Data'!I222, 2),FALSE)),"",_xlfn.REGEXEXTRACT(CELL("address",I222), "\$([A-Z]+)\$[0-9]+"))),_xlfn.REGEXEXTRACT(CELL("address",I222), "\$([A-Z]+)\$[0-9]+"))</f>
        <v/>
      </c>
      <c r="J222" s="7" t="str" cm="1">
        <f t="array" aca="1" ref="J222" ca="1">IFERROR(IF(OR('Raw Data'!J222="",LEN(TRIM('Raw Data'!J222))=0),"",IF(AND(ISNUMBER('Raw Data'!J222), IFERROR('Raw Data'!J222 = ROUND('Raw Data'!J222, 2),FALSE)),"",_xlfn.REGEXEXTRACT(CELL("address",J222), "\$([A-Z]+)\$[0-9]+"))),_xlfn.REGEXEXTRACT(CELL("address",J222), "\$([A-Z]+)\$[0-9]+"))</f>
        <v/>
      </c>
      <c r="K222" s="7" t="str" cm="1">
        <f t="array" aca="1" ref="K222" ca="1">IFERROR(IF(OR('Raw Data'!K222="",LEN(TRIM('Raw Data'!K222))=0),"",IF(AND(ISNUMBER('Raw Data'!K222), IFERROR('Raw Data'!K222 = ROUND('Raw Data'!K222, 2),FALSE)),"",_xlfn.REGEXEXTRACT(CELL("address",K222), "\$([A-Z]+)\$[0-9]+"))),_xlfn.REGEXEXTRACT(CELL("address",K222), "\$([A-Z]+)\$[0-9]+"))</f>
        <v/>
      </c>
      <c r="L222" s="7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7" t="str" cm="1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7" t="str" cm="1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  <c r="O222" s="7" t="str" cm="1">
        <f t="array" aca="1" ref="O222" ca="1">IFERROR(IF(OR('Raw Data'!O222="",LEN(TRIM('Raw Data'!O222))=0),"",IF(AND(ISNUMBER('Raw Data'!O222), IFERROR('Raw Data'!O222 = ROUND('Raw Data'!O222, 2),FALSE)),"",_xlfn.REGEXEXTRACT(CELL("address",O222), "\$([A-Z]+)\$[0-9]+"))),_xlfn.REGEXEXTRACT(CELL("address",O222), "\$([A-Z]+)\$[0-9]+"))</f>
        <v/>
      </c>
      <c r="P222" s="7" t="str" cm="1">
        <f t="array" aca="1" ref="P222" ca="1">IFERROR(IF(OR('Raw Data'!P222="",LEN(TRIM('Raw Data'!P222))=0),"",IF(AND(ISNUMBER('Raw Data'!P222), IFERROR('Raw Data'!P222 = ROUND('Raw Data'!P222, 2),FALSE)),"",_xlfn.REGEXEXTRACT(CELL("address",P222), "\$([A-Z]+)\$[0-9]+"))),_xlfn.REGEXEXTRACT(CELL("address",P222), "\$([A-Z]+)\$[0-9]+"))</f>
        <v/>
      </c>
      <c r="Q222" s="7" t="str" cm="1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7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7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7" t="str" cm="1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7" t="str" cm="1">
        <f t="array" aca="1" ref="U222" ca="1">IFERROR(IF(OR('Raw Data'!U222="",LEN(TRIM('Raw Data'!U222))=0),"",IF(AND(ISNUMBER('Raw Data'!U222), IFERROR('Raw Data'!U222 = ROUND('Raw Data'!U222, 2),FALSE)),"",_xlfn.REGEXEXTRACT(CELL("address",U222), "\$([A-Z]+)\$[0-9]+"))),_xlfn.REGEXEXTRACT(CELL("address",U222), "\$([A-Z]+)\$[0-9]+"))</f>
        <v/>
      </c>
      <c r="V222" s="7" t="str" cm="1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7" t="str" cm="1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7" t="str" cm="1">
        <f t="array" aca="1" ref="X222" ca="1">IFERROR(IF(OR('Raw Data'!X222="",LEN(TRIM('Raw Data'!X222))=0),"",IF(AND(ISNUMBER('Raw Data'!X222), IFERROR('Raw Data'!X222 = ROUND('Raw Data'!X222, 2),FALSE)),"",_xlfn.REGEXEXTRACT(CELL("address",X222), "\$([A-Z]+)\$[0-9]+"))),_xlfn.REGEXEXTRACT(CELL("address",X222), "\$([A-Z]+)\$[0-9]+"))</f>
        <v/>
      </c>
      <c r="Y222" s="7" t="str" cm="1">
        <f t="array" aca="1" ref="Y222" ca="1">IFERROR(IF(OR('Raw Data'!Y222="",LEN(TRIM('Raw Data'!Y222))=0),"",IF(AND(ISNUMBER('Raw Data'!Y222), IFERROR('Raw Data'!Y222 = ROUND('Raw Data'!Y222, 2),FALSE)),"",_xlfn.REGEXEXTRACT(CELL("address",Y222), "\$([A-Z]+)\$[0-9]+"))),_xlfn.REGEXEXTRACT(CELL("address",Y222), "\$([A-Z]+)\$[0-9]+"))</f>
        <v/>
      </c>
      <c r="Z222" s="7" t="str" cm="1">
        <f t="array" aca="1" ref="Z222" ca="1">IFERROR(IF(OR('Raw Data'!Z222="",LEN(TRIM('Raw Data'!Z222))=0),"",IF(AND(ISNUMBER('Raw Data'!Z222), IFERROR('Raw Data'!Z222 = ROUND('Raw Data'!Z222, 2),FALSE)),"",_xlfn.REGEXEXTRACT(CELL("address",Z222), "\$([A-Z]+)\$[0-9]+"))),_xlfn.REGEXEXTRACT(CELL("address",Z222), "\$([A-Z]+)\$[0-9]+"))</f>
        <v/>
      </c>
      <c r="AA222" s="7" t="str" cm="1">
        <f t="array" aca="1" ref="AA222" ca="1">IFERROR(IF(OR('Raw Data'!AA222="",LEN(TRIM('Raw Data'!AA222))=0),"",IF(AND(ISNUMBER('Raw Data'!AA222), IFERROR('Raw Data'!AA222 = ROUND('Raw Data'!AA222, 2),FALSE)),"",_xlfn.REGEXEXTRACT(CELL("address",AA222), "\$([A-Z]+)\$[0-9]+"))),_xlfn.REGEXEXTRACT(CELL("address",AA222), "\$([A-Z]+)\$[0-9]+"))</f>
        <v/>
      </c>
      <c r="AB222" s="7" t="str" cm="1">
        <f t="array" aca="1" ref="AB222" ca="1">IFERROR(IF(OR('Raw Data'!AB222="",LEN(TRIM('Raw Data'!AB222))=0),"",IF(AND(ISNUMBER('Raw Data'!AB222), IFERROR('Raw Data'!AB222 = ROUND('Raw Data'!AB222, 2),FALSE)),"",_xlfn.REGEXEXTRACT(CELL("address",AB222), "\$([A-Z]+)\$[0-9]+"))),_xlfn.REGEXEXTRACT(CELL("address",AB222), "\$([A-Z]+)\$[0-9]+"))</f>
        <v/>
      </c>
    </row>
    <row r="223" spans="2:28" x14ac:dyDescent="0.25">
      <c r="B223" s="7" t="str" cm="1">
        <f t="array" aca="1" ref="B223" ca="1">IFERROR(IF(OR('Raw Data'!B223="",LEN(TRIM('Raw Data'!B223))=0),"",IF(AND(LEN('Raw Data'!B223) &lt;= 255,LEN('Raw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Data'!C223))=0),"",IF(AND(LEN('Raw Data'!C223) &lt;= 20,LEN('Raw Data'!C223)&gt; 0),"",_xlfn.REGEXEXTRACT(CELL("address",'Raw Data'!C223),"\$([A-Z]+)\$[0-9]+"))),_xlfn.REGEXEXTRACT(CELL("address",'Raw Data'!C223),"\$([A-Z]+)\$[0-9]+"))</f>
        <v/>
      </c>
      <c r="D223" s="7" t="str" cm="1">
        <f t="array" aca="1" ref="D223" ca="1">IFERROR(IF(OR('Raw Data'!D223="",LEN(TRIM('Raw Data'!D223))=0),"",IF(AND(ISNUMBER('Raw Data'!D223),'Raw Data'!D223&gt;=Configuration!$D$2),"",_xlfn.REGEXEXTRACT(CELL("address",'Raw Data'!D223),"\$([A-Z]+)\$[0-9]+"))),_xlfn.REGEXEXTRACT(CELL("address",D223), "\$([A-Z]+)\$[0-9]+"))</f>
        <v/>
      </c>
      <c r="E223" s="7" t="str" cm="1">
        <f t="array" aca="1" ref="E223" ca="1">IFERROR(IF(OR('Raw Data'!E223="",LEN(TRIM('Raw Data'!E223))=0),"",IF(AND(ISNUMBER('Raw Data'!E223), IFERROR('Raw Data'!E223 = ROUND('Raw Data'!E223, 2),FALSE)),"",_xlfn.REGEXEXTRACT(CELL("address",E223), "\$([A-Z]+)\$[0-9]+"))),_xlfn.REGEXEXTRACT(CELL("address",E223), "\$([A-Z]+)\$[0-9]+"))</f>
        <v/>
      </c>
      <c r="F223" s="7" t="str" cm="1">
        <f t="array" aca="1" ref="F223" ca="1">IFERROR(IF(OR('Raw Data'!F223="",LEN(TRIM('Raw Data'!F223))=0),"",IF(AND(ISNUMBER('Raw Data'!F223), IFERROR('Raw Data'!F223 = ROUND('Raw Data'!F223, 2),FALSE)),"",_xlfn.REGEXEXTRACT(CELL("address",F223), "\$([A-Z]+)\$[0-9]+"))),_xlfn.REGEXEXTRACT(CELL("address",F223), "\$([A-Z]+)\$[0-9]+"))</f>
        <v/>
      </c>
      <c r="G223" s="7" t="str" cm="1">
        <f t="array" aca="1" ref="G223" ca="1">IFERROR(IF(OR('Raw Data'!G223="",LEN(TRIM('Raw Data'!G223))=0),"",IF(AND(ISNUMBER('Raw Data'!G223), IFERROR('Raw Data'!G223 = ROUND('Raw Data'!G223, 2),FALSE)),"",_xlfn.REGEXEXTRACT(CELL("address",G223), "\$([A-Z]+)\$[0-9]+"))),_xlfn.REGEXEXTRACT(CELL("address",G223), "\$([A-Z]+)\$[0-9]+"))</f>
        <v/>
      </c>
      <c r="H223" s="7" t="str" cm="1">
        <f t="array" aca="1" ref="H223" ca="1">IFERROR(IF(OR('Raw Data'!H223="",LEN(TRIM('Raw Data'!H223))=0),"",IF(AND(ISNUMBER('Raw Data'!H223), IFERROR('Raw Data'!H223 = ROUND('Raw Data'!H223, 2),FALSE)),"",_xlfn.REGEXEXTRACT(CELL("address",H223), "\$([A-Z]+)\$[0-9]+"))),_xlfn.REGEXEXTRACT(CELL("address",H223), "\$([A-Z]+)\$[0-9]+"))</f>
        <v/>
      </c>
      <c r="I223" s="7" t="str" cm="1">
        <f t="array" aca="1" ref="I223" ca="1">IFERROR(IF(OR('Raw Data'!I223="",LEN(TRIM('Raw Data'!I223))=0),"",IF(AND(ISNUMBER('Raw Data'!I223), IFERROR('Raw Data'!I223 = ROUND('Raw Data'!I223, 2),FALSE)),"",_xlfn.REGEXEXTRACT(CELL("address",I223), "\$([A-Z]+)\$[0-9]+"))),_xlfn.REGEXEXTRACT(CELL("address",I223), "\$([A-Z]+)\$[0-9]+"))</f>
        <v/>
      </c>
      <c r="J223" s="7" t="str" cm="1">
        <f t="array" aca="1" ref="J223" ca="1">IFERROR(IF(OR('Raw Data'!J223="",LEN(TRIM('Raw Data'!J223))=0),"",IF(AND(ISNUMBER('Raw Data'!J223), IFERROR('Raw Data'!J223 = ROUND('Raw Data'!J223, 2),FALSE)),"",_xlfn.REGEXEXTRACT(CELL("address",J223), "\$([A-Z]+)\$[0-9]+"))),_xlfn.REGEXEXTRACT(CELL("address",J223), "\$([A-Z]+)\$[0-9]+"))</f>
        <v/>
      </c>
      <c r="K223" s="7" t="str" cm="1">
        <f t="array" aca="1" ref="K223" ca="1">IFERROR(IF(OR('Raw Data'!K223="",LEN(TRIM('Raw Data'!K223))=0),"",IF(AND(ISNUMBER('Raw Data'!K223), IFERROR('Raw Data'!K223 = ROUND('Raw Data'!K223, 2),FALSE)),"",_xlfn.REGEXEXTRACT(CELL("address",K223), "\$([A-Z]+)\$[0-9]+"))),_xlfn.REGEXEXTRACT(CELL("address",K223), "\$([A-Z]+)\$[0-9]+"))</f>
        <v/>
      </c>
      <c r="L223" s="7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7" t="str" cm="1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7" t="str" cm="1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  <c r="O223" s="7" t="str" cm="1">
        <f t="array" aca="1" ref="O223" ca="1">IFERROR(IF(OR('Raw Data'!O223="",LEN(TRIM('Raw Data'!O223))=0),"",IF(AND(ISNUMBER('Raw Data'!O223), IFERROR('Raw Data'!O223 = ROUND('Raw Data'!O223, 2),FALSE)),"",_xlfn.REGEXEXTRACT(CELL("address",O223), "\$([A-Z]+)\$[0-9]+"))),_xlfn.REGEXEXTRACT(CELL("address",O223), "\$([A-Z]+)\$[0-9]+"))</f>
        <v/>
      </c>
      <c r="P223" s="7" t="str" cm="1">
        <f t="array" aca="1" ref="P223" ca="1">IFERROR(IF(OR('Raw Data'!P223="",LEN(TRIM('Raw Data'!P223))=0),"",IF(AND(ISNUMBER('Raw Data'!P223), IFERROR('Raw Data'!P223 = ROUND('Raw Data'!P223, 2),FALSE)),"",_xlfn.REGEXEXTRACT(CELL("address",P223), "\$([A-Z]+)\$[0-9]+"))),_xlfn.REGEXEXTRACT(CELL("address",P223), "\$([A-Z]+)\$[0-9]+"))</f>
        <v/>
      </c>
      <c r="Q223" s="7" t="str" cm="1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7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7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7" t="str" cm="1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7" t="str" cm="1">
        <f t="array" aca="1" ref="U223" ca="1">IFERROR(IF(OR('Raw Data'!U223="",LEN(TRIM('Raw Data'!U223))=0),"",IF(AND(ISNUMBER('Raw Data'!U223), IFERROR('Raw Data'!U223 = ROUND('Raw Data'!U223, 2),FALSE)),"",_xlfn.REGEXEXTRACT(CELL("address",U223), "\$([A-Z]+)\$[0-9]+"))),_xlfn.REGEXEXTRACT(CELL("address",U223), "\$([A-Z]+)\$[0-9]+"))</f>
        <v/>
      </c>
      <c r="V223" s="7" t="str" cm="1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7" t="str" cm="1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7" t="str" cm="1">
        <f t="array" aca="1" ref="X223" ca="1">IFERROR(IF(OR('Raw Data'!X223="",LEN(TRIM('Raw Data'!X223))=0),"",IF(AND(ISNUMBER('Raw Data'!X223), IFERROR('Raw Data'!X223 = ROUND('Raw Data'!X223, 2),FALSE)),"",_xlfn.REGEXEXTRACT(CELL("address",X223), "\$([A-Z]+)\$[0-9]+"))),_xlfn.REGEXEXTRACT(CELL("address",X223), "\$([A-Z]+)\$[0-9]+"))</f>
        <v/>
      </c>
      <c r="Y223" s="7" t="str" cm="1">
        <f t="array" aca="1" ref="Y223" ca="1">IFERROR(IF(OR('Raw Data'!Y223="",LEN(TRIM('Raw Data'!Y223))=0),"",IF(AND(ISNUMBER('Raw Data'!Y223), IFERROR('Raw Data'!Y223 = ROUND('Raw Data'!Y223, 2),FALSE)),"",_xlfn.REGEXEXTRACT(CELL("address",Y223), "\$([A-Z]+)\$[0-9]+"))),_xlfn.REGEXEXTRACT(CELL("address",Y223), "\$([A-Z]+)\$[0-9]+"))</f>
        <v/>
      </c>
      <c r="Z223" s="7" t="str" cm="1">
        <f t="array" aca="1" ref="Z223" ca="1">IFERROR(IF(OR('Raw Data'!Z223="",LEN(TRIM('Raw Data'!Z223))=0),"",IF(AND(ISNUMBER('Raw Data'!Z223), IFERROR('Raw Data'!Z223 = ROUND('Raw Data'!Z223, 2),FALSE)),"",_xlfn.REGEXEXTRACT(CELL("address",Z223), "\$([A-Z]+)\$[0-9]+"))),_xlfn.REGEXEXTRACT(CELL("address",Z223), "\$([A-Z]+)\$[0-9]+"))</f>
        <v/>
      </c>
      <c r="AA223" s="7" t="str" cm="1">
        <f t="array" aca="1" ref="AA223" ca="1">IFERROR(IF(OR('Raw Data'!AA223="",LEN(TRIM('Raw Data'!AA223))=0),"",IF(AND(ISNUMBER('Raw Data'!AA223), IFERROR('Raw Data'!AA223 = ROUND('Raw Data'!AA223, 2),FALSE)),"",_xlfn.REGEXEXTRACT(CELL("address",AA223), "\$([A-Z]+)\$[0-9]+"))),_xlfn.REGEXEXTRACT(CELL("address",AA223), "\$([A-Z]+)\$[0-9]+"))</f>
        <v/>
      </c>
      <c r="AB223" s="7" t="str" cm="1">
        <f t="array" aca="1" ref="AB223" ca="1">IFERROR(IF(OR('Raw Data'!AB223="",LEN(TRIM('Raw Data'!AB223))=0),"",IF(AND(ISNUMBER('Raw Data'!AB223), IFERROR('Raw Data'!AB223 = ROUND('Raw Data'!AB223, 2),FALSE)),"",_xlfn.REGEXEXTRACT(CELL("address",AB223), "\$([A-Z]+)\$[0-9]+"))),_xlfn.REGEXEXTRACT(CELL("address",AB223), "\$([A-Z]+)\$[0-9]+"))</f>
        <v/>
      </c>
    </row>
    <row r="224" spans="2:28" x14ac:dyDescent="0.25">
      <c r="B224" s="7" t="str" cm="1">
        <f t="array" aca="1" ref="B224" ca="1">IFERROR(IF(OR('Raw Data'!B224="",LEN(TRIM('Raw Data'!B224))=0),"",IF(AND(LEN('Raw Data'!B224) &lt;= 255,LEN('Raw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Data'!C224))=0),"",IF(AND(LEN('Raw Data'!C224) &lt;= 20,LEN('Raw Data'!C224)&gt; 0),"",_xlfn.REGEXEXTRACT(CELL("address",'Raw Data'!C224),"\$([A-Z]+)\$[0-9]+"))),_xlfn.REGEXEXTRACT(CELL("address",'Raw Data'!C224),"\$([A-Z]+)\$[0-9]+"))</f>
        <v/>
      </c>
      <c r="D224" s="7" t="str" cm="1">
        <f t="array" aca="1" ref="D224" ca="1">IFERROR(IF(OR('Raw Data'!D224="",LEN(TRIM('Raw Data'!D224))=0),"",IF(AND(ISNUMBER('Raw Data'!D224),'Raw Data'!D224&gt;=Configuration!$D$2),"",_xlfn.REGEXEXTRACT(CELL("address",'Raw Data'!D224),"\$([A-Z]+)\$[0-9]+"))),_xlfn.REGEXEXTRACT(CELL("address",D224), "\$([A-Z]+)\$[0-9]+"))</f>
        <v/>
      </c>
      <c r="E224" s="7" t="str" cm="1">
        <f t="array" aca="1" ref="E224" ca="1">IFERROR(IF(OR('Raw Data'!E224="",LEN(TRIM('Raw Data'!E224))=0),"",IF(AND(ISNUMBER('Raw Data'!E224), IFERROR('Raw Data'!E224 = ROUND('Raw Data'!E224, 2),FALSE)),"",_xlfn.REGEXEXTRACT(CELL("address",E224), "\$([A-Z]+)\$[0-9]+"))),_xlfn.REGEXEXTRACT(CELL("address",E224), "\$([A-Z]+)\$[0-9]+"))</f>
        <v/>
      </c>
      <c r="F224" s="7" t="str" cm="1">
        <f t="array" aca="1" ref="F224" ca="1">IFERROR(IF(OR('Raw Data'!F224="",LEN(TRIM('Raw Data'!F224))=0),"",IF(AND(ISNUMBER('Raw Data'!F224), IFERROR('Raw Data'!F224 = ROUND('Raw Data'!F224, 2),FALSE)),"",_xlfn.REGEXEXTRACT(CELL("address",F224), "\$([A-Z]+)\$[0-9]+"))),_xlfn.REGEXEXTRACT(CELL("address",F224), "\$([A-Z]+)\$[0-9]+"))</f>
        <v/>
      </c>
      <c r="G224" s="7" t="str" cm="1">
        <f t="array" aca="1" ref="G224" ca="1">IFERROR(IF(OR('Raw Data'!G224="",LEN(TRIM('Raw Data'!G224))=0),"",IF(AND(ISNUMBER('Raw Data'!G224), IFERROR('Raw Data'!G224 = ROUND('Raw Data'!G224, 2),FALSE)),"",_xlfn.REGEXEXTRACT(CELL("address",G224), "\$([A-Z]+)\$[0-9]+"))),_xlfn.REGEXEXTRACT(CELL("address",G224), "\$([A-Z]+)\$[0-9]+"))</f>
        <v/>
      </c>
      <c r="H224" s="7" t="str" cm="1">
        <f t="array" aca="1" ref="H224" ca="1">IFERROR(IF(OR('Raw Data'!H224="",LEN(TRIM('Raw Data'!H224))=0),"",IF(AND(ISNUMBER('Raw Data'!H224), IFERROR('Raw Data'!H224 = ROUND('Raw Data'!H224, 2),FALSE)),"",_xlfn.REGEXEXTRACT(CELL("address",H224), "\$([A-Z]+)\$[0-9]+"))),_xlfn.REGEXEXTRACT(CELL("address",H224), "\$([A-Z]+)\$[0-9]+"))</f>
        <v/>
      </c>
      <c r="I224" s="7" t="str" cm="1">
        <f t="array" aca="1" ref="I224" ca="1">IFERROR(IF(OR('Raw Data'!I224="",LEN(TRIM('Raw Data'!I224))=0),"",IF(AND(ISNUMBER('Raw Data'!I224), IFERROR('Raw Data'!I224 = ROUND('Raw Data'!I224, 2),FALSE)),"",_xlfn.REGEXEXTRACT(CELL("address",I224), "\$([A-Z]+)\$[0-9]+"))),_xlfn.REGEXEXTRACT(CELL("address",I224), "\$([A-Z]+)\$[0-9]+"))</f>
        <v/>
      </c>
      <c r="J224" s="7" t="str" cm="1">
        <f t="array" aca="1" ref="J224" ca="1">IFERROR(IF(OR('Raw Data'!J224="",LEN(TRIM('Raw Data'!J224))=0),"",IF(AND(ISNUMBER('Raw Data'!J224), IFERROR('Raw Data'!J224 = ROUND('Raw Data'!J224, 2),FALSE)),"",_xlfn.REGEXEXTRACT(CELL("address",J224), "\$([A-Z]+)\$[0-9]+"))),_xlfn.REGEXEXTRACT(CELL("address",J224), "\$([A-Z]+)\$[0-9]+"))</f>
        <v/>
      </c>
      <c r="K224" s="7" t="str" cm="1">
        <f t="array" aca="1" ref="K224" ca="1">IFERROR(IF(OR('Raw Data'!K224="",LEN(TRIM('Raw Data'!K224))=0),"",IF(AND(ISNUMBER('Raw Data'!K224), IFERROR('Raw Data'!K224 = ROUND('Raw Data'!K224, 2),FALSE)),"",_xlfn.REGEXEXTRACT(CELL("address",K224), "\$([A-Z]+)\$[0-9]+"))),_xlfn.REGEXEXTRACT(CELL("address",K224), "\$([A-Z]+)\$[0-9]+"))</f>
        <v/>
      </c>
      <c r="L224" s="7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7" t="str" cm="1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7" t="str" cm="1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  <c r="O224" s="7" t="str" cm="1">
        <f t="array" aca="1" ref="O224" ca="1">IFERROR(IF(OR('Raw Data'!O224="",LEN(TRIM('Raw Data'!O224))=0),"",IF(AND(ISNUMBER('Raw Data'!O224), IFERROR('Raw Data'!O224 = ROUND('Raw Data'!O224, 2),FALSE)),"",_xlfn.REGEXEXTRACT(CELL("address",O224), "\$([A-Z]+)\$[0-9]+"))),_xlfn.REGEXEXTRACT(CELL("address",O224), "\$([A-Z]+)\$[0-9]+"))</f>
        <v/>
      </c>
      <c r="P224" s="7" t="str" cm="1">
        <f t="array" aca="1" ref="P224" ca="1">IFERROR(IF(OR('Raw Data'!P224="",LEN(TRIM('Raw Data'!P224))=0),"",IF(AND(ISNUMBER('Raw Data'!P224), IFERROR('Raw Data'!P224 = ROUND('Raw Data'!P224, 2),FALSE)),"",_xlfn.REGEXEXTRACT(CELL("address",P224), "\$([A-Z]+)\$[0-9]+"))),_xlfn.REGEXEXTRACT(CELL("address",P224), "\$([A-Z]+)\$[0-9]+"))</f>
        <v/>
      </c>
      <c r="Q224" s="7" t="str" cm="1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7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7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7" t="str" cm="1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7" t="str" cm="1">
        <f t="array" aca="1" ref="U224" ca="1">IFERROR(IF(OR('Raw Data'!U224="",LEN(TRIM('Raw Data'!U224))=0),"",IF(AND(ISNUMBER('Raw Data'!U224), IFERROR('Raw Data'!U224 = ROUND('Raw Data'!U224, 2),FALSE)),"",_xlfn.REGEXEXTRACT(CELL("address",U224), "\$([A-Z]+)\$[0-9]+"))),_xlfn.REGEXEXTRACT(CELL("address",U224), "\$([A-Z]+)\$[0-9]+"))</f>
        <v/>
      </c>
      <c r="V224" s="7" t="str" cm="1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7" t="str" cm="1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7" t="str" cm="1">
        <f t="array" aca="1" ref="X224" ca="1">IFERROR(IF(OR('Raw Data'!X224="",LEN(TRIM('Raw Data'!X224))=0),"",IF(AND(ISNUMBER('Raw Data'!X224), IFERROR('Raw Data'!X224 = ROUND('Raw Data'!X224, 2),FALSE)),"",_xlfn.REGEXEXTRACT(CELL("address",X224), "\$([A-Z]+)\$[0-9]+"))),_xlfn.REGEXEXTRACT(CELL("address",X224), "\$([A-Z]+)\$[0-9]+"))</f>
        <v/>
      </c>
      <c r="Y224" s="7" t="str" cm="1">
        <f t="array" aca="1" ref="Y224" ca="1">IFERROR(IF(OR('Raw Data'!Y224="",LEN(TRIM('Raw Data'!Y224))=0),"",IF(AND(ISNUMBER('Raw Data'!Y224), IFERROR('Raw Data'!Y224 = ROUND('Raw Data'!Y224, 2),FALSE)),"",_xlfn.REGEXEXTRACT(CELL("address",Y224), "\$([A-Z]+)\$[0-9]+"))),_xlfn.REGEXEXTRACT(CELL("address",Y224), "\$([A-Z]+)\$[0-9]+"))</f>
        <v/>
      </c>
      <c r="Z224" s="7" t="str" cm="1">
        <f t="array" aca="1" ref="Z224" ca="1">IFERROR(IF(OR('Raw Data'!Z224="",LEN(TRIM('Raw Data'!Z224))=0),"",IF(AND(ISNUMBER('Raw Data'!Z224), IFERROR('Raw Data'!Z224 = ROUND('Raw Data'!Z224, 2),FALSE)),"",_xlfn.REGEXEXTRACT(CELL("address",Z224), "\$([A-Z]+)\$[0-9]+"))),_xlfn.REGEXEXTRACT(CELL("address",Z224), "\$([A-Z]+)\$[0-9]+"))</f>
        <v/>
      </c>
      <c r="AA224" s="7" t="str" cm="1">
        <f t="array" aca="1" ref="AA224" ca="1">IFERROR(IF(OR('Raw Data'!AA224="",LEN(TRIM('Raw Data'!AA224))=0),"",IF(AND(ISNUMBER('Raw Data'!AA224), IFERROR('Raw Data'!AA224 = ROUND('Raw Data'!AA224, 2),FALSE)),"",_xlfn.REGEXEXTRACT(CELL("address",AA224), "\$([A-Z]+)\$[0-9]+"))),_xlfn.REGEXEXTRACT(CELL("address",AA224), "\$([A-Z]+)\$[0-9]+"))</f>
        <v/>
      </c>
      <c r="AB224" s="7" t="str" cm="1">
        <f t="array" aca="1" ref="AB224" ca="1">IFERROR(IF(OR('Raw Data'!AB224="",LEN(TRIM('Raw Data'!AB224))=0),"",IF(AND(ISNUMBER('Raw Data'!AB224), IFERROR('Raw Data'!AB224 = ROUND('Raw Data'!AB224, 2),FALSE)),"",_xlfn.REGEXEXTRACT(CELL("address",AB224), "\$([A-Z]+)\$[0-9]+"))),_xlfn.REGEXEXTRACT(CELL("address",AB224), "\$([A-Z]+)\$[0-9]+"))</f>
        <v/>
      </c>
    </row>
    <row r="225" spans="2:28" x14ac:dyDescent="0.25">
      <c r="B225" s="7" t="str" cm="1">
        <f t="array" aca="1" ref="B225" ca="1">IFERROR(IF(OR('Raw Data'!B225="",LEN(TRIM('Raw Data'!B225))=0),"",IF(AND(LEN('Raw Data'!B225) &lt;= 255,LEN('Raw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Data'!C225))=0),"",IF(AND(LEN('Raw Data'!C225) &lt;= 20,LEN('Raw Data'!C225)&gt; 0),"",_xlfn.REGEXEXTRACT(CELL("address",'Raw Data'!C225),"\$([A-Z]+)\$[0-9]+"))),_xlfn.REGEXEXTRACT(CELL("address",'Raw Data'!C225),"\$([A-Z]+)\$[0-9]+"))</f>
        <v/>
      </c>
      <c r="D225" s="7" t="str" cm="1">
        <f t="array" aca="1" ref="D225" ca="1">IFERROR(IF(OR('Raw Data'!D225="",LEN(TRIM('Raw Data'!D225))=0),"",IF(AND(ISNUMBER('Raw Data'!D225),'Raw Data'!D225&gt;=Configuration!$D$2),"",_xlfn.REGEXEXTRACT(CELL("address",'Raw Data'!D225),"\$([A-Z]+)\$[0-9]+"))),_xlfn.REGEXEXTRACT(CELL("address",D225), "\$([A-Z]+)\$[0-9]+"))</f>
        <v/>
      </c>
      <c r="E225" s="7" t="str" cm="1">
        <f t="array" aca="1" ref="E225" ca="1">IFERROR(IF(OR('Raw Data'!E225="",LEN(TRIM('Raw Data'!E225))=0),"",IF(AND(ISNUMBER('Raw Data'!E225), IFERROR('Raw Data'!E225 = ROUND('Raw Data'!E225, 2),FALSE)),"",_xlfn.REGEXEXTRACT(CELL("address",E225), "\$([A-Z]+)\$[0-9]+"))),_xlfn.REGEXEXTRACT(CELL("address",E225), "\$([A-Z]+)\$[0-9]+"))</f>
        <v/>
      </c>
      <c r="F225" s="7" t="str" cm="1">
        <f t="array" aca="1" ref="F225" ca="1">IFERROR(IF(OR('Raw Data'!F225="",LEN(TRIM('Raw Data'!F225))=0),"",IF(AND(ISNUMBER('Raw Data'!F225), IFERROR('Raw Data'!F225 = ROUND('Raw Data'!F225, 2),FALSE)),"",_xlfn.REGEXEXTRACT(CELL("address",F225), "\$([A-Z]+)\$[0-9]+"))),_xlfn.REGEXEXTRACT(CELL("address",F225), "\$([A-Z]+)\$[0-9]+"))</f>
        <v/>
      </c>
      <c r="G225" s="7" t="str" cm="1">
        <f t="array" aca="1" ref="G225" ca="1">IFERROR(IF(OR('Raw Data'!G225="",LEN(TRIM('Raw Data'!G225))=0),"",IF(AND(ISNUMBER('Raw Data'!G225), IFERROR('Raw Data'!G225 = ROUND('Raw Data'!G225, 2),FALSE)),"",_xlfn.REGEXEXTRACT(CELL("address",G225), "\$([A-Z]+)\$[0-9]+"))),_xlfn.REGEXEXTRACT(CELL("address",G225), "\$([A-Z]+)\$[0-9]+"))</f>
        <v/>
      </c>
      <c r="H225" s="7" t="str" cm="1">
        <f t="array" aca="1" ref="H225" ca="1">IFERROR(IF(OR('Raw Data'!H225="",LEN(TRIM('Raw Data'!H225))=0),"",IF(AND(ISNUMBER('Raw Data'!H225), IFERROR('Raw Data'!H225 = ROUND('Raw Data'!H225, 2),FALSE)),"",_xlfn.REGEXEXTRACT(CELL("address",H225), "\$([A-Z]+)\$[0-9]+"))),_xlfn.REGEXEXTRACT(CELL("address",H225), "\$([A-Z]+)\$[0-9]+"))</f>
        <v/>
      </c>
      <c r="I225" s="7" t="str" cm="1">
        <f t="array" aca="1" ref="I225" ca="1">IFERROR(IF(OR('Raw Data'!I225="",LEN(TRIM('Raw Data'!I225))=0),"",IF(AND(ISNUMBER('Raw Data'!I225), IFERROR('Raw Data'!I225 = ROUND('Raw Data'!I225, 2),FALSE)),"",_xlfn.REGEXEXTRACT(CELL("address",I225), "\$([A-Z]+)\$[0-9]+"))),_xlfn.REGEXEXTRACT(CELL("address",I225), "\$([A-Z]+)\$[0-9]+"))</f>
        <v/>
      </c>
      <c r="J225" s="7" t="str" cm="1">
        <f t="array" aca="1" ref="J225" ca="1">IFERROR(IF(OR('Raw Data'!J225="",LEN(TRIM('Raw Data'!J225))=0),"",IF(AND(ISNUMBER('Raw Data'!J225), IFERROR('Raw Data'!J225 = ROUND('Raw Data'!J225, 2),FALSE)),"",_xlfn.REGEXEXTRACT(CELL("address",J225), "\$([A-Z]+)\$[0-9]+"))),_xlfn.REGEXEXTRACT(CELL("address",J225), "\$([A-Z]+)\$[0-9]+"))</f>
        <v/>
      </c>
      <c r="K225" s="7" t="str" cm="1">
        <f t="array" aca="1" ref="K225" ca="1">IFERROR(IF(OR('Raw Data'!K225="",LEN(TRIM('Raw Data'!K225))=0),"",IF(AND(ISNUMBER('Raw Data'!K225), IFERROR('Raw Data'!K225 = ROUND('Raw Data'!K225, 2),FALSE)),"",_xlfn.REGEXEXTRACT(CELL("address",K225), "\$([A-Z]+)\$[0-9]+"))),_xlfn.REGEXEXTRACT(CELL("address",K225), "\$([A-Z]+)\$[0-9]+"))</f>
        <v/>
      </c>
      <c r="L225" s="7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7" t="str" cm="1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7" t="str" cm="1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  <c r="O225" s="7" t="str" cm="1">
        <f t="array" aca="1" ref="O225" ca="1">IFERROR(IF(OR('Raw Data'!O225="",LEN(TRIM('Raw Data'!O225))=0),"",IF(AND(ISNUMBER('Raw Data'!O225), IFERROR('Raw Data'!O225 = ROUND('Raw Data'!O225, 2),FALSE)),"",_xlfn.REGEXEXTRACT(CELL("address",O225), "\$([A-Z]+)\$[0-9]+"))),_xlfn.REGEXEXTRACT(CELL("address",O225), "\$([A-Z]+)\$[0-9]+"))</f>
        <v/>
      </c>
      <c r="P225" s="7" t="str" cm="1">
        <f t="array" aca="1" ref="P225" ca="1">IFERROR(IF(OR('Raw Data'!P225="",LEN(TRIM('Raw Data'!P225))=0),"",IF(AND(ISNUMBER('Raw Data'!P225), IFERROR('Raw Data'!P225 = ROUND('Raw Data'!P225, 2),FALSE)),"",_xlfn.REGEXEXTRACT(CELL("address",P225), "\$([A-Z]+)\$[0-9]+"))),_xlfn.REGEXEXTRACT(CELL("address",P225), "\$([A-Z]+)\$[0-9]+"))</f>
        <v/>
      </c>
      <c r="Q225" s="7" t="str" cm="1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7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7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7" t="str" cm="1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7" t="str" cm="1">
        <f t="array" aca="1" ref="U225" ca="1">IFERROR(IF(OR('Raw Data'!U225="",LEN(TRIM('Raw Data'!U225))=0),"",IF(AND(ISNUMBER('Raw Data'!U225), IFERROR('Raw Data'!U225 = ROUND('Raw Data'!U225, 2),FALSE)),"",_xlfn.REGEXEXTRACT(CELL("address",U225), "\$([A-Z]+)\$[0-9]+"))),_xlfn.REGEXEXTRACT(CELL("address",U225), "\$([A-Z]+)\$[0-9]+"))</f>
        <v/>
      </c>
      <c r="V225" s="7" t="str" cm="1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7" t="str" cm="1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7" t="str" cm="1">
        <f t="array" aca="1" ref="X225" ca="1">IFERROR(IF(OR('Raw Data'!X225="",LEN(TRIM('Raw Data'!X225))=0),"",IF(AND(ISNUMBER('Raw Data'!X225), IFERROR('Raw Data'!X225 = ROUND('Raw Data'!X225, 2),FALSE)),"",_xlfn.REGEXEXTRACT(CELL("address",X225), "\$([A-Z]+)\$[0-9]+"))),_xlfn.REGEXEXTRACT(CELL("address",X225), "\$([A-Z]+)\$[0-9]+"))</f>
        <v/>
      </c>
      <c r="Y225" s="7" t="str" cm="1">
        <f t="array" aca="1" ref="Y225" ca="1">IFERROR(IF(OR('Raw Data'!Y225="",LEN(TRIM('Raw Data'!Y225))=0),"",IF(AND(ISNUMBER('Raw Data'!Y225), IFERROR('Raw Data'!Y225 = ROUND('Raw Data'!Y225, 2),FALSE)),"",_xlfn.REGEXEXTRACT(CELL("address",Y225), "\$([A-Z]+)\$[0-9]+"))),_xlfn.REGEXEXTRACT(CELL("address",Y225), "\$([A-Z]+)\$[0-9]+"))</f>
        <v/>
      </c>
      <c r="Z225" s="7" t="str" cm="1">
        <f t="array" aca="1" ref="Z225" ca="1">IFERROR(IF(OR('Raw Data'!Z225="",LEN(TRIM('Raw Data'!Z225))=0),"",IF(AND(ISNUMBER('Raw Data'!Z225), IFERROR('Raw Data'!Z225 = ROUND('Raw Data'!Z225, 2),FALSE)),"",_xlfn.REGEXEXTRACT(CELL("address",Z225), "\$([A-Z]+)\$[0-9]+"))),_xlfn.REGEXEXTRACT(CELL("address",Z225), "\$([A-Z]+)\$[0-9]+"))</f>
        <v/>
      </c>
      <c r="AA225" s="7" t="str" cm="1">
        <f t="array" aca="1" ref="AA225" ca="1">IFERROR(IF(OR('Raw Data'!AA225="",LEN(TRIM('Raw Data'!AA225))=0),"",IF(AND(ISNUMBER('Raw Data'!AA225), IFERROR('Raw Data'!AA225 = ROUND('Raw Data'!AA225, 2),FALSE)),"",_xlfn.REGEXEXTRACT(CELL("address",AA225), "\$([A-Z]+)\$[0-9]+"))),_xlfn.REGEXEXTRACT(CELL("address",AA225), "\$([A-Z]+)\$[0-9]+"))</f>
        <v/>
      </c>
      <c r="AB225" s="7" t="str" cm="1">
        <f t="array" aca="1" ref="AB225" ca="1">IFERROR(IF(OR('Raw Data'!AB225="",LEN(TRIM('Raw Data'!AB225))=0),"",IF(AND(ISNUMBER('Raw Data'!AB225), IFERROR('Raw Data'!AB225 = ROUND('Raw Data'!AB225, 2),FALSE)),"",_xlfn.REGEXEXTRACT(CELL("address",AB225), "\$([A-Z]+)\$[0-9]+"))),_xlfn.REGEXEXTRACT(CELL("address",AB225), "\$([A-Z]+)\$[0-9]+"))</f>
        <v/>
      </c>
    </row>
    <row r="226" spans="2:28" x14ac:dyDescent="0.25">
      <c r="B226" s="7" t="str" cm="1">
        <f t="array" aca="1" ref="B226" ca="1">IFERROR(IF(OR('Raw Data'!B226="",LEN(TRIM('Raw Data'!B226))=0),"",IF(AND(LEN('Raw Data'!B226) &lt;= 255,LEN('Raw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Data'!C226))=0),"",IF(AND(LEN('Raw Data'!C226) &lt;= 20,LEN('Raw Data'!C226)&gt; 0),"",_xlfn.REGEXEXTRACT(CELL("address",'Raw Data'!C226),"\$([A-Z]+)\$[0-9]+"))),_xlfn.REGEXEXTRACT(CELL("address",'Raw Data'!C226),"\$([A-Z]+)\$[0-9]+"))</f>
        <v/>
      </c>
      <c r="D226" s="7" t="str" cm="1">
        <f t="array" aca="1" ref="D226" ca="1">IFERROR(IF(OR('Raw Data'!D226="",LEN(TRIM('Raw Data'!D226))=0),"",IF(AND(ISNUMBER('Raw Data'!D226),'Raw Data'!D226&gt;=Configuration!$D$2),"",_xlfn.REGEXEXTRACT(CELL("address",'Raw Data'!D226),"\$([A-Z]+)\$[0-9]+"))),_xlfn.REGEXEXTRACT(CELL("address",D226), "\$([A-Z]+)\$[0-9]+"))</f>
        <v/>
      </c>
      <c r="E226" s="7" t="str" cm="1">
        <f t="array" aca="1" ref="E226" ca="1">IFERROR(IF(OR('Raw Data'!E226="",LEN(TRIM('Raw Data'!E226))=0),"",IF(AND(ISNUMBER('Raw Data'!E226), IFERROR('Raw Data'!E226 = ROUND('Raw Data'!E226, 2),FALSE)),"",_xlfn.REGEXEXTRACT(CELL("address",E226), "\$([A-Z]+)\$[0-9]+"))),_xlfn.REGEXEXTRACT(CELL("address",E226), "\$([A-Z]+)\$[0-9]+"))</f>
        <v/>
      </c>
      <c r="F226" s="7" t="str" cm="1">
        <f t="array" aca="1" ref="F226" ca="1">IFERROR(IF(OR('Raw Data'!F226="",LEN(TRIM('Raw Data'!F226))=0),"",IF(AND(ISNUMBER('Raw Data'!F226), IFERROR('Raw Data'!F226 = ROUND('Raw Data'!F226, 2),FALSE)),"",_xlfn.REGEXEXTRACT(CELL("address",F226), "\$([A-Z]+)\$[0-9]+"))),_xlfn.REGEXEXTRACT(CELL("address",F226), "\$([A-Z]+)\$[0-9]+"))</f>
        <v/>
      </c>
      <c r="G226" s="7" t="str" cm="1">
        <f t="array" aca="1" ref="G226" ca="1">IFERROR(IF(OR('Raw Data'!G226="",LEN(TRIM('Raw Data'!G226))=0),"",IF(AND(ISNUMBER('Raw Data'!G226), IFERROR('Raw Data'!G226 = ROUND('Raw Data'!G226, 2),FALSE)),"",_xlfn.REGEXEXTRACT(CELL("address",G226), "\$([A-Z]+)\$[0-9]+"))),_xlfn.REGEXEXTRACT(CELL("address",G226), "\$([A-Z]+)\$[0-9]+"))</f>
        <v/>
      </c>
      <c r="H226" s="7" t="str" cm="1">
        <f t="array" aca="1" ref="H226" ca="1">IFERROR(IF(OR('Raw Data'!H226="",LEN(TRIM('Raw Data'!H226))=0),"",IF(AND(ISNUMBER('Raw Data'!H226), IFERROR('Raw Data'!H226 = ROUND('Raw Data'!H226, 2),FALSE)),"",_xlfn.REGEXEXTRACT(CELL("address",H226), "\$([A-Z]+)\$[0-9]+"))),_xlfn.REGEXEXTRACT(CELL("address",H226), "\$([A-Z]+)\$[0-9]+"))</f>
        <v/>
      </c>
      <c r="I226" s="7" t="str" cm="1">
        <f t="array" aca="1" ref="I226" ca="1">IFERROR(IF(OR('Raw Data'!I226="",LEN(TRIM('Raw Data'!I226))=0),"",IF(AND(ISNUMBER('Raw Data'!I226), IFERROR('Raw Data'!I226 = ROUND('Raw Data'!I226, 2),FALSE)),"",_xlfn.REGEXEXTRACT(CELL("address",I226), "\$([A-Z]+)\$[0-9]+"))),_xlfn.REGEXEXTRACT(CELL("address",I226), "\$([A-Z]+)\$[0-9]+"))</f>
        <v/>
      </c>
      <c r="J226" s="7" t="str" cm="1">
        <f t="array" aca="1" ref="J226" ca="1">IFERROR(IF(OR('Raw Data'!J226="",LEN(TRIM('Raw Data'!J226))=0),"",IF(AND(ISNUMBER('Raw Data'!J226), IFERROR('Raw Data'!J226 = ROUND('Raw Data'!J226, 2),FALSE)),"",_xlfn.REGEXEXTRACT(CELL("address",J226), "\$([A-Z]+)\$[0-9]+"))),_xlfn.REGEXEXTRACT(CELL("address",J226), "\$([A-Z]+)\$[0-9]+"))</f>
        <v/>
      </c>
      <c r="K226" s="7" t="str" cm="1">
        <f t="array" aca="1" ref="K226" ca="1">IFERROR(IF(OR('Raw Data'!K226="",LEN(TRIM('Raw Data'!K226))=0),"",IF(AND(ISNUMBER('Raw Data'!K226), IFERROR('Raw Data'!K226 = ROUND('Raw Data'!K226, 2),FALSE)),"",_xlfn.REGEXEXTRACT(CELL("address",K226), "\$([A-Z]+)\$[0-9]+"))),_xlfn.REGEXEXTRACT(CELL("address",K226), "\$([A-Z]+)\$[0-9]+"))</f>
        <v/>
      </c>
      <c r="L226" s="7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7" t="str" cm="1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7" t="str" cm="1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  <c r="O226" s="7" t="str" cm="1">
        <f t="array" aca="1" ref="O226" ca="1">IFERROR(IF(OR('Raw Data'!O226="",LEN(TRIM('Raw Data'!O226))=0),"",IF(AND(ISNUMBER('Raw Data'!O226), IFERROR('Raw Data'!O226 = ROUND('Raw Data'!O226, 2),FALSE)),"",_xlfn.REGEXEXTRACT(CELL("address",O226), "\$([A-Z]+)\$[0-9]+"))),_xlfn.REGEXEXTRACT(CELL("address",O226), "\$([A-Z]+)\$[0-9]+"))</f>
        <v/>
      </c>
      <c r="P226" s="7" t="str" cm="1">
        <f t="array" aca="1" ref="P226" ca="1">IFERROR(IF(OR('Raw Data'!P226="",LEN(TRIM('Raw Data'!P226))=0),"",IF(AND(ISNUMBER('Raw Data'!P226), IFERROR('Raw Data'!P226 = ROUND('Raw Data'!P226, 2),FALSE)),"",_xlfn.REGEXEXTRACT(CELL("address",P226), "\$([A-Z]+)\$[0-9]+"))),_xlfn.REGEXEXTRACT(CELL("address",P226), "\$([A-Z]+)\$[0-9]+"))</f>
        <v/>
      </c>
      <c r="Q226" s="7" t="str" cm="1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7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7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7" t="str" cm="1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7" t="str" cm="1">
        <f t="array" aca="1" ref="U226" ca="1">IFERROR(IF(OR('Raw Data'!U226="",LEN(TRIM('Raw Data'!U226))=0),"",IF(AND(ISNUMBER('Raw Data'!U226), IFERROR('Raw Data'!U226 = ROUND('Raw Data'!U226, 2),FALSE)),"",_xlfn.REGEXEXTRACT(CELL("address",U226), "\$([A-Z]+)\$[0-9]+"))),_xlfn.REGEXEXTRACT(CELL("address",U226), "\$([A-Z]+)\$[0-9]+"))</f>
        <v/>
      </c>
      <c r="V226" s="7" t="str" cm="1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7" t="str" cm="1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7" t="str" cm="1">
        <f t="array" aca="1" ref="X226" ca="1">IFERROR(IF(OR('Raw Data'!X226="",LEN(TRIM('Raw Data'!X226))=0),"",IF(AND(ISNUMBER('Raw Data'!X226), IFERROR('Raw Data'!X226 = ROUND('Raw Data'!X226, 2),FALSE)),"",_xlfn.REGEXEXTRACT(CELL("address",X226), "\$([A-Z]+)\$[0-9]+"))),_xlfn.REGEXEXTRACT(CELL("address",X226), "\$([A-Z]+)\$[0-9]+"))</f>
        <v/>
      </c>
      <c r="Y226" s="7" t="str" cm="1">
        <f t="array" aca="1" ref="Y226" ca="1">IFERROR(IF(OR('Raw Data'!Y226="",LEN(TRIM('Raw Data'!Y226))=0),"",IF(AND(ISNUMBER('Raw Data'!Y226), IFERROR('Raw Data'!Y226 = ROUND('Raw Data'!Y226, 2),FALSE)),"",_xlfn.REGEXEXTRACT(CELL("address",Y226), "\$([A-Z]+)\$[0-9]+"))),_xlfn.REGEXEXTRACT(CELL("address",Y226), "\$([A-Z]+)\$[0-9]+"))</f>
        <v/>
      </c>
      <c r="Z226" s="7" t="str" cm="1">
        <f t="array" aca="1" ref="Z226" ca="1">IFERROR(IF(OR('Raw Data'!Z226="",LEN(TRIM('Raw Data'!Z226))=0),"",IF(AND(ISNUMBER('Raw Data'!Z226), IFERROR('Raw Data'!Z226 = ROUND('Raw Data'!Z226, 2),FALSE)),"",_xlfn.REGEXEXTRACT(CELL("address",Z226), "\$([A-Z]+)\$[0-9]+"))),_xlfn.REGEXEXTRACT(CELL("address",Z226), "\$([A-Z]+)\$[0-9]+"))</f>
        <v/>
      </c>
      <c r="AA226" s="7" t="str" cm="1">
        <f t="array" aca="1" ref="AA226" ca="1">IFERROR(IF(OR('Raw Data'!AA226="",LEN(TRIM('Raw Data'!AA226))=0),"",IF(AND(ISNUMBER('Raw Data'!AA226), IFERROR('Raw Data'!AA226 = ROUND('Raw Data'!AA226, 2),FALSE)),"",_xlfn.REGEXEXTRACT(CELL("address",AA226), "\$([A-Z]+)\$[0-9]+"))),_xlfn.REGEXEXTRACT(CELL("address",AA226), "\$([A-Z]+)\$[0-9]+"))</f>
        <v/>
      </c>
      <c r="AB226" s="7" t="str" cm="1">
        <f t="array" aca="1" ref="AB226" ca="1">IFERROR(IF(OR('Raw Data'!AB226="",LEN(TRIM('Raw Data'!AB226))=0),"",IF(AND(ISNUMBER('Raw Data'!AB226), IFERROR('Raw Data'!AB226 = ROUND('Raw Data'!AB226, 2),FALSE)),"",_xlfn.REGEXEXTRACT(CELL("address",AB226), "\$([A-Z]+)\$[0-9]+"))),_xlfn.REGEXEXTRACT(CELL("address",AB226), "\$([A-Z]+)\$[0-9]+"))</f>
        <v/>
      </c>
    </row>
    <row r="227" spans="2:28" x14ac:dyDescent="0.25">
      <c r="B227" s="7" t="str" cm="1">
        <f t="array" aca="1" ref="B227" ca="1">IFERROR(IF(OR('Raw Data'!B227="",LEN(TRIM('Raw Data'!B227))=0),"",IF(AND(LEN('Raw Data'!B227) &lt;= 255,LEN('Raw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Data'!C227))=0),"",IF(AND(LEN('Raw Data'!C227) &lt;= 20,LEN('Raw Data'!C227)&gt; 0),"",_xlfn.REGEXEXTRACT(CELL("address",'Raw Data'!C227),"\$([A-Z]+)\$[0-9]+"))),_xlfn.REGEXEXTRACT(CELL("address",'Raw Data'!C227),"\$([A-Z]+)\$[0-9]+"))</f>
        <v/>
      </c>
      <c r="D227" s="7" t="str" cm="1">
        <f t="array" aca="1" ref="D227" ca="1">IFERROR(IF(OR('Raw Data'!D227="",LEN(TRIM('Raw Data'!D227))=0),"",IF(AND(ISNUMBER('Raw Data'!D227),'Raw Data'!D227&gt;=Configuration!$D$2),"",_xlfn.REGEXEXTRACT(CELL("address",'Raw Data'!D227),"\$([A-Z]+)\$[0-9]+"))),_xlfn.REGEXEXTRACT(CELL("address",D227), "\$([A-Z]+)\$[0-9]+"))</f>
        <v/>
      </c>
      <c r="E227" s="7" t="str" cm="1">
        <f t="array" aca="1" ref="E227" ca="1">IFERROR(IF(OR('Raw Data'!E227="",LEN(TRIM('Raw Data'!E227))=0),"",IF(AND(ISNUMBER('Raw Data'!E227), IFERROR('Raw Data'!E227 = ROUND('Raw Data'!E227, 2),FALSE)),"",_xlfn.REGEXEXTRACT(CELL("address",E227), "\$([A-Z]+)\$[0-9]+"))),_xlfn.REGEXEXTRACT(CELL("address",E227), "\$([A-Z]+)\$[0-9]+"))</f>
        <v/>
      </c>
      <c r="F227" s="7" t="str" cm="1">
        <f t="array" aca="1" ref="F227" ca="1">IFERROR(IF(OR('Raw Data'!F227="",LEN(TRIM('Raw Data'!F227))=0),"",IF(AND(ISNUMBER('Raw Data'!F227), IFERROR('Raw Data'!F227 = ROUND('Raw Data'!F227, 2),FALSE)),"",_xlfn.REGEXEXTRACT(CELL("address",F227), "\$([A-Z]+)\$[0-9]+"))),_xlfn.REGEXEXTRACT(CELL("address",F227), "\$([A-Z]+)\$[0-9]+"))</f>
        <v/>
      </c>
      <c r="G227" s="7" t="str" cm="1">
        <f t="array" aca="1" ref="G227" ca="1">IFERROR(IF(OR('Raw Data'!G227="",LEN(TRIM('Raw Data'!G227))=0),"",IF(AND(ISNUMBER('Raw Data'!G227), IFERROR('Raw Data'!G227 = ROUND('Raw Data'!G227, 2),FALSE)),"",_xlfn.REGEXEXTRACT(CELL("address",G227), "\$([A-Z]+)\$[0-9]+"))),_xlfn.REGEXEXTRACT(CELL("address",G227), "\$([A-Z]+)\$[0-9]+"))</f>
        <v/>
      </c>
      <c r="H227" s="7" t="str" cm="1">
        <f t="array" aca="1" ref="H227" ca="1">IFERROR(IF(OR('Raw Data'!H227="",LEN(TRIM('Raw Data'!H227))=0),"",IF(AND(ISNUMBER('Raw Data'!H227), IFERROR('Raw Data'!H227 = ROUND('Raw Data'!H227, 2),FALSE)),"",_xlfn.REGEXEXTRACT(CELL("address",H227), "\$([A-Z]+)\$[0-9]+"))),_xlfn.REGEXEXTRACT(CELL("address",H227), "\$([A-Z]+)\$[0-9]+"))</f>
        <v/>
      </c>
      <c r="I227" s="7" t="str" cm="1">
        <f t="array" aca="1" ref="I227" ca="1">IFERROR(IF(OR('Raw Data'!I227="",LEN(TRIM('Raw Data'!I227))=0),"",IF(AND(ISNUMBER('Raw Data'!I227), IFERROR('Raw Data'!I227 = ROUND('Raw Data'!I227, 2),FALSE)),"",_xlfn.REGEXEXTRACT(CELL("address",I227), "\$([A-Z]+)\$[0-9]+"))),_xlfn.REGEXEXTRACT(CELL("address",I227), "\$([A-Z]+)\$[0-9]+"))</f>
        <v/>
      </c>
      <c r="J227" s="7" t="str" cm="1">
        <f t="array" aca="1" ref="J227" ca="1">IFERROR(IF(OR('Raw Data'!J227="",LEN(TRIM('Raw Data'!J227))=0),"",IF(AND(ISNUMBER('Raw Data'!J227), IFERROR('Raw Data'!J227 = ROUND('Raw Data'!J227, 2),FALSE)),"",_xlfn.REGEXEXTRACT(CELL("address",J227), "\$([A-Z]+)\$[0-9]+"))),_xlfn.REGEXEXTRACT(CELL("address",J227), "\$([A-Z]+)\$[0-9]+"))</f>
        <v/>
      </c>
      <c r="K227" s="7" t="str" cm="1">
        <f t="array" aca="1" ref="K227" ca="1">IFERROR(IF(OR('Raw Data'!K227="",LEN(TRIM('Raw Data'!K227))=0),"",IF(AND(ISNUMBER('Raw Data'!K227), IFERROR('Raw Data'!K227 = ROUND('Raw Data'!K227, 2),FALSE)),"",_xlfn.REGEXEXTRACT(CELL("address",K227), "\$([A-Z]+)\$[0-9]+"))),_xlfn.REGEXEXTRACT(CELL("address",K227), "\$([A-Z]+)\$[0-9]+"))</f>
        <v/>
      </c>
      <c r="L227" s="7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7" t="str" cm="1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7" t="str" cm="1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  <c r="O227" s="7" t="str" cm="1">
        <f t="array" aca="1" ref="O227" ca="1">IFERROR(IF(OR('Raw Data'!O227="",LEN(TRIM('Raw Data'!O227))=0),"",IF(AND(ISNUMBER('Raw Data'!O227), IFERROR('Raw Data'!O227 = ROUND('Raw Data'!O227, 2),FALSE)),"",_xlfn.REGEXEXTRACT(CELL("address",O227), "\$([A-Z]+)\$[0-9]+"))),_xlfn.REGEXEXTRACT(CELL("address",O227), "\$([A-Z]+)\$[0-9]+"))</f>
        <v/>
      </c>
      <c r="P227" s="7" t="str" cm="1">
        <f t="array" aca="1" ref="P227" ca="1">IFERROR(IF(OR('Raw Data'!P227="",LEN(TRIM('Raw Data'!P227))=0),"",IF(AND(ISNUMBER('Raw Data'!P227), IFERROR('Raw Data'!P227 = ROUND('Raw Data'!P227, 2),FALSE)),"",_xlfn.REGEXEXTRACT(CELL("address",P227), "\$([A-Z]+)\$[0-9]+"))),_xlfn.REGEXEXTRACT(CELL("address",P227), "\$([A-Z]+)\$[0-9]+"))</f>
        <v/>
      </c>
      <c r="Q227" s="7" t="str" cm="1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7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7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7" t="str" cm="1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7" t="str" cm="1">
        <f t="array" aca="1" ref="U227" ca="1">IFERROR(IF(OR('Raw Data'!U227="",LEN(TRIM('Raw Data'!U227))=0),"",IF(AND(ISNUMBER('Raw Data'!U227), IFERROR('Raw Data'!U227 = ROUND('Raw Data'!U227, 2),FALSE)),"",_xlfn.REGEXEXTRACT(CELL("address",U227), "\$([A-Z]+)\$[0-9]+"))),_xlfn.REGEXEXTRACT(CELL("address",U227), "\$([A-Z]+)\$[0-9]+"))</f>
        <v/>
      </c>
      <c r="V227" s="7" t="str" cm="1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7" t="str" cm="1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7" t="str" cm="1">
        <f t="array" aca="1" ref="X227" ca="1">IFERROR(IF(OR('Raw Data'!X227="",LEN(TRIM('Raw Data'!X227))=0),"",IF(AND(ISNUMBER('Raw Data'!X227), IFERROR('Raw Data'!X227 = ROUND('Raw Data'!X227, 2),FALSE)),"",_xlfn.REGEXEXTRACT(CELL("address",X227), "\$([A-Z]+)\$[0-9]+"))),_xlfn.REGEXEXTRACT(CELL("address",X227), "\$([A-Z]+)\$[0-9]+"))</f>
        <v/>
      </c>
      <c r="Y227" s="7" t="str" cm="1">
        <f t="array" aca="1" ref="Y227" ca="1">IFERROR(IF(OR('Raw Data'!Y227="",LEN(TRIM('Raw Data'!Y227))=0),"",IF(AND(ISNUMBER('Raw Data'!Y227), IFERROR('Raw Data'!Y227 = ROUND('Raw Data'!Y227, 2),FALSE)),"",_xlfn.REGEXEXTRACT(CELL("address",Y227), "\$([A-Z]+)\$[0-9]+"))),_xlfn.REGEXEXTRACT(CELL("address",Y227), "\$([A-Z]+)\$[0-9]+"))</f>
        <v/>
      </c>
      <c r="Z227" s="7" t="str" cm="1">
        <f t="array" aca="1" ref="Z227" ca="1">IFERROR(IF(OR('Raw Data'!Z227="",LEN(TRIM('Raw Data'!Z227))=0),"",IF(AND(ISNUMBER('Raw Data'!Z227), IFERROR('Raw Data'!Z227 = ROUND('Raw Data'!Z227, 2),FALSE)),"",_xlfn.REGEXEXTRACT(CELL("address",Z227), "\$([A-Z]+)\$[0-9]+"))),_xlfn.REGEXEXTRACT(CELL("address",Z227), "\$([A-Z]+)\$[0-9]+"))</f>
        <v/>
      </c>
      <c r="AA227" s="7" t="str" cm="1">
        <f t="array" aca="1" ref="AA227" ca="1">IFERROR(IF(OR('Raw Data'!AA227="",LEN(TRIM('Raw Data'!AA227))=0),"",IF(AND(ISNUMBER('Raw Data'!AA227), IFERROR('Raw Data'!AA227 = ROUND('Raw Data'!AA227, 2),FALSE)),"",_xlfn.REGEXEXTRACT(CELL("address",AA227), "\$([A-Z]+)\$[0-9]+"))),_xlfn.REGEXEXTRACT(CELL("address",AA227), "\$([A-Z]+)\$[0-9]+"))</f>
        <v/>
      </c>
      <c r="AB227" s="7" t="str" cm="1">
        <f t="array" aca="1" ref="AB227" ca="1">IFERROR(IF(OR('Raw Data'!AB227="",LEN(TRIM('Raw Data'!AB227))=0),"",IF(AND(ISNUMBER('Raw Data'!AB227), IFERROR('Raw Data'!AB227 = ROUND('Raw Data'!AB227, 2),FALSE)),"",_xlfn.REGEXEXTRACT(CELL("address",AB227), "\$([A-Z]+)\$[0-9]+"))),_xlfn.REGEXEXTRACT(CELL("address",AB227), "\$([A-Z]+)\$[0-9]+"))</f>
        <v/>
      </c>
    </row>
    <row r="228" spans="2:28" x14ac:dyDescent="0.25">
      <c r="B228" s="7" t="str" cm="1">
        <f t="array" aca="1" ref="B228" ca="1">IFERROR(IF(OR('Raw Data'!B228="",LEN(TRIM('Raw Data'!B228))=0),"",IF(AND(LEN('Raw Data'!B228) &lt;= 255,LEN('Raw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Data'!C228))=0),"",IF(AND(LEN('Raw Data'!C228) &lt;= 20,LEN('Raw Data'!C228)&gt; 0),"",_xlfn.REGEXEXTRACT(CELL("address",'Raw Data'!C228),"\$([A-Z]+)\$[0-9]+"))),_xlfn.REGEXEXTRACT(CELL("address",'Raw Data'!C228),"\$([A-Z]+)\$[0-9]+"))</f>
        <v/>
      </c>
      <c r="D228" s="7" t="str" cm="1">
        <f t="array" aca="1" ref="D228" ca="1">IFERROR(IF(OR('Raw Data'!D228="",LEN(TRIM('Raw Data'!D228))=0),"",IF(AND(ISNUMBER('Raw Data'!D228),'Raw Data'!D228&gt;=Configuration!$D$2),"",_xlfn.REGEXEXTRACT(CELL("address",'Raw Data'!D228),"\$([A-Z]+)\$[0-9]+"))),_xlfn.REGEXEXTRACT(CELL("address",D228), "\$([A-Z]+)\$[0-9]+"))</f>
        <v/>
      </c>
      <c r="E228" s="7" t="str" cm="1">
        <f t="array" aca="1" ref="E228" ca="1">IFERROR(IF(OR('Raw Data'!E228="",LEN(TRIM('Raw Data'!E228))=0),"",IF(AND(ISNUMBER('Raw Data'!E228), IFERROR('Raw Data'!E228 = ROUND('Raw Data'!E228, 2),FALSE)),"",_xlfn.REGEXEXTRACT(CELL("address",E228), "\$([A-Z]+)\$[0-9]+"))),_xlfn.REGEXEXTRACT(CELL("address",E228), "\$([A-Z]+)\$[0-9]+"))</f>
        <v/>
      </c>
      <c r="F228" s="7" t="str" cm="1">
        <f t="array" aca="1" ref="F228" ca="1">IFERROR(IF(OR('Raw Data'!F228="",LEN(TRIM('Raw Data'!F228))=0),"",IF(AND(ISNUMBER('Raw Data'!F228), IFERROR('Raw Data'!F228 = ROUND('Raw Data'!F228, 2),FALSE)),"",_xlfn.REGEXEXTRACT(CELL("address",F228), "\$([A-Z]+)\$[0-9]+"))),_xlfn.REGEXEXTRACT(CELL("address",F228), "\$([A-Z]+)\$[0-9]+"))</f>
        <v/>
      </c>
      <c r="G228" s="7" t="str" cm="1">
        <f t="array" aca="1" ref="G228" ca="1">IFERROR(IF(OR('Raw Data'!G228="",LEN(TRIM('Raw Data'!G228))=0),"",IF(AND(ISNUMBER('Raw Data'!G228), IFERROR('Raw Data'!G228 = ROUND('Raw Data'!G228, 2),FALSE)),"",_xlfn.REGEXEXTRACT(CELL("address",G228), "\$([A-Z]+)\$[0-9]+"))),_xlfn.REGEXEXTRACT(CELL("address",G228), "\$([A-Z]+)\$[0-9]+"))</f>
        <v/>
      </c>
      <c r="H228" s="7" t="str" cm="1">
        <f t="array" aca="1" ref="H228" ca="1">IFERROR(IF(OR('Raw Data'!H228="",LEN(TRIM('Raw Data'!H228))=0),"",IF(AND(ISNUMBER('Raw Data'!H228), IFERROR('Raw Data'!H228 = ROUND('Raw Data'!H228, 2),FALSE)),"",_xlfn.REGEXEXTRACT(CELL("address",H228), "\$([A-Z]+)\$[0-9]+"))),_xlfn.REGEXEXTRACT(CELL("address",H228), "\$([A-Z]+)\$[0-9]+"))</f>
        <v/>
      </c>
      <c r="I228" s="7" t="str" cm="1">
        <f t="array" aca="1" ref="I228" ca="1">IFERROR(IF(OR('Raw Data'!I228="",LEN(TRIM('Raw Data'!I228))=0),"",IF(AND(ISNUMBER('Raw Data'!I228), IFERROR('Raw Data'!I228 = ROUND('Raw Data'!I228, 2),FALSE)),"",_xlfn.REGEXEXTRACT(CELL("address",I228), "\$([A-Z]+)\$[0-9]+"))),_xlfn.REGEXEXTRACT(CELL("address",I228), "\$([A-Z]+)\$[0-9]+"))</f>
        <v/>
      </c>
      <c r="J228" s="7" t="str" cm="1">
        <f t="array" aca="1" ref="J228" ca="1">IFERROR(IF(OR('Raw Data'!J228="",LEN(TRIM('Raw Data'!J228))=0),"",IF(AND(ISNUMBER('Raw Data'!J228), IFERROR('Raw Data'!J228 = ROUND('Raw Data'!J228, 2),FALSE)),"",_xlfn.REGEXEXTRACT(CELL("address",J228), "\$([A-Z]+)\$[0-9]+"))),_xlfn.REGEXEXTRACT(CELL("address",J228), "\$([A-Z]+)\$[0-9]+"))</f>
        <v/>
      </c>
      <c r="K228" s="7" t="str" cm="1">
        <f t="array" aca="1" ref="K228" ca="1">IFERROR(IF(OR('Raw Data'!K228="",LEN(TRIM('Raw Data'!K228))=0),"",IF(AND(ISNUMBER('Raw Data'!K228), IFERROR('Raw Data'!K228 = ROUND('Raw Data'!K228, 2),FALSE)),"",_xlfn.REGEXEXTRACT(CELL("address",K228), "\$([A-Z]+)\$[0-9]+"))),_xlfn.REGEXEXTRACT(CELL("address",K228), "\$([A-Z]+)\$[0-9]+"))</f>
        <v/>
      </c>
      <c r="L228" s="7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7" t="str" cm="1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7" t="str" cm="1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  <c r="O228" s="7" t="str" cm="1">
        <f t="array" aca="1" ref="O228" ca="1">IFERROR(IF(OR('Raw Data'!O228="",LEN(TRIM('Raw Data'!O228))=0),"",IF(AND(ISNUMBER('Raw Data'!O228), IFERROR('Raw Data'!O228 = ROUND('Raw Data'!O228, 2),FALSE)),"",_xlfn.REGEXEXTRACT(CELL("address",O228), "\$([A-Z]+)\$[0-9]+"))),_xlfn.REGEXEXTRACT(CELL("address",O228), "\$([A-Z]+)\$[0-9]+"))</f>
        <v/>
      </c>
      <c r="P228" s="7" t="str" cm="1">
        <f t="array" aca="1" ref="P228" ca="1">IFERROR(IF(OR('Raw Data'!P228="",LEN(TRIM('Raw Data'!P228))=0),"",IF(AND(ISNUMBER('Raw Data'!P228), IFERROR('Raw Data'!P228 = ROUND('Raw Data'!P228, 2),FALSE)),"",_xlfn.REGEXEXTRACT(CELL("address",P228), "\$([A-Z]+)\$[0-9]+"))),_xlfn.REGEXEXTRACT(CELL("address",P228), "\$([A-Z]+)\$[0-9]+"))</f>
        <v/>
      </c>
      <c r="Q228" s="7" t="str" cm="1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7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7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7" t="str" cm="1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7" t="str" cm="1">
        <f t="array" aca="1" ref="U228" ca="1">IFERROR(IF(OR('Raw Data'!U228="",LEN(TRIM('Raw Data'!U228))=0),"",IF(AND(ISNUMBER('Raw Data'!U228), IFERROR('Raw Data'!U228 = ROUND('Raw Data'!U228, 2),FALSE)),"",_xlfn.REGEXEXTRACT(CELL("address",U228), "\$([A-Z]+)\$[0-9]+"))),_xlfn.REGEXEXTRACT(CELL("address",U228), "\$([A-Z]+)\$[0-9]+"))</f>
        <v/>
      </c>
      <c r="V228" s="7" t="str" cm="1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7" t="str" cm="1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7" t="str" cm="1">
        <f t="array" aca="1" ref="X228" ca="1">IFERROR(IF(OR('Raw Data'!X228="",LEN(TRIM('Raw Data'!X228))=0),"",IF(AND(ISNUMBER('Raw Data'!X228), IFERROR('Raw Data'!X228 = ROUND('Raw Data'!X228, 2),FALSE)),"",_xlfn.REGEXEXTRACT(CELL("address",X228), "\$([A-Z]+)\$[0-9]+"))),_xlfn.REGEXEXTRACT(CELL("address",X228), "\$([A-Z]+)\$[0-9]+"))</f>
        <v/>
      </c>
      <c r="Y228" s="7" t="str" cm="1">
        <f t="array" aca="1" ref="Y228" ca="1">IFERROR(IF(OR('Raw Data'!Y228="",LEN(TRIM('Raw Data'!Y228))=0),"",IF(AND(ISNUMBER('Raw Data'!Y228), IFERROR('Raw Data'!Y228 = ROUND('Raw Data'!Y228, 2),FALSE)),"",_xlfn.REGEXEXTRACT(CELL("address",Y228), "\$([A-Z]+)\$[0-9]+"))),_xlfn.REGEXEXTRACT(CELL("address",Y228), "\$([A-Z]+)\$[0-9]+"))</f>
        <v/>
      </c>
      <c r="Z228" s="7" t="str" cm="1">
        <f t="array" aca="1" ref="Z228" ca="1">IFERROR(IF(OR('Raw Data'!Z228="",LEN(TRIM('Raw Data'!Z228))=0),"",IF(AND(ISNUMBER('Raw Data'!Z228), IFERROR('Raw Data'!Z228 = ROUND('Raw Data'!Z228, 2),FALSE)),"",_xlfn.REGEXEXTRACT(CELL("address",Z228), "\$([A-Z]+)\$[0-9]+"))),_xlfn.REGEXEXTRACT(CELL("address",Z228), "\$([A-Z]+)\$[0-9]+"))</f>
        <v/>
      </c>
      <c r="AA228" s="7" t="str" cm="1">
        <f t="array" aca="1" ref="AA228" ca="1">IFERROR(IF(OR('Raw Data'!AA228="",LEN(TRIM('Raw Data'!AA228))=0),"",IF(AND(ISNUMBER('Raw Data'!AA228), IFERROR('Raw Data'!AA228 = ROUND('Raw Data'!AA228, 2),FALSE)),"",_xlfn.REGEXEXTRACT(CELL("address",AA228), "\$([A-Z]+)\$[0-9]+"))),_xlfn.REGEXEXTRACT(CELL("address",AA228), "\$([A-Z]+)\$[0-9]+"))</f>
        <v/>
      </c>
      <c r="AB228" s="7" t="str" cm="1">
        <f t="array" aca="1" ref="AB228" ca="1">IFERROR(IF(OR('Raw Data'!AB228="",LEN(TRIM('Raw Data'!AB228))=0),"",IF(AND(ISNUMBER('Raw Data'!AB228), IFERROR('Raw Data'!AB228 = ROUND('Raw Data'!AB228, 2),FALSE)),"",_xlfn.REGEXEXTRACT(CELL("address",AB228), "\$([A-Z]+)\$[0-9]+"))),_xlfn.REGEXEXTRACT(CELL("address",AB228), "\$([A-Z]+)\$[0-9]+"))</f>
        <v/>
      </c>
    </row>
    <row r="229" spans="2:28" x14ac:dyDescent="0.25">
      <c r="B229" s="7" t="str" cm="1">
        <f t="array" aca="1" ref="B229" ca="1">IFERROR(IF(OR('Raw Data'!B229="",LEN(TRIM('Raw Data'!B229))=0),"",IF(AND(LEN('Raw Data'!B229) &lt;= 255,LEN('Raw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Data'!C229))=0),"",IF(AND(LEN('Raw Data'!C229) &lt;= 20,LEN('Raw Data'!C229)&gt; 0),"",_xlfn.REGEXEXTRACT(CELL("address",'Raw Data'!C229),"\$([A-Z]+)\$[0-9]+"))),_xlfn.REGEXEXTRACT(CELL("address",'Raw Data'!C229),"\$([A-Z]+)\$[0-9]+"))</f>
        <v/>
      </c>
      <c r="D229" s="7" t="str" cm="1">
        <f t="array" aca="1" ref="D229" ca="1">IFERROR(IF(OR('Raw Data'!D229="",LEN(TRIM('Raw Data'!D229))=0),"",IF(AND(ISNUMBER('Raw Data'!D229),'Raw Data'!D229&gt;=Configuration!$D$2),"",_xlfn.REGEXEXTRACT(CELL("address",'Raw Data'!D229),"\$([A-Z]+)\$[0-9]+"))),_xlfn.REGEXEXTRACT(CELL("address",D229), "\$([A-Z]+)\$[0-9]+"))</f>
        <v/>
      </c>
      <c r="E229" s="7" t="str" cm="1">
        <f t="array" aca="1" ref="E229" ca="1">IFERROR(IF(OR('Raw Data'!E229="",LEN(TRIM('Raw Data'!E229))=0),"",IF(AND(ISNUMBER('Raw Data'!E229), IFERROR('Raw Data'!E229 = ROUND('Raw Data'!E229, 2),FALSE)),"",_xlfn.REGEXEXTRACT(CELL("address",E229), "\$([A-Z]+)\$[0-9]+"))),_xlfn.REGEXEXTRACT(CELL("address",E229), "\$([A-Z]+)\$[0-9]+"))</f>
        <v/>
      </c>
      <c r="F229" s="7" t="str" cm="1">
        <f t="array" aca="1" ref="F229" ca="1">IFERROR(IF(OR('Raw Data'!F229="",LEN(TRIM('Raw Data'!F229))=0),"",IF(AND(ISNUMBER('Raw Data'!F229), IFERROR('Raw Data'!F229 = ROUND('Raw Data'!F229, 2),FALSE)),"",_xlfn.REGEXEXTRACT(CELL("address",F229), "\$([A-Z]+)\$[0-9]+"))),_xlfn.REGEXEXTRACT(CELL("address",F229), "\$([A-Z]+)\$[0-9]+"))</f>
        <v/>
      </c>
      <c r="G229" s="7" t="str" cm="1">
        <f t="array" aca="1" ref="G229" ca="1">IFERROR(IF(OR('Raw Data'!G229="",LEN(TRIM('Raw Data'!G229))=0),"",IF(AND(ISNUMBER('Raw Data'!G229), IFERROR('Raw Data'!G229 = ROUND('Raw Data'!G229, 2),FALSE)),"",_xlfn.REGEXEXTRACT(CELL("address",G229), "\$([A-Z]+)\$[0-9]+"))),_xlfn.REGEXEXTRACT(CELL("address",G229), "\$([A-Z]+)\$[0-9]+"))</f>
        <v/>
      </c>
      <c r="H229" s="7" t="str" cm="1">
        <f t="array" aca="1" ref="H229" ca="1">IFERROR(IF(OR('Raw Data'!H229="",LEN(TRIM('Raw Data'!H229))=0),"",IF(AND(ISNUMBER('Raw Data'!H229), IFERROR('Raw Data'!H229 = ROUND('Raw Data'!H229, 2),FALSE)),"",_xlfn.REGEXEXTRACT(CELL("address",H229), "\$([A-Z]+)\$[0-9]+"))),_xlfn.REGEXEXTRACT(CELL("address",H229), "\$([A-Z]+)\$[0-9]+"))</f>
        <v/>
      </c>
      <c r="I229" s="7" t="str" cm="1">
        <f t="array" aca="1" ref="I229" ca="1">IFERROR(IF(OR('Raw Data'!I229="",LEN(TRIM('Raw Data'!I229))=0),"",IF(AND(ISNUMBER('Raw Data'!I229), IFERROR('Raw Data'!I229 = ROUND('Raw Data'!I229, 2),FALSE)),"",_xlfn.REGEXEXTRACT(CELL("address",I229), "\$([A-Z]+)\$[0-9]+"))),_xlfn.REGEXEXTRACT(CELL("address",I229), "\$([A-Z]+)\$[0-9]+"))</f>
        <v/>
      </c>
      <c r="J229" s="7" t="str" cm="1">
        <f t="array" aca="1" ref="J229" ca="1">IFERROR(IF(OR('Raw Data'!J229="",LEN(TRIM('Raw Data'!J229))=0),"",IF(AND(ISNUMBER('Raw Data'!J229), IFERROR('Raw Data'!J229 = ROUND('Raw Data'!J229, 2),FALSE)),"",_xlfn.REGEXEXTRACT(CELL("address",J229), "\$([A-Z]+)\$[0-9]+"))),_xlfn.REGEXEXTRACT(CELL("address",J229), "\$([A-Z]+)\$[0-9]+"))</f>
        <v/>
      </c>
      <c r="K229" s="7" t="str" cm="1">
        <f t="array" aca="1" ref="K229" ca="1">IFERROR(IF(OR('Raw Data'!K229="",LEN(TRIM('Raw Data'!K229))=0),"",IF(AND(ISNUMBER('Raw Data'!K229), IFERROR('Raw Data'!K229 = ROUND('Raw Data'!K229, 2),FALSE)),"",_xlfn.REGEXEXTRACT(CELL("address",K229), "\$([A-Z]+)\$[0-9]+"))),_xlfn.REGEXEXTRACT(CELL("address",K229), "\$([A-Z]+)\$[0-9]+"))</f>
        <v/>
      </c>
      <c r="L229" s="7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7" t="str" cm="1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7" t="str" cm="1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  <c r="O229" s="7" t="str" cm="1">
        <f t="array" aca="1" ref="O229" ca="1">IFERROR(IF(OR('Raw Data'!O229="",LEN(TRIM('Raw Data'!O229))=0),"",IF(AND(ISNUMBER('Raw Data'!O229), IFERROR('Raw Data'!O229 = ROUND('Raw Data'!O229, 2),FALSE)),"",_xlfn.REGEXEXTRACT(CELL("address",O229), "\$([A-Z]+)\$[0-9]+"))),_xlfn.REGEXEXTRACT(CELL("address",O229), "\$([A-Z]+)\$[0-9]+"))</f>
        <v/>
      </c>
      <c r="P229" s="7" t="str" cm="1">
        <f t="array" aca="1" ref="P229" ca="1">IFERROR(IF(OR('Raw Data'!P229="",LEN(TRIM('Raw Data'!P229))=0),"",IF(AND(ISNUMBER('Raw Data'!P229), IFERROR('Raw Data'!P229 = ROUND('Raw Data'!P229, 2),FALSE)),"",_xlfn.REGEXEXTRACT(CELL("address",P229), "\$([A-Z]+)\$[0-9]+"))),_xlfn.REGEXEXTRACT(CELL("address",P229), "\$([A-Z]+)\$[0-9]+"))</f>
        <v/>
      </c>
      <c r="Q229" s="7" t="str" cm="1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7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7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7" t="str" cm="1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7" t="str" cm="1">
        <f t="array" aca="1" ref="U229" ca="1">IFERROR(IF(OR('Raw Data'!U229="",LEN(TRIM('Raw Data'!U229))=0),"",IF(AND(ISNUMBER('Raw Data'!U229), IFERROR('Raw Data'!U229 = ROUND('Raw Data'!U229, 2),FALSE)),"",_xlfn.REGEXEXTRACT(CELL("address",U229), "\$([A-Z]+)\$[0-9]+"))),_xlfn.REGEXEXTRACT(CELL("address",U229), "\$([A-Z]+)\$[0-9]+"))</f>
        <v/>
      </c>
      <c r="V229" s="7" t="str" cm="1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7" t="str" cm="1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7" t="str" cm="1">
        <f t="array" aca="1" ref="X229" ca="1">IFERROR(IF(OR('Raw Data'!X229="",LEN(TRIM('Raw Data'!X229))=0),"",IF(AND(ISNUMBER('Raw Data'!X229), IFERROR('Raw Data'!X229 = ROUND('Raw Data'!X229, 2),FALSE)),"",_xlfn.REGEXEXTRACT(CELL("address",X229), "\$([A-Z]+)\$[0-9]+"))),_xlfn.REGEXEXTRACT(CELL("address",X229), "\$([A-Z]+)\$[0-9]+"))</f>
        <v/>
      </c>
      <c r="Y229" s="7" t="str" cm="1">
        <f t="array" aca="1" ref="Y229" ca="1">IFERROR(IF(OR('Raw Data'!Y229="",LEN(TRIM('Raw Data'!Y229))=0),"",IF(AND(ISNUMBER('Raw Data'!Y229), IFERROR('Raw Data'!Y229 = ROUND('Raw Data'!Y229, 2),FALSE)),"",_xlfn.REGEXEXTRACT(CELL("address",Y229), "\$([A-Z]+)\$[0-9]+"))),_xlfn.REGEXEXTRACT(CELL("address",Y229), "\$([A-Z]+)\$[0-9]+"))</f>
        <v/>
      </c>
      <c r="Z229" s="7" t="str" cm="1">
        <f t="array" aca="1" ref="Z229" ca="1">IFERROR(IF(OR('Raw Data'!Z229="",LEN(TRIM('Raw Data'!Z229))=0),"",IF(AND(ISNUMBER('Raw Data'!Z229), IFERROR('Raw Data'!Z229 = ROUND('Raw Data'!Z229, 2),FALSE)),"",_xlfn.REGEXEXTRACT(CELL("address",Z229), "\$([A-Z]+)\$[0-9]+"))),_xlfn.REGEXEXTRACT(CELL("address",Z229), "\$([A-Z]+)\$[0-9]+"))</f>
        <v/>
      </c>
      <c r="AA229" s="7" t="str" cm="1">
        <f t="array" aca="1" ref="AA229" ca="1">IFERROR(IF(OR('Raw Data'!AA229="",LEN(TRIM('Raw Data'!AA229))=0),"",IF(AND(ISNUMBER('Raw Data'!AA229), IFERROR('Raw Data'!AA229 = ROUND('Raw Data'!AA229, 2),FALSE)),"",_xlfn.REGEXEXTRACT(CELL("address",AA229), "\$([A-Z]+)\$[0-9]+"))),_xlfn.REGEXEXTRACT(CELL("address",AA229), "\$([A-Z]+)\$[0-9]+"))</f>
        <v/>
      </c>
      <c r="AB229" s="7" t="str" cm="1">
        <f t="array" aca="1" ref="AB229" ca="1">IFERROR(IF(OR('Raw Data'!AB229="",LEN(TRIM('Raw Data'!AB229))=0),"",IF(AND(ISNUMBER('Raw Data'!AB229), IFERROR('Raw Data'!AB229 = ROUND('Raw Data'!AB229, 2),FALSE)),"",_xlfn.REGEXEXTRACT(CELL("address",AB229), "\$([A-Z]+)\$[0-9]+"))),_xlfn.REGEXEXTRACT(CELL("address",AB229), "\$([A-Z]+)\$[0-9]+"))</f>
        <v/>
      </c>
    </row>
    <row r="230" spans="2:28" x14ac:dyDescent="0.25">
      <c r="B230" s="7" t="str" cm="1">
        <f t="array" aca="1" ref="B230" ca="1">IFERROR(IF(OR('Raw Data'!B230="",LEN(TRIM('Raw Data'!B230))=0),"",IF(AND(LEN('Raw Data'!B230) &lt;= 255,LEN('Raw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Data'!C230))=0),"",IF(AND(LEN('Raw Data'!C230) &lt;= 20,LEN('Raw Data'!C230)&gt; 0),"",_xlfn.REGEXEXTRACT(CELL("address",'Raw Data'!C230),"\$([A-Z]+)\$[0-9]+"))),_xlfn.REGEXEXTRACT(CELL("address",'Raw Data'!C230),"\$([A-Z]+)\$[0-9]+"))</f>
        <v/>
      </c>
      <c r="D230" s="7" t="str" cm="1">
        <f t="array" aca="1" ref="D230" ca="1">IFERROR(IF(OR('Raw Data'!D230="",LEN(TRIM('Raw Data'!D230))=0),"",IF(AND(ISNUMBER('Raw Data'!D230),'Raw Data'!D230&gt;=Configuration!$D$2),"",_xlfn.REGEXEXTRACT(CELL("address",'Raw Data'!D230),"\$([A-Z]+)\$[0-9]+"))),_xlfn.REGEXEXTRACT(CELL("address",D230), "\$([A-Z]+)\$[0-9]+"))</f>
        <v/>
      </c>
      <c r="E230" s="7" t="str" cm="1">
        <f t="array" aca="1" ref="E230" ca="1">IFERROR(IF(OR('Raw Data'!E230="",LEN(TRIM('Raw Data'!E230))=0),"",IF(AND(ISNUMBER('Raw Data'!E230), IFERROR('Raw Data'!E230 = ROUND('Raw Data'!E230, 2),FALSE)),"",_xlfn.REGEXEXTRACT(CELL("address",E230), "\$([A-Z]+)\$[0-9]+"))),_xlfn.REGEXEXTRACT(CELL("address",E230), "\$([A-Z]+)\$[0-9]+"))</f>
        <v/>
      </c>
      <c r="F230" s="7" t="str" cm="1">
        <f t="array" aca="1" ref="F230" ca="1">IFERROR(IF(OR('Raw Data'!F230="",LEN(TRIM('Raw Data'!F230))=0),"",IF(AND(ISNUMBER('Raw Data'!F230), IFERROR('Raw Data'!F230 = ROUND('Raw Data'!F230, 2),FALSE)),"",_xlfn.REGEXEXTRACT(CELL("address",F230), "\$([A-Z]+)\$[0-9]+"))),_xlfn.REGEXEXTRACT(CELL("address",F230), "\$([A-Z]+)\$[0-9]+"))</f>
        <v/>
      </c>
      <c r="G230" s="7" t="str" cm="1">
        <f t="array" aca="1" ref="G230" ca="1">IFERROR(IF(OR('Raw Data'!G230="",LEN(TRIM('Raw Data'!G230))=0),"",IF(AND(ISNUMBER('Raw Data'!G230), IFERROR('Raw Data'!G230 = ROUND('Raw Data'!G230, 2),FALSE)),"",_xlfn.REGEXEXTRACT(CELL("address",G230), "\$([A-Z]+)\$[0-9]+"))),_xlfn.REGEXEXTRACT(CELL("address",G230), "\$([A-Z]+)\$[0-9]+"))</f>
        <v/>
      </c>
      <c r="H230" s="7" t="str" cm="1">
        <f t="array" aca="1" ref="H230" ca="1">IFERROR(IF(OR('Raw Data'!H230="",LEN(TRIM('Raw Data'!H230))=0),"",IF(AND(ISNUMBER('Raw Data'!H230), IFERROR('Raw Data'!H230 = ROUND('Raw Data'!H230, 2),FALSE)),"",_xlfn.REGEXEXTRACT(CELL("address",H230), "\$([A-Z]+)\$[0-9]+"))),_xlfn.REGEXEXTRACT(CELL("address",H230), "\$([A-Z]+)\$[0-9]+"))</f>
        <v/>
      </c>
      <c r="I230" s="7" t="str" cm="1">
        <f t="array" aca="1" ref="I230" ca="1">IFERROR(IF(OR('Raw Data'!I230="",LEN(TRIM('Raw Data'!I230))=0),"",IF(AND(ISNUMBER('Raw Data'!I230), IFERROR('Raw Data'!I230 = ROUND('Raw Data'!I230, 2),FALSE)),"",_xlfn.REGEXEXTRACT(CELL("address",I230), "\$([A-Z]+)\$[0-9]+"))),_xlfn.REGEXEXTRACT(CELL("address",I230), "\$([A-Z]+)\$[0-9]+"))</f>
        <v/>
      </c>
      <c r="J230" s="7" t="str" cm="1">
        <f t="array" aca="1" ref="J230" ca="1">IFERROR(IF(OR('Raw Data'!J230="",LEN(TRIM('Raw Data'!J230))=0),"",IF(AND(ISNUMBER('Raw Data'!J230), IFERROR('Raw Data'!J230 = ROUND('Raw Data'!J230, 2),FALSE)),"",_xlfn.REGEXEXTRACT(CELL("address",J230), "\$([A-Z]+)\$[0-9]+"))),_xlfn.REGEXEXTRACT(CELL("address",J230), "\$([A-Z]+)\$[0-9]+"))</f>
        <v/>
      </c>
      <c r="K230" s="7" t="str" cm="1">
        <f t="array" aca="1" ref="K230" ca="1">IFERROR(IF(OR('Raw Data'!K230="",LEN(TRIM('Raw Data'!K230))=0),"",IF(AND(ISNUMBER('Raw Data'!K230), IFERROR('Raw Data'!K230 = ROUND('Raw Data'!K230, 2),FALSE)),"",_xlfn.REGEXEXTRACT(CELL("address",K230), "\$([A-Z]+)\$[0-9]+"))),_xlfn.REGEXEXTRACT(CELL("address",K230), "\$([A-Z]+)\$[0-9]+"))</f>
        <v/>
      </c>
      <c r="L230" s="7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7" t="str" cm="1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7" t="str" cm="1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  <c r="O230" s="7" t="str" cm="1">
        <f t="array" aca="1" ref="O230" ca="1">IFERROR(IF(OR('Raw Data'!O230="",LEN(TRIM('Raw Data'!O230))=0),"",IF(AND(ISNUMBER('Raw Data'!O230), IFERROR('Raw Data'!O230 = ROUND('Raw Data'!O230, 2),FALSE)),"",_xlfn.REGEXEXTRACT(CELL("address",O230), "\$([A-Z]+)\$[0-9]+"))),_xlfn.REGEXEXTRACT(CELL("address",O230), "\$([A-Z]+)\$[0-9]+"))</f>
        <v/>
      </c>
      <c r="P230" s="7" t="str" cm="1">
        <f t="array" aca="1" ref="P230" ca="1">IFERROR(IF(OR('Raw Data'!P230="",LEN(TRIM('Raw Data'!P230))=0),"",IF(AND(ISNUMBER('Raw Data'!P230), IFERROR('Raw Data'!P230 = ROUND('Raw Data'!P230, 2),FALSE)),"",_xlfn.REGEXEXTRACT(CELL("address",P230), "\$([A-Z]+)\$[0-9]+"))),_xlfn.REGEXEXTRACT(CELL("address",P230), "\$([A-Z]+)\$[0-9]+"))</f>
        <v/>
      </c>
      <c r="Q230" s="7" t="str" cm="1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7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7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7" t="str" cm="1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7" t="str" cm="1">
        <f t="array" aca="1" ref="U230" ca="1">IFERROR(IF(OR('Raw Data'!U230="",LEN(TRIM('Raw Data'!U230))=0),"",IF(AND(ISNUMBER('Raw Data'!U230), IFERROR('Raw Data'!U230 = ROUND('Raw Data'!U230, 2),FALSE)),"",_xlfn.REGEXEXTRACT(CELL("address",U230), "\$([A-Z]+)\$[0-9]+"))),_xlfn.REGEXEXTRACT(CELL("address",U230), "\$([A-Z]+)\$[0-9]+"))</f>
        <v/>
      </c>
      <c r="V230" s="7" t="str" cm="1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7" t="str" cm="1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7" t="str" cm="1">
        <f t="array" aca="1" ref="X230" ca="1">IFERROR(IF(OR('Raw Data'!X230="",LEN(TRIM('Raw Data'!X230))=0),"",IF(AND(ISNUMBER('Raw Data'!X230), IFERROR('Raw Data'!X230 = ROUND('Raw Data'!X230, 2),FALSE)),"",_xlfn.REGEXEXTRACT(CELL("address",X230), "\$([A-Z]+)\$[0-9]+"))),_xlfn.REGEXEXTRACT(CELL("address",X230), "\$([A-Z]+)\$[0-9]+"))</f>
        <v/>
      </c>
      <c r="Y230" s="7" t="str" cm="1">
        <f t="array" aca="1" ref="Y230" ca="1">IFERROR(IF(OR('Raw Data'!Y230="",LEN(TRIM('Raw Data'!Y230))=0),"",IF(AND(ISNUMBER('Raw Data'!Y230), IFERROR('Raw Data'!Y230 = ROUND('Raw Data'!Y230, 2),FALSE)),"",_xlfn.REGEXEXTRACT(CELL("address",Y230), "\$([A-Z]+)\$[0-9]+"))),_xlfn.REGEXEXTRACT(CELL("address",Y230), "\$([A-Z]+)\$[0-9]+"))</f>
        <v/>
      </c>
      <c r="Z230" s="7" t="str" cm="1">
        <f t="array" aca="1" ref="Z230" ca="1">IFERROR(IF(OR('Raw Data'!Z230="",LEN(TRIM('Raw Data'!Z230))=0),"",IF(AND(ISNUMBER('Raw Data'!Z230), IFERROR('Raw Data'!Z230 = ROUND('Raw Data'!Z230, 2),FALSE)),"",_xlfn.REGEXEXTRACT(CELL("address",Z230), "\$([A-Z]+)\$[0-9]+"))),_xlfn.REGEXEXTRACT(CELL("address",Z230), "\$([A-Z]+)\$[0-9]+"))</f>
        <v/>
      </c>
      <c r="AA230" s="7" t="str" cm="1">
        <f t="array" aca="1" ref="AA230" ca="1">IFERROR(IF(OR('Raw Data'!AA230="",LEN(TRIM('Raw Data'!AA230))=0),"",IF(AND(ISNUMBER('Raw Data'!AA230), IFERROR('Raw Data'!AA230 = ROUND('Raw Data'!AA230, 2),FALSE)),"",_xlfn.REGEXEXTRACT(CELL("address",AA230), "\$([A-Z]+)\$[0-9]+"))),_xlfn.REGEXEXTRACT(CELL("address",AA230), "\$([A-Z]+)\$[0-9]+"))</f>
        <v/>
      </c>
      <c r="AB230" s="7" t="str" cm="1">
        <f t="array" aca="1" ref="AB230" ca="1">IFERROR(IF(OR('Raw Data'!AB230="",LEN(TRIM('Raw Data'!AB230))=0),"",IF(AND(ISNUMBER('Raw Data'!AB230), IFERROR('Raw Data'!AB230 = ROUND('Raw Data'!AB230, 2),FALSE)),"",_xlfn.REGEXEXTRACT(CELL("address",AB230), "\$([A-Z]+)\$[0-9]+"))),_xlfn.REGEXEXTRACT(CELL("address",AB230), "\$([A-Z]+)\$[0-9]+"))</f>
        <v/>
      </c>
    </row>
    <row r="231" spans="2:28" x14ac:dyDescent="0.25">
      <c r="B231" s="7" t="str" cm="1">
        <f t="array" aca="1" ref="B231" ca="1">IFERROR(IF(OR('Raw Data'!B231="",LEN(TRIM('Raw Data'!B231))=0),"",IF(AND(LEN('Raw Data'!B231) &lt;= 255,LEN('Raw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Data'!C231))=0),"",IF(AND(LEN('Raw Data'!C231) &lt;= 20,LEN('Raw Data'!C231)&gt; 0),"",_xlfn.REGEXEXTRACT(CELL("address",'Raw Data'!C231),"\$([A-Z]+)\$[0-9]+"))),_xlfn.REGEXEXTRACT(CELL("address",'Raw Data'!C231),"\$([A-Z]+)\$[0-9]+"))</f>
        <v/>
      </c>
      <c r="D231" s="7" t="str" cm="1">
        <f t="array" aca="1" ref="D231" ca="1">IFERROR(IF(OR('Raw Data'!D231="",LEN(TRIM('Raw Data'!D231))=0),"",IF(AND(ISNUMBER('Raw Data'!D231),'Raw Data'!D231&gt;=Configuration!$D$2),"",_xlfn.REGEXEXTRACT(CELL("address",'Raw Data'!D231),"\$([A-Z]+)\$[0-9]+"))),_xlfn.REGEXEXTRACT(CELL("address",D231), "\$([A-Z]+)\$[0-9]+"))</f>
        <v/>
      </c>
      <c r="E231" s="7" t="str" cm="1">
        <f t="array" aca="1" ref="E231" ca="1">IFERROR(IF(OR('Raw Data'!E231="",LEN(TRIM('Raw Data'!E231))=0),"",IF(AND(ISNUMBER('Raw Data'!E231), IFERROR('Raw Data'!E231 = ROUND('Raw Data'!E231, 2),FALSE)),"",_xlfn.REGEXEXTRACT(CELL("address",E231), "\$([A-Z]+)\$[0-9]+"))),_xlfn.REGEXEXTRACT(CELL("address",E231), "\$([A-Z]+)\$[0-9]+"))</f>
        <v/>
      </c>
      <c r="F231" s="7" t="str" cm="1">
        <f t="array" aca="1" ref="F231" ca="1">IFERROR(IF(OR('Raw Data'!F231="",LEN(TRIM('Raw Data'!F231))=0),"",IF(AND(ISNUMBER('Raw Data'!F231), IFERROR('Raw Data'!F231 = ROUND('Raw Data'!F231, 2),FALSE)),"",_xlfn.REGEXEXTRACT(CELL("address",F231), "\$([A-Z]+)\$[0-9]+"))),_xlfn.REGEXEXTRACT(CELL("address",F231), "\$([A-Z]+)\$[0-9]+"))</f>
        <v/>
      </c>
      <c r="G231" s="7" t="str" cm="1">
        <f t="array" aca="1" ref="G231" ca="1">IFERROR(IF(OR('Raw Data'!G231="",LEN(TRIM('Raw Data'!G231))=0),"",IF(AND(ISNUMBER('Raw Data'!G231), IFERROR('Raw Data'!G231 = ROUND('Raw Data'!G231, 2),FALSE)),"",_xlfn.REGEXEXTRACT(CELL("address",G231), "\$([A-Z]+)\$[0-9]+"))),_xlfn.REGEXEXTRACT(CELL("address",G231), "\$([A-Z]+)\$[0-9]+"))</f>
        <v/>
      </c>
      <c r="H231" s="7" t="str" cm="1">
        <f t="array" aca="1" ref="H231" ca="1">IFERROR(IF(OR('Raw Data'!H231="",LEN(TRIM('Raw Data'!H231))=0),"",IF(AND(ISNUMBER('Raw Data'!H231), IFERROR('Raw Data'!H231 = ROUND('Raw Data'!H231, 2),FALSE)),"",_xlfn.REGEXEXTRACT(CELL("address",H231), "\$([A-Z]+)\$[0-9]+"))),_xlfn.REGEXEXTRACT(CELL("address",H231), "\$([A-Z]+)\$[0-9]+"))</f>
        <v/>
      </c>
      <c r="I231" s="7" t="str" cm="1">
        <f t="array" aca="1" ref="I231" ca="1">IFERROR(IF(OR('Raw Data'!I231="",LEN(TRIM('Raw Data'!I231))=0),"",IF(AND(ISNUMBER('Raw Data'!I231), IFERROR('Raw Data'!I231 = ROUND('Raw Data'!I231, 2),FALSE)),"",_xlfn.REGEXEXTRACT(CELL("address",I231), "\$([A-Z]+)\$[0-9]+"))),_xlfn.REGEXEXTRACT(CELL("address",I231), "\$([A-Z]+)\$[0-9]+"))</f>
        <v/>
      </c>
      <c r="J231" s="7" t="str" cm="1">
        <f t="array" aca="1" ref="J231" ca="1">IFERROR(IF(OR('Raw Data'!J231="",LEN(TRIM('Raw Data'!J231))=0),"",IF(AND(ISNUMBER('Raw Data'!J231), IFERROR('Raw Data'!J231 = ROUND('Raw Data'!J231, 2),FALSE)),"",_xlfn.REGEXEXTRACT(CELL("address",J231), "\$([A-Z]+)\$[0-9]+"))),_xlfn.REGEXEXTRACT(CELL("address",J231), "\$([A-Z]+)\$[0-9]+"))</f>
        <v/>
      </c>
      <c r="K231" s="7" t="str" cm="1">
        <f t="array" aca="1" ref="K231" ca="1">IFERROR(IF(OR('Raw Data'!K231="",LEN(TRIM('Raw Data'!K231))=0),"",IF(AND(ISNUMBER('Raw Data'!K231), IFERROR('Raw Data'!K231 = ROUND('Raw Data'!K231, 2),FALSE)),"",_xlfn.REGEXEXTRACT(CELL("address",K231), "\$([A-Z]+)\$[0-9]+"))),_xlfn.REGEXEXTRACT(CELL("address",K231), "\$([A-Z]+)\$[0-9]+"))</f>
        <v/>
      </c>
      <c r="L231" s="7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7" t="str" cm="1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7" t="str" cm="1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  <c r="O231" s="7" t="str" cm="1">
        <f t="array" aca="1" ref="O231" ca="1">IFERROR(IF(OR('Raw Data'!O231="",LEN(TRIM('Raw Data'!O231))=0),"",IF(AND(ISNUMBER('Raw Data'!O231), IFERROR('Raw Data'!O231 = ROUND('Raw Data'!O231, 2),FALSE)),"",_xlfn.REGEXEXTRACT(CELL("address",O231), "\$([A-Z]+)\$[0-9]+"))),_xlfn.REGEXEXTRACT(CELL("address",O231), "\$([A-Z]+)\$[0-9]+"))</f>
        <v/>
      </c>
      <c r="P231" s="7" t="str" cm="1">
        <f t="array" aca="1" ref="P231" ca="1">IFERROR(IF(OR('Raw Data'!P231="",LEN(TRIM('Raw Data'!P231))=0),"",IF(AND(ISNUMBER('Raw Data'!P231), IFERROR('Raw Data'!P231 = ROUND('Raw Data'!P231, 2),FALSE)),"",_xlfn.REGEXEXTRACT(CELL("address",P231), "\$([A-Z]+)\$[0-9]+"))),_xlfn.REGEXEXTRACT(CELL("address",P231), "\$([A-Z]+)\$[0-9]+"))</f>
        <v/>
      </c>
      <c r="Q231" s="7" t="str" cm="1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7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7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7" t="str" cm="1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7" t="str" cm="1">
        <f t="array" aca="1" ref="U231" ca="1">IFERROR(IF(OR('Raw Data'!U231="",LEN(TRIM('Raw Data'!U231))=0),"",IF(AND(ISNUMBER('Raw Data'!U231), IFERROR('Raw Data'!U231 = ROUND('Raw Data'!U231, 2),FALSE)),"",_xlfn.REGEXEXTRACT(CELL("address",U231), "\$([A-Z]+)\$[0-9]+"))),_xlfn.REGEXEXTRACT(CELL("address",U231), "\$([A-Z]+)\$[0-9]+"))</f>
        <v/>
      </c>
      <c r="V231" s="7" t="str" cm="1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7" t="str" cm="1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7" t="str" cm="1">
        <f t="array" aca="1" ref="X231" ca="1">IFERROR(IF(OR('Raw Data'!X231="",LEN(TRIM('Raw Data'!X231))=0),"",IF(AND(ISNUMBER('Raw Data'!X231), IFERROR('Raw Data'!X231 = ROUND('Raw Data'!X231, 2),FALSE)),"",_xlfn.REGEXEXTRACT(CELL("address",X231), "\$([A-Z]+)\$[0-9]+"))),_xlfn.REGEXEXTRACT(CELL("address",X231), "\$([A-Z]+)\$[0-9]+"))</f>
        <v/>
      </c>
      <c r="Y231" s="7" t="str" cm="1">
        <f t="array" aca="1" ref="Y231" ca="1">IFERROR(IF(OR('Raw Data'!Y231="",LEN(TRIM('Raw Data'!Y231))=0),"",IF(AND(ISNUMBER('Raw Data'!Y231), IFERROR('Raw Data'!Y231 = ROUND('Raw Data'!Y231, 2),FALSE)),"",_xlfn.REGEXEXTRACT(CELL("address",Y231), "\$([A-Z]+)\$[0-9]+"))),_xlfn.REGEXEXTRACT(CELL("address",Y231), "\$([A-Z]+)\$[0-9]+"))</f>
        <v/>
      </c>
      <c r="Z231" s="7" t="str" cm="1">
        <f t="array" aca="1" ref="Z231" ca="1">IFERROR(IF(OR('Raw Data'!Z231="",LEN(TRIM('Raw Data'!Z231))=0),"",IF(AND(ISNUMBER('Raw Data'!Z231), IFERROR('Raw Data'!Z231 = ROUND('Raw Data'!Z231, 2),FALSE)),"",_xlfn.REGEXEXTRACT(CELL("address",Z231), "\$([A-Z]+)\$[0-9]+"))),_xlfn.REGEXEXTRACT(CELL("address",Z231), "\$([A-Z]+)\$[0-9]+"))</f>
        <v/>
      </c>
      <c r="AA231" s="7" t="str" cm="1">
        <f t="array" aca="1" ref="AA231" ca="1">IFERROR(IF(OR('Raw Data'!AA231="",LEN(TRIM('Raw Data'!AA231))=0),"",IF(AND(ISNUMBER('Raw Data'!AA231), IFERROR('Raw Data'!AA231 = ROUND('Raw Data'!AA231, 2),FALSE)),"",_xlfn.REGEXEXTRACT(CELL("address",AA231), "\$([A-Z]+)\$[0-9]+"))),_xlfn.REGEXEXTRACT(CELL("address",AA231), "\$([A-Z]+)\$[0-9]+"))</f>
        <v/>
      </c>
      <c r="AB231" s="7" t="str" cm="1">
        <f t="array" aca="1" ref="AB231" ca="1">IFERROR(IF(OR('Raw Data'!AB231="",LEN(TRIM('Raw Data'!AB231))=0),"",IF(AND(ISNUMBER('Raw Data'!AB231), IFERROR('Raw Data'!AB231 = ROUND('Raw Data'!AB231, 2),FALSE)),"",_xlfn.REGEXEXTRACT(CELL("address",AB231), "\$([A-Z]+)\$[0-9]+"))),_xlfn.REGEXEXTRACT(CELL("address",AB231), "\$([A-Z]+)\$[0-9]+"))</f>
        <v/>
      </c>
    </row>
    <row r="232" spans="2:28" x14ac:dyDescent="0.25">
      <c r="B232" s="7" t="str" cm="1">
        <f t="array" aca="1" ref="B232" ca="1">IFERROR(IF(OR('Raw Data'!B232="",LEN(TRIM('Raw Data'!B232))=0),"",IF(AND(LEN('Raw Data'!B232) &lt;= 255,LEN('Raw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Data'!C232))=0),"",IF(AND(LEN('Raw Data'!C232) &lt;= 20,LEN('Raw Data'!C232)&gt; 0),"",_xlfn.REGEXEXTRACT(CELL("address",'Raw Data'!C232),"\$([A-Z]+)\$[0-9]+"))),_xlfn.REGEXEXTRACT(CELL("address",'Raw Data'!C232),"\$([A-Z]+)\$[0-9]+"))</f>
        <v/>
      </c>
      <c r="D232" s="7" t="str" cm="1">
        <f t="array" aca="1" ref="D232" ca="1">IFERROR(IF(OR('Raw Data'!D232="",LEN(TRIM('Raw Data'!D232))=0),"",IF(AND(ISNUMBER('Raw Data'!D232),'Raw Data'!D232&gt;=Configuration!$D$2),"",_xlfn.REGEXEXTRACT(CELL("address",'Raw Data'!D232),"\$([A-Z]+)\$[0-9]+"))),_xlfn.REGEXEXTRACT(CELL("address",D232), "\$([A-Z]+)\$[0-9]+"))</f>
        <v/>
      </c>
      <c r="E232" s="7" t="str" cm="1">
        <f t="array" aca="1" ref="E232" ca="1">IFERROR(IF(OR('Raw Data'!E232="",LEN(TRIM('Raw Data'!E232))=0),"",IF(AND(ISNUMBER('Raw Data'!E232), IFERROR('Raw Data'!E232 = ROUND('Raw Data'!E232, 2),FALSE)),"",_xlfn.REGEXEXTRACT(CELL("address",E232), "\$([A-Z]+)\$[0-9]+"))),_xlfn.REGEXEXTRACT(CELL("address",E232), "\$([A-Z]+)\$[0-9]+"))</f>
        <v/>
      </c>
      <c r="F232" s="7" t="str" cm="1">
        <f t="array" aca="1" ref="F232" ca="1">IFERROR(IF(OR('Raw Data'!F232="",LEN(TRIM('Raw Data'!F232))=0),"",IF(AND(ISNUMBER('Raw Data'!F232), IFERROR('Raw Data'!F232 = ROUND('Raw Data'!F232, 2),FALSE)),"",_xlfn.REGEXEXTRACT(CELL("address",F232), "\$([A-Z]+)\$[0-9]+"))),_xlfn.REGEXEXTRACT(CELL("address",F232), "\$([A-Z]+)\$[0-9]+"))</f>
        <v/>
      </c>
      <c r="G232" s="7" t="str" cm="1">
        <f t="array" aca="1" ref="G232" ca="1">IFERROR(IF(OR('Raw Data'!G232="",LEN(TRIM('Raw Data'!G232))=0),"",IF(AND(ISNUMBER('Raw Data'!G232), IFERROR('Raw Data'!G232 = ROUND('Raw Data'!G232, 2),FALSE)),"",_xlfn.REGEXEXTRACT(CELL("address",G232), "\$([A-Z]+)\$[0-9]+"))),_xlfn.REGEXEXTRACT(CELL("address",G232), "\$([A-Z]+)\$[0-9]+"))</f>
        <v/>
      </c>
      <c r="H232" s="7" t="str" cm="1">
        <f t="array" aca="1" ref="H232" ca="1">IFERROR(IF(OR('Raw Data'!H232="",LEN(TRIM('Raw Data'!H232))=0),"",IF(AND(ISNUMBER('Raw Data'!H232), IFERROR('Raw Data'!H232 = ROUND('Raw Data'!H232, 2),FALSE)),"",_xlfn.REGEXEXTRACT(CELL("address",H232), "\$([A-Z]+)\$[0-9]+"))),_xlfn.REGEXEXTRACT(CELL("address",H232), "\$([A-Z]+)\$[0-9]+"))</f>
        <v/>
      </c>
      <c r="I232" s="7" t="str" cm="1">
        <f t="array" aca="1" ref="I232" ca="1">IFERROR(IF(OR('Raw Data'!I232="",LEN(TRIM('Raw Data'!I232))=0),"",IF(AND(ISNUMBER('Raw Data'!I232), IFERROR('Raw Data'!I232 = ROUND('Raw Data'!I232, 2),FALSE)),"",_xlfn.REGEXEXTRACT(CELL("address",I232), "\$([A-Z]+)\$[0-9]+"))),_xlfn.REGEXEXTRACT(CELL("address",I232), "\$([A-Z]+)\$[0-9]+"))</f>
        <v/>
      </c>
      <c r="J232" s="7" t="str" cm="1">
        <f t="array" aca="1" ref="J232" ca="1">IFERROR(IF(OR('Raw Data'!J232="",LEN(TRIM('Raw Data'!J232))=0),"",IF(AND(ISNUMBER('Raw Data'!J232), IFERROR('Raw Data'!J232 = ROUND('Raw Data'!J232, 2),FALSE)),"",_xlfn.REGEXEXTRACT(CELL("address",J232), "\$([A-Z]+)\$[0-9]+"))),_xlfn.REGEXEXTRACT(CELL("address",J232), "\$([A-Z]+)\$[0-9]+"))</f>
        <v/>
      </c>
      <c r="K232" s="7" t="str" cm="1">
        <f t="array" aca="1" ref="K232" ca="1">IFERROR(IF(OR('Raw Data'!K232="",LEN(TRIM('Raw Data'!K232))=0),"",IF(AND(ISNUMBER('Raw Data'!K232), IFERROR('Raw Data'!K232 = ROUND('Raw Data'!K232, 2),FALSE)),"",_xlfn.REGEXEXTRACT(CELL("address",K232), "\$([A-Z]+)\$[0-9]+"))),_xlfn.REGEXEXTRACT(CELL("address",K232), "\$([A-Z]+)\$[0-9]+"))</f>
        <v/>
      </c>
      <c r="L232" s="7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7" t="str" cm="1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7" t="str" cm="1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  <c r="O232" s="7" t="str" cm="1">
        <f t="array" aca="1" ref="O232" ca="1">IFERROR(IF(OR('Raw Data'!O232="",LEN(TRIM('Raw Data'!O232))=0),"",IF(AND(ISNUMBER('Raw Data'!O232), IFERROR('Raw Data'!O232 = ROUND('Raw Data'!O232, 2),FALSE)),"",_xlfn.REGEXEXTRACT(CELL("address",O232), "\$([A-Z]+)\$[0-9]+"))),_xlfn.REGEXEXTRACT(CELL("address",O232), "\$([A-Z]+)\$[0-9]+"))</f>
        <v/>
      </c>
      <c r="P232" s="7" t="str" cm="1">
        <f t="array" aca="1" ref="P232" ca="1">IFERROR(IF(OR('Raw Data'!P232="",LEN(TRIM('Raw Data'!P232))=0),"",IF(AND(ISNUMBER('Raw Data'!P232), IFERROR('Raw Data'!P232 = ROUND('Raw Data'!P232, 2),FALSE)),"",_xlfn.REGEXEXTRACT(CELL("address",P232), "\$([A-Z]+)\$[0-9]+"))),_xlfn.REGEXEXTRACT(CELL("address",P232), "\$([A-Z]+)\$[0-9]+"))</f>
        <v/>
      </c>
      <c r="Q232" s="7" t="str" cm="1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7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7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7" t="str" cm="1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7" t="str" cm="1">
        <f t="array" aca="1" ref="U232" ca="1">IFERROR(IF(OR('Raw Data'!U232="",LEN(TRIM('Raw Data'!U232))=0),"",IF(AND(ISNUMBER('Raw Data'!U232), IFERROR('Raw Data'!U232 = ROUND('Raw Data'!U232, 2),FALSE)),"",_xlfn.REGEXEXTRACT(CELL("address",U232), "\$([A-Z]+)\$[0-9]+"))),_xlfn.REGEXEXTRACT(CELL("address",U232), "\$([A-Z]+)\$[0-9]+"))</f>
        <v/>
      </c>
      <c r="V232" s="7" t="str" cm="1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7" t="str" cm="1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7" t="str" cm="1">
        <f t="array" aca="1" ref="X232" ca="1">IFERROR(IF(OR('Raw Data'!X232="",LEN(TRIM('Raw Data'!X232))=0),"",IF(AND(ISNUMBER('Raw Data'!X232), IFERROR('Raw Data'!X232 = ROUND('Raw Data'!X232, 2),FALSE)),"",_xlfn.REGEXEXTRACT(CELL("address",X232), "\$([A-Z]+)\$[0-9]+"))),_xlfn.REGEXEXTRACT(CELL("address",X232), "\$([A-Z]+)\$[0-9]+"))</f>
        <v/>
      </c>
      <c r="Y232" s="7" t="str" cm="1">
        <f t="array" aca="1" ref="Y232" ca="1">IFERROR(IF(OR('Raw Data'!Y232="",LEN(TRIM('Raw Data'!Y232))=0),"",IF(AND(ISNUMBER('Raw Data'!Y232), IFERROR('Raw Data'!Y232 = ROUND('Raw Data'!Y232, 2),FALSE)),"",_xlfn.REGEXEXTRACT(CELL("address",Y232), "\$([A-Z]+)\$[0-9]+"))),_xlfn.REGEXEXTRACT(CELL("address",Y232), "\$([A-Z]+)\$[0-9]+"))</f>
        <v/>
      </c>
      <c r="Z232" s="7" t="str" cm="1">
        <f t="array" aca="1" ref="Z232" ca="1">IFERROR(IF(OR('Raw Data'!Z232="",LEN(TRIM('Raw Data'!Z232))=0),"",IF(AND(ISNUMBER('Raw Data'!Z232), IFERROR('Raw Data'!Z232 = ROUND('Raw Data'!Z232, 2),FALSE)),"",_xlfn.REGEXEXTRACT(CELL("address",Z232), "\$([A-Z]+)\$[0-9]+"))),_xlfn.REGEXEXTRACT(CELL("address",Z232), "\$([A-Z]+)\$[0-9]+"))</f>
        <v/>
      </c>
      <c r="AA232" s="7" t="str" cm="1">
        <f t="array" aca="1" ref="AA232" ca="1">IFERROR(IF(OR('Raw Data'!AA232="",LEN(TRIM('Raw Data'!AA232))=0),"",IF(AND(ISNUMBER('Raw Data'!AA232), IFERROR('Raw Data'!AA232 = ROUND('Raw Data'!AA232, 2),FALSE)),"",_xlfn.REGEXEXTRACT(CELL("address",AA232), "\$([A-Z]+)\$[0-9]+"))),_xlfn.REGEXEXTRACT(CELL("address",AA232), "\$([A-Z]+)\$[0-9]+"))</f>
        <v/>
      </c>
      <c r="AB232" s="7" t="str" cm="1">
        <f t="array" aca="1" ref="AB232" ca="1">IFERROR(IF(OR('Raw Data'!AB232="",LEN(TRIM('Raw Data'!AB232))=0),"",IF(AND(ISNUMBER('Raw Data'!AB232), IFERROR('Raw Data'!AB232 = ROUND('Raw Data'!AB232, 2),FALSE)),"",_xlfn.REGEXEXTRACT(CELL("address",AB232), "\$([A-Z]+)\$[0-9]+"))),_xlfn.REGEXEXTRACT(CELL("address",AB232), "\$([A-Z]+)\$[0-9]+"))</f>
        <v/>
      </c>
    </row>
    <row r="233" spans="2:28" x14ac:dyDescent="0.25">
      <c r="B233" s="7" t="str" cm="1">
        <f t="array" aca="1" ref="B233" ca="1">IFERROR(IF(OR('Raw Data'!B233="",LEN(TRIM('Raw Data'!B233))=0),"",IF(AND(LEN('Raw Data'!B233) &lt;= 255,LEN('Raw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Data'!C233))=0),"",IF(AND(LEN('Raw Data'!C233) &lt;= 20,LEN('Raw Data'!C233)&gt; 0),"",_xlfn.REGEXEXTRACT(CELL("address",'Raw Data'!C233),"\$([A-Z]+)\$[0-9]+"))),_xlfn.REGEXEXTRACT(CELL("address",'Raw Data'!C233),"\$([A-Z]+)\$[0-9]+"))</f>
        <v/>
      </c>
      <c r="D233" s="7" t="str" cm="1">
        <f t="array" aca="1" ref="D233" ca="1">IFERROR(IF(OR('Raw Data'!D233="",LEN(TRIM('Raw Data'!D233))=0),"",IF(AND(ISNUMBER('Raw Data'!D233),'Raw Data'!D233&gt;=Configuration!$D$2),"",_xlfn.REGEXEXTRACT(CELL("address",'Raw Data'!D233),"\$([A-Z]+)\$[0-9]+"))),_xlfn.REGEXEXTRACT(CELL("address",D233), "\$([A-Z]+)\$[0-9]+"))</f>
        <v/>
      </c>
      <c r="E233" s="7" t="str" cm="1">
        <f t="array" aca="1" ref="E233" ca="1">IFERROR(IF(OR('Raw Data'!E233="",LEN(TRIM('Raw Data'!E233))=0),"",IF(AND(ISNUMBER('Raw Data'!E233), IFERROR('Raw Data'!E233 = ROUND('Raw Data'!E233, 2),FALSE)),"",_xlfn.REGEXEXTRACT(CELL("address",E233), "\$([A-Z]+)\$[0-9]+"))),_xlfn.REGEXEXTRACT(CELL("address",E233), "\$([A-Z]+)\$[0-9]+"))</f>
        <v/>
      </c>
      <c r="F233" s="7" t="str" cm="1">
        <f t="array" aca="1" ref="F233" ca="1">IFERROR(IF(OR('Raw Data'!F233="",LEN(TRIM('Raw Data'!F233))=0),"",IF(AND(ISNUMBER('Raw Data'!F233), IFERROR('Raw Data'!F233 = ROUND('Raw Data'!F233, 2),FALSE)),"",_xlfn.REGEXEXTRACT(CELL("address",F233), "\$([A-Z]+)\$[0-9]+"))),_xlfn.REGEXEXTRACT(CELL("address",F233), "\$([A-Z]+)\$[0-9]+"))</f>
        <v/>
      </c>
      <c r="G233" s="7" t="str" cm="1">
        <f t="array" aca="1" ref="G233" ca="1">IFERROR(IF(OR('Raw Data'!G233="",LEN(TRIM('Raw Data'!G233))=0),"",IF(AND(ISNUMBER('Raw Data'!G233), IFERROR('Raw Data'!G233 = ROUND('Raw Data'!G233, 2),FALSE)),"",_xlfn.REGEXEXTRACT(CELL("address",G233), "\$([A-Z]+)\$[0-9]+"))),_xlfn.REGEXEXTRACT(CELL("address",G233), "\$([A-Z]+)\$[0-9]+"))</f>
        <v/>
      </c>
      <c r="H233" s="7" t="str" cm="1">
        <f t="array" aca="1" ref="H233" ca="1">IFERROR(IF(OR('Raw Data'!H233="",LEN(TRIM('Raw Data'!H233))=0),"",IF(AND(ISNUMBER('Raw Data'!H233), IFERROR('Raw Data'!H233 = ROUND('Raw Data'!H233, 2),FALSE)),"",_xlfn.REGEXEXTRACT(CELL("address",H233), "\$([A-Z]+)\$[0-9]+"))),_xlfn.REGEXEXTRACT(CELL("address",H233), "\$([A-Z]+)\$[0-9]+"))</f>
        <v/>
      </c>
      <c r="I233" s="7" t="str" cm="1">
        <f t="array" aca="1" ref="I233" ca="1">IFERROR(IF(OR('Raw Data'!I233="",LEN(TRIM('Raw Data'!I233))=0),"",IF(AND(ISNUMBER('Raw Data'!I233), IFERROR('Raw Data'!I233 = ROUND('Raw Data'!I233, 2),FALSE)),"",_xlfn.REGEXEXTRACT(CELL("address",I233), "\$([A-Z]+)\$[0-9]+"))),_xlfn.REGEXEXTRACT(CELL("address",I233), "\$([A-Z]+)\$[0-9]+"))</f>
        <v/>
      </c>
      <c r="J233" s="7" t="str" cm="1">
        <f t="array" aca="1" ref="J233" ca="1">IFERROR(IF(OR('Raw Data'!J233="",LEN(TRIM('Raw Data'!J233))=0),"",IF(AND(ISNUMBER('Raw Data'!J233), IFERROR('Raw Data'!J233 = ROUND('Raw Data'!J233, 2),FALSE)),"",_xlfn.REGEXEXTRACT(CELL("address",J233), "\$([A-Z]+)\$[0-9]+"))),_xlfn.REGEXEXTRACT(CELL("address",J233), "\$([A-Z]+)\$[0-9]+"))</f>
        <v/>
      </c>
      <c r="K233" s="7" t="str" cm="1">
        <f t="array" aca="1" ref="K233" ca="1">IFERROR(IF(OR('Raw Data'!K233="",LEN(TRIM('Raw Data'!K233))=0),"",IF(AND(ISNUMBER('Raw Data'!K233), IFERROR('Raw Data'!K233 = ROUND('Raw Data'!K233, 2),FALSE)),"",_xlfn.REGEXEXTRACT(CELL("address",K233), "\$([A-Z]+)\$[0-9]+"))),_xlfn.REGEXEXTRACT(CELL("address",K233), "\$([A-Z]+)\$[0-9]+"))</f>
        <v/>
      </c>
      <c r="L233" s="7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7" t="str" cm="1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7" t="str" cm="1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  <c r="O233" s="7" t="str" cm="1">
        <f t="array" aca="1" ref="O233" ca="1">IFERROR(IF(OR('Raw Data'!O233="",LEN(TRIM('Raw Data'!O233))=0),"",IF(AND(ISNUMBER('Raw Data'!O233), IFERROR('Raw Data'!O233 = ROUND('Raw Data'!O233, 2),FALSE)),"",_xlfn.REGEXEXTRACT(CELL("address",O233), "\$([A-Z]+)\$[0-9]+"))),_xlfn.REGEXEXTRACT(CELL("address",O233), "\$([A-Z]+)\$[0-9]+"))</f>
        <v/>
      </c>
      <c r="P233" s="7" t="str" cm="1">
        <f t="array" aca="1" ref="P233" ca="1">IFERROR(IF(OR('Raw Data'!P233="",LEN(TRIM('Raw Data'!P233))=0),"",IF(AND(ISNUMBER('Raw Data'!P233), IFERROR('Raw Data'!P233 = ROUND('Raw Data'!P233, 2),FALSE)),"",_xlfn.REGEXEXTRACT(CELL("address",P233), "\$([A-Z]+)\$[0-9]+"))),_xlfn.REGEXEXTRACT(CELL("address",P233), "\$([A-Z]+)\$[0-9]+"))</f>
        <v/>
      </c>
      <c r="Q233" s="7" t="str" cm="1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7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7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7" t="str" cm="1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7" t="str" cm="1">
        <f t="array" aca="1" ref="U233" ca="1">IFERROR(IF(OR('Raw Data'!U233="",LEN(TRIM('Raw Data'!U233))=0),"",IF(AND(ISNUMBER('Raw Data'!U233), IFERROR('Raw Data'!U233 = ROUND('Raw Data'!U233, 2),FALSE)),"",_xlfn.REGEXEXTRACT(CELL("address",U233), "\$([A-Z]+)\$[0-9]+"))),_xlfn.REGEXEXTRACT(CELL("address",U233), "\$([A-Z]+)\$[0-9]+"))</f>
        <v/>
      </c>
      <c r="V233" s="7" t="str" cm="1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7" t="str" cm="1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7" t="str" cm="1">
        <f t="array" aca="1" ref="X233" ca="1">IFERROR(IF(OR('Raw Data'!X233="",LEN(TRIM('Raw Data'!X233))=0),"",IF(AND(ISNUMBER('Raw Data'!X233), IFERROR('Raw Data'!X233 = ROUND('Raw Data'!X233, 2),FALSE)),"",_xlfn.REGEXEXTRACT(CELL("address",X233), "\$([A-Z]+)\$[0-9]+"))),_xlfn.REGEXEXTRACT(CELL("address",X233), "\$([A-Z]+)\$[0-9]+"))</f>
        <v/>
      </c>
      <c r="Y233" s="7" t="str" cm="1">
        <f t="array" aca="1" ref="Y233" ca="1">IFERROR(IF(OR('Raw Data'!Y233="",LEN(TRIM('Raw Data'!Y233))=0),"",IF(AND(ISNUMBER('Raw Data'!Y233), IFERROR('Raw Data'!Y233 = ROUND('Raw Data'!Y233, 2),FALSE)),"",_xlfn.REGEXEXTRACT(CELL("address",Y233), "\$([A-Z]+)\$[0-9]+"))),_xlfn.REGEXEXTRACT(CELL("address",Y233), "\$([A-Z]+)\$[0-9]+"))</f>
        <v/>
      </c>
      <c r="Z233" s="7" t="str" cm="1">
        <f t="array" aca="1" ref="Z233" ca="1">IFERROR(IF(OR('Raw Data'!Z233="",LEN(TRIM('Raw Data'!Z233))=0),"",IF(AND(ISNUMBER('Raw Data'!Z233), IFERROR('Raw Data'!Z233 = ROUND('Raw Data'!Z233, 2),FALSE)),"",_xlfn.REGEXEXTRACT(CELL("address",Z233), "\$([A-Z]+)\$[0-9]+"))),_xlfn.REGEXEXTRACT(CELL("address",Z233), "\$([A-Z]+)\$[0-9]+"))</f>
        <v/>
      </c>
      <c r="AA233" s="7" t="str" cm="1">
        <f t="array" aca="1" ref="AA233" ca="1">IFERROR(IF(OR('Raw Data'!AA233="",LEN(TRIM('Raw Data'!AA233))=0),"",IF(AND(ISNUMBER('Raw Data'!AA233), IFERROR('Raw Data'!AA233 = ROUND('Raw Data'!AA233, 2),FALSE)),"",_xlfn.REGEXEXTRACT(CELL("address",AA233), "\$([A-Z]+)\$[0-9]+"))),_xlfn.REGEXEXTRACT(CELL("address",AA233), "\$([A-Z]+)\$[0-9]+"))</f>
        <v/>
      </c>
      <c r="AB233" s="7" t="str" cm="1">
        <f t="array" aca="1" ref="AB233" ca="1">IFERROR(IF(OR('Raw Data'!AB233="",LEN(TRIM('Raw Data'!AB233))=0),"",IF(AND(ISNUMBER('Raw Data'!AB233), IFERROR('Raw Data'!AB233 = ROUND('Raw Data'!AB233, 2),FALSE)),"",_xlfn.REGEXEXTRACT(CELL("address",AB233), "\$([A-Z]+)\$[0-9]+"))),_xlfn.REGEXEXTRACT(CELL("address",AB233), "\$([A-Z]+)\$[0-9]+"))</f>
        <v/>
      </c>
    </row>
    <row r="234" spans="2:28" x14ac:dyDescent="0.25">
      <c r="B234" s="7" t="str" cm="1">
        <f t="array" aca="1" ref="B234" ca="1">IFERROR(IF(OR('Raw Data'!B234="",LEN(TRIM('Raw Data'!B234))=0),"",IF(AND(LEN('Raw Data'!B234) &lt;= 255,LEN('Raw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Data'!C234))=0),"",IF(AND(LEN('Raw Data'!C234) &lt;= 20,LEN('Raw Data'!C234)&gt; 0),"",_xlfn.REGEXEXTRACT(CELL("address",'Raw Data'!C234),"\$([A-Z]+)\$[0-9]+"))),_xlfn.REGEXEXTRACT(CELL("address",'Raw Data'!C234),"\$([A-Z]+)\$[0-9]+"))</f>
        <v/>
      </c>
      <c r="D234" s="7" t="str" cm="1">
        <f t="array" aca="1" ref="D234" ca="1">IFERROR(IF(OR('Raw Data'!D234="",LEN(TRIM('Raw Data'!D234))=0),"",IF(AND(ISNUMBER('Raw Data'!D234),'Raw Data'!D234&gt;=Configuration!$D$2),"",_xlfn.REGEXEXTRACT(CELL("address",'Raw Data'!D234),"\$([A-Z]+)\$[0-9]+"))),_xlfn.REGEXEXTRACT(CELL("address",D234), "\$([A-Z]+)\$[0-9]+"))</f>
        <v/>
      </c>
      <c r="E234" s="7" t="str" cm="1">
        <f t="array" aca="1" ref="E234" ca="1">IFERROR(IF(OR('Raw Data'!E234="",LEN(TRIM('Raw Data'!E234))=0),"",IF(AND(ISNUMBER('Raw Data'!E234), IFERROR('Raw Data'!E234 = ROUND('Raw Data'!E234, 2),FALSE)),"",_xlfn.REGEXEXTRACT(CELL("address",E234), "\$([A-Z]+)\$[0-9]+"))),_xlfn.REGEXEXTRACT(CELL("address",E234), "\$([A-Z]+)\$[0-9]+"))</f>
        <v/>
      </c>
      <c r="F234" s="7" t="str" cm="1">
        <f t="array" aca="1" ref="F234" ca="1">IFERROR(IF(OR('Raw Data'!F234="",LEN(TRIM('Raw Data'!F234))=0),"",IF(AND(ISNUMBER('Raw Data'!F234), IFERROR('Raw Data'!F234 = ROUND('Raw Data'!F234, 2),FALSE)),"",_xlfn.REGEXEXTRACT(CELL("address",F234), "\$([A-Z]+)\$[0-9]+"))),_xlfn.REGEXEXTRACT(CELL("address",F234), "\$([A-Z]+)\$[0-9]+"))</f>
        <v/>
      </c>
      <c r="G234" s="7" t="str" cm="1">
        <f t="array" aca="1" ref="G234" ca="1">IFERROR(IF(OR('Raw Data'!G234="",LEN(TRIM('Raw Data'!G234))=0),"",IF(AND(ISNUMBER('Raw Data'!G234), IFERROR('Raw Data'!G234 = ROUND('Raw Data'!G234, 2),FALSE)),"",_xlfn.REGEXEXTRACT(CELL("address",G234), "\$([A-Z]+)\$[0-9]+"))),_xlfn.REGEXEXTRACT(CELL("address",G234), "\$([A-Z]+)\$[0-9]+"))</f>
        <v/>
      </c>
      <c r="H234" s="7" t="str" cm="1">
        <f t="array" aca="1" ref="H234" ca="1">IFERROR(IF(OR('Raw Data'!H234="",LEN(TRIM('Raw Data'!H234))=0),"",IF(AND(ISNUMBER('Raw Data'!H234), IFERROR('Raw Data'!H234 = ROUND('Raw Data'!H234, 2),FALSE)),"",_xlfn.REGEXEXTRACT(CELL("address",H234), "\$([A-Z]+)\$[0-9]+"))),_xlfn.REGEXEXTRACT(CELL("address",H234), "\$([A-Z]+)\$[0-9]+"))</f>
        <v/>
      </c>
      <c r="I234" s="7" t="str" cm="1">
        <f t="array" aca="1" ref="I234" ca="1">IFERROR(IF(OR('Raw Data'!I234="",LEN(TRIM('Raw Data'!I234))=0),"",IF(AND(ISNUMBER('Raw Data'!I234), IFERROR('Raw Data'!I234 = ROUND('Raw Data'!I234, 2),FALSE)),"",_xlfn.REGEXEXTRACT(CELL("address",I234), "\$([A-Z]+)\$[0-9]+"))),_xlfn.REGEXEXTRACT(CELL("address",I234), "\$([A-Z]+)\$[0-9]+"))</f>
        <v/>
      </c>
      <c r="J234" s="7" t="str" cm="1">
        <f t="array" aca="1" ref="J234" ca="1">IFERROR(IF(OR('Raw Data'!J234="",LEN(TRIM('Raw Data'!J234))=0),"",IF(AND(ISNUMBER('Raw Data'!J234), IFERROR('Raw Data'!J234 = ROUND('Raw Data'!J234, 2),FALSE)),"",_xlfn.REGEXEXTRACT(CELL("address",J234), "\$([A-Z]+)\$[0-9]+"))),_xlfn.REGEXEXTRACT(CELL("address",J234), "\$([A-Z]+)\$[0-9]+"))</f>
        <v/>
      </c>
      <c r="K234" s="7" t="str" cm="1">
        <f t="array" aca="1" ref="K234" ca="1">IFERROR(IF(OR('Raw Data'!K234="",LEN(TRIM('Raw Data'!K234))=0),"",IF(AND(ISNUMBER('Raw Data'!K234), IFERROR('Raw Data'!K234 = ROUND('Raw Data'!K234, 2),FALSE)),"",_xlfn.REGEXEXTRACT(CELL("address",K234), "\$([A-Z]+)\$[0-9]+"))),_xlfn.REGEXEXTRACT(CELL("address",K234), "\$([A-Z]+)\$[0-9]+"))</f>
        <v/>
      </c>
      <c r="L234" s="7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7" t="str" cm="1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7" t="str" cm="1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  <c r="O234" s="7" t="str" cm="1">
        <f t="array" aca="1" ref="O234" ca="1">IFERROR(IF(OR('Raw Data'!O234="",LEN(TRIM('Raw Data'!O234))=0),"",IF(AND(ISNUMBER('Raw Data'!O234), IFERROR('Raw Data'!O234 = ROUND('Raw Data'!O234, 2),FALSE)),"",_xlfn.REGEXEXTRACT(CELL("address",O234), "\$([A-Z]+)\$[0-9]+"))),_xlfn.REGEXEXTRACT(CELL("address",O234), "\$([A-Z]+)\$[0-9]+"))</f>
        <v/>
      </c>
      <c r="P234" s="7" t="str" cm="1">
        <f t="array" aca="1" ref="P234" ca="1">IFERROR(IF(OR('Raw Data'!P234="",LEN(TRIM('Raw Data'!P234))=0),"",IF(AND(ISNUMBER('Raw Data'!P234), IFERROR('Raw Data'!P234 = ROUND('Raw Data'!P234, 2),FALSE)),"",_xlfn.REGEXEXTRACT(CELL("address",P234), "\$([A-Z]+)\$[0-9]+"))),_xlfn.REGEXEXTRACT(CELL("address",P234), "\$([A-Z]+)\$[0-9]+"))</f>
        <v/>
      </c>
      <c r="Q234" s="7" t="str" cm="1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7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7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7" t="str" cm="1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7" t="str" cm="1">
        <f t="array" aca="1" ref="U234" ca="1">IFERROR(IF(OR('Raw Data'!U234="",LEN(TRIM('Raw Data'!U234))=0),"",IF(AND(ISNUMBER('Raw Data'!U234), IFERROR('Raw Data'!U234 = ROUND('Raw Data'!U234, 2),FALSE)),"",_xlfn.REGEXEXTRACT(CELL("address",U234), "\$([A-Z]+)\$[0-9]+"))),_xlfn.REGEXEXTRACT(CELL("address",U234), "\$([A-Z]+)\$[0-9]+"))</f>
        <v/>
      </c>
      <c r="V234" s="7" t="str" cm="1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7" t="str" cm="1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7" t="str" cm="1">
        <f t="array" aca="1" ref="X234" ca="1">IFERROR(IF(OR('Raw Data'!X234="",LEN(TRIM('Raw Data'!X234))=0),"",IF(AND(ISNUMBER('Raw Data'!X234), IFERROR('Raw Data'!X234 = ROUND('Raw Data'!X234, 2),FALSE)),"",_xlfn.REGEXEXTRACT(CELL("address",X234), "\$([A-Z]+)\$[0-9]+"))),_xlfn.REGEXEXTRACT(CELL("address",X234), "\$([A-Z]+)\$[0-9]+"))</f>
        <v/>
      </c>
      <c r="Y234" s="7" t="str" cm="1">
        <f t="array" aca="1" ref="Y234" ca="1">IFERROR(IF(OR('Raw Data'!Y234="",LEN(TRIM('Raw Data'!Y234))=0),"",IF(AND(ISNUMBER('Raw Data'!Y234), IFERROR('Raw Data'!Y234 = ROUND('Raw Data'!Y234, 2),FALSE)),"",_xlfn.REGEXEXTRACT(CELL("address",Y234), "\$([A-Z]+)\$[0-9]+"))),_xlfn.REGEXEXTRACT(CELL("address",Y234), "\$([A-Z]+)\$[0-9]+"))</f>
        <v/>
      </c>
      <c r="Z234" s="7" t="str" cm="1">
        <f t="array" aca="1" ref="Z234" ca="1">IFERROR(IF(OR('Raw Data'!Z234="",LEN(TRIM('Raw Data'!Z234))=0),"",IF(AND(ISNUMBER('Raw Data'!Z234), IFERROR('Raw Data'!Z234 = ROUND('Raw Data'!Z234, 2),FALSE)),"",_xlfn.REGEXEXTRACT(CELL("address",Z234), "\$([A-Z]+)\$[0-9]+"))),_xlfn.REGEXEXTRACT(CELL("address",Z234), "\$([A-Z]+)\$[0-9]+"))</f>
        <v/>
      </c>
      <c r="AA234" s="7" t="str" cm="1">
        <f t="array" aca="1" ref="AA234" ca="1">IFERROR(IF(OR('Raw Data'!AA234="",LEN(TRIM('Raw Data'!AA234))=0),"",IF(AND(ISNUMBER('Raw Data'!AA234), IFERROR('Raw Data'!AA234 = ROUND('Raw Data'!AA234, 2),FALSE)),"",_xlfn.REGEXEXTRACT(CELL("address",AA234), "\$([A-Z]+)\$[0-9]+"))),_xlfn.REGEXEXTRACT(CELL("address",AA234), "\$([A-Z]+)\$[0-9]+"))</f>
        <v/>
      </c>
      <c r="AB234" s="7" t="str" cm="1">
        <f t="array" aca="1" ref="AB234" ca="1">IFERROR(IF(OR('Raw Data'!AB234="",LEN(TRIM('Raw Data'!AB234))=0),"",IF(AND(ISNUMBER('Raw Data'!AB234), IFERROR('Raw Data'!AB234 = ROUND('Raw Data'!AB234, 2),FALSE)),"",_xlfn.REGEXEXTRACT(CELL("address",AB234), "\$([A-Z]+)\$[0-9]+"))),_xlfn.REGEXEXTRACT(CELL("address",AB234), "\$([A-Z]+)\$[0-9]+"))</f>
        <v/>
      </c>
    </row>
    <row r="235" spans="2:28" x14ac:dyDescent="0.25">
      <c r="B235" s="7" t="str" cm="1">
        <f t="array" aca="1" ref="B235" ca="1">IFERROR(IF(OR('Raw Data'!B235="",LEN(TRIM('Raw Data'!B235))=0),"",IF(AND(LEN('Raw Data'!B235) &lt;= 255,LEN('Raw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Data'!C235))=0),"",IF(AND(LEN('Raw Data'!C235) &lt;= 20,LEN('Raw Data'!C235)&gt; 0),"",_xlfn.REGEXEXTRACT(CELL("address",'Raw Data'!C235),"\$([A-Z]+)\$[0-9]+"))),_xlfn.REGEXEXTRACT(CELL("address",'Raw Data'!C235),"\$([A-Z]+)\$[0-9]+"))</f>
        <v/>
      </c>
      <c r="D235" s="7" t="str" cm="1">
        <f t="array" aca="1" ref="D235" ca="1">IFERROR(IF(OR('Raw Data'!D235="",LEN(TRIM('Raw Data'!D235))=0),"",IF(AND(ISNUMBER('Raw Data'!D235),'Raw Data'!D235&gt;=Configuration!$D$2),"",_xlfn.REGEXEXTRACT(CELL("address",'Raw Data'!D235),"\$([A-Z]+)\$[0-9]+"))),_xlfn.REGEXEXTRACT(CELL("address",D235), "\$([A-Z]+)\$[0-9]+"))</f>
        <v/>
      </c>
      <c r="E235" s="7" t="str" cm="1">
        <f t="array" aca="1" ref="E235" ca="1">IFERROR(IF(OR('Raw Data'!E235="",LEN(TRIM('Raw Data'!E235))=0),"",IF(AND(ISNUMBER('Raw Data'!E235), IFERROR('Raw Data'!E235 = ROUND('Raw Data'!E235, 2),FALSE)),"",_xlfn.REGEXEXTRACT(CELL("address",E235), "\$([A-Z]+)\$[0-9]+"))),_xlfn.REGEXEXTRACT(CELL("address",E235), "\$([A-Z]+)\$[0-9]+"))</f>
        <v/>
      </c>
      <c r="F235" s="7" t="str" cm="1">
        <f t="array" aca="1" ref="F235" ca="1">IFERROR(IF(OR('Raw Data'!F235="",LEN(TRIM('Raw Data'!F235))=0),"",IF(AND(ISNUMBER('Raw Data'!F235), IFERROR('Raw Data'!F235 = ROUND('Raw Data'!F235, 2),FALSE)),"",_xlfn.REGEXEXTRACT(CELL("address",F235), "\$([A-Z]+)\$[0-9]+"))),_xlfn.REGEXEXTRACT(CELL("address",F235), "\$([A-Z]+)\$[0-9]+"))</f>
        <v/>
      </c>
      <c r="G235" s="7" t="str" cm="1">
        <f t="array" aca="1" ref="G235" ca="1">IFERROR(IF(OR('Raw Data'!G235="",LEN(TRIM('Raw Data'!G235))=0),"",IF(AND(ISNUMBER('Raw Data'!G235), IFERROR('Raw Data'!G235 = ROUND('Raw Data'!G235, 2),FALSE)),"",_xlfn.REGEXEXTRACT(CELL("address",G235), "\$([A-Z]+)\$[0-9]+"))),_xlfn.REGEXEXTRACT(CELL("address",G235), "\$([A-Z]+)\$[0-9]+"))</f>
        <v/>
      </c>
      <c r="H235" s="7" t="str" cm="1">
        <f t="array" aca="1" ref="H235" ca="1">IFERROR(IF(OR('Raw Data'!H235="",LEN(TRIM('Raw Data'!H235))=0),"",IF(AND(ISNUMBER('Raw Data'!H235), IFERROR('Raw Data'!H235 = ROUND('Raw Data'!H235, 2),FALSE)),"",_xlfn.REGEXEXTRACT(CELL("address",H235), "\$([A-Z]+)\$[0-9]+"))),_xlfn.REGEXEXTRACT(CELL("address",H235), "\$([A-Z]+)\$[0-9]+"))</f>
        <v/>
      </c>
      <c r="I235" s="7" t="str" cm="1">
        <f t="array" aca="1" ref="I235" ca="1">IFERROR(IF(OR('Raw Data'!I235="",LEN(TRIM('Raw Data'!I235))=0),"",IF(AND(ISNUMBER('Raw Data'!I235), IFERROR('Raw Data'!I235 = ROUND('Raw Data'!I235, 2),FALSE)),"",_xlfn.REGEXEXTRACT(CELL("address",I235), "\$([A-Z]+)\$[0-9]+"))),_xlfn.REGEXEXTRACT(CELL("address",I235), "\$([A-Z]+)\$[0-9]+"))</f>
        <v/>
      </c>
      <c r="J235" s="7" t="str" cm="1">
        <f t="array" aca="1" ref="J235" ca="1">IFERROR(IF(OR('Raw Data'!J235="",LEN(TRIM('Raw Data'!J235))=0),"",IF(AND(ISNUMBER('Raw Data'!J235), IFERROR('Raw Data'!J235 = ROUND('Raw Data'!J235, 2),FALSE)),"",_xlfn.REGEXEXTRACT(CELL("address",J235), "\$([A-Z]+)\$[0-9]+"))),_xlfn.REGEXEXTRACT(CELL("address",J235), "\$([A-Z]+)\$[0-9]+"))</f>
        <v/>
      </c>
      <c r="K235" s="7" t="str" cm="1">
        <f t="array" aca="1" ref="K235" ca="1">IFERROR(IF(OR('Raw Data'!K235="",LEN(TRIM('Raw Data'!K235))=0),"",IF(AND(ISNUMBER('Raw Data'!K235), IFERROR('Raw Data'!K235 = ROUND('Raw Data'!K235, 2),FALSE)),"",_xlfn.REGEXEXTRACT(CELL("address",K235), "\$([A-Z]+)\$[0-9]+"))),_xlfn.REGEXEXTRACT(CELL("address",K235), "\$([A-Z]+)\$[0-9]+"))</f>
        <v/>
      </c>
      <c r="L235" s="7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7" t="str" cm="1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7" t="str" cm="1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  <c r="O235" s="7" t="str" cm="1">
        <f t="array" aca="1" ref="O235" ca="1">IFERROR(IF(OR('Raw Data'!O235="",LEN(TRIM('Raw Data'!O235))=0),"",IF(AND(ISNUMBER('Raw Data'!O235), IFERROR('Raw Data'!O235 = ROUND('Raw Data'!O235, 2),FALSE)),"",_xlfn.REGEXEXTRACT(CELL("address",O235), "\$([A-Z]+)\$[0-9]+"))),_xlfn.REGEXEXTRACT(CELL("address",O235), "\$([A-Z]+)\$[0-9]+"))</f>
        <v/>
      </c>
      <c r="P235" s="7" t="str" cm="1">
        <f t="array" aca="1" ref="P235" ca="1">IFERROR(IF(OR('Raw Data'!P235="",LEN(TRIM('Raw Data'!P235))=0),"",IF(AND(ISNUMBER('Raw Data'!P235), IFERROR('Raw Data'!P235 = ROUND('Raw Data'!P235, 2),FALSE)),"",_xlfn.REGEXEXTRACT(CELL("address",P235), "\$([A-Z]+)\$[0-9]+"))),_xlfn.REGEXEXTRACT(CELL("address",P235), "\$([A-Z]+)\$[0-9]+"))</f>
        <v/>
      </c>
      <c r="Q235" s="7" t="str" cm="1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7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7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7" t="str" cm="1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7" t="str" cm="1">
        <f t="array" aca="1" ref="U235" ca="1">IFERROR(IF(OR('Raw Data'!U235="",LEN(TRIM('Raw Data'!U235))=0),"",IF(AND(ISNUMBER('Raw Data'!U235), IFERROR('Raw Data'!U235 = ROUND('Raw Data'!U235, 2),FALSE)),"",_xlfn.REGEXEXTRACT(CELL("address",U235), "\$([A-Z]+)\$[0-9]+"))),_xlfn.REGEXEXTRACT(CELL("address",U235), "\$([A-Z]+)\$[0-9]+"))</f>
        <v/>
      </c>
      <c r="V235" s="7" t="str" cm="1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7" t="str" cm="1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7" t="str" cm="1">
        <f t="array" aca="1" ref="X235" ca="1">IFERROR(IF(OR('Raw Data'!X235="",LEN(TRIM('Raw Data'!X235))=0),"",IF(AND(ISNUMBER('Raw Data'!X235), IFERROR('Raw Data'!X235 = ROUND('Raw Data'!X235, 2),FALSE)),"",_xlfn.REGEXEXTRACT(CELL("address",X235), "\$([A-Z]+)\$[0-9]+"))),_xlfn.REGEXEXTRACT(CELL("address",X235), "\$([A-Z]+)\$[0-9]+"))</f>
        <v/>
      </c>
      <c r="Y235" s="7" t="str" cm="1">
        <f t="array" aca="1" ref="Y235" ca="1">IFERROR(IF(OR('Raw Data'!Y235="",LEN(TRIM('Raw Data'!Y235))=0),"",IF(AND(ISNUMBER('Raw Data'!Y235), IFERROR('Raw Data'!Y235 = ROUND('Raw Data'!Y235, 2),FALSE)),"",_xlfn.REGEXEXTRACT(CELL("address",Y235), "\$([A-Z]+)\$[0-9]+"))),_xlfn.REGEXEXTRACT(CELL("address",Y235), "\$([A-Z]+)\$[0-9]+"))</f>
        <v/>
      </c>
      <c r="Z235" s="7" t="str" cm="1">
        <f t="array" aca="1" ref="Z235" ca="1">IFERROR(IF(OR('Raw Data'!Z235="",LEN(TRIM('Raw Data'!Z235))=0),"",IF(AND(ISNUMBER('Raw Data'!Z235), IFERROR('Raw Data'!Z235 = ROUND('Raw Data'!Z235, 2),FALSE)),"",_xlfn.REGEXEXTRACT(CELL("address",Z235), "\$([A-Z]+)\$[0-9]+"))),_xlfn.REGEXEXTRACT(CELL("address",Z235), "\$([A-Z]+)\$[0-9]+"))</f>
        <v/>
      </c>
      <c r="AA235" s="7" t="str" cm="1">
        <f t="array" aca="1" ref="AA235" ca="1">IFERROR(IF(OR('Raw Data'!AA235="",LEN(TRIM('Raw Data'!AA235))=0),"",IF(AND(ISNUMBER('Raw Data'!AA235), IFERROR('Raw Data'!AA235 = ROUND('Raw Data'!AA235, 2),FALSE)),"",_xlfn.REGEXEXTRACT(CELL("address",AA235), "\$([A-Z]+)\$[0-9]+"))),_xlfn.REGEXEXTRACT(CELL("address",AA235), "\$([A-Z]+)\$[0-9]+"))</f>
        <v/>
      </c>
      <c r="AB235" s="7" t="str" cm="1">
        <f t="array" aca="1" ref="AB235" ca="1">IFERROR(IF(OR('Raw Data'!AB235="",LEN(TRIM('Raw Data'!AB235))=0),"",IF(AND(ISNUMBER('Raw Data'!AB235), IFERROR('Raw Data'!AB235 = ROUND('Raw Data'!AB235, 2),FALSE)),"",_xlfn.REGEXEXTRACT(CELL("address",AB235), "\$([A-Z]+)\$[0-9]+"))),_xlfn.REGEXEXTRACT(CELL("address",AB235), "\$([A-Z]+)\$[0-9]+"))</f>
        <v/>
      </c>
    </row>
    <row r="236" spans="2:28" x14ac:dyDescent="0.25">
      <c r="B236" s="7" t="str" cm="1">
        <f t="array" aca="1" ref="B236" ca="1">IFERROR(IF(OR('Raw Data'!B236="",LEN(TRIM('Raw Data'!B236))=0),"",IF(AND(LEN('Raw Data'!B236) &lt;= 255,LEN('Raw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Data'!C236))=0),"",IF(AND(LEN('Raw Data'!C236) &lt;= 20,LEN('Raw Data'!C236)&gt; 0),"",_xlfn.REGEXEXTRACT(CELL("address",'Raw Data'!C236),"\$([A-Z]+)\$[0-9]+"))),_xlfn.REGEXEXTRACT(CELL("address",'Raw Data'!C236),"\$([A-Z]+)\$[0-9]+"))</f>
        <v/>
      </c>
      <c r="D236" s="7" t="str" cm="1">
        <f t="array" aca="1" ref="D236" ca="1">IFERROR(IF(OR('Raw Data'!D236="",LEN(TRIM('Raw Data'!D236))=0),"",IF(AND(ISNUMBER('Raw Data'!D236),'Raw Data'!D236&gt;=Configuration!$D$2),"",_xlfn.REGEXEXTRACT(CELL("address",'Raw Data'!D236),"\$([A-Z]+)\$[0-9]+"))),_xlfn.REGEXEXTRACT(CELL("address",D236), "\$([A-Z]+)\$[0-9]+"))</f>
        <v/>
      </c>
      <c r="E236" s="7" t="str" cm="1">
        <f t="array" aca="1" ref="E236" ca="1">IFERROR(IF(OR('Raw Data'!E236="",LEN(TRIM('Raw Data'!E236))=0),"",IF(AND(ISNUMBER('Raw Data'!E236), IFERROR('Raw Data'!E236 = ROUND('Raw Data'!E236, 2),FALSE)),"",_xlfn.REGEXEXTRACT(CELL("address",E236), "\$([A-Z]+)\$[0-9]+"))),_xlfn.REGEXEXTRACT(CELL("address",E236), "\$([A-Z]+)\$[0-9]+"))</f>
        <v/>
      </c>
      <c r="F236" s="7" t="str" cm="1">
        <f t="array" aca="1" ref="F236" ca="1">IFERROR(IF(OR('Raw Data'!F236="",LEN(TRIM('Raw Data'!F236))=0),"",IF(AND(ISNUMBER('Raw Data'!F236), IFERROR('Raw Data'!F236 = ROUND('Raw Data'!F236, 2),FALSE)),"",_xlfn.REGEXEXTRACT(CELL("address",F236), "\$([A-Z]+)\$[0-9]+"))),_xlfn.REGEXEXTRACT(CELL("address",F236), "\$([A-Z]+)\$[0-9]+"))</f>
        <v/>
      </c>
      <c r="G236" s="7" t="str" cm="1">
        <f t="array" aca="1" ref="G236" ca="1">IFERROR(IF(OR('Raw Data'!G236="",LEN(TRIM('Raw Data'!G236))=0),"",IF(AND(ISNUMBER('Raw Data'!G236), IFERROR('Raw Data'!G236 = ROUND('Raw Data'!G236, 2),FALSE)),"",_xlfn.REGEXEXTRACT(CELL("address",G236), "\$([A-Z]+)\$[0-9]+"))),_xlfn.REGEXEXTRACT(CELL("address",G236), "\$([A-Z]+)\$[0-9]+"))</f>
        <v/>
      </c>
      <c r="H236" s="7" t="str" cm="1">
        <f t="array" aca="1" ref="H236" ca="1">IFERROR(IF(OR('Raw Data'!H236="",LEN(TRIM('Raw Data'!H236))=0),"",IF(AND(ISNUMBER('Raw Data'!H236), IFERROR('Raw Data'!H236 = ROUND('Raw Data'!H236, 2),FALSE)),"",_xlfn.REGEXEXTRACT(CELL("address",H236), "\$([A-Z]+)\$[0-9]+"))),_xlfn.REGEXEXTRACT(CELL("address",H236), "\$([A-Z]+)\$[0-9]+"))</f>
        <v/>
      </c>
      <c r="I236" s="7" t="str" cm="1">
        <f t="array" aca="1" ref="I236" ca="1">IFERROR(IF(OR('Raw Data'!I236="",LEN(TRIM('Raw Data'!I236))=0),"",IF(AND(ISNUMBER('Raw Data'!I236), IFERROR('Raw Data'!I236 = ROUND('Raw Data'!I236, 2),FALSE)),"",_xlfn.REGEXEXTRACT(CELL("address",I236), "\$([A-Z]+)\$[0-9]+"))),_xlfn.REGEXEXTRACT(CELL("address",I236), "\$([A-Z]+)\$[0-9]+"))</f>
        <v/>
      </c>
      <c r="J236" s="7" t="str" cm="1">
        <f t="array" aca="1" ref="J236" ca="1">IFERROR(IF(OR('Raw Data'!J236="",LEN(TRIM('Raw Data'!J236))=0),"",IF(AND(ISNUMBER('Raw Data'!J236), IFERROR('Raw Data'!J236 = ROUND('Raw Data'!J236, 2),FALSE)),"",_xlfn.REGEXEXTRACT(CELL("address",J236), "\$([A-Z]+)\$[0-9]+"))),_xlfn.REGEXEXTRACT(CELL("address",J236), "\$([A-Z]+)\$[0-9]+"))</f>
        <v/>
      </c>
      <c r="K236" s="7" t="str" cm="1">
        <f t="array" aca="1" ref="K236" ca="1">IFERROR(IF(OR('Raw Data'!K236="",LEN(TRIM('Raw Data'!K236))=0),"",IF(AND(ISNUMBER('Raw Data'!K236), IFERROR('Raw Data'!K236 = ROUND('Raw Data'!K236, 2),FALSE)),"",_xlfn.REGEXEXTRACT(CELL("address",K236), "\$([A-Z]+)\$[0-9]+"))),_xlfn.REGEXEXTRACT(CELL("address",K236), "\$([A-Z]+)\$[0-9]+"))</f>
        <v/>
      </c>
      <c r="L236" s="7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7" t="str" cm="1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7" t="str" cm="1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  <c r="O236" s="7" t="str" cm="1">
        <f t="array" aca="1" ref="O236" ca="1">IFERROR(IF(OR('Raw Data'!O236="",LEN(TRIM('Raw Data'!O236))=0),"",IF(AND(ISNUMBER('Raw Data'!O236), IFERROR('Raw Data'!O236 = ROUND('Raw Data'!O236, 2),FALSE)),"",_xlfn.REGEXEXTRACT(CELL("address",O236), "\$([A-Z]+)\$[0-9]+"))),_xlfn.REGEXEXTRACT(CELL("address",O236), "\$([A-Z]+)\$[0-9]+"))</f>
        <v/>
      </c>
      <c r="P236" s="7" t="str" cm="1">
        <f t="array" aca="1" ref="P236" ca="1">IFERROR(IF(OR('Raw Data'!P236="",LEN(TRIM('Raw Data'!P236))=0),"",IF(AND(ISNUMBER('Raw Data'!P236), IFERROR('Raw Data'!P236 = ROUND('Raw Data'!P236, 2),FALSE)),"",_xlfn.REGEXEXTRACT(CELL("address",P236), "\$([A-Z]+)\$[0-9]+"))),_xlfn.REGEXEXTRACT(CELL("address",P236), "\$([A-Z]+)\$[0-9]+"))</f>
        <v/>
      </c>
      <c r="Q236" s="7" t="str" cm="1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7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7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7" t="str" cm="1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7" t="str" cm="1">
        <f t="array" aca="1" ref="U236" ca="1">IFERROR(IF(OR('Raw Data'!U236="",LEN(TRIM('Raw Data'!U236))=0),"",IF(AND(ISNUMBER('Raw Data'!U236), IFERROR('Raw Data'!U236 = ROUND('Raw Data'!U236, 2),FALSE)),"",_xlfn.REGEXEXTRACT(CELL("address",U236), "\$([A-Z]+)\$[0-9]+"))),_xlfn.REGEXEXTRACT(CELL("address",U236), "\$([A-Z]+)\$[0-9]+"))</f>
        <v/>
      </c>
      <c r="V236" s="7" t="str" cm="1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7" t="str" cm="1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7" t="str" cm="1">
        <f t="array" aca="1" ref="X236" ca="1">IFERROR(IF(OR('Raw Data'!X236="",LEN(TRIM('Raw Data'!X236))=0),"",IF(AND(ISNUMBER('Raw Data'!X236), IFERROR('Raw Data'!X236 = ROUND('Raw Data'!X236, 2),FALSE)),"",_xlfn.REGEXEXTRACT(CELL("address",X236), "\$([A-Z]+)\$[0-9]+"))),_xlfn.REGEXEXTRACT(CELL("address",X236), "\$([A-Z]+)\$[0-9]+"))</f>
        <v/>
      </c>
      <c r="Y236" s="7" t="str" cm="1">
        <f t="array" aca="1" ref="Y236" ca="1">IFERROR(IF(OR('Raw Data'!Y236="",LEN(TRIM('Raw Data'!Y236))=0),"",IF(AND(ISNUMBER('Raw Data'!Y236), IFERROR('Raw Data'!Y236 = ROUND('Raw Data'!Y236, 2),FALSE)),"",_xlfn.REGEXEXTRACT(CELL("address",Y236), "\$([A-Z]+)\$[0-9]+"))),_xlfn.REGEXEXTRACT(CELL("address",Y236), "\$([A-Z]+)\$[0-9]+"))</f>
        <v/>
      </c>
      <c r="Z236" s="7" t="str" cm="1">
        <f t="array" aca="1" ref="Z236" ca="1">IFERROR(IF(OR('Raw Data'!Z236="",LEN(TRIM('Raw Data'!Z236))=0),"",IF(AND(ISNUMBER('Raw Data'!Z236), IFERROR('Raw Data'!Z236 = ROUND('Raw Data'!Z236, 2),FALSE)),"",_xlfn.REGEXEXTRACT(CELL("address",Z236), "\$([A-Z]+)\$[0-9]+"))),_xlfn.REGEXEXTRACT(CELL("address",Z236), "\$([A-Z]+)\$[0-9]+"))</f>
        <v/>
      </c>
      <c r="AA236" s="7" t="str" cm="1">
        <f t="array" aca="1" ref="AA236" ca="1">IFERROR(IF(OR('Raw Data'!AA236="",LEN(TRIM('Raw Data'!AA236))=0),"",IF(AND(ISNUMBER('Raw Data'!AA236), IFERROR('Raw Data'!AA236 = ROUND('Raw Data'!AA236, 2),FALSE)),"",_xlfn.REGEXEXTRACT(CELL("address",AA236), "\$([A-Z]+)\$[0-9]+"))),_xlfn.REGEXEXTRACT(CELL("address",AA236), "\$([A-Z]+)\$[0-9]+"))</f>
        <v/>
      </c>
      <c r="AB236" s="7" t="str" cm="1">
        <f t="array" aca="1" ref="AB236" ca="1">IFERROR(IF(OR('Raw Data'!AB236="",LEN(TRIM('Raw Data'!AB236))=0),"",IF(AND(ISNUMBER('Raw Data'!AB236), IFERROR('Raw Data'!AB236 = ROUND('Raw Data'!AB236, 2),FALSE)),"",_xlfn.REGEXEXTRACT(CELL("address",AB236), "\$([A-Z]+)\$[0-9]+"))),_xlfn.REGEXEXTRACT(CELL("address",AB236), "\$([A-Z]+)\$[0-9]+"))</f>
        <v/>
      </c>
    </row>
    <row r="237" spans="2:28" x14ac:dyDescent="0.25">
      <c r="B237" s="7" t="str" cm="1">
        <f t="array" aca="1" ref="B237" ca="1">IFERROR(IF(OR('Raw Data'!B237="",LEN(TRIM('Raw Data'!B237))=0),"",IF(AND(LEN('Raw Data'!B237) &lt;= 255,LEN('Raw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Data'!C237))=0),"",IF(AND(LEN('Raw Data'!C237) &lt;= 20,LEN('Raw Data'!C237)&gt; 0),"",_xlfn.REGEXEXTRACT(CELL("address",'Raw Data'!C237),"\$([A-Z]+)\$[0-9]+"))),_xlfn.REGEXEXTRACT(CELL("address",'Raw Data'!C237),"\$([A-Z]+)\$[0-9]+"))</f>
        <v/>
      </c>
      <c r="D237" s="7" t="str" cm="1">
        <f t="array" aca="1" ref="D237" ca="1">IFERROR(IF(OR('Raw Data'!D237="",LEN(TRIM('Raw Data'!D237))=0),"",IF(AND(ISNUMBER('Raw Data'!D237),'Raw Data'!D237&gt;=Configuration!$D$2),"",_xlfn.REGEXEXTRACT(CELL("address",'Raw Data'!D237),"\$([A-Z]+)\$[0-9]+"))),_xlfn.REGEXEXTRACT(CELL("address",D237), "\$([A-Z]+)\$[0-9]+"))</f>
        <v/>
      </c>
      <c r="E237" s="7" t="str" cm="1">
        <f t="array" aca="1" ref="E237" ca="1">IFERROR(IF(OR('Raw Data'!E237="",LEN(TRIM('Raw Data'!E237))=0),"",IF(AND(ISNUMBER('Raw Data'!E237), IFERROR('Raw Data'!E237 = ROUND('Raw Data'!E237, 2),FALSE)),"",_xlfn.REGEXEXTRACT(CELL("address",E237), "\$([A-Z]+)\$[0-9]+"))),_xlfn.REGEXEXTRACT(CELL("address",E237), "\$([A-Z]+)\$[0-9]+"))</f>
        <v/>
      </c>
      <c r="F237" s="7" t="str" cm="1">
        <f t="array" aca="1" ref="F237" ca="1">IFERROR(IF(OR('Raw Data'!F237="",LEN(TRIM('Raw Data'!F237))=0),"",IF(AND(ISNUMBER('Raw Data'!F237), IFERROR('Raw Data'!F237 = ROUND('Raw Data'!F237, 2),FALSE)),"",_xlfn.REGEXEXTRACT(CELL("address",F237), "\$([A-Z]+)\$[0-9]+"))),_xlfn.REGEXEXTRACT(CELL("address",F237), "\$([A-Z]+)\$[0-9]+"))</f>
        <v/>
      </c>
      <c r="G237" s="7" t="str" cm="1">
        <f t="array" aca="1" ref="G237" ca="1">IFERROR(IF(OR('Raw Data'!G237="",LEN(TRIM('Raw Data'!G237))=0),"",IF(AND(ISNUMBER('Raw Data'!G237), IFERROR('Raw Data'!G237 = ROUND('Raw Data'!G237, 2),FALSE)),"",_xlfn.REGEXEXTRACT(CELL("address",G237), "\$([A-Z]+)\$[0-9]+"))),_xlfn.REGEXEXTRACT(CELL("address",G237), "\$([A-Z]+)\$[0-9]+"))</f>
        <v/>
      </c>
      <c r="H237" s="7" t="str" cm="1">
        <f t="array" aca="1" ref="H237" ca="1">IFERROR(IF(OR('Raw Data'!H237="",LEN(TRIM('Raw Data'!H237))=0),"",IF(AND(ISNUMBER('Raw Data'!H237), IFERROR('Raw Data'!H237 = ROUND('Raw Data'!H237, 2),FALSE)),"",_xlfn.REGEXEXTRACT(CELL("address",H237), "\$([A-Z]+)\$[0-9]+"))),_xlfn.REGEXEXTRACT(CELL("address",H237), "\$([A-Z]+)\$[0-9]+"))</f>
        <v/>
      </c>
      <c r="I237" s="7" t="str" cm="1">
        <f t="array" aca="1" ref="I237" ca="1">IFERROR(IF(OR('Raw Data'!I237="",LEN(TRIM('Raw Data'!I237))=0),"",IF(AND(ISNUMBER('Raw Data'!I237), IFERROR('Raw Data'!I237 = ROUND('Raw Data'!I237, 2),FALSE)),"",_xlfn.REGEXEXTRACT(CELL("address",I237), "\$([A-Z]+)\$[0-9]+"))),_xlfn.REGEXEXTRACT(CELL("address",I237), "\$([A-Z]+)\$[0-9]+"))</f>
        <v/>
      </c>
      <c r="J237" s="7" t="str" cm="1">
        <f t="array" aca="1" ref="J237" ca="1">IFERROR(IF(OR('Raw Data'!J237="",LEN(TRIM('Raw Data'!J237))=0),"",IF(AND(ISNUMBER('Raw Data'!J237), IFERROR('Raw Data'!J237 = ROUND('Raw Data'!J237, 2),FALSE)),"",_xlfn.REGEXEXTRACT(CELL("address",J237), "\$([A-Z]+)\$[0-9]+"))),_xlfn.REGEXEXTRACT(CELL("address",J237), "\$([A-Z]+)\$[0-9]+"))</f>
        <v/>
      </c>
      <c r="K237" s="7" t="str" cm="1">
        <f t="array" aca="1" ref="K237" ca="1">IFERROR(IF(OR('Raw Data'!K237="",LEN(TRIM('Raw Data'!K237))=0),"",IF(AND(ISNUMBER('Raw Data'!K237), IFERROR('Raw Data'!K237 = ROUND('Raw Data'!K237, 2),FALSE)),"",_xlfn.REGEXEXTRACT(CELL("address",K237), "\$([A-Z]+)\$[0-9]+"))),_xlfn.REGEXEXTRACT(CELL("address",K237), "\$([A-Z]+)\$[0-9]+"))</f>
        <v/>
      </c>
      <c r="L237" s="7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7" t="str" cm="1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7" t="str" cm="1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  <c r="O237" s="7" t="str" cm="1">
        <f t="array" aca="1" ref="O237" ca="1">IFERROR(IF(OR('Raw Data'!O237="",LEN(TRIM('Raw Data'!O237))=0),"",IF(AND(ISNUMBER('Raw Data'!O237), IFERROR('Raw Data'!O237 = ROUND('Raw Data'!O237, 2),FALSE)),"",_xlfn.REGEXEXTRACT(CELL("address",O237), "\$([A-Z]+)\$[0-9]+"))),_xlfn.REGEXEXTRACT(CELL("address",O237), "\$([A-Z]+)\$[0-9]+"))</f>
        <v/>
      </c>
      <c r="P237" s="7" t="str" cm="1">
        <f t="array" aca="1" ref="P237" ca="1">IFERROR(IF(OR('Raw Data'!P237="",LEN(TRIM('Raw Data'!P237))=0),"",IF(AND(ISNUMBER('Raw Data'!P237), IFERROR('Raw Data'!P237 = ROUND('Raw Data'!P237, 2),FALSE)),"",_xlfn.REGEXEXTRACT(CELL("address",P237), "\$([A-Z]+)\$[0-9]+"))),_xlfn.REGEXEXTRACT(CELL("address",P237), "\$([A-Z]+)\$[0-9]+"))</f>
        <v/>
      </c>
      <c r="Q237" s="7" t="str" cm="1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7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7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7" t="str" cm="1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7" t="str" cm="1">
        <f t="array" aca="1" ref="U237" ca="1">IFERROR(IF(OR('Raw Data'!U237="",LEN(TRIM('Raw Data'!U237))=0),"",IF(AND(ISNUMBER('Raw Data'!U237), IFERROR('Raw Data'!U237 = ROUND('Raw Data'!U237, 2),FALSE)),"",_xlfn.REGEXEXTRACT(CELL("address",U237), "\$([A-Z]+)\$[0-9]+"))),_xlfn.REGEXEXTRACT(CELL("address",U237), "\$([A-Z]+)\$[0-9]+"))</f>
        <v/>
      </c>
      <c r="V237" s="7" t="str" cm="1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7" t="str" cm="1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7" t="str" cm="1">
        <f t="array" aca="1" ref="X237" ca="1">IFERROR(IF(OR('Raw Data'!X237="",LEN(TRIM('Raw Data'!X237))=0),"",IF(AND(ISNUMBER('Raw Data'!X237), IFERROR('Raw Data'!X237 = ROUND('Raw Data'!X237, 2),FALSE)),"",_xlfn.REGEXEXTRACT(CELL("address",X237), "\$([A-Z]+)\$[0-9]+"))),_xlfn.REGEXEXTRACT(CELL("address",X237), "\$([A-Z]+)\$[0-9]+"))</f>
        <v/>
      </c>
      <c r="Y237" s="7" t="str" cm="1">
        <f t="array" aca="1" ref="Y237" ca="1">IFERROR(IF(OR('Raw Data'!Y237="",LEN(TRIM('Raw Data'!Y237))=0),"",IF(AND(ISNUMBER('Raw Data'!Y237), IFERROR('Raw Data'!Y237 = ROUND('Raw Data'!Y237, 2),FALSE)),"",_xlfn.REGEXEXTRACT(CELL("address",Y237), "\$([A-Z]+)\$[0-9]+"))),_xlfn.REGEXEXTRACT(CELL("address",Y237), "\$([A-Z]+)\$[0-9]+"))</f>
        <v/>
      </c>
      <c r="Z237" s="7" t="str" cm="1">
        <f t="array" aca="1" ref="Z237" ca="1">IFERROR(IF(OR('Raw Data'!Z237="",LEN(TRIM('Raw Data'!Z237))=0),"",IF(AND(ISNUMBER('Raw Data'!Z237), IFERROR('Raw Data'!Z237 = ROUND('Raw Data'!Z237, 2),FALSE)),"",_xlfn.REGEXEXTRACT(CELL("address",Z237), "\$([A-Z]+)\$[0-9]+"))),_xlfn.REGEXEXTRACT(CELL("address",Z237), "\$([A-Z]+)\$[0-9]+"))</f>
        <v/>
      </c>
      <c r="AA237" s="7" t="str" cm="1">
        <f t="array" aca="1" ref="AA237" ca="1">IFERROR(IF(OR('Raw Data'!AA237="",LEN(TRIM('Raw Data'!AA237))=0),"",IF(AND(ISNUMBER('Raw Data'!AA237), IFERROR('Raw Data'!AA237 = ROUND('Raw Data'!AA237, 2),FALSE)),"",_xlfn.REGEXEXTRACT(CELL("address",AA237), "\$([A-Z]+)\$[0-9]+"))),_xlfn.REGEXEXTRACT(CELL("address",AA237), "\$([A-Z]+)\$[0-9]+"))</f>
        <v/>
      </c>
      <c r="AB237" s="7" t="str" cm="1">
        <f t="array" aca="1" ref="AB237" ca="1">IFERROR(IF(OR('Raw Data'!AB237="",LEN(TRIM('Raw Data'!AB237))=0),"",IF(AND(ISNUMBER('Raw Data'!AB237), IFERROR('Raw Data'!AB237 = ROUND('Raw Data'!AB237, 2),FALSE)),"",_xlfn.REGEXEXTRACT(CELL("address",AB237), "\$([A-Z]+)\$[0-9]+"))),_xlfn.REGEXEXTRACT(CELL("address",AB237), "\$([A-Z]+)\$[0-9]+"))</f>
        <v/>
      </c>
    </row>
    <row r="238" spans="2:28" x14ac:dyDescent="0.25">
      <c r="B238" s="7" t="str" cm="1">
        <f t="array" aca="1" ref="B238" ca="1">IFERROR(IF(OR('Raw Data'!B238="",LEN(TRIM('Raw Data'!B238))=0),"",IF(AND(LEN('Raw Data'!B238) &lt;= 255,LEN('Raw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Data'!C238))=0),"",IF(AND(LEN('Raw Data'!C238) &lt;= 20,LEN('Raw Data'!C238)&gt; 0),"",_xlfn.REGEXEXTRACT(CELL("address",'Raw Data'!C238),"\$([A-Z]+)\$[0-9]+"))),_xlfn.REGEXEXTRACT(CELL("address",'Raw Data'!C238),"\$([A-Z]+)\$[0-9]+"))</f>
        <v/>
      </c>
      <c r="D238" s="7" t="str" cm="1">
        <f t="array" aca="1" ref="D238" ca="1">IFERROR(IF(OR('Raw Data'!D238="",LEN(TRIM('Raw Data'!D238))=0),"",IF(AND(ISNUMBER('Raw Data'!D238),'Raw Data'!D238&gt;=Configuration!$D$2),"",_xlfn.REGEXEXTRACT(CELL("address",'Raw Data'!D238),"\$([A-Z]+)\$[0-9]+"))),_xlfn.REGEXEXTRACT(CELL("address",D238), "\$([A-Z]+)\$[0-9]+"))</f>
        <v/>
      </c>
      <c r="E238" s="7" t="str" cm="1">
        <f t="array" aca="1" ref="E238" ca="1">IFERROR(IF(OR('Raw Data'!E238="",LEN(TRIM('Raw Data'!E238))=0),"",IF(AND(ISNUMBER('Raw Data'!E238), IFERROR('Raw Data'!E238 = ROUND('Raw Data'!E238, 2),FALSE)),"",_xlfn.REGEXEXTRACT(CELL("address",E238), "\$([A-Z]+)\$[0-9]+"))),_xlfn.REGEXEXTRACT(CELL("address",E238), "\$([A-Z]+)\$[0-9]+"))</f>
        <v/>
      </c>
      <c r="F238" s="7" t="str" cm="1">
        <f t="array" aca="1" ref="F238" ca="1">IFERROR(IF(OR('Raw Data'!F238="",LEN(TRIM('Raw Data'!F238))=0),"",IF(AND(ISNUMBER('Raw Data'!F238), IFERROR('Raw Data'!F238 = ROUND('Raw Data'!F238, 2),FALSE)),"",_xlfn.REGEXEXTRACT(CELL("address",F238), "\$([A-Z]+)\$[0-9]+"))),_xlfn.REGEXEXTRACT(CELL("address",F238), "\$([A-Z]+)\$[0-9]+"))</f>
        <v/>
      </c>
      <c r="G238" s="7" t="str" cm="1">
        <f t="array" aca="1" ref="G238" ca="1">IFERROR(IF(OR('Raw Data'!G238="",LEN(TRIM('Raw Data'!G238))=0),"",IF(AND(ISNUMBER('Raw Data'!G238), IFERROR('Raw Data'!G238 = ROUND('Raw Data'!G238, 2),FALSE)),"",_xlfn.REGEXEXTRACT(CELL("address",G238), "\$([A-Z]+)\$[0-9]+"))),_xlfn.REGEXEXTRACT(CELL("address",G238), "\$([A-Z]+)\$[0-9]+"))</f>
        <v/>
      </c>
      <c r="H238" s="7" t="str" cm="1">
        <f t="array" aca="1" ref="H238" ca="1">IFERROR(IF(OR('Raw Data'!H238="",LEN(TRIM('Raw Data'!H238))=0),"",IF(AND(ISNUMBER('Raw Data'!H238), IFERROR('Raw Data'!H238 = ROUND('Raw Data'!H238, 2),FALSE)),"",_xlfn.REGEXEXTRACT(CELL("address",H238), "\$([A-Z]+)\$[0-9]+"))),_xlfn.REGEXEXTRACT(CELL("address",H238), "\$([A-Z]+)\$[0-9]+"))</f>
        <v/>
      </c>
      <c r="I238" s="7" t="str" cm="1">
        <f t="array" aca="1" ref="I238" ca="1">IFERROR(IF(OR('Raw Data'!I238="",LEN(TRIM('Raw Data'!I238))=0),"",IF(AND(ISNUMBER('Raw Data'!I238), IFERROR('Raw Data'!I238 = ROUND('Raw Data'!I238, 2),FALSE)),"",_xlfn.REGEXEXTRACT(CELL("address",I238), "\$([A-Z]+)\$[0-9]+"))),_xlfn.REGEXEXTRACT(CELL("address",I238), "\$([A-Z]+)\$[0-9]+"))</f>
        <v/>
      </c>
      <c r="J238" s="7" t="str" cm="1">
        <f t="array" aca="1" ref="J238" ca="1">IFERROR(IF(OR('Raw Data'!J238="",LEN(TRIM('Raw Data'!J238))=0),"",IF(AND(ISNUMBER('Raw Data'!J238), IFERROR('Raw Data'!J238 = ROUND('Raw Data'!J238, 2),FALSE)),"",_xlfn.REGEXEXTRACT(CELL("address",J238), "\$([A-Z]+)\$[0-9]+"))),_xlfn.REGEXEXTRACT(CELL("address",J238), "\$([A-Z]+)\$[0-9]+"))</f>
        <v/>
      </c>
      <c r="K238" s="7" t="str" cm="1">
        <f t="array" aca="1" ref="K238" ca="1">IFERROR(IF(OR('Raw Data'!K238="",LEN(TRIM('Raw Data'!K238))=0),"",IF(AND(ISNUMBER('Raw Data'!K238), IFERROR('Raw Data'!K238 = ROUND('Raw Data'!K238, 2),FALSE)),"",_xlfn.REGEXEXTRACT(CELL("address",K238), "\$([A-Z]+)\$[0-9]+"))),_xlfn.REGEXEXTRACT(CELL("address",K238), "\$([A-Z]+)\$[0-9]+"))</f>
        <v/>
      </c>
      <c r="L238" s="7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7" t="str" cm="1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7" t="str" cm="1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  <c r="O238" s="7" t="str" cm="1">
        <f t="array" aca="1" ref="O238" ca="1">IFERROR(IF(OR('Raw Data'!O238="",LEN(TRIM('Raw Data'!O238))=0),"",IF(AND(ISNUMBER('Raw Data'!O238), IFERROR('Raw Data'!O238 = ROUND('Raw Data'!O238, 2),FALSE)),"",_xlfn.REGEXEXTRACT(CELL("address",O238), "\$([A-Z]+)\$[0-9]+"))),_xlfn.REGEXEXTRACT(CELL("address",O238), "\$([A-Z]+)\$[0-9]+"))</f>
        <v/>
      </c>
      <c r="P238" s="7" t="str" cm="1">
        <f t="array" aca="1" ref="P238" ca="1">IFERROR(IF(OR('Raw Data'!P238="",LEN(TRIM('Raw Data'!P238))=0),"",IF(AND(ISNUMBER('Raw Data'!P238), IFERROR('Raw Data'!P238 = ROUND('Raw Data'!P238, 2),FALSE)),"",_xlfn.REGEXEXTRACT(CELL("address",P238), "\$([A-Z]+)\$[0-9]+"))),_xlfn.REGEXEXTRACT(CELL("address",P238), "\$([A-Z]+)\$[0-9]+"))</f>
        <v/>
      </c>
      <c r="Q238" s="7" t="str" cm="1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7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7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7" t="str" cm="1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7" t="str" cm="1">
        <f t="array" aca="1" ref="U238" ca="1">IFERROR(IF(OR('Raw Data'!U238="",LEN(TRIM('Raw Data'!U238))=0),"",IF(AND(ISNUMBER('Raw Data'!U238), IFERROR('Raw Data'!U238 = ROUND('Raw Data'!U238, 2),FALSE)),"",_xlfn.REGEXEXTRACT(CELL("address",U238), "\$([A-Z]+)\$[0-9]+"))),_xlfn.REGEXEXTRACT(CELL("address",U238), "\$([A-Z]+)\$[0-9]+"))</f>
        <v/>
      </c>
      <c r="V238" s="7" t="str" cm="1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7" t="str" cm="1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7" t="str" cm="1">
        <f t="array" aca="1" ref="X238" ca="1">IFERROR(IF(OR('Raw Data'!X238="",LEN(TRIM('Raw Data'!X238))=0),"",IF(AND(ISNUMBER('Raw Data'!X238), IFERROR('Raw Data'!X238 = ROUND('Raw Data'!X238, 2),FALSE)),"",_xlfn.REGEXEXTRACT(CELL("address",X238), "\$([A-Z]+)\$[0-9]+"))),_xlfn.REGEXEXTRACT(CELL("address",X238), "\$([A-Z]+)\$[0-9]+"))</f>
        <v/>
      </c>
      <c r="Y238" s="7" t="str" cm="1">
        <f t="array" aca="1" ref="Y238" ca="1">IFERROR(IF(OR('Raw Data'!Y238="",LEN(TRIM('Raw Data'!Y238))=0),"",IF(AND(ISNUMBER('Raw Data'!Y238), IFERROR('Raw Data'!Y238 = ROUND('Raw Data'!Y238, 2),FALSE)),"",_xlfn.REGEXEXTRACT(CELL("address",Y238), "\$([A-Z]+)\$[0-9]+"))),_xlfn.REGEXEXTRACT(CELL("address",Y238), "\$([A-Z]+)\$[0-9]+"))</f>
        <v/>
      </c>
      <c r="Z238" s="7" t="str" cm="1">
        <f t="array" aca="1" ref="Z238" ca="1">IFERROR(IF(OR('Raw Data'!Z238="",LEN(TRIM('Raw Data'!Z238))=0),"",IF(AND(ISNUMBER('Raw Data'!Z238), IFERROR('Raw Data'!Z238 = ROUND('Raw Data'!Z238, 2),FALSE)),"",_xlfn.REGEXEXTRACT(CELL("address",Z238), "\$([A-Z]+)\$[0-9]+"))),_xlfn.REGEXEXTRACT(CELL("address",Z238), "\$([A-Z]+)\$[0-9]+"))</f>
        <v/>
      </c>
      <c r="AA238" s="7" t="str" cm="1">
        <f t="array" aca="1" ref="AA238" ca="1">IFERROR(IF(OR('Raw Data'!AA238="",LEN(TRIM('Raw Data'!AA238))=0),"",IF(AND(ISNUMBER('Raw Data'!AA238), IFERROR('Raw Data'!AA238 = ROUND('Raw Data'!AA238, 2),FALSE)),"",_xlfn.REGEXEXTRACT(CELL("address",AA238), "\$([A-Z]+)\$[0-9]+"))),_xlfn.REGEXEXTRACT(CELL("address",AA238), "\$([A-Z]+)\$[0-9]+"))</f>
        <v/>
      </c>
      <c r="AB238" s="7" t="str" cm="1">
        <f t="array" aca="1" ref="AB238" ca="1">IFERROR(IF(OR('Raw Data'!AB238="",LEN(TRIM('Raw Data'!AB238))=0),"",IF(AND(ISNUMBER('Raw Data'!AB238), IFERROR('Raw Data'!AB238 = ROUND('Raw Data'!AB238, 2),FALSE)),"",_xlfn.REGEXEXTRACT(CELL("address",AB238), "\$([A-Z]+)\$[0-9]+"))),_xlfn.REGEXEXTRACT(CELL("address",AB238), "\$([A-Z]+)\$[0-9]+"))</f>
        <v/>
      </c>
    </row>
    <row r="239" spans="2:28" x14ac:dyDescent="0.25">
      <c r="B239" s="7" t="str" cm="1">
        <f t="array" aca="1" ref="B239" ca="1">IFERROR(IF(OR('Raw Data'!B239="",LEN(TRIM('Raw Data'!B239))=0),"",IF(AND(LEN('Raw Data'!B239) &lt;= 255,LEN('Raw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Data'!C239))=0),"",IF(AND(LEN('Raw Data'!C239) &lt;= 20,LEN('Raw Data'!C239)&gt; 0),"",_xlfn.REGEXEXTRACT(CELL("address",'Raw Data'!C239),"\$([A-Z]+)\$[0-9]+"))),_xlfn.REGEXEXTRACT(CELL("address",'Raw Data'!C239),"\$([A-Z]+)\$[0-9]+"))</f>
        <v/>
      </c>
      <c r="D239" s="7" t="str" cm="1">
        <f t="array" aca="1" ref="D239" ca="1">IFERROR(IF(OR('Raw Data'!D239="",LEN(TRIM('Raw Data'!D239))=0),"",IF(AND(ISNUMBER('Raw Data'!D239),'Raw Data'!D239&gt;=Configuration!$D$2),"",_xlfn.REGEXEXTRACT(CELL("address",'Raw Data'!D239),"\$([A-Z]+)\$[0-9]+"))),_xlfn.REGEXEXTRACT(CELL("address",D239), "\$([A-Z]+)\$[0-9]+"))</f>
        <v/>
      </c>
      <c r="E239" s="7" t="str" cm="1">
        <f t="array" aca="1" ref="E239" ca="1">IFERROR(IF(OR('Raw Data'!E239="",LEN(TRIM('Raw Data'!E239))=0),"",IF(AND(ISNUMBER('Raw Data'!E239), IFERROR('Raw Data'!E239 = ROUND('Raw Data'!E239, 2),FALSE)),"",_xlfn.REGEXEXTRACT(CELL("address",E239), "\$([A-Z]+)\$[0-9]+"))),_xlfn.REGEXEXTRACT(CELL("address",E239), "\$([A-Z]+)\$[0-9]+"))</f>
        <v/>
      </c>
      <c r="F239" s="7" t="str" cm="1">
        <f t="array" aca="1" ref="F239" ca="1">IFERROR(IF(OR('Raw Data'!F239="",LEN(TRIM('Raw Data'!F239))=0),"",IF(AND(ISNUMBER('Raw Data'!F239), IFERROR('Raw Data'!F239 = ROUND('Raw Data'!F239, 2),FALSE)),"",_xlfn.REGEXEXTRACT(CELL("address",F239), "\$([A-Z]+)\$[0-9]+"))),_xlfn.REGEXEXTRACT(CELL("address",F239), "\$([A-Z]+)\$[0-9]+"))</f>
        <v/>
      </c>
      <c r="G239" s="7" t="str" cm="1">
        <f t="array" aca="1" ref="G239" ca="1">IFERROR(IF(OR('Raw Data'!G239="",LEN(TRIM('Raw Data'!G239))=0),"",IF(AND(ISNUMBER('Raw Data'!G239), IFERROR('Raw Data'!G239 = ROUND('Raw Data'!G239, 2),FALSE)),"",_xlfn.REGEXEXTRACT(CELL("address",G239), "\$([A-Z]+)\$[0-9]+"))),_xlfn.REGEXEXTRACT(CELL("address",G239), "\$([A-Z]+)\$[0-9]+"))</f>
        <v/>
      </c>
      <c r="H239" s="7" t="str" cm="1">
        <f t="array" aca="1" ref="H239" ca="1">IFERROR(IF(OR('Raw Data'!H239="",LEN(TRIM('Raw Data'!H239))=0),"",IF(AND(ISNUMBER('Raw Data'!H239), IFERROR('Raw Data'!H239 = ROUND('Raw Data'!H239, 2),FALSE)),"",_xlfn.REGEXEXTRACT(CELL("address",H239), "\$([A-Z]+)\$[0-9]+"))),_xlfn.REGEXEXTRACT(CELL("address",H239), "\$([A-Z]+)\$[0-9]+"))</f>
        <v/>
      </c>
      <c r="I239" s="7" t="str" cm="1">
        <f t="array" aca="1" ref="I239" ca="1">IFERROR(IF(OR('Raw Data'!I239="",LEN(TRIM('Raw Data'!I239))=0),"",IF(AND(ISNUMBER('Raw Data'!I239), IFERROR('Raw Data'!I239 = ROUND('Raw Data'!I239, 2),FALSE)),"",_xlfn.REGEXEXTRACT(CELL("address",I239), "\$([A-Z]+)\$[0-9]+"))),_xlfn.REGEXEXTRACT(CELL("address",I239), "\$([A-Z]+)\$[0-9]+"))</f>
        <v/>
      </c>
      <c r="J239" s="7" t="str" cm="1">
        <f t="array" aca="1" ref="J239" ca="1">IFERROR(IF(OR('Raw Data'!J239="",LEN(TRIM('Raw Data'!J239))=0),"",IF(AND(ISNUMBER('Raw Data'!J239), IFERROR('Raw Data'!J239 = ROUND('Raw Data'!J239, 2),FALSE)),"",_xlfn.REGEXEXTRACT(CELL("address",J239), "\$([A-Z]+)\$[0-9]+"))),_xlfn.REGEXEXTRACT(CELL("address",J239), "\$([A-Z]+)\$[0-9]+"))</f>
        <v/>
      </c>
      <c r="K239" s="7" t="str" cm="1">
        <f t="array" aca="1" ref="K239" ca="1">IFERROR(IF(OR('Raw Data'!K239="",LEN(TRIM('Raw Data'!K239))=0),"",IF(AND(ISNUMBER('Raw Data'!K239), IFERROR('Raw Data'!K239 = ROUND('Raw Data'!K239, 2),FALSE)),"",_xlfn.REGEXEXTRACT(CELL("address",K239), "\$([A-Z]+)\$[0-9]+"))),_xlfn.REGEXEXTRACT(CELL("address",K239), "\$([A-Z]+)\$[0-9]+"))</f>
        <v/>
      </c>
      <c r="L239" s="7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7" t="str" cm="1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7" t="str" cm="1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  <c r="O239" s="7" t="str" cm="1">
        <f t="array" aca="1" ref="O239" ca="1">IFERROR(IF(OR('Raw Data'!O239="",LEN(TRIM('Raw Data'!O239))=0),"",IF(AND(ISNUMBER('Raw Data'!O239), IFERROR('Raw Data'!O239 = ROUND('Raw Data'!O239, 2),FALSE)),"",_xlfn.REGEXEXTRACT(CELL("address",O239), "\$([A-Z]+)\$[0-9]+"))),_xlfn.REGEXEXTRACT(CELL("address",O239), "\$([A-Z]+)\$[0-9]+"))</f>
        <v/>
      </c>
      <c r="P239" s="7" t="str" cm="1">
        <f t="array" aca="1" ref="P239" ca="1">IFERROR(IF(OR('Raw Data'!P239="",LEN(TRIM('Raw Data'!P239))=0),"",IF(AND(ISNUMBER('Raw Data'!P239), IFERROR('Raw Data'!P239 = ROUND('Raw Data'!P239, 2),FALSE)),"",_xlfn.REGEXEXTRACT(CELL("address",P239), "\$([A-Z]+)\$[0-9]+"))),_xlfn.REGEXEXTRACT(CELL("address",P239), "\$([A-Z]+)\$[0-9]+"))</f>
        <v/>
      </c>
      <c r="Q239" s="7" t="str" cm="1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7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7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7" t="str" cm="1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7" t="str" cm="1">
        <f t="array" aca="1" ref="U239" ca="1">IFERROR(IF(OR('Raw Data'!U239="",LEN(TRIM('Raw Data'!U239))=0),"",IF(AND(ISNUMBER('Raw Data'!U239), IFERROR('Raw Data'!U239 = ROUND('Raw Data'!U239, 2),FALSE)),"",_xlfn.REGEXEXTRACT(CELL("address",U239), "\$([A-Z]+)\$[0-9]+"))),_xlfn.REGEXEXTRACT(CELL("address",U239), "\$([A-Z]+)\$[0-9]+"))</f>
        <v/>
      </c>
      <c r="V239" s="7" t="str" cm="1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7" t="str" cm="1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7" t="str" cm="1">
        <f t="array" aca="1" ref="X239" ca="1">IFERROR(IF(OR('Raw Data'!X239="",LEN(TRIM('Raw Data'!X239))=0),"",IF(AND(ISNUMBER('Raw Data'!X239), IFERROR('Raw Data'!X239 = ROUND('Raw Data'!X239, 2),FALSE)),"",_xlfn.REGEXEXTRACT(CELL("address",X239), "\$([A-Z]+)\$[0-9]+"))),_xlfn.REGEXEXTRACT(CELL("address",X239), "\$([A-Z]+)\$[0-9]+"))</f>
        <v/>
      </c>
      <c r="Y239" s="7" t="str" cm="1">
        <f t="array" aca="1" ref="Y239" ca="1">IFERROR(IF(OR('Raw Data'!Y239="",LEN(TRIM('Raw Data'!Y239))=0),"",IF(AND(ISNUMBER('Raw Data'!Y239), IFERROR('Raw Data'!Y239 = ROUND('Raw Data'!Y239, 2),FALSE)),"",_xlfn.REGEXEXTRACT(CELL("address",Y239), "\$([A-Z]+)\$[0-9]+"))),_xlfn.REGEXEXTRACT(CELL("address",Y239), "\$([A-Z]+)\$[0-9]+"))</f>
        <v/>
      </c>
      <c r="Z239" s="7" t="str" cm="1">
        <f t="array" aca="1" ref="Z239" ca="1">IFERROR(IF(OR('Raw Data'!Z239="",LEN(TRIM('Raw Data'!Z239))=0),"",IF(AND(ISNUMBER('Raw Data'!Z239), IFERROR('Raw Data'!Z239 = ROUND('Raw Data'!Z239, 2),FALSE)),"",_xlfn.REGEXEXTRACT(CELL("address",Z239), "\$([A-Z]+)\$[0-9]+"))),_xlfn.REGEXEXTRACT(CELL("address",Z239), "\$([A-Z]+)\$[0-9]+"))</f>
        <v/>
      </c>
      <c r="AA239" s="7" t="str" cm="1">
        <f t="array" aca="1" ref="AA239" ca="1">IFERROR(IF(OR('Raw Data'!AA239="",LEN(TRIM('Raw Data'!AA239))=0),"",IF(AND(ISNUMBER('Raw Data'!AA239), IFERROR('Raw Data'!AA239 = ROUND('Raw Data'!AA239, 2),FALSE)),"",_xlfn.REGEXEXTRACT(CELL("address",AA239), "\$([A-Z]+)\$[0-9]+"))),_xlfn.REGEXEXTRACT(CELL("address",AA239), "\$([A-Z]+)\$[0-9]+"))</f>
        <v/>
      </c>
      <c r="AB239" s="7" t="str" cm="1">
        <f t="array" aca="1" ref="AB239" ca="1">IFERROR(IF(OR('Raw Data'!AB239="",LEN(TRIM('Raw Data'!AB239))=0),"",IF(AND(ISNUMBER('Raw Data'!AB239), IFERROR('Raw Data'!AB239 = ROUND('Raw Data'!AB239, 2),FALSE)),"",_xlfn.REGEXEXTRACT(CELL("address",AB239), "\$([A-Z]+)\$[0-9]+"))),_xlfn.REGEXEXTRACT(CELL("address",AB239), "\$([A-Z]+)\$[0-9]+"))</f>
        <v/>
      </c>
    </row>
    <row r="240" spans="2:28" x14ac:dyDescent="0.25">
      <c r="B240" s="7" t="str" cm="1">
        <f t="array" aca="1" ref="B240" ca="1">IFERROR(IF(OR('Raw Data'!B240="",LEN(TRIM('Raw Data'!B240))=0),"",IF(AND(LEN('Raw Data'!B240) &lt;= 255,LEN('Raw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Data'!C240))=0),"",IF(AND(LEN('Raw Data'!C240) &lt;= 20,LEN('Raw Data'!C240)&gt; 0),"",_xlfn.REGEXEXTRACT(CELL("address",'Raw Data'!C240),"\$([A-Z]+)\$[0-9]+"))),_xlfn.REGEXEXTRACT(CELL("address",'Raw Data'!C240),"\$([A-Z]+)\$[0-9]+"))</f>
        <v/>
      </c>
      <c r="D240" s="7" t="str" cm="1">
        <f t="array" aca="1" ref="D240" ca="1">IFERROR(IF(OR('Raw Data'!D240="",LEN(TRIM('Raw Data'!D240))=0),"",IF(AND(ISNUMBER('Raw Data'!D240),'Raw Data'!D240&gt;=Configuration!$D$2),"",_xlfn.REGEXEXTRACT(CELL("address",'Raw Data'!D240),"\$([A-Z]+)\$[0-9]+"))),_xlfn.REGEXEXTRACT(CELL("address",D240), "\$([A-Z]+)\$[0-9]+"))</f>
        <v/>
      </c>
      <c r="E240" s="7" t="str" cm="1">
        <f t="array" aca="1" ref="E240" ca="1">IFERROR(IF(OR('Raw Data'!E240="",LEN(TRIM('Raw Data'!E240))=0),"",IF(AND(ISNUMBER('Raw Data'!E240), IFERROR('Raw Data'!E240 = ROUND('Raw Data'!E240, 2),FALSE)),"",_xlfn.REGEXEXTRACT(CELL("address",E240), "\$([A-Z]+)\$[0-9]+"))),_xlfn.REGEXEXTRACT(CELL("address",E240), "\$([A-Z]+)\$[0-9]+"))</f>
        <v/>
      </c>
      <c r="F240" s="7" t="str" cm="1">
        <f t="array" aca="1" ref="F240" ca="1">IFERROR(IF(OR('Raw Data'!F240="",LEN(TRIM('Raw Data'!F240))=0),"",IF(AND(ISNUMBER('Raw Data'!F240), IFERROR('Raw Data'!F240 = ROUND('Raw Data'!F240, 2),FALSE)),"",_xlfn.REGEXEXTRACT(CELL("address",F240), "\$([A-Z]+)\$[0-9]+"))),_xlfn.REGEXEXTRACT(CELL("address",F240), "\$([A-Z]+)\$[0-9]+"))</f>
        <v/>
      </c>
      <c r="G240" s="7" t="str" cm="1">
        <f t="array" aca="1" ref="G240" ca="1">IFERROR(IF(OR('Raw Data'!G240="",LEN(TRIM('Raw Data'!G240))=0),"",IF(AND(ISNUMBER('Raw Data'!G240), IFERROR('Raw Data'!G240 = ROUND('Raw Data'!G240, 2),FALSE)),"",_xlfn.REGEXEXTRACT(CELL("address",G240), "\$([A-Z]+)\$[0-9]+"))),_xlfn.REGEXEXTRACT(CELL("address",G240), "\$([A-Z]+)\$[0-9]+"))</f>
        <v/>
      </c>
      <c r="H240" s="7" t="str" cm="1">
        <f t="array" aca="1" ref="H240" ca="1">IFERROR(IF(OR('Raw Data'!H240="",LEN(TRIM('Raw Data'!H240))=0),"",IF(AND(ISNUMBER('Raw Data'!H240), IFERROR('Raw Data'!H240 = ROUND('Raw Data'!H240, 2),FALSE)),"",_xlfn.REGEXEXTRACT(CELL("address",H240), "\$([A-Z]+)\$[0-9]+"))),_xlfn.REGEXEXTRACT(CELL("address",H240), "\$([A-Z]+)\$[0-9]+"))</f>
        <v/>
      </c>
      <c r="I240" s="7" t="str" cm="1">
        <f t="array" aca="1" ref="I240" ca="1">IFERROR(IF(OR('Raw Data'!I240="",LEN(TRIM('Raw Data'!I240))=0),"",IF(AND(ISNUMBER('Raw Data'!I240), IFERROR('Raw Data'!I240 = ROUND('Raw Data'!I240, 2),FALSE)),"",_xlfn.REGEXEXTRACT(CELL("address",I240), "\$([A-Z]+)\$[0-9]+"))),_xlfn.REGEXEXTRACT(CELL("address",I240), "\$([A-Z]+)\$[0-9]+"))</f>
        <v/>
      </c>
      <c r="J240" s="7" t="str" cm="1">
        <f t="array" aca="1" ref="J240" ca="1">IFERROR(IF(OR('Raw Data'!J240="",LEN(TRIM('Raw Data'!J240))=0),"",IF(AND(ISNUMBER('Raw Data'!J240), IFERROR('Raw Data'!J240 = ROUND('Raw Data'!J240, 2),FALSE)),"",_xlfn.REGEXEXTRACT(CELL("address",J240), "\$([A-Z]+)\$[0-9]+"))),_xlfn.REGEXEXTRACT(CELL("address",J240), "\$([A-Z]+)\$[0-9]+"))</f>
        <v/>
      </c>
      <c r="K240" s="7" t="str" cm="1">
        <f t="array" aca="1" ref="K240" ca="1">IFERROR(IF(OR('Raw Data'!K240="",LEN(TRIM('Raw Data'!K240))=0),"",IF(AND(ISNUMBER('Raw Data'!K240), IFERROR('Raw Data'!K240 = ROUND('Raw Data'!K240, 2),FALSE)),"",_xlfn.REGEXEXTRACT(CELL("address",K240), "\$([A-Z]+)\$[0-9]+"))),_xlfn.REGEXEXTRACT(CELL("address",K240), "\$([A-Z]+)\$[0-9]+"))</f>
        <v/>
      </c>
      <c r="L240" s="7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7" t="str" cm="1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7" t="str" cm="1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  <c r="O240" s="7" t="str" cm="1">
        <f t="array" aca="1" ref="O240" ca="1">IFERROR(IF(OR('Raw Data'!O240="",LEN(TRIM('Raw Data'!O240))=0),"",IF(AND(ISNUMBER('Raw Data'!O240), IFERROR('Raw Data'!O240 = ROUND('Raw Data'!O240, 2),FALSE)),"",_xlfn.REGEXEXTRACT(CELL("address",O240), "\$([A-Z]+)\$[0-9]+"))),_xlfn.REGEXEXTRACT(CELL("address",O240), "\$([A-Z]+)\$[0-9]+"))</f>
        <v/>
      </c>
      <c r="P240" s="7" t="str" cm="1">
        <f t="array" aca="1" ref="P240" ca="1">IFERROR(IF(OR('Raw Data'!P240="",LEN(TRIM('Raw Data'!P240))=0),"",IF(AND(ISNUMBER('Raw Data'!P240), IFERROR('Raw Data'!P240 = ROUND('Raw Data'!P240, 2),FALSE)),"",_xlfn.REGEXEXTRACT(CELL("address",P240), "\$([A-Z]+)\$[0-9]+"))),_xlfn.REGEXEXTRACT(CELL("address",P240), "\$([A-Z]+)\$[0-9]+"))</f>
        <v/>
      </c>
      <c r="Q240" s="7" t="str" cm="1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7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7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7" t="str" cm="1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7" t="str" cm="1">
        <f t="array" aca="1" ref="U240" ca="1">IFERROR(IF(OR('Raw Data'!U240="",LEN(TRIM('Raw Data'!U240))=0),"",IF(AND(ISNUMBER('Raw Data'!U240), IFERROR('Raw Data'!U240 = ROUND('Raw Data'!U240, 2),FALSE)),"",_xlfn.REGEXEXTRACT(CELL("address",U240), "\$([A-Z]+)\$[0-9]+"))),_xlfn.REGEXEXTRACT(CELL("address",U240), "\$([A-Z]+)\$[0-9]+"))</f>
        <v/>
      </c>
      <c r="V240" s="7" t="str" cm="1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7" t="str" cm="1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7" t="str" cm="1">
        <f t="array" aca="1" ref="X240" ca="1">IFERROR(IF(OR('Raw Data'!X240="",LEN(TRIM('Raw Data'!X240))=0),"",IF(AND(ISNUMBER('Raw Data'!X240), IFERROR('Raw Data'!X240 = ROUND('Raw Data'!X240, 2),FALSE)),"",_xlfn.REGEXEXTRACT(CELL("address",X240), "\$([A-Z]+)\$[0-9]+"))),_xlfn.REGEXEXTRACT(CELL("address",X240), "\$([A-Z]+)\$[0-9]+"))</f>
        <v/>
      </c>
      <c r="Y240" s="7" t="str" cm="1">
        <f t="array" aca="1" ref="Y240" ca="1">IFERROR(IF(OR('Raw Data'!Y240="",LEN(TRIM('Raw Data'!Y240))=0),"",IF(AND(ISNUMBER('Raw Data'!Y240), IFERROR('Raw Data'!Y240 = ROUND('Raw Data'!Y240, 2),FALSE)),"",_xlfn.REGEXEXTRACT(CELL("address",Y240), "\$([A-Z]+)\$[0-9]+"))),_xlfn.REGEXEXTRACT(CELL("address",Y240), "\$([A-Z]+)\$[0-9]+"))</f>
        <v/>
      </c>
      <c r="Z240" s="7" t="str" cm="1">
        <f t="array" aca="1" ref="Z240" ca="1">IFERROR(IF(OR('Raw Data'!Z240="",LEN(TRIM('Raw Data'!Z240))=0),"",IF(AND(ISNUMBER('Raw Data'!Z240), IFERROR('Raw Data'!Z240 = ROUND('Raw Data'!Z240, 2),FALSE)),"",_xlfn.REGEXEXTRACT(CELL("address",Z240), "\$([A-Z]+)\$[0-9]+"))),_xlfn.REGEXEXTRACT(CELL("address",Z240), "\$([A-Z]+)\$[0-9]+"))</f>
        <v/>
      </c>
      <c r="AA240" s="7" t="str" cm="1">
        <f t="array" aca="1" ref="AA240" ca="1">IFERROR(IF(OR('Raw Data'!AA240="",LEN(TRIM('Raw Data'!AA240))=0),"",IF(AND(ISNUMBER('Raw Data'!AA240), IFERROR('Raw Data'!AA240 = ROUND('Raw Data'!AA240, 2),FALSE)),"",_xlfn.REGEXEXTRACT(CELL("address",AA240), "\$([A-Z]+)\$[0-9]+"))),_xlfn.REGEXEXTRACT(CELL("address",AA240), "\$([A-Z]+)\$[0-9]+"))</f>
        <v/>
      </c>
      <c r="AB240" s="7" t="str" cm="1">
        <f t="array" aca="1" ref="AB240" ca="1">IFERROR(IF(OR('Raw Data'!AB240="",LEN(TRIM('Raw Data'!AB240))=0),"",IF(AND(ISNUMBER('Raw Data'!AB240), IFERROR('Raw Data'!AB240 = ROUND('Raw Data'!AB240, 2),FALSE)),"",_xlfn.REGEXEXTRACT(CELL("address",AB240), "\$([A-Z]+)\$[0-9]+"))),_xlfn.REGEXEXTRACT(CELL("address",AB240), "\$([A-Z]+)\$[0-9]+"))</f>
        <v/>
      </c>
    </row>
    <row r="241" spans="2:28" x14ac:dyDescent="0.25">
      <c r="B241" s="7" t="str" cm="1">
        <f t="array" aca="1" ref="B241" ca="1">IFERROR(IF(OR('Raw Data'!B241="",LEN(TRIM('Raw Data'!B241))=0),"",IF(AND(LEN('Raw Data'!B241) &lt;= 255,LEN('Raw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Data'!C241))=0),"",IF(AND(LEN('Raw Data'!C241) &lt;= 20,LEN('Raw Data'!C241)&gt; 0),"",_xlfn.REGEXEXTRACT(CELL("address",'Raw Data'!C241),"\$([A-Z]+)\$[0-9]+"))),_xlfn.REGEXEXTRACT(CELL("address",'Raw Data'!C241),"\$([A-Z]+)\$[0-9]+"))</f>
        <v/>
      </c>
      <c r="D241" s="7" t="str" cm="1">
        <f t="array" aca="1" ref="D241" ca="1">IFERROR(IF(OR('Raw Data'!D241="",LEN(TRIM('Raw Data'!D241))=0),"",IF(AND(ISNUMBER('Raw Data'!D241),'Raw Data'!D241&gt;=Configuration!$D$2),"",_xlfn.REGEXEXTRACT(CELL("address",'Raw Data'!D241),"\$([A-Z]+)\$[0-9]+"))),_xlfn.REGEXEXTRACT(CELL("address",D241), "\$([A-Z]+)\$[0-9]+"))</f>
        <v/>
      </c>
      <c r="E241" s="7" t="str" cm="1">
        <f t="array" aca="1" ref="E241" ca="1">IFERROR(IF(OR('Raw Data'!E241="",LEN(TRIM('Raw Data'!E241))=0),"",IF(AND(ISNUMBER('Raw Data'!E241), IFERROR('Raw Data'!E241 = ROUND('Raw Data'!E241, 2),FALSE)),"",_xlfn.REGEXEXTRACT(CELL("address",E241), "\$([A-Z]+)\$[0-9]+"))),_xlfn.REGEXEXTRACT(CELL("address",E241), "\$([A-Z]+)\$[0-9]+"))</f>
        <v/>
      </c>
      <c r="F241" s="7" t="str" cm="1">
        <f t="array" aca="1" ref="F241" ca="1">IFERROR(IF(OR('Raw Data'!F241="",LEN(TRIM('Raw Data'!F241))=0),"",IF(AND(ISNUMBER('Raw Data'!F241), IFERROR('Raw Data'!F241 = ROUND('Raw Data'!F241, 2),FALSE)),"",_xlfn.REGEXEXTRACT(CELL("address",F241), "\$([A-Z]+)\$[0-9]+"))),_xlfn.REGEXEXTRACT(CELL("address",F241), "\$([A-Z]+)\$[0-9]+"))</f>
        <v/>
      </c>
      <c r="G241" s="7" t="str" cm="1">
        <f t="array" aca="1" ref="G241" ca="1">IFERROR(IF(OR('Raw Data'!G241="",LEN(TRIM('Raw Data'!G241))=0),"",IF(AND(ISNUMBER('Raw Data'!G241), IFERROR('Raw Data'!G241 = ROUND('Raw Data'!G241, 2),FALSE)),"",_xlfn.REGEXEXTRACT(CELL("address",G241), "\$([A-Z]+)\$[0-9]+"))),_xlfn.REGEXEXTRACT(CELL("address",G241), "\$([A-Z]+)\$[0-9]+"))</f>
        <v/>
      </c>
      <c r="H241" s="7" t="str" cm="1">
        <f t="array" aca="1" ref="H241" ca="1">IFERROR(IF(OR('Raw Data'!H241="",LEN(TRIM('Raw Data'!H241))=0),"",IF(AND(ISNUMBER('Raw Data'!H241), IFERROR('Raw Data'!H241 = ROUND('Raw Data'!H241, 2),FALSE)),"",_xlfn.REGEXEXTRACT(CELL("address",H241), "\$([A-Z]+)\$[0-9]+"))),_xlfn.REGEXEXTRACT(CELL("address",H241), "\$([A-Z]+)\$[0-9]+"))</f>
        <v/>
      </c>
      <c r="I241" s="7" t="str" cm="1">
        <f t="array" aca="1" ref="I241" ca="1">IFERROR(IF(OR('Raw Data'!I241="",LEN(TRIM('Raw Data'!I241))=0),"",IF(AND(ISNUMBER('Raw Data'!I241), IFERROR('Raw Data'!I241 = ROUND('Raw Data'!I241, 2),FALSE)),"",_xlfn.REGEXEXTRACT(CELL("address",I241), "\$([A-Z]+)\$[0-9]+"))),_xlfn.REGEXEXTRACT(CELL("address",I241), "\$([A-Z]+)\$[0-9]+"))</f>
        <v/>
      </c>
      <c r="J241" s="7" t="str" cm="1">
        <f t="array" aca="1" ref="J241" ca="1">IFERROR(IF(OR('Raw Data'!J241="",LEN(TRIM('Raw Data'!J241))=0),"",IF(AND(ISNUMBER('Raw Data'!J241), IFERROR('Raw Data'!J241 = ROUND('Raw Data'!J241, 2),FALSE)),"",_xlfn.REGEXEXTRACT(CELL("address",J241), "\$([A-Z]+)\$[0-9]+"))),_xlfn.REGEXEXTRACT(CELL("address",J241), "\$([A-Z]+)\$[0-9]+"))</f>
        <v/>
      </c>
      <c r="K241" s="7" t="str" cm="1">
        <f t="array" aca="1" ref="K241" ca="1">IFERROR(IF(OR('Raw Data'!K241="",LEN(TRIM('Raw Data'!K241))=0),"",IF(AND(ISNUMBER('Raw Data'!K241), IFERROR('Raw Data'!K241 = ROUND('Raw Data'!K241, 2),FALSE)),"",_xlfn.REGEXEXTRACT(CELL("address",K241), "\$([A-Z]+)\$[0-9]+"))),_xlfn.REGEXEXTRACT(CELL("address",K241), "\$([A-Z]+)\$[0-9]+"))</f>
        <v/>
      </c>
      <c r="L241" s="7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7" t="str" cm="1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7" t="str" cm="1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  <c r="O241" s="7" t="str" cm="1">
        <f t="array" aca="1" ref="O241" ca="1">IFERROR(IF(OR('Raw Data'!O241="",LEN(TRIM('Raw Data'!O241))=0),"",IF(AND(ISNUMBER('Raw Data'!O241), IFERROR('Raw Data'!O241 = ROUND('Raw Data'!O241, 2),FALSE)),"",_xlfn.REGEXEXTRACT(CELL("address",O241), "\$([A-Z]+)\$[0-9]+"))),_xlfn.REGEXEXTRACT(CELL("address",O241), "\$([A-Z]+)\$[0-9]+"))</f>
        <v/>
      </c>
      <c r="P241" s="7" t="str" cm="1">
        <f t="array" aca="1" ref="P241" ca="1">IFERROR(IF(OR('Raw Data'!P241="",LEN(TRIM('Raw Data'!P241))=0),"",IF(AND(ISNUMBER('Raw Data'!P241), IFERROR('Raw Data'!P241 = ROUND('Raw Data'!P241, 2),FALSE)),"",_xlfn.REGEXEXTRACT(CELL("address",P241), "\$([A-Z]+)\$[0-9]+"))),_xlfn.REGEXEXTRACT(CELL("address",P241), "\$([A-Z]+)\$[0-9]+"))</f>
        <v/>
      </c>
      <c r="Q241" s="7" t="str" cm="1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7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7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7" t="str" cm="1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7" t="str" cm="1">
        <f t="array" aca="1" ref="U241" ca="1">IFERROR(IF(OR('Raw Data'!U241="",LEN(TRIM('Raw Data'!U241))=0),"",IF(AND(ISNUMBER('Raw Data'!U241), IFERROR('Raw Data'!U241 = ROUND('Raw Data'!U241, 2),FALSE)),"",_xlfn.REGEXEXTRACT(CELL("address",U241), "\$([A-Z]+)\$[0-9]+"))),_xlfn.REGEXEXTRACT(CELL("address",U241), "\$([A-Z]+)\$[0-9]+"))</f>
        <v/>
      </c>
      <c r="V241" s="7" t="str" cm="1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7" t="str" cm="1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7" t="str" cm="1">
        <f t="array" aca="1" ref="X241" ca="1">IFERROR(IF(OR('Raw Data'!X241="",LEN(TRIM('Raw Data'!X241))=0),"",IF(AND(ISNUMBER('Raw Data'!X241), IFERROR('Raw Data'!X241 = ROUND('Raw Data'!X241, 2),FALSE)),"",_xlfn.REGEXEXTRACT(CELL("address",X241), "\$([A-Z]+)\$[0-9]+"))),_xlfn.REGEXEXTRACT(CELL("address",X241), "\$([A-Z]+)\$[0-9]+"))</f>
        <v/>
      </c>
      <c r="Y241" s="7" t="str" cm="1">
        <f t="array" aca="1" ref="Y241" ca="1">IFERROR(IF(OR('Raw Data'!Y241="",LEN(TRIM('Raw Data'!Y241))=0),"",IF(AND(ISNUMBER('Raw Data'!Y241), IFERROR('Raw Data'!Y241 = ROUND('Raw Data'!Y241, 2),FALSE)),"",_xlfn.REGEXEXTRACT(CELL("address",Y241), "\$([A-Z]+)\$[0-9]+"))),_xlfn.REGEXEXTRACT(CELL("address",Y241), "\$([A-Z]+)\$[0-9]+"))</f>
        <v/>
      </c>
      <c r="Z241" s="7" t="str" cm="1">
        <f t="array" aca="1" ref="Z241" ca="1">IFERROR(IF(OR('Raw Data'!Z241="",LEN(TRIM('Raw Data'!Z241))=0),"",IF(AND(ISNUMBER('Raw Data'!Z241), IFERROR('Raw Data'!Z241 = ROUND('Raw Data'!Z241, 2),FALSE)),"",_xlfn.REGEXEXTRACT(CELL("address",Z241), "\$([A-Z]+)\$[0-9]+"))),_xlfn.REGEXEXTRACT(CELL("address",Z241), "\$([A-Z]+)\$[0-9]+"))</f>
        <v/>
      </c>
      <c r="AA241" s="7" t="str" cm="1">
        <f t="array" aca="1" ref="AA241" ca="1">IFERROR(IF(OR('Raw Data'!AA241="",LEN(TRIM('Raw Data'!AA241))=0),"",IF(AND(ISNUMBER('Raw Data'!AA241), IFERROR('Raw Data'!AA241 = ROUND('Raw Data'!AA241, 2),FALSE)),"",_xlfn.REGEXEXTRACT(CELL("address",AA241), "\$([A-Z]+)\$[0-9]+"))),_xlfn.REGEXEXTRACT(CELL("address",AA241), "\$([A-Z]+)\$[0-9]+"))</f>
        <v/>
      </c>
      <c r="AB241" s="7" t="str" cm="1">
        <f t="array" aca="1" ref="AB241" ca="1">IFERROR(IF(OR('Raw Data'!AB241="",LEN(TRIM('Raw Data'!AB241))=0),"",IF(AND(ISNUMBER('Raw Data'!AB241), IFERROR('Raw Data'!AB241 = ROUND('Raw Data'!AB241, 2),FALSE)),"",_xlfn.REGEXEXTRACT(CELL("address",AB241), "\$([A-Z]+)\$[0-9]+"))),_xlfn.REGEXEXTRACT(CELL("address",AB241), "\$([A-Z]+)\$[0-9]+"))</f>
        <v/>
      </c>
    </row>
    <row r="242" spans="2:28" x14ac:dyDescent="0.25">
      <c r="B242" s="7" t="str" cm="1">
        <f t="array" aca="1" ref="B242" ca="1">IFERROR(IF(OR('Raw Data'!B242="",LEN(TRIM('Raw Data'!B242))=0),"",IF(AND(LEN('Raw Data'!B242) &lt;= 255,LEN('Raw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Data'!C242))=0),"",IF(AND(LEN('Raw Data'!C242) &lt;= 20,LEN('Raw Data'!C242)&gt; 0),"",_xlfn.REGEXEXTRACT(CELL("address",'Raw Data'!C242),"\$([A-Z]+)\$[0-9]+"))),_xlfn.REGEXEXTRACT(CELL("address",'Raw Data'!C242),"\$([A-Z]+)\$[0-9]+"))</f>
        <v/>
      </c>
      <c r="D242" s="7" t="str" cm="1">
        <f t="array" aca="1" ref="D242" ca="1">IFERROR(IF(OR('Raw Data'!D242="",LEN(TRIM('Raw Data'!D242))=0),"",IF(AND(ISNUMBER('Raw Data'!D242),'Raw Data'!D242&gt;=Configuration!$D$2),"",_xlfn.REGEXEXTRACT(CELL("address",'Raw Data'!D242),"\$([A-Z]+)\$[0-9]+"))),_xlfn.REGEXEXTRACT(CELL("address",D242), "\$([A-Z]+)\$[0-9]+"))</f>
        <v/>
      </c>
      <c r="E242" s="7" t="str" cm="1">
        <f t="array" aca="1" ref="E242" ca="1">IFERROR(IF(OR('Raw Data'!E242="",LEN(TRIM('Raw Data'!E242))=0),"",IF(AND(ISNUMBER('Raw Data'!E242), IFERROR('Raw Data'!E242 = ROUND('Raw Data'!E242, 2),FALSE)),"",_xlfn.REGEXEXTRACT(CELL("address",E242), "\$([A-Z]+)\$[0-9]+"))),_xlfn.REGEXEXTRACT(CELL("address",E242), "\$([A-Z]+)\$[0-9]+"))</f>
        <v/>
      </c>
      <c r="F242" s="7" t="str" cm="1">
        <f t="array" aca="1" ref="F242" ca="1">IFERROR(IF(OR('Raw Data'!F242="",LEN(TRIM('Raw Data'!F242))=0),"",IF(AND(ISNUMBER('Raw Data'!F242), IFERROR('Raw Data'!F242 = ROUND('Raw Data'!F242, 2),FALSE)),"",_xlfn.REGEXEXTRACT(CELL("address",F242), "\$([A-Z]+)\$[0-9]+"))),_xlfn.REGEXEXTRACT(CELL("address",F242), "\$([A-Z]+)\$[0-9]+"))</f>
        <v/>
      </c>
      <c r="G242" s="7" t="str" cm="1">
        <f t="array" aca="1" ref="G242" ca="1">IFERROR(IF(OR('Raw Data'!G242="",LEN(TRIM('Raw Data'!G242))=0),"",IF(AND(ISNUMBER('Raw Data'!G242), IFERROR('Raw Data'!G242 = ROUND('Raw Data'!G242, 2),FALSE)),"",_xlfn.REGEXEXTRACT(CELL("address",G242), "\$([A-Z]+)\$[0-9]+"))),_xlfn.REGEXEXTRACT(CELL("address",G242), "\$([A-Z]+)\$[0-9]+"))</f>
        <v/>
      </c>
      <c r="H242" s="7" t="str" cm="1">
        <f t="array" aca="1" ref="H242" ca="1">IFERROR(IF(OR('Raw Data'!H242="",LEN(TRIM('Raw Data'!H242))=0),"",IF(AND(ISNUMBER('Raw Data'!H242), IFERROR('Raw Data'!H242 = ROUND('Raw Data'!H242, 2),FALSE)),"",_xlfn.REGEXEXTRACT(CELL("address",H242), "\$([A-Z]+)\$[0-9]+"))),_xlfn.REGEXEXTRACT(CELL("address",H242), "\$([A-Z]+)\$[0-9]+"))</f>
        <v/>
      </c>
      <c r="I242" s="7" t="str" cm="1">
        <f t="array" aca="1" ref="I242" ca="1">IFERROR(IF(OR('Raw Data'!I242="",LEN(TRIM('Raw Data'!I242))=0),"",IF(AND(ISNUMBER('Raw Data'!I242), IFERROR('Raw Data'!I242 = ROUND('Raw Data'!I242, 2),FALSE)),"",_xlfn.REGEXEXTRACT(CELL("address",I242), "\$([A-Z]+)\$[0-9]+"))),_xlfn.REGEXEXTRACT(CELL("address",I242), "\$([A-Z]+)\$[0-9]+"))</f>
        <v/>
      </c>
      <c r="J242" s="7" t="str" cm="1">
        <f t="array" aca="1" ref="J242" ca="1">IFERROR(IF(OR('Raw Data'!J242="",LEN(TRIM('Raw Data'!J242))=0),"",IF(AND(ISNUMBER('Raw Data'!J242), IFERROR('Raw Data'!J242 = ROUND('Raw Data'!J242, 2),FALSE)),"",_xlfn.REGEXEXTRACT(CELL("address",J242), "\$([A-Z]+)\$[0-9]+"))),_xlfn.REGEXEXTRACT(CELL("address",J242), "\$([A-Z]+)\$[0-9]+"))</f>
        <v/>
      </c>
      <c r="K242" s="7" t="str" cm="1">
        <f t="array" aca="1" ref="K242" ca="1">IFERROR(IF(OR('Raw Data'!K242="",LEN(TRIM('Raw Data'!K242))=0),"",IF(AND(ISNUMBER('Raw Data'!K242), IFERROR('Raw Data'!K242 = ROUND('Raw Data'!K242, 2),FALSE)),"",_xlfn.REGEXEXTRACT(CELL("address",K242), "\$([A-Z]+)\$[0-9]+"))),_xlfn.REGEXEXTRACT(CELL("address",K242), "\$([A-Z]+)\$[0-9]+"))</f>
        <v/>
      </c>
      <c r="L242" s="7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7" t="str" cm="1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7" t="str" cm="1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  <c r="O242" s="7" t="str" cm="1">
        <f t="array" aca="1" ref="O242" ca="1">IFERROR(IF(OR('Raw Data'!O242="",LEN(TRIM('Raw Data'!O242))=0),"",IF(AND(ISNUMBER('Raw Data'!O242), IFERROR('Raw Data'!O242 = ROUND('Raw Data'!O242, 2),FALSE)),"",_xlfn.REGEXEXTRACT(CELL("address",O242), "\$([A-Z]+)\$[0-9]+"))),_xlfn.REGEXEXTRACT(CELL("address",O242), "\$([A-Z]+)\$[0-9]+"))</f>
        <v/>
      </c>
      <c r="P242" s="7" t="str" cm="1">
        <f t="array" aca="1" ref="P242" ca="1">IFERROR(IF(OR('Raw Data'!P242="",LEN(TRIM('Raw Data'!P242))=0),"",IF(AND(ISNUMBER('Raw Data'!P242), IFERROR('Raw Data'!P242 = ROUND('Raw Data'!P242, 2),FALSE)),"",_xlfn.REGEXEXTRACT(CELL("address",P242), "\$([A-Z]+)\$[0-9]+"))),_xlfn.REGEXEXTRACT(CELL("address",P242), "\$([A-Z]+)\$[0-9]+"))</f>
        <v/>
      </c>
      <c r="Q242" s="7" t="str" cm="1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7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7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7" t="str" cm="1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7" t="str" cm="1">
        <f t="array" aca="1" ref="U242" ca="1">IFERROR(IF(OR('Raw Data'!U242="",LEN(TRIM('Raw Data'!U242))=0),"",IF(AND(ISNUMBER('Raw Data'!U242), IFERROR('Raw Data'!U242 = ROUND('Raw Data'!U242, 2),FALSE)),"",_xlfn.REGEXEXTRACT(CELL("address",U242), "\$([A-Z]+)\$[0-9]+"))),_xlfn.REGEXEXTRACT(CELL("address",U242), "\$([A-Z]+)\$[0-9]+"))</f>
        <v/>
      </c>
      <c r="V242" s="7" t="str" cm="1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7" t="str" cm="1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7" t="str" cm="1">
        <f t="array" aca="1" ref="X242" ca="1">IFERROR(IF(OR('Raw Data'!X242="",LEN(TRIM('Raw Data'!X242))=0),"",IF(AND(ISNUMBER('Raw Data'!X242), IFERROR('Raw Data'!X242 = ROUND('Raw Data'!X242, 2),FALSE)),"",_xlfn.REGEXEXTRACT(CELL("address",X242), "\$([A-Z]+)\$[0-9]+"))),_xlfn.REGEXEXTRACT(CELL("address",X242), "\$([A-Z]+)\$[0-9]+"))</f>
        <v/>
      </c>
      <c r="Y242" s="7" t="str" cm="1">
        <f t="array" aca="1" ref="Y242" ca="1">IFERROR(IF(OR('Raw Data'!Y242="",LEN(TRIM('Raw Data'!Y242))=0),"",IF(AND(ISNUMBER('Raw Data'!Y242), IFERROR('Raw Data'!Y242 = ROUND('Raw Data'!Y242, 2),FALSE)),"",_xlfn.REGEXEXTRACT(CELL("address",Y242), "\$([A-Z]+)\$[0-9]+"))),_xlfn.REGEXEXTRACT(CELL("address",Y242), "\$([A-Z]+)\$[0-9]+"))</f>
        <v/>
      </c>
      <c r="Z242" s="7" t="str" cm="1">
        <f t="array" aca="1" ref="Z242" ca="1">IFERROR(IF(OR('Raw Data'!Z242="",LEN(TRIM('Raw Data'!Z242))=0),"",IF(AND(ISNUMBER('Raw Data'!Z242), IFERROR('Raw Data'!Z242 = ROUND('Raw Data'!Z242, 2),FALSE)),"",_xlfn.REGEXEXTRACT(CELL("address",Z242), "\$([A-Z]+)\$[0-9]+"))),_xlfn.REGEXEXTRACT(CELL("address",Z242), "\$([A-Z]+)\$[0-9]+"))</f>
        <v/>
      </c>
      <c r="AA242" s="7" t="str" cm="1">
        <f t="array" aca="1" ref="AA242" ca="1">IFERROR(IF(OR('Raw Data'!AA242="",LEN(TRIM('Raw Data'!AA242))=0),"",IF(AND(ISNUMBER('Raw Data'!AA242), IFERROR('Raw Data'!AA242 = ROUND('Raw Data'!AA242, 2),FALSE)),"",_xlfn.REGEXEXTRACT(CELL("address",AA242), "\$([A-Z]+)\$[0-9]+"))),_xlfn.REGEXEXTRACT(CELL("address",AA242), "\$([A-Z]+)\$[0-9]+"))</f>
        <v/>
      </c>
      <c r="AB242" s="7" t="str" cm="1">
        <f t="array" aca="1" ref="AB242" ca="1">IFERROR(IF(OR('Raw Data'!AB242="",LEN(TRIM('Raw Data'!AB242))=0),"",IF(AND(ISNUMBER('Raw Data'!AB242), IFERROR('Raw Data'!AB242 = ROUND('Raw Data'!AB242, 2),FALSE)),"",_xlfn.REGEXEXTRACT(CELL("address",AB242), "\$([A-Z]+)\$[0-9]+"))),_xlfn.REGEXEXTRACT(CELL("address",AB242), "\$([A-Z]+)\$[0-9]+"))</f>
        <v/>
      </c>
    </row>
    <row r="243" spans="2:28" x14ac:dyDescent="0.25">
      <c r="B243" s="7" t="str" cm="1">
        <f t="array" aca="1" ref="B243" ca="1">IFERROR(IF(OR('Raw Data'!B243="",LEN(TRIM('Raw Data'!B243))=0),"",IF(AND(LEN('Raw Data'!B243) &lt;= 255,LEN('Raw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Data'!C243))=0),"",IF(AND(LEN('Raw Data'!C243) &lt;= 20,LEN('Raw Data'!C243)&gt; 0),"",_xlfn.REGEXEXTRACT(CELL("address",'Raw Data'!C243),"\$([A-Z]+)\$[0-9]+"))),_xlfn.REGEXEXTRACT(CELL("address",'Raw Data'!C243),"\$([A-Z]+)\$[0-9]+"))</f>
        <v/>
      </c>
      <c r="D243" s="7" t="str" cm="1">
        <f t="array" aca="1" ref="D243" ca="1">IFERROR(IF(OR('Raw Data'!D243="",LEN(TRIM('Raw Data'!D243))=0),"",IF(AND(ISNUMBER('Raw Data'!D243),'Raw Data'!D243&gt;=Configuration!$D$2),"",_xlfn.REGEXEXTRACT(CELL("address",'Raw Data'!D243),"\$([A-Z]+)\$[0-9]+"))),_xlfn.REGEXEXTRACT(CELL("address",D243), "\$([A-Z]+)\$[0-9]+"))</f>
        <v/>
      </c>
      <c r="E243" s="7" t="str" cm="1">
        <f t="array" aca="1" ref="E243" ca="1">IFERROR(IF(OR('Raw Data'!E243="",LEN(TRIM('Raw Data'!E243))=0),"",IF(AND(ISNUMBER('Raw Data'!E243), IFERROR('Raw Data'!E243 = ROUND('Raw Data'!E243, 2),FALSE)),"",_xlfn.REGEXEXTRACT(CELL("address",E243), "\$([A-Z]+)\$[0-9]+"))),_xlfn.REGEXEXTRACT(CELL("address",E243), "\$([A-Z]+)\$[0-9]+"))</f>
        <v/>
      </c>
      <c r="F243" s="7" t="str" cm="1">
        <f t="array" aca="1" ref="F243" ca="1">IFERROR(IF(OR('Raw Data'!F243="",LEN(TRIM('Raw Data'!F243))=0),"",IF(AND(ISNUMBER('Raw Data'!F243), IFERROR('Raw Data'!F243 = ROUND('Raw Data'!F243, 2),FALSE)),"",_xlfn.REGEXEXTRACT(CELL("address",F243), "\$([A-Z]+)\$[0-9]+"))),_xlfn.REGEXEXTRACT(CELL("address",F243), "\$([A-Z]+)\$[0-9]+"))</f>
        <v/>
      </c>
      <c r="G243" s="7" t="str" cm="1">
        <f t="array" aca="1" ref="G243" ca="1">IFERROR(IF(OR('Raw Data'!G243="",LEN(TRIM('Raw Data'!G243))=0),"",IF(AND(ISNUMBER('Raw Data'!G243), IFERROR('Raw Data'!G243 = ROUND('Raw Data'!G243, 2),FALSE)),"",_xlfn.REGEXEXTRACT(CELL("address",G243), "\$([A-Z]+)\$[0-9]+"))),_xlfn.REGEXEXTRACT(CELL("address",G243), "\$([A-Z]+)\$[0-9]+"))</f>
        <v/>
      </c>
      <c r="H243" s="7" t="str" cm="1">
        <f t="array" aca="1" ref="H243" ca="1">IFERROR(IF(OR('Raw Data'!H243="",LEN(TRIM('Raw Data'!H243))=0),"",IF(AND(ISNUMBER('Raw Data'!H243), IFERROR('Raw Data'!H243 = ROUND('Raw Data'!H243, 2),FALSE)),"",_xlfn.REGEXEXTRACT(CELL("address",H243), "\$([A-Z]+)\$[0-9]+"))),_xlfn.REGEXEXTRACT(CELL("address",H243), "\$([A-Z]+)\$[0-9]+"))</f>
        <v/>
      </c>
      <c r="I243" s="7" t="str" cm="1">
        <f t="array" aca="1" ref="I243" ca="1">IFERROR(IF(OR('Raw Data'!I243="",LEN(TRIM('Raw Data'!I243))=0),"",IF(AND(ISNUMBER('Raw Data'!I243), IFERROR('Raw Data'!I243 = ROUND('Raw Data'!I243, 2),FALSE)),"",_xlfn.REGEXEXTRACT(CELL("address",I243), "\$([A-Z]+)\$[0-9]+"))),_xlfn.REGEXEXTRACT(CELL("address",I243), "\$([A-Z]+)\$[0-9]+"))</f>
        <v/>
      </c>
      <c r="J243" s="7" t="str" cm="1">
        <f t="array" aca="1" ref="J243" ca="1">IFERROR(IF(OR('Raw Data'!J243="",LEN(TRIM('Raw Data'!J243))=0),"",IF(AND(ISNUMBER('Raw Data'!J243), IFERROR('Raw Data'!J243 = ROUND('Raw Data'!J243, 2),FALSE)),"",_xlfn.REGEXEXTRACT(CELL("address",J243), "\$([A-Z]+)\$[0-9]+"))),_xlfn.REGEXEXTRACT(CELL("address",J243), "\$([A-Z]+)\$[0-9]+"))</f>
        <v/>
      </c>
      <c r="K243" s="7" t="str" cm="1">
        <f t="array" aca="1" ref="K243" ca="1">IFERROR(IF(OR('Raw Data'!K243="",LEN(TRIM('Raw Data'!K243))=0),"",IF(AND(ISNUMBER('Raw Data'!K243), IFERROR('Raw Data'!K243 = ROUND('Raw Data'!K243, 2),FALSE)),"",_xlfn.REGEXEXTRACT(CELL("address",K243), "\$([A-Z]+)\$[0-9]+"))),_xlfn.REGEXEXTRACT(CELL("address",K243), "\$([A-Z]+)\$[0-9]+"))</f>
        <v/>
      </c>
      <c r="L243" s="7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7" t="str" cm="1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7" t="str" cm="1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  <c r="O243" s="7" t="str" cm="1">
        <f t="array" aca="1" ref="O243" ca="1">IFERROR(IF(OR('Raw Data'!O243="",LEN(TRIM('Raw Data'!O243))=0),"",IF(AND(ISNUMBER('Raw Data'!O243), IFERROR('Raw Data'!O243 = ROUND('Raw Data'!O243, 2),FALSE)),"",_xlfn.REGEXEXTRACT(CELL("address",O243), "\$([A-Z]+)\$[0-9]+"))),_xlfn.REGEXEXTRACT(CELL("address",O243), "\$([A-Z]+)\$[0-9]+"))</f>
        <v/>
      </c>
      <c r="P243" s="7" t="str" cm="1">
        <f t="array" aca="1" ref="P243" ca="1">IFERROR(IF(OR('Raw Data'!P243="",LEN(TRIM('Raw Data'!P243))=0),"",IF(AND(ISNUMBER('Raw Data'!P243), IFERROR('Raw Data'!P243 = ROUND('Raw Data'!P243, 2),FALSE)),"",_xlfn.REGEXEXTRACT(CELL("address",P243), "\$([A-Z]+)\$[0-9]+"))),_xlfn.REGEXEXTRACT(CELL("address",P243), "\$([A-Z]+)\$[0-9]+"))</f>
        <v/>
      </c>
      <c r="Q243" s="7" t="str" cm="1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7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7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7" t="str" cm="1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7" t="str" cm="1">
        <f t="array" aca="1" ref="U243" ca="1">IFERROR(IF(OR('Raw Data'!U243="",LEN(TRIM('Raw Data'!U243))=0),"",IF(AND(ISNUMBER('Raw Data'!U243), IFERROR('Raw Data'!U243 = ROUND('Raw Data'!U243, 2),FALSE)),"",_xlfn.REGEXEXTRACT(CELL("address",U243), "\$([A-Z]+)\$[0-9]+"))),_xlfn.REGEXEXTRACT(CELL("address",U243), "\$([A-Z]+)\$[0-9]+"))</f>
        <v/>
      </c>
      <c r="V243" s="7" t="str" cm="1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7" t="str" cm="1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7" t="str" cm="1">
        <f t="array" aca="1" ref="X243" ca="1">IFERROR(IF(OR('Raw Data'!X243="",LEN(TRIM('Raw Data'!X243))=0),"",IF(AND(ISNUMBER('Raw Data'!X243), IFERROR('Raw Data'!X243 = ROUND('Raw Data'!X243, 2),FALSE)),"",_xlfn.REGEXEXTRACT(CELL("address",X243), "\$([A-Z]+)\$[0-9]+"))),_xlfn.REGEXEXTRACT(CELL("address",X243), "\$([A-Z]+)\$[0-9]+"))</f>
        <v/>
      </c>
      <c r="Y243" s="7" t="str" cm="1">
        <f t="array" aca="1" ref="Y243" ca="1">IFERROR(IF(OR('Raw Data'!Y243="",LEN(TRIM('Raw Data'!Y243))=0),"",IF(AND(ISNUMBER('Raw Data'!Y243), IFERROR('Raw Data'!Y243 = ROUND('Raw Data'!Y243, 2),FALSE)),"",_xlfn.REGEXEXTRACT(CELL("address",Y243), "\$([A-Z]+)\$[0-9]+"))),_xlfn.REGEXEXTRACT(CELL("address",Y243), "\$([A-Z]+)\$[0-9]+"))</f>
        <v/>
      </c>
      <c r="Z243" s="7" t="str" cm="1">
        <f t="array" aca="1" ref="Z243" ca="1">IFERROR(IF(OR('Raw Data'!Z243="",LEN(TRIM('Raw Data'!Z243))=0),"",IF(AND(ISNUMBER('Raw Data'!Z243), IFERROR('Raw Data'!Z243 = ROUND('Raw Data'!Z243, 2),FALSE)),"",_xlfn.REGEXEXTRACT(CELL("address",Z243), "\$([A-Z]+)\$[0-9]+"))),_xlfn.REGEXEXTRACT(CELL("address",Z243), "\$([A-Z]+)\$[0-9]+"))</f>
        <v/>
      </c>
      <c r="AA243" s="7" t="str" cm="1">
        <f t="array" aca="1" ref="AA243" ca="1">IFERROR(IF(OR('Raw Data'!AA243="",LEN(TRIM('Raw Data'!AA243))=0),"",IF(AND(ISNUMBER('Raw Data'!AA243), IFERROR('Raw Data'!AA243 = ROUND('Raw Data'!AA243, 2),FALSE)),"",_xlfn.REGEXEXTRACT(CELL("address",AA243), "\$([A-Z]+)\$[0-9]+"))),_xlfn.REGEXEXTRACT(CELL("address",AA243), "\$([A-Z]+)\$[0-9]+"))</f>
        <v/>
      </c>
      <c r="AB243" s="7" t="str" cm="1">
        <f t="array" aca="1" ref="AB243" ca="1">IFERROR(IF(OR('Raw Data'!AB243="",LEN(TRIM('Raw Data'!AB243))=0),"",IF(AND(ISNUMBER('Raw Data'!AB243), IFERROR('Raw Data'!AB243 = ROUND('Raw Data'!AB243, 2),FALSE)),"",_xlfn.REGEXEXTRACT(CELL("address",AB243), "\$([A-Z]+)\$[0-9]+"))),_xlfn.REGEXEXTRACT(CELL("address",AB243), "\$([A-Z]+)\$[0-9]+"))</f>
        <v/>
      </c>
    </row>
    <row r="244" spans="2:28" x14ac:dyDescent="0.25">
      <c r="B244" s="7" t="str" cm="1">
        <f t="array" aca="1" ref="B244" ca="1">IFERROR(IF(OR('Raw Data'!B244="",LEN(TRIM('Raw Data'!B244))=0),"",IF(AND(LEN('Raw Data'!B244) &lt;= 255,LEN('Raw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Data'!C244))=0),"",IF(AND(LEN('Raw Data'!C244) &lt;= 20,LEN('Raw Data'!C244)&gt; 0),"",_xlfn.REGEXEXTRACT(CELL("address",'Raw Data'!C244),"\$([A-Z]+)\$[0-9]+"))),_xlfn.REGEXEXTRACT(CELL("address",'Raw Data'!C244),"\$([A-Z]+)\$[0-9]+"))</f>
        <v/>
      </c>
      <c r="D244" s="7" t="str" cm="1">
        <f t="array" aca="1" ref="D244" ca="1">IFERROR(IF(OR('Raw Data'!D244="",LEN(TRIM('Raw Data'!D244))=0),"",IF(AND(ISNUMBER('Raw Data'!D244),'Raw Data'!D244&gt;=Configuration!$D$2),"",_xlfn.REGEXEXTRACT(CELL("address",'Raw Data'!D244),"\$([A-Z]+)\$[0-9]+"))),_xlfn.REGEXEXTRACT(CELL("address",D244), "\$([A-Z]+)\$[0-9]+"))</f>
        <v/>
      </c>
      <c r="E244" s="7" t="str" cm="1">
        <f t="array" aca="1" ref="E244" ca="1">IFERROR(IF(OR('Raw Data'!E244="",LEN(TRIM('Raw Data'!E244))=0),"",IF(AND(ISNUMBER('Raw Data'!E244), IFERROR('Raw Data'!E244 = ROUND('Raw Data'!E244, 2),FALSE)),"",_xlfn.REGEXEXTRACT(CELL("address",E244), "\$([A-Z]+)\$[0-9]+"))),_xlfn.REGEXEXTRACT(CELL("address",E244), "\$([A-Z]+)\$[0-9]+"))</f>
        <v/>
      </c>
      <c r="F244" s="7" t="str" cm="1">
        <f t="array" aca="1" ref="F244" ca="1">IFERROR(IF(OR('Raw Data'!F244="",LEN(TRIM('Raw Data'!F244))=0),"",IF(AND(ISNUMBER('Raw Data'!F244), IFERROR('Raw Data'!F244 = ROUND('Raw Data'!F244, 2),FALSE)),"",_xlfn.REGEXEXTRACT(CELL("address",F244), "\$([A-Z]+)\$[0-9]+"))),_xlfn.REGEXEXTRACT(CELL("address",F244), "\$([A-Z]+)\$[0-9]+"))</f>
        <v/>
      </c>
      <c r="G244" s="7" t="str" cm="1">
        <f t="array" aca="1" ref="G244" ca="1">IFERROR(IF(OR('Raw Data'!G244="",LEN(TRIM('Raw Data'!G244))=0),"",IF(AND(ISNUMBER('Raw Data'!G244), IFERROR('Raw Data'!G244 = ROUND('Raw Data'!G244, 2),FALSE)),"",_xlfn.REGEXEXTRACT(CELL("address",G244), "\$([A-Z]+)\$[0-9]+"))),_xlfn.REGEXEXTRACT(CELL("address",G244), "\$([A-Z]+)\$[0-9]+"))</f>
        <v/>
      </c>
      <c r="H244" s="7" t="str" cm="1">
        <f t="array" aca="1" ref="H244" ca="1">IFERROR(IF(OR('Raw Data'!H244="",LEN(TRIM('Raw Data'!H244))=0),"",IF(AND(ISNUMBER('Raw Data'!H244), IFERROR('Raw Data'!H244 = ROUND('Raw Data'!H244, 2),FALSE)),"",_xlfn.REGEXEXTRACT(CELL("address",H244), "\$([A-Z]+)\$[0-9]+"))),_xlfn.REGEXEXTRACT(CELL("address",H244), "\$([A-Z]+)\$[0-9]+"))</f>
        <v/>
      </c>
      <c r="I244" s="7" t="str" cm="1">
        <f t="array" aca="1" ref="I244" ca="1">IFERROR(IF(OR('Raw Data'!I244="",LEN(TRIM('Raw Data'!I244))=0),"",IF(AND(ISNUMBER('Raw Data'!I244), IFERROR('Raw Data'!I244 = ROUND('Raw Data'!I244, 2),FALSE)),"",_xlfn.REGEXEXTRACT(CELL("address",I244), "\$([A-Z]+)\$[0-9]+"))),_xlfn.REGEXEXTRACT(CELL("address",I244), "\$([A-Z]+)\$[0-9]+"))</f>
        <v/>
      </c>
      <c r="J244" s="7" t="str" cm="1">
        <f t="array" aca="1" ref="J244" ca="1">IFERROR(IF(OR('Raw Data'!J244="",LEN(TRIM('Raw Data'!J244))=0),"",IF(AND(ISNUMBER('Raw Data'!J244), IFERROR('Raw Data'!J244 = ROUND('Raw Data'!J244, 2),FALSE)),"",_xlfn.REGEXEXTRACT(CELL("address",J244), "\$([A-Z]+)\$[0-9]+"))),_xlfn.REGEXEXTRACT(CELL("address",J244), "\$([A-Z]+)\$[0-9]+"))</f>
        <v/>
      </c>
      <c r="K244" s="7" t="str" cm="1">
        <f t="array" aca="1" ref="K244" ca="1">IFERROR(IF(OR('Raw Data'!K244="",LEN(TRIM('Raw Data'!K244))=0),"",IF(AND(ISNUMBER('Raw Data'!K244), IFERROR('Raw Data'!K244 = ROUND('Raw Data'!K244, 2),FALSE)),"",_xlfn.REGEXEXTRACT(CELL("address",K244), "\$([A-Z]+)\$[0-9]+"))),_xlfn.REGEXEXTRACT(CELL("address",K244), "\$([A-Z]+)\$[0-9]+"))</f>
        <v/>
      </c>
      <c r="L244" s="7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7" t="str" cm="1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7" t="str" cm="1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  <c r="O244" s="7" t="str" cm="1">
        <f t="array" aca="1" ref="O244" ca="1">IFERROR(IF(OR('Raw Data'!O244="",LEN(TRIM('Raw Data'!O244))=0),"",IF(AND(ISNUMBER('Raw Data'!O244), IFERROR('Raw Data'!O244 = ROUND('Raw Data'!O244, 2),FALSE)),"",_xlfn.REGEXEXTRACT(CELL("address",O244), "\$([A-Z]+)\$[0-9]+"))),_xlfn.REGEXEXTRACT(CELL("address",O244), "\$([A-Z]+)\$[0-9]+"))</f>
        <v/>
      </c>
      <c r="P244" s="7" t="str" cm="1">
        <f t="array" aca="1" ref="P244" ca="1">IFERROR(IF(OR('Raw Data'!P244="",LEN(TRIM('Raw Data'!P244))=0),"",IF(AND(ISNUMBER('Raw Data'!P244), IFERROR('Raw Data'!P244 = ROUND('Raw Data'!P244, 2),FALSE)),"",_xlfn.REGEXEXTRACT(CELL("address",P244), "\$([A-Z]+)\$[0-9]+"))),_xlfn.REGEXEXTRACT(CELL("address",P244), "\$([A-Z]+)\$[0-9]+"))</f>
        <v/>
      </c>
      <c r="Q244" s="7" t="str" cm="1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7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7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7" t="str" cm="1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7" t="str" cm="1">
        <f t="array" aca="1" ref="U244" ca="1">IFERROR(IF(OR('Raw Data'!U244="",LEN(TRIM('Raw Data'!U244))=0),"",IF(AND(ISNUMBER('Raw Data'!U244), IFERROR('Raw Data'!U244 = ROUND('Raw Data'!U244, 2),FALSE)),"",_xlfn.REGEXEXTRACT(CELL("address",U244), "\$([A-Z]+)\$[0-9]+"))),_xlfn.REGEXEXTRACT(CELL("address",U244), "\$([A-Z]+)\$[0-9]+"))</f>
        <v/>
      </c>
      <c r="V244" s="7" t="str" cm="1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7" t="str" cm="1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7" t="str" cm="1">
        <f t="array" aca="1" ref="X244" ca="1">IFERROR(IF(OR('Raw Data'!X244="",LEN(TRIM('Raw Data'!X244))=0),"",IF(AND(ISNUMBER('Raw Data'!X244), IFERROR('Raw Data'!X244 = ROUND('Raw Data'!X244, 2),FALSE)),"",_xlfn.REGEXEXTRACT(CELL("address",X244), "\$([A-Z]+)\$[0-9]+"))),_xlfn.REGEXEXTRACT(CELL("address",X244), "\$([A-Z]+)\$[0-9]+"))</f>
        <v/>
      </c>
      <c r="Y244" s="7" t="str" cm="1">
        <f t="array" aca="1" ref="Y244" ca="1">IFERROR(IF(OR('Raw Data'!Y244="",LEN(TRIM('Raw Data'!Y244))=0),"",IF(AND(ISNUMBER('Raw Data'!Y244), IFERROR('Raw Data'!Y244 = ROUND('Raw Data'!Y244, 2),FALSE)),"",_xlfn.REGEXEXTRACT(CELL("address",Y244), "\$([A-Z]+)\$[0-9]+"))),_xlfn.REGEXEXTRACT(CELL("address",Y244), "\$([A-Z]+)\$[0-9]+"))</f>
        <v/>
      </c>
      <c r="Z244" s="7" t="str" cm="1">
        <f t="array" aca="1" ref="Z244" ca="1">IFERROR(IF(OR('Raw Data'!Z244="",LEN(TRIM('Raw Data'!Z244))=0),"",IF(AND(ISNUMBER('Raw Data'!Z244), IFERROR('Raw Data'!Z244 = ROUND('Raw Data'!Z244, 2),FALSE)),"",_xlfn.REGEXEXTRACT(CELL("address",Z244), "\$([A-Z]+)\$[0-9]+"))),_xlfn.REGEXEXTRACT(CELL("address",Z244), "\$([A-Z]+)\$[0-9]+"))</f>
        <v/>
      </c>
      <c r="AA244" s="7" t="str" cm="1">
        <f t="array" aca="1" ref="AA244" ca="1">IFERROR(IF(OR('Raw Data'!AA244="",LEN(TRIM('Raw Data'!AA244))=0),"",IF(AND(ISNUMBER('Raw Data'!AA244), IFERROR('Raw Data'!AA244 = ROUND('Raw Data'!AA244, 2),FALSE)),"",_xlfn.REGEXEXTRACT(CELL("address",AA244), "\$([A-Z]+)\$[0-9]+"))),_xlfn.REGEXEXTRACT(CELL("address",AA244), "\$([A-Z]+)\$[0-9]+"))</f>
        <v/>
      </c>
      <c r="AB244" s="7" t="str" cm="1">
        <f t="array" aca="1" ref="AB244" ca="1">IFERROR(IF(OR('Raw Data'!AB244="",LEN(TRIM('Raw Data'!AB244))=0),"",IF(AND(ISNUMBER('Raw Data'!AB244), IFERROR('Raw Data'!AB244 = ROUND('Raw Data'!AB244, 2),FALSE)),"",_xlfn.REGEXEXTRACT(CELL("address",AB244), "\$([A-Z]+)\$[0-9]+"))),_xlfn.REGEXEXTRACT(CELL("address",AB244), "\$([A-Z]+)\$[0-9]+"))</f>
        <v/>
      </c>
    </row>
    <row r="245" spans="2:28" x14ac:dyDescent="0.25">
      <c r="B245" s="7" t="str" cm="1">
        <f t="array" aca="1" ref="B245" ca="1">IFERROR(IF(OR('Raw Data'!B245="",LEN(TRIM('Raw Data'!B245))=0),"",IF(AND(LEN('Raw Data'!B245) &lt;= 255,LEN('Raw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Data'!C245))=0),"",IF(AND(LEN('Raw Data'!C245) &lt;= 20,LEN('Raw Data'!C245)&gt; 0),"",_xlfn.REGEXEXTRACT(CELL("address",'Raw Data'!C245),"\$([A-Z]+)\$[0-9]+"))),_xlfn.REGEXEXTRACT(CELL("address",'Raw Data'!C245),"\$([A-Z]+)\$[0-9]+"))</f>
        <v/>
      </c>
      <c r="D245" s="7" t="str" cm="1">
        <f t="array" aca="1" ref="D245" ca="1">IFERROR(IF(OR('Raw Data'!D245="",LEN(TRIM('Raw Data'!D245))=0),"",IF(AND(ISNUMBER('Raw Data'!D245),'Raw Data'!D245&gt;=Configuration!$D$2),"",_xlfn.REGEXEXTRACT(CELL("address",'Raw Data'!D245),"\$([A-Z]+)\$[0-9]+"))),_xlfn.REGEXEXTRACT(CELL("address",D245), "\$([A-Z]+)\$[0-9]+"))</f>
        <v/>
      </c>
      <c r="E245" s="7" t="str" cm="1">
        <f t="array" aca="1" ref="E245" ca="1">IFERROR(IF(OR('Raw Data'!E245="",LEN(TRIM('Raw Data'!E245))=0),"",IF(AND(ISNUMBER('Raw Data'!E245), IFERROR('Raw Data'!E245 = ROUND('Raw Data'!E245, 2),FALSE)),"",_xlfn.REGEXEXTRACT(CELL("address",E245), "\$([A-Z]+)\$[0-9]+"))),_xlfn.REGEXEXTRACT(CELL("address",E245), "\$([A-Z]+)\$[0-9]+"))</f>
        <v/>
      </c>
      <c r="F245" s="7" t="str" cm="1">
        <f t="array" aca="1" ref="F245" ca="1">IFERROR(IF(OR('Raw Data'!F245="",LEN(TRIM('Raw Data'!F245))=0),"",IF(AND(ISNUMBER('Raw Data'!F245), IFERROR('Raw Data'!F245 = ROUND('Raw Data'!F245, 2),FALSE)),"",_xlfn.REGEXEXTRACT(CELL("address",F245), "\$([A-Z]+)\$[0-9]+"))),_xlfn.REGEXEXTRACT(CELL("address",F245), "\$([A-Z]+)\$[0-9]+"))</f>
        <v/>
      </c>
      <c r="G245" s="7" t="str" cm="1">
        <f t="array" aca="1" ref="G245" ca="1">IFERROR(IF(OR('Raw Data'!G245="",LEN(TRIM('Raw Data'!G245))=0),"",IF(AND(ISNUMBER('Raw Data'!G245), IFERROR('Raw Data'!G245 = ROUND('Raw Data'!G245, 2),FALSE)),"",_xlfn.REGEXEXTRACT(CELL("address",G245), "\$([A-Z]+)\$[0-9]+"))),_xlfn.REGEXEXTRACT(CELL("address",G245), "\$([A-Z]+)\$[0-9]+"))</f>
        <v/>
      </c>
      <c r="H245" s="7" t="str" cm="1">
        <f t="array" aca="1" ref="H245" ca="1">IFERROR(IF(OR('Raw Data'!H245="",LEN(TRIM('Raw Data'!H245))=0),"",IF(AND(ISNUMBER('Raw Data'!H245), IFERROR('Raw Data'!H245 = ROUND('Raw Data'!H245, 2),FALSE)),"",_xlfn.REGEXEXTRACT(CELL("address",H245), "\$([A-Z]+)\$[0-9]+"))),_xlfn.REGEXEXTRACT(CELL("address",H245), "\$([A-Z]+)\$[0-9]+"))</f>
        <v/>
      </c>
      <c r="I245" s="7" t="str" cm="1">
        <f t="array" aca="1" ref="I245" ca="1">IFERROR(IF(OR('Raw Data'!I245="",LEN(TRIM('Raw Data'!I245))=0),"",IF(AND(ISNUMBER('Raw Data'!I245), IFERROR('Raw Data'!I245 = ROUND('Raw Data'!I245, 2),FALSE)),"",_xlfn.REGEXEXTRACT(CELL("address",I245), "\$([A-Z]+)\$[0-9]+"))),_xlfn.REGEXEXTRACT(CELL("address",I245), "\$([A-Z]+)\$[0-9]+"))</f>
        <v/>
      </c>
      <c r="J245" s="7" t="str" cm="1">
        <f t="array" aca="1" ref="J245" ca="1">IFERROR(IF(OR('Raw Data'!J245="",LEN(TRIM('Raw Data'!J245))=0),"",IF(AND(ISNUMBER('Raw Data'!J245), IFERROR('Raw Data'!J245 = ROUND('Raw Data'!J245, 2),FALSE)),"",_xlfn.REGEXEXTRACT(CELL("address",J245), "\$([A-Z]+)\$[0-9]+"))),_xlfn.REGEXEXTRACT(CELL("address",J245), "\$([A-Z]+)\$[0-9]+"))</f>
        <v/>
      </c>
      <c r="K245" s="7" t="str" cm="1">
        <f t="array" aca="1" ref="K245" ca="1">IFERROR(IF(OR('Raw Data'!K245="",LEN(TRIM('Raw Data'!K245))=0),"",IF(AND(ISNUMBER('Raw Data'!K245), IFERROR('Raw Data'!K245 = ROUND('Raw Data'!K245, 2),FALSE)),"",_xlfn.REGEXEXTRACT(CELL("address",K245), "\$([A-Z]+)\$[0-9]+"))),_xlfn.REGEXEXTRACT(CELL("address",K245), "\$([A-Z]+)\$[0-9]+"))</f>
        <v/>
      </c>
      <c r="L245" s="7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7" t="str" cm="1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7" t="str" cm="1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  <c r="O245" s="7" t="str" cm="1">
        <f t="array" aca="1" ref="O245" ca="1">IFERROR(IF(OR('Raw Data'!O245="",LEN(TRIM('Raw Data'!O245))=0),"",IF(AND(ISNUMBER('Raw Data'!O245), IFERROR('Raw Data'!O245 = ROUND('Raw Data'!O245, 2),FALSE)),"",_xlfn.REGEXEXTRACT(CELL("address",O245), "\$([A-Z]+)\$[0-9]+"))),_xlfn.REGEXEXTRACT(CELL("address",O245), "\$([A-Z]+)\$[0-9]+"))</f>
        <v/>
      </c>
      <c r="P245" s="7" t="str" cm="1">
        <f t="array" aca="1" ref="P245" ca="1">IFERROR(IF(OR('Raw Data'!P245="",LEN(TRIM('Raw Data'!P245))=0),"",IF(AND(ISNUMBER('Raw Data'!P245), IFERROR('Raw Data'!P245 = ROUND('Raw Data'!P245, 2),FALSE)),"",_xlfn.REGEXEXTRACT(CELL("address",P245), "\$([A-Z]+)\$[0-9]+"))),_xlfn.REGEXEXTRACT(CELL("address",P245), "\$([A-Z]+)\$[0-9]+"))</f>
        <v/>
      </c>
      <c r="Q245" s="7" t="str" cm="1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7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7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7" t="str" cm="1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7" t="str" cm="1">
        <f t="array" aca="1" ref="U245" ca="1">IFERROR(IF(OR('Raw Data'!U245="",LEN(TRIM('Raw Data'!U245))=0),"",IF(AND(ISNUMBER('Raw Data'!U245), IFERROR('Raw Data'!U245 = ROUND('Raw Data'!U245, 2),FALSE)),"",_xlfn.REGEXEXTRACT(CELL("address",U245), "\$([A-Z]+)\$[0-9]+"))),_xlfn.REGEXEXTRACT(CELL("address",U245), "\$([A-Z]+)\$[0-9]+"))</f>
        <v/>
      </c>
      <c r="V245" s="7" t="str" cm="1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7" t="str" cm="1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7" t="str" cm="1">
        <f t="array" aca="1" ref="X245" ca="1">IFERROR(IF(OR('Raw Data'!X245="",LEN(TRIM('Raw Data'!X245))=0),"",IF(AND(ISNUMBER('Raw Data'!X245), IFERROR('Raw Data'!X245 = ROUND('Raw Data'!X245, 2),FALSE)),"",_xlfn.REGEXEXTRACT(CELL("address",X245), "\$([A-Z]+)\$[0-9]+"))),_xlfn.REGEXEXTRACT(CELL("address",X245), "\$([A-Z]+)\$[0-9]+"))</f>
        <v/>
      </c>
      <c r="Y245" s="7" t="str" cm="1">
        <f t="array" aca="1" ref="Y245" ca="1">IFERROR(IF(OR('Raw Data'!Y245="",LEN(TRIM('Raw Data'!Y245))=0),"",IF(AND(ISNUMBER('Raw Data'!Y245), IFERROR('Raw Data'!Y245 = ROUND('Raw Data'!Y245, 2),FALSE)),"",_xlfn.REGEXEXTRACT(CELL("address",Y245), "\$([A-Z]+)\$[0-9]+"))),_xlfn.REGEXEXTRACT(CELL("address",Y245), "\$([A-Z]+)\$[0-9]+"))</f>
        <v/>
      </c>
      <c r="Z245" s="7" t="str" cm="1">
        <f t="array" aca="1" ref="Z245" ca="1">IFERROR(IF(OR('Raw Data'!Z245="",LEN(TRIM('Raw Data'!Z245))=0),"",IF(AND(ISNUMBER('Raw Data'!Z245), IFERROR('Raw Data'!Z245 = ROUND('Raw Data'!Z245, 2),FALSE)),"",_xlfn.REGEXEXTRACT(CELL("address",Z245), "\$([A-Z]+)\$[0-9]+"))),_xlfn.REGEXEXTRACT(CELL("address",Z245), "\$([A-Z]+)\$[0-9]+"))</f>
        <v/>
      </c>
      <c r="AA245" s="7" t="str" cm="1">
        <f t="array" aca="1" ref="AA245" ca="1">IFERROR(IF(OR('Raw Data'!AA245="",LEN(TRIM('Raw Data'!AA245))=0),"",IF(AND(ISNUMBER('Raw Data'!AA245), IFERROR('Raw Data'!AA245 = ROUND('Raw Data'!AA245, 2),FALSE)),"",_xlfn.REGEXEXTRACT(CELL("address",AA245), "\$([A-Z]+)\$[0-9]+"))),_xlfn.REGEXEXTRACT(CELL("address",AA245), "\$([A-Z]+)\$[0-9]+"))</f>
        <v/>
      </c>
      <c r="AB245" s="7" t="str" cm="1">
        <f t="array" aca="1" ref="AB245" ca="1">IFERROR(IF(OR('Raw Data'!AB245="",LEN(TRIM('Raw Data'!AB245))=0),"",IF(AND(ISNUMBER('Raw Data'!AB245), IFERROR('Raw Data'!AB245 = ROUND('Raw Data'!AB245, 2),FALSE)),"",_xlfn.REGEXEXTRACT(CELL("address",AB245), "\$([A-Z]+)\$[0-9]+"))),_xlfn.REGEXEXTRACT(CELL("address",AB245), "\$([A-Z]+)\$[0-9]+"))</f>
        <v/>
      </c>
    </row>
    <row r="246" spans="2:28" x14ac:dyDescent="0.25">
      <c r="B246" s="7" t="str" cm="1">
        <f t="array" aca="1" ref="B246" ca="1">IFERROR(IF(OR('Raw Data'!B246="",LEN(TRIM('Raw Data'!B246))=0),"",IF(AND(LEN('Raw Data'!B246) &lt;= 255,LEN('Raw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Data'!C246))=0),"",IF(AND(LEN('Raw Data'!C246) &lt;= 20,LEN('Raw Data'!C246)&gt; 0),"",_xlfn.REGEXEXTRACT(CELL("address",'Raw Data'!C246),"\$([A-Z]+)\$[0-9]+"))),_xlfn.REGEXEXTRACT(CELL("address",'Raw Data'!C246),"\$([A-Z]+)\$[0-9]+"))</f>
        <v/>
      </c>
      <c r="D246" s="7" t="str" cm="1">
        <f t="array" aca="1" ref="D246" ca="1">IFERROR(IF(OR('Raw Data'!D246="",LEN(TRIM('Raw Data'!D246))=0),"",IF(AND(ISNUMBER('Raw Data'!D246),'Raw Data'!D246&gt;=Configuration!$D$2),"",_xlfn.REGEXEXTRACT(CELL("address",'Raw Data'!D246),"\$([A-Z]+)\$[0-9]+"))),_xlfn.REGEXEXTRACT(CELL("address",D246), "\$([A-Z]+)\$[0-9]+"))</f>
        <v/>
      </c>
      <c r="E246" s="7" t="str" cm="1">
        <f t="array" aca="1" ref="E246" ca="1">IFERROR(IF(OR('Raw Data'!E246="",LEN(TRIM('Raw Data'!E246))=0),"",IF(AND(ISNUMBER('Raw Data'!E246), IFERROR('Raw Data'!E246 = ROUND('Raw Data'!E246, 2),FALSE)),"",_xlfn.REGEXEXTRACT(CELL("address",E246), "\$([A-Z]+)\$[0-9]+"))),_xlfn.REGEXEXTRACT(CELL("address",E246), "\$([A-Z]+)\$[0-9]+"))</f>
        <v/>
      </c>
      <c r="F246" s="7" t="str" cm="1">
        <f t="array" aca="1" ref="F246" ca="1">IFERROR(IF(OR('Raw Data'!F246="",LEN(TRIM('Raw Data'!F246))=0),"",IF(AND(ISNUMBER('Raw Data'!F246), IFERROR('Raw Data'!F246 = ROUND('Raw Data'!F246, 2),FALSE)),"",_xlfn.REGEXEXTRACT(CELL("address",F246), "\$([A-Z]+)\$[0-9]+"))),_xlfn.REGEXEXTRACT(CELL("address",F246), "\$([A-Z]+)\$[0-9]+"))</f>
        <v/>
      </c>
      <c r="G246" s="7" t="str" cm="1">
        <f t="array" aca="1" ref="G246" ca="1">IFERROR(IF(OR('Raw Data'!G246="",LEN(TRIM('Raw Data'!G246))=0),"",IF(AND(ISNUMBER('Raw Data'!G246), IFERROR('Raw Data'!G246 = ROUND('Raw Data'!G246, 2),FALSE)),"",_xlfn.REGEXEXTRACT(CELL("address",G246), "\$([A-Z]+)\$[0-9]+"))),_xlfn.REGEXEXTRACT(CELL("address",G246), "\$([A-Z]+)\$[0-9]+"))</f>
        <v/>
      </c>
      <c r="H246" s="7" t="str" cm="1">
        <f t="array" aca="1" ref="H246" ca="1">IFERROR(IF(OR('Raw Data'!H246="",LEN(TRIM('Raw Data'!H246))=0),"",IF(AND(ISNUMBER('Raw Data'!H246), IFERROR('Raw Data'!H246 = ROUND('Raw Data'!H246, 2),FALSE)),"",_xlfn.REGEXEXTRACT(CELL("address",H246), "\$([A-Z]+)\$[0-9]+"))),_xlfn.REGEXEXTRACT(CELL("address",H246), "\$([A-Z]+)\$[0-9]+"))</f>
        <v/>
      </c>
      <c r="I246" s="7" t="str" cm="1">
        <f t="array" aca="1" ref="I246" ca="1">IFERROR(IF(OR('Raw Data'!I246="",LEN(TRIM('Raw Data'!I246))=0),"",IF(AND(ISNUMBER('Raw Data'!I246), IFERROR('Raw Data'!I246 = ROUND('Raw Data'!I246, 2),FALSE)),"",_xlfn.REGEXEXTRACT(CELL("address",I246), "\$([A-Z]+)\$[0-9]+"))),_xlfn.REGEXEXTRACT(CELL("address",I246), "\$([A-Z]+)\$[0-9]+"))</f>
        <v/>
      </c>
      <c r="J246" s="7" t="str" cm="1">
        <f t="array" aca="1" ref="J246" ca="1">IFERROR(IF(OR('Raw Data'!J246="",LEN(TRIM('Raw Data'!J246))=0),"",IF(AND(ISNUMBER('Raw Data'!J246), IFERROR('Raw Data'!J246 = ROUND('Raw Data'!J246, 2),FALSE)),"",_xlfn.REGEXEXTRACT(CELL("address",J246), "\$([A-Z]+)\$[0-9]+"))),_xlfn.REGEXEXTRACT(CELL("address",J246), "\$([A-Z]+)\$[0-9]+"))</f>
        <v/>
      </c>
      <c r="K246" s="7" t="str" cm="1">
        <f t="array" aca="1" ref="K246" ca="1">IFERROR(IF(OR('Raw Data'!K246="",LEN(TRIM('Raw Data'!K246))=0),"",IF(AND(ISNUMBER('Raw Data'!K246), IFERROR('Raw Data'!K246 = ROUND('Raw Data'!K246, 2),FALSE)),"",_xlfn.REGEXEXTRACT(CELL("address",K246), "\$([A-Z]+)\$[0-9]+"))),_xlfn.REGEXEXTRACT(CELL("address",K246), "\$([A-Z]+)\$[0-9]+"))</f>
        <v/>
      </c>
      <c r="L246" s="7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7" t="str" cm="1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7" t="str" cm="1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  <c r="O246" s="7" t="str" cm="1">
        <f t="array" aca="1" ref="O246" ca="1">IFERROR(IF(OR('Raw Data'!O246="",LEN(TRIM('Raw Data'!O246))=0),"",IF(AND(ISNUMBER('Raw Data'!O246), IFERROR('Raw Data'!O246 = ROUND('Raw Data'!O246, 2),FALSE)),"",_xlfn.REGEXEXTRACT(CELL("address",O246), "\$([A-Z]+)\$[0-9]+"))),_xlfn.REGEXEXTRACT(CELL("address",O246), "\$([A-Z]+)\$[0-9]+"))</f>
        <v/>
      </c>
      <c r="P246" s="7" t="str" cm="1">
        <f t="array" aca="1" ref="P246" ca="1">IFERROR(IF(OR('Raw Data'!P246="",LEN(TRIM('Raw Data'!P246))=0),"",IF(AND(ISNUMBER('Raw Data'!P246), IFERROR('Raw Data'!P246 = ROUND('Raw Data'!P246, 2),FALSE)),"",_xlfn.REGEXEXTRACT(CELL("address",P246), "\$([A-Z]+)\$[0-9]+"))),_xlfn.REGEXEXTRACT(CELL("address",P246), "\$([A-Z]+)\$[0-9]+"))</f>
        <v/>
      </c>
      <c r="Q246" s="7" t="str" cm="1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7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7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7" t="str" cm="1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7" t="str" cm="1">
        <f t="array" aca="1" ref="U246" ca="1">IFERROR(IF(OR('Raw Data'!U246="",LEN(TRIM('Raw Data'!U246))=0),"",IF(AND(ISNUMBER('Raw Data'!U246), IFERROR('Raw Data'!U246 = ROUND('Raw Data'!U246, 2),FALSE)),"",_xlfn.REGEXEXTRACT(CELL("address",U246), "\$([A-Z]+)\$[0-9]+"))),_xlfn.REGEXEXTRACT(CELL("address",U246), "\$([A-Z]+)\$[0-9]+"))</f>
        <v/>
      </c>
      <c r="V246" s="7" t="str" cm="1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7" t="str" cm="1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7" t="str" cm="1">
        <f t="array" aca="1" ref="X246" ca="1">IFERROR(IF(OR('Raw Data'!X246="",LEN(TRIM('Raw Data'!X246))=0),"",IF(AND(ISNUMBER('Raw Data'!X246), IFERROR('Raw Data'!X246 = ROUND('Raw Data'!X246, 2),FALSE)),"",_xlfn.REGEXEXTRACT(CELL("address",X246), "\$([A-Z]+)\$[0-9]+"))),_xlfn.REGEXEXTRACT(CELL("address",X246), "\$([A-Z]+)\$[0-9]+"))</f>
        <v/>
      </c>
      <c r="Y246" s="7" t="str" cm="1">
        <f t="array" aca="1" ref="Y246" ca="1">IFERROR(IF(OR('Raw Data'!Y246="",LEN(TRIM('Raw Data'!Y246))=0),"",IF(AND(ISNUMBER('Raw Data'!Y246), IFERROR('Raw Data'!Y246 = ROUND('Raw Data'!Y246, 2),FALSE)),"",_xlfn.REGEXEXTRACT(CELL("address",Y246), "\$([A-Z]+)\$[0-9]+"))),_xlfn.REGEXEXTRACT(CELL("address",Y246), "\$([A-Z]+)\$[0-9]+"))</f>
        <v/>
      </c>
      <c r="Z246" s="7" t="str" cm="1">
        <f t="array" aca="1" ref="Z246" ca="1">IFERROR(IF(OR('Raw Data'!Z246="",LEN(TRIM('Raw Data'!Z246))=0),"",IF(AND(ISNUMBER('Raw Data'!Z246), IFERROR('Raw Data'!Z246 = ROUND('Raw Data'!Z246, 2),FALSE)),"",_xlfn.REGEXEXTRACT(CELL("address",Z246), "\$([A-Z]+)\$[0-9]+"))),_xlfn.REGEXEXTRACT(CELL("address",Z246), "\$([A-Z]+)\$[0-9]+"))</f>
        <v/>
      </c>
      <c r="AA246" s="7" t="str" cm="1">
        <f t="array" aca="1" ref="AA246" ca="1">IFERROR(IF(OR('Raw Data'!AA246="",LEN(TRIM('Raw Data'!AA246))=0),"",IF(AND(ISNUMBER('Raw Data'!AA246), IFERROR('Raw Data'!AA246 = ROUND('Raw Data'!AA246, 2),FALSE)),"",_xlfn.REGEXEXTRACT(CELL("address",AA246), "\$([A-Z]+)\$[0-9]+"))),_xlfn.REGEXEXTRACT(CELL("address",AA246), "\$([A-Z]+)\$[0-9]+"))</f>
        <v/>
      </c>
      <c r="AB246" s="7" t="str" cm="1">
        <f t="array" aca="1" ref="AB246" ca="1">IFERROR(IF(OR('Raw Data'!AB246="",LEN(TRIM('Raw Data'!AB246))=0),"",IF(AND(ISNUMBER('Raw Data'!AB246), IFERROR('Raw Data'!AB246 = ROUND('Raw Data'!AB246, 2),FALSE)),"",_xlfn.REGEXEXTRACT(CELL("address",AB246), "\$([A-Z]+)\$[0-9]+"))),_xlfn.REGEXEXTRACT(CELL("address",AB246), "\$([A-Z]+)\$[0-9]+"))</f>
        <v/>
      </c>
    </row>
    <row r="247" spans="2:28" x14ac:dyDescent="0.25">
      <c r="B247" s="7" t="str" cm="1">
        <f t="array" aca="1" ref="B247" ca="1">IFERROR(IF(OR('Raw Data'!B247="",LEN(TRIM('Raw Data'!B247))=0),"",IF(AND(LEN('Raw Data'!B247) &lt;= 255,LEN('Raw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Data'!C247))=0),"",IF(AND(LEN('Raw Data'!C247) &lt;= 20,LEN('Raw Data'!C247)&gt; 0),"",_xlfn.REGEXEXTRACT(CELL("address",'Raw Data'!C247),"\$([A-Z]+)\$[0-9]+"))),_xlfn.REGEXEXTRACT(CELL("address",'Raw Data'!C247),"\$([A-Z]+)\$[0-9]+"))</f>
        <v/>
      </c>
      <c r="D247" s="7" t="str" cm="1">
        <f t="array" aca="1" ref="D247" ca="1">IFERROR(IF(OR('Raw Data'!D247="",LEN(TRIM('Raw Data'!D247))=0),"",IF(AND(ISNUMBER('Raw Data'!D247),'Raw Data'!D247&gt;=Configuration!$D$2),"",_xlfn.REGEXEXTRACT(CELL("address",'Raw Data'!D247),"\$([A-Z]+)\$[0-9]+"))),_xlfn.REGEXEXTRACT(CELL("address",D247), "\$([A-Z]+)\$[0-9]+"))</f>
        <v/>
      </c>
      <c r="E247" s="7" t="str" cm="1">
        <f t="array" aca="1" ref="E247" ca="1">IFERROR(IF(OR('Raw Data'!E247="",LEN(TRIM('Raw Data'!E247))=0),"",IF(AND(ISNUMBER('Raw Data'!E247), IFERROR('Raw Data'!E247 = ROUND('Raw Data'!E247, 2),FALSE)),"",_xlfn.REGEXEXTRACT(CELL("address",E247), "\$([A-Z]+)\$[0-9]+"))),_xlfn.REGEXEXTRACT(CELL("address",E247), "\$([A-Z]+)\$[0-9]+"))</f>
        <v/>
      </c>
      <c r="F247" s="7" t="str" cm="1">
        <f t="array" aca="1" ref="F247" ca="1">IFERROR(IF(OR('Raw Data'!F247="",LEN(TRIM('Raw Data'!F247))=0),"",IF(AND(ISNUMBER('Raw Data'!F247), IFERROR('Raw Data'!F247 = ROUND('Raw Data'!F247, 2),FALSE)),"",_xlfn.REGEXEXTRACT(CELL("address",F247), "\$([A-Z]+)\$[0-9]+"))),_xlfn.REGEXEXTRACT(CELL("address",F247), "\$([A-Z]+)\$[0-9]+"))</f>
        <v/>
      </c>
      <c r="G247" s="7" t="str" cm="1">
        <f t="array" aca="1" ref="G247" ca="1">IFERROR(IF(OR('Raw Data'!G247="",LEN(TRIM('Raw Data'!G247))=0),"",IF(AND(ISNUMBER('Raw Data'!G247), IFERROR('Raw Data'!G247 = ROUND('Raw Data'!G247, 2),FALSE)),"",_xlfn.REGEXEXTRACT(CELL("address",G247), "\$([A-Z]+)\$[0-9]+"))),_xlfn.REGEXEXTRACT(CELL("address",G247), "\$([A-Z]+)\$[0-9]+"))</f>
        <v/>
      </c>
      <c r="H247" s="7" t="str" cm="1">
        <f t="array" aca="1" ref="H247" ca="1">IFERROR(IF(OR('Raw Data'!H247="",LEN(TRIM('Raw Data'!H247))=0),"",IF(AND(ISNUMBER('Raw Data'!H247), IFERROR('Raw Data'!H247 = ROUND('Raw Data'!H247, 2),FALSE)),"",_xlfn.REGEXEXTRACT(CELL("address",H247), "\$([A-Z]+)\$[0-9]+"))),_xlfn.REGEXEXTRACT(CELL("address",H247), "\$([A-Z]+)\$[0-9]+"))</f>
        <v/>
      </c>
      <c r="I247" s="7" t="str" cm="1">
        <f t="array" aca="1" ref="I247" ca="1">IFERROR(IF(OR('Raw Data'!I247="",LEN(TRIM('Raw Data'!I247))=0),"",IF(AND(ISNUMBER('Raw Data'!I247), IFERROR('Raw Data'!I247 = ROUND('Raw Data'!I247, 2),FALSE)),"",_xlfn.REGEXEXTRACT(CELL("address",I247), "\$([A-Z]+)\$[0-9]+"))),_xlfn.REGEXEXTRACT(CELL("address",I247), "\$([A-Z]+)\$[0-9]+"))</f>
        <v/>
      </c>
      <c r="J247" s="7" t="str" cm="1">
        <f t="array" aca="1" ref="J247" ca="1">IFERROR(IF(OR('Raw Data'!J247="",LEN(TRIM('Raw Data'!J247))=0),"",IF(AND(ISNUMBER('Raw Data'!J247), IFERROR('Raw Data'!J247 = ROUND('Raw Data'!J247, 2),FALSE)),"",_xlfn.REGEXEXTRACT(CELL("address",J247), "\$([A-Z]+)\$[0-9]+"))),_xlfn.REGEXEXTRACT(CELL("address",J247), "\$([A-Z]+)\$[0-9]+"))</f>
        <v/>
      </c>
      <c r="K247" s="7" t="str" cm="1">
        <f t="array" aca="1" ref="K247" ca="1">IFERROR(IF(OR('Raw Data'!K247="",LEN(TRIM('Raw Data'!K247))=0),"",IF(AND(ISNUMBER('Raw Data'!K247), IFERROR('Raw Data'!K247 = ROUND('Raw Data'!K247, 2),FALSE)),"",_xlfn.REGEXEXTRACT(CELL("address",K247), "\$([A-Z]+)\$[0-9]+"))),_xlfn.REGEXEXTRACT(CELL("address",K247), "\$([A-Z]+)\$[0-9]+"))</f>
        <v/>
      </c>
      <c r="L247" s="7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7" t="str" cm="1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7" t="str" cm="1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  <c r="O247" s="7" t="str" cm="1">
        <f t="array" aca="1" ref="O247" ca="1">IFERROR(IF(OR('Raw Data'!O247="",LEN(TRIM('Raw Data'!O247))=0),"",IF(AND(ISNUMBER('Raw Data'!O247), IFERROR('Raw Data'!O247 = ROUND('Raw Data'!O247, 2),FALSE)),"",_xlfn.REGEXEXTRACT(CELL("address",O247), "\$([A-Z]+)\$[0-9]+"))),_xlfn.REGEXEXTRACT(CELL("address",O247), "\$([A-Z]+)\$[0-9]+"))</f>
        <v/>
      </c>
      <c r="P247" s="7" t="str" cm="1">
        <f t="array" aca="1" ref="P247" ca="1">IFERROR(IF(OR('Raw Data'!P247="",LEN(TRIM('Raw Data'!P247))=0),"",IF(AND(ISNUMBER('Raw Data'!P247), IFERROR('Raw Data'!P247 = ROUND('Raw Data'!P247, 2),FALSE)),"",_xlfn.REGEXEXTRACT(CELL("address",P247), "\$([A-Z]+)\$[0-9]+"))),_xlfn.REGEXEXTRACT(CELL("address",P247), "\$([A-Z]+)\$[0-9]+"))</f>
        <v/>
      </c>
      <c r="Q247" s="7" t="str" cm="1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7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7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7" t="str" cm="1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7" t="str" cm="1">
        <f t="array" aca="1" ref="U247" ca="1">IFERROR(IF(OR('Raw Data'!U247="",LEN(TRIM('Raw Data'!U247))=0),"",IF(AND(ISNUMBER('Raw Data'!U247), IFERROR('Raw Data'!U247 = ROUND('Raw Data'!U247, 2),FALSE)),"",_xlfn.REGEXEXTRACT(CELL("address",U247), "\$([A-Z]+)\$[0-9]+"))),_xlfn.REGEXEXTRACT(CELL("address",U247), "\$([A-Z]+)\$[0-9]+"))</f>
        <v/>
      </c>
      <c r="V247" s="7" t="str" cm="1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7" t="str" cm="1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7" t="str" cm="1">
        <f t="array" aca="1" ref="X247" ca="1">IFERROR(IF(OR('Raw Data'!X247="",LEN(TRIM('Raw Data'!X247))=0),"",IF(AND(ISNUMBER('Raw Data'!X247), IFERROR('Raw Data'!X247 = ROUND('Raw Data'!X247, 2),FALSE)),"",_xlfn.REGEXEXTRACT(CELL("address",X247), "\$([A-Z]+)\$[0-9]+"))),_xlfn.REGEXEXTRACT(CELL("address",X247), "\$([A-Z]+)\$[0-9]+"))</f>
        <v/>
      </c>
      <c r="Y247" s="7" t="str" cm="1">
        <f t="array" aca="1" ref="Y247" ca="1">IFERROR(IF(OR('Raw Data'!Y247="",LEN(TRIM('Raw Data'!Y247))=0),"",IF(AND(ISNUMBER('Raw Data'!Y247), IFERROR('Raw Data'!Y247 = ROUND('Raw Data'!Y247, 2),FALSE)),"",_xlfn.REGEXEXTRACT(CELL("address",Y247), "\$([A-Z]+)\$[0-9]+"))),_xlfn.REGEXEXTRACT(CELL("address",Y247), "\$([A-Z]+)\$[0-9]+"))</f>
        <v/>
      </c>
      <c r="Z247" s="7" t="str" cm="1">
        <f t="array" aca="1" ref="Z247" ca="1">IFERROR(IF(OR('Raw Data'!Z247="",LEN(TRIM('Raw Data'!Z247))=0),"",IF(AND(ISNUMBER('Raw Data'!Z247), IFERROR('Raw Data'!Z247 = ROUND('Raw Data'!Z247, 2),FALSE)),"",_xlfn.REGEXEXTRACT(CELL("address",Z247), "\$([A-Z]+)\$[0-9]+"))),_xlfn.REGEXEXTRACT(CELL("address",Z247), "\$([A-Z]+)\$[0-9]+"))</f>
        <v/>
      </c>
      <c r="AA247" s="7" t="str" cm="1">
        <f t="array" aca="1" ref="AA247" ca="1">IFERROR(IF(OR('Raw Data'!AA247="",LEN(TRIM('Raw Data'!AA247))=0),"",IF(AND(ISNUMBER('Raw Data'!AA247), IFERROR('Raw Data'!AA247 = ROUND('Raw Data'!AA247, 2),FALSE)),"",_xlfn.REGEXEXTRACT(CELL("address",AA247), "\$([A-Z]+)\$[0-9]+"))),_xlfn.REGEXEXTRACT(CELL("address",AA247), "\$([A-Z]+)\$[0-9]+"))</f>
        <v/>
      </c>
      <c r="AB247" s="7" t="str" cm="1">
        <f t="array" aca="1" ref="AB247" ca="1">IFERROR(IF(OR('Raw Data'!AB247="",LEN(TRIM('Raw Data'!AB247))=0),"",IF(AND(ISNUMBER('Raw Data'!AB247), IFERROR('Raw Data'!AB247 = ROUND('Raw Data'!AB247, 2),FALSE)),"",_xlfn.REGEXEXTRACT(CELL("address",AB247), "\$([A-Z]+)\$[0-9]+"))),_xlfn.REGEXEXTRACT(CELL("address",AB247), "\$([A-Z]+)\$[0-9]+"))</f>
        <v/>
      </c>
    </row>
    <row r="248" spans="2:28" x14ac:dyDescent="0.25">
      <c r="B248" s="7" t="str" cm="1">
        <f t="array" aca="1" ref="B248" ca="1">IFERROR(IF(OR('Raw Data'!B248="",LEN(TRIM('Raw Data'!B248))=0),"",IF(AND(LEN('Raw Data'!B248) &lt;= 255,LEN('Raw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Data'!C248))=0),"",IF(AND(LEN('Raw Data'!C248) &lt;= 20,LEN('Raw Data'!C248)&gt; 0),"",_xlfn.REGEXEXTRACT(CELL("address",'Raw Data'!C248),"\$([A-Z]+)\$[0-9]+"))),_xlfn.REGEXEXTRACT(CELL("address",'Raw Data'!C248),"\$([A-Z]+)\$[0-9]+"))</f>
        <v/>
      </c>
      <c r="D248" s="7" t="str" cm="1">
        <f t="array" aca="1" ref="D248" ca="1">IFERROR(IF(OR('Raw Data'!D248="",LEN(TRIM('Raw Data'!D248))=0),"",IF(AND(ISNUMBER('Raw Data'!D248),'Raw Data'!D248&gt;=Configuration!$D$2),"",_xlfn.REGEXEXTRACT(CELL("address",'Raw Data'!D248),"\$([A-Z]+)\$[0-9]+"))),_xlfn.REGEXEXTRACT(CELL("address",D248), "\$([A-Z]+)\$[0-9]+"))</f>
        <v/>
      </c>
      <c r="E248" s="7" t="str" cm="1">
        <f t="array" aca="1" ref="E248" ca="1">IFERROR(IF(OR('Raw Data'!E248="",LEN(TRIM('Raw Data'!E248))=0),"",IF(AND(ISNUMBER('Raw Data'!E248), IFERROR('Raw Data'!E248 = ROUND('Raw Data'!E248, 2),FALSE)),"",_xlfn.REGEXEXTRACT(CELL("address",E248), "\$([A-Z]+)\$[0-9]+"))),_xlfn.REGEXEXTRACT(CELL("address",E248), "\$([A-Z]+)\$[0-9]+"))</f>
        <v/>
      </c>
      <c r="F248" s="7" t="str" cm="1">
        <f t="array" aca="1" ref="F248" ca="1">IFERROR(IF(OR('Raw Data'!F248="",LEN(TRIM('Raw Data'!F248))=0),"",IF(AND(ISNUMBER('Raw Data'!F248), IFERROR('Raw Data'!F248 = ROUND('Raw Data'!F248, 2),FALSE)),"",_xlfn.REGEXEXTRACT(CELL("address",F248), "\$([A-Z]+)\$[0-9]+"))),_xlfn.REGEXEXTRACT(CELL("address",F248), "\$([A-Z]+)\$[0-9]+"))</f>
        <v/>
      </c>
      <c r="G248" s="7" t="str" cm="1">
        <f t="array" aca="1" ref="G248" ca="1">IFERROR(IF(OR('Raw Data'!G248="",LEN(TRIM('Raw Data'!G248))=0),"",IF(AND(ISNUMBER('Raw Data'!G248), IFERROR('Raw Data'!G248 = ROUND('Raw Data'!G248, 2),FALSE)),"",_xlfn.REGEXEXTRACT(CELL("address",G248), "\$([A-Z]+)\$[0-9]+"))),_xlfn.REGEXEXTRACT(CELL("address",G248), "\$([A-Z]+)\$[0-9]+"))</f>
        <v/>
      </c>
      <c r="H248" s="7" t="str" cm="1">
        <f t="array" aca="1" ref="H248" ca="1">IFERROR(IF(OR('Raw Data'!H248="",LEN(TRIM('Raw Data'!H248))=0),"",IF(AND(ISNUMBER('Raw Data'!H248), IFERROR('Raw Data'!H248 = ROUND('Raw Data'!H248, 2),FALSE)),"",_xlfn.REGEXEXTRACT(CELL("address",H248), "\$([A-Z]+)\$[0-9]+"))),_xlfn.REGEXEXTRACT(CELL("address",H248), "\$([A-Z]+)\$[0-9]+"))</f>
        <v/>
      </c>
      <c r="I248" s="7" t="str" cm="1">
        <f t="array" aca="1" ref="I248" ca="1">IFERROR(IF(OR('Raw Data'!I248="",LEN(TRIM('Raw Data'!I248))=0),"",IF(AND(ISNUMBER('Raw Data'!I248), IFERROR('Raw Data'!I248 = ROUND('Raw Data'!I248, 2),FALSE)),"",_xlfn.REGEXEXTRACT(CELL("address",I248), "\$([A-Z]+)\$[0-9]+"))),_xlfn.REGEXEXTRACT(CELL("address",I248), "\$([A-Z]+)\$[0-9]+"))</f>
        <v/>
      </c>
      <c r="J248" s="7" t="str" cm="1">
        <f t="array" aca="1" ref="J248" ca="1">IFERROR(IF(OR('Raw Data'!J248="",LEN(TRIM('Raw Data'!J248))=0),"",IF(AND(ISNUMBER('Raw Data'!J248), IFERROR('Raw Data'!J248 = ROUND('Raw Data'!J248, 2),FALSE)),"",_xlfn.REGEXEXTRACT(CELL("address",J248), "\$([A-Z]+)\$[0-9]+"))),_xlfn.REGEXEXTRACT(CELL("address",J248), "\$([A-Z]+)\$[0-9]+"))</f>
        <v/>
      </c>
      <c r="K248" s="7" t="str" cm="1">
        <f t="array" aca="1" ref="K248" ca="1">IFERROR(IF(OR('Raw Data'!K248="",LEN(TRIM('Raw Data'!K248))=0),"",IF(AND(ISNUMBER('Raw Data'!K248), IFERROR('Raw Data'!K248 = ROUND('Raw Data'!K248, 2),FALSE)),"",_xlfn.REGEXEXTRACT(CELL("address",K248), "\$([A-Z]+)\$[0-9]+"))),_xlfn.REGEXEXTRACT(CELL("address",K248), "\$([A-Z]+)\$[0-9]+"))</f>
        <v/>
      </c>
      <c r="L248" s="7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7" t="str" cm="1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7" t="str" cm="1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  <c r="O248" s="7" t="str" cm="1">
        <f t="array" aca="1" ref="O248" ca="1">IFERROR(IF(OR('Raw Data'!O248="",LEN(TRIM('Raw Data'!O248))=0),"",IF(AND(ISNUMBER('Raw Data'!O248), IFERROR('Raw Data'!O248 = ROUND('Raw Data'!O248, 2),FALSE)),"",_xlfn.REGEXEXTRACT(CELL("address",O248), "\$([A-Z]+)\$[0-9]+"))),_xlfn.REGEXEXTRACT(CELL("address",O248), "\$([A-Z]+)\$[0-9]+"))</f>
        <v/>
      </c>
      <c r="P248" s="7" t="str" cm="1">
        <f t="array" aca="1" ref="P248" ca="1">IFERROR(IF(OR('Raw Data'!P248="",LEN(TRIM('Raw Data'!P248))=0),"",IF(AND(ISNUMBER('Raw Data'!P248), IFERROR('Raw Data'!P248 = ROUND('Raw Data'!P248, 2),FALSE)),"",_xlfn.REGEXEXTRACT(CELL("address",P248), "\$([A-Z]+)\$[0-9]+"))),_xlfn.REGEXEXTRACT(CELL("address",P248), "\$([A-Z]+)\$[0-9]+"))</f>
        <v/>
      </c>
      <c r="Q248" s="7" t="str" cm="1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7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7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7" t="str" cm="1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7" t="str" cm="1">
        <f t="array" aca="1" ref="U248" ca="1">IFERROR(IF(OR('Raw Data'!U248="",LEN(TRIM('Raw Data'!U248))=0),"",IF(AND(ISNUMBER('Raw Data'!U248), IFERROR('Raw Data'!U248 = ROUND('Raw Data'!U248, 2),FALSE)),"",_xlfn.REGEXEXTRACT(CELL("address",U248), "\$([A-Z]+)\$[0-9]+"))),_xlfn.REGEXEXTRACT(CELL("address",U248), "\$([A-Z]+)\$[0-9]+"))</f>
        <v/>
      </c>
      <c r="V248" s="7" t="str" cm="1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7" t="str" cm="1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7" t="str" cm="1">
        <f t="array" aca="1" ref="X248" ca="1">IFERROR(IF(OR('Raw Data'!X248="",LEN(TRIM('Raw Data'!X248))=0),"",IF(AND(ISNUMBER('Raw Data'!X248), IFERROR('Raw Data'!X248 = ROUND('Raw Data'!X248, 2),FALSE)),"",_xlfn.REGEXEXTRACT(CELL("address",X248), "\$([A-Z]+)\$[0-9]+"))),_xlfn.REGEXEXTRACT(CELL("address",X248), "\$([A-Z]+)\$[0-9]+"))</f>
        <v/>
      </c>
      <c r="Y248" s="7" t="str" cm="1">
        <f t="array" aca="1" ref="Y248" ca="1">IFERROR(IF(OR('Raw Data'!Y248="",LEN(TRIM('Raw Data'!Y248))=0),"",IF(AND(ISNUMBER('Raw Data'!Y248), IFERROR('Raw Data'!Y248 = ROUND('Raw Data'!Y248, 2),FALSE)),"",_xlfn.REGEXEXTRACT(CELL("address",Y248), "\$([A-Z]+)\$[0-9]+"))),_xlfn.REGEXEXTRACT(CELL("address",Y248), "\$([A-Z]+)\$[0-9]+"))</f>
        <v/>
      </c>
      <c r="Z248" s="7" t="str" cm="1">
        <f t="array" aca="1" ref="Z248" ca="1">IFERROR(IF(OR('Raw Data'!Z248="",LEN(TRIM('Raw Data'!Z248))=0),"",IF(AND(ISNUMBER('Raw Data'!Z248), IFERROR('Raw Data'!Z248 = ROUND('Raw Data'!Z248, 2),FALSE)),"",_xlfn.REGEXEXTRACT(CELL("address",Z248), "\$([A-Z]+)\$[0-9]+"))),_xlfn.REGEXEXTRACT(CELL("address",Z248), "\$([A-Z]+)\$[0-9]+"))</f>
        <v/>
      </c>
      <c r="AA248" s="7" t="str" cm="1">
        <f t="array" aca="1" ref="AA248" ca="1">IFERROR(IF(OR('Raw Data'!AA248="",LEN(TRIM('Raw Data'!AA248))=0),"",IF(AND(ISNUMBER('Raw Data'!AA248), IFERROR('Raw Data'!AA248 = ROUND('Raw Data'!AA248, 2),FALSE)),"",_xlfn.REGEXEXTRACT(CELL("address",AA248), "\$([A-Z]+)\$[0-9]+"))),_xlfn.REGEXEXTRACT(CELL("address",AA248), "\$([A-Z]+)\$[0-9]+"))</f>
        <v/>
      </c>
      <c r="AB248" s="7" t="str" cm="1">
        <f t="array" aca="1" ref="AB248" ca="1">IFERROR(IF(OR('Raw Data'!AB248="",LEN(TRIM('Raw Data'!AB248))=0),"",IF(AND(ISNUMBER('Raw Data'!AB248), IFERROR('Raw Data'!AB248 = ROUND('Raw Data'!AB248, 2),FALSE)),"",_xlfn.REGEXEXTRACT(CELL("address",AB248), "\$([A-Z]+)\$[0-9]+"))),_xlfn.REGEXEXTRACT(CELL("address",AB248), "\$([A-Z]+)\$[0-9]+"))</f>
        <v/>
      </c>
    </row>
    <row r="249" spans="2:28" x14ac:dyDescent="0.25">
      <c r="B249" s="7" t="str" cm="1">
        <f t="array" aca="1" ref="B249" ca="1">IFERROR(IF(OR('Raw Data'!B249="",LEN(TRIM('Raw Data'!B249))=0),"",IF(AND(LEN('Raw Data'!B249) &lt;= 255,LEN('Raw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Data'!C249))=0),"",IF(AND(LEN('Raw Data'!C249) &lt;= 20,LEN('Raw Data'!C249)&gt; 0),"",_xlfn.REGEXEXTRACT(CELL("address",'Raw Data'!C249),"\$([A-Z]+)\$[0-9]+"))),_xlfn.REGEXEXTRACT(CELL("address",'Raw Data'!C249),"\$([A-Z]+)\$[0-9]+"))</f>
        <v/>
      </c>
      <c r="D249" s="7" t="str" cm="1">
        <f t="array" aca="1" ref="D249" ca="1">IFERROR(IF(OR('Raw Data'!D249="",LEN(TRIM('Raw Data'!D249))=0),"",IF(AND(ISNUMBER('Raw Data'!D249),'Raw Data'!D249&gt;=Configuration!$D$2),"",_xlfn.REGEXEXTRACT(CELL("address",'Raw Data'!D249),"\$([A-Z]+)\$[0-9]+"))),_xlfn.REGEXEXTRACT(CELL("address",D249), "\$([A-Z]+)\$[0-9]+"))</f>
        <v/>
      </c>
      <c r="E249" s="7" t="str" cm="1">
        <f t="array" aca="1" ref="E249" ca="1">IFERROR(IF(OR('Raw Data'!E249="",LEN(TRIM('Raw Data'!E249))=0),"",IF(AND(ISNUMBER('Raw Data'!E249), IFERROR('Raw Data'!E249 = ROUND('Raw Data'!E249, 2),FALSE)),"",_xlfn.REGEXEXTRACT(CELL("address",E249), "\$([A-Z]+)\$[0-9]+"))),_xlfn.REGEXEXTRACT(CELL("address",E249), "\$([A-Z]+)\$[0-9]+"))</f>
        <v/>
      </c>
      <c r="F249" s="7" t="str" cm="1">
        <f t="array" aca="1" ref="F249" ca="1">IFERROR(IF(OR('Raw Data'!F249="",LEN(TRIM('Raw Data'!F249))=0),"",IF(AND(ISNUMBER('Raw Data'!F249), IFERROR('Raw Data'!F249 = ROUND('Raw Data'!F249, 2),FALSE)),"",_xlfn.REGEXEXTRACT(CELL("address",F249), "\$([A-Z]+)\$[0-9]+"))),_xlfn.REGEXEXTRACT(CELL("address",F249), "\$([A-Z]+)\$[0-9]+"))</f>
        <v/>
      </c>
      <c r="G249" s="7" t="str" cm="1">
        <f t="array" aca="1" ref="G249" ca="1">IFERROR(IF(OR('Raw Data'!G249="",LEN(TRIM('Raw Data'!G249))=0),"",IF(AND(ISNUMBER('Raw Data'!G249), IFERROR('Raw Data'!G249 = ROUND('Raw Data'!G249, 2),FALSE)),"",_xlfn.REGEXEXTRACT(CELL("address",G249), "\$([A-Z]+)\$[0-9]+"))),_xlfn.REGEXEXTRACT(CELL("address",G249), "\$([A-Z]+)\$[0-9]+"))</f>
        <v/>
      </c>
      <c r="H249" s="7" t="str" cm="1">
        <f t="array" aca="1" ref="H249" ca="1">IFERROR(IF(OR('Raw Data'!H249="",LEN(TRIM('Raw Data'!H249))=0),"",IF(AND(ISNUMBER('Raw Data'!H249), IFERROR('Raw Data'!H249 = ROUND('Raw Data'!H249, 2),FALSE)),"",_xlfn.REGEXEXTRACT(CELL("address",H249), "\$([A-Z]+)\$[0-9]+"))),_xlfn.REGEXEXTRACT(CELL("address",H249), "\$([A-Z]+)\$[0-9]+"))</f>
        <v/>
      </c>
      <c r="I249" s="7" t="str" cm="1">
        <f t="array" aca="1" ref="I249" ca="1">IFERROR(IF(OR('Raw Data'!I249="",LEN(TRIM('Raw Data'!I249))=0),"",IF(AND(ISNUMBER('Raw Data'!I249), IFERROR('Raw Data'!I249 = ROUND('Raw Data'!I249, 2),FALSE)),"",_xlfn.REGEXEXTRACT(CELL("address",I249), "\$([A-Z]+)\$[0-9]+"))),_xlfn.REGEXEXTRACT(CELL("address",I249), "\$([A-Z]+)\$[0-9]+"))</f>
        <v/>
      </c>
      <c r="J249" s="7" t="str" cm="1">
        <f t="array" aca="1" ref="J249" ca="1">IFERROR(IF(OR('Raw Data'!J249="",LEN(TRIM('Raw Data'!J249))=0),"",IF(AND(ISNUMBER('Raw Data'!J249), IFERROR('Raw Data'!J249 = ROUND('Raw Data'!J249, 2),FALSE)),"",_xlfn.REGEXEXTRACT(CELL("address",J249), "\$([A-Z]+)\$[0-9]+"))),_xlfn.REGEXEXTRACT(CELL("address",J249), "\$([A-Z]+)\$[0-9]+"))</f>
        <v/>
      </c>
      <c r="K249" s="7" t="str" cm="1">
        <f t="array" aca="1" ref="K249" ca="1">IFERROR(IF(OR('Raw Data'!K249="",LEN(TRIM('Raw Data'!K249))=0),"",IF(AND(ISNUMBER('Raw Data'!K249), IFERROR('Raw Data'!K249 = ROUND('Raw Data'!K249, 2),FALSE)),"",_xlfn.REGEXEXTRACT(CELL("address",K249), "\$([A-Z]+)\$[0-9]+"))),_xlfn.REGEXEXTRACT(CELL("address",K249), "\$([A-Z]+)\$[0-9]+"))</f>
        <v/>
      </c>
      <c r="L249" s="7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7" t="str" cm="1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7" t="str" cm="1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  <c r="O249" s="7" t="str" cm="1">
        <f t="array" aca="1" ref="O249" ca="1">IFERROR(IF(OR('Raw Data'!O249="",LEN(TRIM('Raw Data'!O249))=0),"",IF(AND(ISNUMBER('Raw Data'!O249), IFERROR('Raw Data'!O249 = ROUND('Raw Data'!O249, 2),FALSE)),"",_xlfn.REGEXEXTRACT(CELL("address",O249), "\$([A-Z]+)\$[0-9]+"))),_xlfn.REGEXEXTRACT(CELL("address",O249), "\$([A-Z]+)\$[0-9]+"))</f>
        <v/>
      </c>
      <c r="P249" s="7" t="str" cm="1">
        <f t="array" aca="1" ref="P249" ca="1">IFERROR(IF(OR('Raw Data'!P249="",LEN(TRIM('Raw Data'!P249))=0),"",IF(AND(ISNUMBER('Raw Data'!P249), IFERROR('Raw Data'!P249 = ROUND('Raw Data'!P249, 2),FALSE)),"",_xlfn.REGEXEXTRACT(CELL("address",P249), "\$([A-Z]+)\$[0-9]+"))),_xlfn.REGEXEXTRACT(CELL("address",P249), "\$([A-Z]+)\$[0-9]+"))</f>
        <v/>
      </c>
      <c r="Q249" s="7" t="str" cm="1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7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7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7" t="str" cm="1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7" t="str" cm="1">
        <f t="array" aca="1" ref="U249" ca="1">IFERROR(IF(OR('Raw Data'!U249="",LEN(TRIM('Raw Data'!U249))=0),"",IF(AND(ISNUMBER('Raw Data'!U249), IFERROR('Raw Data'!U249 = ROUND('Raw Data'!U249, 2),FALSE)),"",_xlfn.REGEXEXTRACT(CELL("address",U249), "\$([A-Z]+)\$[0-9]+"))),_xlfn.REGEXEXTRACT(CELL("address",U249), "\$([A-Z]+)\$[0-9]+"))</f>
        <v/>
      </c>
      <c r="V249" s="7" t="str" cm="1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7" t="str" cm="1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7" t="str" cm="1">
        <f t="array" aca="1" ref="X249" ca="1">IFERROR(IF(OR('Raw Data'!X249="",LEN(TRIM('Raw Data'!X249))=0),"",IF(AND(ISNUMBER('Raw Data'!X249), IFERROR('Raw Data'!X249 = ROUND('Raw Data'!X249, 2),FALSE)),"",_xlfn.REGEXEXTRACT(CELL("address",X249), "\$([A-Z]+)\$[0-9]+"))),_xlfn.REGEXEXTRACT(CELL("address",X249), "\$([A-Z]+)\$[0-9]+"))</f>
        <v/>
      </c>
      <c r="Y249" s="7" t="str" cm="1">
        <f t="array" aca="1" ref="Y249" ca="1">IFERROR(IF(OR('Raw Data'!Y249="",LEN(TRIM('Raw Data'!Y249))=0),"",IF(AND(ISNUMBER('Raw Data'!Y249), IFERROR('Raw Data'!Y249 = ROUND('Raw Data'!Y249, 2),FALSE)),"",_xlfn.REGEXEXTRACT(CELL("address",Y249), "\$([A-Z]+)\$[0-9]+"))),_xlfn.REGEXEXTRACT(CELL("address",Y249), "\$([A-Z]+)\$[0-9]+"))</f>
        <v/>
      </c>
      <c r="Z249" s="7" t="str" cm="1">
        <f t="array" aca="1" ref="Z249" ca="1">IFERROR(IF(OR('Raw Data'!Z249="",LEN(TRIM('Raw Data'!Z249))=0),"",IF(AND(ISNUMBER('Raw Data'!Z249), IFERROR('Raw Data'!Z249 = ROUND('Raw Data'!Z249, 2),FALSE)),"",_xlfn.REGEXEXTRACT(CELL("address",Z249), "\$([A-Z]+)\$[0-9]+"))),_xlfn.REGEXEXTRACT(CELL("address",Z249), "\$([A-Z]+)\$[0-9]+"))</f>
        <v/>
      </c>
      <c r="AA249" s="7" t="str" cm="1">
        <f t="array" aca="1" ref="AA249" ca="1">IFERROR(IF(OR('Raw Data'!AA249="",LEN(TRIM('Raw Data'!AA249))=0),"",IF(AND(ISNUMBER('Raw Data'!AA249), IFERROR('Raw Data'!AA249 = ROUND('Raw Data'!AA249, 2),FALSE)),"",_xlfn.REGEXEXTRACT(CELL("address",AA249), "\$([A-Z]+)\$[0-9]+"))),_xlfn.REGEXEXTRACT(CELL("address",AA249), "\$([A-Z]+)\$[0-9]+"))</f>
        <v/>
      </c>
      <c r="AB249" s="7" t="str" cm="1">
        <f t="array" aca="1" ref="AB249" ca="1">IFERROR(IF(OR('Raw Data'!AB249="",LEN(TRIM('Raw Data'!AB249))=0),"",IF(AND(ISNUMBER('Raw Data'!AB249), IFERROR('Raw Data'!AB249 = ROUND('Raw Data'!AB249, 2),FALSE)),"",_xlfn.REGEXEXTRACT(CELL("address",AB249), "\$([A-Z]+)\$[0-9]+"))),_xlfn.REGEXEXTRACT(CELL("address",AB249), "\$([A-Z]+)\$[0-9]+"))</f>
        <v/>
      </c>
    </row>
    <row r="250" spans="2:28" x14ac:dyDescent="0.25">
      <c r="B250" s="7" t="str" cm="1">
        <f t="array" aca="1" ref="B250" ca="1">IFERROR(IF(OR('Raw Data'!B250="",LEN(TRIM('Raw Data'!B250))=0),"",IF(AND(LEN('Raw Data'!B250) &lt;= 255,LEN('Raw Data'!B250)&gt; 0),"",_xlfn.REGEXEXTRACT(CELL("address",'Raw Data'!B250),"\$([A-Z]+)\$[0-9]+"))),_xlfn.REGEXEXTRACT(CELL("address",'Raw Data'!B250),"\$([A-Z]+)\$[0-9]+"))</f>
        <v/>
      </c>
      <c r="C250" s="7" t="str" cm="1">
        <f t="array" aca="1" ref="C250" ca="1">IFERROR(IF(OR('Raw Data'!C250="",LEN(TRIM('Raw Data'!C250))=0),"",IF(AND(LEN('Raw Data'!C250) &lt;= 20,LEN('Raw Data'!C250)&gt; 0),"",_xlfn.REGEXEXTRACT(CELL("address",'Raw Data'!C250),"\$([A-Z]+)\$[0-9]+"))),_xlfn.REGEXEXTRACT(CELL("address",'Raw Data'!C250),"\$([A-Z]+)\$[0-9]+"))</f>
        <v/>
      </c>
      <c r="D250" s="7" t="str" cm="1">
        <f t="array" aca="1" ref="D250" ca="1">IFERROR(IF(OR('Raw Data'!D250="",LEN(TRIM('Raw Data'!D250))=0),"",IF(AND(ISNUMBER('Raw Data'!D250),'Raw Data'!D250&gt;=Configuration!$D$2),"",_xlfn.REGEXEXTRACT(CELL("address",'Raw Data'!D250),"\$([A-Z]+)\$[0-9]+"))),_xlfn.REGEXEXTRACT(CELL("address",D250), "\$([A-Z]+)\$[0-9]+"))</f>
        <v/>
      </c>
      <c r="E250" s="7" t="str" cm="1">
        <f t="array" aca="1" ref="E250" ca="1">IFERROR(IF(OR('Raw Data'!E250="",LEN(TRIM('Raw Data'!E250))=0),"",IF(AND(ISNUMBER('Raw Data'!E250), IFERROR('Raw Data'!E250 = ROUND('Raw Data'!E250, 2),FALSE)),"",_xlfn.REGEXEXTRACT(CELL("address",E250), "\$([A-Z]+)\$[0-9]+"))),_xlfn.REGEXEXTRACT(CELL("address",E250), "\$([A-Z]+)\$[0-9]+"))</f>
        <v/>
      </c>
      <c r="F250" s="7" t="str" cm="1">
        <f t="array" aca="1" ref="F250" ca="1">IFERROR(IF(OR('Raw Data'!F250="",LEN(TRIM('Raw Data'!F250))=0),"",IF(AND(ISNUMBER('Raw Data'!F250), IFERROR('Raw Data'!F250 = ROUND('Raw Data'!F250, 2),FALSE)),"",_xlfn.REGEXEXTRACT(CELL("address",F250), "\$([A-Z]+)\$[0-9]+"))),_xlfn.REGEXEXTRACT(CELL("address",F250), "\$([A-Z]+)\$[0-9]+"))</f>
        <v/>
      </c>
      <c r="G250" s="7" t="str" cm="1">
        <f t="array" aca="1" ref="G250" ca="1">IFERROR(IF(OR('Raw Data'!G250="",LEN(TRIM('Raw Data'!G250))=0),"",IF(AND(ISNUMBER('Raw Data'!G250), IFERROR('Raw Data'!G250 = ROUND('Raw Data'!G250, 2),FALSE)),"",_xlfn.REGEXEXTRACT(CELL("address",G250), "\$([A-Z]+)\$[0-9]+"))),_xlfn.REGEXEXTRACT(CELL("address",G250), "\$([A-Z]+)\$[0-9]+"))</f>
        <v/>
      </c>
      <c r="H250" s="7" t="str" cm="1">
        <f t="array" aca="1" ref="H250" ca="1">IFERROR(IF(OR('Raw Data'!H250="",LEN(TRIM('Raw Data'!H250))=0),"",IF(AND(ISNUMBER('Raw Data'!H250), IFERROR('Raw Data'!H250 = ROUND('Raw Data'!H250, 2),FALSE)),"",_xlfn.REGEXEXTRACT(CELL("address",H250), "\$([A-Z]+)\$[0-9]+"))),_xlfn.REGEXEXTRACT(CELL("address",H250), "\$([A-Z]+)\$[0-9]+"))</f>
        <v/>
      </c>
      <c r="I250" s="7" t="str" cm="1">
        <f t="array" aca="1" ref="I250" ca="1">IFERROR(IF(OR('Raw Data'!I250="",LEN(TRIM('Raw Data'!I250))=0),"",IF(AND(ISNUMBER('Raw Data'!I250), IFERROR('Raw Data'!I250 = ROUND('Raw Data'!I250, 2),FALSE)),"",_xlfn.REGEXEXTRACT(CELL("address",I250), "\$([A-Z]+)\$[0-9]+"))),_xlfn.REGEXEXTRACT(CELL("address",I250), "\$([A-Z]+)\$[0-9]+"))</f>
        <v/>
      </c>
      <c r="J250" s="7" t="str" cm="1">
        <f t="array" aca="1" ref="J250" ca="1">IFERROR(IF(OR('Raw Data'!J250="",LEN(TRIM('Raw Data'!J250))=0),"",IF(AND(ISNUMBER('Raw Data'!J250), IFERROR('Raw Data'!J250 = ROUND('Raw Data'!J250, 2),FALSE)),"",_xlfn.REGEXEXTRACT(CELL("address",J250), "\$([A-Z]+)\$[0-9]+"))),_xlfn.REGEXEXTRACT(CELL("address",J250), "\$([A-Z]+)\$[0-9]+"))</f>
        <v/>
      </c>
      <c r="K250" s="7" t="str" cm="1">
        <f t="array" aca="1" ref="K250" ca="1">IFERROR(IF(OR('Raw Data'!K250="",LEN(TRIM('Raw Data'!K250))=0),"",IF(AND(ISNUMBER('Raw Data'!K250), IFERROR('Raw Data'!K250 = ROUND('Raw Data'!K250, 2),FALSE)),"",_xlfn.REGEXEXTRACT(CELL("address",K250), "\$([A-Z]+)\$[0-9]+"))),_xlfn.REGEXEXTRACT(CELL("address",K250), "\$([A-Z]+)\$[0-9]+"))</f>
        <v/>
      </c>
      <c r="L250" s="7" t="str" cm="1">
        <f t="array" aca="1" ref="L250" ca="1">IFERROR(IF(OR('Raw Data'!L250="",LEN(TRIM('Raw Data'!L250))=0),"",IF(AND(ISNUMBER('Raw Data'!L250), IFERROR('Raw Data'!L250 = ROUND('Raw Data'!L250, 2),FALSE)),"",_xlfn.REGEXEXTRACT(CELL("address",L250), "\$([A-Z]+)\$[0-9]+"))),_xlfn.REGEXEXTRACT(CELL("address",L250), "\$([A-Z]+)\$[0-9]+"))</f>
        <v/>
      </c>
      <c r="M250" s="7" t="str" cm="1">
        <f t="array" aca="1" ref="M250" ca="1">IFERROR(IF(OR('Raw Data'!M250="",LEN(TRIM('Raw Data'!M250))=0),"",IF(AND(ISNUMBER('Raw Data'!M250), IFERROR('Raw Data'!M250 = ROUND('Raw Data'!M250, 2),FALSE)),"",_xlfn.REGEXEXTRACT(CELL("address",M250), "\$([A-Z]+)\$[0-9]+"))),_xlfn.REGEXEXTRACT(CELL("address",M250), "\$([A-Z]+)\$[0-9]+"))</f>
        <v/>
      </c>
      <c r="N250" s="7" t="str" cm="1">
        <f t="array" aca="1" ref="N250" ca="1">IFERROR(IF(OR('Raw Data'!N250="",LEN(TRIM('Raw Data'!N250))=0),"",IF(AND(ISNUMBER('Raw Data'!N250), IFERROR('Raw Data'!N250 = ROUND('Raw Data'!N250, 2),FALSE)),"",_xlfn.REGEXEXTRACT(CELL("address",N250), "\$([A-Z]+)\$[0-9]+"))),_xlfn.REGEXEXTRACT(CELL("address",N250), "\$([A-Z]+)\$[0-9]+"))</f>
        <v/>
      </c>
      <c r="O250" s="7" t="str" cm="1">
        <f t="array" aca="1" ref="O250" ca="1">IFERROR(IF(OR('Raw Data'!O250="",LEN(TRIM('Raw Data'!O250))=0),"",IF(AND(ISNUMBER('Raw Data'!O250), IFERROR('Raw Data'!O250 = ROUND('Raw Data'!O250, 2),FALSE)),"",_xlfn.REGEXEXTRACT(CELL("address",O250), "\$([A-Z]+)\$[0-9]+"))),_xlfn.REGEXEXTRACT(CELL("address",O250), "\$([A-Z]+)\$[0-9]+"))</f>
        <v/>
      </c>
      <c r="P250" s="7" t="str" cm="1">
        <f t="array" aca="1" ref="P250" ca="1">IFERROR(IF(OR('Raw Data'!P250="",LEN(TRIM('Raw Data'!P250))=0),"",IF(AND(ISNUMBER('Raw Data'!P250), IFERROR('Raw Data'!P250 = ROUND('Raw Data'!P250, 2),FALSE)),"",_xlfn.REGEXEXTRACT(CELL("address",P250), "\$([A-Z]+)\$[0-9]+"))),_xlfn.REGEXEXTRACT(CELL("address",P250), "\$([A-Z]+)\$[0-9]+"))</f>
        <v/>
      </c>
      <c r="Q250" s="7" t="str" cm="1">
        <f t="array" aca="1" ref="Q250" ca="1">IFERROR(IF(OR('Raw Data'!Q250="",LEN(TRIM('Raw Data'!Q250))=0),"",IF(AND(ISNUMBER('Raw Data'!Q250), IFERROR('Raw Data'!Q250 = ROUND('Raw Data'!Q250, 2),FALSE)),"",_xlfn.REGEXEXTRACT(CELL("address",Q250), "\$([A-Z]+)\$[0-9]+"))),_xlfn.REGEXEXTRACT(CELL("address",Q250), "\$([A-Z]+)\$[0-9]+"))</f>
        <v/>
      </c>
      <c r="R250" s="7" t="str" cm="1">
        <f t="array" aca="1" ref="R250" ca="1">IFERROR(IF(OR('Raw Data'!R250="",LEN(TRIM('Raw Data'!R250))=0),"",IF(AND(ISNUMBER('Raw Data'!R250), IFERROR('Raw Data'!R250 = ROUND('Raw Data'!R250, 2),FALSE)),"",_xlfn.REGEXEXTRACT(CELL("address",R250), "\$([A-Z]+)\$[0-9]+"))),_xlfn.REGEXEXTRACT(CELL("address",R250), "\$([A-Z]+)\$[0-9]+"))</f>
        <v/>
      </c>
      <c r="S250" s="7" t="str" cm="1">
        <f t="array" aca="1" ref="S250" ca="1">IFERROR(IF(OR('Raw Data'!S250="",LEN(TRIM('Raw Data'!S250))=0),"",IF(AND(ISNUMBER('Raw Data'!S250), IFERROR('Raw Data'!S250 = ROUND('Raw Data'!S250, 2),FALSE)),"",_xlfn.REGEXEXTRACT(CELL("address",S250), "\$([A-Z]+)\$[0-9]+"))),_xlfn.REGEXEXTRACT(CELL("address",S250), "\$([A-Z]+)\$[0-9]+"))</f>
        <v/>
      </c>
      <c r="T250" s="7" t="str" cm="1">
        <f t="array" aca="1" ref="T250" ca="1">IFERROR(IF(OR('Raw Data'!T250="",LEN(TRIM('Raw Data'!T250))=0),"",IF(AND(ISNUMBER('Raw Data'!T250), IFERROR('Raw Data'!T250 = ROUND('Raw Data'!T250, 2),FALSE)),"",_xlfn.REGEXEXTRACT(CELL("address",T250), "\$([A-Z]+)\$[0-9]+"))),_xlfn.REGEXEXTRACT(CELL("address",T250), "\$([A-Z]+)\$[0-9]+"))</f>
        <v/>
      </c>
      <c r="U250" s="7" t="str" cm="1">
        <f t="array" aca="1" ref="U250" ca="1">IFERROR(IF(OR('Raw Data'!U250="",LEN(TRIM('Raw Data'!U250))=0),"",IF(AND(ISNUMBER('Raw Data'!U250), IFERROR('Raw Data'!U250 = ROUND('Raw Data'!U250, 2),FALSE)),"",_xlfn.REGEXEXTRACT(CELL("address",U250), "\$([A-Z]+)\$[0-9]+"))),_xlfn.REGEXEXTRACT(CELL("address",U250), "\$([A-Z]+)\$[0-9]+"))</f>
        <v/>
      </c>
      <c r="V250" s="7" t="str" cm="1">
        <f t="array" aca="1" ref="V250" ca="1">IFERROR(IF(OR('Raw Data'!V250="",LEN(TRIM('Raw Data'!V250))=0),"",IF(AND(ISNUMBER('Raw Data'!V250), IFERROR('Raw Data'!V250 = ROUND('Raw Data'!V250, 2),FALSE)),"",_xlfn.REGEXEXTRACT(CELL("address",V250), "\$([A-Z]+)\$[0-9]+"))),_xlfn.REGEXEXTRACT(CELL("address",V250), "\$([A-Z]+)\$[0-9]+"))</f>
        <v/>
      </c>
      <c r="W250" s="7" t="str" cm="1">
        <f t="array" aca="1" ref="W250" ca="1">IFERROR(IF(OR('Raw Data'!W250="",LEN(TRIM('Raw Data'!W250))=0),"",IF(AND(ISNUMBER('Raw Data'!W250), IFERROR('Raw Data'!W250 = ROUND('Raw Data'!W250, 2),FALSE)),"",_xlfn.REGEXEXTRACT(CELL("address",W250), "\$([A-Z]+)\$[0-9]+"))),_xlfn.REGEXEXTRACT(CELL("address",W250), "\$([A-Z]+)\$[0-9]+"))</f>
        <v/>
      </c>
      <c r="X250" s="7" t="str" cm="1">
        <f t="array" aca="1" ref="X250" ca="1">IFERROR(IF(OR('Raw Data'!X250="",LEN(TRIM('Raw Data'!X250))=0),"",IF(AND(ISNUMBER('Raw Data'!X250), IFERROR('Raw Data'!X250 = ROUND('Raw Data'!X250, 2),FALSE)),"",_xlfn.REGEXEXTRACT(CELL("address",X250), "\$([A-Z]+)\$[0-9]+"))),_xlfn.REGEXEXTRACT(CELL("address",X250), "\$([A-Z]+)\$[0-9]+"))</f>
        <v/>
      </c>
      <c r="Y250" s="7" t="str" cm="1">
        <f t="array" aca="1" ref="Y250" ca="1">IFERROR(IF(OR('Raw Data'!Y250="",LEN(TRIM('Raw Data'!Y250))=0),"",IF(AND(ISNUMBER('Raw Data'!Y250), IFERROR('Raw Data'!Y250 = ROUND('Raw Data'!Y250, 2),FALSE)),"",_xlfn.REGEXEXTRACT(CELL("address",Y250), "\$([A-Z]+)\$[0-9]+"))),_xlfn.REGEXEXTRACT(CELL("address",Y250), "\$([A-Z]+)\$[0-9]+"))</f>
        <v/>
      </c>
      <c r="Z250" s="7" t="str" cm="1">
        <f t="array" aca="1" ref="Z250" ca="1">IFERROR(IF(OR('Raw Data'!Z250="",LEN(TRIM('Raw Data'!Z250))=0),"",IF(AND(ISNUMBER('Raw Data'!Z250), IFERROR('Raw Data'!Z250 = ROUND('Raw Data'!Z250, 2),FALSE)),"",_xlfn.REGEXEXTRACT(CELL("address",Z250), "\$([A-Z]+)\$[0-9]+"))),_xlfn.REGEXEXTRACT(CELL("address",Z250), "\$([A-Z]+)\$[0-9]+"))</f>
        <v/>
      </c>
      <c r="AA250" s="7" t="str" cm="1">
        <f t="array" aca="1" ref="AA250" ca="1">IFERROR(IF(OR('Raw Data'!AA250="",LEN(TRIM('Raw Data'!AA250))=0),"",IF(AND(ISNUMBER('Raw Data'!AA250), IFERROR('Raw Data'!AA250 = ROUND('Raw Data'!AA250, 2),FALSE)),"",_xlfn.REGEXEXTRACT(CELL("address",AA250), "\$([A-Z]+)\$[0-9]+"))),_xlfn.REGEXEXTRACT(CELL("address",AA250), "\$([A-Z]+)\$[0-9]+"))</f>
        <v/>
      </c>
      <c r="AB250" s="7" t="str" cm="1">
        <f t="array" aca="1" ref="AB250" ca="1">IFERROR(IF(OR('Raw Data'!AB250="",LEN(TRIM('Raw Data'!AB250))=0),"",IF(AND(ISNUMBER('Raw Data'!AB250), IFERROR('Raw Data'!AB250 = ROUND('Raw Data'!AB250, 2),FALSE)),"",_xlfn.REGEXEXTRACT(CELL("address",AB250), "\$([A-Z]+)\$[0-9]+"))),_xlfn.REGEXEXTRACT(CELL("address",AB250), "\$([A-Z]+)\$[0-9]+"))</f>
        <v/>
      </c>
    </row>
    <row r="251" spans="2:28" x14ac:dyDescent="0.25">
      <c r="B251" s="7" t="str" cm="1">
        <f t="array" aca="1" ref="B251" ca="1">IFERROR(IF(OR('Raw Data'!B251="",LEN(TRIM('Raw Data'!B251))=0),"",IF(AND(LEN('Raw Data'!B251) &lt;= 255,LEN('Raw Data'!B251)&gt; 0),"",_xlfn.REGEXEXTRACT(CELL("address",'Raw Data'!B251),"\$([A-Z]+)\$[0-9]+"))),_xlfn.REGEXEXTRACT(CELL("address",'Raw Data'!B251),"\$([A-Z]+)\$[0-9]+"))</f>
        <v/>
      </c>
      <c r="C251" s="7" t="str" cm="1">
        <f t="array" aca="1" ref="C251" ca="1">IFERROR(IF(OR('Raw Data'!C251="",LEN(TRIM('Raw Data'!C251))=0),"",IF(AND(LEN('Raw Data'!C251) &lt;= 20,LEN('Raw Data'!C251)&gt; 0),"",_xlfn.REGEXEXTRACT(CELL("address",'Raw Data'!C251),"\$([A-Z]+)\$[0-9]+"))),_xlfn.REGEXEXTRACT(CELL("address",'Raw Data'!C251),"\$([A-Z]+)\$[0-9]+"))</f>
        <v/>
      </c>
      <c r="D251" s="7" t="str" cm="1">
        <f t="array" aca="1" ref="D251" ca="1">IFERROR(IF(OR('Raw Data'!D251="",LEN(TRIM('Raw Data'!D251))=0),"",IF(AND(ISNUMBER('Raw Data'!D251),'Raw Data'!D251&gt;=Configuration!$D$2),"",_xlfn.REGEXEXTRACT(CELL("address",'Raw Data'!D251),"\$([A-Z]+)\$[0-9]+"))),_xlfn.REGEXEXTRACT(CELL("address",D251), "\$([A-Z]+)\$[0-9]+"))</f>
        <v/>
      </c>
      <c r="E251" s="7" t="str" cm="1">
        <f t="array" aca="1" ref="E251" ca="1">IFERROR(IF(OR('Raw Data'!E251="",LEN(TRIM('Raw Data'!E251))=0),"",IF(AND(ISNUMBER('Raw Data'!E251), IFERROR('Raw Data'!E251 = ROUND('Raw Data'!E251, 2),FALSE)),"",_xlfn.REGEXEXTRACT(CELL("address",E251), "\$([A-Z]+)\$[0-9]+"))),_xlfn.REGEXEXTRACT(CELL("address",E251), "\$([A-Z]+)\$[0-9]+"))</f>
        <v/>
      </c>
      <c r="F251" s="7" t="str" cm="1">
        <f t="array" aca="1" ref="F251" ca="1">IFERROR(IF(OR('Raw Data'!F251="",LEN(TRIM('Raw Data'!F251))=0),"",IF(AND(ISNUMBER('Raw Data'!F251), IFERROR('Raw Data'!F251 = ROUND('Raw Data'!F251, 2),FALSE)),"",_xlfn.REGEXEXTRACT(CELL("address",F251), "\$([A-Z]+)\$[0-9]+"))),_xlfn.REGEXEXTRACT(CELL("address",F251), "\$([A-Z]+)\$[0-9]+"))</f>
        <v/>
      </c>
      <c r="G251" s="7" t="str" cm="1">
        <f t="array" aca="1" ref="G251" ca="1">IFERROR(IF(OR('Raw Data'!G251="",LEN(TRIM('Raw Data'!G251))=0),"",IF(AND(ISNUMBER('Raw Data'!G251), IFERROR('Raw Data'!G251 = ROUND('Raw Data'!G251, 2),FALSE)),"",_xlfn.REGEXEXTRACT(CELL("address",G251), "\$([A-Z]+)\$[0-9]+"))),_xlfn.REGEXEXTRACT(CELL("address",G251), "\$([A-Z]+)\$[0-9]+"))</f>
        <v/>
      </c>
      <c r="H251" s="7" t="str" cm="1">
        <f t="array" aca="1" ref="H251" ca="1">IFERROR(IF(OR('Raw Data'!H251="",LEN(TRIM('Raw Data'!H251))=0),"",IF(AND(ISNUMBER('Raw Data'!H251), IFERROR('Raw Data'!H251 = ROUND('Raw Data'!H251, 2),FALSE)),"",_xlfn.REGEXEXTRACT(CELL("address",H251), "\$([A-Z]+)\$[0-9]+"))),_xlfn.REGEXEXTRACT(CELL("address",H251), "\$([A-Z]+)\$[0-9]+"))</f>
        <v/>
      </c>
      <c r="I251" s="7" t="str" cm="1">
        <f t="array" aca="1" ref="I251" ca="1">IFERROR(IF(OR('Raw Data'!I251="",LEN(TRIM('Raw Data'!I251))=0),"",IF(AND(ISNUMBER('Raw Data'!I251), IFERROR('Raw Data'!I251 = ROUND('Raw Data'!I251, 2),FALSE)),"",_xlfn.REGEXEXTRACT(CELL("address",I251), "\$([A-Z]+)\$[0-9]+"))),_xlfn.REGEXEXTRACT(CELL("address",I251), "\$([A-Z]+)\$[0-9]+"))</f>
        <v/>
      </c>
      <c r="J251" s="7" t="str" cm="1">
        <f t="array" aca="1" ref="J251" ca="1">IFERROR(IF(OR('Raw Data'!J251="",LEN(TRIM('Raw Data'!J251))=0),"",IF(AND(ISNUMBER('Raw Data'!J251), IFERROR('Raw Data'!J251 = ROUND('Raw Data'!J251, 2),FALSE)),"",_xlfn.REGEXEXTRACT(CELL("address",J251), "\$([A-Z]+)\$[0-9]+"))),_xlfn.REGEXEXTRACT(CELL("address",J251), "\$([A-Z]+)\$[0-9]+"))</f>
        <v/>
      </c>
      <c r="K251" s="7" t="str" cm="1">
        <f t="array" aca="1" ref="K251" ca="1">IFERROR(IF(OR('Raw Data'!K251="",LEN(TRIM('Raw Data'!K251))=0),"",IF(AND(ISNUMBER('Raw Data'!K251), IFERROR('Raw Data'!K251 = ROUND('Raw Data'!K251, 2),FALSE)),"",_xlfn.REGEXEXTRACT(CELL("address",K251), "\$([A-Z]+)\$[0-9]+"))),_xlfn.REGEXEXTRACT(CELL("address",K251), "\$([A-Z]+)\$[0-9]+"))</f>
        <v/>
      </c>
      <c r="L251" s="7" t="str" cm="1">
        <f t="array" aca="1" ref="L251" ca="1">IFERROR(IF(OR('Raw Data'!L251="",LEN(TRIM('Raw Data'!L251))=0),"",IF(AND(ISNUMBER('Raw Data'!L251), IFERROR('Raw Data'!L251 = ROUND('Raw Data'!L251, 2),FALSE)),"",_xlfn.REGEXEXTRACT(CELL("address",L251), "\$([A-Z]+)\$[0-9]+"))),_xlfn.REGEXEXTRACT(CELL("address",L251), "\$([A-Z]+)\$[0-9]+"))</f>
        <v/>
      </c>
      <c r="M251" s="7" t="str" cm="1">
        <f t="array" aca="1" ref="M251" ca="1">IFERROR(IF(OR('Raw Data'!M251="",LEN(TRIM('Raw Data'!M251))=0),"",IF(AND(ISNUMBER('Raw Data'!M251), IFERROR('Raw Data'!M251 = ROUND('Raw Data'!M251, 2),FALSE)),"",_xlfn.REGEXEXTRACT(CELL("address",M251), "\$([A-Z]+)\$[0-9]+"))),_xlfn.REGEXEXTRACT(CELL("address",M251), "\$([A-Z]+)\$[0-9]+"))</f>
        <v/>
      </c>
      <c r="N251" s="7" t="str" cm="1">
        <f t="array" aca="1" ref="N251" ca="1">IFERROR(IF(OR('Raw Data'!N251="",LEN(TRIM('Raw Data'!N251))=0),"",IF(AND(ISNUMBER('Raw Data'!N251), IFERROR('Raw Data'!N251 = ROUND('Raw Data'!N251, 2),FALSE)),"",_xlfn.REGEXEXTRACT(CELL("address",N251), "\$([A-Z]+)\$[0-9]+"))),_xlfn.REGEXEXTRACT(CELL("address",N251), "\$([A-Z]+)\$[0-9]+"))</f>
        <v/>
      </c>
      <c r="O251" s="7" t="str" cm="1">
        <f t="array" aca="1" ref="O251" ca="1">IFERROR(IF(OR('Raw Data'!O251="",LEN(TRIM('Raw Data'!O251))=0),"",IF(AND(ISNUMBER('Raw Data'!O251), IFERROR('Raw Data'!O251 = ROUND('Raw Data'!O251, 2),FALSE)),"",_xlfn.REGEXEXTRACT(CELL("address",O251), "\$([A-Z]+)\$[0-9]+"))),_xlfn.REGEXEXTRACT(CELL("address",O251), "\$([A-Z]+)\$[0-9]+"))</f>
        <v/>
      </c>
      <c r="P251" s="7" t="str" cm="1">
        <f t="array" aca="1" ref="P251" ca="1">IFERROR(IF(OR('Raw Data'!P251="",LEN(TRIM('Raw Data'!P251))=0),"",IF(AND(ISNUMBER('Raw Data'!P251), IFERROR('Raw Data'!P251 = ROUND('Raw Data'!P251, 2),FALSE)),"",_xlfn.REGEXEXTRACT(CELL("address",P251), "\$([A-Z]+)\$[0-9]+"))),_xlfn.REGEXEXTRACT(CELL("address",P251), "\$([A-Z]+)\$[0-9]+"))</f>
        <v/>
      </c>
      <c r="Q251" s="7" t="str" cm="1">
        <f t="array" aca="1" ref="Q251" ca="1">IFERROR(IF(OR('Raw Data'!Q251="",LEN(TRIM('Raw Data'!Q251))=0),"",IF(AND(ISNUMBER('Raw Data'!Q251), IFERROR('Raw Data'!Q251 = ROUND('Raw Data'!Q251, 2),FALSE)),"",_xlfn.REGEXEXTRACT(CELL("address",Q251), "\$([A-Z]+)\$[0-9]+"))),_xlfn.REGEXEXTRACT(CELL("address",Q251), "\$([A-Z]+)\$[0-9]+"))</f>
        <v/>
      </c>
      <c r="R251" s="7" t="str" cm="1">
        <f t="array" aca="1" ref="R251" ca="1">IFERROR(IF(OR('Raw Data'!R251="",LEN(TRIM('Raw Data'!R251))=0),"",IF(AND(ISNUMBER('Raw Data'!R251), IFERROR('Raw Data'!R251 = ROUND('Raw Data'!R251, 2),FALSE)),"",_xlfn.REGEXEXTRACT(CELL("address",R251), "\$([A-Z]+)\$[0-9]+"))),_xlfn.REGEXEXTRACT(CELL("address",R251), "\$([A-Z]+)\$[0-9]+"))</f>
        <v/>
      </c>
      <c r="S251" s="7" t="str" cm="1">
        <f t="array" aca="1" ref="S251" ca="1">IFERROR(IF(OR('Raw Data'!S251="",LEN(TRIM('Raw Data'!S251))=0),"",IF(AND(ISNUMBER('Raw Data'!S251), IFERROR('Raw Data'!S251 = ROUND('Raw Data'!S251, 2),FALSE)),"",_xlfn.REGEXEXTRACT(CELL("address",S251), "\$([A-Z]+)\$[0-9]+"))),_xlfn.REGEXEXTRACT(CELL("address",S251), "\$([A-Z]+)\$[0-9]+"))</f>
        <v/>
      </c>
      <c r="T251" s="7" t="str" cm="1">
        <f t="array" aca="1" ref="T251" ca="1">IFERROR(IF(OR('Raw Data'!T251="",LEN(TRIM('Raw Data'!T251))=0),"",IF(AND(ISNUMBER('Raw Data'!T251), IFERROR('Raw Data'!T251 = ROUND('Raw Data'!T251, 2),FALSE)),"",_xlfn.REGEXEXTRACT(CELL("address",T251), "\$([A-Z]+)\$[0-9]+"))),_xlfn.REGEXEXTRACT(CELL("address",T251), "\$([A-Z]+)\$[0-9]+"))</f>
        <v/>
      </c>
      <c r="U251" s="7" t="str" cm="1">
        <f t="array" aca="1" ref="U251" ca="1">IFERROR(IF(OR('Raw Data'!U251="",LEN(TRIM('Raw Data'!U251))=0),"",IF(AND(ISNUMBER('Raw Data'!U251), IFERROR('Raw Data'!U251 = ROUND('Raw Data'!U251, 2),FALSE)),"",_xlfn.REGEXEXTRACT(CELL("address",U251), "\$([A-Z]+)\$[0-9]+"))),_xlfn.REGEXEXTRACT(CELL("address",U251), "\$([A-Z]+)\$[0-9]+"))</f>
        <v/>
      </c>
      <c r="V251" s="7" t="str" cm="1">
        <f t="array" aca="1" ref="V251" ca="1">IFERROR(IF(OR('Raw Data'!V251="",LEN(TRIM('Raw Data'!V251))=0),"",IF(AND(ISNUMBER('Raw Data'!V251), IFERROR('Raw Data'!V251 = ROUND('Raw Data'!V251, 2),FALSE)),"",_xlfn.REGEXEXTRACT(CELL("address",V251), "\$([A-Z]+)\$[0-9]+"))),_xlfn.REGEXEXTRACT(CELL("address",V251), "\$([A-Z]+)\$[0-9]+"))</f>
        <v/>
      </c>
      <c r="W251" s="7" t="str" cm="1">
        <f t="array" aca="1" ref="W251" ca="1">IFERROR(IF(OR('Raw Data'!W251="",LEN(TRIM('Raw Data'!W251))=0),"",IF(AND(ISNUMBER('Raw Data'!W251), IFERROR('Raw Data'!W251 = ROUND('Raw Data'!W251, 2),FALSE)),"",_xlfn.REGEXEXTRACT(CELL("address",W251), "\$([A-Z]+)\$[0-9]+"))),_xlfn.REGEXEXTRACT(CELL("address",W251), "\$([A-Z]+)\$[0-9]+"))</f>
        <v/>
      </c>
      <c r="X251" s="7" t="str" cm="1">
        <f t="array" aca="1" ref="X251" ca="1">IFERROR(IF(OR('Raw Data'!X251="",LEN(TRIM('Raw Data'!X251))=0),"",IF(AND(ISNUMBER('Raw Data'!X251), IFERROR('Raw Data'!X251 = ROUND('Raw Data'!X251, 2),FALSE)),"",_xlfn.REGEXEXTRACT(CELL("address",X251), "\$([A-Z]+)\$[0-9]+"))),_xlfn.REGEXEXTRACT(CELL("address",X251), "\$([A-Z]+)\$[0-9]+"))</f>
        <v/>
      </c>
      <c r="Y251" s="7" t="str" cm="1">
        <f t="array" aca="1" ref="Y251" ca="1">IFERROR(IF(OR('Raw Data'!Y251="",LEN(TRIM('Raw Data'!Y251))=0),"",IF(AND(ISNUMBER('Raw Data'!Y251), IFERROR('Raw Data'!Y251 = ROUND('Raw Data'!Y251, 2),FALSE)),"",_xlfn.REGEXEXTRACT(CELL("address",Y251), "\$([A-Z]+)\$[0-9]+"))),_xlfn.REGEXEXTRACT(CELL("address",Y251), "\$([A-Z]+)\$[0-9]+"))</f>
        <v/>
      </c>
      <c r="Z251" s="7" t="str" cm="1">
        <f t="array" aca="1" ref="Z251" ca="1">IFERROR(IF(OR('Raw Data'!Z251="",LEN(TRIM('Raw Data'!Z251))=0),"",IF(AND(ISNUMBER('Raw Data'!Z251), IFERROR('Raw Data'!Z251 = ROUND('Raw Data'!Z251, 2),FALSE)),"",_xlfn.REGEXEXTRACT(CELL("address",Z251), "\$([A-Z]+)\$[0-9]+"))),_xlfn.REGEXEXTRACT(CELL("address",Z251), "\$([A-Z]+)\$[0-9]+"))</f>
        <v/>
      </c>
      <c r="AA251" s="7" t="str" cm="1">
        <f t="array" aca="1" ref="AA251" ca="1">IFERROR(IF(OR('Raw Data'!AA251="",LEN(TRIM('Raw Data'!AA251))=0),"",IF(AND(ISNUMBER('Raw Data'!AA251), IFERROR('Raw Data'!AA251 = ROUND('Raw Data'!AA251, 2),FALSE)),"",_xlfn.REGEXEXTRACT(CELL("address",AA251), "\$([A-Z]+)\$[0-9]+"))),_xlfn.REGEXEXTRACT(CELL("address",AA251), "\$([A-Z]+)\$[0-9]+"))</f>
        <v/>
      </c>
      <c r="AB251" s="7" t="str" cm="1">
        <f t="array" aca="1" ref="AB251" ca="1">IFERROR(IF(OR('Raw Data'!AB251="",LEN(TRIM('Raw Data'!AB251))=0),"",IF(AND(ISNUMBER('Raw Data'!AB251), IFERROR('Raw Data'!AB251 = ROUND('Raw Data'!AB251, 2),FALSE)),"",_xlfn.REGEXEXTRACT(CELL("address",AB251), "\$([A-Z]+)\$[0-9]+"))),_xlfn.REGEXEXTRACT(CELL("address",AB251), "\$([A-Z]+)\$[0-9]+"))</f>
        <v/>
      </c>
    </row>
    <row r="252" spans="2:28" x14ac:dyDescent="0.25">
      <c r="B252" s="7" t="str" cm="1">
        <f t="array" aca="1" ref="B252" ca="1">IFERROR(IF(OR('Raw Data'!B252="",LEN(TRIM('Raw Data'!B252))=0),"",IF(AND(LEN('Raw Data'!B252) &lt;= 255,LEN('Raw Data'!B252)&gt; 0),"",_xlfn.REGEXEXTRACT(CELL("address",'Raw Data'!B252),"\$([A-Z]+)\$[0-9]+"))),_xlfn.REGEXEXTRACT(CELL("address",'Raw Data'!B252),"\$([A-Z]+)\$[0-9]+"))</f>
        <v/>
      </c>
      <c r="C252" s="7" t="str" cm="1">
        <f t="array" aca="1" ref="C252" ca="1">IFERROR(IF(OR('Raw Data'!C252="",LEN(TRIM('Raw Data'!C252))=0),"",IF(AND(LEN('Raw Data'!C252) &lt;= 20,LEN('Raw Data'!C252)&gt; 0),"",_xlfn.REGEXEXTRACT(CELL("address",'Raw Data'!C252),"\$([A-Z]+)\$[0-9]+"))),_xlfn.REGEXEXTRACT(CELL("address",'Raw Data'!C252),"\$([A-Z]+)\$[0-9]+"))</f>
        <v/>
      </c>
      <c r="D252" s="7" t="str" cm="1">
        <f t="array" aca="1" ref="D252" ca="1">IFERROR(IF(OR('Raw Data'!D252="",LEN(TRIM('Raw Data'!D252))=0),"",IF(AND(ISNUMBER('Raw Data'!D252),'Raw Data'!D252&gt;=Configuration!$D$2),"",_xlfn.REGEXEXTRACT(CELL("address",'Raw Data'!D252),"\$([A-Z]+)\$[0-9]+"))),_xlfn.REGEXEXTRACT(CELL("address",D252), "\$([A-Z]+)\$[0-9]+"))</f>
        <v/>
      </c>
      <c r="E252" s="7" t="str" cm="1">
        <f t="array" aca="1" ref="E252" ca="1">IFERROR(IF(OR('Raw Data'!E252="",LEN(TRIM('Raw Data'!E252))=0),"",IF(AND(ISNUMBER('Raw Data'!E252), IFERROR('Raw Data'!E252 = ROUND('Raw Data'!E252, 2),FALSE)),"",_xlfn.REGEXEXTRACT(CELL("address",E252), "\$([A-Z]+)\$[0-9]+"))),_xlfn.REGEXEXTRACT(CELL("address",E252), "\$([A-Z]+)\$[0-9]+"))</f>
        <v/>
      </c>
      <c r="F252" s="7" t="str" cm="1">
        <f t="array" aca="1" ref="F252" ca="1">IFERROR(IF(OR('Raw Data'!F252="",LEN(TRIM('Raw Data'!F252))=0),"",IF(AND(ISNUMBER('Raw Data'!F252), IFERROR('Raw Data'!F252 = ROUND('Raw Data'!F252, 2),FALSE)),"",_xlfn.REGEXEXTRACT(CELL("address",F252), "\$([A-Z]+)\$[0-9]+"))),_xlfn.REGEXEXTRACT(CELL("address",F252), "\$([A-Z]+)\$[0-9]+"))</f>
        <v/>
      </c>
      <c r="G252" s="7" t="str" cm="1">
        <f t="array" aca="1" ref="G252" ca="1">IFERROR(IF(OR('Raw Data'!G252="",LEN(TRIM('Raw Data'!G252))=0),"",IF(AND(ISNUMBER('Raw Data'!G252), IFERROR('Raw Data'!G252 = ROUND('Raw Data'!G252, 2),FALSE)),"",_xlfn.REGEXEXTRACT(CELL("address",G252), "\$([A-Z]+)\$[0-9]+"))),_xlfn.REGEXEXTRACT(CELL("address",G252), "\$([A-Z]+)\$[0-9]+"))</f>
        <v/>
      </c>
      <c r="H252" s="7" t="str" cm="1">
        <f t="array" aca="1" ref="H252" ca="1">IFERROR(IF(OR('Raw Data'!H252="",LEN(TRIM('Raw Data'!H252))=0),"",IF(AND(ISNUMBER('Raw Data'!H252), IFERROR('Raw Data'!H252 = ROUND('Raw Data'!H252, 2),FALSE)),"",_xlfn.REGEXEXTRACT(CELL("address",H252), "\$([A-Z]+)\$[0-9]+"))),_xlfn.REGEXEXTRACT(CELL("address",H252), "\$([A-Z]+)\$[0-9]+"))</f>
        <v/>
      </c>
      <c r="I252" s="7" t="str" cm="1">
        <f t="array" aca="1" ref="I252" ca="1">IFERROR(IF(OR('Raw Data'!I252="",LEN(TRIM('Raw Data'!I252))=0),"",IF(AND(ISNUMBER('Raw Data'!I252), IFERROR('Raw Data'!I252 = ROUND('Raw Data'!I252, 2),FALSE)),"",_xlfn.REGEXEXTRACT(CELL("address",I252), "\$([A-Z]+)\$[0-9]+"))),_xlfn.REGEXEXTRACT(CELL("address",I252), "\$([A-Z]+)\$[0-9]+"))</f>
        <v/>
      </c>
      <c r="J252" s="7" t="str" cm="1">
        <f t="array" aca="1" ref="J252" ca="1">IFERROR(IF(OR('Raw Data'!J252="",LEN(TRIM('Raw Data'!J252))=0),"",IF(AND(ISNUMBER('Raw Data'!J252), IFERROR('Raw Data'!J252 = ROUND('Raw Data'!J252, 2),FALSE)),"",_xlfn.REGEXEXTRACT(CELL("address",J252), "\$([A-Z]+)\$[0-9]+"))),_xlfn.REGEXEXTRACT(CELL("address",J252), "\$([A-Z]+)\$[0-9]+"))</f>
        <v/>
      </c>
      <c r="K252" s="7" t="str" cm="1">
        <f t="array" aca="1" ref="K252" ca="1">IFERROR(IF(OR('Raw Data'!K252="",LEN(TRIM('Raw Data'!K252))=0),"",IF(AND(ISNUMBER('Raw Data'!K252), IFERROR('Raw Data'!K252 = ROUND('Raw Data'!K252, 2),FALSE)),"",_xlfn.REGEXEXTRACT(CELL("address",K252), "\$([A-Z]+)\$[0-9]+"))),_xlfn.REGEXEXTRACT(CELL("address",K252), "\$([A-Z]+)\$[0-9]+"))</f>
        <v/>
      </c>
      <c r="L252" s="7" t="str" cm="1">
        <f t="array" aca="1" ref="L252" ca="1">IFERROR(IF(OR('Raw Data'!L252="",LEN(TRIM('Raw Data'!L252))=0),"",IF(AND(ISNUMBER('Raw Data'!L252), IFERROR('Raw Data'!L252 = ROUND('Raw Data'!L252, 2),FALSE)),"",_xlfn.REGEXEXTRACT(CELL("address",L252), "\$([A-Z]+)\$[0-9]+"))),_xlfn.REGEXEXTRACT(CELL("address",L252), "\$([A-Z]+)\$[0-9]+"))</f>
        <v/>
      </c>
      <c r="M252" s="7" t="str" cm="1">
        <f t="array" aca="1" ref="M252" ca="1">IFERROR(IF(OR('Raw Data'!M252="",LEN(TRIM('Raw Data'!M252))=0),"",IF(AND(ISNUMBER('Raw Data'!M252), IFERROR('Raw Data'!M252 = ROUND('Raw Data'!M252, 2),FALSE)),"",_xlfn.REGEXEXTRACT(CELL("address",M252), "\$([A-Z]+)\$[0-9]+"))),_xlfn.REGEXEXTRACT(CELL("address",M252), "\$([A-Z]+)\$[0-9]+"))</f>
        <v/>
      </c>
      <c r="N252" s="7" t="str" cm="1">
        <f t="array" aca="1" ref="N252" ca="1">IFERROR(IF(OR('Raw Data'!N252="",LEN(TRIM('Raw Data'!N252))=0),"",IF(AND(ISNUMBER('Raw Data'!N252), IFERROR('Raw Data'!N252 = ROUND('Raw Data'!N252, 2),FALSE)),"",_xlfn.REGEXEXTRACT(CELL("address",N252), "\$([A-Z]+)\$[0-9]+"))),_xlfn.REGEXEXTRACT(CELL("address",N252), "\$([A-Z]+)\$[0-9]+"))</f>
        <v/>
      </c>
      <c r="O252" s="7" t="str" cm="1">
        <f t="array" aca="1" ref="O252" ca="1">IFERROR(IF(OR('Raw Data'!O252="",LEN(TRIM('Raw Data'!O252))=0),"",IF(AND(ISNUMBER('Raw Data'!O252), IFERROR('Raw Data'!O252 = ROUND('Raw Data'!O252, 2),FALSE)),"",_xlfn.REGEXEXTRACT(CELL("address",O252), "\$([A-Z]+)\$[0-9]+"))),_xlfn.REGEXEXTRACT(CELL("address",O252), "\$([A-Z]+)\$[0-9]+"))</f>
        <v/>
      </c>
      <c r="P252" s="7" t="str" cm="1">
        <f t="array" aca="1" ref="P252" ca="1">IFERROR(IF(OR('Raw Data'!P252="",LEN(TRIM('Raw Data'!P252))=0),"",IF(AND(ISNUMBER('Raw Data'!P252), IFERROR('Raw Data'!P252 = ROUND('Raw Data'!P252, 2),FALSE)),"",_xlfn.REGEXEXTRACT(CELL("address",P252), "\$([A-Z]+)\$[0-9]+"))),_xlfn.REGEXEXTRACT(CELL("address",P252), "\$([A-Z]+)\$[0-9]+"))</f>
        <v/>
      </c>
      <c r="Q252" s="7" t="str" cm="1">
        <f t="array" aca="1" ref="Q252" ca="1">IFERROR(IF(OR('Raw Data'!Q252="",LEN(TRIM('Raw Data'!Q252))=0),"",IF(AND(ISNUMBER('Raw Data'!Q252), IFERROR('Raw Data'!Q252 = ROUND('Raw Data'!Q252, 2),FALSE)),"",_xlfn.REGEXEXTRACT(CELL("address",Q252), "\$([A-Z]+)\$[0-9]+"))),_xlfn.REGEXEXTRACT(CELL("address",Q252), "\$([A-Z]+)\$[0-9]+"))</f>
        <v/>
      </c>
      <c r="R252" s="7" t="str" cm="1">
        <f t="array" aca="1" ref="R252" ca="1">IFERROR(IF(OR('Raw Data'!R252="",LEN(TRIM('Raw Data'!R252))=0),"",IF(AND(ISNUMBER('Raw Data'!R252), IFERROR('Raw Data'!R252 = ROUND('Raw Data'!R252, 2),FALSE)),"",_xlfn.REGEXEXTRACT(CELL("address",R252), "\$([A-Z]+)\$[0-9]+"))),_xlfn.REGEXEXTRACT(CELL("address",R252), "\$([A-Z]+)\$[0-9]+"))</f>
        <v/>
      </c>
      <c r="S252" s="7" t="str" cm="1">
        <f t="array" aca="1" ref="S252" ca="1">IFERROR(IF(OR('Raw Data'!S252="",LEN(TRIM('Raw Data'!S252))=0),"",IF(AND(ISNUMBER('Raw Data'!S252), IFERROR('Raw Data'!S252 = ROUND('Raw Data'!S252, 2),FALSE)),"",_xlfn.REGEXEXTRACT(CELL("address",S252), "\$([A-Z]+)\$[0-9]+"))),_xlfn.REGEXEXTRACT(CELL("address",S252), "\$([A-Z]+)\$[0-9]+"))</f>
        <v/>
      </c>
      <c r="T252" s="7" t="str" cm="1">
        <f t="array" aca="1" ref="T252" ca="1">IFERROR(IF(OR('Raw Data'!T252="",LEN(TRIM('Raw Data'!T252))=0),"",IF(AND(ISNUMBER('Raw Data'!T252), IFERROR('Raw Data'!T252 = ROUND('Raw Data'!T252, 2),FALSE)),"",_xlfn.REGEXEXTRACT(CELL("address",T252), "\$([A-Z]+)\$[0-9]+"))),_xlfn.REGEXEXTRACT(CELL("address",T252), "\$([A-Z]+)\$[0-9]+"))</f>
        <v/>
      </c>
      <c r="U252" s="7" t="str" cm="1">
        <f t="array" aca="1" ref="U252" ca="1">IFERROR(IF(OR('Raw Data'!U252="",LEN(TRIM('Raw Data'!U252))=0),"",IF(AND(ISNUMBER('Raw Data'!U252), IFERROR('Raw Data'!U252 = ROUND('Raw Data'!U252, 2),FALSE)),"",_xlfn.REGEXEXTRACT(CELL("address",U252), "\$([A-Z]+)\$[0-9]+"))),_xlfn.REGEXEXTRACT(CELL("address",U252), "\$([A-Z]+)\$[0-9]+"))</f>
        <v/>
      </c>
      <c r="V252" s="7" t="str" cm="1">
        <f t="array" aca="1" ref="V252" ca="1">IFERROR(IF(OR('Raw Data'!V252="",LEN(TRIM('Raw Data'!V252))=0),"",IF(AND(ISNUMBER('Raw Data'!V252), IFERROR('Raw Data'!V252 = ROUND('Raw Data'!V252, 2),FALSE)),"",_xlfn.REGEXEXTRACT(CELL("address",V252), "\$([A-Z]+)\$[0-9]+"))),_xlfn.REGEXEXTRACT(CELL("address",V252), "\$([A-Z]+)\$[0-9]+"))</f>
        <v/>
      </c>
      <c r="W252" s="7" t="str" cm="1">
        <f t="array" aca="1" ref="W252" ca="1">IFERROR(IF(OR('Raw Data'!W252="",LEN(TRIM('Raw Data'!W252))=0),"",IF(AND(ISNUMBER('Raw Data'!W252), IFERROR('Raw Data'!W252 = ROUND('Raw Data'!W252, 2),FALSE)),"",_xlfn.REGEXEXTRACT(CELL("address",W252), "\$([A-Z]+)\$[0-9]+"))),_xlfn.REGEXEXTRACT(CELL("address",W252), "\$([A-Z]+)\$[0-9]+"))</f>
        <v/>
      </c>
      <c r="X252" s="7" t="str" cm="1">
        <f t="array" aca="1" ref="X252" ca="1">IFERROR(IF(OR('Raw Data'!X252="",LEN(TRIM('Raw Data'!X252))=0),"",IF(AND(ISNUMBER('Raw Data'!X252), IFERROR('Raw Data'!X252 = ROUND('Raw Data'!X252, 2),FALSE)),"",_xlfn.REGEXEXTRACT(CELL("address",X252), "\$([A-Z]+)\$[0-9]+"))),_xlfn.REGEXEXTRACT(CELL("address",X252), "\$([A-Z]+)\$[0-9]+"))</f>
        <v/>
      </c>
      <c r="Y252" s="7" t="str" cm="1">
        <f t="array" aca="1" ref="Y252" ca="1">IFERROR(IF(OR('Raw Data'!Y252="",LEN(TRIM('Raw Data'!Y252))=0),"",IF(AND(ISNUMBER('Raw Data'!Y252), IFERROR('Raw Data'!Y252 = ROUND('Raw Data'!Y252, 2),FALSE)),"",_xlfn.REGEXEXTRACT(CELL("address",Y252), "\$([A-Z]+)\$[0-9]+"))),_xlfn.REGEXEXTRACT(CELL("address",Y252), "\$([A-Z]+)\$[0-9]+"))</f>
        <v/>
      </c>
      <c r="Z252" s="7" t="str" cm="1">
        <f t="array" aca="1" ref="Z252" ca="1">IFERROR(IF(OR('Raw Data'!Z252="",LEN(TRIM('Raw Data'!Z252))=0),"",IF(AND(ISNUMBER('Raw Data'!Z252), IFERROR('Raw Data'!Z252 = ROUND('Raw Data'!Z252, 2),FALSE)),"",_xlfn.REGEXEXTRACT(CELL("address",Z252), "\$([A-Z]+)\$[0-9]+"))),_xlfn.REGEXEXTRACT(CELL("address",Z252), "\$([A-Z]+)\$[0-9]+"))</f>
        <v/>
      </c>
      <c r="AA252" s="7" t="str" cm="1">
        <f t="array" aca="1" ref="AA252" ca="1">IFERROR(IF(OR('Raw Data'!AA252="",LEN(TRIM('Raw Data'!AA252))=0),"",IF(AND(ISNUMBER('Raw Data'!AA252), IFERROR('Raw Data'!AA252 = ROUND('Raw Data'!AA252, 2),FALSE)),"",_xlfn.REGEXEXTRACT(CELL("address",AA252), "\$([A-Z]+)\$[0-9]+"))),_xlfn.REGEXEXTRACT(CELL("address",AA252), "\$([A-Z]+)\$[0-9]+"))</f>
        <v/>
      </c>
      <c r="AB252" s="7" t="str" cm="1">
        <f t="array" aca="1" ref="AB252" ca="1">IFERROR(IF(OR('Raw Data'!AB252="",LEN(TRIM('Raw Data'!AB252))=0),"",IF(AND(ISNUMBER('Raw Data'!AB252), IFERROR('Raw Data'!AB252 = ROUND('Raw Data'!AB252, 2),FALSE)),"",_xlfn.REGEXEXTRACT(CELL("address",AB252), "\$([A-Z]+)\$[0-9]+"))),_xlfn.REGEXEXTRACT(CELL("address",AB252), "\$([A-Z]+)\$[0-9]+"))</f>
        <v/>
      </c>
    </row>
    <row r="253" spans="2:28" x14ac:dyDescent="0.25">
      <c r="B253" s="7" t="str" cm="1">
        <f t="array" aca="1" ref="B253" ca="1">IFERROR(IF(OR('Raw Data'!B253="",LEN(TRIM('Raw Data'!B253))=0),"",IF(AND(LEN('Raw Data'!B253) &lt;= 255,LEN('Raw Data'!B253)&gt; 0),"",_xlfn.REGEXEXTRACT(CELL("address",'Raw Data'!B253),"\$([A-Z]+)\$[0-9]+"))),_xlfn.REGEXEXTRACT(CELL("address",'Raw Data'!B253),"\$([A-Z]+)\$[0-9]+"))</f>
        <v/>
      </c>
      <c r="C253" s="7" t="str" cm="1">
        <f t="array" aca="1" ref="C253" ca="1">IFERROR(IF(OR('Raw Data'!C253="",LEN(TRIM('Raw Data'!C253))=0),"",IF(AND(LEN('Raw Data'!C253) &lt;= 20,LEN('Raw Data'!C253)&gt; 0),"",_xlfn.REGEXEXTRACT(CELL("address",'Raw Data'!C253),"\$([A-Z]+)\$[0-9]+"))),_xlfn.REGEXEXTRACT(CELL("address",'Raw Data'!C253),"\$([A-Z]+)\$[0-9]+"))</f>
        <v/>
      </c>
      <c r="D253" s="7" t="str" cm="1">
        <f t="array" aca="1" ref="D253" ca="1">IFERROR(IF(OR('Raw Data'!D253="",LEN(TRIM('Raw Data'!D253))=0),"",IF(AND(ISNUMBER('Raw Data'!D253),'Raw Data'!D253&gt;=Configuration!$D$2),"",_xlfn.REGEXEXTRACT(CELL("address",'Raw Data'!D253),"\$([A-Z]+)\$[0-9]+"))),_xlfn.REGEXEXTRACT(CELL("address",D253), "\$([A-Z]+)\$[0-9]+"))</f>
        <v/>
      </c>
      <c r="E253" s="7" t="str" cm="1">
        <f t="array" aca="1" ref="E253" ca="1">IFERROR(IF(OR('Raw Data'!E253="",LEN(TRIM('Raw Data'!E253))=0),"",IF(AND(ISNUMBER('Raw Data'!E253), IFERROR('Raw Data'!E253 = ROUND('Raw Data'!E253, 2),FALSE)),"",_xlfn.REGEXEXTRACT(CELL("address",E253), "\$([A-Z]+)\$[0-9]+"))),_xlfn.REGEXEXTRACT(CELL("address",E253), "\$([A-Z]+)\$[0-9]+"))</f>
        <v/>
      </c>
      <c r="F253" s="7" t="str" cm="1">
        <f t="array" aca="1" ref="F253" ca="1">IFERROR(IF(OR('Raw Data'!F253="",LEN(TRIM('Raw Data'!F253))=0),"",IF(AND(ISNUMBER('Raw Data'!F253), IFERROR('Raw Data'!F253 = ROUND('Raw Data'!F253, 2),FALSE)),"",_xlfn.REGEXEXTRACT(CELL("address",F253), "\$([A-Z]+)\$[0-9]+"))),_xlfn.REGEXEXTRACT(CELL("address",F253), "\$([A-Z]+)\$[0-9]+"))</f>
        <v/>
      </c>
      <c r="G253" s="7" t="str" cm="1">
        <f t="array" aca="1" ref="G253" ca="1">IFERROR(IF(OR('Raw Data'!G253="",LEN(TRIM('Raw Data'!G253))=0),"",IF(AND(ISNUMBER('Raw Data'!G253), IFERROR('Raw Data'!G253 = ROUND('Raw Data'!G253, 2),FALSE)),"",_xlfn.REGEXEXTRACT(CELL("address",G253), "\$([A-Z]+)\$[0-9]+"))),_xlfn.REGEXEXTRACT(CELL("address",G253), "\$([A-Z]+)\$[0-9]+"))</f>
        <v/>
      </c>
      <c r="H253" s="7" t="str" cm="1">
        <f t="array" aca="1" ref="H253" ca="1">IFERROR(IF(OR('Raw Data'!H253="",LEN(TRIM('Raw Data'!H253))=0),"",IF(AND(ISNUMBER('Raw Data'!H253), IFERROR('Raw Data'!H253 = ROUND('Raw Data'!H253, 2),FALSE)),"",_xlfn.REGEXEXTRACT(CELL("address",H253), "\$([A-Z]+)\$[0-9]+"))),_xlfn.REGEXEXTRACT(CELL("address",H253), "\$([A-Z]+)\$[0-9]+"))</f>
        <v/>
      </c>
      <c r="I253" s="7" t="str" cm="1">
        <f t="array" aca="1" ref="I253" ca="1">IFERROR(IF(OR('Raw Data'!I253="",LEN(TRIM('Raw Data'!I253))=0),"",IF(AND(ISNUMBER('Raw Data'!I253), IFERROR('Raw Data'!I253 = ROUND('Raw Data'!I253, 2),FALSE)),"",_xlfn.REGEXEXTRACT(CELL("address",I253), "\$([A-Z]+)\$[0-9]+"))),_xlfn.REGEXEXTRACT(CELL("address",I253), "\$([A-Z]+)\$[0-9]+"))</f>
        <v/>
      </c>
      <c r="J253" s="7" t="str" cm="1">
        <f t="array" aca="1" ref="J253" ca="1">IFERROR(IF(OR('Raw Data'!J253="",LEN(TRIM('Raw Data'!J253))=0),"",IF(AND(ISNUMBER('Raw Data'!J253), IFERROR('Raw Data'!J253 = ROUND('Raw Data'!J253, 2),FALSE)),"",_xlfn.REGEXEXTRACT(CELL("address",J253), "\$([A-Z]+)\$[0-9]+"))),_xlfn.REGEXEXTRACT(CELL("address",J253), "\$([A-Z]+)\$[0-9]+"))</f>
        <v/>
      </c>
      <c r="K253" s="7" t="str" cm="1">
        <f t="array" aca="1" ref="K253" ca="1">IFERROR(IF(OR('Raw Data'!K253="",LEN(TRIM('Raw Data'!K253))=0),"",IF(AND(ISNUMBER('Raw Data'!K253), IFERROR('Raw Data'!K253 = ROUND('Raw Data'!K253, 2),FALSE)),"",_xlfn.REGEXEXTRACT(CELL("address",K253), "\$([A-Z]+)\$[0-9]+"))),_xlfn.REGEXEXTRACT(CELL("address",K253), "\$([A-Z]+)\$[0-9]+"))</f>
        <v/>
      </c>
      <c r="L253" s="7" t="str" cm="1">
        <f t="array" aca="1" ref="L253" ca="1">IFERROR(IF(OR('Raw Data'!L253="",LEN(TRIM('Raw Data'!L253))=0),"",IF(AND(ISNUMBER('Raw Data'!L253), IFERROR('Raw Data'!L253 = ROUND('Raw Data'!L253, 2),FALSE)),"",_xlfn.REGEXEXTRACT(CELL("address",L253), "\$([A-Z]+)\$[0-9]+"))),_xlfn.REGEXEXTRACT(CELL("address",L253), "\$([A-Z]+)\$[0-9]+"))</f>
        <v/>
      </c>
      <c r="M253" s="7" t="str" cm="1">
        <f t="array" aca="1" ref="M253" ca="1">IFERROR(IF(OR('Raw Data'!M253="",LEN(TRIM('Raw Data'!M253))=0),"",IF(AND(ISNUMBER('Raw Data'!M253), IFERROR('Raw Data'!M253 = ROUND('Raw Data'!M253, 2),FALSE)),"",_xlfn.REGEXEXTRACT(CELL("address",M253), "\$([A-Z]+)\$[0-9]+"))),_xlfn.REGEXEXTRACT(CELL("address",M253), "\$([A-Z]+)\$[0-9]+"))</f>
        <v/>
      </c>
      <c r="N253" s="7" t="str" cm="1">
        <f t="array" aca="1" ref="N253" ca="1">IFERROR(IF(OR('Raw Data'!N253="",LEN(TRIM('Raw Data'!N253))=0),"",IF(AND(ISNUMBER('Raw Data'!N253), IFERROR('Raw Data'!N253 = ROUND('Raw Data'!N253, 2),FALSE)),"",_xlfn.REGEXEXTRACT(CELL("address",N253), "\$([A-Z]+)\$[0-9]+"))),_xlfn.REGEXEXTRACT(CELL("address",N253), "\$([A-Z]+)\$[0-9]+"))</f>
        <v/>
      </c>
      <c r="O253" s="7" t="str" cm="1">
        <f t="array" aca="1" ref="O253" ca="1">IFERROR(IF(OR('Raw Data'!O253="",LEN(TRIM('Raw Data'!O253))=0),"",IF(AND(ISNUMBER('Raw Data'!O253), IFERROR('Raw Data'!O253 = ROUND('Raw Data'!O253, 2),FALSE)),"",_xlfn.REGEXEXTRACT(CELL("address",O253), "\$([A-Z]+)\$[0-9]+"))),_xlfn.REGEXEXTRACT(CELL("address",O253), "\$([A-Z]+)\$[0-9]+"))</f>
        <v/>
      </c>
      <c r="P253" s="7" t="str" cm="1">
        <f t="array" aca="1" ref="P253" ca="1">IFERROR(IF(OR('Raw Data'!P253="",LEN(TRIM('Raw Data'!P253))=0),"",IF(AND(ISNUMBER('Raw Data'!P253), IFERROR('Raw Data'!P253 = ROUND('Raw Data'!P253, 2),FALSE)),"",_xlfn.REGEXEXTRACT(CELL("address",P253), "\$([A-Z]+)\$[0-9]+"))),_xlfn.REGEXEXTRACT(CELL("address",P253), "\$([A-Z]+)\$[0-9]+"))</f>
        <v/>
      </c>
      <c r="Q253" s="7" t="str" cm="1">
        <f t="array" aca="1" ref="Q253" ca="1">IFERROR(IF(OR('Raw Data'!Q253="",LEN(TRIM('Raw Data'!Q253))=0),"",IF(AND(ISNUMBER('Raw Data'!Q253), IFERROR('Raw Data'!Q253 = ROUND('Raw Data'!Q253, 2),FALSE)),"",_xlfn.REGEXEXTRACT(CELL("address",Q253), "\$([A-Z]+)\$[0-9]+"))),_xlfn.REGEXEXTRACT(CELL("address",Q253), "\$([A-Z]+)\$[0-9]+"))</f>
        <v/>
      </c>
      <c r="R253" s="7" t="str" cm="1">
        <f t="array" aca="1" ref="R253" ca="1">IFERROR(IF(OR('Raw Data'!R253="",LEN(TRIM('Raw Data'!R253))=0),"",IF(AND(ISNUMBER('Raw Data'!R253), IFERROR('Raw Data'!R253 = ROUND('Raw Data'!R253, 2),FALSE)),"",_xlfn.REGEXEXTRACT(CELL("address",R253), "\$([A-Z]+)\$[0-9]+"))),_xlfn.REGEXEXTRACT(CELL("address",R253), "\$([A-Z]+)\$[0-9]+"))</f>
        <v/>
      </c>
      <c r="S253" s="7" t="str" cm="1">
        <f t="array" aca="1" ref="S253" ca="1">IFERROR(IF(OR('Raw Data'!S253="",LEN(TRIM('Raw Data'!S253))=0),"",IF(AND(ISNUMBER('Raw Data'!S253), IFERROR('Raw Data'!S253 = ROUND('Raw Data'!S253, 2),FALSE)),"",_xlfn.REGEXEXTRACT(CELL("address",S253), "\$([A-Z]+)\$[0-9]+"))),_xlfn.REGEXEXTRACT(CELL("address",S253), "\$([A-Z]+)\$[0-9]+"))</f>
        <v/>
      </c>
      <c r="T253" s="7" t="str" cm="1">
        <f t="array" aca="1" ref="T253" ca="1">IFERROR(IF(OR('Raw Data'!T253="",LEN(TRIM('Raw Data'!T253))=0),"",IF(AND(ISNUMBER('Raw Data'!T253), IFERROR('Raw Data'!T253 = ROUND('Raw Data'!T253, 2),FALSE)),"",_xlfn.REGEXEXTRACT(CELL("address",T253), "\$([A-Z]+)\$[0-9]+"))),_xlfn.REGEXEXTRACT(CELL("address",T253), "\$([A-Z]+)\$[0-9]+"))</f>
        <v/>
      </c>
      <c r="U253" s="7" t="str" cm="1">
        <f t="array" aca="1" ref="U253" ca="1">IFERROR(IF(OR('Raw Data'!U253="",LEN(TRIM('Raw Data'!U253))=0),"",IF(AND(ISNUMBER('Raw Data'!U253), IFERROR('Raw Data'!U253 = ROUND('Raw Data'!U253, 2),FALSE)),"",_xlfn.REGEXEXTRACT(CELL("address",U253), "\$([A-Z]+)\$[0-9]+"))),_xlfn.REGEXEXTRACT(CELL("address",U253), "\$([A-Z]+)\$[0-9]+"))</f>
        <v/>
      </c>
      <c r="V253" s="7" t="str" cm="1">
        <f t="array" aca="1" ref="V253" ca="1">IFERROR(IF(OR('Raw Data'!V253="",LEN(TRIM('Raw Data'!V253))=0),"",IF(AND(ISNUMBER('Raw Data'!V253), IFERROR('Raw Data'!V253 = ROUND('Raw Data'!V253, 2),FALSE)),"",_xlfn.REGEXEXTRACT(CELL("address",V253), "\$([A-Z]+)\$[0-9]+"))),_xlfn.REGEXEXTRACT(CELL("address",V253), "\$([A-Z]+)\$[0-9]+"))</f>
        <v/>
      </c>
      <c r="W253" s="7" t="str" cm="1">
        <f t="array" aca="1" ref="W253" ca="1">IFERROR(IF(OR('Raw Data'!W253="",LEN(TRIM('Raw Data'!W253))=0),"",IF(AND(ISNUMBER('Raw Data'!W253), IFERROR('Raw Data'!W253 = ROUND('Raw Data'!W253, 2),FALSE)),"",_xlfn.REGEXEXTRACT(CELL("address",W253), "\$([A-Z]+)\$[0-9]+"))),_xlfn.REGEXEXTRACT(CELL("address",W253), "\$([A-Z]+)\$[0-9]+"))</f>
        <v/>
      </c>
      <c r="X253" s="7" t="str" cm="1">
        <f t="array" aca="1" ref="X253" ca="1">IFERROR(IF(OR('Raw Data'!X253="",LEN(TRIM('Raw Data'!X253))=0),"",IF(AND(ISNUMBER('Raw Data'!X253), IFERROR('Raw Data'!X253 = ROUND('Raw Data'!X253, 2),FALSE)),"",_xlfn.REGEXEXTRACT(CELL("address",X253), "\$([A-Z]+)\$[0-9]+"))),_xlfn.REGEXEXTRACT(CELL("address",X253), "\$([A-Z]+)\$[0-9]+"))</f>
        <v/>
      </c>
      <c r="Y253" s="7" t="str" cm="1">
        <f t="array" aca="1" ref="Y253" ca="1">IFERROR(IF(OR('Raw Data'!Y253="",LEN(TRIM('Raw Data'!Y253))=0),"",IF(AND(ISNUMBER('Raw Data'!Y253), IFERROR('Raw Data'!Y253 = ROUND('Raw Data'!Y253, 2),FALSE)),"",_xlfn.REGEXEXTRACT(CELL("address",Y253), "\$([A-Z]+)\$[0-9]+"))),_xlfn.REGEXEXTRACT(CELL("address",Y253), "\$([A-Z]+)\$[0-9]+"))</f>
        <v/>
      </c>
      <c r="Z253" s="7" t="str" cm="1">
        <f t="array" aca="1" ref="Z253" ca="1">IFERROR(IF(OR('Raw Data'!Z253="",LEN(TRIM('Raw Data'!Z253))=0),"",IF(AND(ISNUMBER('Raw Data'!Z253), IFERROR('Raw Data'!Z253 = ROUND('Raw Data'!Z253, 2),FALSE)),"",_xlfn.REGEXEXTRACT(CELL("address",Z253), "\$([A-Z]+)\$[0-9]+"))),_xlfn.REGEXEXTRACT(CELL("address",Z253), "\$([A-Z]+)\$[0-9]+"))</f>
        <v/>
      </c>
      <c r="AA253" s="7" t="str" cm="1">
        <f t="array" aca="1" ref="AA253" ca="1">IFERROR(IF(OR('Raw Data'!AA253="",LEN(TRIM('Raw Data'!AA253))=0),"",IF(AND(ISNUMBER('Raw Data'!AA253), IFERROR('Raw Data'!AA253 = ROUND('Raw Data'!AA253, 2),FALSE)),"",_xlfn.REGEXEXTRACT(CELL("address",AA253), "\$([A-Z]+)\$[0-9]+"))),_xlfn.REGEXEXTRACT(CELL("address",AA253), "\$([A-Z]+)\$[0-9]+"))</f>
        <v/>
      </c>
      <c r="AB253" s="7" t="str" cm="1">
        <f t="array" aca="1" ref="AB253" ca="1">IFERROR(IF(OR('Raw Data'!AB253="",LEN(TRIM('Raw Data'!AB253))=0),"",IF(AND(ISNUMBER('Raw Data'!AB253), IFERROR('Raw Data'!AB253 = ROUND('Raw Data'!AB253, 2),FALSE)),"",_xlfn.REGEXEXTRACT(CELL("address",AB253), "\$([A-Z]+)\$[0-9]+"))),_xlfn.REGEXEXTRACT(CELL("address",AB253), "\$([A-Z]+)\$[0-9]+"))</f>
        <v/>
      </c>
    </row>
    <row r="254" spans="2:28" x14ac:dyDescent="0.25">
      <c r="B254" s="7" t="str" cm="1">
        <f t="array" aca="1" ref="B254" ca="1">IFERROR(IF(OR('Raw Data'!B254="",LEN(TRIM('Raw Data'!B254))=0),"",IF(AND(LEN('Raw Data'!B254) &lt;= 255,LEN('Raw Data'!B254)&gt; 0),"",_xlfn.REGEXEXTRACT(CELL("address",'Raw Data'!B254),"\$([A-Z]+)\$[0-9]+"))),_xlfn.REGEXEXTRACT(CELL("address",'Raw Data'!B254),"\$([A-Z]+)\$[0-9]+"))</f>
        <v/>
      </c>
      <c r="C254" s="7" t="str" cm="1">
        <f t="array" aca="1" ref="C254" ca="1">IFERROR(IF(OR('Raw Data'!C254="",LEN(TRIM('Raw Data'!C254))=0),"",IF(AND(LEN('Raw Data'!C254) &lt;= 20,LEN('Raw Data'!C254)&gt; 0),"",_xlfn.REGEXEXTRACT(CELL("address",'Raw Data'!C254),"\$([A-Z]+)\$[0-9]+"))),_xlfn.REGEXEXTRACT(CELL("address",'Raw Data'!C254),"\$([A-Z]+)\$[0-9]+"))</f>
        <v/>
      </c>
      <c r="D254" s="7" t="str" cm="1">
        <f t="array" aca="1" ref="D254" ca="1">IFERROR(IF(OR('Raw Data'!D254="",LEN(TRIM('Raw Data'!D254))=0),"",IF(AND(ISNUMBER('Raw Data'!D254),'Raw Data'!D254&gt;=Configuration!$D$2),"",_xlfn.REGEXEXTRACT(CELL("address",'Raw Data'!D254),"\$([A-Z]+)\$[0-9]+"))),_xlfn.REGEXEXTRACT(CELL("address",D254), "\$([A-Z]+)\$[0-9]+"))</f>
        <v/>
      </c>
      <c r="E254" s="7" t="str" cm="1">
        <f t="array" aca="1" ref="E254" ca="1">IFERROR(IF(OR('Raw Data'!E254="",LEN(TRIM('Raw Data'!E254))=0),"",IF(AND(ISNUMBER('Raw Data'!E254), IFERROR('Raw Data'!E254 = ROUND('Raw Data'!E254, 2),FALSE)),"",_xlfn.REGEXEXTRACT(CELL("address",E254), "\$([A-Z]+)\$[0-9]+"))),_xlfn.REGEXEXTRACT(CELL("address",E254), "\$([A-Z]+)\$[0-9]+"))</f>
        <v/>
      </c>
      <c r="F254" s="7" t="str" cm="1">
        <f t="array" aca="1" ref="F254" ca="1">IFERROR(IF(OR('Raw Data'!F254="",LEN(TRIM('Raw Data'!F254))=0),"",IF(AND(ISNUMBER('Raw Data'!F254), IFERROR('Raw Data'!F254 = ROUND('Raw Data'!F254, 2),FALSE)),"",_xlfn.REGEXEXTRACT(CELL("address",F254), "\$([A-Z]+)\$[0-9]+"))),_xlfn.REGEXEXTRACT(CELL("address",F254), "\$([A-Z]+)\$[0-9]+"))</f>
        <v/>
      </c>
      <c r="G254" s="7" t="str" cm="1">
        <f t="array" aca="1" ref="G254" ca="1">IFERROR(IF(OR('Raw Data'!G254="",LEN(TRIM('Raw Data'!G254))=0),"",IF(AND(ISNUMBER('Raw Data'!G254), IFERROR('Raw Data'!G254 = ROUND('Raw Data'!G254, 2),FALSE)),"",_xlfn.REGEXEXTRACT(CELL("address",G254), "\$([A-Z]+)\$[0-9]+"))),_xlfn.REGEXEXTRACT(CELL("address",G254), "\$([A-Z]+)\$[0-9]+"))</f>
        <v/>
      </c>
      <c r="H254" s="7" t="str" cm="1">
        <f t="array" aca="1" ref="H254" ca="1">IFERROR(IF(OR('Raw Data'!H254="",LEN(TRIM('Raw Data'!H254))=0),"",IF(AND(ISNUMBER('Raw Data'!H254), IFERROR('Raw Data'!H254 = ROUND('Raw Data'!H254, 2),FALSE)),"",_xlfn.REGEXEXTRACT(CELL("address",H254), "\$([A-Z]+)\$[0-9]+"))),_xlfn.REGEXEXTRACT(CELL("address",H254), "\$([A-Z]+)\$[0-9]+"))</f>
        <v/>
      </c>
      <c r="I254" s="7" t="str" cm="1">
        <f t="array" aca="1" ref="I254" ca="1">IFERROR(IF(OR('Raw Data'!I254="",LEN(TRIM('Raw Data'!I254))=0),"",IF(AND(ISNUMBER('Raw Data'!I254), IFERROR('Raw Data'!I254 = ROUND('Raw Data'!I254, 2),FALSE)),"",_xlfn.REGEXEXTRACT(CELL("address",I254), "\$([A-Z]+)\$[0-9]+"))),_xlfn.REGEXEXTRACT(CELL("address",I254), "\$([A-Z]+)\$[0-9]+"))</f>
        <v/>
      </c>
      <c r="J254" s="7" t="str" cm="1">
        <f t="array" aca="1" ref="J254" ca="1">IFERROR(IF(OR('Raw Data'!J254="",LEN(TRIM('Raw Data'!J254))=0),"",IF(AND(ISNUMBER('Raw Data'!J254), IFERROR('Raw Data'!J254 = ROUND('Raw Data'!J254, 2),FALSE)),"",_xlfn.REGEXEXTRACT(CELL("address",J254), "\$([A-Z]+)\$[0-9]+"))),_xlfn.REGEXEXTRACT(CELL("address",J254), "\$([A-Z]+)\$[0-9]+"))</f>
        <v/>
      </c>
      <c r="K254" s="7" t="str" cm="1">
        <f t="array" aca="1" ref="K254" ca="1">IFERROR(IF(OR('Raw Data'!K254="",LEN(TRIM('Raw Data'!K254))=0),"",IF(AND(ISNUMBER('Raw Data'!K254), IFERROR('Raw Data'!K254 = ROUND('Raw Data'!K254, 2),FALSE)),"",_xlfn.REGEXEXTRACT(CELL("address",K254), "\$([A-Z]+)\$[0-9]+"))),_xlfn.REGEXEXTRACT(CELL("address",K254), "\$([A-Z]+)\$[0-9]+"))</f>
        <v/>
      </c>
      <c r="L254" s="7" t="str" cm="1">
        <f t="array" aca="1" ref="L254" ca="1">IFERROR(IF(OR('Raw Data'!L254="",LEN(TRIM('Raw Data'!L254))=0),"",IF(AND(ISNUMBER('Raw Data'!L254), IFERROR('Raw Data'!L254 = ROUND('Raw Data'!L254, 2),FALSE)),"",_xlfn.REGEXEXTRACT(CELL("address",L254), "\$([A-Z]+)\$[0-9]+"))),_xlfn.REGEXEXTRACT(CELL("address",L254), "\$([A-Z]+)\$[0-9]+"))</f>
        <v/>
      </c>
      <c r="M254" s="7" t="str" cm="1">
        <f t="array" aca="1" ref="M254" ca="1">IFERROR(IF(OR('Raw Data'!M254="",LEN(TRIM('Raw Data'!M254))=0),"",IF(AND(ISNUMBER('Raw Data'!M254), IFERROR('Raw Data'!M254 = ROUND('Raw Data'!M254, 2),FALSE)),"",_xlfn.REGEXEXTRACT(CELL("address",M254), "\$([A-Z]+)\$[0-9]+"))),_xlfn.REGEXEXTRACT(CELL("address",M254), "\$([A-Z]+)\$[0-9]+"))</f>
        <v/>
      </c>
      <c r="N254" s="7" t="str" cm="1">
        <f t="array" aca="1" ref="N254" ca="1">IFERROR(IF(OR('Raw Data'!N254="",LEN(TRIM('Raw Data'!N254))=0),"",IF(AND(ISNUMBER('Raw Data'!N254), IFERROR('Raw Data'!N254 = ROUND('Raw Data'!N254, 2),FALSE)),"",_xlfn.REGEXEXTRACT(CELL("address",N254), "\$([A-Z]+)\$[0-9]+"))),_xlfn.REGEXEXTRACT(CELL("address",N254), "\$([A-Z]+)\$[0-9]+"))</f>
        <v/>
      </c>
      <c r="O254" s="7" t="str" cm="1">
        <f t="array" aca="1" ref="O254" ca="1">IFERROR(IF(OR('Raw Data'!O254="",LEN(TRIM('Raw Data'!O254))=0),"",IF(AND(ISNUMBER('Raw Data'!O254), IFERROR('Raw Data'!O254 = ROUND('Raw Data'!O254, 2),FALSE)),"",_xlfn.REGEXEXTRACT(CELL("address",O254), "\$([A-Z]+)\$[0-9]+"))),_xlfn.REGEXEXTRACT(CELL("address",O254), "\$([A-Z]+)\$[0-9]+"))</f>
        <v/>
      </c>
      <c r="P254" s="7" t="str" cm="1">
        <f t="array" aca="1" ref="P254" ca="1">IFERROR(IF(OR('Raw Data'!P254="",LEN(TRIM('Raw Data'!P254))=0),"",IF(AND(ISNUMBER('Raw Data'!P254), IFERROR('Raw Data'!P254 = ROUND('Raw Data'!P254, 2),FALSE)),"",_xlfn.REGEXEXTRACT(CELL("address",P254), "\$([A-Z]+)\$[0-9]+"))),_xlfn.REGEXEXTRACT(CELL("address",P254), "\$([A-Z]+)\$[0-9]+"))</f>
        <v/>
      </c>
      <c r="Q254" s="7" t="str" cm="1">
        <f t="array" aca="1" ref="Q254" ca="1">IFERROR(IF(OR('Raw Data'!Q254="",LEN(TRIM('Raw Data'!Q254))=0),"",IF(AND(ISNUMBER('Raw Data'!Q254), IFERROR('Raw Data'!Q254 = ROUND('Raw Data'!Q254, 2),FALSE)),"",_xlfn.REGEXEXTRACT(CELL("address",Q254), "\$([A-Z]+)\$[0-9]+"))),_xlfn.REGEXEXTRACT(CELL("address",Q254), "\$([A-Z]+)\$[0-9]+"))</f>
        <v/>
      </c>
      <c r="R254" s="7" t="str" cm="1">
        <f t="array" aca="1" ref="R254" ca="1">IFERROR(IF(OR('Raw Data'!R254="",LEN(TRIM('Raw Data'!R254))=0),"",IF(AND(ISNUMBER('Raw Data'!R254), IFERROR('Raw Data'!R254 = ROUND('Raw Data'!R254, 2),FALSE)),"",_xlfn.REGEXEXTRACT(CELL("address",R254), "\$([A-Z]+)\$[0-9]+"))),_xlfn.REGEXEXTRACT(CELL("address",R254), "\$([A-Z]+)\$[0-9]+"))</f>
        <v/>
      </c>
      <c r="S254" s="7" t="str" cm="1">
        <f t="array" aca="1" ref="S254" ca="1">IFERROR(IF(OR('Raw Data'!S254="",LEN(TRIM('Raw Data'!S254))=0),"",IF(AND(ISNUMBER('Raw Data'!S254), IFERROR('Raw Data'!S254 = ROUND('Raw Data'!S254, 2),FALSE)),"",_xlfn.REGEXEXTRACT(CELL("address",S254), "\$([A-Z]+)\$[0-9]+"))),_xlfn.REGEXEXTRACT(CELL("address",S254), "\$([A-Z]+)\$[0-9]+"))</f>
        <v/>
      </c>
      <c r="T254" s="7" t="str" cm="1">
        <f t="array" aca="1" ref="T254" ca="1">IFERROR(IF(OR('Raw Data'!T254="",LEN(TRIM('Raw Data'!T254))=0),"",IF(AND(ISNUMBER('Raw Data'!T254), IFERROR('Raw Data'!T254 = ROUND('Raw Data'!T254, 2),FALSE)),"",_xlfn.REGEXEXTRACT(CELL("address",T254), "\$([A-Z]+)\$[0-9]+"))),_xlfn.REGEXEXTRACT(CELL("address",T254), "\$([A-Z]+)\$[0-9]+"))</f>
        <v/>
      </c>
      <c r="U254" s="7" t="str" cm="1">
        <f t="array" aca="1" ref="U254" ca="1">IFERROR(IF(OR('Raw Data'!U254="",LEN(TRIM('Raw Data'!U254))=0),"",IF(AND(ISNUMBER('Raw Data'!U254), IFERROR('Raw Data'!U254 = ROUND('Raw Data'!U254, 2),FALSE)),"",_xlfn.REGEXEXTRACT(CELL("address",U254), "\$([A-Z]+)\$[0-9]+"))),_xlfn.REGEXEXTRACT(CELL("address",U254), "\$([A-Z]+)\$[0-9]+"))</f>
        <v/>
      </c>
      <c r="V254" s="7" t="str" cm="1">
        <f t="array" aca="1" ref="V254" ca="1">IFERROR(IF(OR('Raw Data'!V254="",LEN(TRIM('Raw Data'!V254))=0),"",IF(AND(ISNUMBER('Raw Data'!V254), IFERROR('Raw Data'!V254 = ROUND('Raw Data'!V254, 2),FALSE)),"",_xlfn.REGEXEXTRACT(CELL("address",V254), "\$([A-Z]+)\$[0-9]+"))),_xlfn.REGEXEXTRACT(CELL("address",V254), "\$([A-Z]+)\$[0-9]+"))</f>
        <v/>
      </c>
      <c r="W254" s="7" t="str" cm="1">
        <f t="array" aca="1" ref="W254" ca="1">IFERROR(IF(OR('Raw Data'!W254="",LEN(TRIM('Raw Data'!W254))=0),"",IF(AND(ISNUMBER('Raw Data'!W254), IFERROR('Raw Data'!W254 = ROUND('Raw Data'!W254, 2),FALSE)),"",_xlfn.REGEXEXTRACT(CELL("address",W254), "\$([A-Z]+)\$[0-9]+"))),_xlfn.REGEXEXTRACT(CELL("address",W254), "\$([A-Z]+)\$[0-9]+"))</f>
        <v/>
      </c>
      <c r="X254" s="7" t="str" cm="1">
        <f t="array" aca="1" ref="X254" ca="1">IFERROR(IF(OR('Raw Data'!X254="",LEN(TRIM('Raw Data'!X254))=0),"",IF(AND(ISNUMBER('Raw Data'!X254), IFERROR('Raw Data'!X254 = ROUND('Raw Data'!X254, 2),FALSE)),"",_xlfn.REGEXEXTRACT(CELL("address",X254), "\$([A-Z]+)\$[0-9]+"))),_xlfn.REGEXEXTRACT(CELL("address",X254), "\$([A-Z]+)\$[0-9]+"))</f>
        <v/>
      </c>
      <c r="Y254" s="7" t="str" cm="1">
        <f t="array" aca="1" ref="Y254" ca="1">IFERROR(IF(OR('Raw Data'!Y254="",LEN(TRIM('Raw Data'!Y254))=0),"",IF(AND(ISNUMBER('Raw Data'!Y254), IFERROR('Raw Data'!Y254 = ROUND('Raw Data'!Y254, 2),FALSE)),"",_xlfn.REGEXEXTRACT(CELL("address",Y254), "\$([A-Z]+)\$[0-9]+"))),_xlfn.REGEXEXTRACT(CELL("address",Y254), "\$([A-Z]+)\$[0-9]+"))</f>
        <v/>
      </c>
      <c r="Z254" s="7" t="str" cm="1">
        <f t="array" aca="1" ref="Z254" ca="1">IFERROR(IF(OR('Raw Data'!Z254="",LEN(TRIM('Raw Data'!Z254))=0),"",IF(AND(ISNUMBER('Raw Data'!Z254), IFERROR('Raw Data'!Z254 = ROUND('Raw Data'!Z254, 2),FALSE)),"",_xlfn.REGEXEXTRACT(CELL("address",Z254), "\$([A-Z]+)\$[0-9]+"))),_xlfn.REGEXEXTRACT(CELL("address",Z254), "\$([A-Z]+)\$[0-9]+"))</f>
        <v/>
      </c>
      <c r="AA254" s="7" t="str" cm="1">
        <f t="array" aca="1" ref="AA254" ca="1">IFERROR(IF(OR('Raw Data'!AA254="",LEN(TRIM('Raw Data'!AA254))=0),"",IF(AND(ISNUMBER('Raw Data'!AA254), IFERROR('Raw Data'!AA254 = ROUND('Raw Data'!AA254, 2),FALSE)),"",_xlfn.REGEXEXTRACT(CELL("address",AA254), "\$([A-Z]+)\$[0-9]+"))),_xlfn.REGEXEXTRACT(CELL("address",AA254), "\$([A-Z]+)\$[0-9]+"))</f>
        <v/>
      </c>
      <c r="AB254" s="7" t="str" cm="1">
        <f t="array" aca="1" ref="AB254" ca="1">IFERROR(IF(OR('Raw Data'!AB254="",LEN(TRIM('Raw Data'!AB254))=0),"",IF(AND(ISNUMBER('Raw Data'!AB254), IFERROR('Raw Data'!AB254 = ROUND('Raw Data'!AB254, 2),FALSE)),"",_xlfn.REGEXEXTRACT(CELL("address",AB254), "\$([A-Z]+)\$[0-9]+"))),_xlfn.REGEXEXTRACT(CELL("address",AB254), "\$([A-Z]+)\$[0-9]+"))</f>
        <v/>
      </c>
    </row>
    <row r="255" spans="2:28" x14ac:dyDescent="0.25">
      <c r="B255" s="7" t="str" cm="1">
        <f t="array" aca="1" ref="B255" ca="1">IFERROR(IF(OR('Raw Data'!B255="",LEN(TRIM('Raw Data'!B255))=0),"",IF(AND(LEN('Raw Data'!B255) &lt;= 255,LEN('Raw Data'!B255)&gt; 0),"",_xlfn.REGEXEXTRACT(CELL("address",'Raw Data'!B255),"\$([A-Z]+)\$[0-9]+"))),_xlfn.REGEXEXTRACT(CELL("address",'Raw Data'!B255),"\$([A-Z]+)\$[0-9]+"))</f>
        <v/>
      </c>
      <c r="C255" s="7" t="str" cm="1">
        <f t="array" aca="1" ref="C255" ca="1">IFERROR(IF(OR('Raw Data'!C255="",LEN(TRIM('Raw Data'!C255))=0),"",IF(AND(LEN('Raw Data'!C255) &lt;= 20,LEN('Raw Data'!C255)&gt; 0),"",_xlfn.REGEXEXTRACT(CELL("address",'Raw Data'!C255),"\$([A-Z]+)\$[0-9]+"))),_xlfn.REGEXEXTRACT(CELL("address",'Raw Data'!C255),"\$([A-Z]+)\$[0-9]+"))</f>
        <v/>
      </c>
      <c r="D255" s="7" t="str" cm="1">
        <f t="array" aca="1" ref="D255" ca="1">IFERROR(IF(OR('Raw Data'!D255="",LEN(TRIM('Raw Data'!D255))=0),"",IF(AND(ISNUMBER('Raw Data'!D255),'Raw Data'!D255&gt;=Configuration!$D$2),"",_xlfn.REGEXEXTRACT(CELL("address",'Raw Data'!D255),"\$([A-Z]+)\$[0-9]+"))),_xlfn.REGEXEXTRACT(CELL("address",D255), "\$([A-Z]+)\$[0-9]+"))</f>
        <v/>
      </c>
      <c r="E255" s="7" t="str" cm="1">
        <f t="array" aca="1" ref="E255" ca="1">IFERROR(IF(OR('Raw Data'!E255="",LEN(TRIM('Raw Data'!E255))=0),"",IF(AND(ISNUMBER('Raw Data'!E255), IFERROR('Raw Data'!E255 = ROUND('Raw Data'!E255, 2),FALSE)),"",_xlfn.REGEXEXTRACT(CELL("address",E255), "\$([A-Z]+)\$[0-9]+"))),_xlfn.REGEXEXTRACT(CELL("address",E255), "\$([A-Z]+)\$[0-9]+"))</f>
        <v/>
      </c>
      <c r="F255" s="7" t="str" cm="1">
        <f t="array" aca="1" ref="F255" ca="1">IFERROR(IF(OR('Raw Data'!F255="",LEN(TRIM('Raw Data'!F255))=0),"",IF(AND(ISNUMBER('Raw Data'!F255), IFERROR('Raw Data'!F255 = ROUND('Raw Data'!F255, 2),FALSE)),"",_xlfn.REGEXEXTRACT(CELL("address",F255), "\$([A-Z]+)\$[0-9]+"))),_xlfn.REGEXEXTRACT(CELL("address",F255), "\$([A-Z]+)\$[0-9]+"))</f>
        <v/>
      </c>
      <c r="G255" s="7" t="str" cm="1">
        <f t="array" aca="1" ref="G255" ca="1">IFERROR(IF(OR('Raw Data'!G255="",LEN(TRIM('Raw Data'!G255))=0),"",IF(AND(ISNUMBER('Raw Data'!G255), IFERROR('Raw Data'!G255 = ROUND('Raw Data'!G255, 2),FALSE)),"",_xlfn.REGEXEXTRACT(CELL("address",G255), "\$([A-Z]+)\$[0-9]+"))),_xlfn.REGEXEXTRACT(CELL("address",G255), "\$([A-Z]+)\$[0-9]+"))</f>
        <v/>
      </c>
      <c r="H255" s="7" t="str" cm="1">
        <f t="array" aca="1" ref="H255" ca="1">IFERROR(IF(OR('Raw Data'!H255="",LEN(TRIM('Raw Data'!H255))=0),"",IF(AND(ISNUMBER('Raw Data'!H255), IFERROR('Raw Data'!H255 = ROUND('Raw Data'!H255, 2),FALSE)),"",_xlfn.REGEXEXTRACT(CELL("address",H255), "\$([A-Z]+)\$[0-9]+"))),_xlfn.REGEXEXTRACT(CELL("address",H255), "\$([A-Z]+)\$[0-9]+"))</f>
        <v/>
      </c>
      <c r="I255" s="7" t="str" cm="1">
        <f t="array" aca="1" ref="I255" ca="1">IFERROR(IF(OR('Raw Data'!I255="",LEN(TRIM('Raw Data'!I255))=0),"",IF(AND(ISNUMBER('Raw Data'!I255), IFERROR('Raw Data'!I255 = ROUND('Raw Data'!I255, 2),FALSE)),"",_xlfn.REGEXEXTRACT(CELL("address",I255), "\$([A-Z]+)\$[0-9]+"))),_xlfn.REGEXEXTRACT(CELL("address",I255), "\$([A-Z]+)\$[0-9]+"))</f>
        <v/>
      </c>
      <c r="J255" s="7" t="str" cm="1">
        <f t="array" aca="1" ref="J255" ca="1">IFERROR(IF(OR('Raw Data'!J255="",LEN(TRIM('Raw Data'!J255))=0),"",IF(AND(ISNUMBER('Raw Data'!J255), IFERROR('Raw Data'!J255 = ROUND('Raw Data'!J255, 2),FALSE)),"",_xlfn.REGEXEXTRACT(CELL("address",J255), "\$([A-Z]+)\$[0-9]+"))),_xlfn.REGEXEXTRACT(CELL("address",J255), "\$([A-Z]+)\$[0-9]+"))</f>
        <v/>
      </c>
      <c r="K255" s="7" t="str" cm="1">
        <f t="array" aca="1" ref="K255" ca="1">IFERROR(IF(OR('Raw Data'!K255="",LEN(TRIM('Raw Data'!K255))=0),"",IF(AND(ISNUMBER('Raw Data'!K255), IFERROR('Raw Data'!K255 = ROUND('Raw Data'!K255, 2),FALSE)),"",_xlfn.REGEXEXTRACT(CELL("address",K255), "\$([A-Z]+)\$[0-9]+"))),_xlfn.REGEXEXTRACT(CELL("address",K255), "\$([A-Z]+)\$[0-9]+"))</f>
        <v/>
      </c>
      <c r="L255" s="7" t="str" cm="1">
        <f t="array" aca="1" ref="L255" ca="1">IFERROR(IF(OR('Raw Data'!L255="",LEN(TRIM('Raw Data'!L255))=0),"",IF(AND(ISNUMBER('Raw Data'!L255), IFERROR('Raw Data'!L255 = ROUND('Raw Data'!L255, 2),FALSE)),"",_xlfn.REGEXEXTRACT(CELL("address",L255), "\$([A-Z]+)\$[0-9]+"))),_xlfn.REGEXEXTRACT(CELL("address",L255), "\$([A-Z]+)\$[0-9]+"))</f>
        <v/>
      </c>
      <c r="M255" s="7" t="str" cm="1">
        <f t="array" aca="1" ref="M255" ca="1">IFERROR(IF(OR('Raw Data'!M255="",LEN(TRIM('Raw Data'!M255))=0),"",IF(AND(ISNUMBER('Raw Data'!M255), IFERROR('Raw Data'!M255 = ROUND('Raw Data'!M255, 2),FALSE)),"",_xlfn.REGEXEXTRACT(CELL("address",M255), "\$([A-Z]+)\$[0-9]+"))),_xlfn.REGEXEXTRACT(CELL("address",M255), "\$([A-Z]+)\$[0-9]+"))</f>
        <v/>
      </c>
      <c r="N255" s="7" t="str" cm="1">
        <f t="array" aca="1" ref="N255" ca="1">IFERROR(IF(OR('Raw Data'!N255="",LEN(TRIM('Raw Data'!N255))=0),"",IF(AND(ISNUMBER('Raw Data'!N255), IFERROR('Raw Data'!N255 = ROUND('Raw Data'!N255, 2),FALSE)),"",_xlfn.REGEXEXTRACT(CELL("address",N255), "\$([A-Z]+)\$[0-9]+"))),_xlfn.REGEXEXTRACT(CELL("address",N255), "\$([A-Z]+)\$[0-9]+"))</f>
        <v/>
      </c>
      <c r="O255" s="7" t="str" cm="1">
        <f t="array" aca="1" ref="O255" ca="1">IFERROR(IF(OR('Raw Data'!O255="",LEN(TRIM('Raw Data'!O255))=0),"",IF(AND(ISNUMBER('Raw Data'!O255), IFERROR('Raw Data'!O255 = ROUND('Raw Data'!O255, 2),FALSE)),"",_xlfn.REGEXEXTRACT(CELL("address",O255), "\$([A-Z]+)\$[0-9]+"))),_xlfn.REGEXEXTRACT(CELL("address",O255), "\$([A-Z]+)\$[0-9]+"))</f>
        <v/>
      </c>
      <c r="P255" s="7" t="str" cm="1">
        <f t="array" aca="1" ref="P255" ca="1">IFERROR(IF(OR('Raw Data'!P255="",LEN(TRIM('Raw Data'!P255))=0),"",IF(AND(ISNUMBER('Raw Data'!P255), IFERROR('Raw Data'!P255 = ROUND('Raw Data'!P255, 2),FALSE)),"",_xlfn.REGEXEXTRACT(CELL("address",P255), "\$([A-Z]+)\$[0-9]+"))),_xlfn.REGEXEXTRACT(CELL("address",P255), "\$([A-Z]+)\$[0-9]+"))</f>
        <v/>
      </c>
      <c r="Q255" s="7" t="str" cm="1">
        <f t="array" aca="1" ref="Q255" ca="1">IFERROR(IF(OR('Raw Data'!Q255="",LEN(TRIM('Raw Data'!Q255))=0),"",IF(AND(ISNUMBER('Raw Data'!Q255), IFERROR('Raw Data'!Q255 = ROUND('Raw Data'!Q255, 2),FALSE)),"",_xlfn.REGEXEXTRACT(CELL("address",Q255), "\$([A-Z]+)\$[0-9]+"))),_xlfn.REGEXEXTRACT(CELL("address",Q255), "\$([A-Z]+)\$[0-9]+"))</f>
        <v/>
      </c>
      <c r="R255" s="7" t="str" cm="1">
        <f t="array" aca="1" ref="R255" ca="1">IFERROR(IF(OR('Raw Data'!R255="",LEN(TRIM('Raw Data'!R255))=0),"",IF(AND(ISNUMBER('Raw Data'!R255), IFERROR('Raw Data'!R255 = ROUND('Raw Data'!R255, 2),FALSE)),"",_xlfn.REGEXEXTRACT(CELL("address",R255), "\$([A-Z]+)\$[0-9]+"))),_xlfn.REGEXEXTRACT(CELL("address",R255), "\$([A-Z]+)\$[0-9]+"))</f>
        <v/>
      </c>
      <c r="S255" s="7" t="str" cm="1">
        <f t="array" aca="1" ref="S255" ca="1">IFERROR(IF(OR('Raw Data'!S255="",LEN(TRIM('Raw Data'!S255))=0),"",IF(AND(ISNUMBER('Raw Data'!S255), IFERROR('Raw Data'!S255 = ROUND('Raw Data'!S255, 2),FALSE)),"",_xlfn.REGEXEXTRACT(CELL("address",S255), "\$([A-Z]+)\$[0-9]+"))),_xlfn.REGEXEXTRACT(CELL("address",S255), "\$([A-Z]+)\$[0-9]+"))</f>
        <v/>
      </c>
      <c r="T255" s="7" t="str" cm="1">
        <f t="array" aca="1" ref="T255" ca="1">IFERROR(IF(OR('Raw Data'!T255="",LEN(TRIM('Raw Data'!T255))=0),"",IF(AND(ISNUMBER('Raw Data'!T255), IFERROR('Raw Data'!T255 = ROUND('Raw Data'!T255, 2),FALSE)),"",_xlfn.REGEXEXTRACT(CELL("address",T255), "\$([A-Z]+)\$[0-9]+"))),_xlfn.REGEXEXTRACT(CELL("address",T255), "\$([A-Z]+)\$[0-9]+"))</f>
        <v/>
      </c>
      <c r="U255" s="7" t="str" cm="1">
        <f t="array" aca="1" ref="U255" ca="1">IFERROR(IF(OR('Raw Data'!U255="",LEN(TRIM('Raw Data'!U255))=0),"",IF(AND(ISNUMBER('Raw Data'!U255), IFERROR('Raw Data'!U255 = ROUND('Raw Data'!U255, 2),FALSE)),"",_xlfn.REGEXEXTRACT(CELL("address",U255), "\$([A-Z]+)\$[0-9]+"))),_xlfn.REGEXEXTRACT(CELL("address",U255), "\$([A-Z]+)\$[0-9]+"))</f>
        <v/>
      </c>
      <c r="V255" s="7" t="str" cm="1">
        <f t="array" aca="1" ref="V255" ca="1">IFERROR(IF(OR('Raw Data'!V255="",LEN(TRIM('Raw Data'!V255))=0),"",IF(AND(ISNUMBER('Raw Data'!V255), IFERROR('Raw Data'!V255 = ROUND('Raw Data'!V255, 2),FALSE)),"",_xlfn.REGEXEXTRACT(CELL("address",V255), "\$([A-Z]+)\$[0-9]+"))),_xlfn.REGEXEXTRACT(CELL("address",V255), "\$([A-Z]+)\$[0-9]+"))</f>
        <v/>
      </c>
      <c r="W255" s="7" t="str" cm="1">
        <f t="array" aca="1" ref="W255" ca="1">IFERROR(IF(OR('Raw Data'!W255="",LEN(TRIM('Raw Data'!W255))=0),"",IF(AND(ISNUMBER('Raw Data'!W255), IFERROR('Raw Data'!W255 = ROUND('Raw Data'!W255, 2),FALSE)),"",_xlfn.REGEXEXTRACT(CELL("address",W255), "\$([A-Z]+)\$[0-9]+"))),_xlfn.REGEXEXTRACT(CELL("address",W255), "\$([A-Z]+)\$[0-9]+"))</f>
        <v/>
      </c>
      <c r="X255" s="7" t="str" cm="1">
        <f t="array" aca="1" ref="X255" ca="1">IFERROR(IF(OR('Raw Data'!X255="",LEN(TRIM('Raw Data'!X255))=0),"",IF(AND(ISNUMBER('Raw Data'!X255), IFERROR('Raw Data'!X255 = ROUND('Raw Data'!X255, 2),FALSE)),"",_xlfn.REGEXEXTRACT(CELL("address",X255), "\$([A-Z]+)\$[0-9]+"))),_xlfn.REGEXEXTRACT(CELL("address",X255), "\$([A-Z]+)\$[0-9]+"))</f>
        <v/>
      </c>
      <c r="Y255" s="7" t="str" cm="1">
        <f t="array" aca="1" ref="Y255" ca="1">IFERROR(IF(OR('Raw Data'!Y255="",LEN(TRIM('Raw Data'!Y255))=0),"",IF(AND(ISNUMBER('Raw Data'!Y255), IFERROR('Raw Data'!Y255 = ROUND('Raw Data'!Y255, 2),FALSE)),"",_xlfn.REGEXEXTRACT(CELL("address",Y255), "\$([A-Z]+)\$[0-9]+"))),_xlfn.REGEXEXTRACT(CELL("address",Y255), "\$([A-Z]+)\$[0-9]+"))</f>
        <v/>
      </c>
      <c r="Z255" s="7" t="str" cm="1">
        <f t="array" aca="1" ref="Z255" ca="1">IFERROR(IF(OR('Raw Data'!Z255="",LEN(TRIM('Raw Data'!Z255))=0),"",IF(AND(ISNUMBER('Raw Data'!Z255), IFERROR('Raw Data'!Z255 = ROUND('Raw Data'!Z255, 2),FALSE)),"",_xlfn.REGEXEXTRACT(CELL("address",Z255), "\$([A-Z]+)\$[0-9]+"))),_xlfn.REGEXEXTRACT(CELL("address",Z255), "\$([A-Z]+)\$[0-9]+"))</f>
        <v/>
      </c>
      <c r="AA255" s="7" t="str" cm="1">
        <f t="array" aca="1" ref="AA255" ca="1">IFERROR(IF(OR('Raw Data'!AA255="",LEN(TRIM('Raw Data'!AA255))=0),"",IF(AND(ISNUMBER('Raw Data'!AA255), IFERROR('Raw Data'!AA255 = ROUND('Raw Data'!AA255, 2),FALSE)),"",_xlfn.REGEXEXTRACT(CELL("address",AA255), "\$([A-Z]+)\$[0-9]+"))),_xlfn.REGEXEXTRACT(CELL("address",AA255), "\$([A-Z]+)\$[0-9]+"))</f>
        <v/>
      </c>
      <c r="AB255" s="7" t="str" cm="1">
        <f t="array" aca="1" ref="AB255" ca="1">IFERROR(IF(OR('Raw Data'!AB255="",LEN(TRIM('Raw Data'!AB255))=0),"",IF(AND(ISNUMBER('Raw Data'!AB255), IFERROR('Raw Data'!AB255 = ROUND('Raw Data'!AB255, 2),FALSE)),"",_xlfn.REGEXEXTRACT(CELL("address",AB255), "\$([A-Z]+)\$[0-9]+"))),_xlfn.REGEXEXTRACT(CELL("address",AB255), "\$([A-Z]+)\$[0-9]+"))</f>
        <v/>
      </c>
    </row>
    <row r="256" spans="2:28" x14ac:dyDescent="0.25">
      <c r="B256" s="7" t="str" cm="1">
        <f t="array" aca="1" ref="B256" ca="1">IFERROR(IF(OR('Raw Data'!B256="",LEN(TRIM('Raw Data'!B256))=0),"",IF(AND(LEN('Raw Data'!B256) &lt;= 255,LEN('Raw Data'!B256)&gt; 0),"",_xlfn.REGEXEXTRACT(CELL("address",'Raw Data'!B256),"\$([A-Z]+)\$[0-9]+"))),_xlfn.REGEXEXTRACT(CELL("address",'Raw Data'!B256),"\$([A-Z]+)\$[0-9]+"))</f>
        <v/>
      </c>
      <c r="C256" s="7" t="str" cm="1">
        <f t="array" aca="1" ref="C256" ca="1">IFERROR(IF(OR('Raw Data'!C256="",LEN(TRIM('Raw Data'!C256))=0),"",IF(AND(LEN('Raw Data'!C256) &lt;= 20,LEN('Raw Data'!C256)&gt; 0),"",_xlfn.REGEXEXTRACT(CELL("address",'Raw Data'!C256),"\$([A-Z]+)\$[0-9]+"))),_xlfn.REGEXEXTRACT(CELL("address",'Raw Data'!C256),"\$([A-Z]+)\$[0-9]+"))</f>
        <v/>
      </c>
      <c r="D256" s="7" t="str" cm="1">
        <f t="array" aca="1" ref="D256" ca="1">IFERROR(IF(OR('Raw Data'!D256="",LEN(TRIM('Raw Data'!D256))=0),"",IF(AND(ISNUMBER('Raw Data'!D256),'Raw Data'!D256&gt;=Configuration!$D$2),"",_xlfn.REGEXEXTRACT(CELL("address",'Raw Data'!D256),"\$([A-Z]+)\$[0-9]+"))),_xlfn.REGEXEXTRACT(CELL("address",D256), "\$([A-Z]+)\$[0-9]+"))</f>
        <v/>
      </c>
      <c r="E256" s="7" t="str" cm="1">
        <f t="array" aca="1" ref="E256" ca="1">IFERROR(IF(OR('Raw Data'!E256="",LEN(TRIM('Raw Data'!E256))=0),"",IF(AND(ISNUMBER('Raw Data'!E256), IFERROR('Raw Data'!E256 = ROUND('Raw Data'!E256, 2),FALSE)),"",_xlfn.REGEXEXTRACT(CELL("address",E256), "\$([A-Z]+)\$[0-9]+"))),_xlfn.REGEXEXTRACT(CELL("address",E256), "\$([A-Z]+)\$[0-9]+"))</f>
        <v/>
      </c>
      <c r="F256" s="7" t="str" cm="1">
        <f t="array" aca="1" ref="F256" ca="1">IFERROR(IF(OR('Raw Data'!F256="",LEN(TRIM('Raw Data'!F256))=0),"",IF(AND(ISNUMBER('Raw Data'!F256), IFERROR('Raw Data'!F256 = ROUND('Raw Data'!F256, 2),FALSE)),"",_xlfn.REGEXEXTRACT(CELL("address",F256), "\$([A-Z]+)\$[0-9]+"))),_xlfn.REGEXEXTRACT(CELL("address",F256), "\$([A-Z]+)\$[0-9]+"))</f>
        <v/>
      </c>
      <c r="G256" s="7" t="str" cm="1">
        <f t="array" aca="1" ref="G256" ca="1">IFERROR(IF(OR('Raw Data'!G256="",LEN(TRIM('Raw Data'!G256))=0),"",IF(AND(ISNUMBER('Raw Data'!G256), IFERROR('Raw Data'!G256 = ROUND('Raw Data'!G256, 2),FALSE)),"",_xlfn.REGEXEXTRACT(CELL("address",G256), "\$([A-Z]+)\$[0-9]+"))),_xlfn.REGEXEXTRACT(CELL("address",G256), "\$([A-Z]+)\$[0-9]+"))</f>
        <v/>
      </c>
      <c r="H256" s="7" t="str" cm="1">
        <f t="array" aca="1" ref="H256" ca="1">IFERROR(IF(OR('Raw Data'!H256="",LEN(TRIM('Raw Data'!H256))=0),"",IF(AND(ISNUMBER('Raw Data'!H256), IFERROR('Raw Data'!H256 = ROUND('Raw Data'!H256, 2),FALSE)),"",_xlfn.REGEXEXTRACT(CELL("address",H256), "\$([A-Z]+)\$[0-9]+"))),_xlfn.REGEXEXTRACT(CELL("address",H256), "\$([A-Z]+)\$[0-9]+"))</f>
        <v/>
      </c>
      <c r="I256" s="7" t="str" cm="1">
        <f t="array" aca="1" ref="I256" ca="1">IFERROR(IF(OR('Raw Data'!I256="",LEN(TRIM('Raw Data'!I256))=0),"",IF(AND(ISNUMBER('Raw Data'!I256), IFERROR('Raw Data'!I256 = ROUND('Raw Data'!I256, 2),FALSE)),"",_xlfn.REGEXEXTRACT(CELL("address",I256), "\$([A-Z]+)\$[0-9]+"))),_xlfn.REGEXEXTRACT(CELL("address",I256), "\$([A-Z]+)\$[0-9]+"))</f>
        <v/>
      </c>
      <c r="J256" s="7" t="str" cm="1">
        <f t="array" aca="1" ref="J256" ca="1">IFERROR(IF(OR('Raw Data'!J256="",LEN(TRIM('Raw Data'!J256))=0),"",IF(AND(ISNUMBER('Raw Data'!J256), IFERROR('Raw Data'!J256 = ROUND('Raw Data'!J256, 2),FALSE)),"",_xlfn.REGEXEXTRACT(CELL("address",J256), "\$([A-Z]+)\$[0-9]+"))),_xlfn.REGEXEXTRACT(CELL("address",J256), "\$([A-Z]+)\$[0-9]+"))</f>
        <v/>
      </c>
      <c r="K256" s="7" t="str" cm="1">
        <f t="array" aca="1" ref="K256" ca="1">IFERROR(IF(OR('Raw Data'!K256="",LEN(TRIM('Raw Data'!K256))=0),"",IF(AND(ISNUMBER('Raw Data'!K256), IFERROR('Raw Data'!K256 = ROUND('Raw Data'!K256, 2),FALSE)),"",_xlfn.REGEXEXTRACT(CELL("address",K256), "\$([A-Z]+)\$[0-9]+"))),_xlfn.REGEXEXTRACT(CELL("address",K256), "\$([A-Z]+)\$[0-9]+"))</f>
        <v/>
      </c>
      <c r="L256" s="7" t="str" cm="1">
        <f t="array" aca="1" ref="L256" ca="1">IFERROR(IF(OR('Raw Data'!L256="",LEN(TRIM('Raw Data'!L256))=0),"",IF(AND(ISNUMBER('Raw Data'!L256), IFERROR('Raw Data'!L256 = ROUND('Raw Data'!L256, 2),FALSE)),"",_xlfn.REGEXEXTRACT(CELL("address",L256), "\$([A-Z]+)\$[0-9]+"))),_xlfn.REGEXEXTRACT(CELL("address",L256), "\$([A-Z]+)\$[0-9]+"))</f>
        <v/>
      </c>
      <c r="M256" s="7" t="str" cm="1">
        <f t="array" aca="1" ref="M256" ca="1">IFERROR(IF(OR('Raw Data'!M256="",LEN(TRIM('Raw Data'!M256))=0),"",IF(AND(ISNUMBER('Raw Data'!M256), IFERROR('Raw Data'!M256 = ROUND('Raw Data'!M256, 2),FALSE)),"",_xlfn.REGEXEXTRACT(CELL("address",M256), "\$([A-Z]+)\$[0-9]+"))),_xlfn.REGEXEXTRACT(CELL("address",M256), "\$([A-Z]+)\$[0-9]+"))</f>
        <v/>
      </c>
      <c r="N256" s="7" t="str" cm="1">
        <f t="array" aca="1" ref="N256" ca="1">IFERROR(IF(OR('Raw Data'!N256="",LEN(TRIM('Raw Data'!N256))=0),"",IF(AND(ISNUMBER('Raw Data'!N256), IFERROR('Raw Data'!N256 = ROUND('Raw Data'!N256, 2),FALSE)),"",_xlfn.REGEXEXTRACT(CELL("address",N256), "\$([A-Z]+)\$[0-9]+"))),_xlfn.REGEXEXTRACT(CELL("address",N256), "\$([A-Z]+)\$[0-9]+"))</f>
        <v/>
      </c>
      <c r="O256" s="7" t="str" cm="1">
        <f t="array" aca="1" ref="O256" ca="1">IFERROR(IF(OR('Raw Data'!O256="",LEN(TRIM('Raw Data'!O256))=0),"",IF(AND(ISNUMBER('Raw Data'!O256), IFERROR('Raw Data'!O256 = ROUND('Raw Data'!O256, 2),FALSE)),"",_xlfn.REGEXEXTRACT(CELL("address",O256), "\$([A-Z]+)\$[0-9]+"))),_xlfn.REGEXEXTRACT(CELL("address",O256), "\$([A-Z]+)\$[0-9]+"))</f>
        <v/>
      </c>
      <c r="P256" s="7" t="str" cm="1">
        <f t="array" aca="1" ref="P256" ca="1">IFERROR(IF(OR('Raw Data'!P256="",LEN(TRIM('Raw Data'!P256))=0),"",IF(AND(ISNUMBER('Raw Data'!P256), IFERROR('Raw Data'!P256 = ROUND('Raw Data'!P256, 2),FALSE)),"",_xlfn.REGEXEXTRACT(CELL("address",P256), "\$([A-Z]+)\$[0-9]+"))),_xlfn.REGEXEXTRACT(CELL("address",P256), "\$([A-Z]+)\$[0-9]+"))</f>
        <v/>
      </c>
      <c r="Q256" s="7" t="str" cm="1">
        <f t="array" aca="1" ref="Q256" ca="1">IFERROR(IF(OR('Raw Data'!Q256="",LEN(TRIM('Raw Data'!Q256))=0),"",IF(AND(ISNUMBER('Raw Data'!Q256), IFERROR('Raw Data'!Q256 = ROUND('Raw Data'!Q256, 2),FALSE)),"",_xlfn.REGEXEXTRACT(CELL("address",Q256), "\$([A-Z]+)\$[0-9]+"))),_xlfn.REGEXEXTRACT(CELL("address",Q256), "\$([A-Z]+)\$[0-9]+"))</f>
        <v/>
      </c>
      <c r="R256" s="7" t="str" cm="1">
        <f t="array" aca="1" ref="R256" ca="1">IFERROR(IF(OR('Raw Data'!R256="",LEN(TRIM('Raw Data'!R256))=0),"",IF(AND(ISNUMBER('Raw Data'!R256), IFERROR('Raw Data'!R256 = ROUND('Raw Data'!R256, 2),FALSE)),"",_xlfn.REGEXEXTRACT(CELL("address",R256), "\$([A-Z]+)\$[0-9]+"))),_xlfn.REGEXEXTRACT(CELL("address",R256), "\$([A-Z]+)\$[0-9]+"))</f>
        <v/>
      </c>
      <c r="S256" s="7" t="str" cm="1">
        <f t="array" aca="1" ref="S256" ca="1">IFERROR(IF(OR('Raw Data'!S256="",LEN(TRIM('Raw Data'!S256))=0),"",IF(AND(ISNUMBER('Raw Data'!S256), IFERROR('Raw Data'!S256 = ROUND('Raw Data'!S256, 2),FALSE)),"",_xlfn.REGEXEXTRACT(CELL("address",S256), "\$([A-Z]+)\$[0-9]+"))),_xlfn.REGEXEXTRACT(CELL("address",S256), "\$([A-Z]+)\$[0-9]+"))</f>
        <v/>
      </c>
      <c r="T256" s="7" t="str" cm="1">
        <f t="array" aca="1" ref="T256" ca="1">IFERROR(IF(OR('Raw Data'!T256="",LEN(TRIM('Raw Data'!T256))=0),"",IF(AND(ISNUMBER('Raw Data'!T256), IFERROR('Raw Data'!T256 = ROUND('Raw Data'!T256, 2),FALSE)),"",_xlfn.REGEXEXTRACT(CELL("address",T256), "\$([A-Z]+)\$[0-9]+"))),_xlfn.REGEXEXTRACT(CELL("address",T256), "\$([A-Z]+)\$[0-9]+"))</f>
        <v/>
      </c>
      <c r="U256" s="7" t="str" cm="1">
        <f t="array" aca="1" ref="U256" ca="1">IFERROR(IF(OR('Raw Data'!U256="",LEN(TRIM('Raw Data'!U256))=0),"",IF(AND(ISNUMBER('Raw Data'!U256), IFERROR('Raw Data'!U256 = ROUND('Raw Data'!U256, 2),FALSE)),"",_xlfn.REGEXEXTRACT(CELL("address",U256), "\$([A-Z]+)\$[0-9]+"))),_xlfn.REGEXEXTRACT(CELL("address",U256), "\$([A-Z]+)\$[0-9]+"))</f>
        <v/>
      </c>
      <c r="V256" s="7" t="str" cm="1">
        <f t="array" aca="1" ref="V256" ca="1">IFERROR(IF(OR('Raw Data'!V256="",LEN(TRIM('Raw Data'!V256))=0),"",IF(AND(ISNUMBER('Raw Data'!V256), IFERROR('Raw Data'!V256 = ROUND('Raw Data'!V256, 2),FALSE)),"",_xlfn.REGEXEXTRACT(CELL("address",V256), "\$([A-Z]+)\$[0-9]+"))),_xlfn.REGEXEXTRACT(CELL("address",V256), "\$([A-Z]+)\$[0-9]+"))</f>
        <v/>
      </c>
      <c r="W256" s="7" t="str" cm="1">
        <f t="array" aca="1" ref="W256" ca="1">IFERROR(IF(OR('Raw Data'!W256="",LEN(TRIM('Raw Data'!W256))=0),"",IF(AND(ISNUMBER('Raw Data'!W256), IFERROR('Raw Data'!W256 = ROUND('Raw Data'!W256, 2),FALSE)),"",_xlfn.REGEXEXTRACT(CELL("address",W256), "\$([A-Z]+)\$[0-9]+"))),_xlfn.REGEXEXTRACT(CELL("address",W256), "\$([A-Z]+)\$[0-9]+"))</f>
        <v/>
      </c>
      <c r="X256" s="7" t="str" cm="1">
        <f t="array" aca="1" ref="X256" ca="1">IFERROR(IF(OR('Raw Data'!X256="",LEN(TRIM('Raw Data'!X256))=0),"",IF(AND(ISNUMBER('Raw Data'!X256), IFERROR('Raw Data'!X256 = ROUND('Raw Data'!X256, 2),FALSE)),"",_xlfn.REGEXEXTRACT(CELL("address",X256), "\$([A-Z]+)\$[0-9]+"))),_xlfn.REGEXEXTRACT(CELL("address",X256), "\$([A-Z]+)\$[0-9]+"))</f>
        <v/>
      </c>
      <c r="Y256" s="7" t="str" cm="1">
        <f t="array" aca="1" ref="Y256" ca="1">IFERROR(IF(OR('Raw Data'!Y256="",LEN(TRIM('Raw Data'!Y256))=0),"",IF(AND(ISNUMBER('Raw Data'!Y256), IFERROR('Raw Data'!Y256 = ROUND('Raw Data'!Y256, 2),FALSE)),"",_xlfn.REGEXEXTRACT(CELL("address",Y256), "\$([A-Z]+)\$[0-9]+"))),_xlfn.REGEXEXTRACT(CELL("address",Y256), "\$([A-Z]+)\$[0-9]+"))</f>
        <v/>
      </c>
      <c r="Z256" s="7" t="str" cm="1">
        <f t="array" aca="1" ref="Z256" ca="1">IFERROR(IF(OR('Raw Data'!Z256="",LEN(TRIM('Raw Data'!Z256))=0),"",IF(AND(ISNUMBER('Raw Data'!Z256), IFERROR('Raw Data'!Z256 = ROUND('Raw Data'!Z256, 2),FALSE)),"",_xlfn.REGEXEXTRACT(CELL("address",Z256), "\$([A-Z]+)\$[0-9]+"))),_xlfn.REGEXEXTRACT(CELL("address",Z256), "\$([A-Z]+)\$[0-9]+"))</f>
        <v/>
      </c>
      <c r="AA256" s="7" t="str" cm="1">
        <f t="array" aca="1" ref="AA256" ca="1">IFERROR(IF(OR('Raw Data'!AA256="",LEN(TRIM('Raw Data'!AA256))=0),"",IF(AND(ISNUMBER('Raw Data'!AA256), IFERROR('Raw Data'!AA256 = ROUND('Raw Data'!AA256, 2),FALSE)),"",_xlfn.REGEXEXTRACT(CELL("address",AA256), "\$([A-Z]+)\$[0-9]+"))),_xlfn.REGEXEXTRACT(CELL("address",AA256), "\$([A-Z]+)\$[0-9]+"))</f>
        <v/>
      </c>
      <c r="AB256" s="7" t="str" cm="1">
        <f t="array" aca="1" ref="AB256" ca="1">IFERROR(IF(OR('Raw Data'!AB256="",LEN(TRIM('Raw Data'!AB256))=0),"",IF(AND(ISNUMBER('Raw Data'!AB256), IFERROR('Raw Data'!AB256 = ROUND('Raw Data'!AB256, 2),FALSE)),"",_xlfn.REGEXEXTRACT(CELL("address",AB256), "\$([A-Z]+)\$[0-9]+"))),_xlfn.REGEXEXTRACT(CELL("address",AB256), "\$([A-Z]+)\$[0-9]+"))</f>
        <v/>
      </c>
    </row>
    <row r="257" spans="2:28" x14ac:dyDescent="0.25">
      <c r="B257" s="7" t="str" cm="1">
        <f t="array" aca="1" ref="B257" ca="1">IFERROR(IF(OR('Raw Data'!B257="",LEN(TRIM('Raw Data'!B257))=0),"",IF(AND(LEN('Raw Data'!B257) &lt;= 255,LEN('Raw Data'!B257)&gt; 0),"",_xlfn.REGEXEXTRACT(CELL("address",'Raw Data'!B257),"\$([A-Z]+)\$[0-9]+"))),_xlfn.REGEXEXTRACT(CELL("address",'Raw Data'!B257),"\$([A-Z]+)\$[0-9]+"))</f>
        <v/>
      </c>
      <c r="C257" s="7" t="str" cm="1">
        <f t="array" aca="1" ref="C257" ca="1">IFERROR(IF(OR('Raw Data'!C257="",LEN(TRIM('Raw Data'!C257))=0),"",IF(AND(LEN('Raw Data'!C257) &lt;= 20,LEN('Raw Data'!C257)&gt; 0),"",_xlfn.REGEXEXTRACT(CELL("address",'Raw Data'!C257),"\$([A-Z]+)\$[0-9]+"))),_xlfn.REGEXEXTRACT(CELL("address",'Raw Data'!C257),"\$([A-Z]+)\$[0-9]+"))</f>
        <v/>
      </c>
      <c r="D257" s="7" t="str" cm="1">
        <f t="array" aca="1" ref="D257" ca="1">IFERROR(IF(OR('Raw Data'!D257="",LEN(TRIM('Raw Data'!D257))=0),"",IF(AND(ISNUMBER('Raw Data'!D257),'Raw Data'!D257&gt;=Configuration!$D$2),"",_xlfn.REGEXEXTRACT(CELL("address",'Raw Data'!D257),"\$([A-Z]+)\$[0-9]+"))),_xlfn.REGEXEXTRACT(CELL("address",D257), "\$([A-Z]+)\$[0-9]+"))</f>
        <v/>
      </c>
      <c r="E257" s="7" t="str" cm="1">
        <f t="array" aca="1" ref="E257" ca="1">IFERROR(IF(OR('Raw Data'!E257="",LEN(TRIM('Raw Data'!E257))=0),"",IF(AND(ISNUMBER('Raw Data'!E257), IFERROR('Raw Data'!E257 = ROUND('Raw Data'!E257, 2),FALSE)),"",_xlfn.REGEXEXTRACT(CELL("address",E257), "\$([A-Z]+)\$[0-9]+"))),_xlfn.REGEXEXTRACT(CELL("address",E257), "\$([A-Z]+)\$[0-9]+"))</f>
        <v/>
      </c>
      <c r="F257" s="7" t="str" cm="1">
        <f t="array" aca="1" ref="F257" ca="1">IFERROR(IF(OR('Raw Data'!F257="",LEN(TRIM('Raw Data'!F257))=0),"",IF(AND(ISNUMBER('Raw Data'!F257), IFERROR('Raw Data'!F257 = ROUND('Raw Data'!F257, 2),FALSE)),"",_xlfn.REGEXEXTRACT(CELL("address",F257), "\$([A-Z]+)\$[0-9]+"))),_xlfn.REGEXEXTRACT(CELL("address",F257), "\$([A-Z]+)\$[0-9]+"))</f>
        <v/>
      </c>
      <c r="G257" s="7" t="str" cm="1">
        <f t="array" aca="1" ref="G257" ca="1">IFERROR(IF(OR('Raw Data'!G257="",LEN(TRIM('Raw Data'!G257))=0),"",IF(AND(ISNUMBER('Raw Data'!G257), IFERROR('Raw Data'!G257 = ROUND('Raw Data'!G257, 2),FALSE)),"",_xlfn.REGEXEXTRACT(CELL("address",G257), "\$([A-Z]+)\$[0-9]+"))),_xlfn.REGEXEXTRACT(CELL("address",G257), "\$([A-Z]+)\$[0-9]+"))</f>
        <v/>
      </c>
      <c r="H257" s="7" t="str" cm="1">
        <f t="array" aca="1" ref="H257" ca="1">IFERROR(IF(OR('Raw Data'!H257="",LEN(TRIM('Raw Data'!H257))=0),"",IF(AND(ISNUMBER('Raw Data'!H257), IFERROR('Raw Data'!H257 = ROUND('Raw Data'!H257, 2),FALSE)),"",_xlfn.REGEXEXTRACT(CELL("address",H257), "\$([A-Z]+)\$[0-9]+"))),_xlfn.REGEXEXTRACT(CELL("address",H257), "\$([A-Z]+)\$[0-9]+"))</f>
        <v/>
      </c>
      <c r="I257" s="7" t="str" cm="1">
        <f t="array" aca="1" ref="I257" ca="1">IFERROR(IF(OR('Raw Data'!I257="",LEN(TRIM('Raw Data'!I257))=0),"",IF(AND(ISNUMBER('Raw Data'!I257), IFERROR('Raw Data'!I257 = ROUND('Raw Data'!I257, 2),FALSE)),"",_xlfn.REGEXEXTRACT(CELL("address",I257), "\$([A-Z]+)\$[0-9]+"))),_xlfn.REGEXEXTRACT(CELL("address",I257), "\$([A-Z]+)\$[0-9]+"))</f>
        <v/>
      </c>
      <c r="J257" s="7" t="str" cm="1">
        <f t="array" aca="1" ref="J257" ca="1">IFERROR(IF(OR('Raw Data'!J257="",LEN(TRIM('Raw Data'!J257))=0),"",IF(AND(ISNUMBER('Raw Data'!J257), IFERROR('Raw Data'!J257 = ROUND('Raw Data'!J257, 2),FALSE)),"",_xlfn.REGEXEXTRACT(CELL("address",J257), "\$([A-Z]+)\$[0-9]+"))),_xlfn.REGEXEXTRACT(CELL("address",J257), "\$([A-Z]+)\$[0-9]+"))</f>
        <v/>
      </c>
      <c r="K257" s="7" t="str" cm="1">
        <f t="array" aca="1" ref="K257" ca="1">IFERROR(IF(OR('Raw Data'!K257="",LEN(TRIM('Raw Data'!K257))=0),"",IF(AND(ISNUMBER('Raw Data'!K257), IFERROR('Raw Data'!K257 = ROUND('Raw Data'!K257, 2),FALSE)),"",_xlfn.REGEXEXTRACT(CELL("address",K257), "\$([A-Z]+)\$[0-9]+"))),_xlfn.REGEXEXTRACT(CELL("address",K257), "\$([A-Z]+)\$[0-9]+"))</f>
        <v/>
      </c>
      <c r="L257" s="7" t="str" cm="1">
        <f t="array" aca="1" ref="L257" ca="1">IFERROR(IF(OR('Raw Data'!L257="",LEN(TRIM('Raw Data'!L257))=0),"",IF(AND(ISNUMBER('Raw Data'!L257), IFERROR('Raw Data'!L257 = ROUND('Raw Data'!L257, 2),FALSE)),"",_xlfn.REGEXEXTRACT(CELL("address",L257), "\$([A-Z]+)\$[0-9]+"))),_xlfn.REGEXEXTRACT(CELL("address",L257), "\$([A-Z]+)\$[0-9]+"))</f>
        <v/>
      </c>
      <c r="M257" s="7" t="str" cm="1">
        <f t="array" aca="1" ref="M257" ca="1">IFERROR(IF(OR('Raw Data'!M257="",LEN(TRIM('Raw Data'!M257))=0),"",IF(AND(ISNUMBER('Raw Data'!M257), IFERROR('Raw Data'!M257 = ROUND('Raw Data'!M257, 2),FALSE)),"",_xlfn.REGEXEXTRACT(CELL("address",M257), "\$([A-Z]+)\$[0-9]+"))),_xlfn.REGEXEXTRACT(CELL("address",M257), "\$([A-Z]+)\$[0-9]+"))</f>
        <v/>
      </c>
      <c r="N257" s="7" t="str" cm="1">
        <f t="array" aca="1" ref="N257" ca="1">IFERROR(IF(OR('Raw Data'!N257="",LEN(TRIM('Raw Data'!N257))=0),"",IF(AND(ISNUMBER('Raw Data'!N257), IFERROR('Raw Data'!N257 = ROUND('Raw Data'!N257, 2),FALSE)),"",_xlfn.REGEXEXTRACT(CELL("address",N257), "\$([A-Z]+)\$[0-9]+"))),_xlfn.REGEXEXTRACT(CELL("address",N257), "\$([A-Z]+)\$[0-9]+"))</f>
        <v/>
      </c>
      <c r="O257" s="7" t="str" cm="1">
        <f t="array" aca="1" ref="O257" ca="1">IFERROR(IF(OR('Raw Data'!O257="",LEN(TRIM('Raw Data'!O257))=0),"",IF(AND(ISNUMBER('Raw Data'!O257), IFERROR('Raw Data'!O257 = ROUND('Raw Data'!O257, 2),FALSE)),"",_xlfn.REGEXEXTRACT(CELL("address",O257), "\$([A-Z]+)\$[0-9]+"))),_xlfn.REGEXEXTRACT(CELL("address",O257), "\$([A-Z]+)\$[0-9]+"))</f>
        <v/>
      </c>
      <c r="P257" s="7" t="str" cm="1">
        <f t="array" aca="1" ref="P257" ca="1">IFERROR(IF(OR('Raw Data'!P257="",LEN(TRIM('Raw Data'!P257))=0),"",IF(AND(ISNUMBER('Raw Data'!P257), IFERROR('Raw Data'!P257 = ROUND('Raw Data'!P257, 2),FALSE)),"",_xlfn.REGEXEXTRACT(CELL("address",P257), "\$([A-Z]+)\$[0-9]+"))),_xlfn.REGEXEXTRACT(CELL("address",P257), "\$([A-Z]+)\$[0-9]+"))</f>
        <v/>
      </c>
      <c r="Q257" s="7" t="str" cm="1">
        <f t="array" aca="1" ref="Q257" ca="1">IFERROR(IF(OR('Raw Data'!Q257="",LEN(TRIM('Raw Data'!Q257))=0),"",IF(AND(ISNUMBER('Raw Data'!Q257), IFERROR('Raw Data'!Q257 = ROUND('Raw Data'!Q257, 2),FALSE)),"",_xlfn.REGEXEXTRACT(CELL("address",Q257), "\$([A-Z]+)\$[0-9]+"))),_xlfn.REGEXEXTRACT(CELL("address",Q257), "\$([A-Z]+)\$[0-9]+"))</f>
        <v/>
      </c>
      <c r="R257" s="7" t="str" cm="1">
        <f t="array" aca="1" ref="R257" ca="1">IFERROR(IF(OR('Raw Data'!R257="",LEN(TRIM('Raw Data'!R257))=0),"",IF(AND(ISNUMBER('Raw Data'!R257), IFERROR('Raw Data'!R257 = ROUND('Raw Data'!R257, 2),FALSE)),"",_xlfn.REGEXEXTRACT(CELL("address",R257), "\$([A-Z]+)\$[0-9]+"))),_xlfn.REGEXEXTRACT(CELL("address",R257), "\$([A-Z]+)\$[0-9]+"))</f>
        <v/>
      </c>
      <c r="S257" s="7" t="str" cm="1">
        <f t="array" aca="1" ref="S257" ca="1">IFERROR(IF(OR('Raw Data'!S257="",LEN(TRIM('Raw Data'!S257))=0),"",IF(AND(ISNUMBER('Raw Data'!S257), IFERROR('Raw Data'!S257 = ROUND('Raw Data'!S257, 2),FALSE)),"",_xlfn.REGEXEXTRACT(CELL("address",S257), "\$([A-Z]+)\$[0-9]+"))),_xlfn.REGEXEXTRACT(CELL("address",S257), "\$([A-Z]+)\$[0-9]+"))</f>
        <v/>
      </c>
      <c r="T257" s="7" t="str" cm="1">
        <f t="array" aca="1" ref="T257" ca="1">IFERROR(IF(OR('Raw Data'!T257="",LEN(TRIM('Raw Data'!T257))=0),"",IF(AND(ISNUMBER('Raw Data'!T257), IFERROR('Raw Data'!T257 = ROUND('Raw Data'!T257, 2),FALSE)),"",_xlfn.REGEXEXTRACT(CELL("address",T257), "\$([A-Z]+)\$[0-9]+"))),_xlfn.REGEXEXTRACT(CELL("address",T257), "\$([A-Z]+)\$[0-9]+"))</f>
        <v/>
      </c>
      <c r="U257" s="7" t="str" cm="1">
        <f t="array" aca="1" ref="U257" ca="1">IFERROR(IF(OR('Raw Data'!U257="",LEN(TRIM('Raw Data'!U257))=0),"",IF(AND(ISNUMBER('Raw Data'!U257), IFERROR('Raw Data'!U257 = ROUND('Raw Data'!U257, 2),FALSE)),"",_xlfn.REGEXEXTRACT(CELL("address",U257), "\$([A-Z]+)\$[0-9]+"))),_xlfn.REGEXEXTRACT(CELL("address",U257), "\$([A-Z]+)\$[0-9]+"))</f>
        <v/>
      </c>
      <c r="V257" s="7" t="str" cm="1">
        <f t="array" aca="1" ref="V257" ca="1">IFERROR(IF(OR('Raw Data'!V257="",LEN(TRIM('Raw Data'!V257))=0),"",IF(AND(ISNUMBER('Raw Data'!V257), IFERROR('Raw Data'!V257 = ROUND('Raw Data'!V257, 2),FALSE)),"",_xlfn.REGEXEXTRACT(CELL("address",V257), "\$([A-Z]+)\$[0-9]+"))),_xlfn.REGEXEXTRACT(CELL("address",V257), "\$([A-Z]+)\$[0-9]+"))</f>
        <v/>
      </c>
      <c r="W257" s="7" t="str" cm="1">
        <f t="array" aca="1" ref="W257" ca="1">IFERROR(IF(OR('Raw Data'!W257="",LEN(TRIM('Raw Data'!W257))=0),"",IF(AND(ISNUMBER('Raw Data'!W257), IFERROR('Raw Data'!W257 = ROUND('Raw Data'!W257, 2),FALSE)),"",_xlfn.REGEXEXTRACT(CELL("address",W257), "\$([A-Z]+)\$[0-9]+"))),_xlfn.REGEXEXTRACT(CELL("address",W257), "\$([A-Z]+)\$[0-9]+"))</f>
        <v/>
      </c>
      <c r="X257" s="7" t="str" cm="1">
        <f t="array" aca="1" ref="X257" ca="1">IFERROR(IF(OR('Raw Data'!X257="",LEN(TRIM('Raw Data'!X257))=0),"",IF(AND(ISNUMBER('Raw Data'!X257), IFERROR('Raw Data'!X257 = ROUND('Raw Data'!X257, 2),FALSE)),"",_xlfn.REGEXEXTRACT(CELL("address",X257), "\$([A-Z]+)\$[0-9]+"))),_xlfn.REGEXEXTRACT(CELL("address",X257), "\$([A-Z]+)\$[0-9]+"))</f>
        <v/>
      </c>
      <c r="Y257" s="7" t="str" cm="1">
        <f t="array" aca="1" ref="Y257" ca="1">IFERROR(IF(OR('Raw Data'!Y257="",LEN(TRIM('Raw Data'!Y257))=0),"",IF(AND(ISNUMBER('Raw Data'!Y257), IFERROR('Raw Data'!Y257 = ROUND('Raw Data'!Y257, 2),FALSE)),"",_xlfn.REGEXEXTRACT(CELL("address",Y257), "\$([A-Z]+)\$[0-9]+"))),_xlfn.REGEXEXTRACT(CELL("address",Y257), "\$([A-Z]+)\$[0-9]+"))</f>
        <v/>
      </c>
      <c r="Z257" s="7" t="str" cm="1">
        <f t="array" aca="1" ref="Z257" ca="1">IFERROR(IF(OR('Raw Data'!Z257="",LEN(TRIM('Raw Data'!Z257))=0),"",IF(AND(ISNUMBER('Raw Data'!Z257), IFERROR('Raw Data'!Z257 = ROUND('Raw Data'!Z257, 2),FALSE)),"",_xlfn.REGEXEXTRACT(CELL("address",Z257), "\$([A-Z]+)\$[0-9]+"))),_xlfn.REGEXEXTRACT(CELL("address",Z257), "\$([A-Z]+)\$[0-9]+"))</f>
        <v/>
      </c>
      <c r="AA257" s="7" t="str" cm="1">
        <f t="array" aca="1" ref="AA257" ca="1">IFERROR(IF(OR('Raw Data'!AA257="",LEN(TRIM('Raw Data'!AA257))=0),"",IF(AND(ISNUMBER('Raw Data'!AA257), IFERROR('Raw Data'!AA257 = ROUND('Raw Data'!AA257, 2),FALSE)),"",_xlfn.REGEXEXTRACT(CELL("address",AA257), "\$([A-Z]+)\$[0-9]+"))),_xlfn.REGEXEXTRACT(CELL("address",AA257), "\$([A-Z]+)\$[0-9]+"))</f>
        <v/>
      </c>
      <c r="AB257" s="7" t="str" cm="1">
        <f t="array" aca="1" ref="AB257" ca="1">IFERROR(IF(OR('Raw Data'!AB257="",LEN(TRIM('Raw Data'!AB257))=0),"",IF(AND(ISNUMBER('Raw Data'!AB257), IFERROR('Raw Data'!AB257 = ROUND('Raw Data'!AB257, 2),FALSE)),"",_xlfn.REGEXEXTRACT(CELL("address",AB257), "\$([A-Z]+)\$[0-9]+"))),_xlfn.REGEXEXTRACT(CELL("address",AB257), "\$([A-Z]+)\$[0-9]+"))</f>
        <v/>
      </c>
    </row>
    <row r="258" spans="2:28" x14ac:dyDescent="0.25">
      <c r="B258" s="7" t="str" cm="1">
        <f t="array" aca="1" ref="B258" ca="1">IFERROR(IF(OR('Raw Data'!B258="",LEN(TRIM('Raw Data'!B258))=0),"",IF(AND(LEN('Raw Data'!B258) &lt;= 255,LEN('Raw Data'!B258)&gt; 0),"",_xlfn.REGEXEXTRACT(CELL("address",'Raw Data'!B258),"\$([A-Z]+)\$[0-9]+"))),_xlfn.REGEXEXTRACT(CELL("address",'Raw Data'!B258),"\$([A-Z]+)\$[0-9]+"))</f>
        <v/>
      </c>
      <c r="C258" s="7" t="str" cm="1">
        <f t="array" aca="1" ref="C258" ca="1">IFERROR(IF(OR('Raw Data'!C258="",LEN(TRIM('Raw Data'!C258))=0),"",IF(AND(LEN('Raw Data'!C258) &lt;= 20,LEN('Raw Data'!C258)&gt; 0),"",_xlfn.REGEXEXTRACT(CELL("address",'Raw Data'!C258),"\$([A-Z]+)\$[0-9]+"))),_xlfn.REGEXEXTRACT(CELL("address",'Raw Data'!C258),"\$([A-Z]+)\$[0-9]+"))</f>
        <v/>
      </c>
      <c r="D258" s="7" t="str" cm="1">
        <f t="array" aca="1" ref="D258" ca="1">IFERROR(IF(OR('Raw Data'!D258="",LEN(TRIM('Raw Data'!D258))=0),"",IF(AND(ISNUMBER('Raw Data'!D258),'Raw Data'!D258&gt;=Configuration!$D$2),"",_xlfn.REGEXEXTRACT(CELL("address",'Raw Data'!D258),"\$([A-Z]+)\$[0-9]+"))),_xlfn.REGEXEXTRACT(CELL("address",D258), "\$([A-Z]+)\$[0-9]+"))</f>
        <v/>
      </c>
      <c r="E258" s="7" t="str" cm="1">
        <f t="array" aca="1" ref="E258" ca="1">IFERROR(IF(OR('Raw Data'!E258="",LEN(TRIM('Raw Data'!E258))=0),"",IF(AND(ISNUMBER('Raw Data'!E258), IFERROR('Raw Data'!E258 = ROUND('Raw Data'!E258, 2),FALSE)),"",_xlfn.REGEXEXTRACT(CELL("address",E258), "\$([A-Z]+)\$[0-9]+"))),_xlfn.REGEXEXTRACT(CELL("address",E258), "\$([A-Z]+)\$[0-9]+"))</f>
        <v/>
      </c>
      <c r="F258" s="7" t="str" cm="1">
        <f t="array" aca="1" ref="F258" ca="1">IFERROR(IF(OR('Raw Data'!F258="",LEN(TRIM('Raw Data'!F258))=0),"",IF(AND(ISNUMBER('Raw Data'!F258), IFERROR('Raw Data'!F258 = ROUND('Raw Data'!F258, 2),FALSE)),"",_xlfn.REGEXEXTRACT(CELL("address",F258), "\$([A-Z]+)\$[0-9]+"))),_xlfn.REGEXEXTRACT(CELL("address",F258), "\$([A-Z]+)\$[0-9]+"))</f>
        <v/>
      </c>
      <c r="G258" s="7" t="str" cm="1">
        <f t="array" aca="1" ref="G258" ca="1">IFERROR(IF(OR('Raw Data'!G258="",LEN(TRIM('Raw Data'!G258))=0),"",IF(AND(ISNUMBER('Raw Data'!G258), IFERROR('Raw Data'!G258 = ROUND('Raw Data'!G258, 2),FALSE)),"",_xlfn.REGEXEXTRACT(CELL("address",G258), "\$([A-Z]+)\$[0-9]+"))),_xlfn.REGEXEXTRACT(CELL("address",G258), "\$([A-Z]+)\$[0-9]+"))</f>
        <v/>
      </c>
      <c r="H258" s="7" t="str" cm="1">
        <f t="array" aca="1" ref="H258" ca="1">IFERROR(IF(OR('Raw Data'!H258="",LEN(TRIM('Raw Data'!H258))=0),"",IF(AND(ISNUMBER('Raw Data'!H258), IFERROR('Raw Data'!H258 = ROUND('Raw Data'!H258, 2),FALSE)),"",_xlfn.REGEXEXTRACT(CELL("address",H258), "\$([A-Z]+)\$[0-9]+"))),_xlfn.REGEXEXTRACT(CELL("address",H258), "\$([A-Z]+)\$[0-9]+"))</f>
        <v/>
      </c>
      <c r="I258" s="7" t="str" cm="1">
        <f t="array" aca="1" ref="I258" ca="1">IFERROR(IF(OR('Raw Data'!I258="",LEN(TRIM('Raw Data'!I258))=0),"",IF(AND(ISNUMBER('Raw Data'!I258), IFERROR('Raw Data'!I258 = ROUND('Raw Data'!I258, 2),FALSE)),"",_xlfn.REGEXEXTRACT(CELL("address",I258), "\$([A-Z]+)\$[0-9]+"))),_xlfn.REGEXEXTRACT(CELL("address",I258), "\$([A-Z]+)\$[0-9]+"))</f>
        <v/>
      </c>
      <c r="J258" s="7" t="str" cm="1">
        <f t="array" aca="1" ref="J258" ca="1">IFERROR(IF(OR('Raw Data'!J258="",LEN(TRIM('Raw Data'!J258))=0),"",IF(AND(ISNUMBER('Raw Data'!J258), IFERROR('Raw Data'!J258 = ROUND('Raw Data'!J258, 2),FALSE)),"",_xlfn.REGEXEXTRACT(CELL("address",J258), "\$([A-Z]+)\$[0-9]+"))),_xlfn.REGEXEXTRACT(CELL("address",J258), "\$([A-Z]+)\$[0-9]+"))</f>
        <v/>
      </c>
      <c r="K258" s="7" t="str" cm="1">
        <f t="array" aca="1" ref="K258" ca="1">IFERROR(IF(OR('Raw Data'!K258="",LEN(TRIM('Raw Data'!K258))=0),"",IF(AND(ISNUMBER('Raw Data'!K258), IFERROR('Raw Data'!K258 = ROUND('Raw Data'!K258, 2),FALSE)),"",_xlfn.REGEXEXTRACT(CELL("address",K258), "\$([A-Z]+)\$[0-9]+"))),_xlfn.REGEXEXTRACT(CELL("address",K258), "\$([A-Z]+)\$[0-9]+"))</f>
        <v/>
      </c>
      <c r="L258" s="7" t="str" cm="1">
        <f t="array" aca="1" ref="L258" ca="1">IFERROR(IF(OR('Raw Data'!L258="",LEN(TRIM('Raw Data'!L258))=0),"",IF(AND(ISNUMBER('Raw Data'!L258), IFERROR('Raw Data'!L258 = ROUND('Raw Data'!L258, 2),FALSE)),"",_xlfn.REGEXEXTRACT(CELL("address",L258), "\$([A-Z]+)\$[0-9]+"))),_xlfn.REGEXEXTRACT(CELL("address",L258), "\$([A-Z]+)\$[0-9]+"))</f>
        <v/>
      </c>
      <c r="M258" s="7" t="str" cm="1">
        <f t="array" aca="1" ref="M258" ca="1">IFERROR(IF(OR('Raw Data'!M258="",LEN(TRIM('Raw Data'!M258))=0),"",IF(AND(ISNUMBER('Raw Data'!M258), IFERROR('Raw Data'!M258 = ROUND('Raw Data'!M258, 2),FALSE)),"",_xlfn.REGEXEXTRACT(CELL("address",M258), "\$([A-Z]+)\$[0-9]+"))),_xlfn.REGEXEXTRACT(CELL("address",M258), "\$([A-Z]+)\$[0-9]+"))</f>
        <v/>
      </c>
      <c r="N258" s="7" t="str" cm="1">
        <f t="array" aca="1" ref="N258" ca="1">IFERROR(IF(OR('Raw Data'!N258="",LEN(TRIM('Raw Data'!N258))=0),"",IF(AND(ISNUMBER('Raw Data'!N258), IFERROR('Raw Data'!N258 = ROUND('Raw Data'!N258, 2),FALSE)),"",_xlfn.REGEXEXTRACT(CELL("address",N258), "\$([A-Z]+)\$[0-9]+"))),_xlfn.REGEXEXTRACT(CELL("address",N258), "\$([A-Z]+)\$[0-9]+"))</f>
        <v/>
      </c>
      <c r="O258" s="7" t="str" cm="1">
        <f t="array" aca="1" ref="O258" ca="1">IFERROR(IF(OR('Raw Data'!O258="",LEN(TRIM('Raw Data'!O258))=0),"",IF(AND(ISNUMBER('Raw Data'!O258), IFERROR('Raw Data'!O258 = ROUND('Raw Data'!O258, 2),FALSE)),"",_xlfn.REGEXEXTRACT(CELL("address",O258), "\$([A-Z]+)\$[0-9]+"))),_xlfn.REGEXEXTRACT(CELL("address",O258), "\$([A-Z]+)\$[0-9]+"))</f>
        <v/>
      </c>
      <c r="P258" s="7" t="str" cm="1">
        <f t="array" aca="1" ref="P258" ca="1">IFERROR(IF(OR('Raw Data'!P258="",LEN(TRIM('Raw Data'!P258))=0),"",IF(AND(ISNUMBER('Raw Data'!P258), IFERROR('Raw Data'!P258 = ROUND('Raw Data'!P258, 2),FALSE)),"",_xlfn.REGEXEXTRACT(CELL("address",P258), "\$([A-Z]+)\$[0-9]+"))),_xlfn.REGEXEXTRACT(CELL("address",P258), "\$([A-Z]+)\$[0-9]+"))</f>
        <v/>
      </c>
      <c r="Q258" s="7" t="str" cm="1">
        <f t="array" aca="1" ref="Q258" ca="1">IFERROR(IF(OR('Raw Data'!Q258="",LEN(TRIM('Raw Data'!Q258))=0),"",IF(AND(ISNUMBER('Raw Data'!Q258), IFERROR('Raw Data'!Q258 = ROUND('Raw Data'!Q258, 2),FALSE)),"",_xlfn.REGEXEXTRACT(CELL("address",Q258), "\$([A-Z]+)\$[0-9]+"))),_xlfn.REGEXEXTRACT(CELL("address",Q258), "\$([A-Z]+)\$[0-9]+"))</f>
        <v/>
      </c>
      <c r="R258" s="7" t="str" cm="1">
        <f t="array" aca="1" ref="R258" ca="1">IFERROR(IF(OR('Raw Data'!R258="",LEN(TRIM('Raw Data'!R258))=0),"",IF(AND(ISNUMBER('Raw Data'!R258), IFERROR('Raw Data'!R258 = ROUND('Raw Data'!R258, 2),FALSE)),"",_xlfn.REGEXEXTRACT(CELL("address",R258), "\$([A-Z]+)\$[0-9]+"))),_xlfn.REGEXEXTRACT(CELL("address",R258), "\$([A-Z]+)\$[0-9]+"))</f>
        <v/>
      </c>
      <c r="S258" s="7" t="str" cm="1">
        <f t="array" aca="1" ref="S258" ca="1">IFERROR(IF(OR('Raw Data'!S258="",LEN(TRIM('Raw Data'!S258))=0),"",IF(AND(ISNUMBER('Raw Data'!S258), IFERROR('Raw Data'!S258 = ROUND('Raw Data'!S258, 2),FALSE)),"",_xlfn.REGEXEXTRACT(CELL("address",S258), "\$([A-Z]+)\$[0-9]+"))),_xlfn.REGEXEXTRACT(CELL("address",S258), "\$([A-Z]+)\$[0-9]+"))</f>
        <v/>
      </c>
      <c r="T258" s="7" t="str" cm="1">
        <f t="array" aca="1" ref="T258" ca="1">IFERROR(IF(OR('Raw Data'!T258="",LEN(TRIM('Raw Data'!T258))=0),"",IF(AND(ISNUMBER('Raw Data'!T258), IFERROR('Raw Data'!T258 = ROUND('Raw Data'!T258, 2),FALSE)),"",_xlfn.REGEXEXTRACT(CELL("address",T258), "\$([A-Z]+)\$[0-9]+"))),_xlfn.REGEXEXTRACT(CELL("address",T258), "\$([A-Z]+)\$[0-9]+"))</f>
        <v/>
      </c>
      <c r="U258" s="7" t="str" cm="1">
        <f t="array" aca="1" ref="U258" ca="1">IFERROR(IF(OR('Raw Data'!U258="",LEN(TRIM('Raw Data'!U258))=0),"",IF(AND(ISNUMBER('Raw Data'!U258), IFERROR('Raw Data'!U258 = ROUND('Raw Data'!U258, 2),FALSE)),"",_xlfn.REGEXEXTRACT(CELL("address",U258), "\$([A-Z]+)\$[0-9]+"))),_xlfn.REGEXEXTRACT(CELL("address",U258), "\$([A-Z]+)\$[0-9]+"))</f>
        <v/>
      </c>
      <c r="V258" s="7" t="str" cm="1">
        <f t="array" aca="1" ref="V258" ca="1">IFERROR(IF(OR('Raw Data'!V258="",LEN(TRIM('Raw Data'!V258))=0),"",IF(AND(ISNUMBER('Raw Data'!V258), IFERROR('Raw Data'!V258 = ROUND('Raw Data'!V258, 2),FALSE)),"",_xlfn.REGEXEXTRACT(CELL("address",V258), "\$([A-Z]+)\$[0-9]+"))),_xlfn.REGEXEXTRACT(CELL("address",V258), "\$([A-Z]+)\$[0-9]+"))</f>
        <v/>
      </c>
      <c r="W258" s="7" t="str" cm="1">
        <f t="array" aca="1" ref="W258" ca="1">IFERROR(IF(OR('Raw Data'!W258="",LEN(TRIM('Raw Data'!W258))=0),"",IF(AND(ISNUMBER('Raw Data'!W258), IFERROR('Raw Data'!W258 = ROUND('Raw Data'!W258, 2),FALSE)),"",_xlfn.REGEXEXTRACT(CELL("address",W258), "\$([A-Z]+)\$[0-9]+"))),_xlfn.REGEXEXTRACT(CELL("address",W258), "\$([A-Z]+)\$[0-9]+"))</f>
        <v/>
      </c>
      <c r="X258" s="7" t="str" cm="1">
        <f t="array" aca="1" ref="X258" ca="1">IFERROR(IF(OR('Raw Data'!X258="",LEN(TRIM('Raw Data'!X258))=0),"",IF(AND(ISNUMBER('Raw Data'!X258), IFERROR('Raw Data'!X258 = ROUND('Raw Data'!X258, 2),FALSE)),"",_xlfn.REGEXEXTRACT(CELL("address",X258), "\$([A-Z]+)\$[0-9]+"))),_xlfn.REGEXEXTRACT(CELL("address",X258), "\$([A-Z]+)\$[0-9]+"))</f>
        <v/>
      </c>
      <c r="Y258" s="7" t="str" cm="1">
        <f t="array" aca="1" ref="Y258" ca="1">IFERROR(IF(OR('Raw Data'!Y258="",LEN(TRIM('Raw Data'!Y258))=0),"",IF(AND(ISNUMBER('Raw Data'!Y258), IFERROR('Raw Data'!Y258 = ROUND('Raw Data'!Y258, 2),FALSE)),"",_xlfn.REGEXEXTRACT(CELL("address",Y258), "\$([A-Z]+)\$[0-9]+"))),_xlfn.REGEXEXTRACT(CELL("address",Y258), "\$([A-Z]+)\$[0-9]+"))</f>
        <v/>
      </c>
      <c r="Z258" s="7" t="str" cm="1">
        <f t="array" aca="1" ref="Z258" ca="1">IFERROR(IF(OR('Raw Data'!Z258="",LEN(TRIM('Raw Data'!Z258))=0),"",IF(AND(ISNUMBER('Raw Data'!Z258), IFERROR('Raw Data'!Z258 = ROUND('Raw Data'!Z258, 2),FALSE)),"",_xlfn.REGEXEXTRACT(CELL("address",Z258), "\$([A-Z]+)\$[0-9]+"))),_xlfn.REGEXEXTRACT(CELL("address",Z258), "\$([A-Z]+)\$[0-9]+"))</f>
        <v/>
      </c>
      <c r="AA258" s="7" t="str" cm="1">
        <f t="array" aca="1" ref="AA258" ca="1">IFERROR(IF(OR('Raw Data'!AA258="",LEN(TRIM('Raw Data'!AA258))=0),"",IF(AND(ISNUMBER('Raw Data'!AA258), IFERROR('Raw Data'!AA258 = ROUND('Raw Data'!AA258, 2),FALSE)),"",_xlfn.REGEXEXTRACT(CELL("address",AA258), "\$([A-Z]+)\$[0-9]+"))),_xlfn.REGEXEXTRACT(CELL("address",AA258), "\$([A-Z]+)\$[0-9]+"))</f>
        <v/>
      </c>
      <c r="AB258" s="7" t="str" cm="1">
        <f t="array" aca="1" ref="AB258" ca="1">IFERROR(IF(OR('Raw Data'!AB258="",LEN(TRIM('Raw Data'!AB258))=0),"",IF(AND(ISNUMBER('Raw Data'!AB258), IFERROR('Raw Data'!AB258 = ROUND('Raw Data'!AB258, 2),FALSE)),"",_xlfn.REGEXEXTRACT(CELL("address",AB258), "\$([A-Z]+)\$[0-9]+"))),_xlfn.REGEXEXTRACT(CELL("address",AB258), "\$([A-Z]+)\$[0-9]+"))</f>
        <v/>
      </c>
    </row>
    <row r="259" spans="2:28" x14ac:dyDescent="0.25">
      <c r="B259" s="7" t="str" cm="1">
        <f t="array" aca="1" ref="B259" ca="1">IFERROR(IF(OR('Raw Data'!B259="",LEN(TRIM('Raw Data'!B259))=0),"",IF(AND(LEN('Raw Data'!B259) &lt;= 255,LEN('Raw Data'!B259)&gt; 0),"",_xlfn.REGEXEXTRACT(CELL("address",'Raw Data'!B259),"\$([A-Z]+)\$[0-9]+"))),_xlfn.REGEXEXTRACT(CELL("address",'Raw Data'!B259),"\$([A-Z]+)\$[0-9]+"))</f>
        <v/>
      </c>
      <c r="C259" s="7" t="str" cm="1">
        <f t="array" aca="1" ref="C259" ca="1">IFERROR(IF(OR('Raw Data'!C259="",LEN(TRIM('Raw Data'!C259))=0),"",IF(AND(LEN('Raw Data'!C259) &lt;= 20,LEN('Raw Data'!C259)&gt; 0),"",_xlfn.REGEXEXTRACT(CELL("address",'Raw Data'!C259),"\$([A-Z]+)\$[0-9]+"))),_xlfn.REGEXEXTRACT(CELL("address",'Raw Data'!C259),"\$([A-Z]+)\$[0-9]+"))</f>
        <v/>
      </c>
      <c r="D259" s="7" t="str" cm="1">
        <f t="array" aca="1" ref="D259" ca="1">IFERROR(IF(OR('Raw Data'!D259="",LEN(TRIM('Raw Data'!D259))=0),"",IF(AND(ISNUMBER('Raw Data'!D259),'Raw Data'!D259&gt;=Configuration!$D$2),"",_xlfn.REGEXEXTRACT(CELL("address",'Raw Data'!D259),"\$([A-Z]+)\$[0-9]+"))),_xlfn.REGEXEXTRACT(CELL("address",D259), "\$([A-Z]+)\$[0-9]+"))</f>
        <v/>
      </c>
      <c r="E259" s="7" t="str" cm="1">
        <f t="array" aca="1" ref="E259" ca="1">IFERROR(IF(OR('Raw Data'!E259="",LEN(TRIM('Raw Data'!E259))=0),"",IF(AND(ISNUMBER('Raw Data'!E259), IFERROR('Raw Data'!E259 = ROUND('Raw Data'!E259, 2),FALSE)),"",_xlfn.REGEXEXTRACT(CELL("address",E259), "\$([A-Z]+)\$[0-9]+"))),_xlfn.REGEXEXTRACT(CELL("address",E259), "\$([A-Z]+)\$[0-9]+"))</f>
        <v/>
      </c>
      <c r="F259" s="7" t="str" cm="1">
        <f t="array" aca="1" ref="F259" ca="1">IFERROR(IF(OR('Raw Data'!F259="",LEN(TRIM('Raw Data'!F259))=0),"",IF(AND(ISNUMBER('Raw Data'!F259), IFERROR('Raw Data'!F259 = ROUND('Raw Data'!F259, 2),FALSE)),"",_xlfn.REGEXEXTRACT(CELL("address",F259), "\$([A-Z]+)\$[0-9]+"))),_xlfn.REGEXEXTRACT(CELL("address",F259), "\$([A-Z]+)\$[0-9]+"))</f>
        <v/>
      </c>
      <c r="G259" s="7" t="str" cm="1">
        <f t="array" aca="1" ref="G259" ca="1">IFERROR(IF(OR('Raw Data'!G259="",LEN(TRIM('Raw Data'!G259))=0),"",IF(AND(ISNUMBER('Raw Data'!G259), IFERROR('Raw Data'!G259 = ROUND('Raw Data'!G259, 2),FALSE)),"",_xlfn.REGEXEXTRACT(CELL("address",G259), "\$([A-Z]+)\$[0-9]+"))),_xlfn.REGEXEXTRACT(CELL("address",G259), "\$([A-Z]+)\$[0-9]+"))</f>
        <v/>
      </c>
      <c r="H259" s="7" t="str" cm="1">
        <f t="array" aca="1" ref="H259" ca="1">IFERROR(IF(OR('Raw Data'!H259="",LEN(TRIM('Raw Data'!H259))=0),"",IF(AND(ISNUMBER('Raw Data'!H259), IFERROR('Raw Data'!H259 = ROUND('Raw Data'!H259, 2),FALSE)),"",_xlfn.REGEXEXTRACT(CELL("address",H259), "\$([A-Z]+)\$[0-9]+"))),_xlfn.REGEXEXTRACT(CELL("address",H259), "\$([A-Z]+)\$[0-9]+"))</f>
        <v/>
      </c>
      <c r="I259" s="7" t="str" cm="1">
        <f t="array" aca="1" ref="I259" ca="1">IFERROR(IF(OR('Raw Data'!I259="",LEN(TRIM('Raw Data'!I259))=0),"",IF(AND(ISNUMBER('Raw Data'!I259), IFERROR('Raw Data'!I259 = ROUND('Raw Data'!I259, 2),FALSE)),"",_xlfn.REGEXEXTRACT(CELL("address",I259), "\$([A-Z]+)\$[0-9]+"))),_xlfn.REGEXEXTRACT(CELL("address",I259), "\$([A-Z]+)\$[0-9]+"))</f>
        <v/>
      </c>
      <c r="J259" s="7" t="str" cm="1">
        <f t="array" aca="1" ref="J259" ca="1">IFERROR(IF(OR('Raw Data'!J259="",LEN(TRIM('Raw Data'!J259))=0),"",IF(AND(ISNUMBER('Raw Data'!J259), IFERROR('Raw Data'!J259 = ROUND('Raw Data'!J259, 2),FALSE)),"",_xlfn.REGEXEXTRACT(CELL("address",J259), "\$([A-Z]+)\$[0-9]+"))),_xlfn.REGEXEXTRACT(CELL("address",J259), "\$([A-Z]+)\$[0-9]+"))</f>
        <v/>
      </c>
      <c r="K259" s="7" t="str" cm="1">
        <f t="array" aca="1" ref="K259" ca="1">IFERROR(IF(OR('Raw Data'!K259="",LEN(TRIM('Raw Data'!K259))=0),"",IF(AND(ISNUMBER('Raw Data'!K259), IFERROR('Raw Data'!K259 = ROUND('Raw Data'!K259, 2),FALSE)),"",_xlfn.REGEXEXTRACT(CELL("address",K259), "\$([A-Z]+)\$[0-9]+"))),_xlfn.REGEXEXTRACT(CELL("address",K259), "\$([A-Z]+)\$[0-9]+"))</f>
        <v/>
      </c>
      <c r="L259" s="7" t="str" cm="1">
        <f t="array" aca="1" ref="L259" ca="1">IFERROR(IF(OR('Raw Data'!L259="",LEN(TRIM('Raw Data'!L259))=0),"",IF(AND(ISNUMBER('Raw Data'!L259), IFERROR('Raw Data'!L259 = ROUND('Raw Data'!L259, 2),FALSE)),"",_xlfn.REGEXEXTRACT(CELL("address",L259), "\$([A-Z]+)\$[0-9]+"))),_xlfn.REGEXEXTRACT(CELL("address",L259), "\$([A-Z]+)\$[0-9]+"))</f>
        <v/>
      </c>
      <c r="M259" s="7" t="str" cm="1">
        <f t="array" aca="1" ref="M259" ca="1">IFERROR(IF(OR('Raw Data'!M259="",LEN(TRIM('Raw Data'!M259))=0),"",IF(AND(ISNUMBER('Raw Data'!M259), IFERROR('Raw Data'!M259 = ROUND('Raw Data'!M259, 2),FALSE)),"",_xlfn.REGEXEXTRACT(CELL("address",M259), "\$([A-Z]+)\$[0-9]+"))),_xlfn.REGEXEXTRACT(CELL("address",M259), "\$([A-Z]+)\$[0-9]+"))</f>
        <v/>
      </c>
      <c r="N259" s="7" t="str" cm="1">
        <f t="array" aca="1" ref="N259" ca="1">IFERROR(IF(OR('Raw Data'!N259="",LEN(TRIM('Raw Data'!N259))=0),"",IF(AND(ISNUMBER('Raw Data'!N259), IFERROR('Raw Data'!N259 = ROUND('Raw Data'!N259, 2),FALSE)),"",_xlfn.REGEXEXTRACT(CELL("address",N259), "\$([A-Z]+)\$[0-9]+"))),_xlfn.REGEXEXTRACT(CELL("address",N259), "\$([A-Z]+)\$[0-9]+"))</f>
        <v/>
      </c>
      <c r="O259" s="7" t="str" cm="1">
        <f t="array" aca="1" ref="O259" ca="1">IFERROR(IF(OR('Raw Data'!O259="",LEN(TRIM('Raw Data'!O259))=0),"",IF(AND(ISNUMBER('Raw Data'!O259), IFERROR('Raw Data'!O259 = ROUND('Raw Data'!O259, 2),FALSE)),"",_xlfn.REGEXEXTRACT(CELL("address",O259), "\$([A-Z]+)\$[0-9]+"))),_xlfn.REGEXEXTRACT(CELL("address",O259), "\$([A-Z]+)\$[0-9]+"))</f>
        <v/>
      </c>
      <c r="P259" s="7" t="str" cm="1">
        <f t="array" aca="1" ref="P259" ca="1">IFERROR(IF(OR('Raw Data'!P259="",LEN(TRIM('Raw Data'!P259))=0),"",IF(AND(ISNUMBER('Raw Data'!P259), IFERROR('Raw Data'!P259 = ROUND('Raw Data'!P259, 2),FALSE)),"",_xlfn.REGEXEXTRACT(CELL("address",P259), "\$([A-Z]+)\$[0-9]+"))),_xlfn.REGEXEXTRACT(CELL("address",P259), "\$([A-Z]+)\$[0-9]+"))</f>
        <v/>
      </c>
      <c r="Q259" s="7" t="str" cm="1">
        <f t="array" aca="1" ref="Q259" ca="1">IFERROR(IF(OR('Raw Data'!Q259="",LEN(TRIM('Raw Data'!Q259))=0),"",IF(AND(ISNUMBER('Raw Data'!Q259), IFERROR('Raw Data'!Q259 = ROUND('Raw Data'!Q259, 2),FALSE)),"",_xlfn.REGEXEXTRACT(CELL("address",Q259), "\$([A-Z]+)\$[0-9]+"))),_xlfn.REGEXEXTRACT(CELL("address",Q259), "\$([A-Z]+)\$[0-9]+"))</f>
        <v/>
      </c>
      <c r="R259" s="7" t="str" cm="1">
        <f t="array" aca="1" ref="R259" ca="1">IFERROR(IF(OR('Raw Data'!R259="",LEN(TRIM('Raw Data'!R259))=0),"",IF(AND(ISNUMBER('Raw Data'!R259), IFERROR('Raw Data'!R259 = ROUND('Raw Data'!R259, 2),FALSE)),"",_xlfn.REGEXEXTRACT(CELL("address",R259), "\$([A-Z]+)\$[0-9]+"))),_xlfn.REGEXEXTRACT(CELL("address",R259), "\$([A-Z]+)\$[0-9]+"))</f>
        <v/>
      </c>
      <c r="S259" s="7" t="str" cm="1">
        <f t="array" aca="1" ref="S259" ca="1">IFERROR(IF(OR('Raw Data'!S259="",LEN(TRIM('Raw Data'!S259))=0),"",IF(AND(ISNUMBER('Raw Data'!S259), IFERROR('Raw Data'!S259 = ROUND('Raw Data'!S259, 2),FALSE)),"",_xlfn.REGEXEXTRACT(CELL("address",S259), "\$([A-Z]+)\$[0-9]+"))),_xlfn.REGEXEXTRACT(CELL("address",S259), "\$([A-Z]+)\$[0-9]+"))</f>
        <v/>
      </c>
      <c r="T259" s="7" t="str" cm="1">
        <f t="array" aca="1" ref="T259" ca="1">IFERROR(IF(OR('Raw Data'!T259="",LEN(TRIM('Raw Data'!T259))=0),"",IF(AND(ISNUMBER('Raw Data'!T259), IFERROR('Raw Data'!T259 = ROUND('Raw Data'!T259, 2),FALSE)),"",_xlfn.REGEXEXTRACT(CELL("address",T259), "\$([A-Z]+)\$[0-9]+"))),_xlfn.REGEXEXTRACT(CELL("address",T259), "\$([A-Z]+)\$[0-9]+"))</f>
        <v/>
      </c>
      <c r="U259" s="7" t="str" cm="1">
        <f t="array" aca="1" ref="U259" ca="1">IFERROR(IF(OR('Raw Data'!U259="",LEN(TRIM('Raw Data'!U259))=0),"",IF(AND(ISNUMBER('Raw Data'!U259), IFERROR('Raw Data'!U259 = ROUND('Raw Data'!U259, 2),FALSE)),"",_xlfn.REGEXEXTRACT(CELL("address",U259), "\$([A-Z]+)\$[0-9]+"))),_xlfn.REGEXEXTRACT(CELL("address",U259), "\$([A-Z]+)\$[0-9]+"))</f>
        <v/>
      </c>
      <c r="V259" s="7" t="str" cm="1">
        <f t="array" aca="1" ref="V259" ca="1">IFERROR(IF(OR('Raw Data'!V259="",LEN(TRIM('Raw Data'!V259))=0),"",IF(AND(ISNUMBER('Raw Data'!V259), IFERROR('Raw Data'!V259 = ROUND('Raw Data'!V259, 2),FALSE)),"",_xlfn.REGEXEXTRACT(CELL("address",V259), "\$([A-Z]+)\$[0-9]+"))),_xlfn.REGEXEXTRACT(CELL("address",V259), "\$([A-Z]+)\$[0-9]+"))</f>
        <v/>
      </c>
      <c r="W259" s="7" t="str" cm="1">
        <f t="array" aca="1" ref="W259" ca="1">IFERROR(IF(OR('Raw Data'!W259="",LEN(TRIM('Raw Data'!W259))=0),"",IF(AND(ISNUMBER('Raw Data'!W259), IFERROR('Raw Data'!W259 = ROUND('Raw Data'!W259, 2),FALSE)),"",_xlfn.REGEXEXTRACT(CELL("address",W259), "\$([A-Z]+)\$[0-9]+"))),_xlfn.REGEXEXTRACT(CELL("address",W259), "\$([A-Z]+)\$[0-9]+"))</f>
        <v/>
      </c>
      <c r="X259" s="7" t="str" cm="1">
        <f t="array" aca="1" ref="X259" ca="1">IFERROR(IF(OR('Raw Data'!X259="",LEN(TRIM('Raw Data'!X259))=0),"",IF(AND(ISNUMBER('Raw Data'!X259), IFERROR('Raw Data'!X259 = ROUND('Raw Data'!X259, 2),FALSE)),"",_xlfn.REGEXEXTRACT(CELL("address",X259), "\$([A-Z]+)\$[0-9]+"))),_xlfn.REGEXEXTRACT(CELL("address",X259), "\$([A-Z]+)\$[0-9]+"))</f>
        <v/>
      </c>
      <c r="Y259" s="7" t="str" cm="1">
        <f t="array" aca="1" ref="Y259" ca="1">IFERROR(IF(OR('Raw Data'!Y259="",LEN(TRIM('Raw Data'!Y259))=0),"",IF(AND(ISNUMBER('Raw Data'!Y259), IFERROR('Raw Data'!Y259 = ROUND('Raw Data'!Y259, 2),FALSE)),"",_xlfn.REGEXEXTRACT(CELL("address",Y259), "\$([A-Z]+)\$[0-9]+"))),_xlfn.REGEXEXTRACT(CELL("address",Y259), "\$([A-Z]+)\$[0-9]+"))</f>
        <v/>
      </c>
      <c r="Z259" s="7" t="str" cm="1">
        <f t="array" aca="1" ref="Z259" ca="1">IFERROR(IF(OR('Raw Data'!Z259="",LEN(TRIM('Raw Data'!Z259))=0),"",IF(AND(ISNUMBER('Raw Data'!Z259), IFERROR('Raw Data'!Z259 = ROUND('Raw Data'!Z259, 2),FALSE)),"",_xlfn.REGEXEXTRACT(CELL("address",Z259), "\$([A-Z]+)\$[0-9]+"))),_xlfn.REGEXEXTRACT(CELL("address",Z259), "\$([A-Z]+)\$[0-9]+"))</f>
        <v/>
      </c>
      <c r="AA259" s="7" t="str" cm="1">
        <f t="array" aca="1" ref="AA259" ca="1">IFERROR(IF(OR('Raw Data'!AA259="",LEN(TRIM('Raw Data'!AA259))=0),"",IF(AND(ISNUMBER('Raw Data'!AA259), IFERROR('Raw Data'!AA259 = ROUND('Raw Data'!AA259, 2),FALSE)),"",_xlfn.REGEXEXTRACT(CELL("address",AA259), "\$([A-Z]+)\$[0-9]+"))),_xlfn.REGEXEXTRACT(CELL("address",AA259), "\$([A-Z]+)\$[0-9]+"))</f>
        <v/>
      </c>
      <c r="AB259" s="7" t="str" cm="1">
        <f t="array" aca="1" ref="AB259" ca="1">IFERROR(IF(OR('Raw Data'!AB259="",LEN(TRIM('Raw Data'!AB259))=0),"",IF(AND(ISNUMBER('Raw Data'!AB259), IFERROR('Raw Data'!AB259 = ROUND('Raw Data'!AB259, 2),FALSE)),"",_xlfn.REGEXEXTRACT(CELL("address",AB259), "\$([A-Z]+)\$[0-9]+"))),_xlfn.REGEXEXTRACT(CELL("address",AB259), "\$([A-Z]+)\$[0-9]+"))</f>
        <v/>
      </c>
    </row>
    <row r="260" spans="2:28" x14ac:dyDescent="0.25">
      <c r="B260" s="7" t="str" cm="1">
        <f t="array" aca="1" ref="B260" ca="1">IFERROR(IF(OR('Raw Data'!B260="",LEN(TRIM('Raw Data'!B260))=0),"",IF(AND(LEN('Raw Data'!B260) &lt;= 255,LEN('Raw Data'!B260)&gt; 0),"",_xlfn.REGEXEXTRACT(CELL("address",'Raw Data'!B260),"\$([A-Z]+)\$[0-9]+"))),_xlfn.REGEXEXTRACT(CELL("address",'Raw Data'!B260),"\$([A-Z]+)\$[0-9]+"))</f>
        <v/>
      </c>
      <c r="C260" s="7" t="str" cm="1">
        <f t="array" aca="1" ref="C260" ca="1">IFERROR(IF(OR('Raw Data'!C260="",LEN(TRIM('Raw Data'!C260))=0),"",IF(AND(LEN('Raw Data'!C260) &lt;= 20,LEN('Raw Data'!C260)&gt; 0),"",_xlfn.REGEXEXTRACT(CELL("address",'Raw Data'!C260),"\$([A-Z]+)\$[0-9]+"))),_xlfn.REGEXEXTRACT(CELL("address",'Raw Data'!C260),"\$([A-Z]+)\$[0-9]+"))</f>
        <v/>
      </c>
      <c r="D260" s="7" t="str" cm="1">
        <f t="array" aca="1" ref="D260" ca="1">IFERROR(IF(OR('Raw Data'!D260="",LEN(TRIM('Raw Data'!D260))=0),"",IF(AND(ISNUMBER('Raw Data'!D260),'Raw Data'!D260&gt;=Configuration!$D$2),"",_xlfn.REGEXEXTRACT(CELL("address",'Raw Data'!D260),"\$([A-Z]+)\$[0-9]+"))),_xlfn.REGEXEXTRACT(CELL("address",D260), "\$([A-Z]+)\$[0-9]+"))</f>
        <v/>
      </c>
      <c r="E260" s="7" t="str" cm="1">
        <f t="array" aca="1" ref="E260" ca="1">IFERROR(IF(OR('Raw Data'!E260="",LEN(TRIM('Raw Data'!E260))=0),"",IF(AND(ISNUMBER('Raw Data'!E260), IFERROR('Raw Data'!E260 = ROUND('Raw Data'!E260, 2),FALSE)),"",_xlfn.REGEXEXTRACT(CELL("address",E260), "\$([A-Z]+)\$[0-9]+"))),_xlfn.REGEXEXTRACT(CELL("address",E260), "\$([A-Z]+)\$[0-9]+"))</f>
        <v/>
      </c>
      <c r="F260" s="7" t="str" cm="1">
        <f t="array" aca="1" ref="F260" ca="1">IFERROR(IF(OR('Raw Data'!F260="",LEN(TRIM('Raw Data'!F260))=0),"",IF(AND(ISNUMBER('Raw Data'!F260), IFERROR('Raw Data'!F260 = ROUND('Raw Data'!F260, 2),FALSE)),"",_xlfn.REGEXEXTRACT(CELL("address",F260), "\$([A-Z]+)\$[0-9]+"))),_xlfn.REGEXEXTRACT(CELL("address",F260), "\$([A-Z]+)\$[0-9]+"))</f>
        <v/>
      </c>
      <c r="G260" s="7" t="str" cm="1">
        <f t="array" aca="1" ref="G260" ca="1">IFERROR(IF(OR('Raw Data'!G260="",LEN(TRIM('Raw Data'!G260))=0),"",IF(AND(ISNUMBER('Raw Data'!G260), IFERROR('Raw Data'!G260 = ROUND('Raw Data'!G260, 2),FALSE)),"",_xlfn.REGEXEXTRACT(CELL("address",G260), "\$([A-Z]+)\$[0-9]+"))),_xlfn.REGEXEXTRACT(CELL("address",G260), "\$([A-Z]+)\$[0-9]+"))</f>
        <v/>
      </c>
      <c r="H260" s="7" t="str" cm="1">
        <f t="array" aca="1" ref="H260" ca="1">IFERROR(IF(OR('Raw Data'!H260="",LEN(TRIM('Raw Data'!H260))=0),"",IF(AND(ISNUMBER('Raw Data'!H260), IFERROR('Raw Data'!H260 = ROUND('Raw Data'!H260, 2),FALSE)),"",_xlfn.REGEXEXTRACT(CELL("address",H260), "\$([A-Z]+)\$[0-9]+"))),_xlfn.REGEXEXTRACT(CELL("address",H260), "\$([A-Z]+)\$[0-9]+"))</f>
        <v/>
      </c>
      <c r="I260" s="7" t="str" cm="1">
        <f t="array" aca="1" ref="I260" ca="1">IFERROR(IF(OR('Raw Data'!I260="",LEN(TRIM('Raw Data'!I260))=0),"",IF(AND(ISNUMBER('Raw Data'!I260), IFERROR('Raw Data'!I260 = ROUND('Raw Data'!I260, 2),FALSE)),"",_xlfn.REGEXEXTRACT(CELL("address",I260), "\$([A-Z]+)\$[0-9]+"))),_xlfn.REGEXEXTRACT(CELL("address",I260), "\$([A-Z]+)\$[0-9]+"))</f>
        <v/>
      </c>
      <c r="J260" s="7" t="str" cm="1">
        <f t="array" aca="1" ref="J260" ca="1">IFERROR(IF(OR('Raw Data'!J260="",LEN(TRIM('Raw Data'!J260))=0),"",IF(AND(ISNUMBER('Raw Data'!J260), IFERROR('Raw Data'!J260 = ROUND('Raw Data'!J260, 2),FALSE)),"",_xlfn.REGEXEXTRACT(CELL("address",J260), "\$([A-Z]+)\$[0-9]+"))),_xlfn.REGEXEXTRACT(CELL("address",J260), "\$([A-Z]+)\$[0-9]+"))</f>
        <v/>
      </c>
      <c r="K260" s="7" t="str" cm="1">
        <f t="array" aca="1" ref="K260" ca="1">IFERROR(IF(OR('Raw Data'!K260="",LEN(TRIM('Raw Data'!K260))=0),"",IF(AND(ISNUMBER('Raw Data'!K260), IFERROR('Raw Data'!K260 = ROUND('Raw Data'!K260, 2),FALSE)),"",_xlfn.REGEXEXTRACT(CELL("address",K260), "\$([A-Z]+)\$[0-9]+"))),_xlfn.REGEXEXTRACT(CELL("address",K260), "\$([A-Z]+)\$[0-9]+"))</f>
        <v/>
      </c>
      <c r="L260" s="7" t="str" cm="1">
        <f t="array" aca="1" ref="L260" ca="1">IFERROR(IF(OR('Raw Data'!L260="",LEN(TRIM('Raw Data'!L260))=0),"",IF(AND(ISNUMBER('Raw Data'!L260), IFERROR('Raw Data'!L260 = ROUND('Raw Data'!L260, 2),FALSE)),"",_xlfn.REGEXEXTRACT(CELL("address",L260), "\$([A-Z]+)\$[0-9]+"))),_xlfn.REGEXEXTRACT(CELL("address",L260), "\$([A-Z]+)\$[0-9]+"))</f>
        <v/>
      </c>
      <c r="M260" s="7" t="str" cm="1">
        <f t="array" aca="1" ref="M260" ca="1">IFERROR(IF(OR('Raw Data'!M260="",LEN(TRIM('Raw Data'!M260))=0),"",IF(AND(ISNUMBER('Raw Data'!M260), IFERROR('Raw Data'!M260 = ROUND('Raw Data'!M260, 2),FALSE)),"",_xlfn.REGEXEXTRACT(CELL("address",M260), "\$([A-Z]+)\$[0-9]+"))),_xlfn.REGEXEXTRACT(CELL("address",M260), "\$([A-Z]+)\$[0-9]+"))</f>
        <v/>
      </c>
      <c r="N260" s="7" t="str" cm="1">
        <f t="array" aca="1" ref="N260" ca="1">IFERROR(IF(OR('Raw Data'!N260="",LEN(TRIM('Raw Data'!N260))=0),"",IF(AND(ISNUMBER('Raw Data'!N260), IFERROR('Raw Data'!N260 = ROUND('Raw Data'!N260, 2),FALSE)),"",_xlfn.REGEXEXTRACT(CELL("address",N260), "\$([A-Z]+)\$[0-9]+"))),_xlfn.REGEXEXTRACT(CELL("address",N260), "\$([A-Z]+)\$[0-9]+"))</f>
        <v/>
      </c>
      <c r="O260" s="7" t="str" cm="1">
        <f t="array" aca="1" ref="O260" ca="1">IFERROR(IF(OR('Raw Data'!O260="",LEN(TRIM('Raw Data'!O260))=0),"",IF(AND(ISNUMBER('Raw Data'!O260), IFERROR('Raw Data'!O260 = ROUND('Raw Data'!O260, 2),FALSE)),"",_xlfn.REGEXEXTRACT(CELL("address",O260), "\$([A-Z]+)\$[0-9]+"))),_xlfn.REGEXEXTRACT(CELL("address",O260), "\$([A-Z]+)\$[0-9]+"))</f>
        <v/>
      </c>
      <c r="P260" s="7" t="str" cm="1">
        <f t="array" aca="1" ref="P260" ca="1">IFERROR(IF(OR('Raw Data'!P260="",LEN(TRIM('Raw Data'!P260))=0),"",IF(AND(ISNUMBER('Raw Data'!P260), IFERROR('Raw Data'!P260 = ROUND('Raw Data'!P260, 2),FALSE)),"",_xlfn.REGEXEXTRACT(CELL("address",P260), "\$([A-Z]+)\$[0-9]+"))),_xlfn.REGEXEXTRACT(CELL("address",P260), "\$([A-Z]+)\$[0-9]+"))</f>
        <v/>
      </c>
      <c r="Q260" s="7" t="str" cm="1">
        <f t="array" aca="1" ref="Q260" ca="1">IFERROR(IF(OR('Raw Data'!Q260="",LEN(TRIM('Raw Data'!Q260))=0),"",IF(AND(ISNUMBER('Raw Data'!Q260), IFERROR('Raw Data'!Q260 = ROUND('Raw Data'!Q260, 2),FALSE)),"",_xlfn.REGEXEXTRACT(CELL("address",Q260), "\$([A-Z]+)\$[0-9]+"))),_xlfn.REGEXEXTRACT(CELL("address",Q260), "\$([A-Z]+)\$[0-9]+"))</f>
        <v/>
      </c>
      <c r="R260" s="7" t="str" cm="1">
        <f t="array" aca="1" ref="R260" ca="1">IFERROR(IF(OR('Raw Data'!R260="",LEN(TRIM('Raw Data'!R260))=0),"",IF(AND(ISNUMBER('Raw Data'!R260), IFERROR('Raw Data'!R260 = ROUND('Raw Data'!R260, 2),FALSE)),"",_xlfn.REGEXEXTRACT(CELL("address",R260), "\$([A-Z]+)\$[0-9]+"))),_xlfn.REGEXEXTRACT(CELL("address",R260), "\$([A-Z]+)\$[0-9]+"))</f>
        <v/>
      </c>
      <c r="S260" s="7" t="str" cm="1">
        <f t="array" aca="1" ref="S260" ca="1">IFERROR(IF(OR('Raw Data'!S260="",LEN(TRIM('Raw Data'!S260))=0),"",IF(AND(ISNUMBER('Raw Data'!S260), IFERROR('Raw Data'!S260 = ROUND('Raw Data'!S260, 2),FALSE)),"",_xlfn.REGEXEXTRACT(CELL("address",S260), "\$([A-Z]+)\$[0-9]+"))),_xlfn.REGEXEXTRACT(CELL("address",S260), "\$([A-Z]+)\$[0-9]+"))</f>
        <v/>
      </c>
      <c r="T260" s="7" t="str" cm="1">
        <f t="array" aca="1" ref="T260" ca="1">IFERROR(IF(OR('Raw Data'!T260="",LEN(TRIM('Raw Data'!T260))=0),"",IF(AND(ISNUMBER('Raw Data'!T260), IFERROR('Raw Data'!T260 = ROUND('Raw Data'!T260, 2),FALSE)),"",_xlfn.REGEXEXTRACT(CELL("address",T260), "\$([A-Z]+)\$[0-9]+"))),_xlfn.REGEXEXTRACT(CELL("address",T260), "\$([A-Z]+)\$[0-9]+"))</f>
        <v/>
      </c>
      <c r="U260" s="7" t="str" cm="1">
        <f t="array" aca="1" ref="U260" ca="1">IFERROR(IF(OR('Raw Data'!U260="",LEN(TRIM('Raw Data'!U260))=0),"",IF(AND(ISNUMBER('Raw Data'!U260), IFERROR('Raw Data'!U260 = ROUND('Raw Data'!U260, 2),FALSE)),"",_xlfn.REGEXEXTRACT(CELL("address",U260), "\$([A-Z]+)\$[0-9]+"))),_xlfn.REGEXEXTRACT(CELL("address",U260), "\$([A-Z]+)\$[0-9]+"))</f>
        <v/>
      </c>
      <c r="V260" s="7" t="str" cm="1">
        <f t="array" aca="1" ref="V260" ca="1">IFERROR(IF(OR('Raw Data'!V260="",LEN(TRIM('Raw Data'!V260))=0),"",IF(AND(ISNUMBER('Raw Data'!V260), IFERROR('Raw Data'!V260 = ROUND('Raw Data'!V260, 2),FALSE)),"",_xlfn.REGEXEXTRACT(CELL("address",V260), "\$([A-Z]+)\$[0-9]+"))),_xlfn.REGEXEXTRACT(CELL("address",V260), "\$([A-Z]+)\$[0-9]+"))</f>
        <v/>
      </c>
      <c r="W260" s="7" t="str" cm="1">
        <f t="array" aca="1" ref="W260" ca="1">IFERROR(IF(OR('Raw Data'!W260="",LEN(TRIM('Raw Data'!W260))=0),"",IF(AND(ISNUMBER('Raw Data'!W260), IFERROR('Raw Data'!W260 = ROUND('Raw Data'!W260, 2),FALSE)),"",_xlfn.REGEXEXTRACT(CELL("address",W260), "\$([A-Z]+)\$[0-9]+"))),_xlfn.REGEXEXTRACT(CELL("address",W260), "\$([A-Z]+)\$[0-9]+"))</f>
        <v/>
      </c>
      <c r="X260" s="7" t="str" cm="1">
        <f t="array" aca="1" ref="X260" ca="1">IFERROR(IF(OR('Raw Data'!X260="",LEN(TRIM('Raw Data'!X260))=0),"",IF(AND(ISNUMBER('Raw Data'!X260), IFERROR('Raw Data'!X260 = ROUND('Raw Data'!X260, 2),FALSE)),"",_xlfn.REGEXEXTRACT(CELL("address",X260), "\$([A-Z]+)\$[0-9]+"))),_xlfn.REGEXEXTRACT(CELL("address",X260), "\$([A-Z]+)\$[0-9]+"))</f>
        <v/>
      </c>
      <c r="Y260" s="7" t="str" cm="1">
        <f t="array" aca="1" ref="Y260" ca="1">IFERROR(IF(OR('Raw Data'!Y260="",LEN(TRIM('Raw Data'!Y260))=0),"",IF(AND(ISNUMBER('Raw Data'!Y260), IFERROR('Raw Data'!Y260 = ROUND('Raw Data'!Y260, 2),FALSE)),"",_xlfn.REGEXEXTRACT(CELL("address",Y260), "\$([A-Z]+)\$[0-9]+"))),_xlfn.REGEXEXTRACT(CELL("address",Y260), "\$([A-Z]+)\$[0-9]+"))</f>
        <v/>
      </c>
      <c r="Z260" s="7" t="str" cm="1">
        <f t="array" aca="1" ref="Z260" ca="1">IFERROR(IF(OR('Raw Data'!Z260="",LEN(TRIM('Raw Data'!Z260))=0),"",IF(AND(ISNUMBER('Raw Data'!Z260), IFERROR('Raw Data'!Z260 = ROUND('Raw Data'!Z260, 2),FALSE)),"",_xlfn.REGEXEXTRACT(CELL("address",Z260), "\$([A-Z]+)\$[0-9]+"))),_xlfn.REGEXEXTRACT(CELL("address",Z260), "\$([A-Z]+)\$[0-9]+"))</f>
        <v/>
      </c>
      <c r="AA260" s="7" t="str" cm="1">
        <f t="array" aca="1" ref="AA260" ca="1">IFERROR(IF(OR('Raw Data'!AA260="",LEN(TRIM('Raw Data'!AA260))=0),"",IF(AND(ISNUMBER('Raw Data'!AA260), IFERROR('Raw Data'!AA260 = ROUND('Raw Data'!AA260, 2),FALSE)),"",_xlfn.REGEXEXTRACT(CELL("address",AA260), "\$([A-Z]+)\$[0-9]+"))),_xlfn.REGEXEXTRACT(CELL("address",AA260), "\$([A-Z]+)\$[0-9]+"))</f>
        <v/>
      </c>
      <c r="AB260" s="7" t="str" cm="1">
        <f t="array" aca="1" ref="AB260" ca="1">IFERROR(IF(OR('Raw Data'!AB260="",LEN(TRIM('Raw Data'!AB260))=0),"",IF(AND(ISNUMBER('Raw Data'!AB260), IFERROR('Raw Data'!AB260 = ROUND('Raw Data'!AB260, 2),FALSE)),"",_xlfn.REGEXEXTRACT(CELL("address",AB260), "\$([A-Z]+)\$[0-9]+"))),_xlfn.REGEXEXTRACT(CELL("address",AB260), "\$([A-Z]+)\$[0-9]+"))</f>
        <v/>
      </c>
    </row>
    <row r="261" spans="2:28" x14ac:dyDescent="0.25">
      <c r="B261" s="7" t="str" cm="1">
        <f t="array" aca="1" ref="B261" ca="1">IFERROR(IF(OR('Raw Data'!B261="",LEN(TRIM('Raw Data'!B261))=0),"",IF(AND(LEN('Raw Data'!B261) &lt;= 255,LEN('Raw Data'!B261)&gt; 0),"",_xlfn.REGEXEXTRACT(CELL("address",'Raw Data'!B261),"\$([A-Z]+)\$[0-9]+"))),_xlfn.REGEXEXTRACT(CELL("address",'Raw Data'!B261),"\$([A-Z]+)\$[0-9]+"))</f>
        <v/>
      </c>
      <c r="C261" s="7" t="str" cm="1">
        <f t="array" aca="1" ref="C261" ca="1">IFERROR(IF(OR('Raw Data'!C261="",LEN(TRIM('Raw Data'!C261))=0),"",IF(AND(LEN('Raw Data'!C261) &lt;= 20,LEN('Raw Data'!C261)&gt; 0),"",_xlfn.REGEXEXTRACT(CELL("address",'Raw Data'!C261),"\$([A-Z]+)\$[0-9]+"))),_xlfn.REGEXEXTRACT(CELL("address",'Raw Data'!C261),"\$([A-Z]+)\$[0-9]+"))</f>
        <v/>
      </c>
      <c r="D261" s="7" t="str" cm="1">
        <f t="array" aca="1" ref="D261" ca="1">IFERROR(IF(OR('Raw Data'!D261="",LEN(TRIM('Raw Data'!D261))=0),"",IF(AND(ISNUMBER('Raw Data'!D261),'Raw Data'!D261&gt;=Configuration!$D$2),"",_xlfn.REGEXEXTRACT(CELL("address",'Raw Data'!D261),"\$([A-Z]+)\$[0-9]+"))),_xlfn.REGEXEXTRACT(CELL("address",D261), "\$([A-Z]+)\$[0-9]+"))</f>
        <v/>
      </c>
      <c r="E261" s="7" t="str" cm="1">
        <f t="array" aca="1" ref="E261" ca="1">IFERROR(IF(OR('Raw Data'!E261="",LEN(TRIM('Raw Data'!E261))=0),"",IF(AND(ISNUMBER('Raw Data'!E261), IFERROR('Raw Data'!E261 = ROUND('Raw Data'!E261, 2),FALSE)),"",_xlfn.REGEXEXTRACT(CELL("address",E261), "\$([A-Z]+)\$[0-9]+"))),_xlfn.REGEXEXTRACT(CELL("address",E261), "\$([A-Z]+)\$[0-9]+"))</f>
        <v/>
      </c>
      <c r="F261" s="7" t="str" cm="1">
        <f t="array" aca="1" ref="F261" ca="1">IFERROR(IF(OR('Raw Data'!F261="",LEN(TRIM('Raw Data'!F261))=0),"",IF(AND(ISNUMBER('Raw Data'!F261), IFERROR('Raw Data'!F261 = ROUND('Raw Data'!F261, 2),FALSE)),"",_xlfn.REGEXEXTRACT(CELL("address",F261), "\$([A-Z]+)\$[0-9]+"))),_xlfn.REGEXEXTRACT(CELL("address",F261), "\$([A-Z]+)\$[0-9]+"))</f>
        <v/>
      </c>
      <c r="G261" s="7" t="str" cm="1">
        <f t="array" aca="1" ref="G261" ca="1">IFERROR(IF(OR('Raw Data'!G261="",LEN(TRIM('Raw Data'!G261))=0),"",IF(AND(ISNUMBER('Raw Data'!G261), IFERROR('Raw Data'!G261 = ROUND('Raw Data'!G261, 2),FALSE)),"",_xlfn.REGEXEXTRACT(CELL("address",G261), "\$([A-Z]+)\$[0-9]+"))),_xlfn.REGEXEXTRACT(CELL("address",G261), "\$([A-Z]+)\$[0-9]+"))</f>
        <v/>
      </c>
      <c r="H261" s="7" t="str" cm="1">
        <f t="array" aca="1" ref="H261" ca="1">IFERROR(IF(OR('Raw Data'!H261="",LEN(TRIM('Raw Data'!H261))=0),"",IF(AND(ISNUMBER('Raw Data'!H261), IFERROR('Raw Data'!H261 = ROUND('Raw Data'!H261, 2),FALSE)),"",_xlfn.REGEXEXTRACT(CELL("address",H261), "\$([A-Z]+)\$[0-9]+"))),_xlfn.REGEXEXTRACT(CELL("address",H261), "\$([A-Z]+)\$[0-9]+"))</f>
        <v/>
      </c>
      <c r="I261" s="7" t="str" cm="1">
        <f t="array" aca="1" ref="I261" ca="1">IFERROR(IF(OR('Raw Data'!I261="",LEN(TRIM('Raw Data'!I261))=0),"",IF(AND(ISNUMBER('Raw Data'!I261), IFERROR('Raw Data'!I261 = ROUND('Raw Data'!I261, 2),FALSE)),"",_xlfn.REGEXEXTRACT(CELL("address",I261), "\$([A-Z]+)\$[0-9]+"))),_xlfn.REGEXEXTRACT(CELL("address",I261), "\$([A-Z]+)\$[0-9]+"))</f>
        <v/>
      </c>
      <c r="J261" s="7" t="str" cm="1">
        <f t="array" aca="1" ref="J261" ca="1">IFERROR(IF(OR('Raw Data'!J261="",LEN(TRIM('Raw Data'!J261))=0),"",IF(AND(ISNUMBER('Raw Data'!J261), IFERROR('Raw Data'!J261 = ROUND('Raw Data'!J261, 2),FALSE)),"",_xlfn.REGEXEXTRACT(CELL("address",J261), "\$([A-Z]+)\$[0-9]+"))),_xlfn.REGEXEXTRACT(CELL("address",J261), "\$([A-Z]+)\$[0-9]+"))</f>
        <v/>
      </c>
      <c r="K261" s="7" t="str" cm="1">
        <f t="array" aca="1" ref="K261" ca="1">IFERROR(IF(OR('Raw Data'!K261="",LEN(TRIM('Raw Data'!K261))=0),"",IF(AND(ISNUMBER('Raw Data'!K261), IFERROR('Raw Data'!K261 = ROUND('Raw Data'!K261, 2),FALSE)),"",_xlfn.REGEXEXTRACT(CELL("address",K261), "\$([A-Z]+)\$[0-9]+"))),_xlfn.REGEXEXTRACT(CELL("address",K261), "\$([A-Z]+)\$[0-9]+"))</f>
        <v/>
      </c>
      <c r="L261" s="7" t="str" cm="1">
        <f t="array" aca="1" ref="L261" ca="1">IFERROR(IF(OR('Raw Data'!L261="",LEN(TRIM('Raw Data'!L261))=0),"",IF(AND(ISNUMBER('Raw Data'!L261), IFERROR('Raw Data'!L261 = ROUND('Raw Data'!L261, 2),FALSE)),"",_xlfn.REGEXEXTRACT(CELL("address",L261), "\$([A-Z]+)\$[0-9]+"))),_xlfn.REGEXEXTRACT(CELL("address",L261), "\$([A-Z]+)\$[0-9]+"))</f>
        <v/>
      </c>
      <c r="M261" s="7" t="str" cm="1">
        <f t="array" aca="1" ref="M261" ca="1">IFERROR(IF(OR('Raw Data'!M261="",LEN(TRIM('Raw Data'!M261))=0),"",IF(AND(ISNUMBER('Raw Data'!M261), IFERROR('Raw Data'!M261 = ROUND('Raw Data'!M261, 2),FALSE)),"",_xlfn.REGEXEXTRACT(CELL("address",M261), "\$([A-Z]+)\$[0-9]+"))),_xlfn.REGEXEXTRACT(CELL("address",M261), "\$([A-Z]+)\$[0-9]+"))</f>
        <v/>
      </c>
      <c r="N261" s="7" t="str" cm="1">
        <f t="array" aca="1" ref="N261" ca="1">IFERROR(IF(OR('Raw Data'!N261="",LEN(TRIM('Raw Data'!N261))=0),"",IF(AND(ISNUMBER('Raw Data'!N261), IFERROR('Raw Data'!N261 = ROUND('Raw Data'!N261, 2),FALSE)),"",_xlfn.REGEXEXTRACT(CELL("address",N261), "\$([A-Z]+)\$[0-9]+"))),_xlfn.REGEXEXTRACT(CELL("address",N261), "\$([A-Z]+)\$[0-9]+"))</f>
        <v/>
      </c>
      <c r="O261" s="7" t="str" cm="1">
        <f t="array" aca="1" ref="O261" ca="1">IFERROR(IF(OR('Raw Data'!O261="",LEN(TRIM('Raw Data'!O261))=0),"",IF(AND(ISNUMBER('Raw Data'!O261), IFERROR('Raw Data'!O261 = ROUND('Raw Data'!O261, 2),FALSE)),"",_xlfn.REGEXEXTRACT(CELL("address",O261), "\$([A-Z]+)\$[0-9]+"))),_xlfn.REGEXEXTRACT(CELL("address",O261), "\$([A-Z]+)\$[0-9]+"))</f>
        <v/>
      </c>
      <c r="P261" s="7" t="str" cm="1">
        <f t="array" aca="1" ref="P261" ca="1">IFERROR(IF(OR('Raw Data'!P261="",LEN(TRIM('Raw Data'!P261))=0),"",IF(AND(ISNUMBER('Raw Data'!P261), IFERROR('Raw Data'!P261 = ROUND('Raw Data'!P261, 2),FALSE)),"",_xlfn.REGEXEXTRACT(CELL("address",P261), "\$([A-Z]+)\$[0-9]+"))),_xlfn.REGEXEXTRACT(CELL("address",P261), "\$([A-Z]+)\$[0-9]+"))</f>
        <v/>
      </c>
      <c r="Q261" s="7" t="str" cm="1">
        <f t="array" aca="1" ref="Q261" ca="1">IFERROR(IF(OR('Raw Data'!Q261="",LEN(TRIM('Raw Data'!Q261))=0),"",IF(AND(ISNUMBER('Raw Data'!Q261), IFERROR('Raw Data'!Q261 = ROUND('Raw Data'!Q261, 2),FALSE)),"",_xlfn.REGEXEXTRACT(CELL("address",Q261), "\$([A-Z]+)\$[0-9]+"))),_xlfn.REGEXEXTRACT(CELL("address",Q261), "\$([A-Z]+)\$[0-9]+"))</f>
        <v/>
      </c>
      <c r="R261" s="7" t="str" cm="1">
        <f t="array" aca="1" ref="R261" ca="1">IFERROR(IF(OR('Raw Data'!R261="",LEN(TRIM('Raw Data'!R261))=0),"",IF(AND(ISNUMBER('Raw Data'!R261), IFERROR('Raw Data'!R261 = ROUND('Raw Data'!R261, 2),FALSE)),"",_xlfn.REGEXEXTRACT(CELL("address",R261), "\$([A-Z]+)\$[0-9]+"))),_xlfn.REGEXEXTRACT(CELL("address",R261), "\$([A-Z]+)\$[0-9]+"))</f>
        <v/>
      </c>
      <c r="S261" s="7" t="str" cm="1">
        <f t="array" aca="1" ref="S261" ca="1">IFERROR(IF(OR('Raw Data'!S261="",LEN(TRIM('Raw Data'!S261))=0),"",IF(AND(ISNUMBER('Raw Data'!S261), IFERROR('Raw Data'!S261 = ROUND('Raw Data'!S261, 2),FALSE)),"",_xlfn.REGEXEXTRACT(CELL("address",S261), "\$([A-Z]+)\$[0-9]+"))),_xlfn.REGEXEXTRACT(CELL("address",S261), "\$([A-Z]+)\$[0-9]+"))</f>
        <v/>
      </c>
      <c r="T261" s="7" t="str" cm="1">
        <f t="array" aca="1" ref="T261" ca="1">IFERROR(IF(OR('Raw Data'!T261="",LEN(TRIM('Raw Data'!T261))=0),"",IF(AND(ISNUMBER('Raw Data'!T261), IFERROR('Raw Data'!T261 = ROUND('Raw Data'!T261, 2),FALSE)),"",_xlfn.REGEXEXTRACT(CELL("address",T261), "\$([A-Z]+)\$[0-9]+"))),_xlfn.REGEXEXTRACT(CELL("address",T261), "\$([A-Z]+)\$[0-9]+"))</f>
        <v/>
      </c>
      <c r="U261" s="7" t="str" cm="1">
        <f t="array" aca="1" ref="U261" ca="1">IFERROR(IF(OR('Raw Data'!U261="",LEN(TRIM('Raw Data'!U261))=0),"",IF(AND(ISNUMBER('Raw Data'!U261), IFERROR('Raw Data'!U261 = ROUND('Raw Data'!U261, 2),FALSE)),"",_xlfn.REGEXEXTRACT(CELL("address",U261), "\$([A-Z]+)\$[0-9]+"))),_xlfn.REGEXEXTRACT(CELL("address",U261), "\$([A-Z]+)\$[0-9]+"))</f>
        <v/>
      </c>
      <c r="V261" s="7" t="str" cm="1">
        <f t="array" aca="1" ref="V261" ca="1">IFERROR(IF(OR('Raw Data'!V261="",LEN(TRIM('Raw Data'!V261))=0),"",IF(AND(ISNUMBER('Raw Data'!V261), IFERROR('Raw Data'!V261 = ROUND('Raw Data'!V261, 2),FALSE)),"",_xlfn.REGEXEXTRACT(CELL("address",V261), "\$([A-Z]+)\$[0-9]+"))),_xlfn.REGEXEXTRACT(CELL("address",V261), "\$([A-Z]+)\$[0-9]+"))</f>
        <v/>
      </c>
      <c r="W261" s="7" t="str" cm="1">
        <f t="array" aca="1" ref="W261" ca="1">IFERROR(IF(OR('Raw Data'!W261="",LEN(TRIM('Raw Data'!W261))=0),"",IF(AND(ISNUMBER('Raw Data'!W261), IFERROR('Raw Data'!W261 = ROUND('Raw Data'!W261, 2),FALSE)),"",_xlfn.REGEXEXTRACT(CELL("address",W261), "\$([A-Z]+)\$[0-9]+"))),_xlfn.REGEXEXTRACT(CELL("address",W261), "\$([A-Z]+)\$[0-9]+"))</f>
        <v/>
      </c>
      <c r="X261" s="7" t="str" cm="1">
        <f t="array" aca="1" ref="X261" ca="1">IFERROR(IF(OR('Raw Data'!X261="",LEN(TRIM('Raw Data'!X261))=0),"",IF(AND(ISNUMBER('Raw Data'!X261), IFERROR('Raw Data'!X261 = ROUND('Raw Data'!X261, 2),FALSE)),"",_xlfn.REGEXEXTRACT(CELL("address",X261), "\$([A-Z]+)\$[0-9]+"))),_xlfn.REGEXEXTRACT(CELL("address",X261), "\$([A-Z]+)\$[0-9]+"))</f>
        <v/>
      </c>
      <c r="Y261" s="7" t="str" cm="1">
        <f t="array" aca="1" ref="Y261" ca="1">IFERROR(IF(OR('Raw Data'!Y261="",LEN(TRIM('Raw Data'!Y261))=0),"",IF(AND(ISNUMBER('Raw Data'!Y261), IFERROR('Raw Data'!Y261 = ROUND('Raw Data'!Y261, 2),FALSE)),"",_xlfn.REGEXEXTRACT(CELL("address",Y261), "\$([A-Z]+)\$[0-9]+"))),_xlfn.REGEXEXTRACT(CELL("address",Y261), "\$([A-Z]+)\$[0-9]+"))</f>
        <v/>
      </c>
      <c r="Z261" s="7" t="str" cm="1">
        <f t="array" aca="1" ref="Z261" ca="1">IFERROR(IF(OR('Raw Data'!Z261="",LEN(TRIM('Raw Data'!Z261))=0),"",IF(AND(ISNUMBER('Raw Data'!Z261), IFERROR('Raw Data'!Z261 = ROUND('Raw Data'!Z261, 2),FALSE)),"",_xlfn.REGEXEXTRACT(CELL("address",Z261), "\$([A-Z]+)\$[0-9]+"))),_xlfn.REGEXEXTRACT(CELL("address",Z261), "\$([A-Z]+)\$[0-9]+"))</f>
        <v/>
      </c>
      <c r="AA261" s="7" t="str" cm="1">
        <f t="array" aca="1" ref="AA261" ca="1">IFERROR(IF(OR('Raw Data'!AA261="",LEN(TRIM('Raw Data'!AA261))=0),"",IF(AND(ISNUMBER('Raw Data'!AA261), IFERROR('Raw Data'!AA261 = ROUND('Raw Data'!AA261, 2),FALSE)),"",_xlfn.REGEXEXTRACT(CELL("address",AA261), "\$([A-Z]+)\$[0-9]+"))),_xlfn.REGEXEXTRACT(CELL("address",AA261), "\$([A-Z]+)\$[0-9]+"))</f>
        <v/>
      </c>
      <c r="AB261" s="7" t="str" cm="1">
        <f t="array" aca="1" ref="AB261" ca="1">IFERROR(IF(OR('Raw Data'!AB261="",LEN(TRIM('Raw Data'!AB261))=0),"",IF(AND(ISNUMBER('Raw Data'!AB261), IFERROR('Raw Data'!AB261 = ROUND('Raw Data'!AB261, 2),FALSE)),"",_xlfn.REGEXEXTRACT(CELL("address",AB261), "\$([A-Z]+)\$[0-9]+"))),_xlfn.REGEXEXTRACT(CELL("address",AB261), "\$([A-Z]+)\$[0-9]+"))</f>
        <v/>
      </c>
    </row>
    <row r="262" spans="2:28" x14ac:dyDescent="0.25">
      <c r="B262" s="7" t="str" cm="1">
        <f t="array" aca="1" ref="B262" ca="1">IFERROR(IF(OR('Raw Data'!B262="",LEN(TRIM('Raw Data'!B262))=0),"",IF(AND(LEN('Raw Data'!B262) &lt;= 255,LEN('Raw Data'!B262)&gt; 0),"",_xlfn.REGEXEXTRACT(CELL("address",'Raw Data'!B262),"\$([A-Z]+)\$[0-9]+"))),_xlfn.REGEXEXTRACT(CELL("address",'Raw Data'!B262),"\$([A-Z]+)\$[0-9]+"))</f>
        <v/>
      </c>
      <c r="C262" s="7" t="str" cm="1">
        <f t="array" aca="1" ref="C262" ca="1">IFERROR(IF(OR('Raw Data'!C262="",LEN(TRIM('Raw Data'!C262))=0),"",IF(AND(LEN('Raw Data'!C262) &lt;= 20,LEN('Raw Data'!C262)&gt; 0),"",_xlfn.REGEXEXTRACT(CELL("address",'Raw Data'!C262),"\$([A-Z]+)\$[0-9]+"))),_xlfn.REGEXEXTRACT(CELL("address",'Raw Data'!C262),"\$([A-Z]+)\$[0-9]+"))</f>
        <v/>
      </c>
      <c r="D262" s="7" t="str" cm="1">
        <f t="array" aca="1" ref="D262" ca="1">IFERROR(IF(OR('Raw Data'!D262="",LEN(TRIM('Raw Data'!D262))=0),"",IF(AND(ISNUMBER('Raw Data'!D262),'Raw Data'!D262&gt;=Configuration!$D$2),"",_xlfn.REGEXEXTRACT(CELL("address",'Raw Data'!D262),"\$([A-Z]+)\$[0-9]+"))),_xlfn.REGEXEXTRACT(CELL("address",D262), "\$([A-Z]+)\$[0-9]+"))</f>
        <v/>
      </c>
      <c r="E262" s="7" t="str" cm="1">
        <f t="array" aca="1" ref="E262" ca="1">IFERROR(IF(OR('Raw Data'!E262="",LEN(TRIM('Raw Data'!E262))=0),"",IF(AND(ISNUMBER('Raw Data'!E262), IFERROR('Raw Data'!E262 = ROUND('Raw Data'!E262, 2),FALSE)),"",_xlfn.REGEXEXTRACT(CELL("address",E262), "\$([A-Z]+)\$[0-9]+"))),_xlfn.REGEXEXTRACT(CELL("address",E262), "\$([A-Z]+)\$[0-9]+"))</f>
        <v/>
      </c>
      <c r="F262" s="7" t="str" cm="1">
        <f t="array" aca="1" ref="F262" ca="1">IFERROR(IF(OR('Raw Data'!F262="",LEN(TRIM('Raw Data'!F262))=0),"",IF(AND(ISNUMBER('Raw Data'!F262), IFERROR('Raw Data'!F262 = ROUND('Raw Data'!F262, 2),FALSE)),"",_xlfn.REGEXEXTRACT(CELL("address",F262), "\$([A-Z]+)\$[0-9]+"))),_xlfn.REGEXEXTRACT(CELL("address",F262), "\$([A-Z]+)\$[0-9]+"))</f>
        <v/>
      </c>
      <c r="G262" s="7" t="str" cm="1">
        <f t="array" aca="1" ref="G262" ca="1">IFERROR(IF(OR('Raw Data'!G262="",LEN(TRIM('Raw Data'!G262))=0),"",IF(AND(ISNUMBER('Raw Data'!G262), IFERROR('Raw Data'!G262 = ROUND('Raw Data'!G262, 2),FALSE)),"",_xlfn.REGEXEXTRACT(CELL("address",G262), "\$([A-Z]+)\$[0-9]+"))),_xlfn.REGEXEXTRACT(CELL("address",G262), "\$([A-Z]+)\$[0-9]+"))</f>
        <v/>
      </c>
      <c r="H262" s="7" t="str" cm="1">
        <f t="array" aca="1" ref="H262" ca="1">IFERROR(IF(OR('Raw Data'!H262="",LEN(TRIM('Raw Data'!H262))=0),"",IF(AND(ISNUMBER('Raw Data'!H262), IFERROR('Raw Data'!H262 = ROUND('Raw Data'!H262, 2),FALSE)),"",_xlfn.REGEXEXTRACT(CELL("address",H262), "\$([A-Z]+)\$[0-9]+"))),_xlfn.REGEXEXTRACT(CELL("address",H262), "\$([A-Z]+)\$[0-9]+"))</f>
        <v/>
      </c>
      <c r="I262" s="7" t="str" cm="1">
        <f t="array" aca="1" ref="I262" ca="1">IFERROR(IF(OR('Raw Data'!I262="",LEN(TRIM('Raw Data'!I262))=0),"",IF(AND(ISNUMBER('Raw Data'!I262), IFERROR('Raw Data'!I262 = ROUND('Raw Data'!I262, 2),FALSE)),"",_xlfn.REGEXEXTRACT(CELL("address",I262), "\$([A-Z]+)\$[0-9]+"))),_xlfn.REGEXEXTRACT(CELL("address",I262), "\$([A-Z]+)\$[0-9]+"))</f>
        <v/>
      </c>
      <c r="J262" s="7" t="str" cm="1">
        <f t="array" aca="1" ref="J262" ca="1">IFERROR(IF(OR('Raw Data'!J262="",LEN(TRIM('Raw Data'!J262))=0),"",IF(AND(ISNUMBER('Raw Data'!J262), IFERROR('Raw Data'!J262 = ROUND('Raw Data'!J262, 2),FALSE)),"",_xlfn.REGEXEXTRACT(CELL("address",J262), "\$([A-Z]+)\$[0-9]+"))),_xlfn.REGEXEXTRACT(CELL("address",J262), "\$([A-Z]+)\$[0-9]+"))</f>
        <v/>
      </c>
      <c r="K262" s="7" t="str" cm="1">
        <f t="array" aca="1" ref="K262" ca="1">IFERROR(IF(OR('Raw Data'!K262="",LEN(TRIM('Raw Data'!K262))=0),"",IF(AND(ISNUMBER('Raw Data'!K262), IFERROR('Raw Data'!K262 = ROUND('Raw Data'!K262, 2),FALSE)),"",_xlfn.REGEXEXTRACT(CELL("address",K262), "\$([A-Z]+)\$[0-9]+"))),_xlfn.REGEXEXTRACT(CELL("address",K262), "\$([A-Z]+)\$[0-9]+"))</f>
        <v/>
      </c>
      <c r="L262" s="7" t="str" cm="1">
        <f t="array" aca="1" ref="L262" ca="1">IFERROR(IF(OR('Raw Data'!L262="",LEN(TRIM('Raw Data'!L262))=0),"",IF(AND(ISNUMBER('Raw Data'!L262), IFERROR('Raw Data'!L262 = ROUND('Raw Data'!L262, 2),FALSE)),"",_xlfn.REGEXEXTRACT(CELL("address",L262), "\$([A-Z]+)\$[0-9]+"))),_xlfn.REGEXEXTRACT(CELL("address",L262), "\$([A-Z]+)\$[0-9]+"))</f>
        <v/>
      </c>
      <c r="M262" s="7" t="str" cm="1">
        <f t="array" aca="1" ref="M262" ca="1">IFERROR(IF(OR('Raw Data'!M262="",LEN(TRIM('Raw Data'!M262))=0),"",IF(AND(ISNUMBER('Raw Data'!M262), IFERROR('Raw Data'!M262 = ROUND('Raw Data'!M262, 2),FALSE)),"",_xlfn.REGEXEXTRACT(CELL("address",M262), "\$([A-Z]+)\$[0-9]+"))),_xlfn.REGEXEXTRACT(CELL("address",M262), "\$([A-Z]+)\$[0-9]+"))</f>
        <v/>
      </c>
      <c r="N262" s="7" t="str" cm="1">
        <f t="array" aca="1" ref="N262" ca="1">IFERROR(IF(OR('Raw Data'!N262="",LEN(TRIM('Raw Data'!N262))=0),"",IF(AND(ISNUMBER('Raw Data'!N262), IFERROR('Raw Data'!N262 = ROUND('Raw Data'!N262, 2),FALSE)),"",_xlfn.REGEXEXTRACT(CELL("address",N262), "\$([A-Z]+)\$[0-9]+"))),_xlfn.REGEXEXTRACT(CELL("address",N262), "\$([A-Z]+)\$[0-9]+"))</f>
        <v/>
      </c>
      <c r="O262" s="7" t="str" cm="1">
        <f t="array" aca="1" ref="O262" ca="1">IFERROR(IF(OR('Raw Data'!O262="",LEN(TRIM('Raw Data'!O262))=0),"",IF(AND(ISNUMBER('Raw Data'!O262), IFERROR('Raw Data'!O262 = ROUND('Raw Data'!O262, 2),FALSE)),"",_xlfn.REGEXEXTRACT(CELL("address",O262), "\$([A-Z]+)\$[0-9]+"))),_xlfn.REGEXEXTRACT(CELL("address",O262), "\$([A-Z]+)\$[0-9]+"))</f>
        <v/>
      </c>
      <c r="P262" s="7" t="str" cm="1">
        <f t="array" aca="1" ref="P262" ca="1">IFERROR(IF(OR('Raw Data'!P262="",LEN(TRIM('Raw Data'!P262))=0),"",IF(AND(ISNUMBER('Raw Data'!P262), IFERROR('Raw Data'!P262 = ROUND('Raw Data'!P262, 2),FALSE)),"",_xlfn.REGEXEXTRACT(CELL("address",P262), "\$([A-Z]+)\$[0-9]+"))),_xlfn.REGEXEXTRACT(CELL("address",P262), "\$([A-Z]+)\$[0-9]+"))</f>
        <v/>
      </c>
      <c r="Q262" s="7" t="str" cm="1">
        <f t="array" aca="1" ref="Q262" ca="1">IFERROR(IF(OR('Raw Data'!Q262="",LEN(TRIM('Raw Data'!Q262))=0),"",IF(AND(ISNUMBER('Raw Data'!Q262), IFERROR('Raw Data'!Q262 = ROUND('Raw Data'!Q262, 2),FALSE)),"",_xlfn.REGEXEXTRACT(CELL("address",Q262), "\$([A-Z]+)\$[0-9]+"))),_xlfn.REGEXEXTRACT(CELL("address",Q262), "\$([A-Z]+)\$[0-9]+"))</f>
        <v/>
      </c>
      <c r="R262" s="7" t="str" cm="1">
        <f t="array" aca="1" ref="R262" ca="1">IFERROR(IF(OR('Raw Data'!R262="",LEN(TRIM('Raw Data'!R262))=0),"",IF(AND(ISNUMBER('Raw Data'!R262), IFERROR('Raw Data'!R262 = ROUND('Raw Data'!R262, 2),FALSE)),"",_xlfn.REGEXEXTRACT(CELL("address",R262), "\$([A-Z]+)\$[0-9]+"))),_xlfn.REGEXEXTRACT(CELL("address",R262), "\$([A-Z]+)\$[0-9]+"))</f>
        <v/>
      </c>
      <c r="S262" s="7" t="str" cm="1">
        <f t="array" aca="1" ref="S262" ca="1">IFERROR(IF(OR('Raw Data'!S262="",LEN(TRIM('Raw Data'!S262))=0),"",IF(AND(ISNUMBER('Raw Data'!S262), IFERROR('Raw Data'!S262 = ROUND('Raw Data'!S262, 2),FALSE)),"",_xlfn.REGEXEXTRACT(CELL("address",S262), "\$([A-Z]+)\$[0-9]+"))),_xlfn.REGEXEXTRACT(CELL("address",S262), "\$([A-Z]+)\$[0-9]+"))</f>
        <v/>
      </c>
      <c r="T262" s="7" t="str" cm="1">
        <f t="array" aca="1" ref="T262" ca="1">IFERROR(IF(OR('Raw Data'!T262="",LEN(TRIM('Raw Data'!T262))=0),"",IF(AND(ISNUMBER('Raw Data'!T262), IFERROR('Raw Data'!T262 = ROUND('Raw Data'!T262, 2),FALSE)),"",_xlfn.REGEXEXTRACT(CELL("address",T262), "\$([A-Z]+)\$[0-9]+"))),_xlfn.REGEXEXTRACT(CELL("address",T262), "\$([A-Z]+)\$[0-9]+"))</f>
        <v/>
      </c>
      <c r="U262" s="7" t="str" cm="1">
        <f t="array" aca="1" ref="U262" ca="1">IFERROR(IF(OR('Raw Data'!U262="",LEN(TRIM('Raw Data'!U262))=0),"",IF(AND(ISNUMBER('Raw Data'!U262), IFERROR('Raw Data'!U262 = ROUND('Raw Data'!U262, 2),FALSE)),"",_xlfn.REGEXEXTRACT(CELL("address",U262), "\$([A-Z]+)\$[0-9]+"))),_xlfn.REGEXEXTRACT(CELL("address",U262), "\$([A-Z]+)\$[0-9]+"))</f>
        <v/>
      </c>
      <c r="V262" s="7" t="str" cm="1">
        <f t="array" aca="1" ref="V262" ca="1">IFERROR(IF(OR('Raw Data'!V262="",LEN(TRIM('Raw Data'!V262))=0),"",IF(AND(ISNUMBER('Raw Data'!V262), IFERROR('Raw Data'!V262 = ROUND('Raw Data'!V262, 2),FALSE)),"",_xlfn.REGEXEXTRACT(CELL("address",V262), "\$([A-Z]+)\$[0-9]+"))),_xlfn.REGEXEXTRACT(CELL("address",V262), "\$([A-Z]+)\$[0-9]+"))</f>
        <v/>
      </c>
      <c r="W262" s="7" t="str" cm="1">
        <f t="array" aca="1" ref="W262" ca="1">IFERROR(IF(OR('Raw Data'!W262="",LEN(TRIM('Raw Data'!W262))=0),"",IF(AND(ISNUMBER('Raw Data'!W262), IFERROR('Raw Data'!W262 = ROUND('Raw Data'!W262, 2),FALSE)),"",_xlfn.REGEXEXTRACT(CELL("address",W262), "\$([A-Z]+)\$[0-9]+"))),_xlfn.REGEXEXTRACT(CELL("address",W262), "\$([A-Z]+)\$[0-9]+"))</f>
        <v/>
      </c>
      <c r="X262" s="7" t="str" cm="1">
        <f t="array" aca="1" ref="X262" ca="1">IFERROR(IF(OR('Raw Data'!X262="",LEN(TRIM('Raw Data'!X262))=0),"",IF(AND(ISNUMBER('Raw Data'!X262), IFERROR('Raw Data'!X262 = ROUND('Raw Data'!X262, 2),FALSE)),"",_xlfn.REGEXEXTRACT(CELL("address",X262), "\$([A-Z]+)\$[0-9]+"))),_xlfn.REGEXEXTRACT(CELL("address",X262), "\$([A-Z]+)\$[0-9]+"))</f>
        <v/>
      </c>
      <c r="Y262" s="7" t="str" cm="1">
        <f t="array" aca="1" ref="Y262" ca="1">IFERROR(IF(OR('Raw Data'!Y262="",LEN(TRIM('Raw Data'!Y262))=0),"",IF(AND(ISNUMBER('Raw Data'!Y262), IFERROR('Raw Data'!Y262 = ROUND('Raw Data'!Y262, 2),FALSE)),"",_xlfn.REGEXEXTRACT(CELL("address",Y262), "\$([A-Z]+)\$[0-9]+"))),_xlfn.REGEXEXTRACT(CELL("address",Y262), "\$([A-Z]+)\$[0-9]+"))</f>
        <v/>
      </c>
      <c r="Z262" s="7" t="str" cm="1">
        <f t="array" aca="1" ref="Z262" ca="1">IFERROR(IF(OR('Raw Data'!Z262="",LEN(TRIM('Raw Data'!Z262))=0),"",IF(AND(ISNUMBER('Raw Data'!Z262), IFERROR('Raw Data'!Z262 = ROUND('Raw Data'!Z262, 2),FALSE)),"",_xlfn.REGEXEXTRACT(CELL("address",Z262), "\$([A-Z]+)\$[0-9]+"))),_xlfn.REGEXEXTRACT(CELL("address",Z262), "\$([A-Z]+)\$[0-9]+"))</f>
        <v/>
      </c>
      <c r="AA262" s="7" t="str" cm="1">
        <f t="array" aca="1" ref="AA262" ca="1">IFERROR(IF(OR('Raw Data'!AA262="",LEN(TRIM('Raw Data'!AA262))=0),"",IF(AND(ISNUMBER('Raw Data'!AA262), IFERROR('Raw Data'!AA262 = ROUND('Raw Data'!AA262, 2),FALSE)),"",_xlfn.REGEXEXTRACT(CELL("address",AA262), "\$([A-Z]+)\$[0-9]+"))),_xlfn.REGEXEXTRACT(CELL("address",AA262), "\$([A-Z]+)\$[0-9]+"))</f>
        <v/>
      </c>
      <c r="AB262" s="7" t="str" cm="1">
        <f t="array" aca="1" ref="AB262" ca="1">IFERROR(IF(OR('Raw Data'!AB262="",LEN(TRIM('Raw Data'!AB262))=0),"",IF(AND(ISNUMBER('Raw Data'!AB262), IFERROR('Raw Data'!AB262 = ROUND('Raw Data'!AB262, 2),FALSE)),"",_xlfn.REGEXEXTRACT(CELL("address",AB262), "\$([A-Z]+)\$[0-9]+"))),_xlfn.REGEXEXTRACT(CELL("address",AB262), "\$([A-Z]+)\$[0-9]+"))</f>
        <v/>
      </c>
    </row>
    <row r="263" spans="2:28" x14ac:dyDescent="0.25">
      <c r="B263" s="7" t="str" cm="1">
        <f t="array" aca="1" ref="B263" ca="1">IFERROR(IF(OR('Raw Data'!B263="",LEN(TRIM('Raw Data'!B263))=0),"",IF(AND(LEN('Raw Data'!B263) &lt;= 255,LEN('Raw Data'!B263)&gt; 0),"",_xlfn.REGEXEXTRACT(CELL("address",'Raw Data'!B263),"\$([A-Z]+)\$[0-9]+"))),_xlfn.REGEXEXTRACT(CELL("address",'Raw Data'!B263),"\$([A-Z]+)\$[0-9]+"))</f>
        <v/>
      </c>
      <c r="C263" s="7" t="str" cm="1">
        <f t="array" aca="1" ref="C263" ca="1">IFERROR(IF(OR('Raw Data'!C263="",LEN(TRIM('Raw Data'!C263))=0),"",IF(AND(LEN('Raw Data'!C263) &lt;= 20,LEN('Raw Data'!C263)&gt; 0),"",_xlfn.REGEXEXTRACT(CELL("address",'Raw Data'!C263),"\$([A-Z]+)\$[0-9]+"))),_xlfn.REGEXEXTRACT(CELL("address",'Raw Data'!C263),"\$([A-Z]+)\$[0-9]+"))</f>
        <v/>
      </c>
      <c r="D263" s="7" t="str" cm="1">
        <f t="array" aca="1" ref="D263" ca="1">IFERROR(IF(OR('Raw Data'!D263="",LEN(TRIM('Raw Data'!D263))=0),"",IF(AND(ISNUMBER('Raw Data'!D263),'Raw Data'!D263&gt;=Configuration!$D$2),"",_xlfn.REGEXEXTRACT(CELL("address",'Raw Data'!D263),"\$([A-Z]+)\$[0-9]+"))),_xlfn.REGEXEXTRACT(CELL("address",D263), "\$([A-Z]+)\$[0-9]+"))</f>
        <v/>
      </c>
      <c r="E263" s="7" t="str" cm="1">
        <f t="array" aca="1" ref="E263" ca="1">IFERROR(IF(OR('Raw Data'!E263="",LEN(TRIM('Raw Data'!E263))=0),"",IF(AND(ISNUMBER('Raw Data'!E263), IFERROR('Raw Data'!E263 = ROUND('Raw Data'!E263, 2),FALSE)),"",_xlfn.REGEXEXTRACT(CELL("address",E263), "\$([A-Z]+)\$[0-9]+"))),_xlfn.REGEXEXTRACT(CELL("address",E263), "\$([A-Z]+)\$[0-9]+"))</f>
        <v/>
      </c>
      <c r="F263" s="7" t="str" cm="1">
        <f t="array" aca="1" ref="F263" ca="1">IFERROR(IF(OR('Raw Data'!F263="",LEN(TRIM('Raw Data'!F263))=0),"",IF(AND(ISNUMBER('Raw Data'!F263), IFERROR('Raw Data'!F263 = ROUND('Raw Data'!F263, 2),FALSE)),"",_xlfn.REGEXEXTRACT(CELL("address",F263), "\$([A-Z]+)\$[0-9]+"))),_xlfn.REGEXEXTRACT(CELL("address",F263), "\$([A-Z]+)\$[0-9]+"))</f>
        <v/>
      </c>
      <c r="G263" s="7" t="str" cm="1">
        <f t="array" aca="1" ref="G263" ca="1">IFERROR(IF(OR('Raw Data'!G263="",LEN(TRIM('Raw Data'!G263))=0),"",IF(AND(ISNUMBER('Raw Data'!G263), IFERROR('Raw Data'!G263 = ROUND('Raw Data'!G263, 2),FALSE)),"",_xlfn.REGEXEXTRACT(CELL("address",G263), "\$([A-Z]+)\$[0-9]+"))),_xlfn.REGEXEXTRACT(CELL("address",G263), "\$([A-Z]+)\$[0-9]+"))</f>
        <v/>
      </c>
      <c r="H263" s="7" t="str" cm="1">
        <f t="array" aca="1" ref="H263" ca="1">IFERROR(IF(OR('Raw Data'!H263="",LEN(TRIM('Raw Data'!H263))=0),"",IF(AND(ISNUMBER('Raw Data'!H263), IFERROR('Raw Data'!H263 = ROUND('Raw Data'!H263, 2),FALSE)),"",_xlfn.REGEXEXTRACT(CELL("address",H263), "\$([A-Z]+)\$[0-9]+"))),_xlfn.REGEXEXTRACT(CELL("address",H263), "\$([A-Z]+)\$[0-9]+"))</f>
        <v/>
      </c>
      <c r="I263" s="7" t="str" cm="1">
        <f t="array" aca="1" ref="I263" ca="1">IFERROR(IF(OR('Raw Data'!I263="",LEN(TRIM('Raw Data'!I263))=0),"",IF(AND(ISNUMBER('Raw Data'!I263), IFERROR('Raw Data'!I263 = ROUND('Raw Data'!I263, 2),FALSE)),"",_xlfn.REGEXEXTRACT(CELL("address",I263), "\$([A-Z]+)\$[0-9]+"))),_xlfn.REGEXEXTRACT(CELL("address",I263), "\$([A-Z]+)\$[0-9]+"))</f>
        <v/>
      </c>
      <c r="J263" s="7" t="str" cm="1">
        <f t="array" aca="1" ref="J263" ca="1">IFERROR(IF(OR('Raw Data'!J263="",LEN(TRIM('Raw Data'!J263))=0),"",IF(AND(ISNUMBER('Raw Data'!J263), IFERROR('Raw Data'!J263 = ROUND('Raw Data'!J263, 2),FALSE)),"",_xlfn.REGEXEXTRACT(CELL("address",J263), "\$([A-Z]+)\$[0-9]+"))),_xlfn.REGEXEXTRACT(CELL("address",J263), "\$([A-Z]+)\$[0-9]+"))</f>
        <v/>
      </c>
      <c r="K263" s="7" t="str" cm="1">
        <f t="array" aca="1" ref="K263" ca="1">IFERROR(IF(OR('Raw Data'!K263="",LEN(TRIM('Raw Data'!K263))=0),"",IF(AND(ISNUMBER('Raw Data'!K263), IFERROR('Raw Data'!K263 = ROUND('Raw Data'!K263, 2),FALSE)),"",_xlfn.REGEXEXTRACT(CELL("address",K263), "\$([A-Z]+)\$[0-9]+"))),_xlfn.REGEXEXTRACT(CELL("address",K263), "\$([A-Z]+)\$[0-9]+"))</f>
        <v/>
      </c>
      <c r="L263" s="7" t="str" cm="1">
        <f t="array" aca="1" ref="L263" ca="1">IFERROR(IF(OR('Raw Data'!L263="",LEN(TRIM('Raw Data'!L263))=0),"",IF(AND(ISNUMBER('Raw Data'!L263), IFERROR('Raw Data'!L263 = ROUND('Raw Data'!L263, 2),FALSE)),"",_xlfn.REGEXEXTRACT(CELL("address",L263), "\$([A-Z]+)\$[0-9]+"))),_xlfn.REGEXEXTRACT(CELL("address",L263), "\$([A-Z]+)\$[0-9]+"))</f>
        <v/>
      </c>
      <c r="M263" s="7" t="str" cm="1">
        <f t="array" aca="1" ref="M263" ca="1">IFERROR(IF(OR('Raw Data'!M263="",LEN(TRIM('Raw Data'!M263))=0),"",IF(AND(ISNUMBER('Raw Data'!M263), IFERROR('Raw Data'!M263 = ROUND('Raw Data'!M263, 2),FALSE)),"",_xlfn.REGEXEXTRACT(CELL("address",M263), "\$([A-Z]+)\$[0-9]+"))),_xlfn.REGEXEXTRACT(CELL("address",M263), "\$([A-Z]+)\$[0-9]+"))</f>
        <v/>
      </c>
      <c r="N263" s="7" t="str" cm="1">
        <f t="array" aca="1" ref="N263" ca="1">IFERROR(IF(OR('Raw Data'!N263="",LEN(TRIM('Raw Data'!N263))=0),"",IF(AND(ISNUMBER('Raw Data'!N263), IFERROR('Raw Data'!N263 = ROUND('Raw Data'!N263, 2),FALSE)),"",_xlfn.REGEXEXTRACT(CELL("address",N263), "\$([A-Z]+)\$[0-9]+"))),_xlfn.REGEXEXTRACT(CELL("address",N263), "\$([A-Z]+)\$[0-9]+"))</f>
        <v/>
      </c>
      <c r="O263" s="7" t="str" cm="1">
        <f t="array" aca="1" ref="O263" ca="1">IFERROR(IF(OR('Raw Data'!O263="",LEN(TRIM('Raw Data'!O263))=0),"",IF(AND(ISNUMBER('Raw Data'!O263), IFERROR('Raw Data'!O263 = ROUND('Raw Data'!O263, 2),FALSE)),"",_xlfn.REGEXEXTRACT(CELL("address",O263), "\$([A-Z]+)\$[0-9]+"))),_xlfn.REGEXEXTRACT(CELL("address",O263), "\$([A-Z]+)\$[0-9]+"))</f>
        <v/>
      </c>
      <c r="P263" s="7" t="str" cm="1">
        <f t="array" aca="1" ref="P263" ca="1">IFERROR(IF(OR('Raw Data'!P263="",LEN(TRIM('Raw Data'!P263))=0),"",IF(AND(ISNUMBER('Raw Data'!P263), IFERROR('Raw Data'!P263 = ROUND('Raw Data'!P263, 2),FALSE)),"",_xlfn.REGEXEXTRACT(CELL("address",P263), "\$([A-Z]+)\$[0-9]+"))),_xlfn.REGEXEXTRACT(CELL("address",P263), "\$([A-Z]+)\$[0-9]+"))</f>
        <v/>
      </c>
      <c r="Q263" s="7" t="str" cm="1">
        <f t="array" aca="1" ref="Q263" ca="1">IFERROR(IF(OR('Raw Data'!Q263="",LEN(TRIM('Raw Data'!Q263))=0),"",IF(AND(ISNUMBER('Raw Data'!Q263), IFERROR('Raw Data'!Q263 = ROUND('Raw Data'!Q263, 2),FALSE)),"",_xlfn.REGEXEXTRACT(CELL("address",Q263), "\$([A-Z]+)\$[0-9]+"))),_xlfn.REGEXEXTRACT(CELL("address",Q263), "\$([A-Z]+)\$[0-9]+"))</f>
        <v/>
      </c>
      <c r="R263" s="7" t="str" cm="1">
        <f t="array" aca="1" ref="R263" ca="1">IFERROR(IF(OR('Raw Data'!R263="",LEN(TRIM('Raw Data'!R263))=0),"",IF(AND(ISNUMBER('Raw Data'!R263), IFERROR('Raw Data'!R263 = ROUND('Raw Data'!R263, 2),FALSE)),"",_xlfn.REGEXEXTRACT(CELL("address",R263), "\$([A-Z]+)\$[0-9]+"))),_xlfn.REGEXEXTRACT(CELL("address",R263), "\$([A-Z]+)\$[0-9]+"))</f>
        <v/>
      </c>
      <c r="S263" s="7" t="str" cm="1">
        <f t="array" aca="1" ref="S263" ca="1">IFERROR(IF(OR('Raw Data'!S263="",LEN(TRIM('Raw Data'!S263))=0),"",IF(AND(ISNUMBER('Raw Data'!S263), IFERROR('Raw Data'!S263 = ROUND('Raw Data'!S263, 2),FALSE)),"",_xlfn.REGEXEXTRACT(CELL("address",S263), "\$([A-Z]+)\$[0-9]+"))),_xlfn.REGEXEXTRACT(CELL("address",S263), "\$([A-Z]+)\$[0-9]+"))</f>
        <v/>
      </c>
      <c r="T263" s="7" t="str" cm="1">
        <f t="array" aca="1" ref="T263" ca="1">IFERROR(IF(OR('Raw Data'!T263="",LEN(TRIM('Raw Data'!T263))=0),"",IF(AND(ISNUMBER('Raw Data'!T263), IFERROR('Raw Data'!T263 = ROUND('Raw Data'!T263, 2),FALSE)),"",_xlfn.REGEXEXTRACT(CELL("address",T263), "\$([A-Z]+)\$[0-9]+"))),_xlfn.REGEXEXTRACT(CELL("address",T263), "\$([A-Z]+)\$[0-9]+"))</f>
        <v/>
      </c>
      <c r="U263" s="7" t="str" cm="1">
        <f t="array" aca="1" ref="U263" ca="1">IFERROR(IF(OR('Raw Data'!U263="",LEN(TRIM('Raw Data'!U263))=0),"",IF(AND(ISNUMBER('Raw Data'!U263), IFERROR('Raw Data'!U263 = ROUND('Raw Data'!U263, 2),FALSE)),"",_xlfn.REGEXEXTRACT(CELL("address",U263), "\$([A-Z]+)\$[0-9]+"))),_xlfn.REGEXEXTRACT(CELL("address",U263), "\$([A-Z]+)\$[0-9]+"))</f>
        <v/>
      </c>
      <c r="V263" s="7" t="str" cm="1">
        <f t="array" aca="1" ref="V263" ca="1">IFERROR(IF(OR('Raw Data'!V263="",LEN(TRIM('Raw Data'!V263))=0),"",IF(AND(ISNUMBER('Raw Data'!V263), IFERROR('Raw Data'!V263 = ROUND('Raw Data'!V263, 2),FALSE)),"",_xlfn.REGEXEXTRACT(CELL("address",V263), "\$([A-Z]+)\$[0-9]+"))),_xlfn.REGEXEXTRACT(CELL("address",V263), "\$([A-Z]+)\$[0-9]+"))</f>
        <v/>
      </c>
      <c r="W263" s="7" t="str" cm="1">
        <f t="array" aca="1" ref="W263" ca="1">IFERROR(IF(OR('Raw Data'!W263="",LEN(TRIM('Raw Data'!W263))=0),"",IF(AND(ISNUMBER('Raw Data'!W263), IFERROR('Raw Data'!W263 = ROUND('Raw Data'!W263, 2),FALSE)),"",_xlfn.REGEXEXTRACT(CELL("address",W263), "\$([A-Z]+)\$[0-9]+"))),_xlfn.REGEXEXTRACT(CELL("address",W263), "\$([A-Z]+)\$[0-9]+"))</f>
        <v/>
      </c>
      <c r="X263" s="7" t="str" cm="1">
        <f t="array" aca="1" ref="X263" ca="1">IFERROR(IF(OR('Raw Data'!X263="",LEN(TRIM('Raw Data'!X263))=0),"",IF(AND(ISNUMBER('Raw Data'!X263), IFERROR('Raw Data'!X263 = ROUND('Raw Data'!X263, 2),FALSE)),"",_xlfn.REGEXEXTRACT(CELL("address",X263), "\$([A-Z]+)\$[0-9]+"))),_xlfn.REGEXEXTRACT(CELL("address",X263), "\$([A-Z]+)\$[0-9]+"))</f>
        <v/>
      </c>
      <c r="Y263" s="7" t="str" cm="1">
        <f t="array" aca="1" ref="Y263" ca="1">IFERROR(IF(OR('Raw Data'!Y263="",LEN(TRIM('Raw Data'!Y263))=0),"",IF(AND(ISNUMBER('Raw Data'!Y263), IFERROR('Raw Data'!Y263 = ROUND('Raw Data'!Y263, 2),FALSE)),"",_xlfn.REGEXEXTRACT(CELL("address",Y263), "\$([A-Z]+)\$[0-9]+"))),_xlfn.REGEXEXTRACT(CELL("address",Y263), "\$([A-Z]+)\$[0-9]+"))</f>
        <v/>
      </c>
      <c r="Z263" s="7" t="str" cm="1">
        <f t="array" aca="1" ref="Z263" ca="1">IFERROR(IF(OR('Raw Data'!Z263="",LEN(TRIM('Raw Data'!Z263))=0),"",IF(AND(ISNUMBER('Raw Data'!Z263), IFERROR('Raw Data'!Z263 = ROUND('Raw Data'!Z263, 2),FALSE)),"",_xlfn.REGEXEXTRACT(CELL("address",Z263), "\$([A-Z]+)\$[0-9]+"))),_xlfn.REGEXEXTRACT(CELL("address",Z263), "\$([A-Z]+)\$[0-9]+"))</f>
        <v/>
      </c>
      <c r="AA263" s="7" t="str" cm="1">
        <f t="array" aca="1" ref="AA263" ca="1">IFERROR(IF(OR('Raw Data'!AA263="",LEN(TRIM('Raw Data'!AA263))=0),"",IF(AND(ISNUMBER('Raw Data'!AA263), IFERROR('Raw Data'!AA263 = ROUND('Raw Data'!AA263, 2),FALSE)),"",_xlfn.REGEXEXTRACT(CELL("address",AA263), "\$([A-Z]+)\$[0-9]+"))),_xlfn.REGEXEXTRACT(CELL("address",AA263), "\$([A-Z]+)\$[0-9]+"))</f>
        <v/>
      </c>
      <c r="AB263" s="7" t="str" cm="1">
        <f t="array" aca="1" ref="AB263" ca="1">IFERROR(IF(OR('Raw Data'!AB263="",LEN(TRIM('Raw Data'!AB263))=0),"",IF(AND(ISNUMBER('Raw Data'!AB263), IFERROR('Raw Data'!AB263 = ROUND('Raw Data'!AB263, 2),FALSE)),"",_xlfn.REGEXEXTRACT(CELL("address",AB263), "\$([A-Z]+)\$[0-9]+"))),_xlfn.REGEXEXTRACT(CELL("address",AB263), "\$([A-Z]+)\$[0-9]+"))</f>
        <v/>
      </c>
    </row>
    <row r="264" spans="2:28" x14ac:dyDescent="0.25">
      <c r="B264" s="7" t="str" cm="1">
        <f t="array" aca="1" ref="B264" ca="1">IFERROR(IF(OR('Raw Data'!B264="",LEN(TRIM('Raw Data'!B264))=0),"",IF(AND(LEN('Raw Data'!B264) &lt;= 255,LEN('Raw Data'!B264)&gt; 0),"",_xlfn.REGEXEXTRACT(CELL("address",'Raw Data'!B264),"\$([A-Z]+)\$[0-9]+"))),_xlfn.REGEXEXTRACT(CELL("address",'Raw Data'!B264),"\$([A-Z]+)\$[0-9]+"))</f>
        <v/>
      </c>
      <c r="C264" s="7" t="str" cm="1">
        <f t="array" aca="1" ref="C264" ca="1">IFERROR(IF(OR('Raw Data'!C264="",LEN(TRIM('Raw Data'!C264))=0),"",IF(AND(LEN('Raw Data'!C264) &lt;= 20,LEN('Raw Data'!C264)&gt; 0),"",_xlfn.REGEXEXTRACT(CELL("address",'Raw Data'!C264),"\$([A-Z]+)\$[0-9]+"))),_xlfn.REGEXEXTRACT(CELL("address",'Raw Data'!C264),"\$([A-Z]+)\$[0-9]+"))</f>
        <v/>
      </c>
      <c r="D264" s="7" t="str" cm="1">
        <f t="array" aca="1" ref="D264" ca="1">IFERROR(IF(OR('Raw Data'!D264="",LEN(TRIM('Raw Data'!D264))=0),"",IF(AND(ISNUMBER('Raw Data'!D264),'Raw Data'!D264&gt;=Configuration!$D$2),"",_xlfn.REGEXEXTRACT(CELL("address",'Raw Data'!D264),"\$([A-Z]+)\$[0-9]+"))),_xlfn.REGEXEXTRACT(CELL("address",D264), "\$([A-Z]+)\$[0-9]+"))</f>
        <v/>
      </c>
      <c r="E264" s="7" t="str" cm="1">
        <f t="array" aca="1" ref="E264" ca="1">IFERROR(IF(OR('Raw Data'!E264="",LEN(TRIM('Raw Data'!E264))=0),"",IF(AND(ISNUMBER('Raw Data'!E264), IFERROR('Raw Data'!E264 = ROUND('Raw Data'!E264, 2),FALSE)),"",_xlfn.REGEXEXTRACT(CELL("address",E264), "\$([A-Z]+)\$[0-9]+"))),_xlfn.REGEXEXTRACT(CELL("address",E264), "\$([A-Z]+)\$[0-9]+"))</f>
        <v/>
      </c>
      <c r="F264" s="7" t="str" cm="1">
        <f t="array" aca="1" ref="F264" ca="1">IFERROR(IF(OR('Raw Data'!F264="",LEN(TRIM('Raw Data'!F264))=0),"",IF(AND(ISNUMBER('Raw Data'!F264), IFERROR('Raw Data'!F264 = ROUND('Raw Data'!F264, 2),FALSE)),"",_xlfn.REGEXEXTRACT(CELL("address",F264), "\$([A-Z]+)\$[0-9]+"))),_xlfn.REGEXEXTRACT(CELL("address",F264), "\$([A-Z]+)\$[0-9]+"))</f>
        <v/>
      </c>
      <c r="G264" s="7" t="str" cm="1">
        <f t="array" aca="1" ref="G264" ca="1">IFERROR(IF(OR('Raw Data'!G264="",LEN(TRIM('Raw Data'!G264))=0),"",IF(AND(ISNUMBER('Raw Data'!G264), IFERROR('Raw Data'!G264 = ROUND('Raw Data'!G264, 2),FALSE)),"",_xlfn.REGEXEXTRACT(CELL("address",G264), "\$([A-Z]+)\$[0-9]+"))),_xlfn.REGEXEXTRACT(CELL("address",G264), "\$([A-Z]+)\$[0-9]+"))</f>
        <v/>
      </c>
      <c r="H264" s="7" t="str" cm="1">
        <f t="array" aca="1" ref="H264" ca="1">IFERROR(IF(OR('Raw Data'!H264="",LEN(TRIM('Raw Data'!H264))=0),"",IF(AND(ISNUMBER('Raw Data'!H264), IFERROR('Raw Data'!H264 = ROUND('Raw Data'!H264, 2),FALSE)),"",_xlfn.REGEXEXTRACT(CELL("address",H264), "\$([A-Z]+)\$[0-9]+"))),_xlfn.REGEXEXTRACT(CELL("address",H264), "\$([A-Z]+)\$[0-9]+"))</f>
        <v/>
      </c>
      <c r="I264" s="7" t="str" cm="1">
        <f t="array" aca="1" ref="I264" ca="1">IFERROR(IF(OR('Raw Data'!I264="",LEN(TRIM('Raw Data'!I264))=0),"",IF(AND(ISNUMBER('Raw Data'!I264), IFERROR('Raw Data'!I264 = ROUND('Raw Data'!I264, 2),FALSE)),"",_xlfn.REGEXEXTRACT(CELL("address",I264), "\$([A-Z]+)\$[0-9]+"))),_xlfn.REGEXEXTRACT(CELL("address",I264), "\$([A-Z]+)\$[0-9]+"))</f>
        <v/>
      </c>
      <c r="J264" s="7" t="str" cm="1">
        <f t="array" aca="1" ref="J264" ca="1">IFERROR(IF(OR('Raw Data'!J264="",LEN(TRIM('Raw Data'!J264))=0),"",IF(AND(ISNUMBER('Raw Data'!J264), IFERROR('Raw Data'!J264 = ROUND('Raw Data'!J264, 2),FALSE)),"",_xlfn.REGEXEXTRACT(CELL("address",J264), "\$([A-Z]+)\$[0-9]+"))),_xlfn.REGEXEXTRACT(CELL("address",J264), "\$([A-Z]+)\$[0-9]+"))</f>
        <v/>
      </c>
      <c r="K264" s="7" t="str" cm="1">
        <f t="array" aca="1" ref="K264" ca="1">IFERROR(IF(OR('Raw Data'!K264="",LEN(TRIM('Raw Data'!K264))=0),"",IF(AND(ISNUMBER('Raw Data'!K264), IFERROR('Raw Data'!K264 = ROUND('Raw Data'!K264, 2),FALSE)),"",_xlfn.REGEXEXTRACT(CELL("address",K264), "\$([A-Z]+)\$[0-9]+"))),_xlfn.REGEXEXTRACT(CELL("address",K264), "\$([A-Z]+)\$[0-9]+"))</f>
        <v/>
      </c>
      <c r="L264" s="7" t="str" cm="1">
        <f t="array" aca="1" ref="L264" ca="1">IFERROR(IF(OR('Raw Data'!L264="",LEN(TRIM('Raw Data'!L264))=0),"",IF(AND(ISNUMBER('Raw Data'!L264), IFERROR('Raw Data'!L264 = ROUND('Raw Data'!L264, 2),FALSE)),"",_xlfn.REGEXEXTRACT(CELL("address",L264), "\$([A-Z]+)\$[0-9]+"))),_xlfn.REGEXEXTRACT(CELL("address",L264), "\$([A-Z]+)\$[0-9]+"))</f>
        <v/>
      </c>
      <c r="M264" s="7" t="str" cm="1">
        <f t="array" aca="1" ref="M264" ca="1">IFERROR(IF(OR('Raw Data'!M264="",LEN(TRIM('Raw Data'!M264))=0),"",IF(AND(ISNUMBER('Raw Data'!M264), IFERROR('Raw Data'!M264 = ROUND('Raw Data'!M264, 2),FALSE)),"",_xlfn.REGEXEXTRACT(CELL("address",M264), "\$([A-Z]+)\$[0-9]+"))),_xlfn.REGEXEXTRACT(CELL("address",M264), "\$([A-Z]+)\$[0-9]+"))</f>
        <v/>
      </c>
      <c r="N264" s="7" t="str" cm="1">
        <f t="array" aca="1" ref="N264" ca="1">IFERROR(IF(OR('Raw Data'!N264="",LEN(TRIM('Raw Data'!N264))=0),"",IF(AND(ISNUMBER('Raw Data'!N264), IFERROR('Raw Data'!N264 = ROUND('Raw Data'!N264, 2),FALSE)),"",_xlfn.REGEXEXTRACT(CELL("address",N264), "\$([A-Z]+)\$[0-9]+"))),_xlfn.REGEXEXTRACT(CELL("address",N264), "\$([A-Z]+)\$[0-9]+"))</f>
        <v/>
      </c>
      <c r="O264" s="7" t="str" cm="1">
        <f t="array" aca="1" ref="O264" ca="1">IFERROR(IF(OR('Raw Data'!O264="",LEN(TRIM('Raw Data'!O264))=0),"",IF(AND(ISNUMBER('Raw Data'!O264), IFERROR('Raw Data'!O264 = ROUND('Raw Data'!O264, 2),FALSE)),"",_xlfn.REGEXEXTRACT(CELL("address",O264), "\$([A-Z]+)\$[0-9]+"))),_xlfn.REGEXEXTRACT(CELL("address",O264), "\$([A-Z]+)\$[0-9]+"))</f>
        <v/>
      </c>
      <c r="P264" s="7" t="str" cm="1">
        <f t="array" aca="1" ref="P264" ca="1">IFERROR(IF(OR('Raw Data'!P264="",LEN(TRIM('Raw Data'!P264))=0),"",IF(AND(ISNUMBER('Raw Data'!P264), IFERROR('Raw Data'!P264 = ROUND('Raw Data'!P264, 2),FALSE)),"",_xlfn.REGEXEXTRACT(CELL("address",P264), "\$([A-Z]+)\$[0-9]+"))),_xlfn.REGEXEXTRACT(CELL("address",P264), "\$([A-Z]+)\$[0-9]+"))</f>
        <v/>
      </c>
      <c r="Q264" s="7" t="str" cm="1">
        <f t="array" aca="1" ref="Q264" ca="1">IFERROR(IF(OR('Raw Data'!Q264="",LEN(TRIM('Raw Data'!Q264))=0),"",IF(AND(ISNUMBER('Raw Data'!Q264), IFERROR('Raw Data'!Q264 = ROUND('Raw Data'!Q264, 2),FALSE)),"",_xlfn.REGEXEXTRACT(CELL("address",Q264), "\$([A-Z]+)\$[0-9]+"))),_xlfn.REGEXEXTRACT(CELL("address",Q264), "\$([A-Z]+)\$[0-9]+"))</f>
        <v/>
      </c>
      <c r="R264" s="7" t="str" cm="1">
        <f t="array" aca="1" ref="R264" ca="1">IFERROR(IF(OR('Raw Data'!R264="",LEN(TRIM('Raw Data'!R264))=0),"",IF(AND(ISNUMBER('Raw Data'!R264), IFERROR('Raw Data'!R264 = ROUND('Raw Data'!R264, 2),FALSE)),"",_xlfn.REGEXEXTRACT(CELL("address",R264), "\$([A-Z]+)\$[0-9]+"))),_xlfn.REGEXEXTRACT(CELL("address",R264), "\$([A-Z]+)\$[0-9]+"))</f>
        <v/>
      </c>
      <c r="S264" s="7" t="str" cm="1">
        <f t="array" aca="1" ref="S264" ca="1">IFERROR(IF(OR('Raw Data'!S264="",LEN(TRIM('Raw Data'!S264))=0),"",IF(AND(ISNUMBER('Raw Data'!S264), IFERROR('Raw Data'!S264 = ROUND('Raw Data'!S264, 2),FALSE)),"",_xlfn.REGEXEXTRACT(CELL("address",S264), "\$([A-Z]+)\$[0-9]+"))),_xlfn.REGEXEXTRACT(CELL("address",S264), "\$([A-Z]+)\$[0-9]+"))</f>
        <v/>
      </c>
      <c r="T264" s="7" t="str" cm="1">
        <f t="array" aca="1" ref="T264" ca="1">IFERROR(IF(OR('Raw Data'!T264="",LEN(TRIM('Raw Data'!T264))=0),"",IF(AND(ISNUMBER('Raw Data'!T264), IFERROR('Raw Data'!T264 = ROUND('Raw Data'!T264, 2),FALSE)),"",_xlfn.REGEXEXTRACT(CELL("address",T264), "\$([A-Z]+)\$[0-9]+"))),_xlfn.REGEXEXTRACT(CELL("address",T264), "\$([A-Z]+)\$[0-9]+"))</f>
        <v/>
      </c>
      <c r="U264" s="7" t="str" cm="1">
        <f t="array" aca="1" ref="U264" ca="1">IFERROR(IF(OR('Raw Data'!U264="",LEN(TRIM('Raw Data'!U264))=0),"",IF(AND(ISNUMBER('Raw Data'!U264), IFERROR('Raw Data'!U264 = ROUND('Raw Data'!U264, 2),FALSE)),"",_xlfn.REGEXEXTRACT(CELL("address",U264), "\$([A-Z]+)\$[0-9]+"))),_xlfn.REGEXEXTRACT(CELL("address",U264), "\$([A-Z]+)\$[0-9]+"))</f>
        <v/>
      </c>
      <c r="V264" s="7" t="str" cm="1">
        <f t="array" aca="1" ref="V264" ca="1">IFERROR(IF(OR('Raw Data'!V264="",LEN(TRIM('Raw Data'!V264))=0),"",IF(AND(ISNUMBER('Raw Data'!V264), IFERROR('Raw Data'!V264 = ROUND('Raw Data'!V264, 2),FALSE)),"",_xlfn.REGEXEXTRACT(CELL("address",V264), "\$([A-Z]+)\$[0-9]+"))),_xlfn.REGEXEXTRACT(CELL("address",V264), "\$([A-Z]+)\$[0-9]+"))</f>
        <v/>
      </c>
      <c r="W264" s="7" t="str" cm="1">
        <f t="array" aca="1" ref="W264" ca="1">IFERROR(IF(OR('Raw Data'!W264="",LEN(TRIM('Raw Data'!W264))=0),"",IF(AND(ISNUMBER('Raw Data'!W264), IFERROR('Raw Data'!W264 = ROUND('Raw Data'!W264, 2),FALSE)),"",_xlfn.REGEXEXTRACT(CELL("address",W264), "\$([A-Z]+)\$[0-9]+"))),_xlfn.REGEXEXTRACT(CELL("address",W264), "\$([A-Z]+)\$[0-9]+"))</f>
        <v/>
      </c>
      <c r="X264" s="7" t="str" cm="1">
        <f t="array" aca="1" ref="X264" ca="1">IFERROR(IF(OR('Raw Data'!X264="",LEN(TRIM('Raw Data'!X264))=0),"",IF(AND(ISNUMBER('Raw Data'!X264), IFERROR('Raw Data'!X264 = ROUND('Raw Data'!X264, 2),FALSE)),"",_xlfn.REGEXEXTRACT(CELL("address",X264), "\$([A-Z]+)\$[0-9]+"))),_xlfn.REGEXEXTRACT(CELL("address",X264), "\$([A-Z]+)\$[0-9]+"))</f>
        <v/>
      </c>
      <c r="Y264" s="7" t="str" cm="1">
        <f t="array" aca="1" ref="Y264" ca="1">IFERROR(IF(OR('Raw Data'!Y264="",LEN(TRIM('Raw Data'!Y264))=0),"",IF(AND(ISNUMBER('Raw Data'!Y264), IFERROR('Raw Data'!Y264 = ROUND('Raw Data'!Y264, 2),FALSE)),"",_xlfn.REGEXEXTRACT(CELL("address",Y264), "\$([A-Z]+)\$[0-9]+"))),_xlfn.REGEXEXTRACT(CELL("address",Y264), "\$([A-Z]+)\$[0-9]+"))</f>
        <v/>
      </c>
      <c r="Z264" s="7" t="str" cm="1">
        <f t="array" aca="1" ref="Z264" ca="1">IFERROR(IF(OR('Raw Data'!Z264="",LEN(TRIM('Raw Data'!Z264))=0),"",IF(AND(ISNUMBER('Raw Data'!Z264), IFERROR('Raw Data'!Z264 = ROUND('Raw Data'!Z264, 2),FALSE)),"",_xlfn.REGEXEXTRACT(CELL("address",Z264), "\$([A-Z]+)\$[0-9]+"))),_xlfn.REGEXEXTRACT(CELL("address",Z264), "\$([A-Z]+)\$[0-9]+"))</f>
        <v/>
      </c>
      <c r="AA264" s="7" t="str" cm="1">
        <f t="array" aca="1" ref="AA264" ca="1">IFERROR(IF(OR('Raw Data'!AA264="",LEN(TRIM('Raw Data'!AA264))=0),"",IF(AND(ISNUMBER('Raw Data'!AA264), IFERROR('Raw Data'!AA264 = ROUND('Raw Data'!AA264, 2),FALSE)),"",_xlfn.REGEXEXTRACT(CELL("address",AA264), "\$([A-Z]+)\$[0-9]+"))),_xlfn.REGEXEXTRACT(CELL("address",AA264), "\$([A-Z]+)\$[0-9]+"))</f>
        <v/>
      </c>
      <c r="AB264" s="7" t="str" cm="1">
        <f t="array" aca="1" ref="AB264" ca="1">IFERROR(IF(OR('Raw Data'!AB264="",LEN(TRIM('Raw Data'!AB264))=0),"",IF(AND(ISNUMBER('Raw Data'!AB264), IFERROR('Raw Data'!AB264 = ROUND('Raw Data'!AB264, 2),FALSE)),"",_xlfn.REGEXEXTRACT(CELL("address",AB264), "\$([A-Z]+)\$[0-9]+"))),_xlfn.REGEXEXTRACT(CELL("address",AB264), "\$([A-Z]+)\$[0-9]+"))</f>
        <v/>
      </c>
    </row>
    <row r="265" spans="2:28" x14ac:dyDescent="0.25">
      <c r="B265" s="7" t="str" cm="1">
        <f t="array" aca="1" ref="B265" ca="1">IFERROR(IF(OR('Raw Data'!B265="",LEN(TRIM('Raw Data'!B265))=0),"",IF(AND(LEN('Raw Data'!B265) &lt;= 255,LEN('Raw Data'!B265)&gt; 0),"",_xlfn.REGEXEXTRACT(CELL("address",'Raw Data'!B265),"\$([A-Z]+)\$[0-9]+"))),_xlfn.REGEXEXTRACT(CELL("address",'Raw Data'!B265),"\$([A-Z]+)\$[0-9]+"))</f>
        <v/>
      </c>
      <c r="C265" s="7" t="str" cm="1">
        <f t="array" aca="1" ref="C265" ca="1">IFERROR(IF(OR('Raw Data'!C265="",LEN(TRIM('Raw Data'!C265))=0),"",IF(AND(LEN('Raw Data'!C265) &lt;= 20,LEN('Raw Data'!C265)&gt; 0),"",_xlfn.REGEXEXTRACT(CELL("address",'Raw Data'!C265),"\$([A-Z]+)\$[0-9]+"))),_xlfn.REGEXEXTRACT(CELL("address",'Raw Data'!C265),"\$([A-Z]+)\$[0-9]+"))</f>
        <v/>
      </c>
      <c r="D265" s="7" t="str" cm="1">
        <f t="array" aca="1" ref="D265" ca="1">IFERROR(IF(OR('Raw Data'!D265="",LEN(TRIM('Raw Data'!D265))=0),"",IF(AND(ISNUMBER('Raw Data'!D265),'Raw Data'!D265&gt;=Configuration!$D$2),"",_xlfn.REGEXEXTRACT(CELL("address",'Raw Data'!D265),"\$([A-Z]+)\$[0-9]+"))),_xlfn.REGEXEXTRACT(CELL("address",D265), "\$([A-Z]+)\$[0-9]+"))</f>
        <v/>
      </c>
      <c r="E265" s="7" t="str" cm="1">
        <f t="array" aca="1" ref="E265" ca="1">IFERROR(IF(OR('Raw Data'!E265="",LEN(TRIM('Raw Data'!E265))=0),"",IF(AND(ISNUMBER('Raw Data'!E265), IFERROR('Raw Data'!E265 = ROUND('Raw Data'!E265, 2),FALSE)),"",_xlfn.REGEXEXTRACT(CELL("address",E265), "\$([A-Z]+)\$[0-9]+"))),_xlfn.REGEXEXTRACT(CELL("address",E265), "\$([A-Z]+)\$[0-9]+"))</f>
        <v/>
      </c>
      <c r="F265" s="7" t="str" cm="1">
        <f t="array" aca="1" ref="F265" ca="1">IFERROR(IF(OR('Raw Data'!F265="",LEN(TRIM('Raw Data'!F265))=0),"",IF(AND(ISNUMBER('Raw Data'!F265), IFERROR('Raw Data'!F265 = ROUND('Raw Data'!F265, 2),FALSE)),"",_xlfn.REGEXEXTRACT(CELL("address",F265), "\$([A-Z]+)\$[0-9]+"))),_xlfn.REGEXEXTRACT(CELL("address",F265), "\$([A-Z]+)\$[0-9]+"))</f>
        <v/>
      </c>
      <c r="G265" s="7" t="str" cm="1">
        <f t="array" aca="1" ref="G265" ca="1">IFERROR(IF(OR('Raw Data'!G265="",LEN(TRIM('Raw Data'!G265))=0),"",IF(AND(ISNUMBER('Raw Data'!G265), IFERROR('Raw Data'!G265 = ROUND('Raw Data'!G265, 2),FALSE)),"",_xlfn.REGEXEXTRACT(CELL("address",G265), "\$([A-Z]+)\$[0-9]+"))),_xlfn.REGEXEXTRACT(CELL("address",G265), "\$([A-Z]+)\$[0-9]+"))</f>
        <v/>
      </c>
      <c r="H265" s="7" t="str" cm="1">
        <f t="array" aca="1" ref="H265" ca="1">IFERROR(IF(OR('Raw Data'!H265="",LEN(TRIM('Raw Data'!H265))=0),"",IF(AND(ISNUMBER('Raw Data'!H265), IFERROR('Raw Data'!H265 = ROUND('Raw Data'!H265, 2),FALSE)),"",_xlfn.REGEXEXTRACT(CELL("address",H265), "\$([A-Z]+)\$[0-9]+"))),_xlfn.REGEXEXTRACT(CELL("address",H265), "\$([A-Z]+)\$[0-9]+"))</f>
        <v/>
      </c>
      <c r="I265" s="7" t="str" cm="1">
        <f t="array" aca="1" ref="I265" ca="1">IFERROR(IF(OR('Raw Data'!I265="",LEN(TRIM('Raw Data'!I265))=0),"",IF(AND(ISNUMBER('Raw Data'!I265), IFERROR('Raw Data'!I265 = ROUND('Raw Data'!I265, 2),FALSE)),"",_xlfn.REGEXEXTRACT(CELL("address",I265), "\$([A-Z]+)\$[0-9]+"))),_xlfn.REGEXEXTRACT(CELL("address",I265), "\$([A-Z]+)\$[0-9]+"))</f>
        <v/>
      </c>
      <c r="J265" s="7" t="str" cm="1">
        <f t="array" aca="1" ref="J265" ca="1">IFERROR(IF(OR('Raw Data'!J265="",LEN(TRIM('Raw Data'!J265))=0),"",IF(AND(ISNUMBER('Raw Data'!J265), IFERROR('Raw Data'!J265 = ROUND('Raw Data'!J265, 2),FALSE)),"",_xlfn.REGEXEXTRACT(CELL("address",J265), "\$([A-Z]+)\$[0-9]+"))),_xlfn.REGEXEXTRACT(CELL("address",J265), "\$([A-Z]+)\$[0-9]+"))</f>
        <v/>
      </c>
      <c r="K265" s="7" t="str" cm="1">
        <f t="array" aca="1" ref="K265" ca="1">IFERROR(IF(OR('Raw Data'!K265="",LEN(TRIM('Raw Data'!K265))=0),"",IF(AND(ISNUMBER('Raw Data'!K265), IFERROR('Raw Data'!K265 = ROUND('Raw Data'!K265, 2),FALSE)),"",_xlfn.REGEXEXTRACT(CELL("address",K265), "\$([A-Z]+)\$[0-9]+"))),_xlfn.REGEXEXTRACT(CELL("address",K265), "\$([A-Z]+)\$[0-9]+"))</f>
        <v/>
      </c>
      <c r="L265" s="7" t="str" cm="1">
        <f t="array" aca="1" ref="L265" ca="1">IFERROR(IF(OR('Raw Data'!L265="",LEN(TRIM('Raw Data'!L265))=0),"",IF(AND(ISNUMBER('Raw Data'!L265), IFERROR('Raw Data'!L265 = ROUND('Raw Data'!L265, 2),FALSE)),"",_xlfn.REGEXEXTRACT(CELL("address",L265), "\$([A-Z]+)\$[0-9]+"))),_xlfn.REGEXEXTRACT(CELL("address",L265), "\$([A-Z]+)\$[0-9]+"))</f>
        <v/>
      </c>
      <c r="M265" s="7" t="str" cm="1">
        <f t="array" aca="1" ref="M265" ca="1">IFERROR(IF(OR('Raw Data'!M265="",LEN(TRIM('Raw Data'!M265))=0),"",IF(AND(ISNUMBER('Raw Data'!M265), IFERROR('Raw Data'!M265 = ROUND('Raw Data'!M265, 2),FALSE)),"",_xlfn.REGEXEXTRACT(CELL("address",M265), "\$([A-Z]+)\$[0-9]+"))),_xlfn.REGEXEXTRACT(CELL("address",M265), "\$([A-Z]+)\$[0-9]+"))</f>
        <v/>
      </c>
      <c r="N265" s="7" t="str" cm="1">
        <f t="array" aca="1" ref="N265" ca="1">IFERROR(IF(OR('Raw Data'!N265="",LEN(TRIM('Raw Data'!N265))=0),"",IF(AND(ISNUMBER('Raw Data'!N265), IFERROR('Raw Data'!N265 = ROUND('Raw Data'!N265, 2),FALSE)),"",_xlfn.REGEXEXTRACT(CELL("address",N265), "\$([A-Z]+)\$[0-9]+"))),_xlfn.REGEXEXTRACT(CELL("address",N265), "\$([A-Z]+)\$[0-9]+"))</f>
        <v/>
      </c>
      <c r="O265" s="7" t="str" cm="1">
        <f t="array" aca="1" ref="O265" ca="1">IFERROR(IF(OR('Raw Data'!O265="",LEN(TRIM('Raw Data'!O265))=0),"",IF(AND(ISNUMBER('Raw Data'!O265), IFERROR('Raw Data'!O265 = ROUND('Raw Data'!O265, 2),FALSE)),"",_xlfn.REGEXEXTRACT(CELL("address",O265), "\$([A-Z]+)\$[0-9]+"))),_xlfn.REGEXEXTRACT(CELL("address",O265), "\$([A-Z]+)\$[0-9]+"))</f>
        <v/>
      </c>
      <c r="P265" s="7" t="str" cm="1">
        <f t="array" aca="1" ref="P265" ca="1">IFERROR(IF(OR('Raw Data'!P265="",LEN(TRIM('Raw Data'!P265))=0),"",IF(AND(ISNUMBER('Raw Data'!P265), IFERROR('Raw Data'!P265 = ROUND('Raw Data'!P265, 2),FALSE)),"",_xlfn.REGEXEXTRACT(CELL("address",P265), "\$([A-Z]+)\$[0-9]+"))),_xlfn.REGEXEXTRACT(CELL("address",P265), "\$([A-Z]+)\$[0-9]+"))</f>
        <v/>
      </c>
      <c r="Q265" s="7" t="str" cm="1">
        <f t="array" aca="1" ref="Q265" ca="1">IFERROR(IF(OR('Raw Data'!Q265="",LEN(TRIM('Raw Data'!Q265))=0),"",IF(AND(ISNUMBER('Raw Data'!Q265), IFERROR('Raw Data'!Q265 = ROUND('Raw Data'!Q265, 2),FALSE)),"",_xlfn.REGEXEXTRACT(CELL("address",Q265), "\$([A-Z]+)\$[0-9]+"))),_xlfn.REGEXEXTRACT(CELL("address",Q265), "\$([A-Z]+)\$[0-9]+"))</f>
        <v/>
      </c>
      <c r="R265" s="7" t="str" cm="1">
        <f t="array" aca="1" ref="R265" ca="1">IFERROR(IF(OR('Raw Data'!R265="",LEN(TRIM('Raw Data'!R265))=0),"",IF(AND(ISNUMBER('Raw Data'!R265), IFERROR('Raw Data'!R265 = ROUND('Raw Data'!R265, 2),FALSE)),"",_xlfn.REGEXEXTRACT(CELL("address",R265), "\$([A-Z]+)\$[0-9]+"))),_xlfn.REGEXEXTRACT(CELL("address",R265), "\$([A-Z]+)\$[0-9]+"))</f>
        <v/>
      </c>
      <c r="S265" s="7" t="str" cm="1">
        <f t="array" aca="1" ref="S265" ca="1">IFERROR(IF(OR('Raw Data'!S265="",LEN(TRIM('Raw Data'!S265))=0),"",IF(AND(ISNUMBER('Raw Data'!S265), IFERROR('Raw Data'!S265 = ROUND('Raw Data'!S265, 2),FALSE)),"",_xlfn.REGEXEXTRACT(CELL("address",S265), "\$([A-Z]+)\$[0-9]+"))),_xlfn.REGEXEXTRACT(CELL("address",S265), "\$([A-Z]+)\$[0-9]+"))</f>
        <v/>
      </c>
      <c r="T265" s="7" t="str" cm="1">
        <f t="array" aca="1" ref="T265" ca="1">IFERROR(IF(OR('Raw Data'!T265="",LEN(TRIM('Raw Data'!T265))=0),"",IF(AND(ISNUMBER('Raw Data'!T265), IFERROR('Raw Data'!T265 = ROUND('Raw Data'!T265, 2),FALSE)),"",_xlfn.REGEXEXTRACT(CELL("address",T265), "\$([A-Z]+)\$[0-9]+"))),_xlfn.REGEXEXTRACT(CELL("address",T265), "\$([A-Z]+)\$[0-9]+"))</f>
        <v/>
      </c>
      <c r="U265" s="7" t="str" cm="1">
        <f t="array" aca="1" ref="U265" ca="1">IFERROR(IF(OR('Raw Data'!U265="",LEN(TRIM('Raw Data'!U265))=0),"",IF(AND(ISNUMBER('Raw Data'!U265), IFERROR('Raw Data'!U265 = ROUND('Raw Data'!U265, 2),FALSE)),"",_xlfn.REGEXEXTRACT(CELL("address",U265), "\$([A-Z]+)\$[0-9]+"))),_xlfn.REGEXEXTRACT(CELL("address",U265), "\$([A-Z]+)\$[0-9]+"))</f>
        <v/>
      </c>
      <c r="V265" s="7" t="str" cm="1">
        <f t="array" aca="1" ref="V265" ca="1">IFERROR(IF(OR('Raw Data'!V265="",LEN(TRIM('Raw Data'!V265))=0),"",IF(AND(ISNUMBER('Raw Data'!V265), IFERROR('Raw Data'!V265 = ROUND('Raw Data'!V265, 2),FALSE)),"",_xlfn.REGEXEXTRACT(CELL("address",V265), "\$([A-Z]+)\$[0-9]+"))),_xlfn.REGEXEXTRACT(CELL("address",V265), "\$([A-Z]+)\$[0-9]+"))</f>
        <v/>
      </c>
      <c r="W265" s="7" t="str" cm="1">
        <f t="array" aca="1" ref="W265" ca="1">IFERROR(IF(OR('Raw Data'!W265="",LEN(TRIM('Raw Data'!W265))=0),"",IF(AND(ISNUMBER('Raw Data'!W265), IFERROR('Raw Data'!W265 = ROUND('Raw Data'!W265, 2),FALSE)),"",_xlfn.REGEXEXTRACT(CELL("address",W265), "\$([A-Z]+)\$[0-9]+"))),_xlfn.REGEXEXTRACT(CELL("address",W265), "\$([A-Z]+)\$[0-9]+"))</f>
        <v/>
      </c>
      <c r="X265" s="7" t="str" cm="1">
        <f t="array" aca="1" ref="X265" ca="1">IFERROR(IF(OR('Raw Data'!X265="",LEN(TRIM('Raw Data'!X265))=0),"",IF(AND(ISNUMBER('Raw Data'!X265), IFERROR('Raw Data'!X265 = ROUND('Raw Data'!X265, 2),FALSE)),"",_xlfn.REGEXEXTRACT(CELL("address",X265), "\$([A-Z]+)\$[0-9]+"))),_xlfn.REGEXEXTRACT(CELL("address",X265), "\$([A-Z]+)\$[0-9]+"))</f>
        <v/>
      </c>
      <c r="Y265" s="7" t="str" cm="1">
        <f t="array" aca="1" ref="Y265" ca="1">IFERROR(IF(OR('Raw Data'!Y265="",LEN(TRIM('Raw Data'!Y265))=0),"",IF(AND(ISNUMBER('Raw Data'!Y265), IFERROR('Raw Data'!Y265 = ROUND('Raw Data'!Y265, 2),FALSE)),"",_xlfn.REGEXEXTRACT(CELL("address",Y265), "\$([A-Z]+)\$[0-9]+"))),_xlfn.REGEXEXTRACT(CELL("address",Y265), "\$([A-Z]+)\$[0-9]+"))</f>
        <v/>
      </c>
      <c r="Z265" s="7" t="str" cm="1">
        <f t="array" aca="1" ref="Z265" ca="1">IFERROR(IF(OR('Raw Data'!Z265="",LEN(TRIM('Raw Data'!Z265))=0),"",IF(AND(ISNUMBER('Raw Data'!Z265), IFERROR('Raw Data'!Z265 = ROUND('Raw Data'!Z265, 2),FALSE)),"",_xlfn.REGEXEXTRACT(CELL("address",Z265), "\$([A-Z]+)\$[0-9]+"))),_xlfn.REGEXEXTRACT(CELL("address",Z265), "\$([A-Z]+)\$[0-9]+"))</f>
        <v/>
      </c>
      <c r="AA265" s="7" t="str" cm="1">
        <f t="array" aca="1" ref="AA265" ca="1">IFERROR(IF(OR('Raw Data'!AA265="",LEN(TRIM('Raw Data'!AA265))=0),"",IF(AND(ISNUMBER('Raw Data'!AA265), IFERROR('Raw Data'!AA265 = ROUND('Raw Data'!AA265, 2),FALSE)),"",_xlfn.REGEXEXTRACT(CELL("address",AA265), "\$([A-Z]+)\$[0-9]+"))),_xlfn.REGEXEXTRACT(CELL("address",AA265), "\$([A-Z]+)\$[0-9]+"))</f>
        <v/>
      </c>
      <c r="AB265" s="7" t="str" cm="1">
        <f t="array" aca="1" ref="AB265" ca="1">IFERROR(IF(OR('Raw Data'!AB265="",LEN(TRIM('Raw Data'!AB265))=0),"",IF(AND(ISNUMBER('Raw Data'!AB265), IFERROR('Raw Data'!AB265 = ROUND('Raw Data'!AB265, 2),FALSE)),"",_xlfn.REGEXEXTRACT(CELL("address",AB265), "\$([A-Z]+)\$[0-9]+"))),_xlfn.REGEXEXTRACT(CELL("address",AB265), "\$([A-Z]+)\$[0-9]+"))</f>
        <v/>
      </c>
    </row>
    <row r="266" spans="2:28" x14ac:dyDescent="0.25">
      <c r="B266" s="7" t="str" cm="1">
        <f t="array" aca="1" ref="B266" ca="1">IFERROR(IF(OR('Raw Data'!B266="",LEN(TRIM('Raw Data'!B266))=0),"",IF(AND(LEN('Raw Data'!B266) &lt;= 255,LEN('Raw Data'!B266)&gt; 0),"",_xlfn.REGEXEXTRACT(CELL("address",'Raw Data'!B266),"\$([A-Z]+)\$[0-9]+"))),_xlfn.REGEXEXTRACT(CELL("address",'Raw Data'!B266),"\$([A-Z]+)\$[0-9]+"))</f>
        <v/>
      </c>
      <c r="C266" s="7" t="str" cm="1">
        <f t="array" aca="1" ref="C266" ca="1">IFERROR(IF(OR('Raw Data'!C266="",LEN(TRIM('Raw Data'!C266))=0),"",IF(AND(LEN('Raw Data'!C266) &lt;= 20,LEN('Raw Data'!C266)&gt; 0),"",_xlfn.REGEXEXTRACT(CELL("address",'Raw Data'!C266),"\$([A-Z]+)\$[0-9]+"))),_xlfn.REGEXEXTRACT(CELL("address",'Raw Data'!C266),"\$([A-Z]+)\$[0-9]+"))</f>
        <v/>
      </c>
      <c r="D266" s="7" t="str" cm="1">
        <f t="array" aca="1" ref="D266" ca="1">IFERROR(IF(OR('Raw Data'!D266="",LEN(TRIM('Raw Data'!D266))=0),"",IF(AND(ISNUMBER('Raw Data'!D266),'Raw Data'!D266&gt;=Configuration!$D$2),"",_xlfn.REGEXEXTRACT(CELL("address",'Raw Data'!D266),"\$([A-Z]+)\$[0-9]+"))),_xlfn.REGEXEXTRACT(CELL("address",D266), "\$([A-Z]+)\$[0-9]+"))</f>
        <v/>
      </c>
      <c r="E266" s="7" t="str" cm="1">
        <f t="array" aca="1" ref="E266" ca="1">IFERROR(IF(OR('Raw Data'!E266="",LEN(TRIM('Raw Data'!E266))=0),"",IF(AND(ISNUMBER('Raw Data'!E266), IFERROR('Raw Data'!E266 = ROUND('Raw Data'!E266, 2),FALSE)),"",_xlfn.REGEXEXTRACT(CELL("address",E266), "\$([A-Z]+)\$[0-9]+"))),_xlfn.REGEXEXTRACT(CELL("address",E266), "\$([A-Z]+)\$[0-9]+"))</f>
        <v/>
      </c>
      <c r="F266" s="7" t="str" cm="1">
        <f t="array" aca="1" ref="F266" ca="1">IFERROR(IF(OR('Raw Data'!F266="",LEN(TRIM('Raw Data'!F266))=0),"",IF(AND(ISNUMBER('Raw Data'!F266), IFERROR('Raw Data'!F266 = ROUND('Raw Data'!F266, 2),FALSE)),"",_xlfn.REGEXEXTRACT(CELL("address",F266), "\$([A-Z]+)\$[0-9]+"))),_xlfn.REGEXEXTRACT(CELL("address",F266), "\$([A-Z]+)\$[0-9]+"))</f>
        <v/>
      </c>
      <c r="G266" s="7" t="str" cm="1">
        <f t="array" aca="1" ref="G266" ca="1">IFERROR(IF(OR('Raw Data'!G266="",LEN(TRIM('Raw Data'!G266))=0),"",IF(AND(ISNUMBER('Raw Data'!G266), IFERROR('Raw Data'!G266 = ROUND('Raw Data'!G266, 2),FALSE)),"",_xlfn.REGEXEXTRACT(CELL("address",G266), "\$([A-Z]+)\$[0-9]+"))),_xlfn.REGEXEXTRACT(CELL("address",G266), "\$([A-Z]+)\$[0-9]+"))</f>
        <v/>
      </c>
      <c r="H266" s="7" t="str" cm="1">
        <f t="array" aca="1" ref="H266" ca="1">IFERROR(IF(OR('Raw Data'!H266="",LEN(TRIM('Raw Data'!H266))=0),"",IF(AND(ISNUMBER('Raw Data'!H266), IFERROR('Raw Data'!H266 = ROUND('Raw Data'!H266, 2),FALSE)),"",_xlfn.REGEXEXTRACT(CELL("address",H266), "\$([A-Z]+)\$[0-9]+"))),_xlfn.REGEXEXTRACT(CELL("address",H266), "\$([A-Z]+)\$[0-9]+"))</f>
        <v/>
      </c>
      <c r="I266" s="7" t="str" cm="1">
        <f t="array" aca="1" ref="I266" ca="1">IFERROR(IF(OR('Raw Data'!I266="",LEN(TRIM('Raw Data'!I266))=0),"",IF(AND(ISNUMBER('Raw Data'!I266), IFERROR('Raw Data'!I266 = ROUND('Raw Data'!I266, 2),FALSE)),"",_xlfn.REGEXEXTRACT(CELL("address",I266), "\$([A-Z]+)\$[0-9]+"))),_xlfn.REGEXEXTRACT(CELL("address",I266), "\$([A-Z]+)\$[0-9]+"))</f>
        <v/>
      </c>
      <c r="J266" s="7" t="str" cm="1">
        <f t="array" aca="1" ref="J266" ca="1">IFERROR(IF(OR('Raw Data'!J266="",LEN(TRIM('Raw Data'!J266))=0),"",IF(AND(ISNUMBER('Raw Data'!J266), IFERROR('Raw Data'!J266 = ROUND('Raw Data'!J266, 2),FALSE)),"",_xlfn.REGEXEXTRACT(CELL("address",J266), "\$([A-Z]+)\$[0-9]+"))),_xlfn.REGEXEXTRACT(CELL("address",J266), "\$([A-Z]+)\$[0-9]+"))</f>
        <v/>
      </c>
      <c r="K266" s="7" t="str" cm="1">
        <f t="array" aca="1" ref="K266" ca="1">IFERROR(IF(OR('Raw Data'!K266="",LEN(TRIM('Raw Data'!K266))=0),"",IF(AND(ISNUMBER('Raw Data'!K266), IFERROR('Raw Data'!K266 = ROUND('Raw Data'!K266, 2),FALSE)),"",_xlfn.REGEXEXTRACT(CELL("address",K266), "\$([A-Z]+)\$[0-9]+"))),_xlfn.REGEXEXTRACT(CELL("address",K266), "\$([A-Z]+)\$[0-9]+"))</f>
        <v/>
      </c>
      <c r="L266" s="7" t="str" cm="1">
        <f t="array" aca="1" ref="L266" ca="1">IFERROR(IF(OR('Raw Data'!L266="",LEN(TRIM('Raw Data'!L266))=0),"",IF(AND(ISNUMBER('Raw Data'!L266), IFERROR('Raw Data'!L266 = ROUND('Raw Data'!L266, 2),FALSE)),"",_xlfn.REGEXEXTRACT(CELL("address",L266), "\$([A-Z]+)\$[0-9]+"))),_xlfn.REGEXEXTRACT(CELL("address",L266), "\$([A-Z]+)\$[0-9]+"))</f>
        <v/>
      </c>
      <c r="M266" s="7" t="str" cm="1">
        <f t="array" aca="1" ref="M266" ca="1">IFERROR(IF(OR('Raw Data'!M266="",LEN(TRIM('Raw Data'!M266))=0),"",IF(AND(ISNUMBER('Raw Data'!M266), IFERROR('Raw Data'!M266 = ROUND('Raw Data'!M266, 2),FALSE)),"",_xlfn.REGEXEXTRACT(CELL("address",M266), "\$([A-Z]+)\$[0-9]+"))),_xlfn.REGEXEXTRACT(CELL("address",M266), "\$([A-Z]+)\$[0-9]+"))</f>
        <v/>
      </c>
      <c r="N266" s="7" t="str" cm="1">
        <f t="array" aca="1" ref="N266" ca="1">IFERROR(IF(OR('Raw Data'!N266="",LEN(TRIM('Raw Data'!N266))=0),"",IF(AND(ISNUMBER('Raw Data'!N266), IFERROR('Raw Data'!N266 = ROUND('Raw Data'!N266, 2),FALSE)),"",_xlfn.REGEXEXTRACT(CELL("address",N266), "\$([A-Z]+)\$[0-9]+"))),_xlfn.REGEXEXTRACT(CELL("address",N266), "\$([A-Z]+)\$[0-9]+"))</f>
        <v/>
      </c>
      <c r="O266" s="7" t="str" cm="1">
        <f t="array" aca="1" ref="O266" ca="1">IFERROR(IF(OR('Raw Data'!O266="",LEN(TRIM('Raw Data'!O266))=0),"",IF(AND(ISNUMBER('Raw Data'!O266), IFERROR('Raw Data'!O266 = ROUND('Raw Data'!O266, 2),FALSE)),"",_xlfn.REGEXEXTRACT(CELL("address",O266), "\$([A-Z]+)\$[0-9]+"))),_xlfn.REGEXEXTRACT(CELL("address",O266), "\$([A-Z]+)\$[0-9]+"))</f>
        <v/>
      </c>
      <c r="P266" s="7" t="str" cm="1">
        <f t="array" aca="1" ref="P266" ca="1">IFERROR(IF(OR('Raw Data'!P266="",LEN(TRIM('Raw Data'!P266))=0),"",IF(AND(ISNUMBER('Raw Data'!P266), IFERROR('Raw Data'!P266 = ROUND('Raw Data'!P266, 2),FALSE)),"",_xlfn.REGEXEXTRACT(CELL("address",P266), "\$([A-Z]+)\$[0-9]+"))),_xlfn.REGEXEXTRACT(CELL("address",P266), "\$([A-Z]+)\$[0-9]+"))</f>
        <v/>
      </c>
      <c r="Q266" s="7" t="str" cm="1">
        <f t="array" aca="1" ref="Q266" ca="1">IFERROR(IF(OR('Raw Data'!Q266="",LEN(TRIM('Raw Data'!Q266))=0),"",IF(AND(ISNUMBER('Raw Data'!Q266), IFERROR('Raw Data'!Q266 = ROUND('Raw Data'!Q266, 2),FALSE)),"",_xlfn.REGEXEXTRACT(CELL("address",Q266), "\$([A-Z]+)\$[0-9]+"))),_xlfn.REGEXEXTRACT(CELL("address",Q266), "\$([A-Z]+)\$[0-9]+"))</f>
        <v/>
      </c>
      <c r="R266" s="7" t="str" cm="1">
        <f t="array" aca="1" ref="R266" ca="1">IFERROR(IF(OR('Raw Data'!R266="",LEN(TRIM('Raw Data'!R266))=0),"",IF(AND(ISNUMBER('Raw Data'!R266), IFERROR('Raw Data'!R266 = ROUND('Raw Data'!R266, 2),FALSE)),"",_xlfn.REGEXEXTRACT(CELL("address",R266), "\$([A-Z]+)\$[0-9]+"))),_xlfn.REGEXEXTRACT(CELL("address",R266), "\$([A-Z]+)\$[0-9]+"))</f>
        <v/>
      </c>
      <c r="S266" s="7" t="str" cm="1">
        <f t="array" aca="1" ref="S266" ca="1">IFERROR(IF(OR('Raw Data'!S266="",LEN(TRIM('Raw Data'!S266))=0),"",IF(AND(ISNUMBER('Raw Data'!S266), IFERROR('Raw Data'!S266 = ROUND('Raw Data'!S266, 2),FALSE)),"",_xlfn.REGEXEXTRACT(CELL("address",S266), "\$([A-Z]+)\$[0-9]+"))),_xlfn.REGEXEXTRACT(CELL("address",S266), "\$([A-Z]+)\$[0-9]+"))</f>
        <v/>
      </c>
      <c r="T266" s="7" t="str" cm="1">
        <f t="array" aca="1" ref="T266" ca="1">IFERROR(IF(OR('Raw Data'!T266="",LEN(TRIM('Raw Data'!T266))=0),"",IF(AND(ISNUMBER('Raw Data'!T266), IFERROR('Raw Data'!T266 = ROUND('Raw Data'!T266, 2),FALSE)),"",_xlfn.REGEXEXTRACT(CELL("address",T266), "\$([A-Z]+)\$[0-9]+"))),_xlfn.REGEXEXTRACT(CELL("address",T266), "\$([A-Z]+)\$[0-9]+"))</f>
        <v/>
      </c>
      <c r="U266" s="7" t="str" cm="1">
        <f t="array" aca="1" ref="U266" ca="1">IFERROR(IF(OR('Raw Data'!U266="",LEN(TRIM('Raw Data'!U266))=0),"",IF(AND(ISNUMBER('Raw Data'!U266), IFERROR('Raw Data'!U266 = ROUND('Raw Data'!U266, 2),FALSE)),"",_xlfn.REGEXEXTRACT(CELL("address",U266), "\$([A-Z]+)\$[0-9]+"))),_xlfn.REGEXEXTRACT(CELL("address",U266), "\$([A-Z]+)\$[0-9]+"))</f>
        <v/>
      </c>
      <c r="V266" s="7" t="str" cm="1">
        <f t="array" aca="1" ref="V266" ca="1">IFERROR(IF(OR('Raw Data'!V266="",LEN(TRIM('Raw Data'!V266))=0),"",IF(AND(ISNUMBER('Raw Data'!V266), IFERROR('Raw Data'!V266 = ROUND('Raw Data'!V266, 2),FALSE)),"",_xlfn.REGEXEXTRACT(CELL("address",V266), "\$([A-Z]+)\$[0-9]+"))),_xlfn.REGEXEXTRACT(CELL("address",V266), "\$([A-Z]+)\$[0-9]+"))</f>
        <v/>
      </c>
      <c r="W266" s="7" t="str" cm="1">
        <f t="array" aca="1" ref="W266" ca="1">IFERROR(IF(OR('Raw Data'!W266="",LEN(TRIM('Raw Data'!W266))=0),"",IF(AND(ISNUMBER('Raw Data'!W266), IFERROR('Raw Data'!W266 = ROUND('Raw Data'!W266, 2),FALSE)),"",_xlfn.REGEXEXTRACT(CELL("address",W266), "\$([A-Z]+)\$[0-9]+"))),_xlfn.REGEXEXTRACT(CELL("address",W266), "\$([A-Z]+)\$[0-9]+"))</f>
        <v/>
      </c>
      <c r="X266" s="7" t="str" cm="1">
        <f t="array" aca="1" ref="X266" ca="1">IFERROR(IF(OR('Raw Data'!X266="",LEN(TRIM('Raw Data'!X266))=0),"",IF(AND(ISNUMBER('Raw Data'!X266), IFERROR('Raw Data'!X266 = ROUND('Raw Data'!X266, 2),FALSE)),"",_xlfn.REGEXEXTRACT(CELL("address",X266), "\$([A-Z]+)\$[0-9]+"))),_xlfn.REGEXEXTRACT(CELL("address",X266), "\$([A-Z]+)\$[0-9]+"))</f>
        <v/>
      </c>
      <c r="Y266" s="7" t="str" cm="1">
        <f t="array" aca="1" ref="Y266" ca="1">IFERROR(IF(OR('Raw Data'!Y266="",LEN(TRIM('Raw Data'!Y266))=0),"",IF(AND(ISNUMBER('Raw Data'!Y266), IFERROR('Raw Data'!Y266 = ROUND('Raw Data'!Y266, 2),FALSE)),"",_xlfn.REGEXEXTRACT(CELL("address",Y266), "\$([A-Z]+)\$[0-9]+"))),_xlfn.REGEXEXTRACT(CELL("address",Y266), "\$([A-Z]+)\$[0-9]+"))</f>
        <v/>
      </c>
      <c r="Z266" s="7" t="str" cm="1">
        <f t="array" aca="1" ref="Z266" ca="1">IFERROR(IF(OR('Raw Data'!Z266="",LEN(TRIM('Raw Data'!Z266))=0),"",IF(AND(ISNUMBER('Raw Data'!Z266), IFERROR('Raw Data'!Z266 = ROUND('Raw Data'!Z266, 2),FALSE)),"",_xlfn.REGEXEXTRACT(CELL("address",Z266), "\$([A-Z]+)\$[0-9]+"))),_xlfn.REGEXEXTRACT(CELL("address",Z266), "\$([A-Z]+)\$[0-9]+"))</f>
        <v/>
      </c>
      <c r="AA266" s="7" t="str" cm="1">
        <f t="array" aca="1" ref="AA266" ca="1">IFERROR(IF(OR('Raw Data'!AA266="",LEN(TRIM('Raw Data'!AA266))=0),"",IF(AND(ISNUMBER('Raw Data'!AA266), IFERROR('Raw Data'!AA266 = ROUND('Raw Data'!AA266, 2),FALSE)),"",_xlfn.REGEXEXTRACT(CELL("address",AA266), "\$([A-Z]+)\$[0-9]+"))),_xlfn.REGEXEXTRACT(CELL("address",AA266), "\$([A-Z]+)\$[0-9]+"))</f>
        <v/>
      </c>
      <c r="AB266" s="7" t="str" cm="1">
        <f t="array" aca="1" ref="AB266" ca="1">IFERROR(IF(OR('Raw Data'!AB266="",LEN(TRIM('Raw Data'!AB266))=0),"",IF(AND(ISNUMBER('Raw Data'!AB266), IFERROR('Raw Data'!AB266 = ROUND('Raw Data'!AB266, 2),FALSE)),"",_xlfn.REGEXEXTRACT(CELL("address",AB266), "\$([A-Z]+)\$[0-9]+"))),_xlfn.REGEXEXTRACT(CELL("address",AB266), "\$([A-Z]+)\$[0-9]+"))</f>
        <v/>
      </c>
    </row>
    <row r="267" spans="2:28" x14ac:dyDescent="0.25">
      <c r="B267" s="7" t="str" cm="1">
        <f t="array" aca="1" ref="B267" ca="1">IFERROR(IF(OR('Raw Data'!B267="",LEN(TRIM('Raw Data'!B267))=0),"",IF(AND(LEN('Raw Data'!B267) &lt;= 255,LEN('Raw Data'!B267)&gt; 0),"",_xlfn.REGEXEXTRACT(CELL("address",'Raw Data'!B267),"\$([A-Z]+)\$[0-9]+"))),_xlfn.REGEXEXTRACT(CELL("address",'Raw Data'!B267),"\$([A-Z]+)\$[0-9]+"))</f>
        <v/>
      </c>
      <c r="C267" s="7" t="str" cm="1">
        <f t="array" aca="1" ref="C267" ca="1">IFERROR(IF(OR('Raw Data'!C267="",LEN(TRIM('Raw Data'!C267))=0),"",IF(AND(LEN('Raw Data'!C267) &lt;= 20,LEN('Raw Data'!C267)&gt; 0),"",_xlfn.REGEXEXTRACT(CELL("address",'Raw Data'!C267),"\$([A-Z]+)\$[0-9]+"))),_xlfn.REGEXEXTRACT(CELL("address",'Raw Data'!C267),"\$([A-Z]+)\$[0-9]+"))</f>
        <v/>
      </c>
      <c r="D267" s="7" t="str" cm="1">
        <f t="array" aca="1" ref="D267" ca="1">IFERROR(IF(OR('Raw Data'!D267="",LEN(TRIM('Raw Data'!D267))=0),"",IF(AND(ISNUMBER('Raw Data'!D267),'Raw Data'!D267&gt;=Configuration!$D$2),"",_xlfn.REGEXEXTRACT(CELL("address",'Raw Data'!D267),"\$([A-Z]+)\$[0-9]+"))),_xlfn.REGEXEXTRACT(CELL("address",D267), "\$([A-Z]+)\$[0-9]+"))</f>
        <v/>
      </c>
      <c r="E267" s="7" t="str" cm="1">
        <f t="array" aca="1" ref="E267" ca="1">IFERROR(IF(OR('Raw Data'!E267="",LEN(TRIM('Raw Data'!E267))=0),"",IF(AND(ISNUMBER('Raw Data'!E267), IFERROR('Raw Data'!E267 = ROUND('Raw Data'!E267, 2),FALSE)),"",_xlfn.REGEXEXTRACT(CELL("address",E267), "\$([A-Z]+)\$[0-9]+"))),_xlfn.REGEXEXTRACT(CELL("address",E267), "\$([A-Z]+)\$[0-9]+"))</f>
        <v/>
      </c>
      <c r="F267" s="7" t="str" cm="1">
        <f t="array" aca="1" ref="F267" ca="1">IFERROR(IF(OR('Raw Data'!F267="",LEN(TRIM('Raw Data'!F267))=0),"",IF(AND(ISNUMBER('Raw Data'!F267), IFERROR('Raw Data'!F267 = ROUND('Raw Data'!F267, 2),FALSE)),"",_xlfn.REGEXEXTRACT(CELL("address",F267), "\$([A-Z]+)\$[0-9]+"))),_xlfn.REGEXEXTRACT(CELL("address",F267), "\$([A-Z]+)\$[0-9]+"))</f>
        <v/>
      </c>
      <c r="G267" s="7" t="str" cm="1">
        <f t="array" aca="1" ref="G267" ca="1">IFERROR(IF(OR('Raw Data'!G267="",LEN(TRIM('Raw Data'!G267))=0),"",IF(AND(ISNUMBER('Raw Data'!G267), IFERROR('Raw Data'!G267 = ROUND('Raw Data'!G267, 2),FALSE)),"",_xlfn.REGEXEXTRACT(CELL("address",G267), "\$([A-Z]+)\$[0-9]+"))),_xlfn.REGEXEXTRACT(CELL("address",G267), "\$([A-Z]+)\$[0-9]+"))</f>
        <v/>
      </c>
      <c r="H267" s="7" t="str" cm="1">
        <f t="array" aca="1" ref="H267" ca="1">IFERROR(IF(OR('Raw Data'!H267="",LEN(TRIM('Raw Data'!H267))=0),"",IF(AND(ISNUMBER('Raw Data'!H267), IFERROR('Raw Data'!H267 = ROUND('Raw Data'!H267, 2),FALSE)),"",_xlfn.REGEXEXTRACT(CELL("address",H267), "\$([A-Z]+)\$[0-9]+"))),_xlfn.REGEXEXTRACT(CELL("address",H267), "\$([A-Z]+)\$[0-9]+"))</f>
        <v/>
      </c>
      <c r="I267" s="7" t="str" cm="1">
        <f t="array" aca="1" ref="I267" ca="1">IFERROR(IF(OR('Raw Data'!I267="",LEN(TRIM('Raw Data'!I267))=0),"",IF(AND(ISNUMBER('Raw Data'!I267), IFERROR('Raw Data'!I267 = ROUND('Raw Data'!I267, 2),FALSE)),"",_xlfn.REGEXEXTRACT(CELL("address",I267), "\$([A-Z]+)\$[0-9]+"))),_xlfn.REGEXEXTRACT(CELL("address",I267), "\$([A-Z]+)\$[0-9]+"))</f>
        <v/>
      </c>
      <c r="J267" s="7" t="str" cm="1">
        <f t="array" aca="1" ref="J267" ca="1">IFERROR(IF(OR('Raw Data'!J267="",LEN(TRIM('Raw Data'!J267))=0),"",IF(AND(ISNUMBER('Raw Data'!J267), IFERROR('Raw Data'!J267 = ROUND('Raw Data'!J267, 2),FALSE)),"",_xlfn.REGEXEXTRACT(CELL("address",J267), "\$([A-Z]+)\$[0-9]+"))),_xlfn.REGEXEXTRACT(CELL("address",J267), "\$([A-Z]+)\$[0-9]+"))</f>
        <v/>
      </c>
      <c r="K267" s="7" t="str" cm="1">
        <f t="array" aca="1" ref="K267" ca="1">IFERROR(IF(OR('Raw Data'!K267="",LEN(TRIM('Raw Data'!K267))=0),"",IF(AND(ISNUMBER('Raw Data'!K267), IFERROR('Raw Data'!K267 = ROUND('Raw Data'!K267, 2),FALSE)),"",_xlfn.REGEXEXTRACT(CELL("address",K267), "\$([A-Z]+)\$[0-9]+"))),_xlfn.REGEXEXTRACT(CELL("address",K267), "\$([A-Z]+)\$[0-9]+"))</f>
        <v/>
      </c>
      <c r="L267" s="7" t="str" cm="1">
        <f t="array" aca="1" ref="L267" ca="1">IFERROR(IF(OR('Raw Data'!L267="",LEN(TRIM('Raw Data'!L267))=0),"",IF(AND(ISNUMBER('Raw Data'!L267), IFERROR('Raw Data'!L267 = ROUND('Raw Data'!L267, 2),FALSE)),"",_xlfn.REGEXEXTRACT(CELL("address",L267), "\$([A-Z]+)\$[0-9]+"))),_xlfn.REGEXEXTRACT(CELL("address",L267), "\$([A-Z]+)\$[0-9]+"))</f>
        <v/>
      </c>
      <c r="M267" s="7" t="str" cm="1">
        <f t="array" aca="1" ref="M267" ca="1">IFERROR(IF(OR('Raw Data'!M267="",LEN(TRIM('Raw Data'!M267))=0),"",IF(AND(ISNUMBER('Raw Data'!M267), IFERROR('Raw Data'!M267 = ROUND('Raw Data'!M267, 2),FALSE)),"",_xlfn.REGEXEXTRACT(CELL("address",M267), "\$([A-Z]+)\$[0-9]+"))),_xlfn.REGEXEXTRACT(CELL("address",M267), "\$([A-Z]+)\$[0-9]+"))</f>
        <v/>
      </c>
      <c r="N267" s="7" t="str" cm="1">
        <f t="array" aca="1" ref="N267" ca="1">IFERROR(IF(OR('Raw Data'!N267="",LEN(TRIM('Raw Data'!N267))=0),"",IF(AND(ISNUMBER('Raw Data'!N267), IFERROR('Raw Data'!N267 = ROUND('Raw Data'!N267, 2),FALSE)),"",_xlfn.REGEXEXTRACT(CELL("address",N267), "\$([A-Z]+)\$[0-9]+"))),_xlfn.REGEXEXTRACT(CELL("address",N267), "\$([A-Z]+)\$[0-9]+"))</f>
        <v/>
      </c>
      <c r="O267" s="7" t="str" cm="1">
        <f t="array" aca="1" ref="O267" ca="1">IFERROR(IF(OR('Raw Data'!O267="",LEN(TRIM('Raw Data'!O267))=0),"",IF(AND(ISNUMBER('Raw Data'!O267), IFERROR('Raw Data'!O267 = ROUND('Raw Data'!O267, 2),FALSE)),"",_xlfn.REGEXEXTRACT(CELL("address",O267), "\$([A-Z]+)\$[0-9]+"))),_xlfn.REGEXEXTRACT(CELL("address",O267), "\$([A-Z]+)\$[0-9]+"))</f>
        <v/>
      </c>
      <c r="P267" s="7" t="str" cm="1">
        <f t="array" aca="1" ref="P267" ca="1">IFERROR(IF(OR('Raw Data'!P267="",LEN(TRIM('Raw Data'!P267))=0),"",IF(AND(ISNUMBER('Raw Data'!P267), IFERROR('Raw Data'!P267 = ROUND('Raw Data'!P267, 2),FALSE)),"",_xlfn.REGEXEXTRACT(CELL("address",P267), "\$([A-Z]+)\$[0-9]+"))),_xlfn.REGEXEXTRACT(CELL("address",P267), "\$([A-Z]+)\$[0-9]+"))</f>
        <v/>
      </c>
      <c r="Q267" s="7" t="str" cm="1">
        <f t="array" aca="1" ref="Q267" ca="1">IFERROR(IF(OR('Raw Data'!Q267="",LEN(TRIM('Raw Data'!Q267))=0),"",IF(AND(ISNUMBER('Raw Data'!Q267), IFERROR('Raw Data'!Q267 = ROUND('Raw Data'!Q267, 2),FALSE)),"",_xlfn.REGEXEXTRACT(CELL("address",Q267), "\$([A-Z]+)\$[0-9]+"))),_xlfn.REGEXEXTRACT(CELL("address",Q267), "\$([A-Z]+)\$[0-9]+"))</f>
        <v/>
      </c>
      <c r="R267" s="7" t="str" cm="1">
        <f t="array" aca="1" ref="R267" ca="1">IFERROR(IF(OR('Raw Data'!R267="",LEN(TRIM('Raw Data'!R267))=0),"",IF(AND(ISNUMBER('Raw Data'!R267), IFERROR('Raw Data'!R267 = ROUND('Raw Data'!R267, 2),FALSE)),"",_xlfn.REGEXEXTRACT(CELL("address",R267), "\$([A-Z]+)\$[0-9]+"))),_xlfn.REGEXEXTRACT(CELL("address",R267), "\$([A-Z]+)\$[0-9]+"))</f>
        <v/>
      </c>
      <c r="S267" s="7" t="str" cm="1">
        <f t="array" aca="1" ref="S267" ca="1">IFERROR(IF(OR('Raw Data'!S267="",LEN(TRIM('Raw Data'!S267))=0),"",IF(AND(ISNUMBER('Raw Data'!S267), IFERROR('Raw Data'!S267 = ROUND('Raw Data'!S267, 2),FALSE)),"",_xlfn.REGEXEXTRACT(CELL("address",S267), "\$([A-Z]+)\$[0-9]+"))),_xlfn.REGEXEXTRACT(CELL("address",S267), "\$([A-Z]+)\$[0-9]+"))</f>
        <v/>
      </c>
      <c r="T267" s="7" t="str" cm="1">
        <f t="array" aca="1" ref="T267" ca="1">IFERROR(IF(OR('Raw Data'!T267="",LEN(TRIM('Raw Data'!T267))=0),"",IF(AND(ISNUMBER('Raw Data'!T267), IFERROR('Raw Data'!T267 = ROUND('Raw Data'!T267, 2),FALSE)),"",_xlfn.REGEXEXTRACT(CELL("address",T267), "\$([A-Z]+)\$[0-9]+"))),_xlfn.REGEXEXTRACT(CELL("address",T267), "\$([A-Z]+)\$[0-9]+"))</f>
        <v/>
      </c>
      <c r="U267" s="7" t="str" cm="1">
        <f t="array" aca="1" ref="U267" ca="1">IFERROR(IF(OR('Raw Data'!U267="",LEN(TRIM('Raw Data'!U267))=0),"",IF(AND(ISNUMBER('Raw Data'!U267), IFERROR('Raw Data'!U267 = ROUND('Raw Data'!U267, 2),FALSE)),"",_xlfn.REGEXEXTRACT(CELL("address",U267), "\$([A-Z]+)\$[0-9]+"))),_xlfn.REGEXEXTRACT(CELL("address",U267), "\$([A-Z]+)\$[0-9]+"))</f>
        <v/>
      </c>
      <c r="V267" s="7" t="str" cm="1">
        <f t="array" aca="1" ref="V267" ca="1">IFERROR(IF(OR('Raw Data'!V267="",LEN(TRIM('Raw Data'!V267))=0),"",IF(AND(ISNUMBER('Raw Data'!V267), IFERROR('Raw Data'!V267 = ROUND('Raw Data'!V267, 2),FALSE)),"",_xlfn.REGEXEXTRACT(CELL("address",V267), "\$([A-Z]+)\$[0-9]+"))),_xlfn.REGEXEXTRACT(CELL("address",V267), "\$([A-Z]+)\$[0-9]+"))</f>
        <v/>
      </c>
      <c r="W267" s="7" t="str" cm="1">
        <f t="array" aca="1" ref="W267" ca="1">IFERROR(IF(OR('Raw Data'!W267="",LEN(TRIM('Raw Data'!W267))=0),"",IF(AND(ISNUMBER('Raw Data'!W267), IFERROR('Raw Data'!W267 = ROUND('Raw Data'!W267, 2),FALSE)),"",_xlfn.REGEXEXTRACT(CELL("address",W267), "\$([A-Z]+)\$[0-9]+"))),_xlfn.REGEXEXTRACT(CELL("address",W267), "\$([A-Z]+)\$[0-9]+"))</f>
        <v/>
      </c>
      <c r="X267" s="7" t="str" cm="1">
        <f t="array" aca="1" ref="X267" ca="1">IFERROR(IF(OR('Raw Data'!X267="",LEN(TRIM('Raw Data'!X267))=0),"",IF(AND(ISNUMBER('Raw Data'!X267), IFERROR('Raw Data'!X267 = ROUND('Raw Data'!X267, 2),FALSE)),"",_xlfn.REGEXEXTRACT(CELL("address",X267), "\$([A-Z]+)\$[0-9]+"))),_xlfn.REGEXEXTRACT(CELL("address",X267), "\$([A-Z]+)\$[0-9]+"))</f>
        <v/>
      </c>
      <c r="Y267" s="7" t="str" cm="1">
        <f t="array" aca="1" ref="Y267" ca="1">IFERROR(IF(OR('Raw Data'!Y267="",LEN(TRIM('Raw Data'!Y267))=0),"",IF(AND(ISNUMBER('Raw Data'!Y267), IFERROR('Raw Data'!Y267 = ROUND('Raw Data'!Y267, 2),FALSE)),"",_xlfn.REGEXEXTRACT(CELL("address",Y267), "\$([A-Z]+)\$[0-9]+"))),_xlfn.REGEXEXTRACT(CELL("address",Y267), "\$([A-Z]+)\$[0-9]+"))</f>
        <v/>
      </c>
      <c r="Z267" s="7" t="str" cm="1">
        <f t="array" aca="1" ref="Z267" ca="1">IFERROR(IF(OR('Raw Data'!Z267="",LEN(TRIM('Raw Data'!Z267))=0),"",IF(AND(ISNUMBER('Raw Data'!Z267), IFERROR('Raw Data'!Z267 = ROUND('Raw Data'!Z267, 2),FALSE)),"",_xlfn.REGEXEXTRACT(CELL("address",Z267), "\$([A-Z]+)\$[0-9]+"))),_xlfn.REGEXEXTRACT(CELL("address",Z267), "\$([A-Z]+)\$[0-9]+"))</f>
        <v/>
      </c>
      <c r="AA267" s="7" t="str" cm="1">
        <f t="array" aca="1" ref="AA267" ca="1">IFERROR(IF(OR('Raw Data'!AA267="",LEN(TRIM('Raw Data'!AA267))=0),"",IF(AND(ISNUMBER('Raw Data'!AA267), IFERROR('Raw Data'!AA267 = ROUND('Raw Data'!AA267, 2),FALSE)),"",_xlfn.REGEXEXTRACT(CELL("address",AA267), "\$([A-Z]+)\$[0-9]+"))),_xlfn.REGEXEXTRACT(CELL("address",AA267), "\$([A-Z]+)\$[0-9]+"))</f>
        <v/>
      </c>
      <c r="AB267" s="7" t="str" cm="1">
        <f t="array" aca="1" ref="AB267" ca="1">IFERROR(IF(OR('Raw Data'!AB267="",LEN(TRIM('Raw Data'!AB267))=0),"",IF(AND(ISNUMBER('Raw Data'!AB267), IFERROR('Raw Data'!AB267 = ROUND('Raw Data'!AB267, 2),FALSE)),"",_xlfn.REGEXEXTRACT(CELL("address",AB267), "\$([A-Z]+)\$[0-9]+"))),_xlfn.REGEXEXTRACT(CELL("address",AB267), "\$([A-Z]+)\$[0-9]+"))</f>
        <v/>
      </c>
    </row>
    <row r="268" spans="2:28" x14ac:dyDescent="0.25">
      <c r="B268" s="7" t="str" cm="1">
        <f t="array" aca="1" ref="B268" ca="1">IFERROR(IF(OR('Raw Data'!B268="",LEN(TRIM('Raw Data'!B268))=0),"",IF(AND(LEN('Raw Data'!B268) &lt;= 255,LEN('Raw Data'!B268)&gt; 0),"",_xlfn.REGEXEXTRACT(CELL("address",'Raw Data'!B268),"\$([A-Z]+)\$[0-9]+"))),_xlfn.REGEXEXTRACT(CELL("address",'Raw Data'!B268),"\$([A-Z]+)\$[0-9]+"))</f>
        <v/>
      </c>
      <c r="C268" s="7" t="str" cm="1">
        <f t="array" aca="1" ref="C268" ca="1">IFERROR(IF(OR('Raw Data'!C268="",LEN(TRIM('Raw Data'!C268))=0),"",IF(AND(LEN('Raw Data'!C268) &lt;= 20,LEN('Raw Data'!C268)&gt; 0),"",_xlfn.REGEXEXTRACT(CELL("address",'Raw Data'!C268),"\$([A-Z]+)\$[0-9]+"))),_xlfn.REGEXEXTRACT(CELL("address",'Raw Data'!C268),"\$([A-Z]+)\$[0-9]+"))</f>
        <v/>
      </c>
      <c r="D268" s="7" t="str" cm="1">
        <f t="array" aca="1" ref="D268" ca="1">IFERROR(IF(OR('Raw Data'!D268="",LEN(TRIM('Raw Data'!D268))=0),"",IF(AND(ISNUMBER('Raw Data'!D268),'Raw Data'!D268&gt;=Configuration!$D$2),"",_xlfn.REGEXEXTRACT(CELL("address",'Raw Data'!D268),"\$([A-Z]+)\$[0-9]+"))),_xlfn.REGEXEXTRACT(CELL("address",D268), "\$([A-Z]+)\$[0-9]+"))</f>
        <v/>
      </c>
      <c r="E268" s="7" t="str" cm="1">
        <f t="array" aca="1" ref="E268" ca="1">IFERROR(IF(OR('Raw Data'!E268="",LEN(TRIM('Raw Data'!E268))=0),"",IF(AND(ISNUMBER('Raw Data'!E268), IFERROR('Raw Data'!E268 = ROUND('Raw Data'!E268, 2),FALSE)),"",_xlfn.REGEXEXTRACT(CELL("address",E268), "\$([A-Z]+)\$[0-9]+"))),_xlfn.REGEXEXTRACT(CELL("address",E268), "\$([A-Z]+)\$[0-9]+"))</f>
        <v/>
      </c>
      <c r="F268" s="7" t="str" cm="1">
        <f t="array" aca="1" ref="F268" ca="1">IFERROR(IF(OR('Raw Data'!F268="",LEN(TRIM('Raw Data'!F268))=0),"",IF(AND(ISNUMBER('Raw Data'!F268), IFERROR('Raw Data'!F268 = ROUND('Raw Data'!F268, 2),FALSE)),"",_xlfn.REGEXEXTRACT(CELL("address",F268), "\$([A-Z]+)\$[0-9]+"))),_xlfn.REGEXEXTRACT(CELL("address",F268), "\$([A-Z]+)\$[0-9]+"))</f>
        <v/>
      </c>
      <c r="G268" s="7" t="str" cm="1">
        <f t="array" aca="1" ref="G268" ca="1">IFERROR(IF(OR('Raw Data'!G268="",LEN(TRIM('Raw Data'!G268))=0),"",IF(AND(ISNUMBER('Raw Data'!G268), IFERROR('Raw Data'!G268 = ROUND('Raw Data'!G268, 2),FALSE)),"",_xlfn.REGEXEXTRACT(CELL("address",G268), "\$([A-Z]+)\$[0-9]+"))),_xlfn.REGEXEXTRACT(CELL("address",G268), "\$([A-Z]+)\$[0-9]+"))</f>
        <v/>
      </c>
      <c r="H268" s="7" t="str" cm="1">
        <f t="array" aca="1" ref="H268" ca="1">IFERROR(IF(OR('Raw Data'!H268="",LEN(TRIM('Raw Data'!H268))=0),"",IF(AND(ISNUMBER('Raw Data'!H268), IFERROR('Raw Data'!H268 = ROUND('Raw Data'!H268, 2),FALSE)),"",_xlfn.REGEXEXTRACT(CELL("address",H268), "\$([A-Z]+)\$[0-9]+"))),_xlfn.REGEXEXTRACT(CELL("address",H268), "\$([A-Z]+)\$[0-9]+"))</f>
        <v/>
      </c>
      <c r="I268" s="7" t="str" cm="1">
        <f t="array" aca="1" ref="I268" ca="1">IFERROR(IF(OR('Raw Data'!I268="",LEN(TRIM('Raw Data'!I268))=0),"",IF(AND(ISNUMBER('Raw Data'!I268), IFERROR('Raw Data'!I268 = ROUND('Raw Data'!I268, 2),FALSE)),"",_xlfn.REGEXEXTRACT(CELL("address",I268), "\$([A-Z]+)\$[0-9]+"))),_xlfn.REGEXEXTRACT(CELL("address",I268), "\$([A-Z]+)\$[0-9]+"))</f>
        <v/>
      </c>
      <c r="J268" s="7" t="str" cm="1">
        <f t="array" aca="1" ref="J268" ca="1">IFERROR(IF(OR('Raw Data'!J268="",LEN(TRIM('Raw Data'!J268))=0),"",IF(AND(ISNUMBER('Raw Data'!J268), IFERROR('Raw Data'!J268 = ROUND('Raw Data'!J268, 2),FALSE)),"",_xlfn.REGEXEXTRACT(CELL("address",J268), "\$([A-Z]+)\$[0-9]+"))),_xlfn.REGEXEXTRACT(CELL("address",J268), "\$([A-Z]+)\$[0-9]+"))</f>
        <v/>
      </c>
      <c r="K268" s="7" t="str" cm="1">
        <f t="array" aca="1" ref="K268" ca="1">IFERROR(IF(OR('Raw Data'!K268="",LEN(TRIM('Raw Data'!K268))=0),"",IF(AND(ISNUMBER('Raw Data'!K268), IFERROR('Raw Data'!K268 = ROUND('Raw Data'!K268, 2),FALSE)),"",_xlfn.REGEXEXTRACT(CELL("address",K268), "\$([A-Z]+)\$[0-9]+"))),_xlfn.REGEXEXTRACT(CELL("address",K268), "\$([A-Z]+)\$[0-9]+"))</f>
        <v/>
      </c>
      <c r="L268" s="7" t="str" cm="1">
        <f t="array" aca="1" ref="L268" ca="1">IFERROR(IF(OR('Raw Data'!L268="",LEN(TRIM('Raw Data'!L268))=0),"",IF(AND(ISNUMBER('Raw Data'!L268), IFERROR('Raw Data'!L268 = ROUND('Raw Data'!L268, 2),FALSE)),"",_xlfn.REGEXEXTRACT(CELL("address",L268), "\$([A-Z]+)\$[0-9]+"))),_xlfn.REGEXEXTRACT(CELL("address",L268), "\$([A-Z]+)\$[0-9]+"))</f>
        <v/>
      </c>
      <c r="M268" s="7" t="str" cm="1">
        <f t="array" aca="1" ref="M268" ca="1">IFERROR(IF(OR('Raw Data'!M268="",LEN(TRIM('Raw Data'!M268))=0),"",IF(AND(ISNUMBER('Raw Data'!M268), IFERROR('Raw Data'!M268 = ROUND('Raw Data'!M268, 2),FALSE)),"",_xlfn.REGEXEXTRACT(CELL("address",M268), "\$([A-Z]+)\$[0-9]+"))),_xlfn.REGEXEXTRACT(CELL("address",M268), "\$([A-Z]+)\$[0-9]+"))</f>
        <v/>
      </c>
      <c r="N268" s="7" t="str" cm="1">
        <f t="array" aca="1" ref="N268" ca="1">IFERROR(IF(OR('Raw Data'!N268="",LEN(TRIM('Raw Data'!N268))=0),"",IF(AND(ISNUMBER('Raw Data'!N268), IFERROR('Raw Data'!N268 = ROUND('Raw Data'!N268, 2),FALSE)),"",_xlfn.REGEXEXTRACT(CELL("address",N268), "\$([A-Z]+)\$[0-9]+"))),_xlfn.REGEXEXTRACT(CELL("address",N268), "\$([A-Z]+)\$[0-9]+"))</f>
        <v/>
      </c>
      <c r="O268" s="7" t="str" cm="1">
        <f t="array" aca="1" ref="O268" ca="1">IFERROR(IF(OR('Raw Data'!O268="",LEN(TRIM('Raw Data'!O268))=0),"",IF(AND(ISNUMBER('Raw Data'!O268), IFERROR('Raw Data'!O268 = ROUND('Raw Data'!O268, 2),FALSE)),"",_xlfn.REGEXEXTRACT(CELL("address",O268), "\$([A-Z]+)\$[0-9]+"))),_xlfn.REGEXEXTRACT(CELL("address",O268), "\$([A-Z]+)\$[0-9]+"))</f>
        <v/>
      </c>
      <c r="P268" s="7" t="str" cm="1">
        <f t="array" aca="1" ref="P268" ca="1">IFERROR(IF(OR('Raw Data'!P268="",LEN(TRIM('Raw Data'!P268))=0),"",IF(AND(ISNUMBER('Raw Data'!P268), IFERROR('Raw Data'!P268 = ROUND('Raw Data'!P268, 2),FALSE)),"",_xlfn.REGEXEXTRACT(CELL("address",P268), "\$([A-Z]+)\$[0-9]+"))),_xlfn.REGEXEXTRACT(CELL("address",P268), "\$([A-Z]+)\$[0-9]+"))</f>
        <v/>
      </c>
      <c r="Q268" s="7" t="str" cm="1">
        <f t="array" aca="1" ref="Q268" ca="1">IFERROR(IF(OR('Raw Data'!Q268="",LEN(TRIM('Raw Data'!Q268))=0),"",IF(AND(ISNUMBER('Raw Data'!Q268), IFERROR('Raw Data'!Q268 = ROUND('Raw Data'!Q268, 2),FALSE)),"",_xlfn.REGEXEXTRACT(CELL("address",Q268), "\$([A-Z]+)\$[0-9]+"))),_xlfn.REGEXEXTRACT(CELL("address",Q268), "\$([A-Z]+)\$[0-9]+"))</f>
        <v/>
      </c>
      <c r="R268" s="7" t="str" cm="1">
        <f t="array" aca="1" ref="R268" ca="1">IFERROR(IF(OR('Raw Data'!R268="",LEN(TRIM('Raw Data'!R268))=0),"",IF(AND(ISNUMBER('Raw Data'!R268), IFERROR('Raw Data'!R268 = ROUND('Raw Data'!R268, 2),FALSE)),"",_xlfn.REGEXEXTRACT(CELL("address",R268), "\$([A-Z]+)\$[0-9]+"))),_xlfn.REGEXEXTRACT(CELL("address",R268), "\$([A-Z]+)\$[0-9]+"))</f>
        <v/>
      </c>
      <c r="S268" s="7" t="str" cm="1">
        <f t="array" aca="1" ref="S268" ca="1">IFERROR(IF(OR('Raw Data'!S268="",LEN(TRIM('Raw Data'!S268))=0),"",IF(AND(ISNUMBER('Raw Data'!S268), IFERROR('Raw Data'!S268 = ROUND('Raw Data'!S268, 2),FALSE)),"",_xlfn.REGEXEXTRACT(CELL("address",S268), "\$([A-Z]+)\$[0-9]+"))),_xlfn.REGEXEXTRACT(CELL("address",S268), "\$([A-Z]+)\$[0-9]+"))</f>
        <v/>
      </c>
      <c r="T268" s="7" t="str" cm="1">
        <f t="array" aca="1" ref="T268" ca="1">IFERROR(IF(OR('Raw Data'!T268="",LEN(TRIM('Raw Data'!T268))=0),"",IF(AND(ISNUMBER('Raw Data'!T268), IFERROR('Raw Data'!T268 = ROUND('Raw Data'!T268, 2),FALSE)),"",_xlfn.REGEXEXTRACT(CELL("address",T268), "\$([A-Z]+)\$[0-9]+"))),_xlfn.REGEXEXTRACT(CELL("address",T268), "\$([A-Z]+)\$[0-9]+"))</f>
        <v/>
      </c>
      <c r="U268" s="7" t="str" cm="1">
        <f t="array" aca="1" ref="U268" ca="1">IFERROR(IF(OR('Raw Data'!U268="",LEN(TRIM('Raw Data'!U268))=0),"",IF(AND(ISNUMBER('Raw Data'!U268), IFERROR('Raw Data'!U268 = ROUND('Raw Data'!U268, 2),FALSE)),"",_xlfn.REGEXEXTRACT(CELL("address",U268), "\$([A-Z]+)\$[0-9]+"))),_xlfn.REGEXEXTRACT(CELL("address",U268), "\$([A-Z]+)\$[0-9]+"))</f>
        <v/>
      </c>
      <c r="V268" s="7" t="str" cm="1">
        <f t="array" aca="1" ref="V268" ca="1">IFERROR(IF(OR('Raw Data'!V268="",LEN(TRIM('Raw Data'!V268))=0),"",IF(AND(ISNUMBER('Raw Data'!V268), IFERROR('Raw Data'!V268 = ROUND('Raw Data'!V268, 2),FALSE)),"",_xlfn.REGEXEXTRACT(CELL("address",V268), "\$([A-Z]+)\$[0-9]+"))),_xlfn.REGEXEXTRACT(CELL("address",V268), "\$([A-Z]+)\$[0-9]+"))</f>
        <v/>
      </c>
      <c r="W268" s="7" t="str" cm="1">
        <f t="array" aca="1" ref="W268" ca="1">IFERROR(IF(OR('Raw Data'!W268="",LEN(TRIM('Raw Data'!W268))=0),"",IF(AND(ISNUMBER('Raw Data'!W268), IFERROR('Raw Data'!W268 = ROUND('Raw Data'!W268, 2),FALSE)),"",_xlfn.REGEXEXTRACT(CELL("address",W268), "\$([A-Z]+)\$[0-9]+"))),_xlfn.REGEXEXTRACT(CELL("address",W268), "\$([A-Z]+)\$[0-9]+"))</f>
        <v/>
      </c>
      <c r="X268" s="7" t="str" cm="1">
        <f t="array" aca="1" ref="X268" ca="1">IFERROR(IF(OR('Raw Data'!X268="",LEN(TRIM('Raw Data'!X268))=0),"",IF(AND(ISNUMBER('Raw Data'!X268), IFERROR('Raw Data'!X268 = ROUND('Raw Data'!X268, 2),FALSE)),"",_xlfn.REGEXEXTRACT(CELL("address",X268), "\$([A-Z]+)\$[0-9]+"))),_xlfn.REGEXEXTRACT(CELL("address",X268), "\$([A-Z]+)\$[0-9]+"))</f>
        <v/>
      </c>
      <c r="Y268" s="7" t="str" cm="1">
        <f t="array" aca="1" ref="Y268" ca="1">IFERROR(IF(OR('Raw Data'!Y268="",LEN(TRIM('Raw Data'!Y268))=0),"",IF(AND(ISNUMBER('Raw Data'!Y268), IFERROR('Raw Data'!Y268 = ROUND('Raw Data'!Y268, 2),FALSE)),"",_xlfn.REGEXEXTRACT(CELL("address",Y268), "\$([A-Z]+)\$[0-9]+"))),_xlfn.REGEXEXTRACT(CELL("address",Y268), "\$([A-Z]+)\$[0-9]+"))</f>
        <v/>
      </c>
      <c r="Z268" s="7" t="str" cm="1">
        <f t="array" aca="1" ref="Z268" ca="1">IFERROR(IF(OR('Raw Data'!Z268="",LEN(TRIM('Raw Data'!Z268))=0),"",IF(AND(ISNUMBER('Raw Data'!Z268), IFERROR('Raw Data'!Z268 = ROUND('Raw Data'!Z268, 2),FALSE)),"",_xlfn.REGEXEXTRACT(CELL("address",Z268), "\$([A-Z]+)\$[0-9]+"))),_xlfn.REGEXEXTRACT(CELL("address",Z268), "\$([A-Z]+)\$[0-9]+"))</f>
        <v/>
      </c>
      <c r="AA268" s="7" t="str" cm="1">
        <f t="array" aca="1" ref="AA268" ca="1">IFERROR(IF(OR('Raw Data'!AA268="",LEN(TRIM('Raw Data'!AA268))=0),"",IF(AND(ISNUMBER('Raw Data'!AA268), IFERROR('Raw Data'!AA268 = ROUND('Raw Data'!AA268, 2),FALSE)),"",_xlfn.REGEXEXTRACT(CELL("address",AA268), "\$([A-Z]+)\$[0-9]+"))),_xlfn.REGEXEXTRACT(CELL("address",AA268), "\$([A-Z]+)\$[0-9]+"))</f>
        <v/>
      </c>
      <c r="AB268" s="7" t="str" cm="1">
        <f t="array" aca="1" ref="AB268" ca="1">IFERROR(IF(OR('Raw Data'!AB268="",LEN(TRIM('Raw Data'!AB268))=0),"",IF(AND(ISNUMBER('Raw Data'!AB268), IFERROR('Raw Data'!AB268 = ROUND('Raw Data'!AB268, 2),FALSE)),"",_xlfn.REGEXEXTRACT(CELL("address",AB268), "\$([A-Z]+)\$[0-9]+"))),_xlfn.REGEXEXTRACT(CELL("address",AB268), "\$([A-Z]+)\$[0-9]+"))</f>
        <v/>
      </c>
    </row>
    <row r="269" spans="2:28" x14ac:dyDescent="0.25">
      <c r="B269" s="7" t="str" cm="1">
        <f t="array" aca="1" ref="B269" ca="1">IFERROR(IF(OR('Raw Data'!B269="",LEN(TRIM('Raw Data'!B269))=0),"",IF(AND(LEN('Raw Data'!B269) &lt;= 255,LEN('Raw Data'!B269)&gt; 0),"",_xlfn.REGEXEXTRACT(CELL("address",'Raw Data'!B269),"\$([A-Z]+)\$[0-9]+"))),_xlfn.REGEXEXTRACT(CELL("address",'Raw Data'!B269),"\$([A-Z]+)\$[0-9]+"))</f>
        <v/>
      </c>
      <c r="C269" s="7" t="str" cm="1">
        <f t="array" aca="1" ref="C269" ca="1">IFERROR(IF(OR('Raw Data'!C269="",LEN(TRIM('Raw Data'!C269))=0),"",IF(AND(LEN('Raw Data'!C269) &lt;= 20,LEN('Raw Data'!C269)&gt; 0),"",_xlfn.REGEXEXTRACT(CELL("address",'Raw Data'!C269),"\$([A-Z]+)\$[0-9]+"))),_xlfn.REGEXEXTRACT(CELL("address",'Raw Data'!C269),"\$([A-Z]+)\$[0-9]+"))</f>
        <v/>
      </c>
      <c r="D269" s="7" t="str" cm="1">
        <f t="array" aca="1" ref="D269" ca="1">IFERROR(IF(OR('Raw Data'!D269="",LEN(TRIM('Raw Data'!D269))=0),"",IF(AND(ISNUMBER('Raw Data'!D269),'Raw Data'!D269&gt;=Configuration!$D$2),"",_xlfn.REGEXEXTRACT(CELL("address",'Raw Data'!D269),"\$([A-Z]+)\$[0-9]+"))),_xlfn.REGEXEXTRACT(CELL("address",D269), "\$([A-Z]+)\$[0-9]+"))</f>
        <v/>
      </c>
      <c r="E269" s="7" t="str" cm="1">
        <f t="array" aca="1" ref="E269" ca="1">IFERROR(IF(OR('Raw Data'!E269="",LEN(TRIM('Raw Data'!E269))=0),"",IF(AND(ISNUMBER('Raw Data'!E269), IFERROR('Raw Data'!E269 = ROUND('Raw Data'!E269, 2),FALSE)),"",_xlfn.REGEXEXTRACT(CELL("address",E269), "\$([A-Z]+)\$[0-9]+"))),_xlfn.REGEXEXTRACT(CELL("address",E269), "\$([A-Z]+)\$[0-9]+"))</f>
        <v/>
      </c>
      <c r="F269" s="7" t="str" cm="1">
        <f t="array" aca="1" ref="F269" ca="1">IFERROR(IF(OR('Raw Data'!F269="",LEN(TRIM('Raw Data'!F269))=0),"",IF(AND(ISNUMBER('Raw Data'!F269), IFERROR('Raw Data'!F269 = ROUND('Raw Data'!F269, 2),FALSE)),"",_xlfn.REGEXEXTRACT(CELL("address",F269), "\$([A-Z]+)\$[0-9]+"))),_xlfn.REGEXEXTRACT(CELL("address",F269), "\$([A-Z]+)\$[0-9]+"))</f>
        <v/>
      </c>
      <c r="G269" s="7" t="str" cm="1">
        <f t="array" aca="1" ref="G269" ca="1">IFERROR(IF(OR('Raw Data'!G269="",LEN(TRIM('Raw Data'!G269))=0),"",IF(AND(ISNUMBER('Raw Data'!G269), IFERROR('Raw Data'!G269 = ROUND('Raw Data'!G269, 2),FALSE)),"",_xlfn.REGEXEXTRACT(CELL("address",G269), "\$([A-Z]+)\$[0-9]+"))),_xlfn.REGEXEXTRACT(CELL("address",G269), "\$([A-Z]+)\$[0-9]+"))</f>
        <v/>
      </c>
      <c r="H269" s="7" t="str" cm="1">
        <f t="array" aca="1" ref="H269" ca="1">IFERROR(IF(OR('Raw Data'!H269="",LEN(TRIM('Raw Data'!H269))=0),"",IF(AND(ISNUMBER('Raw Data'!H269), IFERROR('Raw Data'!H269 = ROUND('Raw Data'!H269, 2),FALSE)),"",_xlfn.REGEXEXTRACT(CELL("address",H269), "\$([A-Z]+)\$[0-9]+"))),_xlfn.REGEXEXTRACT(CELL("address",H269), "\$([A-Z]+)\$[0-9]+"))</f>
        <v/>
      </c>
      <c r="I269" s="7" t="str" cm="1">
        <f t="array" aca="1" ref="I269" ca="1">IFERROR(IF(OR('Raw Data'!I269="",LEN(TRIM('Raw Data'!I269))=0),"",IF(AND(ISNUMBER('Raw Data'!I269), IFERROR('Raw Data'!I269 = ROUND('Raw Data'!I269, 2),FALSE)),"",_xlfn.REGEXEXTRACT(CELL("address",I269), "\$([A-Z]+)\$[0-9]+"))),_xlfn.REGEXEXTRACT(CELL("address",I269), "\$([A-Z]+)\$[0-9]+"))</f>
        <v/>
      </c>
      <c r="J269" s="7" t="str" cm="1">
        <f t="array" aca="1" ref="J269" ca="1">IFERROR(IF(OR('Raw Data'!J269="",LEN(TRIM('Raw Data'!J269))=0),"",IF(AND(ISNUMBER('Raw Data'!J269), IFERROR('Raw Data'!J269 = ROUND('Raw Data'!J269, 2),FALSE)),"",_xlfn.REGEXEXTRACT(CELL("address",J269), "\$([A-Z]+)\$[0-9]+"))),_xlfn.REGEXEXTRACT(CELL("address",J269), "\$([A-Z]+)\$[0-9]+"))</f>
        <v/>
      </c>
      <c r="K269" s="7" t="str" cm="1">
        <f t="array" aca="1" ref="K269" ca="1">IFERROR(IF(OR('Raw Data'!K269="",LEN(TRIM('Raw Data'!K269))=0),"",IF(AND(ISNUMBER('Raw Data'!K269), IFERROR('Raw Data'!K269 = ROUND('Raw Data'!K269, 2),FALSE)),"",_xlfn.REGEXEXTRACT(CELL("address",K269), "\$([A-Z]+)\$[0-9]+"))),_xlfn.REGEXEXTRACT(CELL("address",K269), "\$([A-Z]+)\$[0-9]+"))</f>
        <v/>
      </c>
      <c r="L269" s="7" t="str" cm="1">
        <f t="array" aca="1" ref="L269" ca="1">IFERROR(IF(OR('Raw Data'!L269="",LEN(TRIM('Raw Data'!L269))=0),"",IF(AND(ISNUMBER('Raw Data'!L269), IFERROR('Raw Data'!L269 = ROUND('Raw Data'!L269, 2),FALSE)),"",_xlfn.REGEXEXTRACT(CELL("address",L269), "\$([A-Z]+)\$[0-9]+"))),_xlfn.REGEXEXTRACT(CELL("address",L269), "\$([A-Z]+)\$[0-9]+"))</f>
        <v/>
      </c>
      <c r="M269" s="7" t="str" cm="1">
        <f t="array" aca="1" ref="M269" ca="1">IFERROR(IF(OR('Raw Data'!M269="",LEN(TRIM('Raw Data'!M269))=0),"",IF(AND(ISNUMBER('Raw Data'!M269), IFERROR('Raw Data'!M269 = ROUND('Raw Data'!M269, 2),FALSE)),"",_xlfn.REGEXEXTRACT(CELL("address",M269), "\$([A-Z]+)\$[0-9]+"))),_xlfn.REGEXEXTRACT(CELL("address",M269), "\$([A-Z]+)\$[0-9]+"))</f>
        <v/>
      </c>
      <c r="N269" s="7" t="str" cm="1">
        <f t="array" aca="1" ref="N269" ca="1">IFERROR(IF(OR('Raw Data'!N269="",LEN(TRIM('Raw Data'!N269))=0),"",IF(AND(ISNUMBER('Raw Data'!N269), IFERROR('Raw Data'!N269 = ROUND('Raw Data'!N269, 2),FALSE)),"",_xlfn.REGEXEXTRACT(CELL("address",N269), "\$([A-Z]+)\$[0-9]+"))),_xlfn.REGEXEXTRACT(CELL("address",N269), "\$([A-Z]+)\$[0-9]+"))</f>
        <v/>
      </c>
      <c r="O269" s="7" t="str" cm="1">
        <f t="array" aca="1" ref="O269" ca="1">IFERROR(IF(OR('Raw Data'!O269="",LEN(TRIM('Raw Data'!O269))=0),"",IF(AND(ISNUMBER('Raw Data'!O269), IFERROR('Raw Data'!O269 = ROUND('Raw Data'!O269, 2),FALSE)),"",_xlfn.REGEXEXTRACT(CELL("address",O269), "\$([A-Z]+)\$[0-9]+"))),_xlfn.REGEXEXTRACT(CELL("address",O269), "\$([A-Z]+)\$[0-9]+"))</f>
        <v/>
      </c>
      <c r="P269" s="7" t="str" cm="1">
        <f t="array" aca="1" ref="P269" ca="1">IFERROR(IF(OR('Raw Data'!P269="",LEN(TRIM('Raw Data'!P269))=0),"",IF(AND(ISNUMBER('Raw Data'!P269), IFERROR('Raw Data'!P269 = ROUND('Raw Data'!P269, 2),FALSE)),"",_xlfn.REGEXEXTRACT(CELL("address",P269), "\$([A-Z]+)\$[0-9]+"))),_xlfn.REGEXEXTRACT(CELL("address",P269), "\$([A-Z]+)\$[0-9]+"))</f>
        <v/>
      </c>
      <c r="Q269" s="7" t="str" cm="1">
        <f t="array" aca="1" ref="Q269" ca="1">IFERROR(IF(OR('Raw Data'!Q269="",LEN(TRIM('Raw Data'!Q269))=0),"",IF(AND(ISNUMBER('Raw Data'!Q269), IFERROR('Raw Data'!Q269 = ROUND('Raw Data'!Q269, 2),FALSE)),"",_xlfn.REGEXEXTRACT(CELL("address",Q269), "\$([A-Z]+)\$[0-9]+"))),_xlfn.REGEXEXTRACT(CELL("address",Q269), "\$([A-Z]+)\$[0-9]+"))</f>
        <v/>
      </c>
      <c r="R269" s="7" t="str" cm="1">
        <f t="array" aca="1" ref="R269" ca="1">IFERROR(IF(OR('Raw Data'!R269="",LEN(TRIM('Raw Data'!R269))=0),"",IF(AND(ISNUMBER('Raw Data'!R269), IFERROR('Raw Data'!R269 = ROUND('Raw Data'!R269, 2),FALSE)),"",_xlfn.REGEXEXTRACT(CELL("address",R269), "\$([A-Z]+)\$[0-9]+"))),_xlfn.REGEXEXTRACT(CELL("address",R269), "\$([A-Z]+)\$[0-9]+"))</f>
        <v/>
      </c>
      <c r="S269" s="7" t="str" cm="1">
        <f t="array" aca="1" ref="S269" ca="1">IFERROR(IF(OR('Raw Data'!S269="",LEN(TRIM('Raw Data'!S269))=0),"",IF(AND(ISNUMBER('Raw Data'!S269), IFERROR('Raw Data'!S269 = ROUND('Raw Data'!S269, 2),FALSE)),"",_xlfn.REGEXEXTRACT(CELL("address",S269), "\$([A-Z]+)\$[0-9]+"))),_xlfn.REGEXEXTRACT(CELL("address",S269), "\$([A-Z]+)\$[0-9]+"))</f>
        <v/>
      </c>
      <c r="T269" s="7" t="str" cm="1">
        <f t="array" aca="1" ref="T269" ca="1">IFERROR(IF(OR('Raw Data'!T269="",LEN(TRIM('Raw Data'!T269))=0),"",IF(AND(ISNUMBER('Raw Data'!T269), IFERROR('Raw Data'!T269 = ROUND('Raw Data'!T269, 2),FALSE)),"",_xlfn.REGEXEXTRACT(CELL("address",T269), "\$([A-Z]+)\$[0-9]+"))),_xlfn.REGEXEXTRACT(CELL("address",T269), "\$([A-Z]+)\$[0-9]+"))</f>
        <v/>
      </c>
      <c r="U269" s="7" t="str" cm="1">
        <f t="array" aca="1" ref="U269" ca="1">IFERROR(IF(OR('Raw Data'!U269="",LEN(TRIM('Raw Data'!U269))=0),"",IF(AND(ISNUMBER('Raw Data'!U269), IFERROR('Raw Data'!U269 = ROUND('Raw Data'!U269, 2),FALSE)),"",_xlfn.REGEXEXTRACT(CELL("address",U269), "\$([A-Z]+)\$[0-9]+"))),_xlfn.REGEXEXTRACT(CELL("address",U269), "\$([A-Z]+)\$[0-9]+"))</f>
        <v/>
      </c>
      <c r="V269" s="7" t="str" cm="1">
        <f t="array" aca="1" ref="V269" ca="1">IFERROR(IF(OR('Raw Data'!V269="",LEN(TRIM('Raw Data'!V269))=0),"",IF(AND(ISNUMBER('Raw Data'!V269), IFERROR('Raw Data'!V269 = ROUND('Raw Data'!V269, 2),FALSE)),"",_xlfn.REGEXEXTRACT(CELL("address",V269), "\$([A-Z]+)\$[0-9]+"))),_xlfn.REGEXEXTRACT(CELL("address",V269), "\$([A-Z]+)\$[0-9]+"))</f>
        <v/>
      </c>
      <c r="W269" s="7" t="str" cm="1">
        <f t="array" aca="1" ref="W269" ca="1">IFERROR(IF(OR('Raw Data'!W269="",LEN(TRIM('Raw Data'!W269))=0),"",IF(AND(ISNUMBER('Raw Data'!W269), IFERROR('Raw Data'!W269 = ROUND('Raw Data'!W269, 2),FALSE)),"",_xlfn.REGEXEXTRACT(CELL("address",W269), "\$([A-Z]+)\$[0-9]+"))),_xlfn.REGEXEXTRACT(CELL("address",W269), "\$([A-Z]+)\$[0-9]+"))</f>
        <v/>
      </c>
      <c r="X269" s="7" t="str" cm="1">
        <f t="array" aca="1" ref="X269" ca="1">IFERROR(IF(OR('Raw Data'!X269="",LEN(TRIM('Raw Data'!X269))=0),"",IF(AND(ISNUMBER('Raw Data'!X269), IFERROR('Raw Data'!X269 = ROUND('Raw Data'!X269, 2),FALSE)),"",_xlfn.REGEXEXTRACT(CELL("address",X269), "\$([A-Z]+)\$[0-9]+"))),_xlfn.REGEXEXTRACT(CELL("address",X269), "\$([A-Z]+)\$[0-9]+"))</f>
        <v/>
      </c>
      <c r="Y269" s="7" t="str" cm="1">
        <f t="array" aca="1" ref="Y269" ca="1">IFERROR(IF(OR('Raw Data'!Y269="",LEN(TRIM('Raw Data'!Y269))=0),"",IF(AND(ISNUMBER('Raw Data'!Y269), IFERROR('Raw Data'!Y269 = ROUND('Raw Data'!Y269, 2),FALSE)),"",_xlfn.REGEXEXTRACT(CELL("address",Y269), "\$([A-Z]+)\$[0-9]+"))),_xlfn.REGEXEXTRACT(CELL("address",Y269), "\$([A-Z]+)\$[0-9]+"))</f>
        <v/>
      </c>
      <c r="Z269" s="7" t="str" cm="1">
        <f t="array" aca="1" ref="Z269" ca="1">IFERROR(IF(OR('Raw Data'!Z269="",LEN(TRIM('Raw Data'!Z269))=0),"",IF(AND(ISNUMBER('Raw Data'!Z269), IFERROR('Raw Data'!Z269 = ROUND('Raw Data'!Z269, 2),FALSE)),"",_xlfn.REGEXEXTRACT(CELL("address",Z269), "\$([A-Z]+)\$[0-9]+"))),_xlfn.REGEXEXTRACT(CELL("address",Z269), "\$([A-Z]+)\$[0-9]+"))</f>
        <v/>
      </c>
      <c r="AA269" s="7" t="str" cm="1">
        <f t="array" aca="1" ref="AA269" ca="1">IFERROR(IF(OR('Raw Data'!AA269="",LEN(TRIM('Raw Data'!AA269))=0),"",IF(AND(ISNUMBER('Raw Data'!AA269), IFERROR('Raw Data'!AA269 = ROUND('Raw Data'!AA269, 2),FALSE)),"",_xlfn.REGEXEXTRACT(CELL("address",AA269), "\$([A-Z]+)\$[0-9]+"))),_xlfn.REGEXEXTRACT(CELL("address",AA269), "\$([A-Z]+)\$[0-9]+"))</f>
        <v/>
      </c>
      <c r="AB269" s="7" t="str" cm="1">
        <f t="array" aca="1" ref="AB269" ca="1">IFERROR(IF(OR('Raw Data'!AB269="",LEN(TRIM('Raw Data'!AB269))=0),"",IF(AND(ISNUMBER('Raw Data'!AB269), IFERROR('Raw Data'!AB269 = ROUND('Raw Data'!AB269, 2),FALSE)),"",_xlfn.REGEXEXTRACT(CELL("address",AB269), "\$([A-Z]+)\$[0-9]+"))),_xlfn.REGEXEXTRACT(CELL("address",AB269), "\$([A-Z]+)\$[0-9]+"))</f>
        <v/>
      </c>
    </row>
    <row r="270" spans="2:28" x14ac:dyDescent="0.25">
      <c r="B270" s="7" t="str" cm="1">
        <f t="array" aca="1" ref="B270" ca="1">IFERROR(IF(OR('Raw Data'!B270="",LEN(TRIM('Raw Data'!B270))=0),"",IF(AND(LEN('Raw Data'!B270) &lt;= 255,LEN('Raw Data'!B270)&gt; 0),"",_xlfn.REGEXEXTRACT(CELL("address",'Raw Data'!B270),"\$([A-Z]+)\$[0-9]+"))),_xlfn.REGEXEXTRACT(CELL("address",'Raw Data'!B270),"\$([A-Z]+)\$[0-9]+"))</f>
        <v/>
      </c>
      <c r="C270" s="7" t="str" cm="1">
        <f t="array" aca="1" ref="C270" ca="1">IFERROR(IF(OR('Raw Data'!C270="",LEN(TRIM('Raw Data'!C270))=0),"",IF(AND(LEN('Raw Data'!C270) &lt;= 20,LEN('Raw Data'!C270)&gt; 0),"",_xlfn.REGEXEXTRACT(CELL("address",'Raw Data'!C270),"\$([A-Z]+)\$[0-9]+"))),_xlfn.REGEXEXTRACT(CELL("address",'Raw Data'!C270),"\$([A-Z]+)\$[0-9]+"))</f>
        <v/>
      </c>
      <c r="D270" s="7" t="str" cm="1">
        <f t="array" aca="1" ref="D270" ca="1">IFERROR(IF(OR('Raw Data'!D270="",LEN(TRIM('Raw Data'!D270))=0),"",IF(AND(ISNUMBER('Raw Data'!D270),'Raw Data'!D270&gt;=Configuration!$D$2),"",_xlfn.REGEXEXTRACT(CELL("address",'Raw Data'!D270),"\$([A-Z]+)\$[0-9]+"))),_xlfn.REGEXEXTRACT(CELL("address",D270), "\$([A-Z]+)\$[0-9]+"))</f>
        <v/>
      </c>
      <c r="E270" s="7" t="str" cm="1">
        <f t="array" aca="1" ref="E270" ca="1">IFERROR(IF(OR('Raw Data'!E270="",LEN(TRIM('Raw Data'!E270))=0),"",IF(AND(ISNUMBER('Raw Data'!E270), IFERROR('Raw Data'!E270 = ROUND('Raw Data'!E270, 2),FALSE)),"",_xlfn.REGEXEXTRACT(CELL("address",E270), "\$([A-Z]+)\$[0-9]+"))),_xlfn.REGEXEXTRACT(CELL("address",E270), "\$([A-Z]+)\$[0-9]+"))</f>
        <v/>
      </c>
      <c r="F270" s="7" t="str" cm="1">
        <f t="array" aca="1" ref="F270" ca="1">IFERROR(IF(OR('Raw Data'!F270="",LEN(TRIM('Raw Data'!F270))=0),"",IF(AND(ISNUMBER('Raw Data'!F270), IFERROR('Raw Data'!F270 = ROUND('Raw Data'!F270, 2),FALSE)),"",_xlfn.REGEXEXTRACT(CELL("address",F270), "\$([A-Z]+)\$[0-9]+"))),_xlfn.REGEXEXTRACT(CELL("address",F270), "\$([A-Z]+)\$[0-9]+"))</f>
        <v/>
      </c>
      <c r="G270" s="7" t="str" cm="1">
        <f t="array" aca="1" ref="G270" ca="1">IFERROR(IF(OR('Raw Data'!G270="",LEN(TRIM('Raw Data'!G270))=0),"",IF(AND(ISNUMBER('Raw Data'!G270), IFERROR('Raw Data'!G270 = ROUND('Raw Data'!G270, 2),FALSE)),"",_xlfn.REGEXEXTRACT(CELL("address",G270), "\$([A-Z]+)\$[0-9]+"))),_xlfn.REGEXEXTRACT(CELL("address",G270), "\$([A-Z]+)\$[0-9]+"))</f>
        <v/>
      </c>
      <c r="H270" s="7" t="str" cm="1">
        <f t="array" aca="1" ref="H270" ca="1">IFERROR(IF(OR('Raw Data'!H270="",LEN(TRIM('Raw Data'!H270))=0),"",IF(AND(ISNUMBER('Raw Data'!H270), IFERROR('Raw Data'!H270 = ROUND('Raw Data'!H270, 2),FALSE)),"",_xlfn.REGEXEXTRACT(CELL("address",H270), "\$([A-Z]+)\$[0-9]+"))),_xlfn.REGEXEXTRACT(CELL("address",H270), "\$([A-Z]+)\$[0-9]+"))</f>
        <v/>
      </c>
      <c r="I270" s="7" t="str" cm="1">
        <f t="array" aca="1" ref="I270" ca="1">IFERROR(IF(OR('Raw Data'!I270="",LEN(TRIM('Raw Data'!I270))=0),"",IF(AND(ISNUMBER('Raw Data'!I270), IFERROR('Raw Data'!I270 = ROUND('Raw Data'!I270, 2),FALSE)),"",_xlfn.REGEXEXTRACT(CELL("address",I270), "\$([A-Z]+)\$[0-9]+"))),_xlfn.REGEXEXTRACT(CELL("address",I270), "\$([A-Z]+)\$[0-9]+"))</f>
        <v/>
      </c>
      <c r="J270" s="7" t="str" cm="1">
        <f t="array" aca="1" ref="J270" ca="1">IFERROR(IF(OR('Raw Data'!J270="",LEN(TRIM('Raw Data'!J270))=0),"",IF(AND(ISNUMBER('Raw Data'!J270), IFERROR('Raw Data'!J270 = ROUND('Raw Data'!J270, 2),FALSE)),"",_xlfn.REGEXEXTRACT(CELL("address",J270), "\$([A-Z]+)\$[0-9]+"))),_xlfn.REGEXEXTRACT(CELL("address",J270), "\$([A-Z]+)\$[0-9]+"))</f>
        <v/>
      </c>
      <c r="K270" s="7" t="str" cm="1">
        <f t="array" aca="1" ref="K270" ca="1">IFERROR(IF(OR('Raw Data'!K270="",LEN(TRIM('Raw Data'!K270))=0),"",IF(AND(ISNUMBER('Raw Data'!K270), IFERROR('Raw Data'!K270 = ROUND('Raw Data'!K270, 2),FALSE)),"",_xlfn.REGEXEXTRACT(CELL("address",K270), "\$([A-Z]+)\$[0-9]+"))),_xlfn.REGEXEXTRACT(CELL("address",K270), "\$([A-Z]+)\$[0-9]+"))</f>
        <v/>
      </c>
      <c r="L270" s="7" t="str" cm="1">
        <f t="array" aca="1" ref="L270" ca="1">IFERROR(IF(OR('Raw Data'!L270="",LEN(TRIM('Raw Data'!L270))=0),"",IF(AND(ISNUMBER('Raw Data'!L270), IFERROR('Raw Data'!L270 = ROUND('Raw Data'!L270, 2),FALSE)),"",_xlfn.REGEXEXTRACT(CELL("address",L270), "\$([A-Z]+)\$[0-9]+"))),_xlfn.REGEXEXTRACT(CELL("address",L270), "\$([A-Z]+)\$[0-9]+"))</f>
        <v/>
      </c>
      <c r="M270" s="7" t="str" cm="1">
        <f t="array" aca="1" ref="M270" ca="1">IFERROR(IF(OR('Raw Data'!M270="",LEN(TRIM('Raw Data'!M270))=0),"",IF(AND(ISNUMBER('Raw Data'!M270), IFERROR('Raw Data'!M270 = ROUND('Raw Data'!M270, 2),FALSE)),"",_xlfn.REGEXEXTRACT(CELL("address",M270), "\$([A-Z]+)\$[0-9]+"))),_xlfn.REGEXEXTRACT(CELL("address",M270), "\$([A-Z]+)\$[0-9]+"))</f>
        <v/>
      </c>
      <c r="N270" s="7" t="str" cm="1">
        <f t="array" aca="1" ref="N270" ca="1">IFERROR(IF(OR('Raw Data'!N270="",LEN(TRIM('Raw Data'!N270))=0),"",IF(AND(ISNUMBER('Raw Data'!N270), IFERROR('Raw Data'!N270 = ROUND('Raw Data'!N270, 2),FALSE)),"",_xlfn.REGEXEXTRACT(CELL("address",N270), "\$([A-Z]+)\$[0-9]+"))),_xlfn.REGEXEXTRACT(CELL("address",N270), "\$([A-Z]+)\$[0-9]+"))</f>
        <v/>
      </c>
      <c r="O270" s="7" t="str" cm="1">
        <f t="array" aca="1" ref="O270" ca="1">IFERROR(IF(OR('Raw Data'!O270="",LEN(TRIM('Raw Data'!O270))=0),"",IF(AND(ISNUMBER('Raw Data'!O270), IFERROR('Raw Data'!O270 = ROUND('Raw Data'!O270, 2),FALSE)),"",_xlfn.REGEXEXTRACT(CELL("address",O270), "\$([A-Z]+)\$[0-9]+"))),_xlfn.REGEXEXTRACT(CELL("address",O270), "\$([A-Z]+)\$[0-9]+"))</f>
        <v/>
      </c>
      <c r="P270" s="7" t="str" cm="1">
        <f t="array" aca="1" ref="P270" ca="1">IFERROR(IF(OR('Raw Data'!P270="",LEN(TRIM('Raw Data'!P270))=0),"",IF(AND(ISNUMBER('Raw Data'!P270), IFERROR('Raw Data'!P270 = ROUND('Raw Data'!P270, 2),FALSE)),"",_xlfn.REGEXEXTRACT(CELL("address",P270), "\$([A-Z]+)\$[0-9]+"))),_xlfn.REGEXEXTRACT(CELL("address",P270), "\$([A-Z]+)\$[0-9]+"))</f>
        <v/>
      </c>
      <c r="Q270" s="7" t="str" cm="1">
        <f t="array" aca="1" ref="Q270" ca="1">IFERROR(IF(OR('Raw Data'!Q270="",LEN(TRIM('Raw Data'!Q270))=0),"",IF(AND(ISNUMBER('Raw Data'!Q270), IFERROR('Raw Data'!Q270 = ROUND('Raw Data'!Q270, 2),FALSE)),"",_xlfn.REGEXEXTRACT(CELL("address",Q270), "\$([A-Z]+)\$[0-9]+"))),_xlfn.REGEXEXTRACT(CELL("address",Q270), "\$([A-Z]+)\$[0-9]+"))</f>
        <v/>
      </c>
      <c r="R270" s="7" t="str" cm="1">
        <f t="array" aca="1" ref="R270" ca="1">IFERROR(IF(OR('Raw Data'!R270="",LEN(TRIM('Raw Data'!R270))=0),"",IF(AND(ISNUMBER('Raw Data'!R270), IFERROR('Raw Data'!R270 = ROUND('Raw Data'!R270, 2),FALSE)),"",_xlfn.REGEXEXTRACT(CELL("address",R270), "\$([A-Z]+)\$[0-9]+"))),_xlfn.REGEXEXTRACT(CELL("address",R270), "\$([A-Z]+)\$[0-9]+"))</f>
        <v/>
      </c>
      <c r="S270" s="7" t="str" cm="1">
        <f t="array" aca="1" ref="S270" ca="1">IFERROR(IF(OR('Raw Data'!S270="",LEN(TRIM('Raw Data'!S270))=0),"",IF(AND(ISNUMBER('Raw Data'!S270), IFERROR('Raw Data'!S270 = ROUND('Raw Data'!S270, 2),FALSE)),"",_xlfn.REGEXEXTRACT(CELL("address",S270), "\$([A-Z]+)\$[0-9]+"))),_xlfn.REGEXEXTRACT(CELL("address",S270), "\$([A-Z]+)\$[0-9]+"))</f>
        <v/>
      </c>
      <c r="T270" s="7" t="str" cm="1">
        <f t="array" aca="1" ref="T270" ca="1">IFERROR(IF(OR('Raw Data'!T270="",LEN(TRIM('Raw Data'!T270))=0),"",IF(AND(ISNUMBER('Raw Data'!T270), IFERROR('Raw Data'!T270 = ROUND('Raw Data'!T270, 2),FALSE)),"",_xlfn.REGEXEXTRACT(CELL("address",T270), "\$([A-Z]+)\$[0-9]+"))),_xlfn.REGEXEXTRACT(CELL("address",T270), "\$([A-Z]+)\$[0-9]+"))</f>
        <v/>
      </c>
      <c r="U270" s="7" t="str" cm="1">
        <f t="array" aca="1" ref="U270" ca="1">IFERROR(IF(OR('Raw Data'!U270="",LEN(TRIM('Raw Data'!U270))=0),"",IF(AND(ISNUMBER('Raw Data'!U270), IFERROR('Raw Data'!U270 = ROUND('Raw Data'!U270, 2),FALSE)),"",_xlfn.REGEXEXTRACT(CELL("address",U270), "\$([A-Z]+)\$[0-9]+"))),_xlfn.REGEXEXTRACT(CELL("address",U270), "\$([A-Z]+)\$[0-9]+"))</f>
        <v/>
      </c>
      <c r="V270" s="7" t="str" cm="1">
        <f t="array" aca="1" ref="V270" ca="1">IFERROR(IF(OR('Raw Data'!V270="",LEN(TRIM('Raw Data'!V270))=0),"",IF(AND(ISNUMBER('Raw Data'!V270), IFERROR('Raw Data'!V270 = ROUND('Raw Data'!V270, 2),FALSE)),"",_xlfn.REGEXEXTRACT(CELL("address",V270), "\$([A-Z]+)\$[0-9]+"))),_xlfn.REGEXEXTRACT(CELL("address",V270), "\$([A-Z]+)\$[0-9]+"))</f>
        <v/>
      </c>
      <c r="W270" s="7" t="str" cm="1">
        <f t="array" aca="1" ref="W270" ca="1">IFERROR(IF(OR('Raw Data'!W270="",LEN(TRIM('Raw Data'!W270))=0),"",IF(AND(ISNUMBER('Raw Data'!W270), IFERROR('Raw Data'!W270 = ROUND('Raw Data'!W270, 2),FALSE)),"",_xlfn.REGEXEXTRACT(CELL("address",W270), "\$([A-Z]+)\$[0-9]+"))),_xlfn.REGEXEXTRACT(CELL("address",W270), "\$([A-Z]+)\$[0-9]+"))</f>
        <v/>
      </c>
      <c r="X270" s="7" t="str" cm="1">
        <f t="array" aca="1" ref="X270" ca="1">IFERROR(IF(OR('Raw Data'!X270="",LEN(TRIM('Raw Data'!X270))=0),"",IF(AND(ISNUMBER('Raw Data'!X270), IFERROR('Raw Data'!X270 = ROUND('Raw Data'!X270, 2),FALSE)),"",_xlfn.REGEXEXTRACT(CELL("address",X270), "\$([A-Z]+)\$[0-9]+"))),_xlfn.REGEXEXTRACT(CELL("address",X270), "\$([A-Z]+)\$[0-9]+"))</f>
        <v/>
      </c>
      <c r="Y270" s="7" t="str" cm="1">
        <f t="array" aca="1" ref="Y270" ca="1">IFERROR(IF(OR('Raw Data'!Y270="",LEN(TRIM('Raw Data'!Y270))=0),"",IF(AND(ISNUMBER('Raw Data'!Y270), IFERROR('Raw Data'!Y270 = ROUND('Raw Data'!Y270, 2),FALSE)),"",_xlfn.REGEXEXTRACT(CELL("address",Y270), "\$([A-Z]+)\$[0-9]+"))),_xlfn.REGEXEXTRACT(CELL("address",Y270), "\$([A-Z]+)\$[0-9]+"))</f>
        <v/>
      </c>
      <c r="Z270" s="7" t="str" cm="1">
        <f t="array" aca="1" ref="Z270" ca="1">IFERROR(IF(OR('Raw Data'!Z270="",LEN(TRIM('Raw Data'!Z270))=0),"",IF(AND(ISNUMBER('Raw Data'!Z270), IFERROR('Raw Data'!Z270 = ROUND('Raw Data'!Z270, 2),FALSE)),"",_xlfn.REGEXEXTRACT(CELL("address",Z270), "\$([A-Z]+)\$[0-9]+"))),_xlfn.REGEXEXTRACT(CELL("address",Z270), "\$([A-Z]+)\$[0-9]+"))</f>
        <v/>
      </c>
      <c r="AA270" s="7" t="str" cm="1">
        <f t="array" aca="1" ref="AA270" ca="1">IFERROR(IF(OR('Raw Data'!AA270="",LEN(TRIM('Raw Data'!AA270))=0),"",IF(AND(ISNUMBER('Raw Data'!AA270), IFERROR('Raw Data'!AA270 = ROUND('Raw Data'!AA270, 2),FALSE)),"",_xlfn.REGEXEXTRACT(CELL("address",AA270), "\$([A-Z]+)\$[0-9]+"))),_xlfn.REGEXEXTRACT(CELL("address",AA270), "\$([A-Z]+)\$[0-9]+"))</f>
        <v/>
      </c>
      <c r="AB270" s="7" t="str" cm="1">
        <f t="array" aca="1" ref="AB270" ca="1">IFERROR(IF(OR('Raw Data'!AB270="",LEN(TRIM('Raw Data'!AB270))=0),"",IF(AND(ISNUMBER('Raw Data'!AB270), IFERROR('Raw Data'!AB270 = ROUND('Raw Data'!AB270, 2),FALSE)),"",_xlfn.REGEXEXTRACT(CELL("address",AB270), "\$([A-Z]+)\$[0-9]+"))),_xlfn.REGEXEXTRACT(CELL("address",AB270), "\$([A-Z]+)\$[0-9]+"))</f>
        <v/>
      </c>
    </row>
    <row r="271" spans="2:28" x14ac:dyDescent="0.25">
      <c r="B271" s="7" t="str" cm="1">
        <f t="array" aca="1" ref="B271" ca="1">IFERROR(IF(OR('Raw Data'!B271="",LEN(TRIM('Raw Data'!B271))=0),"",IF(AND(LEN('Raw Data'!B271) &lt;= 255,LEN('Raw Data'!B271)&gt; 0),"",_xlfn.REGEXEXTRACT(CELL("address",'Raw Data'!B271),"\$([A-Z]+)\$[0-9]+"))),_xlfn.REGEXEXTRACT(CELL("address",'Raw Data'!B271),"\$([A-Z]+)\$[0-9]+"))</f>
        <v/>
      </c>
      <c r="C271" s="7" t="str" cm="1">
        <f t="array" aca="1" ref="C271" ca="1">IFERROR(IF(OR('Raw Data'!C271="",LEN(TRIM('Raw Data'!C271))=0),"",IF(AND(LEN('Raw Data'!C271) &lt;= 20,LEN('Raw Data'!C271)&gt; 0),"",_xlfn.REGEXEXTRACT(CELL("address",'Raw Data'!C271),"\$([A-Z]+)\$[0-9]+"))),_xlfn.REGEXEXTRACT(CELL("address",'Raw Data'!C271),"\$([A-Z]+)\$[0-9]+"))</f>
        <v/>
      </c>
      <c r="D271" s="7" t="str" cm="1">
        <f t="array" aca="1" ref="D271" ca="1">IFERROR(IF(OR('Raw Data'!D271="",LEN(TRIM('Raw Data'!D271))=0),"",IF(AND(ISNUMBER('Raw Data'!D271),'Raw Data'!D271&gt;=Configuration!$D$2),"",_xlfn.REGEXEXTRACT(CELL("address",'Raw Data'!D271),"\$([A-Z]+)\$[0-9]+"))),_xlfn.REGEXEXTRACT(CELL("address",D271), "\$([A-Z]+)\$[0-9]+"))</f>
        <v/>
      </c>
      <c r="E271" s="7" t="str" cm="1">
        <f t="array" aca="1" ref="E271" ca="1">IFERROR(IF(OR('Raw Data'!E271="",LEN(TRIM('Raw Data'!E271))=0),"",IF(AND(ISNUMBER('Raw Data'!E271), IFERROR('Raw Data'!E271 = ROUND('Raw Data'!E271, 2),FALSE)),"",_xlfn.REGEXEXTRACT(CELL("address",E271), "\$([A-Z]+)\$[0-9]+"))),_xlfn.REGEXEXTRACT(CELL("address",E271), "\$([A-Z]+)\$[0-9]+"))</f>
        <v/>
      </c>
      <c r="F271" s="7" t="str" cm="1">
        <f t="array" aca="1" ref="F271" ca="1">IFERROR(IF(OR('Raw Data'!F271="",LEN(TRIM('Raw Data'!F271))=0),"",IF(AND(ISNUMBER('Raw Data'!F271), IFERROR('Raw Data'!F271 = ROUND('Raw Data'!F271, 2),FALSE)),"",_xlfn.REGEXEXTRACT(CELL("address",F271), "\$([A-Z]+)\$[0-9]+"))),_xlfn.REGEXEXTRACT(CELL("address",F271), "\$([A-Z]+)\$[0-9]+"))</f>
        <v/>
      </c>
      <c r="G271" s="7" t="str" cm="1">
        <f t="array" aca="1" ref="G271" ca="1">IFERROR(IF(OR('Raw Data'!G271="",LEN(TRIM('Raw Data'!G271))=0),"",IF(AND(ISNUMBER('Raw Data'!G271), IFERROR('Raw Data'!G271 = ROUND('Raw Data'!G271, 2),FALSE)),"",_xlfn.REGEXEXTRACT(CELL("address",G271), "\$([A-Z]+)\$[0-9]+"))),_xlfn.REGEXEXTRACT(CELL("address",G271), "\$([A-Z]+)\$[0-9]+"))</f>
        <v/>
      </c>
      <c r="H271" s="7" t="str" cm="1">
        <f t="array" aca="1" ref="H271" ca="1">IFERROR(IF(OR('Raw Data'!H271="",LEN(TRIM('Raw Data'!H271))=0),"",IF(AND(ISNUMBER('Raw Data'!H271), IFERROR('Raw Data'!H271 = ROUND('Raw Data'!H271, 2),FALSE)),"",_xlfn.REGEXEXTRACT(CELL("address",H271), "\$([A-Z]+)\$[0-9]+"))),_xlfn.REGEXEXTRACT(CELL("address",H271), "\$([A-Z]+)\$[0-9]+"))</f>
        <v/>
      </c>
      <c r="I271" s="7" t="str" cm="1">
        <f t="array" aca="1" ref="I271" ca="1">IFERROR(IF(OR('Raw Data'!I271="",LEN(TRIM('Raw Data'!I271))=0),"",IF(AND(ISNUMBER('Raw Data'!I271), IFERROR('Raw Data'!I271 = ROUND('Raw Data'!I271, 2),FALSE)),"",_xlfn.REGEXEXTRACT(CELL("address",I271), "\$([A-Z]+)\$[0-9]+"))),_xlfn.REGEXEXTRACT(CELL("address",I271), "\$([A-Z]+)\$[0-9]+"))</f>
        <v/>
      </c>
      <c r="J271" s="7" t="str" cm="1">
        <f t="array" aca="1" ref="J271" ca="1">IFERROR(IF(OR('Raw Data'!J271="",LEN(TRIM('Raw Data'!J271))=0),"",IF(AND(ISNUMBER('Raw Data'!J271), IFERROR('Raw Data'!J271 = ROUND('Raw Data'!J271, 2),FALSE)),"",_xlfn.REGEXEXTRACT(CELL("address",J271), "\$([A-Z]+)\$[0-9]+"))),_xlfn.REGEXEXTRACT(CELL("address",J271), "\$([A-Z]+)\$[0-9]+"))</f>
        <v/>
      </c>
      <c r="K271" s="7" t="str" cm="1">
        <f t="array" aca="1" ref="K271" ca="1">IFERROR(IF(OR('Raw Data'!K271="",LEN(TRIM('Raw Data'!K271))=0),"",IF(AND(ISNUMBER('Raw Data'!K271), IFERROR('Raw Data'!K271 = ROUND('Raw Data'!K271, 2),FALSE)),"",_xlfn.REGEXEXTRACT(CELL("address",K271), "\$([A-Z]+)\$[0-9]+"))),_xlfn.REGEXEXTRACT(CELL("address",K271), "\$([A-Z]+)\$[0-9]+"))</f>
        <v/>
      </c>
      <c r="L271" s="7" t="str" cm="1">
        <f t="array" aca="1" ref="L271" ca="1">IFERROR(IF(OR('Raw Data'!L271="",LEN(TRIM('Raw Data'!L271))=0),"",IF(AND(ISNUMBER('Raw Data'!L271), IFERROR('Raw Data'!L271 = ROUND('Raw Data'!L271, 2),FALSE)),"",_xlfn.REGEXEXTRACT(CELL("address",L271), "\$([A-Z]+)\$[0-9]+"))),_xlfn.REGEXEXTRACT(CELL("address",L271), "\$([A-Z]+)\$[0-9]+"))</f>
        <v/>
      </c>
      <c r="M271" s="7" t="str" cm="1">
        <f t="array" aca="1" ref="M271" ca="1">IFERROR(IF(OR('Raw Data'!M271="",LEN(TRIM('Raw Data'!M271))=0),"",IF(AND(ISNUMBER('Raw Data'!M271), IFERROR('Raw Data'!M271 = ROUND('Raw Data'!M271, 2),FALSE)),"",_xlfn.REGEXEXTRACT(CELL("address",M271), "\$([A-Z]+)\$[0-9]+"))),_xlfn.REGEXEXTRACT(CELL("address",M271), "\$([A-Z]+)\$[0-9]+"))</f>
        <v/>
      </c>
      <c r="N271" s="7" t="str" cm="1">
        <f t="array" aca="1" ref="N271" ca="1">IFERROR(IF(OR('Raw Data'!N271="",LEN(TRIM('Raw Data'!N271))=0),"",IF(AND(ISNUMBER('Raw Data'!N271), IFERROR('Raw Data'!N271 = ROUND('Raw Data'!N271, 2),FALSE)),"",_xlfn.REGEXEXTRACT(CELL("address",N271), "\$([A-Z]+)\$[0-9]+"))),_xlfn.REGEXEXTRACT(CELL("address",N271), "\$([A-Z]+)\$[0-9]+"))</f>
        <v/>
      </c>
      <c r="O271" s="7" t="str" cm="1">
        <f t="array" aca="1" ref="O271" ca="1">IFERROR(IF(OR('Raw Data'!O271="",LEN(TRIM('Raw Data'!O271))=0),"",IF(AND(ISNUMBER('Raw Data'!O271), IFERROR('Raw Data'!O271 = ROUND('Raw Data'!O271, 2),FALSE)),"",_xlfn.REGEXEXTRACT(CELL("address",O271), "\$([A-Z]+)\$[0-9]+"))),_xlfn.REGEXEXTRACT(CELL("address",O271), "\$([A-Z]+)\$[0-9]+"))</f>
        <v/>
      </c>
      <c r="P271" s="7" t="str" cm="1">
        <f t="array" aca="1" ref="P271" ca="1">IFERROR(IF(OR('Raw Data'!P271="",LEN(TRIM('Raw Data'!P271))=0),"",IF(AND(ISNUMBER('Raw Data'!P271), IFERROR('Raw Data'!P271 = ROUND('Raw Data'!P271, 2),FALSE)),"",_xlfn.REGEXEXTRACT(CELL("address",P271), "\$([A-Z]+)\$[0-9]+"))),_xlfn.REGEXEXTRACT(CELL("address",P271), "\$([A-Z]+)\$[0-9]+"))</f>
        <v/>
      </c>
      <c r="Q271" s="7" t="str" cm="1">
        <f t="array" aca="1" ref="Q271" ca="1">IFERROR(IF(OR('Raw Data'!Q271="",LEN(TRIM('Raw Data'!Q271))=0),"",IF(AND(ISNUMBER('Raw Data'!Q271), IFERROR('Raw Data'!Q271 = ROUND('Raw Data'!Q271, 2),FALSE)),"",_xlfn.REGEXEXTRACT(CELL("address",Q271), "\$([A-Z]+)\$[0-9]+"))),_xlfn.REGEXEXTRACT(CELL("address",Q271), "\$([A-Z]+)\$[0-9]+"))</f>
        <v/>
      </c>
      <c r="R271" s="7" t="str" cm="1">
        <f t="array" aca="1" ref="R271" ca="1">IFERROR(IF(OR('Raw Data'!R271="",LEN(TRIM('Raw Data'!R271))=0),"",IF(AND(ISNUMBER('Raw Data'!R271), IFERROR('Raw Data'!R271 = ROUND('Raw Data'!R271, 2),FALSE)),"",_xlfn.REGEXEXTRACT(CELL("address",R271), "\$([A-Z]+)\$[0-9]+"))),_xlfn.REGEXEXTRACT(CELL("address",R271), "\$([A-Z]+)\$[0-9]+"))</f>
        <v/>
      </c>
      <c r="S271" s="7" t="str" cm="1">
        <f t="array" aca="1" ref="S271" ca="1">IFERROR(IF(OR('Raw Data'!S271="",LEN(TRIM('Raw Data'!S271))=0),"",IF(AND(ISNUMBER('Raw Data'!S271), IFERROR('Raw Data'!S271 = ROUND('Raw Data'!S271, 2),FALSE)),"",_xlfn.REGEXEXTRACT(CELL("address",S271), "\$([A-Z]+)\$[0-9]+"))),_xlfn.REGEXEXTRACT(CELL("address",S271), "\$([A-Z]+)\$[0-9]+"))</f>
        <v/>
      </c>
      <c r="T271" s="7" t="str" cm="1">
        <f t="array" aca="1" ref="T271" ca="1">IFERROR(IF(OR('Raw Data'!T271="",LEN(TRIM('Raw Data'!T271))=0),"",IF(AND(ISNUMBER('Raw Data'!T271), IFERROR('Raw Data'!T271 = ROUND('Raw Data'!T271, 2),FALSE)),"",_xlfn.REGEXEXTRACT(CELL("address",T271), "\$([A-Z]+)\$[0-9]+"))),_xlfn.REGEXEXTRACT(CELL("address",T271), "\$([A-Z]+)\$[0-9]+"))</f>
        <v/>
      </c>
      <c r="U271" s="7" t="str" cm="1">
        <f t="array" aca="1" ref="U271" ca="1">IFERROR(IF(OR('Raw Data'!U271="",LEN(TRIM('Raw Data'!U271))=0),"",IF(AND(ISNUMBER('Raw Data'!U271), IFERROR('Raw Data'!U271 = ROUND('Raw Data'!U271, 2),FALSE)),"",_xlfn.REGEXEXTRACT(CELL("address",U271), "\$([A-Z]+)\$[0-9]+"))),_xlfn.REGEXEXTRACT(CELL("address",U271), "\$([A-Z]+)\$[0-9]+"))</f>
        <v/>
      </c>
      <c r="V271" s="7" t="str" cm="1">
        <f t="array" aca="1" ref="V271" ca="1">IFERROR(IF(OR('Raw Data'!V271="",LEN(TRIM('Raw Data'!V271))=0),"",IF(AND(ISNUMBER('Raw Data'!V271), IFERROR('Raw Data'!V271 = ROUND('Raw Data'!V271, 2),FALSE)),"",_xlfn.REGEXEXTRACT(CELL("address",V271), "\$([A-Z]+)\$[0-9]+"))),_xlfn.REGEXEXTRACT(CELL("address",V271), "\$([A-Z]+)\$[0-9]+"))</f>
        <v/>
      </c>
      <c r="W271" s="7" t="str" cm="1">
        <f t="array" aca="1" ref="W271" ca="1">IFERROR(IF(OR('Raw Data'!W271="",LEN(TRIM('Raw Data'!W271))=0),"",IF(AND(ISNUMBER('Raw Data'!W271), IFERROR('Raw Data'!W271 = ROUND('Raw Data'!W271, 2),FALSE)),"",_xlfn.REGEXEXTRACT(CELL("address",W271), "\$([A-Z]+)\$[0-9]+"))),_xlfn.REGEXEXTRACT(CELL("address",W271), "\$([A-Z]+)\$[0-9]+"))</f>
        <v/>
      </c>
      <c r="X271" s="7" t="str" cm="1">
        <f t="array" aca="1" ref="X271" ca="1">IFERROR(IF(OR('Raw Data'!X271="",LEN(TRIM('Raw Data'!X271))=0),"",IF(AND(ISNUMBER('Raw Data'!X271), IFERROR('Raw Data'!X271 = ROUND('Raw Data'!X271, 2),FALSE)),"",_xlfn.REGEXEXTRACT(CELL("address",X271), "\$([A-Z]+)\$[0-9]+"))),_xlfn.REGEXEXTRACT(CELL("address",X271), "\$([A-Z]+)\$[0-9]+"))</f>
        <v/>
      </c>
      <c r="Y271" s="7" t="str" cm="1">
        <f t="array" aca="1" ref="Y271" ca="1">IFERROR(IF(OR('Raw Data'!Y271="",LEN(TRIM('Raw Data'!Y271))=0),"",IF(AND(ISNUMBER('Raw Data'!Y271), IFERROR('Raw Data'!Y271 = ROUND('Raw Data'!Y271, 2),FALSE)),"",_xlfn.REGEXEXTRACT(CELL("address",Y271), "\$([A-Z]+)\$[0-9]+"))),_xlfn.REGEXEXTRACT(CELL("address",Y271), "\$([A-Z]+)\$[0-9]+"))</f>
        <v/>
      </c>
      <c r="Z271" s="7" t="str" cm="1">
        <f t="array" aca="1" ref="Z271" ca="1">IFERROR(IF(OR('Raw Data'!Z271="",LEN(TRIM('Raw Data'!Z271))=0),"",IF(AND(ISNUMBER('Raw Data'!Z271), IFERROR('Raw Data'!Z271 = ROUND('Raw Data'!Z271, 2),FALSE)),"",_xlfn.REGEXEXTRACT(CELL("address",Z271), "\$([A-Z]+)\$[0-9]+"))),_xlfn.REGEXEXTRACT(CELL("address",Z271), "\$([A-Z]+)\$[0-9]+"))</f>
        <v/>
      </c>
      <c r="AA271" s="7" t="str" cm="1">
        <f t="array" aca="1" ref="AA271" ca="1">IFERROR(IF(OR('Raw Data'!AA271="",LEN(TRIM('Raw Data'!AA271))=0),"",IF(AND(ISNUMBER('Raw Data'!AA271), IFERROR('Raw Data'!AA271 = ROUND('Raw Data'!AA271, 2),FALSE)),"",_xlfn.REGEXEXTRACT(CELL("address",AA271), "\$([A-Z]+)\$[0-9]+"))),_xlfn.REGEXEXTRACT(CELL("address",AA271), "\$([A-Z]+)\$[0-9]+"))</f>
        <v/>
      </c>
      <c r="AB271" s="7" t="str" cm="1">
        <f t="array" aca="1" ref="AB271" ca="1">IFERROR(IF(OR('Raw Data'!AB271="",LEN(TRIM('Raw Data'!AB271))=0),"",IF(AND(ISNUMBER('Raw Data'!AB271), IFERROR('Raw Data'!AB271 = ROUND('Raw Data'!AB271, 2),FALSE)),"",_xlfn.REGEXEXTRACT(CELL("address",AB271), "\$([A-Z]+)\$[0-9]+"))),_xlfn.REGEXEXTRACT(CELL("address",AB271), "\$([A-Z]+)\$[0-9]+"))</f>
        <v/>
      </c>
    </row>
    <row r="272" spans="2:28" x14ac:dyDescent="0.25">
      <c r="B272" s="7" t="str" cm="1">
        <f t="array" aca="1" ref="B272" ca="1">IFERROR(IF(OR('Raw Data'!B272="",LEN(TRIM('Raw Data'!B272))=0),"",IF(AND(LEN('Raw Data'!B272) &lt;= 255,LEN('Raw Data'!B272)&gt; 0),"",_xlfn.REGEXEXTRACT(CELL("address",'Raw Data'!B272),"\$([A-Z]+)\$[0-9]+"))),_xlfn.REGEXEXTRACT(CELL("address",'Raw Data'!B272),"\$([A-Z]+)\$[0-9]+"))</f>
        <v/>
      </c>
      <c r="C272" s="7" t="str" cm="1">
        <f t="array" aca="1" ref="C272" ca="1">IFERROR(IF(OR('Raw Data'!C272="",LEN(TRIM('Raw Data'!C272))=0),"",IF(AND(LEN('Raw Data'!C272) &lt;= 20,LEN('Raw Data'!C272)&gt; 0),"",_xlfn.REGEXEXTRACT(CELL("address",'Raw Data'!C272),"\$([A-Z]+)\$[0-9]+"))),_xlfn.REGEXEXTRACT(CELL("address",'Raw Data'!C272),"\$([A-Z]+)\$[0-9]+"))</f>
        <v/>
      </c>
      <c r="D272" s="7" t="str" cm="1">
        <f t="array" aca="1" ref="D272" ca="1">IFERROR(IF(OR('Raw Data'!D272="",LEN(TRIM('Raw Data'!D272))=0),"",IF(AND(ISNUMBER('Raw Data'!D272),'Raw Data'!D272&gt;=Configuration!$D$2),"",_xlfn.REGEXEXTRACT(CELL("address",'Raw Data'!D272),"\$([A-Z]+)\$[0-9]+"))),_xlfn.REGEXEXTRACT(CELL("address",D272), "\$([A-Z]+)\$[0-9]+"))</f>
        <v/>
      </c>
      <c r="E272" s="7" t="str" cm="1">
        <f t="array" aca="1" ref="E272" ca="1">IFERROR(IF(OR('Raw Data'!E272="",LEN(TRIM('Raw Data'!E272))=0),"",IF(AND(ISNUMBER('Raw Data'!E272), IFERROR('Raw Data'!E272 = ROUND('Raw Data'!E272, 2),FALSE)),"",_xlfn.REGEXEXTRACT(CELL("address",E272), "\$([A-Z]+)\$[0-9]+"))),_xlfn.REGEXEXTRACT(CELL("address",E272), "\$([A-Z]+)\$[0-9]+"))</f>
        <v/>
      </c>
      <c r="F272" s="7" t="str" cm="1">
        <f t="array" aca="1" ref="F272" ca="1">IFERROR(IF(OR('Raw Data'!F272="",LEN(TRIM('Raw Data'!F272))=0),"",IF(AND(ISNUMBER('Raw Data'!F272), IFERROR('Raw Data'!F272 = ROUND('Raw Data'!F272, 2),FALSE)),"",_xlfn.REGEXEXTRACT(CELL("address",F272), "\$([A-Z]+)\$[0-9]+"))),_xlfn.REGEXEXTRACT(CELL("address",F272), "\$([A-Z]+)\$[0-9]+"))</f>
        <v/>
      </c>
      <c r="G272" s="7" t="str" cm="1">
        <f t="array" aca="1" ref="G272" ca="1">IFERROR(IF(OR('Raw Data'!G272="",LEN(TRIM('Raw Data'!G272))=0),"",IF(AND(ISNUMBER('Raw Data'!G272), IFERROR('Raw Data'!G272 = ROUND('Raw Data'!G272, 2),FALSE)),"",_xlfn.REGEXEXTRACT(CELL("address",G272), "\$([A-Z]+)\$[0-9]+"))),_xlfn.REGEXEXTRACT(CELL("address",G272), "\$([A-Z]+)\$[0-9]+"))</f>
        <v/>
      </c>
      <c r="H272" s="7" t="str" cm="1">
        <f t="array" aca="1" ref="H272" ca="1">IFERROR(IF(OR('Raw Data'!H272="",LEN(TRIM('Raw Data'!H272))=0),"",IF(AND(ISNUMBER('Raw Data'!H272), IFERROR('Raw Data'!H272 = ROUND('Raw Data'!H272, 2),FALSE)),"",_xlfn.REGEXEXTRACT(CELL("address",H272), "\$([A-Z]+)\$[0-9]+"))),_xlfn.REGEXEXTRACT(CELL("address",H272), "\$([A-Z]+)\$[0-9]+"))</f>
        <v/>
      </c>
      <c r="I272" s="7" t="str" cm="1">
        <f t="array" aca="1" ref="I272" ca="1">IFERROR(IF(OR('Raw Data'!I272="",LEN(TRIM('Raw Data'!I272))=0),"",IF(AND(ISNUMBER('Raw Data'!I272), IFERROR('Raw Data'!I272 = ROUND('Raw Data'!I272, 2),FALSE)),"",_xlfn.REGEXEXTRACT(CELL("address",I272), "\$([A-Z]+)\$[0-9]+"))),_xlfn.REGEXEXTRACT(CELL("address",I272), "\$([A-Z]+)\$[0-9]+"))</f>
        <v/>
      </c>
      <c r="J272" s="7" t="str" cm="1">
        <f t="array" aca="1" ref="J272" ca="1">IFERROR(IF(OR('Raw Data'!J272="",LEN(TRIM('Raw Data'!J272))=0),"",IF(AND(ISNUMBER('Raw Data'!J272), IFERROR('Raw Data'!J272 = ROUND('Raw Data'!J272, 2),FALSE)),"",_xlfn.REGEXEXTRACT(CELL("address",J272), "\$([A-Z]+)\$[0-9]+"))),_xlfn.REGEXEXTRACT(CELL("address",J272), "\$([A-Z]+)\$[0-9]+"))</f>
        <v/>
      </c>
      <c r="K272" s="7" t="str" cm="1">
        <f t="array" aca="1" ref="K272" ca="1">IFERROR(IF(OR('Raw Data'!K272="",LEN(TRIM('Raw Data'!K272))=0),"",IF(AND(ISNUMBER('Raw Data'!K272), IFERROR('Raw Data'!K272 = ROUND('Raw Data'!K272, 2),FALSE)),"",_xlfn.REGEXEXTRACT(CELL("address",K272), "\$([A-Z]+)\$[0-9]+"))),_xlfn.REGEXEXTRACT(CELL("address",K272), "\$([A-Z]+)\$[0-9]+"))</f>
        <v/>
      </c>
      <c r="L272" s="7" t="str" cm="1">
        <f t="array" aca="1" ref="L272" ca="1">IFERROR(IF(OR('Raw Data'!L272="",LEN(TRIM('Raw Data'!L272))=0),"",IF(AND(ISNUMBER('Raw Data'!L272), IFERROR('Raw Data'!L272 = ROUND('Raw Data'!L272, 2),FALSE)),"",_xlfn.REGEXEXTRACT(CELL("address",L272), "\$([A-Z]+)\$[0-9]+"))),_xlfn.REGEXEXTRACT(CELL("address",L272), "\$([A-Z]+)\$[0-9]+"))</f>
        <v/>
      </c>
      <c r="M272" s="7" t="str" cm="1">
        <f t="array" aca="1" ref="M272" ca="1">IFERROR(IF(OR('Raw Data'!M272="",LEN(TRIM('Raw Data'!M272))=0),"",IF(AND(ISNUMBER('Raw Data'!M272), IFERROR('Raw Data'!M272 = ROUND('Raw Data'!M272, 2),FALSE)),"",_xlfn.REGEXEXTRACT(CELL("address",M272), "\$([A-Z]+)\$[0-9]+"))),_xlfn.REGEXEXTRACT(CELL("address",M272), "\$([A-Z]+)\$[0-9]+"))</f>
        <v/>
      </c>
      <c r="N272" s="7" t="str" cm="1">
        <f t="array" aca="1" ref="N272" ca="1">IFERROR(IF(OR('Raw Data'!N272="",LEN(TRIM('Raw Data'!N272))=0),"",IF(AND(ISNUMBER('Raw Data'!N272), IFERROR('Raw Data'!N272 = ROUND('Raw Data'!N272, 2),FALSE)),"",_xlfn.REGEXEXTRACT(CELL("address",N272), "\$([A-Z]+)\$[0-9]+"))),_xlfn.REGEXEXTRACT(CELL("address",N272), "\$([A-Z]+)\$[0-9]+"))</f>
        <v/>
      </c>
      <c r="O272" s="7" t="str" cm="1">
        <f t="array" aca="1" ref="O272" ca="1">IFERROR(IF(OR('Raw Data'!O272="",LEN(TRIM('Raw Data'!O272))=0),"",IF(AND(ISNUMBER('Raw Data'!O272), IFERROR('Raw Data'!O272 = ROUND('Raw Data'!O272, 2),FALSE)),"",_xlfn.REGEXEXTRACT(CELL("address",O272), "\$([A-Z]+)\$[0-9]+"))),_xlfn.REGEXEXTRACT(CELL("address",O272), "\$([A-Z]+)\$[0-9]+"))</f>
        <v/>
      </c>
      <c r="P272" s="7" t="str" cm="1">
        <f t="array" aca="1" ref="P272" ca="1">IFERROR(IF(OR('Raw Data'!P272="",LEN(TRIM('Raw Data'!P272))=0),"",IF(AND(ISNUMBER('Raw Data'!P272), IFERROR('Raw Data'!P272 = ROUND('Raw Data'!P272, 2),FALSE)),"",_xlfn.REGEXEXTRACT(CELL("address",P272), "\$([A-Z]+)\$[0-9]+"))),_xlfn.REGEXEXTRACT(CELL("address",P272), "\$([A-Z]+)\$[0-9]+"))</f>
        <v/>
      </c>
      <c r="Q272" s="7" t="str" cm="1">
        <f t="array" aca="1" ref="Q272" ca="1">IFERROR(IF(OR('Raw Data'!Q272="",LEN(TRIM('Raw Data'!Q272))=0),"",IF(AND(ISNUMBER('Raw Data'!Q272), IFERROR('Raw Data'!Q272 = ROUND('Raw Data'!Q272, 2),FALSE)),"",_xlfn.REGEXEXTRACT(CELL("address",Q272), "\$([A-Z]+)\$[0-9]+"))),_xlfn.REGEXEXTRACT(CELL("address",Q272), "\$([A-Z]+)\$[0-9]+"))</f>
        <v/>
      </c>
      <c r="R272" s="7" t="str" cm="1">
        <f t="array" aca="1" ref="R272" ca="1">IFERROR(IF(OR('Raw Data'!R272="",LEN(TRIM('Raw Data'!R272))=0),"",IF(AND(ISNUMBER('Raw Data'!R272), IFERROR('Raw Data'!R272 = ROUND('Raw Data'!R272, 2),FALSE)),"",_xlfn.REGEXEXTRACT(CELL("address",R272), "\$([A-Z]+)\$[0-9]+"))),_xlfn.REGEXEXTRACT(CELL("address",R272), "\$([A-Z]+)\$[0-9]+"))</f>
        <v/>
      </c>
      <c r="S272" s="7" t="str" cm="1">
        <f t="array" aca="1" ref="S272" ca="1">IFERROR(IF(OR('Raw Data'!S272="",LEN(TRIM('Raw Data'!S272))=0),"",IF(AND(ISNUMBER('Raw Data'!S272), IFERROR('Raw Data'!S272 = ROUND('Raw Data'!S272, 2),FALSE)),"",_xlfn.REGEXEXTRACT(CELL("address",S272), "\$([A-Z]+)\$[0-9]+"))),_xlfn.REGEXEXTRACT(CELL("address",S272), "\$([A-Z]+)\$[0-9]+"))</f>
        <v/>
      </c>
      <c r="T272" s="7" t="str" cm="1">
        <f t="array" aca="1" ref="T272" ca="1">IFERROR(IF(OR('Raw Data'!T272="",LEN(TRIM('Raw Data'!T272))=0),"",IF(AND(ISNUMBER('Raw Data'!T272), IFERROR('Raw Data'!T272 = ROUND('Raw Data'!T272, 2),FALSE)),"",_xlfn.REGEXEXTRACT(CELL("address",T272), "\$([A-Z]+)\$[0-9]+"))),_xlfn.REGEXEXTRACT(CELL("address",T272), "\$([A-Z]+)\$[0-9]+"))</f>
        <v/>
      </c>
      <c r="U272" s="7" t="str" cm="1">
        <f t="array" aca="1" ref="U272" ca="1">IFERROR(IF(OR('Raw Data'!U272="",LEN(TRIM('Raw Data'!U272))=0),"",IF(AND(ISNUMBER('Raw Data'!U272), IFERROR('Raw Data'!U272 = ROUND('Raw Data'!U272, 2),FALSE)),"",_xlfn.REGEXEXTRACT(CELL("address",U272), "\$([A-Z]+)\$[0-9]+"))),_xlfn.REGEXEXTRACT(CELL("address",U272), "\$([A-Z]+)\$[0-9]+"))</f>
        <v/>
      </c>
      <c r="V272" s="7" t="str" cm="1">
        <f t="array" aca="1" ref="V272" ca="1">IFERROR(IF(OR('Raw Data'!V272="",LEN(TRIM('Raw Data'!V272))=0),"",IF(AND(ISNUMBER('Raw Data'!V272), IFERROR('Raw Data'!V272 = ROUND('Raw Data'!V272, 2),FALSE)),"",_xlfn.REGEXEXTRACT(CELL("address",V272), "\$([A-Z]+)\$[0-9]+"))),_xlfn.REGEXEXTRACT(CELL("address",V272), "\$([A-Z]+)\$[0-9]+"))</f>
        <v/>
      </c>
      <c r="W272" s="7" t="str" cm="1">
        <f t="array" aca="1" ref="W272" ca="1">IFERROR(IF(OR('Raw Data'!W272="",LEN(TRIM('Raw Data'!W272))=0),"",IF(AND(ISNUMBER('Raw Data'!W272), IFERROR('Raw Data'!W272 = ROUND('Raw Data'!W272, 2),FALSE)),"",_xlfn.REGEXEXTRACT(CELL("address",W272), "\$([A-Z]+)\$[0-9]+"))),_xlfn.REGEXEXTRACT(CELL("address",W272), "\$([A-Z]+)\$[0-9]+"))</f>
        <v/>
      </c>
      <c r="X272" s="7" t="str" cm="1">
        <f t="array" aca="1" ref="X272" ca="1">IFERROR(IF(OR('Raw Data'!X272="",LEN(TRIM('Raw Data'!X272))=0),"",IF(AND(ISNUMBER('Raw Data'!X272), IFERROR('Raw Data'!X272 = ROUND('Raw Data'!X272, 2),FALSE)),"",_xlfn.REGEXEXTRACT(CELL("address",X272), "\$([A-Z]+)\$[0-9]+"))),_xlfn.REGEXEXTRACT(CELL("address",X272), "\$([A-Z]+)\$[0-9]+"))</f>
        <v/>
      </c>
      <c r="Y272" s="7" t="str" cm="1">
        <f t="array" aca="1" ref="Y272" ca="1">IFERROR(IF(OR('Raw Data'!Y272="",LEN(TRIM('Raw Data'!Y272))=0),"",IF(AND(ISNUMBER('Raw Data'!Y272), IFERROR('Raw Data'!Y272 = ROUND('Raw Data'!Y272, 2),FALSE)),"",_xlfn.REGEXEXTRACT(CELL("address",Y272), "\$([A-Z]+)\$[0-9]+"))),_xlfn.REGEXEXTRACT(CELL("address",Y272), "\$([A-Z]+)\$[0-9]+"))</f>
        <v/>
      </c>
      <c r="Z272" s="7" t="str" cm="1">
        <f t="array" aca="1" ref="Z272" ca="1">IFERROR(IF(OR('Raw Data'!Z272="",LEN(TRIM('Raw Data'!Z272))=0),"",IF(AND(ISNUMBER('Raw Data'!Z272), IFERROR('Raw Data'!Z272 = ROUND('Raw Data'!Z272, 2),FALSE)),"",_xlfn.REGEXEXTRACT(CELL("address",Z272), "\$([A-Z]+)\$[0-9]+"))),_xlfn.REGEXEXTRACT(CELL("address",Z272), "\$([A-Z]+)\$[0-9]+"))</f>
        <v/>
      </c>
      <c r="AA272" s="7" t="str" cm="1">
        <f t="array" aca="1" ref="AA272" ca="1">IFERROR(IF(OR('Raw Data'!AA272="",LEN(TRIM('Raw Data'!AA272))=0),"",IF(AND(ISNUMBER('Raw Data'!AA272), IFERROR('Raw Data'!AA272 = ROUND('Raw Data'!AA272, 2),FALSE)),"",_xlfn.REGEXEXTRACT(CELL("address",AA272), "\$([A-Z]+)\$[0-9]+"))),_xlfn.REGEXEXTRACT(CELL("address",AA272), "\$([A-Z]+)\$[0-9]+"))</f>
        <v/>
      </c>
      <c r="AB272" s="7" t="str" cm="1">
        <f t="array" aca="1" ref="AB272" ca="1">IFERROR(IF(OR('Raw Data'!AB272="",LEN(TRIM('Raw Data'!AB272))=0),"",IF(AND(ISNUMBER('Raw Data'!AB272), IFERROR('Raw Data'!AB272 = ROUND('Raw Data'!AB272, 2),FALSE)),"",_xlfn.REGEXEXTRACT(CELL("address",AB272), "\$([A-Z]+)\$[0-9]+"))),_xlfn.REGEXEXTRACT(CELL("address",AB272), "\$([A-Z]+)\$[0-9]+"))</f>
        <v/>
      </c>
    </row>
    <row r="273" spans="2:28" x14ac:dyDescent="0.25">
      <c r="B273" s="7" t="str" cm="1">
        <f t="array" aca="1" ref="B273" ca="1">IFERROR(IF(OR('Raw Data'!B273="",LEN(TRIM('Raw Data'!B273))=0),"",IF(AND(LEN('Raw Data'!B273) &lt;= 255,LEN('Raw Data'!B273)&gt; 0),"",_xlfn.REGEXEXTRACT(CELL("address",'Raw Data'!B273),"\$([A-Z]+)\$[0-9]+"))),_xlfn.REGEXEXTRACT(CELL("address",'Raw Data'!B273),"\$([A-Z]+)\$[0-9]+"))</f>
        <v/>
      </c>
      <c r="C273" s="7" t="str" cm="1">
        <f t="array" aca="1" ref="C273" ca="1">IFERROR(IF(OR('Raw Data'!C273="",LEN(TRIM('Raw Data'!C273))=0),"",IF(AND(LEN('Raw Data'!C273) &lt;= 20,LEN('Raw Data'!C273)&gt; 0),"",_xlfn.REGEXEXTRACT(CELL("address",'Raw Data'!C273),"\$([A-Z]+)\$[0-9]+"))),_xlfn.REGEXEXTRACT(CELL("address",'Raw Data'!C273),"\$([A-Z]+)\$[0-9]+"))</f>
        <v/>
      </c>
      <c r="D273" s="7" t="str" cm="1">
        <f t="array" aca="1" ref="D273" ca="1">IFERROR(IF(OR('Raw Data'!D273="",LEN(TRIM('Raw Data'!D273))=0),"",IF(AND(ISNUMBER('Raw Data'!D273),'Raw Data'!D273&gt;=Configuration!$D$2),"",_xlfn.REGEXEXTRACT(CELL("address",'Raw Data'!D273),"\$([A-Z]+)\$[0-9]+"))),_xlfn.REGEXEXTRACT(CELL("address",D273), "\$([A-Z]+)\$[0-9]+"))</f>
        <v/>
      </c>
      <c r="E273" s="7" t="str" cm="1">
        <f t="array" aca="1" ref="E273" ca="1">IFERROR(IF(OR('Raw Data'!E273="",LEN(TRIM('Raw Data'!E273))=0),"",IF(AND(ISNUMBER('Raw Data'!E273), IFERROR('Raw Data'!E273 = ROUND('Raw Data'!E273, 2),FALSE)),"",_xlfn.REGEXEXTRACT(CELL("address",E273), "\$([A-Z]+)\$[0-9]+"))),_xlfn.REGEXEXTRACT(CELL("address",E273), "\$([A-Z]+)\$[0-9]+"))</f>
        <v/>
      </c>
      <c r="F273" s="7" t="str" cm="1">
        <f t="array" aca="1" ref="F273" ca="1">IFERROR(IF(OR('Raw Data'!F273="",LEN(TRIM('Raw Data'!F273))=0),"",IF(AND(ISNUMBER('Raw Data'!F273), IFERROR('Raw Data'!F273 = ROUND('Raw Data'!F273, 2),FALSE)),"",_xlfn.REGEXEXTRACT(CELL("address",F273), "\$([A-Z]+)\$[0-9]+"))),_xlfn.REGEXEXTRACT(CELL("address",F273), "\$([A-Z]+)\$[0-9]+"))</f>
        <v/>
      </c>
      <c r="G273" s="7" t="str" cm="1">
        <f t="array" aca="1" ref="G273" ca="1">IFERROR(IF(OR('Raw Data'!G273="",LEN(TRIM('Raw Data'!G273))=0),"",IF(AND(ISNUMBER('Raw Data'!G273), IFERROR('Raw Data'!G273 = ROUND('Raw Data'!G273, 2),FALSE)),"",_xlfn.REGEXEXTRACT(CELL("address",G273), "\$([A-Z]+)\$[0-9]+"))),_xlfn.REGEXEXTRACT(CELL("address",G273), "\$([A-Z]+)\$[0-9]+"))</f>
        <v/>
      </c>
      <c r="H273" s="7" t="str" cm="1">
        <f t="array" aca="1" ref="H273" ca="1">IFERROR(IF(OR('Raw Data'!H273="",LEN(TRIM('Raw Data'!H273))=0),"",IF(AND(ISNUMBER('Raw Data'!H273), IFERROR('Raw Data'!H273 = ROUND('Raw Data'!H273, 2),FALSE)),"",_xlfn.REGEXEXTRACT(CELL("address",H273), "\$([A-Z]+)\$[0-9]+"))),_xlfn.REGEXEXTRACT(CELL("address",H273), "\$([A-Z]+)\$[0-9]+"))</f>
        <v/>
      </c>
      <c r="I273" s="7" t="str" cm="1">
        <f t="array" aca="1" ref="I273" ca="1">IFERROR(IF(OR('Raw Data'!I273="",LEN(TRIM('Raw Data'!I273))=0),"",IF(AND(ISNUMBER('Raw Data'!I273), IFERROR('Raw Data'!I273 = ROUND('Raw Data'!I273, 2),FALSE)),"",_xlfn.REGEXEXTRACT(CELL("address",I273), "\$([A-Z]+)\$[0-9]+"))),_xlfn.REGEXEXTRACT(CELL("address",I273), "\$([A-Z]+)\$[0-9]+"))</f>
        <v/>
      </c>
      <c r="J273" s="7" t="str" cm="1">
        <f t="array" aca="1" ref="J273" ca="1">IFERROR(IF(OR('Raw Data'!J273="",LEN(TRIM('Raw Data'!J273))=0),"",IF(AND(ISNUMBER('Raw Data'!J273), IFERROR('Raw Data'!J273 = ROUND('Raw Data'!J273, 2),FALSE)),"",_xlfn.REGEXEXTRACT(CELL("address",J273), "\$([A-Z]+)\$[0-9]+"))),_xlfn.REGEXEXTRACT(CELL("address",J273), "\$([A-Z]+)\$[0-9]+"))</f>
        <v/>
      </c>
      <c r="K273" s="7" t="str" cm="1">
        <f t="array" aca="1" ref="K273" ca="1">IFERROR(IF(OR('Raw Data'!K273="",LEN(TRIM('Raw Data'!K273))=0),"",IF(AND(ISNUMBER('Raw Data'!K273), IFERROR('Raw Data'!K273 = ROUND('Raw Data'!K273, 2),FALSE)),"",_xlfn.REGEXEXTRACT(CELL("address",K273), "\$([A-Z]+)\$[0-9]+"))),_xlfn.REGEXEXTRACT(CELL("address",K273), "\$([A-Z]+)\$[0-9]+"))</f>
        <v/>
      </c>
      <c r="L273" s="7" t="str" cm="1">
        <f t="array" aca="1" ref="L273" ca="1">IFERROR(IF(OR('Raw Data'!L273="",LEN(TRIM('Raw Data'!L273))=0),"",IF(AND(ISNUMBER('Raw Data'!L273), IFERROR('Raw Data'!L273 = ROUND('Raw Data'!L273, 2),FALSE)),"",_xlfn.REGEXEXTRACT(CELL("address",L273), "\$([A-Z]+)\$[0-9]+"))),_xlfn.REGEXEXTRACT(CELL("address",L273), "\$([A-Z]+)\$[0-9]+"))</f>
        <v/>
      </c>
      <c r="M273" s="7" t="str" cm="1">
        <f t="array" aca="1" ref="M273" ca="1">IFERROR(IF(OR('Raw Data'!M273="",LEN(TRIM('Raw Data'!M273))=0),"",IF(AND(ISNUMBER('Raw Data'!M273), IFERROR('Raw Data'!M273 = ROUND('Raw Data'!M273, 2),FALSE)),"",_xlfn.REGEXEXTRACT(CELL("address",M273), "\$([A-Z]+)\$[0-9]+"))),_xlfn.REGEXEXTRACT(CELL("address",M273), "\$([A-Z]+)\$[0-9]+"))</f>
        <v/>
      </c>
      <c r="N273" s="7" t="str" cm="1">
        <f t="array" aca="1" ref="N273" ca="1">IFERROR(IF(OR('Raw Data'!N273="",LEN(TRIM('Raw Data'!N273))=0),"",IF(AND(ISNUMBER('Raw Data'!N273), IFERROR('Raw Data'!N273 = ROUND('Raw Data'!N273, 2),FALSE)),"",_xlfn.REGEXEXTRACT(CELL("address",N273), "\$([A-Z]+)\$[0-9]+"))),_xlfn.REGEXEXTRACT(CELL("address",N273), "\$([A-Z]+)\$[0-9]+"))</f>
        <v/>
      </c>
      <c r="O273" s="7" t="str" cm="1">
        <f t="array" aca="1" ref="O273" ca="1">IFERROR(IF(OR('Raw Data'!O273="",LEN(TRIM('Raw Data'!O273))=0),"",IF(AND(ISNUMBER('Raw Data'!O273), IFERROR('Raw Data'!O273 = ROUND('Raw Data'!O273, 2),FALSE)),"",_xlfn.REGEXEXTRACT(CELL("address",O273), "\$([A-Z]+)\$[0-9]+"))),_xlfn.REGEXEXTRACT(CELL("address",O273), "\$([A-Z]+)\$[0-9]+"))</f>
        <v/>
      </c>
      <c r="P273" s="7" t="str" cm="1">
        <f t="array" aca="1" ref="P273" ca="1">IFERROR(IF(OR('Raw Data'!P273="",LEN(TRIM('Raw Data'!P273))=0),"",IF(AND(ISNUMBER('Raw Data'!P273), IFERROR('Raw Data'!P273 = ROUND('Raw Data'!P273, 2),FALSE)),"",_xlfn.REGEXEXTRACT(CELL("address",P273), "\$([A-Z]+)\$[0-9]+"))),_xlfn.REGEXEXTRACT(CELL("address",P273), "\$([A-Z]+)\$[0-9]+"))</f>
        <v/>
      </c>
      <c r="Q273" s="7" t="str" cm="1">
        <f t="array" aca="1" ref="Q273" ca="1">IFERROR(IF(OR('Raw Data'!Q273="",LEN(TRIM('Raw Data'!Q273))=0),"",IF(AND(ISNUMBER('Raw Data'!Q273), IFERROR('Raw Data'!Q273 = ROUND('Raw Data'!Q273, 2),FALSE)),"",_xlfn.REGEXEXTRACT(CELL("address",Q273), "\$([A-Z]+)\$[0-9]+"))),_xlfn.REGEXEXTRACT(CELL("address",Q273), "\$([A-Z]+)\$[0-9]+"))</f>
        <v/>
      </c>
      <c r="R273" s="7" t="str" cm="1">
        <f t="array" aca="1" ref="R273" ca="1">IFERROR(IF(OR('Raw Data'!R273="",LEN(TRIM('Raw Data'!R273))=0),"",IF(AND(ISNUMBER('Raw Data'!R273), IFERROR('Raw Data'!R273 = ROUND('Raw Data'!R273, 2),FALSE)),"",_xlfn.REGEXEXTRACT(CELL("address",R273), "\$([A-Z]+)\$[0-9]+"))),_xlfn.REGEXEXTRACT(CELL("address",R273), "\$([A-Z]+)\$[0-9]+"))</f>
        <v/>
      </c>
      <c r="S273" s="7" t="str" cm="1">
        <f t="array" aca="1" ref="S273" ca="1">IFERROR(IF(OR('Raw Data'!S273="",LEN(TRIM('Raw Data'!S273))=0),"",IF(AND(ISNUMBER('Raw Data'!S273), IFERROR('Raw Data'!S273 = ROUND('Raw Data'!S273, 2),FALSE)),"",_xlfn.REGEXEXTRACT(CELL("address",S273), "\$([A-Z]+)\$[0-9]+"))),_xlfn.REGEXEXTRACT(CELL("address",S273), "\$([A-Z]+)\$[0-9]+"))</f>
        <v/>
      </c>
      <c r="T273" s="7" t="str" cm="1">
        <f t="array" aca="1" ref="T273" ca="1">IFERROR(IF(OR('Raw Data'!T273="",LEN(TRIM('Raw Data'!T273))=0),"",IF(AND(ISNUMBER('Raw Data'!T273), IFERROR('Raw Data'!T273 = ROUND('Raw Data'!T273, 2),FALSE)),"",_xlfn.REGEXEXTRACT(CELL("address",T273), "\$([A-Z]+)\$[0-9]+"))),_xlfn.REGEXEXTRACT(CELL("address",T273), "\$([A-Z]+)\$[0-9]+"))</f>
        <v/>
      </c>
      <c r="U273" s="7" t="str" cm="1">
        <f t="array" aca="1" ref="U273" ca="1">IFERROR(IF(OR('Raw Data'!U273="",LEN(TRIM('Raw Data'!U273))=0),"",IF(AND(ISNUMBER('Raw Data'!U273), IFERROR('Raw Data'!U273 = ROUND('Raw Data'!U273, 2),FALSE)),"",_xlfn.REGEXEXTRACT(CELL("address",U273), "\$([A-Z]+)\$[0-9]+"))),_xlfn.REGEXEXTRACT(CELL("address",U273), "\$([A-Z]+)\$[0-9]+"))</f>
        <v/>
      </c>
      <c r="V273" s="7" t="str" cm="1">
        <f t="array" aca="1" ref="V273" ca="1">IFERROR(IF(OR('Raw Data'!V273="",LEN(TRIM('Raw Data'!V273))=0),"",IF(AND(ISNUMBER('Raw Data'!V273), IFERROR('Raw Data'!V273 = ROUND('Raw Data'!V273, 2),FALSE)),"",_xlfn.REGEXEXTRACT(CELL("address",V273), "\$([A-Z]+)\$[0-9]+"))),_xlfn.REGEXEXTRACT(CELL("address",V273), "\$([A-Z]+)\$[0-9]+"))</f>
        <v/>
      </c>
      <c r="W273" s="7" t="str" cm="1">
        <f t="array" aca="1" ref="W273" ca="1">IFERROR(IF(OR('Raw Data'!W273="",LEN(TRIM('Raw Data'!W273))=0),"",IF(AND(ISNUMBER('Raw Data'!W273), IFERROR('Raw Data'!W273 = ROUND('Raw Data'!W273, 2),FALSE)),"",_xlfn.REGEXEXTRACT(CELL("address",W273), "\$([A-Z]+)\$[0-9]+"))),_xlfn.REGEXEXTRACT(CELL("address",W273), "\$([A-Z]+)\$[0-9]+"))</f>
        <v/>
      </c>
      <c r="X273" s="7" t="str" cm="1">
        <f t="array" aca="1" ref="X273" ca="1">IFERROR(IF(OR('Raw Data'!X273="",LEN(TRIM('Raw Data'!X273))=0),"",IF(AND(ISNUMBER('Raw Data'!X273), IFERROR('Raw Data'!X273 = ROUND('Raw Data'!X273, 2),FALSE)),"",_xlfn.REGEXEXTRACT(CELL("address",X273), "\$([A-Z]+)\$[0-9]+"))),_xlfn.REGEXEXTRACT(CELL("address",X273), "\$([A-Z]+)\$[0-9]+"))</f>
        <v/>
      </c>
      <c r="Y273" s="7" t="str" cm="1">
        <f t="array" aca="1" ref="Y273" ca="1">IFERROR(IF(OR('Raw Data'!Y273="",LEN(TRIM('Raw Data'!Y273))=0),"",IF(AND(ISNUMBER('Raw Data'!Y273), IFERROR('Raw Data'!Y273 = ROUND('Raw Data'!Y273, 2),FALSE)),"",_xlfn.REGEXEXTRACT(CELL("address",Y273), "\$([A-Z]+)\$[0-9]+"))),_xlfn.REGEXEXTRACT(CELL("address",Y273), "\$([A-Z]+)\$[0-9]+"))</f>
        <v/>
      </c>
      <c r="Z273" s="7" t="str" cm="1">
        <f t="array" aca="1" ref="Z273" ca="1">IFERROR(IF(OR('Raw Data'!Z273="",LEN(TRIM('Raw Data'!Z273))=0),"",IF(AND(ISNUMBER('Raw Data'!Z273), IFERROR('Raw Data'!Z273 = ROUND('Raw Data'!Z273, 2),FALSE)),"",_xlfn.REGEXEXTRACT(CELL("address",Z273), "\$([A-Z]+)\$[0-9]+"))),_xlfn.REGEXEXTRACT(CELL("address",Z273), "\$([A-Z]+)\$[0-9]+"))</f>
        <v/>
      </c>
      <c r="AA273" s="7" t="str" cm="1">
        <f t="array" aca="1" ref="AA273" ca="1">IFERROR(IF(OR('Raw Data'!AA273="",LEN(TRIM('Raw Data'!AA273))=0),"",IF(AND(ISNUMBER('Raw Data'!AA273), IFERROR('Raw Data'!AA273 = ROUND('Raw Data'!AA273, 2),FALSE)),"",_xlfn.REGEXEXTRACT(CELL("address",AA273), "\$([A-Z]+)\$[0-9]+"))),_xlfn.REGEXEXTRACT(CELL("address",AA273), "\$([A-Z]+)\$[0-9]+"))</f>
        <v/>
      </c>
      <c r="AB273" s="7" t="str" cm="1">
        <f t="array" aca="1" ref="AB273" ca="1">IFERROR(IF(OR('Raw Data'!AB273="",LEN(TRIM('Raw Data'!AB273))=0),"",IF(AND(ISNUMBER('Raw Data'!AB273), IFERROR('Raw Data'!AB273 = ROUND('Raw Data'!AB273, 2),FALSE)),"",_xlfn.REGEXEXTRACT(CELL("address",AB273), "\$([A-Z]+)\$[0-9]+"))),_xlfn.REGEXEXTRACT(CELL("address",AB273), "\$([A-Z]+)\$[0-9]+"))</f>
        <v/>
      </c>
    </row>
    <row r="274" spans="2:28" x14ac:dyDescent="0.25">
      <c r="B274" s="7" t="str" cm="1">
        <f t="array" aca="1" ref="B274" ca="1">IFERROR(IF(OR('Raw Data'!B274="",LEN(TRIM('Raw Data'!B274))=0),"",IF(AND(LEN('Raw Data'!B274) &lt;= 255,LEN('Raw Data'!B274)&gt; 0),"",_xlfn.REGEXEXTRACT(CELL("address",'Raw Data'!B274),"\$([A-Z]+)\$[0-9]+"))),_xlfn.REGEXEXTRACT(CELL("address",'Raw Data'!B274),"\$([A-Z]+)\$[0-9]+"))</f>
        <v/>
      </c>
      <c r="C274" s="7" t="str" cm="1">
        <f t="array" aca="1" ref="C274" ca="1">IFERROR(IF(OR('Raw Data'!C274="",LEN(TRIM('Raw Data'!C274))=0),"",IF(AND(LEN('Raw Data'!C274) &lt;= 20,LEN('Raw Data'!C274)&gt; 0),"",_xlfn.REGEXEXTRACT(CELL("address",'Raw Data'!C274),"\$([A-Z]+)\$[0-9]+"))),_xlfn.REGEXEXTRACT(CELL("address",'Raw Data'!C274),"\$([A-Z]+)\$[0-9]+"))</f>
        <v/>
      </c>
      <c r="D274" s="7" t="str" cm="1">
        <f t="array" aca="1" ref="D274" ca="1">IFERROR(IF(OR('Raw Data'!D274="",LEN(TRIM('Raw Data'!D274))=0),"",IF(AND(ISNUMBER('Raw Data'!D274),'Raw Data'!D274&gt;=Configuration!$D$2),"",_xlfn.REGEXEXTRACT(CELL("address",'Raw Data'!D274),"\$([A-Z]+)\$[0-9]+"))),_xlfn.REGEXEXTRACT(CELL("address",D274), "\$([A-Z]+)\$[0-9]+"))</f>
        <v/>
      </c>
      <c r="E274" s="7" t="str" cm="1">
        <f t="array" aca="1" ref="E274" ca="1">IFERROR(IF(OR('Raw Data'!E274="",LEN(TRIM('Raw Data'!E274))=0),"",IF(AND(ISNUMBER('Raw Data'!E274), IFERROR('Raw Data'!E274 = ROUND('Raw Data'!E274, 2),FALSE)),"",_xlfn.REGEXEXTRACT(CELL("address",E274), "\$([A-Z]+)\$[0-9]+"))),_xlfn.REGEXEXTRACT(CELL("address",E274), "\$([A-Z]+)\$[0-9]+"))</f>
        <v/>
      </c>
      <c r="F274" s="7" t="str" cm="1">
        <f t="array" aca="1" ref="F274" ca="1">IFERROR(IF(OR('Raw Data'!F274="",LEN(TRIM('Raw Data'!F274))=0),"",IF(AND(ISNUMBER('Raw Data'!F274), IFERROR('Raw Data'!F274 = ROUND('Raw Data'!F274, 2),FALSE)),"",_xlfn.REGEXEXTRACT(CELL("address",F274), "\$([A-Z]+)\$[0-9]+"))),_xlfn.REGEXEXTRACT(CELL("address",F274), "\$([A-Z]+)\$[0-9]+"))</f>
        <v/>
      </c>
      <c r="G274" s="7" t="str" cm="1">
        <f t="array" aca="1" ref="G274" ca="1">IFERROR(IF(OR('Raw Data'!G274="",LEN(TRIM('Raw Data'!G274))=0),"",IF(AND(ISNUMBER('Raw Data'!G274), IFERROR('Raw Data'!G274 = ROUND('Raw Data'!G274, 2),FALSE)),"",_xlfn.REGEXEXTRACT(CELL("address",G274), "\$([A-Z]+)\$[0-9]+"))),_xlfn.REGEXEXTRACT(CELL("address",G274), "\$([A-Z]+)\$[0-9]+"))</f>
        <v/>
      </c>
      <c r="H274" s="7" t="str" cm="1">
        <f t="array" aca="1" ref="H274" ca="1">IFERROR(IF(OR('Raw Data'!H274="",LEN(TRIM('Raw Data'!H274))=0),"",IF(AND(ISNUMBER('Raw Data'!H274), IFERROR('Raw Data'!H274 = ROUND('Raw Data'!H274, 2),FALSE)),"",_xlfn.REGEXEXTRACT(CELL("address",H274), "\$([A-Z]+)\$[0-9]+"))),_xlfn.REGEXEXTRACT(CELL("address",H274), "\$([A-Z]+)\$[0-9]+"))</f>
        <v/>
      </c>
      <c r="I274" s="7" t="str" cm="1">
        <f t="array" aca="1" ref="I274" ca="1">IFERROR(IF(OR('Raw Data'!I274="",LEN(TRIM('Raw Data'!I274))=0),"",IF(AND(ISNUMBER('Raw Data'!I274), IFERROR('Raw Data'!I274 = ROUND('Raw Data'!I274, 2),FALSE)),"",_xlfn.REGEXEXTRACT(CELL("address",I274), "\$([A-Z]+)\$[0-9]+"))),_xlfn.REGEXEXTRACT(CELL("address",I274), "\$([A-Z]+)\$[0-9]+"))</f>
        <v/>
      </c>
      <c r="J274" s="7" t="str" cm="1">
        <f t="array" aca="1" ref="J274" ca="1">IFERROR(IF(OR('Raw Data'!J274="",LEN(TRIM('Raw Data'!J274))=0),"",IF(AND(ISNUMBER('Raw Data'!J274), IFERROR('Raw Data'!J274 = ROUND('Raw Data'!J274, 2),FALSE)),"",_xlfn.REGEXEXTRACT(CELL("address",J274), "\$([A-Z]+)\$[0-9]+"))),_xlfn.REGEXEXTRACT(CELL("address",J274), "\$([A-Z]+)\$[0-9]+"))</f>
        <v/>
      </c>
      <c r="K274" s="7" t="str" cm="1">
        <f t="array" aca="1" ref="K274" ca="1">IFERROR(IF(OR('Raw Data'!K274="",LEN(TRIM('Raw Data'!K274))=0),"",IF(AND(ISNUMBER('Raw Data'!K274), IFERROR('Raw Data'!K274 = ROUND('Raw Data'!K274, 2),FALSE)),"",_xlfn.REGEXEXTRACT(CELL("address",K274), "\$([A-Z]+)\$[0-9]+"))),_xlfn.REGEXEXTRACT(CELL("address",K274), "\$([A-Z]+)\$[0-9]+"))</f>
        <v/>
      </c>
      <c r="L274" s="7" t="str" cm="1">
        <f t="array" aca="1" ref="L274" ca="1">IFERROR(IF(OR('Raw Data'!L274="",LEN(TRIM('Raw Data'!L274))=0),"",IF(AND(ISNUMBER('Raw Data'!L274), IFERROR('Raw Data'!L274 = ROUND('Raw Data'!L274, 2),FALSE)),"",_xlfn.REGEXEXTRACT(CELL("address",L274), "\$([A-Z]+)\$[0-9]+"))),_xlfn.REGEXEXTRACT(CELL("address",L274), "\$([A-Z]+)\$[0-9]+"))</f>
        <v/>
      </c>
      <c r="M274" s="7" t="str" cm="1">
        <f t="array" aca="1" ref="M274" ca="1">IFERROR(IF(OR('Raw Data'!M274="",LEN(TRIM('Raw Data'!M274))=0),"",IF(AND(ISNUMBER('Raw Data'!M274), IFERROR('Raw Data'!M274 = ROUND('Raw Data'!M274, 2),FALSE)),"",_xlfn.REGEXEXTRACT(CELL("address",M274), "\$([A-Z]+)\$[0-9]+"))),_xlfn.REGEXEXTRACT(CELL("address",M274), "\$([A-Z]+)\$[0-9]+"))</f>
        <v/>
      </c>
      <c r="N274" s="7" t="str" cm="1">
        <f t="array" aca="1" ref="N274" ca="1">IFERROR(IF(OR('Raw Data'!N274="",LEN(TRIM('Raw Data'!N274))=0),"",IF(AND(ISNUMBER('Raw Data'!N274), IFERROR('Raw Data'!N274 = ROUND('Raw Data'!N274, 2),FALSE)),"",_xlfn.REGEXEXTRACT(CELL("address",N274), "\$([A-Z]+)\$[0-9]+"))),_xlfn.REGEXEXTRACT(CELL("address",N274), "\$([A-Z]+)\$[0-9]+"))</f>
        <v/>
      </c>
      <c r="O274" s="7" t="str" cm="1">
        <f t="array" aca="1" ref="O274" ca="1">IFERROR(IF(OR('Raw Data'!O274="",LEN(TRIM('Raw Data'!O274))=0),"",IF(AND(ISNUMBER('Raw Data'!O274), IFERROR('Raw Data'!O274 = ROUND('Raw Data'!O274, 2),FALSE)),"",_xlfn.REGEXEXTRACT(CELL("address",O274), "\$([A-Z]+)\$[0-9]+"))),_xlfn.REGEXEXTRACT(CELL("address",O274), "\$([A-Z]+)\$[0-9]+"))</f>
        <v/>
      </c>
      <c r="P274" s="7" t="str" cm="1">
        <f t="array" aca="1" ref="P274" ca="1">IFERROR(IF(OR('Raw Data'!P274="",LEN(TRIM('Raw Data'!P274))=0),"",IF(AND(ISNUMBER('Raw Data'!P274), IFERROR('Raw Data'!P274 = ROUND('Raw Data'!P274, 2),FALSE)),"",_xlfn.REGEXEXTRACT(CELL("address",P274), "\$([A-Z]+)\$[0-9]+"))),_xlfn.REGEXEXTRACT(CELL("address",P274), "\$([A-Z]+)\$[0-9]+"))</f>
        <v/>
      </c>
      <c r="Q274" s="7" t="str" cm="1">
        <f t="array" aca="1" ref="Q274" ca="1">IFERROR(IF(OR('Raw Data'!Q274="",LEN(TRIM('Raw Data'!Q274))=0),"",IF(AND(ISNUMBER('Raw Data'!Q274), IFERROR('Raw Data'!Q274 = ROUND('Raw Data'!Q274, 2),FALSE)),"",_xlfn.REGEXEXTRACT(CELL("address",Q274), "\$([A-Z]+)\$[0-9]+"))),_xlfn.REGEXEXTRACT(CELL("address",Q274), "\$([A-Z]+)\$[0-9]+"))</f>
        <v/>
      </c>
      <c r="R274" s="7" t="str" cm="1">
        <f t="array" aca="1" ref="R274" ca="1">IFERROR(IF(OR('Raw Data'!R274="",LEN(TRIM('Raw Data'!R274))=0),"",IF(AND(ISNUMBER('Raw Data'!R274), IFERROR('Raw Data'!R274 = ROUND('Raw Data'!R274, 2),FALSE)),"",_xlfn.REGEXEXTRACT(CELL("address",R274), "\$([A-Z]+)\$[0-9]+"))),_xlfn.REGEXEXTRACT(CELL("address",R274), "\$([A-Z]+)\$[0-9]+"))</f>
        <v/>
      </c>
      <c r="S274" s="7" t="str" cm="1">
        <f t="array" aca="1" ref="S274" ca="1">IFERROR(IF(OR('Raw Data'!S274="",LEN(TRIM('Raw Data'!S274))=0),"",IF(AND(ISNUMBER('Raw Data'!S274), IFERROR('Raw Data'!S274 = ROUND('Raw Data'!S274, 2),FALSE)),"",_xlfn.REGEXEXTRACT(CELL("address",S274), "\$([A-Z]+)\$[0-9]+"))),_xlfn.REGEXEXTRACT(CELL("address",S274), "\$([A-Z]+)\$[0-9]+"))</f>
        <v/>
      </c>
      <c r="T274" s="7" t="str" cm="1">
        <f t="array" aca="1" ref="T274" ca="1">IFERROR(IF(OR('Raw Data'!T274="",LEN(TRIM('Raw Data'!T274))=0),"",IF(AND(ISNUMBER('Raw Data'!T274), IFERROR('Raw Data'!T274 = ROUND('Raw Data'!T274, 2),FALSE)),"",_xlfn.REGEXEXTRACT(CELL("address",T274), "\$([A-Z]+)\$[0-9]+"))),_xlfn.REGEXEXTRACT(CELL("address",T274), "\$([A-Z]+)\$[0-9]+"))</f>
        <v/>
      </c>
      <c r="U274" s="7" t="str" cm="1">
        <f t="array" aca="1" ref="U274" ca="1">IFERROR(IF(OR('Raw Data'!U274="",LEN(TRIM('Raw Data'!U274))=0),"",IF(AND(ISNUMBER('Raw Data'!U274), IFERROR('Raw Data'!U274 = ROUND('Raw Data'!U274, 2),FALSE)),"",_xlfn.REGEXEXTRACT(CELL("address",U274), "\$([A-Z]+)\$[0-9]+"))),_xlfn.REGEXEXTRACT(CELL("address",U274), "\$([A-Z]+)\$[0-9]+"))</f>
        <v/>
      </c>
      <c r="V274" s="7" t="str" cm="1">
        <f t="array" aca="1" ref="V274" ca="1">IFERROR(IF(OR('Raw Data'!V274="",LEN(TRIM('Raw Data'!V274))=0),"",IF(AND(ISNUMBER('Raw Data'!V274), IFERROR('Raw Data'!V274 = ROUND('Raw Data'!V274, 2),FALSE)),"",_xlfn.REGEXEXTRACT(CELL("address",V274), "\$([A-Z]+)\$[0-9]+"))),_xlfn.REGEXEXTRACT(CELL("address",V274), "\$([A-Z]+)\$[0-9]+"))</f>
        <v/>
      </c>
      <c r="W274" s="7" t="str" cm="1">
        <f t="array" aca="1" ref="W274" ca="1">IFERROR(IF(OR('Raw Data'!W274="",LEN(TRIM('Raw Data'!W274))=0),"",IF(AND(ISNUMBER('Raw Data'!W274), IFERROR('Raw Data'!W274 = ROUND('Raw Data'!W274, 2),FALSE)),"",_xlfn.REGEXEXTRACT(CELL("address",W274), "\$([A-Z]+)\$[0-9]+"))),_xlfn.REGEXEXTRACT(CELL("address",W274), "\$([A-Z]+)\$[0-9]+"))</f>
        <v/>
      </c>
      <c r="X274" s="7" t="str" cm="1">
        <f t="array" aca="1" ref="X274" ca="1">IFERROR(IF(OR('Raw Data'!X274="",LEN(TRIM('Raw Data'!X274))=0),"",IF(AND(ISNUMBER('Raw Data'!X274), IFERROR('Raw Data'!X274 = ROUND('Raw Data'!X274, 2),FALSE)),"",_xlfn.REGEXEXTRACT(CELL("address",X274), "\$([A-Z]+)\$[0-9]+"))),_xlfn.REGEXEXTRACT(CELL("address",X274), "\$([A-Z]+)\$[0-9]+"))</f>
        <v/>
      </c>
      <c r="Y274" s="7" t="str" cm="1">
        <f t="array" aca="1" ref="Y274" ca="1">IFERROR(IF(OR('Raw Data'!Y274="",LEN(TRIM('Raw Data'!Y274))=0),"",IF(AND(ISNUMBER('Raw Data'!Y274), IFERROR('Raw Data'!Y274 = ROUND('Raw Data'!Y274, 2),FALSE)),"",_xlfn.REGEXEXTRACT(CELL("address",Y274), "\$([A-Z]+)\$[0-9]+"))),_xlfn.REGEXEXTRACT(CELL("address",Y274), "\$([A-Z]+)\$[0-9]+"))</f>
        <v/>
      </c>
      <c r="Z274" s="7" t="str" cm="1">
        <f t="array" aca="1" ref="Z274" ca="1">IFERROR(IF(OR('Raw Data'!Z274="",LEN(TRIM('Raw Data'!Z274))=0),"",IF(AND(ISNUMBER('Raw Data'!Z274), IFERROR('Raw Data'!Z274 = ROUND('Raw Data'!Z274, 2),FALSE)),"",_xlfn.REGEXEXTRACT(CELL("address",Z274), "\$([A-Z]+)\$[0-9]+"))),_xlfn.REGEXEXTRACT(CELL("address",Z274), "\$([A-Z]+)\$[0-9]+"))</f>
        <v/>
      </c>
      <c r="AA274" s="7" t="str" cm="1">
        <f t="array" aca="1" ref="AA274" ca="1">IFERROR(IF(OR('Raw Data'!AA274="",LEN(TRIM('Raw Data'!AA274))=0),"",IF(AND(ISNUMBER('Raw Data'!AA274), IFERROR('Raw Data'!AA274 = ROUND('Raw Data'!AA274, 2),FALSE)),"",_xlfn.REGEXEXTRACT(CELL("address",AA274), "\$([A-Z]+)\$[0-9]+"))),_xlfn.REGEXEXTRACT(CELL("address",AA274), "\$([A-Z]+)\$[0-9]+"))</f>
        <v/>
      </c>
      <c r="AB274" s="7" t="str" cm="1">
        <f t="array" aca="1" ref="AB274" ca="1">IFERROR(IF(OR('Raw Data'!AB274="",LEN(TRIM('Raw Data'!AB274))=0),"",IF(AND(ISNUMBER('Raw Data'!AB274), IFERROR('Raw Data'!AB274 = ROUND('Raw Data'!AB274, 2),FALSE)),"",_xlfn.REGEXEXTRACT(CELL("address",AB274), "\$([A-Z]+)\$[0-9]+"))),_xlfn.REGEXEXTRACT(CELL("address",AB274), "\$([A-Z]+)\$[0-9]+"))</f>
        <v/>
      </c>
    </row>
    <row r="275" spans="2:28" x14ac:dyDescent="0.25">
      <c r="B275" s="7" t="str" cm="1">
        <f t="array" aca="1" ref="B275" ca="1">IFERROR(IF(OR('Raw Data'!B275="",LEN(TRIM('Raw Data'!B275))=0),"",IF(AND(LEN('Raw Data'!B275) &lt;= 255,LEN('Raw Data'!B275)&gt; 0),"",_xlfn.REGEXEXTRACT(CELL("address",'Raw Data'!B275),"\$([A-Z]+)\$[0-9]+"))),_xlfn.REGEXEXTRACT(CELL("address",'Raw Data'!B275),"\$([A-Z]+)\$[0-9]+"))</f>
        <v/>
      </c>
      <c r="C275" s="7" t="str" cm="1">
        <f t="array" aca="1" ref="C275" ca="1">IFERROR(IF(OR('Raw Data'!C275="",LEN(TRIM('Raw Data'!C275))=0),"",IF(AND(LEN('Raw Data'!C275) &lt;= 20,LEN('Raw Data'!C275)&gt; 0),"",_xlfn.REGEXEXTRACT(CELL("address",'Raw Data'!C275),"\$([A-Z]+)\$[0-9]+"))),_xlfn.REGEXEXTRACT(CELL("address",'Raw Data'!C275),"\$([A-Z]+)\$[0-9]+"))</f>
        <v/>
      </c>
      <c r="D275" s="7" t="str" cm="1">
        <f t="array" aca="1" ref="D275" ca="1">IFERROR(IF(OR('Raw Data'!D275="",LEN(TRIM('Raw Data'!D275))=0),"",IF(AND(ISNUMBER('Raw Data'!D275),'Raw Data'!D275&gt;=Configuration!$D$2),"",_xlfn.REGEXEXTRACT(CELL("address",'Raw Data'!D275),"\$([A-Z]+)\$[0-9]+"))),_xlfn.REGEXEXTRACT(CELL("address",D275), "\$([A-Z]+)\$[0-9]+"))</f>
        <v/>
      </c>
      <c r="E275" s="7" t="str" cm="1">
        <f t="array" aca="1" ref="E275" ca="1">IFERROR(IF(OR('Raw Data'!E275="",LEN(TRIM('Raw Data'!E275))=0),"",IF(AND(ISNUMBER('Raw Data'!E275), IFERROR('Raw Data'!E275 = ROUND('Raw Data'!E275, 2),FALSE)),"",_xlfn.REGEXEXTRACT(CELL("address",E275), "\$([A-Z]+)\$[0-9]+"))),_xlfn.REGEXEXTRACT(CELL("address",E275), "\$([A-Z]+)\$[0-9]+"))</f>
        <v/>
      </c>
      <c r="F275" s="7" t="str" cm="1">
        <f t="array" aca="1" ref="F275" ca="1">IFERROR(IF(OR('Raw Data'!F275="",LEN(TRIM('Raw Data'!F275))=0),"",IF(AND(ISNUMBER('Raw Data'!F275), IFERROR('Raw Data'!F275 = ROUND('Raw Data'!F275, 2),FALSE)),"",_xlfn.REGEXEXTRACT(CELL("address",F275), "\$([A-Z]+)\$[0-9]+"))),_xlfn.REGEXEXTRACT(CELL("address",F275), "\$([A-Z]+)\$[0-9]+"))</f>
        <v/>
      </c>
      <c r="G275" s="7" t="str" cm="1">
        <f t="array" aca="1" ref="G275" ca="1">IFERROR(IF(OR('Raw Data'!G275="",LEN(TRIM('Raw Data'!G275))=0),"",IF(AND(ISNUMBER('Raw Data'!G275), IFERROR('Raw Data'!G275 = ROUND('Raw Data'!G275, 2),FALSE)),"",_xlfn.REGEXEXTRACT(CELL("address",G275), "\$([A-Z]+)\$[0-9]+"))),_xlfn.REGEXEXTRACT(CELL("address",G275), "\$([A-Z]+)\$[0-9]+"))</f>
        <v/>
      </c>
      <c r="H275" s="7" t="str" cm="1">
        <f t="array" aca="1" ref="H275" ca="1">IFERROR(IF(OR('Raw Data'!H275="",LEN(TRIM('Raw Data'!H275))=0),"",IF(AND(ISNUMBER('Raw Data'!H275), IFERROR('Raw Data'!H275 = ROUND('Raw Data'!H275, 2),FALSE)),"",_xlfn.REGEXEXTRACT(CELL("address",H275), "\$([A-Z]+)\$[0-9]+"))),_xlfn.REGEXEXTRACT(CELL("address",H275), "\$([A-Z]+)\$[0-9]+"))</f>
        <v/>
      </c>
      <c r="I275" s="7" t="str" cm="1">
        <f t="array" aca="1" ref="I275" ca="1">IFERROR(IF(OR('Raw Data'!I275="",LEN(TRIM('Raw Data'!I275))=0),"",IF(AND(ISNUMBER('Raw Data'!I275), IFERROR('Raw Data'!I275 = ROUND('Raw Data'!I275, 2),FALSE)),"",_xlfn.REGEXEXTRACT(CELL("address",I275), "\$([A-Z]+)\$[0-9]+"))),_xlfn.REGEXEXTRACT(CELL("address",I275), "\$([A-Z]+)\$[0-9]+"))</f>
        <v/>
      </c>
      <c r="J275" s="7" t="str" cm="1">
        <f t="array" aca="1" ref="J275" ca="1">IFERROR(IF(OR('Raw Data'!J275="",LEN(TRIM('Raw Data'!J275))=0),"",IF(AND(ISNUMBER('Raw Data'!J275), IFERROR('Raw Data'!J275 = ROUND('Raw Data'!J275, 2),FALSE)),"",_xlfn.REGEXEXTRACT(CELL("address",J275), "\$([A-Z]+)\$[0-9]+"))),_xlfn.REGEXEXTRACT(CELL("address",J275), "\$([A-Z]+)\$[0-9]+"))</f>
        <v/>
      </c>
      <c r="K275" s="7" t="str" cm="1">
        <f t="array" aca="1" ref="K275" ca="1">IFERROR(IF(OR('Raw Data'!K275="",LEN(TRIM('Raw Data'!K275))=0),"",IF(AND(ISNUMBER('Raw Data'!K275), IFERROR('Raw Data'!K275 = ROUND('Raw Data'!K275, 2),FALSE)),"",_xlfn.REGEXEXTRACT(CELL("address",K275), "\$([A-Z]+)\$[0-9]+"))),_xlfn.REGEXEXTRACT(CELL("address",K275), "\$([A-Z]+)\$[0-9]+"))</f>
        <v/>
      </c>
      <c r="L275" s="7" t="str" cm="1">
        <f t="array" aca="1" ref="L275" ca="1">IFERROR(IF(OR('Raw Data'!L275="",LEN(TRIM('Raw Data'!L275))=0),"",IF(AND(ISNUMBER('Raw Data'!L275), IFERROR('Raw Data'!L275 = ROUND('Raw Data'!L275, 2),FALSE)),"",_xlfn.REGEXEXTRACT(CELL("address",L275), "\$([A-Z]+)\$[0-9]+"))),_xlfn.REGEXEXTRACT(CELL("address",L275), "\$([A-Z]+)\$[0-9]+"))</f>
        <v/>
      </c>
      <c r="M275" s="7" t="str" cm="1">
        <f t="array" aca="1" ref="M275" ca="1">IFERROR(IF(OR('Raw Data'!M275="",LEN(TRIM('Raw Data'!M275))=0),"",IF(AND(ISNUMBER('Raw Data'!M275), IFERROR('Raw Data'!M275 = ROUND('Raw Data'!M275, 2),FALSE)),"",_xlfn.REGEXEXTRACT(CELL("address",M275), "\$([A-Z]+)\$[0-9]+"))),_xlfn.REGEXEXTRACT(CELL("address",M275), "\$([A-Z]+)\$[0-9]+"))</f>
        <v/>
      </c>
      <c r="N275" s="7" t="str" cm="1">
        <f t="array" aca="1" ref="N275" ca="1">IFERROR(IF(OR('Raw Data'!N275="",LEN(TRIM('Raw Data'!N275))=0),"",IF(AND(ISNUMBER('Raw Data'!N275), IFERROR('Raw Data'!N275 = ROUND('Raw Data'!N275, 2),FALSE)),"",_xlfn.REGEXEXTRACT(CELL("address",N275), "\$([A-Z]+)\$[0-9]+"))),_xlfn.REGEXEXTRACT(CELL("address",N275), "\$([A-Z]+)\$[0-9]+"))</f>
        <v/>
      </c>
      <c r="O275" s="7" t="str" cm="1">
        <f t="array" aca="1" ref="O275" ca="1">IFERROR(IF(OR('Raw Data'!O275="",LEN(TRIM('Raw Data'!O275))=0),"",IF(AND(ISNUMBER('Raw Data'!O275), IFERROR('Raw Data'!O275 = ROUND('Raw Data'!O275, 2),FALSE)),"",_xlfn.REGEXEXTRACT(CELL("address",O275), "\$([A-Z]+)\$[0-9]+"))),_xlfn.REGEXEXTRACT(CELL("address",O275), "\$([A-Z]+)\$[0-9]+"))</f>
        <v/>
      </c>
      <c r="P275" s="7" t="str" cm="1">
        <f t="array" aca="1" ref="P275" ca="1">IFERROR(IF(OR('Raw Data'!P275="",LEN(TRIM('Raw Data'!P275))=0),"",IF(AND(ISNUMBER('Raw Data'!P275), IFERROR('Raw Data'!P275 = ROUND('Raw Data'!P275, 2),FALSE)),"",_xlfn.REGEXEXTRACT(CELL("address",P275), "\$([A-Z]+)\$[0-9]+"))),_xlfn.REGEXEXTRACT(CELL("address",P275), "\$([A-Z]+)\$[0-9]+"))</f>
        <v/>
      </c>
      <c r="Q275" s="7" t="str" cm="1">
        <f t="array" aca="1" ref="Q275" ca="1">IFERROR(IF(OR('Raw Data'!Q275="",LEN(TRIM('Raw Data'!Q275))=0),"",IF(AND(ISNUMBER('Raw Data'!Q275), IFERROR('Raw Data'!Q275 = ROUND('Raw Data'!Q275, 2),FALSE)),"",_xlfn.REGEXEXTRACT(CELL("address",Q275), "\$([A-Z]+)\$[0-9]+"))),_xlfn.REGEXEXTRACT(CELL("address",Q275), "\$([A-Z]+)\$[0-9]+"))</f>
        <v/>
      </c>
      <c r="R275" s="7" t="str" cm="1">
        <f t="array" aca="1" ref="R275" ca="1">IFERROR(IF(OR('Raw Data'!R275="",LEN(TRIM('Raw Data'!R275))=0),"",IF(AND(ISNUMBER('Raw Data'!R275), IFERROR('Raw Data'!R275 = ROUND('Raw Data'!R275, 2),FALSE)),"",_xlfn.REGEXEXTRACT(CELL("address",R275), "\$([A-Z]+)\$[0-9]+"))),_xlfn.REGEXEXTRACT(CELL("address",R275), "\$([A-Z]+)\$[0-9]+"))</f>
        <v/>
      </c>
      <c r="S275" s="7" t="str" cm="1">
        <f t="array" aca="1" ref="S275" ca="1">IFERROR(IF(OR('Raw Data'!S275="",LEN(TRIM('Raw Data'!S275))=0),"",IF(AND(ISNUMBER('Raw Data'!S275), IFERROR('Raw Data'!S275 = ROUND('Raw Data'!S275, 2),FALSE)),"",_xlfn.REGEXEXTRACT(CELL("address",S275), "\$([A-Z]+)\$[0-9]+"))),_xlfn.REGEXEXTRACT(CELL("address",S275), "\$([A-Z]+)\$[0-9]+"))</f>
        <v/>
      </c>
      <c r="T275" s="7" t="str" cm="1">
        <f t="array" aca="1" ref="T275" ca="1">IFERROR(IF(OR('Raw Data'!T275="",LEN(TRIM('Raw Data'!T275))=0),"",IF(AND(ISNUMBER('Raw Data'!T275), IFERROR('Raw Data'!T275 = ROUND('Raw Data'!T275, 2),FALSE)),"",_xlfn.REGEXEXTRACT(CELL("address",T275), "\$([A-Z]+)\$[0-9]+"))),_xlfn.REGEXEXTRACT(CELL("address",T275), "\$([A-Z]+)\$[0-9]+"))</f>
        <v/>
      </c>
      <c r="U275" s="7" t="str" cm="1">
        <f t="array" aca="1" ref="U275" ca="1">IFERROR(IF(OR('Raw Data'!U275="",LEN(TRIM('Raw Data'!U275))=0),"",IF(AND(ISNUMBER('Raw Data'!U275), IFERROR('Raw Data'!U275 = ROUND('Raw Data'!U275, 2),FALSE)),"",_xlfn.REGEXEXTRACT(CELL("address",U275), "\$([A-Z]+)\$[0-9]+"))),_xlfn.REGEXEXTRACT(CELL("address",U275), "\$([A-Z]+)\$[0-9]+"))</f>
        <v/>
      </c>
      <c r="V275" s="7" t="str" cm="1">
        <f t="array" aca="1" ref="V275" ca="1">IFERROR(IF(OR('Raw Data'!V275="",LEN(TRIM('Raw Data'!V275))=0),"",IF(AND(ISNUMBER('Raw Data'!V275), IFERROR('Raw Data'!V275 = ROUND('Raw Data'!V275, 2),FALSE)),"",_xlfn.REGEXEXTRACT(CELL("address",V275), "\$([A-Z]+)\$[0-9]+"))),_xlfn.REGEXEXTRACT(CELL("address",V275), "\$([A-Z]+)\$[0-9]+"))</f>
        <v/>
      </c>
      <c r="W275" s="7" t="str" cm="1">
        <f t="array" aca="1" ref="W275" ca="1">IFERROR(IF(OR('Raw Data'!W275="",LEN(TRIM('Raw Data'!W275))=0),"",IF(AND(ISNUMBER('Raw Data'!W275), IFERROR('Raw Data'!W275 = ROUND('Raw Data'!W275, 2),FALSE)),"",_xlfn.REGEXEXTRACT(CELL("address",W275), "\$([A-Z]+)\$[0-9]+"))),_xlfn.REGEXEXTRACT(CELL("address",W275), "\$([A-Z]+)\$[0-9]+"))</f>
        <v/>
      </c>
      <c r="X275" s="7" t="str" cm="1">
        <f t="array" aca="1" ref="X275" ca="1">IFERROR(IF(OR('Raw Data'!X275="",LEN(TRIM('Raw Data'!X275))=0),"",IF(AND(ISNUMBER('Raw Data'!X275), IFERROR('Raw Data'!X275 = ROUND('Raw Data'!X275, 2),FALSE)),"",_xlfn.REGEXEXTRACT(CELL("address",X275), "\$([A-Z]+)\$[0-9]+"))),_xlfn.REGEXEXTRACT(CELL("address",X275), "\$([A-Z]+)\$[0-9]+"))</f>
        <v/>
      </c>
      <c r="Y275" s="7" t="str" cm="1">
        <f t="array" aca="1" ref="Y275" ca="1">IFERROR(IF(OR('Raw Data'!Y275="",LEN(TRIM('Raw Data'!Y275))=0),"",IF(AND(ISNUMBER('Raw Data'!Y275), IFERROR('Raw Data'!Y275 = ROUND('Raw Data'!Y275, 2),FALSE)),"",_xlfn.REGEXEXTRACT(CELL("address",Y275), "\$([A-Z]+)\$[0-9]+"))),_xlfn.REGEXEXTRACT(CELL("address",Y275), "\$([A-Z]+)\$[0-9]+"))</f>
        <v/>
      </c>
      <c r="Z275" s="7" t="str" cm="1">
        <f t="array" aca="1" ref="Z275" ca="1">IFERROR(IF(OR('Raw Data'!Z275="",LEN(TRIM('Raw Data'!Z275))=0),"",IF(AND(ISNUMBER('Raw Data'!Z275), IFERROR('Raw Data'!Z275 = ROUND('Raw Data'!Z275, 2),FALSE)),"",_xlfn.REGEXEXTRACT(CELL("address",Z275), "\$([A-Z]+)\$[0-9]+"))),_xlfn.REGEXEXTRACT(CELL("address",Z275), "\$([A-Z]+)\$[0-9]+"))</f>
        <v/>
      </c>
      <c r="AA275" s="7" t="str" cm="1">
        <f t="array" aca="1" ref="AA275" ca="1">IFERROR(IF(OR('Raw Data'!AA275="",LEN(TRIM('Raw Data'!AA275))=0),"",IF(AND(ISNUMBER('Raw Data'!AA275), IFERROR('Raw Data'!AA275 = ROUND('Raw Data'!AA275, 2),FALSE)),"",_xlfn.REGEXEXTRACT(CELL("address",AA275), "\$([A-Z]+)\$[0-9]+"))),_xlfn.REGEXEXTRACT(CELL("address",AA275), "\$([A-Z]+)\$[0-9]+"))</f>
        <v/>
      </c>
      <c r="AB275" s="7" t="str" cm="1">
        <f t="array" aca="1" ref="AB275" ca="1">IFERROR(IF(OR('Raw Data'!AB275="",LEN(TRIM('Raw Data'!AB275))=0),"",IF(AND(ISNUMBER('Raw Data'!AB275), IFERROR('Raw Data'!AB275 = ROUND('Raw Data'!AB275, 2),FALSE)),"",_xlfn.REGEXEXTRACT(CELL("address",AB275), "\$([A-Z]+)\$[0-9]+"))),_xlfn.REGEXEXTRACT(CELL("address",AB275), "\$([A-Z]+)\$[0-9]+"))</f>
        <v/>
      </c>
    </row>
    <row r="276" spans="2:28" x14ac:dyDescent="0.25">
      <c r="B276" s="7" t="str" cm="1">
        <f t="array" aca="1" ref="B276" ca="1">IFERROR(IF(OR('Raw Data'!B276="",LEN(TRIM('Raw Data'!B276))=0),"",IF(AND(LEN('Raw Data'!B276) &lt;= 255,LEN('Raw Data'!B276)&gt; 0),"",_xlfn.REGEXEXTRACT(CELL("address",'Raw Data'!B276),"\$([A-Z]+)\$[0-9]+"))),_xlfn.REGEXEXTRACT(CELL("address",'Raw Data'!B276),"\$([A-Z]+)\$[0-9]+"))</f>
        <v/>
      </c>
      <c r="C276" s="7" t="str" cm="1">
        <f t="array" aca="1" ref="C276" ca="1">IFERROR(IF(OR('Raw Data'!C276="",LEN(TRIM('Raw Data'!C276))=0),"",IF(AND(LEN('Raw Data'!C276) &lt;= 20,LEN('Raw Data'!C276)&gt; 0),"",_xlfn.REGEXEXTRACT(CELL("address",'Raw Data'!C276),"\$([A-Z]+)\$[0-9]+"))),_xlfn.REGEXEXTRACT(CELL("address",'Raw Data'!C276),"\$([A-Z]+)\$[0-9]+"))</f>
        <v/>
      </c>
      <c r="D276" s="7" t="str" cm="1">
        <f t="array" aca="1" ref="D276" ca="1">IFERROR(IF(OR('Raw Data'!D276="",LEN(TRIM('Raw Data'!D276))=0),"",IF(AND(ISNUMBER('Raw Data'!D276),'Raw Data'!D276&gt;=Configuration!$D$2),"",_xlfn.REGEXEXTRACT(CELL("address",'Raw Data'!D276),"\$([A-Z]+)\$[0-9]+"))),_xlfn.REGEXEXTRACT(CELL("address",D276), "\$([A-Z]+)\$[0-9]+"))</f>
        <v/>
      </c>
      <c r="E276" s="7" t="str" cm="1">
        <f t="array" aca="1" ref="E276" ca="1">IFERROR(IF(OR('Raw Data'!E276="",LEN(TRIM('Raw Data'!E276))=0),"",IF(AND(ISNUMBER('Raw Data'!E276), IFERROR('Raw Data'!E276 = ROUND('Raw Data'!E276, 2),FALSE)),"",_xlfn.REGEXEXTRACT(CELL("address",E276), "\$([A-Z]+)\$[0-9]+"))),_xlfn.REGEXEXTRACT(CELL("address",E276), "\$([A-Z]+)\$[0-9]+"))</f>
        <v/>
      </c>
      <c r="F276" s="7" t="str" cm="1">
        <f t="array" aca="1" ref="F276" ca="1">IFERROR(IF(OR('Raw Data'!F276="",LEN(TRIM('Raw Data'!F276))=0),"",IF(AND(ISNUMBER('Raw Data'!F276), IFERROR('Raw Data'!F276 = ROUND('Raw Data'!F276, 2),FALSE)),"",_xlfn.REGEXEXTRACT(CELL("address",F276), "\$([A-Z]+)\$[0-9]+"))),_xlfn.REGEXEXTRACT(CELL("address",F276), "\$([A-Z]+)\$[0-9]+"))</f>
        <v/>
      </c>
      <c r="G276" s="7" t="str" cm="1">
        <f t="array" aca="1" ref="G276" ca="1">IFERROR(IF(OR('Raw Data'!G276="",LEN(TRIM('Raw Data'!G276))=0),"",IF(AND(ISNUMBER('Raw Data'!G276), IFERROR('Raw Data'!G276 = ROUND('Raw Data'!G276, 2),FALSE)),"",_xlfn.REGEXEXTRACT(CELL("address",G276), "\$([A-Z]+)\$[0-9]+"))),_xlfn.REGEXEXTRACT(CELL("address",G276), "\$([A-Z]+)\$[0-9]+"))</f>
        <v/>
      </c>
      <c r="H276" s="7" t="str" cm="1">
        <f t="array" aca="1" ref="H276" ca="1">IFERROR(IF(OR('Raw Data'!H276="",LEN(TRIM('Raw Data'!H276))=0),"",IF(AND(ISNUMBER('Raw Data'!H276), IFERROR('Raw Data'!H276 = ROUND('Raw Data'!H276, 2),FALSE)),"",_xlfn.REGEXEXTRACT(CELL("address",H276), "\$([A-Z]+)\$[0-9]+"))),_xlfn.REGEXEXTRACT(CELL("address",H276), "\$([A-Z]+)\$[0-9]+"))</f>
        <v/>
      </c>
      <c r="I276" s="7" t="str" cm="1">
        <f t="array" aca="1" ref="I276" ca="1">IFERROR(IF(OR('Raw Data'!I276="",LEN(TRIM('Raw Data'!I276))=0),"",IF(AND(ISNUMBER('Raw Data'!I276), IFERROR('Raw Data'!I276 = ROUND('Raw Data'!I276, 2),FALSE)),"",_xlfn.REGEXEXTRACT(CELL("address",I276), "\$([A-Z]+)\$[0-9]+"))),_xlfn.REGEXEXTRACT(CELL("address",I276), "\$([A-Z]+)\$[0-9]+"))</f>
        <v/>
      </c>
      <c r="J276" s="7" t="str" cm="1">
        <f t="array" aca="1" ref="J276" ca="1">IFERROR(IF(OR('Raw Data'!J276="",LEN(TRIM('Raw Data'!J276))=0),"",IF(AND(ISNUMBER('Raw Data'!J276), IFERROR('Raw Data'!J276 = ROUND('Raw Data'!J276, 2),FALSE)),"",_xlfn.REGEXEXTRACT(CELL("address",J276), "\$([A-Z]+)\$[0-9]+"))),_xlfn.REGEXEXTRACT(CELL("address",J276), "\$([A-Z]+)\$[0-9]+"))</f>
        <v/>
      </c>
      <c r="K276" s="7" t="str" cm="1">
        <f t="array" aca="1" ref="K276" ca="1">IFERROR(IF(OR('Raw Data'!K276="",LEN(TRIM('Raw Data'!K276))=0),"",IF(AND(ISNUMBER('Raw Data'!K276), IFERROR('Raw Data'!K276 = ROUND('Raw Data'!K276, 2),FALSE)),"",_xlfn.REGEXEXTRACT(CELL("address",K276), "\$([A-Z]+)\$[0-9]+"))),_xlfn.REGEXEXTRACT(CELL("address",K276), "\$([A-Z]+)\$[0-9]+"))</f>
        <v/>
      </c>
      <c r="L276" s="7" t="str" cm="1">
        <f t="array" aca="1" ref="L276" ca="1">IFERROR(IF(OR('Raw Data'!L276="",LEN(TRIM('Raw Data'!L276))=0),"",IF(AND(ISNUMBER('Raw Data'!L276), IFERROR('Raw Data'!L276 = ROUND('Raw Data'!L276, 2),FALSE)),"",_xlfn.REGEXEXTRACT(CELL("address",L276), "\$([A-Z]+)\$[0-9]+"))),_xlfn.REGEXEXTRACT(CELL("address",L276), "\$([A-Z]+)\$[0-9]+"))</f>
        <v/>
      </c>
      <c r="M276" s="7" t="str" cm="1">
        <f t="array" aca="1" ref="M276" ca="1">IFERROR(IF(OR('Raw Data'!M276="",LEN(TRIM('Raw Data'!M276))=0),"",IF(AND(ISNUMBER('Raw Data'!M276), IFERROR('Raw Data'!M276 = ROUND('Raw Data'!M276, 2),FALSE)),"",_xlfn.REGEXEXTRACT(CELL("address",M276), "\$([A-Z]+)\$[0-9]+"))),_xlfn.REGEXEXTRACT(CELL("address",M276), "\$([A-Z]+)\$[0-9]+"))</f>
        <v/>
      </c>
      <c r="N276" s="7" t="str" cm="1">
        <f t="array" aca="1" ref="N276" ca="1">IFERROR(IF(OR('Raw Data'!N276="",LEN(TRIM('Raw Data'!N276))=0),"",IF(AND(ISNUMBER('Raw Data'!N276), IFERROR('Raw Data'!N276 = ROUND('Raw Data'!N276, 2),FALSE)),"",_xlfn.REGEXEXTRACT(CELL("address",N276), "\$([A-Z]+)\$[0-9]+"))),_xlfn.REGEXEXTRACT(CELL("address",N276), "\$([A-Z]+)\$[0-9]+"))</f>
        <v/>
      </c>
      <c r="O276" s="7" t="str" cm="1">
        <f t="array" aca="1" ref="O276" ca="1">IFERROR(IF(OR('Raw Data'!O276="",LEN(TRIM('Raw Data'!O276))=0),"",IF(AND(ISNUMBER('Raw Data'!O276), IFERROR('Raw Data'!O276 = ROUND('Raw Data'!O276, 2),FALSE)),"",_xlfn.REGEXEXTRACT(CELL("address",O276), "\$([A-Z]+)\$[0-9]+"))),_xlfn.REGEXEXTRACT(CELL("address",O276), "\$([A-Z]+)\$[0-9]+"))</f>
        <v/>
      </c>
      <c r="P276" s="7" t="str" cm="1">
        <f t="array" aca="1" ref="P276" ca="1">IFERROR(IF(OR('Raw Data'!P276="",LEN(TRIM('Raw Data'!P276))=0),"",IF(AND(ISNUMBER('Raw Data'!P276), IFERROR('Raw Data'!P276 = ROUND('Raw Data'!P276, 2),FALSE)),"",_xlfn.REGEXEXTRACT(CELL("address",P276), "\$([A-Z]+)\$[0-9]+"))),_xlfn.REGEXEXTRACT(CELL("address",P276), "\$([A-Z]+)\$[0-9]+"))</f>
        <v/>
      </c>
      <c r="Q276" s="7" t="str" cm="1">
        <f t="array" aca="1" ref="Q276" ca="1">IFERROR(IF(OR('Raw Data'!Q276="",LEN(TRIM('Raw Data'!Q276))=0),"",IF(AND(ISNUMBER('Raw Data'!Q276), IFERROR('Raw Data'!Q276 = ROUND('Raw Data'!Q276, 2),FALSE)),"",_xlfn.REGEXEXTRACT(CELL("address",Q276), "\$([A-Z]+)\$[0-9]+"))),_xlfn.REGEXEXTRACT(CELL("address",Q276), "\$([A-Z]+)\$[0-9]+"))</f>
        <v/>
      </c>
      <c r="R276" s="7" t="str" cm="1">
        <f t="array" aca="1" ref="R276" ca="1">IFERROR(IF(OR('Raw Data'!R276="",LEN(TRIM('Raw Data'!R276))=0),"",IF(AND(ISNUMBER('Raw Data'!R276), IFERROR('Raw Data'!R276 = ROUND('Raw Data'!R276, 2),FALSE)),"",_xlfn.REGEXEXTRACT(CELL("address",R276), "\$([A-Z]+)\$[0-9]+"))),_xlfn.REGEXEXTRACT(CELL("address",R276), "\$([A-Z]+)\$[0-9]+"))</f>
        <v/>
      </c>
      <c r="S276" s="7" t="str" cm="1">
        <f t="array" aca="1" ref="S276" ca="1">IFERROR(IF(OR('Raw Data'!S276="",LEN(TRIM('Raw Data'!S276))=0),"",IF(AND(ISNUMBER('Raw Data'!S276), IFERROR('Raw Data'!S276 = ROUND('Raw Data'!S276, 2),FALSE)),"",_xlfn.REGEXEXTRACT(CELL("address",S276), "\$([A-Z]+)\$[0-9]+"))),_xlfn.REGEXEXTRACT(CELL("address",S276), "\$([A-Z]+)\$[0-9]+"))</f>
        <v/>
      </c>
      <c r="T276" s="7" t="str" cm="1">
        <f t="array" aca="1" ref="T276" ca="1">IFERROR(IF(OR('Raw Data'!T276="",LEN(TRIM('Raw Data'!T276))=0),"",IF(AND(ISNUMBER('Raw Data'!T276), IFERROR('Raw Data'!T276 = ROUND('Raw Data'!T276, 2),FALSE)),"",_xlfn.REGEXEXTRACT(CELL("address",T276), "\$([A-Z]+)\$[0-9]+"))),_xlfn.REGEXEXTRACT(CELL("address",T276), "\$([A-Z]+)\$[0-9]+"))</f>
        <v/>
      </c>
      <c r="U276" s="7" t="str" cm="1">
        <f t="array" aca="1" ref="U276" ca="1">IFERROR(IF(OR('Raw Data'!U276="",LEN(TRIM('Raw Data'!U276))=0),"",IF(AND(ISNUMBER('Raw Data'!U276), IFERROR('Raw Data'!U276 = ROUND('Raw Data'!U276, 2),FALSE)),"",_xlfn.REGEXEXTRACT(CELL("address",U276), "\$([A-Z]+)\$[0-9]+"))),_xlfn.REGEXEXTRACT(CELL("address",U276), "\$([A-Z]+)\$[0-9]+"))</f>
        <v/>
      </c>
      <c r="V276" s="7" t="str" cm="1">
        <f t="array" aca="1" ref="V276" ca="1">IFERROR(IF(OR('Raw Data'!V276="",LEN(TRIM('Raw Data'!V276))=0),"",IF(AND(ISNUMBER('Raw Data'!V276), IFERROR('Raw Data'!V276 = ROUND('Raw Data'!V276, 2),FALSE)),"",_xlfn.REGEXEXTRACT(CELL("address",V276), "\$([A-Z]+)\$[0-9]+"))),_xlfn.REGEXEXTRACT(CELL("address",V276), "\$([A-Z]+)\$[0-9]+"))</f>
        <v/>
      </c>
      <c r="W276" s="7" t="str" cm="1">
        <f t="array" aca="1" ref="W276" ca="1">IFERROR(IF(OR('Raw Data'!W276="",LEN(TRIM('Raw Data'!W276))=0),"",IF(AND(ISNUMBER('Raw Data'!W276), IFERROR('Raw Data'!W276 = ROUND('Raw Data'!W276, 2),FALSE)),"",_xlfn.REGEXEXTRACT(CELL("address",W276), "\$([A-Z]+)\$[0-9]+"))),_xlfn.REGEXEXTRACT(CELL("address",W276), "\$([A-Z]+)\$[0-9]+"))</f>
        <v/>
      </c>
      <c r="X276" s="7" t="str" cm="1">
        <f t="array" aca="1" ref="X276" ca="1">IFERROR(IF(OR('Raw Data'!X276="",LEN(TRIM('Raw Data'!X276))=0),"",IF(AND(ISNUMBER('Raw Data'!X276), IFERROR('Raw Data'!X276 = ROUND('Raw Data'!X276, 2),FALSE)),"",_xlfn.REGEXEXTRACT(CELL("address",X276), "\$([A-Z]+)\$[0-9]+"))),_xlfn.REGEXEXTRACT(CELL("address",X276), "\$([A-Z]+)\$[0-9]+"))</f>
        <v/>
      </c>
      <c r="Y276" s="7" t="str" cm="1">
        <f t="array" aca="1" ref="Y276" ca="1">IFERROR(IF(OR('Raw Data'!Y276="",LEN(TRIM('Raw Data'!Y276))=0),"",IF(AND(ISNUMBER('Raw Data'!Y276), IFERROR('Raw Data'!Y276 = ROUND('Raw Data'!Y276, 2),FALSE)),"",_xlfn.REGEXEXTRACT(CELL("address",Y276), "\$([A-Z]+)\$[0-9]+"))),_xlfn.REGEXEXTRACT(CELL("address",Y276), "\$([A-Z]+)\$[0-9]+"))</f>
        <v/>
      </c>
      <c r="Z276" s="7" t="str" cm="1">
        <f t="array" aca="1" ref="Z276" ca="1">IFERROR(IF(OR('Raw Data'!Z276="",LEN(TRIM('Raw Data'!Z276))=0),"",IF(AND(ISNUMBER('Raw Data'!Z276), IFERROR('Raw Data'!Z276 = ROUND('Raw Data'!Z276, 2),FALSE)),"",_xlfn.REGEXEXTRACT(CELL("address",Z276), "\$([A-Z]+)\$[0-9]+"))),_xlfn.REGEXEXTRACT(CELL("address",Z276), "\$([A-Z]+)\$[0-9]+"))</f>
        <v/>
      </c>
      <c r="AA276" s="7" t="str" cm="1">
        <f t="array" aca="1" ref="AA276" ca="1">IFERROR(IF(OR('Raw Data'!AA276="",LEN(TRIM('Raw Data'!AA276))=0),"",IF(AND(ISNUMBER('Raw Data'!AA276), IFERROR('Raw Data'!AA276 = ROUND('Raw Data'!AA276, 2),FALSE)),"",_xlfn.REGEXEXTRACT(CELL("address",AA276), "\$([A-Z]+)\$[0-9]+"))),_xlfn.REGEXEXTRACT(CELL("address",AA276), "\$([A-Z]+)\$[0-9]+"))</f>
        <v/>
      </c>
      <c r="AB276" s="7" t="str" cm="1">
        <f t="array" aca="1" ref="AB276" ca="1">IFERROR(IF(OR('Raw Data'!AB276="",LEN(TRIM('Raw Data'!AB276))=0),"",IF(AND(ISNUMBER('Raw Data'!AB276), IFERROR('Raw Data'!AB276 = ROUND('Raw Data'!AB276, 2),FALSE)),"",_xlfn.REGEXEXTRACT(CELL("address",AB276), "\$([A-Z]+)\$[0-9]+"))),_xlfn.REGEXEXTRACT(CELL("address",AB276), "\$([A-Z]+)\$[0-9]+"))</f>
        <v/>
      </c>
    </row>
    <row r="277" spans="2:28" x14ac:dyDescent="0.25">
      <c r="B277" s="7" t="str" cm="1">
        <f t="array" aca="1" ref="B277" ca="1">IFERROR(IF(OR('Raw Data'!B277="",LEN(TRIM('Raw Data'!B277))=0),"",IF(AND(LEN('Raw Data'!B277) &lt;= 255,LEN('Raw Data'!B277)&gt; 0),"",_xlfn.REGEXEXTRACT(CELL("address",'Raw Data'!B277),"\$([A-Z]+)\$[0-9]+"))),_xlfn.REGEXEXTRACT(CELL("address",'Raw Data'!B277),"\$([A-Z]+)\$[0-9]+"))</f>
        <v/>
      </c>
      <c r="C277" s="7" t="str" cm="1">
        <f t="array" aca="1" ref="C277" ca="1">IFERROR(IF(OR('Raw Data'!C277="",LEN(TRIM('Raw Data'!C277))=0),"",IF(AND(LEN('Raw Data'!C277) &lt;= 20,LEN('Raw Data'!C277)&gt; 0),"",_xlfn.REGEXEXTRACT(CELL("address",'Raw Data'!C277),"\$([A-Z]+)\$[0-9]+"))),_xlfn.REGEXEXTRACT(CELL("address",'Raw Data'!C277),"\$([A-Z]+)\$[0-9]+"))</f>
        <v/>
      </c>
      <c r="D277" s="7" t="str" cm="1">
        <f t="array" aca="1" ref="D277" ca="1">IFERROR(IF(OR('Raw Data'!D277="",LEN(TRIM('Raw Data'!D277))=0),"",IF(AND(ISNUMBER('Raw Data'!D277),'Raw Data'!D277&gt;=Configuration!$D$2),"",_xlfn.REGEXEXTRACT(CELL("address",'Raw Data'!D277),"\$([A-Z]+)\$[0-9]+"))),_xlfn.REGEXEXTRACT(CELL("address",D277), "\$([A-Z]+)\$[0-9]+"))</f>
        <v/>
      </c>
      <c r="E277" s="7" t="str" cm="1">
        <f t="array" aca="1" ref="E277" ca="1">IFERROR(IF(OR('Raw Data'!E277="",LEN(TRIM('Raw Data'!E277))=0),"",IF(AND(ISNUMBER('Raw Data'!E277), IFERROR('Raw Data'!E277 = ROUND('Raw Data'!E277, 2),FALSE)),"",_xlfn.REGEXEXTRACT(CELL("address",E277), "\$([A-Z]+)\$[0-9]+"))),_xlfn.REGEXEXTRACT(CELL("address",E277), "\$([A-Z]+)\$[0-9]+"))</f>
        <v/>
      </c>
      <c r="F277" s="7" t="str" cm="1">
        <f t="array" aca="1" ref="F277" ca="1">IFERROR(IF(OR('Raw Data'!F277="",LEN(TRIM('Raw Data'!F277))=0),"",IF(AND(ISNUMBER('Raw Data'!F277), IFERROR('Raw Data'!F277 = ROUND('Raw Data'!F277, 2),FALSE)),"",_xlfn.REGEXEXTRACT(CELL("address",F277), "\$([A-Z]+)\$[0-9]+"))),_xlfn.REGEXEXTRACT(CELL("address",F277), "\$([A-Z]+)\$[0-9]+"))</f>
        <v/>
      </c>
      <c r="G277" s="7" t="str" cm="1">
        <f t="array" aca="1" ref="G277" ca="1">IFERROR(IF(OR('Raw Data'!G277="",LEN(TRIM('Raw Data'!G277))=0),"",IF(AND(ISNUMBER('Raw Data'!G277), IFERROR('Raw Data'!G277 = ROUND('Raw Data'!G277, 2),FALSE)),"",_xlfn.REGEXEXTRACT(CELL("address",G277), "\$([A-Z]+)\$[0-9]+"))),_xlfn.REGEXEXTRACT(CELL("address",G277), "\$([A-Z]+)\$[0-9]+"))</f>
        <v/>
      </c>
      <c r="H277" s="7" t="str" cm="1">
        <f t="array" aca="1" ref="H277" ca="1">IFERROR(IF(OR('Raw Data'!H277="",LEN(TRIM('Raw Data'!H277))=0),"",IF(AND(ISNUMBER('Raw Data'!H277), IFERROR('Raw Data'!H277 = ROUND('Raw Data'!H277, 2),FALSE)),"",_xlfn.REGEXEXTRACT(CELL("address",H277), "\$([A-Z]+)\$[0-9]+"))),_xlfn.REGEXEXTRACT(CELL("address",H277), "\$([A-Z]+)\$[0-9]+"))</f>
        <v/>
      </c>
      <c r="I277" s="7" t="str" cm="1">
        <f t="array" aca="1" ref="I277" ca="1">IFERROR(IF(OR('Raw Data'!I277="",LEN(TRIM('Raw Data'!I277))=0),"",IF(AND(ISNUMBER('Raw Data'!I277), IFERROR('Raw Data'!I277 = ROUND('Raw Data'!I277, 2),FALSE)),"",_xlfn.REGEXEXTRACT(CELL("address",I277), "\$([A-Z]+)\$[0-9]+"))),_xlfn.REGEXEXTRACT(CELL("address",I277), "\$([A-Z]+)\$[0-9]+"))</f>
        <v/>
      </c>
      <c r="J277" s="7" t="str" cm="1">
        <f t="array" aca="1" ref="J277" ca="1">IFERROR(IF(OR('Raw Data'!J277="",LEN(TRIM('Raw Data'!J277))=0),"",IF(AND(ISNUMBER('Raw Data'!J277), IFERROR('Raw Data'!J277 = ROUND('Raw Data'!J277, 2),FALSE)),"",_xlfn.REGEXEXTRACT(CELL("address",J277), "\$([A-Z]+)\$[0-9]+"))),_xlfn.REGEXEXTRACT(CELL("address",J277), "\$([A-Z]+)\$[0-9]+"))</f>
        <v/>
      </c>
      <c r="K277" s="7" t="str" cm="1">
        <f t="array" aca="1" ref="K277" ca="1">IFERROR(IF(OR('Raw Data'!K277="",LEN(TRIM('Raw Data'!K277))=0),"",IF(AND(ISNUMBER('Raw Data'!K277), IFERROR('Raw Data'!K277 = ROUND('Raw Data'!K277, 2),FALSE)),"",_xlfn.REGEXEXTRACT(CELL("address",K277), "\$([A-Z]+)\$[0-9]+"))),_xlfn.REGEXEXTRACT(CELL("address",K277), "\$([A-Z]+)\$[0-9]+"))</f>
        <v/>
      </c>
      <c r="L277" s="7" t="str" cm="1">
        <f t="array" aca="1" ref="L277" ca="1">IFERROR(IF(OR('Raw Data'!L277="",LEN(TRIM('Raw Data'!L277))=0),"",IF(AND(ISNUMBER('Raw Data'!L277), IFERROR('Raw Data'!L277 = ROUND('Raw Data'!L277, 2),FALSE)),"",_xlfn.REGEXEXTRACT(CELL("address",L277), "\$([A-Z]+)\$[0-9]+"))),_xlfn.REGEXEXTRACT(CELL("address",L277), "\$([A-Z]+)\$[0-9]+"))</f>
        <v/>
      </c>
      <c r="M277" s="7" t="str" cm="1">
        <f t="array" aca="1" ref="M277" ca="1">IFERROR(IF(OR('Raw Data'!M277="",LEN(TRIM('Raw Data'!M277))=0),"",IF(AND(ISNUMBER('Raw Data'!M277), IFERROR('Raw Data'!M277 = ROUND('Raw Data'!M277, 2),FALSE)),"",_xlfn.REGEXEXTRACT(CELL("address",M277), "\$([A-Z]+)\$[0-9]+"))),_xlfn.REGEXEXTRACT(CELL("address",M277), "\$([A-Z]+)\$[0-9]+"))</f>
        <v/>
      </c>
      <c r="N277" s="7" t="str" cm="1">
        <f t="array" aca="1" ref="N277" ca="1">IFERROR(IF(OR('Raw Data'!N277="",LEN(TRIM('Raw Data'!N277))=0),"",IF(AND(ISNUMBER('Raw Data'!N277), IFERROR('Raw Data'!N277 = ROUND('Raw Data'!N277, 2),FALSE)),"",_xlfn.REGEXEXTRACT(CELL("address",N277), "\$([A-Z]+)\$[0-9]+"))),_xlfn.REGEXEXTRACT(CELL("address",N277), "\$([A-Z]+)\$[0-9]+"))</f>
        <v/>
      </c>
      <c r="O277" s="7" t="str" cm="1">
        <f t="array" aca="1" ref="O277" ca="1">IFERROR(IF(OR('Raw Data'!O277="",LEN(TRIM('Raw Data'!O277))=0),"",IF(AND(ISNUMBER('Raw Data'!O277), IFERROR('Raw Data'!O277 = ROUND('Raw Data'!O277, 2),FALSE)),"",_xlfn.REGEXEXTRACT(CELL("address",O277), "\$([A-Z]+)\$[0-9]+"))),_xlfn.REGEXEXTRACT(CELL("address",O277), "\$([A-Z]+)\$[0-9]+"))</f>
        <v/>
      </c>
      <c r="P277" s="7" t="str" cm="1">
        <f t="array" aca="1" ref="P277" ca="1">IFERROR(IF(OR('Raw Data'!P277="",LEN(TRIM('Raw Data'!P277))=0),"",IF(AND(ISNUMBER('Raw Data'!P277), IFERROR('Raw Data'!P277 = ROUND('Raw Data'!P277, 2),FALSE)),"",_xlfn.REGEXEXTRACT(CELL("address",P277), "\$([A-Z]+)\$[0-9]+"))),_xlfn.REGEXEXTRACT(CELL("address",P277), "\$([A-Z]+)\$[0-9]+"))</f>
        <v/>
      </c>
      <c r="Q277" s="7" t="str" cm="1">
        <f t="array" aca="1" ref="Q277" ca="1">IFERROR(IF(OR('Raw Data'!Q277="",LEN(TRIM('Raw Data'!Q277))=0),"",IF(AND(ISNUMBER('Raw Data'!Q277), IFERROR('Raw Data'!Q277 = ROUND('Raw Data'!Q277, 2),FALSE)),"",_xlfn.REGEXEXTRACT(CELL("address",Q277), "\$([A-Z]+)\$[0-9]+"))),_xlfn.REGEXEXTRACT(CELL("address",Q277), "\$([A-Z]+)\$[0-9]+"))</f>
        <v/>
      </c>
      <c r="R277" s="7" t="str" cm="1">
        <f t="array" aca="1" ref="R277" ca="1">IFERROR(IF(OR('Raw Data'!R277="",LEN(TRIM('Raw Data'!R277))=0),"",IF(AND(ISNUMBER('Raw Data'!R277), IFERROR('Raw Data'!R277 = ROUND('Raw Data'!R277, 2),FALSE)),"",_xlfn.REGEXEXTRACT(CELL("address",R277), "\$([A-Z]+)\$[0-9]+"))),_xlfn.REGEXEXTRACT(CELL("address",R277), "\$([A-Z]+)\$[0-9]+"))</f>
        <v/>
      </c>
      <c r="S277" s="7" t="str" cm="1">
        <f t="array" aca="1" ref="S277" ca="1">IFERROR(IF(OR('Raw Data'!S277="",LEN(TRIM('Raw Data'!S277))=0),"",IF(AND(ISNUMBER('Raw Data'!S277), IFERROR('Raw Data'!S277 = ROUND('Raw Data'!S277, 2),FALSE)),"",_xlfn.REGEXEXTRACT(CELL("address",S277), "\$([A-Z]+)\$[0-9]+"))),_xlfn.REGEXEXTRACT(CELL("address",S277), "\$([A-Z]+)\$[0-9]+"))</f>
        <v/>
      </c>
      <c r="T277" s="7" t="str" cm="1">
        <f t="array" aca="1" ref="T277" ca="1">IFERROR(IF(OR('Raw Data'!T277="",LEN(TRIM('Raw Data'!T277))=0),"",IF(AND(ISNUMBER('Raw Data'!T277), IFERROR('Raw Data'!T277 = ROUND('Raw Data'!T277, 2),FALSE)),"",_xlfn.REGEXEXTRACT(CELL("address",T277), "\$([A-Z]+)\$[0-9]+"))),_xlfn.REGEXEXTRACT(CELL("address",T277), "\$([A-Z]+)\$[0-9]+"))</f>
        <v/>
      </c>
      <c r="U277" s="7" t="str" cm="1">
        <f t="array" aca="1" ref="U277" ca="1">IFERROR(IF(OR('Raw Data'!U277="",LEN(TRIM('Raw Data'!U277))=0),"",IF(AND(ISNUMBER('Raw Data'!U277), IFERROR('Raw Data'!U277 = ROUND('Raw Data'!U277, 2),FALSE)),"",_xlfn.REGEXEXTRACT(CELL("address",U277), "\$([A-Z]+)\$[0-9]+"))),_xlfn.REGEXEXTRACT(CELL("address",U277), "\$([A-Z]+)\$[0-9]+"))</f>
        <v/>
      </c>
      <c r="V277" s="7" t="str" cm="1">
        <f t="array" aca="1" ref="V277" ca="1">IFERROR(IF(OR('Raw Data'!V277="",LEN(TRIM('Raw Data'!V277))=0),"",IF(AND(ISNUMBER('Raw Data'!V277), IFERROR('Raw Data'!V277 = ROUND('Raw Data'!V277, 2),FALSE)),"",_xlfn.REGEXEXTRACT(CELL("address",V277), "\$([A-Z]+)\$[0-9]+"))),_xlfn.REGEXEXTRACT(CELL("address",V277), "\$([A-Z]+)\$[0-9]+"))</f>
        <v/>
      </c>
      <c r="W277" s="7" t="str" cm="1">
        <f t="array" aca="1" ref="W277" ca="1">IFERROR(IF(OR('Raw Data'!W277="",LEN(TRIM('Raw Data'!W277))=0),"",IF(AND(ISNUMBER('Raw Data'!W277), IFERROR('Raw Data'!W277 = ROUND('Raw Data'!W277, 2),FALSE)),"",_xlfn.REGEXEXTRACT(CELL("address",W277), "\$([A-Z]+)\$[0-9]+"))),_xlfn.REGEXEXTRACT(CELL("address",W277), "\$([A-Z]+)\$[0-9]+"))</f>
        <v/>
      </c>
      <c r="X277" s="7" t="str" cm="1">
        <f t="array" aca="1" ref="X277" ca="1">IFERROR(IF(OR('Raw Data'!X277="",LEN(TRIM('Raw Data'!X277))=0),"",IF(AND(ISNUMBER('Raw Data'!X277), IFERROR('Raw Data'!X277 = ROUND('Raw Data'!X277, 2),FALSE)),"",_xlfn.REGEXEXTRACT(CELL("address",X277), "\$([A-Z]+)\$[0-9]+"))),_xlfn.REGEXEXTRACT(CELL("address",X277), "\$([A-Z]+)\$[0-9]+"))</f>
        <v/>
      </c>
      <c r="Y277" s="7" t="str" cm="1">
        <f t="array" aca="1" ref="Y277" ca="1">IFERROR(IF(OR('Raw Data'!Y277="",LEN(TRIM('Raw Data'!Y277))=0),"",IF(AND(ISNUMBER('Raw Data'!Y277), IFERROR('Raw Data'!Y277 = ROUND('Raw Data'!Y277, 2),FALSE)),"",_xlfn.REGEXEXTRACT(CELL("address",Y277), "\$([A-Z]+)\$[0-9]+"))),_xlfn.REGEXEXTRACT(CELL("address",Y277), "\$([A-Z]+)\$[0-9]+"))</f>
        <v/>
      </c>
      <c r="Z277" s="7" t="str" cm="1">
        <f t="array" aca="1" ref="Z277" ca="1">IFERROR(IF(OR('Raw Data'!Z277="",LEN(TRIM('Raw Data'!Z277))=0),"",IF(AND(ISNUMBER('Raw Data'!Z277), IFERROR('Raw Data'!Z277 = ROUND('Raw Data'!Z277, 2),FALSE)),"",_xlfn.REGEXEXTRACT(CELL("address",Z277), "\$([A-Z]+)\$[0-9]+"))),_xlfn.REGEXEXTRACT(CELL("address",Z277), "\$([A-Z]+)\$[0-9]+"))</f>
        <v/>
      </c>
      <c r="AA277" s="7" t="str" cm="1">
        <f t="array" aca="1" ref="AA277" ca="1">IFERROR(IF(OR('Raw Data'!AA277="",LEN(TRIM('Raw Data'!AA277))=0),"",IF(AND(ISNUMBER('Raw Data'!AA277), IFERROR('Raw Data'!AA277 = ROUND('Raw Data'!AA277, 2),FALSE)),"",_xlfn.REGEXEXTRACT(CELL("address",AA277), "\$([A-Z]+)\$[0-9]+"))),_xlfn.REGEXEXTRACT(CELL("address",AA277), "\$([A-Z]+)\$[0-9]+"))</f>
        <v/>
      </c>
      <c r="AB277" s="7" t="str" cm="1">
        <f t="array" aca="1" ref="AB277" ca="1">IFERROR(IF(OR('Raw Data'!AB277="",LEN(TRIM('Raw Data'!AB277))=0),"",IF(AND(ISNUMBER('Raw Data'!AB277), IFERROR('Raw Data'!AB277 = ROUND('Raw Data'!AB277, 2),FALSE)),"",_xlfn.REGEXEXTRACT(CELL("address",AB277), "\$([A-Z]+)\$[0-9]+"))),_xlfn.REGEXEXTRACT(CELL("address",AB277), "\$([A-Z]+)\$[0-9]+"))</f>
        <v/>
      </c>
    </row>
    <row r="278" spans="2:28" x14ac:dyDescent="0.25">
      <c r="B278" s="7" t="str" cm="1">
        <f t="array" aca="1" ref="B278" ca="1">IFERROR(IF(OR('Raw Data'!B278="",LEN(TRIM('Raw Data'!B278))=0),"",IF(AND(LEN('Raw Data'!B278) &lt;= 255,LEN('Raw Data'!B278)&gt; 0),"",_xlfn.REGEXEXTRACT(CELL("address",'Raw Data'!B278),"\$([A-Z]+)\$[0-9]+"))),_xlfn.REGEXEXTRACT(CELL("address",'Raw Data'!B278),"\$([A-Z]+)\$[0-9]+"))</f>
        <v/>
      </c>
      <c r="C278" s="7" t="str" cm="1">
        <f t="array" aca="1" ref="C278" ca="1">IFERROR(IF(OR('Raw Data'!C278="",LEN(TRIM('Raw Data'!C278))=0),"",IF(AND(LEN('Raw Data'!C278) &lt;= 20,LEN('Raw Data'!C278)&gt; 0),"",_xlfn.REGEXEXTRACT(CELL("address",'Raw Data'!C278),"\$([A-Z]+)\$[0-9]+"))),_xlfn.REGEXEXTRACT(CELL("address",'Raw Data'!C278),"\$([A-Z]+)\$[0-9]+"))</f>
        <v/>
      </c>
      <c r="D278" s="7" t="str" cm="1">
        <f t="array" aca="1" ref="D278" ca="1">IFERROR(IF(OR('Raw Data'!D278="",LEN(TRIM('Raw Data'!D278))=0),"",IF(AND(ISNUMBER('Raw Data'!D278),'Raw Data'!D278&gt;=Configuration!$D$2),"",_xlfn.REGEXEXTRACT(CELL("address",'Raw Data'!D278),"\$([A-Z]+)\$[0-9]+"))),_xlfn.REGEXEXTRACT(CELL("address",D278), "\$([A-Z]+)\$[0-9]+"))</f>
        <v/>
      </c>
      <c r="E278" s="7" t="str" cm="1">
        <f t="array" aca="1" ref="E278" ca="1">IFERROR(IF(OR('Raw Data'!E278="",LEN(TRIM('Raw Data'!E278))=0),"",IF(AND(ISNUMBER('Raw Data'!E278), IFERROR('Raw Data'!E278 = ROUND('Raw Data'!E278, 2),FALSE)),"",_xlfn.REGEXEXTRACT(CELL("address",E278), "\$([A-Z]+)\$[0-9]+"))),_xlfn.REGEXEXTRACT(CELL("address",E278), "\$([A-Z]+)\$[0-9]+"))</f>
        <v/>
      </c>
      <c r="F278" s="7" t="str" cm="1">
        <f t="array" aca="1" ref="F278" ca="1">IFERROR(IF(OR('Raw Data'!F278="",LEN(TRIM('Raw Data'!F278))=0),"",IF(AND(ISNUMBER('Raw Data'!F278), IFERROR('Raw Data'!F278 = ROUND('Raw Data'!F278, 2),FALSE)),"",_xlfn.REGEXEXTRACT(CELL("address",F278), "\$([A-Z]+)\$[0-9]+"))),_xlfn.REGEXEXTRACT(CELL("address",F278), "\$([A-Z]+)\$[0-9]+"))</f>
        <v/>
      </c>
      <c r="G278" s="7" t="str" cm="1">
        <f t="array" aca="1" ref="G278" ca="1">IFERROR(IF(OR('Raw Data'!G278="",LEN(TRIM('Raw Data'!G278))=0),"",IF(AND(ISNUMBER('Raw Data'!G278), IFERROR('Raw Data'!G278 = ROUND('Raw Data'!G278, 2),FALSE)),"",_xlfn.REGEXEXTRACT(CELL("address",G278), "\$([A-Z]+)\$[0-9]+"))),_xlfn.REGEXEXTRACT(CELL("address",G278), "\$([A-Z]+)\$[0-9]+"))</f>
        <v/>
      </c>
      <c r="H278" s="7" t="str" cm="1">
        <f t="array" aca="1" ref="H278" ca="1">IFERROR(IF(OR('Raw Data'!H278="",LEN(TRIM('Raw Data'!H278))=0),"",IF(AND(ISNUMBER('Raw Data'!H278), IFERROR('Raw Data'!H278 = ROUND('Raw Data'!H278, 2),FALSE)),"",_xlfn.REGEXEXTRACT(CELL("address",H278), "\$([A-Z]+)\$[0-9]+"))),_xlfn.REGEXEXTRACT(CELL("address",H278), "\$([A-Z]+)\$[0-9]+"))</f>
        <v/>
      </c>
      <c r="I278" s="7" t="str" cm="1">
        <f t="array" aca="1" ref="I278" ca="1">IFERROR(IF(OR('Raw Data'!I278="",LEN(TRIM('Raw Data'!I278))=0),"",IF(AND(ISNUMBER('Raw Data'!I278), IFERROR('Raw Data'!I278 = ROUND('Raw Data'!I278, 2),FALSE)),"",_xlfn.REGEXEXTRACT(CELL("address",I278), "\$([A-Z]+)\$[0-9]+"))),_xlfn.REGEXEXTRACT(CELL("address",I278), "\$([A-Z]+)\$[0-9]+"))</f>
        <v/>
      </c>
      <c r="J278" s="7" t="str" cm="1">
        <f t="array" aca="1" ref="J278" ca="1">IFERROR(IF(OR('Raw Data'!J278="",LEN(TRIM('Raw Data'!J278))=0),"",IF(AND(ISNUMBER('Raw Data'!J278), IFERROR('Raw Data'!J278 = ROUND('Raw Data'!J278, 2),FALSE)),"",_xlfn.REGEXEXTRACT(CELL("address",J278), "\$([A-Z]+)\$[0-9]+"))),_xlfn.REGEXEXTRACT(CELL("address",J278), "\$([A-Z]+)\$[0-9]+"))</f>
        <v/>
      </c>
      <c r="K278" s="7" t="str" cm="1">
        <f t="array" aca="1" ref="K278" ca="1">IFERROR(IF(OR('Raw Data'!K278="",LEN(TRIM('Raw Data'!K278))=0),"",IF(AND(ISNUMBER('Raw Data'!K278), IFERROR('Raw Data'!K278 = ROUND('Raw Data'!K278, 2),FALSE)),"",_xlfn.REGEXEXTRACT(CELL("address",K278), "\$([A-Z]+)\$[0-9]+"))),_xlfn.REGEXEXTRACT(CELL("address",K278), "\$([A-Z]+)\$[0-9]+"))</f>
        <v/>
      </c>
      <c r="L278" s="7" t="str" cm="1">
        <f t="array" aca="1" ref="L278" ca="1">IFERROR(IF(OR('Raw Data'!L278="",LEN(TRIM('Raw Data'!L278))=0),"",IF(AND(ISNUMBER('Raw Data'!L278), IFERROR('Raw Data'!L278 = ROUND('Raw Data'!L278, 2),FALSE)),"",_xlfn.REGEXEXTRACT(CELL("address",L278), "\$([A-Z]+)\$[0-9]+"))),_xlfn.REGEXEXTRACT(CELL("address",L278), "\$([A-Z]+)\$[0-9]+"))</f>
        <v/>
      </c>
      <c r="M278" s="7" t="str" cm="1">
        <f t="array" aca="1" ref="M278" ca="1">IFERROR(IF(OR('Raw Data'!M278="",LEN(TRIM('Raw Data'!M278))=0),"",IF(AND(ISNUMBER('Raw Data'!M278), IFERROR('Raw Data'!M278 = ROUND('Raw Data'!M278, 2),FALSE)),"",_xlfn.REGEXEXTRACT(CELL("address",M278), "\$([A-Z]+)\$[0-9]+"))),_xlfn.REGEXEXTRACT(CELL("address",M278), "\$([A-Z]+)\$[0-9]+"))</f>
        <v/>
      </c>
      <c r="N278" s="7" t="str" cm="1">
        <f t="array" aca="1" ref="N278" ca="1">IFERROR(IF(OR('Raw Data'!N278="",LEN(TRIM('Raw Data'!N278))=0),"",IF(AND(ISNUMBER('Raw Data'!N278), IFERROR('Raw Data'!N278 = ROUND('Raw Data'!N278, 2),FALSE)),"",_xlfn.REGEXEXTRACT(CELL("address",N278), "\$([A-Z]+)\$[0-9]+"))),_xlfn.REGEXEXTRACT(CELL("address",N278), "\$([A-Z]+)\$[0-9]+"))</f>
        <v/>
      </c>
      <c r="O278" s="7" t="str" cm="1">
        <f t="array" aca="1" ref="O278" ca="1">IFERROR(IF(OR('Raw Data'!O278="",LEN(TRIM('Raw Data'!O278))=0),"",IF(AND(ISNUMBER('Raw Data'!O278), IFERROR('Raw Data'!O278 = ROUND('Raw Data'!O278, 2),FALSE)),"",_xlfn.REGEXEXTRACT(CELL("address",O278), "\$([A-Z]+)\$[0-9]+"))),_xlfn.REGEXEXTRACT(CELL("address",O278), "\$([A-Z]+)\$[0-9]+"))</f>
        <v/>
      </c>
      <c r="P278" s="7" t="str" cm="1">
        <f t="array" aca="1" ref="P278" ca="1">IFERROR(IF(OR('Raw Data'!P278="",LEN(TRIM('Raw Data'!P278))=0),"",IF(AND(ISNUMBER('Raw Data'!P278), IFERROR('Raw Data'!P278 = ROUND('Raw Data'!P278, 2),FALSE)),"",_xlfn.REGEXEXTRACT(CELL("address",P278), "\$([A-Z]+)\$[0-9]+"))),_xlfn.REGEXEXTRACT(CELL("address",P278), "\$([A-Z]+)\$[0-9]+"))</f>
        <v/>
      </c>
      <c r="Q278" s="7" t="str" cm="1">
        <f t="array" aca="1" ref="Q278" ca="1">IFERROR(IF(OR('Raw Data'!Q278="",LEN(TRIM('Raw Data'!Q278))=0),"",IF(AND(ISNUMBER('Raw Data'!Q278), IFERROR('Raw Data'!Q278 = ROUND('Raw Data'!Q278, 2),FALSE)),"",_xlfn.REGEXEXTRACT(CELL("address",Q278), "\$([A-Z]+)\$[0-9]+"))),_xlfn.REGEXEXTRACT(CELL("address",Q278), "\$([A-Z]+)\$[0-9]+"))</f>
        <v/>
      </c>
      <c r="R278" s="7" t="str" cm="1">
        <f t="array" aca="1" ref="R278" ca="1">IFERROR(IF(OR('Raw Data'!R278="",LEN(TRIM('Raw Data'!R278))=0),"",IF(AND(ISNUMBER('Raw Data'!R278), IFERROR('Raw Data'!R278 = ROUND('Raw Data'!R278, 2),FALSE)),"",_xlfn.REGEXEXTRACT(CELL("address",R278), "\$([A-Z]+)\$[0-9]+"))),_xlfn.REGEXEXTRACT(CELL("address",R278), "\$([A-Z]+)\$[0-9]+"))</f>
        <v/>
      </c>
      <c r="S278" s="7" t="str" cm="1">
        <f t="array" aca="1" ref="S278" ca="1">IFERROR(IF(OR('Raw Data'!S278="",LEN(TRIM('Raw Data'!S278))=0),"",IF(AND(ISNUMBER('Raw Data'!S278), IFERROR('Raw Data'!S278 = ROUND('Raw Data'!S278, 2),FALSE)),"",_xlfn.REGEXEXTRACT(CELL("address",S278), "\$([A-Z]+)\$[0-9]+"))),_xlfn.REGEXEXTRACT(CELL("address",S278), "\$([A-Z]+)\$[0-9]+"))</f>
        <v/>
      </c>
      <c r="T278" s="7" t="str" cm="1">
        <f t="array" aca="1" ref="T278" ca="1">IFERROR(IF(OR('Raw Data'!T278="",LEN(TRIM('Raw Data'!T278))=0),"",IF(AND(ISNUMBER('Raw Data'!T278), IFERROR('Raw Data'!T278 = ROUND('Raw Data'!T278, 2),FALSE)),"",_xlfn.REGEXEXTRACT(CELL("address",T278), "\$([A-Z]+)\$[0-9]+"))),_xlfn.REGEXEXTRACT(CELL("address",T278), "\$([A-Z]+)\$[0-9]+"))</f>
        <v/>
      </c>
      <c r="U278" s="7" t="str" cm="1">
        <f t="array" aca="1" ref="U278" ca="1">IFERROR(IF(OR('Raw Data'!U278="",LEN(TRIM('Raw Data'!U278))=0),"",IF(AND(ISNUMBER('Raw Data'!U278), IFERROR('Raw Data'!U278 = ROUND('Raw Data'!U278, 2),FALSE)),"",_xlfn.REGEXEXTRACT(CELL("address",U278), "\$([A-Z]+)\$[0-9]+"))),_xlfn.REGEXEXTRACT(CELL("address",U278), "\$([A-Z]+)\$[0-9]+"))</f>
        <v/>
      </c>
      <c r="V278" s="7" t="str" cm="1">
        <f t="array" aca="1" ref="V278" ca="1">IFERROR(IF(OR('Raw Data'!V278="",LEN(TRIM('Raw Data'!V278))=0),"",IF(AND(ISNUMBER('Raw Data'!V278), IFERROR('Raw Data'!V278 = ROUND('Raw Data'!V278, 2),FALSE)),"",_xlfn.REGEXEXTRACT(CELL("address",V278), "\$([A-Z]+)\$[0-9]+"))),_xlfn.REGEXEXTRACT(CELL("address",V278), "\$([A-Z]+)\$[0-9]+"))</f>
        <v/>
      </c>
      <c r="W278" s="7" t="str" cm="1">
        <f t="array" aca="1" ref="W278" ca="1">IFERROR(IF(OR('Raw Data'!W278="",LEN(TRIM('Raw Data'!W278))=0),"",IF(AND(ISNUMBER('Raw Data'!W278), IFERROR('Raw Data'!W278 = ROUND('Raw Data'!W278, 2),FALSE)),"",_xlfn.REGEXEXTRACT(CELL("address",W278), "\$([A-Z]+)\$[0-9]+"))),_xlfn.REGEXEXTRACT(CELL("address",W278), "\$([A-Z]+)\$[0-9]+"))</f>
        <v/>
      </c>
      <c r="X278" s="7" t="str" cm="1">
        <f t="array" aca="1" ref="X278" ca="1">IFERROR(IF(OR('Raw Data'!X278="",LEN(TRIM('Raw Data'!X278))=0),"",IF(AND(ISNUMBER('Raw Data'!X278), IFERROR('Raw Data'!X278 = ROUND('Raw Data'!X278, 2),FALSE)),"",_xlfn.REGEXEXTRACT(CELL("address",X278), "\$([A-Z]+)\$[0-9]+"))),_xlfn.REGEXEXTRACT(CELL("address",X278), "\$([A-Z]+)\$[0-9]+"))</f>
        <v/>
      </c>
      <c r="Y278" s="7" t="str" cm="1">
        <f t="array" aca="1" ref="Y278" ca="1">IFERROR(IF(OR('Raw Data'!Y278="",LEN(TRIM('Raw Data'!Y278))=0),"",IF(AND(ISNUMBER('Raw Data'!Y278), IFERROR('Raw Data'!Y278 = ROUND('Raw Data'!Y278, 2),FALSE)),"",_xlfn.REGEXEXTRACT(CELL("address",Y278), "\$([A-Z]+)\$[0-9]+"))),_xlfn.REGEXEXTRACT(CELL("address",Y278), "\$([A-Z]+)\$[0-9]+"))</f>
        <v/>
      </c>
      <c r="Z278" s="7" t="str" cm="1">
        <f t="array" aca="1" ref="Z278" ca="1">IFERROR(IF(OR('Raw Data'!Z278="",LEN(TRIM('Raw Data'!Z278))=0),"",IF(AND(ISNUMBER('Raw Data'!Z278), IFERROR('Raw Data'!Z278 = ROUND('Raw Data'!Z278, 2),FALSE)),"",_xlfn.REGEXEXTRACT(CELL("address",Z278), "\$([A-Z]+)\$[0-9]+"))),_xlfn.REGEXEXTRACT(CELL("address",Z278), "\$([A-Z]+)\$[0-9]+"))</f>
        <v/>
      </c>
      <c r="AA278" s="7" t="str" cm="1">
        <f t="array" aca="1" ref="AA278" ca="1">IFERROR(IF(OR('Raw Data'!AA278="",LEN(TRIM('Raw Data'!AA278))=0),"",IF(AND(ISNUMBER('Raw Data'!AA278), IFERROR('Raw Data'!AA278 = ROUND('Raw Data'!AA278, 2),FALSE)),"",_xlfn.REGEXEXTRACT(CELL("address",AA278), "\$([A-Z]+)\$[0-9]+"))),_xlfn.REGEXEXTRACT(CELL("address",AA278), "\$([A-Z]+)\$[0-9]+"))</f>
        <v/>
      </c>
      <c r="AB278" s="7" t="str" cm="1">
        <f t="array" aca="1" ref="AB278" ca="1">IFERROR(IF(OR('Raw Data'!AB278="",LEN(TRIM('Raw Data'!AB278))=0),"",IF(AND(ISNUMBER('Raw Data'!AB278), IFERROR('Raw Data'!AB278 = ROUND('Raw Data'!AB278, 2),FALSE)),"",_xlfn.REGEXEXTRACT(CELL("address",AB278), "\$([A-Z]+)\$[0-9]+"))),_xlfn.REGEXEXTRACT(CELL("address",AB278), "\$([A-Z]+)\$[0-9]+"))</f>
        <v/>
      </c>
    </row>
    <row r="279" spans="2:28" x14ac:dyDescent="0.25">
      <c r="B279" s="7" t="str" cm="1">
        <f t="array" aca="1" ref="B279" ca="1">IFERROR(IF(OR('Raw Data'!B279="",LEN(TRIM('Raw Data'!B279))=0),"",IF(AND(LEN('Raw Data'!B279) &lt;= 255,LEN('Raw Data'!B279)&gt; 0),"",_xlfn.REGEXEXTRACT(CELL("address",'Raw Data'!B279),"\$([A-Z]+)\$[0-9]+"))),_xlfn.REGEXEXTRACT(CELL("address",'Raw Data'!B279),"\$([A-Z]+)\$[0-9]+"))</f>
        <v/>
      </c>
      <c r="C279" s="7" t="str" cm="1">
        <f t="array" aca="1" ref="C279" ca="1">IFERROR(IF(OR('Raw Data'!C279="",LEN(TRIM('Raw Data'!C279))=0),"",IF(AND(LEN('Raw Data'!C279) &lt;= 20,LEN('Raw Data'!C279)&gt; 0),"",_xlfn.REGEXEXTRACT(CELL("address",'Raw Data'!C279),"\$([A-Z]+)\$[0-9]+"))),_xlfn.REGEXEXTRACT(CELL("address",'Raw Data'!C279),"\$([A-Z]+)\$[0-9]+"))</f>
        <v/>
      </c>
      <c r="D279" s="7" t="str" cm="1">
        <f t="array" aca="1" ref="D279" ca="1">IFERROR(IF(OR('Raw Data'!D279="",LEN(TRIM('Raw Data'!D279))=0),"",IF(AND(ISNUMBER('Raw Data'!D279),'Raw Data'!D279&gt;=Configuration!$D$2),"",_xlfn.REGEXEXTRACT(CELL("address",'Raw Data'!D279),"\$([A-Z]+)\$[0-9]+"))),_xlfn.REGEXEXTRACT(CELL("address",D279), "\$([A-Z]+)\$[0-9]+"))</f>
        <v/>
      </c>
      <c r="E279" s="7" t="str" cm="1">
        <f t="array" aca="1" ref="E279" ca="1">IFERROR(IF(OR('Raw Data'!E279="",LEN(TRIM('Raw Data'!E279))=0),"",IF(AND(ISNUMBER('Raw Data'!E279), IFERROR('Raw Data'!E279 = ROUND('Raw Data'!E279, 2),FALSE)),"",_xlfn.REGEXEXTRACT(CELL("address",E279), "\$([A-Z]+)\$[0-9]+"))),_xlfn.REGEXEXTRACT(CELL("address",E279), "\$([A-Z]+)\$[0-9]+"))</f>
        <v/>
      </c>
      <c r="F279" s="7" t="str" cm="1">
        <f t="array" aca="1" ref="F279" ca="1">IFERROR(IF(OR('Raw Data'!F279="",LEN(TRIM('Raw Data'!F279))=0),"",IF(AND(ISNUMBER('Raw Data'!F279), IFERROR('Raw Data'!F279 = ROUND('Raw Data'!F279, 2),FALSE)),"",_xlfn.REGEXEXTRACT(CELL("address",F279), "\$([A-Z]+)\$[0-9]+"))),_xlfn.REGEXEXTRACT(CELL("address",F279), "\$([A-Z]+)\$[0-9]+"))</f>
        <v/>
      </c>
      <c r="G279" s="7" t="str" cm="1">
        <f t="array" aca="1" ref="G279" ca="1">IFERROR(IF(OR('Raw Data'!G279="",LEN(TRIM('Raw Data'!G279))=0),"",IF(AND(ISNUMBER('Raw Data'!G279), IFERROR('Raw Data'!G279 = ROUND('Raw Data'!G279, 2),FALSE)),"",_xlfn.REGEXEXTRACT(CELL("address",G279), "\$([A-Z]+)\$[0-9]+"))),_xlfn.REGEXEXTRACT(CELL("address",G279), "\$([A-Z]+)\$[0-9]+"))</f>
        <v/>
      </c>
      <c r="H279" s="7" t="str" cm="1">
        <f t="array" aca="1" ref="H279" ca="1">IFERROR(IF(OR('Raw Data'!H279="",LEN(TRIM('Raw Data'!H279))=0),"",IF(AND(ISNUMBER('Raw Data'!H279), IFERROR('Raw Data'!H279 = ROUND('Raw Data'!H279, 2),FALSE)),"",_xlfn.REGEXEXTRACT(CELL("address",H279), "\$([A-Z]+)\$[0-9]+"))),_xlfn.REGEXEXTRACT(CELL("address",H279), "\$([A-Z]+)\$[0-9]+"))</f>
        <v/>
      </c>
      <c r="I279" s="7" t="str" cm="1">
        <f t="array" aca="1" ref="I279" ca="1">IFERROR(IF(OR('Raw Data'!I279="",LEN(TRIM('Raw Data'!I279))=0),"",IF(AND(ISNUMBER('Raw Data'!I279), IFERROR('Raw Data'!I279 = ROUND('Raw Data'!I279, 2),FALSE)),"",_xlfn.REGEXEXTRACT(CELL("address",I279), "\$([A-Z]+)\$[0-9]+"))),_xlfn.REGEXEXTRACT(CELL("address",I279), "\$([A-Z]+)\$[0-9]+"))</f>
        <v/>
      </c>
      <c r="J279" s="7" t="str" cm="1">
        <f t="array" aca="1" ref="J279" ca="1">IFERROR(IF(OR('Raw Data'!J279="",LEN(TRIM('Raw Data'!J279))=0),"",IF(AND(ISNUMBER('Raw Data'!J279), IFERROR('Raw Data'!J279 = ROUND('Raw Data'!J279, 2),FALSE)),"",_xlfn.REGEXEXTRACT(CELL("address",J279), "\$([A-Z]+)\$[0-9]+"))),_xlfn.REGEXEXTRACT(CELL("address",J279), "\$([A-Z]+)\$[0-9]+"))</f>
        <v/>
      </c>
      <c r="K279" s="7" t="str" cm="1">
        <f t="array" aca="1" ref="K279" ca="1">IFERROR(IF(OR('Raw Data'!K279="",LEN(TRIM('Raw Data'!K279))=0),"",IF(AND(ISNUMBER('Raw Data'!K279), IFERROR('Raw Data'!K279 = ROUND('Raw Data'!K279, 2),FALSE)),"",_xlfn.REGEXEXTRACT(CELL("address",K279), "\$([A-Z]+)\$[0-9]+"))),_xlfn.REGEXEXTRACT(CELL("address",K279), "\$([A-Z]+)\$[0-9]+"))</f>
        <v/>
      </c>
      <c r="L279" s="7" t="str" cm="1">
        <f t="array" aca="1" ref="L279" ca="1">IFERROR(IF(OR('Raw Data'!L279="",LEN(TRIM('Raw Data'!L279))=0),"",IF(AND(ISNUMBER('Raw Data'!L279), IFERROR('Raw Data'!L279 = ROUND('Raw Data'!L279, 2),FALSE)),"",_xlfn.REGEXEXTRACT(CELL("address",L279), "\$([A-Z]+)\$[0-9]+"))),_xlfn.REGEXEXTRACT(CELL("address",L279), "\$([A-Z]+)\$[0-9]+"))</f>
        <v/>
      </c>
      <c r="M279" s="7" t="str" cm="1">
        <f t="array" aca="1" ref="M279" ca="1">IFERROR(IF(OR('Raw Data'!M279="",LEN(TRIM('Raw Data'!M279))=0),"",IF(AND(ISNUMBER('Raw Data'!M279), IFERROR('Raw Data'!M279 = ROUND('Raw Data'!M279, 2),FALSE)),"",_xlfn.REGEXEXTRACT(CELL("address",M279), "\$([A-Z]+)\$[0-9]+"))),_xlfn.REGEXEXTRACT(CELL("address",M279), "\$([A-Z]+)\$[0-9]+"))</f>
        <v/>
      </c>
      <c r="N279" s="7" t="str" cm="1">
        <f t="array" aca="1" ref="N279" ca="1">IFERROR(IF(OR('Raw Data'!N279="",LEN(TRIM('Raw Data'!N279))=0),"",IF(AND(ISNUMBER('Raw Data'!N279), IFERROR('Raw Data'!N279 = ROUND('Raw Data'!N279, 2),FALSE)),"",_xlfn.REGEXEXTRACT(CELL("address",N279), "\$([A-Z]+)\$[0-9]+"))),_xlfn.REGEXEXTRACT(CELL("address",N279), "\$([A-Z]+)\$[0-9]+"))</f>
        <v/>
      </c>
      <c r="O279" s="7" t="str" cm="1">
        <f t="array" aca="1" ref="O279" ca="1">IFERROR(IF(OR('Raw Data'!O279="",LEN(TRIM('Raw Data'!O279))=0),"",IF(AND(ISNUMBER('Raw Data'!O279), IFERROR('Raw Data'!O279 = ROUND('Raw Data'!O279, 2),FALSE)),"",_xlfn.REGEXEXTRACT(CELL("address",O279), "\$([A-Z]+)\$[0-9]+"))),_xlfn.REGEXEXTRACT(CELL("address",O279), "\$([A-Z]+)\$[0-9]+"))</f>
        <v/>
      </c>
      <c r="P279" s="7" t="str" cm="1">
        <f t="array" aca="1" ref="P279" ca="1">IFERROR(IF(OR('Raw Data'!P279="",LEN(TRIM('Raw Data'!P279))=0),"",IF(AND(ISNUMBER('Raw Data'!P279), IFERROR('Raw Data'!P279 = ROUND('Raw Data'!P279, 2),FALSE)),"",_xlfn.REGEXEXTRACT(CELL("address",P279), "\$([A-Z]+)\$[0-9]+"))),_xlfn.REGEXEXTRACT(CELL("address",P279), "\$([A-Z]+)\$[0-9]+"))</f>
        <v/>
      </c>
      <c r="Q279" s="7" t="str" cm="1">
        <f t="array" aca="1" ref="Q279" ca="1">IFERROR(IF(OR('Raw Data'!Q279="",LEN(TRIM('Raw Data'!Q279))=0),"",IF(AND(ISNUMBER('Raw Data'!Q279), IFERROR('Raw Data'!Q279 = ROUND('Raw Data'!Q279, 2),FALSE)),"",_xlfn.REGEXEXTRACT(CELL("address",Q279), "\$([A-Z]+)\$[0-9]+"))),_xlfn.REGEXEXTRACT(CELL("address",Q279), "\$([A-Z]+)\$[0-9]+"))</f>
        <v/>
      </c>
      <c r="R279" s="7" t="str" cm="1">
        <f t="array" aca="1" ref="R279" ca="1">IFERROR(IF(OR('Raw Data'!R279="",LEN(TRIM('Raw Data'!R279))=0),"",IF(AND(ISNUMBER('Raw Data'!R279), IFERROR('Raw Data'!R279 = ROUND('Raw Data'!R279, 2),FALSE)),"",_xlfn.REGEXEXTRACT(CELL("address",R279), "\$([A-Z]+)\$[0-9]+"))),_xlfn.REGEXEXTRACT(CELL("address",R279), "\$([A-Z]+)\$[0-9]+"))</f>
        <v/>
      </c>
      <c r="S279" s="7" t="str" cm="1">
        <f t="array" aca="1" ref="S279" ca="1">IFERROR(IF(OR('Raw Data'!S279="",LEN(TRIM('Raw Data'!S279))=0),"",IF(AND(ISNUMBER('Raw Data'!S279), IFERROR('Raw Data'!S279 = ROUND('Raw Data'!S279, 2),FALSE)),"",_xlfn.REGEXEXTRACT(CELL("address",S279), "\$([A-Z]+)\$[0-9]+"))),_xlfn.REGEXEXTRACT(CELL("address",S279), "\$([A-Z]+)\$[0-9]+"))</f>
        <v/>
      </c>
      <c r="T279" s="7" t="str" cm="1">
        <f t="array" aca="1" ref="T279" ca="1">IFERROR(IF(OR('Raw Data'!T279="",LEN(TRIM('Raw Data'!T279))=0),"",IF(AND(ISNUMBER('Raw Data'!T279), IFERROR('Raw Data'!T279 = ROUND('Raw Data'!T279, 2),FALSE)),"",_xlfn.REGEXEXTRACT(CELL("address",T279), "\$([A-Z]+)\$[0-9]+"))),_xlfn.REGEXEXTRACT(CELL("address",T279), "\$([A-Z]+)\$[0-9]+"))</f>
        <v/>
      </c>
      <c r="U279" s="7" t="str" cm="1">
        <f t="array" aca="1" ref="U279" ca="1">IFERROR(IF(OR('Raw Data'!U279="",LEN(TRIM('Raw Data'!U279))=0),"",IF(AND(ISNUMBER('Raw Data'!U279), IFERROR('Raw Data'!U279 = ROUND('Raw Data'!U279, 2),FALSE)),"",_xlfn.REGEXEXTRACT(CELL("address",U279), "\$([A-Z]+)\$[0-9]+"))),_xlfn.REGEXEXTRACT(CELL("address",U279), "\$([A-Z]+)\$[0-9]+"))</f>
        <v/>
      </c>
      <c r="V279" s="7" t="str" cm="1">
        <f t="array" aca="1" ref="V279" ca="1">IFERROR(IF(OR('Raw Data'!V279="",LEN(TRIM('Raw Data'!V279))=0),"",IF(AND(ISNUMBER('Raw Data'!V279), IFERROR('Raw Data'!V279 = ROUND('Raw Data'!V279, 2),FALSE)),"",_xlfn.REGEXEXTRACT(CELL("address",V279), "\$([A-Z]+)\$[0-9]+"))),_xlfn.REGEXEXTRACT(CELL("address",V279), "\$([A-Z]+)\$[0-9]+"))</f>
        <v/>
      </c>
      <c r="W279" s="7" t="str" cm="1">
        <f t="array" aca="1" ref="W279" ca="1">IFERROR(IF(OR('Raw Data'!W279="",LEN(TRIM('Raw Data'!W279))=0),"",IF(AND(ISNUMBER('Raw Data'!W279), IFERROR('Raw Data'!W279 = ROUND('Raw Data'!W279, 2),FALSE)),"",_xlfn.REGEXEXTRACT(CELL("address",W279), "\$([A-Z]+)\$[0-9]+"))),_xlfn.REGEXEXTRACT(CELL("address",W279), "\$([A-Z]+)\$[0-9]+"))</f>
        <v/>
      </c>
      <c r="X279" s="7" t="str" cm="1">
        <f t="array" aca="1" ref="X279" ca="1">IFERROR(IF(OR('Raw Data'!X279="",LEN(TRIM('Raw Data'!X279))=0),"",IF(AND(ISNUMBER('Raw Data'!X279), IFERROR('Raw Data'!X279 = ROUND('Raw Data'!X279, 2),FALSE)),"",_xlfn.REGEXEXTRACT(CELL("address",X279), "\$([A-Z]+)\$[0-9]+"))),_xlfn.REGEXEXTRACT(CELL("address",X279), "\$([A-Z]+)\$[0-9]+"))</f>
        <v/>
      </c>
      <c r="Y279" s="7" t="str" cm="1">
        <f t="array" aca="1" ref="Y279" ca="1">IFERROR(IF(OR('Raw Data'!Y279="",LEN(TRIM('Raw Data'!Y279))=0),"",IF(AND(ISNUMBER('Raw Data'!Y279), IFERROR('Raw Data'!Y279 = ROUND('Raw Data'!Y279, 2),FALSE)),"",_xlfn.REGEXEXTRACT(CELL("address",Y279), "\$([A-Z]+)\$[0-9]+"))),_xlfn.REGEXEXTRACT(CELL("address",Y279), "\$([A-Z]+)\$[0-9]+"))</f>
        <v/>
      </c>
      <c r="Z279" s="7" t="str" cm="1">
        <f t="array" aca="1" ref="Z279" ca="1">IFERROR(IF(OR('Raw Data'!Z279="",LEN(TRIM('Raw Data'!Z279))=0),"",IF(AND(ISNUMBER('Raw Data'!Z279), IFERROR('Raw Data'!Z279 = ROUND('Raw Data'!Z279, 2),FALSE)),"",_xlfn.REGEXEXTRACT(CELL("address",Z279), "\$([A-Z]+)\$[0-9]+"))),_xlfn.REGEXEXTRACT(CELL("address",Z279), "\$([A-Z]+)\$[0-9]+"))</f>
        <v/>
      </c>
      <c r="AA279" s="7" t="str" cm="1">
        <f t="array" aca="1" ref="AA279" ca="1">IFERROR(IF(OR('Raw Data'!AA279="",LEN(TRIM('Raw Data'!AA279))=0),"",IF(AND(ISNUMBER('Raw Data'!AA279), IFERROR('Raw Data'!AA279 = ROUND('Raw Data'!AA279, 2),FALSE)),"",_xlfn.REGEXEXTRACT(CELL("address",AA279), "\$([A-Z]+)\$[0-9]+"))),_xlfn.REGEXEXTRACT(CELL("address",AA279), "\$([A-Z]+)\$[0-9]+"))</f>
        <v/>
      </c>
      <c r="AB279" s="7" t="str" cm="1">
        <f t="array" aca="1" ref="AB279" ca="1">IFERROR(IF(OR('Raw Data'!AB279="",LEN(TRIM('Raw Data'!AB279))=0),"",IF(AND(ISNUMBER('Raw Data'!AB279), IFERROR('Raw Data'!AB279 = ROUND('Raw Data'!AB279, 2),FALSE)),"",_xlfn.REGEXEXTRACT(CELL("address",AB279), "\$([A-Z]+)\$[0-9]+"))),_xlfn.REGEXEXTRACT(CELL("address",AB279), "\$([A-Z]+)\$[0-9]+"))</f>
        <v/>
      </c>
    </row>
    <row r="280" spans="2:28" x14ac:dyDescent="0.25">
      <c r="B280" s="7" t="str" cm="1">
        <f t="array" aca="1" ref="B280" ca="1">IFERROR(IF(OR('Raw Data'!B280="",LEN(TRIM('Raw Data'!B280))=0),"",IF(AND(LEN('Raw Data'!B280) &lt;= 255,LEN('Raw Data'!B280)&gt; 0),"",_xlfn.REGEXEXTRACT(CELL("address",'Raw Data'!B280),"\$([A-Z]+)\$[0-9]+"))),_xlfn.REGEXEXTRACT(CELL("address",'Raw Data'!B280),"\$([A-Z]+)\$[0-9]+"))</f>
        <v/>
      </c>
      <c r="C280" s="7" t="str" cm="1">
        <f t="array" aca="1" ref="C280" ca="1">IFERROR(IF(OR('Raw Data'!C280="",LEN(TRIM('Raw Data'!C280))=0),"",IF(AND(LEN('Raw Data'!C280) &lt;= 20,LEN('Raw Data'!C280)&gt; 0),"",_xlfn.REGEXEXTRACT(CELL("address",'Raw Data'!C280),"\$([A-Z]+)\$[0-9]+"))),_xlfn.REGEXEXTRACT(CELL("address",'Raw Data'!C280),"\$([A-Z]+)\$[0-9]+"))</f>
        <v/>
      </c>
      <c r="D280" s="7" t="str" cm="1">
        <f t="array" aca="1" ref="D280" ca="1">IFERROR(IF(OR('Raw Data'!D280="",LEN(TRIM('Raw Data'!D280))=0),"",IF(AND(ISNUMBER('Raw Data'!D280),'Raw Data'!D280&gt;=Configuration!$D$2),"",_xlfn.REGEXEXTRACT(CELL("address",'Raw Data'!D280),"\$([A-Z]+)\$[0-9]+"))),_xlfn.REGEXEXTRACT(CELL("address",D280), "\$([A-Z]+)\$[0-9]+"))</f>
        <v/>
      </c>
      <c r="E280" s="7" t="str" cm="1">
        <f t="array" aca="1" ref="E280" ca="1">IFERROR(IF(OR('Raw Data'!E280="",LEN(TRIM('Raw Data'!E280))=0),"",IF(AND(ISNUMBER('Raw Data'!E280), IFERROR('Raw Data'!E280 = ROUND('Raw Data'!E280, 2),FALSE)),"",_xlfn.REGEXEXTRACT(CELL("address",E280), "\$([A-Z]+)\$[0-9]+"))),_xlfn.REGEXEXTRACT(CELL("address",E280), "\$([A-Z]+)\$[0-9]+"))</f>
        <v/>
      </c>
      <c r="F280" s="7" t="str" cm="1">
        <f t="array" aca="1" ref="F280" ca="1">IFERROR(IF(OR('Raw Data'!F280="",LEN(TRIM('Raw Data'!F280))=0),"",IF(AND(ISNUMBER('Raw Data'!F280), IFERROR('Raw Data'!F280 = ROUND('Raw Data'!F280, 2),FALSE)),"",_xlfn.REGEXEXTRACT(CELL("address",F280), "\$([A-Z]+)\$[0-9]+"))),_xlfn.REGEXEXTRACT(CELL("address",F280), "\$([A-Z]+)\$[0-9]+"))</f>
        <v/>
      </c>
      <c r="G280" s="7" t="str" cm="1">
        <f t="array" aca="1" ref="G280" ca="1">IFERROR(IF(OR('Raw Data'!G280="",LEN(TRIM('Raw Data'!G280))=0),"",IF(AND(ISNUMBER('Raw Data'!G280), IFERROR('Raw Data'!G280 = ROUND('Raw Data'!G280, 2),FALSE)),"",_xlfn.REGEXEXTRACT(CELL("address",G280), "\$([A-Z]+)\$[0-9]+"))),_xlfn.REGEXEXTRACT(CELL("address",G280), "\$([A-Z]+)\$[0-9]+"))</f>
        <v/>
      </c>
      <c r="H280" s="7" t="str" cm="1">
        <f t="array" aca="1" ref="H280" ca="1">IFERROR(IF(OR('Raw Data'!H280="",LEN(TRIM('Raw Data'!H280))=0),"",IF(AND(ISNUMBER('Raw Data'!H280), IFERROR('Raw Data'!H280 = ROUND('Raw Data'!H280, 2),FALSE)),"",_xlfn.REGEXEXTRACT(CELL("address",H280), "\$([A-Z]+)\$[0-9]+"))),_xlfn.REGEXEXTRACT(CELL("address",H280), "\$([A-Z]+)\$[0-9]+"))</f>
        <v/>
      </c>
      <c r="I280" s="7" t="str" cm="1">
        <f t="array" aca="1" ref="I280" ca="1">IFERROR(IF(OR('Raw Data'!I280="",LEN(TRIM('Raw Data'!I280))=0),"",IF(AND(ISNUMBER('Raw Data'!I280), IFERROR('Raw Data'!I280 = ROUND('Raw Data'!I280, 2),FALSE)),"",_xlfn.REGEXEXTRACT(CELL("address",I280), "\$([A-Z]+)\$[0-9]+"))),_xlfn.REGEXEXTRACT(CELL("address",I280), "\$([A-Z]+)\$[0-9]+"))</f>
        <v/>
      </c>
      <c r="J280" s="7" t="str" cm="1">
        <f t="array" aca="1" ref="J280" ca="1">IFERROR(IF(OR('Raw Data'!J280="",LEN(TRIM('Raw Data'!J280))=0),"",IF(AND(ISNUMBER('Raw Data'!J280), IFERROR('Raw Data'!J280 = ROUND('Raw Data'!J280, 2),FALSE)),"",_xlfn.REGEXEXTRACT(CELL("address",J280), "\$([A-Z]+)\$[0-9]+"))),_xlfn.REGEXEXTRACT(CELL("address",J280), "\$([A-Z]+)\$[0-9]+"))</f>
        <v/>
      </c>
      <c r="K280" s="7" t="str" cm="1">
        <f t="array" aca="1" ref="K280" ca="1">IFERROR(IF(OR('Raw Data'!K280="",LEN(TRIM('Raw Data'!K280))=0),"",IF(AND(ISNUMBER('Raw Data'!K280), IFERROR('Raw Data'!K280 = ROUND('Raw Data'!K280, 2),FALSE)),"",_xlfn.REGEXEXTRACT(CELL("address",K280), "\$([A-Z]+)\$[0-9]+"))),_xlfn.REGEXEXTRACT(CELL("address",K280), "\$([A-Z]+)\$[0-9]+"))</f>
        <v/>
      </c>
      <c r="L280" s="7" t="str" cm="1">
        <f t="array" aca="1" ref="L280" ca="1">IFERROR(IF(OR('Raw Data'!L280="",LEN(TRIM('Raw Data'!L280))=0),"",IF(AND(ISNUMBER('Raw Data'!L280), IFERROR('Raw Data'!L280 = ROUND('Raw Data'!L280, 2),FALSE)),"",_xlfn.REGEXEXTRACT(CELL("address",L280), "\$([A-Z]+)\$[0-9]+"))),_xlfn.REGEXEXTRACT(CELL("address",L280), "\$([A-Z]+)\$[0-9]+"))</f>
        <v/>
      </c>
      <c r="M280" s="7" t="str" cm="1">
        <f t="array" aca="1" ref="M280" ca="1">IFERROR(IF(OR('Raw Data'!M280="",LEN(TRIM('Raw Data'!M280))=0),"",IF(AND(ISNUMBER('Raw Data'!M280), IFERROR('Raw Data'!M280 = ROUND('Raw Data'!M280, 2),FALSE)),"",_xlfn.REGEXEXTRACT(CELL("address",M280), "\$([A-Z]+)\$[0-9]+"))),_xlfn.REGEXEXTRACT(CELL("address",M280), "\$([A-Z]+)\$[0-9]+"))</f>
        <v/>
      </c>
      <c r="N280" s="7" t="str" cm="1">
        <f t="array" aca="1" ref="N280" ca="1">IFERROR(IF(OR('Raw Data'!N280="",LEN(TRIM('Raw Data'!N280))=0),"",IF(AND(ISNUMBER('Raw Data'!N280), IFERROR('Raw Data'!N280 = ROUND('Raw Data'!N280, 2),FALSE)),"",_xlfn.REGEXEXTRACT(CELL("address",N280), "\$([A-Z]+)\$[0-9]+"))),_xlfn.REGEXEXTRACT(CELL("address",N280), "\$([A-Z]+)\$[0-9]+"))</f>
        <v/>
      </c>
      <c r="O280" s="7" t="str" cm="1">
        <f t="array" aca="1" ref="O280" ca="1">IFERROR(IF(OR('Raw Data'!O280="",LEN(TRIM('Raw Data'!O280))=0),"",IF(AND(ISNUMBER('Raw Data'!O280), IFERROR('Raw Data'!O280 = ROUND('Raw Data'!O280, 2),FALSE)),"",_xlfn.REGEXEXTRACT(CELL("address",O280), "\$([A-Z]+)\$[0-9]+"))),_xlfn.REGEXEXTRACT(CELL("address",O280), "\$([A-Z]+)\$[0-9]+"))</f>
        <v/>
      </c>
      <c r="P280" s="7" t="str" cm="1">
        <f t="array" aca="1" ref="P280" ca="1">IFERROR(IF(OR('Raw Data'!P280="",LEN(TRIM('Raw Data'!P280))=0),"",IF(AND(ISNUMBER('Raw Data'!P280), IFERROR('Raw Data'!P280 = ROUND('Raw Data'!P280, 2),FALSE)),"",_xlfn.REGEXEXTRACT(CELL("address",P280), "\$([A-Z]+)\$[0-9]+"))),_xlfn.REGEXEXTRACT(CELL("address",P280), "\$([A-Z]+)\$[0-9]+"))</f>
        <v/>
      </c>
      <c r="Q280" s="7" t="str" cm="1">
        <f t="array" aca="1" ref="Q280" ca="1">IFERROR(IF(OR('Raw Data'!Q280="",LEN(TRIM('Raw Data'!Q280))=0),"",IF(AND(ISNUMBER('Raw Data'!Q280), IFERROR('Raw Data'!Q280 = ROUND('Raw Data'!Q280, 2),FALSE)),"",_xlfn.REGEXEXTRACT(CELL("address",Q280), "\$([A-Z]+)\$[0-9]+"))),_xlfn.REGEXEXTRACT(CELL("address",Q280), "\$([A-Z]+)\$[0-9]+"))</f>
        <v/>
      </c>
      <c r="R280" s="7" t="str" cm="1">
        <f t="array" aca="1" ref="R280" ca="1">IFERROR(IF(OR('Raw Data'!R280="",LEN(TRIM('Raw Data'!R280))=0),"",IF(AND(ISNUMBER('Raw Data'!R280), IFERROR('Raw Data'!R280 = ROUND('Raw Data'!R280, 2),FALSE)),"",_xlfn.REGEXEXTRACT(CELL("address",R280), "\$([A-Z]+)\$[0-9]+"))),_xlfn.REGEXEXTRACT(CELL("address",R280), "\$([A-Z]+)\$[0-9]+"))</f>
        <v/>
      </c>
      <c r="S280" s="7" t="str" cm="1">
        <f t="array" aca="1" ref="S280" ca="1">IFERROR(IF(OR('Raw Data'!S280="",LEN(TRIM('Raw Data'!S280))=0),"",IF(AND(ISNUMBER('Raw Data'!S280), IFERROR('Raw Data'!S280 = ROUND('Raw Data'!S280, 2),FALSE)),"",_xlfn.REGEXEXTRACT(CELL("address",S280), "\$([A-Z]+)\$[0-9]+"))),_xlfn.REGEXEXTRACT(CELL("address",S280), "\$([A-Z]+)\$[0-9]+"))</f>
        <v/>
      </c>
      <c r="T280" s="7" t="str" cm="1">
        <f t="array" aca="1" ref="T280" ca="1">IFERROR(IF(OR('Raw Data'!T280="",LEN(TRIM('Raw Data'!T280))=0),"",IF(AND(ISNUMBER('Raw Data'!T280), IFERROR('Raw Data'!T280 = ROUND('Raw Data'!T280, 2),FALSE)),"",_xlfn.REGEXEXTRACT(CELL("address",T280), "\$([A-Z]+)\$[0-9]+"))),_xlfn.REGEXEXTRACT(CELL("address",T280), "\$([A-Z]+)\$[0-9]+"))</f>
        <v/>
      </c>
      <c r="U280" s="7" t="str" cm="1">
        <f t="array" aca="1" ref="U280" ca="1">IFERROR(IF(OR('Raw Data'!U280="",LEN(TRIM('Raw Data'!U280))=0),"",IF(AND(ISNUMBER('Raw Data'!U280), IFERROR('Raw Data'!U280 = ROUND('Raw Data'!U280, 2),FALSE)),"",_xlfn.REGEXEXTRACT(CELL("address",U280), "\$([A-Z]+)\$[0-9]+"))),_xlfn.REGEXEXTRACT(CELL("address",U280), "\$([A-Z]+)\$[0-9]+"))</f>
        <v/>
      </c>
      <c r="V280" s="7" t="str" cm="1">
        <f t="array" aca="1" ref="V280" ca="1">IFERROR(IF(OR('Raw Data'!V280="",LEN(TRIM('Raw Data'!V280))=0),"",IF(AND(ISNUMBER('Raw Data'!V280), IFERROR('Raw Data'!V280 = ROUND('Raw Data'!V280, 2),FALSE)),"",_xlfn.REGEXEXTRACT(CELL("address",V280), "\$([A-Z]+)\$[0-9]+"))),_xlfn.REGEXEXTRACT(CELL("address",V280), "\$([A-Z]+)\$[0-9]+"))</f>
        <v/>
      </c>
      <c r="W280" s="7" t="str" cm="1">
        <f t="array" aca="1" ref="W280" ca="1">IFERROR(IF(OR('Raw Data'!W280="",LEN(TRIM('Raw Data'!W280))=0),"",IF(AND(ISNUMBER('Raw Data'!W280), IFERROR('Raw Data'!W280 = ROUND('Raw Data'!W280, 2),FALSE)),"",_xlfn.REGEXEXTRACT(CELL("address",W280), "\$([A-Z]+)\$[0-9]+"))),_xlfn.REGEXEXTRACT(CELL("address",W280), "\$([A-Z]+)\$[0-9]+"))</f>
        <v/>
      </c>
      <c r="X280" s="7" t="str" cm="1">
        <f t="array" aca="1" ref="X280" ca="1">IFERROR(IF(OR('Raw Data'!X280="",LEN(TRIM('Raw Data'!X280))=0),"",IF(AND(ISNUMBER('Raw Data'!X280), IFERROR('Raw Data'!X280 = ROUND('Raw Data'!X280, 2),FALSE)),"",_xlfn.REGEXEXTRACT(CELL("address",X280), "\$([A-Z]+)\$[0-9]+"))),_xlfn.REGEXEXTRACT(CELL("address",X280), "\$([A-Z]+)\$[0-9]+"))</f>
        <v/>
      </c>
      <c r="Y280" s="7" t="str" cm="1">
        <f t="array" aca="1" ref="Y280" ca="1">IFERROR(IF(OR('Raw Data'!Y280="",LEN(TRIM('Raw Data'!Y280))=0),"",IF(AND(ISNUMBER('Raw Data'!Y280), IFERROR('Raw Data'!Y280 = ROUND('Raw Data'!Y280, 2),FALSE)),"",_xlfn.REGEXEXTRACT(CELL("address",Y280), "\$([A-Z]+)\$[0-9]+"))),_xlfn.REGEXEXTRACT(CELL("address",Y280), "\$([A-Z]+)\$[0-9]+"))</f>
        <v/>
      </c>
      <c r="Z280" s="7" t="str" cm="1">
        <f t="array" aca="1" ref="Z280" ca="1">IFERROR(IF(OR('Raw Data'!Z280="",LEN(TRIM('Raw Data'!Z280))=0),"",IF(AND(ISNUMBER('Raw Data'!Z280), IFERROR('Raw Data'!Z280 = ROUND('Raw Data'!Z280, 2),FALSE)),"",_xlfn.REGEXEXTRACT(CELL("address",Z280), "\$([A-Z]+)\$[0-9]+"))),_xlfn.REGEXEXTRACT(CELL("address",Z280), "\$([A-Z]+)\$[0-9]+"))</f>
        <v/>
      </c>
      <c r="AA280" s="7" t="str" cm="1">
        <f t="array" aca="1" ref="AA280" ca="1">IFERROR(IF(OR('Raw Data'!AA280="",LEN(TRIM('Raw Data'!AA280))=0),"",IF(AND(ISNUMBER('Raw Data'!AA280), IFERROR('Raw Data'!AA280 = ROUND('Raw Data'!AA280, 2),FALSE)),"",_xlfn.REGEXEXTRACT(CELL("address",AA280), "\$([A-Z]+)\$[0-9]+"))),_xlfn.REGEXEXTRACT(CELL("address",AA280), "\$([A-Z]+)\$[0-9]+"))</f>
        <v/>
      </c>
      <c r="AB280" s="7" t="str" cm="1">
        <f t="array" aca="1" ref="AB280" ca="1">IFERROR(IF(OR('Raw Data'!AB280="",LEN(TRIM('Raw Data'!AB280))=0),"",IF(AND(ISNUMBER('Raw Data'!AB280), IFERROR('Raw Data'!AB280 = ROUND('Raw Data'!AB280, 2),FALSE)),"",_xlfn.REGEXEXTRACT(CELL("address",AB280), "\$([A-Z]+)\$[0-9]+"))),_xlfn.REGEXEXTRACT(CELL("address",AB280), "\$([A-Z]+)\$[0-9]+"))</f>
        <v/>
      </c>
    </row>
    <row r="281" spans="2:28" x14ac:dyDescent="0.25">
      <c r="B281" s="7" t="str" cm="1">
        <f t="array" aca="1" ref="B281" ca="1">IFERROR(IF(OR('Raw Data'!B281="",LEN(TRIM('Raw Data'!B281))=0),"",IF(AND(LEN('Raw Data'!B281) &lt;= 255,LEN('Raw Data'!B281)&gt; 0),"",_xlfn.REGEXEXTRACT(CELL("address",'Raw Data'!B281),"\$([A-Z]+)\$[0-9]+"))),_xlfn.REGEXEXTRACT(CELL("address",'Raw Data'!B281),"\$([A-Z]+)\$[0-9]+"))</f>
        <v/>
      </c>
      <c r="C281" s="7" t="str" cm="1">
        <f t="array" aca="1" ref="C281" ca="1">IFERROR(IF(OR('Raw Data'!C281="",LEN(TRIM('Raw Data'!C281))=0),"",IF(AND(LEN('Raw Data'!C281) &lt;= 20,LEN('Raw Data'!C281)&gt; 0),"",_xlfn.REGEXEXTRACT(CELL("address",'Raw Data'!C281),"\$([A-Z]+)\$[0-9]+"))),_xlfn.REGEXEXTRACT(CELL("address",'Raw Data'!C281),"\$([A-Z]+)\$[0-9]+"))</f>
        <v/>
      </c>
      <c r="D281" s="7" t="str" cm="1">
        <f t="array" aca="1" ref="D281" ca="1">IFERROR(IF(OR('Raw Data'!D281="",LEN(TRIM('Raw Data'!D281))=0),"",IF(AND(ISNUMBER('Raw Data'!D281),'Raw Data'!D281&gt;=Configuration!$D$2),"",_xlfn.REGEXEXTRACT(CELL("address",'Raw Data'!D281),"\$([A-Z]+)\$[0-9]+"))),_xlfn.REGEXEXTRACT(CELL("address",D281), "\$([A-Z]+)\$[0-9]+"))</f>
        <v/>
      </c>
      <c r="E281" s="7" t="str" cm="1">
        <f t="array" aca="1" ref="E281" ca="1">IFERROR(IF(OR('Raw Data'!E281="",LEN(TRIM('Raw Data'!E281))=0),"",IF(AND(ISNUMBER('Raw Data'!E281), IFERROR('Raw Data'!E281 = ROUND('Raw Data'!E281, 2),FALSE)),"",_xlfn.REGEXEXTRACT(CELL("address",E281), "\$([A-Z]+)\$[0-9]+"))),_xlfn.REGEXEXTRACT(CELL("address",E281), "\$([A-Z]+)\$[0-9]+"))</f>
        <v/>
      </c>
      <c r="F281" s="7" t="str" cm="1">
        <f t="array" aca="1" ref="F281" ca="1">IFERROR(IF(OR('Raw Data'!F281="",LEN(TRIM('Raw Data'!F281))=0),"",IF(AND(ISNUMBER('Raw Data'!F281), IFERROR('Raw Data'!F281 = ROUND('Raw Data'!F281, 2),FALSE)),"",_xlfn.REGEXEXTRACT(CELL("address",F281), "\$([A-Z]+)\$[0-9]+"))),_xlfn.REGEXEXTRACT(CELL("address",F281), "\$([A-Z]+)\$[0-9]+"))</f>
        <v/>
      </c>
      <c r="G281" s="7" t="str" cm="1">
        <f t="array" aca="1" ref="G281" ca="1">IFERROR(IF(OR('Raw Data'!G281="",LEN(TRIM('Raw Data'!G281))=0),"",IF(AND(ISNUMBER('Raw Data'!G281), IFERROR('Raw Data'!G281 = ROUND('Raw Data'!G281, 2),FALSE)),"",_xlfn.REGEXEXTRACT(CELL("address",G281), "\$([A-Z]+)\$[0-9]+"))),_xlfn.REGEXEXTRACT(CELL("address",G281), "\$([A-Z]+)\$[0-9]+"))</f>
        <v/>
      </c>
      <c r="H281" s="7" t="str" cm="1">
        <f t="array" aca="1" ref="H281" ca="1">IFERROR(IF(OR('Raw Data'!H281="",LEN(TRIM('Raw Data'!H281))=0),"",IF(AND(ISNUMBER('Raw Data'!H281), IFERROR('Raw Data'!H281 = ROUND('Raw Data'!H281, 2),FALSE)),"",_xlfn.REGEXEXTRACT(CELL("address",H281), "\$([A-Z]+)\$[0-9]+"))),_xlfn.REGEXEXTRACT(CELL("address",H281), "\$([A-Z]+)\$[0-9]+"))</f>
        <v/>
      </c>
      <c r="I281" s="7" t="str" cm="1">
        <f t="array" aca="1" ref="I281" ca="1">IFERROR(IF(OR('Raw Data'!I281="",LEN(TRIM('Raw Data'!I281))=0),"",IF(AND(ISNUMBER('Raw Data'!I281), IFERROR('Raw Data'!I281 = ROUND('Raw Data'!I281, 2),FALSE)),"",_xlfn.REGEXEXTRACT(CELL("address",I281), "\$([A-Z]+)\$[0-9]+"))),_xlfn.REGEXEXTRACT(CELL("address",I281), "\$([A-Z]+)\$[0-9]+"))</f>
        <v/>
      </c>
      <c r="J281" s="7" t="str" cm="1">
        <f t="array" aca="1" ref="J281" ca="1">IFERROR(IF(OR('Raw Data'!J281="",LEN(TRIM('Raw Data'!J281))=0),"",IF(AND(ISNUMBER('Raw Data'!J281), IFERROR('Raw Data'!J281 = ROUND('Raw Data'!J281, 2),FALSE)),"",_xlfn.REGEXEXTRACT(CELL("address",J281), "\$([A-Z]+)\$[0-9]+"))),_xlfn.REGEXEXTRACT(CELL("address",J281), "\$([A-Z]+)\$[0-9]+"))</f>
        <v/>
      </c>
      <c r="K281" s="7" t="str" cm="1">
        <f t="array" aca="1" ref="K281" ca="1">IFERROR(IF(OR('Raw Data'!K281="",LEN(TRIM('Raw Data'!K281))=0),"",IF(AND(ISNUMBER('Raw Data'!K281), IFERROR('Raw Data'!K281 = ROUND('Raw Data'!K281, 2),FALSE)),"",_xlfn.REGEXEXTRACT(CELL("address",K281), "\$([A-Z]+)\$[0-9]+"))),_xlfn.REGEXEXTRACT(CELL("address",K281), "\$([A-Z]+)\$[0-9]+"))</f>
        <v/>
      </c>
      <c r="L281" s="7" t="str" cm="1">
        <f t="array" aca="1" ref="L281" ca="1">IFERROR(IF(OR('Raw Data'!L281="",LEN(TRIM('Raw Data'!L281))=0),"",IF(AND(ISNUMBER('Raw Data'!L281), IFERROR('Raw Data'!L281 = ROUND('Raw Data'!L281, 2),FALSE)),"",_xlfn.REGEXEXTRACT(CELL("address",L281), "\$([A-Z]+)\$[0-9]+"))),_xlfn.REGEXEXTRACT(CELL("address",L281), "\$([A-Z]+)\$[0-9]+"))</f>
        <v/>
      </c>
      <c r="M281" s="7" t="str" cm="1">
        <f t="array" aca="1" ref="M281" ca="1">IFERROR(IF(OR('Raw Data'!M281="",LEN(TRIM('Raw Data'!M281))=0),"",IF(AND(ISNUMBER('Raw Data'!M281), IFERROR('Raw Data'!M281 = ROUND('Raw Data'!M281, 2),FALSE)),"",_xlfn.REGEXEXTRACT(CELL("address",M281), "\$([A-Z]+)\$[0-9]+"))),_xlfn.REGEXEXTRACT(CELL("address",M281), "\$([A-Z]+)\$[0-9]+"))</f>
        <v/>
      </c>
      <c r="N281" s="7" t="str" cm="1">
        <f t="array" aca="1" ref="N281" ca="1">IFERROR(IF(OR('Raw Data'!N281="",LEN(TRIM('Raw Data'!N281))=0),"",IF(AND(ISNUMBER('Raw Data'!N281), IFERROR('Raw Data'!N281 = ROUND('Raw Data'!N281, 2),FALSE)),"",_xlfn.REGEXEXTRACT(CELL("address",N281), "\$([A-Z]+)\$[0-9]+"))),_xlfn.REGEXEXTRACT(CELL("address",N281), "\$([A-Z]+)\$[0-9]+"))</f>
        <v/>
      </c>
      <c r="O281" s="7" t="str" cm="1">
        <f t="array" aca="1" ref="O281" ca="1">IFERROR(IF(OR('Raw Data'!O281="",LEN(TRIM('Raw Data'!O281))=0),"",IF(AND(ISNUMBER('Raw Data'!O281), IFERROR('Raw Data'!O281 = ROUND('Raw Data'!O281, 2),FALSE)),"",_xlfn.REGEXEXTRACT(CELL("address",O281), "\$([A-Z]+)\$[0-9]+"))),_xlfn.REGEXEXTRACT(CELL("address",O281), "\$([A-Z]+)\$[0-9]+"))</f>
        <v/>
      </c>
      <c r="P281" s="7" t="str" cm="1">
        <f t="array" aca="1" ref="P281" ca="1">IFERROR(IF(OR('Raw Data'!P281="",LEN(TRIM('Raw Data'!P281))=0),"",IF(AND(ISNUMBER('Raw Data'!P281), IFERROR('Raw Data'!P281 = ROUND('Raw Data'!P281, 2),FALSE)),"",_xlfn.REGEXEXTRACT(CELL("address",P281), "\$([A-Z]+)\$[0-9]+"))),_xlfn.REGEXEXTRACT(CELL("address",P281), "\$([A-Z]+)\$[0-9]+"))</f>
        <v/>
      </c>
      <c r="Q281" s="7" t="str" cm="1">
        <f t="array" aca="1" ref="Q281" ca="1">IFERROR(IF(OR('Raw Data'!Q281="",LEN(TRIM('Raw Data'!Q281))=0),"",IF(AND(ISNUMBER('Raw Data'!Q281), IFERROR('Raw Data'!Q281 = ROUND('Raw Data'!Q281, 2),FALSE)),"",_xlfn.REGEXEXTRACT(CELL("address",Q281), "\$([A-Z]+)\$[0-9]+"))),_xlfn.REGEXEXTRACT(CELL("address",Q281), "\$([A-Z]+)\$[0-9]+"))</f>
        <v/>
      </c>
      <c r="R281" s="7" t="str" cm="1">
        <f t="array" aca="1" ref="R281" ca="1">IFERROR(IF(OR('Raw Data'!R281="",LEN(TRIM('Raw Data'!R281))=0),"",IF(AND(ISNUMBER('Raw Data'!R281), IFERROR('Raw Data'!R281 = ROUND('Raw Data'!R281, 2),FALSE)),"",_xlfn.REGEXEXTRACT(CELL("address",R281), "\$([A-Z]+)\$[0-9]+"))),_xlfn.REGEXEXTRACT(CELL("address",R281), "\$([A-Z]+)\$[0-9]+"))</f>
        <v/>
      </c>
      <c r="S281" s="7" t="str" cm="1">
        <f t="array" aca="1" ref="S281" ca="1">IFERROR(IF(OR('Raw Data'!S281="",LEN(TRIM('Raw Data'!S281))=0),"",IF(AND(ISNUMBER('Raw Data'!S281), IFERROR('Raw Data'!S281 = ROUND('Raw Data'!S281, 2),FALSE)),"",_xlfn.REGEXEXTRACT(CELL("address",S281), "\$([A-Z]+)\$[0-9]+"))),_xlfn.REGEXEXTRACT(CELL("address",S281), "\$([A-Z]+)\$[0-9]+"))</f>
        <v/>
      </c>
      <c r="T281" s="7" t="str" cm="1">
        <f t="array" aca="1" ref="T281" ca="1">IFERROR(IF(OR('Raw Data'!T281="",LEN(TRIM('Raw Data'!T281))=0),"",IF(AND(ISNUMBER('Raw Data'!T281), IFERROR('Raw Data'!T281 = ROUND('Raw Data'!T281, 2),FALSE)),"",_xlfn.REGEXEXTRACT(CELL("address",T281), "\$([A-Z]+)\$[0-9]+"))),_xlfn.REGEXEXTRACT(CELL("address",T281), "\$([A-Z]+)\$[0-9]+"))</f>
        <v/>
      </c>
      <c r="U281" s="7" t="str" cm="1">
        <f t="array" aca="1" ref="U281" ca="1">IFERROR(IF(OR('Raw Data'!U281="",LEN(TRIM('Raw Data'!U281))=0),"",IF(AND(ISNUMBER('Raw Data'!U281), IFERROR('Raw Data'!U281 = ROUND('Raw Data'!U281, 2),FALSE)),"",_xlfn.REGEXEXTRACT(CELL("address",U281), "\$([A-Z]+)\$[0-9]+"))),_xlfn.REGEXEXTRACT(CELL("address",U281), "\$([A-Z]+)\$[0-9]+"))</f>
        <v/>
      </c>
      <c r="V281" s="7" t="str" cm="1">
        <f t="array" aca="1" ref="V281" ca="1">IFERROR(IF(OR('Raw Data'!V281="",LEN(TRIM('Raw Data'!V281))=0),"",IF(AND(ISNUMBER('Raw Data'!V281), IFERROR('Raw Data'!V281 = ROUND('Raw Data'!V281, 2),FALSE)),"",_xlfn.REGEXEXTRACT(CELL("address",V281), "\$([A-Z]+)\$[0-9]+"))),_xlfn.REGEXEXTRACT(CELL("address",V281), "\$([A-Z]+)\$[0-9]+"))</f>
        <v/>
      </c>
      <c r="W281" s="7" t="str" cm="1">
        <f t="array" aca="1" ref="W281" ca="1">IFERROR(IF(OR('Raw Data'!W281="",LEN(TRIM('Raw Data'!W281))=0),"",IF(AND(ISNUMBER('Raw Data'!W281), IFERROR('Raw Data'!W281 = ROUND('Raw Data'!W281, 2),FALSE)),"",_xlfn.REGEXEXTRACT(CELL("address",W281), "\$([A-Z]+)\$[0-9]+"))),_xlfn.REGEXEXTRACT(CELL("address",W281), "\$([A-Z]+)\$[0-9]+"))</f>
        <v/>
      </c>
      <c r="X281" s="7" t="str" cm="1">
        <f t="array" aca="1" ref="X281" ca="1">IFERROR(IF(OR('Raw Data'!X281="",LEN(TRIM('Raw Data'!X281))=0),"",IF(AND(ISNUMBER('Raw Data'!X281), IFERROR('Raw Data'!X281 = ROUND('Raw Data'!X281, 2),FALSE)),"",_xlfn.REGEXEXTRACT(CELL("address",X281), "\$([A-Z]+)\$[0-9]+"))),_xlfn.REGEXEXTRACT(CELL("address",X281), "\$([A-Z]+)\$[0-9]+"))</f>
        <v/>
      </c>
      <c r="Y281" s="7" t="str" cm="1">
        <f t="array" aca="1" ref="Y281" ca="1">IFERROR(IF(OR('Raw Data'!Y281="",LEN(TRIM('Raw Data'!Y281))=0),"",IF(AND(ISNUMBER('Raw Data'!Y281), IFERROR('Raw Data'!Y281 = ROUND('Raw Data'!Y281, 2),FALSE)),"",_xlfn.REGEXEXTRACT(CELL("address",Y281), "\$([A-Z]+)\$[0-9]+"))),_xlfn.REGEXEXTRACT(CELL("address",Y281), "\$([A-Z]+)\$[0-9]+"))</f>
        <v/>
      </c>
      <c r="Z281" s="7" t="str" cm="1">
        <f t="array" aca="1" ref="Z281" ca="1">IFERROR(IF(OR('Raw Data'!Z281="",LEN(TRIM('Raw Data'!Z281))=0),"",IF(AND(ISNUMBER('Raw Data'!Z281), IFERROR('Raw Data'!Z281 = ROUND('Raw Data'!Z281, 2),FALSE)),"",_xlfn.REGEXEXTRACT(CELL("address",Z281), "\$([A-Z]+)\$[0-9]+"))),_xlfn.REGEXEXTRACT(CELL("address",Z281), "\$([A-Z]+)\$[0-9]+"))</f>
        <v/>
      </c>
      <c r="AA281" s="7" t="str" cm="1">
        <f t="array" aca="1" ref="AA281" ca="1">IFERROR(IF(OR('Raw Data'!AA281="",LEN(TRIM('Raw Data'!AA281))=0),"",IF(AND(ISNUMBER('Raw Data'!AA281), IFERROR('Raw Data'!AA281 = ROUND('Raw Data'!AA281, 2),FALSE)),"",_xlfn.REGEXEXTRACT(CELL("address",AA281), "\$([A-Z]+)\$[0-9]+"))),_xlfn.REGEXEXTRACT(CELL("address",AA281), "\$([A-Z]+)\$[0-9]+"))</f>
        <v/>
      </c>
      <c r="AB281" s="7" t="str" cm="1">
        <f t="array" aca="1" ref="AB281" ca="1">IFERROR(IF(OR('Raw Data'!AB281="",LEN(TRIM('Raw Data'!AB281))=0),"",IF(AND(ISNUMBER('Raw Data'!AB281), IFERROR('Raw Data'!AB281 = ROUND('Raw Data'!AB281, 2),FALSE)),"",_xlfn.REGEXEXTRACT(CELL("address",AB281), "\$([A-Z]+)\$[0-9]+"))),_xlfn.REGEXEXTRACT(CELL("address",AB281), "\$([A-Z]+)\$[0-9]+"))</f>
        <v/>
      </c>
    </row>
    <row r="282" spans="2:28" x14ac:dyDescent="0.25">
      <c r="B282" s="7" t="str" cm="1">
        <f t="array" aca="1" ref="B282" ca="1">IFERROR(IF(OR('Raw Data'!B282="",LEN(TRIM('Raw Data'!B282))=0),"",IF(AND(LEN('Raw Data'!B282) &lt;= 255,LEN('Raw Data'!B282)&gt; 0),"",_xlfn.REGEXEXTRACT(CELL("address",'Raw Data'!B282),"\$([A-Z]+)\$[0-9]+"))),_xlfn.REGEXEXTRACT(CELL("address",'Raw Data'!B282),"\$([A-Z]+)\$[0-9]+"))</f>
        <v/>
      </c>
      <c r="C282" s="7" t="str" cm="1">
        <f t="array" aca="1" ref="C282" ca="1">IFERROR(IF(OR('Raw Data'!C282="",LEN(TRIM('Raw Data'!C282))=0),"",IF(AND(LEN('Raw Data'!C282) &lt;= 20,LEN('Raw Data'!C282)&gt; 0),"",_xlfn.REGEXEXTRACT(CELL("address",'Raw Data'!C282),"\$([A-Z]+)\$[0-9]+"))),_xlfn.REGEXEXTRACT(CELL("address",'Raw Data'!C282),"\$([A-Z]+)\$[0-9]+"))</f>
        <v/>
      </c>
      <c r="D282" s="7" t="str" cm="1">
        <f t="array" aca="1" ref="D282" ca="1">IFERROR(IF(OR('Raw Data'!D282="",LEN(TRIM('Raw Data'!D282))=0),"",IF(AND(ISNUMBER('Raw Data'!D282),'Raw Data'!D282&gt;=Configuration!$D$2),"",_xlfn.REGEXEXTRACT(CELL("address",'Raw Data'!D282),"\$([A-Z]+)\$[0-9]+"))),_xlfn.REGEXEXTRACT(CELL("address",D282), "\$([A-Z]+)\$[0-9]+"))</f>
        <v/>
      </c>
      <c r="E282" s="7" t="str" cm="1">
        <f t="array" aca="1" ref="E282" ca="1">IFERROR(IF(OR('Raw Data'!E282="",LEN(TRIM('Raw Data'!E282))=0),"",IF(AND(ISNUMBER('Raw Data'!E282), IFERROR('Raw Data'!E282 = ROUND('Raw Data'!E282, 2),FALSE)),"",_xlfn.REGEXEXTRACT(CELL("address",E282), "\$([A-Z]+)\$[0-9]+"))),_xlfn.REGEXEXTRACT(CELL("address",E282), "\$([A-Z]+)\$[0-9]+"))</f>
        <v/>
      </c>
      <c r="F282" s="7" t="str" cm="1">
        <f t="array" aca="1" ref="F282" ca="1">IFERROR(IF(OR('Raw Data'!F282="",LEN(TRIM('Raw Data'!F282))=0),"",IF(AND(ISNUMBER('Raw Data'!F282), IFERROR('Raw Data'!F282 = ROUND('Raw Data'!F282, 2),FALSE)),"",_xlfn.REGEXEXTRACT(CELL("address",F282), "\$([A-Z]+)\$[0-9]+"))),_xlfn.REGEXEXTRACT(CELL("address",F282), "\$([A-Z]+)\$[0-9]+"))</f>
        <v/>
      </c>
      <c r="G282" s="7" t="str" cm="1">
        <f t="array" aca="1" ref="G282" ca="1">IFERROR(IF(OR('Raw Data'!G282="",LEN(TRIM('Raw Data'!G282))=0),"",IF(AND(ISNUMBER('Raw Data'!G282), IFERROR('Raw Data'!G282 = ROUND('Raw Data'!G282, 2),FALSE)),"",_xlfn.REGEXEXTRACT(CELL("address",G282), "\$([A-Z]+)\$[0-9]+"))),_xlfn.REGEXEXTRACT(CELL("address",G282), "\$([A-Z]+)\$[0-9]+"))</f>
        <v/>
      </c>
      <c r="H282" s="7" t="str" cm="1">
        <f t="array" aca="1" ref="H282" ca="1">IFERROR(IF(OR('Raw Data'!H282="",LEN(TRIM('Raw Data'!H282))=0),"",IF(AND(ISNUMBER('Raw Data'!H282), IFERROR('Raw Data'!H282 = ROUND('Raw Data'!H282, 2),FALSE)),"",_xlfn.REGEXEXTRACT(CELL("address",H282), "\$([A-Z]+)\$[0-9]+"))),_xlfn.REGEXEXTRACT(CELL("address",H282), "\$([A-Z]+)\$[0-9]+"))</f>
        <v/>
      </c>
      <c r="I282" s="7" t="str" cm="1">
        <f t="array" aca="1" ref="I282" ca="1">IFERROR(IF(OR('Raw Data'!I282="",LEN(TRIM('Raw Data'!I282))=0),"",IF(AND(ISNUMBER('Raw Data'!I282), IFERROR('Raw Data'!I282 = ROUND('Raw Data'!I282, 2),FALSE)),"",_xlfn.REGEXEXTRACT(CELL("address",I282), "\$([A-Z]+)\$[0-9]+"))),_xlfn.REGEXEXTRACT(CELL("address",I282), "\$([A-Z]+)\$[0-9]+"))</f>
        <v/>
      </c>
      <c r="J282" s="7" t="str" cm="1">
        <f t="array" aca="1" ref="J282" ca="1">IFERROR(IF(OR('Raw Data'!J282="",LEN(TRIM('Raw Data'!J282))=0),"",IF(AND(ISNUMBER('Raw Data'!J282), IFERROR('Raw Data'!J282 = ROUND('Raw Data'!J282, 2),FALSE)),"",_xlfn.REGEXEXTRACT(CELL("address",J282), "\$([A-Z]+)\$[0-9]+"))),_xlfn.REGEXEXTRACT(CELL("address",J282), "\$([A-Z]+)\$[0-9]+"))</f>
        <v/>
      </c>
      <c r="K282" s="7" t="str" cm="1">
        <f t="array" aca="1" ref="K282" ca="1">IFERROR(IF(OR('Raw Data'!K282="",LEN(TRIM('Raw Data'!K282))=0),"",IF(AND(ISNUMBER('Raw Data'!K282), IFERROR('Raw Data'!K282 = ROUND('Raw Data'!K282, 2),FALSE)),"",_xlfn.REGEXEXTRACT(CELL("address",K282), "\$([A-Z]+)\$[0-9]+"))),_xlfn.REGEXEXTRACT(CELL("address",K282), "\$([A-Z]+)\$[0-9]+"))</f>
        <v/>
      </c>
      <c r="L282" s="7" t="str" cm="1">
        <f t="array" aca="1" ref="L282" ca="1">IFERROR(IF(OR('Raw Data'!L282="",LEN(TRIM('Raw Data'!L282))=0),"",IF(AND(ISNUMBER('Raw Data'!L282), IFERROR('Raw Data'!L282 = ROUND('Raw Data'!L282, 2),FALSE)),"",_xlfn.REGEXEXTRACT(CELL("address",L282), "\$([A-Z]+)\$[0-9]+"))),_xlfn.REGEXEXTRACT(CELL("address",L282), "\$([A-Z]+)\$[0-9]+"))</f>
        <v/>
      </c>
      <c r="M282" s="7" t="str" cm="1">
        <f t="array" aca="1" ref="M282" ca="1">IFERROR(IF(OR('Raw Data'!M282="",LEN(TRIM('Raw Data'!M282))=0),"",IF(AND(ISNUMBER('Raw Data'!M282), IFERROR('Raw Data'!M282 = ROUND('Raw Data'!M282, 2),FALSE)),"",_xlfn.REGEXEXTRACT(CELL("address",M282), "\$([A-Z]+)\$[0-9]+"))),_xlfn.REGEXEXTRACT(CELL("address",M282), "\$([A-Z]+)\$[0-9]+"))</f>
        <v/>
      </c>
      <c r="N282" s="7" t="str" cm="1">
        <f t="array" aca="1" ref="N282" ca="1">IFERROR(IF(OR('Raw Data'!N282="",LEN(TRIM('Raw Data'!N282))=0),"",IF(AND(ISNUMBER('Raw Data'!N282), IFERROR('Raw Data'!N282 = ROUND('Raw Data'!N282, 2),FALSE)),"",_xlfn.REGEXEXTRACT(CELL("address",N282), "\$([A-Z]+)\$[0-9]+"))),_xlfn.REGEXEXTRACT(CELL("address",N282), "\$([A-Z]+)\$[0-9]+"))</f>
        <v/>
      </c>
      <c r="O282" s="7" t="str" cm="1">
        <f t="array" aca="1" ref="O282" ca="1">IFERROR(IF(OR('Raw Data'!O282="",LEN(TRIM('Raw Data'!O282))=0),"",IF(AND(ISNUMBER('Raw Data'!O282), IFERROR('Raw Data'!O282 = ROUND('Raw Data'!O282, 2),FALSE)),"",_xlfn.REGEXEXTRACT(CELL("address",O282), "\$([A-Z]+)\$[0-9]+"))),_xlfn.REGEXEXTRACT(CELL("address",O282), "\$([A-Z]+)\$[0-9]+"))</f>
        <v/>
      </c>
      <c r="P282" s="7" t="str" cm="1">
        <f t="array" aca="1" ref="P282" ca="1">IFERROR(IF(OR('Raw Data'!P282="",LEN(TRIM('Raw Data'!P282))=0),"",IF(AND(ISNUMBER('Raw Data'!P282), IFERROR('Raw Data'!P282 = ROUND('Raw Data'!P282, 2),FALSE)),"",_xlfn.REGEXEXTRACT(CELL("address",P282), "\$([A-Z]+)\$[0-9]+"))),_xlfn.REGEXEXTRACT(CELL("address",P282), "\$([A-Z]+)\$[0-9]+"))</f>
        <v/>
      </c>
      <c r="Q282" s="7" t="str" cm="1">
        <f t="array" aca="1" ref="Q282" ca="1">IFERROR(IF(OR('Raw Data'!Q282="",LEN(TRIM('Raw Data'!Q282))=0),"",IF(AND(ISNUMBER('Raw Data'!Q282), IFERROR('Raw Data'!Q282 = ROUND('Raw Data'!Q282, 2),FALSE)),"",_xlfn.REGEXEXTRACT(CELL("address",Q282), "\$([A-Z]+)\$[0-9]+"))),_xlfn.REGEXEXTRACT(CELL("address",Q282), "\$([A-Z]+)\$[0-9]+"))</f>
        <v/>
      </c>
      <c r="R282" s="7" t="str" cm="1">
        <f t="array" aca="1" ref="R282" ca="1">IFERROR(IF(OR('Raw Data'!R282="",LEN(TRIM('Raw Data'!R282))=0),"",IF(AND(ISNUMBER('Raw Data'!R282), IFERROR('Raw Data'!R282 = ROUND('Raw Data'!R282, 2),FALSE)),"",_xlfn.REGEXEXTRACT(CELL("address",R282), "\$([A-Z]+)\$[0-9]+"))),_xlfn.REGEXEXTRACT(CELL("address",R282), "\$([A-Z]+)\$[0-9]+"))</f>
        <v/>
      </c>
      <c r="S282" s="7" t="str" cm="1">
        <f t="array" aca="1" ref="S282" ca="1">IFERROR(IF(OR('Raw Data'!S282="",LEN(TRIM('Raw Data'!S282))=0),"",IF(AND(ISNUMBER('Raw Data'!S282), IFERROR('Raw Data'!S282 = ROUND('Raw Data'!S282, 2),FALSE)),"",_xlfn.REGEXEXTRACT(CELL("address",S282), "\$([A-Z]+)\$[0-9]+"))),_xlfn.REGEXEXTRACT(CELL("address",S282), "\$([A-Z]+)\$[0-9]+"))</f>
        <v/>
      </c>
      <c r="T282" s="7" t="str" cm="1">
        <f t="array" aca="1" ref="T282" ca="1">IFERROR(IF(OR('Raw Data'!T282="",LEN(TRIM('Raw Data'!T282))=0),"",IF(AND(ISNUMBER('Raw Data'!T282), IFERROR('Raw Data'!T282 = ROUND('Raw Data'!T282, 2),FALSE)),"",_xlfn.REGEXEXTRACT(CELL("address",T282), "\$([A-Z]+)\$[0-9]+"))),_xlfn.REGEXEXTRACT(CELL("address",T282), "\$([A-Z]+)\$[0-9]+"))</f>
        <v/>
      </c>
      <c r="U282" s="7" t="str" cm="1">
        <f t="array" aca="1" ref="U282" ca="1">IFERROR(IF(OR('Raw Data'!U282="",LEN(TRIM('Raw Data'!U282))=0),"",IF(AND(ISNUMBER('Raw Data'!U282), IFERROR('Raw Data'!U282 = ROUND('Raw Data'!U282, 2),FALSE)),"",_xlfn.REGEXEXTRACT(CELL("address",U282), "\$([A-Z]+)\$[0-9]+"))),_xlfn.REGEXEXTRACT(CELL("address",U282), "\$([A-Z]+)\$[0-9]+"))</f>
        <v/>
      </c>
      <c r="V282" s="7" t="str" cm="1">
        <f t="array" aca="1" ref="V282" ca="1">IFERROR(IF(OR('Raw Data'!V282="",LEN(TRIM('Raw Data'!V282))=0),"",IF(AND(ISNUMBER('Raw Data'!V282), IFERROR('Raw Data'!V282 = ROUND('Raw Data'!V282, 2),FALSE)),"",_xlfn.REGEXEXTRACT(CELL("address",V282), "\$([A-Z]+)\$[0-9]+"))),_xlfn.REGEXEXTRACT(CELL("address",V282), "\$([A-Z]+)\$[0-9]+"))</f>
        <v/>
      </c>
      <c r="W282" s="7" t="str" cm="1">
        <f t="array" aca="1" ref="W282" ca="1">IFERROR(IF(OR('Raw Data'!W282="",LEN(TRIM('Raw Data'!W282))=0),"",IF(AND(ISNUMBER('Raw Data'!W282), IFERROR('Raw Data'!W282 = ROUND('Raw Data'!W282, 2),FALSE)),"",_xlfn.REGEXEXTRACT(CELL("address",W282), "\$([A-Z]+)\$[0-9]+"))),_xlfn.REGEXEXTRACT(CELL("address",W282), "\$([A-Z]+)\$[0-9]+"))</f>
        <v/>
      </c>
      <c r="X282" s="7" t="str" cm="1">
        <f t="array" aca="1" ref="X282" ca="1">IFERROR(IF(OR('Raw Data'!X282="",LEN(TRIM('Raw Data'!X282))=0),"",IF(AND(ISNUMBER('Raw Data'!X282), IFERROR('Raw Data'!X282 = ROUND('Raw Data'!X282, 2),FALSE)),"",_xlfn.REGEXEXTRACT(CELL("address",X282), "\$([A-Z]+)\$[0-9]+"))),_xlfn.REGEXEXTRACT(CELL("address",X282), "\$([A-Z]+)\$[0-9]+"))</f>
        <v/>
      </c>
      <c r="Y282" s="7" t="str" cm="1">
        <f t="array" aca="1" ref="Y282" ca="1">IFERROR(IF(OR('Raw Data'!Y282="",LEN(TRIM('Raw Data'!Y282))=0),"",IF(AND(ISNUMBER('Raw Data'!Y282), IFERROR('Raw Data'!Y282 = ROUND('Raw Data'!Y282, 2),FALSE)),"",_xlfn.REGEXEXTRACT(CELL("address",Y282), "\$([A-Z]+)\$[0-9]+"))),_xlfn.REGEXEXTRACT(CELL("address",Y282), "\$([A-Z]+)\$[0-9]+"))</f>
        <v/>
      </c>
      <c r="Z282" s="7" t="str" cm="1">
        <f t="array" aca="1" ref="Z282" ca="1">IFERROR(IF(OR('Raw Data'!Z282="",LEN(TRIM('Raw Data'!Z282))=0),"",IF(AND(ISNUMBER('Raw Data'!Z282), IFERROR('Raw Data'!Z282 = ROUND('Raw Data'!Z282, 2),FALSE)),"",_xlfn.REGEXEXTRACT(CELL("address",Z282), "\$([A-Z]+)\$[0-9]+"))),_xlfn.REGEXEXTRACT(CELL("address",Z282), "\$([A-Z]+)\$[0-9]+"))</f>
        <v/>
      </c>
      <c r="AA282" s="7" t="str" cm="1">
        <f t="array" aca="1" ref="AA282" ca="1">IFERROR(IF(OR('Raw Data'!AA282="",LEN(TRIM('Raw Data'!AA282))=0),"",IF(AND(ISNUMBER('Raw Data'!AA282), IFERROR('Raw Data'!AA282 = ROUND('Raw Data'!AA282, 2),FALSE)),"",_xlfn.REGEXEXTRACT(CELL("address",AA282), "\$([A-Z]+)\$[0-9]+"))),_xlfn.REGEXEXTRACT(CELL("address",AA282), "\$([A-Z]+)\$[0-9]+"))</f>
        <v/>
      </c>
      <c r="AB282" s="7" t="str" cm="1">
        <f t="array" aca="1" ref="AB282" ca="1">IFERROR(IF(OR('Raw Data'!AB282="",LEN(TRIM('Raw Data'!AB282))=0),"",IF(AND(ISNUMBER('Raw Data'!AB282), IFERROR('Raw Data'!AB282 = ROUND('Raw Data'!AB282, 2),FALSE)),"",_xlfn.REGEXEXTRACT(CELL("address",AB282), "\$([A-Z]+)\$[0-9]+"))),_xlfn.REGEXEXTRACT(CELL("address",AB282), "\$([A-Z]+)\$[0-9]+"))</f>
        <v/>
      </c>
    </row>
    <row r="283" spans="2:28" x14ac:dyDescent="0.25">
      <c r="B283" s="7" t="str" cm="1">
        <f t="array" aca="1" ref="B283" ca="1">IFERROR(IF(OR('Raw Data'!B283="",LEN(TRIM('Raw Data'!B283))=0),"",IF(AND(LEN('Raw Data'!B283) &lt;= 255,LEN('Raw Data'!B283)&gt; 0),"",_xlfn.REGEXEXTRACT(CELL("address",'Raw Data'!B283),"\$([A-Z]+)\$[0-9]+"))),_xlfn.REGEXEXTRACT(CELL("address",'Raw Data'!B283),"\$([A-Z]+)\$[0-9]+"))</f>
        <v/>
      </c>
      <c r="C283" s="7" t="str" cm="1">
        <f t="array" aca="1" ref="C283" ca="1">IFERROR(IF(OR('Raw Data'!C283="",LEN(TRIM('Raw Data'!C283))=0),"",IF(AND(LEN('Raw Data'!C283) &lt;= 20,LEN('Raw Data'!C283)&gt; 0),"",_xlfn.REGEXEXTRACT(CELL("address",'Raw Data'!C283),"\$([A-Z]+)\$[0-9]+"))),_xlfn.REGEXEXTRACT(CELL("address",'Raw Data'!C283),"\$([A-Z]+)\$[0-9]+"))</f>
        <v/>
      </c>
      <c r="D283" s="7" t="str" cm="1">
        <f t="array" aca="1" ref="D283" ca="1">IFERROR(IF(OR('Raw Data'!D283="",LEN(TRIM('Raw Data'!D283))=0),"",IF(AND(ISNUMBER('Raw Data'!D283),'Raw Data'!D283&gt;=Configuration!$D$2),"",_xlfn.REGEXEXTRACT(CELL("address",'Raw Data'!D283),"\$([A-Z]+)\$[0-9]+"))),_xlfn.REGEXEXTRACT(CELL("address",D283), "\$([A-Z]+)\$[0-9]+"))</f>
        <v/>
      </c>
      <c r="E283" s="7" t="str" cm="1">
        <f t="array" aca="1" ref="E283" ca="1">IFERROR(IF(OR('Raw Data'!E283="",LEN(TRIM('Raw Data'!E283))=0),"",IF(AND(ISNUMBER('Raw Data'!E283), IFERROR('Raw Data'!E283 = ROUND('Raw Data'!E283, 2),FALSE)),"",_xlfn.REGEXEXTRACT(CELL("address",E283), "\$([A-Z]+)\$[0-9]+"))),_xlfn.REGEXEXTRACT(CELL("address",E283), "\$([A-Z]+)\$[0-9]+"))</f>
        <v/>
      </c>
      <c r="F283" s="7" t="str" cm="1">
        <f t="array" aca="1" ref="F283" ca="1">IFERROR(IF(OR('Raw Data'!F283="",LEN(TRIM('Raw Data'!F283))=0),"",IF(AND(ISNUMBER('Raw Data'!F283), IFERROR('Raw Data'!F283 = ROUND('Raw Data'!F283, 2),FALSE)),"",_xlfn.REGEXEXTRACT(CELL("address",F283), "\$([A-Z]+)\$[0-9]+"))),_xlfn.REGEXEXTRACT(CELL("address",F283), "\$([A-Z]+)\$[0-9]+"))</f>
        <v/>
      </c>
      <c r="G283" s="7" t="str" cm="1">
        <f t="array" aca="1" ref="G283" ca="1">IFERROR(IF(OR('Raw Data'!G283="",LEN(TRIM('Raw Data'!G283))=0),"",IF(AND(ISNUMBER('Raw Data'!G283), IFERROR('Raw Data'!G283 = ROUND('Raw Data'!G283, 2),FALSE)),"",_xlfn.REGEXEXTRACT(CELL("address",G283), "\$([A-Z]+)\$[0-9]+"))),_xlfn.REGEXEXTRACT(CELL("address",G283), "\$([A-Z]+)\$[0-9]+"))</f>
        <v/>
      </c>
      <c r="H283" s="7" t="str" cm="1">
        <f t="array" aca="1" ref="H283" ca="1">IFERROR(IF(OR('Raw Data'!H283="",LEN(TRIM('Raw Data'!H283))=0),"",IF(AND(ISNUMBER('Raw Data'!H283), IFERROR('Raw Data'!H283 = ROUND('Raw Data'!H283, 2),FALSE)),"",_xlfn.REGEXEXTRACT(CELL("address",H283), "\$([A-Z]+)\$[0-9]+"))),_xlfn.REGEXEXTRACT(CELL("address",H283), "\$([A-Z]+)\$[0-9]+"))</f>
        <v/>
      </c>
      <c r="I283" s="7" t="str" cm="1">
        <f t="array" aca="1" ref="I283" ca="1">IFERROR(IF(OR('Raw Data'!I283="",LEN(TRIM('Raw Data'!I283))=0),"",IF(AND(ISNUMBER('Raw Data'!I283), IFERROR('Raw Data'!I283 = ROUND('Raw Data'!I283, 2),FALSE)),"",_xlfn.REGEXEXTRACT(CELL("address",I283), "\$([A-Z]+)\$[0-9]+"))),_xlfn.REGEXEXTRACT(CELL("address",I283), "\$([A-Z]+)\$[0-9]+"))</f>
        <v/>
      </c>
      <c r="J283" s="7" t="str" cm="1">
        <f t="array" aca="1" ref="J283" ca="1">IFERROR(IF(OR('Raw Data'!J283="",LEN(TRIM('Raw Data'!J283))=0),"",IF(AND(ISNUMBER('Raw Data'!J283), IFERROR('Raw Data'!J283 = ROUND('Raw Data'!J283, 2),FALSE)),"",_xlfn.REGEXEXTRACT(CELL("address",J283), "\$([A-Z]+)\$[0-9]+"))),_xlfn.REGEXEXTRACT(CELL("address",J283), "\$([A-Z]+)\$[0-9]+"))</f>
        <v/>
      </c>
      <c r="K283" s="7" t="str" cm="1">
        <f t="array" aca="1" ref="K283" ca="1">IFERROR(IF(OR('Raw Data'!K283="",LEN(TRIM('Raw Data'!K283))=0),"",IF(AND(ISNUMBER('Raw Data'!K283), IFERROR('Raw Data'!K283 = ROUND('Raw Data'!K283, 2),FALSE)),"",_xlfn.REGEXEXTRACT(CELL("address",K283), "\$([A-Z]+)\$[0-9]+"))),_xlfn.REGEXEXTRACT(CELL("address",K283), "\$([A-Z]+)\$[0-9]+"))</f>
        <v/>
      </c>
      <c r="L283" s="7" t="str" cm="1">
        <f t="array" aca="1" ref="L283" ca="1">IFERROR(IF(OR('Raw Data'!L283="",LEN(TRIM('Raw Data'!L283))=0),"",IF(AND(ISNUMBER('Raw Data'!L283), IFERROR('Raw Data'!L283 = ROUND('Raw Data'!L283, 2),FALSE)),"",_xlfn.REGEXEXTRACT(CELL("address",L283), "\$([A-Z]+)\$[0-9]+"))),_xlfn.REGEXEXTRACT(CELL("address",L283), "\$([A-Z]+)\$[0-9]+"))</f>
        <v/>
      </c>
      <c r="M283" s="7" t="str" cm="1">
        <f t="array" aca="1" ref="M283" ca="1">IFERROR(IF(OR('Raw Data'!M283="",LEN(TRIM('Raw Data'!M283))=0),"",IF(AND(ISNUMBER('Raw Data'!M283), IFERROR('Raw Data'!M283 = ROUND('Raw Data'!M283, 2),FALSE)),"",_xlfn.REGEXEXTRACT(CELL("address",M283), "\$([A-Z]+)\$[0-9]+"))),_xlfn.REGEXEXTRACT(CELL("address",M283), "\$([A-Z]+)\$[0-9]+"))</f>
        <v/>
      </c>
      <c r="N283" s="7" t="str" cm="1">
        <f t="array" aca="1" ref="N283" ca="1">IFERROR(IF(OR('Raw Data'!N283="",LEN(TRIM('Raw Data'!N283))=0),"",IF(AND(ISNUMBER('Raw Data'!N283), IFERROR('Raw Data'!N283 = ROUND('Raw Data'!N283, 2),FALSE)),"",_xlfn.REGEXEXTRACT(CELL("address",N283), "\$([A-Z]+)\$[0-9]+"))),_xlfn.REGEXEXTRACT(CELL("address",N283), "\$([A-Z]+)\$[0-9]+"))</f>
        <v/>
      </c>
      <c r="O283" s="7" t="str" cm="1">
        <f t="array" aca="1" ref="O283" ca="1">IFERROR(IF(OR('Raw Data'!O283="",LEN(TRIM('Raw Data'!O283))=0),"",IF(AND(ISNUMBER('Raw Data'!O283), IFERROR('Raw Data'!O283 = ROUND('Raw Data'!O283, 2),FALSE)),"",_xlfn.REGEXEXTRACT(CELL("address",O283), "\$([A-Z]+)\$[0-9]+"))),_xlfn.REGEXEXTRACT(CELL("address",O283), "\$([A-Z]+)\$[0-9]+"))</f>
        <v/>
      </c>
      <c r="P283" s="7" t="str" cm="1">
        <f t="array" aca="1" ref="P283" ca="1">IFERROR(IF(OR('Raw Data'!P283="",LEN(TRIM('Raw Data'!P283))=0),"",IF(AND(ISNUMBER('Raw Data'!P283), IFERROR('Raw Data'!P283 = ROUND('Raw Data'!P283, 2),FALSE)),"",_xlfn.REGEXEXTRACT(CELL("address",P283), "\$([A-Z]+)\$[0-9]+"))),_xlfn.REGEXEXTRACT(CELL("address",P283), "\$([A-Z]+)\$[0-9]+"))</f>
        <v/>
      </c>
      <c r="Q283" s="7" t="str" cm="1">
        <f t="array" aca="1" ref="Q283" ca="1">IFERROR(IF(OR('Raw Data'!Q283="",LEN(TRIM('Raw Data'!Q283))=0),"",IF(AND(ISNUMBER('Raw Data'!Q283), IFERROR('Raw Data'!Q283 = ROUND('Raw Data'!Q283, 2),FALSE)),"",_xlfn.REGEXEXTRACT(CELL("address",Q283), "\$([A-Z]+)\$[0-9]+"))),_xlfn.REGEXEXTRACT(CELL("address",Q283), "\$([A-Z]+)\$[0-9]+"))</f>
        <v/>
      </c>
      <c r="R283" s="7" t="str" cm="1">
        <f t="array" aca="1" ref="R283" ca="1">IFERROR(IF(OR('Raw Data'!R283="",LEN(TRIM('Raw Data'!R283))=0),"",IF(AND(ISNUMBER('Raw Data'!R283), IFERROR('Raw Data'!R283 = ROUND('Raw Data'!R283, 2),FALSE)),"",_xlfn.REGEXEXTRACT(CELL("address",R283), "\$([A-Z]+)\$[0-9]+"))),_xlfn.REGEXEXTRACT(CELL("address",R283), "\$([A-Z]+)\$[0-9]+"))</f>
        <v/>
      </c>
      <c r="S283" s="7" t="str" cm="1">
        <f t="array" aca="1" ref="S283" ca="1">IFERROR(IF(OR('Raw Data'!S283="",LEN(TRIM('Raw Data'!S283))=0),"",IF(AND(ISNUMBER('Raw Data'!S283), IFERROR('Raw Data'!S283 = ROUND('Raw Data'!S283, 2),FALSE)),"",_xlfn.REGEXEXTRACT(CELL("address",S283), "\$([A-Z]+)\$[0-9]+"))),_xlfn.REGEXEXTRACT(CELL("address",S283), "\$([A-Z]+)\$[0-9]+"))</f>
        <v/>
      </c>
      <c r="T283" s="7" t="str" cm="1">
        <f t="array" aca="1" ref="T283" ca="1">IFERROR(IF(OR('Raw Data'!T283="",LEN(TRIM('Raw Data'!T283))=0),"",IF(AND(ISNUMBER('Raw Data'!T283), IFERROR('Raw Data'!T283 = ROUND('Raw Data'!T283, 2),FALSE)),"",_xlfn.REGEXEXTRACT(CELL("address",T283), "\$([A-Z]+)\$[0-9]+"))),_xlfn.REGEXEXTRACT(CELL("address",T283), "\$([A-Z]+)\$[0-9]+"))</f>
        <v/>
      </c>
      <c r="U283" s="7" t="str" cm="1">
        <f t="array" aca="1" ref="U283" ca="1">IFERROR(IF(OR('Raw Data'!U283="",LEN(TRIM('Raw Data'!U283))=0),"",IF(AND(ISNUMBER('Raw Data'!U283), IFERROR('Raw Data'!U283 = ROUND('Raw Data'!U283, 2),FALSE)),"",_xlfn.REGEXEXTRACT(CELL("address",U283), "\$([A-Z]+)\$[0-9]+"))),_xlfn.REGEXEXTRACT(CELL("address",U283), "\$([A-Z]+)\$[0-9]+"))</f>
        <v/>
      </c>
      <c r="V283" s="7" t="str" cm="1">
        <f t="array" aca="1" ref="V283" ca="1">IFERROR(IF(OR('Raw Data'!V283="",LEN(TRIM('Raw Data'!V283))=0),"",IF(AND(ISNUMBER('Raw Data'!V283), IFERROR('Raw Data'!V283 = ROUND('Raw Data'!V283, 2),FALSE)),"",_xlfn.REGEXEXTRACT(CELL("address",V283), "\$([A-Z]+)\$[0-9]+"))),_xlfn.REGEXEXTRACT(CELL("address",V283), "\$([A-Z]+)\$[0-9]+"))</f>
        <v/>
      </c>
      <c r="W283" s="7" t="str" cm="1">
        <f t="array" aca="1" ref="W283" ca="1">IFERROR(IF(OR('Raw Data'!W283="",LEN(TRIM('Raw Data'!W283))=0),"",IF(AND(ISNUMBER('Raw Data'!W283), IFERROR('Raw Data'!W283 = ROUND('Raw Data'!W283, 2),FALSE)),"",_xlfn.REGEXEXTRACT(CELL("address",W283), "\$([A-Z]+)\$[0-9]+"))),_xlfn.REGEXEXTRACT(CELL("address",W283), "\$([A-Z]+)\$[0-9]+"))</f>
        <v/>
      </c>
      <c r="X283" s="7" t="str" cm="1">
        <f t="array" aca="1" ref="X283" ca="1">IFERROR(IF(OR('Raw Data'!X283="",LEN(TRIM('Raw Data'!X283))=0),"",IF(AND(ISNUMBER('Raw Data'!X283), IFERROR('Raw Data'!X283 = ROUND('Raw Data'!X283, 2),FALSE)),"",_xlfn.REGEXEXTRACT(CELL("address",X283), "\$([A-Z]+)\$[0-9]+"))),_xlfn.REGEXEXTRACT(CELL("address",X283), "\$([A-Z]+)\$[0-9]+"))</f>
        <v/>
      </c>
      <c r="Y283" s="7" t="str" cm="1">
        <f t="array" aca="1" ref="Y283" ca="1">IFERROR(IF(OR('Raw Data'!Y283="",LEN(TRIM('Raw Data'!Y283))=0),"",IF(AND(ISNUMBER('Raw Data'!Y283), IFERROR('Raw Data'!Y283 = ROUND('Raw Data'!Y283, 2),FALSE)),"",_xlfn.REGEXEXTRACT(CELL("address",Y283), "\$([A-Z]+)\$[0-9]+"))),_xlfn.REGEXEXTRACT(CELL("address",Y283), "\$([A-Z]+)\$[0-9]+"))</f>
        <v/>
      </c>
      <c r="Z283" s="7" t="str" cm="1">
        <f t="array" aca="1" ref="Z283" ca="1">IFERROR(IF(OR('Raw Data'!Z283="",LEN(TRIM('Raw Data'!Z283))=0),"",IF(AND(ISNUMBER('Raw Data'!Z283), IFERROR('Raw Data'!Z283 = ROUND('Raw Data'!Z283, 2),FALSE)),"",_xlfn.REGEXEXTRACT(CELL("address",Z283), "\$([A-Z]+)\$[0-9]+"))),_xlfn.REGEXEXTRACT(CELL("address",Z283), "\$([A-Z]+)\$[0-9]+"))</f>
        <v/>
      </c>
      <c r="AA283" s="7" t="str" cm="1">
        <f t="array" aca="1" ref="AA283" ca="1">IFERROR(IF(OR('Raw Data'!AA283="",LEN(TRIM('Raw Data'!AA283))=0),"",IF(AND(ISNUMBER('Raw Data'!AA283), IFERROR('Raw Data'!AA283 = ROUND('Raw Data'!AA283, 2),FALSE)),"",_xlfn.REGEXEXTRACT(CELL("address",AA283), "\$([A-Z]+)\$[0-9]+"))),_xlfn.REGEXEXTRACT(CELL("address",AA283), "\$([A-Z]+)\$[0-9]+"))</f>
        <v/>
      </c>
      <c r="AB283" s="7" t="str" cm="1">
        <f t="array" aca="1" ref="AB283" ca="1">IFERROR(IF(OR('Raw Data'!AB283="",LEN(TRIM('Raw Data'!AB283))=0),"",IF(AND(ISNUMBER('Raw Data'!AB283), IFERROR('Raw Data'!AB283 = ROUND('Raw Data'!AB283, 2),FALSE)),"",_xlfn.REGEXEXTRACT(CELL("address",AB283), "\$([A-Z]+)\$[0-9]+"))),_xlfn.REGEXEXTRACT(CELL("address",AB283), "\$([A-Z]+)\$[0-9]+"))</f>
        <v/>
      </c>
    </row>
    <row r="284" spans="2:28" x14ac:dyDescent="0.25">
      <c r="B284" s="7" t="str" cm="1">
        <f t="array" aca="1" ref="B284" ca="1">IFERROR(IF(OR('Raw Data'!B284="",LEN(TRIM('Raw Data'!B284))=0),"",IF(AND(LEN('Raw Data'!B284) &lt;= 255,LEN('Raw Data'!B284)&gt; 0),"",_xlfn.REGEXEXTRACT(CELL("address",'Raw Data'!B284),"\$([A-Z]+)\$[0-9]+"))),_xlfn.REGEXEXTRACT(CELL("address",'Raw Data'!B284),"\$([A-Z]+)\$[0-9]+"))</f>
        <v/>
      </c>
      <c r="C284" s="7" t="str" cm="1">
        <f t="array" aca="1" ref="C284" ca="1">IFERROR(IF(OR('Raw Data'!C284="",LEN(TRIM('Raw Data'!C284))=0),"",IF(AND(LEN('Raw Data'!C284) &lt;= 20,LEN('Raw Data'!C284)&gt; 0),"",_xlfn.REGEXEXTRACT(CELL("address",'Raw Data'!C284),"\$([A-Z]+)\$[0-9]+"))),_xlfn.REGEXEXTRACT(CELL("address",'Raw Data'!C284),"\$([A-Z]+)\$[0-9]+"))</f>
        <v/>
      </c>
      <c r="D284" s="7" t="str" cm="1">
        <f t="array" aca="1" ref="D284" ca="1">IFERROR(IF(OR('Raw Data'!D284="",LEN(TRIM('Raw Data'!D284))=0),"",IF(AND(ISNUMBER('Raw Data'!D284),'Raw Data'!D284&gt;=Configuration!$D$2),"",_xlfn.REGEXEXTRACT(CELL("address",'Raw Data'!D284),"\$([A-Z]+)\$[0-9]+"))),_xlfn.REGEXEXTRACT(CELL("address",D284), "\$([A-Z]+)\$[0-9]+"))</f>
        <v/>
      </c>
      <c r="E284" s="7" t="str" cm="1">
        <f t="array" aca="1" ref="E284" ca="1">IFERROR(IF(OR('Raw Data'!E284="",LEN(TRIM('Raw Data'!E284))=0),"",IF(AND(ISNUMBER('Raw Data'!E284), IFERROR('Raw Data'!E284 = ROUND('Raw Data'!E284, 2),FALSE)),"",_xlfn.REGEXEXTRACT(CELL("address",E284), "\$([A-Z]+)\$[0-9]+"))),_xlfn.REGEXEXTRACT(CELL("address",E284), "\$([A-Z]+)\$[0-9]+"))</f>
        <v/>
      </c>
      <c r="F284" s="7" t="str" cm="1">
        <f t="array" aca="1" ref="F284" ca="1">IFERROR(IF(OR('Raw Data'!F284="",LEN(TRIM('Raw Data'!F284))=0),"",IF(AND(ISNUMBER('Raw Data'!F284), IFERROR('Raw Data'!F284 = ROUND('Raw Data'!F284, 2),FALSE)),"",_xlfn.REGEXEXTRACT(CELL("address",F284), "\$([A-Z]+)\$[0-9]+"))),_xlfn.REGEXEXTRACT(CELL("address",F284), "\$([A-Z]+)\$[0-9]+"))</f>
        <v/>
      </c>
      <c r="G284" s="7" t="str" cm="1">
        <f t="array" aca="1" ref="G284" ca="1">IFERROR(IF(OR('Raw Data'!G284="",LEN(TRIM('Raw Data'!G284))=0),"",IF(AND(ISNUMBER('Raw Data'!G284), IFERROR('Raw Data'!G284 = ROUND('Raw Data'!G284, 2),FALSE)),"",_xlfn.REGEXEXTRACT(CELL("address",G284), "\$([A-Z]+)\$[0-9]+"))),_xlfn.REGEXEXTRACT(CELL("address",G284), "\$([A-Z]+)\$[0-9]+"))</f>
        <v/>
      </c>
      <c r="H284" s="7" t="str" cm="1">
        <f t="array" aca="1" ref="H284" ca="1">IFERROR(IF(OR('Raw Data'!H284="",LEN(TRIM('Raw Data'!H284))=0),"",IF(AND(ISNUMBER('Raw Data'!H284), IFERROR('Raw Data'!H284 = ROUND('Raw Data'!H284, 2),FALSE)),"",_xlfn.REGEXEXTRACT(CELL("address",H284), "\$([A-Z]+)\$[0-9]+"))),_xlfn.REGEXEXTRACT(CELL("address",H284), "\$([A-Z]+)\$[0-9]+"))</f>
        <v/>
      </c>
      <c r="I284" s="7" t="str" cm="1">
        <f t="array" aca="1" ref="I284" ca="1">IFERROR(IF(OR('Raw Data'!I284="",LEN(TRIM('Raw Data'!I284))=0),"",IF(AND(ISNUMBER('Raw Data'!I284), IFERROR('Raw Data'!I284 = ROUND('Raw Data'!I284, 2),FALSE)),"",_xlfn.REGEXEXTRACT(CELL("address",I284), "\$([A-Z]+)\$[0-9]+"))),_xlfn.REGEXEXTRACT(CELL("address",I284), "\$([A-Z]+)\$[0-9]+"))</f>
        <v/>
      </c>
      <c r="J284" s="7" t="str" cm="1">
        <f t="array" aca="1" ref="J284" ca="1">IFERROR(IF(OR('Raw Data'!J284="",LEN(TRIM('Raw Data'!J284))=0),"",IF(AND(ISNUMBER('Raw Data'!J284), IFERROR('Raw Data'!J284 = ROUND('Raw Data'!J284, 2),FALSE)),"",_xlfn.REGEXEXTRACT(CELL("address",J284), "\$([A-Z]+)\$[0-9]+"))),_xlfn.REGEXEXTRACT(CELL("address",J284), "\$([A-Z]+)\$[0-9]+"))</f>
        <v/>
      </c>
      <c r="K284" s="7" t="str" cm="1">
        <f t="array" aca="1" ref="K284" ca="1">IFERROR(IF(OR('Raw Data'!K284="",LEN(TRIM('Raw Data'!K284))=0),"",IF(AND(ISNUMBER('Raw Data'!K284), IFERROR('Raw Data'!K284 = ROUND('Raw Data'!K284, 2),FALSE)),"",_xlfn.REGEXEXTRACT(CELL("address",K284), "\$([A-Z]+)\$[0-9]+"))),_xlfn.REGEXEXTRACT(CELL("address",K284), "\$([A-Z]+)\$[0-9]+"))</f>
        <v/>
      </c>
      <c r="L284" s="7" t="str" cm="1">
        <f t="array" aca="1" ref="L284" ca="1">IFERROR(IF(OR('Raw Data'!L284="",LEN(TRIM('Raw Data'!L284))=0),"",IF(AND(ISNUMBER('Raw Data'!L284), IFERROR('Raw Data'!L284 = ROUND('Raw Data'!L284, 2),FALSE)),"",_xlfn.REGEXEXTRACT(CELL("address",L284), "\$([A-Z]+)\$[0-9]+"))),_xlfn.REGEXEXTRACT(CELL("address",L284), "\$([A-Z]+)\$[0-9]+"))</f>
        <v/>
      </c>
      <c r="M284" s="7" t="str" cm="1">
        <f t="array" aca="1" ref="M284" ca="1">IFERROR(IF(OR('Raw Data'!M284="",LEN(TRIM('Raw Data'!M284))=0),"",IF(AND(ISNUMBER('Raw Data'!M284), IFERROR('Raw Data'!M284 = ROUND('Raw Data'!M284, 2),FALSE)),"",_xlfn.REGEXEXTRACT(CELL("address",M284), "\$([A-Z]+)\$[0-9]+"))),_xlfn.REGEXEXTRACT(CELL("address",M284), "\$([A-Z]+)\$[0-9]+"))</f>
        <v/>
      </c>
      <c r="N284" s="7" t="str" cm="1">
        <f t="array" aca="1" ref="N284" ca="1">IFERROR(IF(OR('Raw Data'!N284="",LEN(TRIM('Raw Data'!N284))=0),"",IF(AND(ISNUMBER('Raw Data'!N284), IFERROR('Raw Data'!N284 = ROUND('Raw Data'!N284, 2),FALSE)),"",_xlfn.REGEXEXTRACT(CELL("address",N284), "\$([A-Z]+)\$[0-9]+"))),_xlfn.REGEXEXTRACT(CELL("address",N284), "\$([A-Z]+)\$[0-9]+"))</f>
        <v/>
      </c>
      <c r="O284" s="7" t="str" cm="1">
        <f t="array" aca="1" ref="O284" ca="1">IFERROR(IF(OR('Raw Data'!O284="",LEN(TRIM('Raw Data'!O284))=0),"",IF(AND(ISNUMBER('Raw Data'!O284), IFERROR('Raw Data'!O284 = ROUND('Raw Data'!O284, 2),FALSE)),"",_xlfn.REGEXEXTRACT(CELL("address",O284), "\$([A-Z]+)\$[0-9]+"))),_xlfn.REGEXEXTRACT(CELL("address",O284), "\$([A-Z]+)\$[0-9]+"))</f>
        <v/>
      </c>
      <c r="P284" s="7" t="str" cm="1">
        <f t="array" aca="1" ref="P284" ca="1">IFERROR(IF(OR('Raw Data'!P284="",LEN(TRIM('Raw Data'!P284))=0),"",IF(AND(ISNUMBER('Raw Data'!P284), IFERROR('Raw Data'!P284 = ROUND('Raw Data'!P284, 2),FALSE)),"",_xlfn.REGEXEXTRACT(CELL("address",P284), "\$([A-Z]+)\$[0-9]+"))),_xlfn.REGEXEXTRACT(CELL("address",P284), "\$([A-Z]+)\$[0-9]+"))</f>
        <v/>
      </c>
      <c r="Q284" s="7" t="str" cm="1">
        <f t="array" aca="1" ref="Q284" ca="1">IFERROR(IF(OR('Raw Data'!Q284="",LEN(TRIM('Raw Data'!Q284))=0),"",IF(AND(ISNUMBER('Raw Data'!Q284), IFERROR('Raw Data'!Q284 = ROUND('Raw Data'!Q284, 2),FALSE)),"",_xlfn.REGEXEXTRACT(CELL("address",Q284), "\$([A-Z]+)\$[0-9]+"))),_xlfn.REGEXEXTRACT(CELL("address",Q284), "\$([A-Z]+)\$[0-9]+"))</f>
        <v/>
      </c>
      <c r="R284" s="7" t="str" cm="1">
        <f t="array" aca="1" ref="R284" ca="1">IFERROR(IF(OR('Raw Data'!R284="",LEN(TRIM('Raw Data'!R284))=0),"",IF(AND(ISNUMBER('Raw Data'!R284), IFERROR('Raw Data'!R284 = ROUND('Raw Data'!R284, 2),FALSE)),"",_xlfn.REGEXEXTRACT(CELL("address",R284), "\$([A-Z]+)\$[0-9]+"))),_xlfn.REGEXEXTRACT(CELL("address",R284), "\$([A-Z]+)\$[0-9]+"))</f>
        <v/>
      </c>
      <c r="S284" s="7" t="str" cm="1">
        <f t="array" aca="1" ref="S284" ca="1">IFERROR(IF(OR('Raw Data'!S284="",LEN(TRIM('Raw Data'!S284))=0),"",IF(AND(ISNUMBER('Raw Data'!S284), IFERROR('Raw Data'!S284 = ROUND('Raw Data'!S284, 2),FALSE)),"",_xlfn.REGEXEXTRACT(CELL("address",S284), "\$([A-Z]+)\$[0-9]+"))),_xlfn.REGEXEXTRACT(CELL("address",S284), "\$([A-Z]+)\$[0-9]+"))</f>
        <v/>
      </c>
      <c r="T284" s="7" t="str" cm="1">
        <f t="array" aca="1" ref="T284" ca="1">IFERROR(IF(OR('Raw Data'!T284="",LEN(TRIM('Raw Data'!T284))=0),"",IF(AND(ISNUMBER('Raw Data'!T284), IFERROR('Raw Data'!T284 = ROUND('Raw Data'!T284, 2),FALSE)),"",_xlfn.REGEXEXTRACT(CELL("address",T284), "\$([A-Z]+)\$[0-9]+"))),_xlfn.REGEXEXTRACT(CELL("address",T284), "\$([A-Z]+)\$[0-9]+"))</f>
        <v/>
      </c>
      <c r="U284" s="7" t="str" cm="1">
        <f t="array" aca="1" ref="U284" ca="1">IFERROR(IF(OR('Raw Data'!U284="",LEN(TRIM('Raw Data'!U284))=0),"",IF(AND(ISNUMBER('Raw Data'!U284), IFERROR('Raw Data'!U284 = ROUND('Raw Data'!U284, 2),FALSE)),"",_xlfn.REGEXEXTRACT(CELL("address",U284), "\$([A-Z]+)\$[0-9]+"))),_xlfn.REGEXEXTRACT(CELL("address",U284), "\$([A-Z]+)\$[0-9]+"))</f>
        <v/>
      </c>
      <c r="V284" s="7" t="str" cm="1">
        <f t="array" aca="1" ref="V284" ca="1">IFERROR(IF(OR('Raw Data'!V284="",LEN(TRIM('Raw Data'!V284))=0),"",IF(AND(ISNUMBER('Raw Data'!V284), IFERROR('Raw Data'!V284 = ROUND('Raw Data'!V284, 2),FALSE)),"",_xlfn.REGEXEXTRACT(CELL("address",V284), "\$([A-Z]+)\$[0-9]+"))),_xlfn.REGEXEXTRACT(CELL("address",V284), "\$([A-Z]+)\$[0-9]+"))</f>
        <v/>
      </c>
      <c r="W284" s="7" t="str" cm="1">
        <f t="array" aca="1" ref="W284" ca="1">IFERROR(IF(OR('Raw Data'!W284="",LEN(TRIM('Raw Data'!W284))=0),"",IF(AND(ISNUMBER('Raw Data'!W284), IFERROR('Raw Data'!W284 = ROUND('Raw Data'!W284, 2),FALSE)),"",_xlfn.REGEXEXTRACT(CELL("address",W284), "\$([A-Z]+)\$[0-9]+"))),_xlfn.REGEXEXTRACT(CELL("address",W284), "\$([A-Z]+)\$[0-9]+"))</f>
        <v/>
      </c>
      <c r="X284" s="7" t="str" cm="1">
        <f t="array" aca="1" ref="X284" ca="1">IFERROR(IF(OR('Raw Data'!X284="",LEN(TRIM('Raw Data'!X284))=0),"",IF(AND(ISNUMBER('Raw Data'!X284), IFERROR('Raw Data'!X284 = ROUND('Raw Data'!X284, 2),FALSE)),"",_xlfn.REGEXEXTRACT(CELL("address",X284), "\$([A-Z]+)\$[0-9]+"))),_xlfn.REGEXEXTRACT(CELL("address",X284), "\$([A-Z]+)\$[0-9]+"))</f>
        <v/>
      </c>
      <c r="Y284" s="7" t="str" cm="1">
        <f t="array" aca="1" ref="Y284" ca="1">IFERROR(IF(OR('Raw Data'!Y284="",LEN(TRIM('Raw Data'!Y284))=0),"",IF(AND(ISNUMBER('Raw Data'!Y284), IFERROR('Raw Data'!Y284 = ROUND('Raw Data'!Y284, 2),FALSE)),"",_xlfn.REGEXEXTRACT(CELL("address",Y284), "\$([A-Z]+)\$[0-9]+"))),_xlfn.REGEXEXTRACT(CELL("address",Y284), "\$([A-Z]+)\$[0-9]+"))</f>
        <v/>
      </c>
      <c r="Z284" s="7" t="str" cm="1">
        <f t="array" aca="1" ref="Z284" ca="1">IFERROR(IF(OR('Raw Data'!Z284="",LEN(TRIM('Raw Data'!Z284))=0),"",IF(AND(ISNUMBER('Raw Data'!Z284), IFERROR('Raw Data'!Z284 = ROUND('Raw Data'!Z284, 2),FALSE)),"",_xlfn.REGEXEXTRACT(CELL("address",Z284), "\$([A-Z]+)\$[0-9]+"))),_xlfn.REGEXEXTRACT(CELL("address",Z284), "\$([A-Z]+)\$[0-9]+"))</f>
        <v/>
      </c>
      <c r="AA284" s="7" t="str" cm="1">
        <f t="array" aca="1" ref="AA284" ca="1">IFERROR(IF(OR('Raw Data'!AA284="",LEN(TRIM('Raw Data'!AA284))=0),"",IF(AND(ISNUMBER('Raw Data'!AA284), IFERROR('Raw Data'!AA284 = ROUND('Raw Data'!AA284, 2),FALSE)),"",_xlfn.REGEXEXTRACT(CELL("address",AA284), "\$([A-Z]+)\$[0-9]+"))),_xlfn.REGEXEXTRACT(CELL("address",AA284), "\$([A-Z]+)\$[0-9]+"))</f>
        <v/>
      </c>
      <c r="AB284" s="7" t="str" cm="1">
        <f t="array" aca="1" ref="AB284" ca="1">IFERROR(IF(OR('Raw Data'!AB284="",LEN(TRIM('Raw Data'!AB284))=0),"",IF(AND(ISNUMBER('Raw Data'!AB284), IFERROR('Raw Data'!AB284 = ROUND('Raw Data'!AB284, 2),FALSE)),"",_xlfn.REGEXEXTRACT(CELL("address",AB284), "\$([A-Z]+)\$[0-9]+"))),_xlfn.REGEXEXTRACT(CELL("address",AB284), "\$([A-Z]+)\$[0-9]+"))</f>
        <v/>
      </c>
    </row>
    <row r="285" spans="2:28" x14ac:dyDescent="0.25">
      <c r="B285" s="7" t="str" cm="1">
        <f t="array" aca="1" ref="B285" ca="1">IFERROR(IF(OR('Raw Data'!B285="",LEN(TRIM('Raw Data'!B285))=0),"",IF(AND(LEN('Raw Data'!B285) &lt;= 255,LEN('Raw Data'!B285)&gt; 0),"",_xlfn.REGEXEXTRACT(CELL("address",'Raw Data'!B285),"\$([A-Z]+)\$[0-9]+"))),_xlfn.REGEXEXTRACT(CELL("address",'Raw Data'!B285),"\$([A-Z]+)\$[0-9]+"))</f>
        <v/>
      </c>
      <c r="C285" s="7" t="str" cm="1">
        <f t="array" aca="1" ref="C285" ca="1">IFERROR(IF(OR('Raw Data'!C285="",LEN(TRIM('Raw Data'!C285))=0),"",IF(AND(LEN('Raw Data'!C285) &lt;= 20,LEN('Raw Data'!C285)&gt; 0),"",_xlfn.REGEXEXTRACT(CELL("address",'Raw Data'!C285),"\$([A-Z]+)\$[0-9]+"))),_xlfn.REGEXEXTRACT(CELL("address",'Raw Data'!C285),"\$([A-Z]+)\$[0-9]+"))</f>
        <v/>
      </c>
      <c r="D285" s="7" t="str" cm="1">
        <f t="array" aca="1" ref="D285" ca="1">IFERROR(IF(OR('Raw Data'!D285="",LEN(TRIM('Raw Data'!D285))=0),"",IF(AND(ISNUMBER('Raw Data'!D285),'Raw Data'!D285&gt;=Configuration!$D$2),"",_xlfn.REGEXEXTRACT(CELL("address",'Raw Data'!D285),"\$([A-Z]+)\$[0-9]+"))),_xlfn.REGEXEXTRACT(CELL("address",D285), "\$([A-Z]+)\$[0-9]+"))</f>
        <v/>
      </c>
      <c r="E285" s="7" t="str" cm="1">
        <f t="array" aca="1" ref="E285" ca="1">IFERROR(IF(OR('Raw Data'!E285="",LEN(TRIM('Raw Data'!E285))=0),"",IF(AND(ISNUMBER('Raw Data'!E285), IFERROR('Raw Data'!E285 = ROUND('Raw Data'!E285, 2),FALSE)),"",_xlfn.REGEXEXTRACT(CELL("address",E285), "\$([A-Z]+)\$[0-9]+"))),_xlfn.REGEXEXTRACT(CELL("address",E285), "\$([A-Z]+)\$[0-9]+"))</f>
        <v/>
      </c>
      <c r="F285" s="7" t="str" cm="1">
        <f t="array" aca="1" ref="F285" ca="1">IFERROR(IF(OR('Raw Data'!F285="",LEN(TRIM('Raw Data'!F285))=0),"",IF(AND(ISNUMBER('Raw Data'!F285), IFERROR('Raw Data'!F285 = ROUND('Raw Data'!F285, 2),FALSE)),"",_xlfn.REGEXEXTRACT(CELL("address",F285), "\$([A-Z]+)\$[0-9]+"))),_xlfn.REGEXEXTRACT(CELL("address",F285), "\$([A-Z]+)\$[0-9]+"))</f>
        <v/>
      </c>
      <c r="G285" s="7" t="str" cm="1">
        <f t="array" aca="1" ref="G285" ca="1">IFERROR(IF(OR('Raw Data'!G285="",LEN(TRIM('Raw Data'!G285))=0),"",IF(AND(ISNUMBER('Raw Data'!G285), IFERROR('Raw Data'!G285 = ROUND('Raw Data'!G285, 2),FALSE)),"",_xlfn.REGEXEXTRACT(CELL("address",G285), "\$([A-Z]+)\$[0-9]+"))),_xlfn.REGEXEXTRACT(CELL("address",G285), "\$([A-Z]+)\$[0-9]+"))</f>
        <v/>
      </c>
      <c r="H285" s="7" t="str" cm="1">
        <f t="array" aca="1" ref="H285" ca="1">IFERROR(IF(OR('Raw Data'!H285="",LEN(TRIM('Raw Data'!H285))=0),"",IF(AND(ISNUMBER('Raw Data'!H285), IFERROR('Raw Data'!H285 = ROUND('Raw Data'!H285, 2),FALSE)),"",_xlfn.REGEXEXTRACT(CELL("address",H285), "\$([A-Z]+)\$[0-9]+"))),_xlfn.REGEXEXTRACT(CELL("address",H285), "\$([A-Z]+)\$[0-9]+"))</f>
        <v/>
      </c>
      <c r="I285" s="7" t="str" cm="1">
        <f t="array" aca="1" ref="I285" ca="1">IFERROR(IF(OR('Raw Data'!I285="",LEN(TRIM('Raw Data'!I285))=0),"",IF(AND(ISNUMBER('Raw Data'!I285), IFERROR('Raw Data'!I285 = ROUND('Raw Data'!I285, 2),FALSE)),"",_xlfn.REGEXEXTRACT(CELL("address",I285), "\$([A-Z]+)\$[0-9]+"))),_xlfn.REGEXEXTRACT(CELL("address",I285), "\$([A-Z]+)\$[0-9]+"))</f>
        <v/>
      </c>
      <c r="J285" s="7" t="str" cm="1">
        <f t="array" aca="1" ref="J285" ca="1">IFERROR(IF(OR('Raw Data'!J285="",LEN(TRIM('Raw Data'!J285))=0),"",IF(AND(ISNUMBER('Raw Data'!J285), IFERROR('Raw Data'!J285 = ROUND('Raw Data'!J285, 2),FALSE)),"",_xlfn.REGEXEXTRACT(CELL("address",J285), "\$([A-Z]+)\$[0-9]+"))),_xlfn.REGEXEXTRACT(CELL("address",J285), "\$([A-Z]+)\$[0-9]+"))</f>
        <v/>
      </c>
      <c r="K285" s="7" t="str" cm="1">
        <f t="array" aca="1" ref="K285" ca="1">IFERROR(IF(OR('Raw Data'!K285="",LEN(TRIM('Raw Data'!K285))=0),"",IF(AND(ISNUMBER('Raw Data'!K285), IFERROR('Raw Data'!K285 = ROUND('Raw Data'!K285, 2),FALSE)),"",_xlfn.REGEXEXTRACT(CELL("address",K285), "\$([A-Z]+)\$[0-9]+"))),_xlfn.REGEXEXTRACT(CELL("address",K285), "\$([A-Z]+)\$[0-9]+"))</f>
        <v/>
      </c>
      <c r="L285" s="7" t="str" cm="1">
        <f t="array" aca="1" ref="L285" ca="1">IFERROR(IF(OR('Raw Data'!L285="",LEN(TRIM('Raw Data'!L285))=0),"",IF(AND(ISNUMBER('Raw Data'!L285), IFERROR('Raw Data'!L285 = ROUND('Raw Data'!L285, 2),FALSE)),"",_xlfn.REGEXEXTRACT(CELL("address",L285), "\$([A-Z]+)\$[0-9]+"))),_xlfn.REGEXEXTRACT(CELL("address",L285), "\$([A-Z]+)\$[0-9]+"))</f>
        <v/>
      </c>
      <c r="M285" s="7" t="str" cm="1">
        <f t="array" aca="1" ref="M285" ca="1">IFERROR(IF(OR('Raw Data'!M285="",LEN(TRIM('Raw Data'!M285))=0),"",IF(AND(ISNUMBER('Raw Data'!M285), IFERROR('Raw Data'!M285 = ROUND('Raw Data'!M285, 2),FALSE)),"",_xlfn.REGEXEXTRACT(CELL("address",M285), "\$([A-Z]+)\$[0-9]+"))),_xlfn.REGEXEXTRACT(CELL("address",M285), "\$([A-Z]+)\$[0-9]+"))</f>
        <v/>
      </c>
      <c r="N285" s="7" t="str" cm="1">
        <f t="array" aca="1" ref="N285" ca="1">IFERROR(IF(OR('Raw Data'!N285="",LEN(TRIM('Raw Data'!N285))=0),"",IF(AND(ISNUMBER('Raw Data'!N285), IFERROR('Raw Data'!N285 = ROUND('Raw Data'!N285, 2),FALSE)),"",_xlfn.REGEXEXTRACT(CELL("address",N285), "\$([A-Z]+)\$[0-9]+"))),_xlfn.REGEXEXTRACT(CELL("address",N285), "\$([A-Z]+)\$[0-9]+"))</f>
        <v/>
      </c>
      <c r="O285" s="7" t="str" cm="1">
        <f t="array" aca="1" ref="O285" ca="1">IFERROR(IF(OR('Raw Data'!O285="",LEN(TRIM('Raw Data'!O285))=0),"",IF(AND(ISNUMBER('Raw Data'!O285), IFERROR('Raw Data'!O285 = ROUND('Raw Data'!O285, 2),FALSE)),"",_xlfn.REGEXEXTRACT(CELL("address",O285), "\$([A-Z]+)\$[0-9]+"))),_xlfn.REGEXEXTRACT(CELL("address",O285), "\$([A-Z]+)\$[0-9]+"))</f>
        <v/>
      </c>
      <c r="P285" s="7" t="str" cm="1">
        <f t="array" aca="1" ref="P285" ca="1">IFERROR(IF(OR('Raw Data'!P285="",LEN(TRIM('Raw Data'!P285))=0),"",IF(AND(ISNUMBER('Raw Data'!P285), IFERROR('Raw Data'!P285 = ROUND('Raw Data'!P285, 2),FALSE)),"",_xlfn.REGEXEXTRACT(CELL("address",P285), "\$([A-Z]+)\$[0-9]+"))),_xlfn.REGEXEXTRACT(CELL("address",P285), "\$([A-Z]+)\$[0-9]+"))</f>
        <v/>
      </c>
      <c r="Q285" s="7" t="str" cm="1">
        <f t="array" aca="1" ref="Q285" ca="1">IFERROR(IF(OR('Raw Data'!Q285="",LEN(TRIM('Raw Data'!Q285))=0),"",IF(AND(ISNUMBER('Raw Data'!Q285), IFERROR('Raw Data'!Q285 = ROUND('Raw Data'!Q285, 2),FALSE)),"",_xlfn.REGEXEXTRACT(CELL("address",Q285), "\$([A-Z]+)\$[0-9]+"))),_xlfn.REGEXEXTRACT(CELL("address",Q285), "\$([A-Z]+)\$[0-9]+"))</f>
        <v/>
      </c>
      <c r="R285" s="7" t="str" cm="1">
        <f t="array" aca="1" ref="R285" ca="1">IFERROR(IF(OR('Raw Data'!R285="",LEN(TRIM('Raw Data'!R285))=0),"",IF(AND(ISNUMBER('Raw Data'!R285), IFERROR('Raw Data'!R285 = ROUND('Raw Data'!R285, 2),FALSE)),"",_xlfn.REGEXEXTRACT(CELL("address",R285), "\$([A-Z]+)\$[0-9]+"))),_xlfn.REGEXEXTRACT(CELL("address",R285), "\$([A-Z]+)\$[0-9]+"))</f>
        <v/>
      </c>
      <c r="S285" s="7" t="str" cm="1">
        <f t="array" aca="1" ref="S285" ca="1">IFERROR(IF(OR('Raw Data'!S285="",LEN(TRIM('Raw Data'!S285))=0),"",IF(AND(ISNUMBER('Raw Data'!S285), IFERROR('Raw Data'!S285 = ROUND('Raw Data'!S285, 2),FALSE)),"",_xlfn.REGEXEXTRACT(CELL("address",S285), "\$([A-Z]+)\$[0-9]+"))),_xlfn.REGEXEXTRACT(CELL("address",S285), "\$([A-Z]+)\$[0-9]+"))</f>
        <v/>
      </c>
      <c r="T285" s="7" t="str" cm="1">
        <f t="array" aca="1" ref="T285" ca="1">IFERROR(IF(OR('Raw Data'!T285="",LEN(TRIM('Raw Data'!T285))=0),"",IF(AND(ISNUMBER('Raw Data'!T285), IFERROR('Raw Data'!T285 = ROUND('Raw Data'!T285, 2),FALSE)),"",_xlfn.REGEXEXTRACT(CELL("address",T285), "\$([A-Z]+)\$[0-9]+"))),_xlfn.REGEXEXTRACT(CELL("address",T285), "\$([A-Z]+)\$[0-9]+"))</f>
        <v/>
      </c>
      <c r="U285" s="7" t="str" cm="1">
        <f t="array" aca="1" ref="U285" ca="1">IFERROR(IF(OR('Raw Data'!U285="",LEN(TRIM('Raw Data'!U285))=0),"",IF(AND(ISNUMBER('Raw Data'!U285), IFERROR('Raw Data'!U285 = ROUND('Raw Data'!U285, 2),FALSE)),"",_xlfn.REGEXEXTRACT(CELL("address",U285), "\$([A-Z]+)\$[0-9]+"))),_xlfn.REGEXEXTRACT(CELL("address",U285), "\$([A-Z]+)\$[0-9]+"))</f>
        <v/>
      </c>
      <c r="V285" s="7" t="str" cm="1">
        <f t="array" aca="1" ref="V285" ca="1">IFERROR(IF(OR('Raw Data'!V285="",LEN(TRIM('Raw Data'!V285))=0),"",IF(AND(ISNUMBER('Raw Data'!V285), IFERROR('Raw Data'!V285 = ROUND('Raw Data'!V285, 2),FALSE)),"",_xlfn.REGEXEXTRACT(CELL("address",V285), "\$([A-Z]+)\$[0-9]+"))),_xlfn.REGEXEXTRACT(CELL("address",V285), "\$([A-Z]+)\$[0-9]+"))</f>
        <v/>
      </c>
      <c r="W285" s="7" t="str" cm="1">
        <f t="array" aca="1" ref="W285" ca="1">IFERROR(IF(OR('Raw Data'!W285="",LEN(TRIM('Raw Data'!W285))=0),"",IF(AND(ISNUMBER('Raw Data'!W285), IFERROR('Raw Data'!W285 = ROUND('Raw Data'!W285, 2),FALSE)),"",_xlfn.REGEXEXTRACT(CELL("address",W285), "\$([A-Z]+)\$[0-9]+"))),_xlfn.REGEXEXTRACT(CELL("address",W285), "\$([A-Z]+)\$[0-9]+"))</f>
        <v/>
      </c>
      <c r="X285" s="7" t="str" cm="1">
        <f t="array" aca="1" ref="X285" ca="1">IFERROR(IF(OR('Raw Data'!X285="",LEN(TRIM('Raw Data'!X285))=0),"",IF(AND(ISNUMBER('Raw Data'!X285), IFERROR('Raw Data'!X285 = ROUND('Raw Data'!X285, 2),FALSE)),"",_xlfn.REGEXEXTRACT(CELL("address",X285), "\$([A-Z]+)\$[0-9]+"))),_xlfn.REGEXEXTRACT(CELL("address",X285), "\$([A-Z]+)\$[0-9]+"))</f>
        <v/>
      </c>
      <c r="Y285" s="7" t="str" cm="1">
        <f t="array" aca="1" ref="Y285" ca="1">IFERROR(IF(OR('Raw Data'!Y285="",LEN(TRIM('Raw Data'!Y285))=0),"",IF(AND(ISNUMBER('Raw Data'!Y285), IFERROR('Raw Data'!Y285 = ROUND('Raw Data'!Y285, 2),FALSE)),"",_xlfn.REGEXEXTRACT(CELL("address",Y285), "\$([A-Z]+)\$[0-9]+"))),_xlfn.REGEXEXTRACT(CELL("address",Y285), "\$([A-Z]+)\$[0-9]+"))</f>
        <v/>
      </c>
      <c r="Z285" s="7" t="str" cm="1">
        <f t="array" aca="1" ref="Z285" ca="1">IFERROR(IF(OR('Raw Data'!Z285="",LEN(TRIM('Raw Data'!Z285))=0),"",IF(AND(ISNUMBER('Raw Data'!Z285), IFERROR('Raw Data'!Z285 = ROUND('Raw Data'!Z285, 2),FALSE)),"",_xlfn.REGEXEXTRACT(CELL("address",Z285), "\$([A-Z]+)\$[0-9]+"))),_xlfn.REGEXEXTRACT(CELL("address",Z285), "\$([A-Z]+)\$[0-9]+"))</f>
        <v/>
      </c>
      <c r="AA285" s="7" t="str" cm="1">
        <f t="array" aca="1" ref="AA285" ca="1">IFERROR(IF(OR('Raw Data'!AA285="",LEN(TRIM('Raw Data'!AA285))=0),"",IF(AND(ISNUMBER('Raw Data'!AA285), IFERROR('Raw Data'!AA285 = ROUND('Raw Data'!AA285, 2),FALSE)),"",_xlfn.REGEXEXTRACT(CELL("address",AA285), "\$([A-Z]+)\$[0-9]+"))),_xlfn.REGEXEXTRACT(CELL("address",AA285), "\$([A-Z]+)\$[0-9]+"))</f>
        <v/>
      </c>
      <c r="AB285" s="7" t="str" cm="1">
        <f t="array" aca="1" ref="AB285" ca="1">IFERROR(IF(OR('Raw Data'!AB285="",LEN(TRIM('Raw Data'!AB285))=0),"",IF(AND(ISNUMBER('Raw Data'!AB285), IFERROR('Raw Data'!AB285 = ROUND('Raw Data'!AB285, 2),FALSE)),"",_xlfn.REGEXEXTRACT(CELL("address",AB285), "\$([A-Z]+)\$[0-9]+"))),_xlfn.REGEXEXTRACT(CELL("address",AB285), "\$([A-Z]+)\$[0-9]+"))</f>
        <v/>
      </c>
    </row>
    <row r="286" spans="2:28" x14ac:dyDescent="0.25">
      <c r="B286" s="7" t="str" cm="1">
        <f t="array" aca="1" ref="B286" ca="1">IFERROR(IF(OR('Raw Data'!B286="",LEN(TRIM('Raw Data'!B286))=0),"",IF(AND(LEN('Raw Data'!B286) &lt;= 255,LEN('Raw Data'!B286)&gt; 0),"",_xlfn.REGEXEXTRACT(CELL("address",'Raw Data'!B286),"\$([A-Z]+)\$[0-9]+"))),_xlfn.REGEXEXTRACT(CELL("address",'Raw Data'!B286),"\$([A-Z]+)\$[0-9]+"))</f>
        <v/>
      </c>
      <c r="C286" s="7" t="str" cm="1">
        <f t="array" aca="1" ref="C286" ca="1">IFERROR(IF(OR('Raw Data'!C286="",LEN(TRIM('Raw Data'!C286))=0),"",IF(AND(LEN('Raw Data'!C286) &lt;= 20,LEN('Raw Data'!C286)&gt; 0),"",_xlfn.REGEXEXTRACT(CELL("address",'Raw Data'!C286),"\$([A-Z]+)\$[0-9]+"))),_xlfn.REGEXEXTRACT(CELL("address",'Raw Data'!C286),"\$([A-Z]+)\$[0-9]+"))</f>
        <v/>
      </c>
      <c r="D286" s="7" t="str" cm="1">
        <f t="array" aca="1" ref="D286" ca="1">IFERROR(IF(OR('Raw Data'!D286="",LEN(TRIM('Raw Data'!D286))=0),"",IF(AND(ISNUMBER('Raw Data'!D286),'Raw Data'!D286&gt;=Configuration!$D$2),"",_xlfn.REGEXEXTRACT(CELL("address",'Raw Data'!D286),"\$([A-Z]+)\$[0-9]+"))),_xlfn.REGEXEXTRACT(CELL("address",D286), "\$([A-Z]+)\$[0-9]+"))</f>
        <v/>
      </c>
      <c r="E286" s="7" t="str" cm="1">
        <f t="array" aca="1" ref="E286" ca="1">IFERROR(IF(OR('Raw Data'!E286="",LEN(TRIM('Raw Data'!E286))=0),"",IF(AND(ISNUMBER('Raw Data'!E286), IFERROR('Raw Data'!E286 = ROUND('Raw Data'!E286, 2),FALSE)),"",_xlfn.REGEXEXTRACT(CELL("address",E286), "\$([A-Z]+)\$[0-9]+"))),_xlfn.REGEXEXTRACT(CELL("address",E286), "\$([A-Z]+)\$[0-9]+"))</f>
        <v/>
      </c>
      <c r="F286" s="7" t="str" cm="1">
        <f t="array" aca="1" ref="F286" ca="1">IFERROR(IF(OR('Raw Data'!F286="",LEN(TRIM('Raw Data'!F286))=0),"",IF(AND(ISNUMBER('Raw Data'!F286), IFERROR('Raw Data'!F286 = ROUND('Raw Data'!F286, 2),FALSE)),"",_xlfn.REGEXEXTRACT(CELL("address",F286), "\$([A-Z]+)\$[0-9]+"))),_xlfn.REGEXEXTRACT(CELL("address",F286), "\$([A-Z]+)\$[0-9]+"))</f>
        <v/>
      </c>
      <c r="G286" s="7" t="str" cm="1">
        <f t="array" aca="1" ref="G286" ca="1">IFERROR(IF(OR('Raw Data'!G286="",LEN(TRIM('Raw Data'!G286))=0),"",IF(AND(ISNUMBER('Raw Data'!G286), IFERROR('Raw Data'!G286 = ROUND('Raw Data'!G286, 2),FALSE)),"",_xlfn.REGEXEXTRACT(CELL("address",G286), "\$([A-Z]+)\$[0-9]+"))),_xlfn.REGEXEXTRACT(CELL("address",G286), "\$([A-Z]+)\$[0-9]+"))</f>
        <v/>
      </c>
      <c r="H286" s="7" t="str" cm="1">
        <f t="array" aca="1" ref="H286" ca="1">IFERROR(IF(OR('Raw Data'!H286="",LEN(TRIM('Raw Data'!H286))=0),"",IF(AND(ISNUMBER('Raw Data'!H286), IFERROR('Raw Data'!H286 = ROUND('Raw Data'!H286, 2),FALSE)),"",_xlfn.REGEXEXTRACT(CELL("address",H286), "\$([A-Z]+)\$[0-9]+"))),_xlfn.REGEXEXTRACT(CELL("address",H286), "\$([A-Z]+)\$[0-9]+"))</f>
        <v/>
      </c>
      <c r="I286" s="7" t="str" cm="1">
        <f t="array" aca="1" ref="I286" ca="1">IFERROR(IF(OR('Raw Data'!I286="",LEN(TRIM('Raw Data'!I286))=0),"",IF(AND(ISNUMBER('Raw Data'!I286), IFERROR('Raw Data'!I286 = ROUND('Raw Data'!I286, 2),FALSE)),"",_xlfn.REGEXEXTRACT(CELL("address",I286), "\$([A-Z]+)\$[0-9]+"))),_xlfn.REGEXEXTRACT(CELL("address",I286), "\$([A-Z]+)\$[0-9]+"))</f>
        <v/>
      </c>
      <c r="J286" s="7" t="str" cm="1">
        <f t="array" aca="1" ref="J286" ca="1">IFERROR(IF(OR('Raw Data'!J286="",LEN(TRIM('Raw Data'!J286))=0),"",IF(AND(ISNUMBER('Raw Data'!J286), IFERROR('Raw Data'!J286 = ROUND('Raw Data'!J286, 2),FALSE)),"",_xlfn.REGEXEXTRACT(CELL("address",J286), "\$([A-Z]+)\$[0-9]+"))),_xlfn.REGEXEXTRACT(CELL("address",J286), "\$([A-Z]+)\$[0-9]+"))</f>
        <v/>
      </c>
      <c r="K286" s="7" t="str" cm="1">
        <f t="array" aca="1" ref="K286" ca="1">IFERROR(IF(OR('Raw Data'!K286="",LEN(TRIM('Raw Data'!K286))=0),"",IF(AND(ISNUMBER('Raw Data'!K286), IFERROR('Raw Data'!K286 = ROUND('Raw Data'!K286, 2),FALSE)),"",_xlfn.REGEXEXTRACT(CELL("address",K286), "\$([A-Z]+)\$[0-9]+"))),_xlfn.REGEXEXTRACT(CELL("address",K286), "\$([A-Z]+)\$[0-9]+"))</f>
        <v/>
      </c>
      <c r="L286" s="7" t="str" cm="1">
        <f t="array" aca="1" ref="L286" ca="1">IFERROR(IF(OR('Raw Data'!L286="",LEN(TRIM('Raw Data'!L286))=0),"",IF(AND(ISNUMBER('Raw Data'!L286), IFERROR('Raw Data'!L286 = ROUND('Raw Data'!L286, 2),FALSE)),"",_xlfn.REGEXEXTRACT(CELL("address",L286), "\$([A-Z]+)\$[0-9]+"))),_xlfn.REGEXEXTRACT(CELL("address",L286), "\$([A-Z]+)\$[0-9]+"))</f>
        <v/>
      </c>
      <c r="M286" s="7" t="str" cm="1">
        <f t="array" aca="1" ref="M286" ca="1">IFERROR(IF(OR('Raw Data'!M286="",LEN(TRIM('Raw Data'!M286))=0),"",IF(AND(ISNUMBER('Raw Data'!M286), IFERROR('Raw Data'!M286 = ROUND('Raw Data'!M286, 2),FALSE)),"",_xlfn.REGEXEXTRACT(CELL("address",M286), "\$([A-Z]+)\$[0-9]+"))),_xlfn.REGEXEXTRACT(CELL("address",M286), "\$([A-Z]+)\$[0-9]+"))</f>
        <v/>
      </c>
      <c r="N286" s="7" t="str" cm="1">
        <f t="array" aca="1" ref="N286" ca="1">IFERROR(IF(OR('Raw Data'!N286="",LEN(TRIM('Raw Data'!N286))=0),"",IF(AND(ISNUMBER('Raw Data'!N286), IFERROR('Raw Data'!N286 = ROUND('Raw Data'!N286, 2),FALSE)),"",_xlfn.REGEXEXTRACT(CELL("address",N286), "\$([A-Z]+)\$[0-9]+"))),_xlfn.REGEXEXTRACT(CELL("address",N286), "\$([A-Z]+)\$[0-9]+"))</f>
        <v/>
      </c>
      <c r="O286" s="7" t="str" cm="1">
        <f t="array" aca="1" ref="O286" ca="1">IFERROR(IF(OR('Raw Data'!O286="",LEN(TRIM('Raw Data'!O286))=0),"",IF(AND(ISNUMBER('Raw Data'!O286), IFERROR('Raw Data'!O286 = ROUND('Raw Data'!O286, 2),FALSE)),"",_xlfn.REGEXEXTRACT(CELL("address",O286), "\$([A-Z]+)\$[0-9]+"))),_xlfn.REGEXEXTRACT(CELL("address",O286), "\$([A-Z]+)\$[0-9]+"))</f>
        <v/>
      </c>
      <c r="P286" s="7" t="str" cm="1">
        <f t="array" aca="1" ref="P286" ca="1">IFERROR(IF(OR('Raw Data'!P286="",LEN(TRIM('Raw Data'!P286))=0),"",IF(AND(ISNUMBER('Raw Data'!P286), IFERROR('Raw Data'!P286 = ROUND('Raw Data'!P286, 2),FALSE)),"",_xlfn.REGEXEXTRACT(CELL("address",P286), "\$([A-Z]+)\$[0-9]+"))),_xlfn.REGEXEXTRACT(CELL("address",P286), "\$([A-Z]+)\$[0-9]+"))</f>
        <v/>
      </c>
      <c r="Q286" s="7" t="str" cm="1">
        <f t="array" aca="1" ref="Q286" ca="1">IFERROR(IF(OR('Raw Data'!Q286="",LEN(TRIM('Raw Data'!Q286))=0),"",IF(AND(ISNUMBER('Raw Data'!Q286), IFERROR('Raw Data'!Q286 = ROUND('Raw Data'!Q286, 2),FALSE)),"",_xlfn.REGEXEXTRACT(CELL("address",Q286), "\$([A-Z]+)\$[0-9]+"))),_xlfn.REGEXEXTRACT(CELL("address",Q286), "\$([A-Z]+)\$[0-9]+"))</f>
        <v/>
      </c>
      <c r="R286" s="7" t="str" cm="1">
        <f t="array" aca="1" ref="R286" ca="1">IFERROR(IF(OR('Raw Data'!R286="",LEN(TRIM('Raw Data'!R286))=0),"",IF(AND(ISNUMBER('Raw Data'!R286), IFERROR('Raw Data'!R286 = ROUND('Raw Data'!R286, 2),FALSE)),"",_xlfn.REGEXEXTRACT(CELL("address",R286), "\$([A-Z]+)\$[0-9]+"))),_xlfn.REGEXEXTRACT(CELL("address",R286), "\$([A-Z]+)\$[0-9]+"))</f>
        <v/>
      </c>
      <c r="S286" s="7" t="str" cm="1">
        <f t="array" aca="1" ref="S286" ca="1">IFERROR(IF(OR('Raw Data'!S286="",LEN(TRIM('Raw Data'!S286))=0),"",IF(AND(ISNUMBER('Raw Data'!S286), IFERROR('Raw Data'!S286 = ROUND('Raw Data'!S286, 2),FALSE)),"",_xlfn.REGEXEXTRACT(CELL("address",S286), "\$([A-Z]+)\$[0-9]+"))),_xlfn.REGEXEXTRACT(CELL("address",S286), "\$([A-Z]+)\$[0-9]+"))</f>
        <v/>
      </c>
      <c r="T286" s="7" t="str" cm="1">
        <f t="array" aca="1" ref="T286" ca="1">IFERROR(IF(OR('Raw Data'!T286="",LEN(TRIM('Raw Data'!T286))=0),"",IF(AND(ISNUMBER('Raw Data'!T286), IFERROR('Raw Data'!T286 = ROUND('Raw Data'!T286, 2),FALSE)),"",_xlfn.REGEXEXTRACT(CELL("address",T286), "\$([A-Z]+)\$[0-9]+"))),_xlfn.REGEXEXTRACT(CELL("address",T286), "\$([A-Z]+)\$[0-9]+"))</f>
        <v/>
      </c>
      <c r="U286" s="7" t="str" cm="1">
        <f t="array" aca="1" ref="U286" ca="1">IFERROR(IF(OR('Raw Data'!U286="",LEN(TRIM('Raw Data'!U286))=0),"",IF(AND(ISNUMBER('Raw Data'!U286), IFERROR('Raw Data'!U286 = ROUND('Raw Data'!U286, 2),FALSE)),"",_xlfn.REGEXEXTRACT(CELL("address",U286), "\$([A-Z]+)\$[0-9]+"))),_xlfn.REGEXEXTRACT(CELL("address",U286), "\$([A-Z]+)\$[0-9]+"))</f>
        <v/>
      </c>
      <c r="V286" s="7" t="str" cm="1">
        <f t="array" aca="1" ref="V286" ca="1">IFERROR(IF(OR('Raw Data'!V286="",LEN(TRIM('Raw Data'!V286))=0),"",IF(AND(ISNUMBER('Raw Data'!V286), IFERROR('Raw Data'!V286 = ROUND('Raw Data'!V286, 2),FALSE)),"",_xlfn.REGEXEXTRACT(CELL("address",V286), "\$([A-Z]+)\$[0-9]+"))),_xlfn.REGEXEXTRACT(CELL("address",V286), "\$([A-Z]+)\$[0-9]+"))</f>
        <v/>
      </c>
      <c r="W286" s="7" t="str" cm="1">
        <f t="array" aca="1" ref="W286" ca="1">IFERROR(IF(OR('Raw Data'!W286="",LEN(TRIM('Raw Data'!W286))=0),"",IF(AND(ISNUMBER('Raw Data'!W286), IFERROR('Raw Data'!W286 = ROUND('Raw Data'!W286, 2),FALSE)),"",_xlfn.REGEXEXTRACT(CELL("address",W286), "\$([A-Z]+)\$[0-9]+"))),_xlfn.REGEXEXTRACT(CELL("address",W286), "\$([A-Z]+)\$[0-9]+"))</f>
        <v/>
      </c>
      <c r="X286" s="7" t="str" cm="1">
        <f t="array" aca="1" ref="X286" ca="1">IFERROR(IF(OR('Raw Data'!X286="",LEN(TRIM('Raw Data'!X286))=0),"",IF(AND(ISNUMBER('Raw Data'!X286), IFERROR('Raw Data'!X286 = ROUND('Raw Data'!X286, 2),FALSE)),"",_xlfn.REGEXEXTRACT(CELL("address",X286), "\$([A-Z]+)\$[0-9]+"))),_xlfn.REGEXEXTRACT(CELL("address",X286), "\$([A-Z]+)\$[0-9]+"))</f>
        <v/>
      </c>
      <c r="Y286" s="7" t="str" cm="1">
        <f t="array" aca="1" ref="Y286" ca="1">IFERROR(IF(OR('Raw Data'!Y286="",LEN(TRIM('Raw Data'!Y286))=0),"",IF(AND(ISNUMBER('Raw Data'!Y286), IFERROR('Raw Data'!Y286 = ROUND('Raw Data'!Y286, 2),FALSE)),"",_xlfn.REGEXEXTRACT(CELL("address",Y286), "\$([A-Z]+)\$[0-9]+"))),_xlfn.REGEXEXTRACT(CELL("address",Y286), "\$([A-Z]+)\$[0-9]+"))</f>
        <v/>
      </c>
      <c r="Z286" s="7" t="str" cm="1">
        <f t="array" aca="1" ref="Z286" ca="1">IFERROR(IF(OR('Raw Data'!Z286="",LEN(TRIM('Raw Data'!Z286))=0),"",IF(AND(ISNUMBER('Raw Data'!Z286), IFERROR('Raw Data'!Z286 = ROUND('Raw Data'!Z286, 2),FALSE)),"",_xlfn.REGEXEXTRACT(CELL("address",Z286), "\$([A-Z]+)\$[0-9]+"))),_xlfn.REGEXEXTRACT(CELL("address",Z286), "\$([A-Z]+)\$[0-9]+"))</f>
        <v/>
      </c>
      <c r="AA286" s="7" t="str" cm="1">
        <f t="array" aca="1" ref="AA286" ca="1">IFERROR(IF(OR('Raw Data'!AA286="",LEN(TRIM('Raw Data'!AA286))=0),"",IF(AND(ISNUMBER('Raw Data'!AA286), IFERROR('Raw Data'!AA286 = ROUND('Raw Data'!AA286, 2),FALSE)),"",_xlfn.REGEXEXTRACT(CELL("address",AA286), "\$([A-Z]+)\$[0-9]+"))),_xlfn.REGEXEXTRACT(CELL("address",AA286), "\$([A-Z]+)\$[0-9]+"))</f>
        <v/>
      </c>
      <c r="AB286" s="7" t="str" cm="1">
        <f t="array" aca="1" ref="AB286" ca="1">IFERROR(IF(OR('Raw Data'!AB286="",LEN(TRIM('Raw Data'!AB286))=0),"",IF(AND(ISNUMBER('Raw Data'!AB286), IFERROR('Raw Data'!AB286 = ROUND('Raw Data'!AB286, 2),FALSE)),"",_xlfn.REGEXEXTRACT(CELL("address",AB286), "\$([A-Z]+)\$[0-9]+"))),_xlfn.REGEXEXTRACT(CELL("address",AB286), "\$([A-Z]+)\$[0-9]+"))</f>
        <v/>
      </c>
    </row>
    <row r="287" spans="2:28" x14ac:dyDescent="0.25">
      <c r="B287" s="7" t="str" cm="1">
        <f t="array" aca="1" ref="B287" ca="1">IFERROR(IF(OR('Raw Data'!B287="",LEN(TRIM('Raw Data'!B287))=0),"",IF(AND(LEN('Raw Data'!B287) &lt;= 255,LEN('Raw Data'!B287)&gt; 0),"",_xlfn.REGEXEXTRACT(CELL("address",'Raw Data'!B287),"\$([A-Z]+)\$[0-9]+"))),_xlfn.REGEXEXTRACT(CELL("address",'Raw Data'!B287),"\$([A-Z]+)\$[0-9]+"))</f>
        <v/>
      </c>
      <c r="C287" s="7" t="str" cm="1">
        <f t="array" aca="1" ref="C287" ca="1">IFERROR(IF(OR('Raw Data'!C287="",LEN(TRIM('Raw Data'!C287))=0),"",IF(AND(LEN('Raw Data'!C287) &lt;= 20,LEN('Raw Data'!C287)&gt; 0),"",_xlfn.REGEXEXTRACT(CELL("address",'Raw Data'!C287),"\$([A-Z]+)\$[0-9]+"))),_xlfn.REGEXEXTRACT(CELL("address",'Raw Data'!C287),"\$([A-Z]+)\$[0-9]+"))</f>
        <v/>
      </c>
      <c r="D287" s="7" t="str" cm="1">
        <f t="array" aca="1" ref="D287" ca="1">IFERROR(IF(OR('Raw Data'!D287="",LEN(TRIM('Raw Data'!D287))=0),"",IF(AND(ISNUMBER('Raw Data'!D287),'Raw Data'!D287&gt;=Configuration!$D$2),"",_xlfn.REGEXEXTRACT(CELL("address",'Raw Data'!D287),"\$([A-Z]+)\$[0-9]+"))),_xlfn.REGEXEXTRACT(CELL("address",D287), "\$([A-Z]+)\$[0-9]+"))</f>
        <v/>
      </c>
      <c r="E287" s="7" t="str" cm="1">
        <f t="array" aca="1" ref="E287" ca="1">IFERROR(IF(OR('Raw Data'!E287="",LEN(TRIM('Raw Data'!E287))=0),"",IF(AND(ISNUMBER('Raw Data'!E287), IFERROR('Raw Data'!E287 = ROUND('Raw Data'!E287, 2),FALSE)),"",_xlfn.REGEXEXTRACT(CELL("address",E287), "\$([A-Z]+)\$[0-9]+"))),_xlfn.REGEXEXTRACT(CELL("address",E287), "\$([A-Z]+)\$[0-9]+"))</f>
        <v/>
      </c>
      <c r="F287" s="7" t="str" cm="1">
        <f t="array" aca="1" ref="F287" ca="1">IFERROR(IF(OR('Raw Data'!F287="",LEN(TRIM('Raw Data'!F287))=0),"",IF(AND(ISNUMBER('Raw Data'!F287), IFERROR('Raw Data'!F287 = ROUND('Raw Data'!F287, 2),FALSE)),"",_xlfn.REGEXEXTRACT(CELL("address",F287), "\$([A-Z]+)\$[0-9]+"))),_xlfn.REGEXEXTRACT(CELL("address",F287), "\$([A-Z]+)\$[0-9]+"))</f>
        <v/>
      </c>
      <c r="G287" s="7" t="str" cm="1">
        <f t="array" aca="1" ref="G287" ca="1">IFERROR(IF(OR('Raw Data'!G287="",LEN(TRIM('Raw Data'!G287))=0),"",IF(AND(ISNUMBER('Raw Data'!G287), IFERROR('Raw Data'!G287 = ROUND('Raw Data'!G287, 2),FALSE)),"",_xlfn.REGEXEXTRACT(CELL("address",G287), "\$([A-Z]+)\$[0-9]+"))),_xlfn.REGEXEXTRACT(CELL("address",G287), "\$([A-Z]+)\$[0-9]+"))</f>
        <v/>
      </c>
      <c r="H287" s="7" t="str" cm="1">
        <f t="array" aca="1" ref="H287" ca="1">IFERROR(IF(OR('Raw Data'!H287="",LEN(TRIM('Raw Data'!H287))=0),"",IF(AND(ISNUMBER('Raw Data'!H287), IFERROR('Raw Data'!H287 = ROUND('Raw Data'!H287, 2),FALSE)),"",_xlfn.REGEXEXTRACT(CELL("address",H287), "\$([A-Z]+)\$[0-9]+"))),_xlfn.REGEXEXTRACT(CELL("address",H287), "\$([A-Z]+)\$[0-9]+"))</f>
        <v/>
      </c>
      <c r="I287" s="7" t="str" cm="1">
        <f t="array" aca="1" ref="I287" ca="1">IFERROR(IF(OR('Raw Data'!I287="",LEN(TRIM('Raw Data'!I287))=0),"",IF(AND(ISNUMBER('Raw Data'!I287), IFERROR('Raw Data'!I287 = ROUND('Raw Data'!I287, 2),FALSE)),"",_xlfn.REGEXEXTRACT(CELL("address",I287), "\$([A-Z]+)\$[0-9]+"))),_xlfn.REGEXEXTRACT(CELL("address",I287), "\$([A-Z]+)\$[0-9]+"))</f>
        <v/>
      </c>
      <c r="J287" s="7" t="str" cm="1">
        <f t="array" aca="1" ref="J287" ca="1">IFERROR(IF(OR('Raw Data'!J287="",LEN(TRIM('Raw Data'!J287))=0),"",IF(AND(ISNUMBER('Raw Data'!J287), IFERROR('Raw Data'!J287 = ROUND('Raw Data'!J287, 2),FALSE)),"",_xlfn.REGEXEXTRACT(CELL("address",J287), "\$([A-Z]+)\$[0-9]+"))),_xlfn.REGEXEXTRACT(CELL("address",J287), "\$([A-Z]+)\$[0-9]+"))</f>
        <v/>
      </c>
      <c r="K287" s="7" t="str" cm="1">
        <f t="array" aca="1" ref="K287" ca="1">IFERROR(IF(OR('Raw Data'!K287="",LEN(TRIM('Raw Data'!K287))=0),"",IF(AND(ISNUMBER('Raw Data'!K287), IFERROR('Raw Data'!K287 = ROUND('Raw Data'!K287, 2),FALSE)),"",_xlfn.REGEXEXTRACT(CELL("address",K287), "\$([A-Z]+)\$[0-9]+"))),_xlfn.REGEXEXTRACT(CELL("address",K287), "\$([A-Z]+)\$[0-9]+"))</f>
        <v/>
      </c>
      <c r="L287" s="7" t="str" cm="1">
        <f t="array" aca="1" ref="L287" ca="1">IFERROR(IF(OR('Raw Data'!L287="",LEN(TRIM('Raw Data'!L287))=0),"",IF(AND(ISNUMBER('Raw Data'!L287), IFERROR('Raw Data'!L287 = ROUND('Raw Data'!L287, 2),FALSE)),"",_xlfn.REGEXEXTRACT(CELL("address",L287), "\$([A-Z]+)\$[0-9]+"))),_xlfn.REGEXEXTRACT(CELL("address",L287), "\$([A-Z]+)\$[0-9]+"))</f>
        <v/>
      </c>
      <c r="M287" s="7" t="str" cm="1">
        <f t="array" aca="1" ref="M287" ca="1">IFERROR(IF(OR('Raw Data'!M287="",LEN(TRIM('Raw Data'!M287))=0),"",IF(AND(ISNUMBER('Raw Data'!M287), IFERROR('Raw Data'!M287 = ROUND('Raw Data'!M287, 2),FALSE)),"",_xlfn.REGEXEXTRACT(CELL("address",M287), "\$([A-Z]+)\$[0-9]+"))),_xlfn.REGEXEXTRACT(CELL("address",M287), "\$([A-Z]+)\$[0-9]+"))</f>
        <v/>
      </c>
      <c r="N287" s="7" t="str" cm="1">
        <f t="array" aca="1" ref="N287" ca="1">IFERROR(IF(OR('Raw Data'!N287="",LEN(TRIM('Raw Data'!N287))=0),"",IF(AND(ISNUMBER('Raw Data'!N287), IFERROR('Raw Data'!N287 = ROUND('Raw Data'!N287, 2),FALSE)),"",_xlfn.REGEXEXTRACT(CELL("address",N287), "\$([A-Z]+)\$[0-9]+"))),_xlfn.REGEXEXTRACT(CELL("address",N287), "\$([A-Z]+)\$[0-9]+"))</f>
        <v/>
      </c>
      <c r="O287" s="7" t="str" cm="1">
        <f t="array" aca="1" ref="O287" ca="1">IFERROR(IF(OR('Raw Data'!O287="",LEN(TRIM('Raw Data'!O287))=0),"",IF(AND(ISNUMBER('Raw Data'!O287), IFERROR('Raw Data'!O287 = ROUND('Raw Data'!O287, 2),FALSE)),"",_xlfn.REGEXEXTRACT(CELL("address",O287), "\$([A-Z]+)\$[0-9]+"))),_xlfn.REGEXEXTRACT(CELL("address",O287), "\$([A-Z]+)\$[0-9]+"))</f>
        <v/>
      </c>
      <c r="P287" s="7" t="str" cm="1">
        <f t="array" aca="1" ref="P287" ca="1">IFERROR(IF(OR('Raw Data'!P287="",LEN(TRIM('Raw Data'!P287))=0),"",IF(AND(ISNUMBER('Raw Data'!P287), IFERROR('Raw Data'!P287 = ROUND('Raw Data'!P287, 2),FALSE)),"",_xlfn.REGEXEXTRACT(CELL("address",P287), "\$([A-Z]+)\$[0-9]+"))),_xlfn.REGEXEXTRACT(CELL("address",P287), "\$([A-Z]+)\$[0-9]+"))</f>
        <v/>
      </c>
      <c r="Q287" s="7" t="str" cm="1">
        <f t="array" aca="1" ref="Q287" ca="1">IFERROR(IF(OR('Raw Data'!Q287="",LEN(TRIM('Raw Data'!Q287))=0),"",IF(AND(ISNUMBER('Raw Data'!Q287), IFERROR('Raw Data'!Q287 = ROUND('Raw Data'!Q287, 2),FALSE)),"",_xlfn.REGEXEXTRACT(CELL("address",Q287), "\$([A-Z]+)\$[0-9]+"))),_xlfn.REGEXEXTRACT(CELL("address",Q287), "\$([A-Z]+)\$[0-9]+"))</f>
        <v/>
      </c>
      <c r="R287" s="7" t="str" cm="1">
        <f t="array" aca="1" ref="R287" ca="1">IFERROR(IF(OR('Raw Data'!R287="",LEN(TRIM('Raw Data'!R287))=0),"",IF(AND(ISNUMBER('Raw Data'!R287), IFERROR('Raw Data'!R287 = ROUND('Raw Data'!R287, 2),FALSE)),"",_xlfn.REGEXEXTRACT(CELL("address",R287), "\$([A-Z]+)\$[0-9]+"))),_xlfn.REGEXEXTRACT(CELL("address",R287), "\$([A-Z]+)\$[0-9]+"))</f>
        <v/>
      </c>
      <c r="S287" s="7" t="str" cm="1">
        <f t="array" aca="1" ref="S287" ca="1">IFERROR(IF(OR('Raw Data'!S287="",LEN(TRIM('Raw Data'!S287))=0),"",IF(AND(ISNUMBER('Raw Data'!S287), IFERROR('Raw Data'!S287 = ROUND('Raw Data'!S287, 2),FALSE)),"",_xlfn.REGEXEXTRACT(CELL("address",S287), "\$([A-Z]+)\$[0-9]+"))),_xlfn.REGEXEXTRACT(CELL("address",S287), "\$([A-Z]+)\$[0-9]+"))</f>
        <v/>
      </c>
      <c r="T287" s="7" t="str" cm="1">
        <f t="array" aca="1" ref="T287" ca="1">IFERROR(IF(OR('Raw Data'!T287="",LEN(TRIM('Raw Data'!T287))=0),"",IF(AND(ISNUMBER('Raw Data'!T287), IFERROR('Raw Data'!T287 = ROUND('Raw Data'!T287, 2),FALSE)),"",_xlfn.REGEXEXTRACT(CELL("address",T287), "\$([A-Z]+)\$[0-9]+"))),_xlfn.REGEXEXTRACT(CELL("address",T287), "\$([A-Z]+)\$[0-9]+"))</f>
        <v/>
      </c>
      <c r="U287" s="7" t="str" cm="1">
        <f t="array" aca="1" ref="U287" ca="1">IFERROR(IF(OR('Raw Data'!U287="",LEN(TRIM('Raw Data'!U287))=0),"",IF(AND(ISNUMBER('Raw Data'!U287), IFERROR('Raw Data'!U287 = ROUND('Raw Data'!U287, 2),FALSE)),"",_xlfn.REGEXEXTRACT(CELL("address",U287), "\$([A-Z]+)\$[0-9]+"))),_xlfn.REGEXEXTRACT(CELL("address",U287), "\$([A-Z]+)\$[0-9]+"))</f>
        <v/>
      </c>
      <c r="V287" s="7" t="str" cm="1">
        <f t="array" aca="1" ref="V287" ca="1">IFERROR(IF(OR('Raw Data'!V287="",LEN(TRIM('Raw Data'!V287))=0),"",IF(AND(ISNUMBER('Raw Data'!V287), IFERROR('Raw Data'!V287 = ROUND('Raw Data'!V287, 2),FALSE)),"",_xlfn.REGEXEXTRACT(CELL("address",V287), "\$([A-Z]+)\$[0-9]+"))),_xlfn.REGEXEXTRACT(CELL("address",V287), "\$([A-Z]+)\$[0-9]+"))</f>
        <v/>
      </c>
      <c r="W287" s="7" t="str" cm="1">
        <f t="array" aca="1" ref="W287" ca="1">IFERROR(IF(OR('Raw Data'!W287="",LEN(TRIM('Raw Data'!W287))=0),"",IF(AND(ISNUMBER('Raw Data'!W287), IFERROR('Raw Data'!W287 = ROUND('Raw Data'!W287, 2),FALSE)),"",_xlfn.REGEXEXTRACT(CELL("address",W287), "\$([A-Z]+)\$[0-9]+"))),_xlfn.REGEXEXTRACT(CELL("address",W287), "\$([A-Z]+)\$[0-9]+"))</f>
        <v/>
      </c>
      <c r="X287" s="7" t="str" cm="1">
        <f t="array" aca="1" ref="X287" ca="1">IFERROR(IF(OR('Raw Data'!X287="",LEN(TRIM('Raw Data'!X287))=0),"",IF(AND(ISNUMBER('Raw Data'!X287), IFERROR('Raw Data'!X287 = ROUND('Raw Data'!X287, 2),FALSE)),"",_xlfn.REGEXEXTRACT(CELL("address",X287), "\$([A-Z]+)\$[0-9]+"))),_xlfn.REGEXEXTRACT(CELL("address",X287), "\$([A-Z]+)\$[0-9]+"))</f>
        <v/>
      </c>
      <c r="Y287" s="7" t="str" cm="1">
        <f t="array" aca="1" ref="Y287" ca="1">IFERROR(IF(OR('Raw Data'!Y287="",LEN(TRIM('Raw Data'!Y287))=0),"",IF(AND(ISNUMBER('Raw Data'!Y287), IFERROR('Raw Data'!Y287 = ROUND('Raw Data'!Y287, 2),FALSE)),"",_xlfn.REGEXEXTRACT(CELL("address",Y287), "\$([A-Z]+)\$[0-9]+"))),_xlfn.REGEXEXTRACT(CELL("address",Y287), "\$([A-Z]+)\$[0-9]+"))</f>
        <v/>
      </c>
      <c r="Z287" s="7" t="str" cm="1">
        <f t="array" aca="1" ref="Z287" ca="1">IFERROR(IF(OR('Raw Data'!Z287="",LEN(TRIM('Raw Data'!Z287))=0),"",IF(AND(ISNUMBER('Raw Data'!Z287), IFERROR('Raw Data'!Z287 = ROUND('Raw Data'!Z287, 2),FALSE)),"",_xlfn.REGEXEXTRACT(CELL("address",Z287), "\$([A-Z]+)\$[0-9]+"))),_xlfn.REGEXEXTRACT(CELL("address",Z287), "\$([A-Z]+)\$[0-9]+"))</f>
        <v/>
      </c>
      <c r="AA287" s="7" t="str" cm="1">
        <f t="array" aca="1" ref="AA287" ca="1">IFERROR(IF(OR('Raw Data'!AA287="",LEN(TRIM('Raw Data'!AA287))=0),"",IF(AND(ISNUMBER('Raw Data'!AA287), IFERROR('Raw Data'!AA287 = ROUND('Raw Data'!AA287, 2),FALSE)),"",_xlfn.REGEXEXTRACT(CELL("address",AA287), "\$([A-Z]+)\$[0-9]+"))),_xlfn.REGEXEXTRACT(CELL("address",AA287), "\$([A-Z]+)\$[0-9]+"))</f>
        <v/>
      </c>
      <c r="AB287" s="7" t="str" cm="1">
        <f t="array" aca="1" ref="AB287" ca="1">IFERROR(IF(OR('Raw Data'!AB287="",LEN(TRIM('Raw Data'!AB287))=0),"",IF(AND(ISNUMBER('Raw Data'!AB287), IFERROR('Raw Data'!AB287 = ROUND('Raw Data'!AB287, 2),FALSE)),"",_xlfn.REGEXEXTRACT(CELL("address",AB287), "\$([A-Z]+)\$[0-9]+"))),_xlfn.REGEXEXTRACT(CELL("address",AB287), "\$([A-Z]+)\$[0-9]+"))</f>
        <v/>
      </c>
    </row>
    <row r="288" spans="2:28" x14ac:dyDescent="0.25">
      <c r="B288" s="7" t="str" cm="1">
        <f t="array" aca="1" ref="B288" ca="1">IFERROR(IF(OR('Raw Data'!B288="",LEN(TRIM('Raw Data'!B288))=0),"",IF(AND(LEN('Raw Data'!B288) &lt;= 255,LEN('Raw Data'!B288)&gt; 0),"",_xlfn.REGEXEXTRACT(CELL("address",'Raw Data'!B288),"\$([A-Z]+)\$[0-9]+"))),_xlfn.REGEXEXTRACT(CELL("address",'Raw Data'!B288),"\$([A-Z]+)\$[0-9]+"))</f>
        <v/>
      </c>
      <c r="C288" s="7" t="str" cm="1">
        <f t="array" aca="1" ref="C288" ca="1">IFERROR(IF(OR('Raw Data'!C288="",LEN(TRIM('Raw Data'!C288))=0),"",IF(AND(LEN('Raw Data'!C288) &lt;= 20,LEN('Raw Data'!C288)&gt; 0),"",_xlfn.REGEXEXTRACT(CELL("address",'Raw Data'!C288),"\$([A-Z]+)\$[0-9]+"))),_xlfn.REGEXEXTRACT(CELL("address",'Raw Data'!C288),"\$([A-Z]+)\$[0-9]+"))</f>
        <v/>
      </c>
      <c r="D288" s="7" t="str" cm="1">
        <f t="array" aca="1" ref="D288" ca="1">IFERROR(IF(OR('Raw Data'!D288="",LEN(TRIM('Raw Data'!D288))=0),"",IF(AND(ISNUMBER('Raw Data'!D288),'Raw Data'!D288&gt;=Configuration!$D$2),"",_xlfn.REGEXEXTRACT(CELL("address",'Raw Data'!D288),"\$([A-Z]+)\$[0-9]+"))),_xlfn.REGEXEXTRACT(CELL("address",D288), "\$([A-Z]+)\$[0-9]+"))</f>
        <v/>
      </c>
      <c r="E288" s="7" t="str" cm="1">
        <f t="array" aca="1" ref="E288" ca="1">IFERROR(IF(OR('Raw Data'!E288="",LEN(TRIM('Raw Data'!E288))=0),"",IF(AND(ISNUMBER('Raw Data'!E288), IFERROR('Raw Data'!E288 = ROUND('Raw Data'!E288, 2),FALSE)),"",_xlfn.REGEXEXTRACT(CELL("address",E288), "\$([A-Z]+)\$[0-9]+"))),_xlfn.REGEXEXTRACT(CELL("address",E288), "\$([A-Z]+)\$[0-9]+"))</f>
        <v/>
      </c>
      <c r="F288" s="7" t="str" cm="1">
        <f t="array" aca="1" ref="F288" ca="1">IFERROR(IF(OR('Raw Data'!F288="",LEN(TRIM('Raw Data'!F288))=0),"",IF(AND(ISNUMBER('Raw Data'!F288), IFERROR('Raw Data'!F288 = ROUND('Raw Data'!F288, 2),FALSE)),"",_xlfn.REGEXEXTRACT(CELL("address",F288), "\$([A-Z]+)\$[0-9]+"))),_xlfn.REGEXEXTRACT(CELL("address",F288), "\$([A-Z]+)\$[0-9]+"))</f>
        <v/>
      </c>
      <c r="G288" s="7" t="str" cm="1">
        <f t="array" aca="1" ref="G288" ca="1">IFERROR(IF(OR('Raw Data'!G288="",LEN(TRIM('Raw Data'!G288))=0),"",IF(AND(ISNUMBER('Raw Data'!G288), IFERROR('Raw Data'!G288 = ROUND('Raw Data'!G288, 2),FALSE)),"",_xlfn.REGEXEXTRACT(CELL("address",G288), "\$([A-Z]+)\$[0-9]+"))),_xlfn.REGEXEXTRACT(CELL("address",G288), "\$([A-Z]+)\$[0-9]+"))</f>
        <v/>
      </c>
      <c r="H288" s="7" t="str" cm="1">
        <f t="array" aca="1" ref="H288" ca="1">IFERROR(IF(OR('Raw Data'!H288="",LEN(TRIM('Raw Data'!H288))=0),"",IF(AND(ISNUMBER('Raw Data'!H288), IFERROR('Raw Data'!H288 = ROUND('Raw Data'!H288, 2),FALSE)),"",_xlfn.REGEXEXTRACT(CELL("address",H288), "\$([A-Z]+)\$[0-9]+"))),_xlfn.REGEXEXTRACT(CELL("address",H288), "\$([A-Z]+)\$[0-9]+"))</f>
        <v/>
      </c>
      <c r="I288" s="7" t="str" cm="1">
        <f t="array" aca="1" ref="I288" ca="1">IFERROR(IF(OR('Raw Data'!I288="",LEN(TRIM('Raw Data'!I288))=0),"",IF(AND(ISNUMBER('Raw Data'!I288), IFERROR('Raw Data'!I288 = ROUND('Raw Data'!I288, 2),FALSE)),"",_xlfn.REGEXEXTRACT(CELL("address",I288), "\$([A-Z]+)\$[0-9]+"))),_xlfn.REGEXEXTRACT(CELL("address",I288), "\$([A-Z]+)\$[0-9]+"))</f>
        <v/>
      </c>
      <c r="J288" s="7" t="str" cm="1">
        <f t="array" aca="1" ref="J288" ca="1">IFERROR(IF(OR('Raw Data'!J288="",LEN(TRIM('Raw Data'!J288))=0),"",IF(AND(ISNUMBER('Raw Data'!J288), IFERROR('Raw Data'!J288 = ROUND('Raw Data'!J288, 2),FALSE)),"",_xlfn.REGEXEXTRACT(CELL("address",J288), "\$([A-Z]+)\$[0-9]+"))),_xlfn.REGEXEXTRACT(CELL("address",J288), "\$([A-Z]+)\$[0-9]+"))</f>
        <v/>
      </c>
      <c r="K288" s="7" t="str" cm="1">
        <f t="array" aca="1" ref="K288" ca="1">IFERROR(IF(OR('Raw Data'!K288="",LEN(TRIM('Raw Data'!K288))=0),"",IF(AND(ISNUMBER('Raw Data'!K288), IFERROR('Raw Data'!K288 = ROUND('Raw Data'!K288, 2),FALSE)),"",_xlfn.REGEXEXTRACT(CELL("address",K288), "\$([A-Z]+)\$[0-9]+"))),_xlfn.REGEXEXTRACT(CELL("address",K288), "\$([A-Z]+)\$[0-9]+"))</f>
        <v/>
      </c>
      <c r="L288" s="7" t="str" cm="1">
        <f t="array" aca="1" ref="L288" ca="1">IFERROR(IF(OR('Raw Data'!L288="",LEN(TRIM('Raw Data'!L288))=0),"",IF(AND(ISNUMBER('Raw Data'!L288), IFERROR('Raw Data'!L288 = ROUND('Raw Data'!L288, 2),FALSE)),"",_xlfn.REGEXEXTRACT(CELL("address",L288), "\$([A-Z]+)\$[0-9]+"))),_xlfn.REGEXEXTRACT(CELL("address",L288), "\$([A-Z]+)\$[0-9]+"))</f>
        <v/>
      </c>
      <c r="M288" s="7" t="str" cm="1">
        <f t="array" aca="1" ref="M288" ca="1">IFERROR(IF(OR('Raw Data'!M288="",LEN(TRIM('Raw Data'!M288))=0),"",IF(AND(ISNUMBER('Raw Data'!M288), IFERROR('Raw Data'!M288 = ROUND('Raw Data'!M288, 2),FALSE)),"",_xlfn.REGEXEXTRACT(CELL("address",M288), "\$([A-Z]+)\$[0-9]+"))),_xlfn.REGEXEXTRACT(CELL("address",M288), "\$([A-Z]+)\$[0-9]+"))</f>
        <v/>
      </c>
      <c r="N288" s="7" t="str" cm="1">
        <f t="array" aca="1" ref="N288" ca="1">IFERROR(IF(OR('Raw Data'!N288="",LEN(TRIM('Raw Data'!N288))=0),"",IF(AND(ISNUMBER('Raw Data'!N288), IFERROR('Raw Data'!N288 = ROUND('Raw Data'!N288, 2),FALSE)),"",_xlfn.REGEXEXTRACT(CELL("address",N288), "\$([A-Z]+)\$[0-9]+"))),_xlfn.REGEXEXTRACT(CELL("address",N288), "\$([A-Z]+)\$[0-9]+"))</f>
        <v/>
      </c>
      <c r="O288" s="7" t="str" cm="1">
        <f t="array" aca="1" ref="O288" ca="1">IFERROR(IF(OR('Raw Data'!O288="",LEN(TRIM('Raw Data'!O288))=0),"",IF(AND(ISNUMBER('Raw Data'!O288), IFERROR('Raw Data'!O288 = ROUND('Raw Data'!O288, 2),FALSE)),"",_xlfn.REGEXEXTRACT(CELL("address",O288), "\$([A-Z]+)\$[0-9]+"))),_xlfn.REGEXEXTRACT(CELL("address",O288), "\$([A-Z]+)\$[0-9]+"))</f>
        <v/>
      </c>
      <c r="P288" s="7" t="str" cm="1">
        <f t="array" aca="1" ref="P288" ca="1">IFERROR(IF(OR('Raw Data'!P288="",LEN(TRIM('Raw Data'!P288))=0),"",IF(AND(ISNUMBER('Raw Data'!P288), IFERROR('Raw Data'!P288 = ROUND('Raw Data'!P288, 2),FALSE)),"",_xlfn.REGEXEXTRACT(CELL("address",P288), "\$([A-Z]+)\$[0-9]+"))),_xlfn.REGEXEXTRACT(CELL("address",P288), "\$([A-Z]+)\$[0-9]+"))</f>
        <v/>
      </c>
      <c r="Q288" s="7" t="str" cm="1">
        <f t="array" aca="1" ref="Q288" ca="1">IFERROR(IF(OR('Raw Data'!Q288="",LEN(TRIM('Raw Data'!Q288))=0),"",IF(AND(ISNUMBER('Raw Data'!Q288), IFERROR('Raw Data'!Q288 = ROUND('Raw Data'!Q288, 2),FALSE)),"",_xlfn.REGEXEXTRACT(CELL("address",Q288), "\$([A-Z]+)\$[0-9]+"))),_xlfn.REGEXEXTRACT(CELL("address",Q288), "\$([A-Z]+)\$[0-9]+"))</f>
        <v/>
      </c>
      <c r="R288" s="7" t="str" cm="1">
        <f t="array" aca="1" ref="R288" ca="1">IFERROR(IF(OR('Raw Data'!R288="",LEN(TRIM('Raw Data'!R288))=0),"",IF(AND(ISNUMBER('Raw Data'!R288), IFERROR('Raw Data'!R288 = ROUND('Raw Data'!R288, 2),FALSE)),"",_xlfn.REGEXEXTRACT(CELL("address",R288), "\$([A-Z]+)\$[0-9]+"))),_xlfn.REGEXEXTRACT(CELL("address",R288), "\$([A-Z]+)\$[0-9]+"))</f>
        <v/>
      </c>
      <c r="S288" s="7" t="str" cm="1">
        <f t="array" aca="1" ref="S288" ca="1">IFERROR(IF(OR('Raw Data'!S288="",LEN(TRIM('Raw Data'!S288))=0),"",IF(AND(ISNUMBER('Raw Data'!S288), IFERROR('Raw Data'!S288 = ROUND('Raw Data'!S288, 2),FALSE)),"",_xlfn.REGEXEXTRACT(CELL("address",S288), "\$([A-Z]+)\$[0-9]+"))),_xlfn.REGEXEXTRACT(CELL("address",S288), "\$([A-Z]+)\$[0-9]+"))</f>
        <v/>
      </c>
      <c r="T288" s="7" t="str" cm="1">
        <f t="array" aca="1" ref="T288" ca="1">IFERROR(IF(OR('Raw Data'!T288="",LEN(TRIM('Raw Data'!T288))=0),"",IF(AND(ISNUMBER('Raw Data'!T288), IFERROR('Raw Data'!T288 = ROUND('Raw Data'!T288, 2),FALSE)),"",_xlfn.REGEXEXTRACT(CELL("address",T288), "\$([A-Z]+)\$[0-9]+"))),_xlfn.REGEXEXTRACT(CELL("address",T288), "\$([A-Z]+)\$[0-9]+"))</f>
        <v/>
      </c>
      <c r="U288" s="7" t="str" cm="1">
        <f t="array" aca="1" ref="U288" ca="1">IFERROR(IF(OR('Raw Data'!U288="",LEN(TRIM('Raw Data'!U288))=0),"",IF(AND(ISNUMBER('Raw Data'!U288), IFERROR('Raw Data'!U288 = ROUND('Raw Data'!U288, 2),FALSE)),"",_xlfn.REGEXEXTRACT(CELL("address",U288), "\$([A-Z]+)\$[0-9]+"))),_xlfn.REGEXEXTRACT(CELL("address",U288), "\$([A-Z]+)\$[0-9]+"))</f>
        <v/>
      </c>
      <c r="V288" s="7" t="str" cm="1">
        <f t="array" aca="1" ref="V288" ca="1">IFERROR(IF(OR('Raw Data'!V288="",LEN(TRIM('Raw Data'!V288))=0),"",IF(AND(ISNUMBER('Raw Data'!V288), IFERROR('Raw Data'!V288 = ROUND('Raw Data'!V288, 2),FALSE)),"",_xlfn.REGEXEXTRACT(CELL("address",V288), "\$([A-Z]+)\$[0-9]+"))),_xlfn.REGEXEXTRACT(CELL("address",V288), "\$([A-Z]+)\$[0-9]+"))</f>
        <v/>
      </c>
      <c r="W288" s="7" t="str" cm="1">
        <f t="array" aca="1" ref="W288" ca="1">IFERROR(IF(OR('Raw Data'!W288="",LEN(TRIM('Raw Data'!W288))=0),"",IF(AND(ISNUMBER('Raw Data'!W288), IFERROR('Raw Data'!W288 = ROUND('Raw Data'!W288, 2),FALSE)),"",_xlfn.REGEXEXTRACT(CELL("address",W288), "\$([A-Z]+)\$[0-9]+"))),_xlfn.REGEXEXTRACT(CELL("address",W288), "\$([A-Z]+)\$[0-9]+"))</f>
        <v/>
      </c>
      <c r="X288" s="7" t="str" cm="1">
        <f t="array" aca="1" ref="X288" ca="1">IFERROR(IF(OR('Raw Data'!X288="",LEN(TRIM('Raw Data'!X288))=0),"",IF(AND(ISNUMBER('Raw Data'!X288), IFERROR('Raw Data'!X288 = ROUND('Raw Data'!X288, 2),FALSE)),"",_xlfn.REGEXEXTRACT(CELL("address",X288), "\$([A-Z]+)\$[0-9]+"))),_xlfn.REGEXEXTRACT(CELL("address",X288), "\$([A-Z]+)\$[0-9]+"))</f>
        <v/>
      </c>
      <c r="Y288" s="7" t="str" cm="1">
        <f t="array" aca="1" ref="Y288" ca="1">IFERROR(IF(OR('Raw Data'!Y288="",LEN(TRIM('Raw Data'!Y288))=0),"",IF(AND(ISNUMBER('Raw Data'!Y288), IFERROR('Raw Data'!Y288 = ROUND('Raw Data'!Y288, 2),FALSE)),"",_xlfn.REGEXEXTRACT(CELL("address",Y288), "\$([A-Z]+)\$[0-9]+"))),_xlfn.REGEXEXTRACT(CELL("address",Y288), "\$([A-Z]+)\$[0-9]+"))</f>
        <v/>
      </c>
      <c r="Z288" s="7" t="str" cm="1">
        <f t="array" aca="1" ref="Z288" ca="1">IFERROR(IF(OR('Raw Data'!Z288="",LEN(TRIM('Raw Data'!Z288))=0),"",IF(AND(ISNUMBER('Raw Data'!Z288), IFERROR('Raw Data'!Z288 = ROUND('Raw Data'!Z288, 2),FALSE)),"",_xlfn.REGEXEXTRACT(CELL("address",Z288), "\$([A-Z]+)\$[0-9]+"))),_xlfn.REGEXEXTRACT(CELL("address",Z288), "\$([A-Z]+)\$[0-9]+"))</f>
        <v/>
      </c>
      <c r="AA288" s="7" t="str" cm="1">
        <f t="array" aca="1" ref="AA288" ca="1">IFERROR(IF(OR('Raw Data'!AA288="",LEN(TRIM('Raw Data'!AA288))=0),"",IF(AND(ISNUMBER('Raw Data'!AA288), IFERROR('Raw Data'!AA288 = ROUND('Raw Data'!AA288, 2),FALSE)),"",_xlfn.REGEXEXTRACT(CELL("address",AA288), "\$([A-Z]+)\$[0-9]+"))),_xlfn.REGEXEXTRACT(CELL("address",AA288), "\$([A-Z]+)\$[0-9]+"))</f>
        <v/>
      </c>
      <c r="AB288" s="7" t="str" cm="1">
        <f t="array" aca="1" ref="AB288" ca="1">IFERROR(IF(OR('Raw Data'!AB288="",LEN(TRIM('Raw Data'!AB288))=0),"",IF(AND(ISNUMBER('Raw Data'!AB288), IFERROR('Raw Data'!AB288 = ROUND('Raw Data'!AB288, 2),FALSE)),"",_xlfn.REGEXEXTRACT(CELL("address",AB288), "\$([A-Z]+)\$[0-9]+"))),_xlfn.REGEXEXTRACT(CELL("address",AB288), "\$([A-Z]+)\$[0-9]+"))</f>
        <v/>
      </c>
    </row>
    <row r="289" spans="2:28" x14ac:dyDescent="0.25">
      <c r="B289" s="7" t="str" cm="1">
        <f t="array" aca="1" ref="B289" ca="1">IFERROR(IF(OR('Raw Data'!B289="",LEN(TRIM('Raw Data'!B289))=0),"",IF(AND(LEN('Raw Data'!B289) &lt;= 255,LEN('Raw Data'!B289)&gt; 0),"",_xlfn.REGEXEXTRACT(CELL("address",'Raw Data'!B289),"\$([A-Z]+)\$[0-9]+"))),_xlfn.REGEXEXTRACT(CELL("address",'Raw Data'!B289),"\$([A-Z]+)\$[0-9]+"))</f>
        <v/>
      </c>
      <c r="C289" s="7" t="str" cm="1">
        <f t="array" aca="1" ref="C289" ca="1">IFERROR(IF(OR('Raw Data'!C289="",LEN(TRIM('Raw Data'!C289))=0),"",IF(AND(LEN('Raw Data'!C289) &lt;= 20,LEN('Raw Data'!C289)&gt; 0),"",_xlfn.REGEXEXTRACT(CELL("address",'Raw Data'!C289),"\$([A-Z]+)\$[0-9]+"))),_xlfn.REGEXEXTRACT(CELL("address",'Raw Data'!C289),"\$([A-Z]+)\$[0-9]+"))</f>
        <v/>
      </c>
      <c r="D289" s="7" t="str" cm="1">
        <f t="array" aca="1" ref="D289" ca="1">IFERROR(IF(OR('Raw Data'!D289="",LEN(TRIM('Raw Data'!D289))=0),"",IF(AND(ISNUMBER('Raw Data'!D289),'Raw Data'!D289&gt;=Configuration!$D$2),"",_xlfn.REGEXEXTRACT(CELL("address",'Raw Data'!D289),"\$([A-Z]+)\$[0-9]+"))),_xlfn.REGEXEXTRACT(CELL("address",D289), "\$([A-Z]+)\$[0-9]+"))</f>
        <v/>
      </c>
      <c r="E289" s="7" t="str" cm="1">
        <f t="array" aca="1" ref="E289" ca="1">IFERROR(IF(OR('Raw Data'!E289="",LEN(TRIM('Raw Data'!E289))=0),"",IF(AND(ISNUMBER('Raw Data'!E289), IFERROR('Raw Data'!E289 = ROUND('Raw Data'!E289, 2),FALSE)),"",_xlfn.REGEXEXTRACT(CELL("address",E289), "\$([A-Z]+)\$[0-9]+"))),_xlfn.REGEXEXTRACT(CELL("address",E289), "\$([A-Z]+)\$[0-9]+"))</f>
        <v/>
      </c>
      <c r="F289" s="7" t="str" cm="1">
        <f t="array" aca="1" ref="F289" ca="1">IFERROR(IF(OR('Raw Data'!F289="",LEN(TRIM('Raw Data'!F289))=0),"",IF(AND(ISNUMBER('Raw Data'!F289), IFERROR('Raw Data'!F289 = ROUND('Raw Data'!F289, 2),FALSE)),"",_xlfn.REGEXEXTRACT(CELL("address",F289), "\$([A-Z]+)\$[0-9]+"))),_xlfn.REGEXEXTRACT(CELL("address",F289), "\$([A-Z]+)\$[0-9]+"))</f>
        <v/>
      </c>
      <c r="G289" s="7" t="str" cm="1">
        <f t="array" aca="1" ref="G289" ca="1">IFERROR(IF(OR('Raw Data'!G289="",LEN(TRIM('Raw Data'!G289))=0),"",IF(AND(ISNUMBER('Raw Data'!G289), IFERROR('Raw Data'!G289 = ROUND('Raw Data'!G289, 2),FALSE)),"",_xlfn.REGEXEXTRACT(CELL("address",G289), "\$([A-Z]+)\$[0-9]+"))),_xlfn.REGEXEXTRACT(CELL("address",G289), "\$([A-Z]+)\$[0-9]+"))</f>
        <v/>
      </c>
      <c r="H289" s="7" t="str" cm="1">
        <f t="array" aca="1" ref="H289" ca="1">IFERROR(IF(OR('Raw Data'!H289="",LEN(TRIM('Raw Data'!H289))=0),"",IF(AND(ISNUMBER('Raw Data'!H289), IFERROR('Raw Data'!H289 = ROUND('Raw Data'!H289, 2),FALSE)),"",_xlfn.REGEXEXTRACT(CELL("address",H289), "\$([A-Z]+)\$[0-9]+"))),_xlfn.REGEXEXTRACT(CELL("address",H289), "\$([A-Z]+)\$[0-9]+"))</f>
        <v/>
      </c>
      <c r="I289" s="7" t="str" cm="1">
        <f t="array" aca="1" ref="I289" ca="1">IFERROR(IF(OR('Raw Data'!I289="",LEN(TRIM('Raw Data'!I289))=0),"",IF(AND(ISNUMBER('Raw Data'!I289), IFERROR('Raw Data'!I289 = ROUND('Raw Data'!I289, 2),FALSE)),"",_xlfn.REGEXEXTRACT(CELL("address",I289), "\$([A-Z]+)\$[0-9]+"))),_xlfn.REGEXEXTRACT(CELL("address",I289), "\$([A-Z]+)\$[0-9]+"))</f>
        <v/>
      </c>
      <c r="J289" s="7" t="str" cm="1">
        <f t="array" aca="1" ref="J289" ca="1">IFERROR(IF(OR('Raw Data'!J289="",LEN(TRIM('Raw Data'!J289))=0),"",IF(AND(ISNUMBER('Raw Data'!J289), IFERROR('Raw Data'!J289 = ROUND('Raw Data'!J289, 2),FALSE)),"",_xlfn.REGEXEXTRACT(CELL("address",J289), "\$([A-Z]+)\$[0-9]+"))),_xlfn.REGEXEXTRACT(CELL("address",J289), "\$([A-Z]+)\$[0-9]+"))</f>
        <v/>
      </c>
      <c r="K289" s="7" t="str" cm="1">
        <f t="array" aca="1" ref="K289" ca="1">IFERROR(IF(OR('Raw Data'!K289="",LEN(TRIM('Raw Data'!K289))=0),"",IF(AND(ISNUMBER('Raw Data'!K289), IFERROR('Raw Data'!K289 = ROUND('Raw Data'!K289, 2),FALSE)),"",_xlfn.REGEXEXTRACT(CELL("address",K289), "\$([A-Z]+)\$[0-9]+"))),_xlfn.REGEXEXTRACT(CELL("address",K289), "\$([A-Z]+)\$[0-9]+"))</f>
        <v/>
      </c>
      <c r="L289" s="7" t="str" cm="1">
        <f t="array" aca="1" ref="L289" ca="1">IFERROR(IF(OR('Raw Data'!L289="",LEN(TRIM('Raw Data'!L289))=0),"",IF(AND(ISNUMBER('Raw Data'!L289), IFERROR('Raw Data'!L289 = ROUND('Raw Data'!L289, 2),FALSE)),"",_xlfn.REGEXEXTRACT(CELL("address",L289), "\$([A-Z]+)\$[0-9]+"))),_xlfn.REGEXEXTRACT(CELL("address",L289), "\$([A-Z]+)\$[0-9]+"))</f>
        <v/>
      </c>
      <c r="M289" s="7" t="str" cm="1">
        <f t="array" aca="1" ref="M289" ca="1">IFERROR(IF(OR('Raw Data'!M289="",LEN(TRIM('Raw Data'!M289))=0),"",IF(AND(ISNUMBER('Raw Data'!M289), IFERROR('Raw Data'!M289 = ROUND('Raw Data'!M289, 2),FALSE)),"",_xlfn.REGEXEXTRACT(CELL("address",M289), "\$([A-Z]+)\$[0-9]+"))),_xlfn.REGEXEXTRACT(CELL("address",M289), "\$([A-Z]+)\$[0-9]+"))</f>
        <v/>
      </c>
      <c r="N289" s="7" t="str" cm="1">
        <f t="array" aca="1" ref="N289" ca="1">IFERROR(IF(OR('Raw Data'!N289="",LEN(TRIM('Raw Data'!N289))=0),"",IF(AND(ISNUMBER('Raw Data'!N289), IFERROR('Raw Data'!N289 = ROUND('Raw Data'!N289, 2),FALSE)),"",_xlfn.REGEXEXTRACT(CELL("address",N289), "\$([A-Z]+)\$[0-9]+"))),_xlfn.REGEXEXTRACT(CELL("address",N289), "\$([A-Z]+)\$[0-9]+"))</f>
        <v/>
      </c>
      <c r="O289" s="7" t="str" cm="1">
        <f t="array" aca="1" ref="O289" ca="1">IFERROR(IF(OR('Raw Data'!O289="",LEN(TRIM('Raw Data'!O289))=0),"",IF(AND(ISNUMBER('Raw Data'!O289), IFERROR('Raw Data'!O289 = ROUND('Raw Data'!O289, 2),FALSE)),"",_xlfn.REGEXEXTRACT(CELL("address",O289), "\$([A-Z]+)\$[0-9]+"))),_xlfn.REGEXEXTRACT(CELL("address",O289), "\$([A-Z]+)\$[0-9]+"))</f>
        <v/>
      </c>
      <c r="P289" s="7" t="str" cm="1">
        <f t="array" aca="1" ref="P289" ca="1">IFERROR(IF(OR('Raw Data'!P289="",LEN(TRIM('Raw Data'!P289))=0),"",IF(AND(ISNUMBER('Raw Data'!P289), IFERROR('Raw Data'!P289 = ROUND('Raw Data'!P289, 2),FALSE)),"",_xlfn.REGEXEXTRACT(CELL("address",P289), "\$([A-Z]+)\$[0-9]+"))),_xlfn.REGEXEXTRACT(CELL("address",P289), "\$([A-Z]+)\$[0-9]+"))</f>
        <v/>
      </c>
      <c r="Q289" s="7" t="str" cm="1">
        <f t="array" aca="1" ref="Q289" ca="1">IFERROR(IF(OR('Raw Data'!Q289="",LEN(TRIM('Raw Data'!Q289))=0),"",IF(AND(ISNUMBER('Raw Data'!Q289), IFERROR('Raw Data'!Q289 = ROUND('Raw Data'!Q289, 2),FALSE)),"",_xlfn.REGEXEXTRACT(CELL("address",Q289), "\$([A-Z]+)\$[0-9]+"))),_xlfn.REGEXEXTRACT(CELL("address",Q289), "\$([A-Z]+)\$[0-9]+"))</f>
        <v/>
      </c>
      <c r="R289" s="7" t="str" cm="1">
        <f t="array" aca="1" ref="R289" ca="1">IFERROR(IF(OR('Raw Data'!R289="",LEN(TRIM('Raw Data'!R289))=0),"",IF(AND(ISNUMBER('Raw Data'!R289), IFERROR('Raw Data'!R289 = ROUND('Raw Data'!R289, 2),FALSE)),"",_xlfn.REGEXEXTRACT(CELL("address",R289), "\$([A-Z]+)\$[0-9]+"))),_xlfn.REGEXEXTRACT(CELL("address",R289), "\$([A-Z]+)\$[0-9]+"))</f>
        <v/>
      </c>
      <c r="S289" s="7" t="str" cm="1">
        <f t="array" aca="1" ref="S289" ca="1">IFERROR(IF(OR('Raw Data'!S289="",LEN(TRIM('Raw Data'!S289))=0),"",IF(AND(ISNUMBER('Raw Data'!S289), IFERROR('Raw Data'!S289 = ROUND('Raw Data'!S289, 2),FALSE)),"",_xlfn.REGEXEXTRACT(CELL("address",S289), "\$([A-Z]+)\$[0-9]+"))),_xlfn.REGEXEXTRACT(CELL("address",S289), "\$([A-Z]+)\$[0-9]+"))</f>
        <v/>
      </c>
      <c r="T289" s="7" t="str" cm="1">
        <f t="array" aca="1" ref="T289" ca="1">IFERROR(IF(OR('Raw Data'!T289="",LEN(TRIM('Raw Data'!T289))=0),"",IF(AND(ISNUMBER('Raw Data'!T289), IFERROR('Raw Data'!T289 = ROUND('Raw Data'!T289, 2),FALSE)),"",_xlfn.REGEXEXTRACT(CELL("address",T289), "\$([A-Z]+)\$[0-9]+"))),_xlfn.REGEXEXTRACT(CELL("address",T289), "\$([A-Z]+)\$[0-9]+"))</f>
        <v/>
      </c>
      <c r="U289" s="7" t="str" cm="1">
        <f t="array" aca="1" ref="U289" ca="1">IFERROR(IF(OR('Raw Data'!U289="",LEN(TRIM('Raw Data'!U289))=0),"",IF(AND(ISNUMBER('Raw Data'!U289), IFERROR('Raw Data'!U289 = ROUND('Raw Data'!U289, 2),FALSE)),"",_xlfn.REGEXEXTRACT(CELL("address",U289), "\$([A-Z]+)\$[0-9]+"))),_xlfn.REGEXEXTRACT(CELL("address",U289), "\$([A-Z]+)\$[0-9]+"))</f>
        <v/>
      </c>
      <c r="V289" s="7" t="str" cm="1">
        <f t="array" aca="1" ref="V289" ca="1">IFERROR(IF(OR('Raw Data'!V289="",LEN(TRIM('Raw Data'!V289))=0),"",IF(AND(ISNUMBER('Raw Data'!V289), IFERROR('Raw Data'!V289 = ROUND('Raw Data'!V289, 2),FALSE)),"",_xlfn.REGEXEXTRACT(CELL("address",V289), "\$([A-Z]+)\$[0-9]+"))),_xlfn.REGEXEXTRACT(CELL("address",V289), "\$([A-Z]+)\$[0-9]+"))</f>
        <v/>
      </c>
      <c r="W289" s="7" t="str" cm="1">
        <f t="array" aca="1" ref="W289" ca="1">IFERROR(IF(OR('Raw Data'!W289="",LEN(TRIM('Raw Data'!W289))=0),"",IF(AND(ISNUMBER('Raw Data'!W289), IFERROR('Raw Data'!W289 = ROUND('Raw Data'!W289, 2),FALSE)),"",_xlfn.REGEXEXTRACT(CELL("address",W289), "\$([A-Z]+)\$[0-9]+"))),_xlfn.REGEXEXTRACT(CELL("address",W289), "\$([A-Z]+)\$[0-9]+"))</f>
        <v/>
      </c>
      <c r="X289" s="7" t="str" cm="1">
        <f t="array" aca="1" ref="X289" ca="1">IFERROR(IF(OR('Raw Data'!X289="",LEN(TRIM('Raw Data'!X289))=0),"",IF(AND(ISNUMBER('Raw Data'!X289), IFERROR('Raw Data'!X289 = ROUND('Raw Data'!X289, 2),FALSE)),"",_xlfn.REGEXEXTRACT(CELL("address",X289), "\$([A-Z]+)\$[0-9]+"))),_xlfn.REGEXEXTRACT(CELL("address",X289), "\$([A-Z]+)\$[0-9]+"))</f>
        <v/>
      </c>
      <c r="Y289" s="7" t="str" cm="1">
        <f t="array" aca="1" ref="Y289" ca="1">IFERROR(IF(OR('Raw Data'!Y289="",LEN(TRIM('Raw Data'!Y289))=0),"",IF(AND(ISNUMBER('Raw Data'!Y289), IFERROR('Raw Data'!Y289 = ROUND('Raw Data'!Y289, 2),FALSE)),"",_xlfn.REGEXEXTRACT(CELL("address",Y289), "\$([A-Z]+)\$[0-9]+"))),_xlfn.REGEXEXTRACT(CELL("address",Y289), "\$([A-Z]+)\$[0-9]+"))</f>
        <v/>
      </c>
      <c r="Z289" s="7" t="str" cm="1">
        <f t="array" aca="1" ref="Z289" ca="1">IFERROR(IF(OR('Raw Data'!Z289="",LEN(TRIM('Raw Data'!Z289))=0),"",IF(AND(ISNUMBER('Raw Data'!Z289), IFERROR('Raw Data'!Z289 = ROUND('Raw Data'!Z289, 2),FALSE)),"",_xlfn.REGEXEXTRACT(CELL("address",Z289), "\$([A-Z]+)\$[0-9]+"))),_xlfn.REGEXEXTRACT(CELL("address",Z289), "\$([A-Z]+)\$[0-9]+"))</f>
        <v/>
      </c>
      <c r="AA289" s="7" t="str" cm="1">
        <f t="array" aca="1" ref="AA289" ca="1">IFERROR(IF(OR('Raw Data'!AA289="",LEN(TRIM('Raw Data'!AA289))=0),"",IF(AND(ISNUMBER('Raw Data'!AA289), IFERROR('Raw Data'!AA289 = ROUND('Raw Data'!AA289, 2),FALSE)),"",_xlfn.REGEXEXTRACT(CELL("address",AA289), "\$([A-Z]+)\$[0-9]+"))),_xlfn.REGEXEXTRACT(CELL("address",AA289), "\$([A-Z]+)\$[0-9]+"))</f>
        <v/>
      </c>
      <c r="AB289" s="7" t="str" cm="1">
        <f t="array" aca="1" ref="AB289" ca="1">IFERROR(IF(OR('Raw Data'!AB289="",LEN(TRIM('Raw Data'!AB289))=0),"",IF(AND(ISNUMBER('Raw Data'!AB289), IFERROR('Raw Data'!AB289 = ROUND('Raw Data'!AB289, 2),FALSE)),"",_xlfn.REGEXEXTRACT(CELL("address",AB289), "\$([A-Z]+)\$[0-9]+"))),_xlfn.REGEXEXTRACT(CELL("address",AB289), "\$([A-Z]+)\$[0-9]+"))</f>
        <v/>
      </c>
    </row>
    <row r="290" spans="2:28" x14ac:dyDescent="0.25">
      <c r="B290" s="7" t="str" cm="1">
        <f t="array" aca="1" ref="B290" ca="1">IFERROR(IF(OR('Raw Data'!B290="",LEN(TRIM('Raw Data'!B290))=0),"",IF(AND(LEN('Raw Data'!B290) &lt;= 255,LEN('Raw Data'!B290)&gt; 0),"",_xlfn.REGEXEXTRACT(CELL("address",'Raw Data'!B290),"\$([A-Z]+)\$[0-9]+"))),_xlfn.REGEXEXTRACT(CELL("address",'Raw Data'!B290),"\$([A-Z]+)\$[0-9]+"))</f>
        <v/>
      </c>
      <c r="C290" s="7" t="str" cm="1">
        <f t="array" aca="1" ref="C290" ca="1">IFERROR(IF(OR('Raw Data'!C290="",LEN(TRIM('Raw Data'!C290))=0),"",IF(AND(LEN('Raw Data'!C290) &lt;= 20,LEN('Raw Data'!C290)&gt; 0),"",_xlfn.REGEXEXTRACT(CELL("address",'Raw Data'!C290),"\$([A-Z]+)\$[0-9]+"))),_xlfn.REGEXEXTRACT(CELL("address",'Raw Data'!C290),"\$([A-Z]+)\$[0-9]+"))</f>
        <v/>
      </c>
      <c r="D290" s="7" t="str" cm="1">
        <f t="array" aca="1" ref="D290" ca="1">IFERROR(IF(OR('Raw Data'!D290="",LEN(TRIM('Raw Data'!D290))=0),"",IF(AND(ISNUMBER('Raw Data'!D290),'Raw Data'!D290&gt;=Configuration!$D$2),"",_xlfn.REGEXEXTRACT(CELL("address",'Raw Data'!D290),"\$([A-Z]+)\$[0-9]+"))),_xlfn.REGEXEXTRACT(CELL("address",D290), "\$([A-Z]+)\$[0-9]+"))</f>
        <v/>
      </c>
      <c r="E290" s="7" t="str" cm="1">
        <f t="array" aca="1" ref="E290" ca="1">IFERROR(IF(OR('Raw Data'!E290="",LEN(TRIM('Raw Data'!E290))=0),"",IF(AND(ISNUMBER('Raw Data'!E290), IFERROR('Raw Data'!E290 = ROUND('Raw Data'!E290, 2),FALSE)),"",_xlfn.REGEXEXTRACT(CELL("address",E290), "\$([A-Z]+)\$[0-9]+"))),_xlfn.REGEXEXTRACT(CELL("address",E290), "\$([A-Z]+)\$[0-9]+"))</f>
        <v/>
      </c>
      <c r="F290" s="7" t="str" cm="1">
        <f t="array" aca="1" ref="F290" ca="1">IFERROR(IF(OR('Raw Data'!F290="",LEN(TRIM('Raw Data'!F290))=0),"",IF(AND(ISNUMBER('Raw Data'!F290), IFERROR('Raw Data'!F290 = ROUND('Raw Data'!F290, 2),FALSE)),"",_xlfn.REGEXEXTRACT(CELL("address",F290), "\$([A-Z]+)\$[0-9]+"))),_xlfn.REGEXEXTRACT(CELL("address",F290), "\$([A-Z]+)\$[0-9]+"))</f>
        <v/>
      </c>
      <c r="G290" s="7" t="str" cm="1">
        <f t="array" aca="1" ref="G290" ca="1">IFERROR(IF(OR('Raw Data'!G290="",LEN(TRIM('Raw Data'!G290))=0),"",IF(AND(ISNUMBER('Raw Data'!G290), IFERROR('Raw Data'!G290 = ROUND('Raw Data'!G290, 2),FALSE)),"",_xlfn.REGEXEXTRACT(CELL("address",G290), "\$([A-Z]+)\$[0-9]+"))),_xlfn.REGEXEXTRACT(CELL("address",G290), "\$([A-Z]+)\$[0-9]+"))</f>
        <v/>
      </c>
      <c r="H290" s="7" t="str" cm="1">
        <f t="array" aca="1" ref="H290" ca="1">IFERROR(IF(OR('Raw Data'!H290="",LEN(TRIM('Raw Data'!H290))=0),"",IF(AND(ISNUMBER('Raw Data'!H290), IFERROR('Raw Data'!H290 = ROUND('Raw Data'!H290, 2),FALSE)),"",_xlfn.REGEXEXTRACT(CELL("address",H290), "\$([A-Z]+)\$[0-9]+"))),_xlfn.REGEXEXTRACT(CELL("address",H290), "\$([A-Z]+)\$[0-9]+"))</f>
        <v/>
      </c>
      <c r="I290" s="7" t="str" cm="1">
        <f t="array" aca="1" ref="I290" ca="1">IFERROR(IF(OR('Raw Data'!I290="",LEN(TRIM('Raw Data'!I290))=0),"",IF(AND(ISNUMBER('Raw Data'!I290), IFERROR('Raw Data'!I290 = ROUND('Raw Data'!I290, 2),FALSE)),"",_xlfn.REGEXEXTRACT(CELL("address",I290), "\$([A-Z]+)\$[0-9]+"))),_xlfn.REGEXEXTRACT(CELL("address",I290), "\$([A-Z]+)\$[0-9]+"))</f>
        <v/>
      </c>
      <c r="J290" s="7" t="str" cm="1">
        <f t="array" aca="1" ref="J290" ca="1">IFERROR(IF(OR('Raw Data'!J290="",LEN(TRIM('Raw Data'!J290))=0),"",IF(AND(ISNUMBER('Raw Data'!J290), IFERROR('Raw Data'!J290 = ROUND('Raw Data'!J290, 2),FALSE)),"",_xlfn.REGEXEXTRACT(CELL("address",J290), "\$([A-Z]+)\$[0-9]+"))),_xlfn.REGEXEXTRACT(CELL("address",J290), "\$([A-Z]+)\$[0-9]+"))</f>
        <v/>
      </c>
      <c r="K290" s="7" t="str" cm="1">
        <f t="array" aca="1" ref="K290" ca="1">IFERROR(IF(OR('Raw Data'!K290="",LEN(TRIM('Raw Data'!K290))=0),"",IF(AND(ISNUMBER('Raw Data'!K290), IFERROR('Raw Data'!K290 = ROUND('Raw Data'!K290, 2),FALSE)),"",_xlfn.REGEXEXTRACT(CELL("address",K290), "\$([A-Z]+)\$[0-9]+"))),_xlfn.REGEXEXTRACT(CELL("address",K290), "\$([A-Z]+)\$[0-9]+"))</f>
        <v/>
      </c>
      <c r="L290" s="7" t="str" cm="1">
        <f t="array" aca="1" ref="L290" ca="1">IFERROR(IF(OR('Raw Data'!L290="",LEN(TRIM('Raw Data'!L290))=0),"",IF(AND(ISNUMBER('Raw Data'!L290), IFERROR('Raw Data'!L290 = ROUND('Raw Data'!L290, 2),FALSE)),"",_xlfn.REGEXEXTRACT(CELL("address",L290), "\$([A-Z]+)\$[0-9]+"))),_xlfn.REGEXEXTRACT(CELL("address",L290), "\$([A-Z]+)\$[0-9]+"))</f>
        <v/>
      </c>
      <c r="M290" s="7" t="str" cm="1">
        <f t="array" aca="1" ref="M290" ca="1">IFERROR(IF(OR('Raw Data'!M290="",LEN(TRIM('Raw Data'!M290))=0),"",IF(AND(ISNUMBER('Raw Data'!M290), IFERROR('Raw Data'!M290 = ROUND('Raw Data'!M290, 2),FALSE)),"",_xlfn.REGEXEXTRACT(CELL("address",M290), "\$([A-Z]+)\$[0-9]+"))),_xlfn.REGEXEXTRACT(CELL("address",M290), "\$([A-Z]+)\$[0-9]+"))</f>
        <v/>
      </c>
      <c r="N290" s="7" t="str" cm="1">
        <f t="array" aca="1" ref="N290" ca="1">IFERROR(IF(OR('Raw Data'!N290="",LEN(TRIM('Raw Data'!N290))=0),"",IF(AND(ISNUMBER('Raw Data'!N290), IFERROR('Raw Data'!N290 = ROUND('Raw Data'!N290, 2),FALSE)),"",_xlfn.REGEXEXTRACT(CELL("address",N290), "\$([A-Z]+)\$[0-9]+"))),_xlfn.REGEXEXTRACT(CELL("address",N290), "\$([A-Z]+)\$[0-9]+"))</f>
        <v/>
      </c>
      <c r="O290" s="7" t="str" cm="1">
        <f t="array" aca="1" ref="O290" ca="1">IFERROR(IF(OR('Raw Data'!O290="",LEN(TRIM('Raw Data'!O290))=0),"",IF(AND(ISNUMBER('Raw Data'!O290), IFERROR('Raw Data'!O290 = ROUND('Raw Data'!O290, 2),FALSE)),"",_xlfn.REGEXEXTRACT(CELL("address",O290), "\$([A-Z]+)\$[0-9]+"))),_xlfn.REGEXEXTRACT(CELL("address",O290), "\$([A-Z]+)\$[0-9]+"))</f>
        <v/>
      </c>
      <c r="P290" s="7" t="str" cm="1">
        <f t="array" aca="1" ref="P290" ca="1">IFERROR(IF(OR('Raw Data'!P290="",LEN(TRIM('Raw Data'!P290))=0),"",IF(AND(ISNUMBER('Raw Data'!P290), IFERROR('Raw Data'!P290 = ROUND('Raw Data'!P290, 2),FALSE)),"",_xlfn.REGEXEXTRACT(CELL("address",P290), "\$([A-Z]+)\$[0-9]+"))),_xlfn.REGEXEXTRACT(CELL("address",P290), "\$([A-Z]+)\$[0-9]+"))</f>
        <v/>
      </c>
      <c r="Q290" s="7" t="str" cm="1">
        <f t="array" aca="1" ref="Q290" ca="1">IFERROR(IF(OR('Raw Data'!Q290="",LEN(TRIM('Raw Data'!Q290))=0),"",IF(AND(ISNUMBER('Raw Data'!Q290), IFERROR('Raw Data'!Q290 = ROUND('Raw Data'!Q290, 2),FALSE)),"",_xlfn.REGEXEXTRACT(CELL("address",Q290), "\$([A-Z]+)\$[0-9]+"))),_xlfn.REGEXEXTRACT(CELL("address",Q290), "\$([A-Z]+)\$[0-9]+"))</f>
        <v/>
      </c>
      <c r="R290" s="7" t="str" cm="1">
        <f t="array" aca="1" ref="R290" ca="1">IFERROR(IF(OR('Raw Data'!R290="",LEN(TRIM('Raw Data'!R290))=0),"",IF(AND(ISNUMBER('Raw Data'!R290), IFERROR('Raw Data'!R290 = ROUND('Raw Data'!R290, 2),FALSE)),"",_xlfn.REGEXEXTRACT(CELL("address",R290), "\$([A-Z]+)\$[0-9]+"))),_xlfn.REGEXEXTRACT(CELL("address",R290), "\$([A-Z]+)\$[0-9]+"))</f>
        <v/>
      </c>
      <c r="S290" s="7" t="str" cm="1">
        <f t="array" aca="1" ref="S290" ca="1">IFERROR(IF(OR('Raw Data'!S290="",LEN(TRIM('Raw Data'!S290))=0),"",IF(AND(ISNUMBER('Raw Data'!S290), IFERROR('Raw Data'!S290 = ROUND('Raw Data'!S290, 2),FALSE)),"",_xlfn.REGEXEXTRACT(CELL("address",S290), "\$([A-Z]+)\$[0-9]+"))),_xlfn.REGEXEXTRACT(CELL("address",S290), "\$([A-Z]+)\$[0-9]+"))</f>
        <v/>
      </c>
      <c r="T290" s="7" t="str" cm="1">
        <f t="array" aca="1" ref="T290" ca="1">IFERROR(IF(OR('Raw Data'!T290="",LEN(TRIM('Raw Data'!T290))=0),"",IF(AND(ISNUMBER('Raw Data'!T290), IFERROR('Raw Data'!T290 = ROUND('Raw Data'!T290, 2),FALSE)),"",_xlfn.REGEXEXTRACT(CELL("address",T290), "\$([A-Z]+)\$[0-9]+"))),_xlfn.REGEXEXTRACT(CELL("address",T290), "\$([A-Z]+)\$[0-9]+"))</f>
        <v/>
      </c>
      <c r="U290" s="7" t="str" cm="1">
        <f t="array" aca="1" ref="U290" ca="1">IFERROR(IF(OR('Raw Data'!U290="",LEN(TRIM('Raw Data'!U290))=0),"",IF(AND(ISNUMBER('Raw Data'!U290), IFERROR('Raw Data'!U290 = ROUND('Raw Data'!U290, 2),FALSE)),"",_xlfn.REGEXEXTRACT(CELL("address",U290), "\$([A-Z]+)\$[0-9]+"))),_xlfn.REGEXEXTRACT(CELL("address",U290), "\$([A-Z]+)\$[0-9]+"))</f>
        <v/>
      </c>
      <c r="V290" s="7" t="str" cm="1">
        <f t="array" aca="1" ref="V290" ca="1">IFERROR(IF(OR('Raw Data'!V290="",LEN(TRIM('Raw Data'!V290))=0),"",IF(AND(ISNUMBER('Raw Data'!V290), IFERROR('Raw Data'!V290 = ROUND('Raw Data'!V290, 2),FALSE)),"",_xlfn.REGEXEXTRACT(CELL("address",V290), "\$([A-Z]+)\$[0-9]+"))),_xlfn.REGEXEXTRACT(CELL("address",V290), "\$([A-Z]+)\$[0-9]+"))</f>
        <v/>
      </c>
      <c r="W290" s="7" t="str" cm="1">
        <f t="array" aca="1" ref="W290" ca="1">IFERROR(IF(OR('Raw Data'!W290="",LEN(TRIM('Raw Data'!W290))=0),"",IF(AND(ISNUMBER('Raw Data'!W290), IFERROR('Raw Data'!W290 = ROUND('Raw Data'!W290, 2),FALSE)),"",_xlfn.REGEXEXTRACT(CELL("address",W290), "\$([A-Z]+)\$[0-9]+"))),_xlfn.REGEXEXTRACT(CELL("address",W290), "\$([A-Z]+)\$[0-9]+"))</f>
        <v/>
      </c>
      <c r="X290" s="7" t="str" cm="1">
        <f t="array" aca="1" ref="X290" ca="1">IFERROR(IF(OR('Raw Data'!X290="",LEN(TRIM('Raw Data'!X290))=0),"",IF(AND(ISNUMBER('Raw Data'!X290), IFERROR('Raw Data'!X290 = ROUND('Raw Data'!X290, 2),FALSE)),"",_xlfn.REGEXEXTRACT(CELL("address",X290), "\$([A-Z]+)\$[0-9]+"))),_xlfn.REGEXEXTRACT(CELL("address",X290), "\$([A-Z]+)\$[0-9]+"))</f>
        <v/>
      </c>
      <c r="Y290" s="7" t="str" cm="1">
        <f t="array" aca="1" ref="Y290" ca="1">IFERROR(IF(OR('Raw Data'!Y290="",LEN(TRIM('Raw Data'!Y290))=0),"",IF(AND(ISNUMBER('Raw Data'!Y290), IFERROR('Raw Data'!Y290 = ROUND('Raw Data'!Y290, 2),FALSE)),"",_xlfn.REGEXEXTRACT(CELL("address",Y290), "\$([A-Z]+)\$[0-9]+"))),_xlfn.REGEXEXTRACT(CELL("address",Y290), "\$([A-Z]+)\$[0-9]+"))</f>
        <v/>
      </c>
      <c r="Z290" s="7" t="str" cm="1">
        <f t="array" aca="1" ref="Z290" ca="1">IFERROR(IF(OR('Raw Data'!Z290="",LEN(TRIM('Raw Data'!Z290))=0),"",IF(AND(ISNUMBER('Raw Data'!Z290), IFERROR('Raw Data'!Z290 = ROUND('Raw Data'!Z290, 2),FALSE)),"",_xlfn.REGEXEXTRACT(CELL("address",Z290), "\$([A-Z]+)\$[0-9]+"))),_xlfn.REGEXEXTRACT(CELL("address",Z290), "\$([A-Z]+)\$[0-9]+"))</f>
        <v/>
      </c>
      <c r="AA290" s="7" t="str" cm="1">
        <f t="array" aca="1" ref="AA290" ca="1">IFERROR(IF(OR('Raw Data'!AA290="",LEN(TRIM('Raw Data'!AA290))=0),"",IF(AND(ISNUMBER('Raw Data'!AA290), IFERROR('Raw Data'!AA290 = ROUND('Raw Data'!AA290, 2),FALSE)),"",_xlfn.REGEXEXTRACT(CELL("address",AA290), "\$([A-Z]+)\$[0-9]+"))),_xlfn.REGEXEXTRACT(CELL("address",AA290), "\$([A-Z]+)\$[0-9]+"))</f>
        <v/>
      </c>
      <c r="AB290" s="7" t="str" cm="1">
        <f t="array" aca="1" ref="AB290" ca="1">IFERROR(IF(OR('Raw Data'!AB290="",LEN(TRIM('Raw Data'!AB290))=0),"",IF(AND(ISNUMBER('Raw Data'!AB290), IFERROR('Raw Data'!AB290 = ROUND('Raw Data'!AB290, 2),FALSE)),"",_xlfn.REGEXEXTRACT(CELL("address",AB290), "\$([A-Z]+)\$[0-9]+"))),_xlfn.REGEXEXTRACT(CELL("address",AB290), "\$([A-Z]+)\$[0-9]+"))</f>
        <v/>
      </c>
    </row>
    <row r="291" spans="2:28" x14ac:dyDescent="0.25">
      <c r="B291" s="7" t="str" cm="1">
        <f t="array" aca="1" ref="B291" ca="1">IFERROR(IF(OR('Raw Data'!B291="",LEN(TRIM('Raw Data'!B291))=0),"",IF(AND(LEN('Raw Data'!B291) &lt;= 255,LEN('Raw Data'!B291)&gt; 0),"",_xlfn.REGEXEXTRACT(CELL("address",'Raw Data'!B291),"\$([A-Z]+)\$[0-9]+"))),_xlfn.REGEXEXTRACT(CELL("address",'Raw Data'!B291),"\$([A-Z]+)\$[0-9]+"))</f>
        <v/>
      </c>
      <c r="C291" s="7" t="str" cm="1">
        <f t="array" aca="1" ref="C291" ca="1">IFERROR(IF(OR('Raw Data'!C291="",LEN(TRIM('Raw Data'!C291))=0),"",IF(AND(LEN('Raw Data'!C291) &lt;= 20,LEN('Raw Data'!C291)&gt; 0),"",_xlfn.REGEXEXTRACT(CELL("address",'Raw Data'!C291),"\$([A-Z]+)\$[0-9]+"))),_xlfn.REGEXEXTRACT(CELL("address",'Raw Data'!C291),"\$([A-Z]+)\$[0-9]+"))</f>
        <v/>
      </c>
      <c r="D291" s="7" t="str" cm="1">
        <f t="array" aca="1" ref="D291" ca="1">IFERROR(IF(OR('Raw Data'!D291="",LEN(TRIM('Raw Data'!D291))=0),"",IF(AND(ISNUMBER('Raw Data'!D291),'Raw Data'!D291&gt;=Configuration!$D$2),"",_xlfn.REGEXEXTRACT(CELL("address",'Raw Data'!D291),"\$([A-Z]+)\$[0-9]+"))),_xlfn.REGEXEXTRACT(CELL("address",D291), "\$([A-Z]+)\$[0-9]+"))</f>
        <v/>
      </c>
      <c r="E291" s="7" t="str" cm="1">
        <f t="array" aca="1" ref="E291" ca="1">IFERROR(IF(OR('Raw Data'!E291="",LEN(TRIM('Raw Data'!E291))=0),"",IF(AND(ISNUMBER('Raw Data'!E291), IFERROR('Raw Data'!E291 = ROUND('Raw Data'!E291, 2),FALSE)),"",_xlfn.REGEXEXTRACT(CELL("address",E291), "\$([A-Z]+)\$[0-9]+"))),_xlfn.REGEXEXTRACT(CELL("address",E291), "\$([A-Z]+)\$[0-9]+"))</f>
        <v/>
      </c>
      <c r="F291" s="7" t="str" cm="1">
        <f t="array" aca="1" ref="F291" ca="1">IFERROR(IF(OR('Raw Data'!F291="",LEN(TRIM('Raw Data'!F291))=0),"",IF(AND(ISNUMBER('Raw Data'!F291), IFERROR('Raw Data'!F291 = ROUND('Raw Data'!F291, 2),FALSE)),"",_xlfn.REGEXEXTRACT(CELL("address",F291), "\$([A-Z]+)\$[0-9]+"))),_xlfn.REGEXEXTRACT(CELL("address",F291), "\$([A-Z]+)\$[0-9]+"))</f>
        <v/>
      </c>
      <c r="G291" s="7" t="str" cm="1">
        <f t="array" aca="1" ref="G291" ca="1">IFERROR(IF(OR('Raw Data'!G291="",LEN(TRIM('Raw Data'!G291))=0),"",IF(AND(ISNUMBER('Raw Data'!G291), IFERROR('Raw Data'!G291 = ROUND('Raw Data'!G291, 2),FALSE)),"",_xlfn.REGEXEXTRACT(CELL("address",G291), "\$([A-Z]+)\$[0-9]+"))),_xlfn.REGEXEXTRACT(CELL("address",G291), "\$([A-Z]+)\$[0-9]+"))</f>
        <v/>
      </c>
      <c r="H291" s="7" t="str" cm="1">
        <f t="array" aca="1" ref="H291" ca="1">IFERROR(IF(OR('Raw Data'!H291="",LEN(TRIM('Raw Data'!H291))=0),"",IF(AND(ISNUMBER('Raw Data'!H291), IFERROR('Raw Data'!H291 = ROUND('Raw Data'!H291, 2),FALSE)),"",_xlfn.REGEXEXTRACT(CELL("address",H291), "\$([A-Z]+)\$[0-9]+"))),_xlfn.REGEXEXTRACT(CELL("address",H291), "\$([A-Z]+)\$[0-9]+"))</f>
        <v/>
      </c>
      <c r="I291" s="7" t="str" cm="1">
        <f t="array" aca="1" ref="I291" ca="1">IFERROR(IF(OR('Raw Data'!I291="",LEN(TRIM('Raw Data'!I291))=0),"",IF(AND(ISNUMBER('Raw Data'!I291), IFERROR('Raw Data'!I291 = ROUND('Raw Data'!I291, 2),FALSE)),"",_xlfn.REGEXEXTRACT(CELL("address",I291), "\$([A-Z]+)\$[0-9]+"))),_xlfn.REGEXEXTRACT(CELL("address",I291), "\$([A-Z]+)\$[0-9]+"))</f>
        <v/>
      </c>
      <c r="J291" s="7" t="str" cm="1">
        <f t="array" aca="1" ref="J291" ca="1">IFERROR(IF(OR('Raw Data'!J291="",LEN(TRIM('Raw Data'!J291))=0),"",IF(AND(ISNUMBER('Raw Data'!J291), IFERROR('Raw Data'!J291 = ROUND('Raw Data'!J291, 2),FALSE)),"",_xlfn.REGEXEXTRACT(CELL("address",J291), "\$([A-Z]+)\$[0-9]+"))),_xlfn.REGEXEXTRACT(CELL("address",J291), "\$([A-Z]+)\$[0-9]+"))</f>
        <v/>
      </c>
      <c r="K291" s="7" t="str" cm="1">
        <f t="array" aca="1" ref="K291" ca="1">IFERROR(IF(OR('Raw Data'!K291="",LEN(TRIM('Raw Data'!K291))=0),"",IF(AND(ISNUMBER('Raw Data'!K291), IFERROR('Raw Data'!K291 = ROUND('Raw Data'!K291, 2),FALSE)),"",_xlfn.REGEXEXTRACT(CELL("address",K291), "\$([A-Z]+)\$[0-9]+"))),_xlfn.REGEXEXTRACT(CELL("address",K291), "\$([A-Z]+)\$[0-9]+"))</f>
        <v/>
      </c>
      <c r="L291" s="7" t="str" cm="1">
        <f t="array" aca="1" ref="L291" ca="1">IFERROR(IF(OR('Raw Data'!L291="",LEN(TRIM('Raw Data'!L291))=0),"",IF(AND(ISNUMBER('Raw Data'!L291), IFERROR('Raw Data'!L291 = ROUND('Raw Data'!L291, 2),FALSE)),"",_xlfn.REGEXEXTRACT(CELL("address",L291), "\$([A-Z]+)\$[0-9]+"))),_xlfn.REGEXEXTRACT(CELL("address",L291), "\$([A-Z]+)\$[0-9]+"))</f>
        <v/>
      </c>
      <c r="M291" s="7" t="str" cm="1">
        <f t="array" aca="1" ref="M291" ca="1">IFERROR(IF(OR('Raw Data'!M291="",LEN(TRIM('Raw Data'!M291))=0),"",IF(AND(ISNUMBER('Raw Data'!M291), IFERROR('Raw Data'!M291 = ROUND('Raw Data'!M291, 2),FALSE)),"",_xlfn.REGEXEXTRACT(CELL("address",M291), "\$([A-Z]+)\$[0-9]+"))),_xlfn.REGEXEXTRACT(CELL("address",M291), "\$([A-Z]+)\$[0-9]+"))</f>
        <v/>
      </c>
      <c r="N291" s="7" t="str" cm="1">
        <f t="array" aca="1" ref="N291" ca="1">IFERROR(IF(OR('Raw Data'!N291="",LEN(TRIM('Raw Data'!N291))=0),"",IF(AND(ISNUMBER('Raw Data'!N291), IFERROR('Raw Data'!N291 = ROUND('Raw Data'!N291, 2),FALSE)),"",_xlfn.REGEXEXTRACT(CELL("address",N291), "\$([A-Z]+)\$[0-9]+"))),_xlfn.REGEXEXTRACT(CELL("address",N291), "\$([A-Z]+)\$[0-9]+"))</f>
        <v/>
      </c>
      <c r="O291" s="7" t="str" cm="1">
        <f t="array" aca="1" ref="O291" ca="1">IFERROR(IF(OR('Raw Data'!O291="",LEN(TRIM('Raw Data'!O291))=0),"",IF(AND(ISNUMBER('Raw Data'!O291), IFERROR('Raw Data'!O291 = ROUND('Raw Data'!O291, 2),FALSE)),"",_xlfn.REGEXEXTRACT(CELL("address",O291), "\$([A-Z]+)\$[0-9]+"))),_xlfn.REGEXEXTRACT(CELL("address",O291), "\$([A-Z]+)\$[0-9]+"))</f>
        <v/>
      </c>
      <c r="P291" s="7" t="str" cm="1">
        <f t="array" aca="1" ref="P291" ca="1">IFERROR(IF(OR('Raw Data'!P291="",LEN(TRIM('Raw Data'!P291))=0),"",IF(AND(ISNUMBER('Raw Data'!P291), IFERROR('Raw Data'!P291 = ROUND('Raw Data'!P291, 2),FALSE)),"",_xlfn.REGEXEXTRACT(CELL("address",P291), "\$([A-Z]+)\$[0-9]+"))),_xlfn.REGEXEXTRACT(CELL("address",P291), "\$([A-Z]+)\$[0-9]+"))</f>
        <v/>
      </c>
      <c r="Q291" s="7" t="str" cm="1">
        <f t="array" aca="1" ref="Q291" ca="1">IFERROR(IF(OR('Raw Data'!Q291="",LEN(TRIM('Raw Data'!Q291))=0),"",IF(AND(ISNUMBER('Raw Data'!Q291), IFERROR('Raw Data'!Q291 = ROUND('Raw Data'!Q291, 2),FALSE)),"",_xlfn.REGEXEXTRACT(CELL("address",Q291), "\$([A-Z]+)\$[0-9]+"))),_xlfn.REGEXEXTRACT(CELL("address",Q291), "\$([A-Z]+)\$[0-9]+"))</f>
        <v/>
      </c>
      <c r="R291" s="7" t="str" cm="1">
        <f t="array" aca="1" ref="R291" ca="1">IFERROR(IF(OR('Raw Data'!R291="",LEN(TRIM('Raw Data'!R291))=0),"",IF(AND(ISNUMBER('Raw Data'!R291), IFERROR('Raw Data'!R291 = ROUND('Raw Data'!R291, 2),FALSE)),"",_xlfn.REGEXEXTRACT(CELL("address",R291), "\$([A-Z]+)\$[0-9]+"))),_xlfn.REGEXEXTRACT(CELL("address",R291), "\$([A-Z]+)\$[0-9]+"))</f>
        <v/>
      </c>
      <c r="S291" s="7" t="str" cm="1">
        <f t="array" aca="1" ref="S291" ca="1">IFERROR(IF(OR('Raw Data'!S291="",LEN(TRIM('Raw Data'!S291))=0),"",IF(AND(ISNUMBER('Raw Data'!S291), IFERROR('Raw Data'!S291 = ROUND('Raw Data'!S291, 2),FALSE)),"",_xlfn.REGEXEXTRACT(CELL("address",S291), "\$([A-Z]+)\$[0-9]+"))),_xlfn.REGEXEXTRACT(CELL("address",S291), "\$([A-Z]+)\$[0-9]+"))</f>
        <v/>
      </c>
      <c r="T291" s="7" t="str" cm="1">
        <f t="array" aca="1" ref="T291" ca="1">IFERROR(IF(OR('Raw Data'!T291="",LEN(TRIM('Raw Data'!T291))=0),"",IF(AND(ISNUMBER('Raw Data'!T291), IFERROR('Raw Data'!T291 = ROUND('Raw Data'!T291, 2),FALSE)),"",_xlfn.REGEXEXTRACT(CELL("address",T291), "\$([A-Z]+)\$[0-9]+"))),_xlfn.REGEXEXTRACT(CELL("address",T291), "\$([A-Z]+)\$[0-9]+"))</f>
        <v/>
      </c>
      <c r="U291" s="7" t="str" cm="1">
        <f t="array" aca="1" ref="U291" ca="1">IFERROR(IF(OR('Raw Data'!U291="",LEN(TRIM('Raw Data'!U291))=0),"",IF(AND(ISNUMBER('Raw Data'!U291), IFERROR('Raw Data'!U291 = ROUND('Raw Data'!U291, 2),FALSE)),"",_xlfn.REGEXEXTRACT(CELL("address",U291), "\$([A-Z]+)\$[0-9]+"))),_xlfn.REGEXEXTRACT(CELL("address",U291), "\$([A-Z]+)\$[0-9]+"))</f>
        <v/>
      </c>
      <c r="V291" s="7" t="str" cm="1">
        <f t="array" aca="1" ref="V291" ca="1">IFERROR(IF(OR('Raw Data'!V291="",LEN(TRIM('Raw Data'!V291))=0),"",IF(AND(ISNUMBER('Raw Data'!V291), IFERROR('Raw Data'!V291 = ROUND('Raw Data'!V291, 2),FALSE)),"",_xlfn.REGEXEXTRACT(CELL("address",V291), "\$([A-Z]+)\$[0-9]+"))),_xlfn.REGEXEXTRACT(CELL("address",V291), "\$([A-Z]+)\$[0-9]+"))</f>
        <v/>
      </c>
      <c r="W291" s="7" t="str" cm="1">
        <f t="array" aca="1" ref="W291" ca="1">IFERROR(IF(OR('Raw Data'!W291="",LEN(TRIM('Raw Data'!W291))=0),"",IF(AND(ISNUMBER('Raw Data'!W291), IFERROR('Raw Data'!W291 = ROUND('Raw Data'!W291, 2),FALSE)),"",_xlfn.REGEXEXTRACT(CELL("address",W291), "\$([A-Z]+)\$[0-9]+"))),_xlfn.REGEXEXTRACT(CELL("address",W291), "\$([A-Z]+)\$[0-9]+"))</f>
        <v/>
      </c>
      <c r="X291" s="7" t="str" cm="1">
        <f t="array" aca="1" ref="X291" ca="1">IFERROR(IF(OR('Raw Data'!X291="",LEN(TRIM('Raw Data'!X291))=0),"",IF(AND(ISNUMBER('Raw Data'!X291), IFERROR('Raw Data'!X291 = ROUND('Raw Data'!X291, 2),FALSE)),"",_xlfn.REGEXEXTRACT(CELL("address",X291), "\$([A-Z]+)\$[0-9]+"))),_xlfn.REGEXEXTRACT(CELL("address",X291), "\$([A-Z]+)\$[0-9]+"))</f>
        <v/>
      </c>
      <c r="Y291" s="7" t="str" cm="1">
        <f t="array" aca="1" ref="Y291" ca="1">IFERROR(IF(OR('Raw Data'!Y291="",LEN(TRIM('Raw Data'!Y291))=0),"",IF(AND(ISNUMBER('Raw Data'!Y291), IFERROR('Raw Data'!Y291 = ROUND('Raw Data'!Y291, 2),FALSE)),"",_xlfn.REGEXEXTRACT(CELL("address",Y291), "\$([A-Z]+)\$[0-9]+"))),_xlfn.REGEXEXTRACT(CELL("address",Y291), "\$([A-Z]+)\$[0-9]+"))</f>
        <v/>
      </c>
      <c r="Z291" s="7" t="str" cm="1">
        <f t="array" aca="1" ref="Z291" ca="1">IFERROR(IF(OR('Raw Data'!Z291="",LEN(TRIM('Raw Data'!Z291))=0),"",IF(AND(ISNUMBER('Raw Data'!Z291), IFERROR('Raw Data'!Z291 = ROUND('Raw Data'!Z291, 2),FALSE)),"",_xlfn.REGEXEXTRACT(CELL("address",Z291), "\$([A-Z]+)\$[0-9]+"))),_xlfn.REGEXEXTRACT(CELL("address",Z291), "\$([A-Z]+)\$[0-9]+"))</f>
        <v/>
      </c>
      <c r="AA291" s="7" t="str" cm="1">
        <f t="array" aca="1" ref="AA291" ca="1">IFERROR(IF(OR('Raw Data'!AA291="",LEN(TRIM('Raw Data'!AA291))=0),"",IF(AND(ISNUMBER('Raw Data'!AA291), IFERROR('Raw Data'!AA291 = ROUND('Raw Data'!AA291, 2),FALSE)),"",_xlfn.REGEXEXTRACT(CELL("address",AA291), "\$([A-Z]+)\$[0-9]+"))),_xlfn.REGEXEXTRACT(CELL("address",AA291), "\$([A-Z]+)\$[0-9]+"))</f>
        <v/>
      </c>
      <c r="AB291" s="7" t="str" cm="1">
        <f t="array" aca="1" ref="AB291" ca="1">IFERROR(IF(OR('Raw Data'!AB291="",LEN(TRIM('Raw Data'!AB291))=0),"",IF(AND(ISNUMBER('Raw Data'!AB291), IFERROR('Raw Data'!AB291 = ROUND('Raw Data'!AB291, 2),FALSE)),"",_xlfn.REGEXEXTRACT(CELL("address",AB291), "\$([A-Z]+)\$[0-9]+"))),_xlfn.REGEXEXTRACT(CELL("address",AB291), "\$([A-Z]+)\$[0-9]+"))</f>
        <v/>
      </c>
    </row>
    <row r="292" spans="2:28" x14ac:dyDescent="0.25">
      <c r="B292" s="7" t="str" cm="1">
        <f t="array" aca="1" ref="B292" ca="1">IFERROR(IF(OR('Raw Data'!B292="",LEN(TRIM('Raw Data'!B292))=0),"",IF(AND(LEN('Raw Data'!B292) &lt;= 255,LEN('Raw Data'!B292)&gt; 0),"",_xlfn.REGEXEXTRACT(CELL("address",'Raw Data'!B292),"\$([A-Z]+)\$[0-9]+"))),_xlfn.REGEXEXTRACT(CELL("address",'Raw Data'!B292),"\$([A-Z]+)\$[0-9]+"))</f>
        <v/>
      </c>
      <c r="C292" s="7" t="str" cm="1">
        <f t="array" aca="1" ref="C292" ca="1">IFERROR(IF(OR('Raw Data'!C292="",LEN(TRIM('Raw Data'!C292))=0),"",IF(AND(LEN('Raw Data'!C292) &lt;= 20,LEN('Raw Data'!C292)&gt; 0),"",_xlfn.REGEXEXTRACT(CELL("address",'Raw Data'!C292),"\$([A-Z]+)\$[0-9]+"))),_xlfn.REGEXEXTRACT(CELL("address",'Raw Data'!C292),"\$([A-Z]+)\$[0-9]+"))</f>
        <v/>
      </c>
      <c r="D292" s="7" t="str" cm="1">
        <f t="array" aca="1" ref="D292" ca="1">IFERROR(IF(OR('Raw Data'!D292="",LEN(TRIM('Raw Data'!D292))=0),"",IF(AND(ISNUMBER('Raw Data'!D292),'Raw Data'!D292&gt;=Configuration!$D$2),"",_xlfn.REGEXEXTRACT(CELL("address",'Raw Data'!D292),"\$([A-Z]+)\$[0-9]+"))),_xlfn.REGEXEXTRACT(CELL("address",D292), "\$([A-Z]+)\$[0-9]+"))</f>
        <v/>
      </c>
      <c r="E292" s="7" t="str" cm="1">
        <f t="array" aca="1" ref="E292" ca="1">IFERROR(IF(OR('Raw Data'!E292="",LEN(TRIM('Raw Data'!E292))=0),"",IF(AND(ISNUMBER('Raw Data'!E292), IFERROR('Raw Data'!E292 = ROUND('Raw Data'!E292, 2),FALSE)),"",_xlfn.REGEXEXTRACT(CELL("address",E292), "\$([A-Z]+)\$[0-9]+"))),_xlfn.REGEXEXTRACT(CELL("address",E292), "\$([A-Z]+)\$[0-9]+"))</f>
        <v/>
      </c>
      <c r="F292" s="7" t="str" cm="1">
        <f t="array" aca="1" ref="F292" ca="1">IFERROR(IF(OR('Raw Data'!F292="",LEN(TRIM('Raw Data'!F292))=0),"",IF(AND(ISNUMBER('Raw Data'!F292), IFERROR('Raw Data'!F292 = ROUND('Raw Data'!F292, 2),FALSE)),"",_xlfn.REGEXEXTRACT(CELL("address",F292), "\$([A-Z]+)\$[0-9]+"))),_xlfn.REGEXEXTRACT(CELL("address",F292), "\$([A-Z]+)\$[0-9]+"))</f>
        <v/>
      </c>
      <c r="G292" s="7" t="str" cm="1">
        <f t="array" aca="1" ref="G292" ca="1">IFERROR(IF(OR('Raw Data'!G292="",LEN(TRIM('Raw Data'!G292))=0),"",IF(AND(ISNUMBER('Raw Data'!G292), IFERROR('Raw Data'!G292 = ROUND('Raw Data'!G292, 2),FALSE)),"",_xlfn.REGEXEXTRACT(CELL("address",G292), "\$([A-Z]+)\$[0-9]+"))),_xlfn.REGEXEXTRACT(CELL("address",G292), "\$([A-Z]+)\$[0-9]+"))</f>
        <v/>
      </c>
      <c r="H292" s="7" t="str" cm="1">
        <f t="array" aca="1" ref="H292" ca="1">IFERROR(IF(OR('Raw Data'!H292="",LEN(TRIM('Raw Data'!H292))=0),"",IF(AND(ISNUMBER('Raw Data'!H292), IFERROR('Raw Data'!H292 = ROUND('Raw Data'!H292, 2),FALSE)),"",_xlfn.REGEXEXTRACT(CELL("address",H292), "\$([A-Z]+)\$[0-9]+"))),_xlfn.REGEXEXTRACT(CELL("address",H292), "\$([A-Z]+)\$[0-9]+"))</f>
        <v/>
      </c>
      <c r="I292" s="7" t="str" cm="1">
        <f t="array" aca="1" ref="I292" ca="1">IFERROR(IF(OR('Raw Data'!I292="",LEN(TRIM('Raw Data'!I292))=0),"",IF(AND(ISNUMBER('Raw Data'!I292), IFERROR('Raw Data'!I292 = ROUND('Raw Data'!I292, 2),FALSE)),"",_xlfn.REGEXEXTRACT(CELL("address",I292), "\$([A-Z]+)\$[0-9]+"))),_xlfn.REGEXEXTRACT(CELL("address",I292), "\$([A-Z]+)\$[0-9]+"))</f>
        <v/>
      </c>
      <c r="J292" s="7" t="str" cm="1">
        <f t="array" aca="1" ref="J292" ca="1">IFERROR(IF(OR('Raw Data'!J292="",LEN(TRIM('Raw Data'!J292))=0),"",IF(AND(ISNUMBER('Raw Data'!J292), IFERROR('Raw Data'!J292 = ROUND('Raw Data'!J292, 2),FALSE)),"",_xlfn.REGEXEXTRACT(CELL("address",J292), "\$([A-Z]+)\$[0-9]+"))),_xlfn.REGEXEXTRACT(CELL("address",J292), "\$([A-Z]+)\$[0-9]+"))</f>
        <v/>
      </c>
      <c r="K292" s="7" t="str" cm="1">
        <f t="array" aca="1" ref="K292" ca="1">IFERROR(IF(OR('Raw Data'!K292="",LEN(TRIM('Raw Data'!K292))=0),"",IF(AND(ISNUMBER('Raw Data'!K292), IFERROR('Raw Data'!K292 = ROUND('Raw Data'!K292, 2),FALSE)),"",_xlfn.REGEXEXTRACT(CELL("address",K292), "\$([A-Z]+)\$[0-9]+"))),_xlfn.REGEXEXTRACT(CELL("address",K292), "\$([A-Z]+)\$[0-9]+"))</f>
        <v/>
      </c>
      <c r="L292" s="7" t="str" cm="1">
        <f t="array" aca="1" ref="L292" ca="1">IFERROR(IF(OR('Raw Data'!L292="",LEN(TRIM('Raw Data'!L292))=0),"",IF(AND(ISNUMBER('Raw Data'!L292), IFERROR('Raw Data'!L292 = ROUND('Raw Data'!L292, 2),FALSE)),"",_xlfn.REGEXEXTRACT(CELL("address",L292), "\$([A-Z]+)\$[0-9]+"))),_xlfn.REGEXEXTRACT(CELL("address",L292), "\$([A-Z]+)\$[0-9]+"))</f>
        <v/>
      </c>
      <c r="M292" s="7" t="str" cm="1">
        <f t="array" aca="1" ref="M292" ca="1">IFERROR(IF(OR('Raw Data'!M292="",LEN(TRIM('Raw Data'!M292))=0),"",IF(AND(ISNUMBER('Raw Data'!M292), IFERROR('Raw Data'!M292 = ROUND('Raw Data'!M292, 2),FALSE)),"",_xlfn.REGEXEXTRACT(CELL("address",M292), "\$([A-Z]+)\$[0-9]+"))),_xlfn.REGEXEXTRACT(CELL("address",M292), "\$([A-Z]+)\$[0-9]+"))</f>
        <v/>
      </c>
      <c r="N292" s="7" t="str" cm="1">
        <f t="array" aca="1" ref="N292" ca="1">IFERROR(IF(OR('Raw Data'!N292="",LEN(TRIM('Raw Data'!N292))=0),"",IF(AND(ISNUMBER('Raw Data'!N292), IFERROR('Raw Data'!N292 = ROUND('Raw Data'!N292, 2),FALSE)),"",_xlfn.REGEXEXTRACT(CELL("address",N292), "\$([A-Z]+)\$[0-9]+"))),_xlfn.REGEXEXTRACT(CELL("address",N292), "\$([A-Z]+)\$[0-9]+"))</f>
        <v/>
      </c>
      <c r="O292" s="7" t="str" cm="1">
        <f t="array" aca="1" ref="O292" ca="1">IFERROR(IF(OR('Raw Data'!O292="",LEN(TRIM('Raw Data'!O292))=0),"",IF(AND(ISNUMBER('Raw Data'!O292), IFERROR('Raw Data'!O292 = ROUND('Raw Data'!O292, 2),FALSE)),"",_xlfn.REGEXEXTRACT(CELL("address",O292), "\$([A-Z]+)\$[0-9]+"))),_xlfn.REGEXEXTRACT(CELL("address",O292), "\$([A-Z]+)\$[0-9]+"))</f>
        <v/>
      </c>
      <c r="P292" s="7" t="str" cm="1">
        <f t="array" aca="1" ref="P292" ca="1">IFERROR(IF(OR('Raw Data'!P292="",LEN(TRIM('Raw Data'!P292))=0),"",IF(AND(ISNUMBER('Raw Data'!P292), IFERROR('Raw Data'!P292 = ROUND('Raw Data'!P292, 2),FALSE)),"",_xlfn.REGEXEXTRACT(CELL("address",P292), "\$([A-Z]+)\$[0-9]+"))),_xlfn.REGEXEXTRACT(CELL("address",P292), "\$([A-Z]+)\$[0-9]+"))</f>
        <v/>
      </c>
      <c r="Q292" s="7" t="str" cm="1">
        <f t="array" aca="1" ref="Q292" ca="1">IFERROR(IF(OR('Raw Data'!Q292="",LEN(TRIM('Raw Data'!Q292))=0),"",IF(AND(ISNUMBER('Raw Data'!Q292), IFERROR('Raw Data'!Q292 = ROUND('Raw Data'!Q292, 2),FALSE)),"",_xlfn.REGEXEXTRACT(CELL("address",Q292), "\$([A-Z]+)\$[0-9]+"))),_xlfn.REGEXEXTRACT(CELL("address",Q292), "\$([A-Z]+)\$[0-9]+"))</f>
        <v/>
      </c>
      <c r="R292" s="7" t="str" cm="1">
        <f t="array" aca="1" ref="R292" ca="1">IFERROR(IF(OR('Raw Data'!R292="",LEN(TRIM('Raw Data'!R292))=0),"",IF(AND(ISNUMBER('Raw Data'!R292), IFERROR('Raw Data'!R292 = ROUND('Raw Data'!R292, 2),FALSE)),"",_xlfn.REGEXEXTRACT(CELL("address",R292), "\$([A-Z]+)\$[0-9]+"))),_xlfn.REGEXEXTRACT(CELL("address",R292), "\$([A-Z]+)\$[0-9]+"))</f>
        <v/>
      </c>
      <c r="S292" s="7" t="str" cm="1">
        <f t="array" aca="1" ref="S292" ca="1">IFERROR(IF(OR('Raw Data'!S292="",LEN(TRIM('Raw Data'!S292))=0),"",IF(AND(ISNUMBER('Raw Data'!S292), IFERROR('Raw Data'!S292 = ROUND('Raw Data'!S292, 2),FALSE)),"",_xlfn.REGEXEXTRACT(CELL("address",S292), "\$([A-Z]+)\$[0-9]+"))),_xlfn.REGEXEXTRACT(CELL("address",S292), "\$([A-Z]+)\$[0-9]+"))</f>
        <v/>
      </c>
      <c r="T292" s="7" t="str" cm="1">
        <f t="array" aca="1" ref="T292" ca="1">IFERROR(IF(OR('Raw Data'!T292="",LEN(TRIM('Raw Data'!T292))=0),"",IF(AND(ISNUMBER('Raw Data'!T292), IFERROR('Raw Data'!T292 = ROUND('Raw Data'!T292, 2),FALSE)),"",_xlfn.REGEXEXTRACT(CELL("address",T292), "\$([A-Z]+)\$[0-9]+"))),_xlfn.REGEXEXTRACT(CELL("address",T292), "\$([A-Z]+)\$[0-9]+"))</f>
        <v/>
      </c>
      <c r="U292" s="7" t="str" cm="1">
        <f t="array" aca="1" ref="U292" ca="1">IFERROR(IF(OR('Raw Data'!U292="",LEN(TRIM('Raw Data'!U292))=0),"",IF(AND(ISNUMBER('Raw Data'!U292), IFERROR('Raw Data'!U292 = ROUND('Raw Data'!U292, 2),FALSE)),"",_xlfn.REGEXEXTRACT(CELL("address",U292), "\$([A-Z]+)\$[0-9]+"))),_xlfn.REGEXEXTRACT(CELL("address",U292), "\$([A-Z]+)\$[0-9]+"))</f>
        <v/>
      </c>
      <c r="V292" s="7" t="str" cm="1">
        <f t="array" aca="1" ref="V292" ca="1">IFERROR(IF(OR('Raw Data'!V292="",LEN(TRIM('Raw Data'!V292))=0),"",IF(AND(ISNUMBER('Raw Data'!V292), IFERROR('Raw Data'!V292 = ROUND('Raw Data'!V292, 2),FALSE)),"",_xlfn.REGEXEXTRACT(CELL("address",V292), "\$([A-Z]+)\$[0-9]+"))),_xlfn.REGEXEXTRACT(CELL("address",V292), "\$([A-Z]+)\$[0-9]+"))</f>
        <v/>
      </c>
      <c r="W292" s="7" t="str" cm="1">
        <f t="array" aca="1" ref="W292" ca="1">IFERROR(IF(OR('Raw Data'!W292="",LEN(TRIM('Raw Data'!W292))=0),"",IF(AND(ISNUMBER('Raw Data'!W292), IFERROR('Raw Data'!W292 = ROUND('Raw Data'!W292, 2),FALSE)),"",_xlfn.REGEXEXTRACT(CELL("address",W292), "\$([A-Z]+)\$[0-9]+"))),_xlfn.REGEXEXTRACT(CELL("address",W292), "\$([A-Z]+)\$[0-9]+"))</f>
        <v/>
      </c>
      <c r="X292" s="7" t="str" cm="1">
        <f t="array" aca="1" ref="X292" ca="1">IFERROR(IF(OR('Raw Data'!X292="",LEN(TRIM('Raw Data'!X292))=0),"",IF(AND(ISNUMBER('Raw Data'!X292), IFERROR('Raw Data'!X292 = ROUND('Raw Data'!X292, 2),FALSE)),"",_xlfn.REGEXEXTRACT(CELL("address",X292), "\$([A-Z]+)\$[0-9]+"))),_xlfn.REGEXEXTRACT(CELL("address",X292), "\$([A-Z]+)\$[0-9]+"))</f>
        <v/>
      </c>
      <c r="Y292" s="7" t="str" cm="1">
        <f t="array" aca="1" ref="Y292" ca="1">IFERROR(IF(OR('Raw Data'!Y292="",LEN(TRIM('Raw Data'!Y292))=0),"",IF(AND(ISNUMBER('Raw Data'!Y292), IFERROR('Raw Data'!Y292 = ROUND('Raw Data'!Y292, 2),FALSE)),"",_xlfn.REGEXEXTRACT(CELL("address",Y292), "\$([A-Z]+)\$[0-9]+"))),_xlfn.REGEXEXTRACT(CELL("address",Y292), "\$([A-Z]+)\$[0-9]+"))</f>
        <v/>
      </c>
      <c r="Z292" s="7" t="str" cm="1">
        <f t="array" aca="1" ref="Z292" ca="1">IFERROR(IF(OR('Raw Data'!Z292="",LEN(TRIM('Raw Data'!Z292))=0),"",IF(AND(ISNUMBER('Raw Data'!Z292), IFERROR('Raw Data'!Z292 = ROUND('Raw Data'!Z292, 2),FALSE)),"",_xlfn.REGEXEXTRACT(CELL("address",Z292), "\$([A-Z]+)\$[0-9]+"))),_xlfn.REGEXEXTRACT(CELL("address",Z292), "\$([A-Z]+)\$[0-9]+"))</f>
        <v/>
      </c>
      <c r="AA292" s="7" t="str" cm="1">
        <f t="array" aca="1" ref="AA292" ca="1">IFERROR(IF(OR('Raw Data'!AA292="",LEN(TRIM('Raw Data'!AA292))=0),"",IF(AND(ISNUMBER('Raw Data'!AA292), IFERROR('Raw Data'!AA292 = ROUND('Raw Data'!AA292, 2),FALSE)),"",_xlfn.REGEXEXTRACT(CELL("address",AA292), "\$([A-Z]+)\$[0-9]+"))),_xlfn.REGEXEXTRACT(CELL("address",AA292), "\$([A-Z]+)\$[0-9]+"))</f>
        <v/>
      </c>
      <c r="AB292" s="7" t="str" cm="1">
        <f t="array" aca="1" ref="AB292" ca="1">IFERROR(IF(OR('Raw Data'!AB292="",LEN(TRIM('Raw Data'!AB292))=0),"",IF(AND(ISNUMBER('Raw Data'!AB292), IFERROR('Raw Data'!AB292 = ROUND('Raw Data'!AB292, 2),FALSE)),"",_xlfn.REGEXEXTRACT(CELL("address",AB292), "\$([A-Z]+)\$[0-9]+"))),_xlfn.REGEXEXTRACT(CELL("address",AB292), "\$([A-Z]+)\$[0-9]+"))</f>
        <v/>
      </c>
    </row>
    <row r="293" spans="2:28" x14ac:dyDescent="0.25">
      <c r="B293" s="7" t="str" cm="1">
        <f t="array" aca="1" ref="B293" ca="1">IFERROR(IF(OR('Raw Data'!B293="",LEN(TRIM('Raw Data'!B293))=0),"",IF(AND(LEN('Raw Data'!B293) &lt;= 255,LEN('Raw Data'!B293)&gt; 0),"",_xlfn.REGEXEXTRACT(CELL("address",'Raw Data'!B293),"\$([A-Z]+)\$[0-9]+"))),_xlfn.REGEXEXTRACT(CELL("address",'Raw Data'!B293),"\$([A-Z]+)\$[0-9]+"))</f>
        <v/>
      </c>
      <c r="C293" s="7" t="str" cm="1">
        <f t="array" aca="1" ref="C293" ca="1">IFERROR(IF(OR('Raw Data'!C293="",LEN(TRIM('Raw Data'!C293))=0),"",IF(AND(LEN('Raw Data'!C293) &lt;= 20,LEN('Raw Data'!C293)&gt; 0),"",_xlfn.REGEXEXTRACT(CELL("address",'Raw Data'!C293),"\$([A-Z]+)\$[0-9]+"))),_xlfn.REGEXEXTRACT(CELL("address",'Raw Data'!C293),"\$([A-Z]+)\$[0-9]+"))</f>
        <v/>
      </c>
      <c r="D293" s="7" t="str" cm="1">
        <f t="array" aca="1" ref="D293" ca="1">IFERROR(IF(OR('Raw Data'!D293="",LEN(TRIM('Raw Data'!D293))=0),"",IF(AND(ISNUMBER('Raw Data'!D293),'Raw Data'!D293&gt;=Configuration!$D$2),"",_xlfn.REGEXEXTRACT(CELL("address",'Raw Data'!D293),"\$([A-Z]+)\$[0-9]+"))),_xlfn.REGEXEXTRACT(CELL("address",D293), "\$([A-Z]+)\$[0-9]+"))</f>
        <v/>
      </c>
      <c r="E293" s="7" t="str" cm="1">
        <f t="array" aca="1" ref="E293" ca="1">IFERROR(IF(OR('Raw Data'!E293="",LEN(TRIM('Raw Data'!E293))=0),"",IF(AND(ISNUMBER('Raw Data'!E293), IFERROR('Raw Data'!E293 = ROUND('Raw Data'!E293, 2),FALSE)),"",_xlfn.REGEXEXTRACT(CELL("address",E293), "\$([A-Z]+)\$[0-9]+"))),_xlfn.REGEXEXTRACT(CELL("address",E293), "\$([A-Z]+)\$[0-9]+"))</f>
        <v/>
      </c>
      <c r="F293" s="7" t="str" cm="1">
        <f t="array" aca="1" ref="F293" ca="1">IFERROR(IF(OR('Raw Data'!F293="",LEN(TRIM('Raw Data'!F293))=0),"",IF(AND(ISNUMBER('Raw Data'!F293), IFERROR('Raw Data'!F293 = ROUND('Raw Data'!F293, 2),FALSE)),"",_xlfn.REGEXEXTRACT(CELL("address",F293), "\$([A-Z]+)\$[0-9]+"))),_xlfn.REGEXEXTRACT(CELL("address",F293), "\$([A-Z]+)\$[0-9]+"))</f>
        <v/>
      </c>
      <c r="G293" s="7" t="str" cm="1">
        <f t="array" aca="1" ref="G293" ca="1">IFERROR(IF(OR('Raw Data'!G293="",LEN(TRIM('Raw Data'!G293))=0),"",IF(AND(ISNUMBER('Raw Data'!G293), IFERROR('Raw Data'!G293 = ROUND('Raw Data'!G293, 2),FALSE)),"",_xlfn.REGEXEXTRACT(CELL("address",G293), "\$([A-Z]+)\$[0-9]+"))),_xlfn.REGEXEXTRACT(CELL("address",G293), "\$([A-Z]+)\$[0-9]+"))</f>
        <v/>
      </c>
      <c r="H293" s="7" t="str" cm="1">
        <f t="array" aca="1" ref="H293" ca="1">IFERROR(IF(OR('Raw Data'!H293="",LEN(TRIM('Raw Data'!H293))=0),"",IF(AND(ISNUMBER('Raw Data'!H293), IFERROR('Raw Data'!H293 = ROUND('Raw Data'!H293, 2),FALSE)),"",_xlfn.REGEXEXTRACT(CELL("address",H293), "\$([A-Z]+)\$[0-9]+"))),_xlfn.REGEXEXTRACT(CELL("address",H293), "\$([A-Z]+)\$[0-9]+"))</f>
        <v/>
      </c>
      <c r="I293" s="7" t="str" cm="1">
        <f t="array" aca="1" ref="I293" ca="1">IFERROR(IF(OR('Raw Data'!I293="",LEN(TRIM('Raw Data'!I293))=0),"",IF(AND(ISNUMBER('Raw Data'!I293), IFERROR('Raw Data'!I293 = ROUND('Raw Data'!I293, 2),FALSE)),"",_xlfn.REGEXEXTRACT(CELL("address",I293), "\$([A-Z]+)\$[0-9]+"))),_xlfn.REGEXEXTRACT(CELL("address",I293), "\$([A-Z]+)\$[0-9]+"))</f>
        <v/>
      </c>
      <c r="J293" s="7" t="str" cm="1">
        <f t="array" aca="1" ref="J293" ca="1">IFERROR(IF(OR('Raw Data'!J293="",LEN(TRIM('Raw Data'!J293))=0),"",IF(AND(ISNUMBER('Raw Data'!J293), IFERROR('Raw Data'!J293 = ROUND('Raw Data'!J293, 2),FALSE)),"",_xlfn.REGEXEXTRACT(CELL("address",J293), "\$([A-Z]+)\$[0-9]+"))),_xlfn.REGEXEXTRACT(CELL("address",J293), "\$([A-Z]+)\$[0-9]+"))</f>
        <v/>
      </c>
      <c r="K293" s="7" t="str" cm="1">
        <f t="array" aca="1" ref="K293" ca="1">IFERROR(IF(OR('Raw Data'!K293="",LEN(TRIM('Raw Data'!K293))=0),"",IF(AND(ISNUMBER('Raw Data'!K293), IFERROR('Raw Data'!K293 = ROUND('Raw Data'!K293, 2),FALSE)),"",_xlfn.REGEXEXTRACT(CELL("address",K293), "\$([A-Z]+)\$[0-9]+"))),_xlfn.REGEXEXTRACT(CELL("address",K293), "\$([A-Z]+)\$[0-9]+"))</f>
        <v/>
      </c>
      <c r="L293" s="7" t="str" cm="1">
        <f t="array" aca="1" ref="L293" ca="1">IFERROR(IF(OR('Raw Data'!L293="",LEN(TRIM('Raw Data'!L293))=0),"",IF(AND(ISNUMBER('Raw Data'!L293), IFERROR('Raw Data'!L293 = ROUND('Raw Data'!L293, 2),FALSE)),"",_xlfn.REGEXEXTRACT(CELL("address",L293), "\$([A-Z]+)\$[0-9]+"))),_xlfn.REGEXEXTRACT(CELL("address",L293), "\$([A-Z]+)\$[0-9]+"))</f>
        <v/>
      </c>
      <c r="M293" s="7" t="str" cm="1">
        <f t="array" aca="1" ref="M293" ca="1">IFERROR(IF(OR('Raw Data'!M293="",LEN(TRIM('Raw Data'!M293))=0),"",IF(AND(ISNUMBER('Raw Data'!M293), IFERROR('Raw Data'!M293 = ROUND('Raw Data'!M293, 2),FALSE)),"",_xlfn.REGEXEXTRACT(CELL("address",M293), "\$([A-Z]+)\$[0-9]+"))),_xlfn.REGEXEXTRACT(CELL("address",M293), "\$([A-Z]+)\$[0-9]+"))</f>
        <v/>
      </c>
      <c r="N293" s="7" t="str" cm="1">
        <f t="array" aca="1" ref="N293" ca="1">IFERROR(IF(OR('Raw Data'!N293="",LEN(TRIM('Raw Data'!N293))=0),"",IF(AND(ISNUMBER('Raw Data'!N293), IFERROR('Raw Data'!N293 = ROUND('Raw Data'!N293, 2),FALSE)),"",_xlfn.REGEXEXTRACT(CELL("address",N293), "\$([A-Z]+)\$[0-9]+"))),_xlfn.REGEXEXTRACT(CELL("address",N293), "\$([A-Z]+)\$[0-9]+"))</f>
        <v/>
      </c>
      <c r="O293" s="7" t="str" cm="1">
        <f t="array" aca="1" ref="O293" ca="1">IFERROR(IF(OR('Raw Data'!O293="",LEN(TRIM('Raw Data'!O293))=0),"",IF(AND(ISNUMBER('Raw Data'!O293), IFERROR('Raw Data'!O293 = ROUND('Raw Data'!O293, 2),FALSE)),"",_xlfn.REGEXEXTRACT(CELL("address",O293), "\$([A-Z]+)\$[0-9]+"))),_xlfn.REGEXEXTRACT(CELL("address",O293), "\$([A-Z]+)\$[0-9]+"))</f>
        <v/>
      </c>
      <c r="P293" s="7" t="str" cm="1">
        <f t="array" aca="1" ref="P293" ca="1">IFERROR(IF(OR('Raw Data'!P293="",LEN(TRIM('Raw Data'!P293))=0),"",IF(AND(ISNUMBER('Raw Data'!P293), IFERROR('Raw Data'!P293 = ROUND('Raw Data'!P293, 2),FALSE)),"",_xlfn.REGEXEXTRACT(CELL("address",P293), "\$([A-Z]+)\$[0-9]+"))),_xlfn.REGEXEXTRACT(CELL("address",P293), "\$([A-Z]+)\$[0-9]+"))</f>
        <v/>
      </c>
      <c r="Q293" s="7" t="str" cm="1">
        <f t="array" aca="1" ref="Q293" ca="1">IFERROR(IF(OR('Raw Data'!Q293="",LEN(TRIM('Raw Data'!Q293))=0),"",IF(AND(ISNUMBER('Raw Data'!Q293), IFERROR('Raw Data'!Q293 = ROUND('Raw Data'!Q293, 2),FALSE)),"",_xlfn.REGEXEXTRACT(CELL("address",Q293), "\$([A-Z]+)\$[0-9]+"))),_xlfn.REGEXEXTRACT(CELL("address",Q293), "\$([A-Z]+)\$[0-9]+"))</f>
        <v/>
      </c>
      <c r="R293" s="7" t="str" cm="1">
        <f t="array" aca="1" ref="R293" ca="1">IFERROR(IF(OR('Raw Data'!R293="",LEN(TRIM('Raw Data'!R293))=0),"",IF(AND(ISNUMBER('Raw Data'!R293), IFERROR('Raw Data'!R293 = ROUND('Raw Data'!R293, 2),FALSE)),"",_xlfn.REGEXEXTRACT(CELL("address",R293), "\$([A-Z]+)\$[0-9]+"))),_xlfn.REGEXEXTRACT(CELL("address",R293), "\$([A-Z]+)\$[0-9]+"))</f>
        <v/>
      </c>
      <c r="S293" s="7" t="str" cm="1">
        <f t="array" aca="1" ref="S293" ca="1">IFERROR(IF(OR('Raw Data'!S293="",LEN(TRIM('Raw Data'!S293))=0),"",IF(AND(ISNUMBER('Raw Data'!S293), IFERROR('Raw Data'!S293 = ROUND('Raw Data'!S293, 2),FALSE)),"",_xlfn.REGEXEXTRACT(CELL("address",S293), "\$([A-Z]+)\$[0-9]+"))),_xlfn.REGEXEXTRACT(CELL("address",S293), "\$([A-Z]+)\$[0-9]+"))</f>
        <v/>
      </c>
      <c r="T293" s="7" t="str" cm="1">
        <f t="array" aca="1" ref="T293" ca="1">IFERROR(IF(OR('Raw Data'!T293="",LEN(TRIM('Raw Data'!T293))=0),"",IF(AND(ISNUMBER('Raw Data'!T293), IFERROR('Raw Data'!T293 = ROUND('Raw Data'!T293, 2),FALSE)),"",_xlfn.REGEXEXTRACT(CELL("address",T293), "\$([A-Z]+)\$[0-9]+"))),_xlfn.REGEXEXTRACT(CELL("address",T293), "\$([A-Z]+)\$[0-9]+"))</f>
        <v/>
      </c>
      <c r="U293" s="7" t="str" cm="1">
        <f t="array" aca="1" ref="U293" ca="1">IFERROR(IF(OR('Raw Data'!U293="",LEN(TRIM('Raw Data'!U293))=0),"",IF(AND(ISNUMBER('Raw Data'!U293), IFERROR('Raw Data'!U293 = ROUND('Raw Data'!U293, 2),FALSE)),"",_xlfn.REGEXEXTRACT(CELL("address",U293), "\$([A-Z]+)\$[0-9]+"))),_xlfn.REGEXEXTRACT(CELL("address",U293), "\$([A-Z]+)\$[0-9]+"))</f>
        <v/>
      </c>
      <c r="V293" s="7" t="str" cm="1">
        <f t="array" aca="1" ref="V293" ca="1">IFERROR(IF(OR('Raw Data'!V293="",LEN(TRIM('Raw Data'!V293))=0),"",IF(AND(ISNUMBER('Raw Data'!V293), IFERROR('Raw Data'!V293 = ROUND('Raw Data'!V293, 2),FALSE)),"",_xlfn.REGEXEXTRACT(CELL("address",V293), "\$([A-Z]+)\$[0-9]+"))),_xlfn.REGEXEXTRACT(CELL("address",V293), "\$([A-Z]+)\$[0-9]+"))</f>
        <v/>
      </c>
      <c r="W293" s="7" t="str" cm="1">
        <f t="array" aca="1" ref="W293" ca="1">IFERROR(IF(OR('Raw Data'!W293="",LEN(TRIM('Raw Data'!W293))=0),"",IF(AND(ISNUMBER('Raw Data'!W293), IFERROR('Raw Data'!W293 = ROUND('Raw Data'!W293, 2),FALSE)),"",_xlfn.REGEXEXTRACT(CELL("address",W293), "\$([A-Z]+)\$[0-9]+"))),_xlfn.REGEXEXTRACT(CELL("address",W293), "\$([A-Z]+)\$[0-9]+"))</f>
        <v/>
      </c>
      <c r="X293" s="7" t="str" cm="1">
        <f t="array" aca="1" ref="X293" ca="1">IFERROR(IF(OR('Raw Data'!X293="",LEN(TRIM('Raw Data'!X293))=0),"",IF(AND(ISNUMBER('Raw Data'!X293), IFERROR('Raw Data'!X293 = ROUND('Raw Data'!X293, 2),FALSE)),"",_xlfn.REGEXEXTRACT(CELL("address",X293), "\$([A-Z]+)\$[0-9]+"))),_xlfn.REGEXEXTRACT(CELL("address",X293), "\$([A-Z]+)\$[0-9]+"))</f>
        <v/>
      </c>
      <c r="Y293" s="7" t="str" cm="1">
        <f t="array" aca="1" ref="Y293" ca="1">IFERROR(IF(OR('Raw Data'!Y293="",LEN(TRIM('Raw Data'!Y293))=0),"",IF(AND(ISNUMBER('Raw Data'!Y293), IFERROR('Raw Data'!Y293 = ROUND('Raw Data'!Y293, 2),FALSE)),"",_xlfn.REGEXEXTRACT(CELL("address",Y293), "\$([A-Z]+)\$[0-9]+"))),_xlfn.REGEXEXTRACT(CELL("address",Y293), "\$([A-Z]+)\$[0-9]+"))</f>
        <v/>
      </c>
      <c r="Z293" s="7" t="str" cm="1">
        <f t="array" aca="1" ref="Z293" ca="1">IFERROR(IF(OR('Raw Data'!Z293="",LEN(TRIM('Raw Data'!Z293))=0),"",IF(AND(ISNUMBER('Raw Data'!Z293), IFERROR('Raw Data'!Z293 = ROUND('Raw Data'!Z293, 2),FALSE)),"",_xlfn.REGEXEXTRACT(CELL("address",Z293), "\$([A-Z]+)\$[0-9]+"))),_xlfn.REGEXEXTRACT(CELL("address",Z293), "\$([A-Z]+)\$[0-9]+"))</f>
        <v/>
      </c>
      <c r="AA293" s="7" t="str" cm="1">
        <f t="array" aca="1" ref="AA293" ca="1">IFERROR(IF(OR('Raw Data'!AA293="",LEN(TRIM('Raw Data'!AA293))=0),"",IF(AND(ISNUMBER('Raw Data'!AA293), IFERROR('Raw Data'!AA293 = ROUND('Raw Data'!AA293, 2),FALSE)),"",_xlfn.REGEXEXTRACT(CELL("address",AA293), "\$([A-Z]+)\$[0-9]+"))),_xlfn.REGEXEXTRACT(CELL("address",AA293), "\$([A-Z]+)\$[0-9]+"))</f>
        <v/>
      </c>
      <c r="AB293" s="7" t="str" cm="1">
        <f t="array" aca="1" ref="AB293" ca="1">IFERROR(IF(OR('Raw Data'!AB293="",LEN(TRIM('Raw Data'!AB293))=0),"",IF(AND(ISNUMBER('Raw Data'!AB293), IFERROR('Raw Data'!AB293 = ROUND('Raw Data'!AB293, 2),FALSE)),"",_xlfn.REGEXEXTRACT(CELL("address",AB293), "\$([A-Z]+)\$[0-9]+"))),_xlfn.REGEXEXTRACT(CELL("address",AB293), "\$([A-Z]+)\$[0-9]+"))</f>
        <v/>
      </c>
    </row>
    <row r="294" spans="2:28" x14ac:dyDescent="0.25">
      <c r="B294" s="7" t="str" cm="1">
        <f t="array" aca="1" ref="B294" ca="1">IFERROR(IF(OR('Raw Data'!B294="",LEN(TRIM('Raw Data'!B294))=0),"",IF(AND(LEN('Raw Data'!B294) &lt;= 255,LEN('Raw Data'!B294)&gt; 0),"",_xlfn.REGEXEXTRACT(CELL("address",'Raw Data'!B294),"\$([A-Z]+)\$[0-9]+"))),_xlfn.REGEXEXTRACT(CELL("address",'Raw Data'!B294),"\$([A-Z]+)\$[0-9]+"))</f>
        <v/>
      </c>
      <c r="C294" s="7" t="str" cm="1">
        <f t="array" aca="1" ref="C294" ca="1">IFERROR(IF(OR('Raw Data'!C294="",LEN(TRIM('Raw Data'!C294))=0),"",IF(AND(LEN('Raw Data'!C294) &lt;= 20,LEN('Raw Data'!C294)&gt; 0),"",_xlfn.REGEXEXTRACT(CELL("address",'Raw Data'!C294),"\$([A-Z]+)\$[0-9]+"))),_xlfn.REGEXEXTRACT(CELL("address",'Raw Data'!C294),"\$([A-Z]+)\$[0-9]+"))</f>
        <v/>
      </c>
      <c r="D294" s="7" t="str" cm="1">
        <f t="array" aca="1" ref="D294" ca="1">IFERROR(IF(OR('Raw Data'!D294="",LEN(TRIM('Raw Data'!D294))=0),"",IF(AND(ISNUMBER('Raw Data'!D294),'Raw Data'!D294&gt;=Configuration!$D$2),"",_xlfn.REGEXEXTRACT(CELL("address",'Raw Data'!D294),"\$([A-Z]+)\$[0-9]+"))),_xlfn.REGEXEXTRACT(CELL("address",D294), "\$([A-Z]+)\$[0-9]+"))</f>
        <v/>
      </c>
      <c r="E294" s="7" t="str" cm="1">
        <f t="array" aca="1" ref="E294" ca="1">IFERROR(IF(OR('Raw Data'!E294="",LEN(TRIM('Raw Data'!E294))=0),"",IF(AND(ISNUMBER('Raw Data'!E294), IFERROR('Raw Data'!E294 = ROUND('Raw Data'!E294, 2),FALSE)),"",_xlfn.REGEXEXTRACT(CELL("address",E294), "\$([A-Z]+)\$[0-9]+"))),_xlfn.REGEXEXTRACT(CELL("address",E294), "\$([A-Z]+)\$[0-9]+"))</f>
        <v/>
      </c>
      <c r="F294" s="7" t="str" cm="1">
        <f t="array" aca="1" ref="F294" ca="1">IFERROR(IF(OR('Raw Data'!F294="",LEN(TRIM('Raw Data'!F294))=0),"",IF(AND(ISNUMBER('Raw Data'!F294), IFERROR('Raw Data'!F294 = ROUND('Raw Data'!F294, 2),FALSE)),"",_xlfn.REGEXEXTRACT(CELL("address",F294), "\$([A-Z]+)\$[0-9]+"))),_xlfn.REGEXEXTRACT(CELL("address",F294), "\$([A-Z]+)\$[0-9]+"))</f>
        <v/>
      </c>
      <c r="G294" s="7" t="str" cm="1">
        <f t="array" aca="1" ref="G294" ca="1">IFERROR(IF(OR('Raw Data'!G294="",LEN(TRIM('Raw Data'!G294))=0),"",IF(AND(ISNUMBER('Raw Data'!G294), IFERROR('Raw Data'!G294 = ROUND('Raw Data'!G294, 2),FALSE)),"",_xlfn.REGEXEXTRACT(CELL("address",G294), "\$([A-Z]+)\$[0-9]+"))),_xlfn.REGEXEXTRACT(CELL("address",G294), "\$([A-Z]+)\$[0-9]+"))</f>
        <v/>
      </c>
      <c r="H294" s="7" t="str" cm="1">
        <f t="array" aca="1" ref="H294" ca="1">IFERROR(IF(OR('Raw Data'!H294="",LEN(TRIM('Raw Data'!H294))=0),"",IF(AND(ISNUMBER('Raw Data'!H294), IFERROR('Raw Data'!H294 = ROUND('Raw Data'!H294, 2),FALSE)),"",_xlfn.REGEXEXTRACT(CELL("address",H294), "\$([A-Z]+)\$[0-9]+"))),_xlfn.REGEXEXTRACT(CELL("address",H294), "\$([A-Z]+)\$[0-9]+"))</f>
        <v/>
      </c>
      <c r="I294" s="7" t="str" cm="1">
        <f t="array" aca="1" ref="I294" ca="1">IFERROR(IF(OR('Raw Data'!I294="",LEN(TRIM('Raw Data'!I294))=0),"",IF(AND(ISNUMBER('Raw Data'!I294), IFERROR('Raw Data'!I294 = ROUND('Raw Data'!I294, 2),FALSE)),"",_xlfn.REGEXEXTRACT(CELL("address",I294), "\$([A-Z]+)\$[0-9]+"))),_xlfn.REGEXEXTRACT(CELL("address",I294), "\$([A-Z]+)\$[0-9]+"))</f>
        <v/>
      </c>
      <c r="J294" s="7" t="str" cm="1">
        <f t="array" aca="1" ref="J294" ca="1">IFERROR(IF(OR('Raw Data'!J294="",LEN(TRIM('Raw Data'!J294))=0),"",IF(AND(ISNUMBER('Raw Data'!J294), IFERROR('Raw Data'!J294 = ROUND('Raw Data'!J294, 2),FALSE)),"",_xlfn.REGEXEXTRACT(CELL("address",J294), "\$([A-Z]+)\$[0-9]+"))),_xlfn.REGEXEXTRACT(CELL("address",J294), "\$([A-Z]+)\$[0-9]+"))</f>
        <v/>
      </c>
      <c r="K294" s="7" t="str" cm="1">
        <f t="array" aca="1" ref="K294" ca="1">IFERROR(IF(OR('Raw Data'!K294="",LEN(TRIM('Raw Data'!K294))=0),"",IF(AND(ISNUMBER('Raw Data'!K294), IFERROR('Raw Data'!K294 = ROUND('Raw Data'!K294, 2),FALSE)),"",_xlfn.REGEXEXTRACT(CELL("address",K294), "\$([A-Z]+)\$[0-9]+"))),_xlfn.REGEXEXTRACT(CELL("address",K294), "\$([A-Z]+)\$[0-9]+"))</f>
        <v/>
      </c>
      <c r="L294" s="7" t="str" cm="1">
        <f t="array" aca="1" ref="L294" ca="1">IFERROR(IF(OR('Raw Data'!L294="",LEN(TRIM('Raw Data'!L294))=0),"",IF(AND(ISNUMBER('Raw Data'!L294), IFERROR('Raw Data'!L294 = ROUND('Raw Data'!L294, 2),FALSE)),"",_xlfn.REGEXEXTRACT(CELL("address",L294), "\$([A-Z]+)\$[0-9]+"))),_xlfn.REGEXEXTRACT(CELL("address",L294), "\$([A-Z]+)\$[0-9]+"))</f>
        <v/>
      </c>
      <c r="M294" s="7" t="str" cm="1">
        <f t="array" aca="1" ref="M294" ca="1">IFERROR(IF(OR('Raw Data'!M294="",LEN(TRIM('Raw Data'!M294))=0),"",IF(AND(ISNUMBER('Raw Data'!M294), IFERROR('Raw Data'!M294 = ROUND('Raw Data'!M294, 2),FALSE)),"",_xlfn.REGEXEXTRACT(CELL("address",M294), "\$([A-Z]+)\$[0-9]+"))),_xlfn.REGEXEXTRACT(CELL("address",M294), "\$([A-Z]+)\$[0-9]+"))</f>
        <v/>
      </c>
      <c r="N294" s="7" t="str" cm="1">
        <f t="array" aca="1" ref="N294" ca="1">IFERROR(IF(OR('Raw Data'!N294="",LEN(TRIM('Raw Data'!N294))=0),"",IF(AND(ISNUMBER('Raw Data'!N294), IFERROR('Raw Data'!N294 = ROUND('Raw Data'!N294, 2),FALSE)),"",_xlfn.REGEXEXTRACT(CELL("address",N294), "\$([A-Z]+)\$[0-9]+"))),_xlfn.REGEXEXTRACT(CELL("address",N294), "\$([A-Z]+)\$[0-9]+"))</f>
        <v/>
      </c>
      <c r="O294" s="7" t="str" cm="1">
        <f t="array" aca="1" ref="O294" ca="1">IFERROR(IF(OR('Raw Data'!O294="",LEN(TRIM('Raw Data'!O294))=0),"",IF(AND(ISNUMBER('Raw Data'!O294), IFERROR('Raw Data'!O294 = ROUND('Raw Data'!O294, 2),FALSE)),"",_xlfn.REGEXEXTRACT(CELL("address",O294), "\$([A-Z]+)\$[0-9]+"))),_xlfn.REGEXEXTRACT(CELL("address",O294), "\$([A-Z]+)\$[0-9]+"))</f>
        <v/>
      </c>
      <c r="P294" s="7" t="str" cm="1">
        <f t="array" aca="1" ref="P294" ca="1">IFERROR(IF(OR('Raw Data'!P294="",LEN(TRIM('Raw Data'!P294))=0),"",IF(AND(ISNUMBER('Raw Data'!P294), IFERROR('Raw Data'!P294 = ROUND('Raw Data'!P294, 2),FALSE)),"",_xlfn.REGEXEXTRACT(CELL("address",P294), "\$([A-Z]+)\$[0-9]+"))),_xlfn.REGEXEXTRACT(CELL("address",P294), "\$([A-Z]+)\$[0-9]+"))</f>
        <v/>
      </c>
      <c r="Q294" s="7" t="str" cm="1">
        <f t="array" aca="1" ref="Q294" ca="1">IFERROR(IF(OR('Raw Data'!Q294="",LEN(TRIM('Raw Data'!Q294))=0),"",IF(AND(ISNUMBER('Raw Data'!Q294), IFERROR('Raw Data'!Q294 = ROUND('Raw Data'!Q294, 2),FALSE)),"",_xlfn.REGEXEXTRACT(CELL("address",Q294), "\$([A-Z]+)\$[0-9]+"))),_xlfn.REGEXEXTRACT(CELL("address",Q294), "\$([A-Z]+)\$[0-9]+"))</f>
        <v/>
      </c>
      <c r="R294" s="7" t="str" cm="1">
        <f t="array" aca="1" ref="R294" ca="1">IFERROR(IF(OR('Raw Data'!R294="",LEN(TRIM('Raw Data'!R294))=0),"",IF(AND(ISNUMBER('Raw Data'!R294), IFERROR('Raw Data'!R294 = ROUND('Raw Data'!R294, 2),FALSE)),"",_xlfn.REGEXEXTRACT(CELL("address",R294), "\$([A-Z]+)\$[0-9]+"))),_xlfn.REGEXEXTRACT(CELL("address",R294), "\$([A-Z]+)\$[0-9]+"))</f>
        <v/>
      </c>
      <c r="S294" s="7" t="str" cm="1">
        <f t="array" aca="1" ref="S294" ca="1">IFERROR(IF(OR('Raw Data'!S294="",LEN(TRIM('Raw Data'!S294))=0),"",IF(AND(ISNUMBER('Raw Data'!S294), IFERROR('Raw Data'!S294 = ROUND('Raw Data'!S294, 2),FALSE)),"",_xlfn.REGEXEXTRACT(CELL("address",S294), "\$([A-Z]+)\$[0-9]+"))),_xlfn.REGEXEXTRACT(CELL("address",S294), "\$([A-Z]+)\$[0-9]+"))</f>
        <v/>
      </c>
      <c r="T294" s="7" t="str" cm="1">
        <f t="array" aca="1" ref="T294" ca="1">IFERROR(IF(OR('Raw Data'!T294="",LEN(TRIM('Raw Data'!T294))=0),"",IF(AND(ISNUMBER('Raw Data'!T294), IFERROR('Raw Data'!T294 = ROUND('Raw Data'!T294, 2),FALSE)),"",_xlfn.REGEXEXTRACT(CELL("address",T294), "\$([A-Z]+)\$[0-9]+"))),_xlfn.REGEXEXTRACT(CELL("address",T294), "\$([A-Z]+)\$[0-9]+"))</f>
        <v/>
      </c>
      <c r="U294" s="7" t="str" cm="1">
        <f t="array" aca="1" ref="U294" ca="1">IFERROR(IF(OR('Raw Data'!U294="",LEN(TRIM('Raw Data'!U294))=0),"",IF(AND(ISNUMBER('Raw Data'!U294), IFERROR('Raw Data'!U294 = ROUND('Raw Data'!U294, 2),FALSE)),"",_xlfn.REGEXEXTRACT(CELL("address",U294), "\$([A-Z]+)\$[0-9]+"))),_xlfn.REGEXEXTRACT(CELL("address",U294), "\$([A-Z]+)\$[0-9]+"))</f>
        <v/>
      </c>
      <c r="V294" s="7" t="str" cm="1">
        <f t="array" aca="1" ref="V294" ca="1">IFERROR(IF(OR('Raw Data'!V294="",LEN(TRIM('Raw Data'!V294))=0),"",IF(AND(ISNUMBER('Raw Data'!V294), IFERROR('Raw Data'!V294 = ROUND('Raw Data'!V294, 2),FALSE)),"",_xlfn.REGEXEXTRACT(CELL("address",V294), "\$([A-Z]+)\$[0-9]+"))),_xlfn.REGEXEXTRACT(CELL("address",V294), "\$([A-Z]+)\$[0-9]+"))</f>
        <v/>
      </c>
      <c r="W294" s="7" t="str" cm="1">
        <f t="array" aca="1" ref="W294" ca="1">IFERROR(IF(OR('Raw Data'!W294="",LEN(TRIM('Raw Data'!W294))=0),"",IF(AND(ISNUMBER('Raw Data'!W294), IFERROR('Raw Data'!W294 = ROUND('Raw Data'!W294, 2),FALSE)),"",_xlfn.REGEXEXTRACT(CELL("address",W294), "\$([A-Z]+)\$[0-9]+"))),_xlfn.REGEXEXTRACT(CELL("address",W294), "\$([A-Z]+)\$[0-9]+"))</f>
        <v/>
      </c>
      <c r="X294" s="7" t="str" cm="1">
        <f t="array" aca="1" ref="X294" ca="1">IFERROR(IF(OR('Raw Data'!X294="",LEN(TRIM('Raw Data'!X294))=0),"",IF(AND(ISNUMBER('Raw Data'!X294), IFERROR('Raw Data'!X294 = ROUND('Raw Data'!X294, 2),FALSE)),"",_xlfn.REGEXEXTRACT(CELL("address",X294), "\$([A-Z]+)\$[0-9]+"))),_xlfn.REGEXEXTRACT(CELL("address",X294), "\$([A-Z]+)\$[0-9]+"))</f>
        <v/>
      </c>
      <c r="Y294" s="7" t="str" cm="1">
        <f t="array" aca="1" ref="Y294" ca="1">IFERROR(IF(OR('Raw Data'!Y294="",LEN(TRIM('Raw Data'!Y294))=0),"",IF(AND(ISNUMBER('Raw Data'!Y294), IFERROR('Raw Data'!Y294 = ROUND('Raw Data'!Y294, 2),FALSE)),"",_xlfn.REGEXEXTRACT(CELL("address",Y294), "\$([A-Z]+)\$[0-9]+"))),_xlfn.REGEXEXTRACT(CELL("address",Y294), "\$([A-Z]+)\$[0-9]+"))</f>
        <v/>
      </c>
      <c r="Z294" s="7" t="str" cm="1">
        <f t="array" aca="1" ref="Z294" ca="1">IFERROR(IF(OR('Raw Data'!Z294="",LEN(TRIM('Raw Data'!Z294))=0),"",IF(AND(ISNUMBER('Raw Data'!Z294), IFERROR('Raw Data'!Z294 = ROUND('Raw Data'!Z294, 2),FALSE)),"",_xlfn.REGEXEXTRACT(CELL("address",Z294), "\$([A-Z]+)\$[0-9]+"))),_xlfn.REGEXEXTRACT(CELL("address",Z294), "\$([A-Z]+)\$[0-9]+"))</f>
        <v/>
      </c>
      <c r="AA294" s="7" t="str" cm="1">
        <f t="array" aca="1" ref="AA294" ca="1">IFERROR(IF(OR('Raw Data'!AA294="",LEN(TRIM('Raw Data'!AA294))=0),"",IF(AND(ISNUMBER('Raw Data'!AA294), IFERROR('Raw Data'!AA294 = ROUND('Raw Data'!AA294, 2),FALSE)),"",_xlfn.REGEXEXTRACT(CELL("address",AA294), "\$([A-Z]+)\$[0-9]+"))),_xlfn.REGEXEXTRACT(CELL("address",AA294), "\$([A-Z]+)\$[0-9]+"))</f>
        <v/>
      </c>
      <c r="AB294" s="7" t="str" cm="1">
        <f t="array" aca="1" ref="AB294" ca="1">IFERROR(IF(OR('Raw Data'!AB294="",LEN(TRIM('Raw Data'!AB294))=0),"",IF(AND(ISNUMBER('Raw Data'!AB294), IFERROR('Raw Data'!AB294 = ROUND('Raw Data'!AB294, 2),FALSE)),"",_xlfn.REGEXEXTRACT(CELL("address",AB294), "\$([A-Z]+)\$[0-9]+"))),_xlfn.REGEXEXTRACT(CELL("address",AB294), "\$([A-Z]+)\$[0-9]+"))</f>
        <v/>
      </c>
    </row>
    <row r="295" spans="2:28" x14ac:dyDescent="0.25">
      <c r="B295" s="7" t="str" cm="1">
        <f t="array" aca="1" ref="B295" ca="1">IFERROR(IF(OR('Raw Data'!B295="",LEN(TRIM('Raw Data'!B295))=0),"",IF(AND(LEN('Raw Data'!B295) &lt;= 255,LEN('Raw Data'!B295)&gt; 0),"",_xlfn.REGEXEXTRACT(CELL("address",'Raw Data'!B295),"\$([A-Z]+)\$[0-9]+"))),_xlfn.REGEXEXTRACT(CELL("address",'Raw Data'!B295),"\$([A-Z]+)\$[0-9]+"))</f>
        <v/>
      </c>
      <c r="C295" s="7" t="str" cm="1">
        <f t="array" aca="1" ref="C295" ca="1">IFERROR(IF(OR('Raw Data'!C295="",LEN(TRIM('Raw Data'!C295))=0),"",IF(AND(LEN('Raw Data'!C295) &lt;= 20,LEN('Raw Data'!C295)&gt; 0),"",_xlfn.REGEXEXTRACT(CELL("address",'Raw Data'!C295),"\$([A-Z]+)\$[0-9]+"))),_xlfn.REGEXEXTRACT(CELL("address",'Raw Data'!C295),"\$([A-Z]+)\$[0-9]+"))</f>
        <v/>
      </c>
      <c r="D295" s="7" t="str" cm="1">
        <f t="array" aca="1" ref="D295" ca="1">IFERROR(IF(OR('Raw Data'!D295="",LEN(TRIM('Raw Data'!D295))=0),"",IF(AND(ISNUMBER('Raw Data'!D295),'Raw Data'!D295&gt;=Configuration!$D$2),"",_xlfn.REGEXEXTRACT(CELL("address",'Raw Data'!D295),"\$([A-Z]+)\$[0-9]+"))),_xlfn.REGEXEXTRACT(CELL("address",D295), "\$([A-Z]+)\$[0-9]+"))</f>
        <v/>
      </c>
      <c r="E295" s="7" t="str" cm="1">
        <f t="array" aca="1" ref="E295" ca="1">IFERROR(IF(OR('Raw Data'!E295="",LEN(TRIM('Raw Data'!E295))=0),"",IF(AND(ISNUMBER('Raw Data'!E295), IFERROR('Raw Data'!E295 = ROUND('Raw Data'!E295, 2),FALSE)),"",_xlfn.REGEXEXTRACT(CELL("address",E295), "\$([A-Z]+)\$[0-9]+"))),_xlfn.REGEXEXTRACT(CELL("address",E295), "\$([A-Z]+)\$[0-9]+"))</f>
        <v/>
      </c>
      <c r="F295" s="7" t="str" cm="1">
        <f t="array" aca="1" ref="F295" ca="1">IFERROR(IF(OR('Raw Data'!F295="",LEN(TRIM('Raw Data'!F295))=0),"",IF(AND(ISNUMBER('Raw Data'!F295), IFERROR('Raw Data'!F295 = ROUND('Raw Data'!F295, 2),FALSE)),"",_xlfn.REGEXEXTRACT(CELL("address",F295), "\$([A-Z]+)\$[0-9]+"))),_xlfn.REGEXEXTRACT(CELL("address",F295), "\$([A-Z]+)\$[0-9]+"))</f>
        <v/>
      </c>
      <c r="G295" s="7" t="str" cm="1">
        <f t="array" aca="1" ref="G295" ca="1">IFERROR(IF(OR('Raw Data'!G295="",LEN(TRIM('Raw Data'!G295))=0),"",IF(AND(ISNUMBER('Raw Data'!G295), IFERROR('Raw Data'!G295 = ROUND('Raw Data'!G295, 2),FALSE)),"",_xlfn.REGEXEXTRACT(CELL("address",G295), "\$([A-Z]+)\$[0-9]+"))),_xlfn.REGEXEXTRACT(CELL("address",G295), "\$([A-Z]+)\$[0-9]+"))</f>
        <v/>
      </c>
      <c r="H295" s="7" t="str" cm="1">
        <f t="array" aca="1" ref="H295" ca="1">IFERROR(IF(OR('Raw Data'!H295="",LEN(TRIM('Raw Data'!H295))=0),"",IF(AND(ISNUMBER('Raw Data'!H295), IFERROR('Raw Data'!H295 = ROUND('Raw Data'!H295, 2),FALSE)),"",_xlfn.REGEXEXTRACT(CELL("address",H295), "\$([A-Z]+)\$[0-9]+"))),_xlfn.REGEXEXTRACT(CELL("address",H295), "\$([A-Z]+)\$[0-9]+"))</f>
        <v/>
      </c>
      <c r="I295" s="7" t="str" cm="1">
        <f t="array" aca="1" ref="I295" ca="1">IFERROR(IF(OR('Raw Data'!I295="",LEN(TRIM('Raw Data'!I295))=0),"",IF(AND(ISNUMBER('Raw Data'!I295), IFERROR('Raw Data'!I295 = ROUND('Raw Data'!I295, 2),FALSE)),"",_xlfn.REGEXEXTRACT(CELL("address",I295), "\$([A-Z]+)\$[0-9]+"))),_xlfn.REGEXEXTRACT(CELL("address",I295), "\$([A-Z]+)\$[0-9]+"))</f>
        <v/>
      </c>
      <c r="J295" s="7" t="str" cm="1">
        <f t="array" aca="1" ref="J295" ca="1">IFERROR(IF(OR('Raw Data'!J295="",LEN(TRIM('Raw Data'!J295))=0),"",IF(AND(ISNUMBER('Raw Data'!J295), IFERROR('Raw Data'!J295 = ROUND('Raw Data'!J295, 2),FALSE)),"",_xlfn.REGEXEXTRACT(CELL("address",J295), "\$([A-Z]+)\$[0-9]+"))),_xlfn.REGEXEXTRACT(CELL("address",J295), "\$([A-Z]+)\$[0-9]+"))</f>
        <v/>
      </c>
      <c r="K295" s="7" t="str" cm="1">
        <f t="array" aca="1" ref="K295" ca="1">IFERROR(IF(OR('Raw Data'!K295="",LEN(TRIM('Raw Data'!K295))=0),"",IF(AND(ISNUMBER('Raw Data'!K295), IFERROR('Raw Data'!K295 = ROUND('Raw Data'!K295, 2),FALSE)),"",_xlfn.REGEXEXTRACT(CELL("address",K295), "\$([A-Z]+)\$[0-9]+"))),_xlfn.REGEXEXTRACT(CELL("address",K295), "\$([A-Z]+)\$[0-9]+"))</f>
        <v/>
      </c>
      <c r="L295" s="7" t="str" cm="1">
        <f t="array" aca="1" ref="L295" ca="1">IFERROR(IF(OR('Raw Data'!L295="",LEN(TRIM('Raw Data'!L295))=0),"",IF(AND(ISNUMBER('Raw Data'!L295), IFERROR('Raw Data'!L295 = ROUND('Raw Data'!L295, 2),FALSE)),"",_xlfn.REGEXEXTRACT(CELL("address",L295), "\$([A-Z]+)\$[0-9]+"))),_xlfn.REGEXEXTRACT(CELL("address",L295), "\$([A-Z]+)\$[0-9]+"))</f>
        <v/>
      </c>
      <c r="M295" s="7" t="str" cm="1">
        <f t="array" aca="1" ref="M295" ca="1">IFERROR(IF(OR('Raw Data'!M295="",LEN(TRIM('Raw Data'!M295))=0),"",IF(AND(ISNUMBER('Raw Data'!M295), IFERROR('Raw Data'!M295 = ROUND('Raw Data'!M295, 2),FALSE)),"",_xlfn.REGEXEXTRACT(CELL("address",M295), "\$([A-Z]+)\$[0-9]+"))),_xlfn.REGEXEXTRACT(CELL("address",M295), "\$([A-Z]+)\$[0-9]+"))</f>
        <v/>
      </c>
      <c r="N295" s="7" t="str" cm="1">
        <f t="array" aca="1" ref="N295" ca="1">IFERROR(IF(OR('Raw Data'!N295="",LEN(TRIM('Raw Data'!N295))=0),"",IF(AND(ISNUMBER('Raw Data'!N295), IFERROR('Raw Data'!N295 = ROUND('Raw Data'!N295, 2),FALSE)),"",_xlfn.REGEXEXTRACT(CELL("address",N295), "\$([A-Z]+)\$[0-9]+"))),_xlfn.REGEXEXTRACT(CELL("address",N295), "\$([A-Z]+)\$[0-9]+"))</f>
        <v/>
      </c>
      <c r="O295" s="7" t="str" cm="1">
        <f t="array" aca="1" ref="O295" ca="1">IFERROR(IF(OR('Raw Data'!O295="",LEN(TRIM('Raw Data'!O295))=0),"",IF(AND(ISNUMBER('Raw Data'!O295), IFERROR('Raw Data'!O295 = ROUND('Raw Data'!O295, 2),FALSE)),"",_xlfn.REGEXEXTRACT(CELL("address",O295), "\$([A-Z]+)\$[0-9]+"))),_xlfn.REGEXEXTRACT(CELL("address",O295), "\$([A-Z]+)\$[0-9]+"))</f>
        <v/>
      </c>
      <c r="P295" s="7" t="str" cm="1">
        <f t="array" aca="1" ref="P295" ca="1">IFERROR(IF(OR('Raw Data'!P295="",LEN(TRIM('Raw Data'!P295))=0),"",IF(AND(ISNUMBER('Raw Data'!P295), IFERROR('Raw Data'!P295 = ROUND('Raw Data'!P295, 2),FALSE)),"",_xlfn.REGEXEXTRACT(CELL("address",P295), "\$([A-Z]+)\$[0-9]+"))),_xlfn.REGEXEXTRACT(CELL("address",P295), "\$([A-Z]+)\$[0-9]+"))</f>
        <v/>
      </c>
      <c r="Q295" s="7" t="str" cm="1">
        <f t="array" aca="1" ref="Q295" ca="1">IFERROR(IF(OR('Raw Data'!Q295="",LEN(TRIM('Raw Data'!Q295))=0),"",IF(AND(ISNUMBER('Raw Data'!Q295), IFERROR('Raw Data'!Q295 = ROUND('Raw Data'!Q295, 2),FALSE)),"",_xlfn.REGEXEXTRACT(CELL("address",Q295), "\$([A-Z]+)\$[0-9]+"))),_xlfn.REGEXEXTRACT(CELL("address",Q295), "\$([A-Z]+)\$[0-9]+"))</f>
        <v/>
      </c>
      <c r="R295" s="7" t="str" cm="1">
        <f t="array" aca="1" ref="R295" ca="1">IFERROR(IF(OR('Raw Data'!R295="",LEN(TRIM('Raw Data'!R295))=0),"",IF(AND(ISNUMBER('Raw Data'!R295), IFERROR('Raw Data'!R295 = ROUND('Raw Data'!R295, 2),FALSE)),"",_xlfn.REGEXEXTRACT(CELL("address",R295), "\$([A-Z]+)\$[0-9]+"))),_xlfn.REGEXEXTRACT(CELL("address",R295), "\$([A-Z]+)\$[0-9]+"))</f>
        <v/>
      </c>
      <c r="S295" s="7" t="str" cm="1">
        <f t="array" aca="1" ref="S295" ca="1">IFERROR(IF(OR('Raw Data'!S295="",LEN(TRIM('Raw Data'!S295))=0),"",IF(AND(ISNUMBER('Raw Data'!S295), IFERROR('Raw Data'!S295 = ROUND('Raw Data'!S295, 2),FALSE)),"",_xlfn.REGEXEXTRACT(CELL("address",S295), "\$([A-Z]+)\$[0-9]+"))),_xlfn.REGEXEXTRACT(CELL("address",S295), "\$([A-Z]+)\$[0-9]+"))</f>
        <v/>
      </c>
      <c r="T295" s="7" t="str" cm="1">
        <f t="array" aca="1" ref="T295" ca="1">IFERROR(IF(OR('Raw Data'!T295="",LEN(TRIM('Raw Data'!T295))=0),"",IF(AND(ISNUMBER('Raw Data'!T295), IFERROR('Raw Data'!T295 = ROUND('Raw Data'!T295, 2),FALSE)),"",_xlfn.REGEXEXTRACT(CELL("address",T295), "\$([A-Z]+)\$[0-9]+"))),_xlfn.REGEXEXTRACT(CELL("address",T295), "\$([A-Z]+)\$[0-9]+"))</f>
        <v/>
      </c>
      <c r="U295" s="7" t="str" cm="1">
        <f t="array" aca="1" ref="U295" ca="1">IFERROR(IF(OR('Raw Data'!U295="",LEN(TRIM('Raw Data'!U295))=0),"",IF(AND(ISNUMBER('Raw Data'!U295), IFERROR('Raw Data'!U295 = ROUND('Raw Data'!U295, 2),FALSE)),"",_xlfn.REGEXEXTRACT(CELL("address",U295), "\$([A-Z]+)\$[0-9]+"))),_xlfn.REGEXEXTRACT(CELL("address",U295), "\$([A-Z]+)\$[0-9]+"))</f>
        <v/>
      </c>
      <c r="V295" s="7" t="str" cm="1">
        <f t="array" aca="1" ref="V295" ca="1">IFERROR(IF(OR('Raw Data'!V295="",LEN(TRIM('Raw Data'!V295))=0),"",IF(AND(ISNUMBER('Raw Data'!V295), IFERROR('Raw Data'!V295 = ROUND('Raw Data'!V295, 2),FALSE)),"",_xlfn.REGEXEXTRACT(CELL("address",V295), "\$([A-Z]+)\$[0-9]+"))),_xlfn.REGEXEXTRACT(CELL("address",V295), "\$([A-Z]+)\$[0-9]+"))</f>
        <v/>
      </c>
      <c r="W295" s="7" t="str" cm="1">
        <f t="array" aca="1" ref="W295" ca="1">IFERROR(IF(OR('Raw Data'!W295="",LEN(TRIM('Raw Data'!W295))=0),"",IF(AND(ISNUMBER('Raw Data'!W295), IFERROR('Raw Data'!W295 = ROUND('Raw Data'!W295, 2),FALSE)),"",_xlfn.REGEXEXTRACT(CELL("address",W295), "\$([A-Z]+)\$[0-9]+"))),_xlfn.REGEXEXTRACT(CELL("address",W295), "\$([A-Z]+)\$[0-9]+"))</f>
        <v/>
      </c>
      <c r="X295" s="7" t="str" cm="1">
        <f t="array" aca="1" ref="X295" ca="1">IFERROR(IF(OR('Raw Data'!X295="",LEN(TRIM('Raw Data'!X295))=0),"",IF(AND(ISNUMBER('Raw Data'!X295), IFERROR('Raw Data'!X295 = ROUND('Raw Data'!X295, 2),FALSE)),"",_xlfn.REGEXEXTRACT(CELL("address",X295), "\$([A-Z]+)\$[0-9]+"))),_xlfn.REGEXEXTRACT(CELL("address",X295), "\$([A-Z]+)\$[0-9]+"))</f>
        <v/>
      </c>
      <c r="Y295" s="7" t="str" cm="1">
        <f t="array" aca="1" ref="Y295" ca="1">IFERROR(IF(OR('Raw Data'!Y295="",LEN(TRIM('Raw Data'!Y295))=0),"",IF(AND(ISNUMBER('Raw Data'!Y295), IFERROR('Raw Data'!Y295 = ROUND('Raw Data'!Y295, 2),FALSE)),"",_xlfn.REGEXEXTRACT(CELL("address",Y295), "\$([A-Z]+)\$[0-9]+"))),_xlfn.REGEXEXTRACT(CELL("address",Y295), "\$([A-Z]+)\$[0-9]+"))</f>
        <v/>
      </c>
      <c r="Z295" s="7" t="str" cm="1">
        <f t="array" aca="1" ref="Z295" ca="1">IFERROR(IF(OR('Raw Data'!Z295="",LEN(TRIM('Raw Data'!Z295))=0),"",IF(AND(ISNUMBER('Raw Data'!Z295), IFERROR('Raw Data'!Z295 = ROUND('Raw Data'!Z295, 2),FALSE)),"",_xlfn.REGEXEXTRACT(CELL("address",Z295), "\$([A-Z]+)\$[0-9]+"))),_xlfn.REGEXEXTRACT(CELL("address",Z295), "\$([A-Z]+)\$[0-9]+"))</f>
        <v/>
      </c>
      <c r="AA295" s="7" t="str" cm="1">
        <f t="array" aca="1" ref="AA295" ca="1">IFERROR(IF(OR('Raw Data'!AA295="",LEN(TRIM('Raw Data'!AA295))=0),"",IF(AND(ISNUMBER('Raw Data'!AA295), IFERROR('Raw Data'!AA295 = ROUND('Raw Data'!AA295, 2),FALSE)),"",_xlfn.REGEXEXTRACT(CELL("address",AA295), "\$([A-Z]+)\$[0-9]+"))),_xlfn.REGEXEXTRACT(CELL("address",AA295), "\$([A-Z]+)\$[0-9]+"))</f>
        <v/>
      </c>
      <c r="AB295" s="7" t="str" cm="1">
        <f t="array" aca="1" ref="AB295" ca="1">IFERROR(IF(OR('Raw Data'!AB295="",LEN(TRIM('Raw Data'!AB295))=0),"",IF(AND(ISNUMBER('Raw Data'!AB295), IFERROR('Raw Data'!AB295 = ROUND('Raw Data'!AB295, 2),FALSE)),"",_xlfn.REGEXEXTRACT(CELL("address",AB295), "\$([A-Z]+)\$[0-9]+"))),_xlfn.REGEXEXTRACT(CELL("address",AB295), "\$([A-Z]+)\$[0-9]+"))</f>
        <v/>
      </c>
    </row>
    <row r="296" spans="2:28" x14ac:dyDescent="0.25">
      <c r="B296" s="7" t="str" cm="1">
        <f t="array" aca="1" ref="B296" ca="1">IFERROR(IF(OR('Raw Data'!B296="",LEN(TRIM('Raw Data'!B296))=0),"",IF(AND(LEN('Raw Data'!B296) &lt;= 255,LEN('Raw Data'!B296)&gt; 0),"",_xlfn.REGEXEXTRACT(CELL("address",'Raw Data'!B296),"\$([A-Z]+)\$[0-9]+"))),_xlfn.REGEXEXTRACT(CELL("address",'Raw Data'!B296),"\$([A-Z]+)\$[0-9]+"))</f>
        <v/>
      </c>
      <c r="C296" s="7" t="str" cm="1">
        <f t="array" aca="1" ref="C296" ca="1">IFERROR(IF(OR('Raw Data'!C296="",LEN(TRIM('Raw Data'!C296))=0),"",IF(AND(LEN('Raw Data'!C296) &lt;= 20,LEN('Raw Data'!C296)&gt; 0),"",_xlfn.REGEXEXTRACT(CELL("address",'Raw Data'!C296),"\$([A-Z]+)\$[0-9]+"))),_xlfn.REGEXEXTRACT(CELL("address",'Raw Data'!C296),"\$([A-Z]+)\$[0-9]+"))</f>
        <v/>
      </c>
      <c r="D296" s="7" t="str" cm="1">
        <f t="array" aca="1" ref="D296" ca="1">IFERROR(IF(OR('Raw Data'!D296="",LEN(TRIM('Raw Data'!D296))=0),"",IF(AND(ISNUMBER('Raw Data'!D296),'Raw Data'!D296&gt;=Configuration!$D$2),"",_xlfn.REGEXEXTRACT(CELL("address",'Raw Data'!D296),"\$([A-Z]+)\$[0-9]+"))),_xlfn.REGEXEXTRACT(CELL("address",D296), "\$([A-Z]+)\$[0-9]+"))</f>
        <v/>
      </c>
      <c r="E296" s="7" t="str" cm="1">
        <f t="array" aca="1" ref="E296" ca="1">IFERROR(IF(OR('Raw Data'!E296="",LEN(TRIM('Raw Data'!E296))=0),"",IF(AND(ISNUMBER('Raw Data'!E296), IFERROR('Raw Data'!E296 = ROUND('Raw Data'!E296, 2),FALSE)),"",_xlfn.REGEXEXTRACT(CELL("address",E296), "\$([A-Z]+)\$[0-9]+"))),_xlfn.REGEXEXTRACT(CELL("address",E296), "\$([A-Z]+)\$[0-9]+"))</f>
        <v/>
      </c>
      <c r="F296" s="7" t="str" cm="1">
        <f t="array" aca="1" ref="F296" ca="1">IFERROR(IF(OR('Raw Data'!F296="",LEN(TRIM('Raw Data'!F296))=0),"",IF(AND(ISNUMBER('Raw Data'!F296), IFERROR('Raw Data'!F296 = ROUND('Raw Data'!F296, 2),FALSE)),"",_xlfn.REGEXEXTRACT(CELL("address",F296), "\$([A-Z]+)\$[0-9]+"))),_xlfn.REGEXEXTRACT(CELL("address",F296), "\$([A-Z]+)\$[0-9]+"))</f>
        <v/>
      </c>
      <c r="G296" s="7" t="str" cm="1">
        <f t="array" aca="1" ref="G296" ca="1">IFERROR(IF(OR('Raw Data'!G296="",LEN(TRIM('Raw Data'!G296))=0),"",IF(AND(ISNUMBER('Raw Data'!G296), IFERROR('Raw Data'!G296 = ROUND('Raw Data'!G296, 2),FALSE)),"",_xlfn.REGEXEXTRACT(CELL("address",G296), "\$([A-Z]+)\$[0-9]+"))),_xlfn.REGEXEXTRACT(CELL("address",G296), "\$([A-Z]+)\$[0-9]+"))</f>
        <v/>
      </c>
      <c r="H296" s="7" t="str" cm="1">
        <f t="array" aca="1" ref="H296" ca="1">IFERROR(IF(OR('Raw Data'!H296="",LEN(TRIM('Raw Data'!H296))=0),"",IF(AND(ISNUMBER('Raw Data'!H296), IFERROR('Raw Data'!H296 = ROUND('Raw Data'!H296, 2),FALSE)),"",_xlfn.REGEXEXTRACT(CELL("address",H296), "\$([A-Z]+)\$[0-9]+"))),_xlfn.REGEXEXTRACT(CELL("address",H296), "\$([A-Z]+)\$[0-9]+"))</f>
        <v/>
      </c>
      <c r="I296" s="7" t="str" cm="1">
        <f t="array" aca="1" ref="I296" ca="1">IFERROR(IF(OR('Raw Data'!I296="",LEN(TRIM('Raw Data'!I296))=0),"",IF(AND(ISNUMBER('Raw Data'!I296), IFERROR('Raw Data'!I296 = ROUND('Raw Data'!I296, 2),FALSE)),"",_xlfn.REGEXEXTRACT(CELL("address",I296), "\$([A-Z]+)\$[0-9]+"))),_xlfn.REGEXEXTRACT(CELL("address",I296), "\$([A-Z]+)\$[0-9]+"))</f>
        <v/>
      </c>
      <c r="J296" s="7" t="str" cm="1">
        <f t="array" aca="1" ref="J296" ca="1">IFERROR(IF(OR('Raw Data'!J296="",LEN(TRIM('Raw Data'!J296))=0),"",IF(AND(ISNUMBER('Raw Data'!J296), IFERROR('Raw Data'!J296 = ROUND('Raw Data'!J296, 2),FALSE)),"",_xlfn.REGEXEXTRACT(CELL("address",J296), "\$([A-Z]+)\$[0-9]+"))),_xlfn.REGEXEXTRACT(CELL("address",J296), "\$([A-Z]+)\$[0-9]+"))</f>
        <v/>
      </c>
      <c r="K296" s="7" t="str" cm="1">
        <f t="array" aca="1" ref="K296" ca="1">IFERROR(IF(OR('Raw Data'!K296="",LEN(TRIM('Raw Data'!K296))=0),"",IF(AND(ISNUMBER('Raw Data'!K296), IFERROR('Raw Data'!K296 = ROUND('Raw Data'!K296, 2),FALSE)),"",_xlfn.REGEXEXTRACT(CELL("address",K296), "\$([A-Z]+)\$[0-9]+"))),_xlfn.REGEXEXTRACT(CELL("address",K296), "\$([A-Z]+)\$[0-9]+"))</f>
        <v/>
      </c>
      <c r="L296" s="7" t="str" cm="1">
        <f t="array" aca="1" ref="L296" ca="1">IFERROR(IF(OR('Raw Data'!L296="",LEN(TRIM('Raw Data'!L296))=0),"",IF(AND(ISNUMBER('Raw Data'!L296), IFERROR('Raw Data'!L296 = ROUND('Raw Data'!L296, 2),FALSE)),"",_xlfn.REGEXEXTRACT(CELL("address",L296), "\$([A-Z]+)\$[0-9]+"))),_xlfn.REGEXEXTRACT(CELL("address",L296), "\$([A-Z]+)\$[0-9]+"))</f>
        <v/>
      </c>
      <c r="M296" s="7" t="str" cm="1">
        <f t="array" aca="1" ref="M296" ca="1">IFERROR(IF(OR('Raw Data'!M296="",LEN(TRIM('Raw Data'!M296))=0),"",IF(AND(ISNUMBER('Raw Data'!M296), IFERROR('Raw Data'!M296 = ROUND('Raw Data'!M296, 2),FALSE)),"",_xlfn.REGEXEXTRACT(CELL("address",M296), "\$([A-Z]+)\$[0-9]+"))),_xlfn.REGEXEXTRACT(CELL("address",M296), "\$([A-Z]+)\$[0-9]+"))</f>
        <v/>
      </c>
      <c r="N296" s="7" t="str" cm="1">
        <f t="array" aca="1" ref="N296" ca="1">IFERROR(IF(OR('Raw Data'!N296="",LEN(TRIM('Raw Data'!N296))=0),"",IF(AND(ISNUMBER('Raw Data'!N296), IFERROR('Raw Data'!N296 = ROUND('Raw Data'!N296, 2),FALSE)),"",_xlfn.REGEXEXTRACT(CELL("address",N296), "\$([A-Z]+)\$[0-9]+"))),_xlfn.REGEXEXTRACT(CELL("address",N296), "\$([A-Z]+)\$[0-9]+"))</f>
        <v/>
      </c>
      <c r="O296" s="7" t="str" cm="1">
        <f t="array" aca="1" ref="O296" ca="1">IFERROR(IF(OR('Raw Data'!O296="",LEN(TRIM('Raw Data'!O296))=0),"",IF(AND(ISNUMBER('Raw Data'!O296), IFERROR('Raw Data'!O296 = ROUND('Raw Data'!O296, 2),FALSE)),"",_xlfn.REGEXEXTRACT(CELL("address",O296), "\$([A-Z]+)\$[0-9]+"))),_xlfn.REGEXEXTRACT(CELL("address",O296), "\$([A-Z]+)\$[0-9]+"))</f>
        <v/>
      </c>
      <c r="P296" s="7" t="str" cm="1">
        <f t="array" aca="1" ref="P296" ca="1">IFERROR(IF(OR('Raw Data'!P296="",LEN(TRIM('Raw Data'!P296))=0),"",IF(AND(ISNUMBER('Raw Data'!P296), IFERROR('Raw Data'!P296 = ROUND('Raw Data'!P296, 2),FALSE)),"",_xlfn.REGEXEXTRACT(CELL("address",P296), "\$([A-Z]+)\$[0-9]+"))),_xlfn.REGEXEXTRACT(CELL("address",P296), "\$([A-Z]+)\$[0-9]+"))</f>
        <v/>
      </c>
      <c r="Q296" s="7" t="str" cm="1">
        <f t="array" aca="1" ref="Q296" ca="1">IFERROR(IF(OR('Raw Data'!Q296="",LEN(TRIM('Raw Data'!Q296))=0),"",IF(AND(ISNUMBER('Raw Data'!Q296), IFERROR('Raw Data'!Q296 = ROUND('Raw Data'!Q296, 2),FALSE)),"",_xlfn.REGEXEXTRACT(CELL("address",Q296), "\$([A-Z]+)\$[0-9]+"))),_xlfn.REGEXEXTRACT(CELL("address",Q296), "\$([A-Z]+)\$[0-9]+"))</f>
        <v/>
      </c>
      <c r="R296" s="7" t="str" cm="1">
        <f t="array" aca="1" ref="R296" ca="1">IFERROR(IF(OR('Raw Data'!R296="",LEN(TRIM('Raw Data'!R296))=0),"",IF(AND(ISNUMBER('Raw Data'!R296), IFERROR('Raw Data'!R296 = ROUND('Raw Data'!R296, 2),FALSE)),"",_xlfn.REGEXEXTRACT(CELL("address",R296), "\$([A-Z]+)\$[0-9]+"))),_xlfn.REGEXEXTRACT(CELL("address",R296), "\$([A-Z]+)\$[0-9]+"))</f>
        <v/>
      </c>
      <c r="S296" s="7" t="str" cm="1">
        <f t="array" aca="1" ref="S296" ca="1">IFERROR(IF(OR('Raw Data'!S296="",LEN(TRIM('Raw Data'!S296))=0),"",IF(AND(ISNUMBER('Raw Data'!S296), IFERROR('Raw Data'!S296 = ROUND('Raw Data'!S296, 2),FALSE)),"",_xlfn.REGEXEXTRACT(CELL("address",S296), "\$([A-Z]+)\$[0-9]+"))),_xlfn.REGEXEXTRACT(CELL("address",S296), "\$([A-Z]+)\$[0-9]+"))</f>
        <v/>
      </c>
      <c r="T296" s="7" t="str" cm="1">
        <f t="array" aca="1" ref="T296" ca="1">IFERROR(IF(OR('Raw Data'!T296="",LEN(TRIM('Raw Data'!T296))=0),"",IF(AND(ISNUMBER('Raw Data'!T296), IFERROR('Raw Data'!T296 = ROUND('Raw Data'!T296, 2),FALSE)),"",_xlfn.REGEXEXTRACT(CELL("address",T296), "\$([A-Z]+)\$[0-9]+"))),_xlfn.REGEXEXTRACT(CELL("address",T296), "\$([A-Z]+)\$[0-9]+"))</f>
        <v/>
      </c>
      <c r="U296" s="7" t="str" cm="1">
        <f t="array" aca="1" ref="U296" ca="1">IFERROR(IF(OR('Raw Data'!U296="",LEN(TRIM('Raw Data'!U296))=0),"",IF(AND(ISNUMBER('Raw Data'!U296), IFERROR('Raw Data'!U296 = ROUND('Raw Data'!U296, 2),FALSE)),"",_xlfn.REGEXEXTRACT(CELL("address",U296), "\$([A-Z]+)\$[0-9]+"))),_xlfn.REGEXEXTRACT(CELL("address",U296), "\$([A-Z]+)\$[0-9]+"))</f>
        <v/>
      </c>
      <c r="V296" s="7" t="str" cm="1">
        <f t="array" aca="1" ref="V296" ca="1">IFERROR(IF(OR('Raw Data'!V296="",LEN(TRIM('Raw Data'!V296))=0),"",IF(AND(ISNUMBER('Raw Data'!V296), IFERROR('Raw Data'!V296 = ROUND('Raw Data'!V296, 2),FALSE)),"",_xlfn.REGEXEXTRACT(CELL("address",V296), "\$([A-Z]+)\$[0-9]+"))),_xlfn.REGEXEXTRACT(CELL("address",V296), "\$([A-Z]+)\$[0-9]+"))</f>
        <v/>
      </c>
      <c r="W296" s="7" t="str" cm="1">
        <f t="array" aca="1" ref="W296" ca="1">IFERROR(IF(OR('Raw Data'!W296="",LEN(TRIM('Raw Data'!W296))=0),"",IF(AND(ISNUMBER('Raw Data'!W296), IFERROR('Raw Data'!W296 = ROUND('Raw Data'!W296, 2),FALSE)),"",_xlfn.REGEXEXTRACT(CELL("address",W296), "\$([A-Z]+)\$[0-9]+"))),_xlfn.REGEXEXTRACT(CELL("address",W296), "\$([A-Z]+)\$[0-9]+"))</f>
        <v/>
      </c>
      <c r="X296" s="7" t="str" cm="1">
        <f t="array" aca="1" ref="X296" ca="1">IFERROR(IF(OR('Raw Data'!X296="",LEN(TRIM('Raw Data'!X296))=0),"",IF(AND(ISNUMBER('Raw Data'!X296), IFERROR('Raw Data'!X296 = ROUND('Raw Data'!X296, 2),FALSE)),"",_xlfn.REGEXEXTRACT(CELL("address",X296), "\$([A-Z]+)\$[0-9]+"))),_xlfn.REGEXEXTRACT(CELL("address",X296), "\$([A-Z]+)\$[0-9]+"))</f>
        <v/>
      </c>
      <c r="Y296" s="7" t="str" cm="1">
        <f t="array" aca="1" ref="Y296" ca="1">IFERROR(IF(OR('Raw Data'!Y296="",LEN(TRIM('Raw Data'!Y296))=0),"",IF(AND(ISNUMBER('Raw Data'!Y296), IFERROR('Raw Data'!Y296 = ROUND('Raw Data'!Y296, 2),FALSE)),"",_xlfn.REGEXEXTRACT(CELL("address",Y296), "\$([A-Z]+)\$[0-9]+"))),_xlfn.REGEXEXTRACT(CELL("address",Y296), "\$([A-Z]+)\$[0-9]+"))</f>
        <v/>
      </c>
      <c r="Z296" s="7" t="str" cm="1">
        <f t="array" aca="1" ref="Z296" ca="1">IFERROR(IF(OR('Raw Data'!Z296="",LEN(TRIM('Raw Data'!Z296))=0),"",IF(AND(ISNUMBER('Raw Data'!Z296), IFERROR('Raw Data'!Z296 = ROUND('Raw Data'!Z296, 2),FALSE)),"",_xlfn.REGEXEXTRACT(CELL("address",Z296), "\$([A-Z]+)\$[0-9]+"))),_xlfn.REGEXEXTRACT(CELL("address",Z296), "\$([A-Z]+)\$[0-9]+"))</f>
        <v/>
      </c>
      <c r="AA296" s="7" t="str" cm="1">
        <f t="array" aca="1" ref="AA296" ca="1">IFERROR(IF(OR('Raw Data'!AA296="",LEN(TRIM('Raw Data'!AA296))=0),"",IF(AND(ISNUMBER('Raw Data'!AA296), IFERROR('Raw Data'!AA296 = ROUND('Raw Data'!AA296, 2),FALSE)),"",_xlfn.REGEXEXTRACT(CELL("address",AA296), "\$([A-Z]+)\$[0-9]+"))),_xlfn.REGEXEXTRACT(CELL("address",AA296), "\$([A-Z]+)\$[0-9]+"))</f>
        <v/>
      </c>
      <c r="AB296" s="7" t="str" cm="1">
        <f t="array" aca="1" ref="AB296" ca="1">IFERROR(IF(OR('Raw Data'!AB296="",LEN(TRIM('Raw Data'!AB296))=0),"",IF(AND(ISNUMBER('Raw Data'!AB296), IFERROR('Raw Data'!AB296 = ROUND('Raw Data'!AB296, 2),FALSE)),"",_xlfn.REGEXEXTRACT(CELL("address",AB296), "\$([A-Z]+)\$[0-9]+"))),_xlfn.REGEXEXTRACT(CELL("address",AB296), "\$([A-Z]+)\$[0-9]+"))</f>
        <v/>
      </c>
    </row>
    <row r="297" spans="2:28" x14ac:dyDescent="0.25">
      <c r="B297" s="7" t="str" cm="1">
        <f t="array" aca="1" ref="B297" ca="1">IFERROR(IF(OR('Raw Data'!B297="",LEN(TRIM('Raw Data'!B297))=0),"",IF(AND(LEN('Raw Data'!B297) &lt;= 255,LEN('Raw Data'!B297)&gt; 0),"",_xlfn.REGEXEXTRACT(CELL("address",'Raw Data'!B297),"\$([A-Z]+)\$[0-9]+"))),_xlfn.REGEXEXTRACT(CELL("address",'Raw Data'!B297),"\$([A-Z]+)\$[0-9]+"))</f>
        <v/>
      </c>
      <c r="C297" s="7" t="str" cm="1">
        <f t="array" aca="1" ref="C297" ca="1">IFERROR(IF(OR('Raw Data'!C297="",LEN(TRIM('Raw Data'!C297))=0),"",IF(AND(LEN('Raw Data'!C297) &lt;= 20,LEN('Raw Data'!C297)&gt; 0),"",_xlfn.REGEXEXTRACT(CELL("address",'Raw Data'!C297),"\$([A-Z]+)\$[0-9]+"))),_xlfn.REGEXEXTRACT(CELL("address",'Raw Data'!C297),"\$([A-Z]+)\$[0-9]+"))</f>
        <v/>
      </c>
      <c r="D297" s="7" t="str" cm="1">
        <f t="array" aca="1" ref="D297" ca="1">IFERROR(IF(OR('Raw Data'!D297="",LEN(TRIM('Raw Data'!D297))=0),"",IF(AND(ISNUMBER('Raw Data'!D297),'Raw Data'!D297&gt;=Configuration!$D$2),"",_xlfn.REGEXEXTRACT(CELL("address",'Raw Data'!D297),"\$([A-Z]+)\$[0-9]+"))),_xlfn.REGEXEXTRACT(CELL("address",D297), "\$([A-Z]+)\$[0-9]+"))</f>
        <v/>
      </c>
      <c r="E297" s="7" t="str" cm="1">
        <f t="array" aca="1" ref="E297" ca="1">IFERROR(IF(OR('Raw Data'!E297="",LEN(TRIM('Raw Data'!E297))=0),"",IF(AND(ISNUMBER('Raw Data'!E297), IFERROR('Raw Data'!E297 = ROUND('Raw Data'!E297, 2),FALSE)),"",_xlfn.REGEXEXTRACT(CELL("address",E297), "\$([A-Z]+)\$[0-9]+"))),_xlfn.REGEXEXTRACT(CELL("address",E297), "\$([A-Z]+)\$[0-9]+"))</f>
        <v/>
      </c>
      <c r="F297" s="7" t="str" cm="1">
        <f t="array" aca="1" ref="F297" ca="1">IFERROR(IF(OR('Raw Data'!F297="",LEN(TRIM('Raw Data'!F297))=0),"",IF(AND(ISNUMBER('Raw Data'!F297), IFERROR('Raw Data'!F297 = ROUND('Raw Data'!F297, 2),FALSE)),"",_xlfn.REGEXEXTRACT(CELL("address",F297), "\$([A-Z]+)\$[0-9]+"))),_xlfn.REGEXEXTRACT(CELL("address",F297), "\$([A-Z]+)\$[0-9]+"))</f>
        <v/>
      </c>
      <c r="G297" s="7" t="str" cm="1">
        <f t="array" aca="1" ref="G297" ca="1">IFERROR(IF(OR('Raw Data'!G297="",LEN(TRIM('Raw Data'!G297))=0),"",IF(AND(ISNUMBER('Raw Data'!G297), IFERROR('Raw Data'!G297 = ROUND('Raw Data'!G297, 2),FALSE)),"",_xlfn.REGEXEXTRACT(CELL("address",G297), "\$([A-Z]+)\$[0-9]+"))),_xlfn.REGEXEXTRACT(CELL("address",G297), "\$([A-Z]+)\$[0-9]+"))</f>
        <v/>
      </c>
      <c r="H297" s="7" t="str" cm="1">
        <f t="array" aca="1" ref="H297" ca="1">IFERROR(IF(OR('Raw Data'!H297="",LEN(TRIM('Raw Data'!H297))=0),"",IF(AND(ISNUMBER('Raw Data'!H297), IFERROR('Raw Data'!H297 = ROUND('Raw Data'!H297, 2),FALSE)),"",_xlfn.REGEXEXTRACT(CELL("address",H297), "\$([A-Z]+)\$[0-9]+"))),_xlfn.REGEXEXTRACT(CELL("address",H297), "\$([A-Z]+)\$[0-9]+"))</f>
        <v/>
      </c>
      <c r="I297" s="7" t="str" cm="1">
        <f t="array" aca="1" ref="I297" ca="1">IFERROR(IF(OR('Raw Data'!I297="",LEN(TRIM('Raw Data'!I297))=0),"",IF(AND(ISNUMBER('Raw Data'!I297), IFERROR('Raw Data'!I297 = ROUND('Raw Data'!I297, 2),FALSE)),"",_xlfn.REGEXEXTRACT(CELL("address",I297), "\$([A-Z]+)\$[0-9]+"))),_xlfn.REGEXEXTRACT(CELL("address",I297), "\$([A-Z]+)\$[0-9]+"))</f>
        <v/>
      </c>
      <c r="J297" s="7" t="str" cm="1">
        <f t="array" aca="1" ref="J297" ca="1">IFERROR(IF(OR('Raw Data'!J297="",LEN(TRIM('Raw Data'!J297))=0),"",IF(AND(ISNUMBER('Raw Data'!J297), IFERROR('Raw Data'!J297 = ROUND('Raw Data'!J297, 2),FALSE)),"",_xlfn.REGEXEXTRACT(CELL("address",J297), "\$([A-Z]+)\$[0-9]+"))),_xlfn.REGEXEXTRACT(CELL("address",J297), "\$([A-Z]+)\$[0-9]+"))</f>
        <v/>
      </c>
      <c r="K297" s="7" t="str" cm="1">
        <f t="array" aca="1" ref="K297" ca="1">IFERROR(IF(OR('Raw Data'!K297="",LEN(TRIM('Raw Data'!K297))=0),"",IF(AND(ISNUMBER('Raw Data'!K297), IFERROR('Raw Data'!K297 = ROUND('Raw Data'!K297, 2),FALSE)),"",_xlfn.REGEXEXTRACT(CELL("address",K297), "\$([A-Z]+)\$[0-9]+"))),_xlfn.REGEXEXTRACT(CELL("address",K297), "\$([A-Z]+)\$[0-9]+"))</f>
        <v/>
      </c>
      <c r="L297" s="7" t="str" cm="1">
        <f t="array" aca="1" ref="L297" ca="1">IFERROR(IF(OR('Raw Data'!L297="",LEN(TRIM('Raw Data'!L297))=0),"",IF(AND(ISNUMBER('Raw Data'!L297), IFERROR('Raw Data'!L297 = ROUND('Raw Data'!L297, 2),FALSE)),"",_xlfn.REGEXEXTRACT(CELL("address",L297), "\$([A-Z]+)\$[0-9]+"))),_xlfn.REGEXEXTRACT(CELL("address",L297), "\$([A-Z]+)\$[0-9]+"))</f>
        <v/>
      </c>
      <c r="M297" s="7" t="str" cm="1">
        <f t="array" aca="1" ref="M297" ca="1">IFERROR(IF(OR('Raw Data'!M297="",LEN(TRIM('Raw Data'!M297))=0),"",IF(AND(ISNUMBER('Raw Data'!M297), IFERROR('Raw Data'!M297 = ROUND('Raw Data'!M297, 2),FALSE)),"",_xlfn.REGEXEXTRACT(CELL("address",M297), "\$([A-Z]+)\$[0-9]+"))),_xlfn.REGEXEXTRACT(CELL("address",M297), "\$([A-Z]+)\$[0-9]+"))</f>
        <v/>
      </c>
      <c r="N297" s="7" t="str" cm="1">
        <f t="array" aca="1" ref="N297" ca="1">IFERROR(IF(OR('Raw Data'!N297="",LEN(TRIM('Raw Data'!N297))=0),"",IF(AND(ISNUMBER('Raw Data'!N297), IFERROR('Raw Data'!N297 = ROUND('Raw Data'!N297, 2),FALSE)),"",_xlfn.REGEXEXTRACT(CELL("address",N297), "\$([A-Z]+)\$[0-9]+"))),_xlfn.REGEXEXTRACT(CELL("address",N297), "\$([A-Z]+)\$[0-9]+"))</f>
        <v/>
      </c>
      <c r="O297" s="7" t="str" cm="1">
        <f t="array" aca="1" ref="O297" ca="1">IFERROR(IF(OR('Raw Data'!O297="",LEN(TRIM('Raw Data'!O297))=0),"",IF(AND(ISNUMBER('Raw Data'!O297), IFERROR('Raw Data'!O297 = ROUND('Raw Data'!O297, 2),FALSE)),"",_xlfn.REGEXEXTRACT(CELL("address",O297), "\$([A-Z]+)\$[0-9]+"))),_xlfn.REGEXEXTRACT(CELL("address",O297), "\$([A-Z]+)\$[0-9]+"))</f>
        <v/>
      </c>
      <c r="P297" s="7" t="str" cm="1">
        <f t="array" aca="1" ref="P297" ca="1">IFERROR(IF(OR('Raw Data'!P297="",LEN(TRIM('Raw Data'!P297))=0),"",IF(AND(ISNUMBER('Raw Data'!P297), IFERROR('Raw Data'!P297 = ROUND('Raw Data'!P297, 2),FALSE)),"",_xlfn.REGEXEXTRACT(CELL("address",P297), "\$([A-Z]+)\$[0-9]+"))),_xlfn.REGEXEXTRACT(CELL("address",P297), "\$([A-Z]+)\$[0-9]+"))</f>
        <v/>
      </c>
      <c r="Q297" s="7" t="str" cm="1">
        <f t="array" aca="1" ref="Q297" ca="1">IFERROR(IF(OR('Raw Data'!Q297="",LEN(TRIM('Raw Data'!Q297))=0),"",IF(AND(ISNUMBER('Raw Data'!Q297), IFERROR('Raw Data'!Q297 = ROUND('Raw Data'!Q297, 2),FALSE)),"",_xlfn.REGEXEXTRACT(CELL("address",Q297), "\$([A-Z]+)\$[0-9]+"))),_xlfn.REGEXEXTRACT(CELL("address",Q297), "\$([A-Z]+)\$[0-9]+"))</f>
        <v/>
      </c>
      <c r="R297" s="7" t="str" cm="1">
        <f t="array" aca="1" ref="R297" ca="1">IFERROR(IF(OR('Raw Data'!R297="",LEN(TRIM('Raw Data'!R297))=0),"",IF(AND(ISNUMBER('Raw Data'!R297), IFERROR('Raw Data'!R297 = ROUND('Raw Data'!R297, 2),FALSE)),"",_xlfn.REGEXEXTRACT(CELL("address",R297), "\$([A-Z]+)\$[0-9]+"))),_xlfn.REGEXEXTRACT(CELL("address",R297), "\$([A-Z]+)\$[0-9]+"))</f>
        <v/>
      </c>
      <c r="S297" s="7" t="str" cm="1">
        <f t="array" aca="1" ref="S297" ca="1">IFERROR(IF(OR('Raw Data'!S297="",LEN(TRIM('Raw Data'!S297))=0),"",IF(AND(ISNUMBER('Raw Data'!S297), IFERROR('Raw Data'!S297 = ROUND('Raw Data'!S297, 2),FALSE)),"",_xlfn.REGEXEXTRACT(CELL("address",S297), "\$([A-Z]+)\$[0-9]+"))),_xlfn.REGEXEXTRACT(CELL("address",S297), "\$([A-Z]+)\$[0-9]+"))</f>
        <v/>
      </c>
      <c r="T297" s="7" t="str" cm="1">
        <f t="array" aca="1" ref="T297" ca="1">IFERROR(IF(OR('Raw Data'!T297="",LEN(TRIM('Raw Data'!T297))=0),"",IF(AND(ISNUMBER('Raw Data'!T297), IFERROR('Raw Data'!T297 = ROUND('Raw Data'!T297, 2),FALSE)),"",_xlfn.REGEXEXTRACT(CELL("address",T297), "\$([A-Z]+)\$[0-9]+"))),_xlfn.REGEXEXTRACT(CELL("address",T297), "\$([A-Z]+)\$[0-9]+"))</f>
        <v/>
      </c>
      <c r="U297" s="7" t="str" cm="1">
        <f t="array" aca="1" ref="U297" ca="1">IFERROR(IF(OR('Raw Data'!U297="",LEN(TRIM('Raw Data'!U297))=0),"",IF(AND(ISNUMBER('Raw Data'!U297), IFERROR('Raw Data'!U297 = ROUND('Raw Data'!U297, 2),FALSE)),"",_xlfn.REGEXEXTRACT(CELL("address",U297), "\$([A-Z]+)\$[0-9]+"))),_xlfn.REGEXEXTRACT(CELL("address",U297), "\$([A-Z]+)\$[0-9]+"))</f>
        <v/>
      </c>
      <c r="V297" s="7" t="str" cm="1">
        <f t="array" aca="1" ref="V297" ca="1">IFERROR(IF(OR('Raw Data'!V297="",LEN(TRIM('Raw Data'!V297))=0),"",IF(AND(ISNUMBER('Raw Data'!V297), IFERROR('Raw Data'!V297 = ROUND('Raw Data'!V297, 2),FALSE)),"",_xlfn.REGEXEXTRACT(CELL("address",V297), "\$([A-Z]+)\$[0-9]+"))),_xlfn.REGEXEXTRACT(CELL("address",V297), "\$([A-Z]+)\$[0-9]+"))</f>
        <v/>
      </c>
      <c r="W297" s="7" t="str" cm="1">
        <f t="array" aca="1" ref="W297" ca="1">IFERROR(IF(OR('Raw Data'!W297="",LEN(TRIM('Raw Data'!W297))=0),"",IF(AND(ISNUMBER('Raw Data'!W297), IFERROR('Raw Data'!W297 = ROUND('Raw Data'!W297, 2),FALSE)),"",_xlfn.REGEXEXTRACT(CELL("address",W297), "\$([A-Z]+)\$[0-9]+"))),_xlfn.REGEXEXTRACT(CELL("address",W297), "\$([A-Z]+)\$[0-9]+"))</f>
        <v/>
      </c>
      <c r="X297" s="7" t="str" cm="1">
        <f t="array" aca="1" ref="X297" ca="1">IFERROR(IF(OR('Raw Data'!X297="",LEN(TRIM('Raw Data'!X297))=0),"",IF(AND(ISNUMBER('Raw Data'!X297), IFERROR('Raw Data'!X297 = ROUND('Raw Data'!X297, 2),FALSE)),"",_xlfn.REGEXEXTRACT(CELL("address",X297), "\$([A-Z]+)\$[0-9]+"))),_xlfn.REGEXEXTRACT(CELL("address",X297), "\$([A-Z]+)\$[0-9]+"))</f>
        <v/>
      </c>
      <c r="Y297" s="7" t="str" cm="1">
        <f t="array" aca="1" ref="Y297" ca="1">IFERROR(IF(OR('Raw Data'!Y297="",LEN(TRIM('Raw Data'!Y297))=0),"",IF(AND(ISNUMBER('Raw Data'!Y297), IFERROR('Raw Data'!Y297 = ROUND('Raw Data'!Y297, 2),FALSE)),"",_xlfn.REGEXEXTRACT(CELL("address",Y297), "\$([A-Z]+)\$[0-9]+"))),_xlfn.REGEXEXTRACT(CELL("address",Y297), "\$([A-Z]+)\$[0-9]+"))</f>
        <v/>
      </c>
      <c r="Z297" s="7" t="str" cm="1">
        <f t="array" aca="1" ref="Z297" ca="1">IFERROR(IF(OR('Raw Data'!Z297="",LEN(TRIM('Raw Data'!Z297))=0),"",IF(AND(ISNUMBER('Raw Data'!Z297), IFERROR('Raw Data'!Z297 = ROUND('Raw Data'!Z297, 2),FALSE)),"",_xlfn.REGEXEXTRACT(CELL("address",Z297), "\$([A-Z]+)\$[0-9]+"))),_xlfn.REGEXEXTRACT(CELL("address",Z297), "\$([A-Z]+)\$[0-9]+"))</f>
        <v/>
      </c>
      <c r="AA297" s="7" t="str" cm="1">
        <f t="array" aca="1" ref="AA297" ca="1">IFERROR(IF(OR('Raw Data'!AA297="",LEN(TRIM('Raw Data'!AA297))=0),"",IF(AND(ISNUMBER('Raw Data'!AA297), IFERROR('Raw Data'!AA297 = ROUND('Raw Data'!AA297, 2),FALSE)),"",_xlfn.REGEXEXTRACT(CELL("address",AA297), "\$([A-Z]+)\$[0-9]+"))),_xlfn.REGEXEXTRACT(CELL("address",AA297), "\$([A-Z]+)\$[0-9]+"))</f>
        <v/>
      </c>
      <c r="AB297" s="7" t="str" cm="1">
        <f t="array" aca="1" ref="AB297" ca="1">IFERROR(IF(OR('Raw Data'!AB297="",LEN(TRIM('Raw Data'!AB297))=0),"",IF(AND(ISNUMBER('Raw Data'!AB297), IFERROR('Raw Data'!AB297 = ROUND('Raw Data'!AB297, 2),FALSE)),"",_xlfn.REGEXEXTRACT(CELL("address",AB297), "\$([A-Z]+)\$[0-9]+"))),_xlfn.REGEXEXTRACT(CELL("address",AB297), "\$([A-Z]+)\$[0-9]+"))</f>
        <v/>
      </c>
    </row>
    <row r="298" spans="2:28" x14ac:dyDescent="0.25">
      <c r="B298" s="7" t="str" cm="1">
        <f t="array" aca="1" ref="B298" ca="1">IFERROR(IF(OR('Raw Data'!B298="",LEN(TRIM('Raw Data'!B298))=0),"",IF(AND(LEN('Raw Data'!B298) &lt;= 255,LEN('Raw Data'!B298)&gt; 0),"",_xlfn.REGEXEXTRACT(CELL("address",'Raw Data'!B298),"\$([A-Z]+)\$[0-9]+"))),_xlfn.REGEXEXTRACT(CELL("address",'Raw Data'!B298),"\$([A-Z]+)\$[0-9]+"))</f>
        <v/>
      </c>
      <c r="C298" s="7" t="str" cm="1">
        <f t="array" aca="1" ref="C298" ca="1">IFERROR(IF(OR('Raw Data'!C298="",LEN(TRIM('Raw Data'!C298))=0),"",IF(AND(LEN('Raw Data'!C298) &lt;= 20,LEN('Raw Data'!C298)&gt; 0),"",_xlfn.REGEXEXTRACT(CELL("address",'Raw Data'!C298),"\$([A-Z]+)\$[0-9]+"))),_xlfn.REGEXEXTRACT(CELL("address",'Raw Data'!C298),"\$([A-Z]+)\$[0-9]+"))</f>
        <v/>
      </c>
      <c r="D298" s="7" t="str" cm="1">
        <f t="array" aca="1" ref="D298" ca="1">IFERROR(IF(OR('Raw Data'!D298="",LEN(TRIM('Raw Data'!D298))=0),"",IF(AND(ISNUMBER('Raw Data'!D298),'Raw Data'!D298&gt;=Configuration!$D$2),"",_xlfn.REGEXEXTRACT(CELL("address",'Raw Data'!D298),"\$([A-Z]+)\$[0-9]+"))),_xlfn.REGEXEXTRACT(CELL("address",D298), "\$([A-Z]+)\$[0-9]+"))</f>
        <v/>
      </c>
      <c r="E298" s="7" t="str" cm="1">
        <f t="array" aca="1" ref="E298" ca="1">IFERROR(IF(OR('Raw Data'!E298="",LEN(TRIM('Raw Data'!E298))=0),"",IF(AND(ISNUMBER('Raw Data'!E298), IFERROR('Raw Data'!E298 = ROUND('Raw Data'!E298, 2),FALSE)),"",_xlfn.REGEXEXTRACT(CELL("address",E298), "\$([A-Z]+)\$[0-9]+"))),_xlfn.REGEXEXTRACT(CELL("address",E298), "\$([A-Z]+)\$[0-9]+"))</f>
        <v/>
      </c>
      <c r="F298" s="7" t="str" cm="1">
        <f t="array" aca="1" ref="F298" ca="1">IFERROR(IF(OR('Raw Data'!F298="",LEN(TRIM('Raw Data'!F298))=0),"",IF(AND(ISNUMBER('Raw Data'!F298), IFERROR('Raw Data'!F298 = ROUND('Raw Data'!F298, 2),FALSE)),"",_xlfn.REGEXEXTRACT(CELL("address",F298), "\$([A-Z]+)\$[0-9]+"))),_xlfn.REGEXEXTRACT(CELL("address",F298), "\$([A-Z]+)\$[0-9]+"))</f>
        <v/>
      </c>
      <c r="G298" s="7" t="str" cm="1">
        <f t="array" aca="1" ref="G298" ca="1">IFERROR(IF(OR('Raw Data'!G298="",LEN(TRIM('Raw Data'!G298))=0),"",IF(AND(ISNUMBER('Raw Data'!G298), IFERROR('Raw Data'!G298 = ROUND('Raw Data'!G298, 2),FALSE)),"",_xlfn.REGEXEXTRACT(CELL("address",G298), "\$([A-Z]+)\$[0-9]+"))),_xlfn.REGEXEXTRACT(CELL("address",G298), "\$([A-Z]+)\$[0-9]+"))</f>
        <v/>
      </c>
      <c r="H298" s="7" t="str" cm="1">
        <f t="array" aca="1" ref="H298" ca="1">IFERROR(IF(OR('Raw Data'!H298="",LEN(TRIM('Raw Data'!H298))=0),"",IF(AND(ISNUMBER('Raw Data'!H298), IFERROR('Raw Data'!H298 = ROUND('Raw Data'!H298, 2),FALSE)),"",_xlfn.REGEXEXTRACT(CELL("address",H298), "\$([A-Z]+)\$[0-9]+"))),_xlfn.REGEXEXTRACT(CELL("address",H298), "\$([A-Z]+)\$[0-9]+"))</f>
        <v/>
      </c>
      <c r="I298" s="7" t="str" cm="1">
        <f t="array" aca="1" ref="I298" ca="1">IFERROR(IF(OR('Raw Data'!I298="",LEN(TRIM('Raw Data'!I298))=0),"",IF(AND(ISNUMBER('Raw Data'!I298), IFERROR('Raw Data'!I298 = ROUND('Raw Data'!I298, 2),FALSE)),"",_xlfn.REGEXEXTRACT(CELL("address",I298), "\$([A-Z]+)\$[0-9]+"))),_xlfn.REGEXEXTRACT(CELL("address",I298), "\$([A-Z]+)\$[0-9]+"))</f>
        <v/>
      </c>
      <c r="J298" s="7" t="str" cm="1">
        <f t="array" aca="1" ref="J298" ca="1">IFERROR(IF(OR('Raw Data'!J298="",LEN(TRIM('Raw Data'!J298))=0),"",IF(AND(ISNUMBER('Raw Data'!J298), IFERROR('Raw Data'!J298 = ROUND('Raw Data'!J298, 2),FALSE)),"",_xlfn.REGEXEXTRACT(CELL("address",J298), "\$([A-Z]+)\$[0-9]+"))),_xlfn.REGEXEXTRACT(CELL("address",J298), "\$([A-Z]+)\$[0-9]+"))</f>
        <v/>
      </c>
      <c r="K298" s="7" t="str" cm="1">
        <f t="array" aca="1" ref="K298" ca="1">IFERROR(IF(OR('Raw Data'!K298="",LEN(TRIM('Raw Data'!K298))=0),"",IF(AND(ISNUMBER('Raw Data'!K298), IFERROR('Raw Data'!K298 = ROUND('Raw Data'!K298, 2),FALSE)),"",_xlfn.REGEXEXTRACT(CELL("address",K298), "\$([A-Z]+)\$[0-9]+"))),_xlfn.REGEXEXTRACT(CELL("address",K298), "\$([A-Z]+)\$[0-9]+"))</f>
        <v/>
      </c>
      <c r="L298" s="7" t="str" cm="1">
        <f t="array" aca="1" ref="L298" ca="1">IFERROR(IF(OR('Raw Data'!L298="",LEN(TRIM('Raw Data'!L298))=0),"",IF(AND(ISNUMBER('Raw Data'!L298), IFERROR('Raw Data'!L298 = ROUND('Raw Data'!L298, 2),FALSE)),"",_xlfn.REGEXEXTRACT(CELL("address",L298), "\$([A-Z]+)\$[0-9]+"))),_xlfn.REGEXEXTRACT(CELL("address",L298), "\$([A-Z]+)\$[0-9]+"))</f>
        <v/>
      </c>
      <c r="M298" s="7" t="str" cm="1">
        <f t="array" aca="1" ref="M298" ca="1">IFERROR(IF(OR('Raw Data'!M298="",LEN(TRIM('Raw Data'!M298))=0),"",IF(AND(ISNUMBER('Raw Data'!M298), IFERROR('Raw Data'!M298 = ROUND('Raw Data'!M298, 2),FALSE)),"",_xlfn.REGEXEXTRACT(CELL("address",M298), "\$([A-Z]+)\$[0-9]+"))),_xlfn.REGEXEXTRACT(CELL("address",M298), "\$([A-Z]+)\$[0-9]+"))</f>
        <v/>
      </c>
      <c r="N298" s="7" t="str" cm="1">
        <f t="array" aca="1" ref="N298" ca="1">IFERROR(IF(OR('Raw Data'!N298="",LEN(TRIM('Raw Data'!N298))=0),"",IF(AND(ISNUMBER('Raw Data'!N298), IFERROR('Raw Data'!N298 = ROUND('Raw Data'!N298, 2),FALSE)),"",_xlfn.REGEXEXTRACT(CELL("address",N298), "\$([A-Z]+)\$[0-9]+"))),_xlfn.REGEXEXTRACT(CELL("address",N298), "\$([A-Z]+)\$[0-9]+"))</f>
        <v/>
      </c>
      <c r="O298" s="7" t="str" cm="1">
        <f t="array" aca="1" ref="O298" ca="1">IFERROR(IF(OR('Raw Data'!O298="",LEN(TRIM('Raw Data'!O298))=0),"",IF(AND(ISNUMBER('Raw Data'!O298), IFERROR('Raw Data'!O298 = ROUND('Raw Data'!O298, 2),FALSE)),"",_xlfn.REGEXEXTRACT(CELL("address",O298), "\$([A-Z]+)\$[0-9]+"))),_xlfn.REGEXEXTRACT(CELL("address",O298), "\$([A-Z]+)\$[0-9]+"))</f>
        <v/>
      </c>
      <c r="P298" s="7" t="str" cm="1">
        <f t="array" aca="1" ref="P298" ca="1">IFERROR(IF(OR('Raw Data'!P298="",LEN(TRIM('Raw Data'!P298))=0),"",IF(AND(ISNUMBER('Raw Data'!P298), IFERROR('Raw Data'!P298 = ROUND('Raw Data'!P298, 2),FALSE)),"",_xlfn.REGEXEXTRACT(CELL("address",P298), "\$([A-Z]+)\$[0-9]+"))),_xlfn.REGEXEXTRACT(CELL("address",P298), "\$([A-Z]+)\$[0-9]+"))</f>
        <v/>
      </c>
      <c r="Q298" s="7" t="str" cm="1">
        <f t="array" aca="1" ref="Q298" ca="1">IFERROR(IF(OR('Raw Data'!Q298="",LEN(TRIM('Raw Data'!Q298))=0),"",IF(AND(ISNUMBER('Raw Data'!Q298), IFERROR('Raw Data'!Q298 = ROUND('Raw Data'!Q298, 2),FALSE)),"",_xlfn.REGEXEXTRACT(CELL("address",Q298), "\$([A-Z]+)\$[0-9]+"))),_xlfn.REGEXEXTRACT(CELL("address",Q298), "\$([A-Z]+)\$[0-9]+"))</f>
        <v/>
      </c>
      <c r="R298" s="7" t="str" cm="1">
        <f t="array" aca="1" ref="R298" ca="1">IFERROR(IF(OR('Raw Data'!R298="",LEN(TRIM('Raw Data'!R298))=0),"",IF(AND(ISNUMBER('Raw Data'!R298), IFERROR('Raw Data'!R298 = ROUND('Raw Data'!R298, 2),FALSE)),"",_xlfn.REGEXEXTRACT(CELL("address",R298), "\$([A-Z]+)\$[0-9]+"))),_xlfn.REGEXEXTRACT(CELL("address",R298), "\$([A-Z]+)\$[0-9]+"))</f>
        <v/>
      </c>
      <c r="S298" s="7" t="str" cm="1">
        <f t="array" aca="1" ref="S298" ca="1">IFERROR(IF(OR('Raw Data'!S298="",LEN(TRIM('Raw Data'!S298))=0),"",IF(AND(ISNUMBER('Raw Data'!S298), IFERROR('Raw Data'!S298 = ROUND('Raw Data'!S298, 2),FALSE)),"",_xlfn.REGEXEXTRACT(CELL("address",S298), "\$([A-Z]+)\$[0-9]+"))),_xlfn.REGEXEXTRACT(CELL("address",S298), "\$([A-Z]+)\$[0-9]+"))</f>
        <v/>
      </c>
      <c r="T298" s="7" t="str" cm="1">
        <f t="array" aca="1" ref="T298" ca="1">IFERROR(IF(OR('Raw Data'!T298="",LEN(TRIM('Raw Data'!T298))=0),"",IF(AND(ISNUMBER('Raw Data'!T298), IFERROR('Raw Data'!T298 = ROUND('Raw Data'!T298, 2),FALSE)),"",_xlfn.REGEXEXTRACT(CELL("address",T298), "\$([A-Z]+)\$[0-9]+"))),_xlfn.REGEXEXTRACT(CELL("address",T298), "\$([A-Z]+)\$[0-9]+"))</f>
        <v/>
      </c>
      <c r="U298" s="7" t="str" cm="1">
        <f t="array" aca="1" ref="U298" ca="1">IFERROR(IF(OR('Raw Data'!U298="",LEN(TRIM('Raw Data'!U298))=0),"",IF(AND(ISNUMBER('Raw Data'!U298), IFERROR('Raw Data'!U298 = ROUND('Raw Data'!U298, 2),FALSE)),"",_xlfn.REGEXEXTRACT(CELL("address",U298), "\$([A-Z]+)\$[0-9]+"))),_xlfn.REGEXEXTRACT(CELL("address",U298), "\$([A-Z]+)\$[0-9]+"))</f>
        <v/>
      </c>
      <c r="V298" s="7" t="str" cm="1">
        <f t="array" aca="1" ref="V298" ca="1">IFERROR(IF(OR('Raw Data'!V298="",LEN(TRIM('Raw Data'!V298))=0),"",IF(AND(ISNUMBER('Raw Data'!V298), IFERROR('Raw Data'!V298 = ROUND('Raw Data'!V298, 2),FALSE)),"",_xlfn.REGEXEXTRACT(CELL("address",V298), "\$([A-Z]+)\$[0-9]+"))),_xlfn.REGEXEXTRACT(CELL("address",V298), "\$([A-Z]+)\$[0-9]+"))</f>
        <v/>
      </c>
      <c r="W298" s="7" t="str" cm="1">
        <f t="array" aca="1" ref="W298" ca="1">IFERROR(IF(OR('Raw Data'!W298="",LEN(TRIM('Raw Data'!W298))=0),"",IF(AND(ISNUMBER('Raw Data'!W298), IFERROR('Raw Data'!W298 = ROUND('Raw Data'!W298, 2),FALSE)),"",_xlfn.REGEXEXTRACT(CELL("address",W298), "\$([A-Z]+)\$[0-9]+"))),_xlfn.REGEXEXTRACT(CELL("address",W298), "\$([A-Z]+)\$[0-9]+"))</f>
        <v/>
      </c>
      <c r="X298" s="7" t="str" cm="1">
        <f t="array" aca="1" ref="X298" ca="1">IFERROR(IF(OR('Raw Data'!X298="",LEN(TRIM('Raw Data'!X298))=0),"",IF(AND(ISNUMBER('Raw Data'!X298), IFERROR('Raw Data'!X298 = ROUND('Raw Data'!X298, 2),FALSE)),"",_xlfn.REGEXEXTRACT(CELL("address",X298), "\$([A-Z]+)\$[0-9]+"))),_xlfn.REGEXEXTRACT(CELL("address",X298), "\$([A-Z]+)\$[0-9]+"))</f>
        <v/>
      </c>
      <c r="Y298" s="7" t="str" cm="1">
        <f t="array" aca="1" ref="Y298" ca="1">IFERROR(IF(OR('Raw Data'!Y298="",LEN(TRIM('Raw Data'!Y298))=0),"",IF(AND(ISNUMBER('Raw Data'!Y298), IFERROR('Raw Data'!Y298 = ROUND('Raw Data'!Y298, 2),FALSE)),"",_xlfn.REGEXEXTRACT(CELL("address",Y298), "\$([A-Z]+)\$[0-9]+"))),_xlfn.REGEXEXTRACT(CELL("address",Y298), "\$([A-Z]+)\$[0-9]+"))</f>
        <v/>
      </c>
      <c r="Z298" s="7" t="str" cm="1">
        <f t="array" aca="1" ref="Z298" ca="1">IFERROR(IF(OR('Raw Data'!Z298="",LEN(TRIM('Raw Data'!Z298))=0),"",IF(AND(ISNUMBER('Raw Data'!Z298), IFERROR('Raw Data'!Z298 = ROUND('Raw Data'!Z298, 2),FALSE)),"",_xlfn.REGEXEXTRACT(CELL("address",Z298), "\$([A-Z]+)\$[0-9]+"))),_xlfn.REGEXEXTRACT(CELL("address",Z298), "\$([A-Z]+)\$[0-9]+"))</f>
        <v/>
      </c>
      <c r="AA298" s="7" t="str" cm="1">
        <f t="array" aca="1" ref="AA298" ca="1">IFERROR(IF(OR('Raw Data'!AA298="",LEN(TRIM('Raw Data'!AA298))=0),"",IF(AND(ISNUMBER('Raw Data'!AA298), IFERROR('Raw Data'!AA298 = ROUND('Raw Data'!AA298, 2),FALSE)),"",_xlfn.REGEXEXTRACT(CELL("address",AA298), "\$([A-Z]+)\$[0-9]+"))),_xlfn.REGEXEXTRACT(CELL("address",AA298), "\$([A-Z]+)\$[0-9]+"))</f>
        <v/>
      </c>
      <c r="AB298" s="7" t="str" cm="1">
        <f t="array" aca="1" ref="AB298" ca="1">IFERROR(IF(OR('Raw Data'!AB298="",LEN(TRIM('Raw Data'!AB298))=0),"",IF(AND(ISNUMBER('Raw Data'!AB298), IFERROR('Raw Data'!AB298 = ROUND('Raw Data'!AB298, 2),FALSE)),"",_xlfn.REGEXEXTRACT(CELL("address",AB298), "\$([A-Z]+)\$[0-9]+"))),_xlfn.REGEXEXTRACT(CELL("address",AB298), "\$([A-Z]+)\$[0-9]+"))</f>
        <v/>
      </c>
    </row>
    <row r="299" spans="2:28" x14ac:dyDescent="0.25">
      <c r="B299" s="7" t="str" cm="1">
        <f t="array" aca="1" ref="B299" ca="1">IFERROR(IF(OR('Raw Data'!B299="",LEN(TRIM('Raw Data'!B299))=0),"",IF(AND(LEN('Raw Data'!B299) &lt;= 255,LEN('Raw Data'!B299)&gt; 0),"",_xlfn.REGEXEXTRACT(CELL("address",'Raw Data'!B299),"\$([A-Z]+)\$[0-9]+"))),_xlfn.REGEXEXTRACT(CELL("address",'Raw Data'!B299),"\$([A-Z]+)\$[0-9]+"))</f>
        <v/>
      </c>
      <c r="C299" s="7" t="str" cm="1">
        <f t="array" aca="1" ref="C299" ca="1">IFERROR(IF(OR('Raw Data'!C299="",LEN(TRIM('Raw Data'!C299))=0),"",IF(AND(LEN('Raw Data'!C299) &lt;= 20,LEN('Raw Data'!C299)&gt; 0),"",_xlfn.REGEXEXTRACT(CELL("address",'Raw Data'!C299),"\$([A-Z]+)\$[0-9]+"))),_xlfn.REGEXEXTRACT(CELL("address",'Raw Data'!C299),"\$([A-Z]+)\$[0-9]+"))</f>
        <v/>
      </c>
      <c r="D299" s="7" t="str" cm="1">
        <f t="array" aca="1" ref="D299" ca="1">IFERROR(IF(OR('Raw Data'!D299="",LEN(TRIM('Raw Data'!D299))=0),"",IF(AND(ISNUMBER('Raw Data'!D299),'Raw Data'!D299&gt;=Configuration!$D$2),"",_xlfn.REGEXEXTRACT(CELL("address",'Raw Data'!D299),"\$([A-Z]+)\$[0-9]+"))),_xlfn.REGEXEXTRACT(CELL("address",D299), "\$([A-Z]+)\$[0-9]+"))</f>
        <v/>
      </c>
      <c r="E299" s="7" t="str" cm="1">
        <f t="array" aca="1" ref="E299" ca="1">IFERROR(IF(OR('Raw Data'!E299="",LEN(TRIM('Raw Data'!E299))=0),"",IF(AND(ISNUMBER('Raw Data'!E299), IFERROR('Raw Data'!E299 = ROUND('Raw Data'!E299, 2),FALSE)),"",_xlfn.REGEXEXTRACT(CELL("address",E299), "\$([A-Z]+)\$[0-9]+"))),_xlfn.REGEXEXTRACT(CELL("address",E299), "\$([A-Z]+)\$[0-9]+"))</f>
        <v/>
      </c>
      <c r="F299" s="7" t="str" cm="1">
        <f t="array" aca="1" ref="F299" ca="1">IFERROR(IF(OR('Raw Data'!F299="",LEN(TRIM('Raw Data'!F299))=0),"",IF(AND(ISNUMBER('Raw Data'!F299), IFERROR('Raw Data'!F299 = ROUND('Raw Data'!F299, 2),FALSE)),"",_xlfn.REGEXEXTRACT(CELL("address",F299), "\$([A-Z]+)\$[0-9]+"))),_xlfn.REGEXEXTRACT(CELL("address",F299), "\$([A-Z]+)\$[0-9]+"))</f>
        <v/>
      </c>
      <c r="G299" s="7" t="str" cm="1">
        <f t="array" aca="1" ref="G299" ca="1">IFERROR(IF(OR('Raw Data'!G299="",LEN(TRIM('Raw Data'!G299))=0),"",IF(AND(ISNUMBER('Raw Data'!G299), IFERROR('Raw Data'!G299 = ROUND('Raw Data'!G299, 2),FALSE)),"",_xlfn.REGEXEXTRACT(CELL("address",G299), "\$([A-Z]+)\$[0-9]+"))),_xlfn.REGEXEXTRACT(CELL("address",G299), "\$([A-Z]+)\$[0-9]+"))</f>
        <v/>
      </c>
      <c r="H299" s="7" t="str" cm="1">
        <f t="array" aca="1" ref="H299" ca="1">IFERROR(IF(OR('Raw Data'!H299="",LEN(TRIM('Raw Data'!H299))=0),"",IF(AND(ISNUMBER('Raw Data'!H299), IFERROR('Raw Data'!H299 = ROUND('Raw Data'!H299, 2),FALSE)),"",_xlfn.REGEXEXTRACT(CELL("address",H299), "\$([A-Z]+)\$[0-9]+"))),_xlfn.REGEXEXTRACT(CELL("address",H299), "\$([A-Z]+)\$[0-9]+"))</f>
        <v/>
      </c>
      <c r="I299" s="7" t="str" cm="1">
        <f t="array" aca="1" ref="I299" ca="1">IFERROR(IF(OR('Raw Data'!I299="",LEN(TRIM('Raw Data'!I299))=0),"",IF(AND(ISNUMBER('Raw Data'!I299), IFERROR('Raw Data'!I299 = ROUND('Raw Data'!I299, 2),FALSE)),"",_xlfn.REGEXEXTRACT(CELL("address",I299), "\$([A-Z]+)\$[0-9]+"))),_xlfn.REGEXEXTRACT(CELL("address",I299), "\$([A-Z]+)\$[0-9]+"))</f>
        <v/>
      </c>
      <c r="J299" s="7" t="str" cm="1">
        <f t="array" aca="1" ref="J299" ca="1">IFERROR(IF(OR('Raw Data'!J299="",LEN(TRIM('Raw Data'!J299))=0),"",IF(AND(ISNUMBER('Raw Data'!J299), IFERROR('Raw Data'!J299 = ROUND('Raw Data'!J299, 2),FALSE)),"",_xlfn.REGEXEXTRACT(CELL("address",J299), "\$([A-Z]+)\$[0-9]+"))),_xlfn.REGEXEXTRACT(CELL("address",J299), "\$([A-Z]+)\$[0-9]+"))</f>
        <v/>
      </c>
      <c r="K299" s="7" t="str" cm="1">
        <f t="array" aca="1" ref="K299" ca="1">IFERROR(IF(OR('Raw Data'!K299="",LEN(TRIM('Raw Data'!K299))=0),"",IF(AND(ISNUMBER('Raw Data'!K299), IFERROR('Raw Data'!K299 = ROUND('Raw Data'!K299, 2),FALSE)),"",_xlfn.REGEXEXTRACT(CELL("address",K299), "\$([A-Z]+)\$[0-9]+"))),_xlfn.REGEXEXTRACT(CELL("address",K299), "\$([A-Z]+)\$[0-9]+"))</f>
        <v/>
      </c>
      <c r="L299" s="7" t="str" cm="1">
        <f t="array" aca="1" ref="L299" ca="1">IFERROR(IF(OR('Raw Data'!L299="",LEN(TRIM('Raw Data'!L299))=0),"",IF(AND(ISNUMBER('Raw Data'!L299), IFERROR('Raw Data'!L299 = ROUND('Raw Data'!L299, 2),FALSE)),"",_xlfn.REGEXEXTRACT(CELL("address",L299), "\$([A-Z]+)\$[0-9]+"))),_xlfn.REGEXEXTRACT(CELL("address",L299), "\$([A-Z]+)\$[0-9]+"))</f>
        <v/>
      </c>
      <c r="M299" s="7" t="str" cm="1">
        <f t="array" aca="1" ref="M299" ca="1">IFERROR(IF(OR('Raw Data'!M299="",LEN(TRIM('Raw Data'!M299))=0),"",IF(AND(ISNUMBER('Raw Data'!M299), IFERROR('Raw Data'!M299 = ROUND('Raw Data'!M299, 2),FALSE)),"",_xlfn.REGEXEXTRACT(CELL("address",M299), "\$([A-Z]+)\$[0-9]+"))),_xlfn.REGEXEXTRACT(CELL("address",M299), "\$([A-Z]+)\$[0-9]+"))</f>
        <v/>
      </c>
      <c r="N299" s="7" t="str" cm="1">
        <f t="array" aca="1" ref="N299" ca="1">IFERROR(IF(OR('Raw Data'!N299="",LEN(TRIM('Raw Data'!N299))=0),"",IF(AND(ISNUMBER('Raw Data'!N299), IFERROR('Raw Data'!N299 = ROUND('Raw Data'!N299, 2),FALSE)),"",_xlfn.REGEXEXTRACT(CELL("address",N299), "\$([A-Z]+)\$[0-9]+"))),_xlfn.REGEXEXTRACT(CELL("address",N299), "\$([A-Z]+)\$[0-9]+"))</f>
        <v/>
      </c>
      <c r="O299" s="7" t="str" cm="1">
        <f t="array" aca="1" ref="O299" ca="1">IFERROR(IF(OR('Raw Data'!O299="",LEN(TRIM('Raw Data'!O299))=0),"",IF(AND(ISNUMBER('Raw Data'!O299), IFERROR('Raw Data'!O299 = ROUND('Raw Data'!O299, 2),FALSE)),"",_xlfn.REGEXEXTRACT(CELL("address",O299), "\$([A-Z]+)\$[0-9]+"))),_xlfn.REGEXEXTRACT(CELL("address",O299), "\$([A-Z]+)\$[0-9]+"))</f>
        <v/>
      </c>
      <c r="P299" s="7" t="str" cm="1">
        <f t="array" aca="1" ref="P299" ca="1">IFERROR(IF(OR('Raw Data'!P299="",LEN(TRIM('Raw Data'!P299))=0),"",IF(AND(ISNUMBER('Raw Data'!P299), IFERROR('Raw Data'!P299 = ROUND('Raw Data'!P299, 2),FALSE)),"",_xlfn.REGEXEXTRACT(CELL("address",P299), "\$([A-Z]+)\$[0-9]+"))),_xlfn.REGEXEXTRACT(CELL("address",P299), "\$([A-Z]+)\$[0-9]+"))</f>
        <v/>
      </c>
      <c r="Q299" s="7" t="str" cm="1">
        <f t="array" aca="1" ref="Q299" ca="1">IFERROR(IF(OR('Raw Data'!Q299="",LEN(TRIM('Raw Data'!Q299))=0),"",IF(AND(ISNUMBER('Raw Data'!Q299), IFERROR('Raw Data'!Q299 = ROUND('Raw Data'!Q299, 2),FALSE)),"",_xlfn.REGEXEXTRACT(CELL("address",Q299), "\$([A-Z]+)\$[0-9]+"))),_xlfn.REGEXEXTRACT(CELL("address",Q299), "\$([A-Z]+)\$[0-9]+"))</f>
        <v/>
      </c>
      <c r="R299" s="7" t="str" cm="1">
        <f t="array" aca="1" ref="R299" ca="1">IFERROR(IF(OR('Raw Data'!R299="",LEN(TRIM('Raw Data'!R299))=0),"",IF(AND(ISNUMBER('Raw Data'!R299), IFERROR('Raw Data'!R299 = ROUND('Raw Data'!R299, 2),FALSE)),"",_xlfn.REGEXEXTRACT(CELL("address",R299), "\$([A-Z]+)\$[0-9]+"))),_xlfn.REGEXEXTRACT(CELL("address",R299), "\$([A-Z]+)\$[0-9]+"))</f>
        <v/>
      </c>
      <c r="S299" s="7" t="str" cm="1">
        <f t="array" aca="1" ref="S299" ca="1">IFERROR(IF(OR('Raw Data'!S299="",LEN(TRIM('Raw Data'!S299))=0),"",IF(AND(ISNUMBER('Raw Data'!S299), IFERROR('Raw Data'!S299 = ROUND('Raw Data'!S299, 2),FALSE)),"",_xlfn.REGEXEXTRACT(CELL("address",S299), "\$([A-Z]+)\$[0-9]+"))),_xlfn.REGEXEXTRACT(CELL("address",S299), "\$([A-Z]+)\$[0-9]+"))</f>
        <v/>
      </c>
      <c r="T299" s="7" t="str" cm="1">
        <f t="array" aca="1" ref="T299" ca="1">IFERROR(IF(OR('Raw Data'!T299="",LEN(TRIM('Raw Data'!T299))=0),"",IF(AND(ISNUMBER('Raw Data'!T299), IFERROR('Raw Data'!T299 = ROUND('Raw Data'!T299, 2),FALSE)),"",_xlfn.REGEXEXTRACT(CELL("address",T299), "\$([A-Z]+)\$[0-9]+"))),_xlfn.REGEXEXTRACT(CELL("address",T299), "\$([A-Z]+)\$[0-9]+"))</f>
        <v/>
      </c>
      <c r="U299" s="7" t="str" cm="1">
        <f t="array" aca="1" ref="U299" ca="1">IFERROR(IF(OR('Raw Data'!U299="",LEN(TRIM('Raw Data'!U299))=0),"",IF(AND(ISNUMBER('Raw Data'!U299), IFERROR('Raw Data'!U299 = ROUND('Raw Data'!U299, 2),FALSE)),"",_xlfn.REGEXEXTRACT(CELL("address",U299), "\$([A-Z]+)\$[0-9]+"))),_xlfn.REGEXEXTRACT(CELL("address",U299), "\$([A-Z]+)\$[0-9]+"))</f>
        <v/>
      </c>
      <c r="V299" s="7" t="str" cm="1">
        <f t="array" aca="1" ref="V299" ca="1">IFERROR(IF(OR('Raw Data'!V299="",LEN(TRIM('Raw Data'!V299))=0),"",IF(AND(ISNUMBER('Raw Data'!V299), IFERROR('Raw Data'!V299 = ROUND('Raw Data'!V299, 2),FALSE)),"",_xlfn.REGEXEXTRACT(CELL("address",V299), "\$([A-Z]+)\$[0-9]+"))),_xlfn.REGEXEXTRACT(CELL("address",V299), "\$([A-Z]+)\$[0-9]+"))</f>
        <v/>
      </c>
      <c r="W299" s="7" t="str" cm="1">
        <f t="array" aca="1" ref="W299" ca="1">IFERROR(IF(OR('Raw Data'!W299="",LEN(TRIM('Raw Data'!W299))=0),"",IF(AND(ISNUMBER('Raw Data'!W299), IFERROR('Raw Data'!W299 = ROUND('Raw Data'!W299, 2),FALSE)),"",_xlfn.REGEXEXTRACT(CELL("address",W299), "\$([A-Z]+)\$[0-9]+"))),_xlfn.REGEXEXTRACT(CELL("address",W299), "\$([A-Z]+)\$[0-9]+"))</f>
        <v/>
      </c>
      <c r="X299" s="7" t="str" cm="1">
        <f t="array" aca="1" ref="X299" ca="1">IFERROR(IF(OR('Raw Data'!X299="",LEN(TRIM('Raw Data'!X299))=0),"",IF(AND(ISNUMBER('Raw Data'!X299), IFERROR('Raw Data'!X299 = ROUND('Raw Data'!X299, 2),FALSE)),"",_xlfn.REGEXEXTRACT(CELL("address",X299), "\$([A-Z]+)\$[0-9]+"))),_xlfn.REGEXEXTRACT(CELL("address",X299), "\$([A-Z]+)\$[0-9]+"))</f>
        <v/>
      </c>
      <c r="Y299" s="7" t="str" cm="1">
        <f t="array" aca="1" ref="Y299" ca="1">IFERROR(IF(OR('Raw Data'!Y299="",LEN(TRIM('Raw Data'!Y299))=0),"",IF(AND(ISNUMBER('Raw Data'!Y299), IFERROR('Raw Data'!Y299 = ROUND('Raw Data'!Y299, 2),FALSE)),"",_xlfn.REGEXEXTRACT(CELL("address",Y299), "\$([A-Z]+)\$[0-9]+"))),_xlfn.REGEXEXTRACT(CELL("address",Y299), "\$([A-Z]+)\$[0-9]+"))</f>
        <v/>
      </c>
      <c r="Z299" s="7" t="str" cm="1">
        <f t="array" aca="1" ref="Z299" ca="1">IFERROR(IF(OR('Raw Data'!Z299="",LEN(TRIM('Raw Data'!Z299))=0),"",IF(AND(ISNUMBER('Raw Data'!Z299), IFERROR('Raw Data'!Z299 = ROUND('Raw Data'!Z299, 2),FALSE)),"",_xlfn.REGEXEXTRACT(CELL("address",Z299), "\$([A-Z]+)\$[0-9]+"))),_xlfn.REGEXEXTRACT(CELL("address",Z299), "\$([A-Z]+)\$[0-9]+"))</f>
        <v/>
      </c>
      <c r="AA299" s="7" t="str" cm="1">
        <f t="array" aca="1" ref="AA299" ca="1">IFERROR(IF(OR('Raw Data'!AA299="",LEN(TRIM('Raw Data'!AA299))=0),"",IF(AND(ISNUMBER('Raw Data'!AA299), IFERROR('Raw Data'!AA299 = ROUND('Raw Data'!AA299, 2),FALSE)),"",_xlfn.REGEXEXTRACT(CELL("address",AA299), "\$([A-Z]+)\$[0-9]+"))),_xlfn.REGEXEXTRACT(CELL("address",AA299), "\$([A-Z]+)\$[0-9]+"))</f>
        <v/>
      </c>
      <c r="AB299" s="7" t="str" cm="1">
        <f t="array" aca="1" ref="AB299" ca="1">IFERROR(IF(OR('Raw Data'!AB299="",LEN(TRIM('Raw Data'!AB299))=0),"",IF(AND(ISNUMBER('Raw Data'!AB299), IFERROR('Raw Data'!AB299 = ROUND('Raw Data'!AB299, 2),FALSE)),"",_xlfn.REGEXEXTRACT(CELL("address",AB299), "\$([A-Z]+)\$[0-9]+"))),_xlfn.REGEXEXTRACT(CELL("address",AB299), "\$([A-Z]+)\$[0-9]+"))</f>
        <v/>
      </c>
    </row>
    <row r="300" spans="2:28" x14ac:dyDescent="0.25">
      <c r="B300" s="7" t="str" cm="1">
        <f t="array" aca="1" ref="B300" ca="1">IFERROR(IF(OR('Raw Data'!B300="",LEN(TRIM('Raw Data'!B300))=0),"",IF(AND(LEN('Raw Data'!B300) &lt;= 255,LEN('Raw Data'!B300)&gt; 0),"",_xlfn.REGEXEXTRACT(CELL("address",'Raw Data'!B300),"\$([A-Z]+)\$[0-9]+"))),_xlfn.REGEXEXTRACT(CELL("address",'Raw Data'!B300),"\$([A-Z]+)\$[0-9]+"))</f>
        <v/>
      </c>
      <c r="C300" s="7" t="str" cm="1">
        <f t="array" aca="1" ref="C300" ca="1">IFERROR(IF(OR('Raw Data'!C300="",LEN(TRIM('Raw Data'!C300))=0),"",IF(AND(LEN('Raw Data'!C300) &lt;= 20,LEN('Raw Data'!C300)&gt; 0),"",_xlfn.REGEXEXTRACT(CELL("address",'Raw Data'!C300),"\$([A-Z]+)\$[0-9]+"))),_xlfn.REGEXEXTRACT(CELL("address",'Raw Data'!C300),"\$([A-Z]+)\$[0-9]+"))</f>
        <v/>
      </c>
      <c r="D300" s="7" t="str" cm="1">
        <f t="array" aca="1" ref="D300" ca="1">IFERROR(IF(OR('Raw Data'!D300="",LEN(TRIM('Raw Data'!D300))=0),"",IF(AND(ISNUMBER('Raw Data'!D300),'Raw Data'!D300&gt;=Configuration!$D$2),"",_xlfn.REGEXEXTRACT(CELL("address",'Raw Data'!D300),"\$([A-Z]+)\$[0-9]+"))),_xlfn.REGEXEXTRACT(CELL("address",D300), "\$([A-Z]+)\$[0-9]+"))</f>
        <v/>
      </c>
      <c r="E300" s="7" t="str" cm="1">
        <f t="array" aca="1" ref="E300" ca="1">IFERROR(IF(OR('Raw Data'!E300="",LEN(TRIM('Raw Data'!E300))=0),"",IF(AND(ISNUMBER('Raw Data'!E300), IFERROR('Raw Data'!E300 = ROUND('Raw Data'!E300, 2),FALSE)),"",_xlfn.REGEXEXTRACT(CELL("address",E300), "\$([A-Z]+)\$[0-9]+"))),_xlfn.REGEXEXTRACT(CELL("address",E300), "\$([A-Z]+)\$[0-9]+"))</f>
        <v/>
      </c>
      <c r="F300" s="7" t="str" cm="1">
        <f t="array" aca="1" ref="F300" ca="1">IFERROR(IF(OR('Raw Data'!F300="",LEN(TRIM('Raw Data'!F300))=0),"",IF(AND(ISNUMBER('Raw Data'!F300), IFERROR('Raw Data'!F300 = ROUND('Raw Data'!F300, 2),FALSE)),"",_xlfn.REGEXEXTRACT(CELL("address",F300), "\$([A-Z]+)\$[0-9]+"))),_xlfn.REGEXEXTRACT(CELL("address",F300), "\$([A-Z]+)\$[0-9]+"))</f>
        <v/>
      </c>
      <c r="G300" s="7" t="str" cm="1">
        <f t="array" aca="1" ref="G300" ca="1">IFERROR(IF(OR('Raw Data'!G300="",LEN(TRIM('Raw Data'!G300))=0),"",IF(AND(ISNUMBER('Raw Data'!G300), IFERROR('Raw Data'!G300 = ROUND('Raw Data'!G300, 2),FALSE)),"",_xlfn.REGEXEXTRACT(CELL("address",G300), "\$([A-Z]+)\$[0-9]+"))),_xlfn.REGEXEXTRACT(CELL("address",G300), "\$([A-Z]+)\$[0-9]+"))</f>
        <v/>
      </c>
      <c r="H300" s="7" t="str" cm="1">
        <f t="array" aca="1" ref="H300" ca="1">IFERROR(IF(OR('Raw Data'!H300="",LEN(TRIM('Raw Data'!H300))=0),"",IF(AND(ISNUMBER('Raw Data'!H300), IFERROR('Raw Data'!H300 = ROUND('Raw Data'!H300, 2),FALSE)),"",_xlfn.REGEXEXTRACT(CELL("address",H300), "\$([A-Z]+)\$[0-9]+"))),_xlfn.REGEXEXTRACT(CELL("address",H300), "\$([A-Z]+)\$[0-9]+"))</f>
        <v/>
      </c>
      <c r="I300" s="7" t="str" cm="1">
        <f t="array" aca="1" ref="I300" ca="1">IFERROR(IF(OR('Raw Data'!I300="",LEN(TRIM('Raw Data'!I300))=0),"",IF(AND(ISNUMBER('Raw Data'!I300), IFERROR('Raw Data'!I300 = ROUND('Raw Data'!I300, 2),FALSE)),"",_xlfn.REGEXEXTRACT(CELL("address",I300), "\$([A-Z]+)\$[0-9]+"))),_xlfn.REGEXEXTRACT(CELL("address",I300), "\$([A-Z]+)\$[0-9]+"))</f>
        <v/>
      </c>
      <c r="J300" s="7" t="str" cm="1">
        <f t="array" aca="1" ref="J300" ca="1">IFERROR(IF(OR('Raw Data'!J300="",LEN(TRIM('Raw Data'!J300))=0),"",IF(AND(ISNUMBER('Raw Data'!J300), IFERROR('Raw Data'!J300 = ROUND('Raw Data'!J300, 2),FALSE)),"",_xlfn.REGEXEXTRACT(CELL("address",J300), "\$([A-Z]+)\$[0-9]+"))),_xlfn.REGEXEXTRACT(CELL("address",J300), "\$([A-Z]+)\$[0-9]+"))</f>
        <v/>
      </c>
      <c r="K300" s="7" t="str" cm="1">
        <f t="array" aca="1" ref="K300" ca="1">IFERROR(IF(OR('Raw Data'!K300="",LEN(TRIM('Raw Data'!K300))=0),"",IF(AND(ISNUMBER('Raw Data'!K300), IFERROR('Raw Data'!K300 = ROUND('Raw Data'!K300, 2),FALSE)),"",_xlfn.REGEXEXTRACT(CELL("address",K300), "\$([A-Z]+)\$[0-9]+"))),_xlfn.REGEXEXTRACT(CELL("address",K300), "\$([A-Z]+)\$[0-9]+"))</f>
        <v/>
      </c>
      <c r="L300" s="7" t="str" cm="1">
        <f t="array" aca="1" ref="L300" ca="1">IFERROR(IF(OR('Raw Data'!L300="",LEN(TRIM('Raw Data'!L300))=0),"",IF(AND(ISNUMBER('Raw Data'!L300), IFERROR('Raw Data'!L300 = ROUND('Raw Data'!L300, 2),FALSE)),"",_xlfn.REGEXEXTRACT(CELL("address",L300), "\$([A-Z]+)\$[0-9]+"))),_xlfn.REGEXEXTRACT(CELL("address",L300), "\$([A-Z]+)\$[0-9]+"))</f>
        <v/>
      </c>
      <c r="M300" s="7" t="str" cm="1">
        <f t="array" aca="1" ref="M300" ca="1">IFERROR(IF(OR('Raw Data'!M300="",LEN(TRIM('Raw Data'!M300))=0),"",IF(AND(ISNUMBER('Raw Data'!M300), IFERROR('Raw Data'!M300 = ROUND('Raw Data'!M300, 2),FALSE)),"",_xlfn.REGEXEXTRACT(CELL("address",M300), "\$([A-Z]+)\$[0-9]+"))),_xlfn.REGEXEXTRACT(CELL("address",M300), "\$([A-Z]+)\$[0-9]+"))</f>
        <v/>
      </c>
      <c r="N300" s="7" t="str" cm="1">
        <f t="array" aca="1" ref="N300" ca="1">IFERROR(IF(OR('Raw Data'!N300="",LEN(TRIM('Raw Data'!N300))=0),"",IF(AND(ISNUMBER('Raw Data'!N300), IFERROR('Raw Data'!N300 = ROUND('Raw Data'!N300, 2),FALSE)),"",_xlfn.REGEXEXTRACT(CELL("address",N300), "\$([A-Z]+)\$[0-9]+"))),_xlfn.REGEXEXTRACT(CELL("address",N300), "\$([A-Z]+)\$[0-9]+"))</f>
        <v/>
      </c>
      <c r="O300" s="7" t="str" cm="1">
        <f t="array" aca="1" ref="O300" ca="1">IFERROR(IF(OR('Raw Data'!O300="",LEN(TRIM('Raw Data'!O300))=0),"",IF(AND(ISNUMBER('Raw Data'!O300), IFERROR('Raw Data'!O300 = ROUND('Raw Data'!O300, 2),FALSE)),"",_xlfn.REGEXEXTRACT(CELL("address",O300), "\$([A-Z]+)\$[0-9]+"))),_xlfn.REGEXEXTRACT(CELL("address",O300), "\$([A-Z]+)\$[0-9]+"))</f>
        <v/>
      </c>
      <c r="P300" s="7" t="str" cm="1">
        <f t="array" aca="1" ref="P300" ca="1">IFERROR(IF(OR('Raw Data'!P300="",LEN(TRIM('Raw Data'!P300))=0),"",IF(AND(ISNUMBER('Raw Data'!P300), IFERROR('Raw Data'!P300 = ROUND('Raw Data'!P300, 2),FALSE)),"",_xlfn.REGEXEXTRACT(CELL("address",P300), "\$([A-Z]+)\$[0-9]+"))),_xlfn.REGEXEXTRACT(CELL("address",P300), "\$([A-Z]+)\$[0-9]+"))</f>
        <v/>
      </c>
      <c r="Q300" s="7" t="str" cm="1">
        <f t="array" aca="1" ref="Q300" ca="1">IFERROR(IF(OR('Raw Data'!Q300="",LEN(TRIM('Raw Data'!Q300))=0),"",IF(AND(ISNUMBER('Raw Data'!Q300), IFERROR('Raw Data'!Q300 = ROUND('Raw Data'!Q300, 2),FALSE)),"",_xlfn.REGEXEXTRACT(CELL("address",Q300), "\$([A-Z]+)\$[0-9]+"))),_xlfn.REGEXEXTRACT(CELL("address",Q300), "\$([A-Z]+)\$[0-9]+"))</f>
        <v/>
      </c>
      <c r="R300" s="7" t="str" cm="1">
        <f t="array" aca="1" ref="R300" ca="1">IFERROR(IF(OR('Raw Data'!R300="",LEN(TRIM('Raw Data'!R300))=0),"",IF(AND(ISNUMBER('Raw Data'!R300), IFERROR('Raw Data'!R300 = ROUND('Raw Data'!R300, 2),FALSE)),"",_xlfn.REGEXEXTRACT(CELL("address",R300), "\$([A-Z]+)\$[0-9]+"))),_xlfn.REGEXEXTRACT(CELL("address",R300), "\$([A-Z]+)\$[0-9]+"))</f>
        <v/>
      </c>
      <c r="S300" s="7" t="str" cm="1">
        <f t="array" aca="1" ref="S300" ca="1">IFERROR(IF(OR('Raw Data'!S300="",LEN(TRIM('Raw Data'!S300))=0),"",IF(AND(ISNUMBER('Raw Data'!S300), IFERROR('Raw Data'!S300 = ROUND('Raw Data'!S300, 2),FALSE)),"",_xlfn.REGEXEXTRACT(CELL("address",S300), "\$([A-Z]+)\$[0-9]+"))),_xlfn.REGEXEXTRACT(CELL("address",S300), "\$([A-Z]+)\$[0-9]+"))</f>
        <v/>
      </c>
      <c r="T300" s="7" t="str" cm="1">
        <f t="array" aca="1" ref="T300" ca="1">IFERROR(IF(OR('Raw Data'!T300="",LEN(TRIM('Raw Data'!T300))=0),"",IF(AND(ISNUMBER('Raw Data'!T300), IFERROR('Raw Data'!T300 = ROUND('Raw Data'!T300, 2),FALSE)),"",_xlfn.REGEXEXTRACT(CELL("address",T300), "\$([A-Z]+)\$[0-9]+"))),_xlfn.REGEXEXTRACT(CELL("address",T300), "\$([A-Z]+)\$[0-9]+"))</f>
        <v/>
      </c>
      <c r="U300" s="7" t="str" cm="1">
        <f t="array" aca="1" ref="U300" ca="1">IFERROR(IF(OR('Raw Data'!U300="",LEN(TRIM('Raw Data'!U300))=0),"",IF(AND(ISNUMBER('Raw Data'!U300), IFERROR('Raw Data'!U300 = ROUND('Raw Data'!U300, 2),FALSE)),"",_xlfn.REGEXEXTRACT(CELL("address",U300), "\$([A-Z]+)\$[0-9]+"))),_xlfn.REGEXEXTRACT(CELL("address",U300), "\$([A-Z]+)\$[0-9]+"))</f>
        <v/>
      </c>
      <c r="V300" s="7" t="str" cm="1">
        <f t="array" aca="1" ref="V300" ca="1">IFERROR(IF(OR('Raw Data'!V300="",LEN(TRIM('Raw Data'!V300))=0),"",IF(AND(ISNUMBER('Raw Data'!V300), IFERROR('Raw Data'!V300 = ROUND('Raw Data'!V300, 2),FALSE)),"",_xlfn.REGEXEXTRACT(CELL("address",V300), "\$([A-Z]+)\$[0-9]+"))),_xlfn.REGEXEXTRACT(CELL("address",V300), "\$([A-Z]+)\$[0-9]+"))</f>
        <v/>
      </c>
      <c r="W300" s="7" t="str" cm="1">
        <f t="array" aca="1" ref="W300" ca="1">IFERROR(IF(OR('Raw Data'!W300="",LEN(TRIM('Raw Data'!W300))=0),"",IF(AND(ISNUMBER('Raw Data'!W300), IFERROR('Raw Data'!W300 = ROUND('Raw Data'!W300, 2),FALSE)),"",_xlfn.REGEXEXTRACT(CELL("address",W300), "\$([A-Z]+)\$[0-9]+"))),_xlfn.REGEXEXTRACT(CELL("address",W300), "\$([A-Z]+)\$[0-9]+"))</f>
        <v/>
      </c>
      <c r="X300" s="7" t="str" cm="1">
        <f t="array" aca="1" ref="X300" ca="1">IFERROR(IF(OR('Raw Data'!X300="",LEN(TRIM('Raw Data'!X300))=0),"",IF(AND(ISNUMBER('Raw Data'!X300), IFERROR('Raw Data'!X300 = ROUND('Raw Data'!X300, 2),FALSE)),"",_xlfn.REGEXEXTRACT(CELL("address",X300), "\$([A-Z]+)\$[0-9]+"))),_xlfn.REGEXEXTRACT(CELL("address",X300), "\$([A-Z]+)\$[0-9]+"))</f>
        <v/>
      </c>
      <c r="Y300" s="7" t="str" cm="1">
        <f t="array" aca="1" ref="Y300" ca="1">IFERROR(IF(OR('Raw Data'!Y300="",LEN(TRIM('Raw Data'!Y300))=0),"",IF(AND(ISNUMBER('Raw Data'!Y300), IFERROR('Raw Data'!Y300 = ROUND('Raw Data'!Y300, 2),FALSE)),"",_xlfn.REGEXEXTRACT(CELL("address",Y300), "\$([A-Z]+)\$[0-9]+"))),_xlfn.REGEXEXTRACT(CELL("address",Y300), "\$([A-Z]+)\$[0-9]+"))</f>
        <v/>
      </c>
      <c r="Z300" s="7" t="str" cm="1">
        <f t="array" aca="1" ref="Z300" ca="1">IFERROR(IF(OR('Raw Data'!Z300="",LEN(TRIM('Raw Data'!Z300))=0),"",IF(AND(ISNUMBER('Raw Data'!Z300), IFERROR('Raw Data'!Z300 = ROUND('Raw Data'!Z300, 2),FALSE)),"",_xlfn.REGEXEXTRACT(CELL("address",Z300), "\$([A-Z]+)\$[0-9]+"))),_xlfn.REGEXEXTRACT(CELL("address",Z300), "\$([A-Z]+)\$[0-9]+"))</f>
        <v/>
      </c>
      <c r="AA300" s="7" t="str" cm="1">
        <f t="array" aca="1" ref="AA300" ca="1">IFERROR(IF(OR('Raw Data'!AA300="",LEN(TRIM('Raw Data'!AA300))=0),"",IF(AND(ISNUMBER('Raw Data'!AA300), IFERROR('Raw Data'!AA300 = ROUND('Raw Data'!AA300, 2),FALSE)),"",_xlfn.REGEXEXTRACT(CELL("address",AA300), "\$([A-Z]+)\$[0-9]+"))),_xlfn.REGEXEXTRACT(CELL("address",AA300), "\$([A-Z]+)\$[0-9]+"))</f>
        <v/>
      </c>
      <c r="AB300" s="7" t="str" cm="1">
        <f t="array" aca="1" ref="AB300" ca="1">IFERROR(IF(OR('Raw Data'!AB300="",LEN(TRIM('Raw Data'!AB300))=0),"",IF(AND(ISNUMBER('Raw Data'!AB300), IFERROR('Raw Data'!AB300 = ROUND('Raw Data'!AB300, 2),FALSE)),"",_xlfn.REGEXEXTRACT(CELL("address",AB300), "\$([A-Z]+)\$[0-9]+"))),_xlfn.REGEXEXTRACT(CELL("address",AB300),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4E55-ED92-4D7C-9C85-F5A64C16D6B9}">
  <dimension ref="B8:AB300"/>
  <sheetViews>
    <sheetView zoomScale="40" zoomScaleNormal="40" workbookViewId="0">
      <selection activeCell="D3" sqref="D3"/>
    </sheetView>
  </sheetViews>
  <sheetFormatPr defaultRowHeight="15" x14ac:dyDescent="0.25"/>
  <cols>
    <col min="2" max="28" width="17.42578125" style="8" customWidth="1"/>
  </cols>
  <sheetData>
    <row r="8" spans="2:28" x14ac:dyDescent="0.25">
      <c r="B8" s="7" t="s">
        <v>65</v>
      </c>
      <c r="C8" s="7" t="s">
        <v>66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2:28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</row>
    <row r="10" spans="2:28" x14ac:dyDescent="0.25">
      <c r="B10" s="7" t="str" cm="1">
        <f t="array" aca="1" ref="B10" ca="1">IF(OR('Raw Data'!B10="",LEN(TRIM('Raw Data'!B10))=0,Validate_Empty!B10&lt;&gt;"",Validate_Value!B10&lt;&gt;""),"",IF('Raw Data'!B10 = Condition!B10,"",_xlfn.REGEXEXTRACT(CELL("address",'Raw Data'!B10),"\$([A-Z]+)\$[0-9]+")))</f>
        <v/>
      </c>
      <c r="C10" s="7" t="str" cm="1">
        <f t="array" aca="1" ref="C10" ca="1">IF(OR('Raw Data'!C10="",LEN(TRIM('Raw Data'!C10))=0,Validate_Empty!C10&lt;&gt;"",Validate_Value!C10&lt;&gt;""),"",IF('Raw Data'!C10 = Condition!C10,"",_xlfn.REGEXEXTRACT(CELL("address",'Raw Data'!C10),"\$([A-Z]+)\$[0-9]+")))</f>
        <v/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2:28" x14ac:dyDescent="0.25">
      <c r="B11" s="7" t="str" cm="1">
        <f t="array" aca="1" ref="B11" ca="1">IF(OR('Raw Data'!B11="",LEN(TRIM('Raw Data'!B11))=0,Validate_Empty!B11&lt;&gt;"",Validate_Value!B11&lt;&gt;""),"",IF('Raw Data'!B11 = Condition!B11,"",_xlfn.REGEXEXTRACT(CELL("address",'Raw Data'!B11),"\$([A-Z]+)\$[0-9]+")))</f>
        <v/>
      </c>
      <c r="C11" s="7" t="str" cm="1">
        <f t="array" aca="1" ref="C11" ca="1">IF(OR('Raw Data'!C11="",LEN(TRIM('Raw Data'!C11))=0,Validate_Empty!C11&lt;&gt;"",Validate_Value!C11&lt;&gt;""),"",IF('Raw Data'!C11 = Condition!C11,"",_xlfn.REGEXEXTRACT(CELL("address",'Raw Data'!C11),"\$([A-Z]+)\$[0-9]+")))</f>
        <v/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2:28" x14ac:dyDescent="0.25">
      <c r="B12" s="7" t="str" cm="1">
        <f t="array" aca="1" ref="B12" ca="1">IF(OR('Raw Data'!B12="",LEN(TRIM('Raw Data'!B12))=0,Validate_Empty!B12&lt;&gt;"",Validate_Value!B12&lt;&gt;""),"",IF('Raw Data'!B12 = Condition!B12,"",_xlfn.REGEXEXTRACT(CELL("address",'Raw Data'!B12),"\$([A-Z]+)\$[0-9]+")))</f>
        <v/>
      </c>
      <c r="C12" s="7" t="str" cm="1">
        <f t="array" aca="1" ref="C12" ca="1">IF(OR('Raw Data'!C12="",LEN(TRIM('Raw Data'!C12))=0,Validate_Empty!C12&lt;&gt;"",Validate_Value!C12&lt;&gt;""),"",IF('Raw Data'!C12 = Condition!C12,"",_xlfn.REGEXEXTRACT(CELL("address",'Raw Data'!C12),"\$([A-Z]+)\$[0-9]+")))</f>
        <v/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2:28" x14ac:dyDescent="0.25">
      <c r="B13" s="7" t="str" cm="1">
        <f t="array" aca="1" ref="B13" ca="1">IF(OR('Raw Data'!B13="",LEN(TRIM('Raw Data'!B13))=0,Validate_Empty!B13&lt;&gt;"",Validate_Value!B13&lt;&gt;""),"",IF('Raw Data'!B13 = Condition!B13,"",_xlfn.REGEXEXTRACT(CELL("address",'Raw Data'!B13),"\$([A-Z]+)\$[0-9]+")))</f>
        <v/>
      </c>
      <c r="C13" s="7" t="str" cm="1">
        <f t="array" aca="1" ref="C13" ca="1">IF(OR('Raw Data'!C13="",LEN(TRIM('Raw Data'!C13))=0,Validate_Empty!C13&lt;&gt;"",Validate_Value!C13&lt;&gt;""),"",IF('Raw Data'!C13 = Condition!C13,"",_xlfn.REGEXEXTRACT(CELL("address",'Raw Data'!C13),"\$([A-Z]+)\$[0-9]+")))</f>
        <v/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2:28" x14ac:dyDescent="0.25">
      <c r="B14" s="7" t="str" cm="1">
        <f t="array" aca="1" ref="B14" ca="1">IF(OR('Raw Data'!B14="",LEN(TRIM('Raw Data'!B14))=0,Validate_Empty!B14&lt;&gt;"",Validate_Value!B14&lt;&gt;""),"",IF('Raw Data'!B14 = Condition!B14,"",_xlfn.REGEXEXTRACT(CELL("address",'Raw Data'!B14),"\$([A-Z]+)\$[0-9]+")))</f>
        <v/>
      </c>
      <c r="C14" s="7" t="str" cm="1">
        <f t="array" aca="1" ref="C14" ca="1">IF(OR('Raw Data'!C14="",LEN(TRIM('Raw Data'!C14))=0,Validate_Empty!C14&lt;&gt;"",Validate_Value!C14&lt;&gt;""),"",IF('Raw Data'!C14 = Condition!C14,"",_xlfn.REGEXEXTRACT(CELL("address",'Raw Data'!C14),"\$([A-Z]+)\$[0-9]+")))</f>
        <v/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2:28" x14ac:dyDescent="0.25">
      <c r="B15" s="7" t="str" cm="1">
        <f t="array" aca="1" ref="B15" ca="1">IF(OR('Raw Data'!B15="",LEN(TRIM('Raw Data'!B15))=0,Validate_Empty!B15&lt;&gt;"",Validate_Value!B15&lt;&gt;""),"",IF('Raw Data'!B15 = Condition!B15,"",_xlfn.REGEXEXTRACT(CELL("address",'Raw Data'!B15),"\$([A-Z]+)\$[0-9]+")))</f>
        <v/>
      </c>
      <c r="C15" s="7" t="str" cm="1">
        <f t="array" aca="1" ref="C15" ca="1">IF(OR('Raw Data'!C15="",LEN(TRIM('Raw Data'!C15))=0,Validate_Empty!C15&lt;&gt;"",Validate_Value!C15&lt;&gt;""),"",IF('Raw Data'!C15 = Condition!C15,"",_xlfn.REGEXEXTRACT(CELL("address",'Raw Data'!C15),"\$([A-Z]+)\$[0-9]+")))</f>
        <v/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2:28" x14ac:dyDescent="0.25">
      <c r="B16" s="7" t="str" cm="1">
        <f t="array" aca="1" ref="B16" ca="1">IF(OR('Raw Data'!B16="",LEN(TRIM('Raw Data'!B16))=0,Validate_Empty!B16&lt;&gt;"",Validate_Value!B16&lt;&gt;""),"",IF('Raw Data'!B16 = Condition!B16,"",_xlfn.REGEXEXTRACT(CELL("address",'Raw Data'!B16),"\$([A-Z]+)\$[0-9]+")))</f>
        <v/>
      </c>
      <c r="C16" s="7" t="str" cm="1">
        <f t="array" aca="1" ref="C16" ca="1">IF(OR('Raw Data'!C16="",LEN(TRIM('Raw Data'!C16))=0,Validate_Empty!C16&lt;&gt;"",Validate_Value!C16&lt;&gt;""),"",IF('Raw Data'!C16 = Condition!C16,"",_xlfn.REGEXEXTRACT(CELL("address",'Raw Data'!C16),"\$([A-Z]+)\$[0-9]+")))</f>
        <v/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2:28" x14ac:dyDescent="0.25">
      <c r="B17" s="7" t="str" cm="1">
        <f t="array" aca="1" ref="B17" ca="1">IF(OR('Raw Data'!B17="",LEN(TRIM('Raw Data'!B17))=0,Validate_Empty!B17&lt;&gt;"",Validate_Value!B17&lt;&gt;""),"",IF('Raw Data'!B17 = Condition!B17,"",_xlfn.REGEXEXTRACT(CELL("address",'Raw Data'!B17),"\$([A-Z]+)\$[0-9]+")))</f>
        <v/>
      </c>
      <c r="C17" s="7" t="str" cm="1">
        <f t="array" aca="1" ref="C17" ca="1">IF(OR('Raw Data'!C17="",LEN(TRIM('Raw Data'!C17))=0,Validate_Empty!C17&lt;&gt;"",Validate_Value!C17&lt;&gt;""),"",IF('Raw Data'!C17 = Condition!C17,"",_xlfn.REGEXEXTRACT(CELL("address",'Raw Data'!C17),"\$([A-Z]+)\$[0-9]+")))</f>
        <v/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2:28" x14ac:dyDescent="0.25">
      <c r="B18" s="7" t="str" cm="1">
        <f t="array" aca="1" ref="B18" ca="1">IF(OR('Raw Data'!B18="",LEN(TRIM('Raw Data'!B18))=0,Validate_Empty!B18&lt;&gt;"",Validate_Value!B18&lt;&gt;""),"",IF('Raw Data'!B18 = Condition!B18,"",_xlfn.REGEXEXTRACT(CELL("address",'Raw Data'!B18),"\$([A-Z]+)\$[0-9]+")))</f>
        <v/>
      </c>
      <c r="C18" s="7" t="str" cm="1">
        <f t="array" aca="1" ref="C18" ca="1">IF(OR('Raw Data'!C18="",LEN(TRIM('Raw Data'!C18))=0,Validate_Empty!C18&lt;&gt;"",Validate_Value!C18&lt;&gt;""),"",IF('Raw Data'!C18 = Condition!C18,"",_xlfn.REGEXEXTRACT(CELL("address",'Raw Data'!C18),"\$([A-Z]+)\$[0-9]+")))</f>
        <v/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2:28" x14ac:dyDescent="0.25">
      <c r="B19" s="7" t="str" cm="1">
        <f t="array" aca="1" ref="B19" ca="1">IF(OR('Raw Data'!B19="",LEN(TRIM('Raw Data'!B19))=0,Validate_Empty!B19&lt;&gt;"",Validate_Value!B19&lt;&gt;""),"",IF('Raw Data'!B19 = Condition!B19,"",_xlfn.REGEXEXTRACT(CELL("address",'Raw Data'!B19),"\$([A-Z]+)\$[0-9]+")))</f>
        <v/>
      </c>
      <c r="C19" s="7" t="str" cm="1">
        <f t="array" aca="1" ref="C19" ca="1">IF(OR('Raw Data'!C19="",LEN(TRIM('Raw Data'!C19))=0,Validate_Empty!C19&lt;&gt;"",Validate_Value!C19&lt;&gt;""),"",IF('Raw Data'!C19 = Condition!C19,"",_xlfn.REGEXEXTRACT(CELL("address",'Raw Data'!C19),"\$([A-Z]+)\$[0-9]+")))</f>
        <v/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2:28" x14ac:dyDescent="0.25">
      <c r="B20" s="7" t="str" cm="1">
        <f t="array" aca="1" ref="B20" ca="1">IF(OR('Raw Data'!B20="",LEN(TRIM('Raw Data'!B20))=0,Validate_Empty!B20&lt;&gt;"",Validate_Value!B20&lt;&gt;""),"",IF('Raw Data'!B20 = Condition!B20,"",_xlfn.REGEXEXTRACT(CELL("address",'Raw Data'!B20),"\$([A-Z]+)\$[0-9]+")))</f>
        <v/>
      </c>
      <c r="C20" s="7" t="str" cm="1">
        <f t="array" aca="1" ref="C20" ca="1">IF(OR('Raw Data'!C20="",LEN(TRIM('Raw Data'!C20))=0,Validate_Empty!C20&lt;&gt;"",Validate_Value!C20&lt;&gt;""),"",IF('Raw Data'!C20 = Condition!C20,"",_xlfn.REGEXEXTRACT(CELL("address",'Raw Data'!C20),"\$([A-Z]+)\$[0-9]+")))</f>
        <v/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2:28" x14ac:dyDescent="0.25">
      <c r="B21" s="7" t="str" cm="1">
        <f t="array" aca="1" ref="B21" ca="1">IF(OR('Raw Data'!B21="",LEN(TRIM('Raw Data'!B21))=0,Validate_Empty!B21&lt;&gt;"",Validate_Value!B21&lt;&gt;""),"",IF('Raw Data'!B21 = Condition!B21,"",_xlfn.REGEXEXTRACT(CELL("address",'Raw Data'!B21),"\$([A-Z]+)\$[0-9]+")))</f>
        <v/>
      </c>
      <c r="C21" s="7" t="str" cm="1">
        <f t="array" aca="1" ref="C21" ca="1">IF(OR('Raw Data'!C21="",LEN(TRIM('Raw Data'!C21))=0,Validate_Empty!C21&lt;&gt;"",Validate_Value!C21&lt;&gt;""),"",IF('Raw Data'!C21 = Condition!C21,"",_xlfn.REGEXEXTRACT(CELL("address",'Raw Data'!C21),"\$([A-Z]+)\$[0-9]+")))</f>
        <v/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2:28" x14ac:dyDescent="0.25">
      <c r="B22" s="7" t="str" cm="1">
        <f t="array" aca="1" ref="B22" ca="1">IF(OR('Raw Data'!B22="",LEN(TRIM('Raw Data'!B22))=0,Validate_Empty!B22&lt;&gt;"",Validate_Value!B22&lt;&gt;""),"",IF('Raw Data'!B22 = Condition!B22,"",_xlfn.REGEXEXTRACT(CELL("address",'Raw Data'!B22),"\$([A-Z]+)\$[0-9]+")))</f>
        <v/>
      </c>
      <c r="C22" s="7" t="str" cm="1">
        <f t="array" aca="1" ref="C22" ca="1">IF(OR('Raw Data'!C22="",LEN(TRIM('Raw Data'!C22))=0,Validate_Empty!C22&lt;&gt;"",Validate_Value!C22&lt;&gt;""),"",IF('Raw Data'!C22 = Condition!C22,"",_xlfn.REGEXEXTRACT(CELL("address",'Raw Data'!C22),"\$([A-Z]+)\$[0-9]+")))</f>
        <v/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2:28" x14ac:dyDescent="0.25">
      <c r="B23" s="7" t="str" cm="1">
        <f t="array" aca="1" ref="B23" ca="1">IF(OR('Raw Data'!B23="",LEN(TRIM('Raw Data'!B23))=0,Validate_Empty!B23&lt;&gt;"",Validate_Value!B23&lt;&gt;""),"",IF('Raw Data'!B23 = Condition!B23,"",_xlfn.REGEXEXTRACT(CELL("address",'Raw Data'!B23),"\$([A-Z]+)\$[0-9]+")))</f>
        <v/>
      </c>
      <c r="C23" s="7" t="str" cm="1">
        <f t="array" aca="1" ref="C23" ca="1">IF(OR('Raw Data'!C23="",LEN(TRIM('Raw Data'!C23))=0,Validate_Empty!C23&lt;&gt;"",Validate_Value!C23&lt;&gt;""),"",IF('Raw Data'!C23 = Condition!C23,"",_xlfn.REGEXEXTRACT(CELL("address",'Raw Data'!C23),"\$([A-Z]+)\$[0-9]+")))</f>
        <v/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2:28" x14ac:dyDescent="0.25">
      <c r="B24" s="7" t="str" cm="1">
        <f t="array" aca="1" ref="B24" ca="1">IF(OR('Raw Data'!B24="",LEN(TRIM('Raw Data'!B24))=0,Validate_Empty!B24&lt;&gt;"",Validate_Value!B24&lt;&gt;""),"",IF('Raw Data'!B24 = Condition!B24,"",_xlfn.REGEXEXTRACT(CELL("address",'Raw Data'!B24),"\$([A-Z]+)\$[0-9]+")))</f>
        <v/>
      </c>
      <c r="C24" s="7" t="str" cm="1">
        <f t="array" aca="1" ref="C24" ca="1">IF(OR('Raw Data'!C24="",LEN(TRIM('Raw Data'!C24))=0,Validate_Empty!C24&lt;&gt;"",Validate_Value!C24&lt;&gt;""),"",IF('Raw Data'!C24 = Condition!C24,"",_xlfn.REGEXEXTRACT(CELL("address",'Raw Data'!C24),"\$([A-Z]+)\$[0-9]+")))</f>
        <v/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2:28" x14ac:dyDescent="0.25">
      <c r="B25" s="7" t="str" cm="1">
        <f t="array" aca="1" ref="B25" ca="1">IF(OR('Raw Data'!B25="",LEN(TRIM('Raw Data'!B25))=0,Validate_Empty!B25&lt;&gt;"",Validate_Value!B25&lt;&gt;""),"",IF('Raw Data'!B25 = Condition!B25,"",_xlfn.REGEXEXTRACT(CELL("address",'Raw Data'!B25),"\$([A-Z]+)\$[0-9]+")))</f>
        <v/>
      </c>
      <c r="C25" s="7" t="str" cm="1">
        <f t="array" aca="1" ref="C25" ca="1">IF(OR('Raw Data'!C25="",LEN(TRIM('Raw Data'!C25))=0,Validate_Empty!C25&lt;&gt;"",Validate_Value!C25&lt;&gt;""),"",IF('Raw Data'!C25 = Condition!C25,"",_xlfn.REGEXEXTRACT(CELL("address",'Raw Data'!C25),"\$([A-Z]+)\$[0-9]+")))</f>
        <v/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2:28" x14ac:dyDescent="0.25">
      <c r="B26" s="7" t="str" cm="1">
        <f t="array" aca="1" ref="B26" ca="1">IF(OR('Raw Data'!B26="",LEN(TRIM('Raw Data'!B26))=0,Validate_Empty!B26&lt;&gt;"",Validate_Value!B26&lt;&gt;""),"",IF('Raw Data'!B26 = Condition!B26,"",_xlfn.REGEXEXTRACT(CELL("address",'Raw Data'!B26),"\$([A-Z]+)\$[0-9]+")))</f>
        <v/>
      </c>
      <c r="C26" s="7" t="str" cm="1">
        <f t="array" aca="1" ref="C26" ca="1">IF(OR('Raw Data'!C26="",LEN(TRIM('Raw Data'!C26))=0,Validate_Empty!C26&lt;&gt;"",Validate_Value!C26&lt;&gt;""),"",IF('Raw Data'!C26 = Condition!C26,"",_xlfn.REGEXEXTRACT(CELL("address",'Raw Data'!C26),"\$([A-Z]+)\$[0-9]+")))</f>
        <v/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2:28" x14ac:dyDescent="0.25">
      <c r="B27" s="7" t="str" cm="1">
        <f t="array" aca="1" ref="B27" ca="1">IF(OR('Raw Data'!B27="",LEN(TRIM('Raw Data'!B27))=0,Validate_Empty!B27&lt;&gt;"",Validate_Value!B27&lt;&gt;""),"",IF('Raw Data'!B27 = Condition!B27,"",_xlfn.REGEXEXTRACT(CELL("address",'Raw Data'!B27),"\$([A-Z]+)\$[0-9]+")))</f>
        <v/>
      </c>
      <c r="C27" s="7" t="str" cm="1">
        <f t="array" aca="1" ref="C27" ca="1">IF(OR('Raw Data'!C27="",LEN(TRIM('Raw Data'!C27))=0,Validate_Empty!C27&lt;&gt;"",Validate_Value!C27&lt;&gt;""),"",IF('Raw Data'!C27 = Condition!C27,"",_xlfn.REGEXEXTRACT(CELL("address",'Raw Data'!C27),"\$([A-Z]+)\$[0-9]+")))</f>
        <v/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2:28" x14ac:dyDescent="0.25">
      <c r="B28" s="7" t="str" cm="1">
        <f t="array" aca="1" ref="B28" ca="1">IF(OR('Raw Data'!B28="",LEN(TRIM('Raw Data'!B28))=0,Validate_Empty!B28&lt;&gt;"",Validate_Value!B28&lt;&gt;""),"",IF('Raw Data'!B28 = Condition!B28,"",_xlfn.REGEXEXTRACT(CELL("address",'Raw Data'!B28),"\$([A-Z]+)\$[0-9]+")))</f>
        <v/>
      </c>
      <c r="C28" s="7" t="str" cm="1">
        <f t="array" aca="1" ref="C28" ca="1">IF(OR('Raw Data'!C28="",LEN(TRIM('Raw Data'!C28))=0,Validate_Empty!C28&lt;&gt;"",Validate_Value!C28&lt;&gt;""),"",IF('Raw Data'!C28 = Condition!C28,"",_xlfn.REGEXEXTRACT(CELL("address",'Raw Data'!C28),"\$([A-Z]+)\$[0-9]+")))</f>
        <v/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2:28" x14ac:dyDescent="0.25">
      <c r="B29" s="7" t="str" cm="1">
        <f t="array" aca="1" ref="B29" ca="1">IF(OR('Raw Data'!B29="",LEN(TRIM('Raw Data'!B29))=0,Validate_Empty!B29&lt;&gt;"",Validate_Value!B29&lt;&gt;""),"",IF('Raw Data'!B29 = Condition!B29,"",_xlfn.REGEXEXTRACT(CELL("address",'Raw Data'!B29),"\$([A-Z]+)\$[0-9]+")))</f>
        <v/>
      </c>
      <c r="C29" s="7" t="str" cm="1">
        <f t="array" aca="1" ref="C29" ca="1">IF(OR('Raw Data'!C29="",LEN(TRIM('Raw Data'!C29))=0,Validate_Empty!C29&lt;&gt;"",Validate_Value!C29&lt;&gt;""),"",IF('Raw Data'!C29 = Condition!C29,"",_xlfn.REGEXEXTRACT(CELL("address",'Raw Data'!C29),"\$([A-Z]+)\$[0-9]+")))</f>
        <v/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2:28" x14ac:dyDescent="0.25">
      <c r="B30" s="7" t="str" cm="1">
        <f t="array" aca="1" ref="B30" ca="1">IF(OR('Raw Data'!B30="",LEN(TRIM('Raw Data'!B30))=0,Validate_Empty!B30&lt;&gt;"",Validate_Value!B30&lt;&gt;""),"",IF('Raw Data'!B30 = Condition!B30,"",_xlfn.REGEXEXTRACT(CELL("address",'Raw Data'!B30),"\$([A-Z]+)\$[0-9]+")))</f>
        <v/>
      </c>
      <c r="C30" s="7" t="str" cm="1">
        <f t="array" aca="1" ref="C30" ca="1">IF(OR('Raw Data'!C30="",LEN(TRIM('Raw Data'!C30))=0,Validate_Empty!C30&lt;&gt;"",Validate_Value!C30&lt;&gt;""),"",IF('Raw Data'!C30 = Condition!C30,"",_xlfn.REGEXEXTRACT(CELL("address",'Raw Data'!C30),"\$([A-Z]+)\$[0-9]+")))</f>
        <v/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2:28" x14ac:dyDescent="0.25">
      <c r="B31" s="7" t="str" cm="1">
        <f t="array" aca="1" ref="B31" ca="1">IF(OR('Raw Data'!B31="",LEN(TRIM('Raw Data'!B31))=0,Validate_Empty!B31&lt;&gt;"",Validate_Value!B31&lt;&gt;""),"",IF('Raw Data'!B31 = Condition!B31,"",_xlfn.REGEXEXTRACT(CELL("address",'Raw Data'!B31),"\$([A-Z]+)\$[0-9]+")))</f>
        <v/>
      </c>
      <c r="C31" s="7" t="str" cm="1">
        <f t="array" aca="1" ref="C31" ca="1">IF(OR('Raw Data'!C31="",LEN(TRIM('Raw Data'!C31))=0,Validate_Empty!C31&lt;&gt;"",Validate_Value!C31&lt;&gt;""),"",IF('Raw Data'!C31 = Condition!C31,"",_xlfn.REGEXEXTRACT(CELL("address",'Raw Data'!C31),"\$([A-Z]+)\$[0-9]+")))</f>
        <v/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2:28" x14ac:dyDescent="0.25">
      <c r="B32" s="7" t="str" cm="1">
        <f t="array" aca="1" ref="B32" ca="1">IF(OR('Raw Data'!B32="",LEN(TRIM('Raw Data'!B32))=0,Validate_Empty!B32&lt;&gt;"",Validate_Value!B32&lt;&gt;""),"",IF('Raw Data'!B32 = Condition!B32,"",_xlfn.REGEXEXTRACT(CELL("address",'Raw Data'!B32),"\$([A-Z]+)\$[0-9]+")))</f>
        <v/>
      </c>
      <c r="C32" s="7" t="str" cm="1">
        <f t="array" aca="1" ref="C32" ca="1">IF(OR('Raw Data'!C32="",LEN(TRIM('Raw Data'!C32))=0,Validate_Empty!C32&lt;&gt;"",Validate_Value!C32&lt;&gt;""),"",IF('Raw Data'!C32 = Condition!C32,"",_xlfn.REGEXEXTRACT(CELL("address",'Raw Data'!C32),"\$([A-Z]+)\$[0-9]+")))</f>
        <v/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2:28" x14ac:dyDescent="0.25">
      <c r="B33" s="7" t="str" cm="1">
        <f t="array" aca="1" ref="B33" ca="1">IF(OR('Raw Data'!B33="",LEN(TRIM('Raw Data'!B33))=0,Validate_Empty!B33&lt;&gt;"",Validate_Value!B33&lt;&gt;""),"",IF('Raw Data'!B33 = Condition!B33,"",_xlfn.REGEXEXTRACT(CELL("address",'Raw Data'!B33),"\$([A-Z]+)\$[0-9]+")))</f>
        <v/>
      </c>
      <c r="C33" s="7" t="str" cm="1">
        <f t="array" aca="1" ref="C33" ca="1">IF(OR('Raw Data'!C33="",LEN(TRIM('Raw Data'!C33))=0,Validate_Empty!C33&lt;&gt;"",Validate_Value!C33&lt;&gt;""),"",IF('Raw Data'!C33 = Condition!C33,"",_xlfn.REGEXEXTRACT(CELL("address",'Raw Data'!C33),"\$([A-Z]+)\$[0-9]+")))</f>
        <v/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2:28" x14ac:dyDescent="0.25">
      <c r="B34" s="7" t="str" cm="1">
        <f t="array" aca="1" ref="B34" ca="1">IF(OR('Raw Data'!B34="",LEN(TRIM('Raw Data'!B34))=0,Validate_Empty!B34&lt;&gt;"",Validate_Value!B34&lt;&gt;""),"",IF('Raw Data'!B34 = Condition!B34,"",_xlfn.REGEXEXTRACT(CELL("address",'Raw Data'!B34),"\$([A-Z]+)\$[0-9]+")))</f>
        <v/>
      </c>
      <c r="C34" s="7" t="str" cm="1">
        <f t="array" aca="1" ref="C34" ca="1">IF(OR('Raw Data'!C34="",LEN(TRIM('Raw Data'!C34))=0,Validate_Empty!C34&lt;&gt;"",Validate_Value!C34&lt;&gt;""),"",IF('Raw Data'!C34 = Condition!C34,"",_xlfn.REGEXEXTRACT(CELL("address",'Raw Data'!C34),"\$([A-Z]+)\$[0-9]+")))</f>
        <v/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2:28" x14ac:dyDescent="0.25">
      <c r="B35" s="7" t="str" cm="1">
        <f t="array" aca="1" ref="B35" ca="1">IF(OR('Raw Data'!B35="",LEN(TRIM('Raw Data'!B35))=0,Validate_Empty!B35&lt;&gt;"",Validate_Value!B35&lt;&gt;""),"",IF('Raw Data'!B35 = Condition!B35,"",_xlfn.REGEXEXTRACT(CELL("address",'Raw Data'!B35),"\$([A-Z]+)\$[0-9]+")))</f>
        <v/>
      </c>
      <c r="C35" s="7" t="str" cm="1">
        <f t="array" aca="1" ref="C35" ca="1">IF(OR('Raw Data'!C35="",LEN(TRIM('Raw Data'!C35))=0,Validate_Empty!C35&lt;&gt;"",Validate_Value!C35&lt;&gt;""),"",IF('Raw Data'!C35 = Condition!C35,"",_xlfn.REGEXEXTRACT(CELL("address",'Raw Data'!C35),"\$([A-Z]+)\$[0-9]+")))</f>
        <v/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2:28" x14ac:dyDescent="0.25">
      <c r="B36" s="7" t="str" cm="1">
        <f t="array" aca="1" ref="B36" ca="1">IF(OR('Raw Data'!B36="",LEN(TRIM('Raw Data'!B36))=0,Validate_Empty!B36&lt;&gt;"",Validate_Value!B36&lt;&gt;""),"",IF('Raw Data'!B36 = Condition!B36,"",_xlfn.REGEXEXTRACT(CELL("address",'Raw Data'!B36),"\$([A-Z]+)\$[0-9]+")))</f>
        <v/>
      </c>
      <c r="C36" s="7" t="str" cm="1">
        <f t="array" aca="1" ref="C36" ca="1">IF(OR('Raw Data'!C36="",LEN(TRIM('Raw Data'!C36))=0,Validate_Empty!C36&lt;&gt;"",Validate_Value!C36&lt;&gt;""),"",IF('Raw Data'!C36 = Condition!C36,"",_xlfn.REGEXEXTRACT(CELL("address",'Raw Data'!C36),"\$([A-Z]+)\$[0-9]+")))</f>
        <v/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2:28" x14ac:dyDescent="0.25">
      <c r="B37" s="7" t="str" cm="1">
        <f t="array" aca="1" ref="B37" ca="1">IF(OR('Raw Data'!B37="",LEN(TRIM('Raw Data'!B37))=0,Validate_Empty!B37&lt;&gt;"",Validate_Value!B37&lt;&gt;""),"",IF('Raw Data'!B37 = Condition!B37,"",_xlfn.REGEXEXTRACT(CELL("address",'Raw Data'!B37),"\$([A-Z]+)\$[0-9]+")))</f>
        <v/>
      </c>
      <c r="C37" s="7" t="str" cm="1">
        <f t="array" aca="1" ref="C37" ca="1">IF(OR('Raw Data'!C37="",LEN(TRIM('Raw Data'!C37))=0,Validate_Empty!C37&lt;&gt;"",Validate_Value!C37&lt;&gt;""),"",IF('Raw Data'!C37 = Condition!C37,"",_xlfn.REGEXEXTRACT(CELL("address",'Raw Data'!C37),"\$([A-Z]+)\$[0-9]+")))</f>
        <v/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2:28" x14ac:dyDescent="0.25">
      <c r="B38" s="7" t="str" cm="1">
        <f t="array" aca="1" ref="B38" ca="1">IF(OR('Raw Data'!B38="",LEN(TRIM('Raw Data'!B38))=0,Validate_Empty!B38&lt;&gt;"",Validate_Value!B38&lt;&gt;""),"",IF('Raw Data'!B38 = Condition!B38,"",_xlfn.REGEXEXTRACT(CELL("address",'Raw Data'!B38),"\$([A-Z]+)\$[0-9]+")))</f>
        <v/>
      </c>
      <c r="C38" s="7" t="str" cm="1">
        <f t="array" aca="1" ref="C38" ca="1">IF(OR('Raw Data'!C38="",LEN(TRIM('Raw Data'!C38))=0,Validate_Empty!C38&lt;&gt;"",Validate_Value!C38&lt;&gt;""),"",IF('Raw Data'!C38 = Condition!C38,"",_xlfn.REGEXEXTRACT(CELL("address",'Raw Data'!C38),"\$([A-Z]+)\$[0-9]+")))</f>
        <v/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2:28" x14ac:dyDescent="0.25">
      <c r="B39" s="7" t="str" cm="1">
        <f t="array" aca="1" ref="B39" ca="1">IF(OR('Raw Data'!B39="",LEN(TRIM('Raw Data'!B39))=0,Validate_Empty!B39&lt;&gt;"",Validate_Value!B39&lt;&gt;""),"",IF('Raw Data'!B39 = Condition!B39,"",_xlfn.REGEXEXTRACT(CELL("address",'Raw Data'!B39),"\$([A-Z]+)\$[0-9]+")))</f>
        <v/>
      </c>
      <c r="C39" s="7" t="str" cm="1">
        <f t="array" aca="1" ref="C39" ca="1">IF(OR('Raw Data'!C39="",LEN(TRIM('Raw Data'!C39))=0,Validate_Empty!C39&lt;&gt;"",Validate_Value!C39&lt;&gt;""),"",IF('Raw Data'!C39 = Condition!C39,"",_xlfn.REGEXEXTRACT(CELL("address",'Raw Data'!C39),"\$([A-Z]+)\$[0-9]+")))</f>
        <v/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2:28" x14ac:dyDescent="0.25">
      <c r="B40" s="7" t="str" cm="1">
        <f t="array" aca="1" ref="B40" ca="1">IF(OR('Raw Data'!B40="",LEN(TRIM('Raw Data'!B40))=0,Validate_Empty!B40&lt;&gt;"",Validate_Value!B40&lt;&gt;""),"",IF('Raw Data'!B40 = Condition!B40,"",_xlfn.REGEXEXTRACT(CELL("address",'Raw Data'!B40),"\$([A-Z]+)\$[0-9]+")))</f>
        <v/>
      </c>
      <c r="C40" s="7" t="str" cm="1">
        <f t="array" aca="1" ref="C40" ca="1">IF(OR('Raw Data'!C40="",LEN(TRIM('Raw Data'!C40))=0,Validate_Empty!C40&lt;&gt;"",Validate_Value!C40&lt;&gt;""),"",IF('Raw Data'!C40 = Condition!C40,"",_xlfn.REGEXEXTRACT(CELL("address",'Raw Data'!C40),"\$([A-Z]+)\$[0-9]+")))</f>
        <v/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2:28" x14ac:dyDescent="0.25">
      <c r="B41" s="7" t="str" cm="1">
        <f t="array" aca="1" ref="B41" ca="1">IF(OR('Raw Data'!B41="",LEN(TRIM('Raw Data'!B41))=0,Validate_Empty!B41&lt;&gt;"",Validate_Value!B41&lt;&gt;""),"",IF('Raw Data'!B41 = Condition!B41,"",_xlfn.REGEXEXTRACT(CELL("address",'Raw Data'!B41),"\$([A-Z]+)\$[0-9]+")))</f>
        <v/>
      </c>
      <c r="C41" s="7" t="str" cm="1">
        <f t="array" aca="1" ref="C41" ca="1">IF(OR('Raw Data'!C41="",LEN(TRIM('Raw Data'!C41))=0,Validate_Empty!C41&lt;&gt;"",Validate_Value!C41&lt;&gt;""),"",IF('Raw Data'!C41 = Condition!C41,"",_xlfn.REGEXEXTRACT(CELL("address",'Raw Data'!C41),"\$([A-Z]+)\$[0-9]+")))</f>
        <v/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2:28" x14ac:dyDescent="0.25">
      <c r="B42" s="7" t="str" cm="1">
        <f t="array" aca="1" ref="B42" ca="1">IF(OR('Raw Data'!B42="",LEN(TRIM('Raw Data'!B42))=0,Validate_Empty!B42&lt;&gt;"",Validate_Value!B42&lt;&gt;""),"",IF('Raw Data'!B42 = Condition!B42,"",_xlfn.REGEXEXTRACT(CELL("address",'Raw Data'!B42),"\$([A-Z]+)\$[0-9]+")))</f>
        <v/>
      </c>
      <c r="C42" s="7" t="str" cm="1">
        <f t="array" aca="1" ref="C42" ca="1">IF(OR('Raw Data'!C42="",LEN(TRIM('Raw Data'!C42))=0,Validate_Empty!C42&lt;&gt;"",Validate_Value!C42&lt;&gt;""),"",IF('Raw Data'!C42 = Condition!C42,"",_xlfn.REGEXEXTRACT(CELL("address",'Raw Data'!C42),"\$([A-Z]+)\$[0-9]+")))</f>
        <v/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2:28" x14ac:dyDescent="0.25">
      <c r="B43" s="7" t="str" cm="1">
        <f t="array" aca="1" ref="B43" ca="1">IF(OR('Raw Data'!B43="",LEN(TRIM('Raw Data'!B43))=0,Validate_Empty!B43&lt;&gt;"",Validate_Value!B43&lt;&gt;""),"",IF('Raw Data'!B43 = Condition!B43,"",_xlfn.REGEXEXTRACT(CELL("address",'Raw Data'!B43),"\$([A-Z]+)\$[0-9]+")))</f>
        <v/>
      </c>
      <c r="C43" s="7" t="str" cm="1">
        <f t="array" aca="1" ref="C43" ca="1">IF(OR('Raw Data'!C43="",LEN(TRIM('Raw Data'!C43))=0,Validate_Empty!C43&lt;&gt;"",Validate_Value!C43&lt;&gt;""),"",IF('Raw Data'!C43 = Condition!C43,"",_xlfn.REGEXEXTRACT(CELL("address",'Raw Data'!C43),"\$([A-Z]+)\$[0-9]+")))</f>
        <v/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2:28" x14ac:dyDescent="0.25">
      <c r="B44" s="7" t="str" cm="1">
        <f t="array" aca="1" ref="B44" ca="1">IF(OR('Raw Data'!B44="",LEN(TRIM('Raw Data'!B44))=0,Validate_Empty!B44&lt;&gt;"",Validate_Value!B44&lt;&gt;""),"",IF('Raw Data'!B44 = Condition!B44,"",_xlfn.REGEXEXTRACT(CELL("address",'Raw Data'!B44),"\$([A-Z]+)\$[0-9]+")))</f>
        <v/>
      </c>
      <c r="C44" s="7" t="str" cm="1">
        <f t="array" aca="1" ref="C44" ca="1">IF(OR('Raw Data'!C44="",LEN(TRIM('Raw Data'!C44))=0,Validate_Empty!C44&lt;&gt;"",Validate_Value!C44&lt;&gt;""),"",IF('Raw Data'!C44 = Condition!C44,"",_xlfn.REGEXEXTRACT(CELL("address",'Raw Data'!C44),"\$([A-Z]+)\$[0-9]+")))</f>
        <v/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2:28" x14ac:dyDescent="0.25">
      <c r="B45" s="7" t="str" cm="1">
        <f t="array" aca="1" ref="B45" ca="1">IF(OR('Raw Data'!B45="",LEN(TRIM('Raw Data'!B45))=0,Validate_Empty!B45&lt;&gt;"",Validate_Value!B45&lt;&gt;""),"",IF('Raw Data'!B45 = Condition!B45,"",_xlfn.REGEXEXTRACT(CELL("address",'Raw Data'!B45),"\$([A-Z]+)\$[0-9]+")))</f>
        <v/>
      </c>
      <c r="C45" s="7" t="str" cm="1">
        <f t="array" aca="1" ref="C45" ca="1">IF(OR('Raw Data'!C45="",LEN(TRIM('Raw Data'!C45))=0,Validate_Empty!C45&lt;&gt;"",Validate_Value!C45&lt;&gt;""),"",IF('Raw Data'!C45 = Condition!C45,"",_xlfn.REGEXEXTRACT(CELL("address",'Raw Data'!C45),"\$([A-Z]+)\$[0-9]+")))</f>
        <v/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2:28" x14ac:dyDescent="0.25">
      <c r="B46" s="7" t="str" cm="1">
        <f t="array" aca="1" ref="B46" ca="1">IF(OR('Raw Data'!B46="",LEN(TRIM('Raw Data'!B46))=0,Validate_Empty!B46&lt;&gt;"",Validate_Value!B46&lt;&gt;""),"",IF('Raw Data'!B46 = Condition!B46,"",_xlfn.REGEXEXTRACT(CELL("address",'Raw Data'!B46),"\$([A-Z]+)\$[0-9]+")))</f>
        <v/>
      </c>
      <c r="C46" s="7" t="str" cm="1">
        <f t="array" aca="1" ref="C46" ca="1">IF(OR('Raw Data'!C46="",LEN(TRIM('Raw Data'!C46))=0,Validate_Empty!C46&lt;&gt;"",Validate_Value!C46&lt;&gt;""),"",IF('Raw Data'!C46 = Condition!C46,"",_xlfn.REGEXEXTRACT(CELL("address",'Raw Data'!C46),"\$([A-Z]+)\$[0-9]+")))</f>
        <v/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2:28" x14ac:dyDescent="0.25">
      <c r="B47" s="7" t="str" cm="1">
        <f t="array" aca="1" ref="B47" ca="1">IF(OR('Raw Data'!B47="",LEN(TRIM('Raw Data'!B47))=0,Validate_Empty!B47&lt;&gt;"",Validate_Value!B47&lt;&gt;""),"",IF('Raw Data'!B47 = Condition!B47,"",_xlfn.REGEXEXTRACT(CELL("address",'Raw Data'!B47),"\$([A-Z]+)\$[0-9]+")))</f>
        <v/>
      </c>
      <c r="C47" s="7" t="str" cm="1">
        <f t="array" aca="1" ref="C47" ca="1">IF(OR('Raw Data'!C47="",LEN(TRIM('Raw Data'!C47))=0,Validate_Empty!C47&lt;&gt;"",Validate_Value!C47&lt;&gt;""),"",IF('Raw Data'!C47 = Condition!C47,"",_xlfn.REGEXEXTRACT(CELL("address",'Raw Data'!C47),"\$([A-Z]+)\$[0-9]+")))</f>
        <v/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2:28" x14ac:dyDescent="0.25">
      <c r="B48" s="7" t="str" cm="1">
        <f t="array" aca="1" ref="B48" ca="1">IF(OR('Raw Data'!B48="",LEN(TRIM('Raw Data'!B48))=0,Validate_Empty!B48&lt;&gt;"",Validate_Value!B48&lt;&gt;""),"",IF('Raw Data'!B48 = Condition!B48,"",_xlfn.REGEXEXTRACT(CELL("address",'Raw Data'!B48),"\$([A-Z]+)\$[0-9]+")))</f>
        <v/>
      </c>
      <c r="C48" s="7" t="str" cm="1">
        <f t="array" aca="1" ref="C48" ca="1">IF(OR('Raw Data'!C48="",LEN(TRIM('Raw Data'!C48))=0,Validate_Empty!C48&lt;&gt;"",Validate_Value!C48&lt;&gt;""),"",IF('Raw Data'!C48 = Condition!C48,"",_xlfn.REGEXEXTRACT(CELL("address",'Raw Data'!C48),"\$([A-Z]+)\$[0-9]+")))</f>
        <v/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2:28" x14ac:dyDescent="0.25">
      <c r="B49" s="7" t="str" cm="1">
        <f t="array" aca="1" ref="B49" ca="1">IF(OR('Raw Data'!B49="",LEN(TRIM('Raw Data'!B49))=0,Validate_Empty!B49&lt;&gt;"",Validate_Value!B49&lt;&gt;""),"",IF('Raw Data'!B49 = Condition!B49,"",_xlfn.REGEXEXTRACT(CELL("address",'Raw Data'!B49),"\$([A-Z]+)\$[0-9]+")))</f>
        <v/>
      </c>
      <c r="C49" s="7" t="str" cm="1">
        <f t="array" aca="1" ref="C49" ca="1">IF(OR('Raw Data'!C49="",LEN(TRIM('Raw Data'!C49))=0,Validate_Empty!C49&lt;&gt;"",Validate_Value!C49&lt;&gt;""),"",IF('Raw Data'!C49 = Condition!C49,"",_xlfn.REGEXEXTRACT(CELL("address",'Raw Data'!C49),"\$([A-Z]+)\$[0-9]+")))</f>
        <v/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2:28" x14ac:dyDescent="0.25">
      <c r="B50" s="7" t="str" cm="1">
        <f t="array" aca="1" ref="B50" ca="1">IF(OR('Raw Data'!B50="",LEN(TRIM('Raw Data'!B50))=0,Validate_Empty!B50&lt;&gt;"",Validate_Value!B50&lt;&gt;""),"",IF('Raw Data'!B50 = Condition!B50,"",_xlfn.REGEXEXTRACT(CELL("address",'Raw Data'!B50),"\$([A-Z]+)\$[0-9]+")))</f>
        <v/>
      </c>
      <c r="C50" s="7" t="str" cm="1">
        <f t="array" aca="1" ref="C50" ca="1">IF(OR('Raw Data'!C50="",LEN(TRIM('Raw Data'!C50))=0,Validate_Empty!C50&lt;&gt;"",Validate_Value!C50&lt;&gt;""),"",IF('Raw Data'!C50 = Condition!C50,"",_xlfn.REGEXEXTRACT(CELL("address",'Raw Data'!C50),"\$([A-Z]+)\$[0-9]+")))</f>
        <v/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2:28" x14ac:dyDescent="0.25">
      <c r="B51" s="7" t="str" cm="1">
        <f t="array" aca="1" ref="B51" ca="1">IF(OR('Raw Data'!B51="",LEN(TRIM('Raw Data'!B51))=0,Validate_Empty!B51&lt;&gt;"",Validate_Value!B51&lt;&gt;""),"",IF('Raw Data'!B51 = Condition!B51,"",_xlfn.REGEXEXTRACT(CELL("address",'Raw Data'!B51),"\$([A-Z]+)\$[0-9]+")))</f>
        <v/>
      </c>
      <c r="C51" s="7" t="str" cm="1">
        <f t="array" aca="1" ref="C51" ca="1">IF(OR('Raw Data'!C51="",LEN(TRIM('Raw Data'!C51))=0,Validate_Empty!C51&lt;&gt;"",Validate_Value!C51&lt;&gt;""),"",IF('Raw Data'!C51 = Condition!C51,"",_xlfn.REGEXEXTRACT(CELL("address",'Raw Data'!C51),"\$([A-Z]+)\$[0-9]+")))</f>
        <v/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2:28" x14ac:dyDescent="0.25">
      <c r="B52" s="7" t="str" cm="1">
        <f t="array" aca="1" ref="B52" ca="1">IF(OR('Raw Data'!B52="",LEN(TRIM('Raw Data'!B52))=0,Validate_Empty!B52&lt;&gt;"",Validate_Value!B52&lt;&gt;""),"",IF('Raw Data'!B52 = Condition!B52,"",_xlfn.REGEXEXTRACT(CELL("address",'Raw Data'!B52),"\$([A-Z]+)\$[0-9]+")))</f>
        <v/>
      </c>
      <c r="C52" s="7" t="str" cm="1">
        <f t="array" aca="1" ref="C52" ca="1">IF(OR('Raw Data'!C52="",LEN(TRIM('Raw Data'!C52))=0,Validate_Empty!C52&lt;&gt;"",Validate_Value!C52&lt;&gt;""),"",IF('Raw Data'!C52 = Condition!C52,"",_xlfn.REGEXEXTRACT(CELL("address",'Raw Data'!C52),"\$([A-Z]+)\$[0-9]+")))</f>
        <v/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2:28" x14ac:dyDescent="0.25">
      <c r="B53" s="7" t="str" cm="1">
        <f t="array" aca="1" ref="B53" ca="1">IF(OR('Raw Data'!B53="",LEN(TRIM('Raw Data'!B53))=0,Validate_Empty!B53&lt;&gt;"",Validate_Value!B53&lt;&gt;""),"",IF('Raw Data'!B53 = Condition!B53,"",_xlfn.REGEXEXTRACT(CELL("address",'Raw Data'!B53),"\$([A-Z]+)\$[0-9]+")))</f>
        <v/>
      </c>
      <c r="C53" s="7" t="str" cm="1">
        <f t="array" aca="1" ref="C53" ca="1">IF(OR('Raw Data'!C53="",LEN(TRIM('Raw Data'!C53))=0,Validate_Empty!C53&lt;&gt;"",Validate_Value!C53&lt;&gt;""),"",IF('Raw Data'!C53 = Condition!C53,"",_xlfn.REGEXEXTRACT(CELL("address",'Raw Data'!C53),"\$([A-Z]+)\$[0-9]+")))</f>
        <v/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2:28" x14ac:dyDescent="0.25">
      <c r="B54" s="7" t="str" cm="1">
        <f t="array" aca="1" ref="B54" ca="1">IF(OR('Raw Data'!B54="",LEN(TRIM('Raw Data'!B54))=0,Validate_Empty!B54&lt;&gt;"",Validate_Value!B54&lt;&gt;""),"",IF('Raw Data'!B54 = Condition!B54,"",_xlfn.REGEXEXTRACT(CELL("address",'Raw Data'!B54),"\$([A-Z]+)\$[0-9]+")))</f>
        <v/>
      </c>
      <c r="C54" s="7" t="str" cm="1">
        <f t="array" aca="1" ref="C54" ca="1">IF(OR('Raw Data'!C54="",LEN(TRIM('Raw Data'!C54))=0,Validate_Empty!C54&lt;&gt;"",Validate_Value!C54&lt;&gt;""),"",IF('Raw Data'!C54 = Condition!C54,"",_xlfn.REGEXEXTRACT(CELL("address",'Raw Data'!C54),"\$([A-Z]+)\$[0-9]+")))</f>
        <v/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2:28" x14ac:dyDescent="0.25">
      <c r="B55" s="7" t="str" cm="1">
        <f t="array" aca="1" ref="B55" ca="1">IF(OR('Raw Data'!B55="",LEN(TRIM('Raw Data'!B55))=0,Validate_Empty!B55&lt;&gt;"",Validate_Value!B55&lt;&gt;""),"",IF('Raw Data'!B55 = Condition!B55,"",_xlfn.REGEXEXTRACT(CELL("address",'Raw Data'!B55),"\$([A-Z]+)\$[0-9]+")))</f>
        <v/>
      </c>
      <c r="C55" s="7" t="str" cm="1">
        <f t="array" aca="1" ref="C55" ca="1">IF(OR('Raw Data'!C55="",LEN(TRIM('Raw Data'!C55))=0,Validate_Empty!C55&lt;&gt;"",Validate_Value!C55&lt;&gt;""),"",IF('Raw Data'!C55 = Condition!C55,"",_xlfn.REGEXEXTRACT(CELL("address",'Raw Data'!C55),"\$([A-Z]+)\$[0-9]+")))</f>
        <v/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2:28" x14ac:dyDescent="0.25">
      <c r="B56" s="7" t="str" cm="1">
        <f t="array" aca="1" ref="B56" ca="1">IF(OR('Raw Data'!B56="",LEN(TRIM('Raw Data'!B56))=0,Validate_Empty!B56&lt;&gt;"",Validate_Value!B56&lt;&gt;""),"",IF('Raw Data'!B56 = Condition!B56,"",_xlfn.REGEXEXTRACT(CELL("address",'Raw Data'!B56),"\$([A-Z]+)\$[0-9]+")))</f>
        <v/>
      </c>
      <c r="C56" s="7" t="str" cm="1">
        <f t="array" aca="1" ref="C56" ca="1">IF(OR('Raw Data'!C56="",LEN(TRIM('Raw Data'!C56))=0,Validate_Empty!C56&lt;&gt;"",Validate_Value!C56&lt;&gt;""),"",IF('Raw Data'!C56 = Condition!C56,"",_xlfn.REGEXEXTRACT(CELL("address",'Raw Data'!C56),"\$([A-Z]+)\$[0-9]+")))</f>
        <v/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2:28" x14ac:dyDescent="0.25">
      <c r="B57" s="7" t="str" cm="1">
        <f t="array" aca="1" ref="B57" ca="1">IF(OR('Raw Data'!B57="",LEN(TRIM('Raw Data'!B57))=0,Validate_Empty!B57&lt;&gt;"",Validate_Value!B57&lt;&gt;""),"",IF('Raw Data'!B57 = Condition!B57,"",_xlfn.REGEXEXTRACT(CELL("address",'Raw Data'!B57),"\$([A-Z]+)\$[0-9]+")))</f>
        <v/>
      </c>
      <c r="C57" s="7" t="str" cm="1">
        <f t="array" aca="1" ref="C57" ca="1">IF(OR('Raw Data'!C57="",LEN(TRIM('Raw Data'!C57))=0,Validate_Empty!C57&lt;&gt;"",Validate_Value!C57&lt;&gt;""),"",IF('Raw Data'!C57 = Condition!C57,"",_xlfn.REGEXEXTRACT(CELL("address",'Raw Data'!C57),"\$([A-Z]+)\$[0-9]+")))</f>
        <v/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2:28" x14ac:dyDescent="0.25">
      <c r="B58" s="7" t="str" cm="1">
        <f t="array" aca="1" ref="B58" ca="1">IF(OR('Raw Data'!B58="",LEN(TRIM('Raw Data'!B58))=0,Validate_Empty!B58&lt;&gt;"",Validate_Value!B58&lt;&gt;""),"",IF('Raw Data'!B58 = Condition!B58,"",_xlfn.REGEXEXTRACT(CELL("address",'Raw Data'!B58),"\$([A-Z]+)\$[0-9]+")))</f>
        <v/>
      </c>
      <c r="C58" s="7" t="str" cm="1">
        <f t="array" aca="1" ref="C58" ca="1">IF(OR('Raw Data'!C58="",LEN(TRIM('Raw Data'!C58))=0,Validate_Empty!C58&lt;&gt;"",Validate_Value!C58&lt;&gt;""),"",IF('Raw Data'!C58 = Condition!C58,"",_xlfn.REGEXEXTRACT(CELL("address",'Raw Data'!C58),"\$([A-Z]+)\$[0-9]+")))</f>
        <v/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2:28" x14ac:dyDescent="0.25">
      <c r="B59" s="7" t="str" cm="1">
        <f t="array" aca="1" ref="B59" ca="1">IF(OR('Raw Data'!B59="",LEN(TRIM('Raw Data'!B59))=0,Validate_Empty!B59&lt;&gt;"",Validate_Value!B59&lt;&gt;""),"",IF('Raw Data'!B59 = Condition!B59,"",_xlfn.REGEXEXTRACT(CELL("address",'Raw Data'!B59),"\$([A-Z]+)\$[0-9]+")))</f>
        <v/>
      </c>
      <c r="C59" s="7" t="str" cm="1">
        <f t="array" aca="1" ref="C59" ca="1">IF(OR('Raw Data'!C59="",LEN(TRIM('Raw Data'!C59))=0,Validate_Empty!C59&lt;&gt;"",Validate_Value!C59&lt;&gt;""),"",IF('Raw Data'!C59 = Condition!C59,"",_xlfn.REGEXEXTRACT(CELL("address",'Raw Data'!C59),"\$([A-Z]+)\$[0-9]+")))</f>
        <v/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2:28" x14ac:dyDescent="0.25">
      <c r="B60" s="7" t="str" cm="1">
        <f t="array" aca="1" ref="B60" ca="1">IF(OR('Raw Data'!B60="",LEN(TRIM('Raw Data'!B60))=0,Validate_Empty!B60&lt;&gt;"",Validate_Value!B60&lt;&gt;""),"",IF('Raw Data'!B60 = Condition!B60,"",_xlfn.REGEXEXTRACT(CELL("address",'Raw Data'!B60),"\$([A-Z]+)\$[0-9]+")))</f>
        <v/>
      </c>
      <c r="C60" s="7" t="str" cm="1">
        <f t="array" aca="1" ref="C60" ca="1">IF(OR('Raw Data'!C60="",LEN(TRIM('Raw Data'!C60))=0,Validate_Empty!C60&lt;&gt;"",Validate_Value!C60&lt;&gt;""),"",IF('Raw Data'!C60 = Condition!C60,"",_xlfn.REGEXEXTRACT(CELL("address",'Raw Data'!C60),"\$([A-Z]+)\$[0-9]+")))</f>
        <v/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2:28" x14ac:dyDescent="0.25">
      <c r="B61" s="7" t="str" cm="1">
        <f t="array" aca="1" ref="B61" ca="1">IF(OR('Raw Data'!B61="",LEN(TRIM('Raw Data'!B61))=0,Validate_Empty!B61&lt;&gt;"",Validate_Value!B61&lt;&gt;""),"",IF('Raw Data'!B61 = Condition!B61,"",_xlfn.REGEXEXTRACT(CELL("address",'Raw Data'!B61),"\$([A-Z]+)\$[0-9]+")))</f>
        <v/>
      </c>
      <c r="C61" s="7" t="str" cm="1">
        <f t="array" aca="1" ref="C61" ca="1">IF(OR('Raw Data'!C61="",LEN(TRIM('Raw Data'!C61))=0,Validate_Empty!C61&lt;&gt;"",Validate_Value!C61&lt;&gt;""),"",IF('Raw Data'!C61 = Condition!C61,"",_xlfn.REGEXEXTRACT(CELL("address",'Raw Data'!C61),"\$([A-Z]+)\$[0-9]+")))</f>
        <v/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2:28" x14ac:dyDescent="0.25">
      <c r="B62" s="7" t="str" cm="1">
        <f t="array" aca="1" ref="B62" ca="1">IF(OR('Raw Data'!B62="",LEN(TRIM('Raw Data'!B62))=0,Validate_Empty!B62&lt;&gt;"",Validate_Value!B62&lt;&gt;""),"",IF('Raw Data'!B62 = Condition!B62,"",_xlfn.REGEXEXTRACT(CELL("address",'Raw Data'!B62),"\$([A-Z]+)\$[0-9]+")))</f>
        <v/>
      </c>
      <c r="C62" s="7" t="str" cm="1">
        <f t="array" aca="1" ref="C62" ca="1">IF(OR('Raw Data'!C62="",LEN(TRIM('Raw Data'!C62))=0,Validate_Empty!C62&lt;&gt;"",Validate_Value!C62&lt;&gt;""),"",IF('Raw Data'!C62 = Condition!C62,"",_xlfn.REGEXEXTRACT(CELL("address",'Raw Data'!C62),"\$([A-Z]+)\$[0-9]+")))</f>
        <v/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2:28" x14ac:dyDescent="0.25">
      <c r="B63" s="7" t="str" cm="1">
        <f t="array" aca="1" ref="B63" ca="1">IF(OR('Raw Data'!B63="",LEN(TRIM('Raw Data'!B63))=0,Validate_Empty!B63&lt;&gt;"",Validate_Value!B63&lt;&gt;""),"",IF('Raw Data'!B63 = Condition!B63,"",_xlfn.REGEXEXTRACT(CELL("address",'Raw Data'!B63),"\$([A-Z]+)\$[0-9]+")))</f>
        <v/>
      </c>
      <c r="C63" s="7" t="str" cm="1">
        <f t="array" aca="1" ref="C63" ca="1">IF(OR('Raw Data'!C63="",LEN(TRIM('Raw Data'!C63))=0,Validate_Empty!C63&lt;&gt;"",Validate_Value!C63&lt;&gt;""),"",IF('Raw Data'!C63 = Condition!C63,"",_xlfn.REGEXEXTRACT(CELL("address",'Raw Data'!C63),"\$([A-Z]+)\$[0-9]+")))</f>
        <v/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2:28" x14ac:dyDescent="0.25">
      <c r="B64" s="7" t="str" cm="1">
        <f t="array" aca="1" ref="B64" ca="1">IF(OR('Raw Data'!B64="",LEN(TRIM('Raw Data'!B64))=0,Validate_Empty!B64&lt;&gt;"",Validate_Value!B64&lt;&gt;""),"",IF('Raw Data'!B64 = Condition!B64,"",_xlfn.REGEXEXTRACT(CELL("address",'Raw Data'!B64),"\$([A-Z]+)\$[0-9]+")))</f>
        <v/>
      </c>
      <c r="C64" s="7" t="str" cm="1">
        <f t="array" aca="1" ref="C64" ca="1">IF(OR('Raw Data'!C64="",LEN(TRIM('Raw Data'!C64))=0,Validate_Empty!C64&lt;&gt;"",Validate_Value!C64&lt;&gt;""),"",IF('Raw Data'!C64 = Condition!C64,"",_xlfn.REGEXEXTRACT(CELL("address",'Raw Data'!C64),"\$([A-Z]+)\$[0-9]+")))</f>
        <v/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2:28" x14ac:dyDescent="0.25">
      <c r="B65" s="7" t="str" cm="1">
        <f t="array" aca="1" ref="B65" ca="1">IF(OR('Raw Data'!B65="",LEN(TRIM('Raw Data'!B65))=0,Validate_Empty!B65&lt;&gt;"",Validate_Value!B65&lt;&gt;""),"",IF('Raw Data'!B65 = Condition!B65,"",_xlfn.REGEXEXTRACT(CELL("address",'Raw Data'!B65),"\$([A-Z]+)\$[0-9]+")))</f>
        <v/>
      </c>
      <c r="C65" s="7" t="str" cm="1">
        <f t="array" aca="1" ref="C65" ca="1">IF(OR('Raw Data'!C65="",LEN(TRIM('Raw Data'!C65))=0,Validate_Empty!C65&lt;&gt;"",Validate_Value!C65&lt;&gt;""),"",IF('Raw Data'!C65 = Condition!C65,"",_xlfn.REGEXEXTRACT(CELL("address",'Raw Data'!C65),"\$([A-Z]+)\$[0-9]+")))</f>
        <v/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2:28" x14ac:dyDescent="0.25">
      <c r="B66" s="7" t="str" cm="1">
        <f t="array" aca="1" ref="B66" ca="1">IF(OR('Raw Data'!B66="",LEN(TRIM('Raw Data'!B66))=0,Validate_Empty!B66&lt;&gt;"",Validate_Value!B66&lt;&gt;""),"",IF('Raw Data'!B66 = Condition!B66,"",_xlfn.REGEXEXTRACT(CELL("address",'Raw Data'!B66),"\$([A-Z]+)\$[0-9]+")))</f>
        <v/>
      </c>
      <c r="C66" s="7" t="str" cm="1">
        <f t="array" aca="1" ref="C66" ca="1">IF(OR('Raw Data'!C66="",LEN(TRIM('Raw Data'!C66))=0,Validate_Empty!C66&lt;&gt;"",Validate_Value!C66&lt;&gt;""),"",IF('Raw Data'!C66 = Condition!C66,"",_xlfn.REGEXEXTRACT(CELL("address",'Raw Data'!C66),"\$([A-Z]+)\$[0-9]+")))</f>
        <v/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2:28" x14ac:dyDescent="0.25">
      <c r="B67" s="7" t="str" cm="1">
        <f t="array" aca="1" ref="B67" ca="1">IF(OR('Raw Data'!B67="",LEN(TRIM('Raw Data'!B67))=0,Validate_Empty!B67&lt;&gt;"",Validate_Value!B67&lt;&gt;""),"",IF('Raw Data'!B67 = Condition!B67,"",_xlfn.REGEXEXTRACT(CELL("address",'Raw Data'!B67),"\$([A-Z]+)\$[0-9]+")))</f>
        <v/>
      </c>
      <c r="C67" s="7" t="str" cm="1">
        <f t="array" aca="1" ref="C67" ca="1">IF(OR('Raw Data'!C67="",LEN(TRIM('Raw Data'!C67))=0,Validate_Empty!C67&lt;&gt;"",Validate_Value!C67&lt;&gt;""),"",IF('Raw Data'!C67 = Condition!C67,"",_xlfn.REGEXEXTRACT(CELL("address",'Raw Data'!C67),"\$([A-Z]+)\$[0-9]+")))</f>
        <v/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2:28" x14ac:dyDescent="0.25">
      <c r="B68" s="7" t="str" cm="1">
        <f t="array" aca="1" ref="B68" ca="1">IF(OR('Raw Data'!B68="",LEN(TRIM('Raw Data'!B68))=0,Validate_Empty!B68&lt;&gt;"",Validate_Value!B68&lt;&gt;""),"",IF('Raw Data'!B68 = Condition!B68,"",_xlfn.REGEXEXTRACT(CELL("address",'Raw Data'!B68),"\$([A-Z]+)\$[0-9]+")))</f>
        <v/>
      </c>
      <c r="C68" s="7" t="str" cm="1">
        <f t="array" aca="1" ref="C68" ca="1">IF(OR('Raw Data'!C68="",LEN(TRIM('Raw Data'!C68))=0,Validate_Empty!C68&lt;&gt;"",Validate_Value!C68&lt;&gt;""),"",IF('Raw Data'!C68 = Condition!C68,"",_xlfn.REGEXEXTRACT(CELL("address",'Raw Data'!C68),"\$([A-Z]+)\$[0-9]+")))</f>
        <v/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2:28" x14ac:dyDescent="0.25">
      <c r="B69" s="7" t="str" cm="1">
        <f t="array" aca="1" ref="B69" ca="1">IF(OR('Raw Data'!B69="",LEN(TRIM('Raw Data'!B69))=0,Validate_Empty!B69&lt;&gt;"",Validate_Value!B69&lt;&gt;""),"",IF('Raw Data'!B69 = Condition!B69,"",_xlfn.REGEXEXTRACT(CELL("address",'Raw Data'!B69),"\$([A-Z]+)\$[0-9]+")))</f>
        <v/>
      </c>
      <c r="C69" s="7" t="str" cm="1">
        <f t="array" aca="1" ref="C69" ca="1">IF(OR('Raw Data'!C69="",LEN(TRIM('Raw Data'!C69))=0,Validate_Empty!C69&lt;&gt;"",Validate_Value!C69&lt;&gt;""),"",IF('Raw Data'!C69 = Condition!C69,"",_xlfn.REGEXEXTRACT(CELL("address",'Raw Data'!C69),"\$([A-Z]+)\$[0-9]+")))</f>
        <v/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2:28" x14ac:dyDescent="0.25">
      <c r="B70" s="7" t="str" cm="1">
        <f t="array" aca="1" ref="B70" ca="1">IF(OR('Raw Data'!B70="",LEN(TRIM('Raw Data'!B70))=0,Validate_Empty!B70&lt;&gt;"",Validate_Value!B70&lt;&gt;""),"",IF('Raw Data'!B70 = Condition!B70,"",_xlfn.REGEXEXTRACT(CELL("address",'Raw Data'!B70),"\$([A-Z]+)\$[0-9]+")))</f>
        <v/>
      </c>
      <c r="C70" s="7" t="str" cm="1">
        <f t="array" aca="1" ref="C70" ca="1">IF(OR('Raw Data'!C70="",LEN(TRIM('Raw Data'!C70))=0,Validate_Empty!C70&lt;&gt;"",Validate_Value!C70&lt;&gt;""),"",IF('Raw Data'!C70 = Condition!C70,"",_xlfn.REGEXEXTRACT(CELL("address",'Raw Data'!C70),"\$([A-Z]+)\$[0-9]+")))</f>
        <v/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2:28" x14ac:dyDescent="0.25">
      <c r="B71" s="7" t="str" cm="1">
        <f t="array" aca="1" ref="B71" ca="1">IF(OR('Raw Data'!B71="",LEN(TRIM('Raw Data'!B71))=0,Validate_Empty!B71&lt;&gt;"",Validate_Value!B71&lt;&gt;""),"",IF('Raw Data'!B71 = Condition!B71,"",_xlfn.REGEXEXTRACT(CELL("address",'Raw Data'!B71),"\$([A-Z]+)\$[0-9]+")))</f>
        <v/>
      </c>
      <c r="C71" s="7" t="str" cm="1">
        <f t="array" aca="1" ref="C71" ca="1">IF(OR('Raw Data'!C71="",LEN(TRIM('Raw Data'!C71))=0,Validate_Empty!C71&lt;&gt;"",Validate_Value!C71&lt;&gt;""),"",IF('Raw Data'!C71 = Condition!C71,"",_xlfn.REGEXEXTRACT(CELL("address",'Raw Data'!C71),"\$([A-Z]+)\$[0-9]+")))</f>
        <v/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2:28" x14ac:dyDescent="0.25">
      <c r="B72" s="7" t="str" cm="1">
        <f t="array" aca="1" ref="B72" ca="1">IF(OR('Raw Data'!B72="",LEN(TRIM('Raw Data'!B72))=0,Validate_Empty!B72&lt;&gt;"",Validate_Value!B72&lt;&gt;""),"",IF('Raw Data'!B72 = Condition!B72,"",_xlfn.REGEXEXTRACT(CELL("address",'Raw Data'!B72),"\$([A-Z]+)\$[0-9]+")))</f>
        <v/>
      </c>
      <c r="C72" s="7" t="str" cm="1">
        <f t="array" aca="1" ref="C72" ca="1">IF(OR('Raw Data'!C72="",LEN(TRIM('Raw Data'!C72))=0,Validate_Empty!C72&lt;&gt;"",Validate_Value!C72&lt;&gt;""),"",IF('Raw Data'!C72 = Condition!C72,"",_xlfn.REGEXEXTRACT(CELL("address",'Raw Data'!C72),"\$([A-Z]+)\$[0-9]+")))</f>
        <v/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2:28" x14ac:dyDescent="0.25">
      <c r="B73" s="7" t="str" cm="1">
        <f t="array" aca="1" ref="B73" ca="1">IF(OR('Raw Data'!B73="",LEN(TRIM('Raw Data'!B73))=0,Validate_Empty!B73&lt;&gt;"",Validate_Value!B73&lt;&gt;""),"",IF('Raw Data'!B73 = Condition!B73,"",_xlfn.REGEXEXTRACT(CELL("address",'Raw Data'!B73),"\$([A-Z]+)\$[0-9]+")))</f>
        <v/>
      </c>
      <c r="C73" s="7" t="str" cm="1">
        <f t="array" aca="1" ref="C73" ca="1">IF(OR('Raw Data'!C73="",LEN(TRIM('Raw Data'!C73))=0,Validate_Empty!C73&lt;&gt;"",Validate_Value!C73&lt;&gt;""),"",IF('Raw Data'!C73 = Condition!C73,"",_xlfn.REGEXEXTRACT(CELL("address",'Raw Data'!C73),"\$([A-Z]+)\$[0-9]+")))</f>
        <v/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x14ac:dyDescent="0.25">
      <c r="B74" s="7" t="str" cm="1">
        <f t="array" aca="1" ref="B74" ca="1">IF(OR('Raw Data'!B74="",LEN(TRIM('Raw Data'!B74))=0,Validate_Empty!B74&lt;&gt;"",Validate_Value!B74&lt;&gt;""),"",IF('Raw Data'!B74 = Condition!B74,"",_xlfn.REGEXEXTRACT(CELL("address",'Raw Data'!B74),"\$([A-Z]+)\$[0-9]+")))</f>
        <v/>
      </c>
      <c r="C74" s="7" t="str" cm="1">
        <f t="array" aca="1" ref="C74" ca="1">IF(OR('Raw Data'!C74="",LEN(TRIM('Raw Data'!C74))=0,Validate_Empty!C74&lt;&gt;"",Validate_Value!C74&lt;&gt;""),"",IF('Raw Data'!C74 = Condition!C74,"",_xlfn.REGEXEXTRACT(CELL("address",'Raw Data'!C74),"\$([A-Z]+)\$[0-9]+")))</f>
        <v/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x14ac:dyDescent="0.25">
      <c r="B75" s="7" t="str" cm="1">
        <f t="array" aca="1" ref="B75" ca="1">IF(OR('Raw Data'!B75="",LEN(TRIM('Raw Data'!B75))=0,Validate_Empty!B75&lt;&gt;"",Validate_Value!B75&lt;&gt;""),"",IF('Raw Data'!B75 = Condition!B75,"",_xlfn.REGEXEXTRACT(CELL("address",'Raw Data'!B75),"\$([A-Z]+)\$[0-9]+")))</f>
        <v/>
      </c>
      <c r="C75" s="7" t="str" cm="1">
        <f t="array" aca="1" ref="C75" ca="1">IF(OR('Raw Data'!C75="",LEN(TRIM('Raw Data'!C75))=0,Validate_Empty!C75&lt;&gt;"",Validate_Value!C75&lt;&gt;""),"",IF('Raw Data'!C75 = Condition!C75,"",_xlfn.REGEXEXTRACT(CELL("address",'Raw Data'!C75),"\$([A-Z]+)\$[0-9]+")))</f>
        <v/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x14ac:dyDescent="0.25">
      <c r="B76" s="7" t="str" cm="1">
        <f t="array" aca="1" ref="B76" ca="1">IF(OR('Raw Data'!B76="",LEN(TRIM('Raw Data'!B76))=0,Validate_Empty!B76&lt;&gt;"",Validate_Value!B76&lt;&gt;""),"",IF('Raw Data'!B76 = Condition!B76,"",_xlfn.REGEXEXTRACT(CELL("address",'Raw Data'!B76),"\$([A-Z]+)\$[0-9]+")))</f>
        <v/>
      </c>
      <c r="C76" s="7" t="str" cm="1">
        <f t="array" aca="1" ref="C76" ca="1">IF(OR('Raw Data'!C76="",LEN(TRIM('Raw Data'!C76))=0,Validate_Empty!C76&lt;&gt;"",Validate_Value!C76&lt;&gt;""),"",IF('Raw Data'!C76 = Condition!C76,"",_xlfn.REGEXEXTRACT(CELL("address",'Raw Data'!C76),"\$([A-Z]+)\$[0-9]+")))</f>
        <v/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x14ac:dyDescent="0.25">
      <c r="B77" s="7" t="str" cm="1">
        <f t="array" aca="1" ref="B77" ca="1">IF(OR('Raw Data'!B77="",LEN(TRIM('Raw Data'!B77))=0,Validate_Empty!B77&lt;&gt;"",Validate_Value!B77&lt;&gt;""),"",IF('Raw Data'!B77 = Condition!B77,"",_xlfn.REGEXEXTRACT(CELL("address",'Raw Data'!B77),"\$([A-Z]+)\$[0-9]+")))</f>
        <v/>
      </c>
      <c r="C77" s="7" t="str" cm="1">
        <f t="array" aca="1" ref="C77" ca="1">IF(OR('Raw Data'!C77="",LEN(TRIM('Raw Data'!C77))=0,Validate_Empty!C77&lt;&gt;"",Validate_Value!C77&lt;&gt;""),"",IF('Raw Data'!C77 = Condition!C77,"",_xlfn.REGEXEXTRACT(CELL("address",'Raw Data'!C77),"\$([A-Z]+)\$[0-9]+")))</f>
        <v/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x14ac:dyDescent="0.25">
      <c r="B78" s="7" t="str" cm="1">
        <f t="array" aca="1" ref="B78" ca="1">IF(OR('Raw Data'!B78="",LEN(TRIM('Raw Data'!B78))=0,Validate_Empty!B78&lt;&gt;"",Validate_Value!B78&lt;&gt;""),"",IF('Raw Data'!B78 = Condition!B78,"",_xlfn.REGEXEXTRACT(CELL("address",'Raw Data'!B78),"\$([A-Z]+)\$[0-9]+")))</f>
        <v/>
      </c>
      <c r="C78" s="7" t="str" cm="1">
        <f t="array" aca="1" ref="C78" ca="1">IF(OR('Raw Data'!C78="",LEN(TRIM('Raw Data'!C78))=0,Validate_Empty!C78&lt;&gt;"",Validate_Value!C78&lt;&gt;""),"",IF('Raw Data'!C78 = Condition!C78,"",_xlfn.REGEXEXTRACT(CELL("address",'Raw Data'!C78),"\$([A-Z]+)\$[0-9]+")))</f>
        <v/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x14ac:dyDescent="0.25">
      <c r="B79" s="7" t="str" cm="1">
        <f t="array" aca="1" ref="B79" ca="1">IF(OR('Raw Data'!B79="",LEN(TRIM('Raw Data'!B79))=0,Validate_Empty!B79&lt;&gt;"",Validate_Value!B79&lt;&gt;""),"",IF('Raw Data'!B79 = Condition!B79,"",_xlfn.REGEXEXTRACT(CELL("address",'Raw Data'!B79),"\$([A-Z]+)\$[0-9]+")))</f>
        <v/>
      </c>
      <c r="C79" s="7" t="str" cm="1">
        <f t="array" aca="1" ref="C79" ca="1">IF(OR('Raw Data'!C79="",LEN(TRIM('Raw Data'!C79))=0,Validate_Empty!C79&lt;&gt;"",Validate_Value!C79&lt;&gt;""),"",IF('Raw Data'!C79 = Condition!C79,"",_xlfn.REGEXEXTRACT(CELL("address",'Raw Data'!C79),"\$([A-Z]+)\$[0-9]+")))</f>
        <v/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x14ac:dyDescent="0.25">
      <c r="B80" s="7" t="str" cm="1">
        <f t="array" aca="1" ref="B80" ca="1">IF(OR('Raw Data'!B80="",LEN(TRIM('Raw Data'!B80))=0,Validate_Empty!B80&lt;&gt;"",Validate_Value!B80&lt;&gt;""),"",IF('Raw Data'!B80 = Condition!B80,"",_xlfn.REGEXEXTRACT(CELL("address",'Raw Data'!B80),"\$([A-Z]+)\$[0-9]+")))</f>
        <v/>
      </c>
      <c r="C80" s="7" t="str" cm="1">
        <f t="array" aca="1" ref="C80" ca="1">IF(OR('Raw Data'!C80="",LEN(TRIM('Raw Data'!C80))=0,Validate_Empty!C80&lt;&gt;"",Validate_Value!C80&lt;&gt;""),"",IF('Raw Data'!C80 = Condition!C80,"",_xlfn.REGEXEXTRACT(CELL("address",'Raw Data'!C80),"\$([A-Z]+)\$[0-9]+")))</f>
        <v/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x14ac:dyDescent="0.25">
      <c r="B81" s="7" t="str" cm="1">
        <f t="array" aca="1" ref="B81" ca="1">IF(OR('Raw Data'!B81="",LEN(TRIM('Raw Data'!B81))=0,Validate_Empty!B81&lt;&gt;"",Validate_Value!B81&lt;&gt;""),"",IF('Raw Data'!B81 = Condition!B81,"",_xlfn.REGEXEXTRACT(CELL("address",'Raw Data'!B81),"\$([A-Z]+)\$[0-9]+")))</f>
        <v/>
      </c>
      <c r="C81" s="7" t="str" cm="1">
        <f t="array" aca="1" ref="C81" ca="1">IF(OR('Raw Data'!C81="",LEN(TRIM('Raw Data'!C81))=0,Validate_Empty!C81&lt;&gt;"",Validate_Value!C81&lt;&gt;""),"",IF('Raw Data'!C81 = Condition!C81,"",_xlfn.REGEXEXTRACT(CELL("address",'Raw Data'!C81),"\$([A-Z]+)\$[0-9]+")))</f>
        <v/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2:28" x14ac:dyDescent="0.25">
      <c r="B82" s="7" t="str" cm="1">
        <f t="array" aca="1" ref="B82" ca="1">IF(OR('Raw Data'!B82="",LEN(TRIM('Raw Data'!B82))=0,Validate_Empty!B82&lt;&gt;"",Validate_Value!B82&lt;&gt;""),"",IF('Raw Data'!B82 = Condition!B82,"",_xlfn.REGEXEXTRACT(CELL("address",'Raw Data'!B82),"\$([A-Z]+)\$[0-9]+")))</f>
        <v/>
      </c>
      <c r="C82" s="7" t="str" cm="1">
        <f t="array" aca="1" ref="C82" ca="1">IF(OR('Raw Data'!C82="",LEN(TRIM('Raw Data'!C82))=0,Validate_Empty!C82&lt;&gt;"",Validate_Value!C82&lt;&gt;""),"",IF('Raw Data'!C82 = Condition!C82,"",_xlfn.REGEXEXTRACT(CELL("address",'Raw Data'!C82),"\$([A-Z]+)\$[0-9]+")))</f>
        <v/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2:28" x14ac:dyDescent="0.25">
      <c r="B83" s="7" t="str" cm="1">
        <f t="array" aca="1" ref="B83" ca="1">IF(OR('Raw Data'!B83="",LEN(TRIM('Raw Data'!B83))=0,Validate_Empty!B83&lt;&gt;"",Validate_Value!B83&lt;&gt;""),"",IF('Raw Data'!B83 = Condition!B83,"",_xlfn.REGEXEXTRACT(CELL("address",'Raw Data'!B83),"\$([A-Z]+)\$[0-9]+")))</f>
        <v/>
      </c>
      <c r="C83" s="7" t="str" cm="1">
        <f t="array" aca="1" ref="C83" ca="1">IF(OR('Raw Data'!C83="",LEN(TRIM('Raw Data'!C83))=0,Validate_Empty!C83&lt;&gt;"",Validate_Value!C83&lt;&gt;""),"",IF('Raw Data'!C83 = Condition!C83,"",_xlfn.REGEXEXTRACT(CELL("address",'Raw Data'!C83),"\$([A-Z]+)\$[0-9]+")))</f>
        <v/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2:28" x14ac:dyDescent="0.25">
      <c r="B84" s="7" t="str" cm="1">
        <f t="array" aca="1" ref="B84" ca="1">IF(OR('Raw Data'!B84="",LEN(TRIM('Raw Data'!B84))=0,Validate_Empty!B84&lt;&gt;"",Validate_Value!B84&lt;&gt;""),"",IF('Raw Data'!B84 = Condition!B84,"",_xlfn.REGEXEXTRACT(CELL("address",'Raw Data'!B84),"\$([A-Z]+)\$[0-9]+")))</f>
        <v/>
      </c>
      <c r="C84" s="7" t="str" cm="1">
        <f t="array" aca="1" ref="C84" ca="1">IF(OR('Raw Data'!C84="",LEN(TRIM('Raw Data'!C84))=0,Validate_Empty!C84&lt;&gt;"",Validate_Value!C84&lt;&gt;""),"",IF('Raw Data'!C84 = Condition!C84,"",_xlfn.REGEXEXTRACT(CELL("address",'Raw Data'!C84),"\$([A-Z]+)\$[0-9]+")))</f>
        <v/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2:28" x14ac:dyDescent="0.25">
      <c r="B85" s="7" t="str" cm="1">
        <f t="array" aca="1" ref="B85" ca="1">IF(OR('Raw Data'!B85="",LEN(TRIM('Raw Data'!B85))=0,Validate_Empty!B85&lt;&gt;"",Validate_Value!B85&lt;&gt;""),"",IF('Raw Data'!B85 = Condition!B85,"",_xlfn.REGEXEXTRACT(CELL("address",'Raw Data'!B85),"\$([A-Z]+)\$[0-9]+")))</f>
        <v/>
      </c>
      <c r="C85" s="7" t="str" cm="1">
        <f t="array" aca="1" ref="C85" ca="1">IF(OR('Raw Data'!C85="",LEN(TRIM('Raw Data'!C85))=0,Validate_Empty!C85&lt;&gt;"",Validate_Value!C85&lt;&gt;""),"",IF('Raw Data'!C85 = Condition!C85,"",_xlfn.REGEXEXTRACT(CELL("address",'Raw Data'!C85),"\$([A-Z]+)\$[0-9]+")))</f>
        <v/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2:28" x14ac:dyDescent="0.25">
      <c r="B86" s="7" t="str" cm="1">
        <f t="array" aca="1" ref="B86" ca="1">IF(OR('Raw Data'!B86="",LEN(TRIM('Raw Data'!B86))=0,Validate_Empty!B86&lt;&gt;"",Validate_Value!B86&lt;&gt;""),"",IF('Raw Data'!B86 = Condition!B86,"",_xlfn.REGEXEXTRACT(CELL("address",'Raw Data'!B86),"\$([A-Z]+)\$[0-9]+")))</f>
        <v/>
      </c>
      <c r="C86" s="7" t="str" cm="1">
        <f t="array" aca="1" ref="C86" ca="1">IF(OR('Raw Data'!C86="",LEN(TRIM('Raw Data'!C86))=0,Validate_Empty!C86&lt;&gt;"",Validate_Value!C86&lt;&gt;""),"",IF('Raw Data'!C86 = Condition!C86,"",_xlfn.REGEXEXTRACT(CELL("address",'Raw Data'!C86),"\$([A-Z]+)\$[0-9]+")))</f>
        <v/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2:28" x14ac:dyDescent="0.25">
      <c r="B87" s="7" t="str" cm="1">
        <f t="array" aca="1" ref="B87" ca="1">IF(OR('Raw Data'!B87="",LEN(TRIM('Raw Data'!B87))=0,Validate_Empty!B87&lt;&gt;"",Validate_Value!B87&lt;&gt;""),"",IF('Raw Data'!B87 = Condition!B87,"",_xlfn.REGEXEXTRACT(CELL("address",'Raw Data'!B87),"\$([A-Z]+)\$[0-9]+")))</f>
        <v/>
      </c>
      <c r="C87" s="7" t="str" cm="1">
        <f t="array" aca="1" ref="C87" ca="1">IF(OR('Raw Data'!C87="",LEN(TRIM('Raw Data'!C87))=0,Validate_Empty!C87&lt;&gt;"",Validate_Value!C87&lt;&gt;""),"",IF('Raw Data'!C87 = Condition!C87,"",_xlfn.REGEXEXTRACT(CELL("address",'Raw Data'!C87),"\$([A-Z]+)\$[0-9]+")))</f>
        <v/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2:28" x14ac:dyDescent="0.25">
      <c r="B88" s="7" t="str" cm="1">
        <f t="array" aca="1" ref="B88" ca="1">IF(OR('Raw Data'!B88="",LEN(TRIM('Raw Data'!B88))=0,Validate_Empty!B88&lt;&gt;"",Validate_Value!B88&lt;&gt;""),"",IF('Raw Data'!B88 = Condition!B88,"",_xlfn.REGEXEXTRACT(CELL("address",'Raw Data'!B88),"\$([A-Z]+)\$[0-9]+")))</f>
        <v/>
      </c>
      <c r="C88" s="7" t="str" cm="1">
        <f t="array" aca="1" ref="C88" ca="1">IF(OR('Raw Data'!C88="",LEN(TRIM('Raw Data'!C88))=0,Validate_Empty!C88&lt;&gt;"",Validate_Value!C88&lt;&gt;""),"",IF('Raw Data'!C88 = Condition!C88,"",_xlfn.REGEXEXTRACT(CELL("address",'Raw Data'!C88),"\$([A-Z]+)\$[0-9]+")))</f>
        <v/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2:28" x14ac:dyDescent="0.25">
      <c r="B89" s="7" t="str" cm="1">
        <f t="array" aca="1" ref="B89" ca="1">IF(OR('Raw Data'!B89="",LEN(TRIM('Raw Data'!B89))=0,Validate_Empty!B89&lt;&gt;"",Validate_Value!B89&lt;&gt;""),"",IF('Raw Data'!B89 = Condition!B89,"",_xlfn.REGEXEXTRACT(CELL("address",'Raw Data'!B89),"\$([A-Z]+)\$[0-9]+")))</f>
        <v/>
      </c>
      <c r="C89" s="7" t="str" cm="1">
        <f t="array" aca="1" ref="C89" ca="1">IF(OR('Raw Data'!C89="",LEN(TRIM('Raw Data'!C89))=0,Validate_Empty!C89&lt;&gt;"",Validate_Value!C89&lt;&gt;""),"",IF('Raw Data'!C89 = Condition!C89,"",_xlfn.REGEXEXTRACT(CELL("address",'Raw Data'!C89),"\$([A-Z]+)\$[0-9]+")))</f>
        <v/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2:28" x14ac:dyDescent="0.25">
      <c r="B90" s="7" t="str" cm="1">
        <f t="array" aca="1" ref="B90" ca="1">IF(OR('Raw Data'!B90="",LEN(TRIM('Raw Data'!B90))=0,Validate_Empty!B90&lt;&gt;"",Validate_Value!B90&lt;&gt;""),"",IF('Raw Data'!B90 = Condition!B90,"",_xlfn.REGEXEXTRACT(CELL("address",'Raw Data'!B90),"\$([A-Z]+)\$[0-9]+")))</f>
        <v/>
      </c>
      <c r="C90" s="7" t="str" cm="1">
        <f t="array" aca="1" ref="C90" ca="1">IF(OR('Raw Data'!C90="",LEN(TRIM('Raw Data'!C90))=0,Validate_Empty!C90&lt;&gt;"",Validate_Value!C90&lt;&gt;""),"",IF('Raw Data'!C90 = Condition!C90,"",_xlfn.REGEXEXTRACT(CELL("address",'Raw Data'!C90),"\$([A-Z]+)\$[0-9]+")))</f>
        <v/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2:28" x14ac:dyDescent="0.25">
      <c r="B91" s="7" t="str" cm="1">
        <f t="array" aca="1" ref="B91" ca="1">IF(OR('Raw Data'!B91="",LEN(TRIM('Raw Data'!B91))=0,Validate_Empty!B91&lt;&gt;"",Validate_Value!B91&lt;&gt;""),"",IF('Raw Data'!B91 = Condition!B91,"",_xlfn.REGEXEXTRACT(CELL("address",'Raw Data'!B91),"\$([A-Z]+)\$[0-9]+")))</f>
        <v/>
      </c>
      <c r="C91" s="7" t="str" cm="1">
        <f t="array" aca="1" ref="C91" ca="1">IF(OR('Raw Data'!C91="",LEN(TRIM('Raw Data'!C91))=0,Validate_Empty!C91&lt;&gt;"",Validate_Value!C91&lt;&gt;""),"",IF('Raw Data'!C91 = Condition!C91,"",_xlfn.REGEXEXTRACT(CELL("address",'Raw Data'!C91),"\$([A-Z]+)\$[0-9]+")))</f>
        <v/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2:28" x14ac:dyDescent="0.25">
      <c r="B92" s="7" t="str" cm="1">
        <f t="array" aca="1" ref="B92" ca="1">IF(OR('Raw Data'!B92="",LEN(TRIM('Raw Data'!B92))=0,Validate_Empty!B92&lt;&gt;"",Validate_Value!B92&lt;&gt;""),"",IF('Raw Data'!B92 = Condition!B92,"",_xlfn.REGEXEXTRACT(CELL("address",'Raw Data'!B92),"\$([A-Z]+)\$[0-9]+")))</f>
        <v/>
      </c>
      <c r="C92" s="7" t="str" cm="1">
        <f t="array" aca="1" ref="C92" ca="1">IF(OR('Raw Data'!C92="",LEN(TRIM('Raw Data'!C92))=0,Validate_Empty!C92&lt;&gt;"",Validate_Value!C92&lt;&gt;""),"",IF('Raw Data'!C92 = Condition!C92,"",_xlfn.REGEXEXTRACT(CELL("address",'Raw Data'!C92),"\$([A-Z]+)\$[0-9]+")))</f>
        <v/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2:28" x14ac:dyDescent="0.25">
      <c r="B93" s="7" t="str" cm="1">
        <f t="array" aca="1" ref="B93" ca="1">IF(OR('Raw Data'!B93="",LEN(TRIM('Raw Data'!B93))=0,Validate_Empty!B93&lt;&gt;"",Validate_Value!B93&lt;&gt;""),"",IF('Raw Data'!B93 = Condition!B93,"",_xlfn.REGEXEXTRACT(CELL("address",'Raw Data'!B93),"\$([A-Z]+)\$[0-9]+")))</f>
        <v/>
      </c>
      <c r="C93" s="7" t="str" cm="1">
        <f t="array" aca="1" ref="C93" ca="1">IF(OR('Raw Data'!C93="",LEN(TRIM('Raw Data'!C93))=0,Validate_Empty!C93&lt;&gt;"",Validate_Value!C93&lt;&gt;""),"",IF('Raw Data'!C93 = Condition!C93,"",_xlfn.REGEXEXTRACT(CELL("address",'Raw Data'!C93),"\$([A-Z]+)\$[0-9]+")))</f>
        <v/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2:28" x14ac:dyDescent="0.25">
      <c r="B94" s="7" t="str" cm="1">
        <f t="array" aca="1" ref="B94" ca="1">IF(OR('Raw Data'!B94="",LEN(TRIM('Raw Data'!B94))=0,Validate_Empty!B94&lt;&gt;"",Validate_Value!B94&lt;&gt;""),"",IF('Raw Data'!B94 = Condition!B94,"",_xlfn.REGEXEXTRACT(CELL("address",'Raw Data'!B94),"\$([A-Z]+)\$[0-9]+")))</f>
        <v/>
      </c>
      <c r="C94" s="7" t="str" cm="1">
        <f t="array" aca="1" ref="C94" ca="1">IF(OR('Raw Data'!C94="",LEN(TRIM('Raw Data'!C94))=0,Validate_Empty!C94&lt;&gt;"",Validate_Value!C94&lt;&gt;""),"",IF('Raw Data'!C94 = Condition!C94,"",_xlfn.REGEXEXTRACT(CELL("address",'Raw Data'!C94),"\$([A-Z]+)\$[0-9]+")))</f>
        <v/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2:28" x14ac:dyDescent="0.25">
      <c r="B95" s="7" t="str" cm="1">
        <f t="array" aca="1" ref="B95" ca="1">IF(OR('Raw Data'!B95="",LEN(TRIM('Raw Data'!B95))=0,Validate_Empty!B95&lt;&gt;"",Validate_Value!B95&lt;&gt;""),"",IF('Raw Data'!B95 = Condition!B95,"",_xlfn.REGEXEXTRACT(CELL("address",'Raw Data'!B95),"\$([A-Z]+)\$[0-9]+")))</f>
        <v/>
      </c>
      <c r="C95" s="7" t="str" cm="1">
        <f t="array" aca="1" ref="C95" ca="1">IF(OR('Raw Data'!C95="",LEN(TRIM('Raw Data'!C95))=0,Validate_Empty!C95&lt;&gt;"",Validate_Value!C95&lt;&gt;""),"",IF('Raw Data'!C95 = Condition!C95,"",_xlfn.REGEXEXTRACT(CELL("address",'Raw Data'!C95),"\$([A-Z]+)\$[0-9]+")))</f>
        <v/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2:28" x14ac:dyDescent="0.25">
      <c r="B96" s="7" t="str" cm="1">
        <f t="array" aca="1" ref="B96" ca="1">IF(OR('Raw Data'!B96="",LEN(TRIM('Raw Data'!B96))=0,Validate_Empty!B96&lt;&gt;"",Validate_Value!B96&lt;&gt;""),"",IF('Raw Data'!B96 = Condition!B96,"",_xlfn.REGEXEXTRACT(CELL("address",'Raw Data'!B96),"\$([A-Z]+)\$[0-9]+")))</f>
        <v/>
      </c>
      <c r="C96" s="7" t="str" cm="1">
        <f t="array" aca="1" ref="C96" ca="1">IF(OR('Raw Data'!C96="",LEN(TRIM('Raw Data'!C96))=0,Validate_Empty!C96&lt;&gt;"",Validate_Value!C96&lt;&gt;""),"",IF('Raw Data'!C96 = Condition!C96,"",_xlfn.REGEXEXTRACT(CELL("address",'Raw Data'!C96),"\$([A-Z]+)\$[0-9]+")))</f>
        <v/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2:28" x14ac:dyDescent="0.25">
      <c r="B97" s="7" t="str" cm="1">
        <f t="array" aca="1" ref="B97" ca="1">IF(OR('Raw Data'!B97="",LEN(TRIM('Raw Data'!B97))=0,Validate_Empty!B97&lt;&gt;"",Validate_Value!B97&lt;&gt;""),"",IF('Raw Data'!B97 = Condition!B97,"",_xlfn.REGEXEXTRACT(CELL("address",'Raw Data'!B97),"\$([A-Z]+)\$[0-9]+")))</f>
        <v/>
      </c>
      <c r="C97" s="7" t="str" cm="1">
        <f t="array" aca="1" ref="C97" ca="1">IF(OR('Raw Data'!C97="",LEN(TRIM('Raw Data'!C97))=0,Validate_Empty!C97&lt;&gt;"",Validate_Value!C97&lt;&gt;""),"",IF('Raw Data'!C97 = Condition!C97,"",_xlfn.REGEXEXTRACT(CELL("address",'Raw Data'!C97),"\$([A-Z]+)\$[0-9]+")))</f>
        <v/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2:28" x14ac:dyDescent="0.25">
      <c r="B98" s="7" t="str" cm="1">
        <f t="array" aca="1" ref="B98" ca="1">IF(OR('Raw Data'!B98="",LEN(TRIM('Raw Data'!B98))=0,Validate_Empty!B98&lt;&gt;"",Validate_Value!B98&lt;&gt;""),"",IF('Raw Data'!B98 = Condition!B98,"",_xlfn.REGEXEXTRACT(CELL("address",'Raw Data'!B98),"\$([A-Z]+)\$[0-9]+")))</f>
        <v/>
      </c>
      <c r="C98" s="7" t="str" cm="1">
        <f t="array" aca="1" ref="C98" ca="1">IF(OR('Raw Data'!C98="",LEN(TRIM('Raw Data'!C98))=0,Validate_Empty!C98&lt;&gt;"",Validate_Value!C98&lt;&gt;""),"",IF('Raw Data'!C98 = Condition!C98,"",_xlfn.REGEXEXTRACT(CELL("address",'Raw Data'!C98),"\$([A-Z]+)\$[0-9]+")))</f>
        <v/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2:28" x14ac:dyDescent="0.25">
      <c r="B99" s="7" t="str" cm="1">
        <f t="array" aca="1" ref="B99" ca="1">IF(OR('Raw Data'!B99="",LEN(TRIM('Raw Data'!B99))=0,Validate_Empty!B99&lt;&gt;"",Validate_Value!B99&lt;&gt;""),"",IF('Raw Data'!B99 = Condition!B99,"",_xlfn.REGEXEXTRACT(CELL("address",'Raw Data'!B99),"\$([A-Z]+)\$[0-9]+")))</f>
        <v/>
      </c>
      <c r="C99" s="7" t="str" cm="1">
        <f t="array" aca="1" ref="C99" ca="1">IF(OR('Raw Data'!C99="",LEN(TRIM('Raw Data'!C99))=0,Validate_Empty!C99&lt;&gt;"",Validate_Value!C99&lt;&gt;""),"",IF('Raw Data'!C99 = Condition!C99,"",_xlfn.REGEXEXTRACT(CELL("address",'Raw Data'!C99),"\$([A-Z]+)\$[0-9]+")))</f>
        <v/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2:28" x14ac:dyDescent="0.25">
      <c r="B100" s="7" t="str" cm="1">
        <f t="array" aca="1" ref="B100" ca="1">IF(OR('Raw Data'!B100="",LEN(TRIM('Raw Data'!B100))=0,Validate_Empty!B100&lt;&gt;"",Validate_Value!B100&lt;&gt;""),"",IF('Raw Data'!B100 = Condition!B100,"",_xlfn.REGEXEXTRACT(CELL("address",'Raw Data'!B100),"\$([A-Z]+)\$[0-9]+")))</f>
        <v/>
      </c>
      <c r="C100" s="7" t="str" cm="1">
        <f t="array" aca="1" ref="C100" ca="1">IF(OR('Raw Data'!C100="",LEN(TRIM('Raw Data'!C100))=0,Validate_Empty!C100&lt;&gt;"",Validate_Value!C100&lt;&gt;""),"",IF('Raw Data'!C100 = Condition!C100,"",_xlfn.REGEXEXTRACT(CELL("address",'Raw Data'!C100),"\$([A-Z]+)\$[0-9]+")))</f>
        <v/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2:28" x14ac:dyDescent="0.25">
      <c r="B101" s="7" t="str" cm="1">
        <f t="array" aca="1" ref="B101" ca="1">IF(OR('Raw Data'!B101="",LEN(TRIM('Raw Data'!B101))=0,Validate_Empty!B101&lt;&gt;"",Validate_Value!B101&lt;&gt;""),"",IF('Raw Data'!B101 = Condition!B101,"",_xlfn.REGEXEXTRACT(CELL("address",'Raw Data'!B101),"\$([A-Z]+)\$[0-9]+")))</f>
        <v/>
      </c>
      <c r="C101" s="7" t="str" cm="1">
        <f t="array" aca="1" ref="C101" ca="1">IF(OR('Raw Data'!C101="",LEN(TRIM('Raw Data'!C101))=0,Validate_Empty!C101&lt;&gt;"",Validate_Value!C101&lt;&gt;""),"",IF('Raw Data'!C101 = Condition!C101,"",_xlfn.REGEXEXTRACT(CELL("address",'Raw Data'!C101),"\$([A-Z]+)\$[0-9]+")))</f>
        <v/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2:28" x14ac:dyDescent="0.25">
      <c r="B102" s="7" t="str" cm="1">
        <f t="array" aca="1" ref="B102" ca="1">IF(OR('Raw Data'!B102="",LEN(TRIM('Raw Data'!B102))=0,Validate_Empty!B102&lt;&gt;"",Validate_Value!B102&lt;&gt;""),"",IF('Raw Data'!B102 = Condition!B102,"",_xlfn.REGEXEXTRACT(CELL("address",'Raw Data'!B102),"\$([A-Z]+)\$[0-9]+")))</f>
        <v/>
      </c>
      <c r="C102" s="7" t="str" cm="1">
        <f t="array" aca="1" ref="C102" ca="1">IF(OR('Raw Data'!C102="",LEN(TRIM('Raw Data'!C102))=0,Validate_Empty!C102&lt;&gt;"",Validate_Value!C102&lt;&gt;""),"",IF('Raw Data'!C102 = Condition!C102,"",_xlfn.REGEXEXTRACT(CELL("address",'Raw Data'!C102),"\$([A-Z]+)\$[0-9]+")))</f>
        <v/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2:28" x14ac:dyDescent="0.25">
      <c r="B103" s="7" t="str" cm="1">
        <f t="array" aca="1" ref="B103" ca="1">IF(OR('Raw Data'!B103="",LEN(TRIM('Raw Data'!B103))=0,Validate_Empty!B103&lt;&gt;"",Validate_Value!B103&lt;&gt;""),"",IF('Raw Data'!B103 = Condition!B103,"",_xlfn.REGEXEXTRACT(CELL("address",'Raw Data'!B103),"\$([A-Z]+)\$[0-9]+")))</f>
        <v/>
      </c>
      <c r="C103" s="7" t="str" cm="1">
        <f t="array" aca="1" ref="C103" ca="1">IF(OR('Raw Data'!C103="",LEN(TRIM('Raw Data'!C103))=0,Validate_Empty!C103&lt;&gt;"",Validate_Value!C103&lt;&gt;""),"",IF('Raw Data'!C103 = Condition!C103,"",_xlfn.REGEXEXTRACT(CELL("address",'Raw Data'!C103),"\$([A-Z]+)\$[0-9]+")))</f>
        <v/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2:28" x14ac:dyDescent="0.25">
      <c r="B104" s="7" t="str" cm="1">
        <f t="array" aca="1" ref="B104" ca="1">IF(OR('Raw Data'!B104="",LEN(TRIM('Raw Data'!B104))=0,Validate_Empty!B104&lt;&gt;"",Validate_Value!B104&lt;&gt;""),"",IF('Raw Data'!B104 = Condition!B104,"",_xlfn.REGEXEXTRACT(CELL("address",'Raw Data'!B104),"\$([A-Z]+)\$[0-9]+")))</f>
        <v/>
      </c>
      <c r="C104" s="7" t="str" cm="1">
        <f t="array" aca="1" ref="C104" ca="1">IF(OR('Raw Data'!C104="",LEN(TRIM('Raw Data'!C104))=0,Validate_Empty!C104&lt;&gt;"",Validate_Value!C104&lt;&gt;""),"",IF('Raw Data'!C104 = Condition!C104,"",_xlfn.REGEXEXTRACT(CELL("address",'Raw Data'!C104),"\$([A-Z]+)\$[0-9]+")))</f>
        <v/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2:28" x14ac:dyDescent="0.25">
      <c r="B105" s="7" t="str" cm="1">
        <f t="array" aca="1" ref="B105" ca="1">IF(OR('Raw Data'!B105="",LEN(TRIM('Raw Data'!B105))=0,Validate_Empty!B105&lt;&gt;"",Validate_Value!B105&lt;&gt;""),"",IF('Raw Data'!B105 = Condition!B105,"",_xlfn.REGEXEXTRACT(CELL("address",'Raw Data'!B105),"\$([A-Z]+)\$[0-9]+")))</f>
        <v/>
      </c>
      <c r="C105" s="7" t="str" cm="1">
        <f t="array" aca="1" ref="C105" ca="1">IF(OR('Raw Data'!C105="",LEN(TRIM('Raw Data'!C105))=0,Validate_Empty!C105&lt;&gt;"",Validate_Value!C105&lt;&gt;""),"",IF('Raw Data'!C105 = Condition!C105,"",_xlfn.REGEXEXTRACT(CELL("address",'Raw Data'!C105),"\$([A-Z]+)\$[0-9]+")))</f>
        <v/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2:28" x14ac:dyDescent="0.25">
      <c r="B106" s="7" t="str" cm="1">
        <f t="array" aca="1" ref="B106" ca="1">IF(OR('Raw Data'!B106="",LEN(TRIM('Raw Data'!B106))=0,Validate_Empty!B106&lt;&gt;"",Validate_Value!B106&lt;&gt;""),"",IF('Raw Data'!B106 = Condition!B106,"",_xlfn.REGEXEXTRACT(CELL("address",'Raw Data'!B106),"\$([A-Z]+)\$[0-9]+")))</f>
        <v/>
      </c>
      <c r="C106" s="7" t="str" cm="1">
        <f t="array" aca="1" ref="C106" ca="1">IF(OR('Raw Data'!C106="",LEN(TRIM('Raw Data'!C106))=0,Validate_Empty!C106&lt;&gt;"",Validate_Value!C106&lt;&gt;""),"",IF('Raw Data'!C106 = Condition!C106,"",_xlfn.REGEXEXTRACT(CELL("address",'Raw Data'!C106),"\$([A-Z]+)\$[0-9]+")))</f>
        <v/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2:28" x14ac:dyDescent="0.25">
      <c r="B107" s="7" t="str" cm="1">
        <f t="array" aca="1" ref="B107" ca="1">IF(OR('Raw Data'!B107="",LEN(TRIM('Raw Data'!B107))=0,Validate_Empty!B107&lt;&gt;"",Validate_Value!B107&lt;&gt;""),"",IF('Raw Data'!B107 = Condition!B107,"",_xlfn.REGEXEXTRACT(CELL("address",'Raw Data'!B107),"\$([A-Z]+)\$[0-9]+")))</f>
        <v/>
      </c>
      <c r="C107" s="7" t="str" cm="1">
        <f t="array" aca="1" ref="C107" ca="1">IF(OR('Raw Data'!C107="",LEN(TRIM('Raw Data'!C107))=0,Validate_Empty!C107&lt;&gt;"",Validate_Value!C107&lt;&gt;""),"",IF('Raw Data'!C107 = Condition!C107,"",_xlfn.REGEXEXTRACT(CELL("address",'Raw Data'!C107),"\$([A-Z]+)\$[0-9]+")))</f>
        <v/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2:28" x14ac:dyDescent="0.25">
      <c r="B108" s="7" t="str" cm="1">
        <f t="array" aca="1" ref="B108" ca="1">IF(OR('Raw Data'!B108="",LEN(TRIM('Raw Data'!B108))=0,Validate_Empty!B108&lt;&gt;"",Validate_Value!B108&lt;&gt;""),"",IF('Raw Data'!B108 = Condition!B108,"",_xlfn.REGEXEXTRACT(CELL("address",'Raw Data'!B108),"\$([A-Z]+)\$[0-9]+")))</f>
        <v/>
      </c>
      <c r="C108" s="7" t="str" cm="1">
        <f t="array" aca="1" ref="C108" ca="1">IF(OR('Raw Data'!C108="",LEN(TRIM('Raw Data'!C108))=0,Validate_Empty!C108&lt;&gt;"",Validate_Value!C108&lt;&gt;""),"",IF('Raw Data'!C108 = Condition!C108,"",_xlfn.REGEXEXTRACT(CELL("address",'Raw Data'!C108),"\$([A-Z]+)\$[0-9]+")))</f>
        <v/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2:28" x14ac:dyDescent="0.25">
      <c r="B109" s="7" t="str" cm="1">
        <f t="array" aca="1" ref="B109" ca="1">IF(OR('Raw Data'!B109="",LEN(TRIM('Raw Data'!B109))=0,Validate_Empty!B109&lt;&gt;"",Validate_Value!B109&lt;&gt;""),"",IF('Raw Data'!B109 = Condition!B109,"",_xlfn.REGEXEXTRACT(CELL("address",'Raw Data'!B109),"\$([A-Z]+)\$[0-9]+")))</f>
        <v/>
      </c>
      <c r="C109" s="7" t="str" cm="1">
        <f t="array" aca="1" ref="C109" ca="1">IF(OR('Raw Data'!C109="",LEN(TRIM('Raw Data'!C109))=0,Validate_Empty!C109&lt;&gt;"",Validate_Value!C109&lt;&gt;""),"",IF('Raw Data'!C109 = Condition!C109,"",_xlfn.REGEXEXTRACT(CELL("address",'Raw Data'!C109),"\$([A-Z]+)\$[0-9]+")))</f>
        <v/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2:28" x14ac:dyDescent="0.25">
      <c r="B110" s="7" t="str" cm="1">
        <f t="array" aca="1" ref="B110" ca="1">IF(OR('Raw Data'!B110="",LEN(TRIM('Raw Data'!B110))=0,Validate_Empty!B110&lt;&gt;"",Validate_Value!B110&lt;&gt;""),"",IF('Raw Data'!B110 = Condition!B110,"",_xlfn.REGEXEXTRACT(CELL("address",'Raw Data'!B110),"\$([A-Z]+)\$[0-9]+")))</f>
        <v/>
      </c>
      <c r="C110" s="7" t="str" cm="1">
        <f t="array" aca="1" ref="C110" ca="1">IF(OR('Raw Data'!C110="",LEN(TRIM('Raw Data'!C110))=0,Validate_Empty!C110&lt;&gt;"",Validate_Value!C110&lt;&gt;""),"",IF('Raw Data'!C110 = Condition!C110,"",_xlfn.REGEXEXTRACT(CELL("address",'Raw Data'!C110),"\$([A-Z]+)\$[0-9]+")))</f>
        <v/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2:28" x14ac:dyDescent="0.25">
      <c r="B111" s="7" t="str" cm="1">
        <f t="array" aca="1" ref="B111" ca="1">IF(OR('Raw Data'!B111="",LEN(TRIM('Raw Data'!B111))=0,Validate_Empty!B111&lt;&gt;"",Validate_Value!B111&lt;&gt;""),"",IF('Raw Data'!B111 = Condition!B111,"",_xlfn.REGEXEXTRACT(CELL("address",'Raw Data'!B111),"\$([A-Z]+)\$[0-9]+")))</f>
        <v/>
      </c>
      <c r="C111" s="7" t="str" cm="1">
        <f t="array" aca="1" ref="C111" ca="1">IF(OR('Raw Data'!C111="",LEN(TRIM('Raw Data'!C111))=0,Validate_Empty!C111&lt;&gt;"",Validate_Value!C111&lt;&gt;""),"",IF('Raw Data'!C111 = Condition!C111,"",_xlfn.REGEXEXTRACT(CELL("address",'Raw Data'!C111),"\$([A-Z]+)\$[0-9]+")))</f>
        <v/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2:28" x14ac:dyDescent="0.25">
      <c r="B112" s="7" t="str" cm="1">
        <f t="array" aca="1" ref="B112" ca="1">IF(OR('Raw Data'!B112="",LEN(TRIM('Raw Data'!B112))=0,Validate_Empty!B112&lt;&gt;"",Validate_Value!B112&lt;&gt;""),"",IF('Raw Data'!B112 = Condition!B112,"",_xlfn.REGEXEXTRACT(CELL("address",'Raw Data'!B112),"\$([A-Z]+)\$[0-9]+")))</f>
        <v/>
      </c>
      <c r="C112" s="7" t="str" cm="1">
        <f t="array" aca="1" ref="C112" ca="1">IF(OR('Raw Data'!C112="",LEN(TRIM('Raw Data'!C112))=0,Validate_Empty!C112&lt;&gt;"",Validate_Value!C112&lt;&gt;""),"",IF('Raw Data'!C112 = Condition!C112,"",_xlfn.REGEXEXTRACT(CELL("address",'Raw Data'!C112),"\$([A-Z]+)\$[0-9]+")))</f>
        <v/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2:28" x14ac:dyDescent="0.25">
      <c r="B113" s="7" t="str" cm="1">
        <f t="array" aca="1" ref="B113" ca="1">IF(OR('Raw Data'!B113="",LEN(TRIM('Raw Data'!B113))=0,Validate_Empty!B113&lt;&gt;"",Validate_Value!B113&lt;&gt;""),"",IF('Raw Data'!B113 = Condition!B113,"",_xlfn.REGEXEXTRACT(CELL("address",'Raw Data'!B113),"\$([A-Z]+)\$[0-9]+")))</f>
        <v/>
      </c>
      <c r="C113" s="7" t="str" cm="1">
        <f t="array" aca="1" ref="C113" ca="1">IF(OR('Raw Data'!C113="",LEN(TRIM('Raw Data'!C113))=0,Validate_Empty!C113&lt;&gt;"",Validate_Value!C113&lt;&gt;""),"",IF('Raw Data'!C113 = Condition!C113,"",_xlfn.REGEXEXTRACT(CELL("address",'Raw Data'!C113),"\$([A-Z]+)\$[0-9]+")))</f>
        <v/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2:28" x14ac:dyDescent="0.25">
      <c r="B114" s="7" t="str" cm="1">
        <f t="array" aca="1" ref="B114" ca="1">IF(OR('Raw Data'!B114="",LEN(TRIM('Raw Data'!B114))=0,Validate_Empty!B114&lt;&gt;"",Validate_Value!B114&lt;&gt;""),"",IF('Raw Data'!B114 = Condition!B114,"",_xlfn.REGEXEXTRACT(CELL("address",'Raw Data'!B114),"\$([A-Z]+)\$[0-9]+")))</f>
        <v/>
      </c>
      <c r="C114" s="7" t="str" cm="1">
        <f t="array" aca="1" ref="C114" ca="1">IF(OR('Raw Data'!C114="",LEN(TRIM('Raw Data'!C114))=0,Validate_Empty!C114&lt;&gt;"",Validate_Value!C114&lt;&gt;""),"",IF('Raw Data'!C114 = Condition!C114,"",_xlfn.REGEXEXTRACT(CELL("address",'Raw Data'!C114),"\$([A-Z]+)\$[0-9]+")))</f>
        <v/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2:28" x14ac:dyDescent="0.25">
      <c r="B115" s="7" t="str" cm="1">
        <f t="array" aca="1" ref="B115" ca="1">IF(OR('Raw Data'!B115="",LEN(TRIM('Raw Data'!B115))=0,Validate_Empty!B115&lt;&gt;"",Validate_Value!B115&lt;&gt;""),"",IF('Raw Data'!B115 = Condition!B115,"",_xlfn.REGEXEXTRACT(CELL("address",'Raw Data'!B115),"\$([A-Z]+)\$[0-9]+")))</f>
        <v/>
      </c>
      <c r="C115" s="7" t="str" cm="1">
        <f t="array" aca="1" ref="C115" ca="1">IF(OR('Raw Data'!C115="",LEN(TRIM('Raw Data'!C115))=0,Validate_Empty!C115&lt;&gt;"",Validate_Value!C115&lt;&gt;""),"",IF('Raw Data'!C115 = Condition!C115,"",_xlfn.REGEXEXTRACT(CELL("address",'Raw Data'!C115),"\$([A-Z]+)\$[0-9]+")))</f>
        <v/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2:28" x14ac:dyDescent="0.25">
      <c r="B116" s="7" t="str" cm="1">
        <f t="array" aca="1" ref="B116" ca="1">IF(OR('Raw Data'!B116="",LEN(TRIM('Raw Data'!B116))=0,Validate_Empty!B116&lt;&gt;"",Validate_Value!B116&lt;&gt;""),"",IF('Raw Data'!B116 = Condition!B116,"",_xlfn.REGEXEXTRACT(CELL("address",'Raw Data'!B116),"\$([A-Z]+)\$[0-9]+")))</f>
        <v/>
      </c>
      <c r="C116" s="7" t="str" cm="1">
        <f t="array" aca="1" ref="C116" ca="1">IF(OR('Raw Data'!C116="",LEN(TRIM('Raw Data'!C116))=0,Validate_Empty!C116&lt;&gt;"",Validate_Value!C116&lt;&gt;""),"",IF('Raw Data'!C116 = Condition!C116,"",_xlfn.REGEXEXTRACT(CELL("address",'Raw Data'!C116),"\$([A-Z]+)\$[0-9]+")))</f>
        <v/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2:28" x14ac:dyDescent="0.25">
      <c r="B117" s="7" t="str" cm="1">
        <f t="array" aca="1" ref="B117" ca="1">IF(OR('Raw Data'!B117="",LEN(TRIM('Raw Data'!B117))=0,Validate_Empty!B117&lt;&gt;"",Validate_Value!B117&lt;&gt;""),"",IF('Raw Data'!B117 = Condition!B117,"",_xlfn.REGEXEXTRACT(CELL("address",'Raw Data'!B117),"\$([A-Z]+)\$[0-9]+")))</f>
        <v/>
      </c>
      <c r="C117" s="7" t="str" cm="1">
        <f t="array" aca="1" ref="C117" ca="1">IF(OR('Raw Data'!C117="",LEN(TRIM('Raw Data'!C117))=0,Validate_Empty!C117&lt;&gt;"",Validate_Value!C117&lt;&gt;""),"",IF('Raw Data'!C117 = Condition!C117,"",_xlfn.REGEXEXTRACT(CELL("address",'Raw Data'!C117),"\$([A-Z]+)\$[0-9]+")))</f>
        <v/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2:28" x14ac:dyDescent="0.25">
      <c r="B118" s="7" t="str" cm="1">
        <f t="array" aca="1" ref="B118" ca="1">IF(OR('Raw Data'!B118="",LEN(TRIM('Raw Data'!B118))=0,Validate_Empty!B118&lt;&gt;"",Validate_Value!B118&lt;&gt;""),"",IF('Raw Data'!B118 = Condition!B118,"",_xlfn.REGEXEXTRACT(CELL("address",'Raw Data'!B118),"\$([A-Z]+)\$[0-9]+")))</f>
        <v/>
      </c>
      <c r="C118" s="7" t="str" cm="1">
        <f t="array" aca="1" ref="C118" ca="1">IF(OR('Raw Data'!C118="",LEN(TRIM('Raw Data'!C118))=0,Validate_Empty!C118&lt;&gt;"",Validate_Value!C118&lt;&gt;""),"",IF('Raw Data'!C118 = Condition!C118,"",_xlfn.REGEXEXTRACT(CELL("address",'Raw Data'!C118),"\$([A-Z]+)\$[0-9]+")))</f>
        <v/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2:28" x14ac:dyDescent="0.25">
      <c r="B119" s="7" t="str" cm="1">
        <f t="array" aca="1" ref="B119" ca="1">IF(OR('Raw Data'!B119="",LEN(TRIM('Raw Data'!B119))=0,Validate_Empty!B119&lt;&gt;"",Validate_Value!B119&lt;&gt;""),"",IF('Raw Data'!B119 = Condition!B119,"",_xlfn.REGEXEXTRACT(CELL("address",'Raw Data'!B119),"\$([A-Z]+)\$[0-9]+")))</f>
        <v/>
      </c>
      <c r="C119" s="7" t="str" cm="1">
        <f t="array" aca="1" ref="C119" ca="1">IF(OR('Raw Data'!C119="",LEN(TRIM('Raw Data'!C119))=0,Validate_Empty!C119&lt;&gt;"",Validate_Value!C119&lt;&gt;""),"",IF('Raw Data'!C119 = Condition!C119,"",_xlfn.REGEXEXTRACT(CELL("address",'Raw Data'!C119),"\$([A-Z]+)\$[0-9]+")))</f>
        <v/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2:28" x14ac:dyDescent="0.25">
      <c r="B120" s="7" t="str" cm="1">
        <f t="array" aca="1" ref="B120" ca="1">IF(OR('Raw Data'!B120="",LEN(TRIM('Raw Data'!B120))=0,Validate_Empty!B120&lt;&gt;"",Validate_Value!B120&lt;&gt;""),"",IF('Raw Data'!B120 = Condition!B120,"",_xlfn.REGEXEXTRACT(CELL("address",'Raw Data'!B120),"\$([A-Z]+)\$[0-9]+")))</f>
        <v/>
      </c>
      <c r="C120" s="7" t="str" cm="1">
        <f t="array" aca="1" ref="C120" ca="1">IF(OR('Raw Data'!C120="",LEN(TRIM('Raw Data'!C120))=0,Validate_Empty!C120&lt;&gt;"",Validate_Value!C120&lt;&gt;""),"",IF('Raw Data'!C120 = Condition!C120,"",_xlfn.REGEXEXTRACT(CELL("address",'Raw Data'!C120),"\$([A-Z]+)\$[0-9]+")))</f>
        <v/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2:28" x14ac:dyDescent="0.25">
      <c r="B121" s="7" t="str" cm="1">
        <f t="array" aca="1" ref="B121" ca="1">IF(OR('Raw Data'!B121="",LEN(TRIM('Raw Data'!B121))=0,Validate_Empty!B121&lt;&gt;"",Validate_Value!B121&lt;&gt;""),"",IF('Raw Data'!B121 = Condition!B121,"",_xlfn.REGEXEXTRACT(CELL("address",'Raw Data'!B121),"\$([A-Z]+)\$[0-9]+")))</f>
        <v/>
      </c>
      <c r="C121" s="7" t="str" cm="1">
        <f t="array" aca="1" ref="C121" ca="1">IF(OR('Raw Data'!C121="",LEN(TRIM('Raw Data'!C121))=0,Validate_Empty!C121&lt;&gt;"",Validate_Value!C121&lt;&gt;""),"",IF('Raw Data'!C121 = Condition!C121,"",_xlfn.REGEXEXTRACT(CELL("address",'Raw Data'!C121),"\$([A-Z]+)\$[0-9]+")))</f>
        <v/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2:28" x14ac:dyDescent="0.25">
      <c r="B122" s="7" t="str" cm="1">
        <f t="array" aca="1" ref="B122" ca="1">IF(OR('Raw Data'!B122="",LEN(TRIM('Raw Data'!B122))=0,Validate_Empty!B122&lt;&gt;"",Validate_Value!B122&lt;&gt;""),"",IF('Raw Data'!B122 = Condition!B122,"",_xlfn.REGEXEXTRACT(CELL("address",'Raw Data'!B122),"\$([A-Z]+)\$[0-9]+")))</f>
        <v/>
      </c>
      <c r="C122" s="7" t="str" cm="1">
        <f t="array" aca="1" ref="C122" ca="1">IF(OR('Raw Data'!C122="",LEN(TRIM('Raw Data'!C122))=0,Validate_Empty!C122&lt;&gt;"",Validate_Value!C122&lt;&gt;""),"",IF('Raw Data'!C122 = Condition!C122,"",_xlfn.REGEXEXTRACT(CELL("address",'Raw Data'!C122),"\$([A-Z]+)\$[0-9]+")))</f>
        <v/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2:28" x14ac:dyDescent="0.25">
      <c r="B123" s="7" t="str" cm="1">
        <f t="array" aca="1" ref="B123" ca="1">IF(OR('Raw Data'!B123="",LEN(TRIM('Raw Data'!B123))=0,Validate_Empty!B123&lt;&gt;"",Validate_Value!B123&lt;&gt;""),"",IF('Raw Data'!B123 = Condition!B123,"",_xlfn.REGEXEXTRACT(CELL("address",'Raw Data'!B123),"\$([A-Z]+)\$[0-9]+")))</f>
        <v/>
      </c>
      <c r="C123" s="7" t="str" cm="1">
        <f t="array" aca="1" ref="C123" ca="1">IF(OR('Raw Data'!C123="",LEN(TRIM('Raw Data'!C123))=0,Validate_Empty!C123&lt;&gt;"",Validate_Value!C123&lt;&gt;""),"",IF('Raw Data'!C123 = Condition!C123,"",_xlfn.REGEXEXTRACT(CELL("address",'Raw Data'!C123),"\$([A-Z]+)\$[0-9]+")))</f>
        <v/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2:28" x14ac:dyDescent="0.25">
      <c r="B124" s="7" t="str" cm="1">
        <f t="array" aca="1" ref="B124" ca="1">IF(OR('Raw Data'!B124="",LEN(TRIM('Raw Data'!B124))=0,Validate_Empty!B124&lt;&gt;"",Validate_Value!B124&lt;&gt;""),"",IF('Raw Data'!B124 = Condition!B124,"",_xlfn.REGEXEXTRACT(CELL("address",'Raw Data'!B124),"\$([A-Z]+)\$[0-9]+")))</f>
        <v/>
      </c>
      <c r="C124" s="7" t="str" cm="1">
        <f t="array" aca="1" ref="C124" ca="1">IF(OR('Raw Data'!C124="",LEN(TRIM('Raw Data'!C124))=0,Validate_Empty!C124&lt;&gt;"",Validate_Value!C124&lt;&gt;""),"",IF('Raw Data'!C124 = Condition!C124,"",_xlfn.REGEXEXTRACT(CELL("address",'Raw Data'!C124),"\$([A-Z]+)\$[0-9]+")))</f>
        <v/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2:28" x14ac:dyDescent="0.25">
      <c r="B125" s="7" t="str" cm="1">
        <f t="array" aca="1" ref="B125" ca="1">IF(OR('Raw Data'!B125="",LEN(TRIM('Raw Data'!B125))=0,Validate_Empty!B125&lt;&gt;"",Validate_Value!B125&lt;&gt;""),"",IF('Raw Data'!B125 = Condition!B125,"",_xlfn.REGEXEXTRACT(CELL("address",'Raw Data'!B125),"\$([A-Z]+)\$[0-9]+")))</f>
        <v/>
      </c>
      <c r="C125" s="7" t="str" cm="1">
        <f t="array" aca="1" ref="C125" ca="1">IF(OR('Raw Data'!C125="",LEN(TRIM('Raw Data'!C125))=0,Validate_Empty!C125&lt;&gt;"",Validate_Value!C125&lt;&gt;""),"",IF('Raw Data'!C125 = Condition!C125,"",_xlfn.REGEXEXTRACT(CELL("address",'Raw Data'!C125),"\$([A-Z]+)\$[0-9]+")))</f>
        <v/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2:28" x14ac:dyDescent="0.25">
      <c r="B126" s="7" t="str" cm="1">
        <f t="array" aca="1" ref="B126" ca="1">IF(OR('Raw Data'!B126="",LEN(TRIM('Raw Data'!B126))=0,Validate_Empty!B126&lt;&gt;"",Validate_Value!B126&lt;&gt;""),"",IF('Raw Data'!B126 = Condition!B126,"",_xlfn.REGEXEXTRACT(CELL("address",'Raw Data'!B126),"\$([A-Z]+)\$[0-9]+")))</f>
        <v/>
      </c>
      <c r="C126" s="7" t="str" cm="1">
        <f t="array" aca="1" ref="C126" ca="1">IF(OR('Raw Data'!C126="",LEN(TRIM('Raw Data'!C126))=0,Validate_Empty!C126&lt;&gt;"",Validate_Value!C126&lt;&gt;""),"",IF('Raw Data'!C126 = Condition!C126,"",_xlfn.REGEXEXTRACT(CELL("address",'Raw Data'!C126),"\$([A-Z]+)\$[0-9]+")))</f>
        <v/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2:28" x14ac:dyDescent="0.25">
      <c r="B127" s="7" t="str" cm="1">
        <f t="array" aca="1" ref="B127" ca="1">IF(OR('Raw Data'!B127="",LEN(TRIM('Raw Data'!B127))=0,Validate_Empty!B127&lt;&gt;"",Validate_Value!B127&lt;&gt;""),"",IF('Raw Data'!B127 = Condition!B127,"",_xlfn.REGEXEXTRACT(CELL("address",'Raw Data'!B127),"\$([A-Z]+)\$[0-9]+")))</f>
        <v/>
      </c>
      <c r="C127" s="7" t="str" cm="1">
        <f t="array" aca="1" ref="C127" ca="1">IF(OR('Raw Data'!C127="",LEN(TRIM('Raw Data'!C127))=0,Validate_Empty!C127&lt;&gt;"",Validate_Value!C127&lt;&gt;""),"",IF('Raw Data'!C127 = Condition!C127,"",_xlfn.REGEXEXTRACT(CELL("address",'Raw Data'!C127),"\$([A-Z]+)\$[0-9]+")))</f>
        <v/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2:28" x14ac:dyDescent="0.25">
      <c r="B128" s="7" t="str" cm="1">
        <f t="array" aca="1" ref="B128" ca="1">IF(OR('Raw Data'!B128="",LEN(TRIM('Raw Data'!B128))=0,Validate_Empty!B128&lt;&gt;"",Validate_Value!B128&lt;&gt;""),"",IF('Raw Data'!B128 = Condition!B128,"",_xlfn.REGEXEXTRACT(CELL("address",'Raw Data'!B128),"\$([A-Z]+)\$[0-9]+")))</f>
        <v/>
      </c>
      <c r="C128" s="7" t="str" cm="1">
        <f t="array" aca="1" ref="C128" ca="1">IF(OR('Raw Data'!C128="",LEN(TRIM('Raw Data'!C128))=0,Validate_Empty!C128&lt;&gt;"",Validate_Value!C128&lt;&gt;""),"",IF('Raw Data'!C128 = Condition!C128,"",_xlfn.REGEXEXTRACT(CELL("address",'Raw Data'!C128),"\$([A-Z]+)\$[0-9]+")))</f>
        <v/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2:28" x14ac:dyDescent="0.25">
      <c r="B129" s="7" t="str" cm="1">
        <f t="array" aca="1" ref="B129" ca="1">IF(OR('Raw Data'!B129="",LEN(TRIM('Raw Data'!B129))=0,Validate_Empty!B129&lt;&gt;"",Validate_Value!B129&lt;&gt;""),"",IF('Raw Data'!B129 = Condition!B129,"",_xlfn.REGEXEXTRACT(CELL("address",'Raw Data'!B129),"\$([A-Z]+)\$[0-9]+")))</f>
        <v/>
      </c>
      <c r="C129" s="7" t="str" cm="1">
        <f t="array" aca="1" ref="C129" ca="1">IF(OR('Raw Data'!C129="",LEN(TRIM('Raw Data'!C129))=0,Validate_Empty!C129&lt;&gt;"",Validate_Value!C129&lt;&gt;""),"",IF('Raw Data'!C129 = Condition!C129,"",_xlfn.REGEXEXTRACT(CELL("address",'Raw Data'!C129),"\$([A-Z]+)\$[0-9]+")))</f>
        <v/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2:28" x14ac:dyDescent="0.25">
      <c r="B130" s="7" t="str" cm="1">
        <f t="array" aca="1" ref="B130" ca="1">IF(OR('Raw Data'!B130="",LEN(TRIM('Raw Data'!B130))=0,Validate_Empty!B130&lt;&gt;"",Validate_Value!B130&lt;&gt;""),"",IF('Raw Data'!B130 = Condition!B130,"",_xlfn.REGEXEXTRACT(CELL("address",'Raw Data'!B130),"\$([A-Z]+)\$[0-9]+")))</f>
        <v/>
      </c>
      <c r="C130" s="7" t="str" cm="1">
        <f t="array" aca="1" ref="C130" ca="1">IF(OR('Raw Data'!C130="",LEN(TRIM('Raw Data'!C130))=0,Validate_Empty!C130&lt;&gt;"",Validate_Value!C130&lt;&gt;""),"",IF('Raw Data'!C130 = Condition!C130,"",_xlfn.REGEXEXTRACT(CELL("address",'Raw Data'!C130),"\$([A-Z]+)\$[0-9]+")))</f>
        <v/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2:28" x14ac:dyDescent="0.25">
      <c r="B131" s="7" t="str" cm="1">
        <f t="array" aca="1" ref="B131" ca="1">IF(OR('Raw Data'!B131="",LEN(TRIM('Raw Data'!B131))=0,Validate_Empty!B131&lt;&gt;"",Validate_Value!B131&lt;&gt;""),"",IF('Raw Data'!B131 = Condition!B131,"",_xlfn.REGEXEXTRACT(CELL("address",'Raw Data'!B131),"\$([A-Z]+)\$[0-9]+")))</f>
        <v/>
      </c>
      <c r="C131" s="7" t="str" cm="1">
        <f t="array" aca="1" ref="C131" ca="1">IF(OR('Raw Data'!C131="",LEN(TRIM('Raw Data'!C131))=0,Validate_Empty!C131&lt;&gt;"",Validate_Value!C131&lt;&gt;""),"",IF('Raw Data'!C131 = Condition!C131,"",_xlfn.REGEXEXTRACT(CELL("address",'Raw Data'!C131),"\$([A-Z]+)\$[0-9]+")))</f>
        <v/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2:28" x14ac:dyDescent="0.25">
      <c r="B132" s="7" t="str" cm="1">
        <f t="array" aca="1" ref="B132" ca="1">IF(OR('Raw Data'!B132="",LEN(TRIM('Raw Data'!B132))=0,Validate_Empty!B132&lt;&gt;"",Validate_Value!B132&lt;&gt;""),"",IF('Raw Data'!B132 = Condition!B132,"",_xlfn.REGEXEXTRACT(CELL("address",'Raw Data'!B132),"\$([A-Z]+)\$[0-9]+")))</f>
        <v/>
      </c>
      <c r="C132" s="7" t="str" cm="1">
        <f t="array" aca="1" ref="C132" ca="1">IF(OR('Raw Data'!C132="",LEN(TRIM('Raw Data'!C132))=0,Validate_Empty!C132&lt;&gt;"",Validate_Value!C132&lt;&gt;""),"",IF('Raw Data'!C132 = Condition!C132,"",_xlfn.REGEXEXTRACT(CELL("address",'Raw Data'!C132),"\$([A-Z]+)\$[0-9]+")))</f>
        <v/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2:28" x14ac:dyDescent="0.25">
      <c r="B133" s="7" t="str" cm="1">
        <f t="array" aca="1" ref="B133" ca="1">IF(OR('Raw Data'!B133="",LEN(TRIM('Raw Data'!B133))=0,Validate_Empty!B133&lt;&gt;"",Validate_Value!B133&lt;&gt;""),"",IF('Raw Data'!B133 = Condition!B133,"",_xlfn.REGEXEXTRACT(CELL("address",'Raw Data'!B133),"\$([A-Z]+)\$[0-9]+")))</f>
        <v/>
      </c>
      <c r="C133" s="7" t="str" cm="1">
        <f t="array" aca="1" ref="C133" ca="1">IF(OR('Raw Data'!C133="",LEN(TRIM('Raw Data'!C133))=0,Validate_Empty!C133&lt;&gt;"",Validate_Value!C133&lt;&gt;""),"",IF('Raw Data'!C133 = Condition!C133,"",_xlfn.REGEXEXTRACT(CELL("address",'Raw Data'!C133),"\$([A-Z]+)\$[0-9]+")))</f>
        <v/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2:28" x14ac:dyDescent="0.25">
      <c r="B134" s="7" t="str" cm="1">
        <f t="array" aca="1" ref="B134" ca="1">IF(OR('Raw Data'!B134="",LEN(TRIM('Raw Data'!B134))=0,Validate_Empty!B134&lt;&gt;"",Validate_Value!B134&lt;&gt;""),"",IF('Raw Data'!B134 = Condition!B134,"",_xlfn.REGEXEXTRACT(CELL("address",'Raw Data'!B134),"\$([A-Z]+)\$[0-9]+")))</f>
        <v/>
      </c>
      <c r="C134" s="7" t="str" cm="1">
        <f t="array" aca="1" ref="C134" ca="1">IF(OR('Raw Data'!C134="",LEN(TRIM('Raw Data'!C134))=0,Validate_Empty!C134&lt;&gt;"",Validate_Value!C134&lt;&gt;""),"",IF('Raw Data'!C134 = Condition!C134,"",_xlfn.REGEXEXTRACT(CELL("address",'Raw Data'!C134),"\$([A-Z]+)\$[0-9]+")))</f>
        <v/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2:28" x14ac:dyDescent="0.25">
      <c r="B135" s="7" t="str" cm="1">
        <f t="array" aca="1" ref="B135" ca="1">IF(OR('Raw Data'!B135="",LEN(TRIM('Raw Data'!B135))=0,Validate_Empty!B135&lt;&gt;"",Validate_Value!B135&lt;&gt;""),"",IF('Raw Data'!B135 = Condition!B135,"",_xlfn.REGEXEXTRACT(CELL("address",'Raw Data'!B135),"\$([A-Z]+)\$[0-9]+")))</f>
        <v/>
      </c>
      <c r="C135" s="7" t="str" cm="1">
        <f t="array" aca="1" ref="C135" ca="1">IF(OR('Raw Data'!C135="",LEN(TRIM('Raw Data'!C135))=0,Validate_Empty!C135&lt;&gt;"",Validate_Value!C135&lt;&gt;""),"",IF('Raw Data'!C135 = Condition!C135,"",_xlfn.REGEXEXTRACT(CELL("address",'Raw Data'!C135),"\$([A-Z]+)\$[0-9]+")))</f>
        <v/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2:28" x14ac:dyDescent="0.25">
      <c r="B136" s="7" t="str" cm="1">
        <f t="array" aca="1" ref="B136" ca="1">IF(OR('Raw Data'!B136="",LEN(TRIM('Raw Data'!B136))=0,Validate_Empty!B136&lt;&gt;"",Validate_Value!B136&lt;&gt;""),"",IF('Raw Data'!B136 = Condition!B136,"",_xlfn.REGEXEXTRACT(CELL("address",'Raw Data'!B136),"\$([A-Z]+)\$[0-9]+")))</f>
        <v/>
      </c>
      <c r="C136" s="7" t="str" cm="1">
        <f t="array" aca="1" ref="C136" ca="1">IF(OR('Raw Data'!C136="",LEN(TRIM('Raw Data'!C136))=0,Validate_Empty!C136&lt;&gt;"",Validate_Value!C136&lt;&gt;""),"",IF('Raw Data'!C136 = Condition!C136,"",_xlfn.REGEXEXTRACT(CELL("address",'Raw Data'!C136),"\$([A-Z]+)\$[0-9]+")))</f>
        <v/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2:28" x14ac:dyDescent="0.25">
      <c r="B137" s="7" t="str" cm="1">
        <f t="array" aca="1" ref="B137" ca="1">IF(OR('Raw Data'!B137="",LEN(TRIM('Raw Data'!B137))=0,Validate_Empty!B137&lt;&gt;"",Validate_Value!B137&lt;&gt;""),"",IF('Raw Data'!B137 = Condition!B137,"",_xlfn.REGEXEXTRACT(CELL("address",'Raw Data'!B137),"\$([A-Z]+)\$[0-9]+")))</f>
        <v/>
      </c>
      <c r="C137" s="7" t="str" cm="1">
        <f t="array" aca="1" ref="C137" ca="1">IF(OR('Raw Data'!C137="",LEN(TRIM('Raw Data'!C137))=0,Validate_Empty!C137&lt;&gt;"",Validate_Value!C137&lt;&gt;""),"",IF('Raw Data'!C137 = Condition!C137,"",_xlfn.REGEXEXTRACT(CELL("address",'Raw Data'!C137),"\$([A-Z]+)\$[0-9]+")))</f>
        <v/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2:28" x14ac:dyDescent="0.25">
      <c r="B138" s="7" t="str" cm="1">
        <f t="array" aca="1" ref="B138" ca="1">IF(OR('Raw Data'!B138="",LEN(TRIM('Raw Data'!B138))=0,Validate_Empty!B138&lt;&gt;"",Validate_Value!B138&lt;&gt;""),"",IF('Raw Data'!B138 = Condition!B138,"",_xlfn.REGEXEXTRACT(CELL("address",'Raw Data'!B138),"\$([A-Z]+)\$[0-9]+")))</f>
        <v/>
      </c>
      <c r="C138" s="7" t="str" cm="1">
        <f t="array" aca="1" ref="C138" ca="1">IF(OR('Raw Data'!C138="",LEN(TRIM('Raw Data'!C138))=0,Validate_Empty!C138&lt;&gt;"",Validate_Value!C138&lt;&gt;""),"",IF('Raw Data'!C138 = Condition!C138,"",_xlfn.REGEXEXTRACT(CELL("address",'Raw Data'!C138),"\$([A-Z]+)\$[0-9]+")))</f>
        <v/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2:28" x14ac:dyDescent="0.25">
      <c r="B139" s="7" t="str" cm="1">
        <f t="array" aca="1" ref="B139" ca="1">IF(OR('Raw Data'!B139="",LEN(TRIM('Raw Data'!B139))=0,Validate_Empty!B139&lt;&gt;"",Validate_Value!B139&lt;&gt;""),"",IF('Raw Data'!B139 = Condition!B139,"",_xlfn.REGEXEXTRACT(CELL("address",'Raw Data'!B139),"\$([A-Z]+)\$[0-9]+")))</f>
        <v/>
      </c>
      <c r="C139" s="7" t="str" cm="1">
        <f t="array" aca="1" ref="C139" ca="1">IF(OR('Raw Data'!C139="",LEN(TRIM('Raw Data'!C139))=0,Validate_Empty!C139&lt;&gt;"",Validate_Value!C139&lt;&gt;""),"",IF('Raw Data'!C139 = Condition!C139,"",_xlfn.REGEXEXTRACT(CELL("address",'Raw Data'!C139),"\$([A-Z]+)\$[0-9]+")))</f>
        <v/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2:28" x14ac:dyDescent="0.25">
      <c r="B140" s="7" t="str" cm="1">
        <f t="array" aca="1" ref="B140" ca="1">IF(OR('Raw Data'!B140="",LEN(TRIM('Raw Data'!B140))=0,Validate_Empty!B140&lt;&gt;"",Validate_Value!B140&lt;&gt;""),"",IF('Raw Data'!B140 = Condition!B140,"",_xlfn.REGEXEXTRACT(CELL("address",'Raw Data'!B140),"\$([A-Z]+)\$[0-9]+")))</f>
        <v/>
      </c>
      <c r="C140" s="7" t="str" cm="1">
        <f t="array" aca="1" ref="C140" ca="1">IF(OR('Raw Data'!C140="",LEN(TRIM('Raw Data'!C140))=0,Validate_Empty!C140&lt;&gt;"",Validate_Value!C140&lt;&gt;""),"",IF('Raw Data'!C140 = Condition!C140,"",_xlfn.REGEXEXTRACT(CELL("address",'Raw Data'!C140),"\$([A-Z]+)\$[0-9]+")))</f>
        <v/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2:28" x14ac:dyDescent="0.25">
      <c r="B141" s="7" t="str" cm="1">
        <f t="array" aca="1" ref="B141" ca="1">IF(OR('Raw Data'!B141="",LEN(TRIM('Raw Data'!B141))=0,Validate_Empty!B141&lt;&gt;"",Validate_Value!B141&lt;&gt;""),"",IF('Raw Data'!B141 = Condition!B141,"",_xlfn.REGEXEXTRACT(CELL("address",'Raw Data'!B141),"\$([A-Z]+)\$[0-9]+")))</f>
        <v/>
      </c>
      <c r="C141" s="7" t="str" cm="1">
        <f t="array" aca="1" ref="C141" ca="1">IF(OR('Raw Data'!C141="",LEN(TRIM('Raw Data'!C141))=0,Validate_Empty!C141&lt;&gt;"",Validate_Value!C141&lt;&gt;""),"",IF('Raw Data'!C141 = Condition!C141,"",_xlfn.REGEXEXTRACT(CELL("address",'Raw Data'!C141),"\$([A-Z]+)\$[0-9]+")))</f>
        <v/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2:28" x14ac:dyDescent="0.25">
      <c r="B142" s="7" t="str" cm="1">
        <f t="array" aca="1" ref="B142" ca="1">IF(OR('Raw Data'!B142="",LEN(TRIM('Raw Data'!B142))=0,Validate_Empty!B142&lt;&gt;"",Validate_Value!B142&lt;&gt;""),"",IF('Raw Data'!B142 = Condition!B142,"",_xlfn.REGEXEXTRACT(CELL("address",'Raw Data'!B142),"\$([A-Z]+)\$[0-9]+")))</f>
        <v/>
      </c>
      <c r="C142" s="7" t="str" cm="1">
        <f t="array" aca="1" ref="C142" ca="1">IF(OR('Raw Data'!C142="",LEN(TRIM('Raw Data'!C142))=0,Validate_Empty!C142&lt;&gt;"",Validate_Value!C142&lt;&gt;""),"",IF('Raw Data'!C142 = Condition!C142,"",_xlfn.REGEXEXTRACT(CELL("address",'Raw Data'!C142),"\$([A-Z]+)\$[0-9]+")))</f>
        <v/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2:28" x14ac:dyDescent="0.25">
      <c r="B143" s="7" t="str" cm="1">
        <f t="array" aca="1" ref="B143" ca="1">IF(OR('Raw Data'!B143="",LEN(TRIM('Raw Data'!B143))=0,Validate_Empty!B143&lt;&gt;"",Validate_Value!B143&lt;&gt;""),"",IF('Raw Data'!B143 = Condition!B143,"",_xlfn.REGEXEXTRACT(CELL("address",'Raw Data'!B143),"\$([A-Z]+)\$[0-9]+")))</f>
        <v/>
      </c>
      <c r="C143" s="7" t="str" cm="1">
        <f t="array" aca="1" ref="C143" ca="1">IF(OR('Raw Data'!C143="",LEN(TRIM('Raw Data'!C143))=0,Validate_Empty!C143&lt;&gt;"",Validate_Value!C143&lt;&gt;""),"",IF('Raw Data'!C143 = Condition!C143,"",_xlfn.REGEXEXTRACT(CELL("address",'Raw Data'!C143),"\$([A-Z]+)\$[0-9]+")))</f>
        <v/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2:28" x14ac:dyDescent="0.25">
      <c r="B144" s="7" t="str" cm="1">
        <f t="array" aca="1" ref="B144" ca="1">IF(OR('Raw Data'!B144="",LEN(TRIM('Raw Data'!B144))=0,Validate_Empty!B144&lt;&gt;"",Validate_Value!B144&lt;&gt;""),"",IF('Raw Data'!B144 = Condition!B144,"",_xlfn.REGEXEXTRACT(CELL("address",'Raw Data'!B144),"\$([A-Z]+)\$[0-9]+")))</f>
        <v/>
      </c>
      <c r="C144" s="7" t="str" cm="1">
        <f t="array" aca="1" ref="C144" ca="1">IF(OR('Raw Data'!C144="",LEN(TRIM('Raw Data'!C144))=0,Validate_Empty!C144&lt;&gt;"",Validate_Value!C144&lt;&gt;""),"",IF('Raw Data'!C144 = Condition!C144,"",_xlfn.REGEXEXTRACT(CELL("address",'Raw Data'!C144),"\$([A-Z]+)\$[0-9]+")))</f>
        <v/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2:28" x14ac:dyDescent="0.25">
      <c r="B145" s="7" t="str" cm="1">
        <f t="array" aca="1" ref="B145" ca="1">IF(OR('Raw Data'!B145="",LEN(TRIM('Raw Data'!B145))=0,Validate_Empty!B145&lt;&gt;"",Validate_Value!B145&lt;&gt;""),"",IF('Raw Data'!B145 = Condition!B145,"",_xlfn.REGEXEXTRACT(CELL("address",'Raw Data'!B145),"\$([A-Z]+)\$[0-9]+")))</f>
        <v/>
      </c>
      <c r="C145" s="7" t="str" cm="1">
        <f t="array" aca="1" ref="C145" ca="1">IF(OR('Raw Data'!C145="",LEN(TRIM('Raw Data'!C145))=0,Validate_Empty!C145&lt;&gt;"",Validate_Value!C145&lt;&gt;""),"",IF('Raw Data'!C145 = Condition!C145,"",_xlfn.REGEXEXTRACT(CELL("address",'Raw Data'!C145),"\$([A-Z]+)\$[0-9]+")))</f>
        <v/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2:28" x14ac:dyDescent="0.25">
      <c r="B146" s="7" t="str" cm="1">
        <f t="array" aca="1" ref="B146" ca="1">IF(OR('Raw Data'!B146="",LEN(TRIM('Raw Data'!B146))=0,Validate_Empty!B146&lt;&gt;"",Validate_Value!B146&lt;&gt;""),"",IF('Raw Data'!B146 = Condition!B146,"",_xlfn.REGEXEXTRACT(CELL("address",'Raw Data'!B146),"\$([A-Z]+)\$[0-9]+")))</f>
        <v/>
      </c>
      <c r="C146" s="7" t="str" cm="1">
        <f t="array" aca="1" ref="C146" ca="1">IF(OR('Raw Data'!C146="",LEN(TRIM('Raw Data'!C146))=0,Validate_Empty!C146&lt;&gt;"",Validate_Value!C146&lt;&gt;""),"",IF('Raw Data'!C146 = Condition!C146,"",_xlfn.REGEXEXTRACT(CELL("address",'Raw Data'!C146),"\$([A-Z]+)\$[0-9]+")))</f>
        <v/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2:28" x14ac:dyDescent="0.25">
      <c r="B147" s="7" t="str" cm="1">
        <f t="array" aca="1" ref="B147" ca="1">IF(OR('Raw Data'!B147="",LEN(TRIM('Raw Data'!B147))=0,Validate_Empty!B147&lt;&gt;"",Validate_Value!B147&lt;&gt;""),"",IF('Raw Data'!B147 = Condition!B147,"",_xlfn.REGEXEXTRACT(CELL("address",'Raw Data'!B147),"\$([A-Z]+)\$[0-9]+")))</f>
        <v/>
      </c>
      <c r="C147" s="7" t="str" cm="1">
        <f t="array" aca="1" ref="C147" ca="1">IF(OR('Raw Data'!C147="",LEN(TRIM('Raw Data'!C147))=0,Validate_Empty!C147&lt;&gt;"",Validate_Value!C147&lt;&gt;""),"",IF('Raw Data'!C147 = Condition!C147,"",_xlfn.REGEXEXTRACT(CELL("address",'Raw Data'!C147),"\$([A-Z]+)\$[0-9]+")))</f>
        <v/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2:28" x14ac:dyDescent="0.25">
      <c r="B148" s="7" t="str" cm="1">
        <f t="array" aca="1" ref="B148" ca="1">IF(OR('Raw Data'!B148="",LEN(TRIM('Raw Data'!B148))=0,Validate_Empty!B148&lt;&gt;"",Validate_Value!B148&lt;&gt;""),"",IF('Raw Data'!B148 = Condition!B148,"",_xlfn.REGEXEXTRACT(CELL("address",'Raw Data'!B148),"\$([A-Z]+)\$[0-9]+")))</f>
        <v/>
      </c>
      <c r="C148" s="7" t="str" cm="1">
        <f t="array" aca="1" ref="C148" ca="1">IF(OR('Raw Data'!C148="",LEN(TRIM('Raw Data'!C148))=0,Validate_Empty!C148&lt;&gt;"",Validate_Value!C148&lt;&gt;""),"",IF('Raw Data'!C148 = Condition!C148,"",_xlfn.REGEXEXTRACT(CELL("address",'Raw Data'!C148),"\$([A-Z]+)\$[0-9]+")))</f>
        <v/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2:28" x14ac:dyDescent="0.25">
      <c r="B149" s="7" t="str" cm="1">
        <f t="array" aca="1" ref="B149" ca="1">IF(OR('Raw Data'!B149="",LEN(TRIM('Raw Data'!B149))=0,Validate_Empty!B149&lt;&gt;"",Validate_Value!B149&lt;&gt;""),"",IF('Raw Data'!B149 = Condition!B149,"",_xlfn.REGEXEXTRACT(CELL("address",'Raw Data'!B149),"\$([A-Z]+)\$[0-9]+")))</f>
        <v/>
      </c>
      <c r="C149" s="7" t="str" cm="1">
        <f t="array" aca="1" ref="C149" ca="1">IF(OR('Raw Data'!C149="",LEN(TRIM('Raw Data'!C149))=0,Validate_Empty!C149&lt;&gt;"",Validate_Value!C149&lt;&gt;""),"",IF('Raw Data'!C149 = Condition!C149,"",_xlfn.REGEXEXTRACT(CELL("address",'Raw Data'!C149),"\$([A-Z]+)\$[0-9]+")))</f>
        <v/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2:28" x14ac:dyDescent="0.25">
      <c r="B150" s="7" t="str" cm="1">
        <f t="array" aca="1" ref="B150" ca="1">IF(OR('Raw Data'!B150="",LEN(TRIM('Raw Data'!B150))=0,Validate_Empty!B150&lt;&gt;"",Validate_Value!B150&lt;&gt;""),"",IF('Raw Data'!B150 = Condition!B150,"",_xlfn.REGEXEXTRACT(CELL("address",'Raw Data'!B150),"\$([A-Z]+)\$[0-9]+")))</f>
        <v/>
      </c>
      <c r="C150" s="7" t="str" cm="1">
        <f t="array" aca="1" ref="C150" ca="1">IF(OR('Raw Data'!C150="",LEN(TRIM('Raw Data'!C150))=0,Validate_Empty!C150&lt;&gt;"",Validate_Value!C150&lt;&gt;""),"",IF('Raw Data'!C150 = Condition!C150,"",_xlfn.REGEXEXTRACT(CELL("address",'Raw Data'!C150),"\$([A-Z]+)\$[0-9]+")))</f>
        <v/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2:28" x14ac:dyDescent="0.25">
      <c r="B151" s="7" t="str" cm="1">
        <f t="array" aca="1" ref="B151" ca="1">IF(OR('Raw Data'!B151="",LEN(TRIM('Raw Data'!B151))=0,Validate_Empty!B151&lt;&gt;"",Validate_Value!B151&lt;&gt;""),"",IF('Raw Data'!B151 = Condition!B151,"",_xlfn.REGEXEXTRACT(CELL("address",'Raw Data'!B151),"\$([A-Z]+)\$[0-9]+")))</f>
        <v/>
      </c>
      <c r="C151" s="7" t="str" cm="1">
        <f t="array" aca="1" ref="C151" ca="1">IF(OR('Raw Data'!C151="",LEN(TRIM('Raw Data'!C151))=0,Validate_Empty!C151&lt;&gt;"",Validate_Value!C151&lt;&gt;""),"",IF('Raw Data'!C151 = Condition!C151,"",_xlfn.REGEXEXTRACT(CELL("address",'Raw Data'!C151),"\$([A-Z]+)\$[0-9]+")))</f>
        <v/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2:28" x14ac:dyDescent="0.25">
      <c r="B152" s="7" t="str" cm="1">
        <f t="array" aca="1" ref="B152" ca="1">IF(OR('Raw Data'!B152="",LEN(TRIM('Raw Data'!B152))=0,Validate_Empty!B152&lt;&gt;"",Validate_Value!B152&lt;&gt;""),"",IF('Raw Data'!B152 = Condition!B152,"",_xlfn.REGEXEXTRACT(CELL("address",'Raw Data'!B152),"\$([A-Z]+)\$[0-9]+")))</f>
        <v/>
      </c>
      <c r="C152" s="7" t="str" cm="1">
        <f t="array" aca="1" ref="C152" ca="1">IF(OR('Raw Data'!C152="",LEN(TRIM('Raw Data'!C152))=0,Validate_Empty!C152&lt;&gt;"",Validate_Value!C152&lt;&gt;""),"",IF('Raw Data'!C152 = Condition!C152,"",_xlfn.REGEXEXTRACT(CELL("address",'Raw Data'!C152),"\$([A-Z]+)\$[0-9]+")))</f>
        <v/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2:28" x14ac:dyDescent="0.25">
      <c r="B153" s="7" t="str" cm="1">
        <f t="array" aca="1" ref="B153" ca="1">IF(OR('Raw Data'!B153="",LEN(TRIM('Raw Data'!B153))=0,Validate_Empty!B153&lt;&gt;"",Validate_Value!B153&lt;&gt;""),"",IF('Raw Data'!B153 = Condition!B153,"",_xlfn.REGEXEXTRACT(CELL("address",'Raw Data'!B153),"\$([A-Z]+)\$[0-9]+")))</f>
        <v/>
      </c>
      <c r="C153" s="7" t="str" cm="1">
        <f t="array" aca="1" ref="C153" ca="1">IF(OR('Raw Data'!C153="",LEN(TRIM('Raw Data'!C153))=0,Validate_Empty!C153&lt;&gt;"",Validate_Value!C153&lt;&gt;""),"",IF('Raw Data'!C153 = Condition!C153,"",_xlfn.REGEXEXTRACT(CELL("address",'Raw Data'!C153),"\$([A-Z]+)\$[0-9]+")))</f>
        <v/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2:28" x14ac:dyDescent="0.25">
      <c r="B154" s="7" t="str" cm="1">
        <f t="array" aca="1" ref="B154" ca="1">IF(OR('Raw Data'!B154="",LEN(TRIM('Raw Data'!B154))=0,Validate_Empty!B154&lt;&gt;"",Validate_Value!B154&lt;&gt;""),"",IF('Raw Data'!B154 = Condition!B154,"",_xlfn.REGEXEXTRACT(CELL("address",'Raw Data'!B154),"\$([A-Z]+)\$[0-9]+")))</f>
        <v/>
      </c>
      <c r="C154" s="7" t="str" cm="1">
        <f t="array" aca="1" ref="C154" ca="1">IF(OR('Raw Data'!C154="",LEN(TRIM('Raw Data'!C154))=0,Validate_Empty!C154&lt;&gt;"",Validate_Value!C154&lt;&gt;""),"",IF('Raw Data'!C154 = Condition!C154,"",_xlfn.REGEXEXTRACT(CELL("address",'Raw Data'!C154),"\$([A-Z]+)\$[0-9]+")))</f>
        <v/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2:28" x14ac:dyDescent="0.25">
      <c r="B155" s="7" t="str" cm="1">
        <f t="array" aca="1" ref="B155" ca="1">IF(OR('Raw Data'!B155="",LEN(TRIM('Raw Data'!B155))=0,Validate_Empty!B155&lt;&gt;"",Validate_Value!B155&lt;&gt;""),"",IF('Raw Data'!B155 = Condition!B155,"",_xlfn.REGEXEXTRACT(CELL("address",'Raw Data'!B155),"\$([A-Z]+)\$[0-9]+")))</f>
        <v/>
      </c>
      <c r="C155" s="7" t="str" cm="1">
        <f t="array" aca="1" ref="C155" ca="1">IF(OR('Raw Data'!C155="",LEN(TRIM('Raw Data'!C155))=0,Validate_Empty!C155&lt;&gt;"",Validate_Value!C155&lt;&gt;""),"",IF('Raw Data'!C155 = Condition!C155,"",_xlfn.REGEXEXTRACT(CELL("address",'Raw Data'!C155),"\$([A-Z]+)\$[0-9]+")))</f>
        <v/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2:28" x14ac:dyDescent="0.25">
      <c r="B156" s="7" t="str" cm="1">
        <f t="array" aca="1" ref="B156" ca="1">IF(OR('Raw Data'!B156="",LEN(TRIM('Raw Data'!B156))=0,Validate_Empty!B156&lt;&gt;"",Validate_Value!B156&lt;&gt;""),"",IF('Raw Data'!B156 = Condition!B156,"",_xlfn.REGEXEXTRACT(CELL("address",'Raw Data'!B156),"\$([A-Z]+)\$[0-9]+")))</f>
        <v/>
      </c>
      <c r="C156" s="7" t="str" cm="1">
        <f t="array" aca="1" ref="C156" ca="1">IF(OR('Raw Data'!C156="",LEN(TRIM('Raw Data'!C156))=0,Validate_Empty!C156&lt;&gt;"",Validate_Value!C156&lt;&gt;""),"",IF('Raw Data'!C156 = Condition!C156,"",_xlfn.REGEXEXTRACT(CELL("address",'Raw Data'!C156),"\$([A-Z]+)\$[0-9]+")))</f>
        <v/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2:28" x14ac:dyDescent="0.25">
      <c r="B157" s="7" t="str" cm="1">
        <f t="array" aca="1" ref="B157" ca="1">IF(OR('Raw Data'!B157="",LEN(TRIM('Raw Data'!B157))=0,Validate_Empty!B157&lt;&gt;"",Validate_Value!B157&lt;&gt;""),"",IF('Raw Data'!B157 = Condition!B157,"",_xlfn.REGEXEXTRACT(CELL("address",'Raw Data'!B157),"\$([A-Z]+)\$[0-9]+")))</f>
        <v/>
      </c>
      <c r="C157" s="7" t="str" cm="1">
        <f t="array" aca="1" ref="C157" ca="1">IF(OR('Raw Data'!C157="",LEN(TRIM('Raw Data'!C157))=0,Validate_Empty!C157&lt;&gt;"",Validate_Value!C157&lt;&gt;""),"",IF('Raw Data'!C157 = Condition!C157,"",_xlfn.REGEXEXTRACT(CELL("address",'Raw Data'!C157),"\$([A-Z]+)\$[0-9]+")))</f>
        <v/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2:28" x14ac:dyDescent="0.25">
      <c r="B158" s="7" t="str" cm="1">
        <f t="array" aca="1" ref="B158" ca="1">IF(OR('Raw Data'!B158="",LEN(TRIM('Raw Data'!B158))=0,Validate_Empty!B158&lt;&gt;"",Validate_Value!B158&lt;&gt;""),"",IF('Raw Data'!B158 = Condition!B158,"",_xlfn.REGEXEXTRACT(CELL("address",'Raw Data'!B158),"\$([A-Z]+)\$[0-9]+")))</f>
        <v/>
      </c>
      <c r="C158" s="7" t="str" cm="1">
        <f t="array" aca="1" ref="C158" ca="1">IF(OR('Raw Data'!C158="",LEN(TRIM('Raw Data'!C158))=0,Validate_Empty!C158&lt;&gt;"",Validate_Value!C158&lt;&gt;""),"",IF('Raw Data'!C158 = Condition!C158,"",_xlfn.REGEXEXTRACT(CELL("address",'Raw Data'!C158),"\$([A-Z]+)\$[0-9]+")))</f>
        <v/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2:28" x14ac:dyDescent="0.25">
      <c r="B159" s="7" t="str" cm="1">
        <f t="array" aca="1" ref="B159" ca="1">IF(OR('Raw Data'!B159="",LEN(TRIM('Raw Data'!B159))=0,Validate_Empty!B159&lt;&gt;"",Validate_Value!B159&lt;&gt;""),"",IF('Raw Data'!B159 = Condition!B159,"",_xlfn.REGEXEXTRACT(CELL("address",'Raw Data'!B159),"\$([A-Z]+)\$[0-9]+")))</f>
        <v/>
      </c>
      <c r="C159" s="7" t="str" cm="1">
        <f t="array" aca="1" ref="C159" ca="1">IF(OR('Raw Data'!C159="",LEN(TRIM('Raw Data'!C159))=0,Validate_Empty!C159&lt;&gt;"",Validate_Value!C159&lt;&gt;""),"",IF('Raw Data'!C159 = Condition!C159,"",_xlfn.REGEXEXTRACT(CELL("address",'Raw Data'!C159),"\$([A-Z]+)\$[0-9]+")))</f>
        <v/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2:28" x14ac:dyDescent="0.25">
      <c r="B160" s="7" t="str" cm="1">
        <f t="array" aca="1" ref="B160" ca="1">IF(OR('Raw Data'!B160="",LEN(TRIM('Raw Data'!B160))=0,Validate_Empty!B160&lt;&gt;"",Validate_Value!B160&lt;&gt;""),"",IF('Raw Data'!B160 = Condition!B160,"",_xlfn.REGEXEXTRACT(CELL("address",'Raw Data'!B160),"\$([A-Z]+)\$[0-9]+")))</f>
        <v/>
      </c>
      <c r="C160" s="7" t="str" cm="1">
        <f t="array" aca="1" ref="C160" ca="1">IF(OR('Raw Data'!C160="",LEN(TRIM('Raw Data'!C160))=0,Validate_Empty!C160&lt;&gt;"",Validate_Value!C160&lt;&gt;""),"",IF('Raw Data'!C160 = Condition!C160,"",_xlfn.REGEXEXTRACT(CELL("address",'Raw Data'!C160),"\$([A-Z]+)\$[0-9]+")))</f>
        <v/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2:28" x14ac:dyDescent="0.25">
      <c r="B161" s="7" t="str" cm="1">
        <f t="array" aca="1" ref="B161" ca="1">IF(OR('Raw Data'!B161="",LEN(TRIM('Raw Data'!B161))=0,Validate_Empty!B161&lt;&gt;"",Validate_Value!B161&lt;&gt;""),"",IF('Raw Data'!B161 = Condition!B161,"",_xlfn.REGEXEXTRACT(CELL("address",'Raw Data'!B161),"\$([A-Z]+)\$[0-9]+")))</f>
        <v/>
      </c>
      <c r="C161" s="7" t="str" cm="1">
        <f t="array" aca="1" ref="C161" ca="1">IF(OR('Raw Data'!C161="",LEN(TRIM('Raw Data'!C161))=0,Validate_Empty!C161&lt;&gt;"",Validate_Value!C161&lt;&gt;""),"",IF('Raw Data'!C161 = Condition!C161,"",_xlfn.REGEXEXTRACT(CELL("address",'Raw Data'!C161),"\$([A-Z]+)\$[0-9]+")))</f>
        <v/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2:28" x14ac:dyDescent="0.25">
      <c r="B162" s="7" t="str" cm="1">
        <f t="array" aca="1" ref="B162" ca="1">IF(OR('Raw Data'!B162="",LEN(TRIM('Raw Data'!B162))=0,Validate_Empty!B162&lt;&gt;"",Validate_Value!B162&lt;&gt;""),"",IF('Raw Data'!B162 = Condition!B162,"",_xlfn.REGEXEXTRACT(CELL("address",'Raw Data'!B162),"\$([A-Z]+)\$[0-9]+")))</f>
        <v/>
      </c>
      <c r="C162" s="7" t="str" cm="1">
        <f t="array" aca="1" ref="C162" ca="1">IF(OR('Raw Data'!C162="",LEN(TRIM('Raw Data'!C162))=0,Validate_Empty!C162&lt;&gt;"",Validate_Value!C162&lt;&gt;""),"",IF('Raw Data'!C162 = Condition!C162,"",_xlfn.REGEXEXTRACT(CELL("address",'Raw Data'!C162),"\$([A-Z]+)\$[0-9]+")))</f>
        <v/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2:28" x14ac:dyDescent="0.25">
      <c r="B163" s="7" t="str" cm="1">
        <f t="array" aca="1" ref="B163" ca="1">IF(OR('Raw Data'!B163="",LEN(TRIM('Raw Data'!B163))=0,Validate_Empty!B163&lt;&gt;"",Validate_Value!B163&lt;&gt;""),"",IF('Raw Data'!B163 = Condition!B163,"",_xlfn.REGEXEXTRACT(CELL("address",'Raw Data'!B163),"\$([A-Z]+)\$[0-9]+")))</f>
        <v/>
      </c>
      <c r="C163" s="7" t="str" cm="1">
        <f t="array" aca="1" ref="C163" ca="1">IF(OR('Raw Data'!C163="",LEN(TRIM('Raw Data'!C163))=0,Validate_Empty!C163&lt;&gt;"",Validate_Value!C163&lt;&gt;""),"",IF('Raw Data'!C163 = Condition!C163,"",_xlfn.REGEXEXTRACT(CELL("address",'Raw Data'!C163),"\$([A-Z]+)\$[0-9]+")))</f>
        <v/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2:28" x14ac:dyDescent="0.25">
      <c r="B164" s="7" t="str" cm="1">
        <f t="array" aca="1" ref="B164" ca="1">IF(OR('Raw Data'!B164="",LEN(TRIM('Raw Data'!B164))=0,Validate_Empty!B164&lt;&gt;"",Validate_Value!B164&lt;&gt;""),"",IF('Raw Data'!B164 = Condition!B164,"",_xlfn.REGEXEXTRACT(CELL("address",'Raw Data'!B164),"\$([A-Z]+)\$[0-9]+")))</f>
        <v/>
      </c>
      <c r="C164" s="7" t="str" cm="1">
        <f t="array" aca="1" ref="C164" ca="1">IF(OR('Raw Data'!C164="",LEN(TRIM('Raw Data'!C164))=0,Validate_Empty!C164&lt;&gt;"",Validate_Value!C164&lt;&gt;""),"",IF('Raw Data'!C164 = Condition!C164,"",_xlfn.REGEXEXTRACT(CELL("address",'Raw Data'!C164),"\$([A-Z]+)\$[0-9]+")))</f>
        <v/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2:28" x14ac:dyDescent="0.25">
      <c r="B165" s="7" t="str" cm="1">
        <f t="array" aca="1" ref="B165" ca="1">IF(OR('Raw Data'!B165="",LEN(TRIM('Raw Data'!B165))=0,Validate_Empty!B165&lt;&gt;"",Validate_Value!B165&lt;&gt;""),"",IF('Raw Data'!B165 = Condition!B165,"",_xlfn.REGEXEXTRACT(CELL("address",'Raw Data'!B165),"\$([A-Z]+)\$[0-9]+")))</f>
        <v/>
      </c>
      <c r="C165" s="7" t="str" cm="1">
        <f t="array" aca="1" ref="C165" ca="1">IF(OR('Raw Data'!C165="",LEN(TRIM('Raw Data'!C165))=0,Validate_Empty!C165&lt;&gt;"",Validate_Value!C165&lt;&gt;""),"",IF('Raw Data'!C165 = Condition!C165,"",_xlfn.REGEXEXTRACT(CELL("address",'Raw Data'!C165),"\$([A-Z]+)\$[0-9]+")))</f>
        <v/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2:28" x14ac:dyDescent="0.25">
      <c r="B166" s="7" t="str" cm="1">
        <f t="array" aca="1" ref="B166" ca="1">IF(OR('Raw Data'!B166="",LEN(TRIM('Raw Data'!B166))=0,Validate_Empty!B166&lt;&gt;"",Validate_Value!B166&lt;&gt;""),"",IF('Raw Data'!B166 = Condition!B166,"",_xlfn.REGEXEXTRACT(CELL("address",'Raw Data'!B166),"\$([A-Z]+)\$[0-9]+")))</f>
        <v/>
      </c>
      <c r="C166" s="7" t="str" cm="1">
        <f t="array" aca="1" ref="C166" ca="1">IF(OR('Raw Data'!C166="",LEN(TRIM('Raw Data'!C166))=0,Validate_Empty!C166&lt;&gt;"",Validate_Value!C166&lt;&gt;""),"",IF('Raw Data'!C166 = Condition!C166,"",_xlfn.REGEXEXTRACT(CELL("address",'Raw Data'!C166),"\$([A-Z]+)\$[0-9]+")))</f>
        <v/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2:28" x14ac:dyDescent="0.25">
      <c r="B167" s="7" t="str" cm="1">
        <f t="array" aca="1" ref="B167" ca="1">IF(OR('Raw Data'!B167="",LEN(TRIM('Raw Data'!B167))=0,Validate_Empty!B167&lt;&gt;"",Validate_Value!B167&lt;&gt;""),"",IF('Raw Data'!B167 = Condition!B167,"",_xlfn.REGEXEXTRACT(CELL("address",'Raw Data'!B167),"\$([A-Z]+)\$[0-9]+")))</f>
        <v/>
      </c>
      <c r="C167" s="7" t="str" cm="1">
        <f t="array" aca="1" ref="C167" ca="1">IF(OR('Raw Data'!C167="",LEN(TRIM('Raw Data'!C167))=0,Validate_Empty!C167&lt;&gt;"",Validate_Value!C167&lt;&gt;""),"",IF('Raw Data'!C167 = Condition!C167,"",_xlfn.REGEXEXTRACT(CELL("address",'Raw Data'!C167),"\$([A-Z]+)\$[0-9]+")))</f>
        <v/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2:28" x14ac:dyDescent="0.25">
      <c r="B168" s="7" t="str" cm="1">
        <f t="array" aca="1" ref="B168" ca="1">IF(OR('Raw Data'!B168="",LEN(TRIM('Raw Data'!B168))=0,Validate_Empty!B168&lt;&gt;"",Validate_Value!B168&lt;&gt;""),"",IF('Raw Data'!B168 = Condition!B168,"",_xlfn.REGEXEXTRACT(CELL("address",'Raw Data'!B168),"\$([A-Z]+)\$[0-9]+")))</f>
        <v/>
      </c>
      <c r="C168" s="7" t="str" cm="1">
        <f t="array" aca="1" ref="C168" ca="1">IF(OR('Raw Data'!C168="",LEN(TRIM('Raw Data'!C168))=0,Validate_Empty!C168&lt;&gt;"",Validate_Value!C168&lt;&gt;""),"",IF('Raw Data'!C168 = Condition!C168,"",_xlfn.REGEXEXTRACT(CELL("address",'Raw Data'!C168),"\$([A-Z]+)\$[0-9]+")))</f>
        <v/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2:28" x14ac:dyDescent="0.25">
      <c r="B169" s="7" t="str" cm="1">
        <f t="array" aca="1" ref="B169" ca="1">IF(OR('Raw Data'!B169="",LEN(TRIM('Raw Data'!B169))=0,Validate_Empty!B169&lt;&gt;"",Validate_Value!B169&lt;&gt;""),"",IF('Raw Data'!B169 = Condition!B169,"",_xlfn.REGEXEXTRACT(CELL("address",'Raw Data'!B169),"\$([A-Z]+)\$[0-9]+")))</f>
        <v/>
      </c>
      <c r="C169" s="7" t="str" cm="1">
        <f t="array" aca="1" ref="C169" ca="1">IF(OR('Raw Data'!C169="",LEN(TRIM('Raw Data'!C169))=0,Validate_Empty!C169&lt;&gt;"",Validate_Value!C169&lt;&gt;""),"",IF('Raw Data'!C169 = Condition!C169,"",_xlfn.REGEXEXTRACT(CELL("address",'Raw Data'!C169),"\$([A-Z]+)\$[0-9]+")))</f>
        <v/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2:28" x14ac:dyDescent="0.25">
      <c r="B170" s="7" t="str" cm="1">
        <f t="array" aca="1" ref="B170" ca="1">IF(OR('Raw Data'!B170="",LEN(TRIM('Raw Data'!B170))=0,Validate_Empty!B170&lt;&gt;"",Validate_Value!B170&lt;&gt;""),"",IF('Raw Data'!B170 = Condition!B170,"",_xlfn.REGEXEXTRACT(CELL("address",'Raw Data'!B170),"\$([A-Z]+)\$[0-9]+")))</f>
        <v/>
      </c>
      <c r="C170" s="7" t="str" cm="1">
        <f t="array" aca="1" ref="C170" ca="1">IF(OR('Raw Data'!C170="",LEN(TRIM('Raw Data'!C170))=0,Validate_Empty!C170&lt;&gt;"",Validate_Value!C170&lt;&gt;""),"",IF('Raw Data'!C170 = Condition!C170,"",_xlfn.REGEXEXTRACT(CELL("address",'Raw Data'!C170),"\$([A-Z]+)\$[0-9]+")))</f>
        <v/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2:28" x14ac:dyDescent="0.25">
      <c r="B171" s="7" t="str" cm="1">
        <f t="array" aca="1" ref="B171" ca="1">IF(OR('Raw Data'!B171="",LEN(TRIM('Raw Data'!B171))=0,Validate_Empty!B171&lt;&gt;"",Validate_Value!B171&lt;&gt;""),"",IF('Raw Data'!B171 = Condition!B171,"",_xlfn.REGEXEXTRACT(CELL("address",'Raw Data'!B171),"\$([A-Z]+)\$[0-9]+")))</f>
        <v/>
      </c>
      <c r="C171" s="7" t="str" cm="1">
        <f t="array" aca="1" ref="C171" ca="1">IF(OR('Raw Data'!C171="",LEN(TRIM('Raw Data'!C171))=0,Validate_Empty!C171&lt;&gt;"",Validate_Value!C171&lt;&gt;""),"",IF('Raw Data'!C171 = Condition!C171,"",_xlfn.REGEXEXTRACT(CELL("address",'Raw Data'!C171),"\$([A-Z]+)\$[0-9]+")))</f>
        <v/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2:28" x14ac:dyDescent="0.25">
      <c r="B172" s="7" t="str" cm="1">
        <f t="array" aca="1" ref="B172" ca="1">IF(OR('Raw Data'!B172="",LEN(TRIM('Raw Data'!B172))=0,Validate_Empty!B172&lt;&gt;"",Validate_Value!B172&lt;&gt;""),"",IF('Raw Data'!B172 = Condition!B172,"",_xlfn.REGEXEXTRACT(CELL("address",'Raw Data'!B172),"\$([A-Z]+)\$[0-9]+")))</f>
        <v/>
      </c>
      <c r="C172" s="7" t="str" cm="1">
        <f t="array" aca="1" ref="C172" ca="1">IF(OR('Raw Data'!C172="",LEN(TRIM('Raw Data'!C172))=0,Validate_Empty!C172&lt;&gt;"",Validate_Value!C172&lt;&gt;""),"",IF('Raw Data'!C172 = Condition!C172,"",_xlfn.REGEXEXTRACT(CELL("address",'Raw Data'!C172),"\$([A-Z]+)\$[0-9]+")))</f>
        <v/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2:28" x14ac:dyDescent="0.25">
      <c r="B173" s="7" t="str" cm="1">
        <f t="array" aca="1" ref="B173" ca="1">IF(OR('Raw Data'!B173="",LEN(TRIM('Raw Data'!B173))=0,Validate_Empty!B173&lt;&gt;"",Validate_Value!B173&lt;&gt;""),"",IF('Raw Data'!B173 = Condition!B173,"",_xlfn.REGEXEXTRACT(CELL("address",'Raw Data'!B173),"\$([A-Z]+)\$[0-9]+")))</f>
        <v/>
      </c>
      <c r="C173" s="7" t="str" cm="1">
        <f t="array" aca="1" ref="C173" ca="1">IF(OR('Raw Data'!C173="",LEN(TRIM('Raw Data'!C173))=0,Validate_Empty!C173&lt;&gt;"",Validate_Value!C173&lt;&gt;""),"",IF('Raw Data'!C173 = Condition!C173,"",_xlfn.REGEXEXTRACT(CELL("address",'Raw Data'!C173),"\$([A-Z]+)\$[0-9]+")))</f>
        <v/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2:28" x14ac:dyDescent="0.25">
      <c r="B174" s="7" t="str" cm="1">
        <f t="array" aca="1" ref="B174" ca="1">IF(OR('Raw Data'!B174="",LEN(TRIM('Raw Data'!B174))=0,Validate_Empty!B174&lt;&gt;"",Validate_Value!B174&lt;&gt;""),"",IF('Raw Data'!B174 = Condition!B174,"",_xlfn.REGEXEXTRACT(CELL("address",'Raw Data'!B174),"\$([A-Z]+)\$[0-9]+")))</f>
        <v/>
      </c>
      <c r="C174" s="7" t="str" cm="1">
        <f t="array" aca="1" ref="C174" ca="1">IF(OR('Raw Data'!C174="",LEN(TRIM('Raw Data'!C174))=0,Validate_Empty!C174&lt;&gt;"",Validate_Value!C174&lt;&gt;""),"",IF('Raw Data'!C174 = Condition!C174,"",_xlfn.REGEXEXTRACT(CELL("address",'Raw Data'!C174),"\$([A-Z]+)\$[0-9]+")))</f>
        <v/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2:28" x14ac:dyDescent="0.25">
      <c r="B175" s="7" t="str" cm="1">
        <f t="array" aca="1" ref="B175" ca="1">IF(OR('Raw Data'!B175="",LEN(TRIM('Raw Data'!B175))=0,Validate_Empty!B175&lt;&gt;"",Validate_Value!B175&lt;&gt;""),"",IF('Raw Data'!B175 = Condition!B175,"",_xlfn.REGEXEXTRACT(CELL("address",'Raw Data'!B175),"\$([A-Z]+)\$[0-9]+")))</f>
        <v/>
      </c>
      <c r="C175" s="7" t="str" cm="1">
        <f t="array" aca="1" ref="C175" ca="1">IF(OR('Raw Data'!C175="",LEN(TRIM('Raw Data'!C175))=0,Validate_Empty!C175&lt;&gt;"",Validate_Value!C175&lt;&gt;""),"",IF('Raw Data'!C175 = Condition!C175,"",_xlfn.REGEXEXTRACT(CELL("address",'Raw Data'!C175),"\$([A-Z]+)\$[0-9]+")))</f>
        <v/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2:28" x14ac:dyDescent="0.25">
      <c r="B176" s="7" t="str" cm="1">
        <f t="array" aca="1" ref="B176" ca="1">IF(OR('Raw Data'!B176="",LEN(TRIM('Raw Data'!B176))=0,Validate_Empty!B176&lt;&gt;"",Validate_Value!B176&lt;&gt;""),"",IF('Raw Data'!B176 = Condition!B176,"",_xlfn.REGEXEXTRACT(CELL("address",'Raw Data'!B176),"\$([A-Z]+)\$[0-9]+")))</f>
        <v/>
      </c>
      <c r="C176" s="7" t="str" cm="1">
        <f t="array" aca="1" ref="C176" ca="1">IF(OR('Raw Data'!C176="",LEN(TRIM('Raw Data'!C176))=0,Validate_Empty!C176&lt;&gt;"",Validate_Value!C176&lt;&gt;""),"",IF('Raw Data'!C176 = Condition!C176,"",_xlfn.REGEXEXTRACT(CELL("address",'Raw Data'!C176),"\$([A-Z]+)\$[0-9]+")))</f>
        <v/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2:28" x14ac:dyDescent="0.25">
      <c r="B177" s="7" t="str" cm="1">
        <f t="array" aca="1" ref="B177" ca="1">IF(OR('Raw Data'!B177="",LEN(TRIM('Raw Data'!B177))=0,Validate_Empty!B177&lt;&gt;"",Validate_Value!B177&lt;&gt;""),"",IF('Raw Data'!B177 = Condition!B177,"",_xlfn.REGEXEXTRACT(CELL("address",'Raw Data'!B177),"\$([A-Z]+)\$[0-9]+")))</f>
        <v/>
      </c>
      <c r="C177" s="7" t="str" cm="1">
        <f t="array" aca="1" ref="C177" ca="1">IF(OR('Raw Data'!C177="",LEN(TRIM('Raw Data'!C177))=0,Validate_Empty!C177&lt;&gt;"",Validate_Value!C177&lt;&gt;""),"",IF('Raw Data'!C177 = Condition!C177,"",_xlfn.REGEXEXTRACT(CELL("address",'Raw Data'!C177),"\$([A-Z]+)\$[0-9]+")))</f>
        <v/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2:28" x14ac:dyDescent="0.25">
      <c r="B178" s="7" t="str" cm="1">
        <f t="array" aca="1" ref="B178" ca="1">IF(OR('Raw Data'!B178="",LEN(TRIM('Raw Data'!B178))=0,Validate_Empty!B178&lt;&gt;"",Validate_Value!B178&lt;&gt;""),"",IF('Raw Data'!B178 = Condition!B178,"",_xlfn.REGEXEXTRACT(CELL("address",'Raw Data'!B178),"\$([A-Z]+)\$[0-9]+")))</f>
        <v/>
      </c>
      <c r="C178" s="7" t="str" cm="1">
        <f t="array" aca="1" ref="C178" ca="1">IF(OR('Raw Data'!C178="",LEN(TRIM('Raw Data'!C178))=0,Validate_Empty!C178&lt;&gt;"",Validate_Value!C178&lt;&gt;""),"",IF('Raw Data'!C178 = Condition!C178,"",_xlfn.REGEXEXTRACT(CELL("address",'Raw Data'!C178),"\$([A-Z]+)\$[0-9]+")))</f>
        <v/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2:28" x14ac:dyDescent="0.25">
      <c r="B179" s="7" t="str" cm="1">
        <f t="array" aca="1" ref="B179" ca="1">IF(OR('Raw Data'!B179="",LEN(TRIM('Raw Data'!B179))=0,Validate_Empty!B179&lt;&gt;"",Validate_Value!B179&lt;&gt;""),"",IF('Raw Data'!B179 = Condition!B179,"",_xlfn.REGEXEXTRACT(CELL("address",'Raw Data'!B179),"\$([A-Z]+)\$[0-9]+")))</f>
        <v/>
      </c>
      <c r="C179" s="7" t="str" cm="1">
        <f t="array" aca="1" ref="C179" ca="1">IF(OR('Raw Data'!C179="",LEN(TRIM('Raw Data'!C179))=0,Validate_Empty!C179&lt;&gt;"",Validate_Value!C179&lt;&gt;""),"",IF('Raw Data'!C179 = Condition!C179,"",_xlfn.REGEXEXTRACT(CELL("address",'Raw Data'!C179),"\$([A-Z]+)\$[0-9]+")))</f>
        <v/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2:28" x14ac:dyDescent="0.25">
      <c r="B180" s="7" t="str" cm="1">
        <f t="array" aca="1" ref="B180" ca="1">IF(OR('Raw Data'!B180="",LEN(TRIM('Raw Data'!B180))=0,Validate_Empty!B180&lt;&gt;"",Validate_Value!B180&lt;&gt;""),"",IF('Raw Data'!B180 = Condition!B180,"",_xlfn.REGEXEXTRACT(CELL("address",'Raw Data'!B180),"\$([A-Z]+)\$[0-9]+")))</f>
        <v/>
      </c>
      <c r="C180" s="7" t="str" cm="1">
        <f t="array" aca="1" ref="C180" ca="1">IF(OR('Raw Data'!C180="",LEN(TRIM('Raw Data'!C180))=0,Validate_Empty!C180&lt;&gt;"",Validate_Value!C180&lt;&gt;""),"",IF('Raw Data'!C180 = Condition!C180,"",_xlfn.REGEXEXTRACT(CELL("address",'Raw Data'!C180),"\$([A-Z]+)\$[0-9]+")))</f>
        <v/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2:28" x14ac:dyDescent="0.25">
      <c r="B181" s="7" t="str" cm="1">
        <f t="array" aca="1" ref="B181" ca="1">IF(OR('Raw Data'!B181="",LEN(TRIM('Raw Data'!B181))=0,Validate_Empty!B181&lt;&gt;"",Validate_Value!B181&lt;&gt;""),"",IF('Raw Data'!B181 = Condition!B181,"",_xlfn.REGEXEXTRACT(CELL("address",'Raw Data'!B181),"\$([A-Z]+)\$[0-9]+")))</f>
        <v/>
      </c>
      <c r="C181" s="7" t="str" cm="1">
        <f t="array" aca="1" ref="C181" ca="1">IF(OR('Raw Data'!C181="",LEN(TRIM('Raw Data'!C181))=0,Validate_Empty!C181&lt;&gt;"",Validate_Value!C181&lt;&gt;""),"",IF('Raw Data'!C181 = Condition!C181,"",_xlfn.REGEXEXTRACT(CELL("address",'Raw Data'!C181),"\$([A-Z]+)\$[0-9]+")))</f>
        <v/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2:28" x14ac:dyDescent="0.25">
      <c r="B182" s="7" t="str" cm="1">
        <f t="array" aca="1" ref="B182" ca="1">IF(OR('Raw Data'!B182="",LEN(TRIM('Raw Data'!B182))=0,Validate_Empty!B182&lt;&gt;"",Validate_Value!B182&lt;&gt;""),"",IF('Raw Data'!B182 = Condition!B182,"",_xlfn.REGEXEXTRACT(CELL("address",'Raw Data'!B182),"\$([A-Z]+)\$[0-9]+")))</f>
        <v/>
      </c>
      <c r="C182" s="7" t="str" cm="1">
        <f t="array" aca="1" ref="C182" ca="1">IF(OR('Raw Data'!C182="",LEN(TRIM('Raw Data'!C182))=0,Validate_Empty!C182&lt;&gt;"",Validate_Value!C182&lt;&gt;""),"",IF('Raw Data'!C182 = Condition!C182,"",_xlfn.REGEXEXTRACT(CELL("address",'Raw Data'!C182),"\$([A-Z]+)\$[0-9]+")))</f>
        <v/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2:28" x14ac:dyDescent="0.25">
      <c r="B183" s="7" t="str" cm="1">
        <f t="array" aca="1" ref="B183" ca="1">IF(OR('Raw Data'!B183="",LEN(TRIM('Raw Data'!B183))=0,Validate_Empty!B183&lt;&gt;"",Validate_Value!B183&lt;&gt;""),"",IF('Raw Data'!B183 = Condition!B183,"",_xlfn.REGEXEXTRACT(CELL("address",'Raw Data'!B183),"\$([A-Z]+)\$[0-9]+")))</f>
        <v/>
      </c>
      <c r="C183" s="7" t="str" cm="1">
        <f t="array" aca="1" ref="C183" ca="1">IF(OR('Raw Data'!C183="",LEN(TRIM('Raw Data'!C183))=0,Validate_Empty!C183&lt;&gt;"",Validate_Value!C183&lt;&gt;""),"",IF('Raw Data'!C183 = Condition!C183,"",_xlfn.REGEXEXTRACT(CELL("address",'Raw Data'!C183),"\$([A-Z]+)\$[0-9]+")))</f>
        <v/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2:28" x14ac:dyDescent="0.25">
      <c r="B184" s="7" t="str" cm="1">
        <f t="array" aca="1" ref="B184" ca="1">IF(OR('Raw Data'!B184="",LEN(TRIM('Raw Data'!B184))=0,Validate_Empty!B184&lt;&gt;"",Validate_Value!B184&lt;&gt;""),"",IF('Raw Data'!B184 = Condition!B184,"",_xlfn.REGEXEXTRACT(CELL("address",'Raw Data'!B184),"\$([A-Z]+)\$[0-9]+")))</f>
        <v/>
      </c>
      <c r="C184" s="7" t="str" cm="1">
        <f t="array" aca="1" ref="C184" ca="1">IF(OR('Raw Data'!C184="",LEN(TRIM('Raw Data'!C184))=0,Validate_Empty!C184&lt;&gt;"",Validate_Value!C184&lt;&gt;""),"",IF('Raw Data'!C184 = Condition!C184,"",_xlfn.REGEXEXTRACT(CELL("address",'Raw Data'!C184),"\$([A-Z]+)\$[0-9]+")))</f>
        <v/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2:28" x14ac:dyDescent="0.25">
      <c r="B185" s="7" t="str" cm="1">
        <f t="array" aca="1" ref="B185" ca="1">IF(OR('Raw Data'!B185="",LEN(TRIM('Raw Data'!B185))=0,Validate_Empty!B185&lt;&gt;"",Validate_Value!B185&lt;&gt;""),"",IF('Raw Data'!B185 = Condition!B185,"",_xlfn.REGEXEXTRACT(CELL("address",'Raw Data'!B185),"\$([A-Z]+)\$[0-9]+")))</f>
        <v/>
      </c>
      <c r="C185" s="7" t="str" cm="1">
        <f t="array" aca="1" ref="C185" ca="1">IF(OR('Raw Data'!C185="",LEN(TRIM('Raw Data'!C185))=0,Validate_Empty!C185&lt;&gt;"",Validate_Value!C185&lt;&gt;""),"",IF('Raw Data'!C185 = Condition!C185,"",_xlfn.REGEXEXTRACT(CELL("address",'Raw Data'!C185),"\$([A-Z]+)\$[0-9]+")))</f>
        <v/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2:28" x14ac:dyDescent="0.25">
      <c r="B186" s="7" t="str" cm="1">
        <f t="array" aca="1" ref="B186" ca="1">IF(OR('Raw Data'!B186="",LEN(TRIM('Raw Data'!B186))=0,Validate_Empty!B186&lt;&gt;"",Validate_Value!B186&lt;&gt;""),"",IF('Raw Data'!B186 = Condition!B186,"",_xlfn.REGEXEXTRACT(CELL("address",'Raw Data'!B186),"\$([A-Z]+)\$[0-9]+")))</f>
        <v/>
      </c>
      <c r="C186" s="7" t="str" cm="1">
        <f t="array" aca="1" ref="C186" ca="1">IF(OR('Raw Data'!C186="",LEN(TRIM('Raw Data'!C186))=0,Validate_Empty!C186&lt;&gt;"",Validate_Value!C186&lt;&gt;""),"",IF('Raw Data'!C186 = Condition!C186,"",_xlfn.REGEXEXTRACT(CELL("address",'Raw Data'!C186),"\$([A-Z]+)\$[0-9]+")))</f>
        <v/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2:28" x14ac:dyDescent="0.25">
      <c r="B187" s="7" t="str" cm="1">
        <f t="array" aca="1" ref="B187" ca="1">IF(OR('Raw Data'!B187="",LEN(TRIM('Raw Data'!B187))=0,Validate_Empty!B187&lt;&gt;"",Validate_Value!B187&lt;&gt;""),"",IF('Raw Data'!B187 = Condition!B187,"",_xlfn.REGEXEXTRACT(CELL("address",'Raw Data'!B187),"\$([A-Z]+)\$[0-9]+")))</f>
        <v/>
      </c>
      <c r="C187" s="7" t="str" cm="1">
        <f t="array" aca="1" ref="C187" ca="1">IF(OR('Raw Data'!C187="",LEN(TRIM('Raw Data'!C187))=0,Validate_Empty!C187&lt;&gt;"",Validate_Value!C187&lt;&gt;""),"",IF('Raw Data'!C187 = Condition!C187,"",_xlfn.REGEXEXTRACT(CELL("address",'Raw Data'!C187),"\$([A-Z]+)\$[0-9]+")))</f>
        <v/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2:28" x14ac:dyDescent="0.25">
      <c r="B188" s="7" t="str" cm="1">
        <f t="array" aca="1" ref="B188" ca="1">IF(OR('Raw Data'!B188="",LEN(TRIM('Raw Data'!B188))=0,Validate_Empty!B188&lt;&gt;"",Validate_Value!B188&lt;&gt;""),"",IF('Raw Data'!B188 = Condition!B188,"",_xlfn.REGEXEXTRACT(CELL("address",'Raw Data'!B188),"\$([A-Z]+)\$[0-9]+")))</f>
        <v/>
      </c>
      <c r="C188" s="7" t="str" cm="1">
        <f t="array" aca="1" ref="C188" ca="1">IF(OR('Raw Data'!C188="",LEN(TRIM('Raw Data'!C188))=0,Validate_Empty!C188&lt;&gt;"",Validate_Value!C188&lt;&gt;""),"",IF('Raw Data'!C188 = Condition!C188,"",_xlfn.REGEXEXTRACT(CELL("address",'Raw Data'!C188),"\$([A-Z]+)\$[0-9]+")))</f>
        <v/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2:28" x14ac:dyDescent="0.25">
      <c r="B189" s="7" t="str" cm="1">
        <f t="array" aca="1" ref="B189" ca="1">IF(OR('Raw Data'!B189="",LEN(TRIM('Raw Data'!B189))=0,Validate_Empty!B189&lt;&gt;"",Validate_Value!B189&lt;&gt;""),"",IF('Raw Data'!B189 = Condition!B189,"",_xlfn.REGEXEXTRACT(CELL("address",'Raw Data'!B189),"\$([A-Z]+)\$[0-9]+")))</f>
        <v/>
      </c>
      <c r="C189" s="7" t="str" cm="1">
        <f t="array" aca="1" ref="C189" ca="1">IF(OR('Raw Data'!C189="",LEN(TRIM('Raw Data'!C189))=0,Validate_Empty!C189&lt;&gt;"",Validate_Value!C189&lt;&gt;""),"",IF('Raw Data'!C189 = Condition!C189,"",_xlfn.REGEXEXTRACT(CELL("address",'Raw Data'!C189),"\$([A-Z]+)\$[0-9]+")))</f>
        <v/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2:28" x14ac:dyDescent="0.25">
      <c r="B190" s="7" t="str" cm="1">
        <f t="array" aca="1" ref="B190" ca="1">IF(OR('Raw Data'!B190="",LEN(TRIM('Raw Data'!B190))=0,Validate_Empty!B190&lt;&gt;"",Validate_Value!B190&lt;&gt;""),"",IF('Raw Data'!B190 = Condition!B190,"",_xlfn.REGEXEXTRACT(CELL("address",'Raw Data'!B190),"\$([A-Z]+)\$[0-9]+")))</f>
        <v/>
      </c>
      <c r="C190" s="7" t="str" cm="1">
        <f t="array" aca="1" ref="C190" ca="1">IF(OR('Raw Data'!C190="",LEN(TRIM('Raw Data'!C190))=0,Validate_Empty!C190&lt;&gt;"",Validate_Value!C190&lt;&gt;""),"",IF('Raw Data'!C190 = Condition!C190,"",_xlfn.REGEXEXTRACT(CELL("address",'Raw Data'!C190),"\$([A-Z]+)\$[0-9]+")))</f>
        <v/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2:28" x14ac:dyDescent="0.25">
      <c r="B191" s="7" t="str" cm="1">
        <f t="array" aca="1" ref="B191" ca="1">IF(OR('Raw Data'!B191="",LEN(TRIM('Raw Data'!B191))=0,Validate_Empty!B191&lt;&gt;"",Validate_Value!B191&lt;&gt;""),"",IF('Raw Data'!B191 = Condition!B191,"",_xlfn.REGEXEXTRACT(CELL("address",'Raw Data'!B191),"\$([A-Z]+)\$[0-9]+")))</f>
        <v/>
      </c>
      <c r="C191" s="7" t="str" cm="1">
        <f t="array" aca="1" ref="C191" ca="1">IF(OR('Raw Data'!C191="",LEN(TRIM('Raw Data'!C191))=0,Validate_Empty!C191&lt;&gt;"",Validate_Value!C191&lt;&gt;""),"",IF('Raw Data'!C191 = Condition!C191,"",_xlfn.REGEXEXTRACT(CELL("address",'Raw Data'!C191),"\$([A-Z]+)\$[0-9]+")))</f>
        <v/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2:28" x14ac:dyDescent="0.25">
      <c r="B192" s="7" t="str" cm="1">
        <f t="array" aca="1" ref="B192" ca="1">IF(OR('Raw Data'!B192="",LEN(TRIM('Raw Data'!B192))=0,Validate_Empty!B192&lt;&gt;"",Validate_Value!B192&lt;&gt;""),"",IF('Raw Data'!B192 = Condition!B192,"",_xlfn.REGEXEXTRACT(CELL("address",'Raw Data'!B192),"\$([A-Z]+)\$[0-9]+")))</f>
        <v/>
      </c>
      <c r="C192" s="7" t="str" cm="1">
        <f t="array" aca="1" ref="C192" ca="1">IF(OR('Raw Data'!C192="",LEN(TRIM('Raw Data'!C192))=0,Validate_Empty!C192&lt;&gt;"",Validate_Value!C192&lt;&gt;""),"",IF('Raw Data'!C192 = Condition!C192,"",_xlfn.REGEXEXTRACT(CELL("address",'Raw Data'!C192),"\$([A-Z]+)\$[0-9]+")))</f>
        <v/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2:28" x14ac:dyDescent="0.25">
      <c r="B193" s="7" t="str" cm="1">
        <f t="array" aca="1" ref="B193" ca="1">IF(OR('Raw Data'!B193="",LEN(TRIM('Raw Data'!B193))=0,Validate_Empty!B193&lt;&gt;"",Validate_Value!B193&lt;&gt;""),"",IF('Raw Data'!B193 = Condition!B193,"",_xlfn.REGEXEXTRACT(CELL("address",'Raw Data'!B193),"\$([A-Z]+)\$[0-9]+")))</f>
        <v/>
      </c>
      <c r="C193" s="7" t="str" cm="1">
        <f t="array" aca="1" ref="C193" ca="1">IF(OR('Raw Data'!C193="",LEN(TRIM('Raw Data'!C193))=0,Validate_Empty!C193&lt;&gt;"",Validate_Value!C193&lt;&gt;""),"",IF('Raw Data'!C193 = Condition!C193,"",_xlfn.REGEXEXTRACT(CELL("address",'Raw Data'!C193),"\$([A-Z]+)\$[0-9]+")))</f>
        <v/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2:28" x14ac:dyDescent="0.25">
      <c r="B194" s="7" t="str" cm="1">
        <f t="array" aca="1" ref="B194" ca="1">IF(OR('Raw Data'!B194="",LEN(TRIM('Raw Data'!B194))=0,Validate_Empty!B194&lt;&gt;"",Validate_Value!B194&lt;&gt;""),"",IF('Raw Data'!B194 = Condition!B194,"",_xlfn.REGEXEXTRACT(CELL("address",'Raw Data'!B194),"\$([A-Z]+)\$[0-9]+")))</f>
        <v/>
      </c>
      <c r="C194" s="7" t="str" cm="1">
        <f t="array" aca="1" ref="C194" ca="1">IF(OR('Raw Data'!C194="",LEN(TRIM('Raw Data'!C194))=0,Validate_Empty!C194&lt;&gt;"",Validate_Value!C194&lt;&gt;""),"",IF('Raw Data'!C194 = Condition!C194,"",_xlfn.REGEXEXTRACT(CELL("address",'Raw Data'!C194),"\$([A-Z]+)\$[0-9]+")))</f>
        <v/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2:28" x14ac:dyDescent="0.25">
      <c r="B195" s="7" t="str" cm="1">
        <f t="array" aca="1" ref="B195" ca="1">IF(OR('Raw Data'!B195="",LEN(TRIM('Raw Data'!B195))=0,Validate_Empty!B195&lt;&gt;"",Validate_Value!B195&lt;&gt;""),"",IF('Raw Data'!B195 = Condition!B195,"",_xlfn.REGEXEXTRACT(CELL("address",'Raw Data'!B195),"\$([A-Z]+)\$[0-9]+")))</f>
        <v/>
      </c>
      <c r="C195" s="7" t="str" cm="1">
        <f t="array" aca="1" ref="C195" ca="1">IF(OR('Raw Data'!C195="",LEN(TRIM('Raw Data'!C195))=0,Validate_Empty!C195&lt;&gt;"",Validate_Value!C195&lt;&gt;""),"",IF('Raw Data'!C195 = Condition!C195,"",_xlfn.REGEXEXTRACT(CELL("address",'Raw Data'!C195),"\$([A-Z]+)\$[0-9]+")))</f>
        <v/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2:28" x14ac:dyDescent="0.25">
      <c r="B196" s="7" t="str" cm="1">
        <f t="array" aca="1" ref="B196" ca="1">IF(OR('Raw Data'!B196="",LEN(TRIM('Raw Data'!B196))=0,Validate_Empty!B196&lt;&gt;"",Validate_Value!B196&lt;&gt;""),"",IF('Raw Data'!B196 = Condition!B196,"",_xlfn.REGEXEXTRACT(CELL("address",'Raw Data'!B196),"\$([A-Z]+)\$[0-9]+")))</f>
        <v/>
      </c>
      <c r="C196" s="7" t="str" cm="1">
        <f t="array" aca="1" ref="C196" ca="1">IF(OR('Raw Data'!C196="",LEN(TRIM('Raw Data'!C196))=0,Validate_Empty!C196&lt;&gt;"",Validate_Value!C196&lt;&gt;""),"",IF('Raw Data'!C196 = Condition!C196,"",_xlfn.REGEXEXTRACT(CELL("address",'Raw Data'!C196),"\$([A-Z]+)\$[0-9]+")))</f>
        <v/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2:28" x14ac:dyDescent="0.25">
      <c r="B197" s="7" t="str" cm="1">
        <f t="array" aca="1" ref="B197" ca="1">IF(OR('Raw Data'!B197="",LEN(TRIM('Raw Data'!B197))=0,Validate_Empty!B197&lt;&gt;"",Validate_Value!B197&lt;&gt;""),"",IF('Raw Data'!B197 = Condition!B197,"",_xlfn.REGEXEXTRACT(CELL("address",'Raw Data'!B197),"\$([A-Z]+)\$[0-9]+")))</f>
        <v/>
      </c>
      <c r="C197" s="7" t="str" cm="1">
        <f t="array" aca="1" ref="C197" ca="1">IF(OR('Raw Data'!C197="",LEN(TRIM('Raw Data'!C197))=0,Validate_Empty!C197&lt;&gt;"",Validate_Value!C197&lt;&gt;""),"",IF('Raw Data'!C197 = Condition!C197,"",_xlfn.REGEXEXTRACT(CELL("address",'Raw Data'!C197),"\$([A-Z]+)\$[0-9]+")))</f>
        <v/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2:28" x14ac:dyDescent="0.25">
      <c r="B198" s="7" t="str" cm="1">
        <f t="array" aca="1" ref="B198" ca="1">IF(OR('Raw Data'!B198="",LEN(TRIM('Raw Data'!B198))=0,Validate_Empty!B198&lt;&gt;"",Validate_Value!B198&lt;&gt;""),"",IF('Raw Data'!B198 = Condition!B198,"",_xlfn.REGEXEXTRACT(CELL("address",'Raw Data'!B198),"\$([A-Z]+)\$[0-9]+")))</f>
        <v/>
      </c>
      <c r="C198" s="7" t="str" cm="1">
        <f t="array" aca="1" ref="C198" ca="1">IF(OR('Raw Data'!C198="",LEN(TRIM('Raw Data'!C198))=0,Validate_Empty!C198&lt;&gt;"",Validate_Value!C198&lt;&gt;""),"",IF('Raw Data'!C198 = Condition!C198,"",_xlfn.REGEXEXTRACT(CELL("address",'Raw Data'!C198),"\$([A-Z]+)\$[0-9]+")))</f>
        <v/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2:28" x14ac:dyDescent="0.25">
      <c r="B199" s="7" t="str" cm="1">
        <f t="array" aca="1" ref="B199" ca="1">IF(OR('Raw Data'!B199="",LEN(TRIM('Raw Data'!B199))=0,Validate_Empty!B199&lt;&gt;"",Validate_Value!B199&lt;&gt;""),"",IF('Raw Data'!B199 = Condition!B199,"",_xlfn.REGEXEXTRACT(CELL("address",'Raw Data'!B199),"\$([A-Z]+)\$[0-9]+")))</f>
        <v/>
      </c>
      <c r="C199" s="7" t="str" cm="1">
        <f t="array" aca="1" ref="C199" ca="1">IF(OR('Raw Data'!C199="",LEN(TRIM('Raw Data'!C199))=0,Validate_Empty!C199&lt;&gt;"",Validate_Value!C199&lt;&gt;""),"",IF('Raw Data'!C199 = Condition!C199,"",_xlfn.REGEXEXTRACT(CELL("address",'Raw Data'!C199),"\$([A-Z]+)\$[0-9]+")))</f>
        <v/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2:28" x14ac:dyDescent="0.25">
      <c r="B200" s="7" t="str" cm="1">
        <f t="array" aca="1" ref="B200" ca="1">IF(OR('Raw Data'!B200="",LEN(TRIM('Raw Data'!B200))=0,Validate_Empty!B200&lt;&gt;"",Validate_Value!B200&lt;&gt;""),"",IF('Raw Data'!B200 = Condition!B200,"",_xlfn.REGEXEXTRACT(CELL("address",'Raw Data'!B200),"\$([A-Z]+)\$[0-9]+")))</f>
        <v/>
      </c>
      <c r="C200" s="7" t="str" cm="1">
        <f t="array" aca="1" ref="C200" ca="1">IF(OR('Raw Data'!C200="",LEN(TRIM('Raw Data'!C200))=0,Validate_Empty!C200&lt;&gt;"",Validate_Value!C200&lt;&gt;""),"",IF('Raw Data'!C200 = Condition!C200,"",_xlfn.REGEXEXTRACT(CELL("address",'Raw Data'!C200),"\$([A-Z]+)\$[0-9]+")))</f>
        <v/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2:28" x14ac:dyDescent="0.25">
      <c r="B201" s="7" t="str" cm="1">
        <f t="array" aca="1" ref="B201" ca="1">IF(OR('Raw Data'!B201="",LEN(TRIM('Raw Data'!B201))=0,Validate_Empty!B201&lt;&gt;"",Validate_Value!B201&lt;&gt;""),"",IF('Raw Data'!B201 = Condition!B201,"",_xlfn.REGEXEXTRACT(CELL("address",'Raw Data'!B201),"\$([A-Z]+)\$[0-9]+")))</f>
        <v/>
      </c>
      <c r="C201" s="7" t="str" cm="1">
        <f t="array" aca="1" ref="C201" ca="1">IF(OR('Raw Data'!C201="",LEN(TRIM('Raw Data'!C201))=0,Validate_Empty!C201&lt;&gt;"",Validate_Value!C201&lt;&gt;""),"",IF('Raw Data'!C201 = Condition!C201,"",_xlfn.REGEXEXTRACT(CELL("address",'Raw Data'!C201),"\$([A-Z]+)\$[0-9]+")))</f>
        <v/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2:28" x14ac:dyDescent="0.25">
      <c r="B202" s="7" t="str" cm="1">
        <f t="array" aca="1" ref="B202" ca="1">IF(OR('Raw Data'!B202="",LEN(TRIM('Raw Data'!B202))=0,Validate_Empty!B202&lt;&gt;"",Validate_Value!B202&lt;&gt;""),"",IF('Raw Data'!B202 = Condition!B202,"",_xlfn.REGEXEXTRACT(CELL("address",'Raw Data'!B202),"\$([A-Z]+)\$[0-9]+")))</f>
        <v/>
      </c>
      <c r="C202" s="7" t="str" cm="1">
        <f t="array" aca="1" ref="C202" ca="1">IF(OR('Raw Data'!C202="",LEN(TRIM('Raw Data'!C202))=0,Validate_Empty!C202&lt;&gt;"",Validate_Value!C202&lt;&gt;""),"",IF('Raw Data'!C202 = Condition!C202,"",_xlfn.REGEXEXTRACT(CELL("address",'Raw Data'!C202),"\$([A-Z]+)\$[0-9]+")))</f>
        <v/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2:28" x14ac:dyDescent="0.25">
      <c r="B203" s="7" t="str" cm="1">
        <f t="array" aca="1" ref="B203" ca="1">IF(OR('Raw Data'!B203="",LEN(TRIM('Raw Data'!B203))=0,Validate_Empty!B203&lt;&gt;"",Validate_Value!B203&lt;&gt;""),"",IF('Raw Data'!B203 = Condition!B203,"",_xlfn.REGEXEXTRACT(CELL("address",'Raw Data'!B203),"\$([A-Z]+)\$[0-9]+")))</f>
        <v/>
      </c>
      <c r="C203" s="7" t="str" cm="1">
        <f t="array" aca="1" ref="C203" ca="1">IF(OR('Raw Data'!C203="",LEN(TRIM('Raw Data'!C203))=0,Validate_Empty!C203&lt;&gt;"",Validate_Value!C203&lt;&gt;""),"",IF('Raw Data'!C203 = Condition!C203,"",_xlfn.REGEXEXTRACT(CELL("address",'Raw Data'!C203),"\$([A-Z]+)\$[0-9]+")))</f>
        <v/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2:28" x14ac:dyDescent="0.25">
      <c r="B204" s="7" t="str" cm="1">
        <f t="array" aca="1" ref="B204" ca="1">IF(OR('Raw Data'!B204="",LEN(TRIM('Raw Data'!B204))=0,Validate_Empty!B204&lt;&gt;"",Validate_Value!B204&lt;&gt;""),"",IF('Raw Data'!B204 = Condition!B204,"",_xlfn.REGEXEXTRACT(CELL("address",'Raw Data'!B204),"\$([A-Z]+)\$[0-9]+")))</f>
        <v/>
      </c>
      <c r="C204" s="7" t="str" cm="1">
        <f t="array" aca="1" ref="C204" ca="1">IF(OR('Raw Data'!C204="",LEN(TRIM('Raw Data'!C204))=0,Validate_Empty!C204&lt;&gt;"",Validate_Value!C204&lt;&gt;""),"",IF('Raw Data'!C204 = Condition!C204,"",_xlfn.REGEXEXTRACT(CELL("address",'Raw Data'!C204),"\$([A-Z]+)\$[0-9]+")))</f>
        <v/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2:28" x14ac:dyDescent="0.25">
      <c r="B205" s="7" t="str" cm="1">
        <f t="array" aca="1" ref="B205" ca="1">IF(OR('Raw Data'!B205="",LEN(TRIM('Raw Data'!B205))=0,Validate_Empty!B205&lt;&gt;"",Validate_Value!B205&lt;&gt;""),"",IF('Raw Data'!B205 = Condition!B205,"",_xlfn.REGEXEXTRACT(CELL("address",'Raw Data'!B205),"\$([A-Z]+)\$[0-9]+")))</f>
        <v/>
      </c>
      <c r="C205" s="7" t="str" cm="1">
        <f t="array" aca="1" ref="C205" ca="1">IF(OR('Raw Data'!C205="",LEN(TRIM('Raw Data'!C205))=0,Validate_Empty!C205&lt;&gt;"",Validate_Value!C205&lt;&gt;""),"",IF('Raw Data'!C205 = Condition!C205,"",_xlfn.REGEXEXTRACT(CELL("address",'Raw Data'!C205),"\$([A-Z]+)\$[0-9]+")))</f>
        <v/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2:28" x14ac:dyDescent="0.25">
      <c r="B206" s="7" t="str" cm="1">
        <f t="array" aca="1" ref="B206" ca="1">IF(OR('Raw Data'!B206="",LEN(TRIM('Raw Data'!B206))=0,Validate_Empty!B206&lt;&gt;"",Validate_Value!B206&lt;&gt;""),"",IF('Raw Data'!B206 = Condition!B206,"",_xlfn.REGEXEXTRACT(CELL("address",'Raw Data'!B206),"\$([A-Z]+)\$[0-9]+")))</f>
        <v/>
      </c>
      <c r="C206" s="7" t="str" cm="1">
        <f t="array" aca="1" ref="C206" ca="1">IF(OR('Raw Data'!C206="",LEN(TRIM('Raw Data'!C206))=0,Validate_Empty!C206&lt;&gt;"",Validate_Value!C206&lt;&gt;""),"",IF('Raw Data'!C206 = Condition!C206,"",_xlfn.REGEXEXTRACT(CELL("address",'Raw Data'!C206),"\$([A-Z]+)\$[0-9]+")))</f>
        <v/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2:28" x14ac:dyDescent="0.25">
      <c r="B207" s="7" t="str" cm="1">
        <f t="array" aca="1" ref="B207" ca="1">IF(OR('Raw Data'!B207="",LEN(TRIM('Raw Data'!B207))=0,Validate_Empty!B207&lt;&gt;"",Validate_Value!B207&lt;&gt;""),"",IF('Raw Data'!B207 = Condition!B207,"",_xlfn.REGEXEXTRACT(CELL("address",'Raw Data'!B207),"\$([A-Z]+)\$[0-9]+")))</f>
        <v/>
      </c>
      <c r="C207" s="7" t="str" cm="1">
        <f t="array" aca="1" ref="C207" ca="1">IF(OR('Raw Data'!C207="",LEN(TRIM('Raw Data'!C207))=0,Validate_Empty!C207&lt;&gt;"",Validate_Value!C207&lt;&gt;""),"",IF('Raw Data'!C207 = Condition!C207,"",_xlfn.REGEXEXTRACT(CELL("address",'Raw Data'!C207),"\$([A-Z]+)\$[0-9]+")))</f>
        <v/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2:28" x14ac:dyDescent="0.25">
      <c r="B208" s="7" t="str" cm="1">
        <f t="array" aca="1" ref="B208" ca="1">IF(OR('Raw Data'!B208="",LEN(TRIM('Raw Data'!B208))=0,Validate_Empty!B208&lt;&gt;"",Validate_Value!B208&lt;&gt;""),"",IF('Raw Data'!B208 = Condition!B208,"",_xlfn.REGEXEXTRACT(CELL("address",'Raw Data'!B208),"\$([A-Z]+)\$[0-9]+")))</f>
        <v/>
      </c>
      <c r="C208" s="7" t="str" cm="1">
        <f t="array" aca="1" ref="C208" ca="1">IF(OR('Raw Data'!C208="",LEN(TRIM('Raw Data'!C208))=0,Validate_Empty!C208&lt;&gt;"",Validate_Value!C208&lt;&gt;""),"",IF('Raw Data'!C208 = Condition!C208,"",_xlfn.REGEXEXTRACT(CELL("address",'Raw Data'!C208),"\$([A-Z]+)\$[0-9]+")))</f>
        <v/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2:28" x14ac:dyDescent="0.25">
      <c r="B209" s="7" t="str" cm="1">
        <f t="array" aca="1" ref="B209" ca="1">IF(OR('Raw Data'!B209="",LEN(TRIM('Raw Data'!B209))=0,Validate_Empty!B209&lt;&gt;"",Validate_Value!B209&lt;&gt;""),"",IF('Raw Data'!B209 = Condition!B209,"",_xlfn.REGEXEXTRACT(CELL("address",'Raw Data'!B209),"\$([A-Z]+)\$[0-9]+")))</f>
        <v/>
      </c>
      <c r="C209" s="7" t="str" cm="1">
        <f t="array" aca="1" ref="C209" ca="1">IF(OR('Raw Data'!C209="",LEN(TRIM('Raw Data'!C209))=0,Validate_Empty!C209&lt;&gt;"",Validate_Value!C209&lt;&gt;""),"",IF('Raw Data'!C209 = Condition!C209,"",_xlfn.REGEXEXTRACT(CELL("address",'Raw Data'!C209),"\$([A-Z]+)\$[0-9]+")))</f>
        <v/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2:28" x14ac:dyDescent="0.25">
      <c r="B210" s="7" t="str" cm="1">
        <f t="array" aca="1" ref="B210" ca="1">IF(OR('Raw Data'!B210="",LEN(TRIM('Raw Data'!B210))=0,Validate_Empty!B210&lt;&gt;"",Validate_Value!B210&lt;&gt;""),"",IF('Raw Data'!B210 = Condition!B210,"",_xlfn.REGEXEXTRACT(CELL("address",'Raw Data'!B210),"\$([A-Z]+)\$[0-9]+")))</f>
        <v/>
      </c>
      <c r="C210" s="7" t="str" cm="1">
        <f t="array" aca="1" ref="C210" ca="1">IF(OR('Raw Data'!C210="",LEN(TRIM('Raw Data'!C210))=0,Validate_Empty!C210&lt;&gt;"",Validate_Value!C210&lt;&gt;""),"",IF('Raw Data'!C210 = Condition!C210,"",_xlfn.REGEXEXTRACT(CELL("address",'Raw Data'!C210),"\$([A-Z]+)\$[0-9]+")))</f>
        <v/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2:28" x14ac:dyDescent="0.25">
      <c r="B211" s="7" t="str" cm="1">
        <f t="array" aca="1" ref="B211" ca="1">IF(OR('Raw Data'!B211="",LEN(TRIM('Raw Data'!B211))=0,Validate_Empty!B211&lt;&gt;"",Validate_Value!B211&lt;&gt;""),"",IF('Raw Data'!B211 = Condition!B211,"",_xlfn.REGEXEXTRACT(CELL("address",'Raw Data'!B211),"\$([A-Z]+)\$[0-9]+")))</f>
        <v/>
      </c>
      <c r="C211" s="7" t="str" cm="1">
        <f t="array" aca="1" ref="C211" ca="1">IF(OR('Raw Data'!C211="",LEN(TRIM('Raw Data'!C211))=0,Validate_Empty!C211&lt;&gt;"",Validate_Value!C211&lt;&gt;""),"",IF('Raw Data'!C211 = Condition!C211,"",_xlfn.REGEXEXTRACT(CELL("address",'Raw Data'!C211),"\$([A-Z]+)\$[0-9]+")))</f>
        <v/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2:28" x14ac:dyDescent="0.25">
      <c r="B212" s="7" t="str" cm="1">
        <f t="array" aca="1" ref="B212" ca="1">IF(OR('Raw Data'!B212="",LEN(TRIM('Raw Data'!B212))=0,Validate_Empty!B212&lt;&gt;"",Validate_Value!B212&lt;&gt;""),"",IF('Raw Data'!B212 = Condition!B212,"",_xlfn.REGEXEXTRACT(CELL("address",'Raw Data'!B212),"\$([A-Z]+)\$[0-9]+")))</f>
        <v/>
      </c>
      <c r="C212" s="7" t="str" cm="1">
        <f t="array" aca="1" ref="C212" ca="1">IF(OR('Raw Data'!C212="",LEN(TRIM('Raw Data'!C212))=0,Validate_Empty!C212&lt;&gt;"",Validate_Value!C212&lt;&gt;""),"",IF('Raw Data'!C212 = Condition!C212,"",_xlfn.REGEXEXTRACT(CELL("address",'Raw Data'!C212),"\$([A-Z]+)\$[0-9]+")))</f>
        <v/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2:28" x14ac:dyDescent="0.25">
      <c r="B213" s="7" t="str" cm="1">
        <f t="array" aca="1" ref="B213" ca="1">IF(OR('Raw Data'!B213="",LEN(TRIM('Raw Data'!B213))=0,Validate_Empty!B213&lt;&gt;"",Validate_Value!B213&lt;&gt;""),"",IF('Raw Data'!B213 = Condition!B213,"",_xlfn.REGEXEXTRACT(CELL("address",'Raw Data'!B213),"\$([A-Z]+)\$[0-9]+")))</f>
        <v/>
      </c>
      <c r="C213" s="7" t="str" cm="1">
        <f t="array" aca="1" ref="C213" ca="1">IF(OR('Raw Data'!C213="",LEN(TRIM('Raw Data'!C213))=0,Validate_Empty!C213&lt;&gt;"",Validate_Value!C213&lt;&gt;""),"",IF('Raw Data'!C213 = Condition!C213,"",_xlfn.REGEXEXTRACT(CELL("address",'Raw Data'!C213),"\$([A-Z]+)\$[0-9]+")))</f>
        <v/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2:28" x14ac:dyDescent="0.25">
      <c r="B214" s="7" t="str" cm="1">
        <f t="array" aca="1" ref="B214" ca="1">IF(OR('Raw Data'!B214="",LEN(TRIM('Raw Data'!B214))=0,Validate_Empty!B214&lt;&gt;"",Validate_Value!B214&lt;&gt;""),"",IF('Raw Data'!B214 = Condition!B214,"",_xlfn.REGEXEXTRACT(CELL("address",'Raw Data'!B214),"\$([A-Z]+)\$[0-9]+")))</f>
        <v/>
      </c>
      <c r="C214" s="7" t="str" cm="1">
        <f t="array" aca="1" ref="C214" ca="1">IF(OR('Raw Data'!C214="",LEN(TRIM('Raw Data'!C214))=0,Validate_Empty!C214&lt;&gt;"",Validate_Value!C214&lt;&gt;""),"",IF('Raw Data'!C214 = Condition!C214,"",_xlfn.REGEXEXTRACT(CELL("address",'Raw Data'!C214),"\$([A-Z]+)\$[0-9]+")))</f>
        <v/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2:28" x14ac:dyDescent="0.25">
      <c r="B215" s="7" t="str" cm="1">
        <f t="array" aca="1" ref="B215" ca="1">IF(OR('Raw Data'!B215="",LEN(TRIM('Raw Data'!B215))=0,Validate_Empty!B215&lt;&gt;"",Validate_Value!B215&lt;&gt;""),"",IF('Raw Data'!B215 = Condition!B215,"",_xlfn.REGEXEXTRACT(CELL("address",'Raw Data'!B215),"\$([A-Z]+)\$[0-9]+")))</f>
        <v/>
      </c>
      <c r="C215" s="7" t="str" cm="1">
        <f t="array" aca="1" ref="C215" ca="1">IF(OR('Raw Data'!C215="",LEN(TRIM('Raw Data'!C215))=0,Validate_Empty!C215&lt;&gt;"",Validate_Value!C215&lt;&gt;""),"",IF('Raw Data'!C215 = Condition!C215,"",_xlfn.REGEXEXTRACT(CELL("address",'Raw Data'!C215),"\$([A-Z]+)\$[0-9]+")))</f>
        <v/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2:28" x14ac:dyDescent="0.25">
      <c r="B216" s="7" t="str" cm="1">
        <f t="array" aca="1" ref="B216" ca="1">IF(OR('Raw Data'!B216="",LEN(TRIM('Raw Data'!B216))=0,Validate_Empty!B216&lt;&gt;"",Validate_Value!B216&lt;&gt;""),"",IF('Raw Data'!B216 = Condition!B216,"",_xlfn.REGEXEXTRACT(CELL("address",'Raw Data'!B216),"\$([A-Z]+)\$[0-9]+")))</f>
        <v/>
      </c>
      <c r="C216" s="7" t="str" cm="1">
        <f t="array" aca="1" ref="C216" ca="1">IF(OR('Raw Data'!C216="",LEN(TRIM('Raw Data'!C216))=0,Validate_Empty!C216&lt;&gt;"",Validate_Value!C216&lt;&gt;""),"",IF('Raw Data'!C216 = Condition!C216,"",_xlfn.REGEXEXTRACT(CELL("address",'Raw Data'!C216),"\$([A-Z]+)\$[0-9]+")))</f>
        <v/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2:28" x14ac:dyDescent="0.25">
      <c r="B217" s="7" t="str" cm="1">
        <f t="array" aca="1" ref="B217" ca="1">IF(OR('Raw Data'!B217="",LEN(TRIM('Raw Data'!B217))=0,Validate_Empty!B217&lt;&gt;"",Validate_Value!B217&lt;&gt;""),"",IF('Raw Data'!B217 = Condition!B217,"",_xlfn.REGEXEXTRACT(CELL("address",'Raw Data'!B217),"\$([A-Z]+)\$[0-9]+")))</f>
        <v/>
      </c>
      <c r="C217" s="7" t="str" cm="1">
        <f t="array" aca="1" ref="C217" ca="1">IF(OR('Raw Data'!C217="",LEN(TRIM('Raw Data'!C217))=0,Validate_Empty!C217&lt;&gt;"",Validate_Value!C217&lt;&gt;""),"",IF('Raw Data'!C217 = Condition!C217,"",_xlfn.REGEXEXTRACT(CELL("address",'Raw Data'!C217),"\$([A-Z]+)\$[0-9]+")))</f>
        <v/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2:28" x14ac:dyDescent="0.25">
      <c r="B218" s="7" t="str" cm="1">
        <f t="array" aca="1" ref="B218" ca="1">IF(OR('Raw Data'!B218="",LEN(TRIM('Raw Data'!B218))=0,Validate_Empty!B218&lt;&gt;"",Validate_Value!B218&lt;&gt;""),"",IF('Raw Data'!B218 = Condition!B218,"",_xlfn.REGEXEXTRACT(CELL("address",'Raw Data'!B218),"\$([A-Z]+)\$[0-9]+")))</f>
        <v/>
      </c>
      <c r="C218" s="7" t="str" cm="1">
        <f t="array" aca="1" ref="C218" ca="1">IF(OR('Raw Data'!C218="",LEN(TRIM('Raw Data'!C218))=0,Validate_Empty!C218&lt;&gt;"",Validate_Value!C218&lt;&gt;""),"",IF('Raw Data'!C218 = Condition!C218,"",_xlfn.REGEXEXTRACT(CELL("address",'Raw Data'!C218),"\$([A-Z]+)\$[0-9]+")))</f>
        <v/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2:28" x14ac:dyDescent="0.25">
      <c r="B219" s="7" t="str" cm="1">
        <f t="array" aca="1" ref="B219" ca="1">IF(OR('Raw Data'!B219="",LEN(TRIM('Raw Data'!B219))=0,Validate_Empty!B219&lt;&gt;"",Validate_Value!B219&lt;&gt;""),"",IF('Raw Data'!B219 = Condition!B219,"",_xlfn.REGEXEXTRACT(CELL("address",'Raw Data'!B219),"\$([A-Z]+)\$[0-9]+")))</f>
        <v/>
      </c>
      <c r="C219" s="7" t="str" cm="1">
        <f t="array" aca="1" ref="C219" ca="1">IF(OR('Raw Data'!C219="",LEN(TRIM('Raw Data'!C219))=0,Validate_Empty!C219&lt;&gt;"",Validate_Value!C219&lt;&gt;""),"",IF('Raw Data'!C219 = Condition!C219,"",_xlfn.REGEXEXTRACT(CELL("address",'Raw Data'!C219),"\$([A-Z]+)\$[0-9]+")))</f>
        <v/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2:28" x14ac:dyDescent="0.25">
      <c r="B220" s="7" t="str" cm="1">
        <f t="array" aca="1" ref="B220" ca="1">IF(OR('Raw Data'!B220="",LEN(TRIM('Raw Data'!B220))=0,Validate_Empty!B220&lt;&gt;"",Validate_Value!B220&lt;&gt;""),"",IF('Raw Data'!B220 = Condition!B220,"",_xlfn.REGEXEXTRACT(CELL("address",'Raw Data'!B220),"\$([A-Z]+)\$[0-9]+")))</f>
        <v/>
      </c>
      <c r="C220" s="7" t="str" cm="1">
        <f t="array" aca="1" ref="C220" ca="1">IF(OR('Raw Data'!C220="",LEN(TRIM('Raw Data'!C220))=0,Validate_Empty!C220&lt;&gt;"",Validate_Value!C220&lt;&gt;""),"",IF('Raw Data'!C220 = Condition!C220,"",_xlfn.REGEXEXTRACT(CELL("address",'Raw Data'!C220),"\$([A-Z]+)\$[0-9]+")))</f>
        <v/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2:28" x14ac:dyDescent="0.25">
      <c r="B221" s="7" t="str" cm="1">
        <f t="array" aca="1" ref="B221" ca="1">IF(OR('Raw Data'!B221="",LEN(TRIM('Raw Data'!B221))=0,Validate_Empty!B221&lt;&gt;"",Validate_Value!B221&lt;&gt;""),"",IF('Raw Data'!B221 = Condition!B221,"",_xlfn.REGEXEXTRACT(CELL("address",'Raw Data'!B221),"\$([A-Z]+)\$[0-9]+")))</f>
        <v/>
      </c>
      <c r="C221" s="7" t="str" cm="1">
        <f t="array" aca="1" ref="C221" ca="1">IF(OR('Raw Data'!C221="",LEN(TRIM('Raw Data'!C221))=0,Validate_Empty!C221&lt;&gt;"",Validate_Value!C221&lt;&gt;""),"",IF('Raw Data'!C221 = Condition!C221,"",_xlfn.REGEXEXTRACT(CELL("address",'Raw Data'!C221),"\$([A-Z]+)\$[0-9]+")))</f>
        <v/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2:28" x14ac:dyDescent="0.25">
      <c r="B222" s="7" t="str" cm="1">
        <f t="array" aca="1" ref="B222" ca="1">IF(OR('Raw Data'!B222="",LEN(TRIM('Raw Data'!B222))=0,Validate_Empty!B222&lt;&gt;"",Validate_Value!B222&lt;&gt;""),"",IF('Raw Data'!B222 = Condition!B222,"",_xlfn.REGEXEXTRACT(CELL("address",'Raw Data'!B222),"\$([A-Z]+)\$[0-9]+")))</f>
        <v/>
      </c>
      <c r="C222" s="7" t="str" cm="1">
        <f t="array" aca="1" ref="C222" ca="1">IF(OR('Raw Data'!C222="",LEN(TRIM('Raw Data'!C222))=0,Validate_Empty!C222&lt;&gt;"",Validate_Value!C222&lt;&gt;""),"",IF('Raw Data'!C222 = Condition!C222,"",_xlfn.REGEXEXTRACT(CELL("address",'Raw Data'!C222),"\$([A-Z]+)\$[0-9]+")))</f>
        <v/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2:28" x14ac:dyDescent="0.25">
      <c r="B223" s="7" t="str" cm="1">
        <f t="array" aca="1" ref="B223" ca="1">IF(OR('Raw Data'!B223="",LEN(TRIM('Raw Data'!B223))=0,Validate_Empty!B223&lt;&gt;"",Validate_Value!B223&lt;&gt;""),"",IF('Raw Data'!B223 = Condition!B223,"",_xlfn.REGEXEXTRACT(CELL("address",'Raw Data'!B223),"\$([A-Z]+)\$[0-9]+")))</f>
        <v/>
      </c>
      <c r="C223" s="7" t="str" cm="1">
        <f t="array" aca="1" ref="C223" ca="1">IF(OR('Raw Data'!C223="",LEN(TRIM('Raw Data'!C223))=0,Validate_Empty!C223&lt;&gt;"",Validate_Value!C223&lt;&gt;""),"",IF('Raw Data'!C223 = Condition!C223,"",_xlfn.REGEXEXTRACT(CELL("address",'Raw Data'!C223),"\$([A-Z]+)\$[0-9]+")))</f>
        <v/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2:28" x14ac:dyDescent="0.25">
      <c r="B224" s="7" t="str" cm="1">
        <f t="array" aca="1" ref="B224" ca="1">IF(OR('Raw Data'!B224="",LEN(TRIM('Raw Data'!B224))=0,Validate_Empty!B224&lt;&gt;"",Validate_Value!B224&lt;&gt;""),"",IF('Raw Data'!B224 = Condition!B224,"",_xlfn.REGEXEXTRACT(CELL("address",'Raw Data'!B224),"\$([A-Z]+)\$[0-9]+")))</f>
        <v/>
      </c>
      <c r="C224" s="7" t="str" cm="1">
        <f t="array" aca="1" ref="C224" ca="1">IF(OR('Raw Data'!C224="",LEN(TRIM('Raw Data'!C224))=0,Validate_Empty!C224&lt;&gt;"",Validate_Value!C224&lt;&gt;""),"",IF('Raw Data'!C224 = Condition!C224,"",_xlfn.REGEXEXTRACT(CELL("address",'Raw Data'!C224),"\$([A-Z]+)\$[0-9]+")))</f>
        <v/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2:28" x14ac:dyDescent="0.25">
      <c r="B225" s="7" t="str" cm="1">
        <f t="array" aca="1" ref="B225" ca="1">IF(OR('Raw Data'!B225="",LEN(TRIM('Raw Data'!B225))=0,Validate_Empty!B225&lt;&gt;"",Validate_Value!B225&lt;&gt;""),"",IF('Raw Data'!B225 = Condition!B225,"",_xlfn.REGEXEXTRACT(CELL("address",'Raw Data'!B225),"\$([A-Z]+)\$[0-9]+")))</f>
        <v/>
      </c>
      <c r="C225" s="7" t="str" cm="1">
        <f t="array" aca="1" ref="C225" ca="1">IF(OR('Raw Data'!C225="",LEN(TRIM('Raw Data'!C225))=0,Validate_Empty!C225&lt;&gt;"",Validate_Value!C225&lt;&gt;""),"",IF('Raw Data'!C225 = Condition!C225,"",_xlfn.REGEXEXTRACT(CELL("address",'Raw Data'!C225),"\$([A-Z]+)\$[0-9]+")))</f>
        <v/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2:28" x14ac:dyDescent="0.25">
      <c r="B226" s="7" t="str" cm="1">
        <f t="array" aca="1" ref="B226" ca="1">IF(OR('Raw Data'!B226="",LEN(TRIM('Raw Data'!B226))=0,Validate_Empty!B226&lt;&gt;"",Validate_Value!B226&lt;&gt;""),"",IF('Raw Data'!B226 = Condition!B226,"",_xlfn.REGEXEXTRACT(CELL("address",'Raw Data'!B226),"\$([A-Z]+)\$[0-9]+")))</f>
        <v/>
      </c>
      <c r="C226" s="7" t="str" cm="1">
        <f t="array" aca="1" ref="C226" ca="1">IF(OR('Raw Data'!C226="",LEN(TRIM('Raw Data'!C226))=0,Validate_Empty!C226&lt;&gt;"",Validate_Value!C226&lt;&gt;""),"",IF('Raw Data'!C226 = Condition!C226,"",_xlfn.REGEXEXTRACT(CELL("address",'Raw Data'!C226),"\$([A-Z]+)\$[0-9]+")))</f>
        <v/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2:28" x14ac:dyDescent="0.25">
      <c r="B227" s="7" t="str" cm="1">
        <f t="array" aca="1" ref="B227" ca="1">IF(OR('Raw Data'!B227="",LEN(TRIM('Raw Data'!B227))=0,Validate_Empty!B227&lt;&gt;"",Validate_Value!B227&lt;&gt;""),"",IF('Raw Data'!B227 = Condition!B227,"",_xlfn.REGEXEXTRACT(CELL("address",'Raw Data'!B227),"\$([A-Z]+)\$[0-9]+")))</f>
        <v/>
      </c>
      <c r="C227" s="7" t="str" cm="1">
        <f t="array" aca="1" ref="C227" ca="1">IF(OR('Raw Data'!C227="",LEN(TRIM('Raw Data'!C227))=0,Validate_Empty!C227&lt;&gt;"",Validate_Value!C227&lt;&gt;""),"",IF('Raw Data'!C227 = Condition!C227,"",_xlfn.REGEXEXTRACT(CELL("address",'Raw Data'!C227),"\$([A-Z]+)\$[0-9]+")))</f>
        <v/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2:28" x14ac:dyDescent="0.25">
      <c r="B228" s="7" t="str" cm="1">
        <f t="array" aca="1" ref="B228" ca="1">IF(OR('Raw Data'!B228="",LEN(TRIM('Raw Data'!B228))=0,Validate_Empty!B228&lt;&gt;"",Validate_Value!B228&lt;&gt;""),"",IF('Raw Data'!B228 = Condition!B228,"",_xlfn.REGEXEXTRACT(CELL("address",'Raw Data'!B228),"\$([A-Z]+)\$[0-9]+")))</f>
        <v/>
      </c>
      <c r="C228" s="7" t="str" cm="1">
        <f t="array" aca="1" ref="C228" ca="1">IF(OR('Raw Data'!C228="",LEN(TRIM('Raw Data'!C228))=0,Validate_Empty!C228&lt;&gt;"",Validate_Value!C228&lt;&gt;""),"",IF('Raw Data'!C228 = Condition!C228,"",_xlfn.REGEXEXTRACT(CELL("address",'Raw Data'!C228),"\$([A-Z]+)\$[0-9]+")))</f>
        <v/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2:28" x14ac:dyDescent="0.25">
      <c r="B229" s="7" t="str" cm="1">
        <f t="array" aca="1" ref="B229" ca="1">IF(OR('Raw Data'!B229="",LEN(TRIM('Raw Data'!B229))=0,Validate_Empty!B229&lt;&gt;"",Validate_Value!B229&lt;&gt;""),"",IF('Raw Data'!B229 = Condition!B229,"",_xlfn.REGEXEXTRACT(CELL("address",'Raw Data'!B229),"\$([A-Z]+)\$[0-9]+")))</f>
        <v/>
      </c>
      <c r="C229" s="7" t="str" cm="1">
        <f t="array" aca="1" ref="C229" ca="1">IF(OR('Raw Data'!C229="",LEN(TRIM('Raw Data'!C229))=0,Validate_Empty!C229&lt;&gt;"",Validate_Value!C229&lt;&gt;""),"",IF('Raw Data'!C229 = Condition!C229,"",_xlfn.REGEXEXTRACT(CELL("address",'Raw Data'!C229),"\$([A-Z]+)\$[0-9]+")))</f>
        <v/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2:28" x14ac:dyDescent="0.25">
      <c r="B230" s="7" t="str" cm="1">
        <f t="array" aca="1" ref="B230" ca="1">IF(OR('Raw Data'!B230="",LEN(TRIM('Raw Data'!B230))=0,Validate_Empty!B230&lt;&gt;"",Validate_Value!B230&lt;&gt;""),"",IF('Raw Data'!B230 = Condition!B230,"",_xlfn.REGEXEXTRACT(CELL("address",'Raw Data'!B230),"\$([A-Z]+)\$[0-9]+")))</f>
        <v/>
      </c>
      <c r="C230" s="7" t="str" cm="1">
        <f t="array" aca="1" ref="C230" ca="1">IF(OR('Raw Data'!C230="",LEN(TRIM('Raw Data'!C230))=0,Validate_Empty!C230&lt;&gt;"",Validate_Value!C230&lt;&gt;""),"",IF('Raw Data'!C230 = Condition!C230,"",_xlfn.REGEXEXTRACT(CELL("address",'Raw Data'!C230),"\$([A-Z]+)\$[0-9]+")))</f>
        <v/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2:28" x14ac:dyDescent="0.25">
      <c r="B231" s="7" t="str" cm="1">
        <f t="array" aca="1" ref="B231" ca="1">IF(OR('Raw Data'!B231="",LEN(TRIM('Raw Data'!B231))=0,Validate_Empty!B231&lt;&gt;"",Validate_Value!B231&lt;&gt;""),"",IF('Raw Data'!B231 = Condition!B231,"",_xlfn.REGEXEXTRACT(CELL("address",'Raw Data'!B231),"\$([A-Z]+)\$[0-9]+")))</f>
        <v/>
      </c>
      <c r="C231" s="7" t="str" cm="1">
        <f t="array" aca="1" ref="C231" ca="1">IF(OR('Raw Data'!C231="",LEN(TRIM('Raw Data'!C231))=0,Validate_Empty!C231&lt;&gt;"",Validate_Value!C231&lt;&gt;""),"",IF('Raw Data'!C231 = Condition!C231,"",_xlfn.REGEXEXTRACT(CELL("address",'Raw Data'!C231),"\$([A-Z]+)\$[0-9]+")))</f>
        <v/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2:28" x14ac:dyDescent="0.25">
      <c r="B232" s="7" t="str" cm="1">
        <f t="array" aca="1" ref="B232" ca="1">IF(OR('Raw Data'!B232="",LEN(TRIM('Raw Data'!B232))=0,Validate_Empty!B232&lt;&gt;"",Validate_Value!B232&lt;&gt;""),"",IF('Raw Data'!B232 = Condition!B232,"",_xlfn.REGEXEXTRACT(CELL("address",'Raw Data'!B232),"\$([A-Z]+)\$[0-9]+")))</f>
        <v/>
      </c>
      <c r="C232" s="7" t="str" cm="1">
        <f t="array" aca="1" ref="C232" ca="1">IF(OR('Raw Data'!C232="",LEN(TRIM('Raw Data'!C232))=0,Validate_Empty!C232&lt;&gt;"",Validate_Value!C232&lt;&gt;""),"",IF('Raw Data'!C232 = Condition!C232,"",_xlfn.REGEXEXTRACT(CELL("address",'Raw Data'!C232),"\$([A-Z]+)\$[0-9]+")))</f>
        <v/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2:28" x14ac:dyDescent="0.25">
      <c r="B233" s="7" t="str" cm="1">
        <f t="array" aca="1" ref="B233" ca="1">IF(OR('Raw Data'!B233="",LEN(TRIM('Raw Data'!B233))=0,Validate_Empty!B233&lt;&gt;"",Validate_Value!B233&lt;&gt;""),"",IF('Raw Data'!B233 = Condition!B233,"",_xlfn.REGEXEXTRACT(CELL("address",'Raw Data'!B233),"\$([A-Z]+)\$[0-9]+")))</f>
        <v/>
      </c>
      <c r="C233" s="7" t="str" cm="1">
        <f t="array" aca="1" ref="C233" ca="1">IF(OR('Raw Data'!C233="",LEN(TRIM('Raw Data'!C233))=0,Validate_Empty!C233&lt;&gt;"",Validate_Value!C233&lt;&gt;""),"",IF('Raw Data'!C233 = Condition!C233,"",_xlfn.REGEXEXTRACT(CELL("address",'Raw Data'!C233),"\$([A-Z]+)\$[0-9]+")))</f>
        <v/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2:28" x14ac:dyDescent="0.25">
      <c r="B234" s="7" t="str" cm="1">
        <f t="array" aca="1" ref="B234" ca="1">IF(OR('Raw Data'!B234="",LEN(TRIM('Raw Data'!B234))=0,Validate_Empty!B234&lt;&gt;"",Validate_Value!B234&lt;&gt;""),"",IF('Raw Data'!B234 = Condition!B234,"",_xlfn.REGEXEXTRACT(CELL("address",'Raw Data'!B234),"\$([A-Z]+)\$[0-9]+")))</f>
        <v/>
      </c>
      <c r="C234" s="7" t="str" cm="1">
        <f t="array" aca="1" ref="C234" ca="1">IF(OR('Raw Data'!C234="",LEN(TRIM('Raw Data'!C234))=0,Validate_Empty!C234&lt;&gt;"",Validate_Value!C234&lt;&gt;""),"",IF('Raw Data'!C234 = Condition!C234,"",_xlfn.REGEXEXTRACT(CELL("address",'Raw Data'!C234),"\$([A-Z]+)\$[0-9]+")))</f>
        <v/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2:28" x14ac:dyDescent="0.25">
      <c r="B235" s="7" t="str" cm="1">
        <f t="array" aca="1" ref="B235" ca="1">IF(OR('Raw Data'!B235="",LEN(TRIM('Raw Data'!B235))=0,Validate_Empty!B235&lt;&gt;"",Validate_Value!B235&lt;&gt;""),"",IF('Raw Data'!B235 = Condition!B235,"",_xlfn.REGEXEXTRACT(CELL("address",'Raw Data'!B235),"\$([A-Z]+)\$[0-9]+")))</f>
        <v/>
      </c>
      <c r="C235" s="7" t="str" cm="1">
        <f t="array" aca="1" ref="C235" ca="1">IF(OR('Raw Data'!C235="",LEN(TRIM('Raw Data'!C235))=0,Validate_Empty!C235&lt;&gt;"",Validate_Value!C235&lt;&gt;""),"",IF('Raw Data'!C235 = Condition!C235,"",_xlfn.REGEXEXTRACT(CELL("address",'Raw Data'!C235),"\$([A-Z]+)\$[0-9]+")))</f>
        <v/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2:28" x14ac:dyDescent="0.25">
      <c r="B236" s="7" t="str" cm="1">
        <f t="array" aca="1" ref="B236" ca="1">IF(OR('Raw Data'!B236="",LEN(TRIM('Raw Data'!B236))=0,Validate_Empty!B236&lt;&gt;"",Validate_Value!B236&lt;&gt;""),"",IF('Raw Data'!B236 = Condition!B236,"",_xlfn.REGEXEXTRACT(CELL("address",'Raw Data'!B236),"\$([A-Z]+)\$[0-9]+")))</f>
        <v/>
      </c>
      <c r="C236" s="7" t="str" cm="1">
        <f t="array" aca="1" ref="C236" ca="1">IF(OR('Raw Data'!C236="",LEN(TRIM('Raw Data'!C236))=0,Validate_Empty!C236&lt;&gt;"",Validate_Value!C236&lt;&gt;""),"",IF('Raw Data'!C236 = Condition!C236,"",_xlfn.REGEXEXTRACT(CELL("address",'Raw Data'!C236),"\$([A-Z]+)\$[0-9]+")))</f>
        <v/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2:28" x14ac:dyDescent="0.25">
      <c r="B237" s="7" t="str" cm="1">
        <f t="array" aca="1" ref="B237" ca="1">IF(OR('Raw Data'!B237="",LEN(TRIM('Raw Data'!B237))=0,Validate_Empty!B237&lt;&gt;"",Validate_Value!B237&lt;&gt;""),"",IF('Raw Data'!B237 = Condition!B237,"",_xlfn.REGEXEXTRACT(CELL("address",'Raw Data'!B237),"\$([A-Z]+)\$[0-9]+")))</f>
        <v/>
      </c>
      <c r="C237" s="7" t="str" cm="1">
        <f t="array" aca="1" ref="C237" ca="1">IF(OR('Raw Data'!C237="",LEN(TRIM('Raw Data'!C237))=0,Validate_Empty!C237&lt;&gt;"",Validate_Value!C237&lt;&gt;""),"",IF('Raw Data'!C237 = Condition!C237,"",_xlfn.REGEXEXTRACT(CELL("address",'Raw Data'!C237),"\$([A-Z]+)\$[0-9]+")))</f>
        <v/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2:28" x14ac:dyDescent="0.25">
      <c r="B238" s="7" t="str" cm="1">
        <f t="array" aca="1" ref="B238" ca="1">IF(OR('Raw Data'!B238="",LEN(TRIM('Raw Data'!B238))=0,Validate_Empty!B238&lt;&gt;"",Validate_Value!B238&lt;&gt;""),"",IF('Raw Data'!B238 = Condition!B238,"",_xlfn.REGEXEXTRACT(CELL("address",'Raw Data'!B238),"\$([A-Z]+)\$[0-9]+")))</f>
        <v/>
      </c>
      <c r="C238" s="7" t="str" cm="1">
        <f t="array" aca="1" ref="C238" ca="1">IF(OR('Raw Data'!C238="",LEN(TRIM('Raw Data'!C238))=0,Validate_Empty!C238&lt;&gt;"",Validate_Value!C238&lt;&gt;""),"",IF('Raw Data'!C238 = Condition!C238,"",_xlfn.REGEXEXTRACT(CELL("address",'Raw Data'!C238),"\$([A-Z]+)\$[0-9]+")))</f>
        <v/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2:28" x14ac:dyDescent="0.25">
      <c r="B239" s="7" t="str" cm="1">
        <f t="array" aca="1" ref="B239" ca="1">IF(OR('Raw Data'!B239="",LEN(TRIM('Raw Data'!B239))=0,Validate_Empty!B239&lt;&gt;"",Validate_Value!B239&lt;&gt;""),"",IF('Raw Data'!B239 = Condition!B239,"",_xlfn.REGEXEXTRACT(CELL("address",'Raw Data'!B239),"\$([A-Z]+)\$[0-9]+")))</f>
        <v/>
      </c>
      <c r="C239" s="7" t="str" cm="1">
        <f t="array" aca="1" ref="C239" ca="1">IF(OR('Raw Data'!C239="",LEN(TRIM('Raw Data'!C239))=0,Validate_Empty!C239&lt;&gt;"",Validate_Value!C239&lt;&gt;""),"",IF('Raw Data'!C239 = Condition!C239,"",_xlfn.REGEXEXTRACT(CELL("address",'Raw Data'!C239),"\$([A-Z]+)\$[0-9]+")))</f>
        <v/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2:28" x14ac:dyDescent="0.25">
      <c r="B240" s="7" t="str" cm="1">
        <f t="array" aca="1" ref="B240" ca="1">IF(OR('Raw Data'!B240="",LEN(TRIM('Raw Data'!B240))=0,Validate_Empty!B240&lt;&gt;"",Validate_Value!B240&lt;&gt;""),"",IF('Raw Data'!B240 = Condition!B240,"",_xlfn.REGEXEXTRACT(CELL("address",'Raw Data'!B240),"\$([A-Z]+)\$[0-9]+")))</f>
        <v/>
      </c>
      <c r="C240" s="7" t="str" cm="1">
        <f t="array" aca="1" ref="C240" ca="1">IF(OR('Raw Data'!C240="",LEN(TRIM('Raw Data'!C240))=0,Validate_Empty!C240&lt;&gt;"",Validate_Value!C240&lt;&gt;""),"",IF('Raw Data'!C240 = Condition!C240,"",_xlfn.REGEXEXTRACT(CELL("address",'Raw Data'!C240),"\$([A-Z]+)\$[0-9]+")))</f>
        <v/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2:28" x14ac:dyDescent="0.25">
      <c r="B241" s="7" t="str" cm="1">
        <f t="array" aca="1" ref="B241" ca="1">IF(OR('Raw Data'!B241="",LEN(TRIM('Raw Data'!B241))=0,Validate_Empty!B241&lt;&gt;"",Validate_Value!B241&lt;&gt;""),"",IF('Raw Data'!B241 = Condition!B241,"",_xlfn.REGEXEXTRACT(CELL("address",'Raw Data'!B241),"\$([A-Z]+)\$[0-9]+")))</f>
        <v/>
      </c>
      <c r="C241" s="7" t="str" cm="1">
        <f t="array" aca="1" ref="C241" ca="1">IF(OR('Raw Data'!C241="",LEN(TRIM('Raw Data'!C241))=0,Validate_Empty!C241&lt;&gt;"",Validate_Value!C241&lt;&gt;""),"",IF('Raw Data'!C241 = Condition!C241,"",_xlfn.REGEXEXTRACT(CELL("address",'Raw Data'!C241),"\$([A-Z]+)\$[0-9]+")))</f>
        <v/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2:28" x14ac:dyDescent="0.25">
      <c r="B242" s="7" t="str" cm="1">
        <f t="array" aca="1" ref="B242" ca="1">IF(OR('Raw Data'!B242="",LEN(TRIM('Raw Data'!B242))=0,Validate_Empty!B242&lt;&gt;"",Validate_Value!B242&lt;&gt;""),"",IF('Raw Data'!B242 = Condition!B242,"",_xlfn.REGEXEXTRACT(CELL("address",'Raw Data'!B242),"\$([A-Z]+)\$[0-9]+")))</f>
        <v/>
      </c>
      <c r="C242" s="7" t="str" cm="1">
        <f t="array" aca="1" ref="C242" ca="1">IF(OR('Raw Data'!C242="",LEN(TRIM('Raw Data'!C242))=0,Validate_Empty!C242&lt;&gt;"",Validate_Value!C242&lt;&gt;""),"",IF('Raw Data'!C242 = Condition!C242,"",_xlfn.REGEXEXTRACT(CELL("address",'Raw Data'!C242),"\$([A-Z]+)\$[0-9]+")))</f>
        <v/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2:28" x14ac:dyDescent="0.25">
      <c r="B243" s="7" t="str" cm="1">
        <f t="array" aca="1" ref="B243" ca="1">IF(OR('Raw Data'!B243="",LEN(TRIM('Raw Data'!B243))=0,Validate_Empty!B243&lt;&gt;"",Validate_Value!B243&lt;&gt;""),"",IF('Raw Data'!B243 = Condition!B243,"",_xlfn.REGEXEXTRACT(CELL("address",'Raw Data'!B243),"\$([A-Z]+)\$[0-9]+")))</f>
        <v/>
      </c>
      <c r="C243" s="7" t="str" cm="1">
        <f t="array" aca="1" ref="C243" ca="1">IF(OR('Raw Data'!C243="",LEN(TRIM('Raw Data'!C243))=0,Validate_Empty!C243&lt;&gt;"",Validate_Value!C243&lt;&gt;""),"",IF('Raw Data'!C243 = Condition!C243,"",_xlfn.REGEXEXTRACT(CELL("address",'Raw Data'!C243),"\$([A-Z]+)\$[0-9]+")))</f>
        <v/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2:28" x14ac:dyDescent="0.25">
      <c r="B244" s="7" t="str" cm="1">
        <f t="array" aca="1" ref="B244" ca="1">IF(OR('Raw Data'!B244="",LEN(TRIM('Raw Data'!B244))=0,Validate_Empty!B244&lt;&gt;"",Validate_Value!B244&lt;&gt;""),"",IF('Raw Data'!B244 = Condition!B244,"",_xlfn.REGEXEXTRACT(CELL("address",'Raw Data'!B244),"\$([A-Z]+)\$[0-9]+")))</f>
        <v/>
      </c>
      <c r="C244" s="7" t="str" cm="1">
        <f t="array" aca="1" ref="C244" ca="1">IF(OR('Raw Data'!C244="",LEN(TRIM('Raw Data'!C244))=0,Validate_Empty!C244&lt;&gt;"",Validate_Value!C244&lt;&gt;""),"",IF('Raw Data'!C244 = Condition!C244,"",_xlfn.REGEXEXTRACT(CELL("address",'Raw Data'!C244),"\$([A-Z]+)\$[0-9]+")))</f>
        <v/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2:28" x14ac:dyDescent="0.25">
      <c r="B245" s="7" t="str" cm="1">
        <f t="array" aca="1" ref="B245" ca="1">IF(OR('Raw Data'!B245="",LEN(TRIM('Raw Data'!B245))=0,Validate_Empty!B245&lt;&gt;"",Validate_Value!B245&lt;&gt;""),"",IF('Raw Data'!B245 = Condition!B245,"",_xlfn.REGEXEXTRACT(CELL("address",'Raw Data'!B245),"\$([A-Z]+)\$[0-9]+")))</f>
        <v/>
      </c>
      <c r="C245" s="7" t="str" cm="1">
        <f t="array" aca="1" ref="C245" ca="1">IF(OR('Raw Data'!C245="",LEN(TRIM('Raw Data'!C245))=0,Validate_Empty!C245&lt;&gt;"",Validate_Value!C245&lt;&gt;""),"",IF('Raw Data'!C245 = Condition!C245,"",_xlfn.REGEXEXTRACT(CELL("address",'Raw Data'!C245),"\$([A-Z]+)\$[0-9]+")))</f>
        <v/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2:28" x14ac:dyDescent="0.25">
      <c r="B246" s="7" t="str" cm="1">
        <f t="array" aca="1" ref="B246" ca="1">IF(OR('Raw Data'!B246="",LEN(TRIM('Raw Data'!B246))=0,Validate_Empty!B246&lt;&gt;"",Validate_Value!B246&lt;&gt;""),"",IF('Raw Data'!B246 = Condition!B246,"",_xlfn.REGEXEXTRACT(CELL("address",'Raw Data'!B246),"\$([A-Z]+)\$[0-9]+")))</f>
        <v/>
      </c>
      <c r="C246" s="7" t="str" cm="1">
        <f t="array" aca="1" ref="C246" ca="1">IF(OR('Raw Data'!C246="",LEN(TRIM('Raw Data'!C246))=0,Validate_Empty!C246&lt;&gt;"",Validate_Value!C246&lt;&gt;""),"",IF('Raw Data'!C246 = Condition!C246,"",_xlfn.REGEXEXTRACT(CELL("address",'Raw Data'!C246),"\$([A-Z]+)\$[0-9]+")))</f>
        <v/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2:28" x14ac:dyDescent="0.25">
      <c r="B247" s="7" t="str" cm="1">
        <f t="array" aca="1" ref="B247" ca="1">IF(OR('Raw Data'!B247="",LEN(TRIM('Raw Data'!B247))=0,Validate_Empty!B247&lt;&gt;"",Validate_Value!B247&lt;&gt;""),"",IF('Raw Data'!B247 = Condition!B247,"",_xlfn.REGEXEXTRACT(CELL("address",'Raw Data'!B247),"\$([A-Z]+)\$[0-9]+")))</f>
        <v/>
      </c>
      <c r="C247" s="7" t="str" cm="1">
        <f t="array" aca="1" ref="C247" ca="1">IF(OR('Raw Data'!C247="",LEN(TRIM('Raw Data'!C247))=0,Validate_Empty!C247&lt;&gt;"",Validate_Value!C247&lt;&gt;""),"",IF('Raw Data'!C247 = Condition!C247,"",_xlfn.REGEXEXTRACT(CELL("address",'Raw Data'!C247),"\$([A-Z]+)\$[0-9]+")))</f>
        <v/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2:28" x14ac:dyDescent="0.25">
      <c r="B248" s="7" t="str" cm="1">
        <f t="array" aca="1" ref="B248" ca="1">IF(OR('Raw Data'!B248="",LEN(TRIM('Raw Data'!B248))=0,Validate_Empty!B248&lt;&gt;"",Validate_Value!B248&lt;&gt;""),"",IF('Raw Data'!B248 = Condition!B248,"",_xlfn.REGEXEXTRACT(CELL("address",'Raw Data'!B248),"\$([A-Z]+)\$[0-9]+")))</f>
        <v/>
      </c>
      <c r="C248" s="7" t="str" cm="1">
        <f t="array" aca="1" ref="C248" ca="1">IF(OR('Raw Data'!C248="",LEN(TRIM('Raw Data'!C248))=0,Validate_Empty!C248&lt;&gt;"",Validate_Value!C248&lt;&gt;""),"",IF('Raw Data'!C248 = Condition!C248,"",_xlfn.REGEXEXTRACT(CELL("address",'Raw Data'!C248),"\$([A-Z]+)\$[0-9]+")))</f>
        <v/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2:28" x14ac:dyDescent="0.25">
      <c r="B249" s="7" t="str" cm="1">
        <f t="array" aca="1" ref="B249" ca="1">IF(OR('Raw Data'!B249="",LEN(TRIM('Raw Data'!B249))=0,Validate_Empty!B249&lt;&gt;"",Validate_Value!B249&lt;&gt;""),"",IF('Raw Data'!B249 = Condition!B249,"",_xlfn.REGEXEXTRACT(CELL("address",'Raw Data'!B249),"\$([A-Z]+)\$[0-9]+")))</f>
        <v/>
      </c>
      <c r="C249" s="7" t="str" cm="1">
        <f t="array" aca="1" ref="C249" ca="1">IF(OR('Raw Data'!C249="",LEN(TRIM('Raw Data'!C249))=0,Validate_Empty!C249&lt;&gt;"",Validate_Value!C249&lt;&gt;""),"",IF('Raw Data'!C249 = Condition!C249,"",_xlfn.REGEXEXTRACT(CELL("address",'Raw Data'!C249),"\$([A-Z]+)\$[0-9]+")))</f>
        <v/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2:28" x14ac:dyDescent="0.25">
      <c r="B250" s="7" t="str" cm="1">
        <f t="array" aca="1" ref="B250" ca="1">IF(OR('Raw Data'!B250="",LEN(TRIM('Raw Data'!B250))=0,Validate_Empty!B250&lt;&gt;"",Validate_Value!B250&lt;&gt;""),"",IF('Raw Data'!B250 = Condition!B250,"",_xlfn.REGEXEXTRACT(CELL("address",'Raw Data'!B250),"\$([A-Z]+)\$[0-9]+")))</f>
        <v/>
      </c>
      <c r="C250" s="7" t="str" cm="1">
        <f t="array" aca="1" ref="C250" ca="1">IF(OR('Raw Data'!C250="",LEN(TRIM('Raw Data'!C250))=0,Validate_Empty!C250&lt;&gt;"",Validate_Value!C250&lt;&gt;""),"",IF('Raw Data'!C250 = Condition!C250,"",_xlfn.REGEXEXTRACT(CELL("address",'Raw Data'!C250),"\$([A-Z]+)\$[0-9]+")))</f>
        <v/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2:28" x14ac:dyDescent="0.25">
      <c r="B251" s="7" t="str" cm="1">
        <f t="array" aca="1" ref="B251" ca="1">IF(OR('Raw Data'!B251="",LEN(TRIM('Raw Data'!B251))=0,Validate_Empty!B251&lt;&gt;"",Validate_Value!B251&lt;&gt;""),"",IF('Raw Data'!B251 = Condition!B251,"",_xlfn.REGEXEXTRACT(CELL("address",'Raw Data'!B251),"\$([A-Z]+)\$[0-9]+")))</f>
        <v/>
      </c>
      <c r="C251" s="7" t="str" cm="1">
        <f t="array" aca="1" ref="C251" ca="1">IF(OR('Raw Data'!C251="",LEN(TRIM('Raw Data'!C251))=0,Validate_Empty!C251&lt;&gt;"",Validate_Value!C251&lt;&gt;""),"",IF('Raw Data'!C251 = Condition!C251,"",_xlfn.REGEXEXTRACT(CELL("address",'Raw Data'!C251),"\$([A-Z]+)\$[0-9]+")))</f>
        <v/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2:28" x14ac:dyDescent="0.25">
      <c r="B252" s="7" t="str" cm="1">
        <f t="array" aca="1" ref="B252" ca="1">IF(OR('Raw Data'!B252="",LEN(TRIM('Raw Data'!B252))=0,Validate_Empty!B252&lt;&gt;"",Validate_Value!B252&lt;&gt;""),"",IF('Raw Data'!B252 = Condition!B252,"",_xlfn.REGEXEXTRACT(CELL("address",'Raw Data'!B252),"\$([A-Z]+)\$[0-9]+")))</f>
        <v/>
      </c>
      <c r="C252" s="7" t="str" cm="1">
        <f t="array" aca="1" ref="C252" ca="1">IF(OR('Raw Data'!C252="",LEN(TRIM('Raw Data'!C252))=0,Validate_Empty!C252&lt;&gt;"",Validate_Value!C252&lt;&gt;""),"",IF('Raw Data'!C252 = Condition!C252,"",_xlfn.REGEXEXTRACT(CELL("address",'Raw Data'!C252),"\$([A-Z]+)\$[0-9]+")))</f>
        <v/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2:28" x14ac:dyDescent="0.25">
      <c r="B253" s="7" t="str" cm="1">
        <f t="array" aca="1" ref="B253" ca="1">IF(OR('Raw Data'!B253="",LEN(TRIM('Raw Data'!B253))=0,Validate_Empty!B253&lt;&gt;"",Validate_Value!B253&lt;&gt;""),"",IF('Raw Data'!B253 = Condition!B253,"",_xlfn.REGEXEXTRACT(CELL("address",'Raw Data'!B253),"\$([A-Z]+)\$[0-9]+")))</f>
        <v/>
      </c>
      <c r="C253" s="7" t="str" cm="1">
        <f t="array" aca="1" ref="C253" ca="1">IF(OR('Raw Data'!C253="",LEN(TRIM('Raw Data'!C253))=0,Validate_Empty!C253&lt;&gt;"",Validate_Value!C253&lt;&gt;""),"",IF('Raw Data'!C253 = Condition!C253,"",_xlfn.REGEXEXTRACT(CELL("address",'Raw Data'!C253),"\$([A-Z]+)\$[0-9]+")))</f>
        <v/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2:28" x14ac:dyDescent="0.25">
      <c r="B254" s="7" t="str" cm="1">
        <f t="array" aca="1" ref="B254" ca="1">IF(OR('Raw Data'!B254="",LEN(TRIM('Raw Data'!B254))=0,Validate_Empty!B254&lt;&gt;"",Validate_Value!B254&lt;&gt;""),"",IF('Raw Data'!B254 = Condition!B254,"",_xlfn.REGEXEXTRACT(CELL("address",'Raw Data'!B254),"\$([A-Z]+)\$[0-9]+")))</f>
        <v/>
      </c>
      <c r="C254" s="7" t="str" cm="1">
        <f t="array" aca="1" ref="C254" ca="1">IF(OR('Raw Data'!C254="",LEN(TRIM('Raw Data'!C254))=0,Validate_Empty!C254&lt;&gt;"",Validate_Value!C254&lt;&gt;""),"",IF('Raw Data'!C254 = Condition!C254,"",_xlfn.REGEXEXTRACT(CELL("address",'Raw Data'!C254),"\$([A-Z]+)\$[0-9]+")))</f>
        <v/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2:28" x14ac:dyDescent="0.25">
      <c r="B255" s="7" t="str" cm="1">
        <f t="array" aca="1" ref="B255" ca="1">IF(OR('Raw Data'!B255="",LEN(TRIM('Raw Data'!B255))=0,Validate_Empty!B255&lt;&gt;"",Validate_Value!B255&lt;&gt;""),"",IF('Raw Data'!B255 = Condition!B255,"",_xlfn.REGEXEXTRACT(CELL("address",'Raw Data'!B255),"\$([A-Z]+)\$[0-9]+")))</f>
        <v/>
      </c>
      <c r="C255" s="7" t="str" cm="1">
        <f t="array" aca="1" ref="C255" ca="1">IF(OR('Raw Data'!C255="",LEN(TRIM('Raw Data'!C255))=0,Validate_Empty!C255&lt;&gt;"",Validate_Value!C255&lt;&gt;""),"",IF('Raw Data'!C255 = Condition!C255,"",_xlfn.REGEXEXTRACT(CELL("address",'Raw Data'!C255),"\$([A-Z]+)\$[0-9]+")))</f>
        <v/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2:28" x14ac:dyDescent="0.25">
      <c r="B256" s="7" t="str" cm="1">
        <f t="array" aca="1" ref="B256" ca="1">IF(OR('Raw Data'!B256="",LEN(TRIM('Raw Data'!B256))=0,Validate_Empty!B256&lt;&gt;"",Validate_Value!B256&lt;&gt;""),"",IF('Raw Data'!B256 = Condition!B256,"",_xlfn.REGEXEXTRACT(CELL("address",'Raw Data'!B256),"\$([A-Z]+)\$[0-9]+")))</f>
        <v/>
      </c>
      <c r="C256" s="7" t="str" cm="1">
        <f t="array" aca="1" ref="C256" ca="1">IF(OR('Raw Data'!C256="",LEN(TRIM('Raw Data'!C256))=0,Validate_Empty!C256&lt;&gt;"",Validate_Value!C256&lt;&gt;""),"",IF('Raw Data'!C256 = Condition!C256,"",_xlfn.REGEXEXTRACT(CELL("address",'Raw Data'!C256),"\$([A-Z]+)\$[0-9]+")))</f>
        <v/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2:28" x14ac:dyDescent="0.25">
      <c r="B257" s="7" t="str" cm="1">
        <f t="array" aca="1" ref="B257" ca="1">IF(OR('Raw Data'!B257="",LEN(TRIM('Raw Data'!B257))=0,Validate_Empty!B257&lt;&gt;"",Validate_Value!B257&lt;&gt;""),"",IF('Raw Data'!B257 = Condition!B257,"",_xlfn.REGEXEXTRACT(CELL("address",'Raw Data'!B257),"\$([A-Z]+)\$[0-9]+")))</f>
        <v/>
      </c>
      <c r="C257" s="7" t="str" cm="1">
        <f t="array" aca="1" ref="C257" ca="1">IF(OR('Raw Data'!C257="",LEN(TRIM('Raw Data'!C257))=0,Validate_Empty!C257&lt;&gt;"",Validate_Value!C257&lt;&gt;""),"",IF('Raw Data'!C257 = Condition!C257,"",_xlfn.REGEXEXTRACT(CELL("address",'Raw Data'!C257),"\$([A-Z]+)\$[0-9]+")))</f>
        <v/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2:28" x14ac:dyDescent="0.25">
      <c r="B258" s="7" t="str" cm="1">
        <f t="array" aca="1" ref="B258" ca="1">IF(OR('Raw Data'!B258="",LEN(TRIM('Raw Data'!B258))=0,Validate_Empty!B258&lt;&gt;"",Validate_Value!B258&lt;&gt;""),"",IF('Raw Data'!B258 = Condition!B258,"",_xlfn.REGEXEXTRACT(CELL("address",'Raw Data'!B258),"\$([A-Z]+)\$[0-9]+")))</f>
        <v/>
      </c>
      <c r="C258" s="7" t="str" cm="1">
        <f t="array" aca="1" ref="C258" ca="1">IF(OR('Raw Data'!C258="",LEN(TRIM('Raw Data'!C258))=0,Validate_Empty!C258&lt;&gt;"",Validate_Value!C258&lt;&gt;""),"",IF('Raw Data'!C258 = Condition!C258,"",_xlfn.REGEXEXTRACT(CELL("address",'Raw Data'!C258),"\$([A-Z]+)\$[0-9]+")))</f>
        <v/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2:28" x14ac:dyDescent="0.25">
      <c r="B259" s="7" t="str" cm="1">
        <f t="array" aca="1" ref="B259" ca="1">IF(OR('Raw Data'!B259="",LEN(TRIM('Raw Data'!B259))=0,Validate_Empty!B259&lt;&gt;"",Validate_Value!B259&lt;&gt;""),"",IF('Raw Data'!B259 = Condition!B259,"",_xlfn.REGEXEXTRACT(CELL("address",'Raw Data'!B259),"\$([A-Z]+)\$[0-9]+")))</f>
        <v/>
      </c>
      <c r="C259" s="7" t="str" cm="1">
        <f t="array" aca="1" ref="C259" ca="1">IF(OR('Raw Data'!C259="",LEN(TRIM('Raw Data'!C259))=0,Validate_Empty!C259&lt;&gt;"",Validate_Value!C259&lt;&gt;""),"",IF('Raw Data'!C259 = Condition!C259,"",_xlfn.REGEXEXTRACT(CELL("address",'Raw Data'!C259),"\$([A-Z]+)\$[0-9]+")))</f>
        <v/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2:28" x14ac:dyDescent="0.25">
      <c r="B260" s="7" t="str" cm="1">
        <f t="array" aca="1" ref="B260" ca="1">IF(OR('Raw Data'!B260="",LEN(TRIM('Raw Data'!B260))=0,Validate_Empty!B260&lt;&gt;"",Validate_Value!B260&lt;&gt;""),"",IF('Raw Data'!B260 = Condition!B260,"",_xlfn.REGEXEXTRACT(CELL("address",'Raw Data'!B260),"\$([A-Z]+)\$[0-9]+")))</f>
        <v/>
      </c>
      <c r="C260" s="7" t="str" cm="1">
        <f t="array" aca="1" ref="C260" ca="1">IF(OR('Raw Data'!C260="",LEN(TRIM('Raw Data'!C260))=0,Validate_Empty!C260&lt;&gt;"",Validate_Value!C260&lt;&gt;""),"",IF('Raw Data'!C260 = Condition!C260,"",_xlfn.REGEXEXTRACT(CELL("address",'Raw Data'!C260),"\$([A-Z]+)\$[0-9]+")))</f>
        <v/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2:28" x14ac:dyDescent="0.25">
      <c r="B261" s="7" t="str" cm="1">
        <f t="array" aca="1" ref="B261" ca="1">IF(OR('Raw Data'!B261="",LEN(TRIM('Raw Data'!B261))=0,Validate_Empty!B261&lt;&gt;"",Validate_Value!B261&lt;&gt;""),"",IF('Raw Data'!B261 = Condition!B261,"",_xlfn.REGEXEXTRACT(CELL("address",'Raw Data'!B261),"\$([A-Z]+)\$[0-9]+")))</f>
        <v/>
      </c>
      <c r="C261" s="7" t="str" cm="1">
        <f t="array" aca="1" ref="C261" ca="1">IF(OR('Raw Data'!C261="",LEN(TRIM('Raw Data'!C261))=0,Validate_Empty!C261&lt;&gt;"",Validate_Value!C261&lt;&gt;""),"",IF('Raw Data'!C261 = Condition!C261,"",_xlfn.REGEXEXTRACT(CELL("address",'Raw Data'!C261),"\$([A-Z]+)\$[0-9]+")))</f>
        <v/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2:28" x14ac:dyDescent="0.25">
      <c r="B262" s="7" t="str" cm="1">
        <f t="array" aca="1" ref="B262" ca="1">IF(OR('Raw Data'!B262="",LEN(TRIM('Raw Data'!B262))=0,Validate_Empty!B262&lt;&gt;"",Validate_Value!B262&lt;&gt;""),"",IF('Raw Data'!B262 = Condition!B262,"",_xlfn.REGEXEXTRACT(CELL("address",'Raw Data'!B262),"\$([A-Z]+)\$[0-9]+")))</f>
        <v/>
      </c>
      <c r="C262" s="7" t="str" cm="1">
        <f t="array" aca="1" ref="C262" ca="1">IF(OR('Raw Data'!C262="",LEN(TRIM('Raw Data'!C262))=0,Validate_Empty!C262&lt;&gt;"",Validate_Value!C262&lt;&gt;""),"",IF('Raw Data'!C262 = Condition!C262,"",_xlfn.REGEXEXTRACT(CELL("address",'Raw Data'!C262),"\$([A-Z]+)\$[0-9]+")))</f>
        <v/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2:28" x14ac:dyDescent="0.25">
      <c r="B263" s="7" t="str" cm="1">
        <f t="array" aca="1" ref="B263" ca="1">IF(OR('Raw Data'!B263="",LEN(TRIM('Raw Data'!B263))=0,Validate_Empty!B263&lt;&gt;"",Validate_Value!B263&lt;&gt;""),"",IF('Raw Data'!B263 = Condition!B263,"",_xlfn.REGEXEXTRACT(CELL("address",'Raw Data'!B263),"\$([A-Z]+)\$[0-9]+")))</f>
        <v/>
      </c>
      <c r="C263" s="7" t="str" cm="1">
        <f t="array" aca="1" ref="C263" ca="1">IF(OR('Raw Data'!C263="",LEN(TRIM('Raw Data'!C263))=0,Validate_Empty!C263&lt;&gt;"",Validate_Value!C263&lt;&gt;""),"",IF('Raw Data'!C263 = Condition!C263,"",_xlfn.REGEXEXTRACT(CELL("address",'Raw Data'!C263),"\$([A-Z]+)\$[0-9]+")))</f>
        <v/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2:28" x14ac:dyDescent="0.25">
      <c r="B264" s="7" t="str" cm="1">
        <f t="array" aca="1" ref="B264" ca="1">IF(OR('Raw Data'!B264="",LEN(TRIM('Raw Data'!B264))=0,Validate_Empty!B264&lt;&gt;"",Validate_Value!B264&lt;&gt;""),"",IF('Raw Data'!B264 = Condition!B264,"",_xlfn.REGEXEXTRACT(CELL("address",'Raw Data'!B264),"\$([A-Z]+)\$[0-9]+")))</f>
        <v/>
      </c>
      <c r="C264" s="7" t="str" cm="1">
        <f t="array" aca="1" ref="C264" ca="1">IF(OR('Raw Data'!C264="",LEN(TRIM('Raw Data'!C264))=0,Validate_Empty!C264&lt;&gt;"",Validate_Value!C264&lt;&gt;""),"",IF('Raw Data'!C264 = Condition!C264,"",_xlfn.REGEXEXTRACT(CELL("address",'Raw Data'!C264),"\$([A-Z]+)\$[0-9]+")))</f>
        <v/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2:28" x14ac:dyDescent="0.25">
      <c r="B265" s="7" t="str" cm="1">
        <f t="array" aca="1" ref="B265" ca="1">IF(OR('Raw Data'!B265="",LEN(TRIM('Raw Data'!B265))=0,Validate_Empty!B265&lt;&gt;"",Validate_Value!B265&lt;&gt;""),"",IF('Raw Data'!B265 = Condition!B265,"",_xlfn.REGEXEXTRACT(CELL("address",'Raw Data'!B265),"\$([A-Z]+)\$[0-9]+")))</f>
        <v/>
      </c>
      <c r="C265" s="7" t="str" cm="1">
        <f t="array" aca="1" ref="C265" ca="1">IF(OR('Raw Data'!C265="",LEN(TRIM('Raw Data'!C265))=0,Validate_Empty!C265&lt;&gt;"",Validate_Value!C265&lt;&gt;""),"",IF('Raw Data'!C265 = Condition!C265,"",_xlfn.REGEXEXTRACT(CELL("address",'Raw Data'!C265),"\$([A-Z]+)\$[0-9]+")))</f>
        <v/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2:28" x14ac:dyDescent="0.25">
      <c r="B266" s="7" t="str" cm="1">
        <f t="array" aca="1" ref="B266" ca="1">IF(OR('Raw Data'!B266="",LEN(TRIM('Raw Data'!B266))=0,Validate_Empty!B266&lt;&gt;"",Validate_Value!B266&lt;&gt;""),"",IF('Raw Data'!B266 = Condition!B266,"",_xlfn.REGEXEXTRACT(CELL("address",'Raw Data'!B266),"\$([A-Z]+)\$[0-9]+")))</f>
        <v/>
      </c>
      <c r="C266" s="7" t="str" cm="1">
        <f t="array" aca="1" ref="C266" ca="1">IF(OR('Raw Data'!C266="",LEN(TRIM('Raw Data'!C266))=0,Validate_Empty!C266&lt;&gt;"",Validate_Value!C266&lt;&gt;""),"",IF('Raw Data'!C266 = Condition!C266,"",_xlfn.REGEXEXTRACT(CELL("address",'Raw Data'!C266),"\$([A-Z]+)\$[0-9]+")))</f>
        <v/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2:28" x14ac:dyDescent="0.25">
      <c r="B267" s="7" t="str" cm="1">
        <f t="array" aca="1" ref="B267" ca="1">IF(OR('Raw Data'!B267="",LEN(TRIM('Raw Data'!B267))=0,Validate_Empty!B267&lt;&gt;"",Validate_Value!B267&lt;&gt;""),"",IF('Raw Data'!B267 = Condition!B267,"",_xlfn.REGEXEXTRACT(CELL("address",'Raw Data'!B267),"\$([A-Z]+)\$[0-9]+")))</f>
        <v/>
      </c>
      <c r="C267" s="7" t="str" cm="1">
        <f t="array" aca="1" ref="C267" ca="1">IF(OR('Raw Data'!C267="",LEN(TRIM('Raw Data'!C267))=0,Validate_Empty!C267&lt;&gt;"",Validate_Value!C267&lt;&gt;""),"",IF('Raw Data'!C267 = Condition!C267,"",_xlfn.REGEXEXTRACT(CELL("address",'Raw Data'!C267),"\$([A-Z]+)\$[0-9]+")))</f>
        <v/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2:28" x14ac:dyDescent="0.25">
      <c r="B268" s="7" t="str" cm="1">
        <f t="array" aca="1" ref="B268" ca="1">IF(OR('Raw Data'!B268="",LEN(TRIM('Raw Data'!B268))=0,Validate_Empty!B268&lt;&gt;"",Validate_Value!B268&lt;&gt;""),"",IF('Raw Data'!B268 = Condition!B268,"",_xlfn.REGEXEXTRACT(CELL("address",'Raw Data'!B268),"\$([A-Z]+)\$[0-9]+")))</f>
        <v/>
      </c>
      <c r="C268" s="7" t="str" cm="1">
        <f t="array" aca="1" ref="C268" ca="1">IF(OR('Raw Data'!C268="",LEN(TRIM('Raw Data'!C268))=0,Validate_Empty!C268&lt;&gt;"",Validate_Value!C268&lt;&gt;""),"",IF('Raw Data'!C268 = Condition!C268,"",_xlfn.REGEXEXTRACT(CELL("address",'Raw Data'!C268),"\$([A-Z]+)\$[0-9]+")))</f>
        <v/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2:28" x14ac:dyDescent="0.25">
      <c r="B269" s="7" t="str" cm="1">
        <f t="array" aca="1" ref="B269" ca="1">IF(OR('Raw Data'!B269="",LEN(TRIM('Raw Data'!B269))=0,Validate_Empty!B269&lt;&gt;"",Validate_Value!B269&lt;&gt;""),"",IF('Raw Data'!B269 = Condition!B269,"",_xlfn.REGEXEXTRACT(CELL("address",'Raw Data'!B269),"\$([A-Z]+)\$[0-9]+")))</f>
        <v/>
      </c>
      <c r="C269" s="7" t="str" cm="1">
        <f t="array" aca="1" ref="C269" ca="1">IF(OR('Raw Data'!C269="",LEN(TRIM('Raw Data'!C269))=0,Validate_Empty!C269&lt;&gt;"",Validate_Value!C269&lt;&gt;""),"",IF('Raw Data'!C269 = Condition!C269,"",_xlfn.REGEXEXTRACT(CELL("address",'Raw Data'!C269),"\$([A-Z]+)\$[0-9]+")))</f>
        <v/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2:28" x14ac:dyDescent="0.25">
      <c r="B270" s="7" t="str" cm="1">
        <f t="array" aca="1" ref="B270" ca="1">IF(OR('Raw Data'!B270="",LEN(TRIM('Raw Data'!B270))=0,Validate_Empty!B270&lt;&gt;"",Validate_Value!B270&lt;&gt;""),"",IF('Raw Data'!B270 = Condition!B270,"",_xlfn.REGEXEXTRACT(CELL("address",'Raw Data'!B270),"\$([A-Z]+)\$[0-9]+")))</f>
        <v/>
      </c>
      <c r="C270" s="7" t="str" cm="1">
        <f t="array" aca="1" ref="C270" ca="1">IF(OR('Raw Data'!C270="",LEN(TRIM('Raw Data'!C270))=0,Validate_Empty!C270&lt;&gt;"",Validate_Value!C270&lt;&gt;""),"",IF('Raw Data'!C270 = Condition!C270,"",_xlfn.REGEXEXTRACT(CELL("address",'Raw Data'!C270),"\$([A-Z]+)\$[0-9]+")))</f>
        <v/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2:28" x14ac:dyDescent="0.25">
      <c r="B271" s="7" t="str" cm="1">
        <f t="array" aca="1" ref="B271" ca="1">IF(OR('Raw Data'!B271="",LEN(TRIM('Raw Data'!B271))=0,Validate_Empty!B271&lt;&gt;"",Validate_Value!B271&lt;&gt;""),"",IF('Raw Data'!B271 = Condition!B271,"",_xlfn.REGEXEXTRACT(CELL("address",'Raw Data'!B271),"\$([A-Z]+)\$[0-9]+")))</f>
        <v/>
      </c>
      <c r="C271" s="7" t="str" cm="1">
        <f t="array" aca="1" ref="C271" ca="1">IF(OR('Raw Data'!C271="",LEN(TRIM('Raw Data'!C271))=0,Validate_Empty!C271&lt;&gt;"",Validate_Value!C271&lt;&gt;""),"",IF('Raw Data'!C271 = Condition!C271,"",_xlfn.REGEXEXTRACT(CELL("address",'Raw Data'!C271),"\$([A-Z]+)\$[0-9]+")))</f>
        <v/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2:28" x14ac:dyDescent="0.25">
      <c r="B272" s="7" t="str" cm="1">
        <f t="array" aca="1" ref="B272" ca="1">IF(OR('Raw Data'!B272="",LEN(TRIM('Raw Data'!B272))=0,Validate_Empty!B272&lt;&gt;"",Validate_Value!B272&lt;&gt;""),"",IF('Raw Data'!B272 = Condition!B272,"",_xlfn.REGEXEXTRACT(CELL("address",'Raw Data'!B272),"\$([A-Z]+)\$[0-9]+")))</f>
        <v/>
      </c>
      <c r="C272" s="7" t="str" cm="1">
        <f t="array" aca="1" ref="C272" ca="1">IF(OR('Raw Data'!C272="",LEN(TRIM('Raw Data'!C272))=0,Validate_Empty!C272&lt;&gt;"",Validate_Value!C272&lt;&gt;""),"",IF('Raw Data'!C272 = Condition!C272,"",_xlfn.REGEXEXTRACT(CELL("address",'Raw Data'!C272),"\$([A-Z]+)\$[0-9]+")))</f>
        <v/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2:28" x14ac:dyDescent="0.25">
      <c r="B273" s="7" t="str" cm="1">
        <f t="array" aca="1" ref="B273" ca="1">IF(OR('Raw Data'!B273="",LEN(TRIM('Raw Data'!B273))=0,Validate_Empty!B273&lt;&gt;"",Validate_Value!B273&lt;&gt;""),"",IF('Raw Data'!B273 = Condition!B273,"",_xlfn.REGEXEXTRACT(CELL("address",'Raw Data'!B273),"\$([A-Z]+)\$[0-9]+")))</f>
        <v/>
      </c>
      <c r="C273" s="7" t="str" cm="1">
        <f t="array" aca="1" ref="C273" ca="1">IF(OR('Raw Data'!C273="",LEN(TRIM('Raw Data'!C273))=0,Validate_Empty!C273&lt;&gt;"",Validate_Value!C273&lt;&gt;""),"",IF('Raw Data'!C273 = Condition!C273,"",_xlfn.REGEXEXTRACT(CELL("address",'Raw Data'!C273),"\$([A-Z]+)\$[0-9]+")))</f>
        <v/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2:28" x14ac:dyDescent="0.25">
      <c r="B274" s="7" t="str" cm="1">
        <f t="array" aca="1" ref="B274" ca="1">IF(OR('Raw Data'!B274="",LEN(TRIM('Raw Data'!B274))=0,Validate_Empty!B274&lt;&gt;"",Validate_Value!B274&lt;&gt;""),"",IF('Raw Data'!B274 = Condition!B274,"",_xlfn.REGEXEXTRACT(CELL("address",'Raw Data'!B274),"\$([A-Z]+)\$[0-9]+")))</f>
        <v/>
      </c>
      <c r="C274" s="7" t="str" cm="1">
        <f t="array" aca="1" ref="C274" ca="1">IF(OR('Raw Data'!C274="",LEN(TRIM('Raw Data'!C274))=0,Validate_Empty!C274&lt;&gt;"",Validate_Value!C274&lt;&gt;""),"",IF('Raw Data'!C274 = Condition!C274,"",_xlfn.REGEXEXTRACT(CELL("address",'Raw Data'!C274),"\$([A-Z]+)\$[0-9]+")))</f>
        <v/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2:28" x14ac:dyDescent="0.25">
      <c r="B275" s="7" t="str" cm="1">
        <f t="array" aca="1" ref="B275" ca="1">IF(OR('Raw Data'!B275="",LEN(TRIM('Raw Data'!B275))=0,Validate_Empty!B275&lt;&gt;"",Validate_Value!B275&lt;&gt;""),"",IF('Raw Data'!B275 = Condition!B275,"",_xlfn.REGEXEXTRACT(CELL("address",'Raw Data'!B275),"\$([A-Z]+)\$[0-9]+")))</f>
        <v/>
      </c>
      <c r="C275" s="7" t="str" cm="1">
        <f t="array" aca="1" ref="C275" ca="1">IF(OR('Raw Data'!C275="",LEN(TRIM('Raw Data'!C275))=0,Validate_Empty!C275&lt;&gt;"",Validate_Value!C275&lt;&gt;""),"",IF('Raw Data'!C275 = Condition!C275,"",_xlfn.REGEXEXTRACT(CELL("address",'Raw Data'!C275),"\$([A-Z]+)\$[0-9]+")))</f>
        <v/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2:28" x14ac:dyDescent="0.25">
      <c r="B276" s="7" t="str" cm="1">
        <f t="array" aca="1" ref="B276" ca="1">IF(OR('Raw Data'!B276="",LEN(TRIM('Raw Data'!B276))=0,Validate_Empty!B276&lt;&gt;"",Validate_Value!B276&lt;&gt;""),"",IF('Raw Data'!B276 = Condition!B276,"",_xlfn.REGEXEXTRACT(CELL("address",'Raw Data'!B276),"\$([A-Z]+)\$[0-9]+")))</f>
        <v/>
      </c>
      <c r="C276" s="7" t="str" cm="1">
        <f t="array" aca="1" ref="C276" ca="1">IF(OR('Raw Data'!C276="",LEN(TRIM('Raw Data'!C276))=0,Validate_Empty!C276&lt;&gt;"",Validate_Value!C276&lt;&gt;""),"",IF('Raw Data'!C276 = Condition!C276,"",_xlfn.REGEXEXTRACT(CELL("address",'Raw Data'!C276),"\$([A-Z]+)\$[0-9]+")))</f>
        <v/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2:28" x14ac:dyDescent="0.25">
      <c r="B277" s="7" t="str" cm="1">
        <f t="array" aca="1" ref="B277" ca="1">IF(OR('Raw Data'!B277="",LEN(TRIM('Raw Data'!B277))=0,Validate_Empty!B277&lt;&gt;"",Validate_Value!B277&lt;&gt;""),"",IF('Raw Data'!B277 = Condition!B277,"",_xlfn.REGEXEXTRACT(CELL("address",'Raw Data'!B277),"\$([A-Z]+)\$[0-9]+")))</f>
        <v/>
      </c>
      <c r="C277" s="7" t="str" cm="1">
        <f t="array" aca="1" ref="C277" ca="1">IF(OR('Raw Data'!C277="",LEN(TRIM('Raw Data'!C277))=0,Validate_Empty!C277&lt;&gt;"",Validate_Value!C277&lt;&gt;""),"",IF('Raw Data'!C277 = Condition!C277,"",_xlfn.REGEXEXTRACT(CELL("address",'Raw Data'!C277),"\$([A-Z]+)\$[0-9]+")))</f>
        <v/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2:28" x14ac:dyDescent="0.25">
      <c r="B278" s="7" t="str" cm="1">
        <f t="array" aca="1" ref="B278" ca="1">IF(OR('Raw Data'!B278="",LEN(TRIM('Raw Data'!B278))=0,Validate_Empty!B278&lt;&gt;"",Validate_Value!B278&lt;&gt;""),"",IF('Raw Data'!B278 = Condition!B278,"",_xlfn.REGEXEXTRACT(CELL("address",'Raw Data'!B278),"\$([A-Z]+)\$[0-9]+")))</f>
        <v/>
      </c>
      <c r="C278" s="7" t="str" cm="1">
        <f t="array" aca="1" ref="C278" ca="1">IF(OR('Raw Data'!C278="",LEN(TRIM('Raw Data'!C278))=0,Validate_Empty!C278&lt;&gt;"",Validate_Value!C278&lt;&gt;""),"",IF('Raw Data'!C278 = Condition!C278,"",_xlfn.REGEXEXTRACT(CELL("address",'Raw Data'!C278),"\$([A-Z]+)\$[0-9]+")))</f>
        <v/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2:28" x14ac:dyDescent="0.25">
      <c r="B279" s="7" t="str" cm="1">
        <f t="array" aca="1" ref="B279" ca="1">IF(OR('Raw Data'!B279="",LEN(TRIM('Raw Data'!B279))=0,Validate_Empty!B279&lt;&gt;"",Validate_Value!B279&lt;&gt;""),"",IF('Raw Data'!B279 = Condition!B279,"",_xlfn.REGEXEXTRACT(CELL("address",'Raw Data'!B279),"\$([A-Z]+)\$[0-9]+")))</f>
        <v/>
      </c>
      <c r="C279" s="7" t="str" cm="1">
        <f t="array" aca="1" ref="C279" ca="1">IF(OR('Raw Data'!C279="",LEN(TRIM('Raw Data'!C279))=0,Validate_Empty!C279&lt;&gt;"",Validate_Value!C279&lt;&gt;""),"",IF('Raw Data'!C279 = Condition!C279,"",_xlfn.REGEXEXTRACT(CELL("address",'Raw Data'!C279),"\$([A-Z]+)\$[0-9]+")))</f>
        <v/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2:28" x14ac:dyDescent="0.25">
      <c r="B280" s="7" t="str" cm="1">
        <f t="array" aca="1" ref="B280" ca="1">IF(OR('Raw Data'!B280="",LEN(TRIM('Raw Data'!B280))=0,Validate_Empty!B280&lt;&gt;"",Validate_Value!B280&lt;&gt;""),"",IF('Raw Data'!B280 = Condition!B280,"",_xlfn.REGEXEXTRACT(CELL("address",'Raw Data'!B280),"\$([A-Z]+)\$[0-9]+")))</f>
        <v/>
      </c>
      <c r="C280" s="7" t="str" cm="1">
        <f t="array" aca="1" ref="C280" ca="1">IF(OR('Raw Data'!C280="",LEN(TRIM('Raw Data'!C280))=0,Validate_Empty!C280&lt;&gt;"",Validate_Value!C280&lt;&gt;""),"",IF('Raw Data'!C280 = Condition!C280,"",_xlfn.REGEXEXTRACT(CELL("address",'Raw Data'!C280),"\$([A-Z]+)\$[0-9]+")))</f>
        <v/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2:28" x14ac:dyDescent="0.25">
      <c r="B281" s="7" t="str" cm="1">
        <f t="array" aca="1" ref="B281" ca="1">IF(OR('Raw Data'!B281="",LEN(TRIM('Raw Data'!B281))=0,Validate_Empty!B281&lt;&gt;"",Validate_Value!B281&lt;&gt;""),"",IF('Raw Data'!B281 = Condition!B281,"",_xlfn.REGEXEXTRACT(CELL("address",'Raw Data'!B281),"\$([A-Z]+)\$[0-9]+")))</f>
        <v/>
      </c>
      <c r="C281" s="7" t="str" cm="1">
        <f t="array" aca="1" ref="C281" ca="1">IF(OR('Raw Data'!C281="",LEN(TRIM('Raw Data'!C281))=0,Validate_Empty!C281&lt;&gt;"",Validate_Value!C281&lt;&gt;""),"",IF('Raw Data'!C281 = Condition!C281,"",_xlfn.REGEXEXTRACT(CELL("address",'Raw Data'!C281),"\$([A-Z]+)\$[0-9]+")))</f>
        <v/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2:28" x14ac:dyDescent="0.25">
      <c r="B282" s="7" t="str" cm="1">
        <f t="array" aca="1" ref="B282" ca="1">IF(OR('Raw Data'!B282="",LEN(TRIM('Raw Data'!B282))=0,Validate_Empty!B282&lt;&gt;"",Validate_Value!B282&lt;&gt;""),"",IF('Raw Data'!B282 = Condition!B282,"",_xlfn.REGEXEXTRACT(CELL("address",'Raw Data'!B282),"\$([A-Z]+)\$[0-9]+")))</f>
        <v/>
      </c>
      <c r="C282" s="7" t="str" cm="1">
        <f t="array" aca="1" ref="C282" ca="1">IF(OR('Raw Data'!C282="",LEN(TRIM('Raw Data'!C282))=0,Validate_Empty!C282&lt;&gt;"",Validate_Value!C282&lt;&gt;""),"",IF('Raw Data'!C282 = Condition!C282,"",_xlfn.REGEXEXTRACT(CELL("address",'Raw Data'!C282),"\$([A-Z]+)\$[0-9]+")))</f>
        <v/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2:28" x14ac:dyDescent="0.25">
      <c r="B283" s="7" t="str" cm="1">
        <f t="array" aca="1" ref="B283" ca="1">IF(OR('Raw Data'!B283="",LEN(TRIM('Raw Data'!B283))=0,Validate_Empty!B283&lt;&gt;"",Validate_Value!B283&lt;&gt;""),"",IF('Raw Data'!B283 = Condition!B283,"",_xlfn.REGEXEXTRACT(CELL("address",'Raw Data'!B283),"\$([A-Z]+)\$[0-9]+")))</f>
        <v/>
      </c>
      <c r="C283" s="7" t="str" cm="1">
        <f t="array" aca="1" ref="C283" ca="1">IF(OR('Raw Data'!C283="",LEN(TRIM('Raw Data'!C283))=0,Validate_Empty!C283&lt;&gt;"",Validate_Value!C283&lt;&gt;""),"",IF('Raw Data'!C283 = Condition!C283,"",_xlfn.REGEXEXTRACT(CELL("address",'Raw Data'!C283),"\$([A-Z]+)\$[0-9]+")))</f>
        <v/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2:28" x14ac:dyDescent="0.25">
      <c r="B284" s="7" t="str" cm="1">
        <f t="array" aca="1" ref="B284" ca="1">IF(OR('Raw Data'!B284="",LEN(TRIM('Raw Data'!B284))=0,Validate_Empty!B284&lt;&gt;"",Validate_Value!B284&lt;&gt;""),"",IF('Raw Data'!B284 = Condition!B284,"",_xlfn.REGEXEXTRACT(CELL("address",'Raw Data'!B284),"\$([A-Z]+)\$[0-9]+")))</f>
        <v/>
      </c>
      <c r="C284" s="7" t="str" cm="1">
        <f t="array" aca="1" ref="C284" ca="1">IF(OR('Raw Data'!C284="",LEN(TRIM('Raw Data'!C284))=0,Validate_Empty!C284&lt;&gt;"",Validate_Value!C284&lt;&gt;""),"",IF('Raw Data'!C284 = Condition!C284,"",_xlfn.REGEXEXTRACT(CELL("address",'Raw Data'!C284),"\$([A-Z]+)\$[0-9]+")))</f>
        <v/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2:28" x14ac:dyDescent="0.25">
      <c r="B285" s="7" t="str" cm="1">
        <f t="array" aca="1" ref="B285" ca="1">IF(OR('Raw Data'!B285="",LEN(TRIM('Raw Data'!B285))=0,Validate_Empty!B285&lt;&gt;"",Validate_Value!B285&lt;&gt;""),"",IF('Raw Data'!B285 = Condition!B285,"",_xlfn.REGEXEXTRACT(CELL("address",'Raw Data'!B285),"\$([A-Z]+)\$[0-9]+")))</f>
        <v/>
      </c>
      <c r="C285" s="7" t="str" cm="1">
        <f t="array" aca="1" ref="C285" ca="1">IF(OR('Raw Data'!C285="",LEN(TRIM('Raw Data'!C285))=0,Validate_Empty!C285&lt;&gt;"",Validate_Value!C285&lt;&gt;""),"",IF('Raw Data'!C285 = Condition!C285,"",_xlfn.REGEXEXTRACT(CELL("address",'Raw Data'!C285),"\$([A-Z]+)\$[0-9]+")))</f>
        <v/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2:28" x14ac:dyDescent="0.25">
      <c r="B286" s="7" t="str" cm="1">
        <f t="array" aca="1" ref="B286" ca="1">IF(OR('Raw Data'!B286="",LEN(TRIM('Raw Data'!B286))=0,Validate_Empty!B286&lt;&gt;"",Validate_Value!B286&lt;&gt;""),"",IF('Raw Data'!B286 = Condition!B286,"",_xlfn.REGEXEXTRACT(CELL("address",'Raw Data'!B286),"\$([A-Z]+)\$[0-9]+")))</f>
        <v/>
      </c>
      <c r="C286" s="7" t="str" cm="1">
        <f t="array" aca="1" ref="C286" ca="1">IF(OR('Raw Data'!C286="",LEN(TRIM('Raw Data'!C286))=0,Validate_Empty!C286&lt;&gt;"",Validate_Value!C286&lt;&gt;""),"",IF('Raw Data'!C286 = Condition!C286,"",_xlfn.REGEXEXTRACT(CELL("address",'Raw Data'!C286),"\$([A-Z]+)\$[0-9]+")))</f>
        <v/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2:28" x14ac:dyDescent="0.25">
      <c r="B287" s="7" t="str" cm="1">
        <f t="array" aca="1" ref="B287" ca="1">IF(OR('Raw Data'!B287="",LEN(TRIM('Raw Data'!B287))=0,Validate_Empty!B287&lt;&gt;"",Validate_Value!B287&lt;&gt;""),"",IF('Raw Data'!B287 = Condition!B287,"",_xlfn.REGEXEXTRACT(CELL("address",'Raw Data'!B287),"\$([A-Z]+)\$[0-9]+")))</f>
        <v/>
      </c>
      <c r="C287" s="7" t="str" cm="1">
        <f t="array" aca="1" ref="C287" ca="1">IF(OR('Raw Data'!C287="",LEN(TRIM('Raw Data'!C287))=0,Validate_Empty!C287&lt;&gt;"",Validate_Value!C287&lt;&gt;""),"",IF('Raw Data'!C287 = Condition!C287,"",_xlfn.REGEXEXTRACT(CELL("address",'Raw Data'!C287),"\$([A-Z]+)\$[0-9]+")))</f>
        <v/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2:28" x14ac:dyDescent="0.25">
      <c r="B288" s="7" t="str" cm="1">
        <f t="array" aca="1" ref="B288" ca="1">IF(OR('Raw Data'!B288="",LEN(TRIM('Raw Data'!B288))=0,Validate_Empty!B288&lt;&gt;"",Validate_Value!B288&lt;&gt;""),"",IF('Raw Data'!B288 = Condition!B288,"",_xlfn.REGEXEXTRACT(CELL("address",'Raw Data'!B288),"\$([A-Z]+)\$[0-9]+")))</f>
        <v/>
      </c>
      <c r="C288" s="7" t="str" cm="1">
        <f t="array" aca="1" ref="C288" ca="1">IF(OR('Raw Data'!C288="",LEN(TRIM('Raw Data'!C288))=0,Validate_Empty!C288&lt;&gt;"",Validate_Value!C288&lt;&gt;""),"",IF('Raw Data'!C288 = Condition!C288,"",_xlfn.REGEXEXTRACT(CELL("address",'Raw Data'!C288),"\$([A-Z]+)\$[0-9]+")))</f>
        <v/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2:28" x14ac:dyDescent="0.25">
      <c r="B289" s="7" t="str" cm="1">
        <f t="array" aca="1" ref="B289" ca="1">IF(OR('Raw Data'!B289="",LEN(TRIM('Raw Data'!B289))=0,Validate_Empty!B289&lt;&gt;"",Validate_Value!B289&lt;&gt;""),"",IF('Raw Data'!B289 = Condition!B289,"",_xlfn.REGEXEXTRACT(CELL("address",'Raw Data'!B289),"\$([A-Z]+)\$[0-9]+")))</f>
        <v/>
      </c>
      <c r="C289" s="7" t="str" cm="1">
        <f t="array" aca="1" ref="C289" ca="1">IF(OR('Raw Data'!C289="",LEN(TRIM('Raw Data'!C289))=0,Validate_Empty!C289&lt;&gt;"",Validate_Value!C289&lt;&gt;""),"",IF('Raw Data'!C289 = Condition!C289,"",_xlfn.REGEXEXTRACT(CELL("address",'Raw Data'!C289),"\$([A-Z]+)\$[0-9]+")))</f>
        <v/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2:28" x14ac:dyDescent="0.25">
      <c r="B290" s="7" t="str" cm="1">
        <f t="array" aca="1" ref="B290" ca="1">IF(OR('Raw Data'!B290="",LEN(TRIM('Raw Data'!B290))=0,Validate_Empty!B290&lt;&gt;"",Validate_Value!B290&lt;&gt;""),"",IF('Raw Data'!B290 = Condition!B290,"",_xlfn.REGEXEXTRACT(CELL("address",'Raw Data'!B290),"\$([A-Z]+)\$[0-9]+")))</f>
        <v/>
      </c>
      <c r="C290" s="7" t="str" cm="1">
        <f t="array" aca="1" ref="C290" ca="1">IF(OR('Raw Data'!C290="",LEN(TRIM('Raw Data'!C290))=0,Validate_Empty!C290&lt;&gt;"",Validate_Value!C290&lt;&gt;""),"",IF('Raw Data'!C290 = Condition!C290,"",_xlfn.REGEXEXTRACT(CELL("address",'Raw Data'!C290),"\$([A-Z]+)\$[0-9]+")))</f>
        <v/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2:28" x14ac:dyDescent="0.25">
      <c r="B291" s="7" t="str" cm="1">
        <f t="array" aca="1" ref="B291" ca="1">IF(OR('Raw Data'!B291="",LEN(TRIM('Raw Data'!B291))=0,Validate_Empty!B291&lt;&gt;"",Validate_Value!B291&lt;&gt;""),"",IF('Raw Data'!B291 = Condition!B291,"",_xlfn.REGEXEXTRACT(CELL("address",'Raw Data'!B291),"\$([A-Z]+)\$[0-9]+")))</f>
        <v/>
      </c>
      <c r="C291" s="7" t="str" cm="1">
        <f t="array" aca="1" ref="C291" ca="1">IF(OR('Raw Data'!C291="",LEN(TRIM('Raw Data'!C291))=0,Validate_Empty!C291&lt;&gt;"",Validate_Value!C291&lt;&gt;""),"",IF('Raw Data'!C291 = Condition!C291,"",_xlfn.REGEXEXTRACT(CELL("address",'Raw Data'!C291),"\$([A-Z]+)\$[0-9]+")))</f>
        <v/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2:28" x14ac:dyDescent="0.25">
      <c r="B292" s="7" t="str" cm="1">
        <f t="array" aca="1" ref="B292" ca="1">IF(OR('Raw Data'!B292="",LEN(TRIM('Raw Data'!B292))=0,Validate_Empty!B292&lt;&gt;"",Validate_Value!B292&lt;&gt;""),"",IF('Raw Data'!B292 = Condition!B292,"",_xlfn.REGEXEXTRACT(CELL("address",'Raw Data'!B292),"\$([A-Z]+)\$[0-9]+")))</f>
        <v/>
      </c>
      <c r="C292" s="7" t="str" cm="1">
        <f t="array" aca="1" ref="C292" ca="1">IF(OR('Raw Data'!C292="",LEN(TRIM('Raw Data'!C292))=0,Validate_Empty!C292&lt;&gt;"",Validate_Value!C292&lt;&gt;""),"",IF('Raw Data'!C292 = Condition!C292,"",_xlfn.REGEXEXTRACT(CELL("address",'Raw Data'!C292),"\$([A-Z]+)\$[0-9]+")))</f>
        <v/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2:28" x14ac:dyDescent="0.25">
      <c r="B293" s="7" t="str" cm="1">
        <f t="array" aca="1" ref="B293" ca="1">IF(OR('Raw Data'!B293="",LEN(TRIM('Raw Data'!B293))=0,Validate_Empty!B293&lt;&gt;"",Validate_Value!B293&lt;&gt;""),"",IF('Raw Data'!B293 = Condition!B293,"",_xlfn.REGEXEXTRACT(CELL("address",'Raw Data'!B293),"\$([A-Z]+)\$[0-9]+")))</f>
        <v/>
      </c>
      <c r="C293" s="7" t="str" cm="1">
        <f t="array" aca="1" ref="C293" ca="1">IF(OR('Raw Data'!C293="",LEN(TRIM('Raw Data'!C293))=0,Validate_Empty!C293&lt;&gt;"",Validate_Value!C293&lt;&gt;""),"",IF('Raw Data'!C293 = Condition!C293,"",_xlfn.REGEXEXTRACT(CELL("address",'Raw Data'!C293),"\$([A-Z]+)\$[0-9]+")))</f>
        <v/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2:28" x14ac:dyDescent="0.25">
      <c r="B294" s="7" t="str" cm="1">
        <f t="array" aca="1" ref="B294" ca="1">IF(OR('Raw Data'!B294="",LEN(TRIM('Raw Data'!B294))=0,Validate_Empty!B294&lt;&gt;"",Validate_Value!B294&lt;&gt;""),"",IF('Raw Data'!B294 = Condition!B294,"",_xlfn.REGEXEXTRACT(CELL("address",'Raw Data'!B294),"\$([A-Z]+)\$[0-9]+")))</f>
        <v/>
      </c>
      <c r="C294" s="7" t="str" cm="1">
        <f t="array" aca="1" ref="C294" ca="1">IF(OR('Raw Data'!C294="",LEN(TRIM('Raw Data'!C294))=0,Validate_Empty!C294&lt;&gt;"",Validate_Value!C294&lt;&gt;""),"",IF('Raw Data'!C294 = Condition!C294,"",_xlfn.REGEXEXTRACT(CELL("address",'Raw Data'!C294),"\$([A-Z]+)\$[0-9]+")))</f>
        <v/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2:28" x14ac:dyDescent="0.25">
      <c r="B295" s="7" t="str" cm="1">
        <f t="array" aca="1" ref="B295" ca="1">IF(OR('Raw Data'!B295="",LEN(TRIM('Raw Data'!B295))=0,Validate_Empty!B295&lt;&gt;"",Validate_Value!B295&lt;&gt;""),"",IF('Raw Data'!B295 = Condition!B295,"",_xlfn.REGEXEXTRACT(CELL("address",'Raw Data'!B295),"\$([A-Z]+)\$[0-9]+")))</f>
        <v/>
      </c>
      <c r="C295" s="7" t="str" cm="1">
        <f t="array" aca="1" ref="C295" ca="1">IF(OR('Raw Data'!C295="",LEN(TRIM('Raw Data'!C295))=0,Validate_Empty!C295&lt;&gt;"",Validate_Value!C295&lt;&gt;""),"",IF('Raw Data'!C295 = Condition!C295,"",_xlfn.REGEXEXTRACT(CELL("address",'Raw Data'!C295),"\$([A-Z]+)\$[0-9]+")))</f>
        <v/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2:28" x14ac:dyDescent="0.25">
      <c r="B296" s="7" t="str" cm="1">
        <f t="array" aca="1" ref="B296" ca="1">IF(OR('Raw Data'!B296="",LEN(TRIM('Raw Data'!B296))=0,Validate_Empty!B296&lt;&gt;"",Validate_Value!B296&lt;&gt;""),"",IF('Raw Data'!B296 = Condition!B296,"",_xlfn.REGEXEXTRACT(CELL("address",'Raw Data'!B296),"\$([A-Z]+)\$[0-9]+")))</f>
        <v/>
      </c>
      <c r="C296" s="7" t="str" cm="1">
        <f t="array" aca="1" ref="C296" ca="1">IF(OR('Raw Data'!C296="",LEN(TRIM('Raw Data'!C296))=0,Validate_Empty!C296&lt;&gt;"",Validate_Value!C296&lt;&gt;""),"",IF('Raw Data'!C296 = Condition!C296,"",_xlfn.REGEXEXTRACT(CELL("address",'Raw Data'!C296),"\$([A-Z]+)\$[0-9]+")))</f>
        <v/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2:28" x14ac:dyDescent="0.25">
      <c r="B297" s="7" t="str" cm="1">
        <f t="array" aca="1" ref="B297" ca="1">IF(OR('Raw Data'!B297="",LEN(TRIM('Raw Data'!B297))=0,Validate_Empty!B297&lt;&gt;"",Validate_Value!B297&lt;&gt;""),"",IF('Raw Data'!B297 = Condition!B297,"",_xlfn.REGEXEXTRACT(CELL("address",'Raw Data'!B297),"\$([A-Z]+)\$[0-9]+")))</f>
        <v/>
      </c>
      <c r="C297" s="7" t="str" cm="1">
        <f t="array" aca="1" ref="C297" ca="1">IF(OR('Raw Data'!C297="",LEN(TRIM('Raw Data'!C297))=0,Validate_Empty!C297&lt;&gt;"",Validate_Value!C297&lt;&gt;""),"",IF('Raw Data'!C297 = Condition!C297,"",_xlfn.REGEXEXTRACT(CELL("address",'Raw Data'!C297),"\$([A-Z]+)\$[0-9]+")))</f>
        <v/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2:28" x14ac:dyDescent="0.25">
      <c r="B298" s="7" t="str" cm="1">
        <f t="array" aca="1" ref="B298" ca="1">IF(OR('Raw Data'!B298="",LEN(TRIM('Raw Data'!B298))=0,Validate_Empty!B298&lt;&gt;"",Validate_Value!B298&lt;&gt;""),"",IF('Raw Data'!B298 = Condition!B298,"",_xlfn.REGEXEXTRACT(CELL("address",'Raw Data'!B298),"\$([A-Z]+)\$[0-9]+")))</f>
        <v/>
      </c>
      <c r="C298" s="7" t="str" cm="1">
        <f t="array" aca="1" ref="C298" ca="1">IF(OR('Raw Data'!C298="",LEN(TRIM('Raw Data'!C298))=0,Validate_Empty!C298&lt;&gt;"",Validate_Value!C298&lt;&gt;""),"",IF('Raw Data'!C298 = Condition!C298,"",_xlfn.REGEXEXTRACT(CELL("address",'Raw Data'!C298),"\$([A-Z]+)\$[0-9]+")))</f>
        <v/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2:28" x14ac:dyDescent="0.25">
      <c r="B299" s="7" t="str" cm="1">
        <f t="array" aca="1" ref="B299" ca="1">IF(OR('Raw Data'!B299="",LEN(TRIM('Raw Data'!B299))=0,Validate_Empty!B299&lt;&gt;"",Validate_Value!B299&lt;&gt;""),"",IF('Raw Data'!B299 = Condition!B299,"",_xlfn.REGEXEXTRACT(CELL("address",'Raw Data'!B299),"\$([A-Z]+)\$[0-9]+")))</f>
        <v/>
      </c>
      <c r="C299" s="7" t="str" cm="1">
        <f t="array" aca="1" ref="C299" ca="1">IF(OR('Raw Data'!C299="",LEN(TRIM('Raw Data'!C299))=0,Validate_Empty!C299&lt;&gt;"",Validate_Value!C299&lt;&gt;""),"",IF('Raw Data'!C299 = Condition!C299,"",_xlfn.REGEXEXTRACT(CELL("address",'Raw Data'!C299),"\$([A-Z]+)\$[0-9]+")))</f>
        <v/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2:28" x14ac:dyDescent="0.25">
      <c r="B300" s="7" t="str" cm="1">
        <f t="array" aca="1" ref="B300" ca="1">IF(OR('Raw Data'!B300="",LEN(TRIM('Raw Data'!B300))=0,Validate_Empty!B300&lt;&gt;"",Validate_Value!B300&lt;&gt;""),"",IF('Raw Data'!B300 = Condition!B300,"",_xlfn.REGEXEXTRACT(CELL("address",'Raw Data'!B300),"\$([A-Z]+)\$[0-9]+")))</f>
        <v/>
      </c>
      <c r="C300" s="7" t="str" cm="1">
        <f t="array" aca="1" ref="C300" ca="1">IF(OR('Raw Data'!C300="",LEN(TRIM('Raw Data'!C300))=0,Validate_Empty!C300&lt;&gt;"",Validate_Value!C300&lt;&gt;""),"",IF('Raw Data'!C300 = Condition!C300,"",_xlfn.REGEXEXTRACT(CELL("address",'Raw Data'!C300),"\$([A-Z]+)\$[0-9]+")))</f>
        <v/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D279-0A26-4C33-99D9-0A423F52596A}">
  <dimension ref="B8:AB300"/>
  <sheetViews>
    <sheetView tabSelected="1" zoomScale="55" zoomScaleNormal="55" workbookViewId="0">
      <selection activeCell="F19" sqref="F19"/>
    </sheetView>
  </sheetViews>
  <sheetFormatPr defaultRowHeight="15" x14ac:dyDescent="0.25"/>
  <cols>
    <col min="2" max="28" width="17.42578125" style="8" customWidth="1"/>
  </cols>
  <sheetData>
    <row r="8" spans="2:28" x14ac:dyDescent="0.25">
      <c r="B8" s="7" t="s">
        <v>65</v>
      </c>
      <c r="C8" s="7" t="s">
        <v>65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2:28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</row>
    <row r="10" spans="2:28" x14ac:dyDescent="0.25">
      <c r="B10" s="7" t="s">
        <v>27</v>
      </c>
      <c r="C10" s="7" t="s">
        <v>28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2:28" x14ac:dyDescent="0.25">
      <c r="B11" s="7" t="s">
        <v>27</v>
      </c>
      <c r="C11" s="7" t="s">
        <v>29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2:28" x14ac:dyDescent="0.25">
      <c r="B12" s="7" t="s">
        <v>27</v>
      </c>
      <c r="C12" s="7" t="s">
        <v>30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2:28" x14ac:dyDescent="0.25">
      <c r="B13" s="7" t="s">
        <v>27</v>
      </c>
      <c r="C13" s="7" t="s">
        <v>31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2:28" x14ac:dyDescent="0.25">
      <c r="B14" s="7" t="s">
        <v>27</v>
      </c>
      <c r="C14" s="7" t="s">
        <v>32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2:28" x14ac:dyDescent="0.25">
      <c r="B15" s="7" t="s">
        <v>27</v>
      </c>
      <c r="C15" s="7" t="s">
        <v>33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2:28" x14ac:dyDescent="0.25">
      <c r="B16" s="7" t="s">
        <v>27</v>
      </c>
      <c r="C16" s="7" t="s">
        <v>34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2:28" x14ac:dyDescent="0.25">
      <c r="B17" s="7" t="s">
        <v>27</v>
      </c>
      <c r="C17" s="7" t="s">
        <v>35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2:28" x14ac:dyDescent="0.25">
      <c r="B18" s="7" t="s">
        <v>27</v>
      </c>
      <c r="C18" s="7" t="s">
        <v>36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2:28" x14ac:dyDescent="0.25">
      <c r="B19" s="7" t="s">
        <v>27</v>
      </c>
      <c r="C19" s="7" t="s">
        <v>37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2:28" x14ac:dyDescent="0.25">
      <c r="B20" s="7" t="s">
        <v>27</v>
      </c>
      <c r="C20" s="7" t="s">
        <v>38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2:28" x14ac:dyDescent="0.25">
      <c r="B21" s="7" t="s">
        <v>27</v>
      </c>
      <c r="C21" s="7" t="s">
        <v>39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2:28" x14ac:dyDescent="0.25">
      <c r="B22" s="7" t="s">
        <v>27</v>
      </c>
      <c r="C22" s="7" t="s">
        <v>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2:28" x14ac:dyDescent="0.25">
      <c r="B23" s="7" t="s">
        <v>27</v>
      </c>
      <c r="C23" s="7" t="s">
        <v>41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2:28" x14ac:dyDescent="0.25">
      <c r="B24" s="7" t="s">
        <v>27</v>
      </c>
      <c r="C24" s="7" t="s">
        <v>42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2:28" x14ac:dyDescent="0.25">
      <c r="B25" s="7" t="s">
        <v>27</v>
      </c>
      <c r="C25" s="7" t="s">
        <v>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2:28" x14ac:dyDescent="0.25">
      <c r="B26" s="7" t="s">
        <v>27</v>
      </c>
      <c r="C26" s="7" t="s">
        <v>44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2:28" x14ac:dyDescent="0.25">
      <c r="B27" s="7" t="s">
        <v>27</v>
      </c>
      <c r="C27" s="7" t="s">
        <v>45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2:28" x14ac:dyDescent="0.25">
      <c r="B28" s="7" t="s">
        <v>27</v>
      </c>
      <c r="C28" s="7" t="s">
        <v>46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2:28" x14ac:dyDescent="0.25">
      <c r="B29" s="7" t="s">
        <v>27</v>
      </c>
      <c r="C29" s="7" t="s">
        <v>47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2:28" x14ac:dyDescent="0.25">
      <c r="B30" s="7" t="s">
        <v>27</v>
      </c>
      <c r="C30" s="7" t="s">
        <v>48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2:28" x14ac:dyDescent="0.25">
      <c r="B31" s="7" t="s">
        <v>27</v>
      </c>
      <c r="C31" s="7" t="s">
        <v>49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2:28" x14ac:dyDescent="0.25">
      <c r="B32" s="7" t="s">
        <v>27</v>
      </c>
      <c r="C32" s="7" t="s">
        <v>50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2:28" x14ac:dyDescent="0.25">
      <c r="B33" s="7" t="s">
        <v>27</v>
      </c>
      <c r="C33" s="7" t="s">
        <v>51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2:28" x14ac:dyDescent="0.25">
      <c r="B34" s="7" t="s">
        <v>52</v>
      </c>
      <c r="C34" s="7" t="s">
        <v>28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2:28" x14ac:dyDescent="0.25">
      <c r="B35" s="7" t="s">
        <v>52</v>
      </c>
      <c r="C35" s="7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2:28" x14ac:dyDescent="0.25">
      <c r="B36" s="7" t="s">
        <v>52</v>
      </c>
      <c r="C36" s="7" t="s">
        <v>30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2:28" x14ac:dyDescent="0.25">
      <c r="B37" s="7" t="s">
        <v>52</v>
      </c>
      <c r="C37" s="7" t="s">
        <v>31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2:28" x14ac:dyDescent="0.25">
      <c r="B38" s="7" t="s">
        <v>52</v>
      </c>
      <c r="C38" s="7" t="s">
        <v>32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2:28" x14ac:dyDescent="0.25">
      <c r="B39" s="7" t="s">
        <v>52</v>
      </c>
      <c r="C39" s="7" t="s">
        <v>33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2:28" x14ac:dyDescent="0.25">
      <c r="B40" s="7" t="s">
        <v>52</v>
      </c>
      <c r="C40" s="7" t="s">
        <v>34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2:28" x14ac:dyDescent="0.25">
      <c r="B41" s="7" t="s">
        <v>52</v>
      </c>
      <c r="C41" s="7" t="s">
        <v>35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2:28" x14ac:dyDescent="0.25">
      <c r="B42" s="7" t="s">
        <v>52</v>
      </c>
      <c r="C42" s="7" t="s">
        <v>36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2:28" x14ac:dyDescent="0.25">
      <c r="B43" s="7" t="s">
        <v>52</v>
      </c>
      <c r="C43" s="7" t="s">
        <v>37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2:28" x14ac:dyDescent="0.25">
      <c r="B44" s="7" t="s">
        <v>52</v>
      </c>
      <c r="C44" s="7" t="s">
        <v>38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2:28" x14ac:dyDescent="0.25">
      <c r="B45" s="7" t="s">
        <v>52</v>
      </c>
      <c r="C45" s="7" t="s">
        <v>39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2:28" x14ac:dyDescent="0.25">
      <c r="B46" s="7" t="s">
        <v>52</v>
      </c>
      <c r="C46" s="7" t="s">
        <v>40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2:28" x14ac:dyDescent="0.25">
      <c r="B47" s="7" t="s">
        <v>52</v>
      </c>
      <c r="C47" s="7" t="s">
        <v>41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2:28" x14ac:dyDescent="0.25">
      <c r="B48" s="7" t="s">
        <v>52</v>
      </c>
      <c r="C48" s="7" t="s">
        <v>42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2:28" x14ac:dyDescent="0.25">
      <c r="B49" s="7" t="s">
        <v>52</v>
      </c>
      <c r="C49" s="7" t="s">
        <v>43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2:28" x14ac:dyDescent="0.25">
      <c r="B50" s="7" t="s">
        <v>52</v>
      </c>
      <c r="C50" s="7" t="s">
        <v>44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2:28" x14ac:dyDescent="0.25">
      <c r="B51" s="7" t="s">
        <v>52</v>
      </c>
      <c r="C51" s="7" t="s">
        <v>45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2:28" x14ac:dyDescent="0.25">
      <c r="B52" s="7" t="s">
        <v>52</v>
      </c>
      <c r="C52" s="7" t="s">
        <v>46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2:28" x14ac:dyDescent="0.25">
      <c r="B53" s="7" t="s">
        <v>52</v>
      </c>
      <c r="C53" s="7" t="s">
        <v>47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2:28" x14ac:dyDescent="0.25">
      <c r="B54" s="7" t="s">
        <v>52</v>
      </c>
      <c r="C54" s="7" t="s">
        <v>48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2:28" x14ac:dyDescent="0.25">
      <c r="B55" s="7" t="s">
        <v>52</v>
      </c>
      <c r="C55" s="7" t="s">
        <v>49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2:28" x14ac:dyDescent="0.25">
      <c r="B56" s="7" t="s">
        <v>52</v>
      </c>
      <c r="C56" s="7" t="s">
        <v>50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2:28" x14ac:dyDescent="0.25">
      <c r="B57" s="7" t="s">
        <v>52</v>
      </c>
      <c r="C57" s="7" t="s">
        <v>51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2:28" x14ac:dyDescent="0.25">
      <c r="B58" s="7" t="s">
        <v>53</v>
      </c>
      <c r="C58" s="7" t="s">
        <v>28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2:28" x14ac:dyDescent="0.25">
      <c r="B59" s="7" t="s">
        <v>53</v>
      </c>
      <c r="C59" s="7" t="s">
        <v>29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2:28" x14ac:dyDescent="0.25">
      <c r="B60" s="7" t="s">
        <v>53</v>
      </c>
      <c r="C60" s="7" t="s">
        <v>30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2:28" x14ac:dyDescent="0.25">
      <c r="B61" s="7" t="s">
        <v>53</v>
      </c>
      <c r="C61" s="7" t="s">
        <v>31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2:28" x14ac:dyDescent="0.25">
      <c r="B62" s="7" t="s">
        <v>53</v>
      </c>
      <c r="C62" s="7" t="s">
        <v>32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2:28" x14ac:dyDescent="0.25">
      <c r="B63" s="7" t="s">
        <v>53</v>
      </c>
      <c r="C63" s="7" t="s">
        <v>33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2:28" x14ac:dyDescent="0.25">
      <c r="B64" s="7" t="s">
        <v>53</v>
      </c>
      <c r="C64" s="7" t="s">
        <v>34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2:28" x14ac:dyDescent="0.25">
      <c r="B65" s="7" t="s">
        <v>53</v>
      </c>
      <c r="C65" s="7" t="s">
        <v>35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2:28" x14ac:dyDescent="0.25">
      <c r="B66" s="7" t="s">
        <v>53</v>
      </c>
      <c r="C66" s="7" t="s">
        <v>36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2:28" x14ac:dyDescent="0.25">
      <c r="B67" s="7" t="s">
        <v>53</v>
      </c>
      <c r="C67" s="7" t="s">
        <v>37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2:28" x14ac:dyDescent="0.25">
      <c r="B68" s="7" t="s">
        <v>53</v>
      </c>
      <c r="C68" s="7" t="s">
        <v>38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2:28" x14ac:dyDescent="0.25">
      <c r="B69" s="7" t="s">
        <v>53</v>
      </c>
      <c r="C69" s="7" t="s">
        <v>39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2:28" x14ac:dyDescent="0.25">
      <c r="B70" s="7" t="s">
        <v>53</v>
      </c>
      <c r="C70" s="7" t="s">
        <v>40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2:28" x14ac:dyDescent="0.25">
      <c r="B71" s="7" t="s">
        <v>53</v>
      </c>
      <c r="C71" s="7" t="s">
        <v>41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2:28" x14ac:dyDescent="0.25">
      <c r="B72" s="7" t="s">
        <v>53</v>
      </c>
      <c r="C72" s="7" t="s">
        <v>42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2:28" x14ac:dyDescent="0.25">
      <c r="B73" s="7" t="s">
        <v>53</v>
      </c>
      <c r="C73" s="7" t="s">
        <v>43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x14ac:dyDescent="0.25">
      <c r="B74" s="7" t="s">
        <v>53</v>
      </c>
      <c r="C74" s="7" t="s">
        <v>44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x14ac:dyDescent="0.25">
      <c r="B75" s="7" t="s">
        <v>53</v>
      </c>
      <c r="C75" s="7" t="s">
        <v>45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x14ac:dyDescent="0.25">
      <c r="B76" s="7" t="s">
        <v>53</v>
      </c>
      <c r="C76" s="7" t="s">
        <v>46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x14ac:dyDescent="0.25">
      <c r="B77" s="7" t="s">
        <v>53</v>
      </c>
      <c r="C77" s="7" t="s">
        <v>47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x14ac:dyDescent="0.25">
      <c r="B78" s="7" t="s">
        <v>53</v>
      </c>
      <c r="C78" s="7" t="s">
        <v>48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x14ac:dyDescent="0.25">
      <c r="B79" s="7" t="s">
        <v>53</v>
      </c>
      <c r="C79" s="7" t="s">
        <v>49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x14ac:dyDescent="0.25">
      <c r="B80" s="7" t="s">
        <v>53</v>
      </c>
      <c r="C80" s="7" t="s">
        <v>50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x14ac:dyDescent="0.25">
      <c r="B81" s="7" t="s">
        <v>53</v>
      </c>
      <c r="C81" s="7" t="s">
        <v>51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2:28" x14ac:dyDescent="0.25">
      <c r="B82" s="7" t="s">
        <v>54</v>
      </c>
      <c r="C82" s="7" t="s">
        <v>28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2:28" x14ac:dyDescent="0.25">
      <c r="B83" s="7" t="s">
        <v>54</v>
      </c>
      <c r="C83" s="7" t="s">
        <v>29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2:28" x14ac:dyDescent="0.25">
      <c r="B84" s="7" t="s">
        <v>54</v>
      </c>
      <c r="C84" s="7" t="s">
        <v>30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2:28" x14ac:dyDescent="0.25">
      <c r="B85" s="7" t="s">
        <v>54</v>
      </c>
      <c r="C85" s="7" t="s">
        <v>31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2:28" x14ac:dyDescent="0.25">
      <c r="B86" s="7" t="s">
        <v>54</v>
      </c>
      <c r="C86" s="7" t="s">
        <v>32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2:28" x14ac:dyDescent="0.25">
      <c r="B87" s="7" t="s">
        <v>54</v>
      </c>
      <c r="C87" s="7" t="s">
        <v>33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2:28" x14ac:dyDescent="0.25">
      <c r="B88" s="7" t="s">
        <v>54</v>
      </c>
      <c r="C88" s="7" t="s">
        <v>34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2:28" x14ac:dyDescent="0.25">
      <c r="B89" s="7" t="s">
        <v>54</v>
      </c>
      <c r="C89" s="7" t="s">
        <v>35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2:28" x14ac:dyDescent="0.25">
      <c r="B90" s="7" t="s">
        <v>54</v>
      </c>
      <c r="C90" s="7" t="s">
        <v>36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2:28" x14ac:dyDescent="0.25">
      <c r="B91" s="7" t="s">
        <v>54</v>
      </c>
      <c r="C91" s="7" t="s">
        <v>37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2:28" x14ac:dyDescent="0.25">
      <c r="B92" s="7" t="s">
        <v>54</v>
      </c>
      <c r="C92" s="7" t="s">
        <v>38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2:28" x14ac:dyDescent="0.25">
      <c r="B93" s="7" t="s">
        <v>54</v>
      </c>
      <c r="C93" s="7" t="s">
        <v>39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2:28" x14ac:dyDescent="0.25">
      <c r="B94" s="7" t="s">
        <v>54</v>
      </c>
      <c r="C94" s="7" t="s">
        <v>40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2:28" x14ac:dyDescent="0.25">
      <c r="B95" s="7" t="s">
        <v>54</v>
      </c>
      <c r="C95" s="7" t="s">
        <v>41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2:28" x14ac:dyDescent="0.25">
      <c r="B96" s="7" t="s">
        <v>54</v>
      </c>
      <c r="C96" s="7" t="s">
        <v>42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2:28" x14ac:dyDescent="0.25">
      <c r="B97" s="7" t="s">
        <v>54</v>
      </c>
      <c r="C97" s="7" t="s">
        <v>43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2:28" x14ac:dyDescent="0.25">
      <c r="B98" s="7" t="s">
        <v>54</v>
      </c>
      <c r="C98" s="7" t="s">
        <v>44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2:28" x14ac:dyDescent="0.25">
      <c r="B99" s="7" t="s">
        <v>54</v>
      </c>
      <c r="C99" s="7" t="s">
        <v>45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2:28" x14ac:dyDescent="0.25">
      <c r="B100" s="7" t="s">
        <v>54</v>
      </c>
      <c r="C100" s="7" t="s">
        <v>46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2:28" x14ac:dyDescent="0.25">
      <c r="B101" s="7" t="s">
        <v>54</v>
      </c>
      <c r="C101" s="7" t="s">
        <v>47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2:28" x14ac:dyDescent="0.25">
      <c r="B102" s="7" t="s">
        <v>54</v>
      </c>
      <c r="C102" s="7" t="s">
        <v>48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2:28" x14ac:dyDescent="0.25">
      <c r="B103" s="7" t="s">
        <v>54</v>
      </c>
      <c r="C103" s="7" t="s">
        <v>49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2:28" x14ac:dyDescent="0.25">
      <c r="B104" s="7" t="s">
        <v>54</v>
      </c>
      <c r="C104" s="7" t="s">
        <v>50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2:28" x14ac:dyDescent="0.25">
      <c r="B105" s="7" t="s">
        <v>54</v>
      </c>
      <c r="C105" s="7" t="s">
        <v>51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2:28" x14ac:dyDescent="0.25">
      <c r="B106" s="7" t="s">
        <v>55</v>
      </c>
      <c r="C106" s="7" t="s">
        <v>28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2:28" x14ac:dyDescent="0.25">
      <c r="B107" s="7" t="s">
        <v>55</v>
      </c>
      <c r="C107" s="7" t="s">
        <v>29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2:28" x14ac:dyDescent="0.25">
      <c r="B108" s="7" t="s">
        <v>55</v>
      </c>
      <c r="C108" s="7" t="s">
        <v>30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2:28" x14ac:dyDescent="0.25">
      <c r="B109" s="7" t="s">
        <v>55</v>
      </c>
      <c r="C109" s="7" t="s">
        <v>31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2:28" x14ac:dyDescent="0.25">
      <c r="B110" s="7" t="s">
        <v>55</v>
      </c>
      <c r="C110" s="7" t="s">
        <v>32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2:28" x14ac:dyDescent="0.25">
      <c r="B111" s="7" t="s">
        <v>55</v>
      </c>
      <c r="C111" s="7" t="s">
        <v>33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2:28" x14ac:dyDescent="0.25">
      <c r="B112" s="7" t="s">
        <v>55</v>
      </c>
      <c r="C112" s="7" t="s">
        <v>34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2:28" x14ac:dyDescent="0.25">
      <c r="B113" s="7" t="s">
        <v>55</v>
      </c>
      <c r="C113" s="7" t="s">
        <v>35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2:28" x14ac:dyDescent="0.25">
      <c r="B114" s="7" t="s">
        <v>55</v>
      </c>
      <c r="C114" s="7" t="s">
        <v>36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2:28" x14ac:dyDescent="0.25">
      <c r="B115" s="7" t="s">
        <v>55</v>
      </c>
      <c r="C115" s="7" t="s">
        <v>37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2:28" x14ac:dyDescent="0.25">
      <c r="B116" s="7" t="s">
        <v>55</v>
      </c>
      <c r="C116" s="7" t="s">
        <v>38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2:28" x14ac:dyDescent="0.25">
      <c r="B117" s="7" t="s">
        <v>55</v>
      </c>
      <c r="C117" s="7" t="s">
        <v>39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2:28" x14ac:dyDescent="0.25">
      <c r="B118" s="7" t="s">
        <v>55</v>
      </c>
      <c r="C118" s="7" t="s">
        <v>40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2:28" x14ac:dyDescent="0.25">
      <c r="B119" s="7" t="s">
        <v>55</v>
      </c>
      <c r="C119" s="7" t="s">
        <v>41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2:28" x14ac:dyDescent="0.25">
      <c r="B120" s="7" t="s">
        <v>55</v>
      </c>
      <c r="C120" s="7" t="s">
        <v>42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2:28" x14ac:dyDescent="0.25">
      <c r="B121" s="7" t="s">
        <v>55</v>
      </c>
      <c r="C121" s="7" t="s">
        <v>43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2:28" x14ac:dyDescent="0.25">
      <c r="B122" s="7" t="s">
        <v>55</v>
      </c>
      <c r="C122" s="7" t="s">
        <v>44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2:28" x14ac:dyDescent="0.25">
      <c r="B123" s="7" t="s">
        <v>55</v>
      </c>
      <c r="C123" s="7" t="s">
        <v>45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2:28" x14ac:dyDescent="0.25">
      <c r="B124" s="7" t="s">
        <v>55</v>
      </c>
      <c r="C124" s="7" t="s">
        <v>46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2:28" x14ac:dyDescent="0.25">
      <c r="B125" s="7" t="s">
        <v>55</v>
      </c>
      <c r="C125" s="7" t="s">
        <v>47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2:28" x14ac:dyDescent="0.25">
      <c r="B126" s="7" t="s">
        <v>55</v>
      </c>
      <c r="C126" s="7" t="s">
        <v>48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2:28" x14ac:dyDescent="0.25">
      <c r="B127" s="7" t="s">
        <v>55</v>
      </c>
      <c r="C127" s="7" t="s">
        <v>49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2:28" x14ac:dyDescent="0.25">
      <c r="B128" s="7" t="s">
        <v>55</v>
      </c>
      <c r="C128" s="7" t="s">
        <v>50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2:28" x14ac:dyDescent="0.25">
      <c r="B129" s="7" t="s">
        <v>55</v>
      </c>
      <c r="C129" s="7" t="s">
        <v>51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2:28" x14ac:dyDescent="0.25">
      <c r="B130" s="7" t="s">
        <v>56</v>
      </c>
      <c r="C130" s="7" t="s">
        <v>67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2:28" x14ac:dyDescent="0.25">
      <c r="B131" s="7" t="s">
        <v>56</v>
      </c>
      <c r="C131" s="7" t="s">
        <v>67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2:28" x14ac:dyDescent="0.25">
      <c r="B132" s="7" t="s">
        <v>56</v>
      </c>
      <c r="C132" s="7" t="s">
        <v>67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2:28" x14ac:dyDescent="0.25">
      <c r="B133" s="7" t="s">
        <v>56</v>
      </c>
      <c r="C133" s="7" t="s">
        <v>67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2:28" x14ac:dyDescent="0.25">
      <c r="B134" s="7" t="s">
        <v>56</v>
      </c>
      <c r="C134" s="7" t="s">
        <v>67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2:28" x14ac:dyDescent="0.25">
      <c r="B135" s="7" t="s">
        <v>56</v>
      </c>
      <c r="C135" s="7" t="s">
        <v>67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2:28" x14ac:dyDescent="0.25">
      <c r="B136" s="7" t="s">
        <v>56</v>
      </c>
      <c r="C136" s="7" t="s">
        <v>67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2:28" x14ac:dyDescent="0.25">
      <c r="B137" s="7" t="s">
        <v>56</v>
      </c>
      <c r="C137" s="7" t="s">
        <v>67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2:28" x14ac:dyDescent="0.25">
      <c r="B138" s="7" t="s">
        <v>56</v>
      </c>
      <c r="C138" s="7" t="s">
        <v>67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2:28" x14ac:dyDescent="0.25">
      <c r="B139" s="7" t="s">
        <v>56</v>
      </c>
      <c r="C139" s="7" t="s">
        <v>67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2:28" x14ac:dyDescent="0.25">
      <c r="B140" s="7" t="s">
        <v>56</v>
      </c>
      <c r="C140" s="7" t="s">
        <v>67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2:28" x14ac:dyDescent="0.25">
      <c r="B141" s="7" t="s">
        <v>56</v>
      </c>
      <c r="C141" s="7" t="s">
        <v>67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2:28" x14ac:dyDescent="0.25">
      <c r="B142" s="7" t="s">
        <v>56</v>
      </c>
      <c r="C142" s="7" t="s">
        <v>67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2:28" x14ac:dyDescent="0.25">
      <c r="B143" s="7" t="s">
        <v>56</v>
      </c>
      <c r="C143" s="7" t="s">
        <v>67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2:28" x14ac:dyDescent="0.25">
      <c r="B144" s="7" t="s">
        <v>56</v>
      </c>
      <c r="C144" s="7" t="s">
        <v>67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2:28" x14ac:dyDescent="0.25">
      <c r="B145" s="7" t="s">
        <v>56</v>
      </c>
      <c r="C145" s="7" t="s">
        <v>67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2:28" x14ac:dyDescent="0.25">
      <c r="B146" s="7" t="s">
        <v>56</v>
      </c>
      <c r="C146" s="7" t="s">
        <v>67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2:28" x14ac:dyDescent="0.25">
      <c r="B147" s="7" t="s">
        <v>56</v>
      </c>
      <c r="C147" s="7" t="s">
        <v>67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2:28" x14ac:dyDescent="0.25">
      <c r="B148" s="7" t="s">
        <v>56</v>
      </c>
      <c r="C148" s="7" t="s">
        <v>67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2:28" x14ac:dyDescent="0.25">
      <c r="B149" s="7" t="s">
        <v>56</v>
      </c>
      <c r="C149" s="7" t="s">
        <v>67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2:28" x14ac:dyDescent="0.25">
      <c r="B150" s="7" t="s">
        <v>56</v>
      </c>
      <c r="C150" s="7" t="s">
        <v>67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2:28" x14ac:dyDescent="0.25">
      <c r="B151" s="7" t="s">
        <v>56</v>
      </c>
      <c r="C151" s="7" t="s">
        <v>67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2:28" x14ac:dyDescent="0.25">
      <c r="B152" s="7" t="s">
        <v>56</v>
      </c>
      <c r="C152" s="7" t="s">
        <v>67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2:28" x14ac:dyDescent="0.25">
      <c r="B153" s="7" t="s">
        <v>56</v>
      </c>
      <c r="C153" s="7" t="s">
        <v>67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2:28" x14ac:dyDescent="0.25">
      <c r="B154" s="7" t="s">
        <v>57</v>
      </c>
      <c r="C154" s="7" t="s">
        <v>67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2:28" x14ac:dyDescent="0.25">
      <c r="B155" s="7" t="s">
        <v>57</v>
      </c>
      <c r="C155" s="7" t="s">
        <v>67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2:28" x14ac:dyDescent="0.25">
      <c r="B156" s="7" t="s">
        <v>57</v>
      </c>
      <c r="C156" s="7" t="s">
        <v>67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2:28" x14ac:dyDescent="0.25">
      <c r="B157" s="7" t="s">
        <v>57</v>
      </c>
      <c r="C157" s="7" t="s">
        <v>67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2:28" x14ac:dyDescent="0.25">
      <c r="B158" s="7" t="s">
        <v>57</v>
      </c>
      <c r="C158" s="7" t="s">
        <v>67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2:28" x14ac:dyDescent="0.25">
      <c r="B159" s="7" t="s">
        <v>57</v>
      </c>
      <c r="C159" s="7" t="s">
        <v>67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2:28" x14ac:dyDescent="0.25">
      <c r="B160" s="7" t="s">
        <v>57</v>
      </c>
      <c r="C160" s="7" t="s">
        <v>67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2:28" x14ac:dyDescent="0.25">
      <c r="B161" s="7" t="s">
        <v>57</v>
      </c>
      <c r="C161" s="7" t="s">
        <v>67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2:28" x14ac:dyDescent="0.25">
      <c r="B162" s="7" t="s">
        <v>57</v>
      </c>
      <c r="C162" s="7" t="s">
        <v>67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2:28" x14ac:dyDescent="0.25">
      <c r="B163" s="7" t="s">
        <v>57</v>
      </c>
      <c r="C163" s="7" t="s">
        <v>67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2:28" x14ac:dyDescent="0.25">
      <c r="B164" s="7" t="s">
        <v>57</v>
      </c>
      <c r="C164" s="7" t="s">
        <v>67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2:28" x14ac:dyDescent="0.25">
      <c r="B165" s="7" t="s">
        <v>57</v>
      </c>
      <c r="C165" s="7" t="s">
        <v>67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2:28" x14ac:dyDescent="0.25">
      <c r="B166" s="7" t="s">
        <v>57</v>
      </c>
      <c r="C166" s="7" t="s">
        <v>67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2:28" x14ac:dyDescent="0.25">
      <c r="B167" s="7" t="s">
        <v>57</v>
      </c>
      <c r="C167" s="7" t="s">
        <v>67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2:28" x14ac:dyDescent="0.25">
      <c r="B168" s="7" t="s">
        <v>57</v>
      </c>
      <c r="C168" s="7" t="s">
        <v>67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2:28" x14ac:dyDescent="0.25">
      <c r="B169" s="7" t="s">
        <v>57</v>
      </c>
      <c r="C169" s="7" t="s">
        <v>67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2:28" x14ac:dyDescent="0.25">
      <c r="B170" s="7" t="s">
        <v>57</v>
      </c>
      <c r="C170" s="7" t="s">
        <v>67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2:28" x14ac:dyDescent="0.25">
      <c r="B171" s="7" t="s">
        <v>57</v>
      </c>
      <c r="C171" s="7" t="s">
        <v>67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2:28" x14ac:dyDescent="0.25">
      <c r="B172" s="7" t="s">
        <v>57</v>
      </c>
      <c r="C172" s="7" t="s">
        <v>67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2:28" x14ac:dyDescent="0.25">
      <c r="B173" s="7" t="s">
        <v>57</v>
      </c>
      <c r="C173" s="7" t="s">
        <v>67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2:28" x14ac:dyDescent="0.25">
      <c r="B174" s="7" t="s">
        <v>57</v>
      </c>
      <c r="C174" s="7" t="s">
        <v>67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2:28" x14ac:dyDescent="0.25">
      <c r="B175" s="7" t="s">
        <v>57</v>
      </c>
      <c r="C175" s="7" t="s">
        <v>67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2:28" x14ac:dyDescent="0.25">
      <c r="B176" s="7" t="s">
        <v>57</v>
      </c>
      <c r="C176" s="7" t="s">
        <v>67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2:28" x14ac:dyDescent="0.25">
      <c r="B177" s="7" t="s">
        <v>57</v>
      </c>
      <c r="C177" s="7" t="s">
        <v>67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2:28" x14ac:dyDescent="0.25">
      <c r="B178" s="7" t="s">
        <v>58</v>
      </c>
      <c r="C178" s="7" t="s">
        <v>67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2:28" x14ac:dyDescent="0.25">
      <c r="B179" s="7" t="s">
        <v>58</v>
      </c>
      <c r="C179" s="7" t="s">
        <v>67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2:28" x14ac:dyDescent="0.25">
      <c r="B180" s="7" t="s">
        <v>58</v>
      </c>
      <c r="C180" s="7" t="s">
        <v>67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2:28" x14ac:dyDescent="0.25">
      <c r="B181" s="7" t="s">
        <v>58</v>
      </c>
      <c r="C181" s="7" t="s">
        <v>67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2:28" x14ac:dyDescent="0.25">
      <c r="B182" s="7" t="s">
        <v>58</v>
      </c>
      <c r="C182" s="7" t="s">
        <v>67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2:28" x14ac:dyDescent="0.25">
      <c r="B183" s="7" t="s">
        <v>58</v>
      </c>
      <c r="C183" s="7" t="s">
        <v>67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2:28" x14ac:dyDescent="0.25">
      <c r="B184" s="7" t="s">
        <v>58</v>
      </c>
      <c r="C184" s="7" t="s">
        <v>67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2:28" x14ac:dyDescent="0.25">
      <c r="B185" s="7" t="s">
        <v>58</v>
      </c>
      <c r="C185" s="7" t="s">
        <v>67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2:28" x14ac:dyDescent="0.25">
      <c r="B186" s="7" t="s">
        <v>58</v>
      </c>
      <c r="C186" s="7" t="s">
        <v>67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2:28" x14ac:dyDescent="0.25">
      <c r="B187" s="7" t="s">
        <v>58</v>
      </c>
      <c r="C187" s="7" t="s">
        <v>67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2:28" x14ac:dyDescent="0.25">
      <c r="B188" s="7" t="s">
        <v>58</v>
      </c>
      <c r="C188" s="7" t="s">
        <v>67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2:28" x14ac:dyDescent="0.25">
      <c r="B189" s="7" t="s">
        <v>58</v>
      </c>
      <c r="C189" s="7" t="s">
        <v>67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2:28" x14ac:dyDescent="0.25">
      <c r="B190" s="7" t="s">
        <v>58</v>
      </c>
      <c r="C190" s="7" t="s">
        <v>67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2:28" x14ac:dyDescent="0.25">
      <c r="B191" s="7" t="s">
        <v>58</v>
      </c>
      <c r="C191" s="7" t="s">
        <v>67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2:28" x14ac:dyDescent="0.25">
      <c r="B192" s="7" t="s">
        <v>58</v>
      </c>
      <c r="C192" s="7" t="s">
        <v>67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2:28" x14ac:dyDescent="0.25">
      <c r="B193" s="7" t="s">
        <v>58</v>
      </c>
      <c r="C193" s="7" t="s">
        <v>67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2:28" x14ac:dyDescent="0.25">
      <c r="B194" s="7" t="s">
        <v>58</v>
      </c>
      <c r="C194" s="7" t="s">
        <v>67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2:28" x14ac:dyDescent="0.25">
      <c r="B195" s="7" t="s">
        <v>58</v>
      </c>
      <c r="C195" s="7" t="s">
        <v>67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2:28" x14ac:dyDescent="0.25">
      <c r="B196" s="7" t="s">
        <v>58</v>
      </c>
      <c r="C196" s="7" t="s">
        <v>67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2:28" x14ac:dyDescent="0.25">
      <c r="B197" s="7" t="s">
        <v>58</v>
      </c>
      <c r="C197" s="7" t="s">
        <v>67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2:28" x14ac:dyDescent="0.25">
      <c r="B198" s="7" t="s">
        <v>58</v>
      </c>
      <c r="C198" s="7" t="s">
        <v>67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2:28" x14ac:dyDescent="0.25">
      <c r="B199" s="7" t="s">
        <v>58</v>
      </c>
      <c r="C199" s="7" t="s">
        <v>67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2:28" x14ac:dyDescent="0.25">
      <c r="B200" s="7" t="s">
        <v>58</v>
      </c>
      <c r="C200" s="7" t="s">
        <v>67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2:28" x14ac:dyDescent="0.25">
      <c r="B201" s="7" t="s">
        <v>58</v>
      </c>
      <c r="C201" s="7" t="s">
        <v>67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2:28" x14ac:dyDescent="0.25">
      <c r="B202" s="7" t="s">
        <v>59</v>
      </c>
      <c r="C202" s="7" t="s">
        <v>67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2:28" x14ac:dyDescent="0.25">
      <c r="B203" s="7" t="s">
        <v>59</v>
      </c>
      <c r="C203" s="7" t="s">
        <v>67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2:28" x14ac:dyDescent="0.25">
      <c r="B204" s="7" t="s">
        <v>59</v>
      </c>
      <c r="C204" s="7" t="s">
        <v>67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2:28" x14ac:dyDescent="0.25">
      <c r="B205" s="7" t="s">
        <v>59</v>
      </c>
      <c r="C205" s="7" t="s">
        <v>67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2:28" x14ac:dyDescent="0.25">
      <c r="B206" s="7" t="s">
        <v>59</v>
      </c>
      <c r="C206" s="7" t="s">
        <v>67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2:28" x14ac:dyDescent="0.25">
      <c r="B207" s="7" t="s">
        <v>59</v>
      </c>
      <c r="C207" s="7" t="s">
        <v>67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2:28" x14ac:dyDescent="0.25">
      <c r="B208" s="7" t="s">
        <v>59</v>
      </c>
      <c r="C208" s="7" t="s">
        <v>67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2:28" x14ac:dyDescent="0.25">
      <c r="B209" s="7" t="s">
        <v>59</v>
      </c>
      <c r="C209" s="7" t="s">
        <v>67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2:28" x14ac:dyDescent="0.25">
      <c r="B210" s="7" t="s">
        <v>59</v>
      </c>
      <c r="C210" s="7" t="s">
        <v>67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2:28" x14ac:dyDescent="0.25">
      <c r="B211" s="7" t="s">
        <v>59</v>
      </c>
      <c r="C211" s="7" t="s">
        <v>67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2:28" x14ac:dyDescent="0.25">
      <c r="B212" s="7" t="s">
        <v>59</v>
      </c>
      <c r="C212" s="7" t="s">
        <v>67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2:28" x14ac:dyDescent="0.25">
      <c r="B213" s="7" t="s">
        <v>59</v>
      </c>
      <c r="C213" s="7" t="s">
        <v>67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2:28" x14ac:dyDescent="0.25">
      <c r="B214" s="7" t="s">
        <v>59</v>
      </c>
      <c r="C214" s="7" t="s">
        <v>67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2:28" x14ac:dyDescent="0.25">
      <c r="B215" s="7" t="s">
        <v>59</v>
      </c>
      <c r="C215" s="7" t="s">
        <v>67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2:28" x14ac:dyDescent="0.25">
      <c r="B216" s="7" t="s">
        <v>59</v>
      </c>
      <c r="C216" s="7" t="s">
        <v>67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2:28" x14ac:dyDescent="0.25">
      <c r="B217" s="7" t="s">
        <v>59</v>
      </c>
      <c r="C217" s="7" t="s">
        <v>67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2:28" x14ac:dyDescent="0.25">
      <c r="B218" s="7" t="s">
        <v>59</v>
      </c>
      <c r="C218" s="7" t="s">
        <v>67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2:28" x14ac:dyDescent="0.25">
      <c r="B219" s="7" t="s">
        <v>59</v>
      </c>
      <c r="C219" s="7" t="s">
        <v>67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2:28" x14ac:dyDescent="0.25">
      <c r="B220" s="7" t="s">
        <v>59</v>
      </c>
      <c r="C220" s="7" t="s">
        <v>67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2:28" x14ac:dyDescent="0.25">
      <c r="B221" s="7" t="s">
        <v>59</v>
      </c>
      <c r="C221" s="7" t="s">
        <v>67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2:28" x14ac:dyDescent="0.25">
      <c r="B222" s="7" t="s">
        <v>59</v>
      </c>
      <c r="C222" s="7" t="s">
        <v>67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2:28" x14ac:dyDescent="0.25">
      <c r="B223" s="7" t="s">
        <v>59</v>
      </c>
      <c r="C223" s="7" t="s">
        <v>67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2:28" x14ac:dyDescent="0.25">
      <c r="B224" s="7" t="s">
        <v>59</v>
      </c>
      <c r="C224" s="7" t="s">
        <v>67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2:28" x14ac:dyDescent="0.25">
      <c r="B225" s="7" t="s">
        <v>59</v>
      </c>
      <c r="C225" s="7" t="s">
        <v>67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2:28" x14ac:dyDescent="0.25">
      <c r="B226" s="7" t="s">
        <v>60</v>
      </c>
      <c r="C226" s="7" t="s">
        <v>67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2:28" x14ac:dyDescent="0.25">
      <c r="B227" s="7" t="s">
        <v>60</v>
      </c>
      <c r="C227" s="7" t="s">
        <v>67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2:28" x14ac:dyDescent="0.25">
      <c r="B228" s="7" t="s">
        <v>60</v>
      </c>
      <c r="C228" s="7" t="s">
        <v>67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2:28" x14ac:dyDescent="0.25">
      <c r="B229" s="7" t="s">
        <v>60</v>
      </c>
      <c r="C229" s="7" t="s">
        <v>67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2:28" x14ac:dyDescent="0.25">
      <c r="B230" s="7" t="s">
        <v>60</v>
      </c>
      <c r="C230" s="7" t="s">
        <v>67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2:28" x14ac:dyDescent="0.25">
      <c r="B231" s="7" t="s">
        <v>60</v>
      </c>
      <c r="C231" s="7" t="s">
        <v>67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2:28" x14ac:dyDescent="0.25">
      <c r="B232" s="7" t="s">
        <v>60</v>
      </c>
      <c r="C232" s="7" t="s">
        <v>67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2:28" x14ac:dyDescent="0.25">
      <c r="B233" s="7" t="s">
        <v>60</v>
      </c>
      <c r="C233" s="7" t="s">
        <v>67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2:28" x14ac:dyDescent="0.25">
      <c r="B234" s="7" t="s">
        <v>60</v>
      </c>
      <c r="C234" s="7" t="s">
        <v>67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2:28" x14ac:dyDescent="0.25">
      <c r="B235" s="7" t="s">
        <v>60</v>
      </c>
      <c r="C235" s="7" t="s">
        <v>67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2:28" x14ac:dyDescent="0.25">
      <c r="B236" s="7" t="s">
        <v>60</v>
      </c>
      <c r="C236" s="7" t="s">
        <v>67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2:28" x14ac:dyDescent="0.25">
      <c r="B237" s="7" t="s">
        <v>60</v>
      </c>
      <c r="C237" s="7" t="s">
        <v>67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2:28" x14ac:dyDescent="0.25">
      <c r="B238" s="7" t="s">
        <v>60</v>
      </c>
      <c r="C238" s="7" t="s">
        <v>67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2:28" x14ac:dyDescent="0.25">
      <c r="B239" s="7" t="s">
        <v>60</v>
      </c>
      <c r="C239" s="7" t="s">
        <v>67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2:28" x14ac:dyDescent="0.25">
      <c r="B240" s="7" t="s">
        <v>60</v>
      </c>
      <c r="C240" s="7" t="s">
        <v>67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2:28" x14ac:dyDescent="0.25">
      <c r="B241" s="7" t="s">
        <v>60</v>
      </c>
      <c r="C241" s="7" t="s">
        <v>67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2:28" x14ac:dyDescent="0.25">
      <c r="B242" s="7" t="s">
        <v>60</v>
      </c>
      <c r="C242" s="7" t="s">
        <v>67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2:28" x14ac:dyDescent="0.25">
      <c r="B243" s="7" t="s">
        <v>60</v>
      </c>
      <c r="C243" s="7" t="s">
        <v>67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2:28" x14ac:dyDescent="0.25">
      <c r="B244" s="7" t="s">
        <v>60</v>
      </c>
      <c r="C244" s="7" t="s">
        <v>67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2:28" x14ac:dyDescent="0.25">
      <c r="B245" s="7" t="s">
        <v>60</v>
      </c>
      <c r="C245" s="7" t="s">
        <v>67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2:28" x14ac:dyDescent="0.25">
      <c r="B246" s="7" t="s">
        <v>60</v>
      </c>
      <c r="C246" s="7" t="s">
        <v>67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2:28" x14ac:dyDescent="0.25">
      <c r="B247" s="7" t="s">
        <v>60</v>
      </c>
      <c r="C247" s="7" t="s">
        <v>67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2:28" x14ac:dyDescent="0.25">
      <c r="B248" s="7" t="s">
        <v>60</v>
      </c>
      <c r="C248" s="7" t="s">
        <v>67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2:28" x14ac:dyDescent="0.25">
      <c r="B249" s="7" t="s">
        <v>60</v>
      </c>
      <c r="C249" s="7" t="s">
        <v>67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2:28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2:28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2:28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2:28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2:28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2:28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2:28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2:28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2:28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2:28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2:28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2:28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2:28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2:28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2:28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2:28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2:28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2:28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2:28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2:28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2:28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2:28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2:28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2:28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2:28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2:28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2:28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2:28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2:28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2:28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2:28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2:28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2:28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2:28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2:28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2:28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2:28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2:28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2:28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2:28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2:28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2:28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2:28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2:28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2:28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2:28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2:28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2:28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2:28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2:28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2:28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H3"/>
  <sheetViews>
    <sheetView topLeftCell="D1" zoomScale="115" zoomScaleNormal="115" workbookViewId="0">
      <selection activeCell="F9" sqref="F9"/>
    </sheetView>
  </sheetViews>
  <sheetFormatPr defaultRowHeight="15" x14ac:dyDescent="0.25"/>
  <cols>
    <col min="1" max="1" width="17.425781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  <col min="7" max="8" width="18.5703125" bestFit="1" customWidth="1"/>
  </cols>
  <sheetData>
    <row r="1" spans="1:8" x14ac:dyDescent="0.25">
      <c r="A1" t="s">
        <v>79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s="13" t="s">
        <v>75</v>
      </c>
      <c r="H1" s="13" t="s">
        <v>78</v>
      </c>
    </row>
    <row r="2" spans="1:8" x14ac:dyDescent="0.25">
      <c r="A2">
        <v>2</v>
      </c>
      <c r="B2" t="s">
        <v>73</v>
      </c>
      <c r="C2" t="s">
        <v>74</v>
      </c>
      <c r="D2" s="4">
        <v>45292</v>
      </c>
      <c r="E2" s="4">
        <v>46388</v>
      </c>
      <c r="F2" t="s">
        <v>80</v>
      </c>
      <c r="G2" t="s">
        <v>73</v>
      </c>
      <c r="H2" t="s">
        <v>76</v>
      </c>
    </row>
    <row r="3" spans="1:8" x14ac:dyDescent="0.25">
      <c r="F3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e" cm="1">
        <f t="array" aca="1" ref="B7" ca="1">IF('Raw Data'!#REF!="",_xlfn.REGEXEXTRACT(CELL("address",'Raw Data'!#REF!),"\$([A-Z]+)\$[0-9]+"),"")</f>
        <v>#REF!</v>
      </c>
      <c r="C7" t="e" cm="1">
        <f t="array" aca="1" ref="C7" ca="1">IF('Raw Data'!#REF!="",_xlfn.REGEXEXTRACT(CELL("address",'Raw Data'!#REF!),"\$([A-Z]+)\$[0-9]+"),"")</f>
        <v>#REF!</v>
      </c>
      <c r="D7" t="e" cm="1">
        <f t="array" aca="1" ref="D7" ca="1">IF('Raw Data'!#REF!="",_xlfn.REGEXEXTRACT(CELL("address",'Raw Data'!#REF!),"\$([A-Z]+)\$[0-9]+"),"")</f>
        <v>#REF!</v>
      </c>
      <c r="E7" t="e" cm="1">
        <f t="array" aca="1" ref="E7" ca="1">IF('Raw Data'!#REF!="",_xlfn.REGEXEXTRACT(CELL("address",'Raw Data'!#REF!),"\$([A-Z]+)\$[0-9]+"),"")</f>
        <v>#REF!</v>
      </c>
      <c r="F7" t="e" cm="1">
        <f t="array" aca="1" ref="F7" ca="1">IF('Raw Data'!#REF!="",_xlfn.REGEXEXTRACT(CELL("address",'Raw Data'!#REF!),"\$([A-Z]+)\$[0-9]+"),"")</f>
        <v>#REF!</v>
      </c>
      <c r="G7" t="e" cm="1">
        <f t="array" aca="1" ref="G7" ca="1">IF('Raw Data'!#REF!="",_xlfn.REGEXEXTRACT(CELL("address",'Raw Data'!#REF!),"\$([A-Z]+)\$[0-9]+"),"")</f>
        <v>#REF!</v>
      </c>
      <c r="H7" t="e" cm="1">
        <f t="array" aca="1" ref="H7" ca="1">IF('Raw Data'!#REF!="",_xlfn.REGEXEXTRACT(CELL("address",'Raw Data'!#REF!),"\$([A-Z]+)\$[0-9]+"),"")</f>
        <v>#REF!</v>
      </c>
      <c r="I7" t="e" cm="1">
        <f t="array" aca="1" ref="I7" ca="1">IF('Raw Data'!#REF!="",_xlfn.REGEXEXTRACT(CELL("address",'Raw Data'!#REF!),"\$([A-Z]+)\$[0-9]+"),"")</f>
        <v>#REF!</v>
      </c>
    </row>
    <row r="8" spans="2:9" x14ac:dyDescent="0.25">
      <c r="B8" t="e" cm="1">
        <f t="array" aca="1" ref="B8" ca="1">IF('Raw Data'!#REF!="",_xlfn.REGEXEXTRACT(CELL("address",'Raw Data'!#REF!),"\$([A-Z]+)\$[0-9]+"),"")</f>
        <v>#REF!</v>
      </c>
      <c r="C8" t="e" cm="1">
        <f t="array" aca="1" ref="C8" ca="1">IF('Raw Data'!#REF!="",_xlfn.REGEXEXTRACT(CELL("address",'Raw Data'!#REF!),"\$([A-Z]+)\$[0-9]+"),"")</f>
        <v>#REF!</v>
      </c>
      <c r="D8" t="e" cm="1">
        <f t="array" aca="1" ref="D8" ca="1">IF('Raw Data'!#REF!="",_xlfn.REGEXEXTRACT(CELL("address",'Raw Data'!#REF!),"\$([A-Z]+)\$[0-9]+"),"")</f>
        <v>#REF!</v>
      </c>
      <c r="E8" t="e" cm="1">
        <f t="array" aca="1" ref="E8" ca="1">IF('Raw Data'!#REF!="",_xlfn.REGEXEXTRACT(CELL("address",'Raw Data'!#REF!),"\$([A-Z]+)\$[0-9]+"),"")</f>
        <v>#REF!</v>
      </c>
      <c r="F8" t="e" cm="1">
        <f t="array" aca="1" ref="F8" ca="1">IF('Raw Data'!#REF!="",_xlfn.REGEXEXTRACT(CELL("address",'Raw Data'!#REF!),"\$([A-Z]+)\$[0-9]+"),"")</f>
        <v>#REF!</v>
      </c>
      <c r="G8" t="e" cm="1">
        <f t="array" aca="1" ref="G8" ca="1">IF('Raw Data'!#REF!="",_xlfn.REGEXEXTRACT(CELL("address",'Raw Data'!#REF!),"\$([A-Z]+)\$[0-9]+"),"")</f>
        <v>#REF!</v>
      </c>
      <c r="H8" t="e" cm="1">
        <f t="array" aca="1" ref="H8" ca="1">IF('Raw Data'!#REF!="",_xlfn.REGEXEXTRACT(CELL("address",'Raw Data'!#REF!),"\$([A-Z]+)\$[0-9]+"),"")</f>
        <v>#REF!</v>
      </c>
      <c r="I8" t="e" cm="1">
        <f t="array" aca="1" ref="I8" ca="1">IF('Raw Data'!#REF!="",_xlfn.REGEXEXTRACT(CELL("address",'Raw Data'!#REF!),"\$([A-Z]+)\$[0-9]+"),"")</f>
        <v>#REF!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Data'!G9="",_xlfn.REGEXEXTRACT(CELL("address",'Raw Data'!G9),"\$([A-Z]+)\$[0-9]+"),"")</f>
        <v/>
      </c>
      <c r="I9" t="str" cm="1">
        <f t="array" aca="1" ref="I9" ca="1">IF('Raw Data'!H9="",_xlfn.REGEXEXTRACT(CELL("address",'Raw Data'!H9),"\$([A-Z]+)\$[0-9]+"),"")</f>
        <v/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>$E$10</v>
      </c>
      <c r="F10" t="str" cm="1">
        <f t="array" aca="1" ref="F10" ca="1">IF('Raw Data'!F10="",_xlfn.REGEXEXTRACT(CELL("address",'Raw Data'!F10),"\$([A-Z]+)\$[0-9]+"),"")</f>
        <v/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Data'!G10="",_xlfn.REGEXEXTRACT(CELL("address",'Raw Data'!G10),"\$([A-Z]+)\$[0-9]+"),"")</f>
        <v/>
      </c>
      <c r="I10" t="str" cm="1">
        <f t="array" aca="1" ref="I10" ca="1">IF('Raw Data'!H10="",_xlfn.REGEXEXTRACT(CELL("address",'Raw Data'!H10),"\$([A-Z]+)\$[0-9]+"),"")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Data'!G11="",_xlfn.REGEXEXTRACT(CELL("address",'Raw Data'!G11),"\$([A-Z]+)\$[0-9]+"),"")</f>
        <v/>
      </c>
      <c r="I11" t="str" cm="1">
        <f t="array" aca="1" ref="I11" ca="1">IF('Raw Data'!H11="",_xlfn.REGEXEXTRACT(CELL("address",'Raw Data'!H11),"\$([A-Z]+)\$[0-9]+"),"")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Data'!G12="",_xlfn.REGEXEXTRACT(CELL("address",'Raw Data'!G12),"\$([A-Z]+)\$[0-9]+"),"")</f>
        <v/>
      </c>
      <c r="I12" t="str" cm="1">
        <f t="array" aca="1" ref="I12" ca="1">IF('Raw Data'!H12="",_xlfn.REGEXEXTRACT(CELL("address",'Raw Data'!H12),"\$([A-Z]+)\$[0-9]+"),"")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Data'!G13="",_xlfn.REGEXEXTRACT(CELL("address",'Raw Data'!G13),"\$([A-Z]+)\$[0-9]+"),"")</f>
        <v/>
      </c>
      <c r="I13" t="str" cm="1">
        <f t="array" aca="1" ref="I13" ca="1">IF('Raw Data'!H13="",_xlfn.REGEXEXTRACT(CELL("address",'Raw Data'!H13),"\$([A-Z]+)\$[0-9]+"),"")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Data'!G14="",_xlfn.REGEXEXTRACT(CELL("address",'Raw Data'!G14),"\$([A-Z]+)\$[0-9]+"),"")</f>
        <v/>
      </c>
      <c r="I14" t="str" cm="1">
        <f t="array" aca="1" ref="I14" ca="1">IF('Raw Data'!H14="",_xlfn.REGEXEXTRACT(CELL("address",'Raw Data'!H14),"\$([A-Z]+)\$[0-9]+"),"")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Data'!G15="",_xlfn.REGEXEXTRACT(CELL("address",'Raw Data'!G15),"\$([A-Z]+)\$[0-9]+"),"")</f>
        <v/>
      </c>
      <c r="I15" t="str" cm="1">
        <f t="array" aca="1" ref="I15" ca="1">IF('Raw Data'!H15="",_xlfn.REGEXEXTRACT(CELL("address",'Raw Data'!H15),"\$([A-Z]+)\$[0-9]+"),"")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Data'!G16="",_xlfn.REGEXEXTRACT(CELL("address",'Raw Data'!G16),"\$([A-Z]+)\$[0-9]+"),"")</f>
        <v/>
      </c>
      <c r="I16" t="str" cm="1">
        <f t="array" aca="1" ref="I16" ca="1">IF('Raw Data'!H16="",_xlfn.REGEXEXTRACT(CELL("address",'Raw Data'!H16),"\$([A-Z]+)\$[0-9]+"),"")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Data'!G17="",_xlfn.REGEXEXTRACT(CELL("address",'Raw Data'!G17),"\$([A-Z]+)\$[0-9]+"),"")</f>
        <v/>
      </c>
      <c r="I17" t="str" cm="1">
        <f t="array" aca="1" ref="I17" ca="1">IF('Raw Data'!H17="",_xlfn.REGEXEXTRACT(CELL("address",'Raw Data'!H17),"\$([A-Z]+)\$[0-9]+"),"")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Data'!G18="",_xlfn.REGEXEXTRACT(CELL("address",'Raw Data'!G18),"\$([A-Z]+)\$[0-9]+"),"")</f>
        <v/>
      </c>
      <c r="I18" t="str" cm="1">
        <f t="array" aca="1" ref="I18" ca="1">IF('Raw Data'!H18="",_xlfn.REGEXEXTRACT(CELL("address",'Raw Data'!H18),"\$([A-Z]+)\$[0-9]+"),"")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Data'!G19="",_xlfn.REGEXEXTRACT(CELL("address",'Raw Data'!G19),"\$([A-Z]+)\$[0-9]+"),"")</f>
        <v/>
      </c>
      <c r="I19" t="str" cm="1">
        <f t="array" aca="1" ref="I19" ca="1">IF('Raw Data'!H19="",_xlfn.REGEXEXTRACT(CELL("address",'Raw Data'!H19),"\$([A-Z]+)\$[0-9]+"),"")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Data'!G20="",_xlfn.REGEXEXTRACT(CELL("address",'Raw Data'!G20),"\$([A-Z]+)\$[0-9]+"),"")</f>
        <v/>
      </c>
      <c r="I20" t="str" cm="1">
        <f t="array" aca="1" ref="I20" ca="1">IF('Raw Data'!H20="",_xlfn.REGEXEXTRACT(CELL("address",'Raw Data'!H20),"\$([A-Z]+)\$[0-9]+"),"")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/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Data'!G21="",_xlfn.REGEXEXTRACT(CELL("address",'Raw Data'!G21),"\$([A-Z]+)\$[0-9]+"),"")</f>
        <v/>
      </c>
      <c r="I21" t="str" cm="1">
        <f t="array" aca="1" ref="I21" ca="1">IF('Raw Data'!H21="",_xlfn.REGEXEXTRACT(CELL("address",'Raw Data'!H21),"\$([A-Z]+)\$[0-9]+"),"")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/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Data'!G22="",_xlfn.REGEXEXTRACT(CELL("address",'Raw Data'!G22),"\$([A-Z]+)\$[0-9]+"),"")</f>
        <v/>
      </c>
      <c r="I22" t="str" cm="1">
        <f t="array" aca="1" ref="I22" ca="1">IF('Raw Data'!H22="",_xlfn.REGEXEXTRACT(CELL("address",'Raw Data'!H22),"\$([A-Z]+)\$[0-9]+"),"")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/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Data'!G23="",_xlfn.REGEXEXTRACT(CELL("address",'Raw Data'!G23),"\$([A-Z]+)\$[0-9]+"),"")</f>
        <v/>
      </c>
      <c r="I23" t="str" cm="1">
        <f t="array" aca="1" ref="I23" ca="1">IF('Raw Data'!H23="",_xlfn.REGEXEXTRACT(CELL("address",'Raw Data'!H23),"\$([A-Z]+)\$[0-9]+"),"")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/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Data'!G24="",_xlfn.REGEXEXTRACT(CELL("address",'Raw Data'!G24),"\$([A-Z]+)\$[0-9]+"),"")</f>
        <v/>
      </c>
      <c r="I24" t="str" cm="1">
        <f t="array" aca="1" ref="I24" ca="1">IF('Raw Data'!H24="",_xlfn.REGEXEXTRACT(CELL("address",'Raw Data'!H24),"\$([A-Z]+)\$[0-9]+"),"")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/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Data'!G25="",_xlfn.REGEXEXTRACT(CELL("address",'Raw Data'!G25),"\$([A-Z]+)\$[0-9]+"),"")</f>
        <v/>
      </c>
      <c r="I25" t="str" cm="1">
        <f t="array" aca="1" ref="I25" ca="1">IF('Raw Data'!H25="",_xlfn.REGEXEXTRACT(CELL("address",'Raw Data'!H25),"\$([A-Z]+)\$[0-9]+"),"")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/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Data'!G26="",_xlfn.REGEXEXTRACT(CELL("address",'Raw Data'!G26),"\$([A-Z]+)\$[0-9]+"),"")</f>
        <v/>
      </c>
      <c r="I26" t="str" cm="1">
        <f t="array" aca="1" ref="I26" ca="1">IF('Raw Data'!H26="",_xlfn.REGEXEXTRACT(CELL("address",'Raw Data'!H26),"\$([A-Z]+)\$[0-9]+"),"")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/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Data'!G27="",_xlfn.REGEXEXTRACT(CELL("address",'Raw Data'!G27),"\$([A-Z]+)\$[0-9]+"),"")</f>
        <v/>
      </c>
      <c r="I27" t="str" cm="1">
        <f t="array" aca="1" ref="I27" ca="1">IF('Raw Data'!H27="",_xlfn.REGEXEXTRACT(CELL("address",'Raw Data'!H27),"\$([A-Z]+)\$[0-9]+"),"")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/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Data'!G28="",_xlfn.REGEXEXTRACT(CELL("address",'Raw Data'!G28),"\$([A-Z]+)\$[0-9]+"),"")</f>
        <v/>
      </c>
      <c r="I28" t="str" cm="1">
        <f t="array" aca="1" ref="I28" ca="1">IF('Raw Data'!H28="",_xlfn.REGEXEXTRACT(CELL("address",'Raw Data'!H28),"\$([A-Z]+)\$[0-9]+"),"")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/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Data'!G29="",_xlfn.REGEXEXTRACT(CELL("address",'Raw Data'!G29),"\$([A-Z]+)\$[0-9]+"),"")</f>
        <v/>
      </c>
      <c r="I29" t="str" cm="1">
        <f t="array" aca="1" ref="I29" ca="1">IF('Raw Data'!H29="",_xlfn.REGEXEXTRACT(CELL("address",'Raw Data'!H29),"\$([A-Z]+)\$[0-9]+"),"")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/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Data'!G30="",_xlfn.REGEXEXTRACT(CELL("address",'Raw Data'!G30),"\$([A-Z]+)\$[0-9]+"),"")</f>
        <v/>
      </c>
      <c r="I30" t="str" cm="1">
        <f t="array" aca="1" ref="I30" ca="1">IF('Raw Data'!H30="",_xlfn.REGEXEXTRACT(CELL("address",'Raw Data'!H30),"\$([A-Z]+)\$[0-9]+"),"")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/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Data'!G31="",_xlfn.REGEXEXTRACT(CELL("address",'Raw Data'!G31),"\$([A-Z]+)\$[0-9]+"),"")</f>
        <v/>
      </c>
      <c r="I31" t="str" cm="1">
        <f t="array" aca="1" ref="I31" ca="1">IF('Raw Data'!H31="",_xlfn.REGEXEXTRACT(CELL("address",'Raw Data'!H31),"\$([A-Z]+)\$[0-9]+"),"")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/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Data'!G32="",_xlfn.REGEXEXTRACT(CELL("address",'Raw Data'!G32),"\$([A-Z]+)\$[0-9]+"),"")</f>
        <v/>
      </c>
      <c r="I32" t="str" cm="1">
        <f t="array" aca="1" ref="I32" ca="1">IF('Raw Data'!H32="",_xlfn.REGEXEXTRACT(CELL("address",'Raw Data'!H32),"\$([A-Z]+)\$[0-9]+"),"")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/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Data'!G33="",_xlfn.REGEXEXTRACT(CELL("address",'Raw Data'!G33),"\$([A-Z]+)\$[0-9]+"),"")</f>
        <v/>
      </c>
      <c r="I33" t="str" cm="1">
        <f t="array" aca="1" ref="I33" ca="1">IF('Raw Data'!H33="",_xlfn.REGEXEXTRACT(CELL("address",'Raw Data'!H33),"\$([A-Z]+)\$[0-9]+"),"")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/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/>
      </c>
      <c r="E34" t="str" cm="1">
        <f t="array" aca="1" ref="E34" ca="1">IF('Raw Data'!E34="",_xlfn.REGEXEXTRACT(CELL("address",'Raw Data'!E34),"\$([A-Z]+)\$[0-9]+"),"")</f>
        <v/>
      </c>
      <c r="F34" t="str" cm="1">
        <f t="array" aca="1" ref="F34" ca="1">IF('Raw Data'!F34="",_xlfn.REGEXEXTRACT(CELL("address",'Raw Data'!F34),"\$([A-Z]+)\$[0-9]+"),"")</f>
        <v>$F$34</v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Data'!G34="",_xlfn.REGEXEXTRACT(CELL("address",'Raw Data'!G34),"\$([A-Z]+)\$[0-9]+"),"")</f>
        <v/>
      </c>
      <c r="I34" t="str" cm="1">
        <f t="array" aca="1" ref="I34" ca="1">IF('Raw Data'!H34="",_xlfn.REGEXEXTRACT(CELL("address",'Raw Data'!H34),"\$([A-Z]+)\$[0-9]+"),"")</f>
        <v/>
      </c>
    </row>
    <row r="35" spans="2:9" x14ac:dyDescent="0.25">
      <c r="B35" t="str" cm="1">
        <f t="array" aca="1" ref="B35" ca="1">IF('Raw Data'!B35="",_xlfn.REGEXEXTRACT(CELL("address",'Raw Data'!B35),"\$([A-Z]+)\$[0-9]+"),"")</f>
        <v/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/>
      </c>
      <c r="E35" t="str" cm="1">
        <f t="array" aca="1" ref="E35" ca="1">IF('Raw Data'!E35="",_xlfn.REGEXEXTRACT(CELL("address",'Raw Data'!E35),"\$([A-Z]+)\$[0-9]+"),"")</f>
        <v/>
      </c>
      <c r="F35" t="str" cm="1">
        <f t="array" aca="1" ref="F35" ca="1">IF('Raw Data'!F35="",_xlfn.REGEXEXTRACT(CELL("address",'Raw Data'!F35),"\$([A-Z]+)\$[0-9]+"),"")</f>
        <v>$F$35</v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Data'!G35="",_xlfn.REGEXEXTRACT(CELL("address",'Raw Data'!G35),"\$([A-Z]+)\$[0-9]+"),"")</f>
        <v/>
      </c>
      <c r="I35" t="str" cm="1">
        <f t="array" aca="1" ref="I35" ca="1">IF('Raw Data'!H35="",_xlfn.REGEXEXTRACT(CELL("address",'Raw Data'!H35),"\$([A-Z]+)\$[0-9]+"),"")</f>
        <v/>
      </c>
    </row>
    <row r="36" spans="2:9" x14ac:dyDescent="0.25">
      <c r="B36" t="str" cm="1">
        <f t="array" aca="1" ref="B36" ca="1">IF('Raw Data'!B36="",_xlfn.REGEXEXTRACT(CELL("address",'Raw Data'!B36),"\$([A-Z]+)\$[0-9]+"),"")</f>
        <v/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/>
      </c>
      <c r="E36" t="str" cm="1">
        <f t="array" aca="1" ref="E36" ca="1">IF('Raw Data'!E36="",_xlfn.REGEXEXTRACT(CELL("address",'Raw Data'!E36),"\$([A-Z]+)\$[0-9]+"),"")</f>
        <v/>
      </c>
      <c r="F36" t="str" cm="1">
        <f t="array" aca="1" ref="F36" ca="1">IF('Raw Data'!F36="",_xlfn.REGEXEXTRACT(CELL("address",'Raw Data'!F36),"\$([A-Z]+)\$[0-9]+"),"")</f>
        <v>$F$36</v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Data'!G36="",_xlfn.REGEXEXTRACT(CELL("address",'Raw Data'!G36),"\$([A-Z]+)\$[0-9]+"),"")</f>
        <v/>
      </c>
      <c r="I36" t="str" cm="1">
        <f t="array" aca="1" ref="I36" ca="1">IF('Raw Data'!H36="",_xlfn.REGEXEXTRACT(CELL("address",'Raw Data'!H36),"\$([A-Z]+)\$[0-9]+"),"")</f>
        <v/>
      </c>
    </row>
    <row r="37" spans="2:9" x14ac:dyDescent="0.25">
      <c r="B37" t="str" cm="1">
        <f t="array" aca="1" ref="B37" ca="1">IF('Raw Data'!B37="",_xlfn.REGEXEXTRACT(CELL("address",'Raw Data'!B37),"\$([A-Z]+)\$[0-9]+"),"")</f>
        <v/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/>
      </c>
      <c r="E37" t="str" cm="1">
        <f t="array" aca="1" ref="E37" ca="1">IF('Raw Data'!E37="",_xlfn.REGEXEXTRACT(CELL("address",'Raw Data'!E37),"\$([A-Z]+)\$[0-9]+"),"")</f>
        <v/>
      </c>
      <c r="F37" t="str" cm="1">
        <f t="array" aca="1" ref="F37" ca="1">IF('Raw Data'!F37="",_xlfn.REGEXEXTRACT(CELL("address",'Raw Data'!F37),"\$([A-Z]+)\$[0-9]+"),"")</f>
        <v>$F$37</v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Data'!G37="",_xlfn.REGEXEXTRACT(CELL("address",'Raw Data'!G37),"\$([A-Z]+)\$[0-9]+"),"")</f>
        <v/>
      </c>
      <c r="I37" t="str" cm="1">
        <f t="array" aca="1" ref="I37" ca="1">IF('Raw Data'!H37="",_xlfn.REGEXEXTRACT(CELL("address",'Raw Data'!H37),"\$([A-Z]+)\$[0-9]+"),"")</f>
        <v/>
      </c>
    </row>
    <row r="38" spans="2:9" x14ac:dyDescent="0.25">
      <c r="B38" t="str" cm="1">
        <f t="array" aca="1" ref="B38" ca="1">IF('Raw Data'!B38="",_xlfn.REGEXEXTRACT(CELL("address",'Raw Data'!B38),"\$([A-Z]+)\$[0-9]+"),"")</f>
        <v/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/>
      </c>
      <c r="E38" t="str" cm="1">
        <f t="array" aca="1" ref="E38" ca="1">IF('Raw Data'!E38="",_xlfn.REGEXEXTRACT(CELL("address",'Raw Data'!E38),"\$([A-Z]+)\$[0-9]+"),"")</f>
        <v/>
      </c>
      <c r="F38" t="str" cm="1">
        <f t="array" aca="1" ref="F38" ca="1">IF('Raw Data'!F38="",_xlfn.REGEXEXTRACT(CELL("address",'Raw Data'!F38),"\$([A-Z]+)\$[0-9]+"),"")</f>
        <v>$F$38</v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Data'!G38="",_xlfn.REGEXEXTRACT(CELL("address",'Raw Data'!G38),"\$([A-Z]+)\$[0-9]+"),"")</f>
        <v/>
      </c>
      <c r="I38" t="str" cm="1">
        <f t="array" aca="1" ref="I38" ca="1">IF('Raw Data'!H38="",_xlfn.REGEXEXTRACT(CELL("address",'Raw Data'!H38),"\$([A-Z]+)\$[0-9]+"),"")</f>
        <v/>
      </c>
    </row>
    <row r="39" spans="2:9" x14ac:dyDescent="0.25">
      <c r="B39" t="str" cm="1">
        <f t="array" aca="1" ref="B39" ca="1">IF('Raw Data'!B39="",_xlfn.REGEXEXTRACT(CELL("address",'Raw Data'!B39),"\$([A-Z]+)\$[0-9]+"),"")</f>
        <v/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/>
      </c>
      <c r="E39" t="str" cm="1">
        <f t="array" aca="1" ref="E39" ca="1">IF('Raw Data'!E39="",_xlfn.REGEXEXTRACT(CELL("address",'Raw Data'!E39),"\$([A-Z]+)\$[0-9]+"),"")</f>
        <v/>
      </c>
      <c r="F39" t="str" cm="1">
        <f t="array" aca="1" ref="F39" ca="1">IF('Raw Data'!F39="",_xlfn.REGEXEXTRACT(CELL("address",'Raw Data'!F39),"\$([A-Z]+)\$[0-9]+"),"")</f>
        <v>$F$39</v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Data'!G39="",_xlfn.REGEXEXTRACT(CELL("address",'Raw Data'!G39),"\$([A-Z]+)\$[0-9]+"),"")</f>
        <v/>
      </c>
      <c r="I39" t="str" cm="1">
        <f t="array" aca="1" ref="I39" ca="1">IF('Raw Data'!H39="",_xlfn.REGEXEXTRACT(CELL("address",'Raw Data'!H39),"\$([A-Z]+)\$[0-9]+"),"")</f>
        <v/>
      </c>
    </row>
    <row r="40" spans="2:9" x14ac:dyDescent="0.25">
      <c r="B40" t="str" cm="1">
        <f t="array" aca="1" ref="B40" ca="1">IF('Raw Data'!B40="",_xlfn.REGEXEXTRACT(CELL("address",'Raw Data'!B40),"\$([A-Z]+)\$[0-9]+"),"")</f>
        <v/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/>
      </c>
      <c r="E40" t="str" cm="1">
        <f t="array" aca="1" ref="E40" ca="1">IF('Raw Data'!E40="",_xlfn.REGEXEXTRACT(CELL("address",'Raw Data'!E40),"\$([A-Z]+)\$[0-9]+"),"")</f>
        <v/>
      </c>
      <c r="F40" t="str" cm="1">
        <f t="array" aca="1" ref="F40" ca="1">IF('Raw Data'!F40="",_xlfn.REGEXEXTRACT(CELL("address",'Raw Data'!F40),"\$([A-Z]+)\$[0-9]+"),"")</f>
        <v>$F$40</v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Data'!G40="",_xlfn.REGEXEXTRACT(CELL("address",'Raw Data'!G40),"\$([A-Z]+)\$[0-9]+"),"")</f>
        <v/>
      </c>
      <c r="I40" t="str" cm="1">
        <f t="array" aca="1" ref="I40" ca="1">IF('Raw Data'!H40="",_xlfn.REGEXEXTRACT(CELL("address",'Raw Data'!H40),"\$([A-Z]+)\$[0-9]+"),"")</f>
        <v/>
      </c>
    </row>
    <row r="41" spans="2:9" x14ac:dyDescent="0.25">
      <c r="B41" t="str" cm="1">
        <f t="array" aca="1" ref="B41" ca="1">IF('Raw Data'!B41="",_xlfn.REGEXEXTRACT(CELL("address",'Raw Data'!B41),"\$([A-Z]+)\$[0-9]+"),"")</f>
        <v/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/>
      </c>
      <c r="E41" t="str" cm="1">
        <f t="array" aca="1" ref="E41" ca="1">IF('Raw Data'!E41="",_xlfn.REGEXEXTRACT(CELL("address",'Raw Data'!E41),"\$([A-Z]+)\$[0-9]+"),"")</f>
        <v/>
      </c>
      <c r="F41" t="str" cm="1">
        <f t="array" aca="1" ref="F41" ca="1">IF('Raw Data'!F41="",_xlfn.REGEXEXTRACT(CELL("address",'Raw Data'!F41),"\$([A-Z]+)\$[0-9]+"),"")</f>
        <v>$F$41</v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Data'!G41="",_xlfn.REGEXEXTRACT(CELL("address",'Raw Data'!G41),"\$([A-Z]+)\$[0-9]+"),"")</f>
        <v/>
      </c>
      <c r="I41" t="str" cm="1">
        <f t="array" aca="1" ref="I41" ca="1">IF('Raw Data'!H41="",_xlfn.REGEXEXTRACT(CELL("address",'Raw Data'!H41),"\$([A-Z]+)\$[0-9]+"),"")</f>
        <v/>
      </c>
    </row>
    <row r="42" spans="2:9" x14ac:dyDescent="0.25">
      <c r="B42" t="str" cm="1">
        <f t="array" aca="1" ref="B42" ca="1">IF('Raw Data'!B42="",_xlfn.REGEXEXTRACT(CELL("address",'Raw Data'!B42),"\$([A-Z]+)\$[0-9]+"),"")</f>
        <v/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/>
      </c>
      <c r="E42" t="str" cm="1">
        <f t="array" aca="1" ref="E42" ca="1">IF('Raw Data'!E42="",_xlfn.REGEXEXTRACT(CELL("address",'Raw Data'!E42),"\$([A-Z]+)\$[0-9]+"),"")</f>
        <v/>
      </c>
      <c r="F42" t="str" cm="1">
        <f t="array" aca="1" ref="F42" ca="1">IF('Raw Data'!F42="",_xlfn.REGEXEXTRACT(CELL("address",'Raw Data'!F42),"\$([A-Z]+)\$[0-9]+"),"")</f>
        <v>$F$42</v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Data'!G42="",_xlfn.REGEXEXTRACT(CELL("address",'Raw Data'!G42),"\$([A-Z]+)\$[0-9]+"),"")</f>
        <v/>
      </c>
      <c r="I42" t="str" cm="1">
        <f t="array" aca="1" ref="I42" ca="1">IF('Raw Data'!H42="",_xlfn.REGEXEXTRACT(CELL("address",'Raw Data'!H42),"\$([A-Z]+)\$[0-9]+"),"")</f>
        <v/>
      </c>
    </row>
    <row r="43" spans="2:9" x14ac:dyDescent="0.25">
      <c r="B43" t="str" cm="1">
        <f t="array" aca="1" ref="B43" ca="1">IF('Raw Data'!B43="",_xlfn.REGEXEXTRACT(CELL("address",'Raw Data'!B43),"\$([A-Z]+)\$[0-9]+"),"")</f>
        <v/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/>
      </c>
      <c r="E43" t="str" cm="1">
        <f t="array" aca="1" ref="E43" ca="1">IF('Raw Data'!E43="",_xlfn.REGEXEXTRACT(CELL("address",'Raw Data'!E43),"\$([A-Z]+)\$[0-9]+"),"")</f>
        <v/>
      </c>
      <c r="F43" t="str" cm="1">
        <f t="array" aca="1" ref="F43" ca="1">IF('Raw Data'!F43="",_xlfn.REGEXEXTRACT(CELL("address",'Raw Data'!F43),"\$([A-Z]+)\$[0-9]+"),"")</f>
        <v>$F$43</v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Data'!G43="",_xlfn.REGEXEXTRACT(CELL("address",'Raw Data'!G43),"\$([A-Z]+)\$[0-9]+"),"")</f>
        <v/>
      </c>
      <c r="I43" t="str" cm="1">
        <f t="array" aca="1" ref="I43" ca="1">IF('Raw Data'!H43="",_xlfn.REGEXEXTRACT(CELL("address",'Raw Data'!H43),"\$([A-Z]+)\$[0-9]+"),"")</f>
        <v/>
      </c>
    </row>
    <row r="44" spans="2:9" x14ac:dyDescent="0.25">
      <c r="B44" t="str" cm="1">
        <f t="array" aca="1" ref="B44" ca="1">IF('Raw Data'!B44="",_xlfn.REGEXEXTRACT(CELL("address",'Raw Data'!B44),"\$([A-Z]+)\$[0-9]+"),"")</f>
        <v/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/>
      </c>
      <c r="E44" t="str" cm="1">
        <f t="array" aca="1" ref="E44" ca="1">IF('Raw Data'!E44="",_xlfn.REGEXEXTRACT(CELL("address",'Raw Data'!E44),"\$([A-Z]+)\$[0-9]+"),"")</f>
        <v/>
      </c>
      <c r="F44" t="str" cm="1">
        <f t="array" aca="1" ref="F44" ca="1">IF('Raw Data'!F44="",_xlfn.REGEXEXTRACT(CELL("address",'Raw Data'!F44),"\$([A-Z]+)\$[0-9]+"),"")</f>
        <v>$F$44</v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Data'!G44="",_xlfn.REGEXEXTRACT(CELL("address",'Raw Data'!G44),"\$([A-Z]+)\$[0-9]+"),"")</f>
        <v/>
      </c>
      <c r="I44" t="str" cm="1">
        <f t="array" aca="1" ref="I44" ca="1">IF('Raw Data'!H44="",_xlfn.REGEXEXTRACT(CELL("address",'Raw Data'!H44),"\$([A-Z]+)\$[0-9]+"),"")</f>
        <v/>
      </c>
    </row>
    <row r="45" spans="2:9" x14ac:dyDescent="0.25">
      <c r="B45" t="str" cm="1">
        <f t="array" aca="1" ref="B45" ca="1">IF('Raw Data'!B45="",_xlfn.REGEXEXTRACT(CELL("address",'Raw Data'!B45),"\$([A-Z]+)\$[0-9]+"),"")</f>
        <v/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/>
      </c>
      <c r="E45" t="str" cm="1">
        <f t="array" aca="1" ref="E45" ca="1">IF('Raw Data'!E45="",_xlfn.REGEXEXTRACT(CELL("address",'Raw Data'!E45),"\$([A-Z]+)\$[0-9]+"),"")</f>
        <v/>
      </c>
      <c r="F45" t="str" cm="1">
        <f t="array" aca="1" ref="F45" ca="1">IF('Raw Data'!F45="",_xlfn.REGEXEXTRACT(CELL("address",'Raw Data'!F45),"\$([A-Z]+)\$[0-9]+"),"")</f>
        <v>$F$45</v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Data'!G45="",_xlfn.REGEXEXTRACT(CELL("address",'Raw Data'!G45),"\$([A-Z]+)\$[0-9]+"),"")</f>
        <v/>
      </c>
      <c r="I45" t="str" cm="1">
        <f t="array" aca="1" ref="I45" ca="1">IF('Raw Data'!H45="",_xlfn.REGEXEXTRACT(CELL("address",'Raw Data'!H45),"\$([A-Z]+)\$[0-9]+"),"")</f>
        <v/>
      </c>
    </row>
    <row r="46" spans="2:9" x14ac:dyDescent="0.25">
      <c r="B46" t="str" cm="1">
        <f t="array" aca="1" ref="B46" ca="1">IF('Raw Data'!B46="",_xlfn.REGEXEXTRACT(CELL("address",'Raw Data'!B46),"\$([A-Z]+)\$[0-9]+"),"")</f>
        <v/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/>
      </c>
      <c r="E46" t="str" cm="1">
        <f t="array" aca="1" ref="E46" ca="1">IF('Raw Data'!E46="",_xlfn.REGEXEXTRACT(CELL("address",'Raw Data'!E46),"\$([A-Z]+)\$[0-9]+"),"")</f>
        <v/>
      </c>
      <c r="F46" t="str" cm="1">
        <f t="array" aca="1" ref="F46" ca="1">IF('Raw Data'!F46="",_xlfn.REGEXEXTRACT(CELL("address",'Raw Data'!F46),"\$([A-Z]+)\$[0-9]+"),"")</f>
        <v>$F$46</v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Data'!G46="",_xlfn.REGEXEXTRACT(CELL("address",'Raw Data'!G46),"\$([A-Z]+)\$[0-9]+"),"")</f>
        <v/>
      </c>
      <c r="I46" t="str" cm="1">
        <f t="array" aca="1" ref="I46" ca="1">IF('Raw Data'!H46="",_xlfn.REGEXEXTRACT(CELL("address",'Raw Data'!H46),"\$([A-Z]+)\$[0-9]+"),"")</f>
        <v/>
      </c>
    </row>
    <row r="47" spans="2:9" x14ac:dyDescent="0.25">
      <c r="B47" t="str" cm="1">
        <f t="array" aca="1" ref="B47" ca="1">IF('Raw Data'!B47="",_xlfn.REGEXEXTRACT(CELL("address",'Raw Data'!B47),"\$([A-Z]+)\$[0-9]+"),"")</f>
        <v/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/>
      </c>
      <c r="E47" t="str" cm="1">
        <f t="array" aca="1" ref="E47" ca="1">IF('Raw Data'!E47="",_xlfn.REGEXEXTRACT(CELL("address",'Raw Data'!E47),"\$([A-Z]+)\$[0-9]+"),"")</f>
        <v/>
      </c>
      <c r="F47" t="str" cm="1">
        <f t="array" aca="1" ref="F47" ca="1">IF('Raw Data'!F47="",_xlfn.REGEXEXTRACT(CELL("address",'Raw Data'!F47),"\$([A-Z]+)\$[0-9]+"),"")</f>
        <v>$F$47</v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Data'!G47="",_xlfn.REGEXEXTRACT(CELL("address",'Raw Data'!G47),"\$([A-Z]+)\$[0-9]+"),"")</f>
        <v/>
      </c>
      <c r="I47" t="str" cm="1">
        <f t="array" aca="1" ref="I47" ca="1">IF('Raw Data'!H47="",_xlfn.REGEXEXTRACT(CELL("address",'Raw Data'!H47),"\$([A-Z]+)\$[0-9]+"),"")</f>
        <v/>
      </c>
    </row>
    <row r="48" spans="2:9" x14ac:dyDescent="0.25">
      <c r="B48" t="str" cm="1">
        <f t="array" aca="1" ref="B48" ca="1">IF('Raw Data'!B48="",_xlfn.REGEXEXTRACT(CELL("address",'Raw Data'!B48),"\$([A-Z]+)\$[0-9]+"),"")</f>
        <v/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/>
      </c>
      <c r="E48" t="str" cm="1">
        <f t="array" aca="1" ref="E48" ca="1">IF('Raw Data'!E48="",_xlfn.REGEXEXTRACT(CELL("address",'Raw Data'!E48),"\$([A-Z]+)\$[0-9]+"),"")</f>
        <v/>
      </c>
      <c r="F48" t="str" cm="1">
        <f t="array" aca="1" ref="F48" ca="1">IF('Raw Data'!F48="",_xlfn.REGEXEXTRACT(CELL("address",'Raw Data'!F48),"\$([A-Z]+)\$[0-9]+"),"")</f>
        <v>$F$48</v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Data'!G48="",_xlfn.REGEXEXTRACT(CELL("address",'Raw Data'!G48),"\$([A-Z]+)\$[0-9]+"),"")</f>
        <v/>
      </c>
      <c r="I48" t="str" cm="1">
        <f t="array" aca="1" ref="I48" ca="1">IF('Raw Data'!H48="",_xlfn.REGEXEXTRACT(CELL("address",'Raw Data'!H48),"\$([A-Z]+)\$[0-9]+"),"")</f>
        <v/>
      </c>
    </row>
    <row r="49" spans="2:9" x14ac:dyDescent="0.25">
      <c r="B49" t="str" cm="1">
        <f t="array" aca="1" ref="B49" ca="1">IF('Raw Data'!B49="",_xlfn.REGEXEXTRACT(CELL("address",'Raw Data'!B49),"\$([A-Z]+)\$[0-9]+"),"")</f>
        <v/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/>
      </c>
      <c r="E49" t="str" cm="1">
        <f t="array" aca="1" ref="E49" ca="1">IF('Raw Data'!E49="",_xlfn.REGEXEXTRACT(CELL("address",'Raw Data'!E49),"\$([A-Z]+)\$[0-9]+"),"")</f>
        <v/>
      </c>
      <c r="F49" t="str" cm="1">
        <f t="array" aca="1" ref="F49" ca="1">IF('Raw Data'!F49="",_xlfn.REGEXEXTRACT(CELL("address",'Raw Data'!F49),"\$([A-Z]+)\$[0-9]+"),"")</f>
        <v>$F$49</v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Data'!G49="",_xlfn.REGEXEXTRACT(CELL("address",'Raw Data'!G49),"\$([A-Z]+)\$[0-9]+"),"")</f>
        <v/>
      </c>
      <c r="I49" t="str" cm="1">
        <f t="array" aca="1" ref="I49" ca="1">IF('Raw Data'!H49="",_xlfn.REGEXEXTRACT(CELL("address",'Raw Data'!H49),"\$([A-Z]+)\$[0-9]+"),"")</f>
        <v/>
      </c>
    </row>
    <row r="50" spans="2:9" x14ac:dyDescent="0.25">
      <c r="B50" t="str" cm="1">
        <f t="array" aca="1" ref="B50" ca="1">IF('Raw Data'!B50="",_xlfn.REGEXEXTRACT(CELL("address",'Raw Data'!B50),"\$([A-Z]+)\$[0-9]+"),"")</f>
        <v/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/>
      </c>
      <c r="E50" t="str" cm="1">
        <f t="array" aca="1" ref="E50" ca="1">IF('Raw Data'!E50="",_xlfn.REGEXEXTRACT(CELL("address",'Raw Data'!E50),"\$([A-Z]+)\$[0-9]+"),"")</f>
        <v/>
      </c>
      <c r="F50" t="str" cm="1">
        <f t="array" aca="1" ref="F50" ca="1">IF('Raw Data'!F50="",_xlfn.REGEXEXTRACT(CELL("address",'Raw Data'!F50),"\$([A-Z]+)\$[0-9]+"),"")</f>
        <v>$F$50</v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Data'!G50="",_xlfn.REGEXEXTRACT(CELL("address",'Raw Data'!G50),"\$([A-Z]+)\$[0-9]+"),"")</f>
        <v/>
      </c>
      <c r="I50" t="str" cm="1">
        <f t="array" aca="1" ref="I50" ca="1">IF('Raw Data'!H50="",_xlfn.REGEXEXTRACT(CELL("address",'Raw Data'!H50),"\$([A-Z]+)\$[0-9]+"),"")</f>
        <v/>
      </c>
    </row>
    <row r="51" spans="2:9" x14ac:dyDescent="0.25">
      <c r="B51" t="str" cm="1">
        <f t="array" aca="1" ref="B51" ca="1">IF('Raw Data'!B51="",_xlfn.REGEXEXTRACT(CELL("address",'Raw Data'!B51),"\$([A-Z]+)\$[0-9]+"),"")</f>
        <v/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/>
      </c>
      <c r="E51" t="str" cm="1">
        <f t="array" aca="1" ref="E51" ca="1">IF('Raw Data'!E51="",_xlfn.REGEXEXTRACT(CELL("address",'Raw Data'!E51),"\$([A-Z]+)\$[0-9]+"),"")</f>
        <v/>
      </c>
      <c r="F51" t="str" cm="1">
        <f t="array" aca="1" ref="F51" ca="1">IF('Raw Data'!F51="",_xlfn.REGEXEXTRACT(CELL("address",'Raw Data'!F51),"\$([A-Z]+)\$[0-9]+"),"")</f>
        <v>$F$51</v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Data'!G51="",_xlfn.REGEXEXTRACT(CELL("address",'Raw Data'!G51),"\$([A-Z]+)\$[0-9]+"),"")</f>
        <v/>
      </c>
      <c r="I51" t="str" cm="1">
        <f t="array" aca="1" ref="I51" ca="1">IF('Raw Data'!H51="",_xlfn.REGEXEXTRACT(CELL("address",'Raw Data'!H51),"\$([A-Z]+)\$[0-9]+"),"")</f>
        <v/>
      </c>
    </row>
    <row r="52" spans="2:9" x14ac:dyDescent="0.25">
      <c r="B52" t="str" cm="1">
        <f t="array" aca="1" ref="B52" ca="1">IF('Raw Data'!B52="",_xlfn.REGEXEXTRACT(CELL("address",'Raw Data'!B52),"\$([A-Z]+)\$[0-9]+"),"")</f>
        <v/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/>
      </c>
      <c r="E52" t="str" cm="1">
        <f t="array" aca="1" ref="E52" ca="1">IF('Raw Data'!E52="",_xlfn.REGEXEXTRACT(CELL("address",'Raw Data'!E52),"\$([A-Z]+)\$[0-9]+"),"")</f>
        <v/>
      </c>
      <c r="F52" t="str" cm="1">
        <f t="array" aca="1" ref="F52" ca="1">IF('Raw Data'!F52="",_xlfn.REGEXEXTRACT(CELL("address",'Raw Data'!F52),"\$([A-Z]+)\$[0-9]+"),"")</f>
        <v>$F$52</v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Data'!G52="",_xlfn.REGEXEXTRACT(CELL("address",'Raw Data'!G52),"\$([A-Z]+)\$[0-9]+"),"")</f>
        <v/>
      </c>
      <c r="I52" t="str" cm="1">
        <f t="array" aca="1" ref="I52" ca="1">IF('Raw Data'!H52="",_xlfn.REGEXEXTRACT(CELL("address",'Raw Data'!H52),"\$([A-Z]+)\$[0-9]+"),"")</f>
        <v/>
      </c>
    </row>
    <row r="53" spans="2:9" x14ac:dyDescent="0.25">
      <c r="B53" t="str" cm="1">
        <f t="array" aca="1" ref="B53" ca="1">IF('Raw Data'!B53="",_xlfn.REGEXEXTRACT(CELL("address",'Raw Data'!B53),"\$([A-Z]+)\$[0-9]+"),"")</f>
        <v/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f="E53" ca="1">IF('Raw Data'!E53="",_xlfn.REGEXEXTRACT(CELL("address",'Raw Data'!E53),"\$([A-Z]+)\$[0-9]+"),"")</f>
        <v/>
      </c>
      <c r="F53" t="str" cm="1">
        <f t="array" aca="1" ref="F53" ca="1">IF('Raw Data'!F53="",_xlfn.REGEXEXTRACT(CELL("address",'Raw Data'!F53),"\$([A-Z]+)\$[0-9]+"),"")</f>
        <v>$F$53</v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Data'!G53="",_xlfn.REGEXEXTRACT(CELL("address",'Raw Data'!G53),"\$([A-Z]+)\$[0-9]+"),"")</f>
        <v/>
      </c>
      <c r="I53" t="str" cm="1">
        <f t="array" aca="1" ref="I53" ca="1">IF('Raw Data'!H53="",_xlfn.REGEXEXTRACT(CELL("address",'Raw Data'!H53),"\$([A-Z]+)\$[0-9]+"),"")</f>
        <v/>
      </c>
    </row>
    <row r="54" spans="2:9" x14ac:dyDescent="0.25">
      <c r="B54" t="str" cm="1">
        <f t="array" aca="1" ref="B54" ca="1">IF('Raw Data'!B54="",_xlfn.REGEXEXTRACT(CELL("address",'Raw Data'!B54),"\$([A-Z]+)\$[0-9]+"),"")</f>
        <v/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/>
      </c>
      <c r="E54" t="str" cm="1">
        <f t="array" aca="1" ref="E54" ca="1">IF('Raw Data'!E54="",_xlfn.REGEXEXTRACT(CELL("address",'Raw Data'!E54),"\$([A-Z]+)\$[0-9]+"),"")</f>
        <v/>
      </c>
      <c r="F54" t="str" cm="1">
        <f t="array" aca="1" ref="F54" ca="1">IF('Raw Data'!F54="",_xlfn.REGEXEXTRACT(CELL("address",'Raw Data'!F54),"\$([A-Z]+)\$[0-9]+"),"")</f>
        <v>$F$54</v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Data'!G54="",_xlfn.REGEXEXTRACT(CELL("address",'Raw Data'!G54),"\$([A-Z]+)\$[0-9]+"),"")</f>
        <v/>
      </c>
      <c r="I54" t="str" cm="1">
        <f t="array" aca="1" ref="I54" ca="1">IF('Raw Data'!H54="",_xlfn.REGEXEXTRACT(CELL("address",'Raw Data'!H54),"\$([A-Z]+)\$[0-9]+"),"")</f>
        <v/>
      </c>
    </row>
    <row r="55" spans="2:9" x14ac:dyDescent="0.25">
      <c r="B55" t="str" cm="1">
        <f t="array" aca="1" ref="B55" ca="1">IF('Raw Data'!B55="",_xlfn.REGEXEXTRACT(CELL("address",'Raw Data'!B55),"\$([A-Z]+)\$[0-9]+"),"")</f>
        <v/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/>
      </c>
      <c r="E55" t="str" cm="1">
        <f t="array" aca="1" ref="E55" ca="1">IF('Raw Data'!E55="",_xlfn.REGEXEXTRACT(CELL("address",'Raw Data'!E55),"\$([A-Z]+)\$[0-9]+"),"")</f>
        <v/>
      </c>
      <c r="F55" t="str" cm="1">
        <f t="array" aca="1" ref="F55" ca="1">IF('Raw Data'!F55="",_xlfn.REGEXEXTRACT(CELL("address",'Raw Data'!F55),"\$([A-Z]+)\$[0-9]+"),"")</f>
        <v>$F$55</v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Data'!G55="",_xlfn.REGEXEXTRACT(CELL("address",'Raw Data'!G55),"\$([A-Z]+)\$[0-9]+"),"")</f>
        <v/>
      </c>
      <c r="I55" t="str" cm="1">
        <f t="array" aca="1" ref="I55" ca="1">IF('Raw Data'!H55="",_xlfn.REGEXEXTRACT(CELL("address",'Raw Data'!H55),"\$([A-Z]+)\$[0-9]+"),"")</f>
        <v/>
      </c>
    </row>
    <row r="56" spans="2:9" x14ac:dyDescent="0.25">
      <c r="B56" t="str" cm="1">
        <f t="array" aca="1" ref="B56" ca="1">IF('Raw Data'!B56="",_xlfn.REGEXEXTRACT(CELL("address",'Raw Data'!B56),"\$([A-Z]+)\$[0-9]+"),"")</f>
        <v/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/>
      </c>
      <c r="E56" t="str" cm="1">
        <f t="array" aca="1" ref="E56" ca="1">IF('Raw Data'!E56="",_xlfn.REGEXEXTRACT(CELL("address",'Raw Data'!E56),"\$([A-Z]+)\$[0-9]+"),"")</f>
        <v/>
      </c>
      <c r="F56" t="str" cm="1">
        <f t="array" aca="1" ref="F56" ca="1">IF('Raw Data'!F56="",_xlfn.REGEXEXTRACT(CELL("address",'Raw Data'!F56),"\$([A-Z]+)\$[0-9]+"),"")</f>
        <v>$F$56</v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Data'!G56="",_xlfn.REGEXEXTRACT(CELL("address",'Raw Data'!G56),"\$([A-Z]+)\$[0-9]+"),"")</f>
        <v/>
      </c>
      <c r="I56" t="str" cm="1">
        <f t="array" aca="1" ref="I56" ca="1">IF('Raw Data'!H56="",_xlfn.REGEXEXTRACT(CELL("address",'Raw Data'!H56),"\$([A-Z]+)\$[0-9]+"),"")</f>
        <v/>
      </c>
    </row>
    <row r="57" spans="2:9" x14ac:dyDescent="0.25">
      <c r="B57" t="str" cm="1">
        <f t="array" aca="1" ref="B57" ca="1">IF('Raw Data'!B57="",_xlfn.REGEXEXTRACT(CELL("address",'Raw Data'!B57),"\$([A-Z]+)\$[0-9]+"),"")</f>
        <v/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/>
      </c>
      <c r="E57" t="str" cm="1">
        <f t="array" aca="1" ref="E57" ca="1">IF('Raw Data'!E57="",_xlfn.REGEXEXTRACT(CELL("address",'Raw Data'!E57),"\$([A-Z]+)\$[0-9]+"),"")</f>
        <v/>
      </c>
      <c r="F57" t="str" cm="1">
        <f t="array" aca="1" ref="F57" ca="1">IF('Raw Data'!F57="",_xlfn.REGEXEXTRACT(CELL("address",'Raw Data'!F57),"\$([A-Z]+)\$[0-9]+"),"")</f>
        <v>$F$57</v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Data'!G57="",_xlfn.REGEXEXTRACT(CELL("address",'Raw Data'!G57),"\$([A-Z]+)\$[0-9]+"),"")</f>
        <v/>
      </c>
      <c r="I57" t="str" cm="1">
        <f t="array" aca="1" ref="I57" ca="1">IF('Raw Data'!H57="",_xlfn.REGEXEXTRACT(CELL("address",'Raw Data'!H57),"\$([A-Z]+)\$[0-9]+"),"")</f>
        <v/>
      </c>
    </row>
    <row r="58" spans="2:9" x14ac:dyDescent="0.25">
      <c r="B58" t="str" cm="1">
        <f t="array" aca="1" ref="B58" ca="1">IF('Raw Data'!B58="",_xlfn.REGEXEXTRACT(CELL("address",'Raw Data'!B58),"\$([A-Z]+)\$[0-9]+"),"")</f>
        <v/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/>
      </c>
      <c r="E58" t="str" cm="1">
        <f t="array" aca="1" ref="E58" ca="1">IF('Raw Data'!E58="",_xlfn.REGEXEXTRACT(CELL("address",'Raw Data'!E58),"\$([A-Z]+)\$[0-9]+"),"")</f>
        <v/>
      </c>
      <c r="F58" t="str" cm="1">
        <f t="array" aca="1" ref="F58" ca="1">IF('Raw Data'!F58="",_xlfn.REGEXEXTRACT(CELL("address",'Raw Data'!F58),"\$([A-Z]+)\$[0-9]+"),"")</f>
        <v>$F$58</v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Data'!G58="",_xlfn.REGEXEXTRACT(CELL("address",'Raw Data'!G58),"\$([A-Z]+)\$[0-9]+"),"")</f>
        <v/>
      </c>
      <c r="I58" t="str" cm="1">
        <f t="array" aca="1" ref="I58" ca="1">IF('Raw Data'!H58="",_xlfn.REGEXEXTRACT(CELL("address",'Raw Data'!H58),"\$([A-Z]+)\$[0-9]+"),"")</f>
        <v/>
      </c>
    </row>
    <row r="59" spans="2:9" x14ac:dyDescent="0.25">
      <c r="B59" t="str" cm="1">
        <f t="array" aca="1" ref="B59" ca="1">IF('Raw Data'!B59="",_xlfn.REGEXEXTRACT(CELL("address",'Raw Data'!B59),"\$([A-Z]+)\$[0-9]+"),"")</f>
        <v/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/>
      </c>
      <c r="E59" t="str" cm="1">
        <f t="array" aca="1" ref="E59" ca="1">IF('Raw Data'!E59="",_xlfn.REGEXEXTRACT(CELL("address",'Raw Data'!E59),"\$([A-Z]+)\$[0-9]+"),"")</f>
        <v/>
      </c>
      <c r="F59" t="str" cm="1">
        <f t="array" aca="1" ref="F59" ca="1">IF('Raw Data'!F59="",_xlfn.REGEXEXTRACT(CELL("address",'Raw Data'!F59),"\$([A-Z]+)\$[0-9]+"),"")</f>
        <v>$F$59</v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Data'!G59="",_xlfn.REGEXEXTRACT(CELL("address",'Raw Data'!G59),"\$([A-Z]+)\$[0-9]+"),"")</f>
        <v/>
      </c>
      <c r="I59" t="str" cm="1">
        <f t="array" aca="1" ref="I59" ca="1">IF('Raw Data'!H59="",_xlfn.REGEXEXTRACT(CELL("address",'Raw Data'!H59),"\$([A-Z]+)\$[0-9]+"),"")</f>
        <v/>
      </c>
    </row>
    <row r="60" spans="2:9" x14ac:dyDescent="0.25">
      <c r="B60" t="str" cm="1">
        <f t="array" aca="1" ref="B60" ca="1">IF('Raw Data'!B60="",_xlfn.REGEXEXTRACT(CELL("address",'Raw Data'!B60),"\$([A-Z]+)\$[0-9]+"),"")</f>
        <v/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/>
      </c>
      <c r="E60" t="str" cm="1">
        <f t="array" aca="1" ref="E60" ca="1">IF('Raw Data'!E60="",_xlfn.REGEXEXTRACT(CELL("address",'Raw Data'!E60),"\$([A-Z]+)\$[0-9]+"),"")</f>
        <v/>
      </c>
      <c r="F60" t="str" cm="1">
        <f t="array" aca="1" ref="F60" ca="1">IF('Raw Data'!F60="",_xlfn.REGEXEXTRACT(CELL("address",'Raw Data'!F60),"\$([A-Z]+)\$[0-9]+"),"")</f>
        <v>$F$60</v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Data'!G60="",_xlfn.REGEXEXTRACT(CELL("address",'Raw Data'!G60),"\$([A-Z]+)\$[0-9]+"),"")</f>
        <v/>
      </c>
      <c r="I60" t="str" cm="1">
        <f t="array" aca="1" ref="I60" ca="1">IF('Raw Data'!H60="",_xlfn.REGEXEXTRACT(CELL("address",'Raw Data'!H60),"\$([A-Z]+)\$[0-9]+"),"")</f>
        <v/>
      </c>
    </row>
    <row r="61" spans="2:9" x14ac:dyDescent="0.25">
      <c r="B61" t="str" cm="1">
        <f t="array" aca="1" ref="B61" ca="1">IF('Raw Data'!B61="",_xlfn.REGEXEXTRACT(CELL("address",'Raw Data'!B61),"\$([A-Z]+)\$[0-9]+"),"")</f>
        <v/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/>
      </c>
      <c r="E61" t="str" cm="1">
        <f t="array" aca="1" ref="E61" ca="1">IF('Raw Data'!E61="",_xlfn.REGEXEXTRACT(CELL("address",'Raw Data'!E61),"\$([A-Z]+)\$[0-9]+"),"")</f>
        <v/>
      </c>
      <c r="F61" t="str" cm="1">
        <f t="array" aca="1" ref="F61" ca="1">IF('Raw Data'!F61="",_xlfn.REGEXEXTRACT(CELL("address",'Raw Data'!F61),"\$([A-Z]+)\$[0-9]+"),"")</f>
        <v>$F$61</v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Data'!G61="",_xlfn.REGEXEXTRACT(CELL("address",'Raw Data'!G61),"\$([A-Z]+)\$[0-9]+"),"")</f>
        <v/>
      </c>
      <c r="I61" t="str" cm="1">
        <f t="array" aca="1" ref="I61" ca="1">IF('Raw Data'!H61="",_xlfn.REGEXEXTRACT(CELL("address",'Raw Data'!H61),"\$([A-Z]+)\$[0-9]+"),"")</f>
        <v/>
      </c>
    </row>
    <row r="62" spans="2:9" x14ac:dyDescent="0.25">
      <c r="B62" t="str" cm="1">
        <f t="array" aca="1" ref="B62" ca="1">IF('Raw Data'!B62="",_xlfn.REGEXEXTRACT(CELL("address",'Raw Data'!B62),"\$([A-Z]+)\$[0-9]+"),"")</f>
        <v/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/>
      </c>
      <c r="E62" t="str" cm="1">
        <f t="array" aca="1" ref="E62" ca="1">IF('Raw Data'!E62="",_xlfn.REGEXEXTRACT(CELL("address",'Raw Data'!E62),"\$([A-Z]+)\$[0-9]+"),"")</f>
        <v/>
      </c>
      <c r="F62" t="str" cm="1">
        <f t="array" aca="1" ref="F62" ca="1">IF('Raw Data'!F62="",_xlfn.REGEXEXTRACT(CELL("address",'Raw Data'!F62),"\$([A-Z]+)\$[0-9]+"),"")</f>
        <v>$F$62</v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Data'!G62="",_xlfn.REGEXEXTRACT(CELL("address",'Raw Data'!G62),"\$([A-Z]+)\$[0-9]+"),"")</f>
        <v/>
      </c>
      <c r="I62" t="str" cm="1">
        <f t="array" aca="1" ref="I62" ca="1">IF('Raw Data'!H62="",_xlfn.REGEXEXTRACT(CELL("address",'Raw Data'!H62),"\$([A-Z]+)\$[0-9]+"),"")</f>
        <v/>
      </c>
    </row>
    <row r="63" spans="2:9" x14ac:dyDescent="0.25">
      <c r="B63" t="str" cm="1">
        <f t="array" aca="1" ref="B63" ca="1">IF('Raw Data'!B63="",_xlfn.REGEXEXTRACT(CELL("address",'Raw Data'!B63),"\$([A-Z]+)\$[0-9]+"),"")</f>
        <v/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/>
      </c>
      <c r="E63" t="str" cm="1">
        <f t="array" aca="1" ref="E63" ca="1">IF('Raw Data'!E63="",_xlfn.REGEXEXTRACT(CELL("address",'Raw Data'!E63),"\$([A-Z]+)\$[0-9]+"),"")</f>
        <v/>
      </c>
      <c r="F63" t="str" cm="1">
        <f t="array" aca="1" ref="F63" ca="1">IF('Raw Data'!F63="",_xlfn.REGEXEXTRACT(CELL("address",'Raw Data'!F63),"\$([A-Z]+)\$[0-9]+"),"")</f>
        <v>$F$63</v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Data'!G63="",_xlfn.REGEXEXTRACT(CELL("address",'Raw Data'!G63),"\$([A-Z]+)\$[0-9]+"),"")</f>
        <v/>
      </c>
      <c r="I63" t="str" cm="1">
        <f t="array" aca="1" ref="I63" ca="1">IF('Raw Data'!H63="",_xlfn.REGEXEXTRACT(CELL("address",'Raw Data'!H63),"\$([A-Z]+)\$[0-9]+"),"")</f>
        <v/>
      </c>
    </row>
    <row r="64" spans="2:9" x14ac:dyDescent="0.25">
      <c r="B64" t="str" cm="1">
        <f t="array" aca="1" ref="B64" ca="1">IF('Raw Data'!B64="",_xlfn.REGEXEXTRACT(CELL("address",'Raw Data'!B64),"\$([A-Z]+)\$[0-9]+"),"")</f>
        <v/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/>
      </c>
      <c r="E64" t="str" cm="1">
        <f t="array" aca="1" ref="E64" ca="1">IF('Raw Data'!E64="",_xlfn.REGEXEXTRACT(CELL("address",'Raw Data'!E64),"\$([A-Z]+)\$[0-9]+"),"")</f>
        <v/>
      </c>
      <c r="F64" t="str" cm="1">
        <f t="array" aca="1" ref="F64" ca="1">IF('Raw Data'!F64="",_xlfn.REGEXEXTRACT(CELL("address",'Raw Data'!F64),"\$([A-Z]+)\$[0-9]+"),"")</f>
        <v>$F$64</v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Data'!G64="",_xlfn.REGEXEXTRACT(CELL("address",'Raw Data'!G64),"\$([A-Z]+)\$[0-9]+"),"")</f>
        <v/>
      </c>
      <c r="I64" t="str" cm="1">
        <f t="array" aca="1" ref="I64" ca="1">IF('Raw Data'!H64="",_xlfn.REGEXEXTRACT(CELL("address",'Raw Data'!H64),"\$([A-Z]+)\$[0-9]+"),"")</f>
        <v/>
      </c>
    </row>
    <row r="65" spans="2:9" x14ac:dyDescent="0.25">
      <c r="B65" t="str" cm="1">
        <f t="array" aca="1" ref="B65" ca="1">IF('Raw Data'!B65="",_xlfn.REGEXEXTRACT(CELL("address",'Raw Data'!B65),"\$([A-Z]+)\$[0-9]+"),"")</f>
        <v/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/>
      </c>
      <c r="E65" t="str" cm="1">
        <f t="array" aca="1" ref="E65" ca="1">IF('Raw Data'!E65="",_xlfn.REGEXEXTRACT(CELL("address",'Raw Data'!E65),"\$([A-Z]+)\$[0-9]+"),"")</f>
        <v/>
      </c>
      <c r="F65" t="str" cm="1">
        <f t="array" aca="1" ref="F65" ca="1">IF('Raw Data'!F65="",_xlfn.REGEXEXTRACT(CELL("address",'Raw Data'!F65),"\$([A-Z]+)\$[0-9]+"),"")</f>
        <v>$F$65</v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Data'!G65="",_xlfn.REGEXEXTRACT(CELL("address",'Raw Data'!G65),"\$([A-Z]+)\$[0-9]+"),"")</f>
        <v/>
      </c>
      <c r="I65" t="str" cm="1">
        <f t="array" aca="1" ref="I65" ca="1">IF('Raw Data'!H65="",_xlfn.REGEXEXTRACT(CELL("address",'Raw Data'!H65),"\$([A-Z]+)\$[0-9]+"),"")</f>
        <v/>
      </c>
    </row>
    <row r="66" spans="2:9" x14ac:dyDescent="0.25">
      <c r="B66" t="str" cm="1">
        <f t="array" aca="1" ref="B66" ca="1">IF('Raw Data'!B66="",_xlfn.REGEXEXTRACT(CELL("address",'Raw Data'!B66),"\$([A-Z]+)\$[0-9]+"),"")</f>
        <v/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/>
      </c>
      <c r="E66" t="str" cm="1">
        <f t="array" aca="1" ref="E66" ca="1">IF('Raw Data'!E66="",_xlfn.REGEXEXTRACT(CELL("address",'Raw Data'!E66),"\$([A-Z]+)\$[0-9]+"),"")</f>
        <v/>
      </c>
      <c r="F66" t="str" cm="1">
        <f t="array" aca="1" ref="F66" ca="1">IF('Raw Data'!F66="",_xlfn.REGEXEXTRACT(CELL("address",'Raw Data'!F66),"\$([A-Z]+)\$[0-9]+"),"")</f>
        <v>$F$66</v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Data'!G66="",_xlfn.REGEXEXTRACT(CELL("address",'Raw Data'!G66),"\$([A-Z]+)\$[0-9]+"),"")</f>
        <v/>
      </c>
      <c r="I66" t="str" cm="1">
        <f t="array" aca="1" ref="I66" ca="1">IF('Raw Data'!H66="",_xlfn.REGEXEXTRACT(CELL("address",'Raw Data'!H66),"\$([A-Z]+)\$[0-9]+"),"")</f>
        <v/>
      </c>
    </row>
    <row r="67" spans="2:9" x14ac:dyDescent="0.25">
      <c r="B67" t="str" cm="1">
        <f t="array" aca="1" ref="B67" ca="1">IF('Raw Data'!B67="",_xlfn.REGEXEXTRACT(CELL("address",'Raw Data'!B67),"\$([A-Z]+)\$[0-9]+"),"")</f>
        <v/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/>
      </c>
      <c r="E67" t="str" cm="1">
        <f t="array" aca="1" ref="E67" ca="1">IF('Raw Data'!E67="",_xlfn.REGEXEXTRACT(CELL("address",'Raw Data'!E67),"\$([A-Z]+)\$[0-9]+"),"")</f>
        <v/>
      </c>
      <c r="F67" t="str" cm="1">
        <f t="array" aca="1" ref="F67" ca="1">IF('Raw Data'!F67="",_xlfn.REGEXEXTRACT(CELL("address",'Raw Data'!F67),"\$([A-Z]+)\$[0-9]+"),"")</f>
        <v>$F$67</v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Data'!G67="",_xlfn.REGEXEXTRACT(CELL("address",'Raw Data'!G67),"\$([A-Z]+)\$[0-9]+"),"")</f>
        <v/>
      </c>
      <c r="I67" t="str" cm="1">
        <f t="array" aca="1" ref="I67" ca="1">IF('Raw Data'!H67="",_xlfn.REGEXEXTRACT(CELL("address",'Raw Data'!H67),"\$([A-Z]+)\$[0-9]+"),"")</f>
        <v/>
      </c>
    </row>
    <row r="68" spans="2:9" x14ac:dyDescent="0.25">
      <c r="B68" t="str" cm="1">
        <f t="array" aca="1" ref="B68" ca="1">IF('Raw Data'!B68="",_xlfn.REGEXEXTRACT(CELL("address",'Raw Data'!B68),"\$([A-Z]+)\$[0-9]+"),"")</f>
        <v/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/>
      </c>
      <c r="E68" t="str" cm="1">
        <f t="array" aca="1" ref="E68" ca="1">IF('Raw Data'!E68="",_xlfn.REGEXEXTRACT(CELL("address",'Raw Data'!E68),"\$([A-Z]+)\$[0-9]+"),"")</f>
        <v/>
      </c>
      <c r="F68" t="str" cm="1">
        <f t="array" aca="1" ref="F68" ca="1">IF('Raw Data'!F68="",_xlfn.REGEXEXTRACT(CELL("address",'Raw Data'!F68),"\$([A-Z]+)\$[0-9]+"),"")</f>
        <v>$F$68</v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Data'!G68="",_xlfn.REGEXEXTRACT(CELL("address",'Raw Data'!G68),"\$([A-Z]+)\$[0-9]+"),"")</f>
        <v/>
      </c>
      <c r="I68" t="str" cm="1">
        <f t="array" aca="1" ref="I68" ca="1">IF('Raw Data'!H68="",_xlfn.REGEXEXTRACT(CELL("address",'Raw Data'!H68),"\$([A-Z]+)\$[0-9]+"),"")</f>
        <v/>
      </c>
    </row>
    <row r="69" spans="2:9" x14ac:dyDescent="0.25">
      <c r="B69" t="str" cm="1">
        <f t="array" aca="1" ref="B69" ca="1">IF('Raw Data'!B69="",_xlfn.REGEXEXTRACT(CELL("address",'Raw Data'!B69),"\$([A-Z]+)\$[0-9]+"),"")</f>
        <v/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/>
      </c>
      <c r="E69" t="str" cm="1">
        <f t="array" aca="1" ref="E69" ca="1">IF('Raw Data'!E69="",_xlfn.REGEXEXTRACT(CELL("address",'Raw Data'!E69),"\$([A-Z]+)\$[0-9]+"),"")</f>
        <v/>
      </c>
      <c r="F69" t="str" cm="1">
        <f t="array" aca="1" ref="F69" ca="1">IF('Raw Data'!F69="",_xlfn.REGEXEXTRACT(CELL("address",'Raw Data'!F69),"\$([A-Z]+)\$[0-9]+"),"")</f>
        <v>$F$69</v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Data'!G69="",_xlfn.REGEXEXTRACT(CELL("address",'Raw Data'!G69),"\$([A-Z]+)\$[0-9]+"),"")</f>
        <v/>
      </c>
      <c r="I69" t="str" cm="1">
        <f t="array" aca="1" ref="I69" ca="1">IF('Raw Data'!H69="",_xlfn.REGEXEXTRACT(CELL("address",'Raw Data'!H69),"\$([A-Z]+)\$[0-9]+"),"")</f>
        <v/>
      </c>
    </row>
    <row r="70" spans="2:9" x14ac:dyDescent="0.25">
      <c r="B70" t="str" cm="1">
        <f t="array" aca="1" ref="B70" ca="1">IF('Raw Data'!B70="",_xlfn.REGEXEXTRACT(CELL("address",'Raw Data'!B70),"\$([A-Z]+)\$[0-9]+"),"")</f>
        <v/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/>
      </c>
      <c r="E70" t="str" cm="1">
        <f t="array" aca="1" ref="E70" ca="1">IF('Raw Data'!E70="",_xlfn.REGEXEXTRACT(CELL("address",'Raw Data'!E70),"\$([A-Z]+)\$[0-9]+"),"")</f>
        <v/>
      </c>
      <c r="F70" t="str" cm="1">
        <f t="array" aca="1" ref="F70" ca="1">IF('Raw Data'!F70="",_xlfn.REGEXEXTRACT(CELL("address",'Raw Data'!F70),"\$([A-Z]+)\$[0-9]+"),"")</f>
        <v>$F$70</v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Data'!G70="",_xlfn.REGEXEXTRACT(CELL("address",'Raw Data'!G70),"\$([A-Z]+)\$[0-9]+"),"")</f>
        <v/>
      </c>
      <c r="I70" t="str" cm="1">
        <f t="array" aca="1" ref="I70" ca="1">IF('Raw Data'!H70="",_xlfn.REGEXEXTRACT(CELL("address",'Raw Data'!H70),"\$([A-Z]+)\$[0-9]+"),"")</f>
        <v/>
      </c>
    </row>
    <row r="71" spans="2:9" x14ac:dyDescent="0.25">
      <c r="B71" t="str" cm="1">
        <f t="array" aca="1" ref="B71" ca="1">IF('Raw Data'!B71="",_xlfn.REGEXEXTRACT(CELL("address",'Raw Data'!B71),"\$([A-Z]+)\$[0-9]+"),"")</f>
        <v/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/>
      </c>
      <c r="E71" t="str" cm="1">
        <f t="array" aca="1" ref="E71" ca="1">IF('Raw Data'!E71="",_xlfn.REGEXEXTRACT(CELL("address",'Raw Data'!E71),"\$([A-Z]+)\$[0-9]+"),"")</f>
        <v/>
      </c>
      <c r="F71" t="str" cm="1">
        <f t="array" aca="1" ref="F71" ca="1">IF('Raw Data'!F71="",_xlfn.REGEXEXTRACT(CELL("address",'Raw Data'!F71),"\$([A-Z]+)\$[0-9]+"),"")</f>
        <v>$F$71</v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Data'!G71="",_xlfn.REGEXEXTRACT(CELL("address",'Raw Data'!G71),"\$([A-Z]+)\$[0-9]+"),"")</f>
        <v/>
      </c>
      <c r="I71" t="str" cm="1">
        <f t="array" aca="1" ref="I71" ca="1">IF('Raw Data'!H71="",_xlfn.REGEXEXTRACT(CELL("address",'Raw Data'!H71),"\$([A-Z]+)\$[0-9]+"),"")</f>
        <v/>
      </c>
    </row>
    <row r="72" spans="2:9" x14ac:dyDescent="0.25">
      <c r="B72" t="str" cm="1">
        <f t="array" aca="1" ref="B72" ca="1">IF('Raw Data'!B72="",_xlfn.REGEXEXTRACT(CELL("address",'Raw Data'!B72),"\$([A-Z]+)\$[0-9]+"),"")</f>
        <v/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/>
      </c>
      <c r="E72" t="str" cm="1">
        <f t="array" aca="1" ref="E72" ca="1">IF('Raw Data'!E72="",_xlfn.REGEXEXTRACT(CELL("address",'Raw Data'!E72),"\$([A-Z]+)\$[0-9]+"),"")</f>
        <v/>
      </c>
      <c r="F72" t="str" cm="1">
        <f t="array" aca="1" ref="F72" ca="1">IF('Raw Data'!F72="",_xlfn.REGEXEXTRACT(CELL("address",'Raw Data'!F72),"\$([A-Z]+)\$[0-9]+"),"")</f>
        <v>$F$72</v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Data'!G72="",_xlfn.REGEXEXTRACT(CELL("address",'Raw Data'!G72),"\$([A-Z]+)\$[0-9]+"),"")</f>
        <v/>
      </c>
      <c r="I72" t="str" cm="1">
        <f t="array" aca="1" ref="I72" ca="1">IF('Raw Data'!H72="",_xlfn.REGEXEXTRACT(CELL("address",'Raw Data'!H72),"\$([A-Z]+)\$[0-9]+"),"")</f>
        <v/>
      </c>
    </row>
    <row r="73" spans="2:9" x14ac:dyDescent="0.25">
      <c r="B73" t="str" cm="1">
        <f t="array" aca="1" ref="B73" ca="1">IF('Raw Data'!B73="",_xlfn.REGEXEXTRACT(CELL("address",'Raw Data'!B73),"\$([A-Z]+)\$[0-9]+"),"")</f>
        <v/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/>
      </c>
      <c r="E73" t="str" cm="1">
        <f t="array" aca="1" ref="E73" ca="1">IF('Raw Data'!E73="",_xlfn.REGEXEXTRACT(CELL("address",'Raw Data'!E73),"\$([A-Z]+)\$[0-9]+"),"")</f>
        <v/>
      </c>
      <c r="F73" t="str" cm="1">
        <f t="array" aca="1" ref="F73" ca="1">IF('Raw Data'!F73="",_xlfn.REGEXEXTRACT(CELL("address",'Raw Data'!F73),"\$([A-Z]+)\$[0-9]+"),"")</f>
        <v>$F$73</v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Data'!G73="",_xlfn.REGEXEXTRACT(CELL("address",'Raw Data'!G73),"\$([A-Z]+)\$[0-9]+"),"")</f>
        <v/>
      </c>
      <c r="I73" t="str" cm="1">
        <f t="array" aca="1" ref="I73" ca="1">IF('Raw Data'!H73="",_xlfn.REGEXEXTRACT(CELL("address",'Raw Data'!H73),"\$([A-Z]+)\$[0-9]+"),"")</f>
        <v/>
      </c>
    </row>
    <row r="74" spans="2:9" x14ac:dyDescent="0.25">
      <c r="B74" t="str" cm="1">
        <f t="array" aca="1" ref="B74" ca="1">IF('Raw Data'!B74="",_xlfn.REGEXEXTRACT(CELL("address",'Raw Data'!B74),"\$([A-Z]+)\$[0-9]+"),"")</f>
        <v/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/>
      </c>
      <c r="E74" t="str" cm="1">
        <f t="array" aca="1" ref="E74" ca="1">IF('Raw Data'!E74="",_xlfn.REGEXEXTRACT(CELL("address",'Raw Data'!E74),"\$([A-Z]+)\$[0-9]+"),"")</f>
        <v/>
      </c>
      <c r="F74" t="str" cm="1">
        <f t="array" aca="1" ref="F74" ca="1">IF('Raw Data'!F74="",_xlfn.REGEXEXTRACT(CELL("address",'Raw Data'!F74),"\$([A-Z]+)\$[0-9]+"),"")</f>
        <v>$F$74</v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Data'!G74="",_xlfn.REGEXEXTRACT(CELL("address",'Raw Data'!G74),"\$([A-Z]+)\$[0-9]+"),"")</f>
        <v/>
      </c>
      <c r="I74" t="str" cm="1">
        <f t="array" aca="1" ref="I74" ca="1">IF('Raw Data'!H74="",_xlfn.REGEXEXTRACT(CELL("address",'Raw Data'!H74),"\$([A-Z]+)\$[0-9]+"),"")</f>
        <v/>
      </c>
    </row>
    <row r="75" spans="2:9" x14ac:dyDescent="0.25">
      <c r="B75" t="str" cm="1">
        <f t="array" aca="1" ref="B75" ca="1">IF('Raw Data'!B75="",_xlfn.REGEXEXTRACT(CELL("address",'Raw Data'!B75),"\$([A-Z]+)\$[0-9]+"),"")</f>
        <v/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/>
      </c>
      <c r="E75" t="str" cm="1">
        <f t="array" aca="1" ref="E75" ca="1">IF('Raw Data'!E75="",_xlfn.REGEXEXTRACT(CELL("address",'Raw Data'!E75),"\$([A-Z]+)\$[0-9]+"),"")</f>
        <v/>
      </c>
      <c r="F75" t="str" cm="1">
        <f t="array" aca="1" ref="F75" ca="1">IF('Raw Data'!F75="",_xlfn.REGEXEXTRACT(CELL("address",'Raw Data'!F75),"\$([A-Z]+)\$[0-9]+"),"")</f>
        <v>$F$75</v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Data'!G75="",_xlfn.REGEXEXTRACT(CELL("address",'Raw Data'!G75),"\$([A-Z]+)\$[0-9]+"),"")</f>
        <v/>
      </c>
      <c r="I75" t="str" cm="1">
        <f t="array" aca="1" ref="I75" ca="1">IF('Raw Data'!H75="",_xlfn.REGEXEXTRACT(CELL("address",'Raw Data'!H75),"\$([A-Z]+)\$[0-9]+"),"")</f>
        <v/>
      </c>
    </row>
    <row r="76" spans="2:9" x14ac:dyDescent="0.25">
      <c r="B76" t="str" cm="1">
        <f t="array" aca="1" ref="B76" ca="1">IF('Raw Data'!B76="",_xlfn.REGEXEXTRACT(CELL("address",'Raw Data'!B76),"\$([A-Z]+)\$[0-9]+"),"")</f>
        <v/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/>
      </c>
      <c r="E76" t="str" cm="1">
        <f t="array" aca="1" ref="E76" ca="1">IF('Raw Data'!E76="",_xlfn.REGEXEXTRACT(CELL("address",'Raw Data'!E76),"\$([A-Z]+)\$[0-9]+"),"")</f>
        <v/>
      </c>
      <c r="F76" t="str" cm="1">
        <f t="array" aca="1" ref="F76" ca="1">IF('Raw Data'!F76="",_xlfn.REGEXEXTRACT(CELL("address",'Raw Data'!F76),"\$([A-Z]+)\$[0-9]+"),"")</f>
        <v>$F$76</v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Data'!G76="",_xlfn.REGEXEXTRACT(CELL("address",'Raw Data'!G76),"\$([A-Z]+)\$[0-9]+"),"")</f>
        <v/>
      </c>
      <c r="I76" t="str" cm="1">
        <f t="array" aca="1" ref="I76" ca="1">IF('Raw Data'!H76="",_xlfn.REGEXEXTRACT(CELL("address",'Raw Data'!H76),"\$([A-Z]+)\$[0-9]+"),"")</f>
        <v/>
      </c>
    </row>
    <row r="77" spans="2:9" x14ac:dyDescent="0.25">
      <c r="B77" t="str" cm="1">
        <f t="array" aca="1" ref="B77" ca="1">IF('Raw Data'!B77="",_xlfn.REGEXEXTRACT(CELL("address",'Raw Data'!B77),"\$([A-Z]+)\$[0-9]+"),"")</f>
        <v/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/>
      </c>
      <c r="E77" t="str" cm="1">
        <f t="array" aca="1" ref="E77" ca="1">IF('Raw Data'!E77="",_xlfn.REGEXEXTRACT(CELL("address",'Raw Data'!E77),"\$([A-Z]+)\$[0-9]+"),"")</f>
        <v/>
      </c>
      <c r="F77" t="str" cm="1">
        <f t="array" aca="1" ref="F77" ca="1">IF('Raw Data'!F77="",_xlfn.REGEXEXTRACT(CELL("address",'Raw Data'!F77),"\$([A-Z]+)\$[0-9]+"),"")</f>
        <v>$F$77</v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Data'!G77="",_xlfn.REGEXEXTRACT(CELL("address",'Raw Data'!G77),"\$([A-Z]+)\$[0-9]+"),"")</f>
        <v/>
      </c>
      <c r="I77" t="str" cm="1">
        <f t="array" aca="1" ref="I77" ca="1">IF('Raw Data'!H77="",_xlfn.REGEXEXTRACT(CELL("address",'Raw Data'!H77),"\$([A-Z]+)\$[0-9]+"),"")</f>
        <v/>
      </c>
    </row>
    <row r="78" spans="2:9" x14ac:dyDescent="0.25">
      <c r="B78" t="str" cm="1">
        <f t="array" aca="1" ref="B78" ca="1">IF('Raw Data'!B78="",_xlfn.REGEXEXTRACT(CELL("address",'Raw Data'!B78),"\$([A-Z]+)\$[0-9]+"),"")</f>
        <v/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/>
      </c>
      <c r="E78" t="str" cm="1">
        <f t="array" aca="1" ref="E78" ca="1">IF('Raw Data'!E78="",_xlfn.REGEXEXTRACT(CELL("address",'Raw Data'!E78),"\$([A-Z]+)\$[0-9]+"),"")</f>
        <v/>
      </c>
      <c r="F78" t="str" cm="1">
        <f t="array" aca="1" ref="F78" ca="1">IF('Raw Data'!F78="",_xlfn.REGEXEXTRACT(CELL("address",'Raw Data'!F78),"\$([A-Z]+)\$[0-9]+"),"")</f>
        <v>$F$78</v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Data'!G78="",_xlfn.REGEXEXTRACT(CELL("address",'Raw Data'!G78),"\$([A-Z]+)\$[0-9]+"),"")</f>
        <v/>
      </c>
      <c r="I78" t="str" cm="1">
        <f t="array" aca="1" ref="I78" ca="1">IF('Raw Data'!H78="",_xlfn.REGEXEXTRACT(CELL("address",'Raw Data'!H78),"\$([A-Z]+)\$[0-9]+"),"")</f>
        <v/>
      </c>
    </row>
    <row r="79" spans="2:9" x14ac:dyDescent="0.25">
      <c r="B79" t="str" cm="1">
        <f t="array" aca="1" ref="B79" ca="1">IF('Raw Data'!B79="",_xlfn.REGEXEXTRACT(CELL("address",'Raw Data'!B79),"\$([A-Z]+)\$[0-9]+"),"")</f>
        <v/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/>
      </c>
      <c r="E79" t="str" cm="1">
        <f t="array" aca="1" ref="E79" ca="1">IF('Raw Data'!E79="",_xlfn.REGEXEXTRACT(CELL("address",'Raw Data'!E79),"\$([A-Z]+)\$[0-9]+"),"")</f>
        <v/>
      </c>
      <c r="F79" t="str" cm="1">
        <f t="array" aca="1" ref="F79" ca="1">IF('Raw Data'!F79="",_xlfn.REGEXEXTRACT(CELL("address",'Raw Data'!F79),"\$([A-Z]+)\$[0-9]+"),"")</f>
        <v>$F$79</v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Data'!G79="",_xlfn.REGEXEXTRACT(CELL("address",'Raw Data'!G79),"\$([A-Z]+)\$[0-9]+"),"")</f>
        <v/>
      </c>
      <c r="I79" t="str" cm="1">
        <f t="array" aca="1" ref="I79" ca="1">IF('Raw Data'!H79="",_xlfn.REGEXEXTRACT(CELL("address",'Raw Data'!H79),"\$([A-Z]+)\$[0-9]+"),"")</f>
        <v/>
      </c>
    </row>
    <row r="80" spans="2:9" x14ac:dyDescent="0.25">
      <c r="B80" t="str" cm="1">
        <f t="array" aca="1" ref="B80" ca="1">IF('Raw Data'!B80="",_xlfn.REGEXEXTRACT(CELL("address",'Raw Data'!B80),"\$([A-Z]+)\$[0-9]+"),"")</f>
        <v/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/>
      </c>
      <c r="E80" t="str" cm="1">
        <f t="array" aca="1" ref="E80" ca="1">IF('Raw Data'!E80="",_xlfn.REGEXEXTRACT(CELL("address",'Raw Data'!E80),"\$([A-Z]+)\$[0-9]+"),"")</f>
        <v/>
      </c>
      <c r="F80" t="str" cm="1">
        <f t="array" aca="1" ref="F80" ca="1">IF('Raw Data'!F80="",_xlfn.REGEXEXTRACT(CELL("address",'Raw Data'!F80),"\$([A-Z]+)\$[0-9]+"),"")</f>
        <v>$F$80</v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Data'!G80="",_xlfn.REGEXEXTRACT(CELL("address",'Raw Data'!G80),"\$([A-Z]+)\$[0-9]+"),"")</f>
        <v/>
      </c>
      <c r="I80" t="str" cm="1">
        <f t="array" aca="1" ref="I80" ca="1">IF('Raw Data'!H80="",_xlfn.REGEXEXTRACT(CELL("address",'Raw Data'!H80),"\$([A-Z]+)\$[0-9]+"),"")</f>
        <v/>
      </c>
    </row>
    <row r="81" spans="2:9" x14ac:dyDescent="0.25">
      <c r="B81" t="str" cm="1">
        <f t="array" aca="1" ref="B81" ca="1">IF('Raw Data'!B81="",_xlfn.REGEXEXTRACT(CELL("address",'Raw Data'!B81),"\$([A-Z]+)\$[0-9]+"),"")</f>
        <v/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/>
      </c>
      <c r="E81" t="str" cm="1">
        <f t="array" aca="1" ref="E81" ca="1">IF('Raw Data'!E81="",_xlfn.REGEXEXTRACT(CELL("address",'Raw Data'!E81),"\$([A-Z]+)\$[0-9]+"),"")</f>
        <v/>
      </c>
      <c r="F81" t="str" cm="1">
        <f t="array" aca="1" ref="F81" ca="1">IF('Raw Data'!F81="",_xlfn.REGEXEXTRACT(CELL("address",'Raw Data'!F81),"\$([A-Z]+)\$[0-9]+"),"")</f>
        <v>$F$81</v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Data'!G81="",_xlfn.REGEXEXTRACT(CELL("address",'Raw Data'!G81),"\$([A-Z]+)\$[0-9]+"),"")</f>
        <v/>
      </c>
      <c r="I81" t="str" cm="1">
        <f t="array" aca="1" ref="I81" ca="1">IF('Raw Data'!H81="",_xlfn.REGEXEXTRACT(CELL("address",'Raw Data'!H81),"\$([A-Z]+)\$[0-9]+"),"")</f>
        <v/>
      </c>
    </row>
    <row r="82" spans="2:9" x14ac:dyDescent="0.25">
      <c r="B82" t="str" cm="1">
        <f t="array" aca="1" ref="B82" ca="1">IF('Raw Data'!B82="",_xlfn.REGEXEXTRACT(CELL("address",'Raw Data'!B82),"\$([A-Z]+)\$[0-9]+"),"")</f>
        <v/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/>
      </c>
      <c r="E82" t="str" cm="1">
        <f t="array" aca="1" ref="E82" ca="1">IF('Raw Data'!E82="",_xlfn.REGEXEXTRACT(CELL("address",'Raw Data'!E82),"\$([A-Z]+)\$[0-9]+"),"")</f>
        <v/>
      </c>
      <c r="F82" t="str" cm="1">
        <f t="array" aca="1" ref="F82" ca="1">IF('Raw Data'!F82="",_xlfn.REGEXEXTRACT(CELL("address",'Raw Data'!F82),"\$([A-Z]+)\$[0-9]+"),"")</f>
        <v>$F$82</v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Data'!G82="",_xlfn.REGEXEXTRACT(CELL("address",'Raw Data'!G82),"\$([A-Z]+)\$[0-9]+"),"")</f>
        <v/>
      </c>
      <c r="I82" t="str" cm="1">
        <f t="array" aca="1" ref="I82" ca="1">IF('Raw Data'!H82="",_xlfn.REGEXEXTRACT(CELL("address",'Raw Data'!H82),"\$([A-Z]+)\$[0-9]+"),"")</f>
        <v/>
      </c>
    </row>
    <row r="83" spans="2:9" x14ac:dyDescent="0.25">
      <c r="B83" t="str" cm="1">
        <f t="array" aca="1" ref="B83" ca="1">IF('Raw Data'!B83="",_xlfn.REGEXEXTRACT(CELL("address",'Raw Data'!B83),"\$([A-Z]+)\$[0-9]+"),"")</f>
        <v/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/>
      </c>
      <c r="E83" t="str" cm="1">
        <f t="array" aca="1" ref="E83" ca="1">IF('Raw Data'!E83="",_xlfn.REGEXEXTRACT(CELL("address",'Raw Data'!E83),"\$([A-Z]+)\$[0-9]+"),"")</f>
        <v/>
      </c>
      <c r="F83" t="str" cm="1">
        <f t="array" aca="1" ref="F83" ca="1">IF('Raw Data'!F83="",_xlfn.REGEXEXTRACT(CELL("address",'Raw Data'!F83),"\$([A-Z]+)\$[0-9]+"),"")</f>
        <v>$F$83</v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Data'!G83="",_xlfn.REGEXEXTRACT(CELL("address",'Raw Data'!G83),"\$([A-Z]+)\$[0-9]+"),"")</f>
        <v/>
      </c>
      <c r="I83" t="str" cm="1">
        <f t="array" aca="1" ref="I83" ca="1">IF('Raw Data'!H83="",_xlfn.REGEXEXTRACT(CELL("address",'Raw Data'!H83),"\$([A-Z]+)\$[0-9]+"),"")</f>
        <v/>
      </c>
    </row>
    <row r="84" spans="2:9" x14ac:dyDescent="0.25">
      <c r="B84" t="str" cm="1">
        <f t="array" aca="1" ref="B84" ca="1">IF('Raw Data'!B84="",_xlfn.REGEXEXTRACT(CELL("address",'Raw Data'!B84),"\$([A-Z]+)\$[0-9]+"),"")</f>
        <v/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/>
      </c>
      <c r="E84" t="str" cm="1">
        <f t="array" aca="1" ref="E84" ca="1">IF('Raw Data'!E84="",_xlfn.REGEXEXTRACT(CELL("address",'Raw Data'!E84),"\$([A-Z]+)\$[0-9]+"),"")</f>
        <v/>
      </c>
      <c r="F84" t="str" cm="1">
        <f t="array" aca="1" ref="F84" ca="1">IF('Raw Data'!F84="",_xlfn.REGEXEXTRACT(CELL("address",'Raw Data'!F84),"\$([A-Z]+)\$[0-9]+"),"")</f>
        <v>$F$84</v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Data'!G84="",_xlfn.REGEXEXTRACT(CELL("address",'Raw Data'!G84),"\$([A-Z]+)\$[0-9]+"),"")</f>
        <v/>
      </c>
      <c r="I84" t="str" cm="1">
        <f t="array" aca="1" ref="I84" ca="1">IF('Raw Data'!H84="",_xlfn.REGEXEXTRACT(CELL("address",'Raw Data'!H84),"\$([A-Z]+)\$[0-9]+"),"")</f>
        <v/>
      </c>
    </row>
    <row r="85" spans="2:9" x14ac:dyDescent="0.25">
      <c r="B85" t="str" cm="1">
        <f t="array" aca="1" ref="B85" ca="1">IF('Raw Data'!B85="",_xlfn.REGEXEXTRACT(CELL("address",'Raw Data'!B85),"\$([A-Z]+)\$[0-9]+"),"")</f>
        <v/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/>
      </c>
      <c r="E85" t="str" cm="1">
        <f t="array" aca="1" ref="E85" ca="1">IF('Raw Data'!E85="",_xlfn.REGEXEXTRACT(CELL("address",'Raw Data'!E85),"\$([A-Z]+)\$[0-9]+"),"")</f>
        <v/>
      </c>
      <c r="F85" t="str" cm="1">
        <f t="array" aca="1" ref="F85" ca="1">IF('Raw Data'!F85="",_xlfn.REGEXEXTRACT(CELL("address",'Raw Data'!F85),"\$([A-Z]+)\$[0-9]+"),"")</f>
        <v>$F$85</v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Data'!G85="",_xlfn.REGEXEXTRACT(CELL("address",'Raw Data'!G85),"\$([A-Z]+)\$[0-9]+"),"")</f>
        <v/>
      </c>
      <c r="I85" t="str" cm="1">
        <f t="array" aca="1" ref="I85" ca="1">IF('Raw Data'!H85="",_xlfn.REGEXEXTRACT(CELL("address",'Raw Data'!H85),"\$([A-Z]+)\$[0-9]+"),"")</f>
        <v/>
      </c>
    </row>
    <row r="86" spans="2:9" x14ac:dyDescent="0.25">
      <c r="B86" t="str" cm="1">
        <f t="array" aca="1" ref="B86" ca="1">IF('Raw Data'!B86="",_xlfn.REGEXEXTRACT(CELL("address",'Raw Data'!B86),"\$([A-Z]+)\$[0-9]+"),"")</f>
        <v/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/>
      </c>
      <c r="E86" t="str" cm="1">
        <f t="array" aca="1" ref="E86" ca="1">IF('Raw Data'!E86="",_xlfn.REGEXEXTRACT(CELL("address",'Raw Data'!E86),"\$([A-Z]+)\$[0-9]+"),"")</f>
        <v/>
      </c>
      <c r="F86" t="str" cm="1">
        <f t="array" aca="1" ref="F86" ca="1">IF('Raw Data'!F86="",_xlfn.REGEXEXTRACT(CELL("address",'Raw Data'!F86),"\$([A-Z]+)\$[0-9]+"),"")</f>
        <v>$F$86</v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Data'!G86="",_xlfn.REGEXEXTRACT(CELL("address",'Raw Data'!G86),"\$([A-Z]+)\$[0-9]+"),"")</f>
        <v/>
      </c>
      <c r="I86" t="str" cm="1">
        <f t="array" aca="1" ref="I86" ca="1">IF('Raw Data'!H86="",_xlfn.REGEXEXTRACT(CELL("address",'Raw Data'!H86),"\$([A-Z]+)\$[0-9]+"),"")</f>
        <v/>
      </c>
    </row>
    <row r="87" spans="2:9" x14ac:dyDescent="0.25">
      <c r="B87" t="str" cm="1">
        <f t="array" aca="1" ref="B87" ca="1">IF('Raw Data'!B87="",_xlfn.REGEXEXTRACT(CELL("address",'Raw Data'!B87),"\$([A-Z]+)\$[0-9]+"),"")</f>
        <v/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/>
      </c>
      <c r="E87" t="str" cm="1">
        <f t="array" aca="1" ref="E87" ca="1">IF('Raw Data'!E87="",_xlfn.REGEXEXTRACT(CELL("address",'Raw Data'!E87),"\$([A-Z]+)\$[0-9]+"),"")</f>
        <v/>
      </c>
      <c r="F87" t="str" cm="1">
        <f t="array" aca="1" ref="F87" ca="1">IF('Raw Data'!F87="",_xlfn.REGEXEXTRACT(CELL("address",'Raw Data'!F87),"\$([A-Z]+)\$[0-9]+"),"")</f>
        <v>$F$87</v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Data'!G87="",_xlfn.REGEXEXTRACT(CELL("address",'Raw Data'!G87),"\$([A-Z]+)\$[0-9]+"),"")</f>
        <v/>
      </c>
      <c r="I87" t="str" cm="1">
        <f t="array" aca="1" ref="I87" ca="1">IF('Raw Data'!H87="",_xlfn.REGEXEXTRACT(CELL("address",'Raw Data'!H87),"\$([A-Z]+)\$[0-9]+"),"")</f>
        <v/>
      </c>
    </row>
    <row r="88" spans="2:9" x14ac:dyDescent="0.25">
      <c r="B88" t="str" cm="1">
        <f t="array" aca="1" ref="B88" ca="1">IF('Raw Data'!B88="",_xlfn.REGEXEXTRACT(CELL("address",'Raw Data'!B88),"\$([A-Z]+)\$[0-9]+"),"")</f>
        <v/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/>
      </c>
      <c r="E88" t="str" cm="1">
        <f t="array" aca="1" ref="E88" ca="1">IF('Raw Data'!E88="",_xlfn.REGEXEXTRACT(CELL("address",'Raw Data'!E88),"\$([A-Z]+)\$[0-9]+"),"")</f>
        <v/>
      </c>
      <c r="F88" t="str" cm="1">
        <f t="array" aca="1" ref="F88" ca="1">IF('Raw Data'!F88="",_xlfn.REGEXEXTRACT(CELL("address",'Raw Data'!F88),"\$([A-Z]+)\$[0-9]+"),"")</f>
        <v>$F$88</v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Data'!G88="",_xlfn.REGEXEXTRACT(CELL("address",'Raw Data'!G88),"\$([A-Z]+)\$[0-9]+"),"")</f>
        <v/>
      </c>
      <c r="I88" t="str" cm="1">
        <f t="array" aca="1" ref="I88" ca="1">IF('Raw Data'!H88="",_xlfn.REGEXEXTRACT(CELL("address",'Raw Data'!H88),"\$([A-Z]+)\$[0-9]+"),"")</f>
        <v/>
      </c>
    </row>
    <row r="89" spans="2:9" x14ac:dyDescent="0.25">
      <c r="B89" t="str" cm="1">
        <f t="array" aca="1" ref="B89" ca="1">IF('Raw Data'!B89="",_xlfn.REGEXEXTRACT(CELL("address",'Raw Data'!B89),"\$([A-Z]+)\$[0-9]+"),"")</f>
        <v/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/>
      </c>
      <c r="E89" t="str" cm="1">
        <f t="array" aca="1" ref="E89" ca="1">IF('Raw Data'!E89="",_xlfn.REGEXEXTRACT(CELL("address",'Raw Data'!E89),"\$([A-Z]+)\$[0-9]+"),"")</f>
        <v/>
      </c>
      <c r="F89" t="str" cm="1">
        <f t="array" aca="1" ref="F89" ca="1">IF('Raw Data'!F89="",_xlfn.REGEXEXTRACT(CELL("address",'Raw Data'!F89),"\$([A-Z]+)\$[0-9]+"),"")</f>
        <v>$F$89</v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Data'!G89="",_xlfn.REGEXEXTRACT(CELL("address",'Raw Data'!G89),"\$([A-Z]+)\$[0-9]+"),"")</f>
        <v/>
      </c>
      <c r="I89" t="str" cm="1">
        <f t="array" aca="1" ref="I89" ca="1">IF('Raw Data'!H89="",_xlfn.REGEXEXTRACT(CELL("address",'Raw Data'!H89),"\$([A-Z]+)\$[0-9]+"),"")</f>
        <v/>
      </c>
    </row>
    <row r="90" spans="2:9" x14ac:dyDescent="0.25">
      <c r="B90" t="str" cm="1">
        <f t="array" aca="1" ref="B90" ca="1">IF('Raw Data'!B90="",_xlfn.REGEXEXTRACT(CELL("address",'Raw Data'!B90),"\$([A-Z]+)\$[0-9]+"),"")</f>
        <v/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/>
      </c>
      <c r="E90" t="str" cm="1">
        <f t="array" aca="1" ref="E90" ca="1">IF('Raw Data'!E90="",_xlfn.REGEXEXTRACT(CELL("address",'Raw Data'!E90),"\$([A-Z]+)\$[0-9]+"),"")</f>
        <v/>
      </c>
      <c r="F90" t="str" cm="1">
        <f t="array" aca="1" ref="F90" ca="1">IF('Raw Data'!F90="",_xlfn.REGEXEXTRACT(CELL("address",'Raw Data'!F90),"\$([A-Z]+)\$[0-9]+"),"")</f>
        <v>$F$90</v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Data'!G90="",_xlfn.REGEXEXTRACT(CELL("address",'Raw Data'!G90),"\$([A-Z]+)\$[0-9]+"),"")</f>
        <v/>
      </c>
      <c r="I90" t="str" cm="1">
        <f t="array" aca="1" ref="I90" ca="1">IF('Raw Data'!H90="",_xlfn.REGEXEXTRACT(CELL("address",'Raw Data'!H90),"\$([A-Z]+)\$[0-9]+"),"")</f>
        <v/>
      </c>
    </row>
    <row r="91" spans="2:9" x14ac:dyDescent="0.25">
      <c r="B91" t="str" cm="1">
        <f t="array" aca="1" ref="B91" ca="1">IF('Raw Data'!B91="",_xlfn.REGEXEXTRACT(CELL("address",'Raw Data'!B91),"\$([A-Z]+)\$[0-9]+"),"")</f>
        <v/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/>
      </c>
      <c r="E91" t="str" cm="1">
        <f t="array" aca="1" ref="E91" ca="1">IF('Raw Data'!E91="",_xlfn.REGEXEXTRACT(CELL("address",'Raw Data'!E91),"\$([A-Z]+)\$[0-9]+"),"")</f>
        <v/>
      </c>
      <c r="F91" t="str" cm="1">
        <f t="array" aca="1" ref="F91" ca="1">IF('Raw Data'!F91="",_xlfn.REGEXEXTRACT(CELL("address",'Raw Data'!F91),"\$([A-Z]+)\$[0-9]+"),"")</f>
        <v>$F$91</v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Data'!G91="",_xlfn.REGEXEXTRACT(CELL("address",'Raw Data'!G91),"\$([A-Z]+)\$[0-9]+"),"")</f>
        <v/>
      </c>
      <c r="I91" t="str" cm="1">
        <f t="array" aca="1" ref="I91" ca="1">IF('Raw Data'!H91="",_xlfn.REGEXEXTRACT(CELL("address",'Raw Data'!H91),"\$([A-Z]+)\$[0-9]+"),"")</f>
        <v/>
      </c>
    </row>
    <row r="92" spans="2:9" x14ac:dyDescent="0.25">
      <c r="B92" t="str" cm="1">
        <f t="array" aca="1" ref="B92" ca="1">IF('Raw Data'!B92="",_xlfn.REGEXEXTRACT(CELL("address",'Raw Data'!B92),"\$([A-Z]+)\$[0-9]+"),"")</f>
        <v/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/>
      </c>
      <c r="E92" t="str" cm="1">
        <f t="array" aca="1" ref="E92" ca="1">IF('Raw Data'!E92="",_xlfn.REGEXEXTRACT(CELL("address",'Raw Data'!E92),"\$([A-Z]+)\$[0-9]+"),"")</f>
        <v/>
      </c>
      <c r="F92" t="str" cm="1">
        <f t="array" aca="1" ref="F92" ca="1">IF('Raw Data'!F92="",_xlfn.REGEXEXTRACT(CELL("address",'Raw Data'!F92),"\$([A-Z]+)\$[0-9]+"),"")</f>
        <v>$F$92</v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Data'!G92="",_xlfn.REGEXEXTRACT(CELL("address",'Raw Data'!G92),"\$([A-Z]+)\$[0-9]+"),"")</f>
        <v/>
      </c>
      <c r="I92" t="str" cm="1">
        <f t="array" aca="1" ref="I92" ca="1">IF('Raw Data'!H92="",_xlfn.REGEXEXTRACT(CELL("address",'Raw Data'!H92),"\$([A-Z]+)\$[0-9]+"),"")</f>
        <v/>
      </c>
    </row>
    <row r="93" spans="2:9" x14ac:dyDescent="0.25">
      <c r="B93" t="str" cm="1">
        <f t="array" aca="1" ref="B93" ca="1">IF('Raw Data'!B93="",_xlfn.REGEXEXTRACT(CELL("address",'Raw Data'!B93),"\$([A-Z]+)\$[0-9]+"),"")</f>
        <v/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/>
      </c>
      <c r="E93" t="str" cm="1">
        <f t="array" aca="1" ref="E93" ca="1">IF('Raw Data'!E93="",_xlfn.REGEXEXTRACT(CELL("address",'Raw Data'!E93),"\$([A-Z]+)\$[0-9]+"),"")</f>
        <v/>
      </c>
      <c r="F93" t="str" cm="1">
        <f t="array" aca="1" ref="F93" ca="1">IF('Raw Data'!F93="",_xlfn.REGEXEXTRACT(CELL("address",'Raw Data'!F93),"\$([A-Z]+)\$[0-9]+"),"")</f>
        <v>$F$93</v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Data'!G93="",_xlfn.REGEXEXTRACT(CELL("address",'Raw Data'!G93),"\$([A-Z]+)\$[0-9]+"),"")</f>
        <v/>
      </c>
      <c r="I93" t="str" cm="1">
        <f t="array" aca="1" ref="I93" ca="1">IF('Raw Data'!H93="",_xlfn.REGEXEXTRACT(CELL("address",'Raw Data'!H93),"\$([A-Z]+)\$[0-9]+"),"")</f>
        <v/>
      </c>
    </row>
    <row r="94" spans="2:9" x14ac:dyDescent="0.25">
      <c r="B94" t="str" cm="1">
        <f t="array" aca="1" ref="B94" ca="1">IF('Raw Data'!B94="",_xlfn.REGEXEXTRACT(CELL("address",'Raw Data'!B94),"\$([A-Z]+)\$[0-9]+"),"")</f>
        <v/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/>
      </c>
      <c r="E94" t="str" cm="1">
        <f t="array" aca="1" ref="E94" ca="1">IF('Raw Data'!E94="",_xlfn.REGEXEXTRACT(CELL("address",'Raw Data'!E94),"\$([A-Z]+)\$[0-9]+"),"")</f>
        <v/>
      </c>
      <c r="F94" t="str" cm="1">
        <f t="array" aca="1" ref="F94" ca="1">IF('Raw Data'!F94="",_xlfn.REGEXEXTRACT(CELL("address",'Raw Data'!F94),"\$([A-Z]+)\$[0-9]+"),"")</f>
        <v>$F$94</v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Data'!G94="",_xlfn.REGEXEXTRACT(CELL("address",'Raw Data'!G94),"\$([A-Z]+)\$[0-9]+"),"")</f>
        <v/>
      </c>
      <c r="I94" t="str" cm="1">
        <f t="array" aca="1" ref="I94" ca="1">IF('Raw Data'!H94="",_xlfn.REGEXEXTRACT(CELL("address",'Raw Data'!H94),"\$([A-Z]+)\$[0-9]+"),"")</f>
        <v/>
      </c>
    </row>
    <row r="95" spans="2:9" x14ac:dyDescent="0.25">
      <c r="B95" t="str" cm="1">
        <f t="array" aca="1" ref="B95" ca="1">IF('Raw Data'!B95="",_xlfn.REGEXEXTRACT(CELL("address",'Raw Data'!B95),"\$([A-Z]+)\$[0-9]+"),"")</f>
        <v/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/>
      </c>
      <c r="E95" t="str" cm="1">
        <f t="array" aca="1" ref="E95" ca="1">IF('Raw Data'!E95="",_xlfn.REGEXEXTRACT(CELL("address",'Raw Data'!E95),"\$([A-Z]+)\$[0-9]+"),"")</f>
        <v/>
      </c>
      <c r="F95" t="str" cm="1">
        <f t="array" aca="1" ref="F95" ca="1">IF('Raw Data'!F95="",_xlfn.REGEXEXTRACT(CELL("address",'Raw Data'!F95),"\$([A-Z]+)\$[0-9]+"),"")</f>
        <v>$F$95</v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Data'!G95="",_xlfn.REGEXEXTRACT(CELL("address",'Raw Data'!G95),"\$([A-Z]+)\$[0-9]+"),"")</f>
        <v/>
      </c>
      <c r="I95" t="str" cm="1">
        <f t="array" aca="1" ref="I95" ca="1">IF('Raw Data'!H95="",_xlfn.REGEXEXTRACT(CELL("address",'Raw Data'!H95),"\$([A-Z]+)\$[0-9]+"),"")</f>
        <v/>
      </c>
    </row>
    <row r="96" spans="2:9" x14ac:dyDescent="0.25">
      <c r="B96" t="str" cm="1">
        <f t="array" aca="1" ref="B96" ca="1">IF('Raw Data'!B96="",_xlfn.REGEXEXTRACT(CELL("address",'Raw Data'!B96),"\$([A-Z]+)\$[0-9]+"),"")</f>
        <v/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/>
      </c>
      <c r="E96" t="str" cm="1">
        <f t="array" aca="1" ref="E96" ca="1">IF('Raw Data'!E96="",_xlfn.REGEXEXTRACT(CELL("address",'Raw Data'!E96),"\$([A-Z]+)\$[0-9]+"),"")</f>
        <v/>
      </c>
      <c r="F96" t="str" cm="1">
        <f t="array" aca="1" ref="F96" ca="1">IF('Raw Data'!F96="",_xlfn.REGEXEXTRACT(CELL("address",'Raw Data'!F96),"\$([A-Z]+)\$[0-9]+"),"")</f>
        <v>$F$96</v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Data'!G96="",_xlfn.REGEXEXTRACT(CELL("address",'Raw Data'!G96),"\$([A-Z]+)\$[0-9]+"),"")</f>
        <v/>
      </c>
      <c r="I96" t="str" cm="1">
        <f t="array" aca="1" ref="I96" ca="1">IF('Raw Data'!H96="",_xlfn.REGEXEXTRACT(CELL("address",'Raw Data'!H96),"\$([A-Z]+)\$[0-9]+"),"")</f>
        <v/>
      </c>
    </row>
    <row r="97" spans="2:9" x14ac:dyDescent="0.25">
      <c r="B97" t="str" cm="1">
        <f t="array" aca="1" ref="B97" ca="1">IF('Raw Data'!B97="",_xlfn.REGEXEXTRACT(CELL("address",'Raw Data'!B97),"\$([A-Z]+)\$[0-9]+"),"")</f>
        <v/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/>
      </c>
      <c r="E97" t="str" cm="1">
        <f t="array" aca="1" ref="E97" ca="1">IF('Raw Data'!E97="",_xlfn.REGEXEXTRACT(CELL("address",'Raw Data'!E97),"\$([A-Z]+)\$[0-9]+"),"")</f>
        <v/>
      </c>
      <c r="F97" t="str" cm="1">
        <f t="array" aca="1" ref="F97" ca="1">IF('Raw Data'!F97="",_xlfn.REGEXEXTRACT(CELL("address",'Raw Data'!F97),"\$([A-Z]+)\$[0-9]+"),"")</f>
        <v>$F$97</v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Data'!G97="",_xlfn.REGEXEXTRACT(CELL("address",'Raw Data'!G97),"\$([A-Z]+)\$[0-9]+"),"")</f>
        <v/>
      </c>
      <c r="I97" t="str" cm="1">
        <f t="array" aca="1" ref="I97" ca="1">IF('Raw Data'!H97="",_xlfn.REGEXEXTRACT(CELL("address",'Raw Data'!H97),"\$([A-Z]+)\$[0-9]+"),"")</f>
        <v/>
      </c>
    </row>
    <row r="98" spans="2:9" x14ac:dyDescent="0.25">
      <c r="B98" t="str" cm="1">
        <f t="array" aca="1" ref="B98" ca="1">IF('Raw Data'!B98="",_xlfn.REGEXEXTRACT(CELL("address",'Raw Data'!B98),"\$([A-Z]+)\$[0-9]+"),"")</f>
        <v/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/>
      </c>
      <c r="E98" t="str" cm="1">
        <f t="array" aca="1" ref="E98" ca="1">IF('Raw Data'!E98="",_xlfn.REGEXEXTRACT(CELL("address",'Raw Data'!E98),"\$([A-Z]+)\$[0-9]+"),"")</f>
        <v/>
      </c>
      <c r="F98" t="str" cm="1">
        <f t="array" aca="1" ref="F98" ca="1">IF('Raw Data'!F98="",_xlfn.REGEXEXTRACT(CELL("address",'Raw Data'!F98),"\$([A-Z]+)\$[0-9]+"),"")</f>
        <v>$F$98</v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Data'!G98="",_xlfn.REGEXEXTRACT(CELL("address",'Raw Data'!G98),"\$([A-Z]+)\$[0-9]+"),"")</f>
        <v/>
      </c>
      <c r="I98" t="str" cm="1">
        <f t="array" aca="1" ref="I98" ca="1">IF('Raw Data'!H98="",_xlfn.REGEXEXTRACT(CELL("address",'Raw Data'!H98),"\$([A-Z]+)\$[0-9]+"),"")</f>
        <v/>
      </c>
    </row>
    <row r="99" spans="2:9" x14ac:dyDescent="0.25">
      <c r="B99" t="str" cm="1">
        <f t="array" aca="1" ref="B99" ca="1">IF('Raw Data'!B99="",_xlfn.REGEXEXTRACT(CELL("address",'Raw Data'!B99),"\$([A-Z]+)\$[0-9]+"),"")</f>
        <v/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/>
      </c>
      <c r="E99" t="str" cm="1">
        <f t="array" aca="1" ref="E99" ca="1">IF('Raw Data'!E99="",_xlfn.REGEXEXTRACT(CELL("address",'Raw Data'!E99),"\$([A-Z]+)\$[0-9]+"),"")</f>
        <v/>
      </c>
      <c r="F99" t="str" cm="1">
        <f t="array" aca="1" ref="F99" ca="1">IF('Raw Data'!F99="",_xlfn.REGEXEXTRACT(CELL("address",'Raw Data'!F99),"\$([A-Z]+)\$[0-9]+"),"")</f>
        <v>$F$99</v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Data'!G99="",_xlfn.REGEXEXTRACT(CELL("address",'Raw Data'!G99),"\$([A-Z]+)\$[0-9]+"),"")</f>
        <v/>
      </c>
      <c r="I99" t="str" cm="1">
        <f t="array" aca="1" ref="I99" ca="1">IF('Raw Data'!H99="",_xlfn.REGEXEXTRACT(CELL("address",'Raw Data'!H99),"\$([A-Z]+)\$[0-9]+"),"")</f>
        <v/>
      </c>
    </row>
    <row r="100" spans="2:9" x14ac:dyDescent="0.25">
      <c r="B100" t="str" cm="1">
        <f t="array" aca="1" ref="B100" ca="1">IF('Raw Data'!B100="",_xlfn.REGEXEXTRACT(CELL("address",'Raw Data'!B100),"\$([A-Z]+)\$[0-9]+"),"")</f>
        <v/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/>
      </c>
      <c r="E100" t="str" cm="1">
        <f t="array" aca="1" ref="E100" ca="1">IF('Raw Data'!E100="",_xlfn.REGEXEXTRACT(CELL("address",'Raw Data'!E100),"\$([A-Z]+)\$[0-9]+"),"")</f>
        <v/>
      </c>
      <c r="F100" t="str" cm="1">
        <f t="array" aca="1" ref="F100" ca="1">IF('Raw Data'!F100="",_xlfn.REGEXEXTRACT(CELL("address",'Raw Data'!F100),"\$([A-Z]+)\$[0-9]+"),"")</f>
        <v>$F$100</v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Data'!G100="",_xlfn.REGEXEXTRACT(CELL("address",'Raw Data'!G100),"\$([A-Z]+)\$[0-9]+"),"")</f>
        <v/>
      </c>
      <c r="I100" t="str" cm="1">
        <f t="array" aca="1" ref="I100" ca="1">IF('Raw Data'!H100="",_xlfn.REGEXEXTRACT(CELL("address",'Raw Data'!H100),"\$([A-Z]+)\$[0-9]+"),"")</f>
        <v/>
      </c>
    </row>
    <row r="101" spans="2:9" x14ac:dyDescent="0.25">
      <c r="B101" t="str" cm="1">
        <f t="array" aca="1" ref="B101" ca="1">IF('Raw Data'!B101="",_xlfn.REGEXEXTRACT(CELL("address",'Raw Data'!B101),"\$([A-Z]+)\$[0-9]+"),"")</f>
        <v/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/>
      </c>
      <c r="E101" t="str" cm="1">
        <f t="array" aca="1" ref="E101" ca="1">IF('Raw Data'!E101="",_xlfn.REGEXEXTRACT(CELL("address",'Raw Data'!E101),"\$([A-Z]+)\$[0-9]+"),"")</f>
        <v/>
      </c>
      <c r="F101" t="str" cm="1">
        <f t="array" aca="1" ref="F101" ca="1">IF('Raw Data'!F101="",_xlfn.REGEXEXTRACT(CELL("address",'Raw Data'!F101),"\$([A-Z]+)\$[0-9]+"),"")</f>
        <v>$F$101</v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Data'!G101="",_xlfn.REGEXEXTRACT(CELL("address",'Raw Data'!G101),"\$([A-Z]+)\$[0-9]+"),"")</f>
        <v/>
      </c>
      <c r="I101" t="str" cm="1">
        <f t="array" aca="1" ref="I101" ca="1">IF('Raw Data'!H101="",_xlfn.REGEXEXTRACT(CELL("address",'Raw Data'!H101),"\$([A-Z]+)\$[0-9]+"),"")</f>
        <v/>
      </c>
    </row>
    <row r="102" spans="2:9" x14ac:dyDescent="0.25">
      <c r="B102" t="str" cm="1">
        <f t="array" aca="1" ref="B102" ca="1">IF('Raw Data'!B102="",_xlfn.REGEXEXTRACT(CELL("address",'Raw Data'!B102),"\$([A-Z]+)\$[0-9]+"),"")</f>
        <v/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/>
      </c>
      <c r="E102" t="str" cm="1">
        <f t="array" aca="1" ref="E102" ca="1">IF('Raw Data'!E102="",_xlfn.REGEXEXTRACT(CELL("address",'Raw Data'!E102),"\$([A-Z]+)\$[0-9]+"),"")</f>
        <v/>
      </c>
      <c r="F102" t="str" cm="1">
        <f t="array" aca="1" ref="F102" ca="1">IF('Raw Data'!F102="",_xlfn.REGEXEXTRACT(CELL("address",'Raw Data'!F102),"\$([A-Z]+)\$[0-9]+"),"")</f>
        <v>$F$102</v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Data'!G102="",_xlfn.REGEXEXTRACT(CELL("address",'Raw Data'!G102),"\$([A-Z]+)\$[0-9]+"),"")</f>
        <v/>
      </c>
      <c r="I102" t="str" cm="1">
        <f t="array" aca="1" ref="I102" ca="1">IF('Raw Data'!H102="",_xlfn.REGEXEXTRACT(CELL("address",'Raw Data'!H102),"\$([A-Z]+)\$[0-9]+"),"")</f>
        <v/>
      </c>
    </row>
    <row r="103" spans="2:9" x14ac:dyDescent="0.25">
      <c r="B103" t="str" cm="1">
        <f t="array" aca="1" ref="B103" ca="1">IF('Raw Data'!B103="",_xlfn.REGEXEXTRACT(CELL("address",'Raw Data'!B103),"\$([A-Z]+)\$[0-9]+"),"")</f>
        <v/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/>
      </c>
      <c r="E103" t="str" cm="1">
        <f t="array" aca="1" ref="E103" ca="1">IF('Raw Data'!E103="",_xlfn.REGEXEXTRACT(CELL("address",'Raw Data'!E103),"\$([A-Z]+)\$[0-9]+"),"")</f>
        <v/>
      </c>
      <c r="F103" t="str" cm="1">
        <f t="array" aca="1" ref="F103" ca="1">IF('Raw Data'!F103="",_xlfn.REGEXEXTRACT(CELL("address",'Raw Data'!F103),"\$([A-Z]+)\$[0-9]+"),"")</f>
        <v>$F$103</v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Data'!G103="",_xlfn.REGEXEXTRACT(CELL("address",'Raw Data'!G103),"\$([A-Z]+)\$[0-9]+"),"")</f>
        <v/>
      </c>
      <c r="I103" t="str" cm="1">
        <f t="array" aca="1" ref="I103" ca="1">IF('Raw Data'!H103="",_xlfn.REGEXEXTRACT(CELL("address",'Raw Data'!H103),"\$([A-Z]+)\$[0-9]+"),"")</f>
        <v/>
      </c>
    </row>
    <row r="104" spans="2:9" x14ac:dyDescent="0.25">
      <c r="B104" t="str" cm="1">
        <f t="array" aca="1" ref="B104" ca="1">IF('Raw Data'!B104="",_xlfn.REGEXEXTRACT(CELL("address",'Raw Data'!B104),"\$([A-Z]+)\$[0-9]+"),"")</f>
        <v/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/>
      </c>
      <c r="E104" t="str" cm="1">
        <f t="array" aca="1" ref="E104" ca="1">IF('Raw Data'!E104="",_xlfn.REGEXEXTRACT(CELL("address",'Raw Data'!E104),"\$([A-Z]+)\$[0-9]+"),"")</f>
        <v/>
      </c>
      <c r="F104" t="str" cm="1">
        <f t="array" aca="1" ref="F104" ca="1">IF('Raw Data'!F104="",_xlfn.REGEXEXTRACT(CELL("address",'Raw Data'!F104),"\$([A-Z]+)\$[0-9]+"),"")</f>
        <v>$F$104</v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Data'!G104="",_xlfn.REGEXEXTRACT(CELL("address",'Raw Data'!G104),"\$([A-Z]+)\$[0-9]+"),"")</f>
        <v/>
      </c>
      <c r="I104" t="str" cm="1">
        <f t="array" aca="1" ref="I104" ca="1">IF('Raw Data'!H104="",_xlfn.REGEXEXTRACT(CELL("address",'Raw Data'!H104),"\$([A-Z]+)\$[0-9]+"),"")</f>
        <v/>
      </c>
    </row>
    <row r="105" spans="2:9" x14ac:dyDescent="0.25">
      <c r="B105" t="str" cm="1">
        <f t="array" aca="1" ref="B105" ca="1">IF('Raw Data'!B105="",_xlfn.REGEXEXTRACT(CELL("address",'Raw Data'!B105),"\$([A-Z]+)\$[0-9]+"),"")</f>
        <v/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/>
      </c>
      <c r="E105" t="str" cm="1">
        <f t="array" aca="1" ref="E105" ca="1">IF('Raw Data'!E105="",_xlfn.REGEXEXTRACT(CELL("address",'Raw Data'!E105),"\$([A-Z]+)\$[0-9]+"),"")</f>
        <v/>
      </c>
      <c r="F105" t="str" cm="1">
        <f t="array" aca="1" ref="F105" ca="1">IF('Raw Data'!F105="",_xlfn.REGEXEXTRACT(CELL("address",'Raw Data'!F105),"\$([A-Z]+)\$[0-9]+"),"")</f>
        <v>$F$105</v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Data'!G105="",_xlfn.REGEXEXTRACT(CELL("address",'Raw Data'!G105),"\$([A-Z]+)\$[0-9]+"),"")</f>
        <v/>
      </c>
      <c r="I105" t="str" cm="1">
        <f t="array" aca="1" ref="I105" ca="1">IF('Raw Data'!H105="",_xlfn.REGEXEXTRACT(CELL("address",'Raw Data'!H105),"\$([A-Z]+)\$[0-9]+"),"")</f>
        <v/>
      </c>
    </row>
    <row r="106" spans="2:9" x14ac:dyDescent="0.25">
      <c r="B106" t="str" cm="1">
        <f t="array" aca="1" ref="B106" ca="1">IF('Raw Data'!B106="",_xlfn.REGEXEXTRACT(CELL("address",'Raw Data'!B106),"\$([A-Z]+)\$[0-9]+"),"")</f>
        <v/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/>
      </c>
      <c r="E106" t="str" cm="1">
        <f t="array" aca="1" ref="E106" ca="1">IF('Raw Data'!E106="",_xlfn.REGEXEXTRACT(CELL("address",'Raw Data'!E106),"\$([A-Z]+)\$[0-9]+"),"")</f>
        <v/>
      </c>
      <c r="F106" t="str" cm="1">
        <f t="array" aca="1" ref="F106" ca="1">IF('Raw Data'!F106="",_xlfn.REGEXEXTRACT(CELL("address",'Raw Data'!F106),"\$([A-Z]+)\$[0-9]+"),"")</f>
        <v>$F$106</v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Data'!G106="",_xlfn.REGEXEXTRACT(CELL("address",'Raw Data'!G106),"\$([A-Z]+)\$[0-9]+"),"")</f>
        <v/>
      </c>
      <c r="I106" t="str" cm="1">
        <f t="array" aca="1" ref="I106" ca="1">IF('Raw Data'!H106="",_xlfn.REGEXEXTRACT(CELL("address",'Raw Data'!H106),"\$([A-Z]+)\$[0-9]+"),"")</f>
        <v/>
      </c>
    </row>
    <row r="107" spans="2:9" x14ac:dyDescent="0.25">
      <c r="B107" t="str" cm="1">
        <f t="array" aca="1" ref="B107" ca="1">IF('Raw Data'!B107="",_xlfn.REGEXEXTRACT(CELL("address",'Raw Data'!B107),"\$([A-Z]+)\$[0-9]+"),"")</f>
        <v/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/>
      </c>
      <c r="E107" t="str" cm="1">
        <f t="array" aca="1" ref="E107" ca="1">IF('Raw Data'!E107="",_xlfn.REGEXEXTRACT(CELL("address",'Raw Data'!E107),"\$([A-Z]+)\$[0-9]+"),"")</f>
        <v/>
      </c>
      <c r="F107" t="str" cm="1">
        <f t="array" aca="1" ref="F107" ca="1">IF('Raw Data'!F107="",_xlfn.REGEXEXTRACT(CELL("address",'Raw Data'!F107),"\$([A-Z]+)\$[0-9]+"),"")</f>
        <v>$F$107</v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Data'!G107="",_xlfn.REGEXEXTRACT(CELL("address",'Raw Data'!G107),"\$([A-Z]+)\$[0-9]+"),"")</f>
        <v/>
      </c>
      <c r="I107" t="str" cm="1">
        <f t="array" aca="1" ref="I107" ca="1">IF('Raw Data'!H107="",_xlfn.REGEXEXTRACT(CELL("address",'Raw Data'!H107),"\$([A-Z]+)\$[0-9]+"),"")</f>
        <v/>
      </c>
    </row>
    <row r="108" spans="2:9" x14ac:dyDescent="0.25">
      <c r="B108" t="str" cm="1">
        <f t="array" aca="1" ref="B108" ca="1">IF('Raw Data'!B108="",_xlfn.REGEXEXTRACT(CELL("address",'Raw Data'!B108),"\$([A-Z]+)\$[0-9]+"),"")</f>
        <v/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/>
      </c>
      <c r="E108" t="str" cm="1">
        <f t="array" aca="1" ref="E108" ca="1">IF('Raw Data'!E108="",_xlfn.REGEXEXTRACT(CELL("address",'Raw Data'!E108),"\$([A-Z]+)\$[0-9]+"),"")</f>
        <v/>
      </c>
      <c r="F108" t="str" cm="1">
        <f t="array" aca="1" ref="F108" ca="1">IF('Raw Data'!F108="",_xlfn.REGEXEXTRACT(CELL("address",'Raw Data'!F108),"\$([A-Z]+)\$[0-9]+"),"")</f>
        <v>$F$108</v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Data'!G108="",_xlfn.REGEXEXTRACT(CELL("address",'Raw Data'!G108),"\$([A-Z]+)\$[0-9]+"),"")</f>
        <v/>
      </c>
      <c r="I108" t="str" cm="1">
        <f t="array" aca="1" ref="I108" ca="1">IF('Raw Data'!H108="",_xlfn.REGEXEXTRACT(CELL("address",'Raw Data'!H108),"\$([A-Z]+)\$[0-9]+"),"")</f>
        <v/>
      </c>
    </row>
    <row r="109" spans="2:9" x14ac:dyDescent="0.25">
      <c r="B109" t="str" cm="1">
        <f t="array" aca="1" ref="B109" ca="1">IF('Raw Data'!B109="",_xlfn.REGEXEXTRACT(CELL("address",'Raw Data'!B109),"\$([A-Z]+)\$[0-9]+"),"")</f>
        <v/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/>
      </c>
      <c r="E109" t="str" cm="1">
        <f t="array" aca="1" ref="E109" ca="1">IF('Raw Data'!E109="",_xlfn.REGEXEXTRACT(CELL("address",'Raw Data'!E109),"\$([A-Z]+)\$[0-9]+"),"")</f>
        <v/>
      </c>
      <c r="F109" t="str" cm="1">
        <f t="array" aca="1" ref="F109" ca="1">IF('Raw Data'!F109="",_xlfn.REGEXEXTRACT(CELL("address",'Raw Data'!F109),"\$([A-Z]+)\$[0-9]+"),"")</f>
        <v>$F$109</v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Data'!G109="",_xlfn.REGEXEXTRACT(CELL("address",'Raw Data'!G109),"\$([A-Z]+)\$[0-9]+"),"")</f>
        <v/>
      </c>
      <c r="I109" t="str" cm="1">
        <f t="array" aca="1" ref="I109" ca="1">IF('Raw Data'!H109="",_xlfn.REGEXEXTRACT(CELL("address",'Raw Data'!H109),"\$([A-Z]+)\$[0-9]+"),"")</f>
        <v/>
      </c>
    </row>
    <row r="110" spans="2:9" x14ac:dyDescent="0.25">
      <c r="B110" t="str" cm="1">
        <f t="array" aca="1" ref="B110" ca="1">IF('Raw Data'!B110="",_xlfn.REGEXEXTRACT(CELL("address",'Raw Data'!B110),"\$([A-Z]+)\$[0-9]+"),"")</f>
        <v/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/>
      </c>
      <c r="F110" t="str" cm="1">
        <f t="array" aca="1" ref="F110" ca="1">IF('Raw Data'!F110="",_xlfn.REGEXEXTRACT(CELL("address",'Raw Data'!F110),"\$([A-Z]+)\$[0-9]+"),"")</f>
        <v>$F$110</v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Data'!G110="",_xlfn.REGEXEXTRACT(CELL("address",'Raw Data'!G110),"\$([A-Z]+)\$[0-9]+"),"")</f>
        <v/>
      </c>
      <c r="I110" t="str" cm="1">
        <f t="array" aca="1" ref="I110" ca="1">IF('Raw Data'!H110="",_xlfn.REGEXEXTRACT(CELL("address",'Raw Data'!H110),"\$([A-Z]+)\$[0-9]+"),"")</f>
        <v/>
      </c>
    </row>
    <row r="111" spans="2:9" x14ac:dyDescent="0.25">
      <c r="B111" t="str" cm="1">
        <f t="array" aca="1" ref="B111" ca="1">IF('Raw Data'!B111="",_xlfn.REGEXEXTRACT(CELL("address",'Raw Data'!B111),"\$([A-Z]+)\$[0-9]+"),"")</f>
        <v/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/>
      </c>
      <c r="E111" t="str" cm="1">
        <f t="array" aca="1" ref="E111" ca="1">IF('Raw Data'!E111="",_xlfn.REGEXEXTRACT(CELL("address",'Raw Data'!E111),"\$([A-Z]+)\$[0-9]+"),"")</f>
        <v/>
      </c>
      <c r="F111" t="str" cm="1">
        <f t="array" aca="1" ref="F111" ca="1">IF('Raw Data'!F111="",_xlfn.REGEXEXTRACT(CELL("address",'Raw Data'!F111),"\$([A-Z]+)\$[0-9]+"),"")</f>
        <v>$F$111</v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Data'!G111="",_xlfn.REGEXEXTRACT(CELL("address",'Raw Data'!G111),"\$([A-Z]+)\$[0-9]+"),"")</f>
        <v/>
      </c>
      <c r="I111" t="str" cm="1">
        <f t="array" aca="1" ref="I111" ca="1">IF('Raw Data'!H111="",_xlfn.REGEXEXTRACT(CELL("address",'Raw Data'!H111),"\$([A-Z]+)\$[0-9]+"),"")</f>
        <v/>
      </c>
    </row>
    <row r="112" spans="2:9" x14ac:dyDescent="0.25">
      <c r="B112" t="str" cm="1">
        <f t="array" aca="1" ref="B112" ca="1">IF('Raw Data'!B112="",_xlfn.REGEXEXTRACT(CELL("address",'Raw Data'!B112),"\$([A-Z]+)\$[0-9]+"),"")</f>
        <v/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/>
      </c>
      <c r="E112" t="str" cm="1">
        <f t="array" aca="1" ref="E112" ca="1">IF('Raw Data'!E112="",_xlfn.REGEXEXTRACT(CELL("address",'Raw Data'!E112),"\$([A-Z]+)\$[0-9]+"),"")</f>
        <v/>
      </c>
      <c r="F112" t="str" cm="1">
        <f t="array" aca="1" ref="F112" ca="1">IF('Raw Data'!F112="",_xlfn.REGEXEXTRACT(CELL("address",'Raw Data'!F112),"\$([A-Z]+)\$[0-9]+"),"")</f>
        <v>$F$112</v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Data'!G112="",_xlfn.REGEXEXTRACT(CELL("address",'Raw Data'!G112),"\$([A-Z]+)\$[0-9]+"),"")</f>
        <v/>
      </c>
      <c r="I112" t="str" cm="1">
        <f t="array" aca="1" ref="I112" ca="1">IF('Raw Data'!H112="",_xlfn.REGEXEXTRACT(CELL("address",'Raw Data'!H112),"\$([A-Z]+)\$[0-9]+"),"")</f>
        <v/>
      </c>
    </row>
    <row r="113" spans="2:9" x14ac:dyDescent="0.25">
      <c r="B113" t="str" cm="1">
        <f t="array" aca="1" ref="B113" ca="1">IF('Raw Data'!B113="",_xlfn.REGEXEXTRACT(CELL("address",'Raw Data'!B113),"\$([A-Z]+)\$[0-9]+"),"")</f>
        <v/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>$F$113</v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Data'!G113="",_xlfn.REGEXEXTRACT(CELL("address",'Raw Data'!G113),"\$([A-Z]+)\$[0-9]+"),"")</f>
        <v/>
      </c>
      <c r="I113" t="str" cm="1">
        <f t="array" aca="1" ref="I113" ca="1">IF('Raw Data'!H113="",_xlfn.REGEXEXTRACT(CELL("address",'Raw Data'!H113),"\$([A-Z]+)\$[0-9]+"),"")</f>
        <v/>
      </c>
    </row>
    <row r="114" spans="2:9" x14ac:dyDescent="0.25">
      <c r="B114" t="str" cm="1">
        <f t="array" aca="1" ref="B114" ca="1">IF('Raw Data'!B114="",_xlfn.REGEXEXTRACT(CELL("address",'Raw Data'!B114),"\$([A-Z]+)\$[0-9]+"),"")</f>
        <v/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/>
      </c>
      <c r="E114" t="str" cm="1">
        <f t="array" aca="1" ref="E114" ca="1">IF('Raw Data'!E114="",_xlfn.REGEXEXTRACT(CELL("address",'Raw Data'!E114),"\$([A-Z]+)\$[0-9]+"),"")</f>
        <v/>
      </c>
      <c r="F114" t="str" cm="1">
        <f t="array" aca="1" ref="F114" ca="1">IF('Raw Data'!F114="",_xlfn.REGEXEXTRACT(CELL("address",'Raw Data'!F114),"\$([A-Z]+)\$[0-9]+"),"")</f>
        <v>$F$114</v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Data'!G114="",_xlfn.REGEXEXTRACT(CELL("address",'Raw Data'!G114),"\$([A-Z]+)\$[0-9]+"),"")</f>
        <v/>
      </c>
      <c r="I114" t="str" cm="1">
        <f t="array" aca="1" ref="I114" ca="1">IF('Raw Data'!H114="",_xlfn.REGEXEXTRACT(CELL("address",'Raw Data'!H114),"\$([A-Z]+)\$[0-9]+"),"")</f>
        <v/>
      </c>
    </row>
    <row r="115" spans="2:9" x14ac:dyDescent="0.25">
      <c r="B115" t="str" cm="1">
        <f t="array" aca="1" ref="B115" ca="1">IF('Raw Data'!B115="",_xlfn.REGEXEXTRACT(CELL("address",'Raw Data'!B115),"\$([A-Z]+)\$[0-9]+"),"")</f>
        <v/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>$F$115</v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Data'!G115="",_xlfn.REGEXEXTRACT(CELL("address",'Raw Data'!G115),"\$([A-Z]+)\$[0-9]+"),"")</f>
        <v/>
      </c>
      <c r="I115" t="str" cm="1">
        <f t="array" aca="1" ref="I115" ca="1">IF('Raw Data'!H115="",_xlfn.REGEXEXTRACT(CELL("address",'Raw Data'!H115),"\$([A-Z]+)\$[0-9]+"),"")</f>
        <v/>
      </c>
    </row>
    <row r="116" spans="2:9" x14ac:dyDescent="0.25">
      <c r="B116" t="str" cm="1">
        <f t="array" aca="1" ref="B116" ca="1">IF('Raw Data'!B116="",_xlfn.REGEXEXTRACT(CELL("address",'Raw Data'!B116),"\$([A-Z]+)\$[0-9]+"),"")</f>
        <v/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>$F$116</v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Data'!G116="",_xlfn.REGEXEXTRACT(CELL("address",'Raw Data'!G116),"\$([A-Z]+)\$[0-9]+"),"")</f>
        <v/>
      </c>
      <c r="I116" t="str" cm="1">
        <f t="array" aca="1" ref="I116" ca="1">IF('Raw Data'!H116="",_xlfn.REGEXEXTRACT(CELL("address",'Raw Data'!H116),"\$([A-Z]+)\$[0-9]+"),"")</f>
        <v/>
      </c>
    </row>
    <row r="117" spans="2:9" x14ac:dyDescent="0.25">
      <c r="B117" t="str" cm="1">
        <f t="array" aca="1" ref="B117" ca="1">IF('Raw Data'!B117="",_xlfn.REGEXEXTRACT(CELL("address",'Raw Data'!B117),"\$([A-Z]+)\$[0-9]+"),"")</f>
        <v/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>$F$117</v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Data'!G117="",_xlfn.REGEXEXTRACT(CELL("address",'Raw Data'!G117),"\$([A-Z]+)\$[0-9]+"),"")</f>
        <v/>
      </c>
      <c r="I117" t="str" cm="1">
        <f t="array" aca="1" ref="I117" ca="1">IF('Raw Data'!H117="",_xlfn.REGEXEXTRACT(CELL("address",'Raw Data'!H117),"\$([A-Z]+)\$[0-9]+"),"")</f>
        <v/>
      </c>
    </row>
    <row r="118" spans="2:9" x14ac:dyDescent="0.25">
      <c r="B118" t="str" cm="1">
        <f t="array" aca="1" ref="B118" ca="1">IF('Raw Data'!B118="",_xlfn.REGEXEXTRACT(CELL("address",'Raw Data'!B118),"\$([A-Z]+)\$[0-9]+"),"")</f>
        <v/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>$F$118</v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Data'!G118="",_xlfn.REGEXEXTRACT(CELL("address",'Raw Data'!G118),"\$([A-Z]+)\$[0-9]+"),"")</f>
        <v/>
      </c>
      <c r="I118" t="str" cm="1">
        <f t="array" aca="1" ref="I118" ca="1">IF('Raw Data'!H118="",_xlfn.REGEXEXTRACT(CELL("address",'Raw Data'!H118),"\$([A-Z]+)\$[0-9]+"),"")</f>
        <v/>
      </c>
    </row>
    <row r="119" spans="2:9" x14ac:dyDescent="0.25">
      <c r="B119" t="str" cm="1">
        <f t="array" aca="1" ref="B119" ca="1">IF('Raw Data'!B119="",_xlfn.REGEXEXTRACT(CELL("address",'Raw Data'!B119),"\$([A-Z]+)\$[0-9]+"),"")</f>
        <v/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>$F$119</v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Data'!G119="",_xlfn.REGEXEXTRACT(CELL("address",'Raw Data'!G119),"\$([A-Z]+)\$[0-9]+"),"")</f>
        <v/>
      </c>
      <c r="I119" t="str" cm="1">
        <f t="array" aca="1" ref="I119" ca="1">IF('Raw Data'!H119="",_xlfn.REGEXEXTRACT(CELL("address",'Raw Data'!H119),"\$([A-Z]+)\$[0-9]+"),"")</f>
        <v/>
      </c>
    </row>
    <row r="120" spans="2:9" x14ac:dyDescent="0.25">
      <c r="B120" t="str" cm="1">
        <f t="array" aca="1" ref="B120" ca="1">IF('Raw Data'!B120="",_xlfn.REGEXEXTRACT(CELL("address",'Raw Data'!B120),"\$([A-Z]+)\$[0-9]+"),"")</f>
        <v/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/>
      </c>
      <c r="E120" t="str" cm="1">
        <f t="array" aca="1" ref="E120" ca="1">IF('Raw Data'!E120="",_xlfn.REGEXEXTRACT(CELL("address",'Raw Data'!E120),"\$([A-Z]+)\$[0-9]+"),"")</f>
        <v/>
      </c>
      <c r="F120" t="str" cm="1">
        <f t="array" aca="1" ref="F120" ca="1">IF('Raw Data'!F120="",_xlfn.REGEXEXTRACT(CELL("address",'Raw Data'!F120),"\$([A-Z]+)\$[0-9]+"),"")</f>
        <v>$F$120</v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Data'!G120="",_xlfn.REGEXEXTRACT(CELL("address",'Raw Data'!G120),"\$([A-Z]+)\$[0-9]+"),"")</f>
        <v/>
      </c>
      <c r="I120" t="str" cm="1">
        <f t="array" aca="1" ref="I120" ca="1">IF('Raw Data'!H120="",_xlfn.REGEXEXTRACT(CELL("address",'Raw Data'!H120),"\$([A-Z]+)\$[0-9]+"),"")</f>
        <v/>
      </c>
    </row>
    <row r="121" spans="2:9" x14ac:dyDescent="0.25">
      <c r="B121" t="str" cm="1">
        <f t="array" aca="1" ref="B121" ca="1">IF('Raw Data'!B121="",_xlfn.REGEXEXTRACT(CELL("address",'Raw Data'!B121),"\$([A-Z]+)\$[0-9]+"),"")</f>
        <v/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/>
      </c>
      <c r="E121" t="str" cm="1">
        <f t="array" aca="1" ref="E121" ca="1">IF('Raw Data'!E121="",_xlfn.REGEXEXTRACT(CELL("address",'Raw Data'!E121),"\$([A-Z]+)\$[0-9]+"),"")</f>
        <v/>
      </c>
      <c r="F121" t="str" cm="1">
        <f t="array" aca="1" ref="F121" ca="1">IF('Raw Data'!F121="",_xlfn.REGEXEXTRACT(CELL("address",'Raw Data'!F121),"\$([A-Z]+)\$[0-9]+"),"")</f>
        <v>$F$121</v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Data'!G121="",_xlfn.REGEXEXTRACT(CELL("address",'Raw Data'!G121),"\$([A-Z]+)\$[0-9]+"),"")</f>
        <v/>
      </c>
      <c r="I121" t="str" cm="1">
        <f t="array" aca="1" ref="I121" ca="1">IF('Raw Data'!H121="",_xlfn.REGEXEXTRACT(CELL("address",'Raw Data'!H121),"\$([A-Z]+)\$[0-9]+"),"")</f>
        <v/>
      </c>
    </row>
    <row r="122" spans="2:9" x14ac:dyDescent="0.25">
      <c r="B122" t="str" cm="1">
        <f t="array" aca="1" ref="B122" ca="1">IF('Raw Data'!B122="",_xlfn.REGEXEXTRACT(CELL("address",'Raw Data'!B122),"\$([A-Z]+)\$[0-9]+"),"")</f>
        <v/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>$F$122</v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Data'!G122="",_xlfn.REGEXEXTRACT(CELL("address",'Raw Data'!G122),"\$([A-Z]+)\$[0-9]+"),"")</f>
        <v/>
      </c>
      <c r="I122" t="str" cm="1">
        <f t="array" aca="1" ref="I122" ca="1">IF('Raw Data'!H122="",_xlfn.REGEXEXTRACT(CELL("address",'Raw Data'!H122),"\$([A-Z]+)\$[0-9]+"),"")</f>
        <v/>
      </c>
    </row>
    <row r="123" spans="2:9" x14ac:dyDescent="0.25">
      <c r="B123" t="str" cm="1">
        <f t="array" aca="1" ref="B123" ca="1">IF('Raw Data'!B123="",_xlfn.REGEXEXTRACT(CELL("address",'Raw Data'!B123),"\$([A-Z]+)\$[0-9]+"),"")</f>
        <v/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/>
      </c>
      <c r="E123" t="str" cm="1">
        <f t="array" aca="1" ref="E123" ca="1">IF('Raw Data'!E123="",_xlfn.REGEXEXTRACT(CELL("address",'Raw Data'!E123),"\$([A-Z]+)\$[0-9]+"),"")</f>
        <v/>
      </c>
      <c r="F123" t="str" cm="1">
        <f t="array" aca="1" ref="F123" ca="1">IF('Raw Data'!F123="",_xlfn.REGEXEXTRACT(CELL("address",'Raw Data'!F123),"\$([A-Z]+)\$[0-9]+"),"")</f>
        <v>$F$123</v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Data'!G123="",_xlfn.REGEXEXTRACT(CELL("address",'Raw Data'!G123),"\$([A-Z]+)\$[0-9]+"),"")</f>
        <v/>
      </c>
      <c r="I123" t="str" cm="1">
        <f t="array" aca="1" ref="I123" ca="1">IF('Raw Data'!H123="",_xlfn.REGEXEXTRACT(CELL("address",'Raw Data'!H123),"\$([A-Z]+)\$[0-9]+"),"")</f>
        <v/>
      </c>
    </row>
    <row r="124" spans="2:9" x14ac:dyDescent="0.25">
      <c r="B124" t="str" cm="1">
        <f t="array" aca="1" ref="B124" ca="1">IF('Raw Data'!B124="",_xlfn.REGEXEXTRACT(CELL("address",'Raw Data'!B124),"\$([A-Z]+)\$[0-9]+"),"")</f>
        <v/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/>
      </c>
      <c r="E124" t="str" cm="1">
        <f t="array" aca="1" ref="E124" ca="1">IF('Raw Data'!E124="",_xlfn.REGEXEXTRACT(CELL("address",'Raw Data'!E124),"\$([A-Z]+)\$[0-9]+"),"")</f>
        <v/>
      </c>
      <c r="F124" t="str" cm="1">
        <f t="array" aca="1" ref="F124" ca="1">IF('Raw Data'!F124="",_xlfn.REGEXEXTRACT(CELL("address",'Raw Data'!F124),"\$([A-Z]+)\$[0-9]+"),"")</f>
        <v>$F$124</v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Data'!G124="",_xlfn.REGEXEXTRACT(CELL("address",'Raw Data'!G124),"\$([A-Z]+)\$[0-9]+"),"")</f>
        <v/>
      </c>
      <c r="I124" t="str" cm="1">
        <f t="array" aca="1" ref="I124" ca="1">IF('Raw Data'!H124="",_xlfn.REGEXEXTRACT(CELL("address",'Raw Data'!H124),"\$([A-Z]+)\$[0-9]+"),"")</f>
        <v/>
      </c>
    </row>
    <row r="125" spans="2:9" x14ac:dyDescent="0.25">
      <c r="B125" t="str" cm="1">
        <f t="array" aca="1" ref="B125" ca="1">IF('Raw Data'!B125="",_xlfn.REGEXEXTRACT(CELL("address",'Raw Data'!B125),"\$([A-Z]+)\$[0-9]+"),"")</f>
        <v/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/>
      </c>
      <c r="E125" t="str" cm="1">
        <f t="array" aca="1" ref="E125" ca="1">IF('Raw Data'!E125="",_xlfn.REGEXEXTRACT(CELL("address",'Raw Data'!E125),"\$([A-Z]+)\$[0-9]+"),"")</f>
        <v/>
      </c>
      <c r="F125" t="str" cm="1">
        <f t="array" aca="1" ref="F125" ca="1">IF('Raw Data'!F125="",_xlfn.REGEXEXTRACT(CELL("address",'Raw Data'!F125),"\$([A-Z]+)\$[0-9]+"),"")</f>
        <v>$F$125</v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Data'!G125="",_xlfn.REGEXEXTRACT(CELL("address",'Raw Data'!G125),"\$([A-Z]+)\$[0-9]+"),"")</f>
        <v/>
      </c>
      <c r="I125" t="str" cm="1">
        <f t="array" aca="1" ref="I125" ca="1">IF('Raw Data'!H125="",_xlfn.REGEXEXTRACT(CELL("address",'Raw Data'!H125),"\$([A-Z]+)\$[0-9]+"),"")</f>
        <v/>
      </c>
    </row>
    <row r="126" spans="2:9" x14ac:dyDescent="0.25">
      <c r="B126" t="str" cm="1">
        <f t="array" aca="1" ref="B126" ca="1">IF('Raw Data'!B126="",_xlfn.REGEXEXTRACT(CELL("address",'Raw Data'!B126),"\$([A-Z]+)\$[0-9]+"),"")</f>
        <v/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/>
      </c>
      <c r="E126" t="str" cm="1">
        <f t="array" aca="1" ref="E126" ca="1">IF('Raw Data'!E126="",_xlfn.REGEXEXTRACT(CELL("address",'Raw Data'!E126),"\$([A-Z]+)\$[0-9]+"),"")</f>
        <v/>
      </c>
      <c r="F126" t="str" cm="1">
        <f t="array" aca="1" ref="F126" ca="1">IF('Raw Data'!F126="",_xlfn.REGEXEXTRACT(CELL("address",'Raw Data'!F126),"\$([A-Z]+)\$[0-9]+"),"")</f>
        <v>$F$126</v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Data'!G126="",_xlfn.REGEXEXTRACT(CELL("address",'Raw Data'!G126),"\$([A-Z]+)\$[0-9]+"),"")</f>
        <v/>
      </c>
      <c r="I126" t="str" cm="1">
        <f t="array" aca="1" ref="I126" ca="1">IF('Raw Data'!H126="",_xlfn.REGEXEXTRACT(CELL("address",'Raw Data'!H126),"\$([A-Z]+)\$[0-9]+"),"")</f>
        <v/>
      </c>
    </row>
    <row r="127" spans="2:9" x14ac:dyDescent="0.25">
      <c r="B127" t="str" cm="1">
        <f t="array" aca="1" ref="B127" ca="1">IF('Raw Data'!B127="",_xlfn.REGEXEXTRACT(CELL("address",'Raw Data'!B127),"\$([A-Z]+)\$[0-9]+"),"")</f>
        <v/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/>
      </c>
      <c r="E127" t="str" cm="1">
        <f t="array" aca="1" ref="E127" ca="1">IF('Raw Data'!E127="",_xlfn.REGEXEXTRACT(CELL("address",'Raw Data'!E127),"\$([A-Z]+)\$[0-9]+"),"")</f>
        <v/>
      </c>
      <c r="F127" t="str" cm="1">
        <f t="array" aca="1" ref="F127" ca="1">IF('Raw Data'!F127="",_xlfn.REGEXEXTRACT(CELL("address",'Raw Data'!F127),"\$([A-Z]+)\$[0-9]+"),"")</f>
        <v>$F$127</v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Data'!G127="",_xlfn.REGEXEXTRACT(CELL("address",'Raw Data'!G127),"\$([A-Z]+)\$[0-9]+"),"")</f>
        <v/>
      </c>
      <c r="I127" t="str" cm="1">
        <f t="array" aca="1" ref="I127" ca="1">IF('Raw Data'!H127="",_xlfn.REGEXEXTRACT(CELL("address",'Raw Data'!H127),"\$([A-Z]+)\$[0-9]+"),"")</f>
        <v/>
      </c>
    </row>
    <row r="128" spans="2:9" x14ac:dyDescent="0.25">
      <c r="B128" t="str" cm="1">
        <f t="array" aca="1" ref="B128" ca="1">IF('Raw Data'!B128="",_xlfn.REGEXEXTRACT(CELL("address",'Raw Data'!B128),"\$([A-Z]+)\$[0-9]+"),"")</f>
        <v/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/>
      </c>
      <c r="E128" t="str" cm="1">
        <f t="array" aca="1" ref="E128" ca="1">IF('Raw Data'!E128="",_xlfn.REGEXEXTRACT(CELL("address",'Raw Data'!E128),"\$([A-Z]+)\$[0-9]+"),"")</f>
        <v/>
      </c>
      <c r="F128" t="str" cm="1">
        <f t="array" aca="1" ref="F128" ca="1">IF('Raw Data'!F128="",_xlfn.REGEXEXTRACT(CELL("address",'Raw Data'!F128),"\$([A-Z]+)\$[0-9]+"),"")</f>
        <v>$F$128</v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Data'!G128="",_xlfn.REGEXEXTRACT(CELL("address",'Raw Data'!G128),"\$([A-Z]+)\$[0-9]+"),"")</f>
        <v/>
      </c>
      <c r="I128" t="str" cm="1">
        <f t="array" aca="1" ref="I128" ca="1">IF('Raw Data'!H128="",_xlfn.REGEXEXTRACT(CELL("address",'Raw Data'!H128),"\$([A-Z]+)\$[0-9]+"),"")</f>
        <v/>
      </c>
    </row>
    <row r="129" spans="2:9" x14ac:dyDescent="0.25">
      <c r="B129" t="str" cm="1">
        <f t="array" aca="1" ref="B129" ca="1">IF('Raw Data'!B129="",_xlfn.REGEXEXTRACT(CELL("address",'Raw Data'!B129),"\$([A-Z]+)\$[0-9]+"),"")</f>
        <v/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/>
      </c>
      <c r="E129" t="str" cm="1">
        <f t="array" aca="1" ref="E129" ca="1">IF('Raw Data'!E129="",_xlfn.REGEXEXTRACT(CELL("address",'Raw Data'!E129),"\$([A-Z]+)\$[0-9]+"),"")</f>
        <v/>
      </c>
      <c r="F129" t="str" cm="1">
        <f t="array" aca="1" ref="F129" ca="1">IF('Raw Data'!F129="",_xlfn.REGEXEXTRACT(CELL("address",'Raw Data'!F129),"\$([A-Z]+)\$[0-9]+"),"")</f>
        <v>$F$129</v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Data'!G129="",_xlfn.REGEXEXTRACT(CELL("address",'Raw Data'!G129),"\$([A-Z]+)\$[0-9]+"),"")</f>
        <v/>
      </c>
      <c r="I129" t="str" cm="1">
        <f t="array" aca="1" ref="I129" ca="1">IF('Raw Data'!H129="",_xlfn.REGEXEXTRACT(CELL("address",'Raw Data'!H129),"\$([A-Z]+)\$[0-9]+"),"")</f>
        <v/>
      </c>
    </row>
    <row r="130" spans="2:9" x14ac:dyDescent="0.25">
      <c r="B130" t="str" cm="1">
        <f t="array" aca="1" ref="B130" ca="1">IF('Raw Data'!B130="",_xlfn.REGEXEXTRACT(CELL("address",'Raw Data'!B130),"\$([A-Z]+)\$[0-9]+"),"")</f>
        <v/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>$D$130</v>
      </c>
      <c r="E130" t="str" cm="1">
        <f t="array" aca="1" ref="E130" ca="1">IF('Raw Data'!E130="",_xlfn.REGEXEXTRACT(CELL("address",'Raw Data'!E130),"\$([A-Z]+)\$[0-9]+"),"")</f>
        <v/>
      </c>
      <c r="F130" t="str" cm="1">
        <f t="array" aca="1" ref="F130" ca="1">IF('Raw Data'!F130="",_xlfn.REGEXEXTRACT(CELL("address",'Raw Data'!F130),"\$([A-Z]+)\$[0-9]+"),"")</f>
        <v>$F$130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Data'!G130="",_xlfn.REGEXEXTRACT(CELL("address",'Raw Data'!G130),"\$([A-Z]+)\$[0-9]+"),"")</f>
        <v/>
      </c>
      <c r="I130" t="str" cm="1">
        <f t="array" aca="1" ref="I130" ca="1">IF('Raw Data'!H130="",_xlfn.REGEXEXTRACT(CELL("address",'Raw Data'!H130),"\$([A-Z]+)\$[0-9]+"),"")</f>
        <v/>
      </c>
    </row>
    <row r="131" spans="2:9" x14ac:dyDescent="0.25">
      <c r="B131" t="str" cm="1">
        <f t="array" aca="1" ref="B131" ca="1">IF('Raw Data'!B131="",_xlfn.REGEXEXTRACT(CELL("address",'Raw Data'!B131),"\$([A-Z]+)\$[0-9]+"),"")</f>
        <v/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>$D$131</v>
      </c>
      <c r="E131" t="str" cm="1">
        <f t="array" aca="1" ref="E131" ca="1">IF('Raw Data'!E131="",_xlfn.REGEXEXTRACT(CELL("address",'Raw Data'!E131),"\$([A-Z]+)\$[0-9]+"),"")</f>
        <v/>
      </c>
      <c r="F131" t="str" cm="1">
        <f t="array" aca="1" ref="F131" ca="1">IF('Raw Data'!F131="",_xlfn.REGEXEXTRACT(CELL("address",'Raw Data'!F131),"\$([A-Z]+)\$[0-9]+"),"")</f>
        <v>$F$131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Data'!G131="",_xlfn.REGEXEXTRACT(CELL("address",'Raw Data'!G131),"\$([A-Z]+)\$[0-9]+"),"")</f>
        <v/>
      </c>
      <c r="I131" t="str" cm="1">
        <f t="array" aca="1" ref="I131" ca="1">IF('Raw Data'!H131="",_xlfn.REGEXEXTRACT(CELL("address",'Raw Data'!H131),"\$([A-Z]+)\$[0-9]+"),"")</f>
        <v/>
      </c>
    </row>
    <row r="132" spans="2:9" x14ac:dyDescent="0.25">
      <c r="B132" t="str" cm="1">
        <f t="array" aca="1" ref="B132" ca="1">IF('Raw Data'!B132="",_xlfn.REGEXEXTRACT(CELL("address",'Raw Data'!B132),"\$([A-Z]+)\$[0-9]+"),"")</f>
        <v/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>$D$132</v>
      </c>
      <c r="E132" t="str" cm="1">
        <f t="array" aca="1" ref="E132" ca="1">IF('Raw Data'!E132="",_xlfn.REGEXEXTRACT(CELL("address",'Raw Data'!E132),"\$([A-Z]+)\$[0-9]+"),"")</f>
        <v/>
      </c>
      <c r="F132" t="str" cm="1">
        <f t="array" aca="1" ref="F132" ca="1">IF('Raw Data'!F132="",_xlfn.REGEXEXTRACT(CELL("address",'Raw Data'!F132),"\$([A-Z]+)\$[0-9]+"),"")</f>
        <v>$F$132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Data'!G132="",_xlfn.REGEXEXTRACT(CELL("address",'Raw Data'!G132),"\$([A-Z]+)\$[0-9]+"),"")</f>
        <v/>
      </c>
      <c r="I132" t="str" cm="1">
        <f t="array" aca="1" ref="I132" ca="1">IF('Raw Data'!H132="",_xlfn.REGEXEXTRACT(CELL("address",'Raw Data'!H132),"\$([A-Z]+)\$[0-9]+"),"")</f>
        <v/>
      </c>
    </row>
    <row r="133" spans="2:9" x14ac:dyDescent="0.25">
      <c r="B133" t="str" cm="1">
        <f t="array" aca="1" ref="B133" ca="1">IF('Raw Data'!B133="",_xlfn.REGEXEXTRACT(CELL("address",'Raw Data'!B133),"\$([A-Z]+)\$[0-9]+"),"")</f>
        <v/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>$D$133</v>
      </c>
      <c r="E133" t="str" cm="1">
        <f t="array" aca="1" ref="E133" ca="1">IF('Raw Data'!E133="",_xlfn.REGEXEXTRACT(CELL("address",'Raw Data'!E133),"\$([A-Z]+)\$[0-9]+"),"")</f>
        <v/>
      </c>
      <c r="F133" t="str" cm="1">
        <f t="array" aca="1" ref="F133" ca="1">IF('Raw Data'!F133="",_xlfn.REGEXEXTRACT(CELL("address",'Raw Data'!F133),"\$([A-Z]+)\$[0-9]+"),"")</f>
        <v>$F$133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Data'!G133="",_xlfn.REGEXEXTRACT(CELL("address",'Raw Data'!G133),"\$([A-Z]+)\$[0-9]+"),"")</f>
        <v/>
      </c>
      <c r="I133" t="str" cm="1">
        <f t="array" aca="1" ref="I133" ca="1">IF('Raw Data'!H133="",_xlfn.REGEXEXTRACT(CELL("address",'Raw Data'!H133),"\$([A-Z]+)\$[0-9]+"),"")</f>
        <v/>
      </c>
    </row>
    <row r="134" spans="2:9" x14ac:dyDescent="0.25">
      <c r="B134" t="str" cm="1">
        <f t="array" aca="1" ref="B134" ca="1">IF('Raw Data'!B134="",_xlfn.REGEXEXTRACT(CELL("address",'Raw Data'!B134),"\$([A-Z]+)\$[0-9]+"),"")</f>
        <v/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>$D$134</v>
      </c>
      <c r="E134" t="str" cm="1">
        <f t="array" aca="1" ref="E134" ca="1">IF('Raw Data'!E134="",_xlfn.REGEXEXTRACT(CELL("address",'Raw Data'!E134),"\$([A-Z]+)\$[0-9]+"),"")</f>
        <v/>
      </c>
      <c r="F134" t="str" cm="1">
        <f t="array" aca="1" ref="F134" ca="1">IF('Raw Data'!F134="",_xlfn.REGEXEXTRACT(CELL("address",'Raw Data'!F134),"\$([A-Z]+)\$[0-9]+"),"")</f>
        <v>$F$134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Data'!G134="",_xlfn.REGEXEXTRACT(CELL("address",'Raw Data'!G134),"\$([A-Z]+)\$[0-9]+"),"")</f>
        <v/>
      </c>
      <c r="I134" t="str" cm="1">
        <f t="array" aca="1" ref="I134" ca="1">IF('Raw Data'!H134="",_xlfn.REGEXEXTRACT(CELL("address",'Raw Data'!H134),"\$([A-Z]+)\$[0-9]+"),"")</f>
        <v/>
      </c>
    </row>
    <row r="135" spans="2:9" x14ac:dyDescent="0.25">
      <c r="B135" t="str" cm="1">
        <f t="array" aca="1" ref="B135" ca="1">IF('Raw Data'!B135="",_xlfn.REGEXEXTRACT(CELL("address",'Raw Data'!B135),"\$([A-Z]+)\$[0-9]+"),"")</f>
        <v/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>$D$135</v>
      </c>
      <c r="E135" t="str" cm="1">
        <f t="array" aca="1" ref="E135" ca="1">IF('Raw Data'!E135="",_xlfn.REGEXEXTRACT(CELL("address",'Raw Data'!E135),"\$([A-Z]+)\$[0-9]+"),"")</f>
        <v/>
      </c>
      <c r="F135" t="str" cm="1">
        <f t="array" aca="1" ref="F135" ca="1">IF('Raw Data'!F135="",_xlfn.REGEXEXTRACT(CELL("address",'Raw Data'!F135),"\$([A-Z]+)\$[0-9]+"),"")</f>
        <v>$F$135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Data'!G135="",_xlfn.REGEXEXTRACT(CELL("address",'Raw Data'!G135),"\$([A-Z]+)\$[0-9]+"),"")</f>
        <v/>
      </c>
      <c r="I135" t="str" cm="1">
        <f t="array" aca="1" ref="I135" ca="1">IF('Raw Data'!H135="",_xlfn.REGEXEXTRACT(CELL("address",'Raw Data'!H135),"\$([A-Z]+)\$[0-9]+"),"")</f>
        <v/>
      </c>
    </row>
    <row r="136" spans="2:9" x14ac:dyDescent="0.25">
      <c r="B136" t="str" cm="1">
        <f t="array" aca="1" ref="B136" ca="1">IF('Raw Data'!B136="",_xlfn.REGEXEXTRACT(CELL("address",'Raw Data'!B136),"\$([A-Z]+)\$[0-9]+"),"")</f>
        <v/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>$D$136</v>
      </c>
      <c r="E136" t="str" cm="1">
        <f t="array" aca="1" ref="E136" ca="1">IF('Raw Data'!E136="",_xlfn.REGEXEXTRACT(CELL("address",'Raw Data'!E136),"\$([A-Z]+)\$[0-9]+"),"")</f>
        <v/>
      </c>
      <c r="F136" t="str" cm="1">
        <f t="array" aca="1" ref="F136" ca="1">IF('Raw Data'!F136="",_xlfn.REGEXEXTRACT(CELL("address",'Raw Data'!F136),"\$([A-Z]+)\$[0-9]+"),"")</f>
        <v>$F$136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Data'!G136="",_xlfn.REGEXEXTRACT(CELL("address",'Raw Data'!G136),"\$([A-Z]+)\$[0-9]+"),"")</f>
        <v/>
      </c>
      <c r="I136" t="str" cm="1">
        <f t="array" aca="1" ref="I136" ca="1">IF('Raw Data'!H136="",_xlfn.REGEXEXTRACT(CELL("address",'Raw Data'!H136),"\$([A-Z]+)\$[0-9]+"),"")</f>
        <v/>
      </c>
    </row>
    <row r="137" spans="2:9" x14ac:dyDescent="0.25">
      <c r="B137" t="str" cm="1">
        <f t="array" aca="1" ref="B137" ca="1">IF('Raw Data'!B137="",_xlfn.REGEXEXTRACT(CELL("address",'Raw Data'!B137),"\$([A-Z]+)\$[0-9]+"),"")</f>
        <v/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>$D$137</v>
      </c>
      <c r="E137" t="str" cm="1">
        <f t="array" aca="1" ref="E137" ca="1">IF('Raw Data'!E137="",_xlfn.REGEXEXTRACT(CELL("address",'Raw Data'!E137),"\$([A-Z]+)\$[0-9]+"),"")</f>
        <v/>
      </c>
      <c r="F137" t="str" cm="1">
        <f t="array" aca="1" ref="F137" ca="1">IF('Raw Data'!F137="",_xlfn.REGEXEXTRACT(CELL("address",'Raw Data'!F137),"\$([A-Z]+)\$[0-9]+"),"")</f>
        <v>$F$137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Data'!G137="",_xlfn.REGEXEXTRACT(CELL("address",'Raw Data'!G137),"\$([A-Z]+)\$[0-9]+"),"")</f>
        <v/>
      </c>
      <c r="I137" t="str" cm="1">
        <f t="array" aca="1" ref="I137" ca="1">IF('Raw Data'!H137="",_xlfn.REGEXEXTRACT(CELL("address",'Raw Data'!H137),"\$([A-Z]+)\$[0-9]+"),"")</f>
        <v/>
      </c>
    </row>
    <row r="138" spans="2:9" x14ac:dyDescent="0.25">
      <c r="B138" t="str" cm="1">
        <f t="array" aca="1" ref="B138" ca="1">IF('Raw Data'!B138="",_xlfn.REGEXEXTRACT(CELL("address",'Raw Data'!B138),"\$([A-Z]+)\$[0-9]+"),"")</f>
        <v/>
      </c>
      <c r="C138" t="str" cm="1">
        <f t="array" aca="1" ref="C138" ca="1">IF('Raw Data'!C138="",_xlfn.REGEXEXTRACT(CELL("address",'Raw Data'!C138),"\$([A-Z]+)\$[0-9]+"),"")</f>
        <v/>
      </c>
      <c r="D138" t="str" cm="1">
        <f t="array" aca="1" ref="D138" ca="1">IF('Raw Data'!D138="",_xlfn.REGEXEXTRACT(CELL("address",'Raw Data'!D138),"\$([A-Z]+)\$[0-9]+"),"")</f>
        <v>$D$138</v>
      </c>
      <c r="E138" t="str" cm="1">
        <f t="array" aca="1" ref="E138" ca="1">IF('Raw Data'!E138="",_xlfn.REGEXEXTRACT(CELL("address",'Raw Data'!E138),"\$([A-Z]+)\$[0-9]+"),"")</f>
        <v/>
      </c>
      <c r="F138" t="str" cm="1">
        <f t="array" aca="1" ref="F138" ca="1">IF('Raw Data'!F138="",_xlfn.REGEXEXTRACT(CELL("address",'Raw Data'!F138),"\$([A-Z]+)\$[0-9]+"),"")</f>
        <v>$F$138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Data'!G138="",_xlfn.REGEXEXTRACT(CELL("address",'Raw Data'!G138),"\$([A-Z]+)\$[0-9]+"),"")</f>
        <v/>
      </c>
      <c r="I138" t="str" cm="1">
        <f t="array" aca="1" ref="I138" ca="1">IF('Raw Data'!H138="",_xlfn.REGEXEXTRACT(CELL("address",'Raw Data'!H138),"\$([A-Z]+)\$[0-9]+"),"")</f>
        <v/>
      </c>
    </row>
    <row r="139" spans="2:9" x14ac:dyDescent="0.25">
      <c r="B139" t="str" cm="1">
        <f t="array" aca="1" ref="B139" ca="1">IF('Raw Data'!B139="",_xlfn.REGEXEXTRACT(CELL("address",'Raw Data'!B139),"\$([A-Z]+)\$[0-9]+"),"")</f>
        <v/>
      </c>
      <c r="C139" t="str" cm="1">
        <f t="array" aca="1" ref="C139" ca="1">IF('Raw Data'!C139="",_xlfn.REGEXEXTRACT(CELL("address",'Raw Data'!C139),"\$([A-Z]+)\$[0-9]+"),"")</f>
        <v/>
      </c>
      <c r="D139" t="str" cm="1">
        <f t="array" aca="1" ref="D139" ca="1">IF('Raw Data'!D139="",_xlfn.REGEXEXTRACT(CELL("address",'Raw Data'!D139),"\$([A-Z]+)\$[0-9]+"),"")</f>
        <v>$D$139</v>
      </c>
      <c r="E139" t="str" cm="1">
        <f t="array" aca="1" ref="E139" ca="1">IF('Raw Data'!E139="",_xlfn.REGEXEXTRACT(CELL("address",'Raw Data'!E139),"\$([A-Z]+)\$[0-9]+"),"")</f>
        <v/>
      </c>
      <c r="F139" t="str" cm="1">
        <f t="array" aca="1" ref="F139" ca="1">IF('Raw Data'!F139="",_xlfn.REGEXEXTRACT(CELL("address",'Raw Data'!F139),"\$([A-Z]+)\$[0-9]+"),"")</f>
        <v>$F$139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Data'!G139="",_xlfn.REGEXEXTRACT(CELL("address",'Raw Data'!G139),"\$([A-Z]+)\$[0-9]+"),"")</f>
        <v/>
      </c>
      <c r="I139" t="str" cm="1">
        <f t="array" aca="1" ref="I139" ca="1">IF('Raw Data'!H139="",_xlfn.REGEXEXTRACT(CELL("address",'Raw Data'!H139),"\$([A-Z]+)\$[0-9]+"),"")</f>
        <v/>
      </c>
    </row>
    <row r="140" spans="2:9" x14ac:dyDescent="0.25">
      <c r="B140" t="str" cm="1">
        <f t="array" aca="1" ref="B140" ca="1">IF('Raw Data'!B140="",_xlfn.REGEXEXTRACT(CELL("address",'Raw Data'!B140),"\$([A-Z]+)\$[0-9]+"),"")</f>
        <v/>
      </c>
      <c r="C140" t="str" cm="1">
        <f t="array" aca="1" ref="C140" ca="1">IF('Raw Data'!C140="",_xlfn.REGEXEXTRACT(CELL("address",'Raw Data'!C140),"\$([A-Z]+)\$[0-9]+"),"")</f>
        <v/>
      </c>
      <c r="D140" t="str" cm="1">
        <f t="array" aca="1" ref="D140" ca="1">IF('Raw Data'!D140="",_xlfn.REGEXEXTRACT(CELL("address",'Raw Data'!D140),"\$([A-Z]+)\$[0-9]+"),"")</f>
        <v>$D$140</v>
      </c>
      <c r="E140" t="str" cm="1">
        <f t="array" aca="1" ref="E140" ca="1">IF('Raw Data'!E140="",_xlfn.REGEXEXTRACT(CELL("address",'Raw Data'!E140),"\$([A-Z]+)\$[0-9]+"),"")</f>
        <v/>
      </c>
      <c r="F140" t="str" cm="1">
        <f t="array" aca="1" ref="F140" ca="1">IF('Raw Data'!F140="",_xlfn.REGEXEXTRACT(CELL("address",'Raw Data'!F140),"\$([A-Z]+)\$[0-9]+"),"")</f>
        <v>$F$140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Data'!G140="",_xlfn.REGEXEXTRACT(CELL("address",'Raw Data'!G140),"\$([A-Z]+)\$[0-9]+"),"")</f>
        <v/>
      </c>
      <c r="I140" t="str" cm="1">
        <f t="array" aca="1" ref="I140" ca="1">IF('Raw Data'!H140="",_xlfn.REGEXEXTRACT(CELL("address",'Raw Data'!H140),"\$([A-Z]+)\$[0-9]+"),"")</f>
        <v/>
      </c>
    </row>
    <row r="141" spans="2:9" x14ac:dyDescent="0.25">
      <c r="B141" t="str" cm="1">
        <f t="array" aca="1" ref="B141" ca="1">IF('Raw Data'!B141="",_xlfn.REGEXEXTRACT(CELL("address",'Raw Data'!B141),"\$([A-Z]+)\$[0-9]+"),"")</f>
        <v/>
      </c>
      <c r="C141" t="str" cm="1">
        <f t="array" aca="1" ref="C141" ca="1">IF('Raw Data'!C141="",_xlfn.REGEXEXTRACT(CELL("address",'Raw Data'!C141),"\$([A-Z]+)\$[0-9]+"),"")</f>
        <v/>
      </c>
      <c r="D141" t="str" cm="1">
        <f t="array" aca="1" ref="D141" ca="1">IF('Raw Data'!D141="",_xlfn.REGEXEXTRACT(CELL("address",'Raw Data'!D141),"\$([A-Z]+)\$[0-9]+"),"")</f>
        <v>$D$141</v>
      </c>
      <c r="E141" t="str" cm="1">
        <f t="array" aca="1" ref="E141" ca="1">IF('Raw Data'!E141="",_xlfn.REGEXEXTRACT(CELL("address",'Raw Data'!E141),"\$([A-Z]+)\$[0-9]+"),"")</f>
        <v/>
      </c>
      <c r="F141" t="str" cm="1">
        <f t="array" aca="1" ref="F141" ca="1">IF('Raw Data'!F141="",_xlfn.REGEXEXTRACT(CELL("address",'Raw Data'!F141),"\$([A-Z]+)\$[0-9]+"),"")</f>
        <v>$F$141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Data'!G141="",_xlfn.REGEXEXTRACT(CELL("address",'Raw Data'!G141),"\$([A-Z]+)\$[0-9]+"),"")</f>
        <v/>
      </c>
      <c r="I141" t="str" cm="1">
        <f t="array" aca="1" ref="I141" ca="1">IF('Raw Data'!H141="",_xlfn.REGEXEXTRACT(CELL("address",'Raw Data'!H141),"\$([A-Z]+)\$[0-9]+"),"")</f>
        <v/>
      </c>
    </row>
    <row r="142" spans="2:9" x14ac:dyDescent="0.25">
      <c r="B142" t="str" cm="1">
        <f t="array" aca="1" ref="B142" ca="1">IF('Raw Data'!B142="",_xlfn.REGEXEXTRACT(CELL("address",'Raw Data'!B142),"\$([A-Z]+)\$[0-9]+"),"")</f>
        <v/>
      </c>
      <c r="C142" t="str" cm="1">
        <f t="array" aca="1" ref="C142" ca="1">IF('Raw Data'!C142="",_xlfn.REGEXEXTRACT(CELL("address",'Raw Data'!C142),"\$([A-Z]+)\$[0-9]+"),"")</f>
        <v/>
      </c>
      <c r="D142" t="str" cm="1">
        <f t="array" aca="1" ref="D142" ca="1">IF('Raw Data'!D142="",_xlfn.REGEXEXTRACT(CELL("address",'Raw Data'!D142),"\$([A-Z]+)\$[0-9]+"),"")</f>
        <v>$D$142</v>
      </c>
      <c r="E142" t="str" cm="1">
        <f t="array" aca="1" ref="E142" ca="1">IF('Raw Data'!E142="",_xlfn.REGEXEXTRACT(CELL("address",'Raw Data'!E142),"\$([A-Z]+)\$[0-9]+"),"")</f>
        <v/>
      </c>
      <c r="F142" t="str" cm="1">
        <f t="array" aca="1" ref="F142" ca="1">IF('Raw Data'!F142="",_xlfn.REGEXEXTRACT(CELL("address",'Raw Data'!F142),"\$([A-Z]+)\$[0-9]+"),"")</f>
        <v>$F$142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Data'!G142="",_xlfn.REGEXEXTRACT(CELL("address",'Raw Data'!G142),"\$([A-Z]+)\$[0-9]+"),"")</f>
        <v/>
      </c>
      <c r="I142" t="str" cm="1">
        <f t="array" aca="1" ref="I142" ca="1">IF('Raw Data'!H142="",_xlfn.REGEXEXTRACT(CELL("address",'Raw Data'!H142),"\$([A-Z]+)\$[0-9]+"),"")</f>
        <v/>
      </c>
    </row>
    <row r="143" spans="2:9" x14ac:dyDescent="0.25">
      <c r="B143" t="str" cm="1">
        <f t="array" aca="1" ref="B143" ca="1">IF('Raw Data'!B143="",_xlfn.REGEXEXTRACT(CELL("address",'Raw Data'!B143),"\$([A-Z]+)\$[0-9]+"),"")</f>
        <v/>
      </c>
      <c r="C143" t="str" cm="1">
        <f t="array" aca="1" ref="C143" ca="1">IF('Raw Data'!C143="",_xlfn.REGEXEXTRACT(CELL("address",'Raw Data'!C143),"\$([A-Z]+)\$[0-9]+"),"")</f>
        <v/>
      </c>
      <c r="D143" t="str" cm="1">
        <f t="array" aca="1" ref="D143" ca="1">IF('Raw Data'!D143="",_xlfn.REGEXEXTRACT(CELL("address",'Raw Data'!D143),"\$([A-Z]+)\$[0-9]+"),"")</f>
        <v>$D$143</v>
      </c>
      <c r="E143" t="str" cm="1">
        <f t="array" aca="1" ref="E143" ca="1">IF('Raw Data'!E143="",_xlfn.REGEXEXTRACT(CELL("address",'Raw Data'!E143),"\$([A-Z]+)\$[0-9]+"),"")</f>
        <v/>
      </c>
      <c r="F143" t="str" cm="1">
        <f t="array" aca="1" ref="F143" ca="1">IF('Raw Data'!F143="",_xlfn.REGEXEXTRACT(CELL("address",'Raw Data'!F143),"\$([A-Z]+)\$[0-9]+"),"")</f>
        <v>$F$143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Data'!G143="",_xlfn.REGEXEXTRACT(CELL("address",'Raw Data'!G143),"\$([A-Z]+)\$[0-9]+"),"")</f>
        <v/>
      </c>
      <c r="I143" t="str" cm="1">
        <f t="array" aca="1" ref="I143" ca="1">IF('Raw Data'!H143="",_xlfn.REGEXEXTRACT(CELL("address",'Raw Data'!H143),"\$([A-Z]+)\$[0-9]+"),"")</f>
        <v/>
      </c>
    </row>
    <row r="144" spans="2:9" x14ac:dyDescent="0.25">
      <c r="B144" t="str" cm="1">
        <f t="array" aca="1" ref="B144" ca="1">IF('Raw Data'!B144="",_xlfn.REGEXEXTRACT(CELL("address",'Raw Data'!B144),"\$([A-Z]+)\$[0-9]+"),"")</f>
        <v/>
      </c>
      <c r="C144" t="str" cm="1">
        <f t="array" aca="1" ref="C144" ca="1">IF('Raw Data'!C144="",_xlfn.REGEXEXTRACT(CELL("address",'Raw Data'!C144),"\$([A-Z]+)\$[0-9]+"),"")</f>
        <v/>
      </c>
      <c r="D144" t="str" cm="1">
        <f t="array" aca="1" ref="D144" ca="1">IF('Raw Data'!D144="",_xlfn.REGEXEXTRACT(CELL("address",'Raw Data'!D144),"\$([A-Z]+)\$[0-9]+"),"")</f>
        <v>$D$144</v>
      </c>
      <c r="E144" t="str" cm="1">
        <f t="array" aca="1" ref="E144" ca="1">IF('Raw Data'!E144="",_xlfn.REGEXEXTRACT(CELL("address",'Raw Data'!E144),"\$([A-Z]+)\$[0-9]+"),"")</f>
        <v/>
      </c>
      <c r="F144" t="str" cm="1">
        <f t="array" aca="1" ref="F144" ca="1">IF('Raw Data'!F144="",_xlfn.REGEXEXTRACT(CELL("address",'Raw Data'!F144),"\$([A-Z]+)\$[0-9]+"),"")</f>
        <v>$F$144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Data'!G144="",_xlfn.REGEXEXTRACT(CELL("address",'Raw Data'!G144),"\$([A-Z]+)\$[0-9]+"),"")</f>
        <v/>
      </c>
      <c r="I144" t="str" cm="1">
        <f t="array" aca="1" ref="I144" ca="1">IF('Raw Data'!H144="",_xlfn.REGEXEXTRACT(CELL("address",'Raw Data'!H144),"\$([A-Z]+)\$[0-9]+"),"")</f>
        <v/>
      </c>
    </row>
    <row r="145" spans="2:9" x14ac:dyDescent="0.25">
      <c r="B145" t="str" cm="1">
        <f t="array" aca="1" ref="B145" ca="1">IF('Raw Data'!B145="",_xlfn.REGEXEXTRACT(CELL("address",'Raw Data'!B145),"\$([A-Z]+)\$[0-9]+"),"")</f>
        <v/>
      </c>
      <c r="C145" t="str" cm="1">
        <f t="array" aca="1" ref="C145" ca="1">IF('Raw Data'!C145="",_xlfn.REGEXEXTRACT(CELL("address",'Raw Data'!C145),"\$([A-Z]+)\$[0-9]+"),"")</f>
        <v/>
      </c>
      <c r="D145" t="str" cm="1">
        <f t="array" aca="1" ref="D145" ca="1">IF('Raw Data'!D145="",_xlfn.REGEXEXTRACT(CELL("address",'Raw Data'!D145),"\$([A-Z]+)\$[0-9]+"),"")</f>
        <v>$D$145</v>
      </c>
      <c r="E145" t="str" cm="1">
        <f t="array" aca="1" ref="E145" ca="1">IF('Raw Data'!E145="",_xlfn.REGEXEXTRACT(CELL("address",'Raw Data'!E145),"\$([A-Z]+)\$[0-9]+"),"")</f>
        <v/>
      </c>
      <c r="F145" t="str" cm="1">
        <f t="array" aca="1" ref="F145" ca="1">IF('Raw Data'!F145="",_xlfn.REGEXEXTRACT(CELL("address",'Raw Data'!F145),"\$([A-Z]+)\$[0-9]+"),"")</f>
        <v>$F$145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Data'!G145="",_xlfn.REGEXEXTRACT(CELL("address",'Raw Data'!G145),"\$([A-Z]+)\$[0-9]+"),"")</f>
        <v/>
      </c>
      <c r="I145" t="str" cm="1">
        <f t="array" aca="1" ref="I145" ca="1">IF('Raw Data'!H145="",_xlfn.REGEXEXTRACT(CELL("address",'Raw Data'!H145),"\$([A-Z]+)\$[0-9]+"),"")</f>
        <v/>
      </c>
    </row>
    <row r="146" spans="2:9" x14ac:dyDescent="0.25">
      <c r="B146" t="str" cm="1">
        <f t="array" aca="1" ref="B146" ca="1">IF('Raw Data'!B146="",_xlfn.REGEXEXTRACT(CELL("address",'Raw Data'!B146),"\$([A-Z]+)\$[0-9]+"),"")</f>
        <v/>
      </c>
      <c r="C146" t="str" cm="1">
        <f t="array" aca="1" ref="C146" ca="1">IF('Raw Data'!C146="",_xlfn.REGEXEXTRACT(CELL("address",'Raw Data'!C146),"\$([A-Z]+)\$[0-9]+"),"")</f>
        <v/>
      </c>
      <c r="D146" t="str" cm="1">
        <f t="array" aca="1" ref="D146" ca="1">IF('Raw Data'!D146="",_xlfn.REGEXEXTRACT(CELL("address",'Raw Data'!D146),"\$([A-Z]+)\$[0-9]+"),"")</f>
        <v>$D$146</v>
      </c>
      <c r="E146" t="str" cm="1">
        <f t="array" aca="1" ref="E146" ca="1">IF('Raw Data'!E146="",_xlfn.REGEXEXTRACT(CELL("address",'Raw Data'!E146),"\$([A-Z]+)\$[0-9]+"),"")</f>
        <v/>
      </c>
      <c r="F146" t="str" cm="1">
        <f t="array" aca="1" ref="F146" ca="1">IF('Raw Data'!F146="",_xlfn.REGEXEXTRACT(CELL("address",'Raw Data'!F146),"\$([A-Z]+)\$[0-9]+"),"")</f>
        <v>$F$146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Data'!G146="",_xlfn.REGEXEXTRACT(CELL("address",'Raw Data'!G146),"\$([A-Z]+)\$[0-9]+"),"")</f>
        <v/>
      </c>
      <c r="I146" t="str" cm="1">
        <f t="array" aca="1" ref="I146" ca="1">IF('Raw Data'!H146="",_xlfn.REGEXEXTRACT(CELL("address",'Raw Data'!H146),"\$([A-Z]+)\$[0-9]+"),"")</f>
        <v/>
      </c>
    </row>
    <row r="147" spans="2:9" x14ac:dyDescent="0.25">
      <c r="B147" t="str" cm="1">
        <f t="array" aca="1" ref="B147" ca="1">IF('Raw Data'!B147="",_xlfn.REGEXEXTRACT(CELL("address",'Raw Data'!B147),"\$([A-Z]+)\$[0-9]+"),"")</f>
        <v/>
      </c>
      <c r="C147" t="str" cm="1">
        <f t="array" aca="1" ref="C147" ca="1">IF('Raw Data'!C147="",_xlfn.REGEXEXTRACT(CELL("address",'Raw Data'!C147),"\$([A-Z]+)\$[0-9]+"),"")</f>
        <v/>
      </c>
      <c r="D147" t="str" cm="1">
        <f t="array" aca="1" ref="D147" ca="1">IF('Raw Data'!D147="",_xlfn.REGEXEXTRACT(CELL("address",'Raw Data'!D147),"\$([A-Z]+)\$[0-9]+"),"")</f>
        <v>$D$147</v>
      </c>
      <c r="E147" t="str" cm="1">
        <f t="array" aca="1" ref="E147" ca="1">IF('Raw Data'!E147="",_xlfn.REGEXEXTRACT(CELL("address",'Raw Data'!E147),"\$([A-Z]+)\$[0-9]+"),"")</f>
        <v/>
      </c>
      <c r="F147" t="str" cm="1">
        <f t="array" aca="1" ref="F147" ca="1">IF('Raw Data'!F147="",_xlfn.REGEXEXTRACT(CELL("address",'Raw Data'!F147),"\$([A-Z]+)\$[0-9]+"),"")</f>
        <v>$F$147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Data'!G147="",_xlfn.REGEXEXTRACT(CELL("address",'Raw Data'!G147),"\$([A-Z]+)\$[0-9]+"),"")</f>
        <v/>
      </c>
      <c r="I147" t="str" cm="1">
        <f t="array" aca="1" ref="I147" ca="1">IF('Raw Data'!H147="",_xlfn.REGEXEXTRACT(CELL("address",'Raw Data'!H147),"\$([A-Z]+)\$[0-9]+"),"")</f>
        <v/>
      </c>
    </row>
    <row r="148" spans="2:9" x14ac:dyDescent="0.25">
      <c r="B148" t="str" cm="1">
        <f t="array" aca="1" ref="B148" ca="1">IF('Raw Data'!B148="",_xlfn.REGEXEXTRACT(CELL("address",'Raw Data'!B148),"\$([A-Z]+)\$[0-9]+"),"")</f>
        <v/>
      </c>
      <c r="C148" t="str" cm="1">
        <f t="array" aca="1" ref="C148" ca="1">IF('Raw Data'!C148="",_xlfn.REGEXEXTRACT(CELL("address",'Raw Data'!C148),"\$([A-Z]+)\$[0-9]+"),"")</f>
        <v/>
      </c>
      <c r="D148" t="str" cm="1">
        <f t="array" aca="1" ref="D148" ca="1">IF('Raw Data'!D148="",_xlfn.REGEXEXTRACT(CELL("address",'Raw Data'!D148),"\$([A-Z]+)\$[0-9]+"),"")</f>
        <v>$D$148</v>
      </c>
      <c r="E148" t="str" cm="1">
        <f t="array" aca="1" ref="E148" ca="1">IF('Raw Data'!E148="",_xlfn.REGEXEXTRACT(CELL("address",'Raw Data'!E148),"\$([A-Z]+)\$[0-9]+"),"")</f>
        <v/>
      </c>
      <c r="F148" t="str" cm="1">
        <f t="array" aca="1" ref="F148" ca="1">IF('Raw Data'!F148="",_xlfn.REGEXEXTRACT(CELL("address",'Raw Data'!F148),"\$([A-Z]+)\$[0-9]+"),"")</f>
        <v>$F$148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Data'!G148="",_xlfn.REGEXEXTRACT(CELL("address",'Raw Data'!G148),"\$([A-Z]+)\$[0-9]+"),"")</f>
        <v/>
      </c>
      <c r="I148" t="str" cm="1">
        <f t="array" aca="1" ref="I148" ca="1">IF('Raw Data'!H148="",_xlfn.REGEXEXTRACT(CELL("address",'Raw Data'!H148),"\$([A-Z]+)\$[0-9]+"),"")</f>
        <v/>
      </c>
    </row>
    <row r="149" spans="2:9" x14ac:dyDescent="0.25">
      <c r="B149" t="str" cm="1">
        <f t="array" aca="1" ref="B149" ca="1">IF('Raw Data'!B149="",_xlfn.REGEXEXTRACT(CELL("address",'Raw Data'!B149),"\$([A-Z]+)\$[0-9]+"),"")</f>
        <v/>
      </c>
      <c r="C149" t="str" cm="1">
        <f t="array" aca="1" ref="C149" ca="1">IF('Raw Data'!C149="",_xlfn.REGEXEXTRACT(CELL("address",'Raw Data'!C149),"\$([A-Z]+)\$[0-9]+"),"")</f>
        <v/>
      </c>
      <c r="D149" t="str" cm="1">
        <f t="array" aca="1" ref="D149" ca="1">IF('Raw Data'!D149="",_xlfn.REGEXEXTRACT(CELL("address",'Raw Data'!D149),"\$([A-Z]+)\$[0-9]+"),"")</f>
        <v>$D$149</v>
      </c>
      <c r="E149" t="str" cm="1">
        <f t="array" aca="1" ref="E149" ca="1">IF('Raw Data'!E149="",_xlfn.REGEXEXTRACT(CELL("address",'Raw Data'!E149),"\$([A-Z]+)\$[0-9]+"),"")</f>
        <v/>
      </c>
      <c r="F149" t="str" cm="1">
        <f t="array" aca="1" ref="F149" ca="1">IF('Raw Data'!F149="",_xlfn.REGEXEXTRACT(CELL("address",'Raw Data'!F149),"\$([A-Z]+)\$[0-9]+"),"")</f>
        <v>$F$149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Data'!G149="",_xlfn.REGEXEXTRACT(CELL("address",'Raw Data'!G149),"\$([A-Z]+)\$[0-9]+"),"")</f>
        <v/>
      </c>
      <c r="I149" t="str" cm="1">
        <f t="array" aca="1" ref="I149" ca="1">IF('Raw Data'!H149="",_xlfn.REGEXEXTRACT(CELL("address",'Raw Data'!H149),"\$([A-Z]+)\$[0-9]+"),"")</f>
        <v/>
      </c>
    </row>
    <row r="150" spans="2:9" x14ac:dyDescent="0.25">
      <c r="B150" t="str" cm="1">
        <f t="array" aca="1" ref="B150" ca="1">IF('Raw Data'!B150="",_xlfn.REGEXEXTRACT(CELL("address",'Raw Data'!B150),"\$([A-Z]+)\$[0-9]+"),"")</f>
        <v/>
      </c>
      <c r="C150" t="str" cm="1">
        <f t="array" aca="1" ref="C150" ca="1">IF('Raw Data'!C150="",_xlfn.REGEXEXTRACT(CELL("address",'Raw Data'!C150),"\$([A-Z]+)\$[0-9]+"),"")</f>
        <v/>
      </c>
      <c r="D150" t="str" cm="1">
        <f t="array" aca="1" ref="D150" ca="1">IF('Raw Data'!D150="",_xlfn.REGEXEXTRACT(CELL("address",'Raw Data'!D150),"\$([A-Z]+)\$[0-9]+"),"")</f>
        <v>$D$150</v>
      </c>
      <c r="E150" t="str" cm="1">
        <f t="array" aca="1" ref="E150" ca="1">IF('Raw Data'!E150="",_xlfn.REGEXEXTRACT(CELL("address",'Raw Data'!E150),"\$([A-Z]+)\$[0-9]+"),"")</f>
        <v/>
      </c>
      <c r="F150" t="str" cm="1">
        <f t="array" aca="1" ref="F150" ca="1">IF('Raw Data'!F150="",_xlfn.REGEXEXTRACT(CELL("address",'Raw Data'!F150),"\$([A-Z]+)\$[0-9]+"),"")</f>
        <v>$F$150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Data'!G150="",_xlfn.REGEXEXTRACT(CELL("address",'Raw Data'!G150),"\$([A-Z]+)\$[0-9]+"),"")</f>
        <v/>
      </c>
      <c r="I150" t="str" cm="1">
        <f t="array" aca="1" ref="I150" ca="1">IF('Raw Data'!H150="",_xlfn.REGEXEXTRACT(CELL("address",'Raw Data'!H150),"\$([A-Z]+)\$[0-9]+"),"")</f>
        <v/>
      </c>
    </row>
    <row r="151" spans="2:9" x14ac:dyDescent="0.25">
      <c r="B151" t="str" cm="1">
        <f t="array" aca="1" ref="B151" ca="1">IF('Raw Data'!B151="",_xlfn.REGEXEXTRACT(CELL("address",'Raw Data'!B151),"\$([A-Z]+)\$[0-9]+"),"")</f>
        <v/>
      </c>
      <c r="C151" t="str" cm="1">
        <f t="array" aca="1" ref="C151" ca="1">IF('Raw Data'!C151="",_xlfn.REGEXEXTRACT(CELL("address",'Raw Data'!C151),"\$([A-Z]+)\$[0-9]+"),"")</f>
        <v/>
      </c>
      <c r="D151" t="str" cm="1">
        <f t="array" aca="1" ref="D151" ca="1">IF('Raw Data'!D151="",_xlfn.REGEXEXTRACT(CELL("address",'Raw Data'!D151),"\$([A-Z]+)\$[0-9]+"),"")</f>
        <v>$D$151</v>
      </c>
      <c r="E151" t="str" cm="1">
        <f t="array" aca="1" ref="E151" ca="1">IF('Raw Data'!E151="",_xlfn.REGEXEXTRACT(CELL("address",'Raw Data'!E151),"\$([A-Z]+)\$[0-9]+"),"")</f>
        <v/>
      </c>
      <c r="F151" t="str" cm="1">
        <f t="array" aca="1" ref="F151" ca="1">IF('Raw Data'!F151="",_xlfn.REGEXEXTRACT(CELL("address",'Raw Data'!F151),"\$([A-Z]+)\$[0-9]+"),"")</f>
        <v>$F$151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Data'!G151="",_xlfn.REGEXEXTRACT(CELL("address",'Raw Data'!G151),"\$([A-Z]+)\$[0-9]+"),"")</f>
        <v/>
      </c>
      <c r="I151" t="str" cm="1">
        <f t="array" aca="1" ref="I151" ca="1">IF('Raw Data'!H151="",_xlfn.REGEXEXTRACT(CELL("address",'Raw Data'!H151),"\$([A-Z]+)\$[0-9]+"),"")</f>
        <v/>
      </c>
    </row>
    <row r="152" spans="2:9" x14ac:dyDescent="0.25">
      <c r="B152" t="str" cm="1">
        <f t="array" aca="1" ref="B152" ca="1">IF('Raw Data'!B152="",_xlfn.REGEXEXTRACT(CELL("address",'Raw Data'!B152),"\$([A-Z]+)\$[0-9]+"),"")</f>
        <v/>
      </c>
      <c r="C152" t="str" cm="1">
        <f t="array" aca="1" ref="C152" ca="1">IF('Raw Data'!C152="",_xlfn.REGEXEXTRACT(CELL("address",'Raw Data'!C152),"\$([A-Z]+)\$[0-9]+"),"")</f>
        <v/>
      </c>
      <c r="D152" t="str" cm="1">
        <f t="array" aca="1" ref="D152" ca="1">IF('Raw Data'!D152="",_xlfn.REGEXEXTRACT(CELL("address",'Raw Data'!D152),"\$([A-Z]+)\$[0-9]+"),"")</f>
        <v>$D$152</v>
      </c>
      <c r="E152" t="str" cm="1">
        <f t="array" aca="1" ref="E152" ca="1">IF('Raw Data'!E152="",_xlfn.REGEXEXTRACT(CELL("address",'Raw Data'!E152),"\$([A-Z]+)\$[0-9]+"),"")</f>
        <v/>
      </c>
      <c r="F152" t="str" cm="1">
        <f t="array" aca="1" ref="F152" ca="1">IF('Raw Data'!F152="",_xlfn.REGEXEXTRACT(CELL("address",'Raw Data'!F152),"\$([A-Z]+)\$[0-9]+"),"")</f>
        <v>$F$152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Data'!G152="",_xlfn.REGEXEXTRACT(CELL("address",'Raw Data'!G152),"\$([A-Z]+)\$[0-9]+"),"")</f>
        <v/>
      </c>
      <c r="I152" t="str" cm="1">
        <f t="array" aca="1" ref="I152" ca="1">IF('Raw Data'!H152="",_xlfn.REGEXEXTRACT(CELL("address",'Raw Data'!H152),"\$([A-Z]+)\$[0-9]+"),"")</f>
        <v/>
      </c>
    </row>
    <row r="153" spans="2:9" x14ac:dyDescent="0.25">
      <c r="B153" t="str" cm="1">
        <f t="array" aca="1" ref="B153" ca="1">IF('Raw Data'!B153="",_xlfn.REGEXEXTRACT(CELL("address",'Raw Data'!B153),"\$([A-Z]+)\$[0-9]+"),"")</f>
        <v/>
      </c>
      <c r="C153" t="str" cm="1">
        <f t="array" aca="1" ref="C153" ca="1">IF('Raw Data'!C153="",_xlfn.REGEXEXTRACT(CELL("address",'Raw Data'!C153),"\$([A-Z]+)\$[0-9]+"),"")</f>
        <v/>
      </c>
      <c r="D153" t="str" cm="1">
        <f t="array" aca="1" ref="D153" ca="1">IF('Raw Data'!D153="",_xlfn.REGEXEXTRACT(CELL("address",'Raw Data'!D153),"\$([A-Z]+)\$[0-9]+"),"")</f>
        <v>$D$153</v>
      </c>
      <c r="E153" t="str" cm="1">
        <f t="array" aca="1" ref="E153" ca="1">IF('Raw Data'!E153="",_xlfn.REGEXEXTRACT(CELL("address",'Raw Data'!E153),"\$([A-Z]+)\$[0-9]+"),"")</f>
        <v/>
      </c>
      <c r="F153" t="str" cm="1">
        <f t="array" aca="1" ref="F153" ca="1">IF('Raw Data'!F153="",_xlfn.REGEXEXTRACT(CELL("address",'Raw Data'!F153),"\$([A-Z]+)\$[0-9]+"),"")</f>
        <v>$F$153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Data'!G153="",_xlfn.REGEXEXTRACT(CELL("address",'Raw Data'!G153),"\$([A-Z]+)\$[0-9]+"),"")</f>
        <v/>
      </c>
      <c r="I153" t="str" cm="1">
        <f t="array" aca="1" ref="I153" ca="1">IF('Raw Data'!H153="",_xlfn.REGEXEXTRACT(CELL("address",'Raw Data'!H153),"\$([A-Z]+)\$[0-9]+"),"")</f>
        <v/>
      </c>
    </row>
    <row r="154" spans="2:9" x14ac:dyDescent="0.25">
      <c r="B154" t="str" cm="1">
        <f t="array" aca="1" ref="B154" ca="1">IF('Raw Data'!B154="",_xlfn.REGEXEXTRACT(CELL("address",'Raw Data'!B154),"\$([A-Z]+)\$[0-9]+"),"")</f>
        <v/>
      </c>
      <c r="C154" t="str" cm="1">
        <f t="array" aca="1" ref="C154" ca="1">IF('Raw Data'!C154="",_xlfn.REGEXEXTRACT(CELL("address",'Raw Data'!C154),"\$([A-Z]+)\$[0-9]+"),"")</f>
        <v/>
      </c>
      <c r="D154" t="str" cm="1">
        <f t="array" aca="1" ref="D154" ca="1">IF('Raw Data'!D154="",_xlfn.REGEXEXTRACT(CELL("address",'Raw Data'!D154),"\$([A-Z]+)\$[0-9]+"),"")</f>
        <v>$D$154</v>
      </c>
      <c r="E154" t="str" cm="1">
        <f t="array" aca="1" ref="E154" ca="1">IF('Raw Data'!E154="",_xlfn.REGEXEXTRACT(CELL("address",'Raw Data'!E154),"\$([A-Z]+)\$[0-9]+"),"")</f>
        <v/>
      </c>
      <c r="F154" t="str" cm="1">
        <f t="array" aca="1" ref="F154" ca="1">IF('Raw Data'!F154="",_xlfn.REGEXEXTRACT(CELL("address",'Raw Data'!F154),"\$([A-Z]+)\$[0-9]+"),"")</f>
        <v>$F$154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Data'!G154="",_xlfn.REGEXEXTRACT(CELL("address",'Raw Data'!G154),"\$([A-Z]+)\$[0-9]+"),"")</f>
        <v/>
      </c>
      <c r="I154" t="str" cm="1">
        <f t="array" aca="1" ref="I154" ca="1">IF('Raw Data'!H154="",_xlfn.REGEXEXTRACT(CELL("address",'Raw Data'!H154),"\$([A-Z]+)\$[0-9]+"),"")</f>
        <v/>
      </c>
    </row>
    <row r="155" spans="2:9" x14ac:dyDescent="0.25">
      <c r="B155" t="str" cm="1">
        <f t="array" aca="1" ref="B155" ca="1">IF('Raw Data'!B155="",_xlfn.REGEXEXTRACT(CELL("address",'Raw Data'!B155),"\$([A-Z]+)\$[0-9]+"),"")</f>
        <v/>
      </c>
      <c r="C155" t="str" cm="1">
        <f t="array" aca="1" ref="C155" ca="1">IF('Raw Data'!C155="",_xlfn.REGEXEXTRACT(CELL("address",'Raw Data'!C155),"\$([A-Z]+)\$[0-9]+"),"")</f>
        <v/>
      </c>
      <c r="D155" t="str" cm="1">
        <f t="array" aca="1" ref="D155" ca="1">IF('Raw Data'!D155="",_xlfn.REGEXEXTRACT(CELL("address",'Raw Data'!D155),"\$([A-Z]+)\$[0-9]+"),"")</f>
        <v>$D$155</v>
      </c>
      <c r="E155" t="str" cm="1">
        <f t="array" aca="1" ref="E155" ca="1">IF('Raw Data'!E155="",_xlfn.REGEXEXTRACT(CELL("address",'Raw Data'!E155),"\$([A-Z]+)\$[0-9]+"),"")</f>
        <v/>
      </c>
      <c r="F155" t="str" cm="1">
        <f t="array" aca="1" ref="F155" ca="1">IF('Raw Data'!F155="",_xlfn.REGEXEXTRACT(CELL("address",'Raw Data'!F155),"\$([A-Z]+)\$[0-9]+"),"")</f>
        <v>$F$155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Data'!G155="",_xlfn.REGEXEXTRACT(CELL("address",'Raw Data'!G155),"\$([A-Z]+)\$[0-9]+"),"")</f>
        <v/>
      </c>
      <c r="I155" t="str" cm="1">
        <f t="array" aca="1" ref="I155" ca="1">IF('Raw Data'!H155="",_xlfn.REGEXEXTRACT(CELL("address",'Raw Data'!H155),"\$([A-Z]+)\$[0-9]+"),"")</f>
        <v/>
      </c>
    </row>
    <row r="156" spans="2:9" x14ac:dyDescent="0.25">
      <c r="B156" t="str" cm="1">
        <f t="array" aca="1" ref="B156" ca="1">IF('Raw Data'!B156="",_xlfn.REGEXEXTRACT(CELL("address",'Raw Data'!B156),"\$([A-Z]+)\$[0-9]+"),"")</f>
        <v/>
      </c>
      <c r="C156" t="str" cm="1">
        <f t="array" aca="1" ref="C156" ca="1">IF('Raw Data'!C156="",_xlfn.REGEXEXTRACT(CELL("address",'Raw Data'!C156),"\$([A-Z]+)\$[0-9]+"),"")</f>
        <v/>
      </c>
      <c r="D156" t="str" cm="1">
        <f t="array" aca="1" ref="D156" ca="1">IF('Raw Data'!D156="",_xlfn.REGEXEXTRACT(CELL("address",'Raw Data'!D156),"\$([A-Z]+)\$[0-9]+"),"")</f>
        <v>$D$156</v>
      </c>
      <c r="E156" t="str" cm="1">
        <f t="array" aca="1" ref="E156" ca="1">IF('Raw Data'!E156="",_xlfn.REGEXEXTRACT(CELL("address",'Raw Data'!E156),"\$([A-Z]+)\$[0-9]+"),"")</f>
        <v/>
      </c>
      <c r="F156" t="str" cm="1">
        <f t="array" aca="1" ref="F156" ca="1">IF('Raw Data'!F156="",_xlfn.REGEXEXTRACT(CELL("address",'Raw Data'!F156),"\$([A-Z]+)\$[0-9]+"),"")</f>
        <v>$F$156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Data'!G156="",_xlfn.REGEXEXTRACT(CELL("address",'Raw Data'!G156),"\$([A-Z]+)\$[0-9]+"),"")</f>
        <v/>
      </c>
      <c r="I156" t="str" cm="1">
        <f t="array" aca="1" ref="I156" ca="1">IF('Raw Data'!H156="",_xlfn.REGEXEXTRACT(CELL("address",'Raw Data'!H156),"\$([A-Z]+)\$[0-9]+"),"")</f>
        <v/>
      </c>
    </row>
    <row r="157" spans="2:9" x14ac:dyDescent="0.25">
      <c r="B157" t="str" cm="1">
        <f t="array" aca="1" ref="B157" ca="1">IF('Raw Data'!B157="",_xlfn.REGEXEXTRACT(CELL("address",'Raw Data'!B157),"\$([A-Z]+)\$[0-9]+"),"")</f>
        <v/>
      </c>
      <c r="C157" t="str" cm="1">
        <f t="array" aca="1" ref="C157" ca="1">IF('Raw Data'!C157="",_xlfn.REGEXEXTRACT(CELL("address",'Raw Data'!C157),"\$([A-Z]+)\$[0-9]+"),"")</f>
        <v/>
      </c>
      <c r="D157" t="str" cm="1">
        <f t="array" aca="1" ref="D157" ca="1">IF('Raw Data'!D157="",_xlfn.REGEXEXTRACT(CELL("address",'Raw Data'!D157),"\$([A-Z]+)\$[0-9]+"),"")</f>
        <v>$D$157</v>
      </c>
      <c r="E157" t="str" cm="1">
        <f t="array" aca="1" ref="E157" ca="1">IF('Raw Data'!E157="",_xlfn.REGEXEXTRACT(CELL("address",'Raw Data'!E157),"\$([A-Z]+)\$[0-9]+"),"")</f>
        <v/>
      </c>
      <c r="F157" t="str" cm="1">
        <f t="array" aca="1" ref="F157" ca="1">IF('Raw Data'!F157="",_xlfn.REGEXEXTRACT(CELL("address",'Raw Data'!F157),"\$([A-Z]+)\$[0-9]+"),"")</f>
        <v>$F$157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Data'!G157="",_xlfn.REGEXEXTRACT(CELL("address",'Raw Data'!G157),"\$([A-Z]+)\$[0-9]+"),"")</f>
        <v/>
      </c>
      <c r="I157" t="str" cm="1">
        <f t="array" aca="1" ref="I157" ca="1">IF('Raw Data'!H157="",_xlfn.REGEXEXTRACT(CELL("address",'Raw Data'!H157),"\$([A-Z]+)\$[0-9]+"),"")</f>
        <v/>
      </c>
    </row>
    <row r="158" spans="2:9" x14ac:dyDescent="0.25">
      <c r="B158" t="str" cm="1">
        <f t="array" aca="1" ref="B158" ca="1">IF('Raw Data'!B158="",_xlfn.REGEXEXTRACT(CELL("address",'Raw Data'!B158),"\$([A-Z]+)\$[0-9]+"),"")</f>
        <v/>
      </c>
      <c r="C158" t="str" cm="1">
        <f t="array" aca="1" ref="C158" ca="1">IF('Raw Data'!C158="",_xlfn.REGEXEXTRACT(CELL("address",'Raw Data'!C158),"\$([A-Z]+)\$[0-9]+"),"")</f>
        <v/>
      </c>
      <c r="D158" t="str" cm="1">
        <f t="array" aca="1" ref="D158" ca="1">IF('Raw Data'!D158="",_xlfn.REGEXEXTRACT(CELL("address",'Raw Data'!D158),"\$([A-Z]+)\$[0-9]+"),"")</f>
        <v>$D$158</v>
      </c>
      <c r="E158" t="str" cm="1">
        <f t="array" aca="1" ref="E158" ca="1">IF('Raw Data'!E158="",_xlfn.REGEXEXTRACT(CELL("address",'Raw Data'!E158),"\$([A-Z]+)\$[0-9]+"),"")</f>
        <v/>
      </c>
      <c r="F158" t="str" cm="1">
        <f t="array" aca="1" ref="F158" ca="1">IF('Raw Data'!F158="",_xlfn.REGEXEXTRACT(CELL("address",'Raw Data'!F158),"\$([A-Z]+)\$[0-9]+"),"")</f>
        <v>$F$158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Data'!G158="",_xlfn.REGEXEXTRACT(CELL("address",'Raw Data'!G158),"\$([A-Z]+)\$[0-9]+"),"")</f>
        <v/>
      </c>
      <c r="I158" t="str" cm="1">
        <f t="array" aca="1" ref="I158" ca="1">IF('Raw Data'!H158="",_xlfn.REGEXEXTRACT(CELL("address",'Raw Data'!H158),"\$([A-Z]+)\$[0-9]+"),"")</f>
        <v/>
      </c>
    </row>
    <row r="159" spans="2:9" x14ac:dyDescent="0.25">
      <c r="B159" t="str" cm="1">
        <f t="array" aca="1" ref="B159" ca="1">IF('Raw Data'!B159="",_xlfn.REGEXEXTRACT(CELL("address",'Raw Data'!B159),"\$([A-Z]+)\$[0-9]+"),"")</f>
        <v/>
      </c>
      <c r="C159" t="str" cm="1">
        <f t="array" aca="1" ref="C159" ca="1">IF('Raw Data'!C159="",_xlfn.REGEXEXTRACT(CELL("address",'Raw Data'!C159),"\$([A-Z]+)\$[0-9]+"),"")</f>
        <v/>
      </c>
      <c r="D159" t="str" cm="1">
        <f t="array" aca="1" ref="D159" ca="1">IF('Raw Data'!D159="",_xlfn.REGEXEXTRACT(CELL("address",'Raw Data'!D159),"\$([A-Z]+)\$[0-9]+"),"")</f>
        <v>$D$159</v>
      </c>
      <c r="E159" t="str" cm="1">
        <f t="array" aca="1" ref="E159" ca="1">IF('Raw Data'!E159="",_xlfn.REGEXEXTRACT(CELL("address",'Raw Data'!E159),"\$([A-Z]+)\$[0-9]+"),"")</f>
        <v/>
      </c>
      <c r="F159" t="str" cm="1">
        <f t="array" aca="1" ref="F159" ca="1">IF('Raw Data'!F159="",_xlfn.REGEXEXTRACT(CELL("address",'Raw Data'!F159),"\$([A-Z]+)\$[0-9]+"),"")</f>
        <v>$F$159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Data'!G159="",_xlfn.REGEXEXTRACT(CELL("address",'Raw Data'!G159),"\$([A-Z]+)\$[0-9]+"),"")</f>
        <v/>
      </c>
      <c r="I159" t="str" cm="1">
        <f t="array" aca="1" ref="I159" ca="1">IF('Raw Data'!H159="",_xlfn.REGEXEXTRACT(CELL("address",'Raw Data'!H159),"\$([A-Z]+)\$[0-9]+"),"")</f>
        <v/>
      </c>
    </row>
    <row r="160" spans="2:9" x14ac:dyDescent="0.25">
      <c r="B160" t="str" cm="1">
        <f t="array" aca="1" ref="B160" ca="1">IF('Raw Data'!B160="",_xlfn.REGEXEXTRACT(CELL("address",'Raw Data'!B160),"\$([A-Z]+)\$[0-9]+"),"")</f>
        <v/>
      </c>
      <c r="C160" t="str" cm="1">
        <f t="array" aca="1" ref="C160" ca="1">IF('Raw Data'!C160="",_xlfn.REGEXEXTRACT(CELL("address",'Raw Data'!C160),"\$([A-Z]+)\$[0-9]+"),"")</f>
        <v/>
      </c>
      <c r="D160" t="str" cm="1">
        <f t="array" aca="1" ref="D160" ca="1">IF('Raw Data'!D160="",_xlfn.REGEXEXTRACT(CELL("address",'Raw Data'!D160),"\$([A-Z]+)\$[0-9]+"),"")</f>
        <v>$D$160</v>
      </c>
      <c r="E160" t="str" cm="1">
        <f t="array" aca="1" ref="E160" ca="1">IF('Raw Data'!E160="",_xlfn.REGEXEXTRACT(CELL("address",'Raw Data'!E160),"\$([A-Z]+)\$[0-9]+"),"")</f>
        <v/>
      </c>
      <c r="F160" t="str" cm="1">
        <f t="array" aca="1" ref="F160" ca="1">IF('Raw Data'!F160="",_xlfn.REGEXEXTRACT(CELL("address",'Raw Data'!F160),"\$([A-Z]+)\$[0-9]+"),"")</f>
        <v>$F$160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Data'!G160="",_xlfn.REGEXEXTRACT(CELL("address",'Raw Data'!G160),"\$([A-Z]+)\$[0-9]+"),"")</f>
        <v/>
      </c>
      <c r="I160" t="str" cm="1">
        <f t="array" aca="1" ref="I160" ca="1">IF('Raw Data'!H160="",_xlfn.REGEXEXTRACT(CELL("address",'Raw Data'!H160),"\$([A-Z]+)\$[0-9]+"),"")</f>
        <v/>
      </c>
    </row>
    <row r="161" spans="2:9" x14ac:dyDescent="0.25">
      <c r="B161" t="str" cm="1">
        <f t="array" aca="1" ref="B161" ca="1">IF('Raw Data'!B161="",_xlfn.REGEXEXTRACT(CELL("address",'Raw Data'!B161),"\$([A-Z]+)\$[0-9]+"),"")</f>
        <v/>
      </c>
      <c r="C161" t="str" cm="1">
        <f t="array" aca="1" ref="C161" ca="1">IF('Raw Data'!C161="",_xlfn.REGEXEXTRACT(CELL("address",'Raw Data'!C161),"\$([A-Z]+)\$[0-9]+"),"")</f>
        <v/>
      </c>
      <c r="D161" t="str" cm="1">
        <f t="array" aca="1" ref="D161" ca="1">IF('Raw Data'!D161="",_xlfn.REGEXEXTRACT(CELL("address",'Raw Data'!D161),"\$([A-Z]+)\$[0-9]+"),"")</f>
        <v>$D$161</v>
      </c>
      <c r="E161" t="str" cm="1">
        <f t="array" aca="1" ref="E161" ca="1">IF('Raw Data'!E161="",_xlfn.REGEXEXTRACT(CELL("address",'Raw Data'!E161),"\$([A-Z]+)\$[0-9]+"),"")</f>
        <v/>
      </c>
      <c r="F161" t="str" cm="1">
        <f t="array" aca="1" ref="F161" ca="1">IF('Raw Data'!F161="",_xlfn.REGEXEXTRACT(CELL("address",'Raw Data'!F161),"\$([A-Z]+)\$[0-9]+"),"")</f>
        <v>$F$161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Data'!G161="",_xlfn.REGEXEXTRACT(CELL("address",'Raw Data'!G161),"\$([A-Z]+)\$[0-9]+"),"")</f>
        <v/>
      </c>
      <c r="I161" t="str" cm="1">
        <f t="array" aca="1" ref="I161" ca="1">IF('Raw Data'!H161="",_xlfn.REGEXEXTRACT(CELL("address",'Raw Data'!H161),"\$([A-Z]+)\$[0-9]+"),"")</f>
        <v/>
      </c>
    </row>
    <row r="162" spans="2:9" x14ac:dyDescent="0.25">
      <c r="B162" t="str" cm="1">
        <f t="array" aca="1" ref="B162" ca="1">IF('Raw Data'!B162="",_xlfn.REGEXEXTRACT(CELL("address",'Raw Data'!B162),"\$([A-Z]+)\$[0-9]+"),"")</f>
        <v/>
      </c>
      <c r="C162" t="str" cm="1">
        <f t="array" aca="1" ref="C162" ca="1">IF('Raw Data'!C162="",_xlfn.REGEXEXTRACT(CELL("address",'Raw Data'!C162),"\$([A-Z]+)\$[0-9]+"),"")</f>
        <v/>
      </c>
      <c r="D162" t="str" cm="1">
        <f t="array" aca="1" ref="D162" ca="1">IF('Raw Data'!D162="",_xlfn.REGEXEXTRACT(CELL("address",'Raw Data'!D162),"\$([A-Z]+)\$[0-9]+"),"")</f>
        <v>$D$162</v>
      </c>
      <c r="E162" t="str" cm="1">
        <f t="array" aca="1" ref="E162" ca="1">IF('Raw Data'!E162="",_xlfn.REGEXEXTRACT(CELL("address",'Raw Data'!E162),"\$([A-Z]+)\$[0-9]+"),"")</f>
        <v/>
      </c>
      <c r="F162" t="str" cm="1">
        <f t="array" aca="1" ref="F162" ca="1">IF('Raw Data'!F162="",_xlfn.REGEXEXTRACT(CELL("address",'Raw Data'!F162),"\$([A-Z]+)\$[0-9]+"),"")</f>
        <v>$F$162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Data'!G162="",_xlfn.REGEXEXTRACT(CELL("address",'Raw Data'!G162),"\$([A-Z]+)\$[0-9]+"),"")</f>
        <v/>
      </c>
      <c r="I162" t="str" cm="1">
        <f t="array" aca="1" ref="I162" ca="1">IF('Raw Data'!H162="",_xlfn.REGEXEXTRACT(CELL("address",'Raw Data'!H162),"\$([A-Z]+)\$[0-9]+"),"")</f>
        <v/>
      </c>
    </row>
    <row r="163" spans="2:9" x14ac:dyDescent="0.25">
      <c r="B163" t="str" cm="1">
        <f t="array" aca="1" ref="B163" ca="1">IF('Raw Data'!B163="",_xlfn.REGEXEXTRACT(CELL("address",'Raw Data'!B163),"\$([A-Z]+)\$[0-9]+"),"")</f>
        <v/>
      </c>
      <c r="C163" t="str" cm="1">
        <f t="array" aca="1" ref="C163" ca="1">IF('Raw Data'!C163="",_xlfn.REGEXEXTRACT(CELL("address",'Raw Data'!C163),"\$([A-Z]+)\$[0-9]+"),"")</f>
        <v/>
      </c>
      <c r="D163" t="str" cm="1">
        <f t="array" aca="1" ref="D163" ca="1">IF('Raw Data'!D163="",_xlfn.REGEXEXTRACT(CELL("address",'Raw Data'!D163),"\$([A-Z]+)\$[0-9]+"),"")</f>
        <v>$D$163</v>
      </c>
      <c r="E163" t="str" cm="1">
        <f t="array" aca="1" ref="E163" ca="1">IF('Raw Data'!E163="",_xlfn.REGEXEXTRACT(CELL("address",'Raw Data'!E163),"\$([A-Z]+)\$[0-9]+"),"")</f>
        <v/>
      </c>
      <c r="F163" t="str" cm="1">
        <f t="array" aca="1" ref="F163" ca="1">IF('Raw Data'!F163="",_xlfn.REGEXEXTRACT(CELL("address",'Raw Data'!F163),"\$([A-Z]+)\$[0-9]+"),"")</f>
        <v>$F$163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Data'!G163="",_xlfn.REGEXEXTRACT(CELL("address",'Raw Data'!G163),"\$([A-Z]+)\$[0-9]+"),"")</f>
        <v/>
      </c>
      <c r="I163" t="str" cm="1">
        <f t="array" aca="1" ref="I163" ca="1">IF('Raw Data'!H163="",_xlfn.REGEXEXTRACT(CELL("address",'Raw Data'!H163),"\$([A-Z]+)\$[0-9]+"),"")</f>
        <v/>
      </c>
    </row>
    <row r="164" spans="2:9" x14ac:dyDescent="0.25">
      <c r="B164" t="str" cm="1">
        <f t="array" aca="1" ref="B164" ca="1">IF('Raw Data'!B164="",_xlfn.REGEXEXTRACT(CELL("address",'Raw Data'!B164),"\$([A-Z]+)\$[0-9]+"),"")</f>
        <v/>
      </c>
      <c r="C164" t="str" cm="1">
        <f t="array" aca="1" ref="C164" ca="1">IF('Raw Data'!C164="",_xlfn.REGEXEXTRACT(CELL("address",'Raw Data'!C164),"\$([A-Z]+)\$[0-9]+"),"")</f>
        <v/>
      </c>
      <c r="D164" t="str" cm="1">
        <f t="array" aca="1" ref="D164" ca="1">IF('Raw Data'!D164="",_xlfn.REGEXEXTRACT(CELL("address",'Raw Data'!D164),"\$([A-Z]+)\$[0-9]+"),"")</f>
        <v>$D$164</v>
      </c>
      <c r="E164" t="str" cm="1">
        <f t="array" aca="1" ref="E164" ca="1">IF('Raw Data'!E164="",_xlfn.REGEXEXTRACT(CELL("address",'Raw Data'!E164),"\$([A-Z]+)\$[0-9]+"),"")</f>
        <v/>
      </c>
      <c r="F164" t="str" cm="1">
        <f t="array" aca="1" ref="F164" ca="1">IF('Raw Data'!F164="",_xlfn.REGEXEXTRACT(CELL("address",'Raw Data'!F164),"\$([A-Z]+)\$[0-9]+"),"")</f>
        <v>$F$164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Data'!G164="",_xlfn.REGEXEXTRACT(CELL("address",'Raw Data'!G164),"\$([A-Z]+)\$[0-9]+"),"")</f>
        <v/>
      </c>
      <c r="I164" t="str" cm="1">
        <f t="array" aca="1" ref="I164" ca="1">IF('Raw Data'!H164="",_xlfn.REGEXEXTRACT(CELL("address",'Raw Data'!H164),"\$([A-Z]+)\$[0-9]+"),"")</f>
        <v/>
      </c>
    </row>
    <row r="165" spans="2:9" x14ac:dyDescent="0.25">
      <c r="B165" t="str" cm="1">
        <f t="array" aca="1" ref="B165" ca="1">IF('Raw Data'!B165="",_xlfn.REGEXEXTRACT(CELL("address",'Raw Data'!B165),"\$([A-Z]+)\$[0-9]+"),"")</f>
        <v/>
      </c>
      <c r="C165" t="str" cm="1">
        <f t="array" aca="1" ref="C165" ca="1">IF('Raw Data'!C165="",_xlfn.REGEXEXTRACT(CELL("address",'Raw Data'!C165),"\$([A-Z]+)\$[0-9]+"),"")</f>
        <v/>
      </c>
      <c r="D165" t="str" cm="1">
        <f t="array" aca="1" ref="D165" ca="1">IF('Raw Data'!D165="",_xlfn.REGEXEXTRACT(CELL("address",'Raw Data'!D165),"\$([A-Z]+)\$[0-9]+"),"")</f>
        <v>$D$165</v>
      </c>
      <c r="E165" t="str" cm="1">
        <f t="array" aca="1" ref="E165" ca="1">IF('Raw Data'!E165="",_xlfn.REGEXEXTRACT(CELL("address",'Raw Data'!E165),"\$([A-Z]+)\$[0-9]+"),"")</f>
        <v/>
      </c>
      <c r="F165" t="str" cm="1">
        <f t="array" aca="1" ref="F165" ca="1">IF('Raw Data'!F165="",_xlfn.REGEXEXTRACT(CELL("address",'Raw Data'!F165),"\$([A-Z]+)\$[0-9]+"),"")</f>
        <v>$F$165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Data'!G165="",_xlfn.REGEXEXTRACT(CELL("address",'Raw Data'!G165),"\$([A-Z]+)\$[0-9]+"),"")</f>
        <v/>
      </c>
      <c r="I165" t="str" cm="1">
        <f t="array" aca="1" ref="I165" ca="1">IF('Raw Data'!H165="",_xlfn.REGEXEXTRACT(CELL("address",'Raw Data'!H165),"\$([A-Z]+)\$[0-9]+"),"")</f>
        <v/>
      </c>
    </row>
    <row r="166" spans="2:9" x14ac:dyDescent="0.25">
      <c r="B166" t="str" cm="1">
        <f t="array" aca="1" ref="B166" ca="1">IF('Raw Data'!B166="",_xlfn.REGEXEXTRACT(CELL("address",'Raw Data'!B166),"\$([A-Z]+)\$[0-9]+"),"")</f>
        <v/>
      </c>
      <c r="C166" t="str" cm="1">
        <f t="array" aca="1" ref="C166" ca="1">IF('Raw Data'!C166="",_xlfn.REGEXEXTRACT(CELL("address",'Raw Data'!C166),"\$([A-Z]+)\$[0-9]+"),"")</f>
        <v/>
      </c>
      <c r="D166" t="str" cm="1">
        <f t="array" aca="1" ref="D166" ca="1">IF('Raw Data'!D166="",_xlfn.REGEXEXTRACT(CELL("address",'Raw Data'!D166),"\$([A-Z]+)\$[0-9]+"),"")</f>
        <v>$D$166</v>
      </c>
      <c r="E166" t="str" cm="1">
        <f t="array" aca="1" ref="E166" ca="1">IF('Raw Data'!E166="",_xlfn.REGEXEXTRACT(CELL("address",'Raw Data'!E166),"\$([A-Z]+)\$[0-9]+"),"")</f>
        <v/>
      </c>
      <c r="F166" t="str" cm="1">
        <f t="array" aca="1" ref="F166" ca="1">IF('Raw Data'!F166="",_xlfn.REGEXEXTRACT(CELL("address",'Raw Data'!F166),"\$([A-Z]+)\$[0-9]+"),"")</f>
        <v>$F$166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Data'!G166="",_xlfn.REGEXEXTRACT(CELL("address",'Raw Data'!G166),"\$([A-Z]+)\$[0-9]+"),"")</f>
        <v/>
      </c>
      <c r="I166" t="str" cm="1">
        <f t="array" aca="1" ref="I166" ca="1">IF('Raw Data'!H166="",_xlfn.REGEXEXTRACT(CELL("address",'Raw Data'!H166),"\$([A-Z]+)\$[0-9]+"),"")</f>
        <v/>
      </c>
    </row>
    <row r="167" spans="2:9" x14ac:dyDescent="0.25">
      <c r="B167" t="str" cm="1">
        <f t="array" aca="1" ref="B167" ca="1">IF('Raw Data'!B167="",_xlfn.REGEXEXTRACT(CELL("address",'Raw Data'!B167),"\$([A-Z]+)\$[0-9]+"),"")</f>
        <v/>
      </c>
      <c r="C167" t="str" cm="1">
        <f t="array" aca="1" ref="C167" ca="1">IF('Raw Data'!C167="",_xlfn.REGEXEXTRACT(CELL("address",'Raw Data'!C167),"\$([A-Z]+)\$[0-9]+"),"")</f>
        <v/>
      </c>
      <c r="D167" t="str" cm="1">
        <f t="array" aca="1" ref="D167" ca="1">IF('Raw Data'!D167="",_xlfn.REGEXEXTRACT(CELL("address",'Raw Data'!D167),"\$([A-Z]+)\$[0-9]+"),"")</f>
        <v>$D$167</v>
      </c>
      <c r="E167" t="str" cm="1">
        <f t="array" aca="1" ref="E167" ca="1">IF('Raw Data'!E167="",_xlfn.REGEXEXTRACT(CELL("address",'Raw Data'!E167),"\$([A-Z]+)\$[0-9]+"),"")</f>
        <v/>
      </c>
      <c r="F167" t="str" cm="1">
        <f t="array" aca="1" ref="F167" ca="1">IF('Raw Data'!F167="",_xlfn.REGEXEXTRACT(CELL("address",'Raw Data'!F167),"\$([A-Z]+)\$[0-9]+"),"")</f>
        <v>$F$167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Data'!G167="",_xlfn.REGEXEXTRACT(CELL("address",'Raw Data'!G167),"\$([A-Z]+)\$[0-9]+"),"")</f>
        <v/>
      </c>
      <c r="I167" t="str" cm="1">
        <f t="array" aca="1" ref="I167" ca="1">IF('Raw Data'!H167="",_xlfn.REGEXEXTRACT(CELL("address",'Raw Data'!H167),"\$([A-Z]+)\$[0-9]+"),"")</f>
        <v/>
      </c>
    </row>
    <row r="168" spans="2:9" x14ac:dyDescent="0.25">
      <c r="B168" t="str" cm="1">
        <f t="array" aca="1" ref="B168" ca="1">IF('Raw Data'!B168="",_xlfn.REGEXEXTRACT(CELL("address",'Raw Data'!B168),"\$([A-Z]+)\$[0-9]+"),"")</f>
        <v/>
      </c>
      <c r="C168" t="str" cm="1">
        <f t="array" aca="1" ref="C168" ca="1">IF('Raw Data'!C168="",_xlfn.REGEXEXTRACT(CELL("address",'Raw Data'!C168),"\$([A-Z]+)\$[0-9]+"),"")</f>
        <v/>
      </c>
      <c r="D168" t="str" cm="1">
        <f t="array" aca="1" ref="D168" ca="1">IF('Raw Data'!D168="",_xlfn.REGEXEXTRACT(CELL("address",'Raw Data'!D168),"\$([A-Z]+)\$[0-9]+"),"")</f>
        <v>$D$168</v>
      </c>
      <c r="E168" t="str" cm="1">
        <f t="array" aca="1" ref="E168" ca="1">IF('Raw Data'!E168="",_xlfn.REGEXEXTRACT(CELL("address",'Raw Data'!E168),"\$([A-Z]+)\$[0-9]+"),"")</f>
        <v/>
      </c>
      <c r="F168" t="str" cm="1">
        <f t="array" aca="1" ref="F168" ca="1">IF('Raw Data'!F168="",_xlfn.REGEXEXTRACT(CELL("address",'Raw Data'!F168),"\$([A-Z]+)\$[0-9]+"),"")</f>
        <v>$F$168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Data'!G168="",_xlfn.REGEXEXTRACT(CELL("address",'Raw Data'!G168),"\$([A-Z]+)\$[0-9]+"),"")</f>
        <v/>
      </c>
      <c r="I168" t="str" cm="1">
        <f t="array" aca="1" ref="I168" ca="1">IF('Raw Data'!H168="",_xlfn.REGEXEXTRACT(CELL("address",'Raw Data'!H168),"\$([A-Z]+)\$[0-9]+"),"")</f>
        <v/>
      </c>
    </row>
    <row r="169" spans="2:9" x14ac:dyDescent="0.25">
      <c r="B169" t="str" cm="1">
        <f t="array" aca="1" ref="B169" ca="1">IF('Raw Data'!B169="",_xlfn.REGEXEXTRACT(CELL("address",'Raw Data'!B169),"\$([A-Z]+)\$[0-9]+"),"")</f>
        <v/>
      </c>
      <c r="C169" t="str" cm="1">
        <f t="array" aca="1" ref="C169" ca="1">IF('Raw Data'!C169="",_xlfn.REGEXEXTRACT(CELL("address",'Raw Data'!C169),"\$([A-Z]+)\$[0-9]+"),"")</f>
        <v/>
      </c>
      <c r="D169" t="str" cm="1">
        <f t="array" aca="1" ref="D169" ca="1">IF('Raw Data'!D169="",_xlfn.REGEXEXTRACT(CELL("address",'Raw Data'!D169),"\$([A-Z]+)\$[0-9]+"),"")</f>
        <v>$D$169</v>
      </c>
      <c r="E169" t="str" cm="1">
        <f t="array" aca="1" ref="E169" ca="1">IF('Raw Data'!E169="",_xlfn.REGEXEXTRACT(CELL("address",'Raw Data'!E169),"\$([A-Z]+)\$[0-9]+"),"")</f>
        <v/>
      </c>
      <c r="F169" t="str" cm="1">
        <f t="array" aca="1" ref="F169" ca="1">IF('Raw Data'!F169="",_xlfn.REGEXEXTRACT(CELL("address",'Raw Data'!F169),"\$([A-Z]+)\$[0-9]+"),"")</f>
        <v>$F$169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Data'!G169="",_xlfn.REGEXEXTRACT(CELL("address",'Raw Data'!G169),"\$([A-Z]+)\$[0-9]+"),"")</f>
        <v/>
      </c>
      <c r="I169" t="str" cm="1">
        <f t="array" aca="1" ref="I169" ca="1">IF('Raw Data'!H169="",_xlfn.REGEXEXTRACT(CELL("address",'Raw Data'!H169),"\$([A-Z]+)\$[0-9]+"),"")</f>
        <v/>
      </c>
    </row>
    <row r="170" spans="2:9" x14ac:dyDescent="0.25">
      <c r="B170" t="str" cm="1">
        <f t="array" aca="1" ref="B170" ca="1">IF('Raw Data'!B170="",_xlfn.REGEXEXTRACT(CELL("address",'Raw Data'!B170),"\$([A-Z]+)\$[0-9]+"),"")</f>
        <v/>
      </c>
      <c r="C170" t="str" cm="1">
        <f t="array" aca="1" ref="C170" ca="1">IF('Raw Data'!C170="",_xlfn.REGEXEXTRACT(CELL("address",'Raw Data'!C170),"\$([A-Z]+)\$[0-9]+"),"")</f>
        <v/>
      </c>
      <c r="D170" t="str" cm="1">
        <f t="array" aca="1" ref="D170" ca="1">IF('Raw Data'!D170="",_xlfn.REGEXEXTRACT(CELL("address",'Raw Data'!D170),"\$([A-Z]+)\$[0-9]+"),"")</f>
        <v>$D$170</v>
      </c>
      <c r="E170" t="str" cm="1">
        <f t="array" aca="1" ref="E170" ca="1">IF('Raw Data'!E170="",_xlfn.REGEXEXTRACT(CELL("address",'Raw Data'!E170),"\$([A-Z]+)\$[0-9]+"),"")</f>
        <v/>
      </c>
      <c r="F170" t="str" cm="1">
        <f t="array" aca="1" ref="F170" ca="1">IF('Raw Data'!F170="",_xlfn.REGEXEXTRACT(CELL("address",'Raw Data'!F170),"\$([A-Z]+)\$[0-9]+"),"")</f>
        <v>$F$170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Data'!G170="",_xlfn.REGEXEXTRACT(CELL("address",'Raw Data'!G170),"\$([A-Z]+)\$[0-9]+"),"")</f>
        <v/>
      </c>
      <c r="I170" t="str" cm="1">
        <f t="array" aca="1" ref="I170" ca="1">IF('Raw Data'!H170="",_xlfn.REGEXEXTRACT(CELL("address",'Raw Data'!H170),"\$([A-Z]+)\$[0-9]+"),"")</f>
        <v/>
      </c>
    </row>
    <row r="171" spans="2:9" x14ac:dyDescent="0.25">
      <c r="B171" t="str" cm="1">
        <f t="array" aca="1" ref="B171" ca="1">IF('Raw Data'!B171="",_xlfn.REGEXEXTRACT(CELL("address",'Raw Data'!B171),"\$([A-Z]+)\$[0-9]+"),"")</f>
        <v/>
      </c>
      <c r="C171" t="str" cm="1">
        <f t="array" aca="1" ref="C171" ca="1">IF('Raw Data'!C171="",_xlfn.REGEXEXTRACT(CELL("address",'Raw Data'!C171),"\$([A-Z]+)\$[0-9]+"),"")</f>
        <v/>
      </c>
      <c r="D171" t="str" cm="1">
        <f t="array" aca="1" ref="D171" ca="1">IF('Raw Data'!D171="",_xlfn.REGEXEXTRACT(CELL("address",'Raw Data'!D171),"\$([A-Z]+)\$[0-9]+"),"")</f>
        <v>$D$171</v>
      </c>
      <c r="E171" t="str" cm="1">
        <f t="array" aca="1" ref="E171" ca="1">IF('Raw Data'!E171="",_xlfn.REGEXEXTRACT(CELL("address",'Raw Data'!E171),"\$([A-Z]+)\$[0-9]+"),"")</f>
        <v/>
      </c>
      <c r="F171" t="str" cm="1">
        <f t="array" aca="1" ref="F171" ca="1">IF('Raw Data'!F171="",_xlfn.REGEXEXTRACT(CELL("address",'Raw Data'!F171),"\$([A-Z]+)\$[0-9]+"),"")</f>
        <v>$F$171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Data'!G171="",_xlfn.REGEXEXTRACT(CELL("address",'Raw Data'!G171),"\$([A-Z]+)\$[0-9]+"),"")</f>
        <v/>
      </c>
      <c r="I171" t="str" cm="1">
        <f t="array" aca="1" ref="I171" ca="1">IF('Raw Data'!H171="",_xlfn.REGEXEXTRACT(CELL("address",'Raw Data'!H171),"\$([A-Z]+)\$[0-9]+"),"")</f>
        <v/>
      </c>
    </row>
    <row r="172" spans="2:9" x14ac:dyDescent="0.25">
      <c r="B172" t="str" cm="1">
        <f t="array" aca="1" ref="B172" ca="1">IF('Raw Data'!B172="",_xlfn.REGEXEXTRACT(CELL("address",'Raw Data'!B172),"\$([A-Z]+)\$[0-9]+"),"")</f>
        <v/>
      </c>
      <c r="C172" t="str" cm="1">
        <f t="array" aca="1" ref="C172" ca="1">IF('Raw Data'!C172="",_xlfn.REGEXEXTRACT(CELL("address",'Raw Data'!C172),"\$([A-Z]+)\$[0-9]+"),"")</f>
        <v/>
      </c>
      <c r="D172" t="str" cm="1">
        <f t="array" aca="1" ref="D172" ca="1">IF('Raw Data'!D172="",_xlfn.REGEXEXTRACT(CELL("address",'Raw Data'!D172),"\$([A-Z]+)\$[0-9]+"),"")</f>
        <v>$D$172</v>
      </c>
      <c r="E172" t="str" cm="1">
        <f t="array" aca="1" ref="E172" ca="1">IF('Raw Data'!E172="",_xlfn.REGEXEXTRACT(CELL("address",'Raw Data'!E172),"\$([A-Z]+)\$[0-9]+"),"")</f>
        <v/>
      </c>
      <c r="F172" t="str" cm="1">
        <f t="array" aca="1" ref="F172" ca="1">IF('Raw Data'!F172="",_xlfn.REGEXEXTRACT(CELL("address",'Raw Data'!F172),"\$([A-Z]+)\$[0-9]+"),"")</f>
        <v>$F$172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Data'!G172="",_xlfn.REGEXEXTRACT(CELL("address",'Raw Data'!G172),"\$([A-Z]+)\$[0-9]+"),"")</f>
        <v/>
      </c>
      <c r="I172" t="str" cm="1">
        <f t="array" aca="1" ref="I172" ca="1">IF('Raw Data'!H172="",_xlfn.REGEXEXTRACT(CELL("address",'Raw Data'!H172),"\$([A-Z]+)\$[0-9]+"),"")</f>
        <v/>
      </c>
    </row>
    <row r="173" spans="2:9" x14ac:dyDescent="0.25">
      <c r="B173" t="str" cm="1">
        <f t="array" aca="1" ref="B173" ca="1">IF('Raw Data'!B173="",_xlfn.REGEXEXTRACT(CELL("address",'Raw Data'!B173),"\$([A-Z]+)\$[0-9]+"),"")</f>
        <v/>
      </c>
      <c r="C173" t="str" cm="1">
        <f t="array" aca="1" ref="C173" ca="1">IF('Raw Data'!C173="",_xlfn.REGEXEXTRACT(CELL("address",'Raw Data'!C173),"\$([A-Z]+)\$[0-9]+"),"")</f>
        <v/>
      </c>
      <c r="D173" t="str" cm="1">
        <f t="array" aca="1" ref="D173" ca="1">IF('Raw Data'!D173="",_xlfn.REGEXEXTRACT(CELL("address",'Raw Data'!D173),"\$([A-Z]+)\$[0-9]+"),"")</f>
        <v>$D$173</v>
      </c>
      <c r="E173" t="str" cm="1">
        <f t="array" aca="1" ref="E173" ca="1">IF('Raw Data'!E173="",_xlfn.REGEXEXTRACT(CELL("address",'Raw Data'!E173),"\$([A-Z]+)\$[0-9]+"),"")</f>
        <v/>
      </c>
      <c r="F173" t="str" cm="1">
        <f t="array" aca="1" ref="F173" ca="1">IF('Raw Data'!F173="",_xlfn.REGEXEXTRACT(CELL("address",'Raw Data'!F173),"\$([A-Z]+)\$[0-9]+"),"")</f>
        <v>$F$173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Data'!G173="",_xlfn.REGEXEXTRACT(CELL("address",'Raw Data'!G173),"\$([A-Z]+)\$[0-9]+"),"")</f>
        <v/>
      </c>
      <c r="I173" t="str" cm="1">
        <f t="array" aca="1" ref="I173" ca="1">IF('Raw Data'!H173="",_xlfn.REGEXEXTRACT(CELL("address",'Raw Data'!H173),"\$([A-Z]+)\$[0-9]+"),"")</f>
        <v/>
      </c>
    </row>
    <row r="174" spans="2:9" x14ac:dyDescent="0.25">
      <c r="B174" t="str" cm="1">
        <f t="array" aca="1" ref="B174" ca="1">IF('Raw Data'!B174="",_xlfn.REGEXEXTRACT(CELL("address",'Raw Data'!B174),"\$([A-Z]+)\$[0-9]+"),"")</f>
        <v/>
      </c>
      <c r="C174" t="str" cm="1">
        <f t="array" aca="1" ref="C174" ca="1">IF('Raw Data'!C174="",_xlfn.REGEXEXTRACT(CELL("address",'Raw Data'!C174),"\$([A-Z]+)\$[0-9]+"),"")</f>
        <v/>
      </c>
      <c r="D174" t="str" cm="1">
        <f t="array" aca="1" ref="D174" ca="1">IF('Raw Data'!D174="",_xlfn.REGEXEXTRACT(CELL("address",'Raw Data'!D174),"\$([A-Z]+)\$[0-9]+"),"")</f>
        <v>$D$174</v>
      </c>
      <c r="E174" t="str" cm="1">
        <f t="array" aca="1" ref="E174" ca="1">IF('Raw Data'!E174="",_xlfn.REGEXEXTRACT(CELL("address",'Raw Data'!E174),"\$([A-Z]+)\$[0-9]+"),"")</f>
        <v/>
      </c>
      <c r="F174" t="str" cm="1">
        <f t="array" aca="1" ref="F174" ca="1">IF('Raw Data'!F174="",_xlfn.REGEXEXTRACT(CELL("address",'Raw Data'!F174),"\$([A-Z]+)\$[0-9]+"),"")</f>
        <v>$F$174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Data'!G174="",_xlfn.REGEXEXTRACT(CELL("address",'Raw Data'!G174),"\$([A-Z]+)\$[0-9]+"),"")</f>
        <v/>
      </c>
      <c r="I174" t="str" cm="1">
        <f t="array" aca="1" ref="I174" ca="1">IF('Raw Data'!H174="",_xlfn.REGEXEXTRACT(CELL("address",'Raw Data'!H174),"\$([A-Z]+)\$[0-9]+"),"")</f>
        <v/>
      </c>
    </row>
    <row r="175" spans="2:9" x14ac:dyDescent="0.25">
      <c r="B175" t="str" cm="1">
        <f t="array" aca="1" ref="B175" ca="1">IF('Raw Data'!B175="",_xlfn.REGEXEXTRACT(CELL("address",'Raw Data'!B175),"\$([A-Z]+)\$[0-9]+"),"")</f>
        <v/>
      </c>
      <c r="C175" t="str" cm="1">
        <f t="array" aca="1" ref="C175" ca="1">IF('Raw Data'!C175="",_xlfn.REGEXEXTRACT(CELL("address",'Raw Data'!C175),"\$([A-Z]+)\$[0-9]+"),"")</f>
        <v/>
      </c>
      <c r="D175" t="str" cm="1">
        <f t="array" aca="1" ref="D175" ca="1">IF('Raw Data'!D175="",_xlfn.REGEXEXTRACT(CELL("address",'Raw Data'!D175),"\$([A-Z]+)\$[0-9]+"),"")</f>
        <v>$D$175</v>
      </c>
      <c r="E175" t="str" cm="1">
        <f t="array" aca="1" ref="E175" ca="1">IF('Raw Data'!E175="",_xlfn.REGEXEXTRACT(CELL("address",'Raw Data'!E175),"\$([A-Z]+)\$[0-9]+"),"")</f>
        <v/>
      </c>
      <c r="F175" t="str" cm="1">
        <f t="array" aca="1" ref="F175" ca="1">IF('Raw Data'!F175="",_xlfn.REGEXEXTRACT(CELL("address",'Raw Data'!F175),"\$([A-Z]+)\$[0-9]+"),"")</f>
        <v>$F$175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Data'!G175="",_xlfn.REGEXEXTRACT(CELL("address",'Raw Data'!G175),"\$([A-Z]+)\$[0-9]+"),"")</f>
        <v/>
      </c>
      <c r="I175" t="str" cm="1">
        <f t="array" aca="1" ref="I175" ca="1">IF('Raw Data'!H175="",_xlfn.REGEXEXTRACT(CELL("address",'Raw Data'!H175),"\$([A-Z]+)\$[0-9]+"),"")</f>
        <v/>
      </c>
    </row>
    <row r="176" spans="2:9" x14ac:dyDescent="0.25">
      <c r="B176" t="str" cm="1">
        <f t="array" aca="1" ref="B176" ca="1">IF('Raw Data'!B176="",_xlfn.REGEXEXTRACT(CELL("address",'Raw Data'!B176),"\$([A-Z]+)\$[0-9]+"),"")</f>
        <v/>
      </c>
      <c r="C176" t="str" cm="1">
        <f t="array" aca="1" ref="C176" ca="1">IF('Raw Data'!C176="",_xlfn.REGEXEXTRACT(CELL("address",'Raw Data'!C176),"\$([A-Z]+)\$[0-9]+"),"")</f>
        <v/>
      </c>
      <c r="D176" t="str" cm="1">
        <f t="array" aca="1" ref="D176" ca="1">IF('Raw Data'!D176="",_xlfn.REGEXEXTRACT(CELL("address",'Raw Data'!D176),"\$([A-Z]+)\$[0-9]+"),"")</f>
        <v>$D$176</v>
      </c>
      <c r="E176" t="str" cm="1">
        <f t="array" aca="1" ref="E176" ca="1">IF('Raw Data'!E176="",_xlfn.REGEXEXTRACT(CELL("address",'Raw Data'!E176),"\$([A-Z]+)\$[0-9]+"),"")</f>
        <v/>
      </c>
      <c r="F176" t="str" cm="1">
        <f t="array" aca="1" ref="F176" ca="1">IF('Raw Data'!F176="",_xlfn.REGEXEXTRACT(CELL("address",'Raw Data'!F176),"\$([A-Z]+)\$[0-9]+"),"")</f>
        <v>$F$176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Data'!G176="",_xlfn.REGEXEXTRACT(CELL("address",'Raw Data'!G176),"\$([A-Z]+)\$[0-9]+"),"")</f>
        <v/>
      </c>
      <c r="I176" t="str" cm="1">
        <f t="array" aca="1" ref="I176" ca="1">IF('Raw Data'!H176="",_xlfn.REGEXEXTRACT(CELL("address",'Raw Data'!H176),"\$([A-Z]+)\$[0-9]+"),"")</f>
        <v/>
      </c>
    </row>
    <row r="177" spans="2:9" x14ac:dyDescent="0.25">
      <c r="B177" t="str" cm="1">
        <f t="array" aca="1" ref="B177" ca="1">IF('Raw Data'!B177="",_xlfn.REGEXEXTRACT(CELL("address",'Raw Data'!B177),"\$([A-Z]+)\$[0-9]+"),"")</f>
        <v/>
      </c>
      <c r="C177" t="str" cm="1">
        <f t="array" aca="1" ref="C177" ca="1">IF('Raw Data'!C177="",_xlfn.REGEXEXTRACT(CELL("address",'Raw Data'!C177),"\$([A-Z]+)\$[0-9]+"),"")</f>
        <v/>
      </c>
      <c r="D177" t="str" cm="1">
        <f t="array" aca="1" ref="D177" ca="1">IF('Raw Data'!D177="",_xlfn.REGEXEXTRACT(CELL("address",'Raw Data'!D177),"\$([A-Z]+)\$[0-9]+"),"")</f>
        <v>$D$177</v>
      </c>
      <c r="E177" t="str" cm="1">
        <f t="array" aca="1" ref="E177" ca="1">IF('Raw Data'!E177="",_xlfn.REGEXEXTRACT(CELL("address",'Raw Data'!E177),"\$([A-Z]+)\$[0-9]+"),"")</f>
        <v/>
      </c>
      <c r="F177" t="str" cm="1">
        <f t="array" aca="1" ref="F177" ca="1">IF('Raw Data'!F177="",_xlfn.REGEXEXTRACT(CELL("address",'Raw Data'!F177),"\$([A-Z]+)\$[0-9]+"),"")</f>
        <v>$F$177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Data'!G177="",_xlfn.REGEXEXTRACT(CELL("address",'Raw Data'!G177),"\$([A-Z]+)\$[0-9]+"),"")</f>
        <v/>
      </c>
      <c r="I177" t="str" cm="1">
        <f t="array" aca="1" ref="I177" ca="1">IF('Raw Data'!H177="",_xlfn.REGEXEXTRACT(CELL("address",'Raw Data'!H177),"\$([A-Z]+)\$[0-9]+"),"")</f>
        <v/>
      </c>
    </row>
    <row r="178" spans="2:9" x14ac:dyDescent="0.25">
      <c r="B178" t="str" cm="1">
        <f t="array" aca="1" ref="B178" ca="1">IF('Raw Data'!B178="",_xlfn.REGEXEXTRACT(CELL("address",'Raw Data'!B178),"\$([A-Z]+)\$[0-9]+"),"")</f>
        <v/>
      </c>
      <c r="C178" t="str" cm="1">
        <f t="array" aca="1" ref="C178" ca="1">IF('Raw Data'!C178="",_xlfn.REGEXEXTRACT(CELL("address",'Raw Data'!C178),"\$([A-Z]+)\$[0-9]+"),"")</f>
        <v/>
      </c>
      <c r="D178" t="str" cm="1">
        <f t="array" aca="1" ref="D178" ca="1">IF('Raw Data'!D178="",_xlfn.REGEXEXTRACT(CELL("address",'Raw Data'!D178),"\$([A-Z]+)\$[0-9]+"),"")</f>
        <v>$D$178</v>
      </c>
      <c r="E178" t="str" cm="1">
        <f t="array" aca="1" ref="E178" ca="1">IF('Raw Data'!E178="",_xlfn.REGEXEXTRACT(CELL("address",'Raw Data'!E178),"\$([A-Z]+)\$[0-9]+"),"")</f>
        <v>$E$178</v>
      </c>
      <c r="F178" t="str" cm="1">
        <f t="array" aca="1" ref="F178" ca="1">IF('Raw Data'!F178="",_xlfn.REGEXEXTRACT(CELL("address",'Raw Data'!F178),"\$([A-Z]+)\$[0-9]+"),"")</f>
        <v>$F$178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Data'!G178="",_xlfn.REGEXEXTRACT(CELL("address",'Raw Data'!G178),"\$([A-Z]+)\$[0-9]+"),"")</f>
        <v/>
      </c>
      <c r="I178" t="str" cm="1">
        <f t="array" aca="1" ref="I178" ca="1">IF('Raw Data'!H178="",_xlfn.REGEXEXTRACT(CELL("address",'Raw Data'!H178),"\$([A-Z]+)\$[0-9]+"),"")</f>
        <v>$H$178</v>
      </c>
    </row>
    <row r="179" spans="2:9" x14ac:dyDescent="0.25">
      <c r="B179" t="str" cm="1">
        <f t="array" aca="1" ref="B179" ca="1">IF('Raw Data'!B179="",_xlfn.REGEXEXTRACT(CELL("address",'Raw Data'!B179),"\$([A-Z]+)\$[0-9]+"),"")</f>
        <v/>
      </c>
      <c r="C179" t="str" cm="1">
        <f t="array" aca="1" ref="C179" ca="1">IF('Raw Data'!C179="",_xlfn.REGEXEXTRACT(CELL("address",'Raw Data'!C179),"\$([A-Z]+)\$[0-9]+"),"")</f>
        <v/>
      </c>
      <c r="D179" t="str" cm="1">
        <f t="array" aca="1" ref="D179" ca="1">IF('Raw Data'!D179="",_xlfn.REGEXEXTRACT(CELL("address",'Raw Data'!D179),"\$([A-Z]+)\$[0-9]+"),"")</f>
        <v>$D$179</v>
      </c>
      <c r="E179" t="str" cm="1">
        <f t="array" aca="1" ref="E179" ca="1">IF('Raw Data'!E179="",_xlfn.REGEXEXTRACT(CELL("address",'Raw Data'!E179),"\$([A-Z]+)\$[0-9]+"),"")</f>
        <v>$E$179</v>
      </c>
      <c r="F179" t="str" cm="1">
        <f t="array" aca="1" ref="F179" ca="1">IF('Raw Data'!F179="",_xlfn.REGEXEXTRACT(CELL("address",'Raw Data'!F179),"\$([A-Z]+)\$[0-9]+"),"")</f>
        <v>$F$179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Data'!G179="",_xlfn.REGEXEXTRACT(CELL("address",'Raw Data'!G179),"\$([A-Z]+)\$[0-9]+"),"")</f>
        <v/>
      </c>
      <c r="I179" t="str" cm="1">
        <f t="array" aca="1" ref="I179" ca="1">IF('Raw Data'!H179="",_xlfn.REGEXEXTRACT(CELL("address",'Raw Data'!H179),"\$([A-Z]+)\$[0-9]+"),"")</f>
        <v>$H$179</v>
      </c>
    </row>
    <row r="180" spans="2:9" x14ac:dyDescent="0.25">
      <c r="B180" t="str" cm="1">
        <f t="array" aca="1" ref="B180" ca="1">IF('Raw Data'!B180="",_xlfn.REGEXEXTRACT(CELL("address",'Raw Data'!B180),"\$([A-Z]+)\$[0-9]+"),"")</f>
        <v/>
      </c>
      <c r="C180" t="str" cm="1">
        <f t="array" aca="1" ref="C180" ca="1">IF('Raw Data'!C180="",_xlfn.REGEXEXTRACT(CELL("address",'Raw Data'!C180),"\$([A-Z]+)\$[0-9]+"),"")</f>
        <v/>
      </c>
      <c r="D180" t="str" cm="1">
        <f t="array" aca="1" ref="D180" ca="1">IF('Raw Data'!D180="",_xlfn.REGEXEXTRACT(CELL("address",'Raw Data'!D180),"\$([A-Z]+)\$[0-9]+"),"")</f>
        <v>$D$180</v>
      </c>
      <c r="E180" t="str" cm="1">
        <f t="array" aca="1" ref="E180" ca="1">IF('Raw Data'!E180="",_xlfn.REGEXEXTRACT(CELL("address",'Raw Data'!E180),"\$([A-Z]+)\$[0-9]+"),"")</f>
        <v>$E$180</v>
      </c>
      <c r="F180" t="str" cm="1">
        <f t="array" aca="1" ref="F180" ca="1">IF('Raw Data'!F180="",_xlfn.REGEXEXTRACT(CELL("address",'Raw Data'!F180),"\$([A-Z]+)\$[0-9]+"),"")</f>
        <v>$F$180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Data'!G180="",_xlfn.REGEXEXTRACT(CELL("address",'Raw Data'!G180),"\$([A-Z]+)\$[0-9]+"),"")</f>
        <v/>
      </c>
      <c r="I180" t="str" cm="1">
        <f t="array" aca="1" ref="I180" ca="1">IF('Raw Data'!H180="",_xlfn.REGEXEXTRACT(CELL("address",'Raw Data'!H180),"\$([A-Z]+)\$[0-9]+"),"")</f>
        <v>$H$180</v>
      </c>
    </row>
    <row r="181" spans="2:9" x14ac:dyDescent="0.25">
      <c r="B181" t="str" cm="1">
        <f t="array" aca="1" ref="B181" ca="1">IF('Raw Data'!B181="",_xlfn.REGEXEXTRACT(CELL("address",'Raw Data'!B181),"\$([A-Z]+)\$[0-9]+"),"")</f>
        <v/>
      </c>
      <c r="C181" t="str" cm="1">
        <f t="array" aca="1" ref="C181" ca="1">IF('Raw Data'!C181="",_xlfn.REGEXEXTRACT(CELL("address",'Raw Data'!C181),"\$([A-Z]+)\$[0-9]+"),"")</f>
        <v/>
      </c>
      <c r="D181" t="str" cm="1">
        <f t="array" aca="1" ref="D181" ca="1">IF('Raw Data'!D181="",_xlfn.REGEXEXTRACT(CELL("address",'Raw Data'!D181),"\$([A-Z]+)\$[0-9]+"),"")</f>
        <v>$D$181</v>
      </c>
      <c r="E181" t="str" cm="1">
        <f t="array" aca="1" ref="E181" ca="1">IF('Raw Data'!E181="",_xlfn.REGEXEXTRACT(CELL("address",'Raw Data'!E181),"\$([A-Z]+)\$[0-9]+"),"")</f>
        <v>$E$181</v>
      </c>
      <c r="F181" t="str" cm="1">
        <f t="array" aca="1" ref="F181" ca="1">IF('Raw Data'!F181="",_xlfn.REGEXEXTRACT(CELL("address",'Raw Data'!F181),"\$([A-Z]+)\$[0-9]+"),"")</f>
        <v>$F$181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Data'!G181="",_xlfn.REGEXEXTRACT(CELL("address",'Raw Data'!G181),"\$([A-Z]+)\$[0-9]+"),"")</f>
        <v/>
      </c>
      <c r="I181" t="str" cm="1">
        <f t="array" aca="1" ref="I181" ca="1">IF('Raw Data'!H181="",_xlfn.REGEXEXTRACT(CELL("address",'Raw Data'!H181),"\$([A-Z]+)\$[0-9]+"),"")</f>
        <v>$H$181</v>
      </c>
    </row>
    <row r="182" spans="2:9" x14ac:dyDescent="0.25">
      <c r="B182" t="str" cm="1">
        <f t="array" aca="1" ref="B182" ca="1">IF('Raw Data'!B182="",_xlfn.REGEXEXTRACT(CELL("address",'Raw Data'!B182),"\$([A-Z]+)\$[0-9]+"),"")</f>
        <v/>
      </c>
      <c r="C182" t="str" cm="1">
        <f t="array" aca="1" ref="C182" ca="1">IF('Raw Data'!C182="",_xlfn.REGEXEXTRACT(CELL("address",'Raw Data'!C182),"\$([A-Z]+)\$[0-9]+"),"")</f>
        <v/>
      </c>
      <c r="D182" t="str" cm="1">
        <f t="array" aca="1" ref="D182" ca="1">IF('Raw Data'!D182="",_xlfn.REGEXEXTRACT(CELL("address",'Raw Data'!D182),"\$([A-Z]+)\$[0-9]+"),"")</f>
        <v>$D$182</v>
      </c>
      <c r="E182" t="str" cm="1">
        <f t="array" aca="1" ref="E182" ca="1">IF('Raw Data'!E182="",_xlfn.REGEXEXTRACT(CELL("address",'Raw Data'!E182),"\$([A-Z]+)\$[0-9]+"),"")</f>
        <v>$E$182</v>
      </c>
      <c r="F182" t="str" cm="1">
        <f t="array" aca="1" ref="F182" ca="1">IF('Raw Data'!F182="",_xlfn.REGEXEXTRACT(CELL("address",'Raw Data'!F182),"\$([A-Z]+)\$[0-9]+"),"")</f>
        <v>$F$182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Data'!G182="",_xlfn.REGEXEXTRACT(CELL("address",'Raw Data'!G182),"\$([A-Z]+)\$[0-9]+"),"")</f>
        <v/>
      </c>
      <c r="I182" t="str" cm="1">
        <f t="array" aca="1" ref="I182" ca="1">IF('Raw Data'!H182="",_xlfn.REGEXEXTRACT(CELL("address",'Raw Data'!H182),"\$([A-Z]+)\$[0-9]+"),"")</f>
        <v>$H$182</v>
      </c>
    </row>
    <row r="183" spans="2:9" x14ac:dyDescent="0.25">
      <c r="B183" t="str" cm="1">
        <f t="array" aca="1" ref="B183" ca="1">IF('Raw Data'!B183="",_xlfn.REGEXEXTRACT(CELL("address",'Raw Data'!B183),"\$([A-Z]+)\$[0-9]+"),"")</f>
        <v/>
      </c>
      <c r="C183" t="str" cm="1">
        <f t="array" aca="1" ref="C183" ca="1">IF('Raw Data'!C183="",_xlfn.REGEXEXTRACT(CELL("address",'Raw Data'!C183),"\$([A-Z]+)\$[0-9]+"),"")</f>
        <v/>
      </c>
      <c r="D183" t="str" cm="1">
        <f t="array" aca="1" ref="D183" ca="1">IF('Raw Data'!D183="",_xlfn.REGEXEXTRACT(CELL("address",'Raw Data'!D183),"\$([A-Z]+)\$[0-9]+"),"")</f>
        <v>$D$183</v>
      </c>
      <c r="E183" t="str" cm="1">
        <f t="array" aca="1" ref="E183" ca="1">IF('Raw Data'!E183="",_xlfn.REGEXEXTRACT(CELL("address",'Raw Data'!E183),"\$([A-Z]+)\$[0-9]+"),"")</f>
        <v>$E$183</v>
      </c>
      <c r="F183" t="str" cm="1">
        <f t="array" aca="1" ref="F183" ca="1">IF('Raw Data'!F183="",_xlfn.REGEXEXTRACT(CELL("address",'Raw Data'!F183),"\$([A-Z]+)\$[0-9]+"),"")</f>
        <v>$F$183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Data'!G183="",_xlfn.REGEXEXTRACT(CELL("address",'Raw Data'!G183),"\$([A-Z]+)\$[0-9]+"),"")</f>
        <v/>
      </c>
      <c r="I183" t="str" cm="1">
        <f t="array" aca="1" ref="I183" ca="1">IF('Raw Data'!H183="",_xlfn.REGEXEXTRACT(CELL("address",'Raw Data'!H183),"\$([A-Z]+)\$[0-9]+"),"")</f>
        <v>$H$183</v>
      </c>
    </row>
    <row r="184" spans="2:9" x14ac:dyDescent="0.25">
      <c r="B184" t="str" cm="1">
        <f t="array" aca="1" ref="B184" ca="1">IF('Raw Data'!B184="",_xlfn.REGEXEXTRACT(CELL("address",'Raw Data'!B184),"\$([A-Z]+)\$[0-9]+"),"")</f>
        <v/>
      </c>
      <c r="C184" t="str" cm="1">
        <f t="array" aca="1" ref="C184" ca="1">IF('Raw Data'!C184="",_xlfn.REGEXEXTRACT(CELL("address",'Raw Data'!C184),"\$([A-Z]+)\$[0-9]+"),"")</f>
        <v/>
      </c>
      <c r="D184" t="str" cm="1">
        <f t="array" aca="1" ref="D184" ca="1">IF('Raw Data'!D184="",_xlfn.REGEXEXTRACT(CELL("address",'Raw Data'!D184),"\$([A-Z]+)\$[0-9]+"),"")</f>
        <v>$D$184</v>
      </c>
      <c r="E184" t="str" cm="1">
        <f t="array" aca="1" ref="E184" ca="1">IF('Raw Data'!E184="",_xlfn.REGEXEXTRACT(CELL("address",'Raw Data'!E184),"\$([A-Z]+)\$[0-9]+"),"")</f>
        <v>$E$184</v>
      </c>
      <c r="F184" t="str" cm="1">
        <f t="array" aca="1" ref="F184" ca="1">IF('Raw Data'!F184="",_xlfn.REGEXEXTRACT(CELL("address",'Raw Data'!F184),"\$([A-Z]+)\$[0-9]+"),"")</f>
        <v>$F$184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Data'!G184="",_xlfn.REGEXEXTRACT(CELL("address",'Raw Data'!G184),"\$([A-Z]+)\$[0-9]+"),"")</f>
        <v/>
      </c>
      <c r="I184" t="str" cm="1">
        <f t="array" aca="1" ref="I184" ca="1">IF('Raw Data'!H184="",_xlfn.REGEXEXTRACT(CELL("address",'Raw Data'!H184),"\$([A-Z]+)\$[0-9]+"),"")</f>
        <v>$H$184</v>
      </c>
    </row>
    <row r="185" spans="2:9" x14ac:dyDescent="0.25">
      <c r="B185" t="str" cm="1">
        <f t="array" aca="1" ref="B185" ca="1">IF('Raw Data'!B185="",_xlfn.REGEXEXTRACT(CELL("address",'Raw Data'!B185),"\$([A-Z]+)\$[0-9]+"),"")</f>
        <v/>
      </c>
      <c r="C185" t="str" cm="1">
        <f t="array" aca="1" ref="C185" ca="1">IF('Raw Data'!C185="",_xlfn.REGEXEXTRACT(CELL("address",'Raw Data'!C185),"\$([A-Z]+)\$[0-9]+"),"")</f>
        <v/>
      </c>
      <c r="D185" t="str" cm="1">
        <f t="array" aca="1" ref="D185" ca="1">IF('Raw Data'!D185="",_xlfn.REGEXEXTRACT(CELL("address",'Raw Data'!D185),"\$([A-Z]+)\$[0-9]+"),"")</f>
        <v>$D$185</v>
      </c>
      <c r="E185" t="str" cm="1">
        <f t="array" aca="1" ref="E185" ca="1">IF('Raw Data'!E185="",_xlfn.REGEXEXTRACT(CELL("address",'Raw Data'!E185),"\$([A-Z]+)\$[0-9]+"),"")</f>
        <v>$E$185</v>
      </c>
      <c r="F185" t="str" cm="1">
        <f t="array" aca="1" ref="F185" ca="1">IF('Raw Data'!F185="",_xlfn.REGEXEXTRACT(CELL("address",'Raw Data'!F185),"\$([A-Z]+)\$[0-9]+"),"")</f>
        <v>$F$185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Data'!G185="",_xlfn.REGEXEXTRACT(CELL("address",'Raw Data'!G185),"\$([A-Z]+)\$[0-9]+"),"")</f>
        <v/>
      </c>
      <c r="I185" t="str" cm="1">
        <f t="array" aca="1" ref="I185" ca="1">IF('Raw Data'!H185="",_xlfn.REGEXEXTRACT(CELL("address",'Raw Data'!H185),"\$([A-Z]+)\$[0-9]+"),"")</f>
        <v>$H$185</v>
      </c>
    </row>
    <row r="186" spans="2:9" x14ac:dyDescent="0.25">
      <c r="B186" t="str" cm="1">
        <f t="array" aca="1" ref="B186" ca="1">IF('Raw Data'!B186="",_xlfn.REGEXEXTRACT(CELL("address",'Raw Data'!B186),"\$([A-Z]+)\$[0-9]+"),"")</f>
        <v/>
      </c>
      <c r="C186" t="str" cm="1">
        <f t="array" aca="1" ref="C186" ca="1">IF('Raw Data'!C186="",_xlfn.REGEXEXTRACT(CELL("address",'Raw Data'!C186),"\$([A-Z]+)\$[0-9]+"),"")</f>
        <v/>
      </c>
      <c r="D186" t="str" cm="1">
        <f t="array" aca="1" ref="D186" ca="1">IF('Raw Data'!D186="",_xlfn.REGEXEXTRACT(CELL("address",'Raw Data'!D186),"\$([A-Z]+)\$[0-9]+"),"")</f>
        <v>$D$186</v>
      </c>
      <c r="E186" t="str" cm="1">
        <f t="array" aca="1" ref="E186" ca="1">IF('Raw Data'!E186="",_xlfn.REGEXEXTRACT(CELL("address",'Raw Data'!E186),"\$([A-Z]+)\$[0-9]+"),"")</f>
        <v>$E$186</v>
      </c>
      <c r="F186" t="str" cm="1">
        <f t="array" aca="1" ref="F186" ca="1">IF('Raw Data'!F186="",_xlfn.REGEXEXTRACT(CELL("address",'Raw Data'!F186),"\$([A-Z]+)\$[0-9]+"),"")</f>
        <v>$F$186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Data'!G186="",_xlfn.REGEXEXTRACT(CELL("address",'Raw Data'!G186),"\$([A-Z]+)\$[0-9]+"),"")</f>
        <v/>
      </c>
      <c r="I186" t="str" cm="1">
        <f t="array" aca="1" ref="I186" ca="1">IF('Raw Data'!H186="",_xlfn.REGEXEXTRACT(CELL("address",'Raw Data'!H186),"\$([A-Z]+)\$[0-9]+"),"")</f>
        <v>$H$186</v>
      </c>
    </row>
    <row r="187" spans="2:9" x14ac:dyDescent="0.25">
      <c r="B187" t="str" cm="1">
        <f t="array" aca="1" ref="B187" ca="1">IF('Raw Data'!B187="",_xlfn.REGEXEXTRACT(CELL("address",'Raw Data'!B187),"\$([A-Z]+)\$[0-9]+"),"")</f>
        <v/>
      </c>
      <c r="C187" t="str" cm="1">
        <f t="array" aca="1" ref="C187" ca="1">IF('Raw Data'!C187="",_xlfn.REGEXEXTRACT(CELL("address",'Raw Data'!C187),"\$([A-Z]+)\$[0-9]+"),"")</f>
        <v/>
      </c>
      <c r="D187" t="str" cm="1">
        <f t="array" aca="1" ref="D187" ca="1">IF('Raw Data'!D187="",_xlfn.REGEXEXTRACT(CELL("address",'Raw Data'!D187),"\$([A-Z]+)\$[0-9]+"),"")</f>
        <v>$D$187</v>
      </c>
      <c r="E187" t="str" cm="1">
        <f t="array" aca="1" ref="E187" ca="1">IF('Raw Data'!E187="",_xlfn.REGEXEXTRACT(CELL("address",'Raw Data'!E187),"\$([A-Z]+)\$[0-9]+"),"")</f>
        <v>$E$187</v>
      </c>
      <c r="F187" t="str" cm="1">
        <f t="array" aca="1" ref="F187" ca="1">IF('Raw Data'!F187="",_xlfn.REGEXEXTRACT(CELL("address",'Raw Data'!F187),"\$([A-Z]+)\$[0-9]+"),"")</f>
        <v>$F$187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Data'!G187="",_xlfn.REGEXEXTRACT(CELL("address",'Raw Data'!G187),"\$([A-Z]+)\$[0-9]+"),"")</f>
        <v/>
      </c>
      <c r="I187" t="str" cm="1">
        <f t="array" aca="1" ref="I187" ca="1">IF('Raw Data'!H187="",_xlfn.REGEXEXTRACT(CELL("address",'Raw Data'!H187),"\$([A-Z]+)\$[0-9]+"),"")</f>
        <v>$H$187</v>
      </c>
    </row>
    <row r="188" spans="2:9" x14ac:dyDescent="0.25">
      <c r="B188" t="str" cm="1">
        <f t="array" aca="1" ref="B188" ca="1">IF('Raw Data'!B188="",_xlfn.REGEXEXTRACT(CELL("address",'Raw Data'!B188),"\$([A-Z]+)\$[0-9]+"),"")</f>
        <v/>
      </c>
      <c r="C188" t="str" cm="1">
        <f t="array" aca="1" ref="C188" ca="1">IF('Raw Data'!C188="",_xlfn.REGEXEXTRACT(CELL("address",'Raw Data'!C188),"\$([A-Z]+)\$[0-9]+"),"")</f>
        <v/>
      </c>
      <c r="D188" t="str" cm="1">
        <f t="array" aca="1" ref="D188" ca="1">IF('Raw Data'!D188="",_xlfn.REGEXEXTRACT(CELL("address",'Raw Data'!D188),"\$([A-Z]+)\$[0-9]+"),"")</f>
        <v>$D$188</v>
      </c>
      <c r="E188" t="str" cm="1">
        <f t="array" aca="1" ref="E188" ca="1">IF('Raw Data'!E188="",_xlfn.REGEXEXTRACT(CELL("address",'Raw Data'!E188),"\$([A-Z]+)\$[0-9]+"),"")</f>
        <v>$E$188</v>
      </c>
      <c r="F188" t="str" cm="1">
        <f t="array" aca="1" ref="F188" ca="1">IF('Raw Data'!F188="",_xlfn.REGEXEXTRACT(CELL("address",'Raw Data'!F188),"\$([A-Z]+)\$[0-9]+"),"")</f>
        <v>$F$188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Data'!G188="",_xlfn.REGEXEXTRACT(CELL("address",'Raw Data'!G188),"\$([A-Z]+)\$[0-9]+"),"")</f>
        <v/>
      </c>
      <c r="I188" t="str" cm="1">
        <f t="array" aca="1" ref="I188" ca="1">IF('Raw Data'!H188="",_xlfn.REGEXEXTRACT(CELL("address",'Raw Data'!H188),"\$([A-Z]+)\$[0-9]+"),"")</f>
        <v>$H$188</v>
      </c>
    </row>
    <row r="189" spans="2:9" x14ac:dyDescent="0.25">
      <c r="B189" t="str" cm="1">
        <f t="array" aca="1" ref="B189" ca="1">IF('Raw Data'!B189="",_xlfn.REGEXEXTRACT(CELL("address",'Raw Data'!B189),"\$([A-Z]+)\$[0-9]+"),"")</f>
        <v/>
      </c>
      <c r="C189" t="str" cm="1">
        <f t="array" aca="1" ref="C189" ca="1">IF('Raw Data'!C189="",_xlfn.REGEXEXTRACT(CELL("address",'Raw Data'!C189),"\$([A-Z]+)\$[0-9]+"),"")</f>
        <v/>
      </c>
      <c r="D189" t="str" cm="1">
        <f t="array" aca="1" ref="D189" ca="1">IF('Raw Data'!D189="",_xlfn.REGEXEXTRACT(CELL("address",'Raw Data'!D189),"\$([A-Z]+)\$[0-9]+"),"")</f>
        <v>$D$189</v>
      </c>
      <c r="E189" t="str" cm="1">
        <f t="array" aca="1" ref="E189" ca="1">IF('Raw Data'!E189="",_xlfn.REGEXEXTRACT(CELL("address",'Raw Data'!E189),"\$([A-Z]+)\$[0-9]+"),"")</f>
        <v>$E$189</v>
      </c>
      <c r="F189" t="str" cm="1">
        <f t="array" aca="1" ref="F189" ca="1">IF('Raw Data'!F189="",_xlfn.REGEXEXTRACT(CELL("address",'Raw Data'!F189),"\$([A-Z]+)\$[0-9]+"),"")</f>
        <v>$F$189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Data'!G189="",_xlfn.REGEXEXTRACT(CELL("address",'Raw Data'!G189),"\$([A-Z]+)\$[0-9]+"),"")</f>
        <v/>
      </c>
      <c r="I189" t="str" cm="1">
        <f t="array" aca="1" ref="I189" ca="1">IF('Raw Data'!H189="",_xlfn.REGEXEXTRACT(CELL("address",'Raw Data'!H189),"\$([A-Z]+)\$[0-9]+"),"")</f>
        <v>$H$189</v>
      </c>
    </row>
    <row r="190" spans="2:9" x14ac:dyDescent="0.25">
      <c r="B190" t="str" cm="1">
        <f t="array" aca="1" ref="B190" ca="1">IF('Raw Data'!B190="",_xlfn.REGEXEXTRACT(CELL("address",'Raw Data'!B190),"\$([A-Z]+)\$[0-9]+"),"")</f>
        <v/>
      </c>
      <c r="C190" t="str" cm="1">
        <f t="array" aca="1" ref="C190" ca="1">IF('Raw Data'!C190="",_xlfn.REGEXEXTRACT(CELL("address",'Raw Data'!C190),"\$([A-Z]+)\$[0-9]+"),"")</f>
        <v/>
      </c>
      <c r="D190" t="str" cm="1">
        <f t="array" aca="1" ref="D190" ca="1">IF('Raw Data'!D190="",_xlfn.REGEXEXTRACT(CELL("address",'Raw Data'!D190),"\$([A-Z]+)\$[0-9]+"),"")</f>
        <v>$D$190</v>
      </c>
      <c r="E190" t="str" cm="1">
        <f t="array" aca="1" ref="E190" ca="1">IF('Raw Data'!E190="",_xlfn.REGEXEXTRACT(CELL("address",'Raw Data'!E190),"\$([A-Z]+)\$[0-9]+"),"")</f>
        <v>$E$190</v>
      </c>
      <c r="F190" t="str" cm="1">
        <f t="array" aca="1" ref="F190" ca="1">IF('Raw Data'!F190="",_xlfn.REGEXEXTRACT(CELL("address",'Raw Data'!F190),"\$([A-Z]+)\$[0-9]+"),"")</f>
        <v>$F$190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Data'!G190="",_xlfn.REGEXEXTRACT(CELL("address",'Raw Data'!G190),"\$([A-Z]+)\$[0-9]+"),"")</f>
        <v/>
      </c>
      <c r="I190" t="str" cm="1">
        <f t="array" aca="1" ref="I190" ca="1">IF('Raw Data'!H190="",_xlfn.REGEXEXTRACT(CELL("address",'Raw Data'!H190),"\$([A-Z]+)\$[0-9]+"),"")</f>
        <v>$H$190</v>
      </c>
    </row>
    <row r="191" spans="2:9" x14ac:dyDescent="0.25">
      <c r="B191" t="str" cm="1">
        <f t="array" aca="1" ref="B191" ca="1">IF('Raw Data'!B191="",_xlfn.REGEXEXTRACT(CELL("address",'Raw Data'!B191),"\$([A-Z]+)\$[0-9]+"),"")</f>
        <v/>
      </c>
      <c r="C191" t="str" cm="1">
        <f t="array" aca="1" ref="C191" ca="1">IF('Raw Data'!C191="",_xlfn.REGEXEXTRACT(CELL("address",'Raw Data'!C191),"\$([A-Z]+)\$[0-9]+"),"")</f>
        <v/>
      </c>
      <c r="D191" t="str" cm="1">
        <f t="array" aca="1" ref="D191" ca="1">IF('Raw Data'!D191="",_xlfn.REGEXEXTRACT(CELL("address",'Raw Data'!D191),"\$([A-Z]+)\$[0-9]+"),"")</f>
        <v>$D$191</v>
      </c>
      <c r="E191" t="str" cm="1">
        <f t="array" aca="1" ref="E191" ca="1">IF('Raw Data'!E191="",_xlfn.REGEXEXTRACT(CELL("address",'Raw Data'!E191),"\$([A-Z]+)\$[0-9]+"),"")</f>
        <v>$E$191</v>
      </c>
      <c r="F191" t="str" cm="1">
        <f t="array" aca="1" ref="F191" ca="1">IF('Raw Data'!F191="",_xlfn.REGEXEXTRACT(CELL("address",'Raw Data'!F191),"\$([A-Z]+)\$[0-9]+"),"")</f>
        <v>$F$191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Data'!G191="",_xlfn.REGEXEXTRACT(CELL("address",'Raw Data'!G191),"\$([A-Z]+)\$[0-9]+"),"")</f>
        <v/>
      </c>
      <c r="I191" t="str" cm="1">
        <f t="array" aca="1" ref="I191" ca="1">IF('Raw Data'!H191="",_xlfn.REGEXEXTRACT(CELL("address",'Raw Data'!H191),"\$([A-Z]+)\$[0-9]+"),"")</f>
        <v>$H$191</v>
      </c>
    </row>
    <row r="192" spans="2:9" x14ac:dyDescent="0.25">
      <c r="B192" t="str" cm="1">
        <f t="array" aca="1" ref="B192" ca="1">IF('Raw Data'!B192="",_xlfn.REGEXEXTRACT(CELL("address",'Raw Data'!B192),"\$([A-Z]+)\$[0-9]+"),"")</f>
        <v/>
      </c>
      <c r="C192" t="str" cm="1">
        <f t="array" aca="1" ref="C192" ca="1">IF('Raw Data'!C192="",_xlfn.REGEXEXTRACT(CELL("address",'Raw Data'!C192),"\$([A-Z]+)\$[0-9]+"),"")</f>
        <v/>
      </c>
      <c r="D192" t="str" cm="1">
        <f t="array" aca="1" ref="D192" ca="1">IF('Raw Data'!D192="",_xlfn.REGEXEXTRACT(CELL("address",'Raw Data'!D192),"\$([A-Z]+)\$[0-9]+"),"")</f>
        <v>$D$192</v>
      </c>
      <c r="E192" t="str" cm="1">
        <f t="array" aca="1" ref="E192" ca="1">IF('Raw Data'!E192="",_xlfn.REGEXEXTRACT(CELL("address",'Raw Data'!E192),"\$([A-Z]+)\$[0-9]+"),"")</f>
        <v>$E$192</v>
      </c>
      <c r="F192" t="str" cm="1">
        <f t="array" aca="1" ref="F192" ca="1">IF('Raw Data'!F192="",_xlfn.REGEXEXTRACT(CELL("address",'Raw Data'!F192),"\$([A-Z]+)\$[0-9]+"),"")</f>
        <v>$F$192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Data'!G192="",_xlfn.REGEXEXTRACT(CELL("address",'Raw Data'!G192),"\$([A-Z]+)\$[0-9]+"),"")</f>
        <v/>
      </c>
      <c r="I192" t="str" cm="1">
        <f t="array" aca="1" ref="I192" ca="1">IF('Raw Data'!H192="",_xlfn.REGEXEXTRACT(CELL("address",'Raw Data'!H192),"\$([A-Z]+)\$[0-9]+"),"")</f>
        <v>$H$192</v>
      </c>
    </row>
    <row r="193" spans="2:9" x14ac:dyDescent="0.25">
      <c r="B193" t="str" cm="1">
        <f t="array" aca="1" ref="B193" ca="1">IF('Raw Data'!B193="",_xlfn.REGEXEXTRACT(CELL("address",'Raw Data'!B193),"\$([A-Z]+)\$[0-9]+"),"")</f>
        <v/>
      </c>
      <c r="C193" t="str" cm="1">
        <f t="array" aca="1" ref="C193" ca="1">IF('Raw Data'!C193="",_xlfn.REGEXEXTRACT(CELL("address",'Raw Data'!C193),"\$([A-Z]+)\$[0-9]+"),"")</f>
        <v/>
      </c>
      <c r="D193" t="str" cm="1">
        <f t="array" aca="1" ref="D193" ca="1">IF('Raw Data'!D193="",_xlfn.REGEXEXTRACT(CELL("address",'Raw Data'!D193),"\$([A-Z]+)\$[0-9]+"),"")</f>
        <v>$D$193</v>
      </c>
      <c r="E193" t="str" cm="1">
        <f t="array" aca="1" ref="E193" ca="1">IF('Raw Data'!E193="",_xlfn.REGEXEXTRACT(CELL("address",'Raw Data'!E193),"\$([A-Z]+)\$[0-9]+"),"")</f>
        <v>$E$193</v>
      </c>
      <c r="F193" t="str" cm="1">
        <f t="array" aca="1" ref="F193" ca="1">IF('Raw Data'!F193="",_xlfn.REGEXEXTRACT(CELL("address",'Raw Data'!F193),"\$([A-Z]+)\$[0-9]+"),"")</f>
        <v>$F$193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Data'!G193="",_xlfn.REGEXEXTRACT(CELL("address",'Raw Data'!G193),"\$([A-Z]+)\$[0-9]+"),"")</f>
        <v/>
      </c>
      <c r="I193" t="str" cm="1">
        <f t="array" aca="1" ref="I193" ca="1">IF('Raw Data'!H193="",_xlfn.REGEXEXTRACT(CELL("address",'Raw Data'!H193),"\$([A-Z]+)\$[0-9]+"),"")</f>
        <v>$H$193</v>
      </c>
    </row>
    <row r="194" spans="2:9" x14ac:dyDescent="0.25">
      <c r="B194" t="str" cm="1">
        <f t="array" aca="1" ref="B194" ca="1">IF('Raw Data'!B194="",_xlfn.REGEXEXTRACT(CELL("address",'Raw Data'!B194),"\$([A-Z]+)\$[0-9]+"),"")</f>
        <v/>
      </c>
      <c r="C194" t="str" cm="1">
        <f t="array" aca="1" ref="C194" ca="1">IF('Raw Data'!C194="",_xlfn.REGEXEXTRACT(CELL("address",'Raw Data'!C194),"\$([A-Z]+)\$[0-9]+"),"")</f>
        <v/>
      </c>
      <c r="D194" t="str" cm="1">
        <f t="array" aca="1" ref="D194" ca="1">IF('Raw Data'!D194="",_xlfn.REGEXEXTRACT(CELL("address",'Raw Data'!D194),"\$([A-Z]+)\$[0-9]+"),"")</f>
        <v>$D$194</v>
      </c>
      <c r="E194" t="str" cm="1">
        <f t="array" aca="1" ref="E194" ca="1">IF('Raw Data'!E194="",_xlfn.REGEXEXTRACT(CELL("address",'Raw Data'!E194),"\$([A-Z]+)\$[0-9]+"),"")</f>
        <v>$E$194</v>
      </c>
      <c r="F194" t="str" cm="1">
        <f t="array" aca="1" ref="F194" ca="1">IF('Raw Data'!F194="",_xlfn.REGEXEXTRACT(CELL("address",'Raw Data'!F194),"\$([A-Z]+)\$[0-9]+"),"")</f>
        <v>$F$194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Data'!G194="",_xlfn.REGEXEXTRACT(CELL("address",'Raw Data'!G194),"\$([A-Z]+)\$[0-9]+"),"")</f>
        <v/>
      </c>
      <c r="I194" t="str" cm="1">
        <f t="array" aca="1" ref="I194" ca="1">IF('Raw Data'!H194="",_xlfn.REGEXEXTRACT(CELL("address",'Raw Data'!H194),"\$([A-Z]+)\$[0-9]+"),"")</f>
        <v>$H$194</v>
      </c>
    </row>
    <row r="195" spans="2:9" x14ac:dyDescent="0.25">
      <c r="B195" t="str" cm="1">
        <f t="array" aca="1" ref="B195" ca="1">IF('Raw Data'!B195="",_xlfn.REGEXEXTRACT(CELL("address",'Raw Data'!B195),"\$([A-Z]+)\$[0-9]+"),"")</f>
        <v/>
      </c>
      <c r="C195" t="str" cm="1">
        <f t="array" aca="1" ref="C195" ca="1">IF('Raw Data'!C195="",_xlfn.REGEXEXTRACT(CELL("address",'Raw Data'!C195),"\$([A-Z]+)\$[0-9]+"),"")</f>
        <v/>
      </c>
      <c r="D195" t="str" cm="1">
        <f t="array" aca="1" ref="D195" ca="1">IF('Raw Data'!D195="",_xlfn.REGEXEXTRACT(CELL("address",'Raw Data'!D195),"\$([A-Z]+)\$[0-9]+"),"")</f>
        <v>$D$195</v>
      </c>
      <c r="E195" t="str" cm="1">
        <f t="array" aca="1" ref="E195" ca="1">IF('Raw Data'!E195="",_xlfn.REGEXEXTRACT(CELL("address",'Raw Data'!E195),"\$([A-Z]+)\$[0-9]+"),"")</f>
        <v>$E$195</v>
      </c>
      <c r="F195" t="str" cm="1">
        <f t="array" aca="1" ref="F195" ca="1">IF('Raw Data'!F195="",_xlfn.REGEXEXTRACT(CELL("address",'Raw Data'!F195),"\$([A-Z]+)\$[0-9]+"),"")</f>
        <v>$F$195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Data'!G195="",_xlfn.REGEXEXTRACT(CELL("address",'Raw Data'!G195),"\$([A-Z]+)\$[0-9]+"),"")</f>
        <v/>
      </c>
      <c r="I195" t="str" cm="1">
        <f t="array" aca="1" ref="I195" ca="1">IF('Raw Data'!H195="",_xlfn.REGEXEXTRACT(CELL("address",'Raw Data'!H195),"\$([A-Z]+)\$[0-9]+"),"")</f>
        <v>$H$195</v>
      </c>
    </row>
    <row r="196" spans="2:9" x14ac:dyDescent="0.25">
      <c r="B196" t="str" cm="1">
        <f t="array" aca="1" ref="B196" ca="1">IF('Raw Data'!B196="",_xlfn.REGEXEXTRACT(CELL("address",'Raw Data'!B196),"\$([A-Z]+)\$[0-9]+"),"")</f>
        <v/>
      </c>
      <c r="C196" t="str" cm="1">
        <f t="array" aca="1" ref="C196" ca="1">IF('Raw Data'!C196="",_xlfn.REGEXEXTRACT(CELL("address",'Raw Data'!C196),"\$([A-Z]+)\$[0-9]+"),"")</f>
        <v/>
      </c>
      <c r="D196" t="str" cm="1">
        <f t="array" aca="1" ref="D196" ca="1">IF('Raw Data'!D196="",_xlfn.REGEXEXTRACT(CELL("address",'Raw Data'!D196),"\$([A-Z]+)\$[0-9]+"),"")</f>
        <v>$D$196</v>
      </c>
      <c r="E196" t="str" cm="1">
        <f t="array" aca="1" ref="E196" ca="1">IF('Raw Data'!E196="",_xlfn.REGEXEXTRACT(CELL("address",'Raw Data'!E196),"\$([A-Z]+)\$[0-9]+"),"")</f>
        <v>$E$196</v>
      </c>
      <c r="F196" t="str" cm="1">
        <f t="array" aca="1" ref="F196" ca="1">IF('Raw Data'!F196="",_xlfn.REGEXEXTRACT(CELL("address",'Raw Data'!F196),"\$([A-Z]+)\$[0-9]+"),"")</f>
        <v>$F$196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Data'!G196="",_xlfn.REGEXEXTRACT(CELL("address",'Raw Data'!G196),"\$([A-Z]+)\$[0-9]+"),"")</f>
        <v/>
      </c>
      <c r="I196" t="str" cm="1">
        <f t="array" aca="1" ref="I196" ca="1">IF('Raw Data'!H196="",_xlfn.REGEXEXTRACT(CELL("address",'Raw Data'!H196),"\$([A-Z]+)\$[0-9]+"),"")</f>
        <v>$H$196</v>
      </c>
    </row>
    <row r="197" spans="2:9" x14ac:dyDescent="0.25">
      <c r="B197" t="str" cm="1">
        <f t="array" aca="1" ref="B197" ca="1">IF('Raw Data'!B197="",_xlfn.REGEXEXTRACT(CELL("address",'Raw Data'!B197),"\$([A-Z]+)\$[0-9]+"),"")</f>
        <v/>
      </c>
      <c r="C197" t="str" cm="1">
        <f t="array" aca="1" ref="C197" ca="1">IF('Raw Data'!C197="",_xlfn.REGEXEXTRACT(CELL("address",'Raw Data'!C197),"\$([A-Z]+)\$[0-9]+"),"")</f>
        <v/>
      </c>
      <c r="D197" t="str" cm="1">
        <f t="array" aca="1" ref="D197" ca="1">IF('Raw Data'!D197="",_xlfn.REGEXEXTRACT(CELL("address",'Raw Data'!D197),"\$([A-Z]+)\$[0-9]+"),"")</f>
        <v>$D$197</v>
      </c>
      <c r="E197" t="str" cm="1">
        <f t="array" aca="1" ref="E197" ca="1">IF('Raw Data'!E197="",_xlfn.REGEXEXTRACT(CELL("address",'Raw Data'!E197),"\$([A-Z]+)\$[0-9]+"),"")</f>
        <v>$E$197</v>
      </c>
      <c r="F197" t="str" cm="1">
        <f t="array" aca="1" ref="F197" ca="1">IF('Raw Data'!F197="",_xlfn.REGEXEXTRACT(CELL("address",'Raw Data'!F197),"\$([A-Z]+)\$[0-9]+"),"")</f>
        <v>$F$197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Data'!G197="",_xlfn.REGEXEXTRACT(CELL("address",'Raw Data'!G197),"\$([A-Z]+)\$[0-9]+"),"")</f>
        <v/>
      </c>
      <c r="I197" t="str" cm="1">
        <f t="array" aca="1" ref="I197" ca="1">IF('Raw Data'!H197="",_xlfn.REGEXEXTRACT(CELL("address",'Raw Data'!H197),"\$([A-Z]+)\$[0-9]+"),"")</f>
        <v>$H$197</v>
      </c>
    </row>
    <row r="198" spans="2:9" x14ac:dyDescent="0.25">
      <c r="B198" t="str" cm="1">
        <f t="array" aca="1" ref="B198" ca="1">IF('Raw Data'!B198="",_xlfn.REGEXEXTRACT(CELL("address",'Raw Data'!B198),"\$([A-Z]+)\$[0-9]+"),"")</f>
        <v/>
      </c>
      <c r="C198" t="str" cm="1">
        <f t="array" aca="1" ref="C198" ca="1">IF('Raw Data'!C198="",_xlfn.REGEXEXTRACT(CELL("address",'Raw Data'!C198),"\$([A-Z]+)\$[0-9]+"),"")</f>
        <v/>
      </c>
      <c r="D198" t="str" cm="1">
        <f t="array" aca="1" ref="D198" ca="1">IF('Raw Data'!D198="",_xlfn.REGEXEXTRACT(CELL("address",'Raw Data'!D198),"\$([A-Z]+)\$[0-9]+"),"")</f>
        <v>$D$198</v>
      </c>
      <c r="E198" t="str" cm="1">
        <f t="array" aca="1" ref="E198" ca="1">IF('Raw Data'!E198="",_xlfn.REGEXEXTRACT(CELL("address",'Raw Data'!E198),"\$([A-Z]+)\$[0-9]+"),"")</f>
        <v>$E$198</v>
      </c>
      <c r="F198" t="str" cm="1">
        <f t="array" aca="1" ref="F198" ca="1">IF('Raw Data'!F198="",_xlfn.REGEXEXTRACT(CELL("address",'Raw Data'!F198),"\$([A-Z]+)\$[0-9]+"),"")</f>
        <v>$F$198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Data'!G198="",_xlfn.REGEXEXTRACT(CELL("address",'Raw Data'!G198),"\$([A-Z]+)\$[0-9]+"),"")</f>
        <v/>
      </c>
      <c r="I198" t="str" cm="1">
        <f t="array" aca="1" ref="I198" ca="1">IF('Raw Data'!H198="",_xlfn.REGEXEXTRACT(CELL("address",'Raw Data'!H198),"\$([A-Z]+)\$[0-9]+"),"")</f>
        <v>$H$198</v>
      </c>
    </row>
    <row r="199" spans="2:9" x14ac:dyDescent="0.25">
      <c r="B199" t="str" cm="1">
        <f t="array" aca="1" ref="B199" ca="1">IF('Raw Data'!B199="",_xlfn.REGEXEXTRACT(CELL("address",'Raw Data'!B199),"\$([A-Z]+)\$[0-9]+"),"")</f>
        <v/>
      </c>
      <c r="C199" t="str" cm="1">
        <f t="array" aca="1" ref="C199" ca="1">IF('Raw Data'!C199="",_xlfn.REGEXEXTRACT(CELL("address",'Raw Data'!C199),"\$([A-Z]+)\$[0-9]+"),"")</f>
        <v/>
      </c>
      <c r="D199" t="str" cm="1">
        <f t="array" aca="1" ref="D199" ca="1">IF('Raw Data'!D199="",_xlfn.REGEXEXTRACT(CELL("address",'Raw Data'!D199),"\$([A-Z]+)\$[0-9]+"),"")</f>
        <v>$D$199</v>
      </c>
      <c r="E199" t="str" cm="1">
        <f t="array" aca="1" ref="E199" ca="1">IF('Raw Data'!E199="",_xlfn.REGEXEXTRACT(CELL("address",'Raw Data'!E199),"\$([A-Z]+)\$[0-9]+"),"")</f>
        <v>$E$199</v>
      </c>
      <c r="F199" t="str" cm="1">
        <f t="array" aca="1" ref="F199" ca="1">IF('Raw Data'!F199="",_xlfn.REGEXEXTRACT(CELL("address",'Raw Data'!F199),"\$([A-Z]+)\$[0-9]+"),"")</f>
        <v>$F$199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Data'!G199="",_xlfn.REGEXEXTRACT(CELL("address",'Raw Data'!G199),"\$([A-Z]+)\$[0-9]+"),"")</f>
        <v/>
      </c>
      <c r="I199" t="str" cm="1">
        <f t="array" aca="1" ref="I199" ca="1">IF('Raw Data'!H199="",_xlfn.REGEXEXTRACT(CELL("address",'Raw Data'!H199),"\$([A-Z]+)\$[0-9]+"),"")</f>
        <v>$H$199</v>
      </c>
    </row>
    <row r="200" spans="2:9" x14ac:dyDescent="0.25">
      <c r="B200" t="str" cm="1">
        <f t="array" aca="1" ref="B200" ca="1">IF('Raw Data'!B200="",_xlfn.REGEXEXTRACT(CELL("address",'Raw Data'!B200),"\$([A-Z]+)\$[0-9]+"),"")</f>
        <v/>
      </c>
      <c r="C200" t="str" cm="1">
        <f t="array" aca="1" ref="C200" ca="1">IF('Raw Data'!C200="",_xlfn.REGEXEXTRACT(CELL("address",'Raw Data'!C200),"\$([A-Z]+)\$[0-9]+"),"")</f>
        <v/>
      </c>
      <c r="D200" t="str" cm="1">
        <f t="array" aca="1" ref="D200" ca="1">IF('Raw Data'!D200="",_xlfn.REGEXEXTRACT(CELL("address",'Raw Data'!D200),"\$([A-Z]+)\$[0-9]+"),"")</f>
        <v>$D$200</v>
      </c>
      <c r="E200" t="str" cm="1">
        <f t="array" aca="1" ref="E200" ca="1">IF('Raw Data'!E200="",_xlfn.REGEXEXTRACT(CELL("address",'Raw Data'!E200),"\$([A-Z]+)\$[0-9]+"),"")</f>
        <v>$E$200</v>
      </c>
      <c r="F200" t="str" cm="1">
        <f t="array" aca="1" ref="F200" ca="1">IF('Raw Data'!F200="",_xlfn.REGEXEXTRACT(CELL("address",'Raw Data'!F200),"\$([A-Z]+)\$[0-9]+"),"")</f>
        <v>$F$200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Data'!G200="",_xlfn.REGEXEXTRACT(CELL("address",'Raw Data'!G200),"\$([A-Z]+)\$[0-9]+"),"")</f>
        <v/>
      </c>
      <c r="I200" t="str" cm="1">
        <f t="array" aca="1" ref="I200" ca="1">IF('Raw Data'!H200="",_xlfn.REGEXEXTRACT(CELL("address",'Raw Data'!H200),"\$([A-Z]+)\$[0-9]+"),"")</f>
        <v>$H$200</v>
      </c>
    </row>
    <row r="201" spans="2:9" x14ac:dyDescent="0.25">
      <c r="B201" t="str" cm="1">
        <f t="array" aca="1" ref="B201" ca="1">IF('Raw Data'!B201="",_xlfn.REGEXEXTRACT(CELL("address",'Raw Data'!B201),"\$([A-Z]+)\$[0-9]+"),"")</f>
        <v/>
      </c>
      <c r="C201" t="str" cm="1">
        <f t="array" aca="1" ref="C201" ca="1">IF('Raw Data'!C201="",_xlfn.REGEXEXTRACT(CELL("address",'Raw Data'!C201),"\$([A-Z]+)\$[0-9]+"),"")</f>
        <v/>
      </c>
      <c r="D201" t="str" cm="1">
        <f t="array" aca="1" ref="D201" ca="1">IF('Raw Data'!D201="",_xlfn.REGEXEXTRACT(CELL("address",'Raw Data'!D201),"\$([A-Z]+)\$[0-9]+"),"")</f>
        <v>$D$201</v>
      </c>
      <c r="E201" t="str" cm="1">
        <f t="array" aca="1" ref="E201" ca="1">IF('Raw Data'!E201="",_xlfn.REGEXEXTRACT(CELL("address",'Raw Data'!E201),"\$([A-Z]+)\$[0-9]+"),"")</f>
        <v>$E$201</v>
      </c>
      <c r="F201" t="str" cm="1">
        <f t="array" aca="1" ref="F201" ca="1">IF('Raw Data'!F201="",_xlfn.REGEXEXTRACT(CELL("address",'Raw Data'!F201),"\$([A-Z]+)\$[0-9]+"),"")</f>
        <v>$F$201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Data'!G201="",_xlfn.REGEXEXTRACT(CELL("address",'Raw Data'!G201),"\$([A-Z]+)\$[0-9]+"),"")</f>
        <v/>
      </c>
      <c r="I201" t="str" cm="1">
        <f t="array" aca="1" ref="I201" ca="1">IF('Raw Data'!H201="",_xlfn.REGEXEXTRACT(CELL("address",'Raw Data'!H201),"\$([A-Z]+)\$[0-9]+"),"")</f>
        <v>$H$201</v>
      </c>
    </row>
    <row r="202" spans="2:9" x14ac:dyDescent="0.25">
      <c r="B202" t="str" cm="1">
        <f t="array" aca="1" ref="B202" ca="1">IF('Raw Data'!B202="",_xlfn.REGEXEXTRACT(CELL("address",'Raw Data'!B202),"\$([A-Z]+)\$[0-9]+"),"")</f>
        <v/>
      </c>
      <c r="C202" t="str" cm="1">
        <f t="array" aca="1" ref="C202" ca="1">IF('Raw Data'!C202="",_xlfn.REGEXEXTRACT(CELL("address",'Raw Data'!C202),"\$([A-Z]+)\$[0-9]+"),"")</f>
        <v/>
      </c>
      <c r="D202" t="str" cm="1">
        <f t="array" aca="1" ref="D202" ca="1">IF('Raw Data'!D202="",_xlfn.REGEXEXTRACT(CELL("address",'Raw Data'!D202),"\$([A-Z]+)\$[0-9]+"),"")</f>
        <v>$D$202</v>
      </c>
      <c r="E202" t="str" cm="1">
        <f t="array" aca="1" ref="E202" ca="1">IF('Raw Data'!E202="",_xlfn.REGEXEXTRACT(CELL("address",'Raw Data'!E202),"\$([A-Z]+)\$[0-9]+"),"")</f>
        <v>$E$202</v>
      </c>
      <c r="F202" t="str" cm="1">
        <f t="array" aca="1" ref="F202" ca="1">IF('Raw Data'!F202="",_xlfn.REGEXEXTRACT(CELL("address",'Raw Data'!F202),"\$([A-Z]+)\$[0-9]+"),"")</f>
        <v>$F$202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Data'!G202="",_xlfn.REGEXEXTRACT(CELL("address",'Raw Data'!G202),"\$([A-Z]+)\$[0-9]+"),"")</f>
        <v/>
      </c>
      <c r="I202" t="str" cm="1">
        <f t="array" aca="1" ref="I202" ca="1">IF('Raw Data'!H202="",_xlfn.REGEXEXTRACT(CELL("address",'Raw Data'!H202),"\$([A-Z]+)\$[0-9]+"),"")</f>
        <v>$H$202</v>
      </c>
    </row>
    <row r="203" spans="2:9" x14ac:dyDescent="0.25">
      <c r="B203" t="str" cm="1">
        <f t="array" aca="1" ref="B203" ca="1">IF('Raw Data'!B203="",_xlfn.REGEXEXTRACT(CELL("address",'Raw Data'!B203),"\$([A-Z]+)\$[0-9]+"),"")</f>
        <v/>
      </c>
      <c r="C203" t="str" cm="1">
        <f t="array" aca="1" ref="C203" ca="1">IF('Raw Data'!C203="",_xlfn.REGEXEXTRACT(CELL("address",'Raw Data'!C203),"\$([A-Z]+)\$[0-9]+"),"")</f>
        <v/>
      </c>
      <c r="D203" t="str" cm="1">
        <f t="array" aca="1" ref="D203" ca="1">IF('Raw Data'!D203="",_xlfn.REGEXEXTRACT(CELL("address",'Raw Data'!D203),"\$([A-Z]+)\$[0-9]+"),"")</f>
        <v>$D$203</v>
      </c>
      <c r="E203" t="str" cm="1">
        <f t="array" aca="1" ref="E203" ca="1">IF('Raw Data'!E203="",_xlfn.REGEXEXTRACT(CELL("address",'Raw Data'!E203),"\$([A-Z]+)\$[0-9]+"),"")</f>
        <v>$E$203</v>
      </c>
      <c r="F203" t="str" cm="1">
        <f t="array" aca="1" ref="F203" ca="1">IF('Raw Data'!F203="",_xlfn.REGEXEXTRACT(CELL("address",'Raw Data'!F203),"\$([A-Z]+)\$[0-9]+"),"")</f>
        <v>$F$203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Data'!G203="",_xlfn.REGEXEXTRACT(CELL("address",'Raw Data'!G203),"\$([A-Z]+)\$[0-9]+"),"")</f>
        <v/>
      </c>
      <c r="I203" t="str" cm="1">
        <f t="array" aca="1" ref="I203" ca="1">IF('Raw Data'!H203="",_xlfn.REGEXEXTRACT(CELL("address",'Raw Data'!H203),"\$([A-Z]+)\$[0-9]+"),"")</f>
        <v>$H$203</v>
      </c>
    </row>
    <row r="204" spans="2:9" x14ac:dyDescent="0.25">
      <c r="B204" t="str" cm="1">
        <f t="array" aca="1" ref="B204" ca="1">IF('Raw Data'!B204="",_xlfn.REGEXEXTRACT(CELL("address",'Raw Data'!B204),"\$([A-Z]+)\$[0-9]+"),"")</f>
        <v/>
      </c>
      <c r="C204" t="str" cm="1">
        <f t="array" aca="1" ref="C204" ca="1">IF('Raw Data'!C204="",_xlfn.REGEXEXTRACT(CELL("address",'Raw Data'!C204),"\$([A-Z]+)\$[0-9]+"),"")</f>
        <v/>
      </c>
      <c r="D204" t="str" cm="1">
        <f t="array" aca="1" ref="D204" ca="1">IF('Raw Data'!D204="",_xlfn.REGEXEXTRACT(CELL("address",'Raw Data'!D204),"\$([A-Z]+)\$[0-9]+"),"")</f>
        <v>$D$204</v>
      </c>
      <c r="E204" t="str" cm="1">
        <f t="array" aca="1" ref="E204" ca="1">IF('Raw Data'!E204="",_xlfn.REGEXEXTRACT(CELL("address",'Raw Data'!E204),"\$([A-Z]+)\$[0-9]+"),"")</f>
        <v>$E$204</v>
      </c>
      <c r="F204" t="str" cm="1">
        <f t="array" aca="1" ref="F204" ca="1">IF('Raw Data'!F204="",_xlfn.REGEXEXTRACT(CELL("address",'Raw Data'!F204),"\$([A-Z]+)\$[0-9]+"),"")</f>
        <v>$F$204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Data'!G204="",_xlfn.REGEXEXTRACT(CELL("address",'Raw Data'!G204),"\$([A-Z]+)\$[0-9]+"),"")</f>
        <v/>
      </c>
      <c r="I204" t="str" cm="1">
        <f t="array" aca="1" ref="I204" ca="1">IF('Raw Data'!H204="",_xlfn.REGEXEXTRACT(CELL("address",'Raw Data'!H204),"\$([A-Z]+)\$[0-9]+"),"")</f>
        <v>$H$204</v>
      </c>
    </row>
    <row r="205" spans="2:9" x14ac:dyDescent="0.25">
      <c r="B205" t="str" cm="1">
        <f t="array" aca="1" ref="B205" ca="1">IF('Raw Data'!B205="",_xlfn.REGEXEXTRACT(CELL("address",'Raw Data'!B205),"\$([A-Z]+)\$[0-9]+"),"")</f>
        <v/>
      </c>
      <c r="C205" t="str" cm="1">
        <f t="array" aca="1" ref="C205" ca="1">IF('Raw Data'!C205="",_xlfn.REGEXEXTRACT(CELL("address",'Raw Data'!C205),"\$([A-Z]+)\$[0-9]+"),"")</f>
        <v/>
      </c>
      <c r="D205" t="str" cm="1">
        <f t="array" aca="1" ref="D205" ca="1">IF('Raw Data'!D205="",_xlfn.REGEXEXTRACT(CELL("address",'Raw Data'!D205),"\$([A-Z]+)\$[0-9]+"),"")</f>
        <v>$D$205</v>
      </c>
      <c r="E205" t="str" cm="1">
        <f t="array" aca="1" ref="E205" ca="1">IF('Raw Data'!E205="",_xlfn.REGEXEXTRACT(CELL("address",'Raw Data'!E205),"\$([A-Z]+)\$[0-9]+"),"")</f>
        <v>$E$205</v>
      </c>
      <c r="F205" t="str" cm="1">
        <f t="array" aca="1" ref="F205" ca="1">IF('Raw Data'!F205="",_xlfn.REGEXEXTRACT(CELL("address",'Raw Data'!F205),"\$([A-Z]+)\$[0-9]+"),"")</f>
        <v>$F$205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Data'!G205="",_xlfn.REGEXEXTRACT(CELL("address",'Raw Data'!G205),"\$([A-Z]+)\$[0-9]+"),"")</f>
        <v/>
      </c>
      <c r="I205" t="str" cm="1">
        <f t="array" aca="1" ref="I205" ca="1">IF('Raw Data'!H205="",_xlfn.REGEXEXTRACT(CELL("address",'Raw Data'!H205),"\$([A-Z]+)\$[0-9]+"),"")</f>
        <v>$H$205</v>
      </c>
    </row>
    <row r="206" spans="2:9" x14ac:dyDescent="0.25">
      <c r="B206" t="str" cm="1">
        <f t="array" aca="1" ref="B206" ca="1">IF('Raw Data'!B206="",_xlfn.REGEXEXTRACT(CELL("address",'Raw Data'!B206),"\$([A-Z]+)\$[0-9]+"),"")</f>
        <v/>
      </c>
      <c r="C206" t="str" cm="1">
        <f t="array" aca="1" ref="C206" ca="1">IF('Raw Data'!C206="",_xlfn.REGEXEXTRACT(CELL("address",'Raw Data'!C206),"\$([A-Z]+)\$[0-9]+"),"")</f>
        <v/>
      </c>
      <c r="D206" t="str" cm="1">
        <f t="array" aca="1" ref="D206" ca="1">IF('Raw Data'!D206="",_xlfn.REGEXEXTRACT(CELL("address",'Raw Data'!D206),"\$([A-Z]+)\$[0-9]+"),"")</f>
        <v>$D$206</v>
      </c>
      <c r="E206" t="str" cm="1">
        <f t="array" aca="1" ref="E206" ca="1">IF('Raw Data'!E206="",_xlfn.REGEXEXTRACT(CELL("address",'Raw Data'!E206),"\$([A-Z]+)\$[0-9]+"),"")</f>
        <v>$E$206</v>
      </c>
      <c r="F206" t="str" cm="1">
        <f t="array" aca="1" ref="F206" ca="1">IF('Raw Data'!F206="",_xlfn.REGEXEXTRACT(CELL("address",'Raw Data'!F206),"\$([A-Z]+)\$[0-9]+"),"")</f>
        <v>$F$206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Data'!G206="",_xlfn.REGEXEXTRACT(CELL("address",'Raw Data'!G206),"\$([A-Z]+)\$[0-9]+"),"")</f>
        <v/>
      </c>
      <c r="I206" t="str" cm="1">
        <f t="array" aca="1" ref="I206" ca="1">IF('Raw Data'!H206="",_xlfn.REGEXEXTRACT(CELL("address",'Raw Data'!H206),"\$([A-Z]+)\$[0-9]+"),"")</f>
        <v>$H$206</v>
      </c>
    </row>
    <row r="207" spans="2:9" x14ac:dyDescent="0.25">
      <c r="B207" t="str" cm="1">
        <f t="array" aca="1" ref="B207" ca="1">IF('Raw Data'!B207="",_xlfn.REGEXEXTRACT(CELL("address",'Raw Data'!B207),"\$([A-Z]+)\$[0-9]+"),"")</f>
        <v/>
      </c>
      <c r="C207" t="str" cm="1">
        <f t="array" aca="1" ref="C207" ca="1">IF('Raw Data'!C207="",_xlfn.REGEXEXTRACT(CELL("address",'Raw Data'!C207),"\$([A-Z]+)\$[0-9]+"),"")</f>
        <v/>
      </c>
      <c r="D207" t="str" cm="1">
        <f t="array" aca="1" ref="D207" ca="1">IF('Raw Data'!D207="",_xlfn.REGEXEXTRACT(CELL("address",'Raw Data'!D207),"\$([A-Z]+)\$[0-9]+"),"")</f>
        <v>$D$207</v>
      </c>
      <c r="E207" t="str" cm="1">
        <f t="array" aca="1" ref="E207" ca="1">IF('Raw Data'!E207="",_xlfn.REGEXEXTRACT(CELL("address",'Raw Data'!E207),"\$([A-Z]+)\$[0-9]+"),"")</f>
        <v>$E$207</v>
      </c>
      <c r="F207" t="str" cm="1">
        <f t="array" aca="1" ref="F207" ca="1">IF('Raw Data'!F207="",_xlfn.REGEXEXTRACT(CELL("address",'Raw Data'!F207),"\$([A-Z]+)\$[0-9]+"),"")</f>
        <v>$F$207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Data'!G207="",_xlfn.REGEXEXTRACT(CELL("address",'Raw Data'!G207),"\$([A-Z]+)\$[0-9]+"),"")</f>
        <v/>
      </c>
      <c r="I207" t="str" cm="1">
        <f t="array" aca="1" ref="I207" ca="1">IF('Raw Data'!H207="",_xlfn.REGEXEXTRACT(CELL("address",'Raw Data'!H207),"\$([A-Z]+)\$[0-9]+"),"")</f>
        <v>$H$207</v>
      </c>
    </row>
    <row r="208" spans="2:9" x14ac:dyDescent="0.25">
      <c r="B208" t="str" cm="1">
        <f t="array" aca="1" ref="B208" ca="1">IF('Raw Data'!B208="",_xlfn.REGEXEXTRACT(CELL("address",'Raw Data'!B208),"\$([A-Z]+)\$[0-9]+"),"")</f>
        <v/>
      </c>
      <c r="C208" t="str" cm="1">
        <f t="array" aca="1" ref="C208" ca="1">IF('Raw Data'!C208="",_xlfn.REGEXEXTRACT(CELL("address",'Raw Data'!C208),"\$([A-Z]+)\$[0-9]+"),"")</f>
        <v/>
      </c>
      <c r="D208" t="str" cm="1">
        <f t="array" aca="1" ref="D208" ca="1">IF('Raw Data'!D208="",_xlfn.REGEXEXTRACT(CELL("address",'Raw Data'!D208),"\$([A-Z]+)\$[0-9]+"),"")</f>
        <v>$D$208</v>
      </c>
      <c r="E208" t="str" cm="1">
        <f t="array" aca="1" ref="E208" ca="1">IF('Raw Data'!E208="",_xlfn.REGEXEXTRACT(CELL("address",'Raw Data'!E208),"\$([A-Z]+)\$[0-9]+"),"")</f>
        <v>$E$208</v>
      </c>
      <c r="F208" t="str" cm="1">
        <f t="array" aca="1" ref="F208" ca="1">IF('Raw Data'!F208="",_xlfn.REGEXEXTRACT(CELL("address",'Raw Data'!F208),"\$([A-Z]+)\$[0-9]+"),"")</f>
        <v>$F$208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Data'!G208="",_xlfn.REGEXEXTRACT(CELL("address",'Raw Data'!G208),"\$([A-Z]+)\$[0-9]+"),"")</f>
        <v/>
      </c>
      <c r="I208" t="str" cm="1">
        <f t="array" aca="1" ref="I208" ca="1">IF('Raw Data'!H208="",_xlfn.REGEXEXTRACT(CELL("address",'Raw Data'!H208),"\$([A-Z]+)\$[0-9]+"),"")</f>
        <v>$H$208</v>
      </c>
    </row>
    <row r="209" spans="2:9" x14ac:dyDescent="0.25">
      <c r="B209" t="str" cm="1">
        <f t="array" aca="1" ref="B209" ca="1">IF('Raw Data'!B209="",_xlfn.REGEXEXTRACT(CELL("address",'Raw Data'!B209),"\$([A-Z]+)\$[0-9]+"),"")</f>
        <v/>
      </c>
      <c r="C209" t="str" cm="1">
        <f t="array" aca="1" ref="C209" ca="1">IF('Raw Data'!C209="",_xlfn.REGEXEXTRACT(CELL("address",'Raw Data'!C209),"\$([A-Z]+)\$[0-9]+"),"")</f>
        <v/>
      </c>
      <c r="D209" t="str" cm="1">
        <f t="array" aca="1" ref="D209" ca="1">IF('Raw Data'!D209="",_xlfn.REGEXEXTRACT(CELL("address",'Raw Data'!D209),"\$([A-Z]+)\$[0-9]+"),"")</f>
        <v>$D$209</v>
      </c>
      <c r="E209" t="str" cm="1">
        <f t="array" aca="1" ref="E209" ca="1">IF('Raw Data'!E209="",_xlfn.REGEXEXTRACT(CELL("address",'Raw Data'!E209),"\$([A-Z]+)\$[0-9]+"),"")</f>
        <v>$E$209</v>
      </c>
      <c r="F209" t="str" cm="1">
        <f t="array" aca="1" ref="F209" ca="1">IF('Raw Data'!F209="",_xlfn.REGEXEXTRACT(CELL("address",'Raw Data'!F209),"\$([A-Z]+)\$[0-9]+"),"")</f>
        <v>$F$209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Data'!G209="",_xlfn.REGEXEXTRACT(CELL("address",'Raw Data'!G209),"\$([A-Z]+)\$[0-9]+"),"")</f>
        <v/>
      </c>
      <c r="I209" t="str" cm="1">
        <f t="array" aca="1" ref="I209" ca="1">IF('Raw Data'!H209="",_xlfn.REGEXEXTRACT(CELL("address",'Raw Data'!H209),"\$([A-Z]+)\$[0-9]+"),"")</f>
        <v>$H$209</v>
      </c>
    </row>
    <row r="210" spans="2:9" x14ac:dyDescent="0.25">
      <c r="B210" t="str" cm="1">
        <f t="array" aca="1" ref="B210" ca="1">IF('Raw Data'!B210="",_xlfn.REGEXEXTRACT(CELL("address",'Raw Data'!B210),"\$([A-Z]+)\$[0-9]+"),"")</f>
        <v/>
      </c>
      <c r="C210" t="str" cm="1">
        <f t="array" aca="1" ref="C210" ca="1">IF('Raw Data'!C210="",_xlfn.REGEXEXTRACT(CELL("address",'Raw Data'!C210),"\$([A-Z]+)\$[0-9]+"),"")</f>
        <v/>
      </c>
      <c r="D210" t="str" cm="1">
        <f t="array" aca="1" ref="D210" ca="1">IF('Raw Data'!D210="",_xlfn.REGEXEXTRACT(CELL("address",'Raw Data'!D210),"\$([A-Z]+)\$[0-9]+"),"")</f>
        <v>$D$210</v>
      </c>
      <c r="E210" t="str" cm="1">
        <f t="array" aca="1" ref="E210" ca="1">IF('Raw Data'!E210="",_xlfn.REGEXEXTRACT(CELL("address",'Raw Data'!E210),"\$([A-Z]+)\$[0-9]+"),"")</f>
        <v>$E$210</v>
      </c>
      <c r="F210" t="str" cm="1">
        <f t="array" aca="1" ref="F210" ca="1">IF('Raw Data'!F210="",_xlfn.REGEXEXTRACT(CELL("address",'Raw Data'!F210),"\$([A-Z]+)\$[0-9]+"),"")</f>
        <v>$F$210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Data'!G210="",_xlfn.REGEXEXTRACT(CELL("address",'Raw Data'!G210),"\$([A-Z]+)\$[0-9]+"),"")</f>
        <v/>
      </c>
      <c r="I210" t="str" cm="1">
        <f t="array" aca="1" ref="I210" ca="1">IF('Raw Data'!H210="",_xlfn.REGEXEXTRACT(CELL("address",'Raw Data'!H210),"\$([A-Z]+)\$[0-9]+"),"")</f>
        <v>$H$210</v>
      </c>
    </row>
    <row r="211" spans="2:9" x14ac:dyDescent="0.25">
      <c r="B211" t="str" cm="1">
        <f t="array" aca="1" ref="B211" ca="1">IF('Raw Data'!B211="",_xlfn.REGEXEXTRACT(CELL("address",'Raw Data'!B211),"\$([A-Z]+)\$[0-9]+"),"")</f>
        <v/>
      </c>
      <c r="C211" t="str" cm="1">
        <f t="array" aca="1" ref="C211" ca="1">IF('Raw Data'!C211="",_xlfn.REGEXEXTRACT(CELL("address",'Raw Data'!C211),"\$([A-Z]+)\$[0-9]+"),"")</f>
        <v/>
      </c>
      <c r="D211" t="str" cm="1">
        <f t="array" aca="1" ref="D211" ca="1">IF('Raw Data'!D211="",_xlfn.REGEXEXTRACT(CELL("address",'Raw Data'!D211),"\$([A-Z]+)\$[0-9]+"),"")</f>
        <v>$D$211</v>
      </c>
      <c r="E211" t="str" cm="1">
        <f t="array" aca="1" ref="E211" ca="1">IF('Raw Data'!E211="",_xlfn.REGEXEXTRACT(CELL("address",'Raw Data'!E211),"\$([A-Z]+)\$[0-9]+"),"")</f>
        <v>$E$211</v>
      </c>
      <c r="F211" t="str" cm="1">
        <f t="array" aca="1" ref="F211" ca="1">IF('Raw Data'!F211="",_xlfn.REGEXEXTRACT(CELL("address",'Raw Data'!F211),"\$([A-Z]+)\$[0-9]+"),"")</f>
        <v>$F$211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Data'!G211="",_xlfn.REGEXEXTRACT(CELL("address",'Raw Data'!G211),"\$([A-Z]+)\$[0-9]+"),"")</f>
        <v/>
      </c>
      <c r="I211" t="str" cm="1">
        <f t="array" aca="1" ref="I211" ca="1">IF('Raw Data'!H211="",_xlfn.REGEXEXTRACT(CELL("address",'Raw Data'!H211),"\$([A-Z]+)\$[0-9]+"),"")</f>
        <v>$H$211</v>
      </c>
    </row>
    <row r="212" spans="2:9" x14ac:dyDescent="0.25">
      <c r="B212" t="str" cm="1">
        <f t="array" aca="1" ref="B212" ca="1">IF('Raw Data'!B212="",_xlfn.REGEXEXTRACT(CELL("address",'Raw Data'!B212),"\$([A-Z]+)\$[0-9]+"),"")</f>
        <v/>
      </c>
      <c r="C212" t="str" cm="1">
        <f t="array" aca="1" ref="C212" ca="1">IF('Raw Data'!C212="",_xlfn.REGEXEXTRACT(CELL("address",'Raw Data'!C212),"\$([A-Z]+)\$[0-9]+"),"")</f>
        <v/>
      </c>
      <c r="D212" t="str" cm="1">
        <f t="array" aca="1" ref="D212" ca="1">IF('Raw Data'!D212="",_xlfn.REGEXEXTRACT(CELL("address",'Raw Data'!D212),"\$([A-Z]+)\$[0-9]+"),"")</f>
        <v>$D$212</v>
      </c>
      <c r="E212" t="str" cm="1">
        <f t="array" aca="1" ref="E212" ca="1">IF('Raw Data'!E212="",_xlfn.REGEXEXTRACT(CELL("address",'Raw Data'!E212),"\$([A-Z]+)\$[0-9]+"),"")</f>
        <v>$E$212</v>
      </c>
      <c r="F212" t="str" cm="1">
        <f t="array" aca="1" ref="F212" ca="1">IF('Raw Data'!F212="",_xlfn.REGEXEXTRACT(CELL("address",'Raw Data'!F212),"\$([A-Z]+)\$[0-9]+"),"")</f>
        <v>$F$212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Data'!G212="",_xlfn.REGEXEXTRACT(CELL("address",'Raw Data'!G212),"\$([A-Z]+)\$[0-9]+"),"")</f>
        <v/>
      </c>
      <c r="I212" t="str" cm="1">
        <f t="array" aca="1" ref="I212" ca="1">IF('Raw Data'!H212="",_xlfn.REGEXEXTRACT(CELL("address",'Raw Data'!H212),"\$([A-Z]+)\$[0-9]+"),"")</f>
        <v>$H$212</v>
      </c>
    </row>
    <row r="213" spans="2:9" x14ac:dyDescent="0.25">
      <c r="B213" t="str" cm="1">
        <f t="array" aca="1" ref="B213" ca="1">IF('Raw Data'!B213="",_xlfn.REGEXEXTRACT(CELL("address",'Raw Data'!B213),"\$([A-Z]+)\$[0-9]+"),"")</f>
        <v/>
      </c>
      <c r="C213" t="str" cm="1">
        <f t="array" aca="1" ref="C213" ca="1">IF('Raw Data'!C213="",_xlfn.REGEXEXTRACT(CELL("address",'Raw Data'!C213),"\$([A-Z]+)\$[0-9]+"),"")</f>
        <v/>
      </c>
      <c r="D213" t="str" cm="1">
        <f t="array" aca="1" ref="D213" ca="1">IF('Raw Data'!D213="",_xlfn.REGEXEXTRACT(CELL("address",'Raw Data'!D213),"\$([A-Z]+)\$[0-9]+"),"")</f>
        <v>$D$213</v>
      </c>
      <c r="E213" t="str" cm="1">
        <f t="array" aca="1" ref="E213" ca="1">IF('Raw Data'!E213="",_xlfn.REGEXEXTRACT(CELL("address",'Raw Data'!E213),"\$([A-Z]+)\$[0-9]+"),"")</f>
        <v>$E$213</v>
      </c>
      <c r="F213" t="str" cm="1">
        <f t="array" aca="1" ref="F213" ca="1">IF('Raw Data'!F213="",_xlfn.REGEXEXTRACT(CELL("address",'Raw Data'!F213),"\$([A-Z]+)\$[0-9]+"),"")</f>
        <v>$F$213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Data'!G213="",_xlfn.REGEXEXTRACT(CELL("address",'Raw Data'!G213),"\$([A-Z]+)\$[0-9]+"),"")</f>
        <v/>
      </c>
      <c r="I213" t="str" cm="1">
        <f t="array" aca="1" ref="I213" ca="1">IF('Raw Data'!H213="",_xlfn.REGEXEXTRACT(CELL("address",'Raw Data'!H213),"\$([A-Z]+)\$[0-9]+"),"")</f>
        <v>$H$213</v>
      </c>
    </row>
    <row r="214" spans="2:9" x14ac:dyDescent="0.25">
      <c r="B214" t="str" cm="1">
        <f t="array" aca="1" ref="B214" ca="1">IF('Raw Data'!B214="",_xlfn.REGEXEXTRACT(CELL("address",'Raw Data'!B214),"\$([A-Z]+)\$[0-9]+"),"")</f>
        <v/>
      </c>
      <c r="C214" t="str" cm="1">
        <f t="array" aca="1" ref="C214" ca="1">IF('Raw Data'!C214="",_xlfn.REGEXEXTRACT(CELL("address",'Raw Data'!C214),"\$([A-Z]+)\$[0-9]+"),"")</f>
        <v/>
      </c>
      <c r="D214" t="str" cm="1">
        <f t="array" aca="1" ref="D214" ca="1">IF('Raw Data'!D214="",_xlfn.REGEXEXTRACT(CELL("address",'Raw Data'!D214),"\$([A-Z]+)\$[0-9]+"),"")</f>
        <v>$D$214</v>
      </c>
      <c r="E214" t="str" cm="1">
        <f t="array" aca="1" ref="E214" ca="1">IF('Raw Data'!E214="",_xlfn.REGEXEXTRACT(CELL("address",'Raw Data'!E214),"\$([A-Z]+)\$[0-9]+"),"")</f>
        <v>$E$214</v>
      </c>
      <c r="F214" t="str" cm="1">
        <f t="array" aca="1" ref="F214" ca="1">IF('Raw Data'!F214="",_xlfn.REGEXEXTRACT(CELL("address",'Raw Data'!F214),"\$([A-Z]+)\$[0-9]+"),"")</f>
        <v>$F$214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Data'!G214="",_xlfn.REGEXEXTRACT(CELL("address",'Raw Data'!G214),"\$([A-Z]+)\$[0-9]+"),"")</f>
        <v/>
      </c>
      <c r="I214" t="str" cm="1">
        <f t="array" aca="1" ref="I214" ca="1">IF('Raw Data'!H214="",_xlfn.REGEXEXTRACT(CELL("address",'Raw Data'!H214),"\$([A-Z]+)\$[0-9]+"),"")</f>
        <v>$H$214</v>
      </c>
    </row>
    <row r="215" spans="2:9" x14ac:dyDescent="0.25">
      <c r="B215" t="str" cm="1">
        <f t="array" aca="1" ref="B215" ca="1">IF('Raw Data'!B215="",_xlfn.REGEXEXTRACT(CELL("address",'Raw Data'!B215),"\$([A-Z]+)\$[0-9]+"),"")</f>
        <v/>
      </c>
      <c r="C215" t="str" cm="1">
        <f t="array" aca="1" ref="C215" ca="1">IF('Raw Data'!C215="",_xlfn.REGEXEXTRACT(CELL("address",'Raw Data'!C215),"\$([A-Z]+)\$[0-9]+"),"")</f>
        <v/>
      </c>
      <c r="D215" t="str" cm="1">
        <f t="array" aca="1" ref="D215" ca="1">IF('Raw Data'!D215="",_xlfn.REGEXEXTRACT(CELL("address",'Raw Data'!D215),"\$([A-Z]+)\$[0-9]+"),"")</f>
        <v>$D$215</v>
      </c>
      <c r="E215" t="str" cm="1">
        <f t="array" aca="1" ref="E215" ca="1">IF('Raw Data'!E215="",_xlfn.REGEXEXTRACT(CELL("address",'Raw Data'!E215),"\$([A-Z]+)\$[0-9]+"),"")</f>
        <v>$E$215</v>
      </c>
      <c r="F215" t="str" cm="1">
        <f t="array" aca="1" ref="F215" ca="1">IF('Raw Data'!F215="",_xlfn.REGEXEXTRACT(CELL("address",'Raw Data'!F215),"\$([A-Z]+)\$[0-9]+"),"")</f>
        <v>$F$215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Data'!G215="",_xlfn.REGEXEXTRACT(CELL("address",'Raw Data'!G215),"\$([A-Z]+)\$[0-9]+"),"")</f>
        <v/>
      </c>
      <c r="I215" t="str" cm="1">
        <f t="array" aca="1" ref="I215" ca="1">IF('Raw Data'!H215="",_xlfn.REGEXEXTRACT(CELL("address",'Raw Data'!H215),"\$([A-Z]+)\$[0-9]+"),"")</f>
        <v>$H$215</v>
      </c>
    </row>
    <row r="216" spans="2:9" x14ac:dyDescent="0.25">
      <c r="B216" t="str" cm="1">
        <f t="array" aca="1" ref="B216" ca="1">IF('Raw Data'!B216="",_xlfn.REGEXEXTRACT(CELL("address",'Raw Data'!B216),"\$([A-Z]+)\$[0-9]+"),"")</f>
        <v/>
      </c>
      <c r="C216" t="str" cm="1">
        <f t="array" aca="1" ref="C216" ca="1">IF('Raw Data'!C216="",_xlfn.REGEXEXTRACT(CELL("address",'Raw Data'!C216),"\$([A-Z]+)\$[0-9]+"),"")</f>
        <v/>
      </c>
      <c r="D216" t="str" cm="1">
        <f t="array" aca="1" ref="D216" ca="1">IF('Raw Data'!D216="",_xlfn.REGEXEXTRACT(CELL("address",'Raw Data'!D216),"\$([A-Z]+)\$[0-9]+"),"")</f>
        <v>$D$216</v>
      </c>
      <c r="E216" t="str" cm="1">
        <f t="array" aca="1" ref="E216" ca="1">IF('Raw Data'!E216="",_xlfn.REGEXEXTRACT(CELL("address",'Raw Data'!E216),"\$([A-Z]+)\$[0-9]+"),"")</f>
        <v>$E$216</v>
      </c>
      <c r="F216" t="str" cm="1">
        <f t="array" aca="1" ref="F216" ca="1">IF('Raw Data'!F216="",_xlfn.REGEXEXTRACT(CELL("address",'Raw Data'!F216),"\$([A-Z]+)\$[0-9]+"),"")</f>
        <v>$F$216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Data'!G216="",_xlfn.REGEXEXTRACT(CELL("address",'Raw Data'!G216),"\$([A-Z]+)\$[0-9]+"),"")</f>
        <v/>
      </c>
      <c r="I216" t="str" cm="1">
        <f t="array" aca="1" ref="I216" ca="1">IF('Raw Data'!H216="",_xlfn.REGEXEXTRACT(CELL("address",'Raw Data'!H216),"\$([A-Z]+)\$[0-9]+"),"")</f>
        <v>$H$216</v>
      </c>
    </row>
    <row r="217" spans="2:9" x14ac:dyDescent="0.25">
      <c r="B217" t="str" cm="1">
        <f t="array" aca="1" ref="B217" ca="1">IF('Raw Data'!B217="",_xlfn.REGEXEXTRACT(CELL("address",'Raw Data'!B217),"\$([A-Z]+)\$[0-9]+"),"")</f>
        <v/>
      </c>
      <c r="C217" t="str" cm="1">
        <f t="array" aca="1" ref="C217" ca="1">IF('Raw Data'!C217="",_xlfn.REGEXEXTRACT(CELL("address",'Raw Data'!C217),"\$([A-Z]+)\$[0-9]+"),"")</f>
        <v/>
      </c>
      <c r="D217" t="str" cm="1">
        <f t="array" aca="1" ref="D217" ca="1">IF('Raw Data'!D217="",_xlfn.REGEXEXTRACT(CELL("address",'Raw Data'!D217),"\$([A-Z]+)\$[0-9]+"),"")</f>
        <v>$D$217</v>
      </c>
      <c r="E217" t="str" cm="1">
        <f t="array" aca="1" ref="E217" ca="1">IF('Raw Data'!E217="",_xlfn.REGEXEXTRACT(CELL("address",'Raw Data'!E217),"\$([A-Z]+)\$[0-9]+"),"")</f>
        <v>$E$217</v>
      </c>
      <c r="F217" t="str" cm="1">
        <f t="array" aca="1" ref="F217" ca="1">IF('Raw Data'!F217="",_xlfn.REGEXEXTRACT(CELL("address",'Raw Data'!F217),"\$([A-Z]+)\$[0-9]+"),"")</f>
        <v>$F$217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Data'!G217="",_xlfn.REGEXEXTRACT(CELL("address",'Raw Data'!G217),"\$([A-Z]+)\$[0-9]+"),"")</f>
        <v/>
      </c>
      <c r="I217" t="str" cm="1">
        <f t="array" aca="1" ref="I217" ca="1">IF('Raw Data'!H217="",_xlfn.REGEXEXTRACT(CELL("address",'Raw Data'!H217),"\$([A-Z]+)\$[0-9]+"),"")</f>
        <v>$H$217</v>
      </c>
    </row>
    <row r="218" spans="2:9" x14ac:dyDescent="0.25">
      <c r="B218" t="str" cm="1">
        <f t="array" aca="1" ref="B218" ca="1">IF('Raw Data'!B218="",_xlfn.REGEXEXTRACT(CELL("address",'Raw Data'!B218),"\$([A-Z]+)\$[0-9]+"),"")</f>
        <v/>
      </c>
      <c r="C218" t="str" cm="1">
        <f t="array" aca="1" ref="C218" ca="1">IF('Raw Data'!C218="",_xlfn.REGEXEXTRACT(CELL("address",'Raw Data'!C218),"\$([A-Z]+)\$[0-9]+"),"")</f>
        <v/>
      </c>
      <c r="D218" t="str" cm="1">
        <f t="array" aca="1" ref="D218" ca="1">IF('Raw Data'!D218="",_xlfn.REGEXEXTRACT(CELL("address",'Raw Data'!D218),"\$([A-Z]+)\$[0-9]+"),"")</f>
        <v>$D$218</v>
      </c>
      <c r="E218" t="str" cm="1">
        <f t="array" aca="1" ref="E218" ca="1">IF('Raw Data'!E218="",_xlfn.REGEXEXTRACT(CELL("address",'Raw Data'!E218),"\$([A-Z]+)\$[0-9]+"),"")</f>
        <v>$E$218</v>
      </c>
      <c r="F218" t="str" cm="1">
        <f t="array" aca="1" ref="F218" ca="1">IF('Raw Data'!F218="",_xlfn.REGEXEXTRACT(CELL("address",'Raw Data'!F218),"\$([A-Z]+)\$[0-9]+"),"")</f>
        <v>$F$218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Data'!G218="",_xlfn.REGEXEXTRACT(CELL("address",'Raw Data'!G218),"\$([A-Z]+)\$[0-9]+"),"")</f>
        <v/>
      </c>
      <c r="I218" t="str" cm="1">
        <f t="array" aca="1" ref="I218" ca="1">IF('Raw Data'!H218="",_xlfn.REGEXEXTRACT(CELL("address",'Raw Data'!H218),"\$([A-Z]+)\$[0-9]+"),"")</f>
        <v>$H$218</v>
      </c>
    </row>
    <row r="219" spans="2:9" x14ac:dyDescent="0.25">
      <c r="B219" t="str" cm="1">
        <f t="array" aca="1" ref="B219" ca="1">IF('Raw Data'!B219="",_xlfn.REGEXEXTRACT(CELL("address",'Raw Data'!B219),"\$([A-Z]+)\$[0-9]+"),"")</f>
        <v/>
      </c>
      <c r="C219" t="str" cm="1">
        <f t="array" aca="1" ref="C219" ca="1">IF('Raw Data'!C219="",_xlfn.REGEXEXTRACT(CELL("address",'Raw Data'!C219),"\$([A-Z]+)\$[0-9]+"),"")</f>
        <v/>
      </c>
      <c r="D219" t="str" cm="1">
        <f t="array" aca="1" ref="D219" ca="1">IF('Raw Data'!D219="",_xlfn.REGEXEXTRACT(CELL("address",'Raw Data'!D219),"\$([A-Z]+)\$[0-9]+"),"")</f>
        <v>$D$219</v>
      </c>
      <c r="E219" t="str" cm="1">
        <f t="array" aca="1" ref="E219" ca="1">IF('Raw Data'!E219="",_xlfn.REGEXEXTRACT(CELL("address",'Raw Data'!E219),"\$([A-Z]+)\$[0-9]+"),"")</f>
        <v>$E$219</v>
      </c>
      <c r="F219" t="str" cm="1">
        <f t="array" aca="1" ref="F219" ca="1">IF('Raw Data'!F219="",_xlfn.REGEXEXTRACT(CELL("address",'Raw Data'!F219),"\$([A-Z]+)\$[0-9]+"),"")</f>
        <v>$F$219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Data'!G219="",_xlfn.REGEXEXTRACT(CELL("address",'Raw Data'!G219),"\$([A-Z]+)\$[0-9]+"),"")</f>
        <v/>
      </c>
      <c r="I219" t="str" cm="1">
        <f t="array" aca="1" ref="I219" ca="1">IF('Raw Data'!H219="",_xlfn.REGEXEXTRACT(CELL("address",'Raw Data'!H219),"\$([A-Z]+)\$[0-9]+"),"")</f>
        <v>$H$219</v>
      </c>
    </row>
    <row r="220" spans="2:9" x14ac:dyDescent="0.25">
      <c r="B220" t="str" cm="1">
        <f t="array" aca="1" ref="B220" ca="1">IF('Raw Data'!B220="",_xlfn.REGEXEXTRACT(CELL("address",'Raw Data'!B220),"\$([A-Z]+)\$[0-9]+"),"")</f>
        <v/>
      </c>
      <c r="C220" t="str" cm="1">
        <f t="array" aca="1" ref="C220" ca="1">IF('Raw Data'!C220="",_xlfn.REGEXEXTRACT(CELL("address",'Raw Data'!C220),"\$([A-Z]+)\$[0-9]+"),"")</f>
        <v/>
      </c>
      <c r="D220" t="str" cm="1">
        <f t="array" aca="1" ref="D220" ca="1">IF('Raw Data'!D220="",_xlfn.REGEXEXTRACT(CELL("address",'Raw Data'!D220),"\$([A-Z]+)\$[0-9]+"),"")</f>
        <v>$D$220</v>
      </c>
      <c r="E220" t="str" cm="1">
        <f t="array" aca="1" ref="E220" ca="1">IF('Raw Data'!E220="",_xlfn.REGEXEXTRACT(CELL("address",'Raw Data'!E220),"\$([A-Z]+)\$[0-9]+"),"")</f>
        <v>$E$220</v>
      </c>
      <c r="F220" t="str" cm="1">
        <f t="array" aca="1" ref="F220" ca="1">IF('Raw Data'!F220="",_xlfn.REGEXEXTRACT(CELL("address",'Raw Data'!F220),"\$([A-Z]+)\$[0-9]+"),"")</f>
        <v>$F$220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Data'!G220="",_xlfn.REGEXEXTRACT(CELL("address",'Raw Data'!G220),"\$([A-Z]+)\$[0-9]+"),"")</f>
        <v/>
      </c>
      <c r="I220" t="str" cm="1">
        <f t="array" aca="1" ref="I220" ca="1">IF('Raw Data'!H220="",_xlfn.REGEXEXTRACT(CELL("address",'Raw Data'!H220),"\$([A-Z]+)\$[0-9]+"),"")</f>
        <v>$H$220</v>
      </c>
    </row>
    <row r="221" spans="2:9" x14ac:dyDescent="0.25">
      <c r="B221" t="str" cm="1">
        <f t="array" aca="1" ref="B221" ca="1">IF('Raw Data'!B221="",_xlfn.REGEXEXTRACT(CELL("address",'Raw Data'!B221),"\$([A-Z]+)\$[0-9]+"),"")</f>
        <v/>
      </c>
      <c r="C221" t="str" cm="1">
        <f t="array" aca="1" ref="C221" ca="1">IF('Raw Data'!C221="",_xlfn.REGEXEXTRACT(CELL("address",'Raw Data'!C221),"\$([A-Z]+)\$[0-9]+"),"")</f>
        <v/>
      </c>
      <c r="D221" t="str" cm="1">
        <f t="array" aca="1" ref="D221" ca="1">IF('Raw Data'!D221="",_xlfn.REGEXEXTRACT(CELL("address",'Raw Data'!D221),"\$([A-Z]+)\$[0-9]+"),"")</f>
        <v>$D$221</v>
      </c>
      <c r="E221" t="str" cm="1">
        <f t="array" aca="1" ref="E221" ca="1">IF('Raw Data'!E221="",_xlfn.REGEXEXTRACT(CELL("address",'Raw Data'!E221),"\$([A-Z]+)\$[0-9]+"),"")</f>
        <v>$E$221</v>
      </c>
      <c r="F221" t="str" cm="1">
        <f t="array" aca="1" ref="F221" ca="1">IF('Raw Data'!F221="",_xlfn.REGEXEXTRACT(CELL("address",'Raw Data'!F221),"\$([A-Z]+)\$[0-9]+"),"")</f>
        <v>$F$221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Data'!G221="",_xlfn.REGEXEXTRACT(CELL("address",'Raw Data'!G221),"\$([A-Z]+)\$[0-9]+"),"")</f>
        <v/>
      </c>
      <c r="I221" t="str" cm="1">
        <f t="array" aca="1" ref="I221" ca="1">IF('Raw Data'!H221="",_xlfn.REGEXEXTRACT(CELL("address",'Raw Data'!H221),"\$([A-Z]+)\$[0-9]+"),"")</f>
        <v>$H$221</v>
      </c>
    </row>
    <row r="222" spans="2:9" x14ac:dyDescent="0.25">
      <c r="B222" t="str" cm="1">
        <f t="array" aca="1" ref="B222" ca="1">IF('Raw Data'!B222="",_xlfn.REGEXEXTRACT(CELL("address",'Raw Data'!B222),"\$([A-Z]+)\$[0-9]+"),"")</f>
        <v/>
      </c>
      <c r="C222" t="str" cm="1">
        <f t="array" aca="1" ref="C222" ca="1">IF('Raw Data'!C222="",_xlfn.REGEXEXTRACT(CELL("address",'Raw Data'!C222),"\$([A-Z]+)\$[0-9]+"),"")</f>
        <v/>
      </c>
      <c r="D222" t="str" cm="1">
        <f t="array" aca="1" ref="D222" ca="1">IF('Raw Data'!D222="",_xlfn.REGEXEXTRACT(CELL("address",'Raw Data'!D222),"\$([A-Z]+)\$[0-9]+"),"")</f>
        <v>$D$222</v>
      </c>
      <c r="E222" t="str" cm="1">
        <f t="array" aca="1" ref="E222" ca="1">IF('Raw Data'!E222="",_xlfn.REGEXEXTRACT(CELL("address",'Raw Data'!E222),"\$([A-Z]+)\$[0-9]+"),"")</f>
        <v>$E$222</v>
      </c>
      <c r="F222" t="str" cm="1">
        <f t="array" aca="1" ref="F222" ca="1">IF('Raw Data'!F222="",_xlfn.REGEXEXTRACT(CELL("address",'Raw Data'!F222),"\$([A-Z]+)\$[0-9]+"),"")</f>
        <v>$F$222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Data'!G222="",_xlfn.REGEXEXTRACT(CELL("address",'Raw Data'!G222),"\$([A-Z]+)\$[0-9]+"),"")</f>
        <v/>
      </c>
      <c r="I222" t="str" cm="1">
        <f t="array" aca="1" ref="I222" ca="1">IF('Raw Data'!H222="",_xlfn.REGEXEXTRACT(CELL("address",'Raw Data'!H222),"\$([A-Z]+)\$[0-9]+"),"")</f>
        <v>$H$222</v>
      </c>
    </row>
    <row r="223" spans="2:9" x14ac:dyDescent="0.25">
      <c r="B223" t="str" cm="1">
        <f t="array" aca="1" ref="B223" ca="1">IF('Raw Data'!B223="",_xlfn.REGEXEXTRACT(CELL("address",'Raw Data'!B223),"\$([A-Z]+)\$[0-9]+"),"")</f>
        <v/>
      </c>
      <c r="C223" t="str" cm="1">
        <f t="array" aca="1" ref="C223" ca="1">IF('Raw Data'!C223="",_xlfn.REGEXEXTRACT(CELL("address",'Raw Data'!C223),"\$([A-Z]+)\$[0-9]+"),"")</f>
        <v/>
      </c>
      <c r="D223" t="str" cm="1">
        <f t="array" aca="1" ref="D223" ca="1">IF('Raw Data'!D223="",_xlfn.REGEXEXTRACT(CELL("address",'Raw Data'!D223),"\$([A-Z]+)\$[0-9]+"),"")</f>
        <v>$D$223</v>
      </c>
      <c r="E223" t="str" cm="1">
        <f t="array" aca="1" ref="E223" ca="1">IF('Raw Data'!E223="",_xlfn.REGEXEXTRACT(CELL("address",'Raw Data'!E223),"\$([A-Z]+)\$[0-9]+"),"")</f>
        <v>$E$223</v>
      </c>
      <c r="F223" t="str" cm="1">
        <f t="array" aca="1" ref="F223" ca="1">IF('Raw Data'!F223="",_xlfn.REGEXEXTRACT(CELL("address",'Raw Data'!F223),"\$([A-Z]+)\$[0-9]+"),"")</f>
        <v>$F$223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Data'!G223="",_xlfn.REGEXEXTRACT(CELL("address",'Raw Data'!G223),"\$([A-Z]+)\$[0-9]+"),"")</f>
        <v/>
      </c>
      <c r="I223" t="str" cm="1">
        <f t="array" aca="1" ref="I223" ca="1">IF('Raw Data'!H223="",_xlfn.REGEXEXTRACT(CELL("address",'Raw Data'!H223),"\$([A-Z]+)\$[0-9]+"),"")</f>
        <v>$H$223</v>
      </c>
    </row>
    <row r="224" spans="2:9" x14ac:dyDescent="0.25">
      <c r="B224" t="str" cm="1">
        <f t="array" aca="1" ref="B224" ca="1">IF('Raw Data'!B224="",_xlfn.REGEXEXTRACT(CELL("address",'Raw Data'!B224),"\$([A-Z]+)\$[0-9]+"),"")</f>
        <v/>
      </c>
      <c r="C224" t="str" cm="1">
        <f t="array" aca="1" ref="C224" ca="1">IF('Raw Data'!C224="",_xlfn.REGEXEXTRACT(CELL("address",'Raw Data'!C224),"\$([A-Z]+)\$[0-9]+"),"")</f>
        <v/>
      </c>
      <c r="D224" t="str" cm="1">
        <f t="array" aca="1" ref="D224" ca="1">IF('Raw Data'!D224="",_xlfn.REGEXEXTRACT(CELL("address",'Raw Data'!D224),"\$([A-Z]+)\$[0-9]+"),"")</f>
        <v>$D$224</v>
      </c>
      <c r="E224" t="str" cm="1">
        <f t="array" aca="1" ref="E224" ca="1">IF('Raw Data'!E224="",_xlfn.REGEXEXTRACT(CELL("address",'Raw Data'!E224),"\$([A-Z]+)\$[0-9]+"),"")</f>
        <v>$E$224</v>
      </c>
      <c r="F224" t="str" cm="1">
        <f t="array" aca="1" ref="F224" ca="1">IF('Raw Data'!F224="",_xlfn.REGEXEXTRACT(CELL("address",'Raw Data'!F224),"\$([A-Z]+)\$[0-9]+"),"")</f>
        <v>$F$224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Data'!G224="",_xlfn.REGEXEXTRACT(CELL("address",'Raw Data'!G224),"\$([A-Z]+)\$[0-9]+"),"")</f>
        <v/>
      </c>
      <c r="I224" t="str" cm="1">
        <f t="array" aca="1" ref="I224" ca="1">IF('Raw Data'!H224="",_xlfn.REGEXEXTRACT(CELL("address",'Raw Data'!H224),"\$([A-Z]+)\$[0-9]+"),"")</f>
        <v>$H$224</v>
      </c>
    </row>
    <row r="225" spans="2:9" x14ac:dyDescent="0.25">
      <c r="B225" t="str" cm="1">
        <f t="array" aca="1" ref="B225" ca="1">IF('Raw Data'!B225="",_xlfn.REGEXEXTRACT(CELL("address",'Raw Data'!B225),"\$([A-Z]+)\$[0-9]+"),"")</f>
        <v/>
      </c>
      <c r="C225" t="str" cm="1">
        <f t="array" aca="1" ref="C225" ca="1">IF('Raw Data'!C225="",_xlfn.REGEXEXTRACT(CELL("address",'Raw Data'!C225),"\$([A-Z]+)\$[0-9]+"),"")</f>
        <v/>
      </c>
      <c r="D225" t="str" cm="1">
        <f t="array" aca="1" ref="D225" ca="1">IF('Raw Data'!D225="",_xlfn.REGEXEXTRACT(CELL("address",'Raw Data'!D225),"\$([A-Z]+)\$[0-9]+"),"")</f>
        <v>$D$225</v>
      </c>
      <c r="E225" t="str" cm="1">
        <f t="array" aca="1" ref="E225" ca="1">IF('Raw Data'!E225="",_xlfn.REGEXEXTRACT(CELL("address",'Raw Data'!E225),"\$([A-Z]+)\$[0-9]+"),"")</f>
        <v>$E$225</v>
      </c>
      <c r="F225" t="str" cm="1">
        <f t="array" aca="1" ref="F225" ca="1">IF('Raw Data'!F225="",_xlfn.REGEXEXTRACT(CELL("address",'Raw Data'!F225),"\$([A-Z]+)\$[0-9]+"),"")</f>
        <v>$F$225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Data'!G225="",_xlfn.REGEXEXTRACT(CELL("address",'Raw Data'!G225),"\$([A-Z]+)\$[0-9]+"),"")</f>
        <v/>
      </c>
      <c r="I225" t="str" cm="1">
        <f t="array" aca="1" ref="I225" ca="1">IF('Raw Data'!H225="",_xlfn.REGEXEXTRACT(CELL("address",'Raw Data'!H225),"\$([A-Z]+)\$[0-9]+"),"")</f>
        <v>$H$225</v>
      </c>
    </row>
    <row r="226" spans="2:9" x14ac:dyDescent="0.25">
      <c r="B226" t="str" cm="1">
        <f t="array" aca="1" ref="B226" ca="1">IF('Raw Data'!B226="",_xlfn.REGEXEXTRACT(CELL("address",'Raw Data'!B226),"\$([A-Z]+)\$[0-9]+"),"")</f>
        <v/>
      </c>
      <c r="C226" t="str" cm="1">
        <f t="array" aca="1" ref="C226" ca="1">IF('Raw Data'!C226="",_xlfn.REGEXEXTRACT(CELL("address",'Raw Data'!C226),"\$([A-Z]+)\$[0-9]+"),"")</f>
        <v/>
      </c>
      <c r="D226" t="str" cm="1">
        <f t="array" aca="1" ref="D226" ca="1">IF('Raw Data'!D226="",_xlfn.REGEXEXTRACT(CELL("address",'Raw Data'!D226),"\$([A-Z]+)\$[0-9]+"),"")</f>
        <v>$D$226</v>
      </c>
      <c r="E226" t="str" cm="1">
        <f t="array" aca="1" ref="E226" ca="1">IF('Raw Data'!E226="",_xlfn.REGEXEXTRACT(CELL("address",'Raw Data'!E226),"\$([A-Z]+)\$[0-9]+"),"")</f>
        <v>$E$226</v>
      </c>
      <c r="F226" t="str" cm="1">
        <f t="array" aca="1" ref="F226" ca="1">IF('Raw Data'!F226="",_xlfn.REGEXEXTRACT(CELL("address",'Raw Data'!F226),"\$([A-Z]+)\$[0-9]+"),"")</f>
        <v>$F$226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Data'!G226="",_xlfn.REGEXEXTRACT(CELL("address",'Raw Data'!G226),"\$([A-Z]+)\$[0-9]+"),"")</f>
        <v/>
      </c>
      <c r="I226" t="str" cm="1">
        <f t="array" aca="1" ref="I226" ca="1">IF('Raw Data'!H226="",_xlfn.REGEXEXTRACT(CELL("address",'Raw Data'!H226),"\$([A-Z]+)\$[0-9]+"),"")</f>
        <v>$H$226</v>
      </c>
    </row>
    <row r="227" spans="2:9" x14ac:dyDescent="0.25">
      <c r="B227" t="str" cm="1">
        <f t="array" aca="1" ref="B227" ca="1">IF('Raw Data'!B227="",_xlfn.REGEXEXTRACT(CELL("address",'Raw Data'!B227),"\$([A-Z]+)\$[0-9]+"),"")</f>
        <v/>
      </c>
      <c r="C227" t="str" cm="1">
        <f t="array" aca="1" ref="C227" ca="1">IF('Raw Data'!C227="",_xlfn.REGEXEXTRACT(CELL("address",'Raw Data'!C227),"\$([A-Z]+)\$[0-9]+"),"")</f>
        <v/>
      </c>
      <c r="D227" t="str" cm="1">
        <f t="array" aca="1" ref="D227" ca="1">IF('Raw Data'!D227="",_xlfn.REGEXEXTRACT(CELL("address",'Raw Data'!D227),"\$([A-Z]+)\$[0-9]+"),"")</f>
        <v>$D$227</v>
      </c>
      <c r="E227" t="str" cm="1">
        <f t="array" aca="1" ref="E227" ca="1">IF('Raw Data'!E227="",_xlfn.REGEXEXTRACT(CELL("address",'Raw Data'!E227),"\$([A-Z]+)\$[0-9]+"),"")</f>
        <v>$E$227</v>
      </c>
      <c r="F227" t="str" cm="1">
        <f t="array" aca="1" ref="F227" ca="1">IF('Raw Data'!F227="",_xlfn.REGEXEXTRACT(CELL("address",'Raw Data'!F227),"\$([A-Z]+)\$[0-9]+"),"")</f>
        <v>$F$227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Data'!G227="",_xlfn.REGEXEXTRACT(CELL("address",'Raw Data'!G227),"\$([A-Z]+)\$[0-9]+"),"")</f>
        <v/>
      </c>
      <c r="I227" t="str" cm="1">
        <f t="array" aca="1" ref="I227" ca="1">IF('Raw Data'!H227="",_xlfn.REGEXEXTRACT(CELL("address",'Raw Data'!H227),"\$([A-Z]+)\$[0-9]+"),"")</f>
        <v>$H$227</v>
      </c>
    </row>
    <row r="228" spans="2:9" x14ac:dyDescent="0.25">
      <c r="B228" t="str" cm="1">
        <f t="array" aca="1" ref="B228" ca="1">IF('Raw Data'!B228="",_xlfn.REGEXEXTRACT(CELL("address",'Raw Data'!B228),"\$([A-Z]+)\$[0-9]+"),"")</f>
        <v/>
      </c>
      <c r="C228" t="str" cm="1">
        <f t="array" aca="1" ref="C228" ca="1">IF('Raw Data'!C228="",_xlfn.REGEXEXTRACT(CELL("address",'Raw Data'!C228),"\$([A-Z]+)\$[0-9]+"),"")</f>
        <v/>
      </c>
      <c r="D228" t="str" cm="1">
        <f t="array" aca="1" ref="D228" ca="1">IF('Raw Data'!D228="",_xlfn.REGEXEXTRACT(CELL("address",'Raw Data'!D228),"\$([A-Z]+)\$[0-9]+"),"")</f>
        <v>$D$228</v>
      </c>
      <c r="E228" t="str" cm="1">
        <f t="array" aca="1" ref="E228" ca="1">IF('Raw Data'!E228="",_xlfn.REGEXEXTRACT(CELL("address",'Raw Data'!E228),"\$([A-Z]+)\$[0-9]+"),"")</f>
        <v>$E$228</v>
      </c>
      <c r="F228" t="str" cm="1">
        <f t="array" aca="1" ref="F228" ca="1">IF('Raw Data'!F228="",_xlfn.REGEXEXTRACT(CELL("address",'Raw Data'!F228),"\$([A-Z]+)\$[0-9]+"),"")</f>
        <v>$F$228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Data'!G228="",_xlfn.REGEXEXTRACT(CELL("address",'Raw Data'!G228),"\$([A-Z]+)\$[0-9]+"),"")</f>
        <v/>
      </c>
      <c r="I228" t="str" cm="1">
        <f t="array" aca="1" ref="I228" ca="1">IF('Raw Data'!H228="",_xlfn.REGEXEXTRACT(CELL("address",'Raw Data'!H228),"\$([A-Z]+)\$[0-9]+"),"")</f>
        <v>$H$228</v>
      </c>
    </row>
    <row r="229" spans="2:9" x14ac:dyDescent="0.25">
      <c r="B229" t="str" cm="1">
        <f t="array" aca="1" ref="B229" ca="1">IF('Raw Data'!B229="",_xlfn.REGEXEXTRACT(CELL("address",'Raw Data'!B229),"\$([A-Z]+)\$[0-9]+"),"")</f>
        <v/>
      </c>
      <c r="C229" t="str" cm="1">
        <f t="array" aca="1" ref="C229" ca="1">IF('Raw Data'!C229="",_xlfn.REGEXEXTRACT(CELL("address",'Raw Data'!C229),"\$([A-Z]+)\$[0-9]+"),"")</f>
        <v/>
      </c>
      <c r="D229" t="str" cm="1">
        <f t="array" aca="1" ref="D229" ca="1">IF('Raw Data'!D229="",_xlfn.REGEXEXTRACT(CELL("address",'Raw Data'!D229),"\$([A-Z]+)\$[0-9]+"),"")</f>
        <v>$D$229</v>
      </c>
      <c r="E229" t="str" cm="1">
        <f t="array" aca="1" ref="E229" ca="1">IF('Raw Data'!E229="",_xlfn.REGEXEXTRACT(CELL("address",'Raw Data'!E229),"\$([A-Z]+)\$[0-9]+"),"")</f>
        <v>$E$229</v>
      </c>
      <c r="F229" t="str" cm="1">
        <f t="array" aca="1" ref="F229" ca="1">IF('Raw Data'!F229="",_xlfn.REGEXEXTRACT(CELL("address",'Raw Data'!F229),"\$([A-Z]+)\$[0-9]+"),"")</f>
        <v>$F$229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Data'!G229="",_xlfn.REGEXEXTRACT(CELL("address",'Raw Data'!G229),"\$([A-Z]+)\$[0-9]+"),"")</f>
        <v/>
      </c>
      <c r="I229" t="str" cm="1">
        <f t="array" aca="1" ref="I229" ca="1">IF('Raw Data'!H229="",_xlfn.REGEXEXTRACT(CELL("address",'Raw Data'!H229),"\$([A-Z]+)\$[0-9]+"),"")</f>
        <v>$H$229</v>
      </c>
    </row>
    <row r="230" spans="2:9" x14ac:dyDescent="0.25">
      <c r="B230" t="str" cm="1">
        <f t="array" aca="1" ref="B230" ca="1">IF('Raw Data'!B230="",_xlfn.REGEXEXTRACT(CELL("address",'Raw Data'!B230),"\$([A-Z]+)\$[0-9]+"),"")</f>
        <v/>
      </c>
      <c r="C230" t="str" cm="1">
        <f t="array" aca="1" ref="C230" ca="1">IF('Raw Data'!C230="",_xlfn.REGEXEXTRACT(CELL("address",'Raw Data'!C230),"\$([A-Z]+)\$[0-9]+"),"")</f>
        <v/>
      </c>
      <c r="D230" t="str" cm="1">
        <f t="array" aca="1" ref="D230" ca="1">IF('Raw Data'!D230="",_xlfn.REGEXEXTRACT(CELL("address",'Raw Data'!D230),"\$([A-Z]+)\$[0-9]+"),"")</f>
        <v>$D$230</v>
      </c>
      <c r="E230" t="str" cm="1">
        <f t="array" aca="1" ref="E230" ca="1">IF('Raw Data'!E230="",_xlfn.REGEXEXTRACT(CELL("address",'Raw Data'!E230),"\$([A-Z]+)\$[0-9]+"),"")</f>
        <v>$E$230</v>
      </c>
      <c r="F230" t="str" cm="1">
        <f t="array" aca="1" ref="F230" ca="1">IF('Raw Data'!F230="",_xlfn.REGEXEXTRACT(CELL("address",'Raw Data'!F230),"\$([A-Z]+)\$[0-9]+"),"")</f>
        <v>$F$230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Data'!G230="",_xlfn.REGEXEXTRACT(CELL("address",'Raw Data'!G230),"\$([A-Z]+)\$[0-9]+"),"")</f>
        <v/>
      </c>
      <c r="I230" t="str" cm="1">
        <f t="array" aca="1" ref="I230" ca="1">IF('Raw Data'!H230="",_xlfn.REGEXEXTRACT(CELL("address",'Raw Data'!H230),"\$([A-Z]+)\$[0-9]+"),"")</f>
        <v>$H$230</v>
      </c>
    </row>
    <row r="231" spans="2:9" x14ac:dyDescent="0.25">
      <c r="B231" t="str" cm="1">
        <f t="array" aca="1" ref="B231" ca="1">IF('Raw Data'!B231="",_xlfn.REGEXEXTRACT(CELL("address",'Raw Data'!B231),"\$([A-Z]+)\$[0-9]+"),"")</f>
        <v/>
      </c>
      <c r="C231" t="str" cm="1">
        <f t="array" aca="1" ref="C231" ca="1">IF('Raw Data'!C231="",_xlfn.REGEXEXTRACT(CELL("address",'Raw Data'!C231),"\$([A-Z]+)\$[0-9]+"),"")</f>
        <v/>
      </c>
      <c r="D231" t="str" cm="1">
        <f t="array" aca="1" ref="D231" ca="1">IF('Raw Data'!D231="",_xlfn.REGEXEXTRACT(CELL("address",'Raw Data'!D231),"\$([A-Z]+)\$[0-9]+"),"")</f>
        <v>$D$231</v>
      </c>
      <c r="E231" t="str" cm="1">
        <f t="array" aca="1" ref="E231" ca="1">IF('Raw Data'!E231="",_xlfn.REGEXEXTRACT(CELL("address",'Raw Data'!E231),"\$([A-Z]+)\$[0-9]+"),"")</f>
        <v>$E$231</v>
      </c>
      <c r="F231" t="str" cm="1">
        <f t="array" aca="1" ref="F231" ca="1">IF('Raw Data'!F231="",_xlfn.REGEXEXTRACT(CELL("address",'Raw Data'!F231),"\$([A-Z]+)\$[0-9]+"),"")</f>
        <v>$F$231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Data'!G231="",_xlfn.REGEXEXTRACT(CELL("address",'Raw Data'!G231),"\$([A-Z]+)\$[0-9]+"),"")</f>
        <v/>
      </c>
      <c r="I231" t="str" cm="1">
        <f t="array" aca="1" ref="I231" ca="1">IF('Raw Data'!H231="",_xlfn.REGEXEXTRACT(CELL("address",'Raw Data'!H231),"\$([A-Z]+)\$[0-9]+"),"")</f>
        <v>$H$231</v>
      </c>
    </row>
    <row r="232" spans="2:9" x14ac:dyDescent="0.25">
      <c r="B232" t="str" cm="1">
        <f t="array" aca="1" ref="B232" ca="1">IF('Raw Data'!B232="",_xlfn.REGEXEXTRACT(CELL("address",'Raw Data'!B232),"\$([A-Z]+)\$[0-9]+"),"")</f>
        <v/>
      </c>
      <c r="C232" t="str" cm="1">
        <f t="array" aca="1" ref="C232" ca="1">IF('Raw Data'!C232="",_xlfn.REGEXEXTRACT(CELL("address",'Raw Data'!C232),"\$([A-Z]+)\$[0-9]+"),"")</f>
        <v/>
      </c>
      <c r="D232" t="str" cm="1">
        <f t="array" aca="1" ref="D232" ca="1">IF('Raw Data'!D232="",_xlfn.REGEXEXTRACT(CELL("address",'Raw Data'!D232),"\$([A-Z]+)\$[0-9]+"),"")</f>
        <v>$D$232</v>
      </c>
      <c r="E232" t="str" cm="1">
        <f t="array" aca="1" ref="E232" ca="1">IF('Raw Data'!E232="",_xlfn.REGEXEXTRACT(CELL("address",'Raw Data'!E232),"\$([A-Z]+)\$[0-9]+"),"")</f>
        <v>$E$232</v>
      </c>
      <c r="F232" t="str" cm="1">
        <f t="array" aca="1" ref="F232" ca="1">IF('Raw Data'!F232="",_xlfn.REGEXEXTRACT(CELL("address",'Raw Data'!F232),"\$([A-Z]+)\$[0-9]+"),"")</f>
        <v>$F$232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Data'!G232="",_xlfn.REGEXEXTRACT(CELL("address",'Raw Data'!G232),"\$([A-Z]+)\$[0-9]+"),"")</f>
        <v/>
      </c>
      <c r="I232" t="str" cm="1">
        <f t="array" aca="1" ref="I232" ca="1">IF('Raw Data'!H232="",_xlfn.REGEXEXTRACT(CELL("address",'Raw Data'!H232),"\$([A-Z]+)\$[0-9]+"),"")</f>
        <v>$H$232</v>
      </c>
    </row>
    <row r="233" spans="2:9" x14ac:dyDescent="0.25">
      <c r="B233" t="str" cm="1">
        <f t="array" aca="1" ref="B233" ca="1">IF('Raw Data'!B233="",_xlfn.REGEXEXTRACT(CELL("address",'Raw Data'!B233),"\$([A-Z]+)\$[0-9]+"),"")</f>
        <v/>
      </c>
      <c r="C233" t="str" cm="1">
        <f t="array" aca="1" ref="C233" ca="1">IF('Raw Data'!C233="",_xlfn.REGEXEXTRACT(CELL("address",'Raw Data'!C233),"\$([A-Z]+)\$[0-9]+"),"")</f>
        <v/>
      </c>
      <c r="D233" t="str" cm="1">
        <f t="array" aca="1" ref="D233" ca="1">IF('Raw Data'!D233="",_xlfn.REGEXEXTRACT(CELL("address",'Raw Data'!D233),"\$([A-Z]+)\$[0-9]+"),"")</f>
        <v>$D$233</v>
      </c>
      <c r="E233" t="str" cm="1">
        <f t="array" aca="1" ref="E233" ca="1">IF('Raw Data'!E233="",_xlfn.REGEXEXTRACT(CELL("address",'Raw Data'!E233),"\$([A-Z]+)\$[0-9]+"),"")</f>
        <v>$E$233</v>
      </c>
      <c r="F233" t="str" cm="1">
        <f t="array" aca="1" ref="F233" ca="1">IF('Raw Data'!F233="",_xlfn.REGEXEXTRACT(CELL("address",'Raw Data'!F233),"\$([A-Z]+)\$[0-9]+"),"")</f>
        <v>$F$233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Data'!G233="",_xlfn.REGEXEXTRACT(CELL("address",'Raw Data'!G233),"\$([A-Z]+)\$[0-9]+"),"")</f>
        <v/>
      </c>
      <c r="I233" t="str" cm="1">
        <f t="array" aca="1" ref="I233" ca="1">IF('Raw Data'!H233="",_xlfn.REGEXEXTRACT(CELL("address",'Raw Data'!H233),"\$([A-Z]+)\$[0-9]+"),"")</f>
        <v>$H$233</v>
      </c>
    </row>
    <row r="234" spans="2:9" x14ac:dyDescent="0.25">
      <c r="B234" t="str" cm="1">
        <f t="array" aca="1" ref="B234" ca="1">IF('Raw Data'!B234="",_xlfn.REGEXEXTRACT(CELL("address",'Raw Data'!B234),"\$([A-Z]+)\$[0-9]+"),"")</f>
        <v/>
      </c>
      <c r="C234" t="str" cm="1">
        <f t="array" aca="1" ref="C234" ca="1">IF('Raw Data'!C234="",_xlfn.REGEXEXTRACT(CELL("address",'Raw Data'!C234),"\$([A-Z]+)\$[0-9]+"),"")</f>
        <v/>
      </c>
      <c r="D234" t="str" cm="1">
        <f t="array" aca="1" ref="D234" ca="1">IF('Raw Data'!D234="",_xlfn.REGEXEXTRACT(CELL("address",'Raw Data'!D234),"\$([A-Z]+)\$[0-9]+"),"")</f>
        <v>$D$234</v>
      </c>
      <c r="E234" t="str" cm="1">
        <f t="array" aca="1" ref="E234" ca="1">IF('Raw Data'!E234="",_xlfn.REGEXEXTRACT(CELL("address",'Raw Data'!E234),"\$([A-Z]+)\$[0-9]+"),"")</f>
        <v>$E$234</v>
      </c>
      <c r="F234" t="str" cm="1">
        <f t="array" aca="1" ref="F234" ca="1">IF('Raw Data'!F234="",_xlfn.REGEXEXTRACT(CELL("address",'Raw Data'!F234),"\$([A-Z]+)\$[0-9]+"),"")</f>
        <v>$F$234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Data'!G234="",_xlfn.REGEXEXTRACT(CELL("address",'Raw Data'!G234),"\$([A-Z]+)\$[0-9]+"),"")</f>
        <v/>
      </c>
      <c r="I234" t="str" cm="1">
        <f t="array" aca="1" ref="I234" ca="1">IF('Raw Data'!H234="",_xlfn.REGEXEXTRACT(CELL("address",'Raw Data'!H234),"\$([A-Z]+)\$[0-9]+"),"")</f>
        <v>$H$234</v>
      </c>
    </row>
    <row r="235" spans="2:9" x14ac:dyDescent="0.25">
      <c r="B235" t="str" cm="1">
        <f t="array" aca="1" ref="B235" ca="1">IF('Raw Data'!B235="",_xlfn.REGEXEXTRACT(CELL("address",'Raw Data'!B235),"\$([A-Z]+)\$[0-9]+"),"")</f>
        <v/>
      </c>
      <c r="C235" t="str" cm="1">
        <f t="array" aca="1" ref="C235" ca="1">IF('Raw Data'!C235="",_xlfn.REGEXEXTRACT(CELL("address",'Raw Data'!C235),"\$([A-Z]+)\$[0-9]+"),"")</f>
        <v/>
      </c>
      <c r="D235" t="str" cm="1">
        <f t="array" aca="1" ref="D235" ca="1">IF('Raw Data'!D235="",_xlfn.REGEXEXTRACT(CELL("address",'Raw Data'!D235),"\$([A-Z]+)\$[0-9]+"),"")</f>
        <v>$D$235</v>
      </c>
      <c r="E235" t="str" cm="1">
        <f t="array" aca="1" ref="E235" ca="1">IF('Raw Data'!E235="",_xlfn.REGEXEXTRACT(CELL("address",'Raw Data'!E235),"\$([A-Z]+)\$[0-9]+"),"")</f>
        <v>$E$235</v>
      </c>
      <c r="F235" t="str" cm="1">
        <f t="array" aca="1" ref="F235" ca="1">IF('Raw Data'!F235="",_xlfn.REGEXEXTRACT(CELL("address",'Raw Data'!F235),"\$([A-Z]+)\$[0-9]+"),"")</f>
        <v>$F$235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Data'!G235="",_xlfn.REGEXEXTRACT(CELL("address",'Raw Data'!G235),"\$([A-Z]+)\$[0-9]+"),"")</f>
        <v/>
      </c>
      <c r="I235" t="str" cm="1">
        <f t="array" aca="1" ref="I235" ca="1">IF('Raw Data'!H235="",_xlfn.REGEXEXTRACT(CELL("address",'Raw Data'!H235),"\$([A-Z]+)\$[0-9]+"),"")</f>
        <v>$H$235</v>
      </c>
    </row>
    <row r="236" spans="2:9" x14ac:dyDescent="0.25">
      <c r="B236" t="str" cm="1">
        <f t="array" aca="1" ref="B236" ca="1">IF('Raw Data'!B236="",_xlfn.REGEXEXTRACT(CELL("address",'Raw Data'!B236),"\$([A-Z]+)\$[0-9]+"),"")</f>
        <v/>
      </c>
      <c r="C236" t="str" cm="1">
        <f t="array" aca="1" ref="C236" ca="1">IF('Raw Data'!C236="",_xlfn.REGEXEXTRACT(CELL("address",'Raw Data'!C236),"\$([A-Z]+)\$[0-9]+"),"")</f>
        <v/>
      </c>
      <c r="D236" t="str" cm="1">
        <f t="array" aca="1" ref="D236" ca="1">IF('Raw Data'!D236="",_xlfn.REGEXEXTRACT(CELL("address",'Raw Data'!D236),"\$([A-Z]+)\$[0-9]+"),"")</f>
        <v>$D$236</v>
      </c>
      <c r="E236" t="str" cm="1">
        <f t="array" aca="1" ref="E236" ca="1">IF('Raw Data'!E236="",_xlfn.REGEXEXTRACT(CELL("address",'Raw Data'!E236),"\$([A-Z]+)\$[0-9]+"),"")</f>
        <v>$E$236</v>
      </c>
      <c r="F236" t="str" cm="1">
        <f t="array" aca="1" ref="F236" ca="1">IF('Raw Data'!F236="",_xlfn.REGEXEXTRACT(CELL("address",'Raw Data'!F236),"\$([A-Z]+)\$[0-9]+"),"")</f>
        <v>$F$236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Data'!G236="",_xlfn.REGEXEXTRACT(CELL("address",'Raw Data'!G236),"\$([A-Z]+)\$[0-9]+"),"")</f>
        <v/>
      </c>
      <c r="I236" t="str" cm="1">
        <f t="array" aca="1" ref="I236" ca="1">IF('Raw Data'!H236="",_xlfn.REGEXEXTRACT(CELL("address",'Raw Data'!H236),"\$([A-Z]+)\$[0-9]+"),"")</f>
        <v>$H$236</v>
      </c>
    </row>
    <row r="237" spans="2:9" x14ac:dyDescent="0.25">
      <c r="B237" t="str" cm="1">
        <f t="array" aca="1" ref="B237" ca="1">IF('Raw Data'!B237="",_xlfn.REGEXEXTRACT(CELL("address",'Raw Data'!B237),"\$([A-Z]+)\$[0-9]+"),"")</f>
        <v/>
      </c>
      <c r="C237" t="str" cm="1">
        <f t="array" aca="1" ref="C237" ca="1">IF('Raw Data'!C237="",_xlfn.REGEXEXTRACT(CELL("address",'Raw Data'!C237),"\$([A-Z]+)\$[0-9]+"),"")</f>
        <v/>
      </c>
      <c r="D237" t="str" cm="1">
        <f t="array" aca="1" ref="D237" ca="1">IF('Raw Data'!D237="",_xlfn.REGEXEXTRACT(CELL("address",'Raw Data'!D237),"\$([A-Z]+)\$[0-9]+"),"")</f>
        <v>$D$237</v>
      </c>
      <c r="E237" t="str" cm="1">
        <f t="array" aca="1" ref="E237" ca="1">IF('Raw Data'!E237="",_xlfn.REGEXEXTRACT(CELL("address",'Raw Data'!E237),"\$([A-Z]+)\$[0-9]+"),"")</f>
        <v>$E$237</v>
      </c>
      <c r="F237" t="str" cm="1">
        <f t="array" aca="1" ref="F237" ca="1">IF('Raw Data'!F237="",_xlfn.REGEXEXTRACT(CELL("address",'Raw Data'!F237),"\$([A-Z]+)\$[0-9]+"),"")</f>
        <v>$F$237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Data'!G237="",_xlfn.REGEXEXTRACT(CELL("address",'Raw Data'!G237),"\$([A-Z]+)\$[0-9]+"),"")</f>
        <v/>
      </c>
      <c r="I237" t="str" cm="1">
        <f t="array" aca="1" ref="I237" ca="1">IF('Raw Data'!H237="",_xlfn.REGEXEXTRACT(CELL("address",'Raw Data'!H237),"\$([A-Z]+)\$[0-9]+"),"")</f>
        <v>$H$237</v>
      </c>
    </row>
    <row r="238" spans="2:9" x14ac:dyDescent="0.25">
      <c r="B238" t="str" cm="1">
        <f t="array" aca="1" ref="B238" ca="1">IF('Raw Data'!B238="",_xlfn.REGEXEXTRACT(CELL("address",'Raw Data'!B238),"\$([A-Z]+)\$[0-9]+"),"")</f>
        <v/>
      </c>
      <c r="C238" t="str" cm="1">
        <f t="array" aca="1" ref="C238" ca="1">IF('Raw Data'!C238="",_xlfn.REGEXEXTRACT(CELL("address",'Raw Data'!C238),"\$([A-Z]+)\$[0-9]+"),"")</f>
        <v/>
      </c>
      <c r="D238" t="str" cm="1">
        <f t="array" aca="1" ref="D238" ca="1">IF('Raw Data'!D238="",_xlfn.REGEXEXTRACT(CELL("address",'Raw Data'!D238),"\$([A-Z]+)\$[0-9]+"),"")</f>
        <v>$D$238</v>
      </c>
      <c r="E238" t="str" cm="1">
        <f t="array" aca="1" ref="E238" ca="1">IF('Raw Data'!E238="",_xlfn.REGEXEXTRACT(CELL("address",'Raw Data'!E238),"\$([A-Z]+)\$[0-9]+"),"")</f>
        <v>$E$238</v>
      </c>
      <c r="F238" t="str" cm="1">
        <f t="array" aca="1" ref="F238" ca="1">IF('Raw Data'!F238="",_xlfn.REGEXEXTRACT(CELL("address",'Raw Data'!F238),"\$([A-Z]+)\$[0-9]+"),"")</f>
        <v>$F$238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Data'!G238="",_xlfn.REGEXEXTRACT(CELL("address",'Raw Data'!G238),"\$([A-Z]+)\$[0-9]+"),"")</f>
        <v/>
      </c>
      <c r="I238" t="str" cm="1">
        <f t="array" aca="1" ref="I238" ca="1">IF('Raw Data'!H238="",_xlfn.REGEXEXTRACT(CELL("address",'Raw Data'!H238),"\$([A-Z]+)\$[0-9]+"),"")</f>
        <v>$H$238</v>
      </c>
    </row>
    <row r="239" spans="2:9" x14ac:dyDescent="0.25">
      <c r="B239" t="str" cm="1">
        <f t="array" aca="1" ref="B239" ca="1">IF('Raw Data'!B239="",_xlfn.REGEXEXTRACT(CELL("address",'Raw Data'!B239),"\$([A-Z]+)\$[0-9]+"),"")</f>
        <v/>
      </c>
      <c r="C239" t="str" cm="1">
        <f t="array" aca="1" ref="C239" ca="1">IF('Raw Data'!C239="",_xlfn.REGEXEXTRACT(CELL("address",'Raw Data'!C239),"\$([A-Z]+)\$[0-9]+"),"")</f>
        <v/>
      </c>
      <c r="D239" t="str" cm="1">
        <f t="array" aca="1" ref="D239" ca="1">IF('Raw Data'!D239="",_xlfn.REGEXEXTRACT(CELL("address",'Raw Data'!D239),"\$([A-Z]+)\$[0-9]+"),"")</f>
        <v>$D$239</v>
      </c>
      <c r="E239" t="str" cm="1">
        <f t="array" aca="1" ref="E239" ca="1">IF('Raw Data'!E239="",_xlfn.REGEXEXTRACT(CELL("address",'Raw Data'!E239),"\$([A-Z]+)\$[0-9]+"),"")</f>
        <v>$E$239</v>
      </c>
      <c r="F239" t="str" cm="1">
        <f t="array" aca="1" ref="F239" ca="1">IF('Raw Data'!F239="",_xlfn.REGEXEXTRACT(CELL("address",'Raw Data'!F239),"\$([A-Z]+)\$[0-9]+"),"")</f>
        <v>$F$239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Data'!G239="",_xlfn.REGEXEXTRACT(CELL("address",'Raw Data'!G239),"\$([A-Z]+)\$[0-9]+"),"")</f>
        <v/>
      </c>
      <c r="I239" t="str" cm="1">
        <f t="array" aca="1" ref="I239" ca="1">IF('Raw Data'!H239="",_xlfn.REGEXEXTRACT(CELL("address",'Raw Data'!H239),"\$([A-Z]+)\$[0-9]+"),"")</f>
        <v>$H$239</v>
      </c>
    </row>
    <row r="240" spans="2:9" x14ac:dyDescent="0.25">
      <c r="B240" t="str" cm="1">
        <f t="array" aca="1" ref="B240" ca="1">IF('Raw Data'!B240="",_xlfn.REGEXEXTRACT(CELL("address",'Raw Data'!B240),"\$([A-Z]+)\$[0-9]+"),"")</f>
        <v/>
      </c>
      <c r="C240" t="str" cm="1">
        <f t="array" aca="1" ref="C240" ca="1">IF('Raw Data'!C240="",_xlfn.REGEXEXTRACT(CELL("address",'Raw Data'!C240),"\$([A-Z]+)\$[0-9]+"),"")</f>
        <v/>
      </c>
      <c r="D240" t="str" cm="1">
        <f t="array" aca="1" ref="D240" ca="1">IF('Raw Data'!D240="",_xlfn.REGEXEXTRACT(CELL("address",'Raw Data'!D240),"\$([A-Z]+)\$[0-9]+"),"")</f>
        <v>$D$240</v>
      </c>
      <c r="E240" t="str" cm="1">
        <f t="array" aca="1" ref="E240" ca="1">IF('Raw Data'!E240="",_xlfn.REGEXEXTRACT(CELL("address",'Raw Data'!E240),"\$([A-Z]+)\$[0-9]+"),"")</f>
        <v>$E$240</v>
      </c>
      <c r="F240" t="str" cm="1">
        <f t="array" aca="1" ref="F240" ca="1">IF('Raw Data'!F240="",_xlfn.REGEXEXTRACT(CELL("address",'Raw Data'!F240),"\$([A-Z]+)\$[0-9]+"),"")</f>
        <v>$F$240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Data'!G240="",_xlfn.REGEXEXTRACT(CELL("address",'Raw Data'!G240),"\$([A-Z]+)\$[0-9]+"),"")</f>
        <v/>
      </c>
      <c r="I240" t="str" cm="1">
        <f t="array" aca="1" ref="I240" ca="1">IF('Raw Data'!H240="",_xlfn.REGEXEXTRACT(CELL("address",'Raw Data'!H240),"\$([A-Z]+)\$[0-9]+"),"")</f>
        <v>$H$240</v>
      </c>
    </row>
    <row r="241" spans="2:9" x14ac:dyDescent="0.25">
      <c r="B241" t="str" cm="1">
        <f t="array" aca="1" ref="B241" ca="1">IF('Raw Data'!B241="",_xlfn.REGEXEXTRACT(CELL("address",'Raw Data'!B241),"\$([A-Z]+)\$[0-9]+"),"")</f>
        <v/>
      </c>
      <c r="C241" t="str" cm="1">
        <f t="array" aca="1" ref="C241" ca="1">IF('Raw Data'!C241="",_xlfn.REGEXEXTRACT(CELL("address",'Raw Data'!C241),"\$([A-Z]+)\$[0-9]+"),"")</f>
        <v/>
      </c>
      <c r="D241" t="str" cm="1">
        <f t="array" aca="1" ref="D241" ca="1">IF('Raw Data'!D241="",_xlfn.REGEXEXTRACT(CELL("address",'Raw Data'!D241),"\$([A-Z]+)\$[0-9]+"),"")</f>
        <v>$D$241</v>
      </c>
      <c r="E241" t="str" cm="1">
        <f t="array" aca="1" ref="E241" ca="1">IF('Raw Data'!E241="",_xlfn.REGEXEXTRACT(CELL("address",'Raw Data'!E241),"\$([A-Z]+)\$[0-9]+"),"")</f>
        <v>$E$241</v>
      </c>
      <c r="F241" t="str" cm="1">
        <f t="array" aca="1" ref="F241" ca="1">IF('Raw Data'!F241="",_xlfn.REGEXEXTRACT(CELL("address",'Raw Data'!F241),"\$([A-Z]+)\$[0-9]+"),"")</f>
        <v>$F$241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Data'!G241="",_xlfn.REGEXEXTRACT(CELL("address",'Raw Data'!G241),"\$([A-Z]+)\$[0-9]+"),"")</f>
        <v/>
      </c>
      <c r="I241" t="str" cm="1">
        <f t="array" aca="1" ref="I241" ca="1">IF('Raw Data'!H241="",_xlfn.REGEXEXTRACT(CELL("address",'Raw Data'!H241),"\$([A-Z]+)\$[0-9]+"),"")</f>
        <v>$H$241</v>
      </c>
    </row>
    <row r="242" spans="2:9" x14ac:dyDescent="0.25">
      <c r="B242" t="str" cm="1">
        <f t="array" aca="1" ref="B242" ca="1">IF('Raw Data'!B242="",_xlfn.REGEXEXTRACT(CELL("address",'Raw Data'!B242),"\$([A-Z]+)\$[0-9]+"),"")</f>
        <v/>
      </c>
      <c r="C242" t="str" cm="1">
        <f t="array" aca="1" ref="C242" ca="1">IF('Raw Data'!C242="",_xlfn.REGEXEXTRACT(CELL("address",'Raw Data'!C242),"\$([A-Z]+)\$[0-9]+"),"")</f>
        <v/>
      </c>
      <c r="D242" t="str" cm="1">
        <f t="array" aca="1" ref="D242" ca="1">IF('Raw Data'!D242="",_xlfn.REGEXEXTRACT(CELL("address",'Raw Data'!D242),"\$([A-Z]+)\$[0-9]+"),"")</f>
        <v>$D$242</v>
      </c>
      <c r="E242" t="str" cm="1">
        <f t="array" aca="1" ref="E242" ca="1">IF('Raw Data'!E242="",_xlfn.REGEXEXTRACT(CELL("address",'Raw Data'!E242),"\$([A-Z]+)\$[0-9]+"),"")</f>
        <v>$E$242</v>
      </c>
      <c r="F242" t="str" cm="1">
        <f t="array" aca="1" ref="F242" ca="1">IF('Raw Data'!F242="",_xlfn.REGEXEXTRACT(CELL("address",'Raw Data'!F242),"\$([A-Z]+)\$[0-9]+"),"")</f>
        <v>$F$242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Data'!G242="",_xlfn.REGEXEXTRACT(CELL("address",'Raw Data'!G242),"\$([A-Z]+)\$[0-9]+"),"")</f>
        <v/>
      </c>
      <c r="I242" t="str" cm="1">
        <f t="array" aca="1" ref="I242" ca="1">IF('Raw Data'!H242="",_xlfn.REGEXEXTRACT(CELL("address",'Raw Data'!H242),"\$([A-Z]+)\$[0-9]+"),"")</f>
        <v>$H$242</v>
      </c>
    </row>
    <row r="243" spans="2:9" x14ac:dyDescent="0.25">
      <c r="B243" t="str" cm="1">
        <f t="array" aca="1" ref="B243" ca="1">IF('Raw Data'!B243="",_xlfn.REGEXEXTRACT(CELL("address",'Raw Data'!B243),"\$([A-Z]+)\$[0-9]+"),"")</f>
        <v/>
      </c>
      <c r="C243" t="str" cm="1">
        <f t="array" aca="1" ref="C243" ca="1">IF('Raw Data'!C243="",_xlfn.REGEXEXTRACT(CELL("address",'Raw Data'!C243),"\$([A-Z]+)\$[0-9]+"),"")</f>
        <v/>
      </c>
      <c r="D243" t="str" cm="1">
        <f t="array" aca="1" ref="D243" ca="1">IF('Raw Data'!D243="",_xlfn.REGEXEXTRACT(CELL("address",'Raw Data'!D243),"\$([A-Z]+)\$[0-9]+"),"")</f>
        <v>$D$243</v>
      </c>
      <c r="E243" t="str" cm="1">
        <f t="array" aca="1" ref="E243" ca="1">IF('Raw Data'!E243="",_xlfn.REGEXEXTRACT(CELL("address",'Raw Data'!E243),"\$([A-Z]+)\$[0-9]+"),"")</f>
        <v>$E$243</v>
      </c>
      <c r="F243" t="str" cm="1">
        <f t="array" aca="1" ref="F243" ca="1">IF('Raw Data'!F243="",_xlfn.REGEXEXTRACT(CELL("address",'Raw Data'!F243),"\$([A-Z]+)\$[0-9]+"),"")</f>
        <v>$F$243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Data'!G243="",_xlfn.REGEXEXTRACT(CELL("address",'Raw Data'!G243),"\$([A-Z]+)\$[0-9]+"),"")</f>
        <v/>
      </c>
      <c r="I243" t="str" cm="1">
        <f t="array" aca="1" ref="I243" ca="1">IF('Raw Data'!H243="",_xlfn.REGEXEXTRACT(CELL("address",'Raw Data'!H243),"\$([A-Z]+)\$[0-9]+"),"")</f>
        <v>$H$243</v>
      </c>
    </row>
    <row r="244" spans="2:9" x14ac:dyDescent="0.25">
      <c r="B244" t="str" cm="1">
        <f t="array" aca="1" ref="B244" ca="1">IF('Raw Data'!B244="",_xlfn.REGEXEXTRACT(CELL("address",'Raw Data'!B244),"\$([A-Z]+)\$[0-9]+"),"")</f>
        <v/>
      </c>
      <c r="C244" t="str" cm="1">
        <f t="array" aca="1" ref="C244" ca="1">IF('Raw Data'!C244="",_xlfn.REGEXEXTRACT(CELL("address",'Raw Data'!C244),"\$([A-Z]+)\$[0-9]+"),"")</f>
        <v/>
      </c>
      <c r="D244" t="str" cm="1">
        <f t="array" aca="1" ref="D244" ca="1">IF('Raw Data'!D244="",_xlfn.REGEXEXTRACT(CELL("address",'Raw Data'!D244),"\$([A-Z]+)\$[0-9]+"),"")</f>
        <v>$D$244</v>
      </c>
      <c r="E244" t="str" cm="1">
        <f t="array" aca="1" ref="E244" ca="1">IF('Raw Data'!E244="",_xlfn.REGEXEXTRACT(CELL("address",'Raw Data'!E244),"\$([A-Z]+)\$[0-9]+"),"")</f>
        <v>$E$244</v>
      </c>
      <c r="F244" t="str" cm="1">
        <f t="array" aca="1" ref="F244" ca="1">IF('Raw Data'!F244="",_xlfn.REGEXEXTRACT(CELL("address",'Raw Data'!F244),"\$([A-Z]+)\$[0-9]+"),"")</f>
        <v>$F$244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Data'!G244="",_xlfn.REGEXEXTRACT(CELL("address",'Raw Data'!G244),"\$([A-Z]+)\$[0-9]+"),"")</f>
        <v/>
      </c>
      <c r="I244" t="str" cm="1">
        <f t="array" aca="1" ref="I244" ca="1">IF('Raw Data'!H244="",_xlfn.REGEXEXTRACT(CELL("address",'Raw Data'!H244),"\$([A-Z]+)\$[0-9]+"),"")</f>
        <v>$H$244</v>
      </c>
    </row>
    <row r="245" spans="2:9" x14ac:dyDescent="0.25">
      <c r="B245" t="str" cm="1">
        <f t="array" aca="1" ref="B245" ca="1">IF('Raw Data'!B245="",_xlfn.REGEXEXTRACT(CELL("address",'Raw Data'!B245),"\$([A-Z]+)\$[0-9]+"),"")</f>
        <v/>
      </c>
      <c r="C245" t="str" cm="1">
        <f t="array" aca="1" ref="C245" ca="1">IF('Raw Data'!C245="",_xlfn.REGEXEXTRACT(CELL("address",'Raw Data'!C245),"\$([A-Z]+)\$[0-9]+"),"")</f>
        <v/>
      </c>
      <c r="D245" t="str" cm="1">
        <f t="array" aca="1" ref="D245" ca="1">IF('Raw Data'!D245="",_xlfn.REGEXEXTRACT(CELL("address",'Raw Data'!D245),"\$([A-Z]+)\$[0-9]+"),"")</f>
        <v>$D$245</v>
      </c>
      <c r="E245" t="str" cm="1">
        <f t="array" aca="1" ref="E245" ca="1">IF('Raw Data'!E245="",_xlfn.REGEXEXTRACT(CELL("address",'Raw Data'!E245),"\$([A-Z]+)\$[0-9]+"),"")</f>
        <v>$E$245</v>
      </c>
      <c r="F245" t="str" cm="1">
        <f t="array" aca="1" ref="F245" ca="1">IF('Raw Data'!F245="",_xlfn.REGEXEXTRACT(CELL("address",'Raw Data'!F245),"\$([A-Z]+)\$[0-9]+"),"")</f>
        <v>$F$245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Data'!G245="",_xlfn.REGEXEXTRACT(CELL("address",'Raw Data'!G245),"\$([A-Z]+)\$[0-9]+"),"")</f>
        <v/>
      </c>
      <c r="I245" t="str" cm="1">
        <f t="array" aca="1" ref="I245" ca="1">IF('Raw Data'!H245="",_xlfn.REGEXEXTRACT(CELL("address",'Raw Data'!H245),"\$([A-Z]+)\$[0-9]+"),"")</f>
        <v>$H$245</v>
      </c>
    </row>
    <row r="246" spans="2:9" x14ac:dyDescent="0.25">
      <c r="B246" t="str" cm="1">
        <f t="array" aca="1" ref="B246" ca="1">IF('Raw Data'!B246="",_xlfn.REGEXEXTRACT(CELL("address",'Raw Data'!B246),"\$([A-Z]+)\$[0-9]+"),"")</f>
        <v/>
      </c>
      <c r="C246" t="str" cm="1">
        <f t="array" aca="1" ref="C246" ca="1">IF('Raw Data'!C246="",_xlfn.REGEXEXTRACT(CELL("address",'Raw Data'!C246),"\$([A-Z]+)\$[0-9]+"),"")</f>
        <v/>
      </c>
      <c r="D246" t="str" cm="1">
        <f t="array" aca="1" ref="D246" ca="1">IF('Raw Data'!D246="",_xlfn.REGEXEXTRACT(CELL("address",'Raw Data'!D246),"\$([A-Z]+)\$[0-9]+"),"")</f>
        <v>$D$246</v>
      </c>
      <c r="E246" t="str" cm="1">
        <f t="array" aca="1" ref="E246" ca="1">IF('Raw Data'!E246="",_xlfn.REGEXEXTRACT(CELL("address",'Raw Data'!E246),"\$([A-Z]+)\$[0-9]+"),"")</f>
        <v>$E$246</v>
      </c>
      <c r="F246" t="str" cm="1">
        <f t="array" aca="1" ref="F246" ca="1">IF('Raw Data'!F246="",_xlfn.REGEXEXTRACT(CELL("address",'Raw Data'!F246),"\$([A-Z]+)\$[0-9]+"),"")</f>
        <v>$F$246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Data'!G246="",_xlfn.REGEXEXTRACT(CELL("address",'Raw Data'!G246),"\$([A-Z]+)\$[0-9]+"),"")</f>
        <v/>
      </c>
      <c r="I246" t="str" cm="1">
        <f t="array" aca="1" ref="I246" ca="1">IF('Raw Data'!H246="",_xlfn.REGEXEXTRACT(CELL("address",'Raw Data'!H246),"\$([A-Z]+)\$[0-9]+"),"")</f>
        <v>$H$246</v>
      </c>
    </row>
    <row r="247" spans="2:9" x14ac:dyDescent="0.25">
      <c r="B247" t="str" cm="1">
        <f t="array" aca="1" ref="B247" ca="1">IF('Raw Data'!B247="",_xlfn.REGEXEXTRACT(CELL("address",'Raw Data'!B247),"\$([A-Z]+)\$[0-9]+"),"")</f>
        <v/>
      </c>
      <c r="C247" t="str" cm="1">
        <f t="array" aca="1" ref="C247" ca="1">IF('Raw Data'!C247="",_xlfn.REGEXEXTRACT(CELL("address",'Raw Data'!C247),"\$([A-Z]+)\$[0-9]+"),"")</f>
        <v/>
      </c>
      <c r="D247" t="str" cm="1">
        <f t="array" aca="1" ref="D247" ca="1">IF('Raw Data'!D247="",_xlfn.REGEXEXTRACT(CELL("address",'Raw Data'!D247),"\$([A-Z]+)\$[0-9]+"),"")</f>
        <v>$D$247</v>
      </c>
      <c r="E247" t="str" cm="1">
        <f t="array" aca="1" ref="E247" ca="1">IF('Raw Data'!E247="",_xlfn.REGEXEXTRACT(CELL("address",'Raw Data'!E247),"\$([A-Z]+)\$[0-9]+"),"")</f>
        <v>$E$247</v>
      </c>
      <c r="F247" t="str" cm="1">
        <f t="array" aca="1" ref="F247" ca="1">IF('Raw Data'!F247="",_xlfn.REGEXEXTRACT(CELL("address",'Raw Data'!F247),"\$([A-Z]+)\$[0-9]+"),"")</f>
        <v>$F$247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Data'!G247="",_xlfn.REGEXEXTRACT(CELL("address",'Raw Data'!G247),"\$([A-Z]+)\$[0-9]+"),"")</f>
        <v/>
      </c>
      <c r="I247" t="str" cm="1">
        <f t="array" aca="1" ref="I247" ca="1">IF('Raw Data'!H247="",_xlfn.REGEXEXTRACT(CELL("address",'Raw Data'!H247),"\$([A-Z]+)\$[0-9]+"),"")</f>
        <v>$H$247</v>
      </c>
    </row>
    <row r="248" spans="2:9" x14ac:dyDescent="0.25">
      <c r="B248" t="str" cm="1">
        <f t="array" aca="1" ref="B248" ca="1">IF('Raw Data'!B248="",_xlfn.REGEXEXTRACT(CELL("address",'Raw Data'!B248),"\$([A-Z]+)\$[0-9]+"),"")</f>
        <v/>
      </c>
      <c r="C248" t="str" cm="1">
        <f t="array" aca="1" ref="C248" ca="1">IF('Raw Data'!C248="",_xlfn.REGEXEXTRACT(CELL("address",'Raw Data'!C248),"\$([A-Z]+)\$[0-9]+"),"")</f>
        <v/>
      </c>
      <c r="D248" t="str" cm="1">
        <f t="array" aca="1" ref="D248" ca="1">IF('Raw Data'!D248="",_xlfn.REGEXEXTRACT(CELL("address",'Raw Data'!D248),"\$([A-Z]+)\$[0-9]+"),"")</f>
        <v>$D$248</v>
      </c>
      <c r="E248" t="str" cm="1">
        <f t="array" aca="1" ref="E248" ca="1">IF('Raw Data'!E248="",_xlfn.REGEXEXTRACT(CELL("address",'Raw Data'!E248),"\$([A-Z]+)\$[0-9]+"),"")</f>
        <v>$E$248</v>
      </c>
      <c r="F248" t="str" cm="1">
        <f t="array" aca="1" ref="F248" ca="1">IF('Raw Data'!F248="",_xlfn.REGEXEXTRACT(CELL("address",'Raw Data'!F248),"\$([A-Z]+)\$[0-9]+"),"")</f>
        <v>$F$248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Data'!G248="",_xlfn.REGEXEXTRACT(CELL("address",'Raw Data'!G248),"\$([A-Z]+)\$[0-9]+"),"")</f>
        <v/>
      </c>
      <c r="I248" t="str" cm="1">
        <f t="array" aca="1" ref="I248" ca="1">IF('Raw Data'!H248="",_xlfn.REGEXEXTRACT(CELL("address",'Raw Data'!H248),"\$([A-Z]+)\$[0-9]+"),"")</f>
        <v>$H$248</v>
      </c>
    </row>
    <row r="249" spans="2:9" x14ac:dyDescent="0.25">
      <c r="B249" t="str" cm="1">
        <f t="array" aca="1" ref="B249" ca="1">IF('Raw Data'!B249="",_xlfn.REGEXEXTRACT(CELL("address",'Raw Data'!B249),"\$([A-Z]+)\$[0-9]+"),"")</f>
        <v/>
      </c>
      <c r="C249" t="str" cm="1">
        <f t="array" aca="1" ref="C249" ca="1">IF('Raw Data'!C249="",_xlfn.REGEXEXTRACT(CELL("address",'Raw Data'!C249),"\$([A-Z]+)\$[0-9]+"),"")</f>
        <v/>
      </c>
      <c r="D249" t="str" cm="1">
        <f t="array" aca="1" ref="D249" ca="1">IF('Raw Data'!D249="",_xlfn.REGEXEXTRACT(CELL("address",'Raw Data'!D249),"\$([A-Z]+)\$[0-9]+"),"")</f>
        <v>$D$249</v>
      </c>
      <c r="E249" t="str" cm="1">
        <f t="array" aca="1" ref="E249" ca="1">IF('Raw Data'!E249="",_xlfn.REGEXEXTRACT(CELL("address",'Raw Data'!E249),"\$([A-Z]+)\$[0-9]+"),"")</f>
        <v>$E$249</v>
      </c>
      <c r="F249" t="str" cm="1">
        <f t="array" aca="1" ref="F249" ca="1">IF('Raw Data'!F249="",_xlfn.REGEXEXTRACT(CELL("address",'Raw Data'!F249),"\$([A-Z]+)\$[0-9]+"),"")</f>
        <v>$F$249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Data'!G249="",_xlfn.REGEXEXTRACT(CELL("address",'Raw Data'!G249),"\$([A-Z]+)\$[0-9]+"),"")</f>
        <v/>
      </c>
      <c r="I249" t="str" cm="1">
        <f t="array" aca="1" ref="I249" ca="1">IF('Raw Data'!H249="",_xlfn.REGEXEXTRACT(CELL("address",'Raw Data'!H249),"\$([A-Z]+)\$[0-9]+"),"")</f>
        <v>$H$249</v>
      </c>
    </row>
    <row r="250" spans="2:9" x14ac:dyDescent="0.25">
      <c r="B250" t="str" cm="1">
        <f t="array" aca="1" ref="B250" ca="1">IF('Raw Data'!B250="",_xlfn.REGEXEXTRACT(CELL("address",'Raw Data'!B250),"\$([A-Z]+)\$[0-9]+"),"")</f>
        <v>$B$250</v>
      </c>
      <c r="C250" t="str" cm="1">
        <f t="array" aca="1" ref="C250" ca="1">IF('Raw Data'!C250="",_xlfn.REGEXEXTRACT(CELL("address",'Raw Data'!C250),"\$([A-Z]+)\$[0-9]+"),"")</f>
        <v>$C$250</v>
      </c>
      <c r="D250" t="str" cm="1">
        <f t="array" aca="1" ref="D250" ca="1">IF('Raw Data'!D250="",_xlfn.REGEXEXTRACT(CELL("address",'Raw Data'!D250),"\$([A-Z]+)\$[0-9]+"),"")</f>
        <v>$D$250</v>
      </c>
      <c r="E250" t="str" cm="1">
        <f t="array" aca="1" ref="E250" ca="1">IF('Raw Data'!E250="",_xlfn.REGEXEXTRACT(CELL("address",'Raw Data'!E250),"\$([A-Z]+)\$[0-9]+"),"")</f>
        <v>$E$250</v>
      </c>
      <c r="F250" t="str" cm="1">
        <f t="array" aca="1" ref="F250" ca="1">IF('Raw Data'!F250="",_xlfn.REGEXEXTRACT(CELL("address",'Raw Data'!F250),"\$([A-Z]+)\$[0-9]+"),"")</f>
        <v>$F$250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Data'!G250="",_xlfn.REGEXEXTRACT(CELL("address",'Raw Data'!G250),"\$([A-Z]+)\$[0-9]+"),"")</f>
        <v>$G$250</v>
      </c>
      <c r="I250" t="str" cm="1">
        <f t="array" aca="1" ref="I250" ca="1">IF('Raw Data'!H250="",_xlfn.REGEXEXTRACT(CELL("address",'Raw Data'!H250),"\$([A-Z]+)\$[0-9]+"),"")</f>
        <v>$H$250</v>
      </c>
    </row>
    <row r="251" spans="2:9" x14ac:dyDescent="0.25">
      <c r="B251" t="str" cm="1">
        <f t="array" aca="1" ref="B251" ca="1">IF('Raw Data'!B251="",_xlfn.REGEXEXTRACT(CELL("address",'Raw Data'!B251),"\$([A-Z]+)\$[0-9]+"),"")</f>
        <v>$B$251</v>
      </c>
      <c r="C251" t="str" cm="1">
        <f t="array" aca="1" ref="C251" ca="1">IF('Raw Data'!C251="",_xlfn.REGEXEXTRACT(CELL("address",'Raw Data'!C251),"\$([A-Z]+)\$[0-9]+"),"")</f>
        <v>$C$251</v>
      </c>
      <c r="D251" t="str" cm="1">
        <f t="array" aca="1" ref="D251" ca="1">IF('Raw Data'!D251="",_xlfn.REGEXEXTRACT(CELL("address",'Raw Data'!D251),"\$([A-Z]+)\$[0-9]+"),"")</f>
        <v>$D$251</v>
      </c>
      <c r="E251" t="str" cm="1">
        <f t="array" aca="1" ref="E251" ca="1">IF('Raw Data'!E251="",_xlfn.REGEXEXTRACT(CELL("address",'Raw Data'!E251),"\$([A-Z]+)\$[0-9]+"),"")</f>
        <v>$E$251</v>
      </c>
      <c r="F251" t="str" cm="1">
        <f t="array" aca="1" ref="F251" ca="1">IF('Raw Data'!F251="",_xlfn.REGEXEXTRACT(CELL("address",'Raw Data'!F251),"\$([A-Z]+)\$[0-9]+"),"")</f>
        <v>$F$251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Data'!G251="",_xlfn.REGEXEXTRACT(CELL("address",'Raw Data'!G251),"\$([A-Z]+)\$[0-9]+"),"")</f>
        <v>$G$251</v>
      </c>
      <c r="I251" t="str" cm="1">
        <f t="array" aca="1" ref="I251" ca="1">IF('Raw Data'!H251="",_xlfn.REGEXEXTRACT(CELL("address",'Raw Data'!H251),"\$([A-Z]+)\$[0-9]+"),"")</f>
        <v>$H$251</v>
      </c>
    </row>
    <row r="252" spans="2:9" x14ac:dyDescent="0.25">
      <c r="B252" t="str" cm="1">
        <f t="array" aca="1" ref="B252" ca="1">IF('Raw Data'!B252="",_xlfn.REGEXEXTRACT(CELL("address",'Raw Data'!B252),"\$([A-Z]+)\$[0-9]+"),"")</f>
        <v>$B$252</v>
      </c>
      <c r="C252" t="str" cm="1">
        <f t="array" aca="1" ref="C252" ca="1">IF('Raw Data'!C252="",_xlfn.REGEXEXTRACT(CELL("address",'Raw Data'!C252),"\$([A-Z]+)\$[0-9]+"),"")</f>
        <v>$C$252</v>
      </c>
      <c r="D252" t="str" cm="1">
        <f t="array" aca="1" ref="D252" ca="1">IF('Raw Data'!D252="",_xlfn.REGEXEXTRACT(CELL("address",'Raw Data'!D252),"\$([A-Z]+)\$[0-9]+"),"")</f>
        <v>$D$252</v>
      </c>
      <c r="E252" t="str" cm="1">
        <f t="array" aca="1" ref="E252" ca="1">IF('Raw Data'!E252="",_xlfn.REGEXEXTRACT(CELL("address",'Raw Data'!E252),"\$([A-Z]+)\$[0-9]+"),"")</f>
        <v>$E$252</v>
      </c>
      <c r="F252" t="str" cm="1">
        <f t="array" aca="1" ref="F252" ca="1">IF('Raw Data'!F252="",_xlfn.REGEXEXTRACT(CELL("address",'Raw Data'!F252),"\$([A-Z]+)\$[0-9]+"),"")</f>
        <v>$F$252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Data'!G252="",_xlfn.REGEXEXTRACT(CELL("address",'Raw Data'!G252),"\$([A-Z]+)\$[0-9]+"),"")</f>
        <v>$G$252</v>
      </c>
      <c r="I252" t="str" cm="1">
        <f t="array" aca="1" ref="I252" ca="1">IF('Raw Data'!H252="",_xlfn.REGEXEXTRACT(CELL("address",'Raw Data'!H252),"\$([A-Z]+)\$[0-9]+"),"")</f>
        <v>$H$252</v>
      </c>
    </row>
    <row r="253" spans="2:9" x14ac:dyDescent="0.25">
      <c r="B253" t="str" cm="1">
        <f t="array" aca="1" ref="B253" ca="1">IF('Raw Data'!B253="",_xlfn.REGEXEXTRACT(CELL("address",'Raw Data'!B253),"\$([A-Z]+)\$[0-9]+"),"")</f>
        <v>$B$253</v>
      </c>
      <c r="C253" t="str" cm="1">
        <f t="array" aca="1" ref="C253" ca="1">IF('Raw Data'!C253="",_xlfn.REGEXEXTRACT(CELL("address",'Raw Data'!C253),"\$([A-Z]+)\$[0-9]+"),"")</f>
        <v>$C$253</v>
      </c>
      <c r="D253" t="str" cm="1">
        <f t="array" aca="1" ref="D253" ca="1">IF('Raw Data'!D253="",_xlfn.REGEXEXTRACT(CELL("address",'Raw Data'!D253),"\$([A-Z]+)\$[0-9]+"),"")</f>
        <v>$D$253</v>
      </c>
      <c r="E253" t="str" cm="1">
        <f t="array" aca="1" ref="E253" ca="1">IF('Raw Data'!E253="",_xlfn.REGEXEXTRACT(CELL("address",'Raw Data'!E253),"\$([A-Z]+)\$[0-9]+"),"")</f>
        <v>$E$253</v>
      </c>
      <c r="F253" t="str" cm="1">
        <f t="array" aca="1" ref="F253" ca="1">IF('Raw Data'!F253="",_xlfn.REGEXEXTRACT(CELL("address",'Raw Data'!F253),"\$([A-Z]+)\$[0-9]+"),"")</f>
        <v>$F$253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Data'!G253="",_xlfn.REGEXEXTRACT(CELL("address",'Raw Data'!G253),"\$([A-Z]+)\$[0-9]+"),"")</f>
        <v>$G$253</v>
      </c>
      <c r="I253" t="str" cm="1">
        <f t="array" aca="1" ref="I253" ca="1">IF('Raw Data'!H253="",_xlfn.REGEXEXTRACT(CELL("address",'Raw Data'!H253),"\$([A-Z]+)\$[0-9]+"),"")</f>
        <v>$H$253</v>
      </c>
    </row>
    <row r="254" spans="2:9" x14ac:dyDescent="0.25">
      <c r="B254" t="str" cm="1">
        <f t="array" aca="1" ref="B254" ca="1">IF('Raw Data'!B254="",_xlfn.REGEXEXTRACT(CELL("address",'Raw Data'!B254),"\$([A-Z]+)\$[0-9]+"),"")</f>
        <v>$B$254</v>
      </c>
      <c r="C254" t="str" cm="1">
        <f t="array" aca="1" ref="C254" ca="1">IF('Raw Data'!C254="",_xlfn.REGEXEXTRACT(CELL("address",'Raw Data'!C254),"\$([A-Z]+)\$[0-9]+"),"")</f>
        <v>$C$254</v>
      </c>
      <c r="D254" t="str" cm="1">
        <f t="array" aca="1" ref="D254" ca="1">IF('Raw Data'!D254="",_xlfn.REGEXEXTRACT(CELL("address",'Raw Data'!D254),"\$([A-Z]+)\$[0-9]+"),"")</f>
        <v>$D$254</v>
      </c>
      <c r="E254" t="str" cm="1">
        <f t="array" aca="1" ref="E254" ca="1">IF('Raw Data'!E254="",_xlfn.REGEXEXTRACT(CELL("address",'Raw Data'!E254),"\$([A-Z]+)\$[0-9]+"),"")</f>
        <v>$E$254</v>
      </c>
      <c r="F254" t="str" cm="1">
        <f t="array" aca="1" ref="F254" ca="1">IF('Raw Data'!F254="",_xlfn.REGEXEXTRACT(CELL("address",'Raw Data'!F254),"\$([A-Z]+)\$[0-9]+"),"")</f>
        <v>$F$254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Data'!G254="",_xlfn.REGEXEXTRACT(CELL("address",'Raw Data'!G254),"\$([A-Z]+)\$[0-9]+"),"")</f>
        <v>$G$254</v>
      </c>
      <c r="I254" t="str" cm="1">
        <f t="array" aca="1" ref="I254" ca="1">IF('Raw Data'!H254="",_xlfn.REGEXEXTRACT(CELL("address",'Raw Data'!H254),"\$([A-Z]+)\$[0-9]+"),"")</f>
        <v>$H$254</v>
      </c>
    </row>
    <row r="255" spans="2:9" x14ac:dyDescent="0.25">
      <c r="B255" t="str" cm="1">
        <f t="array" aca="1" ref="B255" ca="1">IF('Raw Data'!B255="",_xlfn.REGEXEXTRACT(CELL("address",'Raw Data'!B255),"\$([A-Z]+)\$[0-9]+"),"")</f>
        <v>$B$255</v>
      </c>
      <c r="C255" t="str" cm="1">
        <f t="array" aca="1" ref="C255" ca="1">IF('Raw Data'!C255="",_xlfn.REGEXEXTRACT(CELL("address",'Raw Data'!C255),"\$([A-Z]+)\$[0-9]+"),"")</f>
        <v>$C$255</v>
      </c>
      <c r="D255" t="str" cm="1">
        <f t="array" aca="1" ref="D255" ca="1">IF('Raw Data'!D255="",_xlfn.REGEXEXTRACT(CELL("address",'Raw Data'!D255),"\$([A-Z]+)\$[0-9]+"),"")</f>
        <v>$D$255</v>
      </c>
      <c r="E255" t="str" cm="1">
        <f t="array" aca="1" ref="E255" ca="1">IF('Raw Data'!E255="",_xlfn.REGEXEXTRACT(CELL("address",'Raw Data'!E255),"\$([A-Z]+)\$[0-9]+"),"")</f>
        <v>$E$255</v>
      </c>
      <c r="F255" t="str" cm="1">
        <f t="array" aca="1" ref="F255" ca="1">IF('Raw Data'!F255="",_xlfn.REGEXEXTRACT(CELL("address",'Raw Data'!F255),"\$([A-Z]+)\$[0-9]+"),"")</f>
        <v>$F$255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Data'!G255="",_xlfn.REGEXEXTRACT(CELL("address",'Raw Data'!G255),"\$([A-Z]+)\$[0-9]+"),"")</f>
        <v>$G$255</v>
      </c>
      <c r="I255" t="str" cm="1">
        <f t="array" aca="1" ref="I255" ca="1">IF('Raw Data'!H255="",_xlfn.REGEXEXTRACT(CELL("address",'Raw Data'!H255),"\$([A-Z]+)\$[0-9]+"),"")</f>
        <v>$H$255</v>
      </c>
    </row>
    <row r="256" spans="2:9" x14ac:dyDescent="0.25">
      <c r="B256" t="str" cm="1">
        <f t="array" aca="1" ref="B256" ca="1">IF('Raw Data'!B256="",_xlfn.REGEXEXTRACT(CELL("address",'Raw Data'!B256),"\$([A-Z]+)\$[0-9]+"),"")</f>
        <v>$B$256</v>
      </c>
      <c r="C256" t="str" cm="1">
        <f t="array" aca="1" ref="C256" ca="1">IF('Raw Data'!C256="",_xlfn.REGEXEXTRACT(CELL("address",'Raw Data'!C256),"\$([A-Z]+)\$[0-9]+"),"")</f>
        <v>$C$256</v>
      </c>
      <c r="D256" t="str" cm="1">
        <f t="array" aca="1" ref="D256" ca="1">IF('Raw Data'!D256="",_xlfn.REGEXEXTRACT(CELL("address",'Raw Data'!D256),"\$([A-Z]+)\$[0-9]+"),"")</f>
        <v>$D$256</v>
      </c>
      <c r="E256" t="str" cm="1">
        <f t="array" aca="1" ref="E256" ca="1">IF('Raw Data'!E256="",_xlfn.REGEXEXTRACT(CELL("address",'Raw Data'!E256),"\$([A-Z]+)\$[0-9]+"),"")</f>
        <v>$E$256</v>
      </c>
      <c r="F256" t="str" cm="1">
        <f t="array" aca="1" ref="F256" ca="1">IF('Raw Data'!F256="",_xlfn.REGEXEXTRACT(CELL("address",'Raw Data'!F256),"\$([A-Z]+)\$[0-9]+"),"")</f>
        <v>$F$256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Data'!G256="",_xlfn.REGEXEXTRACT(CELL("address",'Raw Data'!G256),"\$([A-Z]+)\$[0-9]+"),"")</f>
        <v>$G$256</v>
      </c>
      <c r="I256" t="str" cm="1">
        <f t="array" aca="1" ref="I256" ca="1">IF('Raw Data'!H256="",_xlfn.REGEXEXTRACT(CELL("address",'Raw Data'!H256),"\$([A-Z]+)\$[0-9]+"),"")</f>
        <v>$H$256</v>
      </c>
    </row>
    <row r="257" spans="2:9" x14ac:dyDescent="0.25">
      <c r="B257" t="str" cm="1">
        <f t="array" aca="1" ref="B257" ca="1">IF('Raw Data'!B257="",_xlfn.REGEXEXTRACT(CELL("address",'Raw Data'!B257),"\$([A-Z]+)\$[0-9]+"),"")</f>
        <v>$B$257</v>
      </c>
      <c r="C257" t="str" cm="1">
        <f t="array" aca="1" ref="C257" ca="1">IF('Raw Data'!C257="",_xlfn.REGEXEXTRACT(CELL("address",'Raw Data'!C257),"\$([A-Z]+)\$[0-9]+"),"")</f>
        <v>$C$257</v>
      </c>
      <c r="D257" t="str" cm="1">
        <f t="array" aca="1" ref="D257" ca="1">IF('Raw Data'!D257="",_xlfn.REGEXEXTRACT(CELL("address",'Raw Data'!D257),"\$([A-Z]+)\$[0-9]+"),"")</f>
        <v>$D$257</v>
      </c>
      <c r="E257" t="str" cm="1">
        <f t="array" aca="1" ref="E257" ca="1">IF('Raw Data'!E257="",_xlfn.REGEXEXTRACT(CELL("address",'Raw Data'!E257),"\$([A-Z]+)\$[0-9]+"),"")</f>
        <v>$E$257</v>
      </c>
      <c r="F257" t="str" cm="1">
        <f t="array" aca="1" ref="F257" ca="1">IF('Raw Data'!F257="",_xlfn.REGEXEXTRACT(CELL("address",'Raw Data'!F257),"\$([A-Z]+)\$[0-9]+"),"")</f>
        <v>$F$257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Data'!G257="",_xlfn.REGEXEXTRACT(CELL("address",'Raw Data'!G257),"\$([A-Z]+)\$[0-9]+"),"")</f>
        <v>$G$257</v>
      </c>
      <c r="I257" t="str" cm="1">
        <f t="array" aca="1" ref="I257" ca="1">IF('Raw Data'!H257="",_xlfn.REGEXEXTRACT(CELL("address",'Raw Data'!H257),"\$([A-Z]+)\$[0-9]+"),"")</f>
        <v>$H$257</v>
      </c>
    </row>
    <row r="258" spans="2:9" x14ac:dyDescent="0.25">
      <c r="B258" t="str" cm="1">
        <f t="array" aca="1" ref="B258" ca="1">IF('Raw Data'!B258="",_xlfn.REGEXEXTRACT(CELL("address",'Raw Data'!B258),"\$([A-Z]+)\$[0-9]+"),"")</f>
        <v>$B$258</v>
      </c>
      <c r="C258" t="str" cm="1">
        <f t="array" aca="1" ref="C258" ca="1">IF('Raw Data'!C258="",_xlfn.REGEXEXTRACT(CELL("address",'Raw Data'!C258),"\$([A-Z]+)\$[0-9]+"),"")</f>
        <v>$C$258</v>
      </c>
      <c r="D258" t="str" cm="1">
        <f t="array" aca="1" ref="D258" ca="1">IF('Raw Data'!D258="",_xlfn.REGEXEXTRACT(CELL("address",'Raw Data'!D258),"\$([A-Z]+)\$[0-9]+"),"")</f>
        <v>$D$258</v>
      </c>
      <c r="E258" t="str" cm="1">
        <f t="array" aca="1" ref="E258" ca="1">IF('Raw Data'!E258="",_xlfn.REGEXEXTRACT(CELL("address",'Raw Data'!E258),"\$([A-Z]+)\$[0-9]+"),"")</f>
        <v>$E$258</v>
      </c>
      <c r="F258" t="str" cm="1">
        <f t="array" aca="1" ref="F258" ca="1">IF('Raw Data'!F258="",_xlfn.REGEXEXTRACT(CELL("address",'Raw Data'!F258),"\$([A-Z]+)\$[0-9]+"),"")</f>
        <v>$F$258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Data'!G258="",_xlfn.REGEXEXTRACT(CELL("address",'Raw Data'!G258),"\$([A-Z]+)\$[0-9]+"),"")</f>
        <v>$G$258</v>
      </c>
      <c r="I258" t="str" cm="1">
        <f t="array" aca="1" ref="I258" ca="1">IF('Raw Data'!H258="",_xlfn.REGEXEXTRACT(CELL("address",'Raw Data'!H258),"\$([A-Z]+)\$[0-9]+"),"")</f>
        <v>$H$258</v>
      </c>
    </row>
    <row r="259" spans="2:9" x14ac:dyDescent="0.25">
      <c r="B259" t="str" cm="1">
        <f t="array" aca="1" ref="B259" ca="1">IF('Raw Data'!B259="",_xlfn.REGEXEXTRACT(CELL("address",'Raw Data'!B259),"\$([A-Z]+)\$[0-9]+"),"")</f>
        <v>$B$259</v>
      </c>
      <c r="C259" t="str" cm="1">
        <f t="array" aca="1" ref="C259" ca="1">IF('Raw Data'!C259="",_xlfn.REGEXEXTRACT(CELL("address",'Raw Data'!C259),"\$([A-Z]+)\$[0-9]+"),"")</f>
        <v>$C$259</v>
      </c>
      <c r="D259" t="str" cm="1">
        <f t="array" aca="1" ref="D259" ca="1">IF('Raw Data'!D259="",_xlfn.REGEXEXTRACT(CELL("address",'Raw Data'!D259),"\$([A-Z]+)\$[0-9]+"),"")</f>
        <v>$D$259</v>
      </c>
      <c r="E259" t="str" cm="1">
        <f t="array" aca="1" ref="E259" ca="1">IF('Raw Data'!E259="",_xlfn.REGEXEXTRACT(CELL("address",'Raw Data'!E259),"\$([A-Z]+)\$[0-9]+"),"")</f>
        <v>$E$259</v>
      </c>
      <c r="F259" t="str" cm="1">
        <f t="array" aca="1" ref="F259" ca="1">IF('Raw Data'!F259="",_xlfn.REGEXEXTRACT(CELL("address",'Raw Data'!F259),"\$([A-Z]+)\$[0-9]+"),"")</f>
        <v>$F$259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Data'!G259="",_xlfn.REGEXEXTRACT(CELL("address",'Raw Data'!G259),"\$([A-Z]+)\$[0-9]+"),"")</f>
        <v>$G$259</v>
      </c>
      <c r="I259" t="str" cm="1">
        <f t="array" aca="1" ref="I259" ca="1">IF('Raw Data'!H259="",_xlfn.REGEXEXTRACT(CELL("address",'Raw Data'!H259),"\$([A-Z]+)\$[0-9]+"),"")</f>
        <v>$H$259</v>
      </c>
    </row>
    <row r="260" spans="2:9" x14ac:dyDescent="0.25">
      <c r="B260" t="str" cm="1">
        <f t="array" aca="1" ref="B260" ca="1">IF('Raw Data'!B260="",_xlfn.REGEXEXTRACT(CELL("address",'Raw Data'!B260),"\$([A-Z]+)\$[0-9]+"),"")</f>
        <v>$B$260</v>
      </c>
      <c r="C260" t="str" cm="1">
        <f t="array" aca="1" ref="C260" ca="1">IF('Raw Data'!C260="",_xlfn.REGEXEXTRACT(CELL("address",'Raw Data'!C260),"\$([A-Z]+)\$[0-9]+"),"")</f>
        <v>$C$260</v>
      </c>
      <c r="D260" t="str" cm="1">
        <f t="array" aca="1" ref="D260" ca="1">IF('Raw Data'!D260="",_xlfn.REGEXEXTRACT(CELL("address",'Raw Data'!D260),"\$([A-Z]+)\$[0-9]+"),"")</f>
        <v>$D$260</v>
      </c>
      <c r="E260" t="str" cm="1">
        <f t="array" aca="1" ref="E260" ca="1">IF('Raw Data'!E260="",_xlfn.REGEXEXTRACT(CELL("address",'Raw Data'!E260),"\$([A-Z]+)\$[0-9]+"),"")</f>
        <v>$E$260</v>
      </c>
      <c r="F260" t="str" cm="1">
        <f t="array" aca="1" ref="F260" ca="1">IF('Raw Data'!F260="",_xlfn.REGEXEXTRACT(CELL("address",'Raw Data'!F260),"\$([A-Z]+)\$[0-9]+"),"")</f>
        <v>$F$260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Data'!G260="",_xlfn.REGEXEXTRACT(CELL("address",'Raw Data'!G260),"\$([A-Z]+)\$[0-9]+"),"")</f>
        <v>$G$260</v>
      </c>
      <c r="I260" t="str" cm="1">
        <f t="array" aca="1" ref="I260" ca="1">IF('Raw Data'!H260="",_xlfn.REGEXEXTRACT(CELL("address",'Raw Data'!H260),"\$([A-Z]+)\$[0-9]+"),"")</f>
        <v>$H$260</v>
      </c>
    </row>
    <row r="261" spans="2:9" x14ac:dyDescent="0.25">
      <c r="B261" t="str" cm="1">
        <f t="array" aca="1" ref="B261" ca="1">IF('Raw Data'!B261="",_xlfn.REGEXEXTRACT(CELL("address",'Raw Data'!B261),"\$([A-Z]+)\$[0-9]+"),"")</f>
        <v>$B$261</v>
      </c>
      <c r="C261" t="str" cm="1">
        <f t="array" aca="1" ref="C261" ca="1">IF('Raw Data'!C261="",_xlfn.REGEXEXTRACT(CELL("address",'Raw Data'!C261),"\$([A-Z]+)\$[0-9]+"),"")</f>
        <v>$C$261</v>
      </c>
      <c r="D261" t="str" cm="1">
        <f t="array" aca="1" ref="D261" ca="1">IF('Raw Data'!D261="",_xlfn.REGEXEXTRACT(CELL("address",'Raw Data'!D261),"\$([A-Z]+)\$[0-9]+"),"")</f>
        <v>$D$261</v>
      </c>
      <c r="E261" t="str" cm="1">
        <f t="array" aca="1" ref="E261" ca="1">IF('Raw Data'!E261="",_xlfn.REGEXEXTRACT(CELL("address",'Raw Data'!E261),"\$([A-Z]+)\$[0-9]+"),"")</f>
        <v>$E$261</v>
      </c>
      <c r="F261" t="str" cm="1">
        <f t="array" aca="1" ref="F261" ca="1">IF('Raw Data'!F261="",_xlfn.REGEXEXTRACT(CELL("address",'Raw Data'!F261),"\$([A-Z]+)\$[0-9]+"),"")</f>
        <v>$F$261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Data'!G261="",_xlfn.REGEXEXTRACT(CELL("address",'Raw Data'!G261),"\$([A-Z]+)\$[0-9]+"),"")</f>
        <v>$G$261</v>
      </c>
      <c r="I261" t="str" cm="1">
        <f t="array" aca="1" ref="I261" ca="1">IF('Raw Data'!H261="",_xlfn.REGEXEXTRACT(CELL("address",'Raw Data'!H261),"\$([A-Z]+)\$[0-9]+"),"")</f>
        <v>$H$261</v>
      </c>
    </row>
    <row r="262" spans="2:9" x14ac:dyDescent="0.25">
      <c r="B262" t="str" cm="1">
        <f t="array" aca="1" ref="B262" ca="1">IF('Raw Data'!B262="",_xlfn.REGEXEXTRACT(CELL("address",'Raw Data'!B262),"\$([A-Z]+)\$[0-9]+"),"")</f>
        <v>$B$262</v>
      </c>
      <c r="C262" t="str" cm="1">
        <f t="array" aca="1" ref="C262" ca="1">IF('Raw Data'!C262="",_xlfn.REGEXEXTRACT(CELL("address",'Raw Data'!C262),"\$([A-Z]+)\$[0-9]+"),"")</f>
        <v>$C$262</v>
      </c>
      <c r="D262" t="str" cm="1">
        <f t="array" aca="1" ref="D262" ca="1">IF('Raw Data'!D262="",_xlfn.REGEXEXTRACT(CELL("address",'Raw Data'!D262),"\$([A-Z]+)\$[0-9]+"),"")</f>
        <v>$D$262</v>
      </c>
      <c r="E262" t="str" cm="1">
        <f t="array" aca="1" ref="E262" ca="1">IF('Raw Data'!E262="",_xlfn.REGEXEXTRACT(CELL("address",'Raw Data'!E262),"\$([A-Z]+)\$[0-9]+"),"")</f>
        <v>$E$262</v>
      </c>
      <c r="F262" t="str" cm="1">
        <f t="array" aca="1" ref="F262" ca="1">IF('Raw Data'!F262="",_xlfn.REGEXEXTRACT(CELL("address",'Raw Data'!F262),"\$([A-Z]+)\$[0-9]+"),"")</f>
        <v>$F$262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Data'!G262="",_xlfn.REGEXEXTRACT(CELL("address",'Raw Data'!G262),"\$([A-Z]+)\$[0-9]+"),"")</f>
        <v>$G$262</v>
      </c>
      <c r="I262" t="str" cm="1">
        <f t="array" aca="1" ref="I262" ca="1">IF('Raw Data'!H262="",_xlfn.REGEXEXTRACT(CELL("address",'Raw Data'!H262),"\$([A-Z]+)\$[0-9]+"),"")</f>
        <v>$H$262</v>
      </c>
    </row>
    <row r="263" spans="2:9" x14ac:dyDescent="0.25">
      <c r="B263" t="str" cm="1">
        <f t="array" aca="1" ref="B263" ca="1">IF('Raw Data'!B263="",_xlfn.REGEXEXTRACT(CELL("address",'Raw Data'!B263),"\$([A-Z]+)\$[0-9]+"),"")</f>
        <v>$B$263</v>
      </c>
      <c r="C263" t="str" cm="1">
        <f t="array" aca="1" ref="C263" ca="1">IF('Raw Data'!C263="",_xlfn.REGEXEXTRACT(CELL("address",'Raw Data'!C263),"\$([A-Z]+)\$[0-9]+"),"")</f>
        <v>$C$263</v>
      </c>
      <c r="D263" t="str" cm="1">
        <f t="array" aca="1" ref="D263" ca="1">IF('Raw Data'!D263="",_xlfn.REGEXEXTRACT(CELL("address",'Raw Data'!D263),"\$([A-Z]+)\$[0-9]+"),"")</f>
        <v>$D$263</v>
      </c>
      <c r="E263" t="str" cm="1">
        <f t="array" aca="1" ref="E263" ca="1">IF('Raw Data'!E263="",_xlfn.REGEXEXTRACT(CELL("address",'Raw Data'!E263),"\$([A-Z]+)\$[0-9]+"),"")</f>
        <v>$E$263</v>
      </c>
      <c r="F263" t="str" cm="1">
        <f t="array" aca="1" ref="F263" ca="1">IF('Raw Data'!F263="",_xlfn.REGEXEXTRACT(CELL("address",'Raw Data'!F263),"\$([A-Z]+)\$[0-9]+"),"")</f>
        <v>$F$263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Data'!G263="",_xlfn.REGEXEXTRACT(CELL("address",'Raw Data'!G263),"\$([A-Z]+)\$[0-9]+"),"")</f>
        <v>$G$263</v>
      </c>
      <c r="I263" t="str" cm="1">
        <f t="array" aca="1" ref="I263" ca="1">IF('Raw Data'!H263="",_xlfn.REGEXEXTRACT(CELL("address",'Raw Data'!H263),"\$([A-Z]+)\$[0-9]+"),"")</f>
        <v>$H$263</v>
      </c>
    </row>
    <row r="264" spans="2:9" x14ac:dyDescent="0.25">
      <c r="B264" t="str" cm="1">
        <f t="array" aca="1" ref="B264" ca="1">IF('Raw Data'!B264="",_xlfn.REGEXEXTRACT(CELL("address",'Raw Data'!B264),"\$([A-Z]+)\$[0-9]+"),"")</f>
        <v>$B$264</v>
      </c>
      <c r="C264" t="str" cm="1">
        <f t="array" aca="1" ref="C264" ca="1">IF('Raw Data'!C264="",_xlfn.REGEXEXTRACT(CELL("address",'Raw Data'!C264),"\$([A-Z]+)\$[0-9]+"),"")</f>
        <v>$C$264</v>
      </c>
      <c r="D264" t="str" cm="1">
        <f t="array" aca="1" ref="D264" ca="1">IF('Raw Data'!D264="",_xlfn.REGEXEXTRACT(CELL("address",'Raw Data'!D264),"\$([A-Z]+)\$[0-9]+"),"")</f>
        <v>$D$264</v>
      </c>
      <c r="E264" t="str" cm="1">
        <f t="array" aca="1" ref="E264" ca="1">IF('Raw Data'!E264="",_xlfn.REGEXEXTRACT(CELL("address",'Raw Data'!E264),"\$([A-Z]+)\$[0-9]+"),"")</f>
        <v>$E$264</v>
      </c>
      <c r="F264" t="str" cm="1">
        <f t="array" aca="1" ref="F264" ca="1">IF('Raw Data'!F264="",_xlfn.REGEXEXTRACT(CELL("address",'Raw Data'!F264),"\$([A-Z]+)\$[0-9]+"),"")</f>
        <v>$F$264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Data'!G264="",_xlfn.REGEXEXTRACT(CELL("address",'Raw Data'!G264),"\$([A-Z]+)\$[0-9]+"),"")</f>
        <v>$G$264</v>
      </c>
      <c r="I264" t="str" cm="1">
        <f t="array" aca="1" ref="I264" ca="1">IF('Raw Data'!H264="",_xlfn.REGEXEXTRACT(CELL("address",'Raw Data'!H264),"\$([A-Z]+)\$[0-9]+"),"")</f>
        <v>$H$264</v>
      </c>
    </row>
    <row r="265" spans="2:9" x14ac:dyDescent="0.25">
      <c r="B265" t="str" cm="1">
        <f t="array" aca="1" ref="B265" ca="1">IF('Raw Data'!B265="",_xlfn.REGEXEXTRACT(CELL("address",'Raw Data'!B265),"\$([A-Z]+)\$[0-9]+"),"")</f>
        <v>$B$265</v>
      </c>
      <c r="C265" t="str" cm="1">
        <f t="array" aca="1" ref="C265" ca="1">IF('Raw Data'!C265="",_xlfn.REGEXEXTRACT(CELL("address",'Raw Data'!C265),"\$([A-Z]+)\$[0-9]+"),"")</f>
        <v>$C$265</v>
      </c>
      <c r="D265" t="str" cm="1">
        <f t="array" aca="1" ref="D265" ca="1">IF('Raw Data'!D265="",_xlfn.REGEXEXTRACT(CELL("address",'Raw Data'!D265),"\$([A-Z]+)\$[0-9]+"),"")</f>
        <v>$D$265</v>
      </c>
      <c r="E265" t="str" cm="1">
        <f t="array" aca="1" ref="E265" ca="1">IF('Raw Data'!E265="",_xlfn.REGEXEXTRACT(CELL("address",'Raw Data'!E265),"\$([A-Z]+)\$[0-9]+"),"")</f>
        <v>$E$265</v>
      </c>
      <c r="F265" t="str" cm="1">
        <f t="array" aca="1" ref="F265" ca="1">IF('Raw Data'!F265="",_xlfn.REGEXEXTRACT(CELL("address",'Raw Data'!F265),"\$([A-Z]+)\$[0-9]+"),"")</f>
        <v>$F$265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Data'!G265="",_xlfn.REGEXEXTRACT(CELL("address",'Raw Data'!G265),"\$([A-Z]+)\$[0-9]+"),"")</f>
        <v>$G$265</v>
      </c>
      <c r="I265" t="str" cm="1">
        <f t="array" aca="1" ref="I265" ca="1">IF('Raw Data'!H265="",_xlfn.REGEXEXTRACT(CELL("address",'Raw Data'!H265),"\$([A-Z]+)\$[0-9]+"),"")</f>
        <v>$H$265</v>
      </c>
    </row>
    <row r="266" spans="2:9" x14ac:dyDescent="0.25">
      <c r="B266" t="str" cm="1">
        <f t="array" aca="1" ref="B266" ca="1">IF('Raw Data'!B266="",_xlfn.REGEXEXTRACT(CELL("address",'Raw Data'!B266),"\$([A-Z]+)\$[0-9]+"),"")</f>
        <v>$B$266</v>
      </c>
      <c r="C266" t="str" cm="1">
        <f t="array" aca="1" ref="C266" ca="1">IF('Raw Data'!C266="",_xlfn.REGEXEXTRACT(CELL("address",'Raw Data'!C266),"\$([A-Z]+)\$[0-9]+"),"")</f>
        <v>$C$266</v>
      </c>
      <c r="D266" t="str" cm="1">
        <f t="array" aca="1" ref="D266" ca="1">IF('Raw Data'!D266="",_xlfn.REGEXEXTRACT(CELL("address",'Raw Data'!D266),"\$([A-Z]+)\$[0-9]+"),"")</f>
        <v>$D$266</v>
      </c>
      <c r="E266" t="str" cm="1">
        <f t="array" aca="1" ref="E266" ca="1">IF('Raw Data'!E266="",_xlfn.REGEXEXTRACT(CELL("address",'Raw Data'!E266),"\$([A-Z]+)\$[0-9]+"),"")</f>
        <v>$E$266</v>
      </c>
      <c r="F266" t="str" cm="1">
        <f t="array" aca="1" ref="F266" ca="1">IF('Raw Data'!F266="",_xlfn.REGEXEXTRACT(CELL("address",'Raw Data'!F266),"\$([A-Z]+)\$[0-9]+"),"")</f>
        <v>$F$266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Data'!G266="",_xlfn.REGEXEXTRACT(CELL("address",'Raw Data'!G266),"\$([A-Z]+)\$[0-9]+"),"")</f>
        <v>$G$266</v>
      </c>
      <c r="I266" t="str" cm="1">
        <f t="array" aca="1" ref="I266" ca="1">IF('Raw Data'!H266="",_xlfn.REGEXEXTRACT(CELL("address",'Raw Data'!H266),"\$([A-Z]+)\$[0-9]+"),"")</f>
        <v>$H$266</v>
      </c>
    </row>
    <row r="267" spans="2:9" x14ac:dyDescent="0.25">
      <c r="B267" t="str" cm="1">
        <f t="array" aca="1" ref="B267" ca="1">IF('Raw Data'!B267="",_xlfn.REGEXEXTRACT(CELL("address",'Raw Data'!B267),"\$([A-Z]+)\$[0-9]+"),"")</f>
        <v>$B$267</v>
      </c>
      <c r="C267" t="str" cm="1">
        <f t="array" aca="1" ref="C267" ca="1">IF('Raw Data'!C267="",_xlfn.REGEXEXTRACT(CELL("address",'Raw Data'!C267),"\$([A-Z]+)\$[0-9]+"),"")</f>
        <v>$C$267</v>
      </c>
      <c r="D267" t="str" cm="1">
        <f t="array" aca="1" ref="D267" ca="1">IF('Raw Data'!D267="",_xlfn.REGEXEXTRACT(CELL("address",'Raw Data'!D267),"\$([A-Z]+)\$[0-9]+"),"")</f>
        <v>$D$267</v>
      </c>
      <c r="E267" t="str" cm="1">
        <f t="array" aca="1" ref="E267" ca="1">IF('Raw Data'!E267="",_xlfn.REGEXEXTRACT(CELL("address",'Raw Data'!E267),"\$([A-Z]+)\$[0-9]+"),"")</f>
        <v>$E$267</v>
      </c>
      <c r="F267" t="str" cm="1">
        <f t="array" aca="1" ref="F267" ca="1">IF('Raw Data'!F267="",_xlfn.REGEXEXTRACT(CELL("address",'Raw Data'!F267),"\$([A-Z]+)\$[0-9]+"),"")</f>
        <v>$F$267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Data'!G267="",_xlfn.REGEXEXTRACT(CELL("address",'Raw Data'!G267),"\$([A-Z]+)\$[0-9]+"),"")</f>
        <v>$G$267</v>
      </c>
      <c r="I267" t="str" cm="1">
        <f t="array" aca="1" ref="I267" ca="1">IF('Raw Data'!H267="",_xlfn.REGEXEXTRACT(CELL("address",'Raw Data'!H267),"\$([A-Z]+)\$[0-9]+"),"")</f>
        <v>$H$267</v>
      </c>
    </row>
    <row r="268" spans="2:9" x14ac:dyDescent="0.25">
      <c r="B268" t="str" cm="1">
        <f t="array" aca="1" ref="B268" ca="1">IF('Raw Data'!B268="",_xlfn.REGEXEXTRACT(CELL("address",'Raw Data'!B268),"\$([A-Z]+)\$[0-9]+"),"")</f>
        <v>$B$268</v>
      </c>
      <c r="C268" t="str" cm="1">
        <f t="array" aca="1" ref="C268" ca="1">IF('Raw Data'!C268="",_xlfn.REGEXEXTRACT(CELL("address",'Raw Data'!C268),"\$([A-Z]+)\$[0-9]+"),"")</f>
        <v>$C$268</v>
      </c>
      <c r="D268" t="str" cm="1">
        <f t="array" aca="1" ref="D268" ca="1">IF('Raw Data'!D268="",_xlfn.REGEXEXTRACT(CELL("address",'Raw Data'!D268),"\$([A-Z]+)\$[0-9]+"),"")</f>
        <v>$D$268</v>
      </c>
      <c r="E268" t="str" cm="1">
        <f t="array" aca="1" ref="E268" ca="1">IF('Raw Data'!E268="",_xlfn.REGEXEXTRACT(CELL("address",'Raw Data'!E268),"\$([A-Z]+)\$[0-9]+"),"")</f>
        <v>$E$268</v>
      </c>
      <c r="F268" t="str" cm="1">
        <f t="array" aca="1" ref="F268" ca="1">IF('Raw Data'!F268="",_xlfn.REGEXEXTRACT(CELL("address",'Raw Data'!F268),"\$([A-Z]+)\$[0-9]+"),"")</f>
        <v>$F$268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Data'!G268="",_xlfn.REGEXEXTRACT(CELL("address",'Raw Data'!G268),"\$([A-Z]+)\$[0-9]+"),"")</f>
        <v>$G$268</v>
      </c>
      <c r="I268" t="str" cm="1">
        <f t="array" aca="1" ref="I268" ca="1">IF('Raw Data'!H268="",_xlfn.REGEXEXTRACT(CELL("address",'Raw Data'!H268),"\$([A-Z]+)\$[0-9]+"),"")</f>
        <v>$H$268</v>
      </c>
    </row>
    <row r="269" spans="2:9" x14ac:dyDescent="0.25">
      <c r="B269" t="str" cm="1">
        <f t="array" aca="1" ref="B269" ca="1">IF('Raw Data'!B269="",_xlfn.REGEXEXTRACT(CELL("address",'Raw Data'!B269),"\$([A-Z]+)\$[0-9]+"),"")</f>
        <v>$B$269</v>
      </c>
      <c r="C269" t="str" cm="1">
        <f t="array" aca="1" ref="C269" ca="1">IF('Raw Data'!C269="",_xlfn.REGEXEXTRACT(CELL("address",'Raw Data'!C269),"\$([A-Z]+)\$[0-9]+"),"")</f>
        <v>$C$269</v>
      </c>
      <c r="D269" t="str" cm="1">
        <f t="array" aca="1" ref="D269" ca="1">IF('Raw Data'!D269="",_xlfn.REGEXEXTRACT(CELL("address",'Raw Data'!D269),"\$([A-Z]+)\$[0-9]+"),"")</f>
        <v>$D$269</v>
      </c>
      <c r="E269" t="str" cm="1">
        <f t="array" aca="1" ref="E269" ca="1">IF('Raw Data'!E269="",_xlfn.REGEXEXTRACT(CELL("address",'Raw Data'!E269),"\$([A-Z]+)\$[0-9]+"),"")</f>
        <v>$E$269</v>
      </c>
      <c r="F269" t="str" cm="1">
        <f t="array" aca="1" ref="F269" ca="1">IF('Raw Data'!F269="",_xlfn.REGEXEXTRACT(CELL("address",'Raw Data'!F269),"\$([A-Z]+)\$[0-9]+"),"")</f>
        <v>$F$269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Data'!G269="",_xlfn.REGEXEXTRACT(CELL("address",'Raw Data'!G269),"\$([A-Z]+)\$[0-9]+"),"")</f>
        <v>$G$269</v>
      </c>
      <c r="I269" t="str" cm="1">
        <f t="array" aca="1" ref="I269" ca="1">IF('Raw Data'!H269="",_xlfn.REGEXEXTRACT(CELL("address",'Raw Data'!H269),"\$([A-Z]+)\$[0-9]+"),"")</f>
        <v>$H$269</v>
      </c>
    </row>
    <row r="270" spans="2:9" x14ac:dyDescent="0.25">
      <c r="B270" t="str" cm="1">
        <f t="array" aca="1" ref="B270" ca="1">IF('Raw Data'!B270="",_xlfn.REGEXEXTRACT(CELL("address",'Raw Data'!B270),"\$([A-Z]+)\$[0-9]+"),"")</f>
        <v>$B$270</v>
      </c>
      <c r="C270" t="str" cm="1">
        <f t="array" aca="1" ref="C270" ca="1">IF('Raw Data'!C270="",_xlfn.REGEXEXTRACT(CELL("address",'Raw Data'!C270),"\$([A-Z]+)\$[0-9]+"),"")</f>
        <v>$C$270</v>
      </c>
      <c r="D270" t="str" cm="1">
        <f t="array" aca="1" ref="D270" ca="1">IF('Raw Data'!D270="",_xlfn.REGEXEXTRACT(CELL("address",'Raw Data'!D270),"\$([A-Z]+)\$[0-9]+"),"")</f>
        <v>$D$270</v>
      </c>
      <c r="E270" t="str" cm="1">
        <f t="array" aca="1" ref="E270" ca="1">IF('Raw Data'!E270="",_xlfn.REGEXEXTRACT(CELL("address",'Raw Data'!E270),"\$([A-Z]+)\$[0-9]+"),"")</f>
        <v>$E$270</v>
      </c>
      <c r="F270" t="str" cm="1">
        <f t="array" aca="1" ref="F270" ca="1">IF('Raw Data'!F270="",_xlfn.REGEXEXTRACT(CELL("address",'Raw Data'!F270),"\$([A-Z]+)\$[0-9]+"),"")</f>
        <v>$F$270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Data'!G270="",_xlfn.REGEXEXTRACT(CELL("address",'Raw Data'!G270),"\$([A-Z]+)\$[0-9]+"),"")</f>
        <v>$G$270</v>
      </c>
      <c r="I270" t="str" cm="1">
        <f t="array" aca="1" ref="I270" ca="1">IF('Raw Data'!H270="",_xlfn.REGEXEXTRACT(CELL("address",'Raw Data'!H270),"\$([A-Z]+)\$[0-9]+"),"")</f>
        <v>$H$270</v>
      </c>
    </row>
    <row r="271" spans="2:9" x14ac:dyDescent="0.25">
      <c r="B271" t="str" cm="1">
        <f t="array" aca="1" ref="B271" ca="1">IF('Raw Data'!B271="",_xlfn.REGEXEXTRACT(CELL("address",'Raw Data'!B271),"\$([A-Z]+)\$[0-9]+"),"")</f>
        <v>$B$271</v>
      </c>
      <c r="C271" t="str" cm="1">
        <f t="array" aca="1" ref="C271" ca="1">IF('Raw Data'!C271="",_xlfn.REGEXEXTRACT(CELL("address",'Raw Data'!C271),"\$([A-Z]+)\$[0-9]+"),"")</f>
        <v>$C$271</v>
      </c>
      <c r="D271" t="str" cm="1">
        <f t="array" aca="1" ref="D271" ca="1">IF('Raw Data'!D271="",_xlfn.REGEXEXTRACT(CELL("address",'Raw Data'!D271),"\$([A-Z]+)\$[0-9]+"),"")</f>
        <v>$D$271</v>
      </c>
      <c r="E271" t="str" cm="1">
        <f t="array" aca="1" ref="E271" ca="1">IF('Raw Data'!E271="",_xlfn.REGEXEXTRACT(CELL("address",'Raw Data'!E271),"\$([A-Z]+)\$[0-9]+"),"")</f>
        <v>$E$271</v>
      </c>
      <c r="F271" t="str" cm="1">
        <f t="array" aca="1" ref="F271" ca="1">IF('Raw Data'!F271="",_xlfn.REGEXEXTRACT(CELL("address",'Raw Data'!F271),"\$([A-Z]+)\$[0-9]+"),"")</f>
        <v>$F$271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Data'!G271="",_xlfn.REGEXEXTRACT(CELL("address",'Raw Data'!G271),"\$([A-Z]+)\$[0-9]+"),"")</f>
        <v>$G$271</v>
      </c>
      <c r="I271" t="str" cm="1">
        <f t="array" aca="1" ref="I271" ca="1">IF('Raw Data'!H271="",_xlfn.REGEXEXTRACT(CELL("address",'Raw Data'!H271),"\$([A-Z]+)\$[0-9]+"),"")</f>
        <v>$H$271</v>
      </c>
    </row>
    <row r="272" spans="2:9" x14ac:dyDescent="0.25">
      <c r="B272" t="str" cm="1">
        <f t="array" aca="1" ref="B272" ca="1">IF('Raw Data'!B272="",_xlfn.REGEXEXTRACT(CELL("address",'Raw Data'!B272),"\$([A-Z]+)\$[0-9]+"),"")</f>
        <v>$B$272</v>
      </c>
      <c r="C272" t="str" cm="1">
        <f t="array" aca="1" ref="C272" ca="1">IF('Raw Data'!C272="",_xlfn.REGEXEXTRACT(CELL("address",'Raw Data'!C272),"\$([A-Z]+)\$[0-9]+"),"")</f>
        <v>$C$272</v>
      </c>
      <c r="D272" t="str" cm="1">
        <f t="array" aca="1" ref="D272" ca="1">IF('Raw Data'!D272="",_xlfn.REGEXEXTRACT(CELL("address",'Raw Data'!D272),"\$([A-Z]+)\$[0-9]+"),"")</f>
        <v>$D$272</v>
      </c>
      <c r="E272" t="str" cm="1">
        <f t="array" aca="1" ref="E272" ca="1">IF('Raw Data'!E272="",_xlfn.REGEXEXTRACT(CELL("address",'Raw Data'!E272),"\$([A-Z]+)\$[0-9]+"),"")</f>
        <v>$E$272</v>
      </c>
      <c r="F272" t="str" cm="1">
        <f t="array" aca="1" ref="F272" ca="1">IF('Raw Data'!F272="",_xlfn.REGEXEXTRACT(CELL("address",'Raw Data'!F272),"\$([A-Z]+)\$[0-9]+"),"")</f>
        <v>$F$272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Data'!G272="",_xlfn.REGEXEXTRACT(CELL("address",'Raw Data'!G272),"\$([A-Z]+)\$[0-9]+"),"")</f>
        <v>$G$272</v>
      </c>
      <c r="I272" t="str" cm="1">
        <f t="array" aca="1" ref="I272" ca="1">IF('Raw Data'!H272="",_xlfn.REGEXEXTRACT(CELL("address",'Raw Data'!H272),"\$([A-Z]+)\$[0-9]+"),"")</f>
        <v>$H$272</v>
      </c>
    </row>
    <row r="273" spans="2:9" x14ac:dyDescent="0.25">
      <c r="B273" t="str" cm="1">
        <f t="array" aca="1" ref="B273" ca="1">IF('Raw Data'!B273="",_xlfn.REGEXEXTRACT(CELL("address",'Raw Data'!B273),"\$([A-Z]+)\$[0-9]+"),"")</f>
        <v>$B$273</v>
      </c>
      <c r="C273" t="str" cm="1">
        <f t="array" aca="1" ref="C273" ca="1">IF('Raw Data'!C273="",_xlfn.REGEXEXTRACT(CELL("address",'Raw Data'!C273),"\$([A-Z]+)\$[0-9]+"),"")</f>
        <v>$C$273</v>
      </c>
      <c r="D273" t="str" cm="1">
        <f t="array" aca="1" ref="D273" ca="1">IF('Raw Data'!D273="",_xlfn.REGEXEXTRACT(CELL("address",'Raw Data'!D273),"\$([A-Z]+)\$[0-9]+"),"")</f>
        <v>$D$273</v>
      </c>
      <c r="E273" t="str" cm="1">
        <f t="array" aca="1" ref="E273" ca="1">IF('Raw Data'!E273="",_xlfn.REGEXEXTRACT(CELL("address",'Raw Data'!E273),"\$([A-Z]+)\$[0-9]+"),"")</f>
        <v>$E$273</v>
      </c>
      <c r="F273" t="str" cm="1">
        <f t="array" aca="1" ref="F273" ca="1">IF('Raw Data'!F273="",_xlfn.REGEXEXTRACT(CELL("address",'Raw Data'!F273),"\$([A-Z]+)\$[0-9]+"),"")</f>
        <v>$F$273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Data'!G273="",_xlfn.REGEXEXTRACT(CELL("address",'Raw Data'!G273),"\$([A-Z]+)\$[0-9]+"),"")</f>
        <v>$G$273</v>
      </c>
      <c r="I273" t="str" cm="1">
        <f t="array" aca="1" ref="I273" ca="1">IF('Raw Data'!H273="",_xlfn.REGEXEXTRACT(CELL("address",'Raw Data'!H273),"\$([A-Z]+)\$[0-9]+"),"")</f>
        <v>$H$273</v>
      </c>
    </row>
    <row r="274" spans="2:9" x14ac:dyDescent="0.25">
      <c r="B274" t="str" cm="1">
        <f t="array" aca="1" ref="B274" ca="1">IF('Raw Data'!B274="",_xlfn.REGEXEXTRACT(CELL("address",'Raw Data'!B274),"\$([A-Z]+)\$[0-9]+"),"")</f>
        <v>$B$274</v>
      </c>
      <c r="C274" t="str" cm="1">
        <f t="array" aca="1" ref="C274" ca="1">IF('Raw Data'!C274="",_xlfn.REGEXEXTRACT(CELL("address",'Raw Data'!C274),"\$([A-Z]+)\$[0-9]+"),"")</f>
        <v>$C$274</v>
      </c>
      <c r="D274" t="str" cm="1">
        <f t="array" aca="1" ref="D274" ca="1">IF('Raw Data'!D274="",_xlfn.REGEXEXTRACT(CELL("address",'Raw Data'!D274),"\$([A-Z]+)\$[0-9]+"),"")</f>
        <v>$D$274</v>
      </c>
      <c r="E274" t="str" cm="1">
        <f t="array" aca="1" ref="E274" ca="1">IF('Raw Data'!E274="",_xlfn.REGEXEXTRACT(CELL("address",'Raw Data'!E274),"\$([A-Z]+)\$[0-9]+"),"")</f>
        <v>$E$274</v>
      </c>
      <c r="F274" t="str" cm="1">
        <f t="array" aca="1" ref="F274" ca="1">IF('Raw Data'!F274="",_xlfn.REGEXEXTRACT(CELL("address",'Raw Data'!F274),"\$([A-Z]+)\$[0-9]+"),"")</f>
        <v>$F$274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Data'!G274="",_xlfn.REGEXEXTRACT(CELL("address",'Raw Data'!G274),"\$([A-Z]+)\$[0-9]+"),"")</f>
        <v>$G$274</v>
      </c>
      <c r="I274" t="str" cm="1">
        <f t="array" aca="1" ref="I274" ca="1">IF('Raw Data'!H274="",_xlfn.REGEXEXTRACT(CELL("address",'Raw Data'!H274),"\$([A-Z]+)\$[0-9]+"),"")</f>
        <v>$H$274</v>
      </c>
    </row>
    <row r="275" spans="2:9" x14ac:dyDescent="0.25">
      <c r="B275" t="str" cm="1">
        <f t="array" aca="1" ref="B275" ca="1">IF('Raw Data'!B275="",_xlfn.REGEXEXTRACT(CELL("address",'Raw Data'!B275),"\$([A-Z]+)\$[0-9]+"),"")</f>
        <v>$B$275</v>
      </c>
      <c r="C275" t="str" cm="1">
        <f t="array" aca="1" ref="C275" ca="1">IF('Raw Data'!C275="",_xlfn.REGEXEXTRACT(CELL("address",'Raw Data'!C275),"\$([A-Z]+)\$[0-9]+"),"")</f>
        <v>$C$275</v>
      </c>
      <c r="D275" t="str" cm="1">
        <f t="array" aca="1" ref="D275" ca="1">IF('Raw Data'!D275="",_xlfn.REGEXEXTRACT(CELL("address",'Raw Data'!D275),"\$([A-Z]+)\$[0-9]+"),"")</f>
        <v>$D$275</v>
      </c>
      <c r="E275" t="str" cm="1">
        <f t="array" aca="1" ref="E275" ca="1">IF('Raw Data'!E275="",_xlfn.REGEXEXTRACT(CELL("address",'Raw Data'!E275),"\$([A-Z]+)\$[0-9]+"),"")</f>
        <v>$E$275</v>
      </c>
      <c r="F275" t="str" cm="1">
        <f t="array" aca="1" ref="F275" ca="1">IF('Raw Data'!F275="",_xlfn.REGEXEXTRACT(CELL("address",'Raw Data'!F275),"\$([A-Z]+)\$[0-9]+"),"")</f>
        <v>$F$275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Data'!G275="",_xlfn.REGEXEXTRACT(CELL("address",'Raw Data'!G275),"\$([A-Z]+)\$[0-9]+"),"")</f>
        <v>$G$275</v>
      </c>
      <c r="I275" t="str" cm="1">
        <f t="array" aca="1" ref="I275" ca="1">IF('Raw Data'!H275="",_xlfn.REGEXEXTRACT(CELL("address",'Raw Data'!H275),"\$([A-Z]+)\$[0-9]+"),"")</f>
        <v>$H$275</v>
      </c>
    </row>
    <row r="276" spans="2:9" x14ac:dyDescent="0.25">
      <c r="B276" t="str" cm="1">
        <f t="array" aca="1" ref="B276" ca="1">IF('Raw Data'!B276="",_xlfn.REGEXEXTRACT(CELL("address",'Raw Data'!B276),"\$([A-Z]+)\$[0-9]+"),"")</f>
        <v>$B$276</v>
      </c>
      <c r="C276" t="str" cm="1">
        <f t="array" aca="1" ref="C276" ca="1">IF('Raw Data'!C276="",_xlfn.REGEXEXTRACT(CELL("address",'Raw Data'!C276),"\$([A-Z]+)\$[0-9]+"),"")</f>
        <v>$C$276</v>
      </c>
      <c r="D276" t="str" cm="1">
        <f t="array" aca="1" ref="D276" ca="1">IF('Raw Data'!D276="",_xlfn.REGEXEXTRACT(CELL("address",'Raw Data'!D276),"\$([A-Z]+)\$[0-9]+"),"")</f>
        <v>$D$276</v>
      </c>
      <c r="E276" t="str" cm="1">
        <f t="array" aca="1" ref="E276" ca="1">IF('Raw Data'!E276="",_xlfn.REGEXEXTRACT(CELL("address",'Raw Data'!E276),"\$([A-Z]+)\$[0-9]+"),"")</f>
        <v>$E$276</v>
      </c>
      <c r="F276" t="str" cm="1">
        <f t="array" aca="1" ref="F276" ca="1">IF('Raw Data'!F276="",_xlfn.REGEXEXTRACT(CELL("address",'Raw Data'!F276),"\$([A-Z]+)\$[0-9]+"),"")</f>
        <v>$F$276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Data'!G276="",_xlfn.REGEXEXTRACT(CELL("address",'Raw Data'!G276),"\$([A-Z]+)\$[0-9]+"),"")</f>
        <v>$G$276</v>
      </c>
      <c r="I276" t="str" cm="1">
        <f t="array" aca="1" ref="I276" ca="1">IF('Raw Data'!H276="",_xlfn.REGEXEXTRACT(CELL("address",'Raw Data'!H276),"\$([A-Z]+)\$[0-9]+"),"")</f>
        <v>$H$276</v>
      </c>
    </row>
    <row r="277" spans="2:9" x14ac:dyDescent="0.25">
      <c r="B277" t="str" cm="1">
        <f t="array" aca="1" ref="B277" ca="1">IF('Raw Data'!B277="",_xlfn.REGEXEXTRACT(CELL("address",'Raw Data'!B277),"\$([A-Z]+)\$[0-9]+"),"")</f>
        <v>$B$277</v>
      </c>
      <c r="C277" t="str" cm="1">
        <f t="array" aca="1" ref="C277" ca="1">IF('Raw Data'!C277="",_xlfn.REGEXEXTRACT(CELL("address",'Raw Data'!C277),"\$([A-Z]+)\$[0-9]+"),"")</f>
        <v>$C$277</v>
      </c>
      <c r="D277" t="str" cm="1">
        <f t="array" aca="1" ref="D277" ca="1">IF('Raw Data'!D277="",_xlfn.REGEXEXTRACT(CELL("address",'Raw Data'!D277),"\$([A-Z]+)\$[0-9]+"),"")</f>
        <v>$D$277</v>
      </c>
      <c r="E277" t="str" cm="1">
        <f t="array" aca="1" ref="E277" ca="1">IF('Raw Data'!E277="",_xlfn.REGEXEXTRACT(CELL("address",'Raw Data'!E277),"\$([A-Z]+)\$[0-9]+"),"")</f>
        <v>$E$277</v>
      </c>
      <c r="F277" t="str" cm="1">
        <f t="array" aca="1" ref="F277" ca="1">IF('Raw Data'!F277="",_xlfn.REGEXEXTRACT(CELL("address",'Raw Data'!F277),"\$([A-Z]+)\$[0-9]+"),"")</f>
        <v>$F$277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Data'!G277="",_xlfn.REGEXEXTRACT(CELL("address",'Raw Data'!G277),"\$([A-Z]+)\$[0-9]+"),"")</f>
        <v>$G$277</v>
      </c>
      <c r="I277" t="str" cm="1">
        <f t="array" aca="1" ref="I277" ca="1">IF('Raw Data'!H277="",_xlfn.REGEXEXTRACT(CELL("address",'Raw Data'!H277),"\$([A-Z]+)\$[0-9]+"),"")</f>
        <v>$H$277</v>
      </c>
    </row>
    <row r="278" spans="2:9" x14ac:dyDescent="0.25">
      <c r="B278" t="str" cm="1">
        <f t="array" aca="1" ref="B278" ca="1">IF('Raw Data'!B278="",_xlfn.REGEXEXTRACT(CELL("address",'Raw Data'!B278),"\$([A-Z]+)\$[0-9]+"),"")</f>
        <v>$B$278</v>
      </c>
      <c r="C278" t="str" cm="1">
        <f t="array" aca="1" ref="C278" ca="1">IF('Raw Data'!C278="",_xlfn.REGEXEXTRACT(CELL("address",'Raw Data'!C278),"\$([A-Z]+)\$[0-9]+"),"")</f>
        <v>$C$278</v>
      </c>
      <c r="D278" t="str" cm="1">
        <f t="array" aca="1" ref="D278" ca="1">IF('Raw Data'!D278="",_xlfn.REGEXEXTRACT(CELL("address",'Raw Data'!D278),"\$([A-Z]+)\$[0-9]+"),"")</f>
        <v>$D$278</v>
      </c>
      <c r="E278" t="str" cm="1">
        <f t="array" aca="1" ref="E278" ca="1">IF('Raw Data'!E278="",_xlfn.REGEXEXTRACT(CELL("address",'Raw Data'!E278),"\$([A-Z]+)\$[0-9]+"),"")</f>
        <v>$E$278</v>
      </c>
      <c r="F278" t="str" cm="1">
        <f t="array" aca="1" ref="F278" ca="1">IF('Raw Data'!F278="",_xlfn.REGEXEXTRACT(CELL("address",'Raw Data'!F278),"\$([A-Z]+)\$[0-9]+"),"")</f>
        <v>$F$278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Data'!G278="",_xlfn.REGEXEXTRACT(CELL("address",'Raw Data'!G278),"\$([A-Z]+)\$[0-9]+"),"")</f>
        <v>$G$278</v>
      </c>
      <c r="I278" t="str" cm="1">
        <f t="array" aca="1" ref="I278" ca="1">IF('Raw Data'!H278="",_xlfn.REGEXEXTRACT(CELL("address",'Raw Data'!H278),"\$([A-Z]+)\$[0-9]+"),"")</f>
        <v>$H$278</v>
      </c>
    </row>
    <row r="279" spans="2:9" x14ac:dyDescent="0.25">
      <c r="B279" t="str" cm="1">
        <f t="array" aca="1" ref="B279" ca="1">IF('Raw Data'!B279="",_xlfn.REGEXEXTRACT(CELL("address",'Raw Data'!B279),"\$([A-Z]+)\$[0-9]+"),"")</f>
        <v>$B$279</v>
      </c>
      <c r="C279" t="str" cm="1">
        <f t="array" aca="1" ref="C279" ca="1">IF('Raw Data'!C279="",_xlfn.REGEXEXTRACT(CELL("address",'Raw Data'!C279),"\$([A-Z]+)\$[0-9]+"),"")</f>
        <v>$C$279</v>
      </c>
      <c r="D279" t="str" cm="1">
        <f t="array" aca="1" ref="D279" ca="1">IF('Raw Data'!D279="",_xlfn.REGEXEXTRACT(CELL("address",'Raw Data'!D279),"\$([A-Z]+)\$[0-9]+"),"")</f>
        <v>$D$279</v>
      </c>
      <c r="E279" t="str" cm="1">
        <f t="array" aca="1" ref="E279" ca="1">IF('Raw Data'!E279="",_xlfn.REGEXEXTRACT(CELL("address",'Raw Data'!E279),"\$([A-Z]+)\$[0-9]+"),"")</f>
        <v>$E$279</v>
      </c>
      <c r="F279" t="str" cm="1">
        <f t="array" aca="1" ref="F279" ca="1">IF('Raw Data'!F279="",_xlfn.REGEXEXTRACT(CELL("address",'Raw Data'!F279),"\$([A-Z]+)\$[0-9]+"),"")</f>
        <v>$F$279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Data'!G279="",_xlfn.REGEXEXTRACT(CELL("address",'Raw Data'!G279),"\$([A-Z]+)\$[0-9]+"),"")</f>
        <v>$G$279</v>
      </c>
      <c r="I279" t="str" cm="1">
        <f t="array" aca="1" ref="I279" ca="1">IF('Raw Data'!H279="",_xlfn.REGEXEXTRACT(CELL("address",'Raw Data'!H279),"\$([A-Z]+)\$[0-9]+"),"")</f>
        <v>$H$279</v>
      </c>
    </row>
    <row r="280" spans="2:9" x14ac:dyDescent="0.25">
      <c r="B280" t="str" cm="1">
        <f t="array" aca="1" ref="B280" ca="1">IF('Raw Data'!B280="",_xlfn.REGEXEXTRACT(CELL("address",'Raw Data'!B280),"\$([A-Z]+)\$[0-9]+"),"")</f>
        <v>$B$280</v>
      </c>
      <c r="C280" t="str" cm="1">
        <f t="array" aca="1" ref="C280" ca="1">IF('Raw Data'!C280="",_xlfn.REGEXEXTRACT(CELL("address",'Raw Data'!C280),"\$([A-Z]+)\$[0-9]+"),"")</f>
        <v>$C$280</v>
      </c>
      <c r="D280" t="str" cm="1">
        <f t="array" aca="1" ref="D280" ca="1">IF('Raw Data'!D280="",_xlfn.REGEXEXTRACT(CELL("address",'Raw Data'!D280),"\$([A-Z]+)\$[0-9]+"),"")</f>
        <v>$D$280</v>
      </c>
      <c r="E280" t="str" cm="1">
        <f t="array" aca="1" ref="E280" ca="1">IF('Raw Data'!E280="",_xlfn.REGEXEXTRACT(CELL("address",'Raw Data'!E280),"\$([A-Z]+)\$[0-9]+"),"")</f>
        <v>$E$280</v>
      </c>
      <c r="F280" t="str" cm="1">
        <f t="array" aca="1" ref="F280" ca="1">IF('Raw Data'!F280="",_xlfn.REGEXEXTRACT(CELL("address",'Raw Data'!F280),"\$([A-Z]+)\$[0-9]+"),"")</f>
        <v>$F$280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Data'!G280="",_xlfn.REGEXEXTRACT(CELL("address",'Raw Data'!G280),"\$([A-Z]+)\$[0-9]+"),"")</f>
        <v>$G$280</v>
      </c>
      <c r="I280" t="str" cm="1">
        <f t="array" aca="1" ref="I280" ca="1">IF('Raw Data'!H280="",_xlfn.REGEXEXTRACT(CELL("address",'Raw Data'!H280),"\$([A-Z]+)\$[0-9]+"),"")</f>
        <v>$H$280</v>
      </c>
    </row>
    <row r="281" spans="2:9" x14ac:dyDescent="0.25">
      <c r="B281" t="str" cm="1">
        <f t="array" aca="1" ref="B281" ca="1">IF('Raw Data'!B281="",_xlfn.REGEXEXTRACT(CELL("address",'Raw Data'!B281),"\$([A-Z]+)\$[0-9]+"),"")</f>
        <v>$B$281</v>
      </c>
      <c r="C281" t="str" cm="1">
        <f t="array" aca="1" ref="C281" ca="1">IF('Raw Data'!C281="",_xlfn.REGEXEXTRACT(CELL("address",'Raw Data'!C281),"\$([A-Z]+)\$[0-9]+"),"")</f>
        <v>$C$281</v>
      </c>
      <c r="D281" t="str" cm="1">
        <f t="array" aca="1" ref="D281" ca="1">IF('Raw Data'!D281="",_xlfn.REGEXEXTRACT(CELL("address",'Raw Data'!D281),"\$([A-Z]+)\$[0-9]+"),"")</f>
        <v>$D$281</v>
      </c>
      <c r="E281" t="str" cm="1">
        <f t="array" aca="1" ref="E281" ca="1">IF('Raw Data'!E281="",_xlfn.REGEXEXTRACT(CELL("address",'Raw Data'!E281),"\$([A-Z]+)\$[0-9]+"),"")</f>
        <v>$E$281</v>
      </c>
      <c r="F281" t="str" cm="1">
        <f t="array" aca="1" ref="F281" ca="1">IF('Raw Data'!F281="",_xlfn.REGEXEXTRACT(CELL("address",'Raw Data'!F281),"\$([A-Z]+)\$[0-9]+"),"")</f>
        <v>$F$281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Data'!G281="",_xlfn.REGEXEXTRACT(CELL("address",'Raw Data'!G281),"\$([A-Z]+)\$[0-9]+"),"")</f>
        <v>$G$281</v>
      </c>
      <c r="I281" t="str" cm="1">
        <f t="array" aca="1" ref="I281" ca="1">IF('Raw Data'!H281="",_xlfn.REGEXEXTRACT(CELL("address",'Raw Data'!H281),"\$([A-Z]+)\$[0-9]+"),"")</f>
        <v>$H$281</v>
      </c>
    </row>
    <row r="282" spans="2:9" x14ac:dyDescent="0.25">
      <c r="B282" t="str" cm="1">
        <f t="array" aca="1" ref="B282" ca="1">IF('Raw Data'!B282="",_xlfn.REGEXEXTRACT(CELL("address",'Raw Data'!B282),"\$([A-Z]+)\$[0-9]+"),"")</f>
        <v>$B$282</v>
      </c>
      <c r="C282" t="str" cm="1">
        <f t="array" aca="1" ref="C282" ca="1">IF('Raw Data'!C282="",_xlfn.REGEXEXTRACT(CELL("address",'Raw Data'!C282),"\$([A-Z]+)\$[0-9]+"),"")</f>
        <v>$C$282</v>
      </c>
      <c r="D282" t="str" cm="1">
        <f t="array" aca="1" ref="D282" ca="1">IF('Raw Data'!D282="",_xlfn.REGEXEXTRACT(CELL("address",'Raw Data'!D282),"\$([A-Z]+)\$[0-9]+"),"")</f>
        <v>$D$282</v>
      </c>
      <c r="E282" t="str" cm="1">
        <f t="array" aca="1" ref="E282" ca="1">IF('Raw Data'!E282="",_xlfn.REGEXEXTRACT(CELL("address",'Raw Data'!E282),"\$([A-Z]+)\$[0-9]+"),"")</f>
        <v>$E$282</v>
      </c>
      <c r="F282" t="str" cm="1">
        <f t="array" aca="1" ref="F282" ca="1">IF('Raw Data'!F282="",_xlfn.REGEXEXTRACT(CELL("address",'Raw Data'!F282),"\$([A-Z]+)\$[0-9]+"),"")</f>
        <v>$F$282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Data'!G282="",_xlfn.REGEXEXTRACT(CELL("address",'Raw Data'!G282),"\$([A-Z]+)\$[0-9]+"),"")</f>
        <v>$G$282</v>
      </c>
      <c r="I282" t="str" cm="1">
        <f t="array" aca="1" ref="I282" ca="1">IF('Raw Data'!H282="",_xlfn.REGEXEXTRACT(CELL("address",'Raw Data'!H282),"\$([A-Z]+)\$[0-9]+"),"")</f>
        <v>$H$282</v>
      </c>
    </row>
    <row r="283" spans="2:9" x14ac:dyDescent="0.25">
      <c r="B283" t="str" cm="1">
        <f t="array" aca="1" ref="B283" ca="1">IF('Raw Data'!B283="",_xlfn.REGEXEXTRACT(CELL("address",'Raw Data'!B283),"\$([A-Z]+)\$[0-9]+"),"")</f>
        <v>$B$283</v>
      </c>
      <c r="C283" t="str" cm="1">
        <f t="array" aca="1" ref="C283" ca="1">IF('Raw Data'!C283="",_xlfn.REGEXEXTRACT(CELL("address",'Raw Data'!C283),"\$([A-Z]+)\$[0-9]+"),"")</f>
        <v>$C$283</v>
      </c>
      <c r="D283" t="str" cm="1">
        <f t="array" aca="1" ref="D283" ca="1">IF('Raw Data'!D283="",_xlfn.REGEXEXTRACT(CELL("address",'Raw Data'!D283),"\$([A-Z]+)\$[0-9]+"),"")</f>
        <v>$D$283</v>
      </c>
      <c r="E283" t="str" cm="1">
        <f t="array" aca="1" ref="E283" ca="1">IF('Raw Data'!E283="",_xlfn.REGEXEXTRACT(CELL("address",'Raw Data'!E283),"\$([A-Z]+)\$[0-9]+"),"")</f>
        <v>$E$283</v>
      </c>
      <c r="F283" t="str" cm="1">
        <f t="array" aca="1" ref="F283" ca="1">IF('Raw Data'!F283="",_xlfn.REGEXEXTRACT(CELL("address",'Raw Data'!F283),"\$([A-Z]+)\$[0-9]+"),"")</f>
        <v>$F$283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Data'!G283="",_xlfn.REGEXEXTRACT(CELL("address",'Raw Data'!G283),"\$([A-Z]+)\$[0-9]+"),"")</f>
        <v>$G$283</v>
      </c>
      <c r="I283" t="str" cm="1">
        <f t="array" aca="1" ref="I283" ca="1">IF('Raw Data'!H283="",_xlfn.REGEXEXTRACT(CELL("address",'Raw Data'!H283),"\$([A-Z]+)\$[0-9]+"),"")</f>
        <v>$H$283</v>
      </c>
    </row>
    <row r="284" spans="2:9" x14ac:dyDescent="0.25">
      <c r="B284" t="str" cm="1">
        <f t="array" aca="1" ref="B284" ca="1">IF('Raw Data'!B284="",_xlfn.REGEXEXTRACT(CELL("address",'Raw Data'!B284),"\$([A-Z]+)\$[0-9]+"),"")</f>
        <v>$B$284</v>
      </c>
      <c r="C284" t="str" cm="1">
        <f t="array" aca="1" ref="C284" ca="1">IF('Raw Data'!C284="",_xlfn.REGEXEXTRACT(CELL("address",'Raw Data'!C284),"\$([A-Z]+)\$[0-9]+"),"")</f>
        <v>$C$284</v>
      </c>
      <c r="D284" t="str" cm="1">
        <f t="array" aca="1" ref="D284" ca="1">IF('Raw Data'!D284="",_xlfn.REGEXEXTRACT(CELL("address",'Raw Data'!D284),"\$([A-Z]+)\$[0-9]+"),"")</f>
        <v>$D$284</v>
      </c>
      <c r="E284" t="str" cm="1">
        <f t="array" aca="1" ref="E284" ca="1">IF('Raw Data'!E284="",_xlfn.REGEXEXTRACT(CELL("address",'Raw Data'!E284),"\$([A-Z]+)\$[0-9]+"),"")</f>
        <v>$E$284</v>
      </c>
      <c r="F284" t="str" cm="1">
        <f t="array" aca="1" ref="F284" ca="1">IF('Raw Data'!F284="",_xlfn.REGEXEXTRACT(CELL("address",'Raw Data'!F284),"\$([A-Z]+)\$[0-9]+"),"")</f>
        <v>$F$284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Data'!G284="",_xlfn.REGEXEXTRACT(CELL("address",'Raw Data'!G284),"\$([A-Z]+)\$[0-9]+"),"")</f>
        <v>$G$284</v>
      </c>
      <c r="I284" t="str" cm="1">
        <f t="array" aca="1" ref="I284" ca="1">IF('Raw Data'!H284="",_xlfn.REGEXEXTRACT(CELL("address",'Raw Data'!H284),"\$([A-Z]+)\$[0-9]+"),"")</f>
        <v>$H$284</v>
      </c>
    </row>
    <row r="285" spans="2:9" x14ac:dyDescent="0.25">
      <c r="B285" t="str" cm="1">
        <f t="array" aca="1" ref="B285" ca="1">IF('Raw Data'!B285="",_xlfn.REGEXEXTRACT(CELL("address",'Raw Data'!B285),"\$([A-Z]+)\$[0-9]+"),"")</f>
        <v>$B$285</v>
      </c>
      <c r="C285" t="str" cm="1">
        <f t="array" aca="1" ref="C285" ca="1">IF('Raw Data'!C285="",_xlfn.REGEXEXTRACT(CELL("address",'Raw Data'!C285),"\$([A-Z]+)\$[0-9]+"),"")</f>
        <v>$C$285</v>
      </c>
      <c r="D285" t="str" cm="1">
        <f t="array" aca="1" ref="D285" ca="1">IF('Raw Data'!D285="",_xlfn.REGEXEXTRACT(CELL("address",'Raw Data'!D285),"\$([A-Z]+)\$[0-9]+"),"")</f>
        <v>$D$285</v>
      </c>
      <c r="E285" t="str" cm="1">
        <f t="array" aca="1" ref="E285" ca="1">IF('Raw Data'!E285="",_xlfn.REGEXEXTRACT(CELL("address",'Raw Data'!E285),"\$([A-Z]+)\$[0-9]+"),"")</f>
        <v>$E$285</v>
      </c>
      <c r="F285" t="str" cm="1">
        <f t="array" aca="1" ref="F285" ca="1">IF('Raw Data'!F285="",_xlfn.REGEXEXTRACT(CELL("address",'Raw Data'!F285),"\$([A-Z]+)\$[0-9]+"),"")</f>
        <v>$F$285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Data'!G285="",_xlfn.REGEXEXTRACT(CELL("address",'Raw Data'!G285),"\$([A-Z]+)\$[0-9]+"),"")</f>
        <v>$G$285</v>
      </c>
      <c r="I285" t="str" cm="1">
        <f t="array" aca="1" ref="I285" ca="1">IF('Raw Data'!H285="",_xlfn.REGEXEXTRACT(CELL("address",'Raw Data'!H285),"\$([A-Z]+)\$[0-9]+"),"")</f>
        <v>$H$285</v>
      </c>
    </row>
    <row r="286" spans="2:9" x14ac:dyDescent="0.25">
      <c r="B286" t="str" cm="1">
        <f t="array" aca="1" ref="B286" ca="1">IF('Raw Data'!B286="",_xlfn.REGEXEXTRACT(CELL("address",'Raw Data'!B286),"\$([A-Z]+)\$[0-9]+"),"")</f>
        <v>$B$286</v>
      </c>
      <c r="C286" t="str" cm="1">
        <f t="array" aca="1" ref="C286" ca="1">IF('Raw Data'!C286="",_xlfn.REGEXEXTRACT(CELL("address",'Raw Data'!C286),"\$([A-Z]+)\$[0-9]+"),"")</f>
        <v>$C$286</v>
      </c>
      <c r="D286" t="str" cm="1">
        <f t="array" aca="1" ref="D286" ca="1">IF('Raw Data'!D286="",_xlfn.REGEXEXTRACT(CELL("address",'Raw Data'!D286),"\$([A-Z]+)\$[0-9]+"),"")</f>
        <v>$D$286</v>
      </c>
      <c r="E286" t="str" cm="1">
        <f t="array" aca="1" ref="E286" ca="1">IF('Raw Data'!E286="",_xlfn.REGEXEXTRACT(CELL("address",'Raw Data'!E286),"\$([A-Z]+)\$[0-9]+"),"")</f>
        <v>$E$286</v>
      </c>
      <c r="F286" t="str" cm="1">
        <f t="array" aca="1" ref="F286" ca="1">IF('Raw Data'!F286="",_xlfn.REGEXEXTRACT(CELL("address",'Raw Data'!F286),"\$([A-Z]+)\$[0-9]+"),"")</f>
        <v>$F$286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Data'!G286="",_xlfn.REGEXEXTRACT(CELL("address",'Raw Data'!G286),"\$([A-Z]+)\$[0-9]+"),"")</f>
        <v>$G$286</v>
      </c>
      <c r="I286" t="str" cm="1">
        <f t="array" aca="1" ref="I286" ca="1">IF('Raw Data'!H286="",_xlfn.REGEXEXTRACT(CELL("address",'Raw Data'!H286),"\$([A-Z]+)\$[0-9]+"),"")</f>
        <v>$H$286</v>
      </c>
    </row>
    <row r="287" spans="2:9" x14ac:dyDescent="0.25">
      <c r="B287" t="str" cm="1">
        <f t="array" aca="1" ref="B287" ca="1">IF('Raw Data'!B287="",_xlfn.REGEXEXTRACT(CELL("address",'Raw Data'!B287),"\$([A-Z]+)\$[0-9]+"),"")</f>
        <v>$B$287</v>
      </c>
      <c r="C287" t="str" cm="1">
        <f t="array" aca="1" ref="C287" ca="1">IF('Raw Data'!C287="",_xlfn.REGEXEXTRACT(CELL("address",'Raw Data'!C287),"\$([A-Z]+)\$[0-9]+"),"")</f>
        <v>$C$287</v>
      </c>
      <c r="D287" t="str" cm="1">
        <f t="array" aca="1" ref="D287" ca="1">IF('Raw Data'!D287="",_xlfn.REGEXEXTRACT(CELL("address",'Raw Data'!D287),"\$([A-Z]+)\$[0-9]+"),"")</f>
        <v>$D$287</v>
      </c>
      <c r="E287" t="str" cm="1">
        <f t="array" aca="1" ref="E287" ca="1">IF('Raw Data'!E287="",_xlfn.REGEXEXTRACT(CELL("address",'Raw Data'!E287),"\$([A-Z]+)\$[0-9]+"),"")</f>
        <v>$E$287</v>
      </c>
      <c r="F287" t="str" cm="1">
        <f t="array" aca="1" ref="F287" ca="1">IF('Raw Data'!F287="",_xlfn.REGEXEXTRACT(CELL("address",'Raw Data'!F287),"\$([A-Z]+)\$[0-9]+"),"")</f>
        <v>$F$287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Data'!G287="",_xlfn.REGEXEXTRACT(CELL("address",'Raw Data'!G287),"\$([A-Z]+)\$[0-9]+"),"")</f>
        <v>$G$287</v>
      </c>
      <c r="I287" t="str" cm="1">
        <f t="array" aca="1" ref="I287" ca="1">IF('Raw Data'!H287="",_xlfn.REGEXEXTRACT(CELL("address",'Raw Data'!H287),"\$([A-Z]+)\$[0-9]+"),"")</f>
        <v>$H$287</v>
      </c>
    </row>
    <row r="288" spans="2:9" x14ac:dyDescent="0.25">
      <c r="B288" t="str" cm="1">
        <f t="array" aca="1" ref="B288" ca="1">IF('Raw Data'!B288="",_xlfn.REGEXEXTRACT(CELL("address",'Raw Data'!B288),"\$([A-Z]+)\$[0-9]+"),"")</f>
        <v>$B$288</v>
      </c>
      <c r="C288" t="str" cm="1">
        <f t="array" aca="1" ref="C288" ca="1">IF('Raw Data'!C288="",_xlfn.REGEXEXTRACT(CELL("address",'Raw Data'!C288),"\$([A-Z]+)\$[0-9]+"),"")</f>
        <v>$C$288</v>
      </c>
      <c r="D288" t="str" cm="1">
        <f t="array" aca="1" ref="D288" ca="1">IF('Raw Data'!D288="",_xlfn.REGEXEXTRACT(CELL("address",'Raw Data'!D288),"\$([A-Z]+)\$[0-9]+"),"")</f>
        <v>$D$288</v>
      </c>
      <c r="E288" t="str" cm="1">
        <f t="array" aca="1" ref="E288" ca="1">IF('Raw Data'!E288="",_xlfn.REGEXEXTRACT(CELL("address",'Raw Data'!E288),"\$([A-Z]+)\$[0-9]+"),"")</f>
        <v>$E$288</v>
      </c>
      <c r="F288" t="str" cm="1">
        <f t="array" aca="1" ref="F288" ca="1">IF('Raw Data'!F288="",_xlfn.REGEXEXTRACT(CELL("address",'Raw Data'!F288),"\$([A-Z]+)\$[0-9]+"),"")</f>
        <v>$F$288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Data'!G288="",_xlfn.REGEXEXTRACT(CELL("address",'Raw Data'!G288),"\$([A-Z]+)\$[0-9]+"),"")</f>
        <v>$G$288</v>
      </c>
      <c r="I288" t="str" cm="1">
        <f t="array" aca="1" ref="I288" ca="1">IF('Raw Data'!H288="",_xlfn.REGEXEXTRACT(CELL("address",'Raw Data'!H288),"\$([A-Z]+)\$[0-9]+"),"")</f>
        <v>$H$288</v>
      </c>
    </row>
    <row r="289" spans="2:9" x14ac:dyDescent="0.25">
      <c r="B289" t="str" cm="1">
        <f t="array" aca="1" ref="B289" ca="1">IF('Raw Data'!B289="",_xlfn.REGEXEXTRACT(CELL("address",'Raw Data'!B289),"\$([A-Z]+)\$[0-9]+"),"")</f>
        <v>$B$289</v>
      </c>
      <c r="C289" t="str" cm="1">
        <f t="array" aca="1" ref="C289" ca="1">IF('Raw Data'!C289="",_xlfn.REGEXEXTRACT(CELL("address",'Raw Data'!C289),"\$([A-Z]+)\$[0-9]+"),"")</f>
        <v>$C$289</v>
      </c>
      <c r="D289" t="str" cm="1">
        <f t="array" aca="1" ref="D289" ca="1">IF('Raw Data'!D289="",_xlfn.REGEXEXTRACT(CELL("address",'Raw Data'!D289),"\$([A-Z]+)\$[0-9]+"),"")</f>
        <v>$D$289</v>
      </c>
      <c r="E289" t="str" cm="1">
        <f t="array" aca="1" ref="E289" ca="1">IF('Raw Data'!E289="",_xlfn.REGEXEXTRACT(CELL("address",'Raw Data'!E289),"\$([A-Z]+)\$[0-9]+"),"")</f>
        <v>$E$289</v>
      </c>
      <c r="F289" t="str" cm="1">
        <f t="array" aca="1" ref="F289" ca="1">IF('Raw Data'!F289="",_xlfn.REGEXEXTRACT(CELL("address",'Raw Data'!F289),"\$([A-Z]+)\$[0-9]+"),"")</f>
        <v>$F$289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Data'!G289="",_xlfn.REGEXEXTRACT(CELL("address",'Raw Data'!G289),"\$([A-Z]+)\$[0-9]+"),"")</f>
        <v>$G$289</v>
      </c>
      <c r="I289" t="str" cm="1">
        <f t="array" aca="1" ref="I289" ca="1">IF('Raw Data'!H289="",_xlfn.REGEXEXTRACT(CELL("address",'Raw Data'!H289),"\$([A-Z]+)\$[0-9]+"),"")</f>
        <v>$H$289</v>
      </c>
    </row>
    <row r="290" spans="2:9" x14ac:dyDescent="0.25">
      <c r="B290" t="str" cm="1">
        <f t="array" aca="1" ref="B290" ca="1">IF('Raw Data'!B290="",_xlfn.REGEXEXTRACT(CELL("address",'Raw Data'!B290),"\$([A-Z]+)\$[0-9]+"),"")</f>
        <v>$B$290</v>
      </c>
      <c r="C290" t="str" cm="1">
        <f t="array" aca="1" ref="C290" ca="1">IF('Raw Data'!C290="",_xlfn.REGEXEXTRACT(CELL("address",'Raw Data'!C290),"\$([A-Z]+)\$[0-9]+"),"")</f>
        <v>$C$290</v>
      </c>
      <c r="D290" t="str" cm="1">
        <f t="array" aca="1" ref="D290" ca="1">IF('Raw Data'!D290="",_xlfn.REGEXEXTRACT(CELL("address",'Raw Data'!D290),"\$([A-Z]+)\$[0-9]+"),"")</f>
        <v>$D$290</v>
      </c>
      <c r="E290" t="str" cm="1">
        <f t="array" aca="1" ref="E290" ca="1">IF('Raw Data'!E290="",_xlfn.REGEXEXTRACT(CELL("address",'Raw Data'!E290),"\$([A-Z]+)\$[0-9]+"),"")</f>
        <v>$E$290</v>
      </c>
      <c r="F290" t="str" cm="1">
        <f t="array" aca="1" ref="F290" ca="1">IF('Raw Data'!F290="",_xlfn.REGEXEXTRACT(CELL("address",'Raw Data'!F290),"\$([A-Z]+)\$[0-9]+"),"")</f>
        <v>$F$290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Data'!G290="",_xlfn.REGEXEXTRACT(CELL("address",'Raw Data'!G290),"\$([A-Z]+)\$[0-9]+"),"")</f>
        <v>$G$290</v>
      </c>
      <c r="I290" t="str" cm="1">
        <f t="array" aca="1" ref="I290" ca="1">IF('Raw Data'!H290="",_xlfn.REGEXEXTRACT(CELL("address",'Raw Data'!H290),"\$([A-Z]+)\$[0-9]+"),"")</f>
        <v>$H$290</v>
      </c>
    </row>
    <row r="291" spans="2:9" x14ac:dyDescent="0.25">
      <c r="B291" t="str" cm="1">
        <f t="array" aca="1" ref="B291" ca="1">IF('Raw Data'!B291="",_xlfn.REGEXEXTRACT(CELL("address",'Raw Data'!B291),"\$([A-Z]+)\$[0-9]+"),"")</f>
        <v>$B$291</v>
      </c>
      <c r="C291" t="str" cm="1">
        <f t="array" aca="1" ref="C291" ca="1">IF('Raw Data'!C291="",_xlfn.REGEXEXTRACT(CELL("address",'Raw Data'!C291),"\$([A-Z]+)\$[0-9]+"),"")</f>
        <v>$C$291</v>
      </c>
      <c r="D291" t="str" cm="1">
        <f t="array" aca="1" ref="D291" ca="1">IF('Raw Data'!D291="",_xlfn.REGEXEXTRACT(CELL("address",'Raw Data'!D291),"\$([A-Z]+)\$[0-9]+"),"")</f>
        <v>$D$291</v>
      </c>
      <c r="E291" t="str" cm="1">
        <f t="array" aca="1" ref="E291" ca="1">IF('Raw Data'!E291="",_xlfn.REGEXEXTRACT(CELL("address",'Raw Data'!E291),"\$([A-Z]+)\$[0-9]+"),"")</f>
        <v>$E$291</v>
      </c>
      <c r="F291" t="str" cm="1">
        <f t="array" aca="1" ref="F291" ca="1">IF('Raw Data'!F291="",_xlfn.REGEXEXTRACT(CELL("address",'Raw Data'!F291),"\$([A-Z]+)\$[0-9]+"),"")</f>
        <v>$F$291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Data'!G291="",_xlfn.REGEXEXTRACT(CELL("address",'Raw Data'!G291),"\$([A-Z]+)\$[0-9]+"),"")</f>
        <v>$G$291</v>
      </c>
      <c r="I291" t="str" cm="1">
        <f t="array" aca="1" ref="I291" ca="1">IF('Raw Data'!H291="",_xlfn.REGEXEXTRACT(CELL("address",'Raw Data'!H291),"\$([A-Z]+)\$[0-9]+"),"")</f>
        <v>$H$291</v>
      </c>
    </row>
    <row r="292" spans="2:9" x14ac:dyDescent="0.25">
      <c r="B292" t="str" cm="1">
        <f t="array" aca="1" ref="B292" ca="1">IF('Raw Data'!B292="",_xlfn.REGEXEXTRACT(CELL("address",'Raw Data'!B292),"\$([A-Z]+)\$[0-9]+"),"")</f>
        <v>$B$292</v>
      </c>
      <c r="C292" t="str" cm="1">
        <f t="array" aca="1" ref="C292" ca="1">IF('Raw Data'!C292="",_xlfn.REGEXEXTRACT(CELL("address",'Raw Data'!C292),"\$([A-Z]+)\$[0-9]+"),"")</f>
        <v>$C$292</v>
      </c>
      <c r="D292" t="str" cm="1">
        <f t="array" aca="1" ref="D292" ca="1">IF('Raw Data'!D292="",_xlfn.REGEXEXTRACT(CELL("address",'Raw Data'!D292),"\$([A-Z]+)\$[0-9]+"),"")</f>
        <v>$D$292</v>
      </c>
      <c r="E292" t="str" cm="1">
        <f t="array" aca="1" ref="E292" ca="1">IF('Raw Data'!E292="",_xlfn.REGEXEXTRACT(CELL("address",'Raw Data'!E292),"\$([A-Z]+)\$[0-9]+"),"")</f>
        <v>$E$292</v>
      </c>
      <c r="F292" t="str" cm="1">
        <f t="array" aca="1" ref="F292" ca="1">IF('Raw Data'!F292="",_xlfn.REGEXEXTRACT(CELL("address",'Raw Data'!F292),"\$([A-Z]+)\$[0-9]+"),"")</f>
        <v>$F$292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Data'!G292="",_xlfn.REGEXEXTRACT(CELL("address",'Raw Data'!G292),"\$([A-Z]+)\$[0-9]+"),"")</f>
        <v>$G$292</v>
      </c>
      <c r="I292" t="str" cm="1">
        <f t="array" aca="1" ref="I292" ca="1">IF('Raw Data'!H292="",_xlfn.REGEXEXTRACT(CELL("address",'Raw Data'!H292),"\$([A-Z]+)\$[0-9]+"),"")</f>
        <v>$H$292</v>
      </c>
    </row>
    <row r="293" spans="2:9" x14ac:dyDescent="0.25">
      <c r="B293" t="str" cm="1">
        <f t="array" aca="1" ref="B293" ca="1">IF('Raw Data'!B293="",_xlfn.REGEXEXTRACT(CELL("address",'Raw Data'!B293),"\$([A-Z]+)\$[0-9]+"),"")</f>
        <v>$B$293</v>
      </c>
      <c r="C293" t="str" cm="1">
        <f t="array" aca="1" ref="C293" ca="1">IF('Raw Data'!C293="",_xlfn.REGEXEXTRACT(CELL("address",'Raw Data'!C293),"\$([A-Z]+)\$[0-9]+"),"")</f>
        <v>$C$293</v>
      </c>
      <c r="D293" t="str" cm="1">
        <f t="array" aca="1" ref="D293" ca="1">IF('Raw Data'!D293="",_xlfn.REGEXEXTRACT(CELL("address",'Raw Data'!D293),"\$([A-Z]+)\$[0-9]+"),"")</f>
        <v>$D$293</v>
      </c>
      <c r="E293" t="str" cm="1">
        <f t="array" aca="1" ref="E293" ca="1">IF('Raw Data'!E293="",_xlfn.REGEXEXTRACT(CELL("address",'Raw Data'!E293),"\$([A-Z]+)\$[0-9]+"),"")</f>
        <v>$E$293</v>
      </c>
      <c r="F293" t="str" cm="1">
        <f t="array" aca="1" ref="F293" ca="1">IF('Raw Data'!F293="",_xlfn.REGEXEXTRACT(CELL("address",'Raw Data'!F293),"\$([A-Z]+)\$[0-9]+"),"")</f>
        <v>$F$293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Data'!G293="",_xlfn.REGEXEXTRACT(CELL("address",'Raw Data'!G293),"\$([A-Z]+)\$[0-9]+"),"")</f>
        <v>$G$293</v>
      </c>
      <c r="I293" t="str" cm="1">
        <f t="array" aca="1" ref="I293" ca="1">IF('Raw Data'!H293="",_xlfn.REGEXEXTRACT(CELL("address",'Raw Data'!H293),"\$([A-Z]+)\$[0-9]+"),"")</f>
        <v>$H$293</v>
      </c>
    </row>
    <row r="294" spans="2:9" x14ac:dyDescent="0.25">
      <c r="B294" t="str" cm="1">
        <f t="array" aca="1" ref="B294" ca="1">IF('Raw Data'!B294="",_xlfn.REGEXEXTRACT(CELL("address",'Raw Data'!B294),"\$([A-Z]+)\$[0-9]+"),"")</f>
        <v>$B$294</v>
      </c>
      <c r="C294" t="str" cm="1">
        <f t="array" aca="1" ref="C294" ca="1">IF('Raw Data'!C294="",_xlfn.REGEXEXTRACT(CELL("address",'Raw Data'!C294),"\$([A-Z]+)\$[0-9]+"),"")</f>
        <v>$C$294</v>
      </c>
      <c r="D294" t="str" cm="1">
        <f t="array" aca="1" ref="D294" ca="1">IF('Raw Data'!D294="",_xlfn.REGEXEXTRACT(CELL("address",'Raw Data'!D294),"\$([A-Z]+)\$[0-9]+"),"")</f>
        <v>$D$294</v>
      </c>
      <c r="E294" t="str" cm="1">
        <f t="array" aca="1" ref="E294" ca="1">IF('Raw Data'!E294="",_xlfn.REGEXEXTRACT(CELL("address",'Raw Data'!E294),"\$([A-Z]+)\$[0-9]+"),"")</f>
        <v>$E$294</v>
      </c>
      <c r="F294" t="str" cm="1">
        <f t="array" aca="1" ref="F294" ca="1">IF('Raw Data'!F294="",_xlfn.REGEXEXTRACT(CELL("address",'Raw Data'!F294),"\$([A-Z]+)\$[0-9]+"),"")</f>
        <v>$F$294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Data'!G294="",_xlfn.REGEXEXTRACT(CELL("address",'Raw Data'!G294),"\$([A-Z]+)\$[0-9]+"),"")</f>
        <v>$G$294</v>
      </c>
      <c r="I294" t="str" cm="1">
        <f t="array" aca="1" ref="I294" ca="1">IF('Raw Data'!H294="",_xlfn.REGEXEXTRACT(CELL("address",'Raw Data'!H294),"\$([A-Z]+)\$[0-9]+"),"")</f>
        <v>$H$294</v>
      </c>
    </row>
    <row r="295" spans="2:9" x14ac:dyDescent="0.25">
      <c r="B295" t="str" cm="1">
        <f t="array" aca="1" ref="B295" ca="1">IF('Raw Data'!B295="",_xlfn.REGEXEXTRACT(CELL("address",'Raw Data'!B295),"\$([A-Z]+)\$[0-9]+"),"")</f>
        <v>$B$295</v>
      </c>
      <c r="C295" t="str" cm="1">
        <f t="array" aca="1" ref="C295" ca="1">IF('Raw Data'!C295="",_xlfn.REGEXEXTRACT(CELL("address",'Raw Data'!C295),"\$([A-Z]+)\$[0-9]+"),"")</f>
        <v>$C$295</v>
      </c>
      <c r="D295" t="str" cm="1">
        <f t="array" aca="1" ref="D295" ca="1">IF('Raw Data'!D295="",_xlfn.REGEXEXTRACT(CELL("address",'Raw Data'!D295),"\$([A-Z]+)\$[0-9]+"),"")</f>
        <v>$D$295</v>
      </c>
      <c r="E295" t="str" cm="1">
        <f t="array" aca="1" ref="E295" ca="1">IF('Raw Data'!E295="",_xlfn.REGEXEXTRACT(CELL("address",'Raw Data'!E295),"\$([A-Z]+)\$[0-9]+"),"")</f>
        <v>$E$295</v>
      </c>
      <c r="F295" t="str" cm="1">
        <f t="array" aca="1" ref="F295" ca="1">IF('Raw Data'!F295="",_xlfn.REGEXEXTRACT(CELL("address",'Raw Data'!F295),"\$([A-Z]+)\$[0-9]+"),"")</f>
        <v>$F$295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Data'!G295="",_xlfn.REGEXEXTRACT(CELL("address",'Raw Data'!G295),"\$([A-Z]+)\$[0-9]+"),"")</f>
        <v>$G$295</v>
      </c>
      <c r="I295" t="str" cm="1">
        <f t="array" aca="1" ref="I295" ca="1">IF('Raw Data'!H295="",_xlfn.REGEXEXTRACT(CELL("address",'Raw Data'!H295),"\$([A-Z]+)\$[0-9]+"),"")</f>
        <v>$H$295</v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>$C$296</v>
      </c>
      <c r="D296" t="str" cm="1">
        <f t="array" aca="1" ref="D296" ca="1">IF('Raw Data'!D296="",_xlfn.REGEXEXTRACT(CELL("address",'Raw Data'!D296),"\$([A-Z]+)\$[0-9]+"),"")</f>
        <v>$D$296</v>
      </c>
      <c r="E296" t="str" cm="1">
        <f t="array" aca="1" ref="E296" ca="1">IF('Raw Data'!E296="",_xlfn.REGEXEXTRACT(CELL("address",'Raw Data'!E296),"\$([A-Z]+)\$[0-9]+"),"")</f>
        <v>$E$296</v>
      </c>
      <c r="F296" t="str" cm="1">
        <f t="array" aca="1" ref="F296" ca="1">IF('Raw Data'!F296="",_xlfn.REGEXEXTRACT(CELL("address",'Raw Data'!F296),"\$([A-Z]+)\$[0-9]+"),"")</f>
        <v>$F$296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Data'!G296="",_xlfn.REGEXEXTRACT(CELL("address",'Raw Data'!G296),"\$([A-Z]+)\$[0-9]+"),"")</f>
        <v>$G$296</v>
      </c>
      <c r="I296" t="str" cm="1">
        <f t="array" aca="1" ref="I296" ca="1">IF('Raw Data'!H296="",_xlfn.REGEXEXTRACT(CELL("address",'Raw Data'!H296),"\$([A-Z]+)\$[0-9]+"),"")</f>
        <v>$H$296</v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>$C$297</v>
      </c>
      <c r="D297" t="str" cm="1">
        <f t="array" aca="1" ref="D297" ca="1">IF('Raw Data'!D297="",_xlfn.REGEXEXTRACT(CELL("address",'Raw Data'!D297),"\$([A-Z]+)\$[0-9]+"),"")</f>
        <v>$D$297</v>
      </c>
      <c r="E297" t="str" cm="1">
        <f t="array" aca="1" ref="E297" ca="1">IF('Raw Data'!E297="",_xlfn.REGEXEXTRACT(CELL("address",'Raw Data'!E297),"\$([A-Z]+)\$[0-9]+"),"")</f>
        <v>$E$297</v>
      </c>
      <c r="F297" t="str" cm="1">
        <f t="array" aca="1" ref="F297" ca="1">IF('Raw Data'!F297="",_xlfn.REGEXEXTRACT(CELL("address",'Raw Data'!F297),"\$([A-Z]+)\$[0-9]+"),"")</f>
        <v>$F$297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Data'!G297="",_xlfn.REGEXEXTRACT(CELL("address",'Raw Data'!G297),"\$([A-Z]+)\$[0-9]+"),"")</f>
        <v>$G$297</v>
      </c>
      <c r="I297" t="str" cm="1">
        <f t="array" aca="1" ref="I297" ca="1">IF('Raw Data'!H297="",_xlfn.REGEXEXTRACT(CELL("address",'Raw Data'!H297),"\$([A-Z]+)\$[0-9]+"),"")</f>
        <v>$H$297</v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>$C$298</v>
      </c>
      <c r="D298" t="str" cm="1">
        <f t="array" aca="1" ref="D298" ca="1">IF('Raw Data'!D298="",_xlfn.REGEXEXTRACT(CELL("address",'Raw Data'!D298),"\$([A-Z]+)\$[0-9]+"),"")</f>
        <v>$D$298</v>
      </c>
      <c r="E298" t="str" cm="1">
        <f t="array" aca="1" ref="E298" ca="1">IF('Raw Data'!E298="",_xlfn.REGEXEXTRACT(CELL("address",'Raw Data'!E298),"\$([A-Z]+)\$[0-9]+"),"")</f>
        <v>$E$298</v>
      </c>
      <c r="F298" t="str" cm="1">
        <f t="array" aca="1" ref="F298" ca="1">IF('Raw Data'!F298="",_xlfn.REGEXEXTRACT(CELL("address",'Raw Data'!F298),"\$([A-Z]+)\$[0-9]+"),"")</f>
        <v>$F$298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Data'!G298="",_xlfn.REGEXEXTRACT(CELL("address",'Raw Data'!G298),"\$([A-Z]+)\$[0-9]+"),"")</f>
        <v>$G$298</v>
      </c>
      <c r="I298" t="str" cm="1">
        <f t="array" aca="1" ref="I298" ca="1">IF('Raw Data'!H298="",_xlfn.REGEXEXTRACT(CELL("address",'Raw Data'!H298),"\$([A-Z]+)\$[0-9]+"),"")</f>
        <v>$H$298</v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>$C$299</v>
      </c>
      <c r="D299" t="str" cm="1">
        <f t="array" aca="1" ref="D299" ca="1">IF('Raw Data'!D299="",_xlfn.REGEXEXTRACT(CELL("address",'Raw Data'!D299),"\$([A-Z]+)\$[0-9]+"),"")</f>
        <v>$D$299</v>
      </c>
      <c r="E299" t="str" cm="1">
        <f t="array" aca="1" ref="E299" ca="1">IF('Raw Data'!E299="",_xlfn.REGEXEXTRACT(CELL("address",'Raw Data'!E299),"\$([A-Z]+)\$[0-9]+"),"")</f>
        <v>$E$299</v>
      </c>
      <c r="F299" t="str" cm="1">
        <f t="array" aca="1" ref="F299" ca="1">IF('Raw Data'!F299="",_xlfn.REGEXEXTRACT(CELL("address",'Raw Data'!F299),"\$([A-Z]+)\$[0-9]+"),"")</f>
        <v>$F$299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Data'!G299="",_xlfn.REGEXEXTRACT(CELL("address",'Raw Data'!G299),"\$([A-Z]+)\$[0-9]+"),"")</f>
        <v>$G$299</v>
      </c>
      <c r="I299" t="str" cm="1">
        <f t="array" aca="1" ref="I299" ca="1">IF('Raw Data'!H299="",_xlfn.REGEXEXTRACT(CELL("address",'Raw Data'!H299),"\$([A-Z]+)\$[0-9]+"),"")</f>
        <v>$H$299</v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>$C$300</v>
      </c>
      <c r="D300" t="str" cm="1">
        <f t="array" aca="1" ref="D300" ca="1">IF('Raw Data'!D300="",_xlfn.REGEXEXTRACT(CELL("address",'Raw Data'!D300),"\$([A-Z]+)\$[0-9]+"),"")</f>
        <v>$D$300</v>
      </c>
      <c r="E300" t="str" cm="1">
        <f t="array" aca="1" ref="E300" ca="1">IF('Raw Data'!E300="",_xlfn.REGEXEXTRACT(CELL("address",'Raw Data'!E300),"\$([A-Z]+)\$[0-9]+"),"")</f>
        <v>$E$300</v>
      </c>
      <c r="F300" t="str" cm="1">
        <f t="array" aca="1" ref="F300" ca="1">IF('Raw Data'!F300="",_xlfn.REGEXEXTRACT(CELL("address",'Raw Data'!F300),"\$([A-Z]+)\$[0-9]+"),"")</f>
        <v>$F$300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Data'!G300="",_xlfn.REGEXEXTRACT(CELL("address",'Raw Data'!G300),"\$([A-Z]+)\$[0-9]+"),"")</f>
        <v>$G$300</v>
      </c>
      <c r="I300" t="str" cm="1">
        <f t="array" aca="1" ref="I300" ca="1">IF('Raw Data'!H300="",_xlfn.REGEXEXTRACT(CELL("address",'Raw Data'!H300),"\$([A-Z]+)\$[0-9]+"),"")</f>
        <v>$H$300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66182D-89AE-463C-8565-396A954D7E2C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7c50c559-fa5a-43f4-984b-5769aabd1a15"/>
    <ds:schemaRef ds:uri="http://schemas.openxmlformats.org/package/2006/metadata/core-properties"/>
    <ds:schemaRef ds:uri="http://www.w3.org/XML/1998/namespace"/>
    <ds:schemaRef ds:uri="http://purl.org/dc/terms/"/>
    <ds:schemaRef ds:uri="105f6f6b-27db-4f49-a63a-89e0dc0cf9c4"/>
    <ds:schemaRef ds:uri="http://schemas.microsoft.com/office/2006/metadata/properties"/>
    <ds:schemaRef ds:uri="5e1c2f93-a2fb-4cf1-9521-08720b4e64d5"/>
    <ds:schemaRef ds:uri="82bfd1a8-954c-439e-a286-ef353ebc026f"/>
  </ds:schemaRefs>
</ds:datastoreItem>
</file>

<file path=customXml/itemProps2.xml><?xml version="1.0" encoding="utf-8"?>
<ds:datastoreItem xmlns:ds="http://schemas.openxmlformats.org/officeDocument/2006/customXml" ds:itemID="{E69D741F-9731-4F8A-ADE0-BF0D79A854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Validate_Empty</vt:lpstr>
      <vt:lpstr>Validate_Value</vt:lpstr>
      <vt:lpstr>Validate_Condition</vt:lpstr>
      <vt:lpstr>Condition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2026-03-10T05:24:45Z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